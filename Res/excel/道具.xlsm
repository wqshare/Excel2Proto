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/>
  </bookViews>
  <sheets>
    <sheet name="D_道具表" sheetId="1" r:id="rId1"/>
    <sheet name="D_合成表" sheetId="9" r:id="rId2"/>
    <sheet name="icon" sheetId="12" r:id="rId3"/>
    <sheet name="道具配置辅助表" sheetId="6" r:id="rId4"/>
    <sheet name="D_获取途径" sheetId="10" r:id="rId5"/>
    <sheet name="道具说明" sheetId="8" r:id="rId6"/>
    <sheet name="道具表价值评估" sheetId="11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D_道具表!$A$1:$Q$106</definedName>
    <definedName name="普通掉落表数据引用">#REF!</definedName>
  </definedNames>
  <calcPr calcId="152511"/>
</workbook>
</file>

<file path=xl/calcChain.xml><?xml version="1.0" encoding="utf-8"?>
<calcChain xmlns="http://schemas.openxmlformats.org/spreadsheetml/2006/main">
  <c r="F136" i="11" l="1"/>
  <c r="F135" i="11" l="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36" i="11"/>
  <c r="B136" i="11"/>
  <c r="F154" i="11" l="1"/>
  <c r="F155" i="11"/>
  <c r="F145" i="11"/>
  <c r="F146" i="11"/>
  <c r="F147" i="11"/>
  <c r="F148" i="11"/>
  <c r="F149" i="11"/>
  <c r="F150" i="11"/>
  <c r="F151" i="11"/>
  <c r="F152" i="11"/>
  <c r="F153" i="11"/>
  <c r="E155" i="1" l="1"/>
  <c r="E156" i="1"/>
  <c r="E154" i="1"/>
  <c r="E153" i="1"/>
  <c r="E152" i="1"/>
  <c r="E151" i="1"/>
  <c r="E150" i="1"/>
  <c r="E149" i="1"/>
  <c r="E148" i="1"/>
  <c r="E147" i="1"/>
  <c r="E146" i="1"/>
  <c r="F144" i="11" l="1"/>
  <c r="F143" i="11"/>
  <c r="F142" i="11"/>
  <c r="F141" i="11"/>
  <c r="F134" i="11" l="1"/>
  <c r="E142" i="1" l="1"/>
  <c r="E143" i="1"/>
  <c r="E144" i="1"/>
  <c r="E145" i="1"/>
  <c r="C79" i="11" l="1"/>
  <c r="A139" i="1" l="1"/>
  <c r="A138" i="11" s="1"/>
  <c r="B138" i="11" s="1"/>
  <c r="A140" i="1"/>
  <c r="A139" i="11" s="1"/>
  <c r="A138" i="1"/>
  <c r="B142" i="11" l="1"/>
  <c r="B150" i="11"/>
  <c r="B143" i="11"/>
  <c r="B151" i="11"/>
  <c r="B140" i="11"/>
  <c r="B148" i="11"/>
  <c r="B146" i="11"/>
  <c r="B154" i="11"/>
  <c r="B147" i="11"/>
  <c r="B155" i="11"/>
  <c r="B144" i="11"/>
  <c r="B152" i="11"/>
  <c r="A137" i="11"/>
  <c r="B137" i="11" s="1"/>
  <c r="B145" i="11"/>
  <c r="B149" i="11"/>
  <c r="B141" i="11"/>
  <c r="B153" i="11"/>
  <c r="B139" i="11"/>
  <c r="C113" i="11"/>
  <c r="H113" i="11" l="1"/>
  <c r="K108" i="9"/>
  <c r="K107" i="9"/>
  <c r="K106" i="9"/>
  <c r="A120" i="11" l="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B135" i="11" l="1"/>
  <c r="B134" i="11"/>
  <c r="H72" i="11" l="1"/>
  <c r="H73" i="11"/>
  <c r="H71" i="11"/>
  <c r="C109" i="11" l="1"/>
  <c r="H109" i="11" l="1"/>
  <c r="G91" i="11"/>
  <c r="G89" i="11" l="1"/>
  <c r="F109" i="11" l="1"/>
  <c r="F113" i="11" l="1"/>
  <c r="G116" i="11"/>
  <c r="F129" i="11" l="1"/>
  <c r="G130" i="11"/>
  <c r="G131" i="11"/>
  <c r="G132" i="11"/>
  <c r="F133" i="11"/>
  <c r="F127" i="11" l="1"/>
  <c r="F126" i="11"/>
  <c r="F125" i="11"/>
  <c r="F131" i="11"/>
  <c r="F124" i="11"/>
  <c r="F130" i="11"/>
  <c r="F128" i="11"/>
  <c r="F132" i="11"/>
  <c r="B130" i="11"/>
  <c r="B131" i="11"/>
  <c r="B132" i="11"/>
  <c r="B133" i="11"/>
  <c r="B129" i="11"/>
  <c r="C72" i="11" l="1"/>
  <c r="C73" i="11"/>
  <c r="C71" i="11"/>
  <c r="A59" i="11" l="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B71" i="11" l="1"/>
  <c r="B86" i="11"/>
  <c r="B62" i="11"/>
  <c r="B77" i="11"/>
  <c r="B61" i="11"/>
  <c r="B84" i="11"/>
  <c r="B68" i="11"/>
  <c r="B82" i="11"/>
  <c r="B74" i="11"/>
  <c r="B66" i="11"/>
  <c r="B79" i="11"/>
  <c r="B70" i="11"/>
  <c r="B89" i="11"/>
  <c r="B81" i="11"/>
  <c r="B73" i="11"/>
  <c r="B65" i="11"/>
  <c r="B88" i="11"/>
  <c r="B80" i="11"/>
  <c r="B72" i="11"/>
  <c r="B64" i="11"/>
  <c r="B87" i="11"/>
  <c r="B63" i="11"/>
  <c r="B78" i="11"/>
  <c r="B85" i="11"/>
  <c r="B69" i="11"/>
  <c r="B76" i="11"/>
  <c r="B60" i="11"/>
  <c r="B83" i="11"/>
  <c r="B75" i="11"/>
  <c r="B67" i="11"/>
  <c r="B59" i="11"/>
  <c r="I114" i="1"/>
  <c r="I110" i="1"/>
  <c r="B113" i="11" l="1"/>
  <c r="L80" i="11"/>
  <c r="L81" i="11"/>
  <c r="L79" i="11"/>
  <c r="Q87" i="1" l="1"/>
  <c r="Q88" i="1"/>
  <c r="Q86" i="1"/>
  <c r="G119" i="11" l="1"/>
  <c r="G120" i="11"/>
  <c r="G121" i="11"/>
  <c r="G122" i="11"/>
  <c r="G123" i="11"/>
  <c r="B127" i="11" l="1"/>
  <c r="B128" i="11"/>
  <c r="B122" i="11"/>
  <c r="B123" i="11"/>
  <c r="B119" i="11"/>
  <c r="B126" i="11"/>
  <c r="B121" i="11"/>
  <c r="B125" i="11"/>
  <c r="B124" i="11"/>
  <c r="B120" i="11"/>
  <c r="F119" i="11"/>
  <c r="F120" i="11"/>
  <c r="F123" i="11"/>
  <c r="F121" i="11"/>
  <c r="F122" i="11"/>
  <c r="H29" i="9" l="1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7" i="9"/>
  <c r="H71" i="9"/>
  <c r="H72" i="9"/>
  <c r="H78" i="9"/>
  <c r="H83" i="9"/>
  <c r="H87" i="9"/>
  <c r="H91" i="9"/>
  <c r="H92" i="9"/>
  <c r="H98" i="9"/>
  <c r="H103" i="9"/>
  <c r="G76" i="11" l="1"/>
  <c r="Q98" i="1" l="1"/>
  <c r="Q97" i="1"/>
  <c r="Q96" i="1"/>
  <c r="Q81" i="1" l="1"/>
  <c r="Q82" i="1"/>
  <c r="Q80" i="1"/>
  <c r="F86" i="11"/>
  <c r="F87" i="11"/>
  <c r="F85" i="11"/>
  <c r="L84" i="1" l="1"/>
  <c r="L85" i="1"/>
  <c r="L83" i="1"/>
  <c r="E10" i="11" l="1"/>
  <c r="E11" i="11"/>
  <c r="E12" i="11"/>
  <c r="E13" i="11"/>
  <c r="E14" i="11"/>
  <c r="E15" i="11"/>
  <c r="E16" i="11"/>
  <c r="E17" i="11"/>
  <c r="E18" i="11"/>
  <c r="E9" i="11"/>
  <c r="G92" i="11" l="1"/>
  <c r="G94" i="11"/>
  <c r="G93" i="11"/>
  <c r="G90" i="11"/>
  <c r="G78" i="11"/>
  <c r="G77" i="11"/>
  <c r="I91" i="1" l="1"/>
  <c r="I95" i="1"/>
  <c r="I92" i="1"/>
  <c r="I94" i="1"/>
  <c r="I93" i="1"/>
  <c r="G117" i="11" l="1"/>
  <c r="G118" i="11"/>
  <c r="G115" i="11"/>
  <c r="B110" i="11" l="1"/>
  <c r="B109" i="11"/>
  <c r="B117" i="11"/>
  <c r="B112" i="11"/>
  <c r="B111" i="11"/>
  <c r="B118" i="11"/>
  <c r="B116" i="11"/>
  <c r="B115" i="11"/>
  <c r="B114" i="11"/>
  <c r="F115" i="11"/>
  <c r="F118" i="11"/>
  <c r="F117" i="11"/>
  <c r="F116" i="11"/>
  <c r="D67" i="9"/>
  <c r="D71" i="9"/>
  <c r="D72" i="9"/>
  <c r="D75" i="9"/>
  <c r="D76" i="9"/>
  <c r="D77" i="9"/>
  <c r="D78" i="9"/>
  <c r="D79" i="9"/>
  <c r="D80" i="9"/>
  <c r="D81" i="9"/>
  <c r="D82" i="9"/>
  <c r="D83" i="9"/>
  <c r="D84" i="9"/>
  <c r="D87" i="9"/>
  <c r="D91" i="9"/>
  <c r="D92" i="9"/>
  <c r="D95" i="9"/>
  <c r="D96" i="9"/>
  <c r="D97" i="9"/>
  <c r="D98" i="9"/>
  <c r="D99" i="9"/>
  <c r="D100" i="9"/>
  <c r="D101" i="9"/>
  <c r="D102" i="9"/>
  <c r="D103" i="9"/>
  <c r="D104" i="9"/>
  <c r="A3" i="11" l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2" i="11"/>
  <c r="B55" i="11" l="1"/>
  <c r="B51" i="11"/>
  <c r="B58" i="11"/>
  <c r="B50" i="11"/>
  <c r="B52" i="11"/>
  <c r="B57" i="11"/>
  <c r="B49" i="11"/>
  <c r="B56" i="11"/>
  <c r="B54" i="11"/>
  <c r="B53" i="11"/>
  <c r="L114" i="1"/>
  <c r="L110" i="1"/>
  <c r="L94" i="1"/>
  <c r="L95" i="1"/>
  <c r="L90" i="1"/>
  <c r="L91" i="1"/>
  <c r="L92" i="1"/>
  <c r="L93" i="1"/>
  <c r="B108" i="11"/>
  <c r="B107" i="11"/>
  <c r="B106" i="11"/>
  <c r="L116" i="1"/>
  <c r="L75" i="1"/>
  <c r="L76" i="1"/>
  <c r="L79" i="1"/>
  <c r="L77" i="1"/>
  <c r="L78" i="1"/>
  <c r="L88" i="1"/>
  <c r="L87" i="1"/>
  <c r="L86" i="1"/>
  <c r="L102" i="1"/>
  <c r="L111" i="1"/>
  <c r="L103" i="1"/>
  <c r="L112" i="1"/>
  <c r="L104" i="1"/>
  <c r="L113" i="1"/>
  <c r="L105" i="1"/>
  <c r="L107" i="1"/>
  <c r="L108" i="1"/>
  <c r="L109" i="1"/>
  <c r="L106" i="1"/>
  <c r="L119" i="1"/>
  <c r="L118" i="1"/>
  <c r="L117" i="1"/>
  <c r="I119" i="1"/>
  <c r="I118" i="1"/>
  <c r="I117" i="1"/>
  <c r="I116" i="1"/>
  <c r="B11" i="11" l="1"/>
  <c r="B15" i="11"/>
  <c r="B16" i="11"/>
  <c r="B22" i="11"/>
  <c r="B27" i="11"/>
  <c r="B31" i="11"/>
  <c r="B35" i="11"/>
  <c r="B36" i="11"/>
  <c r="B42" i="11"/>
  <c r="B47" i="11"/>
  <c r="E19" i="11" l="1"/>
  <c r="E20" i="11"/>
  <c r="E21" i="11"/>
  <c r="E22" i="11"/>
  <c r="E23" i="11"/>
  <c r="E24" i="11"/>
  <c r="E25" i="11"/>
  <c r="E26" i="11"/>
  <c r="E27" i="11"/>
  <c r="E28" i="11"/>
  <c r="C40" i="11"/>
  <c r="C41" i="11"/>
  <c r="C42" i="11"/>
  <c r="C43" i="11"/>
  <c r="C44" i="11"/>
  <c r="C45" i="11"/>
  <c r="C46" i="11"/>
  <c r="C47" i="11"/>
  <c r="C48" i="11"/>
  <c r="C20" i="11"/>
  <c r="C21" i="11"/>
  <c r="C22" i="11"/>
  <c r="C23" i="11"/>
  <c r="C24" i="11"/>
  <c r="C25" i="11"/>
  <c r="C26" i="11"/>
  <c r="C27" i="11"/>
  <c r="C28" i="11"/>
  <c r="E37" i="11" l="1"/>
  <c r="F23" i="11"/>
  <c r="E36" i="11"/>
  <c r="F24" i="11"/>
  <c r="E35" i="11"/>
  <c r="E34" i="11"/>
  <c r="F28" i="11"/>
  <c r="E33" i="11"/>
  <c r="E32" i="11"/>
  <c r="F22" i="11"/>
  <c r="F20" i="11"/>
  <c r="E29" i="11"/>
  <c r="E31" i="11"/>
  <c r="E38" i="11"/>
  <c r="E30" i="11"/>
  <c r="F21" i="11"/>
  <c r="F27" i="11"/>
  <c r="F26" i="11"/>
  <c r="F25" i="11"/>
  <c r="E48" i="11"/>
  <c r="E45" i="11"/>
  <c r="E43" i="11"/>
  <c r="E42" i="11"/>
  <c r="E40" i="11"/>
  <c r="E47" i="11"/>
  <c r="E39" i="11"/>
  <c r="E46" i="11"/>
  <c r="E44" i="11"/>
  <c r="E41" i="11"/>
  <c r="F41" i="11" l="1"/>
  <c r="F46" i="11"/>
  <c r="G22" i="11"/>
  <c r="G24" i="11"/>
  <c r="G20" i="11"/>
  <c r="G28" i="11"/>
  <c r="G23" i="11"/>
  <c r="F47" i="11"/>
  <c r="F48" i="11"/>
  <c r="F42" i="11"/>
  <c r="F44" i="11"/>
  <c r="F40" i="11"/>
  <c r="F43" i="11"/>
  <c r="F45" i="11"/>
  <c r="G25" i="11"/>
  <c r="G26" i="11"/>
  <c r="G27" i="11"/>
  <c r="G21" i="11"/>
  <c r="G46" i="11" l="1"/>
  <c r="G41" i="11"/>
  <c r="L21" i="1"/>
  <c r="L23" i="1"/>
  <c r="L28" i="1"/>
  <c r="L20" i="1"/>
  <c r="L24" i="1"/>
  <c r="L27" i="1"/>
  <c r="L25" i="1"/>
  <c r="L26" i="1"/>
  <c r="L22" i="1"/>
  <c r="G48" i="11"/>
  <c r="G40" i="11"/>
  <c r="G44" i="11"/>
  <c r="G47" i="11"/>
  <c r="G43" i="11"/>
  <c r="G42" i="11"/>
  <c r="G45" i="11"/>
  <c r="L47" i="1" l="1"/>
  <c r="L42" i="1"/>
  <c r="L44" i="1"/>
  <c r="L48" i="1"/>
  <c r="L41" i="1"/>
  <c r="L43" i="1"/>
  <c r="L45" i="1"/>
  <c r="L46" i="1"/>
  <c r="L49" i="1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5" i="9"/>
  <c r="K26" i="9"/>
  <c r="K27" i="9"/>
  <c r="K28" i="9"/>
  <c r="K32" i="9"/>
  <c r="K33" i="9"/>
  <c r="K34" i="9"/>
  <c r="K35" i="9"/>
  <c r="K36" i="9"/>
  <c r="K40" i="9"/>
  <c r="K41" i="9"/>
  <c r="K42" i="9"/>
  <c r="K43" i="9"/>
  <c r="K44" i="9"/>
  <c r="K48" i="9"/>
  <c r="K49" i="9"/>
  <c r="K50" i="9"/>
  <c r="K51" i="9"/>
  <c r="K52" i="9"/>
  <c r="K56" i="9"/>
  <c r="K57" i="9"/>
  <c r="K58" i="9"/>
  <c r="K59" i="9"/>
  <c r="K60" i="9"/>
  <c r="K64" i="9"/>
  <c r="K4" i="9"/>
  <c r="K5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6" i="9"/>
  <c r="B6" i="11" l="1"/>
  <c r="B90" i="11"/>
  <c r="B94" i="11"/>
  <c r="D26" i="9" l="1"/>
  <c r="D34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I90" i="1" l="1"/>
  <c r="G79" i="11" l="1"/>
  <c r="F79" i="11" l="1"/>
  <c r="I79" i="11"/>
  <c r="L80" i="1" l="1"/>
  <c r="O213" i="10" l="1"/>
  <c r="E213" i="10"/>
  <c r="F213" i="10"/>
  <c r="G213" i="10"/>
  <c r="H213" i="10"/>
  <c r="I213" i="10"/>
  <c r="J213" i="10"/>
  <c r="K213" i="10"/>
  <c r="L213" i="10"/>
  <c r="M213" i="10"/>
  <c r="N213" i="10"/>
  <c r="P213" i="10"/>
  <c r="Q213" i="10"/>
  <c r="R213" i="10"/>
  <c r="S213" i="10"/>
  <c r="T213" i="10"/>
  <c r="R216" i="10"/>
  <c r="M211" i="10"/>
  <c r="G224" i="10"/>
  <c r="E224" i="10"/>
  <c r="F224" i="10"/>
  <c r="H224" i="10"/>
  <c r="I224" i="10"/>
  <c r="J224" i="10"/>
  <c r="K224" i="10"/>
  <c r="L224" i="10"/>
  <c r="M224" i="10"/>
  <c r="N224" i="10"/>
  <c r="O224" i="10"/>
  <c r="P224" i="10"/>
  <c r="Q224" i="10"/>
  <c r="R224" i="10"/>
  <c r="S224" i="10"/>
  <c r="T224" i="10"/>
  <c r="H225" i="10"/>
  <c r="J225" i="10"/>
  <c r="N225" i="10"/>
  <c r="P225" i="10"/>
  <c r="K226" i="10"/>
  <c r="M226" i="10"/>
  <c r="Q226" i="10"/>
  <c r="S226" i="10"/>
  <c r="J227" i="10"/>
  <c r="I227" i="10"/>
  <c r="K227" i="10"/>
  <c r="L227" i="10"/>
  <c r="M227" i="10"/>
  <c r="S227" i="10"/>
  <c r="Q228" i="10"/>
  <c r="J228" i="10"/>
  <c r="L228" i="10"/>
  <c r="M228" i="10"/>
  <c r="R228" i="10"/>
  <c r="H229" i="10"/>
  <c r="I229" i="10"/>
  <c r="J229" i="10"/>
  <c r="O229" i="10"/>
  <c r="P229" i="10"/>
  <c r="Q230" i="10"/>
  <c r="E230" i="10"/>
  <c r="F230" i="10"/>
  <c r="G230" i="10"/>
  <c r="H230" i="10"/>
  <c r="I230" i="10"/>
  <c r="J230" i="10"/>
  <c r="K230" i="10"/>
  <c r="L230" i="10"/>
  <c r="M230" i="10"/>
  <c r="N230" i="10"/>
  <c r="O230" i="10"/>
  <c r="P230" i="10"/>
  <c r="R230" i="10"/>
  <c r="S230" i="10"/>
  <c r="T230" i="10"/>
  <c r="E231" i="10"/>
  <c r="K231" i="10"/>
  <c r="Q231" i="10"/>
  <c r="Q232" i="10"/>
  <c r="E232" i="10"/>
  <c r="F232" i="10"/>
  <c r="G232" i="10"/>
  <c r="H232" i="10"/>
  <c r="I232" i="10"/>
  <c r="J232" i="10"/>
  <c r="K232" i="10"/>
  <c r="L232" i="10"/>
  <c r="M232" i="10"/>
  <c r="N232" i="10"/>
  <c r="O232" i="10"/>
  <c r="P232" i="10"/>
  <c r="R232" i="10"/>
  <c r="S232" i="10"/>
  <c r="T232" i="10"/>
  <c r="F233" i="10"/>
  <c r="E233" i="10"/>
  <c r="G233" i="10"/>
  <c r="H233" i="10"/>
  <c r="I233" i="10"/>
  <c r="J233" i="10"/>
  <c r="K233" i="10"/>
  <c r="L233" i="10"/>
  <c r="M233" i="10"/>
  <c r="N233" i="10"/>
  <c r="O233" i="10"/>
  <c r="P233" i="10"/>
  <c r="Q233" i="10"/>
  <c r="R233" i="10"/>
  <c r="S233" i="10"/>
  <c r="T233" i="10"/>
  <c r="E234" i="10"/>
  <c r="F234" i="10"/>
  <c r="H234" i="10"/>
  <c r="M234" i="10"/>
  <c r="O234" i="10"/>
  <c r="S234" i="10"/>
  <c r="T234" i="10"/>
  <c r="G235" i="10"/>
  <c r="H235" i="10"/>
  <c r="I235" i="10"/>
  <c r="K235" i="10"/>
  <c r="P235" i="10"/>
  <c r="Q235" i="10"/>
  <c r="T211" i="10" l="1"/>
  <c r="L211" i="10"/>
  <c r="P214" i="10"/>
  <c r="O214" i="10"/>
  <c r="H214" i="10"/>
  <c r="G214" i="10"/>
  <c r="S211" i="10"/>
  <c r="K211" i="10"/>
  <c r="K216" i="10"/>
  <c r="M216" i="10"/>
  <c r="S216" i="10"/>
  <c r="T216" i="10"/>
  <c r="L216" i="10"/>
  <c r="Q220" i="10"/>
  <c r="R214" i="10"/>
  <c r="D233" i="10"/>
  <c r="O216" i="10"/>
  <c r="S214" i="10"/>
  <c r="M215" i="10"/>
  <c r="M235" i="10"/>
  <c r="Q223" i="10"/>
  <c r="Q234" i="10"/>
  <c r="I222" i="10"/>
  <c r="I231" i="10"/>
  <c r="K219" i="10"/>
  <c r="K229" i="10"/>
  <c r="O218" i="10"/>
  <c r="O228" i="10"/>
  <c r="G218" i="10"/>
  <c r="G228" i="10"/>
  <c r="R217" i="10"/>
  <c r="R227" i="10"/>
  <c r="O221" i="10"/>
  <c r="O226" i="10"/>
  <c r="Q210" i="10"/>
  <c r="Q225" i="10"/>
  <c r="H222" i="10"/>
  <c r="H231" i="10"/>
  <c r="N218" i="10"/>
  <c r="N228" i="10"/>
  <c r="I210" i="10"/>
  <c r="I225" i="10"/>
  <c r="R215" i="10"/>
  <c r="R235" i="10"/>
  <c r="L215" i="10"/>
  <c r="L235" i="10"/>
  <c r="F215" i="10"/>
  <c r="F235" i="10"/>
  <c r="S222" i="10"/>
  <c r="S231" i="10"/>
  <c r="N222" i="10"/>
  <c r="N231" i="10"/>
  <c r="I220" i="10"/>
  <c r="E215" i="10"/>
  <c r="E235" i="10"/>
  <c r="I223" i="10"/>
  <c r="I234" i="10"/>
  <c r="M222" i="10"/>
  <c r="M231" i="10"/>
  <c r="E218" i="10"/>
  <c r="E228" i="10"/>
  <c r="O217" i="10"/>
  <c r="O227" i="10"/>
  <c r="H217" i="10"/>
  <c r="H227" i="10"/>
  <c r="T221" i="10"/>
  <c r="T226" i="10"/>
  <c r="L221" i="10"/>
  <c r="L226" i="10"/>
  <c r="E221" i="10"/>
  <c r="E226" i="10"/>
  <c r="T214" i="10"/>
  <c r="F214" i="10"/>
  <c r="R211" i="10"/>
  <c r="J211" i="10"/>
  <c r="P220" i="10"/>
  <c r="H220" i="10"/>
  <c r="T215" i="10"/>
  <c r="T235" i="10"/>
  <c r="L219" i="10"/>
  <c r="L229" i="10"/>
  <c r="F219" i="10"/>
  <c r="F229" i="10"/>
  <c r="P218" i="10"/>
  <c r="P228" i="10"/>
  <c r="H218" i="10"/>
  <c r="H228" i="10"/>
  <c r="E217" i="10"/>
  <c r="E227" i="10"/>
  <c r="S215" i="10"/>
  <c r="S235" i="10"/>
  <c r="H221" i="10"/>
  <c r="H226" i="10"/>
  <c r="T222" i="10"/>
  <c r="T231" i="10"/>
  <c r="D230" i="10"/>
  <c r="T218" i="10"/>
  <c r="T228" i="10"/>
  <c r="N217" i="10"/>
  <c r="N227" i="10"/>
  <c r="G222" i="10"/>
  <c r="G231" i="10"/>
  <c r="S218" i="10"/>
  <c r="S228" i="10"/>
  <c r="F218" i="10"/>
  <c r="F228" i="10"/>
  <c r="P217" i="10"/>
  <c r="P227" i="10"/>
  <c r="O210" i="10"/>
  <c r="O225" i="10"/>
  <c r="R222" i="10"/>
  <c r="R231" i="10"/>
  <c r="T219" i="10"/>
  <c r="T229" i="10"/>
  <c r="N219" i="10"/>
  <c r="N229" i="10"/>
  <c r="E214" i="10"/>
  <c r="Q211" i="10"/>
  <c r="O220" i="10"/>
  <c r="S219" i="10"/>
  <c r="S229" i="10"/>
  <c r="M219" i="10"/>
  <c r="M229" i="10"/>
  <c r="R221" i="10"/>
  <c r="R226" i="10"/>
  <c r="J221" i="10"/>
  <c r="J226" i="10"/>
  <c r="M210" i="10"/>
  <c r="M225" i="10"/>
  <c r="F210" i="10"/>
  <c r="F225" i="10"/>
  <c r="Q214" i="10"/>
  <c r="Q216" i="10"/>
  <c r="N215" i="10"/>
  <c r="N235" i="10"/>
  <c r="R223" i="10"/>
  <c r="R234" i="10"/>
  <c r="K223" i="10"/>
  <c r="K234" i="10"/>
  <c r="P222" i="10"/>
  <c r="P231" i="10"/>
  <c r="J222" i="10"/>
  <c r="J231" i="10"/>
  <c r="Q219" i="10"/>
  <c r="Q229" i="10"/>
  <c r="P221" i="10"/>
  <c r="P226" i="10"/>
  <c r="R210" i="10"/>
  <c r="R225" i="10"/>
  <c r="K210" i="10"/>
  <c r="K225" i="10"/>
  <c r="O222" i="10"/>
  <c r="O231" i="10"/>
  <c r="E219" i="10"/>
  <c r="E229" i="10"/>
  <c r="P223" i="10"/>
  <c r="P234" i="10"/>
  <c r="J223" i="10"/>
  <c r="J234" i="10"/>
  <c r="Q217" i="10"/>
  <c r="Q227" i="10"/>
  <c r="N221" i="10"/>
  <c r="N226" i="10"/>
  <c r="G221" i="10"/>
  <c r="G226" i="10"/>
  <c r="D224" i="10"/>
  <c r="F221" i="10"/>
  <c r="F226" i="10"/>
  <c r="J215" i="10"/>
  <c r="J235" i="10"/>
  <c r="N223" i="10"/>
  <c r="N234" i="10"/>
  <c r="L222" i="10"/>
  <c r="L231" i="10"/>
  <c r="F222" i="10"/>
  <c r="F231" i="10"/>
  <c r="K218" i="10"/>
  <c r="K228" i="10"/>
  <c r="G217" i="10"/>
  <c r="G227" i="10"/>
  <c r="T210" i="10"/>
  <c r="T225" i="10"/>
  <c r="G210" i="10"/>
  <c r="G225" i="10"/>
  <c r="M214" i="10"/>
  <c r="I211" i="10"/>
  <c r="J216" i="10"/>
  <c r="G220" i="10"/>
  <c r="O215" i="10"/>
  <c r="O235" i="10"/>
  <c r="L223" i="10"/>
  <c r="L234" i="10"/>
  <c r="G223" i="10"/>
  <c r="G234" i="10"/>
  <c r="D232" i="10"/>
  <c r="R219" i="10"/>
  <c r="R229" i="10"/>
  <c r="G219" i="10"/>
  <c r="G229" i="10"/>
  <c r="I218" i="10"/>
  <c r="I228" i="10"/>
  <c r="T217" i="10"/>
  <c r="T227" i="10"/>
  <c r="F217" i="10"/>
  <c r="F227" i="10"/>
  <c r="I221" i="10"/>
  <c r="I226" i="10"/>
  <c r="S210" i="10"/>
  <c r="S225" i="10"/>
  <c r="L210" i="10"/>
  <c r="L225" i="10"/>
  <c r="E210" i="10"/>
  <c r="E225" i="10"/>
  <c r="H216" i="10"/>
  <c r="F223" i="10"/>
  <c r="S217" i="10"/>
  <c r="Q221" i="10"/>
  <c r="Q215" i="10"/>
  <c r="T223" i="10"/>
  <c r="R218" i="10"/>
  <c r="N216" i="10"/>
  <c r="F216" i="10"/>
  <c r="S220" i="10"/>
  <c r="K220" i="10"/>
  <c r="P215" i="10"/>
  <c r="S223" i="10"/>
  <c r="M223" i="10"/>
  <c r="H223" i="10"/>
  <c r="Q222" i="10"/>
  <c r="K222" i="10"/>
  <c r="E222" i="10"/>
  <c r="H219" i="10"/>
  <c r="J218" i="10"/>
  <c r="Q218" i="10"/>
  <c r="M217" i="10"/>
  <c r="S221" i="10"/>
  <c r="K221" i="10"/>
  <c r="N210" i="10"/>
  <c r="H210" i="10"/>
  <c r="N214" i="10"/>
  <c r="E216" i="10"/>
  <c r="R220" i="10"/>
  <c r="J220" i="10"/>
  <c r="I215" i="10"/>
  <c r="L217" i="10"/>
  <c r="E223" i="10"/>
  <c r="L214" i="10"/>
  <c r="P211" i="10"/>
  <c r="G215" i="10"/>
  <c r="O211" i="10"/>
  <c r="O223" i="10"/>
  <c r="O219" i="10"/>
  <c r="J219" i="10"/>
  <c r="M218" i="10"/>
  <c r="I217" i="10"/>
  <c r="J217" i="10"/>
  <c r="J210" i="10"/>
  <c r="J214" i="10"/>
  <c r="N211" i="10"/>
  <c r="F211" i="10"/>
  <c r="P216" i="10"/>
  <c r="M220" i="10"/>
  <c r="F220" i="10"/>
  <c r="H215" i="10"/>
  <c r="K217" i="10"/>
  <c r="H211" i="10"/>
  <c r="P219" i="10"/>
  <c r="K214" i="10"/>
  <c r="G211" i="10"/>
  <c r="I216" i="10"/>
  <c r="N220" i="10"/>
  <c r="K215" i="10"/>
  <c r="I219" i="10"/>
  <c r="L218" i="10"/>
  <c r="M221" i="10"/>
  <c r="P210" i="10"/>
  <c r="I214" i="10"/>
  <c r="E211" i="10"/>
  <c r="G216" i="10"/>
  <c r="T220" i="10"/>
  <c r="L220" i="10"/>
  <c r="E220" i="10"/>
  <c r="D213" i="10"/>
  <c r="E189" i="10"/>
  <c r="J189" i="10"/>
  <c r="K189" i="10"/>
  <c r="L189" i="10"/>
  <c r="M189" i="10"/>
  <c r="Q189" i="10"/>
  <c r="R189" i="10"/>
  <c r="S189" i="10"/>
  <c r="E190" i="10"/>
  <c r="F190" i="10"/>
  <c r="I190" i="10"/>
  <c r="J190" i="10"/>
  <c r="L190" i="10"/>
  <c r="N190" i="10"/>
  <c r="R190" i="10"/>
  <c r="S190" i="10"/>
  <c r="E191" i="10"/>
  <c r="F191" i="10"/>
  <c r="G191" i="10"/>
  <c r="H191" i="10"/>
  <c r="I191" i="10"/>
  <c r="J191" i="10"/>
  <c r="K191" i="10"/>
  <c r="L191" i="10"/>
  <c r="M191" i="10"/>
  <c r="N191" i="10"/>
  <c r="O191" i="10"/>
  <c r="P191" i="10"/>
  <c r="Q191" i="10"/>
  <c r="R191" i="10"/>
  <c r="S191" i="10"/>
  <c r="T191" i="10"/>
  <c r="E194" i="10"/>
  <c r="F194" i="10"/>
  <c r="G194" i="10"/>
  <c r="H194" i="10"/>
  <c r="I194" i="10"/>
  <c r="J194" i="10"/>
  <c r="K194" i="10"/>
  <c r="L194" i="10"/>
  <c r="M194" i="10"/>
  <c r="N194" i="10"/>
  <c r="O194" i="10"/>
  <c r="P194" i="10"/>
  <c r="Q194" i="10"/>
  <c r="R194" i="10"/>
  <c r="S194" i="10"/>
  <c r="T194" i="10"/>
  <c r="G195" i="10"/>
  <c r="H195" i="10"/>
  <c r="I195" i="10"/>
  <c r="K195" i="10"/>
  <c r="O195" i="10"/>
  <c r="P195" i="10"/>
  <c r="Q195" i="10"/>
  <c r="E196" i="10"/>
  <c r="F196" i="10"/>
  <c r="G196" i="10"/>
  <c r="H196" i="10"/>
  <c r="I196" i="10"/>
  <c r="J196" i="10"/>
  <c r="K196" i="10"/>
  <c r="L196" i="10"/>
  <c r="M196" i="10"/>
  <c r="N196" i="10"/>
  <c r="O196" i="10"/>
  <c r="P196" i="10"/>
  <c r="Q196" i="10"/>
  <c r="R196" i="10"/>
  <c r="S196" i="10"/>
  <c r="T196" i="10"/>
  <c r="E199" i="10"/>
  <c r="F199" i="10"/>
  <c r="G199" i="10"/>
  <c r="H199" i="10"/>
  <c r="I199" i="10"/>
  <c r="J199" i="10"/>
  <c r="K199" i="10"/>
  <c r="L199" i="10"/>
  <c r="M199" i="10"/>
  <c r="N199" i="10"/>
  <c r="O199" i="10"/>
  <c r="P199" i="10"/>
  <c r="Q199" i="10"/>
  <c r="R199" i="10"/>
  <c r="S199" i="10"/>
  <c r="T199" i="10"/>
  <c r="E200" i="10"/>
  <c r="F200" i="10"/>
  <c r="G200" i="10"/>
  <c r="H200" i="10"/>
  <c r="M200" i="10"/>
  <c r="N200" i="10"/>
  <c r="P200" i="10"/>
  <c r="E212" i="10"/>
  <c r="F212" i="10"/>
  <c r="G212" i="10"/>
  <c r="H212" i="10"/>
  <c r="I212" i="10"/>
  <c r="J212" i="10"/>
  <c r="K212" i="10"/>
  <c r="L212" i="10"/>
  <c r="M212" i="10"/>
  <c r="N212" i="10"/>
  <c r="O212" i="10"/>
  <c r="P212" i="10"/>
  <c r="Q212" i="10"/>
  <c r="R212" i="10"/>
  <c r="S212" i="10"/>
  <c r="T212" i="10"/>
  <c r="E202" i="10"/>
  <c r="F202" i="10"/>
  <c r="G202" i="10"/>
  <c r="H202" i="10"/>
  <c r="I202" i="10"/>
  <c r="J202" i="10"/>
  <c r="K202" i="10"/>
  <c r="L202" i="10"/>
  <c r="M202" i="10"/>
  <c r="N202" i="10"/>
  <c r="O202" i="10"/>
  <c r="P202" i="10"/>
  <c r="Q202" i="10"/>
  <c r="R202" i="10"/>
  <c r="S202" i="10"/>
  <c r="T202" i="10"/>
  <c r="E204" i="10"/>
  <c r="F204" i="10"/>
  <c r="G204" i="10"/>
  <c r="H204" i="10"/>
  <c r="I204" i="10"/>
  <c r="J204" i="10"/>
  <c r="K204" i="10"/>
  <c r="L204" i="10"/>
  <c r="M204" i="10"/>
  <c r="N204" i="10"/>
  <c r="O204" i="10"/>
  <c r="P204" i="10"/>
  <c r="Q204" i="10"/>
  <c r="R204" i="10"/>
  <c r="S204" i="10"/>
  <c r="T204" i="10"/>
  <c r="E208" i="10"/>
  <c r="F208" i="10"/>
  <c r="G208" i="10"/>
  <c r="H208" i="10"/>
  <c r="I208" i="10"/>
  <c r="J208" i="10"/>
  <c r="K208" i="10"/>
  <c r="L208" i="10"/>
  <c r="M208" i="10"/>
  <c r="N208" i="10"/>
  <c r="O208" i="10"/>
  <c r="P208" i="10"/>
  <c r="Q208" i="10"/>
  <c r="R208" i="10"/>
  <c r="S208" i="10"/>
  <c r="T208" i="10"/>
  <c r="E209" i="10"/>
  <c r="F209" i="10"/>
  <c r="G209" i="10"/>
  <c r="H209" i="10"/>
  <c r="I209" i="10"/>
  <c r="J209" i="10"/>
  <c r="K209" i="10"/>
  <c r="L209" i="10"/>
  <c r="M209" i="10"/>
  <c r="N209" i="10"/>
  <c r="O209" i="10"/>
  <c r="P209" i="10"/>
  <c r="Q209" i="10"/>
  <c r="R209" i="10"/>
  <c r="S209" i="10"/>
  <c r="T209" i="10"/>
  <c r="T188" i="10" l="1"/>
  <c r="L188" i="10"/>
  <c r="N207" i="10"/>
  <c r="F207" i="10"/>
  <c r="P198" i="10"/>
  <c r="I198" i="10"/>
  <c r="D222" i="10"/>
  <c r="S188" i="10"/>
  <c r="K188" i="10"/>
  <c r="M207" i="10"/>
  <c r="E207" i="10"/>
  <c r="O198" i="10"/>
  <c r="H198" i="10"/>
  <c r="D216" i="10"/>
  <c r="T201" i="10"/>
  <c r="D215" i="10"/>
  <c r="P201" i="10"/>
  <c r="T207" i="10"/>
  <c r="L207" i="10"/>
  <c r="G198" i="10"/>
  <c r="M195" i="10"/>
  <c r="D234" i="10"/>
  <c r="R207" i="10"/>
  <c r="J207" i="10"/>
  <c r="Q201" i="10"/>
  <c r="E201" i="10"/>
  <c r="D227" i="10"/>
  <c r="D219" i="10"/>
  <c r="E195" i="10"/>
  <c r="D231" i="10"/>
  <c r="R188" i="10"/>
  <c r="J188" i="10"/>
  <c r="D220" i="10"/>
  <c r="D225" i="10"/>
  <c r="D226" i="10"/>
  <c r="D235" i="10"/>
  <c r="S207" i="10"/>
  <c r="K207" i="10"/>
  <c r="F198" i="10"/>
  <c r="D214" i="10"/>
  <c r="I201" i="10"/>
  <c r="J200" i="10"/>
  <c r="D218" i="10"/>
  <c r="N198" i="10"/>
  <c r="L195" i="10"/>
  <c r="D210" i="10"/>
  <c r="D223" i="10"/>
  <c r="D217" i="10"/>
  <c r="D221" i="10"/>
  <c r="D229" i="10"/>
  <c r="D228" i="10"/>
  <c r="D211" i="10"/>
  <c r="J195" i="10"/>
  <c r="D202" i="10"/>
  <c r="D196" i="10"/>
  <c r="D194" i="10"/>
  <c r="J203" i="10"/>
  <c r="L193" i="10"/>
  <c r="L197" i="10"/>
  <c r="R200" i="10"/>
  <c r="Q188" i="10"/>
  <c r="S193" i="10"/>
  <c r="S197" i="10"/>
  <c r="K193" i="10"/>
  <c r="K197" i="10"/>
  <c r="M190" i="10"/>
  <c r="I189" i="10"/>
  <c r="G203" i="10"/>
  <c r="D204" i="10"/>
  <c r="H188" i="10"/>
  <c r="T198" i="10"/>
  <c r="J201" i="10"/>
  <c r="T203" i="10"/>
  <c r="L203" i="10"/>
  <c r="E203" i="10"/>
  <c r="O188" i="10"/>
  <c r="G188" i="10"/>
  <c r="P193" i="10"/>
  <c r="P197" i="10"/>
  <c r="H193" i="10"/>
  <c r="H197" i="10"/>
  <c r="Q207" i="10"/>
  <c r="I207" i="10"/>
  <c r="S198" i="10"/>
  <c r="L198" i="10"/>
  <c r="H190" i="10"/>
  <c r="F195" i="10"/>
  <c r="H189" i="10"/>
  <c r="Q190" i="10"/>
  <c r="M201" i="10"/>
  <c r="K201" i="10"/>
  <c r="Q203" i="10"/>
  <c r="M193" i="10"/>
  <c r="M197" i="10"/>
  <c r="T193" i="10"/>
  <c r="T197" i="10"/>
  <c r="H203" i="10"/>
  <c r="N203" i="10"/>
  <c r="I188" i="10"/>
  <c r="R193" i="10"/>
  <c r="R197" i="10"/>
  <c r="J193" i="10"/>
  <c r="J197" i="10"/>
  <c r="I200" i="10"/>
  <c r="M203" i="10"/>
  <c r="Q193" i="10"/>
  <c r="Q197" i="10"/>
  <c r="E198" i="10"/>
  <c r="H201" i="10"/>
  <c r="G189" i="10"/>
  <c r="K190" i="10"/>
  <c r="S203" i="10"/>
  <c r="K203" i="10"/>
  <c r="N188" i="10"/>
  <c r="F188" i="10"/>
  <c r="O193" i="10"/>
  <c r="O197" i="10"/>
  <c r="G193" i="10"/>
  <c r="G197" i="10"/>
  <c r="P207" i="10"/>
  <c r="H207" i="10"/>
  <c r="R198" i="10"/>
  <c r="K198" i="10"/>
  <c r="K200" i="10"/>
  <c r="F201" i="10"/>
  <c r="S195" i="10"/>
  <c r="P190" i="10"/>
  <c r="L200" i="10"/>
  <c r="G201" i="10"/>
  <c r="T189" i="10"/>
  <c r="O200" i="10"/>
  <c r="P189" i="10"/>
  <c r="S201" i="10"/>
  <c r="E193" i="10"/>
  <c r="E197" i="10"/>
  <c r="R201" i="10"/>
  <c r="P203" i="10"/>
  <c r="I203" i="10"/>
  <c r="D191" i="10"/>
  <c r="O203" i="10"/>
  <c r="T190" i="10"/>
  <c r="N195" i="10"/>
  <c r="F203" i="10"/>
  <c r="P188" i="10"/>
  <c r="I193" i="10"/>
  <c r="I197" i="10"/>
  <c r="M198" i="10"/>
  <c r="O189" i="10"/>
  <c r="Q200" i="10"/>
  <c r="R203" i="10"/>
  <c r="M188" i="10"/>
  <c r="E188" i="10"/>
  <c r="N193" i="10"/>
  <c r="N197" i="10"/>
  <c r="F193" i="10"/>
  <c r="F197" i="10"/>
  <c r="O207" i="10"/>
  <c r="G207" i="10"/>
  <c r="Q198" i="10"/>
  <c r="J198" i="10"/>
  <c r="S200" i="10"/>
  <c r="N201" i="10"/>
  <c r="G190" i="10"/>
  <c r="R195" i="10"/>
  <c r="F189" i="10"/>
  <c r="T195" i="10"/>
  <c r="T200" i="10"/>
  <c r="O201" i="10"/>
  <c r="O190" i="10"/>
  <c r="N189" i="10"/>
  <c r="L201" i="10"/>
  <c r="D199" i="10"/>
  <c r="D209" i="10"/>
  <c r="D208" i="10"/>
  <c r="D212" i="10"/>
  <c r="D190" i="10" l="1"/>
  <c r="D189" i="10"/>
  <c r="D188" i="10"/>
  <c r="D201" i="10"/>
  <c r="D195" i="10"/>
  <c r="D193" i="10"/>
  <c r="D198" i="10"/>
  <c r="D207" i="10"/>
  <c r="D197" i="10"/>
  <c r="D203" i="10"/>
  <c r="D200" i="10"/>
  <c r="Q8" i="10" l="1"/>
  <c r="G17" i="10"/>
  <c r="F9" i="10"/>
  <c r="R22" i="10"/>
  <c r="L16" i="10"/>
  <c r="M54" i="10"/>
  <c r="M49" i="10"/>
  <c r="F38" i="10"/>
  <c r="O3" i="10"/>
  <c r="T12" i="10"/>
  <c r="T5" i="10"/>
  <c r="S58" i="10"/>
  <c r="G11" i="10"/>
  <c r="N10" i="10"/>
  <c r="P47" i="10"/>
  <c r="Q63" i="10"/>
  <c r="P9" i="10"/>
  <c r="T32" i="10"/>
  <c r="T18" i="10"/>
  <c r="N19" i="10"/>
  <c r="T8" i="10"/>
  <c r="J20" i="10"/>
  <c r="Q9" i="10"/>
  <c r="F12" i="10"/>
  <c r="J14" i="10"/>
  <c r="L46" i="10"/>
  <c r="G14" i="10"/>
  <c r="I43" i="10"/>
  <c r="H6" i="10"/>
  <c r="P13" i="10"/>
  <c r="I52" i="10"/>
  <c r="H4" i="10"/>
  <c r="O8" i="10"/>
  <c r="I33" i="10"/>
  <c r="K27" i="10"/>
  <c r="H87" i="10"/>
  <c r="S52" i="10"/>
  <c r="K35" i="10"/>
  <c r="N17" i="10"/>
  <c r="Q79" i="10"/>
  <c r="N69" i="10"/>
  <c r="Q68" i="10"/>
  <c r="G60" i="10"/>
  <c r="F55" i="10"/>
  <c r="F17" i="10"/>
  <c r="I31" i="10"/>
  <c r="N15" i="10"/>
  <c r="H70" i="10"/>
  <c r="Q40" i="10"/>
  <c r="R81" i="10"/>
  <c r="E58" i="10"/>
  <c r="I22" i="10"/>
  <c r="P16" i="10"/>
  <c r="N33" i="10"/>
  <c r="M72" i="10"/>
  <c r="F70" i="10"/>
  <c r="I58" i="10"/>
  <c r="G63" i="10"/>
  <c r="F81" i="10"/>
  <c r="E59" i="10"/>
  <c r="H14" i="10"/>
  <c r="F43" i="10"/>
  <c r="J9" i="10"/>
  <c r="F16" i="10"/>
  <c r="P38" i="10"/>
  <c r="P8" i="10"/>
  <c r="Q52" i="10"/>
  <c r="K48" i="10"/>
  <c r="H51" i="10"/>
  <c r="F31" i="10"/>
  <c r="K42" i="10"/>
  <c r="M48" i="10"/>
  <c r="E16" i="10"/>
  <c r="H12" i="10"/>
  <c r="H19" i="10"/>
  <c r="K44" i="10"/>
  <c r="H11" i="10"/>
  <c r="H56" i="10"/>
  <c r="Q54" i="10"/>
  <c r="E3" i="10"/>
  <c r="J44" i="10"/>
  <c r="F15" i="10"/>
  <c r="E23" i="10"/>
  <c r="I14" i="10"/>
  <c r="K25" i="10"/>
  <c r="O18" i="10"/>
  <c r="H73" i="10"/>
  <c r="L51" i="10"/>
  <c r="R19" i="10"/>
  <c r="E9" i="10"/>
  <c r="T31" i="10"/>
  <c r="J46" i="10"/>
  <c r="F21" i="10"/>
  <c r="R3" i="10"/>
  <c r="N48" i="10"/>
  <c r="K53" i="10"/>
  <c r="Q15" i="10"/>
  <c r="S21" i="10"/>
  <c r="R26" i="10"/>
  <c r="H29" i="10"/>
  <c r="E53" i="10"/>
  <c r="E52" i="10"/>
  <c r="T52" i="10"/>
  <c r="J85" i="10"/>
  <c r="J41" i="10"/>
  <c r="Q12" i="10"/>
  <c r="P31" i="10"/>
  <c r="H43" i="10"/>
  <c r="J81" i="10"/>
  <c r="L21" i="10"/>
  <c r="F67" i="10"/>
  <c r="H18" i="10"/>
  <c r="O30" i="10"/>
  <c r="E60" i="10"/>
  <c r="O33" i="10"/>
  <c r="G90" i="10"/>
  <c r="R64" i="10"/>
  <c r="T24" i="10"/>
  <c r="T17" i="10"/>
  <c r="T9" i="10"/>
  <c r="E19" i="10"/>
  <c r="I71" i="10"/>
  <c r="E57" i="10"/>
  <c r="F32" i="10"/>
  <c r="S32" i="10"/>
  <c r="M40" i="10"/>
  <c r="N21" i="10"/>
  <c r="T27" i="10"/>
  <c r="G70" i="10"/>
  <c r="L23" i="10"/>
  <c r="G7" i="10"/>
  <c r="T26" i="10"/>
  <c r="T55" i="10"/>
  <c r="I32" i="10"/>
  <c r="M88" i="10"/>
  <c r="F20" i="10"/>
  <c r="T7" i="10"/>
  <c r="L32" i="10"/>
  <c r="I17" i="10"/>
  <c r="R7" i="10"/>
  <c r="R27" i="10"/>
  <c r="O46" i="10"/>
  <c r="F18" i="10"/>
  <c r="J40" i="10"/>
  <c r="J56" i="10"/>
  <c r="T41" i="10"/>
  <c r="F46" i="10"/>
  <c r="O43" i="10"/>
  <c r="J15" i="10"/>
  <c r="I16" i="10"/>
  <c r="G9" i="10"/>
  <c r="O23" i="10"/>
  <c r="H48" i="10"/>
  <c r="G25" i="10"/>
  <c r="N56" i="10"/>
  <c r="G22" i="10"/>
  <c r="M9" i="10"/>
  <c r="J13" i="10"/>
  <c r="Q20" i="10"/>
  <c r="E29" i="10"/>
  <c r="S24" i="10"/>
  <c r="I10" i="10"/>
  <c r="R13" i="10"/>
  <c r="S18" i="10"/>
  <c r="G35" i="10"/>
  <c r="E11" i="10"/>
  <c r="O5" i="10"/>
  <c r="Q25" i="10"/>
  <c r="G4" i="10"/>
  <c r="N54" i="10"/>
  <c r="J54" i="10"/>
  <c r="H24" i="10"/>
  <c r="O106" i="10"/>
  <c r="N106" i="10"/>
  <c r="P12" i="10"/>
  <c r="L11" i="10"/>
  <c r="Q60" i="10"/>
  <c r="S51" i="10"/>
  <c r="F54" i="10"/>
  <c r="F45" i="10"/>
  <c r="H57" i="10"/>
  <c r="G13" i="10"/>
  <c r="J47" i="10"/>
  <c r="M77" i="10"/>
  <c r="F49" i="10"/>
  <c r="O55" i="10"/>
  <c r="S14" i="10"/>
  <c r="J63" i="10"/>
  <c r="F102" i="10"/>
  <c r="E96" i="10"/>
  <c r="M39" i="10"/>
  <c r="F5" i="10"/>
  <c r="K24" i="10"/>
  <c r="E35" i="10"/>
  <c r="E18" i="10"/>
  <c r="G50" i="10"/>
  <c r="E41" i="10"/>
  <c r="J17" i="10"/>
  <c r="Q21" i="10"/>
  <c r="J50" i="10"/>
  <c r="K76" i="10"/>
  <c r="E5" i="10"/>
  <c r="M47" i="10"/>
  <c r="N5" i="10"/>
  <c r="K26" i="10"/>
  <c r="R14" i="10"/>
  <c r="Q23" i="10"/>
  <c r="P3" i="10"/>
  <c r="G16" i="10"/>
  <c r="R44" i="10"/>
  <c r="G23" i="10"/>
  <c r="R50" i="10"/>
  <c r="E38" i="10"/>
  <c r="H7" i="10"/>
  <c r="L27" i="10"/>
  <c r="J36" i="10"/>
  <c r="O25" i="10"/>
  <c r="J10" i="10"/>
  <c r="K7" i="10"/>
  <c r="Q58" i="10"/>
  <c r="N43" i="10"/>
  <c r="P22" i="10"/>
  <c r="H35" i="10"/>
  <c r="H31" i="10"/>
  <c r="L44" i="10"/>
  <c r="K15" i="10"/>
  <c r="G40" i="10"/>
  <c r="R55" i="10"/>
  <c r="K46" i="10"/>
  <c r="H40" i="10"/>
  <c r="P20" i="10"/>
  <c r="R53" i="10"/>
  <c r="T14" i="10"/>
  <c r="Q69" i="10"/>
  <c r="G24" i="10"/>
  <c r="G29" i="10"/>
  <c r="G3" i="10"/>
  <c r="S29" i="10"/>
  <c r="P15" i="10"/>
  <c r="O6" i="10"/>
  <c r="R25" i="10"/>
  <c r="K6" i="10"/>
  <c r="K21" i="10"/>
  <c r="K40" i="10"/>
  <c r="L58" i="10"/>
  <c r="S11" i="10"/>
  <c r="E46" i="10"/>
  <c r="E21" i="10"/>
  <c r="E17" i="10"/>
  <c r="Q49" i="10"/>
  <c r="N16" i="10"/>
  <c r="E25" i="10"/>
  <c r="J4" i="10"/>
  <c r="K31" i="10"/>
  <c r="R20" i="10"/>
  <c r="R23" i="10"/>
  <c r="N29" i="10"/>
  <c r="J57" i="10"/>
  <c r="N31" i="10"/>
  <c r="I42" i="10"/>
  <c r="Q16" i="10"/>
  <c r="S35" i="10"/>
  <c r="H52" i="10"/>
  <c r="E27" i="10"/>
  <c r="M56" i="10"/>
  <c r="H23" i="10"/>
  <c r="K79" i="10"/>
  <c r="L35" i="10"/>
  <c r="G54" i="10"/>
  <c r="P110" i="10"/>
  <c r="O95" i="10"/>
  <c r="M52" i="10"/>
  <c r="L24" i="10"/>
  <c r="L10" i="10"/>
  <c r="O40" i="10"/>
  <c r="F27" i="10"/>
  <c r="M14" i="10"/>
  <c r="F19" i="10"/>
  <c r="N55" i="10"/>
  <c r="P25" i="10"/>
  <c r="J16" i="10"/>
  <c r="O39" i="10"/>
  <c r="G27" i="10"/>
  <c r="O10" i="10"/>
  <c r="E43" i="10"/>
  <c r="H47" i="10"/>
  <c r="E20" i="10"/>
  <c r="S6" i="10"/>
  <c r="N23" i="10"/>
  <c r="E26" i="10"/>
  <c r="M4" i="10"/>
  <c r="E13" i="10"/>
  <c r="H58" i="10"/>
  <c r="T61" i="10"/>
  <c r="J21" i="10"/>
  <c r="N52" i="10"/>
  <c r="E42" i="10"/>
  <c r="T39" i="10"/>
  <c r="M50" i="10"/>
  <c r="I5" i="10"/>
  <c r="O35" i="10"/>
  <c r="R17" i="10"/>
  <c r="G53" i="10"/>
  <c r="H45" i="10"/>
  <c r="N4" i="10"/>
  <c r="S36" i="10"/>
  <c r="E12" i="10"/>
  <c r="O19" i="10"/>
  <c r="F26" i="10"/>
  <c r="G57" i="10"/>
  <c r="N34" i="10"/>
  <c r="T10" i="10"/>
  <c r="K34" i="10"/>
  <c r="F41" i="10"/>
  <c r="J93" i="10"/>
  <c r="J22" i="10"/>
  <c r="K32" i="10"/>
  <c r="R31" i="10"/>
  <c r="L20" i="10"/>
  <c r="T20" i="10"/>
  <c r="S44" i="10"/>
  <c r="T54" i="10"/>
  <c r="O84" i="10"/>
  <c r="L106" i="10"/>
  <c r="R66" i="10"/>
  <c r="F29" i="10"/>
  <c r="Q31" i="10"/>
  <c r="F53" i="10"/>
  <c r="P50" i="10"/>
  <c r="P28" i="10"/>
  <c r="I40" i="10"/>
  <c r="P19" i="10"/>
  <c r="N26" i="10"/>
  <c r="M13" i="10"/>
  <c r="M32" i="10"/>
  <c r="J49" i="10"/>
  <c r="S19" i="10"/>
  <c r="F42" i="10"/>
  <c r="S4" i="10"/>
  <c r="S7" i="10"/>
  <c r="S27" i="10"/>
  <c r="O20" i="10"/>
  <c r="L3" i="10"/>
  <c r="E24" i="10"/>
  <c r="N28" i="10"/>
  <c r="G10" i="10"/>
  <c r="S3" i="10"/>
  <c r="M20" i="10"/>
  <c r="L22" i="10"/>
  <c r="P52" i="10"/>
  <c r="S30" i="10"/>
  <c r="M28" i="10"/>
  <c r="F109" i="10"/>
  <c r="E32" i="10"/>
  <c r="T73" i="10"/>
  <c r="H30" i="10"/>
  <c r="H8" i="10"/>
  <c r="I59" i="10"/>
  <c r="Q72" i="10"/>
  <c r="P18" i="10"/>
  <c r="L56" i="10"/>
  <c r="P6" i="10"/>
  <c r="P4" i="10"/>
  <c r="J42" i="10"/>
  <c r="I38" i="10"/>
  <c r="S40" i="10"/>
  <c r="K22" i="10"/>
  <c r="M35" i="10"/>
  <c r="R35" i="10"/>
  <c r="G8" i="10"/>
  <c r="G61" i="10"/>
  <c r="J23" i="10"/>
  <c r="F28" i="10"/>
  <c r="I35" i="10"/>
  <c r="Q14" i="10"/>
  <c r="H55" i="10"/>
  <c r="O44" i="10"/>
  <c r="R54" i="10"/>
  <c r="P33" i="10"/>
  <c r="K4" i="10"/>
  <c r="T77" i="10"/>
  <c r="M92" i="10"/>
  <c r="R58" i="10"/>
  <c r="P24" i="10"/>
  <c r="L43" i="10"/>
  <c r="Q45" i="10"/>
  <c r="P46" i="10"/>
  <c r="J52" i="10"/>
  <c r="H50" i="10"/>
  <c r="J12" i="10"/>
  <c r="Q17" i="10"/>
  <c r="S25" i="10"/>
  <c r="P7" i="10"/>
  <c r="M3" i="10"/>
  <c r="F13" i="10"/>
  <c r="H21" i="10"/>
  <c r="Q34" i="10"/>
  <c r="P49" i="10"/>
  <c r="S82" i="10"/>
  <c r="H9" i="10"/>
  <c r="O78" i="10"/>
  <c r="S46" i="10"/>
  <c r="R5" i="10"/>
  <c r="S22" i="10"/>
  <c r="O26" i="10"/>
  <c r="L19" i="10"/>
  <c r="I24" i="10"/>
  <c r="T3" i="10"/>
  <c r="G47" i="10"/>
  <c r="H53" i="10"/>
  <c r="E33" i="10"/>
  <c r="F8" i="10"/>
  <c r="N36" i="10"/>
  <c r="R59" i="10"/>
  <c r="P5" i="10"/>
  <c r="Q13" i="10"/>
  <c r="L18" i="10"/>
  <c r="O59" i="10"/>
  <c r="S10" i="10"/>
  <c r="S9" i="10"/>
  <c r="I21" i="10"/>
  <c r="S84" i="10"/>
  <c r="R32" i="10"/>
  <c r="N39" i="10"/>
  <c r="I8" i="10"/>
  <c r="J66" i="10"/>
  <c r="I4" i="10"/>
  <c r="O22" i="10"/>
  <c r="O15" i="10"/>
  <c r="P39" i="10"/>
  <c r="O67" i="10"/>
  <c r="S66" i="10"/>
  <c r="T84" i="10"/>
  <c r="Q57" i="10"/>
  <c r="G20" i="10"/>
  <c r="S49" i="10"/>
  <c r="J25" i="10"/>
  <c r="M19" i="10"/>
  <c r="L34" i="10"/>
  <c r="E14" i="10"/>
  <c r="K38" i="10"/>
  <c r="F23" i="10"/>
  <c r="K12" i="10"/>
  <c r="N18" i="10"/>
  <c r="P42" i="10"/>
  <c r="J19" i="10"/>
  <c r="K13" i="10"/>
  <c r="P27" i="10"/>
  <c r="P11" i="10"/>
  <c r="I25" i="10"/>
  <c r="P66" i="10"/>
  <c r="I78" i="10"/>
  <c r="Q51" i="10"/>
  <c r="L25" i="10"/>
  <c r="M11" i="10"/>
  <c r="I9" i="10"/>
  <c r="J48" i="10"/>
  <c r="J18" i="10"/>
  <c r="M29" i="10"/>
  <c r="N51" i="10"/>
  <c r="T42" i="10"/>
  <c r="T21" i="10"/>
  <c r="T19" i="10"/>
  <c r="R48" i="10"/>
  <c r="T37" i="10"/>
  <c r="M7" i="10"/>
  <c r="I11" i="10"/>
  <c r="T13" i="10"/>
  <c r="I45" i="10"/>
  <c r="S13" i="10"/>
  <c r="R12" i="10"/>
  <c r="L14" i="10"/>
  <c r="E7" i="10"/>
  <c r="F6" i="10"/>
  <c r="I19" i="10"/>
  <c r="H20" i="10"/>
  <c r="M45" i="10"/>
  <c r="N20" i="10"/>
  <c r="G6" i="10"/>
  <c r="L84" i="10"/>
  <c r="T45" i="10"/>
  <c r="E83" i="10"/>
  <c r="S109" i="10"/>
  <c r="F39" i="10"/>
  <c r="G55" i="10"/>
  <c r="G84" i="10"/>
  <c r="S54" i="10"/>
  <c r="I44" i="10"/>
  <c r="L31" i="10"/>
  <c r="I28" i="10"/>
  <c r="F24" i="10"/>
  <c r="H44" i="10"/>
  <c r="F14" i="10"/>
  <c r="S16" i="10"/>
  <c r="G21" i="10"/>
  <c r="R8" i="10"/>
  <c r="T23" i="10"/>
  <c r="Q24" i="10"/>
  <c r="R6" i="10"/>
  <c r="L29" i="10"/>
  <c r="R9" i="10"/>
  <c r="F48" i="10"/>
  <c r="L17" i="10"/>
  <c r="H17" i="10"/>
  <c r="K36" i="10"/>
  <c r="L39" i="10"/>
  <c r="T35" i="10"/>
  <c r="N62" i="10"/>
  <c r="I18" i="10"/>
  <c r="Q81" i="10"/>
  <c r="Q36" i="10"/>
  <c r="G32" i="10"/>
  <c r="L8" i="10"/>
  <c r="L52" i="10"/>
  <c r="J45" i="10"/>
  <c r="M46" i="10"/>
  <c r="K29" i="10"/>
  <c r="G62" i="10"/>
  <c r="I7" i="10"/>
  <c r="K66" i="10"/>
  <c r="P41" i="10"/>
  <c r="R46" i="10"/>
  <c r="K86" i="10"/>
  <c r="I3" i="10"/>
  <c r="H39" i="10"/>
  <c r="M27" i="10"/>
  <c r="I23" i="10"/>
  <c r="P54" i="10"/>
  <c r="P17" i="10"/>
  <c r="M82" i="10"/>
  <c r="R30" i="10"/>
  <c r="S34" i="10"/>
  <c r="J3" i="10"/>
  <c r="G28" i="10"/>
  <c r="G26" i="10"/>
  <c r="R33" i="10"/>
  <c r="G19" i="10"/>
  <c r="O71" i="10"/>
  <c r="T106" i="10"/>
  <c r="L9" i="10"/>
  <c r="N22" i="10"/>
  <c r="R56" i="10"/>
  <c r="J8" i="10"/>
  <c r="O49" i="10"/>
  <c r="P34" i="10"/>
  <c r="M18" i="10"/>
  <c r="P69" i="10"/>
  <c r="Q6" i="10"/>
  <c r="R11" i="10"/>
  <c r="O29" i="10"/>
  <c r="T28" i="10"/>
  <c r="K20" i="10"/>
  <c r="S20" i="10"/>
  <c r="O48" i="10"/>
  <c r="S33" i="10"/>
  <c r="R24" i="10"/>
  <c r="M25" i="10"/>
  <c r="I86" i="10"/>
  <c r="R109" i="10"/>
  <c r="J26" i="10"/>
  <c r="Q3" i="10"/>
  <c r="G44" i="10"/>
  <c r="O9" i="10"/>
  <c r="F11" i="10"/>
  <c r="O17" i="10"/>
  <c r="H15" i="10"/>
  <c r="P44" i="10"/>
  <c r="J24" i="10"/>
  <c r="E47" i="10"/>
  <c r="F37" i="10"/>
  <c r="S26" i="10"/>
  <c r="Q43" i="10"/>
  <c r="L26" i="10"/>
  <c r="L53" i="10"/>
  <c r="F22" i="10"/>
  <c r="O36" i="10"/>
  <c r="Q7" i="10"/>
  <c r="P55" i="10"/>
  <c r="L15" i="10"/>
  <c r="R83" i="10"/>
  <c r="O38" i="10"/>
  <c r="E37" i="10"/>
  <c r="P26" i="10"/>
  <c r="R38" i="10"/>
  <c r="J6" i="10"/>
  <c r="H26" i="10"/>
  <c r="N9" i="10"/>
  <c r="K9" i="10"/>
  <c r="P86" i="10"/>
  <c r="T104" i="10"/>
  <c r="Q65" i="10"/>
  <c r="N14" i="10"/>
  <c r="T47" i="10"/>
  <c r="P10" i="10"/>
  <c r="O16" i="10"/>
  <c r="Q55" i="10"/>
  <c r="M34" i="10"/>
  <c r="K16" i="10"/>
  <c r="N27" i="10"/>
  <c r="L12" i="10"/>
  <c r="L45" i="10"/>
  <c r="Q10" i="10"/>
  <c r="L5" i="10"/>
  <c r="E6" i="10"/>
  <c r="J55" i="10"/>
  <c r="T65" i="10"/>
  <c r="Q38" i="10"/>
  <c r="E79" i="10"/>
  <c r="Q76" i="10"/>
  <c r="K30" i="10"/>
  <c r="G39" i="10"/>
  <c r="Q29" i="10"/>
  <c r="O31" i="10"/>
  <c r="J51" i="10"/>
  <c r="F7" i="10"/>
  <c r="P29" i="10"/>
  <c r="N44" i="10"/>
  <c r="K23" i="10"/>
  <c r="T6" i="10"/>
  <c r="T11" i="10"/>
  <c r="K43" i="10"/>
  <c r="H13" i="10"/>
  <c r="F35" i="10"/>
  <c r="J38" i="10"/>
  <c r="L30" i="10"/>
  <c r="J37" i="10"/>
  <c r="S43" i="10"/>
  <c r="M10" i="10"/>
  <c r="E48" i="10"/>
  <c r="S86" i="10"/>
  <c r="N42" i="10"/>
  <c r="E81" i="10"/>
  <c r="L13" i="10"/>
  <c r="N8" i="10"/>
  <c r="T53" i="10"/>
  <c r="M36" i="10"/>
  <c r="Q27" i="10"/>
  <c r="M41" i="10"/>
  <c r="G79" i="10"/>
  <c r="S59" i="10"/>
  <c r="M22" i="10"/>
  <c r="K11" i="10"/>
  <c r="R43" i="10"/>
  <c r="F3" i="10"/>
  <c r="T15" i="10"/>
  <c r="H32" i="10"/>
  <c r="M21" i="10"/>
  <c r="J69" i="10"/>
  <c r="L50" i="10"/>
  <c r="J11" i="10"/>
  <c r="Q19" i="10"/>
  <c r="M5" i="10"/>
  <c r="N32" i="10"/>
  <c r="J28" i="10"/>
  <c r="P43" i="10"/>
  <c r="F33" i="10"/>
  <c r="I53" i="10"/>
  <c r="G68" i="10"/>
  <c r="P51" i="10"/>
  <c r="S31" i="10"/>
  <c r="G34" i="10"/>
  <c r="N58" i="10"/>
  <c r="S56" i="10"/>
  <c r="H60" i="10"/>
  <c r="J75" i="10"/>
  <c r="N74" i="10"/>
  <c r="G71" i="10"/>
  <c r="N40" i="10"/>
  <c r="L83" i="10"/>
  <c r="J61" i="10"/>
  <c r="E102" i="10"/>
  <c r="E70" i="10"/>
  <c r="I29" i="10"/>
  <c r="T34" i="10"/>
  <c r="M44" i="10"/>
  <c r="R37" i="10"/>
  <c r="F64" i="10"/>
  <c r="E31" i="10"/>
  <c r="O87" i="10"/>
  <c r="T43" i="10"/>
  <c r="P30" i="10"/>
  <c r="J99" i="10"/>
  <c r="Q96" i="10"/>
  <c r="O113" i="10"/>
  <c r="M112" i="10"/>
  <c r="I39" i="10"/>
  <c r="P98" i="10"/>
  <c r="K105" i="10"/>
  <c r="N109" i="10"/>
  <c r="E111" i="10"/>
  <c r="H82" i="10"/>
  <c r="O13" i="10"/>
  <c r="T22" i="10"/>
  <c r="I57" i="10"/>
  <c r="M60" i="10"/>
  <c r="F10" i="10"/>
  <c r="K47" i="10"/>
  <c r="J53" i="10"/>
  <c r="Q33" i="10"/>
  <c r="S28" i="10"/>
  <c r="M37" i="10"/>
  <c r="S71" i="10"/>
  <c r="O61" i="10"/>
  <c r="R34" i="10"/>
  <c r="O42" i="10"/>
  <c r="N24" i="10"/>
  <c r="R62" i="10"/>
  <c r="P104" i="10"/>
  <c r="M73" i="10"/>
  <c r="N3" i="10"/>
  <c r="K55" i="10"/>
  <c r="L97" i="10"/>
  <c r="N25" i="10"/>
  <c r="R69" i="10"/>
  <c r="F66" i="10"/>
  <c r="S39" i="10"/>
  <c r="H71" i="10"/>
  <c r="L38" i="10"/>
  <c r="R40" i="10"/>
  <c r="S77" i="10"/>
  <c r="S55" i="10"/>
  <c r="S88" i="10"/>
  <c r="P113" i="10"/>
  <c r="R70" i="10"/>
  <c r="G82" i="10"/>
  <c r="T89" i="10"/>
  <c r="T38" i="10"/>
  <c r="T95" i="10"/>
  <c r="S63" i="10"/>
  <c r="E22" i="10"/>
  <c r="I13" i="10"/>
  <c r="O52" i="10"/>
  <c r="F44" i="10"/>
  <c r="T50" i="10"/>
  <c r="Q30" i="10"/>
  <c r="M15" i="10"/>
  <c r="Q109" i="10"/>
  <c r="S60" i="10"/>
  <c r="E85" i="10"/>
  <c r="E82" i="10"/>
  <c r="K91" i="10"/>
  <c r="I75" i="10"/>
  <c r="N72" i="10"/>
  <c r="K78" i="10"/>
  <c r="S62" i="10"/>
  <c r="K84" i="10"/>
  <c r="P62" i="10"/>
  <c r="H49" i="10"/>
  <c r="L90" i="10"/>
  <c r="E84" i="10"/>
  <c r="N85" i="10"/>
  <c r="I87" i="10"/>
  <c r="F34" i="10"/>
  <c r="T48" i="10"/>
  <c r="J91" i="10"/>
  <c r="N88" i="10"/>
  <c r="L104" i="10"/>
  <c r="Q86" i="10"/>
  <c r="K113" i="10"/>
  <c r="O57" i="10"/>
  <c r="G76" i="10"/>
  <c r="I54" i="10"/>
  <c r="G94" i="10"/>
  <c r="R36" i="10"/>
  <c r="M24" i="10"/>
  <c r="F86" i="10"/>
  <c r="O47" i="10"/>
  <c r="E30" i="10"/>
  <c r="J101" i="10"/>
  <c r="H22" i="10"/>
  <c r="S68" i="10"/>
  <c r="I100" i="10"/>
  <c r="J115" i="10"/>
  <c r="P14" i="10"/>
  <c r="O56" i="10"/>
  <c r="N41" i="10"/>
  <c r="I74" i="10"/>
  <c r="K75" i="10"/>
  <c r="P70" i="10"/>
  <c r="K18" i="10"/>
  <c r="N92" i="10"/>
  <c r="F117" i="10"/>
  <c r="K49" i="10"/>
  <c r="I30" i="10"/>
  <c r="Q5" i="10"/>
  <c r="N12" i="10"/>
  <c r="K59" i="10"/>
  <c r="F62" i="10"/>
  <c r="P59" i="10"/>
  <c r="E88" i="10"/>
  <c r="K64" i="10"/>
  <c r="T103" i="10"/>
  <c r="S61" i="10"/>
  <c r="H79" i="10"/>
  <c r="L71" i="10"/>
  <c r="O11" i="10"/>
  <c r="M12" i="10"/>
  <c r="L48" i="10"/>
  <c r="S114" i="10"/>
  <c r="K71" i="10"/>
  <c r="K69" i="10"/>
  <c r="O68" i="10"/>
  <c r="N13" i="10"/>
  <c r="E10" i="10"/>
  <c r="L54" i="10"/>
  <c r="H106" i="10"/>
  <c r="K54" i="10"/>
  <c r="O63" i="10"/>
  <c r="T83" i="10"/>
  <c r="H28" i="10"/>
  <c r="G102" i="10"/>
  <c r="N79" i="10"/>
  <c r="J77" i="10"/>
  <c r="J116" i="10"/>
  <c r="G30" i="10"/>
  <c r="K83" i="10"/>
  <c r="N83" i="10"/>
  <c r="H81" i="10"/>
  <c r="G37" i="10"/>
  <c r="H97" i="10"/>
  <c r="O53" i="10"/>
  <c r="F57" i="10"/>
  <c r="I64" i="10"/>
  <c r="P84" i="10"/>
  <c r="J100" i="10"/>
  <c r="M107" i="10"/>
  <c r="O116" i="10"/>
  <c r="O74" i="10"/>
  <c r="G80" i="10"/>
  <c r="J96" i="10"/>
  <c r="G87" i="10"/>
  <c r="O94" i="10"/>
  <c r="K80" i="10"/>
  <c r="M114" i="10"/>
  <c r="E62" i="10"/>
  <c r="K52" i="10"/>
  <c r="F40" i="10"/>
  <c r="G38" i="10"/>
  <c r="N6" i="10"/>
  <c r="M61" i="10"/>
  <c r="I61" i="10"/>
  <c r="F85" i="10"/>
  <c r="K109" i="10"/>
  <c r="G41" i="10"/>
  <c r="H62" i="10"/>
  <c r="L7" i="10"/>
  <c r="H36" i="10"/>
  <c r="O73" i="10"/>
  <c r="L49" i="10"/>
  <c r="Q102" i="10"/>
  <c r="H76" i="10"/>
  <c r="R65" i="10"/>
  <c r="F78" i="10"/>
  <c r="F74" i="10"/>
  <c r="K85" i="10"/>
  <c r="S15" i="10"/>
  <c r="R45" i="10"/>
  <c r="S50" i="10"/>
  <c r="I48" i="10"/>
  <c r="I37" i="10"/>
  <c r="S48" i="10"/>
  <c r="I66" i="10"/>
  <c r="R113" i="10"/>
  <c r="T60" i="10"/>
  <c r="I36" i="10"/>
  <c r="N46" i="10"/>
  <c r="Q46" i="10"/>
  <c r="K3" i="10"/>
  <c r="O7" i="10"/>
  <c r="G12" i="10"/>
  <c r="H54" i="10"/>
  <c r="I70" i="10"/>
  <c r="H16" i="10"/>
  <c r="N91" i="10"/>
  <c r="N82" i="10"/>
  <c r="Q18" i="10"/>
  <c r="Q44" i="10"/>
  <c r="R57" i="10"/>
  <c r="F71" i="10"/>
  <c r="O69" i="10"/>
  <c r="J71" i="10"/>
  <c r="E71" i="10"/>
  <c r="Q48" i="10"/>
  <c r="O92" i="10"/>
  <c r="O82" i="10"/>
  <c r="P48" i="10"/>
  <c r="O90" i="10"/>
  <c r="K37" i="10"/>
  <c r="G75" i="10"/>
  <c r="F83" i="10"/>
  <c r="R87" i="10"/>
  <c r="S104" i="10"/>
  <c r="R67" i="10"/>
  <c r="E66" i="10"/>
  <c r="P76" i="10"/>
  <c r="G36" i="10"/>
  <c r="T74" i="10"/>
  <c r="M110" i="10"/>
  <c r="S67" i="10"/>
  <c r="H100" i="10"/>
  <c r="H96" i="10"/>
  <c r="R88" i="10"/>
  <c r="P35" i="10"/>
  <c r="N60" i="10"/>
  <c r="J86" i="10"/>
  <c r="F94" i="10"/>
  <c r="F60" i="10"/>
  <c r="R28" i="10"/>
  <c r="F91" i="10"/>
  <c r="I46" i="10"/>
  <c r="G74" i="10"/>
  <c r="N89" i="10"/>
  <c r="N65" i="10"/>
  <c r="Q28" i="10"/>
  <c r="O41" i="10"/>
  <c r="J5" i="10"/>
  <c r="S106" i="10"/>
  <c r="J29" i="10"/>
  <c r="E49" i="10"/>
  <c r="G77" i="10"/>
  <c r="P83" i="10"/>
  <c r="K28" i="10"/>
  <c r="G42" i="10"/>
  <c r="I63" i="10"/>
  <c r="H27" i="10"/>
  <c r="L113" i="10"/>
  <c r="M84" i="10"/>
  <c r="K5" i="10"/>
  <c r="G66" i="10"/>
  <c r="Q50" i="10"/>
  <c r="Q74" i="10"/>
  <c r="I51" i="10"/>
  <c r="E28" i="10"/>
  <c r="F52" i="10"/>
  <c r="I47" i="10"/>
  <c r="T68" i="10"/>
  <c r="E105" i="10"/>
  <c r="F47" i="10"/>
  <c r="L87" i="10"/>
  <c r="G48" i="10"/>
  <c r="E64" i="10"/>
  <c r="Q59" i="10"/>
  <c r="H25" i="10"/>
  <c r="J35" i="10"/>
  <c r="O66" i="10"/>
  <c r="H61" i="10"/>
  <c r="E45" i="10"/>
  <c r="Q105" i="10"/>
  <c r="O115" i="10"/>
  <c r="Q26" i="10"/>
  <c r="E50" i="10"/>
  <c r="H103" i="10"/>
  <c r="T66" i="10"/>
  <c r="N66" i="10"/>
  <c r="I41" i="10"/>
  <c r="S76" i="10"/>
  <c r="M17" i="10"/>
  <c r="N63" i="10"/>
  <c r="G105" i="10"/>
  <c r="G58" i="10"/>
  <c r="N110" i="10"/>
  <c r="L36" i="10"/>
  <c r="S57" i="10"/>
  <c r="F112" i="10"/>
  <c r="E112" i="10"/>
  <c r="O80" i="10"/>
  <c r="T96" i="10"/>
  <c r="I99" i="10"/>
  <c r="T29" i="10"/>
  <c r="J7" i="10"/>
  <c r="F77" i="10"/>
  <c r="M90" i="10"/>
  <c r="L107" i="10"/>
  <c r="L77" i="10"/>
  <c r="T79" i="10"/>
  <c r="J32" i="10"/>
  <c r="N97" i="10"/>
  <c r="G33" i="10"/>
  <c r="K67" i="10"/>
  <c r="T118" i="10"/>
  <c r="S85" i="10"/>
  <c r="R79" i="10"/>
  <c r="P32" i="10"/>
  <c r="N75" i="10"/>
  <c r="I116" i="10"/>
  <c r="P95" i="10"/>
  <c r="E103" i="10"/>
  <c r="N67" i="10"/>
  <c r="Q94" i="10"/>
  <c r="P65" i="10"/>
  <c r="E4" i="10"/>
  <c r="I15" i="10"/>
  <c r="R77" i="10"/>
  <c r="S53" i="10"/>
  <c r="P53" i="10"/>
  <c r="L28" i="10"/>
  <c r="P72" i="10"/>
  <c r="Q42" i="10"/>
  <c r="P21" i="10"/>
  <c r="S41" i="10"/>
  <c r="T90" i="10"/>
  <c r="F75" i="10"/>
  <c r="N37" i="10"/>
  <c r="G18" i="10"/>
  <c r="H5" i="10"/>
  <c r="O65" i="10"/>
  <c r="O110" i="10"/>
  <c r="M31" i="10"/>
  <c r="P56" i="10"/>
  <c r="K19" i="10"/>
  <c r="L81" i="10"/>
  <c r="F111" i="10"/>
  <c r="L57" i="10"/>
  <c r="O14" i="10"/>
  <c r="G106" i="10"/>
  <c r="N50" i="10"/>
  <c r="K8" i="10"/>
  <c r="I50" i="10"/>
  <c r="H3" i="10"/>
  <c r="H65" i="10"/>
  <c r="S5" i="10"/>
  <c r="E100" i="10"/>
  <c r="N35" i="10"/>
  <c r="T62" i="10"/>
  <c r="L80" i="10"/>
  <c r="R91" i="10"/>
  <c r="J30" i="10"/>
  <c r="L85" i="10"/>
  <c r="I85" i="10"/>
  <c r="S74" i="10"/>
  <c r="J73" i="10"/>
  <c r="J70" i="10"/>
  <c r="M30" i="10"/>
  <c r="T25" i="10"/>
  <c r="T40" i="10"/>
  <c r="H90" i="10"/>
  <c r="P58" i="10"/>
  <c r="S8" i="10"/>
  <c r="O27" i="10"/>
  <c r="H80" i="10"/>
  <c r="I83" i="10"/>
  <c r="P85" i="10"/>
  <c r="M89" i="10"/>
  <c r="L101" i="10"/>
  <c r="E113" i="10"/>
  <c r="T72" i="10"/>
  <c r="M33" i="10"/>
  <c r="O37" i="10"/>
  <c r="S80" i="10"/>
  <c r="M42" i="10"/>
  <c r="Q100" i="10"/>
  <c r="Q85" i="10"/>
  <c r="K97" i="10"/>
  <c r="M98" i="10"/>
  <c r="E107" i="10"/>
  <c r="O88" i="10"/>
  <c r="J87" i="10"/>
  <c r="P73" i="10"/>
  <c r="L79" i="10"/>
  <c r="L4" i="10"/>
  <c r="M79" i="10"/>
  <c r="E80" i="10"/>
  <c r="T64" i="10"/>
  <c r="T56" i="10"/>
  <c r="T92" i="10"/>
  <c r="I95" i="10"/>
  <c r="R99" i="10"/>
  <c r="P71" i="10"/>
  <c r="F96" i="10"/>
  <c r="F50" i="10"/>
  <c r="K17" i="10"/>
  <c r="Q4" i="10"/>
  <c r="K10" i="10"/>
  <c r="N95" i="10"/>
  <c r="Q32" i="10"/>
  <c r="J76" i="10"/>
  <c r="T49" i="10"/>
  <c r="F59" i="10"/>
  <c r="O51" i="10"/>
  <c r="T30" i="10"/>
  <c r="Q64" i="10"/>
  <c r="S75" i="10"/>
  <c r="Q37" i="10"/>
  <c r="Q35" i="10"/>
  <c r="O24" i="10"/>
  <c r="L6" i="10"/>
  <c r="J31" i="10"/>
  <c r="E116" i="10"/>
  <c r="O104" i="10"/>
  <c r="P108" i="10"/>
  <c r="G52" i="10"/>
  <c r="E56" i="10"/>
  <c r="L70" i="10"/>
  <c r="N47" i="10"/>
  <c r="H10" i="10"/>
  <c r="O32" i="10"/>
  <c r="S45" i="10"/>
  <c r="H64" i="10"/>
  <c r="J39" i="10"/>
  <c r="M53" i="10"/>
  <c r="S17" i="10"/>
  <c r="E36" i="10"/>
  <c r="N38" i="10"/>
  <c r="G51" i="10"/>
  <c r="E8" i="10"/>
  <c r="M75" i="10"/>
  <c r="Q22" i="10"/>
  <c r="P45" i="10"/>
  <c r="T99" i="10"/>
  <c r="R71" i="10"/>
  <c r="O4" i="10"/>
  <c r="P78" i="10"/>
  <c r="J65" i="10"/>
  <c r="J33" i="10"/>
  <c r="R29" i="10"/>
  <c r="I76" i="10"/>
  <c r="J64" i="10"/>
  <c r="Q67" i="10"/>
  <c r="O62" i="10"/>
  <c r="G78" i="10"/>
  <c r="S38" i="10"/>
  <c r="E99" i="10"/>
  <c r="Q75" i="10"/>
  <c r="R95" i="10"/>
  <c r="Q95" i="10"/>
  <c r="M106" i="10"/>
  <c r="S83" i="10"/>
  <c r="F80" i="10"/>
  <c r="L33" i="10"/>
  <c r="S78" i="10"/>
  <c r="N87" i="10"/>
  <c r="L99" i="10"/>
  <c r="K60" i="10"/>
  <c r="S89" i="10"/>
  <c r="H118" i="10"/>
  <c r="P102" i="10"/>
  <c r="J83" i="10"/>
  <c r="I20" i="10"/>
  <c r="M38" i="10"/>
  <c r="G43" i="10"/>
  <c r="H84" i="10"/>
  <c r="K112" i="10"/>
  <c r="P80" i="10"/>
  <c r="M96" i="10"/>
  <c r="E77" i="10"/>
  <c r="L82" i="10"/>
  <c r="M103" i="10"/>
  <c r="K90" i="10"/>
  <c r="N90" i="10"/>
  <c r="F51" i="10"/>
  <c r="L55" i="10"/>
  <c r="N11" i="10"/>
  <c r="G110" i="10"/>
  <c r="P40" i="10"/>
  <c r="P101" i="10"/>
  <c r="R41" i="10"/>
  <c r="L103" i="10"/>
  <c r="G69" i="10"/>
  <c r="O21" i="10"/>
  <c r="K62" i="10"/>
  <c r="P63" i="10"/>
  <c r="E54" i="10"/>
  <c r="J27" i="10"/>
  <c r="M23" i="10"/>
  <c r="J34" i="10"/>
  <c r="T80" i="10"/>
  <c r="J107" i="10"/>
  <c r="Q77" i="10"/>
  <c r="M71" i="10"/>
  <c r="S12" i="10"/>
  <c r="H92" i="10"/>
  <c r="G5" i="10"/>
  <c r="L37" i="10"/>
  <c r="O12" i="10"/>
  <c r="L42" i="10"/>
  <c r="J88" i="10"/>
  <c r="N99" i="10"/>
  <c r="T75" i="10"/>
  <c r="N114" i="10"/>
  <c r="T58" i="10"/>
  <c r="M51" i="10"/>
  <c r="T4" i="10"/>
  <c r="Q39" i="10"/>
  <c r="O100" i="10"/>
  <c r="T44" i="10"/>
  <c r="I55" i="10"/>
  <c r="R52" i="10"/>
  <c r="R4" i="10"/>
  <c r="M102" i="10"/>
  <c r="G81" i="10"/>
  <c r="I26" i="10"/>
  <c r="R111" i="10"/>
  <c r="J58" i="10"/>
  <c r="M78" i="10"/>
  <c r="T82" i="10"/>
  <c r="E86" i="10"/>
  <c r="H77" i="10"/>
  <c r="G46" i="10"/>
  <c r="L78" i="10"/>
  <c r="H85" i="10"/>
  <c r="G117" i="10"/>
  <c r="K88" i="10"/>
  <c r="M91" i="10"/>
  <c r="P64" i="10"/>
  <c r="G45" i="10"/>
  <c r="R15" i="10"/>
  <c r="T57" i="10"/>
  <c r="O85" i="10"/>
  <c r="N103" i="10"/>
  <c r="N61" i="10"/>
  <c r="M116" i="10"/>
  <c r="Q61" i="10"/>
  <c r="H66" i="10"/>
  <c r="K45" i="10"/>
  <c r="S115" i="10"/>
  <c r="E44" i="10"/>
  <c r="Q66" i="10"/>
  <c r="F98" i="10"/>
  <c r="S100" i="10"/>
  <c r="Q110" i="10"/>
  <c r="K74" i="10"/>
  <c r="E74" i="10"/>
  <c r="I60" i="10"/>
  <c r="K96" i="10"/>
  <c r="Q111" i="10"/>
  <c r="K104" i="10"/>
  <c r="H33" i="10"/>
  <c r="I6" i="10"/>
  <c r="P57" i="10"/>
  <c r="T46" i="10"/>
  <c r="F79" i="10"/>
  <c r="M86" i="10"/>
  <c r="K68" i="10"/>
  <c r="N7" i="10"/>
  <c r="P23" i="10"/>
  <c r="G59" i="10"/>
  <c r="K56" i="10"/>
  <c r="F30" i="10"/>
  <c r="R39" i="10"/>
  <c r="G49" i="10"/>
  <c r="O50" i="10"/>
  <c r="E65" i="10"/>
  <c r="N78" i="10"/>
  <c r="J67" i="10"/>
  <c r="R78" i="10"/>
  <c r="E15" i="10"/>
  <c r="O86" i="10"/>
  <c r="M43" i="10"/>
  <c r="E51" i="10"/>
  <c r="F25" i="10"/>
  <c r="G15" i="10"/>
  <c r="N80" i="10"/>
  <c r="P87" i="10"/>
  <c r="S112" i="10"/>
  <c r="E109" i="10"/>
  <c r="Q11" i="10"/>
  <c r="M55" i="10"/>
  <c r="S37" i="10"/>
  <c r="O54" i="10"/>
  <c r="E68" i="10"/>
  <c r="O45" i="10"/>
  <c r="E40" i="10"/>
  <c r="R10" i="10"/>
  <c r="T33" i="10"/>
  <c r="T16" i="10"/>
  <c r="R82" i="10"/>
  <c r="P92" i="10"/>
  <c r="J43" i="10"/>
  <c r="I77" i="10"/>
  <c r="T36" i="10"/>
  <c r="N76" i="10"/>
  <c r="O28" i="10"/>
  <c r="N49" i="10"/>
  <c r="F87" i="10"/>
  <c r="H83" i="10"/>
  <c r="E101" i="10"/>
  <c r="P61" i="10"/>
  <c r="P79" i="10"/>
  <c r="Q73" i="10"/>
  <c r="I79" i="10"/>
  <c r="G97" i="10"/>
  <c r="L117" i="10"/>
  <c r="L86" i="10"/>
  <c r="P75" i="10"/>
  <c r="R18" i="10"/>
  <c r="J72" i="10"/>
  <c r="P81" i="10"/>
  <c r="S94" i="10"/>
  <c r="M101" i="10"/>
  <c r="G56" i="10"/>
  <c r="F92" i="10"/>
  <c r="F88" i="10"/>
  <c r="S42" i="10"/>
  <c r="K58" i="10"/>
  <c r="E72" i="10"/>
  <c r="K33" i="10"/>
  <c r="T100" i="10"/>
  <c r="G98" i="10"/>
  <c r="F63" i="10"/>
  <c r="T85" i="10"/>
  <c r="S72" i="10"/>
  <c r="J62" i="10"/>
  <c r="E67" i="10"/>
  <c r="S91" i="10"/>
  <c r="G72" i="10"/>
  <c r="L76" i="10"/>
  <c r="L88" i="10"/>
  <c r="Q114" i="10"/>
  <c r="H59" i="10"/>
  <c r="N102" i="10"/>
  <c r="M83" i="10"/>
  <c r="R47" i="10"/>
  <c r="M26" i="10"/>
  <c r="Q99" i="10"/>
  <c r="T111" i="10"/>
  <c r="F104" i="10"/>
  <c r="H109" i="10"/>
  <c r="R72" i="10"/>
  <c r="J89" i="10"/>
  <c r="S73" i="10"/>
  <c r="H37" i="10"/>
  <c r="E69" i="10"/>
  <c r="O58" i="10"/>
  <c r="O81" i="10"/>
  <c r="E93" i="10"/>
  <c r="H112" i="10"/>
  <c r="L75" i="10"/>
  <c r="N30" i="10"/>
  <c r="K41" i="10"/>
  <c r="N118" i="10"/>
  <c r="J94" i="10"/>
  <c r="F107" i="10"/>
  <c r="E98" i="10"/>
  <c r="H114" i="10"/>
  <c r="J105" i="10"/>
  <c r="E92" i="10"/>
  <c r="E89" i="10"/>
  <c r="I102" i="10"/>
  <c r="S146" i="10"/>
  <c r="T101" i="10"/>
  <c r="L116" i="10"/>
  <c r="E61" i="10"/>
  <c r="P88" i="10"/>
  <c r="P60" i="10"/>
  <c r="F61" i="10"/>
  <c r="I69" i="10"/>
  <c r="F90" i="10"/>
  <c r="S102" i="10"/>
  <c r="M85" i="10"/>
  <c r="I101" i="10"/>
  <c r="L47" i="10"/>
  <c r="K14" i="10"/>
  <c r="L91" i="10"/>
  <c r="Q98" i="10"/>
  <c r="E73" i="10"/>
  <c r="I93" i="10"/>
  <c r="H111" i="10"/>
  <c r="Q116" i="10"/>
  <c r="H63" i="10"/>
  <c r="O72" i="10"/>
  <c r="P37" i="10"/>
  <c r="F4" i="10"/>
  <c r="P107" i="10"/>
  <c r="K89" i="10"/>
  <c r="F95" i="10"/>
  <c r="E91" i="10"/>
  <c r="G85" i="10"/>
  <c r="P74" i="10"/>
  <c r="I12" i="10"/>
  <c r="S96" i="10"/>
  <c r="M81" i="10"/>
  <c r="E63" i="10"/>
  <c r="M6" i="10"/>
  <c r="R42" i="10"/>
  <c r="Q53" i="10"/>
  <c r="L40" i="10"/>
  <c r="T67" i="10"/>
  <c r="O114" i="10"/>
  <c r="Q115" i="10"/>
  <c r="Q91" i="10"/>
  <c r="Q108" i="10"/>
  <c r="R116" i="10"/>
  <c r="S92" i="10"/>
  <c r="I113" i="10"/>
  <c r="M111" i="10"/>
  <c r="R102" i="10"/>
  <c r="S105" i="10"/>
  <c r="G131" i="10"/>
  <c r="M95" i="10"/>
  <c r="G65" i="10"/>
  <c r="T71" i="10"/>
  <c r="R73" i="10"/>
  <c r="I94" i="10"/>
  <c r="K120" i="10"/>
  <c r="T108" i="10"/>
  <c r="I96" i="10"/>
  <c r="R63" i="10"/>
  <c r="O70" i="10"/>
  <c r="L118" i="10"/>
  <c r="I109" i="10"/>
  <c r="G161" i="10"/>
  <c r="R110" i="10"/>
  <c r="T86" i="10"/>
  <c r="J113" i="10"/>
  <c r="P109" i="10"/>
  <c r="E108" i="10"/>
  <c r="E34" i="10"/>
  <c r="P99" i="10"/>
  <c r="R84" i="10"/>
  <c r="S101" i="10"/>
  <c r="J78" i="10"/>
  <c r="H78" i="10"/>
  <c r="H99" i="10"/>
  <c r="T102" i="10"/>
  <c r="M97" i="10"/>
  <c r="F56" i="10"/>
  <c r="J79" i="10"/>
  <c r="H42" i="10"/>
  <c r="I27" i="10"/>
  <c r="Q83" i="10"/>
  <c r="K102" i="10"/>
  <c r="J98" i="10"/>
  <c r="J84" i="10"/>
  <c r="R16" i="10"/>
  <c r="K50" i="10"/>
  <c r="M70" i="10"/>
  <c r="N116" i="10"/>
  <c r="G107" i="10"/>
  <c r="Q107" i="10"/>
  <c r="F58" i="10"/>
  <c r="E39" i="10"/>
  <c r="R76" i="10"/>
  <c r="M8" i="10"/>
  <c r="R97" i="10"/>
  <c r="G89" i="10"/>
  <c r="N93" i="10"/>
  <c r="I110" i="10"/>
  <c r="K94" i="10"/>
  <c r="O77" i="10"/>
  <c r="T70" i="10"/>
  <c r="N105" i="10"/>
  <c r="K77" i="10"/>
  <c r="F105" i="10"/>
  <c r="N115" i="10"/>
  <c r="L94" i="10"/>
  <c r="G118" i="10"/>
  <c r="F116" i="10"/>
  <c r="N70" i="10"/>
  <c r="S116" i="10"/>
  <c r="H113" i="10"/>
  <c r="F115" i="10"/>
  <c r="K99" i="10"/>
  <c r="G92" i="10"/>
  <c r="N71" i="10"/>
  <c r="H94" i="10"/>
  <c r="I92" i="10"/>
  <c r="J112" i="10"/>
  <c r="P103" i="10"/>
  <c r="L115" i="10"/>
  <c r="O101" i="10"/>
  <c r="Q90" i="10"/>
  <c r="S69" i="10"/>
  <c r="P111" i="10"/>
  <c r="T116" i="10"/>
  <c r="I106" i="10"/>
  <c r="R92" i="10"/>
  <c r="J106" i="10"/>
  <c r="P93" i="10"/>
  <c r="I103" i="10"/>
  <c r="K100" i="10"/>
  <c r="Q89" i="10"/>
  <c r="S23" i="10"/>
  <c r="G67" i="10"/>
  <c r="K51" i="10"/>
  <c r="L73" i="10"/>
  <c r="R89" i="10"/>
  <c r="Q56" i="10"/>
  <c r="J104" i="10"/>
  <c r="M59" i="10"/>
  <c r="F73" i="10"/>
  <c r="N53" i="10"/>
  <c r="H34" i="10"/>
  <c r="L111" i="10"/>
  <c r="I91" i="10"/>
  <c r="P96" i="10"/>
  <c r="G101" i="10"/>
  <c r="F106" i="10"/>
  <c r="R74" i="10"/>
  <c r="K82" i="10"/>
  <c r="M115" i="10"/>
  <c r="R80" i="10"/>
  <c r="K130" i="10"/>
  <c r="G164" i="10"/>
  <c r="E55" i="10"/>
  <c r="G115" i="10"/>
  <c r="T87" i="10"/>
  <c r="T109" i="10"/>
  <c r="N64" i="10"/>
  <c r="K160" i="10"/>
  <c r="Q118" i="10"/>
  <c r="N100" i="10"/>
  <c r="O97" i="10"/>
  <c r="H105" i="10"/>
  <c r="L96" i="10"/>
  <c r="Q87" i="10"/>
  <c r="O108" i="10"/>
  <c r="M74" i="10"/>
  <c r="G116" i="10"/>
  <c r="P115" i="10"/>
  <c r="N132" i="10"/>
  <c r="H117" i="10"/>
  <c r="H89" i="10"/>
  <c r="J111" i="10"/>
  <c r="N98" i="10"/>
  <c r="R90" i="10"/>
  <c r="K107" i="10"/>
  <c r="Q113" i="10"/>
  <c r="H74" i="10"/>
  <c r="S81" i="10"/>
  <c r="N57" i="10"/>
  <c r="M16" i="10"/>
  <c r="R96" i="10"/>
  <c r="M108" i="10"/>
  <c r="J95" i="10"/>
  <c r="L105" i="10"/>
  <c r="F69" i="10"/>
  <c r="S87" i="10"/>
  <c r="S70" i="10"/>
  <c r="T94" i="10"/>
  <c r="Q78" i="10"/>
  <c r="P77" i="10"/>
  <c r="E78" i="10"/>
  <c r="R21" i="10"/>
  <c r="H115" i="10"/>
  <c r="Q47" i="10"/>
  <c r="O34" i="10"/>
  <c r="Q62" i="10"/>
  <c r="R105" i="10"/>
  <c r="P112" i="10"/>
  <c r="H38" i="10"/>
  <c r="R85" i="10"/>
  <c r="J82" i="10"/>
  <c r="R94" i="10"/>
  <c r="J59" i="10"/>
  <c r="T112" i="10"/>
  <c r="H86" i="10"/>
  <c r="R75" i="10"/>
  <c r="E94" i="10"/>
  <c r="K57" i="10"/>
  <c r="Q82" i="10"/>
  <c r="T78" i="10"/>
  <c r="P90" i="10"/>
  <c r="O112" i="10"/>
  <c r="R107" i="10"/>
  <c r="G73" i="10"/>
  <c r="L100" i="10"/>
  <c r="P91" i="10"/>
  <c r="N96" i="10"/>
  <c r="G100" i="10"/>
  <c r="S98" i="10"/>
  <c r="F101" i="10"/>
  <c r="H67" i="10"/>
  <c r="I49" i="10"/>
  <c r="R51" i="10"/>
  <c r="J102" i="10"/>
  <c r="I90" i="10"/>
  <c r="J92" i="10"/>
  <c r="O89" i="10"/>
  <c r="O79" i="10"/>
  <c r="L41" i="10"/>
  <c r="S47" i="10"/>
  <c r="T59" i="10"/>
  <c r="L72" i="10"/>
  <c r="I81" i="10"/>
  <c r="R115" i="10"/>
  <c r="R60" i="10"/>
  <c r="I67" i="10"/>
  <c r="P36" i="10"/>
  <c r="L74" i="10"/>
  <c r="N59" i="10"/>
  <c r="F84" i="10"/>
  <c r="N112" i="10"/>
  <c r="K101" i="10"/>
  <c r="J108" i="10"/>
  <c r="N68" i="10"/>
  <c r="F76" i="10"/>
  <c r="L59" i="10"/>
  <c r="F82" i="10"/>
  <c r="F72" i="10"/>
  <c r="G86" i="10"/>
  <c r="N84" i="10"/>
  <c r="K73" i="10"/>
  <c r="K108" i="10"/>
  <c r="I111" i="10"/>
  <c r="L93" i="10"/>
  <c r="H116" i="10"/>
  <c r="H108" i="10"/>
  <c r="H133" i="10"/>
  <c r="K110" i="10"/>
  <c r="L89" i="10"/>
  <c r="O64" i="10"/>
  <c r="Q93" i="10"/>
  <c r="J109" i="10"/>
  <c r="F182" i="10"/>
  <c r="R118" i="10"/>
  <c r="N120" i="10"/>
  <c r="Q84" i="10"/>
  <c r="K111" i="10"/>
  <c r="T76" i="10"/>
  <c r="I34" i="10"/>
  <c r="R49" i="10"/>
  <c r="N73" i="10"/>
  <c r="L61" i="10"/>
  <c r="S118" i="10"/>
  <c r="F36" i="10"/>
  <c r="Q101" i="10"/>
  <c r="P89" i="10"/>
  <c r="K103" i="10"/>
  <c r="J80" i="10"/>
  <c r="E87" i="10"/>
  <c r="N101" i="10"/>
  <c r="R103" i="10"/>
  <c r="G111" i="10"/>
  <c r="H69" i="10"/>
  <c r="K39" i="10"/>
  <c r="H68" i="10"/>
  <c r="Q80" i="10"/>
  <c r="M80" i="10"/>
  <c r="M76" i="10"/>
  <c r="L109" i="10"/>
  <c r="G31" i="10"/>
  <c r="Q88" i="10"/>
  <c r="G83" i="10"/>
  <c r="Q71" i="10"/>
  <c r="I98" i="10"/>
  <c r="F97" i="10"/>
  <c r="S111" i="10"/>
  <c r="S108" i="10"/>
  <c r="J68" i="10"/>
  <c r="G109" i="10"/>
  <c r="O96" i="10"/>
  <c r="P82" i="10"/>
  <c r="L110" i="10"/>
  <c r="O83" i="10"/>
  <c r="F113" i="10"/>
  <c r="S163" i="10"/>
  <c r="P114" i="10"/>
  <c r="G114" i="10"/>
  <c r="S110" i="10"/>
  <c r="O76" i="10"/>
  <c r="E97" i="10"/>
  <c r="Q146" i="10"/>
  <c r="I155" i="10"/>
  <c r="T98" i="10"/>
  <c r="S64" i="10"/>
  <c r="I62" i="10"/>
  <c r="H41" i="10"/>
  <c r="H46" i="10"/>
  <c r="P68" i="10"/>
  <c r="H119" i="10"/>
  <c r="H88" i="10"/>
  <c r="J60" i="10"/>
  <c r="I108" i="10"/>
  <c r="I72" i="10"/>
  <c r="G112" i="10"/>
  <c r="F93" i="10"/>
  <c r="I73" i="10"/>
  <c r="Q106" i="10"/>
  <c r="K72" i="10"/>
  <c r="T93" i="10"/>
  <c r="Q92" i="10"/>
  <c r="Q41" i="10"/>
  <c r="I56" i="10"/>
  <c r="N77" i="10"/>
  <c r="N81" i="10"/>
  <c r="F89" i="10"/>
  <c r="M87" i="10"/>
  <c r="N45" i="10"/>
  <c r="T51" i="10"/>
  <c r="G88" i="10"/>
  <c r="I115" i="10"/>
  <c r="H107" i="10"/>
  <c r="E76" i="10"/>
  <c r="R112" i="10"/>
  <c r="G104" i="10"/>
  <c r="M104" i="10"/>
  <c r="I105" i="10"/>
  <c r="I130" i="10"/>
  <c r="S95" i="10"/>
  <c r="T97" i="10"/>
  <c r="O117" i="10"/>
  <c r="J74" i="10"/>
  <c r="E75" i="10"/>
  <c r="T69" i="10"/>
  <c r="Q158" i="10"/>
  <c r="R101" i="10"/>
  <c r="Q70" i="10"/>
  <c r="G126" i="10"/>
  <c r="T88" i="10"/>
  <c r="I82" i="10"/>
  <c r="I119" i="10"/>
  <c r="L112" i="10"/>
  <c r="K114" i="10"/>
  <c r="F100" i="10"/>
  <c r="S103" i="10"/>
  <c r="F68" i="10"/>
  <c r="F118" i="10"/>
  <c r="O105" i="10"/>
  <c r="E115" i="10"/>
  <c r="L92" i="10"/>
  <c r="S93" i="10"/>
  <c r="E95" i="10"/>
  <c r="T115" i="10"/>
  <c r="K118" i="10"/>
  <c r="I84" i="10"/>
  <c r="I118" i="10"/>
  <c r="N86" i="10"/>
  <c r="I68" i="10"/>
  <c r="G146" i="10"/>
  <c r="G93" i="10"/>
  <c r="I107" i="10"/>
  <c r="F99" i="10"/>
  <c r="R108" i="10"/>
  <c r="R114" i="10"/>
  <c r="Q104" i="10"/>
  <c r="H156" i="10"/>
  <c r="J121" i="10"/>
  <c r="J117" i="10"/>
  <c r="J149" i="10"/>
  <c r="L95" i="10"/>
  <c r="K65" i="10"/>
  <c r="T91" i="10"/>
  <c r="I80" i="10"/>
  <c r="G113" i="10"/>
  <c r="L161" i="10"/>
  <c r="M94" i="10"/>
  <c r="O111" i="10"/>
  <c r="N94" i="10"/>
  <c r="N111" i="10"/>
  <c r="E176" i="10"/>
  <c r="K81" i="10"/>
  <c r="P97" i="10"/>
  <c r="L132" i="10"/>
  <c r="O107" i="10"/>
  <c r="R117" i="10"/>
  <c r="K93" i="10"/>
  <c r="M57" i="10"/>
  <c r="F146" i="10"/>
  <c r="O177" i="10"/>
  <c r="O182" i="10"/>
  <c r="S139" i="10"/>
  <c r="G95" i="10"/>
  <c r="I65" i="10"/>
  <c r="L114" i="10"/>
  <c r="S97" i="10"/>
  <c r="O99" i="10"/>
  <c r="H101" i="10"/>
  <c r="P100" i="10"/>
  <c r="E104" i="10"/>
  <c r="J114" i="10"/>
  <c r="O91" i="10"/>
  <c r="M109" i="10"/>
  <c r="F110" i="10"/>
  <c r="M117" i="10"/>
  <c r="F103" i="10"/>
  <c r="H75" i="10"/>
  <c r="K70" i="10"/>
  <c r="N157" i="10"/>
  <c r="H141" i="10"/>
  <c r="S113" i="10"/>
  <c r="R146" i="10"/>
  <c r="S2" i="10"/>
  <c r="M146" i="10"/>
  <c r="O119" i="10"/>
  <c r="H147" i="10"/>
  <c r="M93" i="10"/>
  <c r="I146" i="10"/>
  <c r="J97" i="10"/>
  <c r="K98" i="10"/>
  <c r="E90" i="10"/>
  <c r="G91" i="10"/>
  <c r="L108" i="10"/>
  <c r="T81" i="10"/>
  <c r="O103" i="10"/>
  <c r="Q117" i="10"/>
  <c r="R93" i="10"/>
  <c r="Q103" i="10"/>
  <c r="S117" i="10"/>
  <c r="I112" i="10"/>
  <c r="H146" i="10"/>
  <c r="H98" i="10"/>
  <c r="E114" i="10"/>
  <c r="R106" i="10"/>
  <c r="K61" i="10"/>
  <c r="H72" i="10"/>
  <c r="T105" i="10"/>
  <c r="M119" i="10"/>
  <c r="N165" i="10"/>
  <c r="R132" i="10"/>
  <c r="O102" i="10"/>
  <c r="L146" i="10"/>
  <c r="H159" i="10"/>
  <c r="O118" i="10"/>
  <c r="N160" i="10"/>
  <c r="O172" i="10"/>
  <c r="M124" i="10"/>
  <c r="J145" i="10"/>
  <c r="O2" i="10"/>
  <c r="R98" i="10"/>
  <c r="Q112" i="10"/>
  <c r="T107" i="10"/>
  <c r="P106" i="10"/>
  <c r="T142" i="10"/>
  <c r="O60" i="10"/>
  <c r="N117" i="10"/>
  <c r="J142" i="10"/>
  <c r="K63" i="10"/>
  <c r="N108" i="10"/>
  <c r="H110" i="10"/>
  <c r="N146" i="10"/>
  <c r="M142" i="10"/>
  <c r="H91" i="10"/>
  <c r="I97" i="10"/>
  <c r="G64" i="10"/>
  <c r="S99" i="10"/>
  <c r="E117" i="10"/>
  <c r="N182" i="10"/>
  <c r="G133" i="10"/>
  <c r="K92" i="10"/>
  <c r="R145" i="10"/>
  <c r="P118" i="10"/>
  <c r="O150" i="10"/>
  <c r="P116" i="10"/>
  <c r="R86" i="10"/>
  <c r="H120" i="10"/>
  <c r="E110" i="10"/>
  <c r="R61" i="10"/>
  <c r="N107" i="10"/>
  <c r="F108" i="10"/>
  <c r="I129" i="10"/>
  <c r="P105" i="10"/>
  <c r="K125" i="10"/>
  <c r="P67" i="10"/>
  <c r="Q130" i="10"/>
  <c r="R104" i="10"/>
  <c r="K119" i="10"/>
  <c r="L98" i="10"/>
  <c r="O93" i="10"/>
  <c r="K95" i="10"/>
  <c r="T146" i="10"/>
  <c r="S107" i="10"/>
  <c r="S120" i="10"/>
  <c r="F122" i="10"/>
  <c r="P150" i="10"/>
  <c r="P94" i="10"/>
  <c r="Q120" i="10"/>
  <c r="R2" i="10"/>
  <c r="T119" i="10"/>
  <c r="O154" i="10"/>
  <c r="I161" i="10"/>
  <c r="O98" i="10"/>
  <c r="T140" i="10"/>
  <c r="S65" i="10"/>
  <c r="Q97" i="10"/>
  <c r="M58" i="10"/>
  <c r="E118" i="10"/>
  <c r="J110" i="10"/>
  <c r="T110" i="10"/>
  <c r="P117" i="10"/>
  <c r="S79" i="10"/>
  <c r="G137" i="10"/>
  <c r="M177" i="10"/>
  <c r="N104" i="10"/>
  <c r="H104" i="10"/>
  <c r="G96" i="10"/>
  <c r="K115" i="10"/>
  <c r="M100" i="10"/>
  <c r="J128" i="10"/>
  <c r="J146" i="10"/>
  <c r="R100" i="10"/>
  <c r="F153" i="10"/>
  <c r="R138" i="10"/>
  <c r="T113" i="10"/>
  <c r="S136" i="10"/>
  <c r="P134" i="10"/>
  <c r="P141" i="10"/>
  <c r="R167" i="10"/>
  <c r="K87" i="10"/>
  <c r="M148" i="10"/>
  <c r="R141" i="10"/>
  <c r="T63" i="10"/>
  <c r="O75" i="10"/>
  <c r="L60" i="10"/>
  <c r="F114" i="10"/>
  <c r="H102" i="10"/>
  <c r="R68" i="10"/>
  <c r="L102" i="10"/>
  <c r="F65" i="10"/>
  <c r="T117" i="10"/>
  <c r="I114" i="10"/>
  <c r="N170" i="10"/>
  <c r="I89" i="10"/>
  <c r="M113" i="10"/>
  <c r="G108" i="10"/>
  <c r="H95" i="10"/>
  <c r="I104" i="10"/>
  <c r="M157" i="10"/>
  <c r="H93" i="10"/>
  <c r="J90" i="10"/>
  <c r="G166" i="10"/>
  <c r="J118" i="10"/>
  <c r="P133" i="10"/>
  <c r="F2" i="10"/>
  <c r="E123" i="10"/>
  <c r="H180" i="10"/>
  <c r="J137" i="10"/>
  <c r="J103" i="10"/>
  <c r="H126" i="10"/>
  <c r="M99" i="10"/>
  <c r="L120" i="10"/>
  <c r="E136" i="10"/>
  <c r="I166" i="10"/>
  <c r="E127" i="10"/>
  <c r="J179" i="10"/>
  <c r="S150" i="10"/>
  <c r="Q134" i="10"/>
  <c r="S122" i="10"/>
  <c r="E138" i="10"/>
  <c r="H177" i="10"/>
  <c r="P168" i="10"/>
  <c r="H138" i="10"/>
  <c r="M151" i="10"/>
  <c r="T114" i="10"/>
  <c r="I159" i="10"/>
  <c r="E170" i="10"/>
  <c r="R177" i="10"/>
  <c r="S154" i="10"/>
  <c r="O146" i="10"/>
  <c r="G99" i="10"/>
  <c r="G2" i="10"/>
  <c r="K2" i="10"/>
  <c r="F177" i="10"/>
  <c r="J2" i="10"/>
  <c r="J158" i="10"/>
  <c r="P2" i="10"/>
  <c r="L169" i="10"/>
  <c r="F128" i="10"/>
  <c r="L178" i="10"/>
  <c r="S143" i="10"/>
  <c r="K146" i="10"/>
  <c r="F150" i="10"/>
  <c r="K106" i="10"/>
  <c r="E161" i="10"/>
  <c r="K117" i="10"/>
  <c r="E182" i="10"/>
  <c r="F181" i="10"/>
  <c r="K123" i="10"/>
  <c r="P179" i="10"/>
  <c r="O137" i="10"/>
  <c r="G103" i="10"/>
  <c r="L135" i="10"/>
  <c r="S182" i="10"/>
  <c r="H151" i="10"/>
  <c r="K147" i="10"/>
  <c r="F139" i="10"/>
  <c r="Q2" i="10"/>
  <c r="P182" i="10"/>
  <c r="Q181" i="10"/>
  <c r="K182" i="10"/>
  <c r="Q143" i="10"/>
  <c r="O109" i="10"/>
  <c r="R129" i="10"/>
  <c r="R147" i="10"/>
  <c r="S90" i="10"/>
  <c r="L2" i="10"/>
  <c r="M179" i="10"/>
  <c r="J139" i="10"/>
  <c r="T121" i="10"/>
  <c r="Q182" i="10"/>
  <c r="O147" i="10"/>
  <c r="S121" i="10"/>
  <c r="G154" i="10"/>
  <c r="K166" i="10"/>
  <c r="H158" i="10"/>
  <c r="T169" i="10"/>
  <c r="O149" i="10"/>
  <c r="G158" i="10"/>
  <c r="M118" i="10"/>
  <c r="P123" i="10"/>
  <c r="K116" i="10"/>
  <c r="J160" i="10"/>
  <c r="R150" i="10"/>
  <c r="K134" i="10"/>
  <c r="E144" i="10"/>
  <c r="M182" i="10"/>
  <c r="I128" i="10"/>
  <c r="J182" i="10"/>
  <c r="R174" i="10"/>
  <c r="O152" i="10"/>
  <c r="T2" i="10"/>
  <c r="G167" i="10"/>
  <c r="L123" i="10"/>
  <c r="L160" i="10"/>
  <c r="M127" i="10"/>
  <c r="E106" i="10"/>
  <c r="H2" i="10"/>
  <c r="O173" i="10"/>
  <c r="E175" i="10"/>
  <c r="N113" i="10"/>
  <c r="K152" i="10"/>
  <c r="M105" i="10"/>
  <c r="E146" i="10"/>
  <c r="I132" i="10"/>
  <c r="F119" i="10"/>
  <c r="E2" i="10"/>
  <c r="F174" i="10"/>
  <c r="H167" i="10"/>
  <c r="L144" i="10"/>
  <c r="S142" i="10"/>
  <c r="T168" i="10"/>
  <c r="M2" i="10"/>
  <c r="T182" i="10"/>
  <c r="I2" i="10"/>
  <c r="I117" i="10"/>
  <c r="O141" i="10"/>
  <c r="L174" i="10"/>
  <c r="N2" i="10"/>
  <c r="I88" i="10"/>
  <c r="O155" i="10"/>
  <c r="H148" i="10"/>
  <c r="E171" i="10"/>
  <c r="Q127" i="10"/>
  <c r="E128" i="10"/>
  <c r="G153" i="10"/>
  <c r="G132" i="10"/>
  <c r="S179" i="10"/>
  <c r="O122" i="10"/>
  <c r="K143" i="10"/>
  <c r="R135" i="10"/>
  <c r="J169" i="10"/>
  <c r="R179" i="10"/>
  <c r="Q122" i="10"/>
  <c r="L143" i="10"/>
  <c r="P146" i="10"/>
  <c r="T154" i="10"/>
  <c r="G135" i="10"/>
  <c r="Q178" i="10"/>
  <c r="N134" i="10"/>
  <c r="I138" i="10"/>
  <c r="T129" i="10"/>
  <c r="S152" i="10"/>
  <c r="F143" i="10"/>
  <c r="M153" i="10"/>
  <c r="F138" i="10"/>
  <c r="T136" i="10"/>
  <c r="N143" i="10"/>
  <c r="H182" i="10"/>
  <c r="R182" i="10"/>
  <c r="L142" i="10"/>
  <c r="F121" i="10"/>
  <c r="K144" i="10"/>
  <c r="H153" i="10"/>
  <c r="P181" i="10"/>
  <c r="F136" i="10"/>
  <c r="G160" i="10"/>
  <c r="Q168" i="10"/>
  <c r="T144" i="10"/>
  <c r="J173" i="10"/>
  <c r="I182" i="10"/>
  <c r="H127" i="10"/>
  <c r="H171" i="10"/>
  <c r="P126" i="10"/>
  <c r="K158" i="10"/>
  <c r="G182" i="10"/>
  <c r="M170" i="10"/>
  <c r="S168" i="10"/>
  <c r="T171" i="10"/>
  <c r="P122" i="10"/>
  <c r="K174" i="10"/>
  <c r="R143" i="10"/>
  <c r="Q177" i="10"/>
  <c r="G180" i="10"/>
  <c r="L182" i="10"/>
  <c r="T178" i="10"/>
  <c r="Q171" i="10"/>
  <c r="S160" i="10"/>
  <c r="K172" i="10" l="1"/>
  <c r="O168" i="10"/>
  <c r="T152" i="10"/>
  <c r="R178" i="10"/>
  <c r="P174" i="10"/>
  <c r="J156" i="10"/>
  <c r="S158" i="10"/>
  <c r="Q147" i="10"/>
  <c r="K149" i="10"/>
  <c r="O167" i="10"/>
  <c r="H181" i="10"/>
  <c r="F178" i="10"/>
  <c r="P178" i="10"/>
  <c r="P158" i="10"/>
  <c r="I174" i="10"/>
  <c r="G144" i="10"/>
  <c r="M122" i="10"/>
  <c r="I158" i="10"/>
  <c r="P166" i="10"/>
  <c r="K155" i="10"/>
  <c r="K145" i="10"/>
  <c r="T133" i="10"/>
  <c r="T137" i="10"/>
  <c r="F180" i="10"/>
  <c r="N178" i="10"/>
  <c r="T165" i="10"/>
  <c r="G134" i="10"/>
  <c r="J122" i="10"/>
  <c r="O124" i="10"/>
  <c r="N145" i="10"/>
  <c r="Q179" i="10"/>
  <c r="S129" i="10"/>
  <c r="S153" i="10"/>
  <c r="Q169" i="10"/>
  <c r="O164" i="10"/>
  <c r="G169" i="10"/>
  <c r="P169" i="10"/>
  <c r="G143" i="10"/>
  <c r="R166" i="10"/>
  <c r="I143" i="10"/>
  <c r="P131" i="10"/>
  <c r="N124" i="10"/>
  <c r="T150" i="10"/>
  <c r="H143" i="10"/>
  <c r="Q154" i="10"/>
  <c r="L158" i="10"/>
  <c r="J174" i="10"/>
  <c r="F124" i="10"/>
  <c r="L126" i="10"/>
  <c r="H166" i="10"/>
  <c r="T160" i="10"/>
  <c r="N142" i="10"/>
  <c r="E169" i="10"/>
  <c r="L173" i="10"/>
  <c r="L136" i="10"/>
  <c r="G165" i="10"/>
  <c r="L167" i="10"/>
  <c r="K168" i="10"/>
  <c r="E162" i="10"/>
  <c r="E153" i="10"/>
  <c r="I148" i="10"/>
  <c r="E119" i="10"/>
  <c r="M138" i="10"/>
  <c r="T157" i="10"/>
  <c r="Q156" i="10"/>
  <c r="F142" i="10"/>
  <c r="P140" i="10"/>
  <c r="N131" i="10"/>
  <c r="J150" i="10"/>
  <c r="J125" i="10"/>
  <c r="K141" i="10"/>
  <c r="P170" i="10"/>
  <c r="Q142" i="10"/>
  <c r="E178" i="10"/>
  <c r="K148" i="10"/>
  <c r="N181" i="10"/>
  <c r="E135" i="10"/>
  <c r="H144" i="10"/>
  <c r="F120" i="10"/>
  <c r="I135" i="10"/>
  <c r="R159" i="10"/>
  <c r="S127" i="10"/>
  <c r="K129" i="10"/>
  <c r="N175" i="10"/>
  <c r="M140" i="10"/>
  <c r="L153" i="10"/>
  <c r="M163" i="10"/>
  <c r="T176" i="10"/>
  <c r="G162" i="10"/>
  <c r="R161" i="10"/>
  <c r="O143" i="10"/>
  <c r="I160" i="10"/>
  <c r="K176" i="10"/>
  <c r="Q145" i="10"/>
  <c r="S164" i="10"/>
  <c r="M176" i="10"/>
  <c r="J120" i="10"/>
  <c r="F155" i="10"/>
  <c r="P175" i="10"/>
  <c r="S159" i="10"/>
  <c r="P145" i="10"/>
  <c r="Q137" i="10"/>
  <c r="M155" i="10"/>
  <c r="G168" i="10"/>
  <c r="T181" i="10"/>
  <c r="G120" i="10"/>
  <c r="I145" i="10"/>
  <c r="P151" i="10"/>
  <c r="J124" i="10"/>
  <c r="Q165" i="10"/>
  <c r="N129" i="10"/>
  <c r="Q131" i="10"/>
  <c r="N135" i="10"/>
  <c r="M173" i="10"/>
  <c r="G176" i="10"/>
  <c r="E124" i="10"/>
  <c r="M167" i="10"/>
  <c r="F123" i="10"/>
  <c r="J177" i="10"/>
  <c r="L177" i="10"/>
  <c r="E167" i="10"/>
  <c r="O159" i="10"/>
  <c r="M135" i="10"/>
  <c r="M166" i="10"/>
  <c r="O121" i="10"/>
  <c r="L150" i="10"/>
  <c r="P147" i="10"/>
  <c r="F162" i="10"/>
  <c r="N166" i="10"/>
  <c r="T166" i="10"/>
  <c r="Q139" i="10"/>
  <c r="L154" i="10"/>
  <c r="S172" i="10"/>
  <c r="S170" i="10"/>
  <c r="L164" i="10"/>
  <c r="J143" i="10"/>
  <c r="O178" i="10"/>
  <c r="E148" i="10"/>
  <c r="K128" i="10"/>
  <c r="P120" i="10"/>
  <c r="R120" i="10"/>
  <c r="P137" i="10"/>
  <c r="F164" i="10"/>
  <c r="I152" i="10"/>
  <c r="J168" i="10"/>
  <c r="I121" i="10"/>
  <c r="K178" i="10"/>
  <c r="N174" i="10"/>
  <c r="I140" i="10"/>
  <c r="K159" i="10"/>
  <c r="S178" i="10"/>
  <c r="J148" i="10"/>
  <c r="R173" i="10"/>
  <c r="S181" i="10"/>
  <c r="L165" i="10"/>
  <c r="M169" i="10"/>
  <c r="I169" i="10"/>
  <c r="K173" i="10"/>
  <c r="O170" i="10"/>
  <c r="Q174" i="10"/>
  <c r="I144" i="10"/>
  <c r="S165" i="10"/>
  <c r="O136" i="10"/>
  <c r="E140" i="10"/>
  <c r="Q140" i="10"/>
  <c r="G175" i="10"/>
  <c r="H154" i="10"/>
  <c r="N140" i="10"/>
  <c r="I127" i="10"/>
  <c r="I181" i="10"/>
  <c r="K131" i="10"/>
  <c r="T180" i="10"/>
  <c r="E125" i="10"/>
  <c r="F158" i="10"/>
  <c r="P121" i="10"/>
  <c r="L151" i="10"/>
  <c r="F171" i="10"/>
  <c r="I154" i="10"/>
  <c r="J166" i="10"/>
  <c r="Q152" i="10"/>
  <c r="N171" i="10"/>
  <c r="E150" i="10"/>
  <c r="K127" i="10"/>
  <c r="R169" i="10"/>
  <c r="M154" i="10"/>
  <c r="M160" i="10"/>
  <c r="M171" i="10"/>
  <c r="K136" i="10"/>
  <c r="O139" i="10"/>
  <c r="J141" i="10"/>
  <c r="P124" i="10"/>
  <c r="T155" i="10"/>
  <c r="P148" i="10"/>
  <c r="E179" i="10"/>
  <c r="I175" i="10"/>
  <c r="J178" i="10"/>
  <c r="H169" i="10"/>
  <c r="K169" i="10"/>
  <c r="L124" i="10"/>
  <c r="T156" i="10"/>
  <c r="H160" i="10"/>
  <c r="H176" i="10"/>
  <c r="F170" i="10"/>
  <c r="J170" i="10"/>
  <c r="F172" i="10"/>
  <c r="M133" i="10"/>
  <c r="Q133" i="10"/>
  <c r="M147" i="10"/>
  <c r="H149" i="10"/>
  <c r="S133" i="10"/>
  <c r="Q129" i="10"/>
  <c r="Q167" i="10"/>
  <c r="O162" i="10"/>
  <c r="N144" i="10"/>
  <c r="T130" i="10"/>
  <c r="O132" i="10"/>
  <c r="L170" i="10"/>
  <c r="F126" i="10"/>
  <c r="P156" i="10"/>
  <c r="F152" i="10"/>
  <c r="H124" i="10"/>
  <c r="P162" i="10"/>
  <c r="R142" i="10"/>
  <c r="S140" i="10"/>
  <c r="D61" i="10"/>
  <c r="N127" i="10"/>
  <c r="L130" i="10"/>
  <c r="E164" i="10"/>
  <c r="K138" i="10"/>
  <c r="D106" i="10"/>
  <c r="P159" i="10"/>
  <c r="O176" i="10"/>
  <c r="E134" i="10"/>
  <c r="T159" i="10"/>
  <c r="N133" i="10"/>
  <c r="P130" i="10"/>
  <c r="D110" i="10"/>
  <c r="G141" i="10"/>
  <c r="N169" i="10"/>
  <c r="P143" i="10"/>
  <c r="J129" i="10"/>
  <c r="L155" i="10"/>
  <c r="T162" i="10"/>
  <c r="T161" i="10"/>
  <c r="N162" i="10"/>
  <c r="D28" i="10"/>
  <c r="D22" i="10"/>
  <c r="D48" i="10"/>
  <c r="D7" i="10"/>
  <c r="D12" i="10"/>
  <c r="M137" i="10"/>
  <c r="S138" i="10"/>
  <c r="I125" i="10"/>
  <c r="T123" i="10"/>
  <c r="N147" i="10"/>
  <c r="Q161" i="10"/>
  <c r="R136" i="10"/>
  <c r="G157" i="10"/>
  <c r="J135" i="10"/>
  <c r="I163" i="10"/>
  <c r="L131" i="10"/>
  <c r="E158" i="10"/>
  <c r="R165" i="10"/>
  <c r="O128" i="10"/>
  <c r="T151" i="10"/>
  <c r="O126" i="10"/>
  <c r="G127" i="10"/>
  <c r="R126" i="10"/>
  <c r="G170" i="10"/>
  <c r="H136" i="10"/>
  <c r="J155" i="10"/>
  <c r="P164" i="10"/>
  <c r="G129" i="10"/>
  <c r="R137" i="10"/>
  <c r="H125" i="10"/>
  <c r="T164" i="10"/>
  <c r="P138" i="10"/>
  <c r="O140" i="10"/>
  <c r="T172" i="10"/>
  <c r="S155" i="10"/>
  <c r="R171" i="10"/>
  <c r="L133" i="10"/>
  <c r="N130" i="10"/>
  <c r="D44" i="10"/>
  <c r="D52" i="10"/>
  <c r="M152" i="10"/>
  <c r="R175" i="10"/>
  <c r="G156" i="10"/>
  <c r="Q126" i="10"/>
  <c r="P144" i="10"/>
  <c r="H121" i="10"/>
  <c r="E121" i="10"/>
  <c r="K142" i="10"/>
  <c r="F144" i="10"/>
  <c r="G163" i="10"/>
  <c r="H137" i="10"/>
  <c r="N156" i="10"/>
  <c r="S126" i="10"/>
  <c r="R158" i="10"/>
  <c r="N177" i="10"/>
  <c r="O120" i="10"/>
  <c r="N153" i="10"/>
  <c r="I172" i="10"/>
  <c r="L171" i="10"/>
  <c r="T153" i="10"/>
  <c r="O138" i="10"/>
  <c r="H163" i="10"/>
  <c r="K135" i="10"/>
  <c r="Q162" i="10"/>
  <c r="E141" i="10"/>
  <c r="J206" i="10"/>
  <c r="J186" i="10"/>
  <c r="O192" i="10"/>
  <c r="O187" i="10"/>
  <c r="O205" i="10"/>
  <c r="O185" i="10"/>
  <c r="E133" i="10"/>
  <c r="E205" i="10"/>
  <c r="E185" i="10"/>
  <c r="K205" i="10"/>
  <c r="K185" i="10"/>
  <c r="S192" i="10"/>
  <c r="S187" i="10"/>
  <c r="R164" i="10"/>
  <c r="H206" i="10"/>
  <c r="H186" i="10"/>
  <c r="H192" i="10"/>
  <c r="H187" i="10"/>
  <c r="I168" i="10"/>
  <c r="Q183" i="10"/>
  <c r="Q184" i="10"/>
  <c r="R206" i="10"/>
  <c r="R186" i="10"/>
  <c r="J130" i="10"/>
  <c r="R181" i="10"/>
  <c r="S180" i="10"/>
  <c r="E183" i="10"/>
  <c r="E184" i="10"/>
  <c r="K181" i="10"/>
  <c r="R122" i="10"/>
  <c r="T192" i="10"/>
  <c r="T187" i="10"/>
  <c r="N128" i="10"/>
  <c r="S206" i="10"/>
  <c r="S186" i="10"/>
  <c r="N159" i="10"/>
  <c r="M149" i="10"/>
  <c r="P171" i="10"/>
  <c r="T120" i="10"/>
  <c r="I180" i="10"/>
  <c r="H129" i="10"/>
  <c r="H178" i="10"/>
  <c r="J154" i="10"/>
  <c r="Q128" i="10"/>
  <c r="K132" i="10"/>
  <c r="M192" i="10"/>
  <c r="M187" i="10"/>
  <c r="I149" i="10"/>
  <c r="I162" i="10"/>
  <c r="M145" i="10"/>
  <c r="O125" i="10"/>
  <c r="R160" i="10"/>
  <c r="J123" i="10"/>
  <c r="F183" i="10"/>
  <c r="F184" i="10"/>
  <c r="M161" i="10"/>
  <c r="M129" i="10"/>
  <c r="L179" i="10"/>
  <c r="N138" i="10"/>
  <c r="F159" i="10"/>
  <c r="N179" i="10"/>
  <c r="T177" i="10"/>
  <c r="D182" i="10"/>
  <c r="M178" i="10"/>
  <c r="K183" i="10"/>
  <c r="K184" i="10"/>
  <c r="K164" i="10"/>
  <c r="Q192" i="10"/>
  <c r="Q187" i="10"/>
  <c r="E132" i="10"/>
  <c r="S162" i="10"/>
  <c r="I150" i="10"/>
  <c r="P135" i="10"/>
  <c r="S177" i="10"/>
  <c r="F148" i="10"/>
  <c r="L163" i="10"/>
  <c r="I173" i="10"/>
  <c r="J171" i="10"/>
  <c r="S205" i="10"/>
  <c r="S185" i="10"/>
  <c r="G177" i="10"/>
  <c r="R155" i="10"/>
  <c r="F133" i="10"/>
  <c r="F205" i="10"/>
  <c r="F185" i="10"/>
  <c r="K206" i="10"/>
  <c r="K186" i="10"/>
  <c r="I206" i="10"/>
  <c r="I186" i="10"/>
  <c r="T170" i="10"/>
  <c r="L121" i="10"/>
  <c r="L192" i="10"/>
  <c r="L187" i="10"/>
  <c r="K192" i="10"/>
  <c r="K187" i="10"/>
  <c r="T143" i="10"/>
  <c r="I192" i="10"/>
  <c r="I187" i="10"/>
  <c r="N183" i="10"/>
  <c r="N184" i="10"/>
  <c r="T147" i="10"/>
  <c r="R148" i="10"/>
  <c r="L162" i="10"/>
  <c r="E192" i="10"/>
  <c r="E187" i="10"/>
  <c r="M174" i="10"/>
  <c r="E149" i="10"/>
  <c r="S128" i="10"/>
  <c r="G125" i="10"/>
  <c r="R172" i="10"/>
  <c r="F157" i="10"/>
  <c r="N151" i="10"/>
  <c r="F163" i="10"/>
  <c r="E181" i="10"/>
  <c r="G130" i="10"/>
  <c r="S161" i="10"/>
  <c r="P205" i="10"/>
  <c r="P185" i="10"/>
  <c r="I120" i="10"/>
  <c r="P177" i="10"/>
  <c r="P142" i="10"/>
  <c r="G178" i="10"/>
  <c r="T132" i="10"/>
  <c r="O144" i="10"/>
  <c r="T206" i="10"/>
  <c r="T186" i="10"/>
  <c r="I177" i="10"/>
  <c r="P160" i="10"/>
  <c r="H173" i="10"/>
  <c r="M120" i="10"/>
  <c r="R183" i="10"/>
  <c r="R184" i="10"/>
  <c r="I136" i="10"/>
  <c r="I134" i="10"/>
  <c r="I139" i="10"/>
  <c r="O158" i="10"/>
  <c r="J119" i="10"/>
  <c r="I157" i="10"/>
  <c r="E173" i="10"/>
  <c r="Q149" i="10"/>
  <c r="Q123" i="10"/>
  <c r="G205" i="10"/>
  <c r="G185" i="10"/>
  <c r="J163" i="10"/>
  <c r="N172" i="10"/>
  <c r="K150" i="10"/>
  <c r="L183" i="10"/>
  <c r="L184" i="10"/>
  <c r="N150" i="10"/>
  <c r="K139" i="10"/>
  <c r="E206" i="10"/>
  <c r="E186" i="10"/>
  <c r="H164" i="10"/>
  <c r="R130" i="10"/>
  <c r="P165" i="10"/>
  <c r="Q135" i="10"/>
  <c r="P183" i="10"/>
  <c r="P184" i="10"/>
  <c r="H205" i="10"/>
  <c r="H185" i="10"/>
  <c r="E151" i="10"/>
  <c r="E147" i="10"/>
  <c r="G173" i="10"/>
  <c r="T167" i="10"/>
  <c r="O148" i="10"/>
  <c r="R192" i="10"/>
  <c r="R187" i="10"/>
  <c r="O160" i="10"/>
  <c r="O134" i="10"/>
  <c r="E139" i="10"/>
  <c r="F147" i="10"/>
  <c r="K163" i="10"/>
  <c r="I123" i="10"/>
  <c r="L140" i="10"/>
  <c r="Q159" i="10"/>
  <c r="O206" i="10"/>
  <c r="O186" i="10"/>
  <c r="Q150" i="10"/>
  <c r="F168" i="10"/>
  <c r="H175" i="10"/>
  <c r="E166" i="10"/>
  <c r="G192" i="10"/>
  <c r="G187" i="10"/>
  <c r="L152" i="10"/>
  <c r="K161" i="10"/>
  <c r="M150" i="10"/>
  <c r="R176" i="10"/>
  <c r="G123" i="10"/>
  <c r="Q205" i="10"/>
  <c r="Q185" i="10"/>
  <c r="I122" i="10"/>
  <c r="T149" i="10"/>
  <c r="P180" i="10"/>
  <c r="N168" i="10"/>
  <c r="O181" i="10"/>
  <c r="J192" i="10"/>
  <c r="J187" i="10"/>
  <c r="L134" i="10"/>
  <c r="P125" i="10"/>
  <c r="H132" i="10"/>
  <c r="T174" i="10"/>
  <c r="P173" i="10"/>
  <c r="T134" i="10"/>
  <c r="L157" i="10"/>
  <c r="I165" i="10"/>
  <c r="N149" i="10"/>
  <c r="T128" i="10"/>
  <c r="G206" i="10"/>
  <c r="G186" i="10"/>
  <c r="J205" i="10"/>
  <c r="J185" i="10"/>
  <c r="S171" i="10"/>
  <c r="G142" i="10"/>
  <c r="O133" i="10"/>
  <c r="M183" i="10"/>
  <c r="M184" i="10"/>
  <c r="R127" i="10"/>
  <c r="Q119" i="10"/>
  <c r="T125" i="10"/>
  <c r="M168" i="10"/>
  <c r="H135" i="10"/>
  <c r="Q124" i="10"/>
  <c r="N122" i="10"/>
  <c r="F169" i="10"/>
  <c r="K171" i="10"/>
  <c r="Q175" i="10"/>
  <c r="N139" i="10"/>
  <c r="J183" i="10"/>
  <c r="J184" i="10"/>
  <c r="N141" i="10"/>
  <c r="R133" i="10"/>
  <c r="R128" i="10"/>
  <c r="L206" i="10"/>
  <c r="L186" i="10"/>
  <c r="R163" i="10"/>
  <c r="H157" i="10"/>
  <c r="P128" i="10"/>
  <c r="M165" i="10"/>
  <c r="O174" i="10"/>
  <c r="G179" i="10"/>
  <c r="J144" i="10"/>
  <c r="K140" i="10"/>
  <c r="M126" i="10"/>
  <c r="S137" i="10"/>
  <c r="L139" i="10"/>
  <c r="H140" i="10"/>
  <c r="J153" i="10"/>
  <c r="I164" i="10"/>
  <c r="J140" i="10"/>
  <c r="Q121" i="10"/>
  <c r="M181" i="10"/>
  <c r="Q155" i="10"/>
  <c r="I131" i="10"/>
  <c r="F132" i="10"/>
  <c r="O129" i="10"/>
  <c r="J138" i="10"/>
  <c r="I153" i="10"/>
  <c r="T124" i="10"/>
  <c r="J131" i="10"/>
  <c r="G150" i="10"/>
  <c r="L122" i="10"/>
  <c r="R205" i="10"/>
  <c r="R185" i="10"/>
  <c r="E172" i="10"/>
  <c r="I167" i="10"/>
  <c r="E152" i="10"/>
  <c r="N206" i="10"/>
  <c r="N186" i="10"/>
  <c r="O183" i="10"/>
  <c r="O184" i="10"/>
  <c r="F167" i="10"/>
  <c r="S175" i="10"/>
  <c r="F161" i="10"/>
  <c r="P153" i="10"/>
  <c r="N167" i="10"/>
  <c r="H134" i="10"/>
  <c r="Q164" i="10"/>
  <c r="M123" i="10"/>
  <c r="O157" i="10"/>
  <c r="N155" i="10"/>
  <c r="L181" i="10"/>
  <c r="J176" i="10"/>
  <c r="N125" i="10"/>
  <c r="S169" i="10"/>
  <c r="H122" i="10"/>
  <c r="L128" i="10"/>
  <c r="O153" i="10"/>
  <c r="Q157" i="10"/>
  <c r="L175" i="10"/>
  <c r="N173" i="10"/>
  <c r="S141" i="10"/>
  <c r="G128" i="10"/>
  <c r="S125" i="10"/>
  <c r="E168" i="10"/>
  <c r="R152" i="10"/>
  <c r="F192" i="10"/>
  <c r="F187" i="10"/>
  <c r="G183" i="10"/>
  <c r="G184" i="10"/>
  <c r="J162" i="10"/>
  <c r="S144" i="10"/>
  <c r="O165" i="10"/>
  <c r="R123" i="10"/>
  <c r="K180" i="10"/>
  <c r="M172" i="10"/>
  <c r="R139" i="10"/>
  <c r="Q144" i="10"/>
  <c r="J126" i="10"/>
  <c r="J136" i="10"/>
  <c r="F160" i="10"/>
  <c r="T141" i="10"/>
  <c r="M144" i="10"/>
  <c r="F131" i="10"/>
  <c r="Q176" i="10"/>
  <c r="N126" i="10"/>
  <c r="O161" i="10"/>
  <c r="O175" i="10"/>
  <c r="G145" i="10"/>
  <c r="M131" i="10"/>
  <c r="I137" i="10"/>
  <c r="J172" i="10"/>
  <c r="E180" i="10"/>
  <c r="H155" i="10"/>
  <c r="R131" i="10"/>
  <c r="P132" i="10"/>
  <c r="I156" i="10"/>
  <c r="F165" i="10"/>
  <c r="E156" i="10"/>
  <c r="H165" i="10"/>
  <c r="K170" i="10"/>
  <c r="N137" i="10"/>
  <c r="J134" i="10"/>
  <c r="K137" i="10"/>
  <c r="F125" i="10"/>
  <c r="O179" i="10"/>
  <c r="F151" i="10"/>
  <c r="N158" i="10"/>
  <c r="K153" i="10"/>
  <c r="R156" i="10"/>
  <c r="N163" i="10"/>
  <c r="M136" i="10"/>
  <c r="R125" i="10"/>
  <c r="P176" i="10"/>
  <c r="E155" i="10"/>
  <c r="R144" i="10"/>
  <c r="P152" i="10"/>
  <c r="R162" i="10"/>
  <c r="N176" i="10"/>
  <c r="O163" i="10"/>
  <c r="E122" i="10"/>
  <c r="O151" i="10"/>
  <c r="G119" i="10"/>
  <c r="K121" i="10"/>
  <c r="J181" i="10"/>
  <c r="J180" i="10"/>
  <c r="F166" i="10"/>
  <c r="H142" i="10"/>
  <c r="I183" i="10"/>
  <c r="I184" i="10"/>
  <c r="Q153" i="10"/>
  <c r="K154" i="10"/>
  <c r="F175" i="10"/>
  <c r="P161" i="10"/>
  <c r="T205" i="10"/>
  <c r="T185" i="10"/>
  <c r="E174" i="10"/>
  <c r="P157" i="10"/>
  <c r="R134" i="10"/>
  <c r="L127" i="10"/>
  <c r="N192" i="10"/>
  <c r="N187" i="10"/>
  <c r="H179" i="10"/>
  <c r="M180" i="10"/>
  <c r="G171" i="10"/>
  <c r="G155" i="10"/>
  <c r="H183" i="10"/>
  <c r="H184" i="10"/>
  <c r="K124" i="10"/>
  <c r="G124" i="10"/>
  <c r="S183" i="10"/>
  <c r="S184" i="10"/>
  <c r="K151" i="10"/>
  <c r="M206" i="10"/>
  <c r="M186" i="10"/>
  <c r="M128" i="10"/>
  <c r="Q148" i="10"/>
  <c r="L148" i="10"/>
  <c r="I205" i="10"/>
  <c r="I185" i="10"/>
  <c r="J164" i="10"/>
  <c r="S166" i="10"/>
  <c r="S151" i="10"/>
  <c r="M141" i="10"/>
  <c r="T175" i="10"/>
  <c r="R154" i="10"/>
  <c r="J152" i="10"/>
  <c r="H168" i="10"/>
  <c r="J127" i="10"/>
  <c r="T183" i="10"/>
  <c r="T184" i="10"/>
  <c r="L138" i="10"/>
  <c r="L125" i="10"/>
  <c r="T122" i="10"/>
  <c r="T173" i="10"/>
  <c r="P206" i="10"/>
  <c r="P186" i="10"/>
  <c r="I171" i="10"/>
  <c r="M143" i="10"/>
  <c r="S157" i="10"/>
  <c r="P167" i="10"/>
  <c r="R121" i="10"/>
  <c r="S173" i="10"/>
  <c r="F134" i="10"/>
  <c r="O156" i="10"/>
  <c r="S156" i="10"/>
  <c r="H172" i="10"/>
  <c r="J133" i="10"/>
  <c r="Q172" i="10"/>
  <c r="F206" i="10"/>
  <c r="F186" i="10"/>
  <c r="L159" i="10"/>
  <c r="F140" i="10"/>
  <c r="J159" i="10"/>
  <c r="T135" i="10"/>
  <c r="O135" i="10"/>
  <c r="Q173" i="10"/>
  <c r="L145" i="10"/>
  <c r="M139" i="10"/>
  <c r="H130" i="10"/>
  <c r="N154" i="10"/>
  <c r="P149" i="10"/>
  <c r="K167" i="10"/>
  <c r="J165" i="10"/>
  <c r="E165" i="10"/>
  <c r="L119" i="10"/>
  <c r="E131" i="10"/>
  <c r="N148" i="10"/>
  <c r="H131" i="10"/>
  <c r="H139" i="10"/>
  <c r="E142" i="10"/>
  <c r="O123" i="10"/>
  <c r="G140" i="10"/>
  <c r="I179" i="10"/>
  <c r="L166" i="10"/>
  <c r="M121" i="10"/>
  <c r="M164" i="10"/>
  <c r="Q180" i="10"/>
  <c r="L147" i="10"/>
  <c r="K179" i="10"/>
  <c r="K177" i="10"/>
  <c r="N123" i="10"/>
  <c r="G174" i="10"/>
  <c r="S123" i="10"/>
  <c r="E159" i="10"/>
  <c r="R119" i="10"/>
  <c r="G148" i="10"/>
  <c r="E157" i="10"/>
  <c r="T163" i="10"/>
  <c r="G181" i="10"/>
  <c r="F173" i="10"/>
  <c r="I170" i="10"/>
  <c r="F137" i="10"/>
  <c r="S147" i="10"/>
  <c r="R140" i="10"/>
  <c r="J151" i="10"/>
  <c r="F145" i="10"/>
  <c r="Q163" i="10"/>
  <c r="N119" i="10"/>
  <c r="Q170" i="10"/>
  <c r="P192" i="10"/>
  <c r="P187" i="10"/>
  <c r="Q160" i="10"/>
  <c r="K175" i="10"/>
  <c r="H174" i="10"/>
  <c r="R170" i="10"/>
  <c r="S149" i="10"/>
  <c r="R151" i="10"/>
  <c r="S176" i="10"/>
  <c r="F129" i="10"/>
  <c r="M175" i="10"/>
  <c r="I178" i="10"/>
  <c r="M134" i="10"/>
  <c r="N121" i="10"/>
  <c r="T139" i="10"/>
  <c r="R149" i="10"/>
  <c r="F149" i="10"/>
  <c r="T131" i="10"/>
  <c r="K157" i="10"/>
  <c r="H123" i="10"/>
  <c r="G147" i="10"/>
  <c r="H170" i="10"/>
  <c r="S174" i="10"/>
  <c r="N205" i="10"/>
  <c r="N185" i="10"/>
  <c r="H150" i="10"/>
  <c r="K156" i="10"/>
  <c r="L168" i="10"/>
  <c r="L149" i="10"/>
  <c r="M159" i="10"/>
  <c r="N136" i="10"/>
  <c r="S130" i="10"/>
  <c r="N152" i="10"/>
  <c r="O142" i="10"/>
  <c r="T158" i="10"/>
  <c r="P154" i="10"/>
  <c r="I142" i="10"/>
  <c r="O127" i="10"/>
  <c r="J147" i="10"/>
  <c r="G122" i="10"/>
  <c r="L180" i="10"/>
  <c r="N180" i="10"/>
  <c r="T148" i="10"/>
  <c r="E130" i="10"/>
  <c r="G152" i="10"/>
  <c r="E163" i="10"/>
  <c r="F141" i="10"/>
  <c r="L156" i="10"/>
  <c r="S135" i="10"/>
  <c r="M156" i="10"/>
  <c r="E137" i="10"/>
  <c r="M125" i="10"/>
  <c r="P139" i="10"/>
  <c r="O171" i="10"/>
  <c r="S124" i="10"/>
  <c r="G149" i="10"/>
  <c r="I126" i="10"/>
  <c r="O131" i="10"/>
  <c r="P119" i="10"/>
  <c r="Q125" i="10"/>
  <c r="Q151" i="10"/>
  <c r="T145" i="10"/>
  <c r="N164" i="10"/>
  <c r="F176" i="10"/>
  <c r="M205" i="10"/>
  <c r="M185" i="10"/>
  <c r="P155" i="10"/>
  <c r="F130" i="10"/>
  <c r="S134" i="10"/>
  <c r="I176" i="10"/>
  <c r="O169" i="10"/>
  <c r="K133" i="10"/>
  <c r="F156" i="10"/>
  <c r="T126" i="10"/>
  <c r="Q166" i="10"/>
  <c r="J175" i="10"/>
  <c r="J167" i="10"/>
  <c r="T179" i="10"/>
  <c r="S148" i="10"/>
  <c r="E160" i="10"/>
  <c r="S131" i="10"/>
  <c r="G138" i="10"/>
  <c r="J161" i="10"/>
  <c r="G172" i="10"/>
  <c r="L137" i="10"/>
  <c r="P172" i="10"/>
  <c r="S167" i="10"/>
  <c r="G136" i="10"/>
  <c r="E126" i="10"/>
  <c r="K122" i="10"/>
  <c r="R153" i="10"/>
  <c r="M162" i="10"/>
  <c r="H128" i="10"/>
  <c r="L176" i="10"/>
  <c r="M158" i="10"/>
  <c r="R157" i="10"/>
  <c r="I151" i="10"/>
  <c r="M132" i="10"/>
  <c r="M130" i="10"/>
  <c r="E154" i="10"/>
  <c r="L141" i="10"/>
  <c r="R168" i="10"/>
  <c r="I147" i="10"/>
  <c r="P163" i="10"/>
  <c r="P129" i="10"/>
  <c r="L129" i="10"/>
  <c r="Q138" i="10"/>
  <c r="G139" i="10"/>
  <c r="F154" i="10"/>
  <c r="N161" i="10"/>
  <c r="Q132" i="10"/>
  <c r="F179" i="10"/>
  <c r="T127" i="10"/>
  <c r="H161" i="10"/>
  <c r="O145" i="10"/>
  <c r="Q141" i="10"/>
  <c r="K126" i="10"/>
  <c r="L205" i="10"/>
  <c r="L185" i="10"/>
  <c r="T138" i="10"/>
  <c r="G121" i="10"/>
  <c r="I124" i="10"/>
  <c r="J132" i="10"/>
  <c r="R124" i="10"/>
  <c r="G151" i="10"/>
  <c r="E120" i="10"/>
  <c r="F135" i="10"/>
  <c r="O180" i="10"/>
  <c r="L172" i="10"/>
  <c r="O130" i="10"/>
  <c r="H162" i="10"/>
  <c r="Q136" i="10"/>
  <c r="E177" i="10"/>
  <c r="Q206" i="10"/>
  <c r="Q186" i="10"/>
  <c r="R180" i="10"/>
  <c r="G159" i="10"/>
  <c r="S145" i="10"/>
  <c r="K165" i="10"/>
  <c r="O166" i="10"/>
  <c r="P136" i="10"/>
  <c r="I141" i="10"/>
  <c r="K162" i="10"/>
  <c r="E129" i="10"/>
  <c r="S132" i="10"/>
  <c r="I133" i="10"/>
  <c r="E145" i="10"/>
  <c r="H145" i="10"/>
  <c r="S119" i="10"/>
  <c r="H152" i="10"/>
  <c r="E143" i="10"/>
  <c r="J157" i="10"/>
  <c r="F127" i="10"/>
  <c r="P127" i="10"/>
  <c r="D58" i="10"/>
  <c r="D93" i="10"/>
  <c r="D64" i="10"/>
  <c r="D94" i="10"/>
  <c r="D78" i="10"/>
  <c r="D55" i="10"/>
  <c r="D89" i="10"/>
  <c r="D74" i="10"/>
  <c r="D116" i="10"/>
  <c r="D45" i="10"/>
  <c r="D88" i="10"/>
  <c r="D32" i="10"/>
  <c r="D26" i="10"/>
  <c r="D5" i="10"/>
  <c r="D35" i="10"/>
  <c r="D57" i="10"/>
  <c r="D53" i="10"/>
  <c r="D104" i="10"/>
  <c r="D111" i="10"/>
  <c r="D17" i="10"/>
  <c r="D146" i="10"/>
  <c r="D90" i="10"/>
  <c r="D95" i="10"/>
  <c r="D108" i="10"/>
  <c r="D73" i="10"/>
  <c r="D65" i="10"/>
  <c r="D54" i="10"/>
  <c r="D80" i="10"/>
  <c r="D103" i="10"/>
  <c r="D10" i="10"/>
  <c r="D6" i="10"/>
  <c r="D24" i="10"/>
  <c r="D27" i="10"/>
  <c r="D21" i="10"/>
  <c r="D19" i="10"/>
  <c r="D60" i="10"/>
  <c r="D23" i="10"/>
  <c r="D59" i="10"/>
  <c r="D34" i="10"/>
  <c r="D92" i="10"/>
  <c r="D67" i="10"/>
  <c r="D36" i="10"/>
  <c r="D77" i="10"/>
  <c r="D70" i="10"/>
  <c r="D20" i="10"/>
  <c r="D46" i="10"/>
  <c r="D29" i="10"/>
  <c r="D9" i="10"/>
  <c r="D68" i="10"/>
  <c r="D86" i="10"/>
  <c r="D2" i="10"/>
  <c r="D97" i="10"/>
  <c r="D63" i="10"/>
  <c r="D72" i="10"/>
  <c r="D40" i="10"/>
  <c r="D56" i="10"/>
  <c r="D107" i="10"/>
  <c r="D112" i="10"/>
  <c r="D50" i="10"/>
  <c r="D71" i="10"/>
  <c r="D62" i="10"/>
  <c r="D102" i="10"/>
  <c r="D81" i="10"/>
  <c r="D96" i="10"/>
  <c r="D11" i="10"/>
  <c r="D51" i="10"/>
  <c r="D117" i="10"/>
  <c r="D114" i="10"/>
  <c r="D115" i="10"/>
  <c r="D75" i="10"/>
  <c r="D76" i="10"/>
  <c r="D39" i="10"/>
  <c r="D101" i="10"/>
  <c r="D109" i="10"/>
  <c r="D99" i="10"/>
  <c r="D100" i="10"/>
  <c r="D66" i="10"/>
  <c r="D82" i="10"/>
  <c r="D31" i="10"/>
  <c r="D43" i="10"/>
  <c r="D38" i="10"/>
  <c r="D41" i="10"/>
  <c r="D3" i="10"/>
  <c r="D16" i="10"/>
  <c r="D18" i="10"/>
  <c r="D118" i="10"/>
  <c r="D37" i="10"/>
  <c r="D14" i="10"/>
  <c r="D42" i="10"/>
  <c r="D87" i="10"/>
  <c r="D69" i="10"/>
  <c r="D105" i="10"/>
  <c r="D91" i="10"/>
  <c r="D98" i="10"/>
  <c r="D15" i="10"/>
  <c r="D8" i="10"/>
  <c r="D113" i="10"/>
  <c r="D4" i="10"/>
  <c r="D49" i="10"/>
  <c r="D30" i="10"/>
  <c r="D84" i="10"/>
  <c r="D85" i="10"/>
  <c r="D79" i="10"/>
  <c r="D47" i="10"/>
  <c r="D83" i="10"/>
  <c r="D33" i="10"/>
  <c r="D13" i="10"/>
  <c r="D25" i="10"/>
  <c r="D169" i="10" l="1"/>
  <c r="D143" i="10"/>
  <c r="D120" i="10"/>
  <c r="D153" i="10"/>
  <c r="D177" i="10"/>
  <c r="D140" i="10"/>
  <c r="D178" i="10"/>
  <c r="D124" i="10"/>
  <c r="D141" i="10"/>
  <c r="D166" i="10"/>
  <c r="D126" i="10"/>
  <c r="D155" i="10"/>
  <c r="D192" i="10"/>
  <c r="D151" i="10"/>
  <c r="D174" i="10"/>
  <c r="D206" i="10"/>
  <c r="D154" i="10"/>
  <c r="D119" i="10"/>
  <c r="D162" i="10"/>
  <c r="D168" i="10"/>
  <c r="D129" i="10"/>
  <c r="D179" i="10"/>
  <c r="D136" i="10"/>
  <c r="D160" i="10"/>
  <c r="D176" i="10"/>
  <c r="D156" i="10"/>
  <c r="D122" i="10"/>
  <c r="D170" i="10"/>
  <c r="D134" i="10"/>
  <c r="D137" i="10"/>
  <c r="D139" i="10"/>
  <c r="D128" i="10"/>
  <c r="D165" i="10"/>
  <c r="D181" i="10"/>
  <c r="D121" i="10"/>
  <c r="D142" i="10"/>
  <c r="D132" i="10"/>
  <c r="D173" i="10"/>
  <c r="D131" i="10"/>
  <c r="D149" i="10"/>
  <c r="D148" i="10"/>
  <c r="D183" i="10"/>
  <c r="D175" i="10"/>
  <c r="D152" i="10"/>
  <c r="D172" i="10"/>
  <c r="D130" i="10"/>
  <c r="D127" i="10"/>
  <c r="D167" i="10"/>
  <c r="D144" i="10"/>
  <c r="D205" i="10"/>
  <c r="D135" i="10"/>
  <c r="D158" i="10"/>
  <c r="D161" i="10"/>
  <c r="D163" i="10"/>
  <c r="D164" i="10"/>
  <c r="D145" i="10"/>
  <c r="D180" i="10"/>
  <c r="D147" i="10"/>
  <c r="D138" i="10"/>
  <c r="D133" i="10"/>
  <c r="D125" i="10"/>
  <c r="D150" i="10"/>
  <c r="D157" i="10"/>
  <c r="D171" i="10"/>
  <c r="D123" i="10"/>
  <c r="D159" i="10"/>
  <c r="D184" i="10"/>
  <c r="D187" i="10"/>
  <c r="D186" i="10"/>
  <c r="D185" i="10"/>
  <c r="D65" i="11" l="1"/>
  <c r="D66" i="11"/>
  <c r="D67" i="11"/>
  <c r="D49" i="11" l="1"/>
  <c r="D63" i="11" l="1"/>
  <c r="D51" i="11"/>
  <c r="D53" i="11"/>
  <c r="D64" i="11"/>
  <c r="D56" i="11"/>
  <c r="D62" i="11"/>
  <c r="D52" i="11"/>
  <c r="D55" i="11"/>
  <c r="D50" i="11"/>
  <c r="D60" i="11"/>
  <c r="D61" i="11" l="1"/>
  <c r="D59" i="11"/>
  <c r="D58" i="11"/>
  <c r="D57" i="11"/>
  <c r="D54" i="11" l="1"/>
  <c r="C57" i="11" l="1"/>
  <c r="C64" i="11"/>
  <c r="C61" i="11"/>
  <c r="C51" i="11"/>
  <c r="C59" i="11"/>
  <c r="C52" i="11"/>
  <c r="C54" i="11"/>
  <c r="C49" i="11"/>
  <c r="C65" i="11"/>
  <c r="C60" i="11"/>
  <c r="C62" i="11"/>
  <c r="C63" i="11"/>
  <c r="C50" i="11"/>
  <c r="C56" i="11"/>
  <c r="C67" i="11"/>
  <c r="C55" i="11"/>
  <c r="C58" i="11"/>
  <c r="C53" i="11"/>
  <c r="C66" i="11"/>
  <c r="G49" i="11" l="1"/>
  <c r="G55" i="11"/>
  <c r="G54" i="11"/>
  <c r="G52" i="11"/>
  <c r="G53" i="11"/>
  <c r="G63" i="11"/>
  <c r="G59" i="11"/>
  <c r="G66" i="11"/>
  <c r="G67" i="11"/>
  <c r="G61" i="11"/>
  <c r="G60" i="11"/>
  <c r="G64" i="11"/>
  <c r="G50" i="11"/>
  <c r="G51" i="11"/>
  <c r="G58" i="11"/>
  <c r="G62" i="11"/>
  <c r="G56" i="11"/>
  <c r="G65" i="11"/>
  <c r="G57" i="11"/>
  <c r="I58" i="1" l="1"/>
  <c r="F57" i="11"/>
  <c r="L58" i="1"/>
  <c r="F59" i="11"/>
  <c r="I60" i="1"/>
  <c r="L60" i="1"/>
  <c r="I63" i="1"/>
  <c r="F62" i="11"/>
  <c r="L63" i="1"/>
  <c r="I67" i="1"/>
  <c r="F66" i="11"/>
  <c r="L67" i="1"/>
  <c r="L53" i="1"/>
  <c r="F52" i="11"/>
  <c r="I53" i="1"/>
  <c r="F58" i="11"/>
  <c r="I59" i="1"/>
  <c r="L59" i="1"/>
  <c r="F60" i="11"/>
  <c r="I61" i="1"/>
  <c r="L61" i="1"/>
  <c r="F54" i="11"/>
  <c r="L55" i="1"/>
  <c r="I55" i="1"/>
  <c r="F65" i="11"/>
  <c r="I66" i="1"/>
  <c r="L66" i="1"/>
  <c r="L52" i="1"/>
  <c r="I52" i="1"/>
  <c r="F51" i="11"/>
  <c r="F61" i="11"/>
  <c r="L62" i="1"/>
  <c r="I62" i="1"/>
  <c r="I64" i="1"/>
  <c r="F63" i="11"/>
  <c r="L64" i="1"/>
  <c r="F55" i="11"/>
  <c r="L56" i="1"/>
  <c r="I56" i="1"/>
  <c r="I65" i="1"/>
  <c r="L65" i="1"/>
  <c r="F64" i="11"/>
  <c r="L57" i="1"/>
  <c r="I57" i="1"/>
  <c r="F56" i="11"/>
  <c r="I51" i="1"/>
  <c r="F50" i="11"/>
  <c r="L51" i="1"/>
  <c r="L68" i="1"/>
  <c r="F67" i="11"/>
  <c r="I68" i="1"/>
  <c r="I54" i="1"/>
  <c r="F53" i="11"/>
  <c r="L54" i="1"/>
  <c r="I50" i="1"/>
  <c r="F49" i="11"/>
  <c r="L50" i="1"/>
  <c r="C80" i="11" l="1"/>
  <c r="G80" i="11" l="1"/>
  <c r="C81" i="11"/>
  <c r="F80" i="11" l="1"/>
  <c r="I80" i="11"/>
  <c r="G81" i="11"/>
  <c r="L81" i="1" l="1"/>
  <c r="I81" i="11"/>
  <c r="F81" i="11"/>
  <c r="L82" i="1"/>
  <c r="C19" i="11" l="1"/>
  <c r="C39" i="11"/>
  <c r="F39" i="11" l="1"/>
  <c r="F19" i="11"/>
  <c r="G19" i="11" l="1"/>
  <c r="G39" i="11"/>
  <c r="L40" i="1" l="1"/>
  <c r="L19" i="1"/>
  <c r="C15" i="11" l="1"/>
  <c r="C35" i="11"/>
  <c r="F35" i="11" l="1"/>
  <c r="F15" i="11"/>
  <c r="C34" i="11"/>
  <c r="C14" i="11"/>
  <c r="C13" i="11"/>
  <c r="C33" i="11"/>
  <c r="C37" i="11"/>
  <c r="C17" i="11"/>
  <c r="C29" i="11"/>
  <c r="C9" i="11"/>
  <c r="C11" i="11"/>
  <c r="C31" i="11"/>
  <c r="C30" i="11"/>
  <c r="C10" i="11"/>
  <c r="C36" i="11"/>
  <c r="C16" i="11"/>
  <c r="C38" i="11"/>
  <c r="C18" i="11"/>
  <c r="C12" i="11"/>
  <c r="C32" i="11"/>
  <c r="F10" i="11" l="1"/>
  <c r="F33" i="11"/>
  <c r="F30" i="11"/>
  <c r="F13" i="11"/>
  <c r="F32" i="11"/>
  <c r="F31" i="11"/>
  <c r="F14" i="11"/>
  <c r="F12" i="11"/>
  <c r="F11" i="11"/>
  <c r="F34" i="11"/>
  <c r="F18" i="11"/>
  <c r="F9" i="11"/>
  <c r="F38" i="11"/>
  <c r="F29" i="11"/>
  <c r="G15" i="11"/>
  <c r="F16" i="11"/>
  <c r="F17" i="11"/>
  <c r="F36" i="11"/>
  <c r="F37" i="11"/>
  <c r="G35" i="11"/>
  <c r="G12" i="11" l="1"/>
  <c r="G13" i="11"/>
  <c r="G18" i="11"/>
  <c r="G14" i="11"/>
  <c r="G30" i="11"/>
  <c r="G16" i="11"/>
  <c r="G36" i="11"/>
  <c r="G34" i="11"/>
  <c r="G31" i="11"/>
  <c r="G33" i="11"/>
  <c r="L36" i="1"/>
  <c r="L15" i="1"/>
  <c r="G9" i="11"/>
  <c r="G37" i="11"/>
  <c r="G29" i="11"/>
  <c r="G17" i="11"/>
  <c r="G38" i="11"/>
  <c r="G11" i="11"/>
  <c r="G32" i="11"/>
  <c r="G10" i="11"/>
  <c r="L14" i="1" l="1"/>
  <c r="L18" i="1"/>
  <c r="L10" i="1"/>
  <c r="L35" i="1"/>
  <c r="L30" i="1"/>
  <c r="L11" i="1"/>
  <c r="L38" i="1"/>
  <c r="L34" i="1"/>
  <c r="L16" i="1"/>
  <c r="L13" i="1"/>
  <c r="L17" i="1"/>
  <c r="L33" i="1"/>
  <c r="L37" i="1"/>
  <c r="L39" i="1"/>
  <c r="L9" i="1"/>
  <c r="L32" i="1"/>
  <c r="L31" i="1"/>
  <c r="L12" i="1"/>
  <c r="D109" i="11" l="1"/>
  <c r="D113" i="11" l="1"/>
  <c r="G140" i="11" l="1"/>
  <c r="F140" i="11" l="1"/>
  <c r="G98" i="11" l="1"/>
  <c r="F98" i="11" l="1"/>
  <c r="G99" i="11"/>
  <c r="L99" i="1" l="1"/>
  <c r="G100" i="11"/>
  <c r="F99" i="11"/>
  <c r="L100" i="1" l="1"/>
  <c r="F100" i="11"/>
  <c r="L101" i="1" l="1"/>
  <c r="D100" i="11" l="1"/>
  <c r="D98" i="11"/>
  <c r="D99" i="11"/>
  <c r="D95" i="11" l="1"/>
  <c r="D96" i="11"/>
  <c r="D97" i="11"/>
  <c r="C97" i="11" l="1"/>
  <c r="C96" i="11"/>
  <c r="C95" i="11"/>
  <c r="G96" i="11" l="1"/>
  <c r="G95" i="11"/>
  <c r="G97" i="11"/>
  <c r="F97" i="11" l="1"/>
  <c r="F96" i="11"/>
  <c r="F95" i="11"/>
  <c r="L96" i="1" l="1"/>
  <c r="L98" i="1"/>
  <c r="L97" i="1"/>
  <c r="F73" i="11" l="1"/>
  <c r="G73" i="11" l="1"/>
  <c r="L74" i="1"/>
  <c r="I74" i="1" l="1"/>
  <c r="C68" i="11" l="1"/>
  <c r="I68" i="11"/>
  <c r="F68" i="11"/>
  <c r="C70" i="11" l="1"/>
  <c r="F70" i="11"/>
  <c r="I70" i="11"/>
  <c r="L69" i="1"/>
  <c r="G68" i="11"/>
  <c r="J68" i="11"/>
  <c r="I69" i="1" l="1"/>
  <c r="L71" i="1"/>
  <c r="J70" i="11"/>
  <c r="G70" i="11"/>
  <c r="F69" i="11"/>
  <c r="C69" i="11"/>
  <c r="I69" i="11"/>
  <c r="F71" i="11"/>
  <c r="F72" i="11"/>
  <c r="I71" i="1" l="1"/>
  <c r="L70" i="1"/>
  <c r="J69" i="11"/>
  <c r="G69" i="11"/>
  <c r="G72" i="11"/>
  <c r="L73" i="1"/>
  <c r="G71" i="11"/>
  <c r="L72" i="1"/>
  <c r="I72" i="1" l="1"/>
  <c r="I73" i="1"/>
  <c r="I70" i="1"/>
  <c r="D118" i="11" l="1"/>
  <c r="D117" i="11"/>
  <c r="D116" i="11"/>
  <c r="D115" i="11"/>
  <c r="G114" i="11" l="1"/>
  <c r="F114" i="11" s="1"/>
</calcChain>
</file>

<file path=xl/comments1.xml><?xml version="1.0" encoding="utf-8"?>
<comments xmlns="http://schemas.openxmlformats.org/spreadsheetml/2006/main">
  <authors>
    <author>Windows User</author>
    <author>jinxin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
70213~70500  图纸   灵魂石碎片  78101~78199  装备碎片 70010~75010（ 装备的碎片做特殊处理）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
1：金币
2：钻石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
0：不可出售
1：可出售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
1：金币
2：钻石
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
-2：灰色
-1：白色
0：绿色
1：蓝色
2：紫色
3：橙色
4：红色</t>
        </r>
      </text>
    </comment>
    <comment ref="B102" authorId="0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jinxin:此为程序写死在游戏里面的金币和钻石。
</t>
        </r>
      </text>
    </comment>
    <comment ref="A138" authorId="1" shapeId="0">
      <text>
        <r>
          <rPr>
            <b/>
            <sz val="9"/>
            <color indexed="81"/>
            <rFont val="宋体"/>
            <family val="3"/>
            <charset val="134"/>
          </rPr>
          <t>halo:</t>
        </r>
        <r>
          <rPr>
            <sz val="9"/>
            <color indexed="81"/>
            <rFont val="宋体"/>
            <family val="3"/>
            <charset val="134"/>
          </rPr>
          <t xml:space="preserve">
78201-78299
活动用限时马仔碎片
道具类别：8，马仔碎片
使用限制：5，限时使用
使用效果：0，程序不读这个字段
时间限时固定为1天，如果有其他时间限制的需求，需要增加新功能</t>
        </r>
      </text>
    </comment>
  </commentList>
</comments>
</file>

<file path=xl/comments2.xml><?xml version="1.0" encoding="utf-8"?>
<comments xmlns="http://schemas.openxmlformats.org/spreadsheetml/2006/main">
  <authors>
    <author>Javy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ID 1到19用于材料合成界面，按顺序显示，有多少个就显示多少个
</t>
        </r>
      </text>
    </comment>
  </commentList>
</comments>
</file>

<file path=xl/comments3.xml><?xml version="1.0" encoding="utf-8"?>
<comments xmlns="http://schemas.openxmlformats.org/spreadsheetml/2006/main">
  <authors>
    <author>jinxin</author>
    <author>Windows User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halo:
</t>
        </r>
        <r>
          <rPr>
            <sz val="9"/>
            <color indexed="81"/>
            <rFont val="宋体"/>
            <family val="3"/>
            <charset val="134"/>
          </rPr>
          <t>不在普通/精英/挑战BOSS掉落的道具，获取途径界面显示对应的文字
显示关卡列表的优先级最高
0=关卡列表或者默认文字“该道具不在关卡中掉落”
id对应chinese表</t>
        </r>
      </text>
    </comment>
    <comment ref="B101" authorId="1" shapeId="0">
      <text>
        <r>
          <rPr>
            <b/>
            <sz val="9"/>
            <color indexed="81"/>
            <rFont val="宋体"/>
            <family val="3"/>
            <charset val="134"/>
          </rPr>
          <t>Windows User:</t>
        </r>
        <r>
          <rPr>
            <sz val="9"/>
            <color indexed="81"/>
            <rFont val="宋体"/>
            <family val="3"/>
            <charset val="134"/>
          </rPr>
          <t xml:space="preserve">
jinxin:此为程序写死在游戏里面的金币和钻石。
</t>
        </r>
      </text>
    </comment>
  </commentList>
</comments>
</file>

<file path=xl/sharedStrings.xml><?xml version="1.0" encoding="utf-8"?>
<sst xmlns="http://schemas.openxmlformats.org/spreadsheetml/2006/main" count="1705" uniqueCount="1086">
  <si>
    <t>道具ID</t>
  </si>
  <si>
    <t>道具名称</t>
  </si>
  <si>
    <t>道具类别</t>
  </si>
  <si>
    <t>使用限制</t>
  </si>
  <si>
    <t>使用效果</t>
  </si>
  <si>
    <t>限制数值</t>
  </si>
  <si>
    <t>是否可购买</t>
  </si>
  <si>
    <t>购买货币类型</t>
  </si>
  <si>
    <t>购买价格</t>
  </si>
  <si>
    <t>是否可出售</t>
  </si>
  <si>
    <t>出售货币类型</t>
  </si>
  <si>
    <t>出售价格</t>
  </si>
  <si>
    <t>合成ID</t>
  </si>
  <si>
    <t>堆叠数量</t>
  </si>
  <si>
    <t>道具颜色</t>
  </si>
  <si>
    <t>ICONID</t>
  </si>
  <si>
    <t>道具描述</t>
  </si>
  <si>
    <t>82200.png</t>
  </si>
  <si>
    <t>翅膀碎片</t>
  </si>
  <si>
    <t>82001.png</t>
  </si>
  <si>
    <t>83002.png</t>
  </si>
  <si>
    <t>83003.png</t>
  </si>
  <si>
    <t>富甲一方</t>
  </si>
  <si>
    <t>不哭死神</t>
  </si>
  <si>
    <t>至尊王者</t>
  </si>
  <si>
    <t>1002.png</t>
  </si>
  <si>
    <t>1005.png</t>
  </si>
  <si>
    <t>1010.png</t>
  </si>
  <si>
    <t>1011.png</t>
  </si>
  <si>
    <t>1101.png</t>
  </si>
  <si>
    <t>1102.png</t>
  </si>
  <si>
    <t>1103.png</t>
  </si>
  <si>
    <t>1104.png</t>
  </si>
  <si>
    <t>70101.png</t>
  </si>
  <si>
    <t>70201.png</t>
  </si>
  <si>
    <t>70301.png</t>
  </si>
  <si>
    <t>70501.png</t>
  </si>
  <si>
    <t>70401.png</t>
  </si>
  <si>
    <t>81003.png</t>
  </si>
  <si>
    <t>部位材料(武器)</t>
  </si>
  <si>
    <t>部位材料(衣服)</t>
  </si>
  <si>
    <t>部位材料(鞋子)</t>
  </si>
  <si>
    <t>80110.png</t>
  </si>
  <si>
    <t>87200.png</t>
  </si>
  <si>
    <t>83300.png</t>
  </si>
  <si>
    <t>80111.png</t>
  </si>
  <si>
    <t>80112.png</t>
  </si>
  <si>
    <t>91001.png</t>
  </si>
  <si>
    <t>81010.png</t>
  </si>
  <si>
    <t>1001.png</t>
  </si>
  <si>
    <t>1004.png</t>
  </si>
  <si>
    <t>1105.png</t>
  </si>
  <si>
    <t>1012.png</t>
  </si>
  <si>
    <t>1106.png</t>
  </si>
  <si>
    <t>1107.png</t>
  </si>
  <si>
    <t>1108.png</t>
  </si>
  <si>
    <t>1109.png</t>
  </si>
  <si>
    <t>70001.png</t>
  </si>
  <si>
    <t>70002.png</t>
  </si>
  <si>
    <t>70003.png</t>
  </si>
  <si>
    <t>82100.png</t>
  </si>
  <si>
    <t>91100.png</t>
  </si>
  <si>
    <t>91200.png</t>
  </si>
  <si>
    <t>91300.png</t>
  </si>
  <si>
    <t>87100.png</t>
  </si>
  <si>
    <t>87400.png</t>
  </si>
  <si>
    <t>89100.png</t>
  </si>
  <si>
    <t>89200.png</t>
  </si>
  <si>
    <t>89300.png</t>
  </si>
  <si>
    <t>83100.png</t>
  </si>
  <si>
    <t>70010.png</t>
  </si>
  <si>
    <t>71010.png</t>
  </si>
  <si>
    <t>72010.png</t>
  </si>
  <si>
    <t>73010.png</t>
  </si>
  <si>
    <t>74010.png</t>
  </si>
  <si>
    <t>75010.png</t>
  </si>
  <si>
    <t>70020.png</t>
  </si>
  <si>
    <t>71020.png</t>
  </si>
  <si>
    <t>72020.png</t>
  </si>
  <si>
    <t>73020.png</t>
  </si>
  <si>
    <t>74020.png</t>
  </si>
  <si>
    <t>75020.png</t>
  </si>
  <si>
    <t>70030.png</t>
  </si>
  <si>
    <t>71030.png</t>
  </si>
  <si>
    <t>72030.png</t>
  </si>
  <si>
    <t>73030.png</t>
  </si>
  <si>
    <t>74030.png</t>
  </si>
  <si>
    <t>75030.png</t>
  </si>
  <si>
    <t>1</t>
  </si>
  <si>
    <t>2</t>
  </si>
  <si>
    <t>10203.png</t>
  </si>
  <si>
    <t>20203.png</t>
  </si>
  <si>
    <t>3</t>
  </si>
  <si>
    <t>30203.png</t>
  </si>
  <si>
    <t>4</t>
  </si>
  <si>
    <t>40203.png</t>
  </si>
  <si>
    <t>51203.png</t>
  </si>
  <si>
    <t>52203.png</t>
  </si>
  <si>
    <t>53203.png</t>
  </si>
  <si>
    <t>54203.png</t>
  </si>
  <si>
    <t>55203.png</t>
  </si>
  <si>
    <t>10204.png</t>
  </si>
  <si>
    <t>20204.png</t>
  </si>
  <si>
    <t>30204.png</t>
  </si>
  <si>
    <t>40204.png</t>
  </si>
  <si>
    <t>51204.png</t>
  </si>
  <si>
    <t>52204.png</t>
  </si>
  <si>
    <t>53204.png</t>
  </si>
  <si>
    <t>54204.png</t>
  </si>
  <si>
    <t>55204.png</t>
  </si>
  <si>
    <t>10305.png</t>
  </si>
  <si>
    <t>20305.png</t>
  </si>
  <si>
    <t>30305.png</t>
  </si>
  <si>
    <t>40305.png</t>
  </si>
  <si>
    <t>51305.png</t>
  </si>
  <si>
    <t>52305.png</t>
  </si>
  <si>
    <t>53305.png</t>
  </si>
  <si>
    <t>54305.png</t>
  </si>
  <si>
    <t>55305.png</t>
  </si>
  <si>
    <t>10306.png</t>
  </si>
  <si>
    <t>20306.png</t>
  </si>
  <si>
    <t>30306.png</t>
  </si>
  <si>
    <t>40306.png</t>
  </si>
  <si>
    <t>51306.png</t>
  </si>
  <si>
    <t>52306.png</t>
  </si>
  <si>
    <t>53306.png</t>
  </si>
  <si>
    <t>54306.png</t>
  </si>
  <si>
    <t>55306.png</t>
  </si>
  <si>
    <t>10307.png</t>
  </si>
  <si>
    <t>20307.png</t>
  </si>
  <si>
    <t>30307.png</t>
  </si>
  <si>
    <t>40307.png</t>
  </si>
  <si>
    <t>51307.png</t>
  </si>
  <si>
    <t>52307.png</t>
  </si>
  <si>
    <t>53307.png</t>
  </si>
  <si>
    <t>54307.png</t>
  </si>
  <si>
    <t>55307.png</t>
  </si>
  <si>
    <t>10405.png</t>
  </si>
  <si>
    <t>20405.png</t>
  </si>
  <si>
    <t>30405.png</t>
  </si>
  <si>
    <t>40405.png</t>
  </si>
  <si>
    <t>51405.png</t>
  </si>
  <si>
    <t>52405.png</t>
  </si>
  <si>
    <t>53405.png</t>
  </si>
  <si>
    <t>54405.png</t>
  </si>
  <si>
    <t>55405.png</t>
  </si>
  <si>
    <t>10406.png</t>
  </si>
  <si>
    <t>20406.png</t>
  </si>
  <si>
    <t>30406.png</t>
  </si>
  <si>
    <t>40406.png</t>
  </si>
  <si>
    <t>51406.png</t>
  </si>
  <si>
    <t>52406.png</t>
  </si>
  <si>
    <t>53406.png</t>
  </si>
  <si>
    <t>54406.png</t>
  </si>
  <si>
    <t>55406.png</t>
  </si>
  <si>
    <t>10407.png</t>
  </si>
  <si>
    <t>20407.png</t>
  </si>
  <si>
    <t>30407.png</t>
  </si>
  <si>
    <t>40407.png</t>
  </si>
  <si>
    <t>51407.png</t>
  </si>
  <si>
    <t>52407.png</t>
  </si>
  <si>
    <t>53407.png</t>
  </si>
  <si>
    <t>54407.png</t>
  </si>
  <si>
    <t>55407.png</t>
  </si>
  <si>
    <t>钻石消耗</t>
  </si>
  <si>
    <t>金币消耗</t>
  </si>
  <si>
    <t>合成名字</t>
  </si>
  <si>
    <t>合成产物ID</t>
  </si>
  <si>
    <t>装备颜色</t>
  </si>
  <si>
    <t>合成组数</t>
  </si>
  <si>
    <t>合成材料1ID</t>
  </si>
  <si>
    <t>合成材料1数量</t>
  </si>
  <si>
    <t>合成材料2ID</t>
  </si>
  <si>
    <t>合成材料2数量</t>
  </si>
  <si>
    <t>合成材料3ID</t>
  </si>
  <si>
    <t>合成材料3数量</t>
  </si>
  <si>
    <t>等级限制</t>
  </si>
  <si>
    <t>//0.无效</t>
  </si>
  <si>
    <t>//0 不可使用</t>
  </si>
  <si>
    <t>使用效果为空：物品不能使用</t>
  </si>
  <si>
    <r>
      <t>/</t>
    </r>
    <r>
      <rPr>
        <sz val="11"/>
        <color theme="1"/>
        <rFont val="宋体"/>
        <family val="2"/>
        <scheme val="minor"/>
      </rPr>
      <t>/0不可出售</t>
    </r>
  </si>
  <si>
    <r>
      <t>/</t>
    </r>
    <r>
      <rPr>
        <sz val="11"/>
        <color theme="1"/>
        <rFont val="宋体"/>
        <family val="2"/>
        <scheme val="minor"/>
      </rPr>
      <t>/1为金币</t>
    </r>
  </si>
  <si>
    <t>//1.增加马仔经验</t>
  </si>
  <si>
    <t xml:space="preserve"> //1 等级限制</t>
  </si>
  <si>
    <t>增加马仔经验值</t>
  </si>
  <si>
    <r>
      <t>/</t>
    </r>
    <r>
      <rPr>
        <sz val="11"/>
        <color theme="1"/>
        <rFont val="宋体"/>
        <family val="2"/>
        <scheme val="minor"/>
      </rPr>
      <t>/1可出售</t>
    </r>
  </si>
  <si>
    <t>//2为钻石</t>
  </si>
  <si>
    <t>0.材料</t>
    <phoneticPr fontId="3" type="noConversion"/>
  </si>
  <si>
    <t>//2.增加金币</t>
  </si>
  <si>
    <t>//2 vip限制</t>
  </si>
  <si>
    <t>增加玩家金币数量</t>
  </si>
  <si>
    <t>1.马仔药水</t>
    <phoneticPr fontId="3" type="noConversion"/>
  </si>
  <si>
    <r>
      <t>//3</t>
    </r>
    <r>
      <rPr>
        <sz val="11"/>
        <color theme="1"/>
        <rFont val="宋体"/>
        <family val="2"/>
        <scheme val="minor"/>
      </rPr>
      <t>.</t>
    </r>
    <r>
      <rPr>
        <sz val="11"/>
        <color theme="1"/>
        <rFont val="宋体"/>
        <family val="2"/>
        <scheme val="minor"/>
      </rPr>
      <t>打开礼包</t>
    </r>
  </si>
  <si>
    <t>//3 职业限制</t>
  </si>
  <si>
    <t>2.道具</t>
    <phoneticPr fontId="3" type="noConversion"/>
  </si>
  <si>
    <t>//4.增加vip等级</t>
  </si>
  <si>
    <t>//4 无限制</t>
  </si>
  <si>
    <r>
      <t>增加玩家V</t>
    </r>
    <r>
      <rPr>
        <sz val="11"/>
        <color theme="1"/>
        <rFont val="宋体"/>
        <family val="2"/>
        <scheme val="minor"/>
      </rPr>
      <t>IP等级</t>
    </r>
  </si>
  <si>
    <r>
      <t>3</t>
    </r>
    <r>
      <rPr>
        <sz val="11"/>
        <color theme="1"/>
        <rFont val="宋体"/>
        <family val="2"/>
        <scheme val="minor"/>
      </rPr>
      <t>.</t>
    </r>
    <r>
      <rPr>
        <sz val="11"/>
        <color theme="1"/>
        <rFont val="宋体"/>
        <family val="2"/>
        <scheme val="minor"/>
      </rPr>
      <t>礼包</t>
    </r>
    <phoneticPr fontId="3" type="noConversion"/>
  </si>
  <si>
    <t>//5.BUFF属性</t>
  </si>
  <si>
    <t>//5时间限制</t>
    <phoneticPr fontId="3" type="noConversion"/>
  </si>
  <si>
    <t>4.体验卡</t>
    <phoneticPr fontId="3" type="noConversion"/>
  </si>
  <si>
    <t>//6.增加血量</t>
  </si>
  <si>
    <t>增加玩家血量</t>
  </si>
  <si>
    <t>5.道具</t>
    <phoneticPr fontId="3" type="noConversion"/>
  </si>
  <si>
    <t>//7.增加钻石</t>
  </si>
  <si>
    <t>6.道具</t>
    <phoneticPr fontId="3" type="noConversion"/>
  </si>
  <si>
    <t>//8.马仔升星材料</t>
  </si>
  <si>
    <t>7.钻石卡</t>
    <phoneticPr fontId="3" type="noConversion"/>
  </si>
  <si>
    <t>//9.增加体力</t>
  </si>
  <si>
    <t>8.灵魂石</t>
    <phoneticPr fontId="3" type="noConversion"/>
  </si>
  <si>
    <t>//10.增加龙魂</t>
  </si>
  <si>
    <t>9.道具</t>
    <phoneticPr fontId="3" type="noConversion"/>
  </si>
  <si>
    <t>//11.合成图纸类型</t>
  </si>
  <si>
    <t>10.道具</t>
    <phoneticPr fontId="3" type="noConversion"/>
  </si>
  <si>
    <r>
      <t>/</t>
    </r>
    <r>
      <rPr>
        <sz val="11"/>
        <color indexed="8"/>
        <rFont val="宋体"/>
        <family val="3"/>
        <charset val="134"/>
      </rPr>
      <t>/31.装备碎片</t>
    </r>
    <phoneticPr fontId="3" type="noConversion"/>
  </si>
  <si>
    <t>11.图纸</t>
    <phoneticPr fontId="3" type="noConversion"/>
  </si>
  <si>
    <r>
      <t>/</t>
    </r>
    <r>
      <rPr>
        <sz val="11"/>
        <color indexed="8"/>
        <rFont val="宋体"/>
        <family val="3"/>
        <charset val="134"/>
      </rPr>
      <t>/12.称号道具</t>
    </r>
    <phoneticPr fontId="3" type="noConversion"/>
  </si>
  <si>
    <t>31.材料</t>
    <phoneticPr fontId="3" type="noConversion"/>
  </si>
  <si>
    <r>
      <t>//13.时效称号道具</t>
    </r>
    <r>
      <rPr>
        <sz val="12"/>
        <rFont val="宋体"/>
        <family val="3"/>
        <charset val="134"/>
      </rPr>
      <t/>
    </r>
    <phoneticPr fontId="3" type="noConversion"/>
  </si>
  <si>
    <t>副本1ID</t>
  </si>
  <si>
    <t>副本2ID</t>
  </si>
  <si>
    <t>副本3ID</t>
  </si>
  <si>
    <t>副本4ID</t>
  </si>
  <si>
    <t>副本5ID</t>
  </si>
  <si>
    <t>副本6ID</t>
  </si>
  <si>
    <t>副本7ID</t>
  </si>
  <si>
    <t>副本8ID</t>
  </si>
  <si>
    <t>来源组数</t>
    <phoneticPr fontId="1" type="noConversion"/>
  </si>
  <si>
    <t>强化石</t>
    <phoneticPr fontId="1" type="noConversion"/>
  </si>
  <si>
    <t>副本9ID</t>
  </si>
  <si>
    <t>副本10ID</t>
  </si>
  <si>
    <t>副本11ID</t>
  </si>
  <si>
    <t>副本12ID</t>
  </si>
  <si>
    <t>副本13ID</t>
  </si>
  <si>
    <t>副本14ID</t>
  </si>
  <si>
    <t>双倍经验卡（1天）</t>
    <phoneticPr fontId="1" type="noConversion"/>
  </si>
  <si>
    <t>双倍经验卡（2天）</t>
    <phoneticPr fontId="1" type="noConversion"/>
  </si>
  <si>
    <t>//14.副本经验翻倍</t>
    <phoneticPr fontId="1" type="noConversion"/>
  </si>
  <si>
    <t>N小时后经验翻倍失效</t>
    <phoneticPr fontId="1" type="noConversion"/>
  </si>
  <si>
    <t>//15.增加命运石</t>
    <phoneticPr fontId="1" type="noConversion"/>
  </si>
  <si>
    <t>增加玩家钻石数量</t>
    <phoneticPr fontId="1" type="noConversion"/>
  </si>
  <si>
    <t>增加玩家命运石数量</t>
    <phoneticPr fontId="1" type="noConversion"/>
  </si>
  <si>
    <t>摩拉</t>
  </si>
  <si>
    <t>月立</t>
  </si>
  <si>
    <t>赤金戒指</t>
  </si>
  <si>
    <t>法拉捷</t>
  </si>
  <si>
    <t>冬利</t>
  </si>
  <si>
    <t>月立碎片</t>
  </si>
  <si>
    <t>赤金戒指碎片</t>
  </si>
  <si>
    <t>法拉捷碎片</t>
  </si>
  <si>
    <t>89101.png</t>
    <phoneticPr fontId="1" type="noConversion"/>
  </si>
  <si>
    <t>//16.增加vip经验值</t>
    <phoneticPr fontId="1" type="noConversion"/>
  </si>
  <si>
    <t>ID</t>
    <phoneticPr fontId="1" type="noConversion"/>
  </si>
  <si>
    <t>名字</t>
    <phoneticPr fontId="1" type="noConversion"/>
  </si>
  <si>
    <t>价值评估</t>
    <phoneticPr fontId="1" type="noConversion"/>
  </si>
  <si>
    <t>稀有度</t>
    <phoneticPr fontId="1" type="noConversion"/>
  </si>
  <si>
    <t>金币价格</t>
    <phoneticPr fontId="1" type="noConversion"/>
  </si>
  <si>
    <t>钻石价格</t>
    <phoneticPr fontId="1" type="noConversion"/>
  </si>
  <si>
    <t>需求量</t>
    <phoneticPr fontId="1" type="noConversion"/>
  </si>
  <si>
    <t>合成材料1名称</t>
    <phoneticPr fontId="1" type="noConversion"/>
  </si>
  <si>
    <t>合成材料2名称</t>
    <phoneticPr fontId="1" type="noConversion"/>
  </si>
  <si>
    <t>副本15ID</t>
  </si>
  <si>
    <t>副本16ID</t>
  </si>
  <si>
    <t>扛把子</t>
  </si>
  <si>
    <t>神之手</t>
  </si>
  <si>
    <t>扛把子(3天)</t>
  </si>
  <si>
    <t>神之手(3天)</t>
  </si>
  <si>
    <t>富甲一方(3天)</t>
  </si>
  <si>
    <t>不哭死神(3天)</t>
  </si>
  <si>
    <t>至尊王者(3天)</t>
  </si>
  <si>
    <t>蓝色装备碎片（无用）</t>
    <phoneticPr fontId="1" type="noConversion"/>
  </si>
  <si>
    <t>紫色装备碎片（无用）</t>
    <phoneticPr fontId="1" type="noConversion"/>
  </si>
  <si>
    <t>橙色装备碎片（无用）</t>
    <phoneticPr fontId="1" type="noConversion"/>
  </si>
  <si>
    <t>89107.png</t>
    <phoneticPr fontId="1" type="noConversion"/>
  </si>
  <si>
    <t>83304.png</t>
    <phoneticPr fontId="1" type="noConversion"/>
  </si>
  <si>
    <t>85200.png</t>
    <phoneticPr fontId="1" type="noConversion"/>
  </si>
  <si>
    <t>85300.png</t>
    <phoneticPr fontId="1" type="noConversion"/>
  </si>
  <si>
    <t>85400.png</t>
  </si>
  <si>
    <t>85500.png</t>
  </si>
  <si>
    <t>马仔经验药水</t>
  </si>
  <si>
    <t>金币卡</t>
  </si>
  <si>
    <t>VIP礼包</t>
  </si>
  <si>
    <t>VIP体验卡</t>
  </si>
  <si>
    <t>巨额金币卡</t>
  </si>
  <si>
    <t>扫荡券</t>
  </si>
  <si>
    <t>洪兴新星</t>
  </si>
  <si>
    <t>洪兴打仔</t>
  </si>
  <si>
    <t>二路元帅</t>
  </si>
  <si>
    <t>战无不胜</t>
  </si>
  <si>
    <t>猛龙过江</t>
  </si>
  <si>
    <t>壕气冲天</t>
  </si>
  <si>
    <t>富可敌国</t>
  </si>
  <si>
    <t>战斗狂人</t>
  </si>
  <si>
    <t>干架王</t>
  </si>
  <si>
    <t>破坏王</t>
  </si>
  <si>
    <t>战无尽</t>
  </si>
  <si>
    <t>绝世战神</t>
  </si>
  <si>
    <t>横砍一条街</t>
  </si>
  <si>
    <t>洪兴新星(3天)</t>
  </si>
  <si>
    <t>洪兴打仔(3天)</t>
  </si>
  <si>
    <t>二路元帅(3天)</t>
  </si>
  <si>
    <t>战无不胜(3天)</t>
  </si>
  <si>
    <t>猛龙过江(3天)</t>
  </si>
  <si>
    <t>壕气冲天(3天)</t>
  </si>
  <si>
    <t>富可敌国(3天)</t>
  </si>
  <si>
    <t>战斗狂人(3天)</t>
  </si>
  <si>
    <t>干架王(3天)</t>
  </si>
  <si>
    <t>破坏王(3天)</t>
  </si>
  <si>
    <t>战无尽(3天)</t>
  </si>
  <si>
    <t>绝世战神(3天)</t>
  </si>
  <si>
    <t>横砍一条街(3天)</t>
  </si>
  <si>
    <t>低级强化石</t>
  </si>
  <si>
    <t>中级强化石</t>
  </si>
  <si>
    <t>高级强化石</t>
  </si>
  <si>
    <t>初级升星石</t>
  </si>
  <si>
    <t>中级升星石</t>
  </si>
  <si>
    <t>高级升星石</t>
  </si>
  <si>
    <t>部位材料(裤子)</t>
  </si>
  <si>
    <t>部位材料(项链)</t>
  </si>
  <si>
    <t>部位材料(腰带)</t>
  </si>
  <si>
    <t>钻石</t>
  </si>
  <si>
    <t>金币</t>
  </si>
  <si>
    <t>龙魂币</t>
  </si>
  <si>
    <t>命运石</t>
  </si>
  <si>
    <t>擂台币</t>
  </si>
  <si>
    <t>高级装备升级石</t>
  </si>
  <si>
    <t>稀有装备升级石</t>
  </si>
  <si>
    <t>史诗装备升级石</t>
  </si>
  <si>
    <t>马仔经验药水</t>
    <phoneticPr fontId="1" type="noConversion"/>
  </si>
  <si>
    <t>金币卡</t>
    <phoneticPr fontId="1" type="noConversion"/>
  </si>
  <si>
    <t>VIP礼包</t>
    <phoneticPr fontId="1" type="noConversion"/>
  </si>
  <si>
    <t>VIP体验卡</t>
    <phoneticPr fontId="1" type="noConversion"/>
  </si>
  <si>
    <t>巨额金币卡</t>
    <phoneticPr fontId="1" type="noConversion"/>
  </si>
  <si>
    <t>扫荡券</t>
    <phoneticPr fontId="1" type="noConversion"/>
  </si>
  <si>
    <t>洪兴新星</t>
    <phoneticPr fontId="1" type="noConversion"/>
  </si>
  <si>
    <t>洪兴打仔</t>
    <phoneticPr fontId="1" type="noConversion"/>
  </si>
  <si>
    <t>二路元帅</t>
    <phoneticPr fontId="1" type="noConversion"/>
  </si>
  <si>
    <t>战无不胜</t>
    <phoneticPr fontId="1" type="noConversion"/>
  </si>
  <si>
    <t>猛龙过江</t>
    <phoneticPr fontId="1" type="noConversion"/>
  </si>
  <si>
    <t>壕气冲天</t>
    <phoneticPr fontId="1" type="noConversion"/>
  </si>
  <si>
    <t>富可敌国</t>
    <phoneticPr fontId="1" type="noConversion"/>
  </si>
  <si>
    <t>战斗狂人</t>
    <phoneticPr fontId="1" type="noConversion"/>
  </si>
  <si>
    <t>干架王</t>
    <phoneticPr fontId="1" type="noConversion"/>
  </si>
  <si>
    <t>破坏王</t>
    <phoneticPr fontId="1" type="noConversion"/>
  </si>
  <si>
    <t>战无尽</t>
    <phoneticPr fontId="1" type="noConversion"/>
  </si>
  <si>
    <t>绝世战神</t>
    <phoneticPr fontId="1" type="noConversion"/>
  </si>
  <si>
    <t>横砍一条街</t>
    <phoneticPr fontId="1" type="noConversion"/>
  </si>
  <si>
    <t>洪兴新星(3天)</t>
    <phoneticPr fontId="1" type="noConversion"/>
  </si>
  <si>
    <t>洪兴打仔(3天)</t>
    <phoneticPr fontId="1" type="noConversion"/>
  </si>
  <si>
    <t>二路元帅(3天)</t>
    <phoneticPr fontId="1" type="noConversion"/>
  </si>
  <si>
    <t>战无不胜(3天)</t>
    <phoneticPr fontId="1" type="noConversion"/>
  </si>
  <si>
    <t>猛龙过江(3天)</t>
    <phoneticPr fontId="1" type="noConversion"/>
  </si>
  <si>
    <t>壕气冲天(3天)</t>
    <phoneticPr fontId="1" type="noConversion"/>
  </si>
  <si>
    <t>富可敌国(3天)</t>
    <phoneticPr fontId="1" type="noConversion"/>
  </si>
  <si>
    <t>战斗狂人(3天)</t>
    <phoneticPr fontId="1" type="noConversion"/>
  </si>
  <si>
    <t>干架王(3天)</t>
    <phoneticPr fontId="1" type="noConversion"/>
  </si>
  <si>
    <t>破坏王(3天)</t>
    <phoneticPr fontId="1" type="noConversion"/>
  </si>
  <si>
    <t>战无尽(3天)</t>
    <phoneticPr fontId="1" type="noConversion"/>
  </si>
  <si>
    <t>绝世战神(3天)</t>
    <phoneticPr fontId="1" type="noConversion"/>
  </si>
  <si>
    <t>横砍一条街(3天)</t>
    <phoneticPr fontId="1" type="noConversion"/>
  </si>
  <si>
    <t>低级强化石</t>
    <phoneticPr fontId="1" type="noConversion"/>
  </si>
  <si>
    <t>中级强化石</t>
    <phoneticPr fontId="1" type="noConversion"/>
  </si>
  <si>
    <t>高级强化石</t>
    <phoneticPr fontId="1" type="noConversion"/>
  </si>
  <si>
    <t>初级升星石</t>
    <phoneticPr fontId="1" type="noConversion"/>
  </si>
  <si>
    <t>中级升星石</t>
    <phoneticPr fontId="1" type="noConversion"/>
  </si>
  <si>
    <t>高级阶升星石</t>
    <phoneticPr fontId="1" type="noConversion"/>
  </si>
  <si>
    <t>4阶升星石(不用）</t>
    <phoneticPr fontId="1" type="noConversion"/>
  </si>
  <si>
    <t>5阶升星石（不用）</t>
    <phoneticPr fontId="1" type="noConversion"/>
  </si>
  <si>
    <t>金币卡(1万)</t>
    <phoneticPr fontId="1" type="noConversion"/>
  </si>
  <si>
    <t>金币卡(2万)</t>
    <phoneticPr fontId="1" type="noConversion"/>
  </si>
  <si>
    <t>金币卡(5万)</t>
    <phoneticPr fontId="1" type="noConversion"/>
  </si>
  <si>
    <t>马仔经验合剂</t>
    <phoneticPr fontId="1" type="noConversion"/>
  </si>
  <si>
    <t>马仔经验甘露</t>
    <phoneticPr fontId="1" type="noConversion"/>
  </si>
  <si>
    <t>钻石兑换卡(100)</t>
    <phoneticPr fontId="1" type="noConversion"/>
  </si>
  <si>
    <t>钻石兑换卡(500)</t>
    <phoneticPr fontId="1" type="noConversion"/>
  </si>
  <si>
    <t>钻石兑换卡(1000)</t>
    <phoneticPr fontId="1" type="noConversion"/>
  </si>
  <si>
    <t>初级体力药水</t>
    <phoneticPr fontId="1" type="noConversion"/>
  </si>
  <si>
    <t>中级体力药水</t>
    <phoneticPr fontId="1" type="noConversion"/>
  </si>
  <si>
    <t>高级体力药水</t>
    <phoneticPr fontId="1" type="noConversion"/>
  </si>
  <si>
    <t>成长礼包</t>
    <phoneticPr fontId="1" type="noConversion"/>
  </si>
  <si>
    <t>部位材料(裤子)</t>
    <phoneticPr fontId="1" type="noConversion"/>
  </si>
  <si>
    <t>部位材料(项链)</t>
    <phoneticPr fontId="1" type="noConversion"/>
  </si>
  <si>
    <t>部位材料(腰带)</t>
    <phoneticPr fontId="1" type="noConversion"/>
  </si>
  <si>
    <t>龙魂币(250)</t>
    <phoneticPr fontId="1" type="noConversion"/>
  </si>
  <si>
    <t>龙魂币(500)</t>
    <phoneticPr fontId="1" type="noConversion"/>
  </si>
  <si>
    <t>龙魂币(1000)</t>
    <phoneticPr fontId="1" type="noConversion"/>
  </si>
  <si>
    <t>命运石(5000)</t>
    <phoneticPr fontId="1" type="noConversion"/>
  </si>
  <si>
    <t>命运石(1万)</t>
    <phoneticPr fontId="1" type="noConversion"/>
  </si>
  <si>
    <t>命运石(2万)</t>
    <phoneticPr fontId="1" type="noConversion"/>
  </si>
  <si>
    <t>钻石</t>
    <phoneticPr fontId="1" type="noConversion"/>
  </si>
  <si>
    <t>金币</t>
    <phoneticPr fontId="1" type="noConversion"/>
  </si>
  <si>
    <t>龙魂币</t>
    <phoneticPr fontId="1" type="noConversion"/>
  </si>
  <si>
    <t>命运石</t>
    <phoneticPr fontId="1" type="noConversion"/>
  </si>
  <si>
    <t>擂台币</t>
    <phoneticPr fontId="1" type="noConversion"/>
  </si>
  <si>
    <t>vip经验卡</t>
    <phoneticPr fontId="1" type="noConversion"/>
  </si>
  <si>
    <t>技能升级石</t>
    <phoneticPr fontId="1" type="noConversion"/>
  </si>
  <si>
    <t>高级装备升级石</t>
    <phoneticPr fontId="1" type="noConversion"/>
  </si>
  <si>
    <t>稀有装备升级石</t>
    <phoneticPr fontId="1" type="noConversion"/>
  </si>
  <si>
    <t>史诗装备升级石</t>
    <phoneticPr fontId="1" type="noConversion"/>
  </si>
  <si>
    <t>传说装备升级石</t>
    <phoneticPr fontId="1" type="noConversion"/>
  </si>
  <si>
    <t>马仔经验药水</t>
    <phoneticPr fontId="1" type="noConversion"/>
  </si>
  <si>
    <t>使用后可以为指定马仔提供300点经验值</t>
    <phoneticPr fontId="1" type="noConversion"/>
  </si>
  <si>
    <t>金币卡</t>
    <phoneticPr fontId="1" type="noConversion"/>
  </si>
  <si>
    <t>使用后可以兑换100金币的神奇卡片</t>
    <phoneticPr fontId="1" type="noConversion"/>
  </si>
  <si>
    <t>VIP礼包</t>
    <phoneticPr fontId="1" type="noConversion"/>
  </si>
  <si>
    <t>为VIP特供的豪华尊享礼包</t>
    <phoneticPr fontId="1" type="noConversion"/>
  </si>
  <si>
    <t>VIP体验卡</t>
    <phoneticPr fontId="1" type="noConversion"/>
  </si>
  <si>
    <t>使用后可获得1天的VIP4特权</t>
    <phoneticPr fontId="1" type="noConversion"/>
  </si>
  <si>
    <t>可用于&lt;翅膀培养&gt;</t>
    <phoneticPr fontId="1" type="noConversion"/>
  </si>
  <si>
    <t>巨额金币卡</t>
    <phoneticPr fontId="1" type="noConversion"/>
  </si>
  <si>
    <t>世间罕见之物，使用后可以兑换10000金币的神奇卡片</t>
    <phoneticPr fontId="1" type="noConversion"/>
  </si>
  <si>
    <t>扫荡券</t>
    <phoneticPr fontId="1" type="noConversion"/>
  </si>
  <si>
    <t>用来快速通关的稀有票券</t>
    <phoneticPr fontId="1" type="noConversion"/>
  </si>
  <si>
    <t>洪兴新星</t>
    <phoneticPr fontId="1" type="noConversion"/>
  </si>
  <si>
    <t>可以用来激活称号&lt;洪兴新星&gt;的特殊物品</t>
  </si>
  <si>
    <t>洪兴打仔</t>
    <phoneticPr fontId="1" type="noConversion"/>
  </si>
  <si>
    <t>可以用来激活称号&lt;洪兴打仔&gt;的特殊物品</t>
  </si>
  <si>
    <t>可以用来激活称号&lt;扛把子&gt;的特殊物品</t>
  </si>
  <si>
    <t>二路元帅</t>
    <phoneticPr fontId="1" type="noConversion"/>
  </si>
  <si>
    <t>可以用来激活称号&lt;二路元帅&gt;的特殊物品</t>
  </si>
  <si>
    <t>战无不胜</t>
    <phoneticPr fontId="1" type="noConversion"/>
  </si>
  <si>
    <t>可以用来激活称号&lt;战无不胜&gt;的特殊物品</t>
  </si>
  <si>
    <t>猛龙过江</t>
    <phoneticPr fontId="1" type="noConversion"/>
  </si>
  <si>
    <t>可以用来激活称号&lt;猛龙过江&gt;的特殊物品</t>
  </si>
  <si>
    <t>可以用来激活称号&lt;神之手&gt;的特殊物品</t>
  </si>
  <si>
    <t>可以用来激活称号&lt;富甲一方&gt;的特殊物品</t>
  </si>
  <si>
    <t>壕气冲天</t>
    <phoneticPr fontId="1" type="noConversion"/>
  </si>
  <si>
    <t>可以用来激活称号&lt;壕气冲天&gt;的特殊物品</t>
  </si>
  <si>
    <t>富可敌国</t>
    <phoneticPr fontId="1" type="noConversion"/>
  </si>
  <si>
    <t>可以用来激活称号&lt;富可敌国&gt;的特殊物品</t>
  </si>
  <si>
    <t>战斗狂人</t>
    <phoneticPr fontId="1" type="noConversion"/>
  </si>
  <si>
    <t>可以用来激活称号&lt;战斗狂人&gt;的特殊物品</t>
  </si>
  <si>
    <t>可以用来激活称号&lt;不哭死神&gt;的特殊物品</t>
  </si>
  <si>
    <t>干架王</t>
    <phoneticPr fontId="1" type="noConversion"/>
  </si>
  <si>
    <t>可以用来激活称号&lt;干架王&gt;的特殊物品</t>
  </si>
  <si>
    <t>破坏王</t>
    <phoneticPr fontId="1" type="noConversion"/>
  </si>
  <si>
    <t>可以用来激活称号&lt;破坏王&gt;的特殊物品</t>
  </si>
  <si>
    <t>战无尽</t>
    <phoneticPr fontId="1" type="noConversion"/>
  </si>
  <si>
    <t>可以用来激活称号&lt;战无尽&gt;的特殊物品</t>
  </si>
  <si>
    <t>绝世战神</t>
    <phoneticPr fontId="1" type="noConversion"/>
  </si>
  <si>
    <t>可以用来激活称号&lt;绝世战神&gt;的特殊物品</t>
  </si>
  <si>
    <t>可以用来激活称号&lt;至尊王者&gt;的特殊物品</t>
  </si>
  <si>
    <t>横砍一条街</t>
    <phoneticPr fontId="1" type="noConversion"/>
  </si>
  <si>
    <t>可以用来激活称号&lt;横砍一条街&gt;的特殊物品</t>
  </si>
  <si>
    <t>干架王</t>
    <phoneticPr fontId="1" type="noConversion"/>
  </si>
  <si>
    <t>破坏王</t>
    <phoneticPr fontId="1" type="noConversion"/>
  </si>
  <si>
    <t>灵魂石(亚芝)</t>
    <phoneticPr fontId="1" type="noConversion"/>
  </si>
  <si>
    <t>可以招募亚芝，同时也是亚芝升阶的必备材料</t>
    <phoneticPr fontId="1" type="noConversion"/>
  </si>
  <si>
    <t>灵魂石(蟹仔)</t>
    <phoneticPr fontId="1" type="noConversion"/>
  </si>
  <si>
    <t>可以招募蟹仔，同时也是蟹仔升阶的必备材料</t>
    <phoneticPr fontId="1" type="noConversion"/>
  </si>
  <si>
    <t>灵魂石(比利)</t>
    <phoneticPr fontId="1" type="noConversion"/>
  </si>
  <si>
    <t>可以招募比利，同时也是比利升阶的必备材料</t>
    <phoneticPr fontId="1" type="noConversion"/>
  </si>
  <si>
    <t>灵魂石(黎九)</t>
    <phoneticPr fontId="1" type="noConversion"/>
  </si>
  <si>
    <t>可以招募黎九，同时也是黎九升阶的必备材料</t>
    <phoneticPr fontId="1" type="noConversion"/>
  </si>
  <si>
    <t>灵魂石(黑古)</t>
    <phoneticPr fontId="1" type="noConversion"/>
  </si>
  <si>
    <t>可以招募黑古，同时也是黑古升阶的必备材料</t>
    <phoneticPr fontId="1" type="noConversion"/>
  </si>
  <si>
    <t>灵魂石(靓坤)</t>
    <phoneticPr fontId="1" type="noConversion"/>
  </si>
  <si>
    <t>可以招募靓坤，同时也是靓坤升阶的必备材料</t>
    <phoneticPr fontId="1" type="noConversion"/>
  </si>
  <si>
    <t>灵魂石(乌鸦)</t>
    <phoneticPr fontId="1" type="noConversion"/>
  </si>
  <si>
    <t>可以招募乌鸦，同时也是乌鸦升阶的必备材料</t>
    <phoneticPr fontId="1" type="noConversion"/>
  </si>
  <si>
    <t>灵魂石(肥仔)</t>
    <phoneticPr fontId="1" type="noConversion"/>
  </si>
  <si>
    <t>可以招募肥仔，同时也是肥仔升阶的必备材料</t>
    <phoneticPr fontId="1" type="noConversion"/>
  </si>
  <si>
    <t>灵魂石(司徒浩南)</t>
    <phoneticPr fontId="1" type="noConversion"/>
  </si>
  <si>
    <t>可以招募司徒浩南，同时也是司徒浩南升阶的必备材料</t>
    <phoneticPr fontId="1" type="noConversion"/>
  </si>
  <si>
    <t>灵魂石(赌王)</t>
    <phoneticPr fontId="1" type="noConversion"/>
  </si>
  <si>
    <t>可以招募赌王，同时也是赌王升阶的必备材料</t>
    <phoneticPr fontId="1" type="noConversion"/>
  </si>
  <si>
    <t>灵魂石(山下忠秀)</t>
    <phoneticPr fontId="1" type="noConversion"/>
  </si>
  <si>
    <t>可以招募山下忠秀，同时也是山下忠秀升阶的必备材料</t>
    <phoneticPr fontId="1" type="noConversion"/>
  </si>
  <si>
    <t>灵魂石(宫本一)</t>
    <phoneticPr fontId="1" type="noConversion"/>
  </si>
  <si>
    <t>可以招募宫本一，同时也是宫本一升阶的必备材料</t>
    <phoneticPr fontId="1" type="noConversion"/>
  </si>
  <si>
    <t>灵魂石(陈浩南)</t>
    <phoneticPr fontId="1" type="noConversion"/>
  </si>
  <si>
    <t>可以招募陈浩南，同时也是陈浩南升阶的必备材料</t>
    <phoneticPr fontId="1" type="noConversion"/>
  </si>
  <si>
    <t>灵魂石(山鸡)</t>
    <phoneticPr fontId="1" type="noConversion"/>
  </si>
  <si>
    <t>可以招募山鸡，同时也是山鸡升阶的必备材料</t>
    <phoneticPr fontId="1" type="noConversion"/>
  </si>
  <si>
    <t>灵魂石(大天二)</t>
    <phoneticPr fontId="1" type="noConversion"/>
  </si>
  <si>
    <t>可以招募大天二，同时也是大天二升阶的必备材料</t>
    <phoneticPr fontId="1" type="noConversion"/>
  </si>
  <si>
    <t>低级强化石</t>
    <phoneticPr fontId="1" type="noConversion"/>
  </si>
  <si>
    <t>常见的强化材料，用于主角的&lt;装备强化&gt;</t>
    <phoneticPr fontId="1" type="noConversion"/>
  </si>
  <si>
    <t>中级强化石</t>
    <phoneticPr fontId="1" type="noConversion"/>
  </si>
  <si>
    <t>少见的强化材料，用于主角的&lt;装备强化&gt;</t>
    <phoneticPr fontId="1" type="noConversion"/>
  </si>
  <si>
    <t>高级强化石</t>
    <phoneticPr fontId="1" type="noConversion"/>
  </si>
  <si>
    <t>珍贵的强化材料，用于主角的&lt;装备强化&gt;</t>
    <phoneticPr fontId="1" type="noConversion"/>
  </si>
  <si>
    <t>1阶升星石</t>
    <phoneticPr fontId="1" type="noConversion"/>
  </si>
  <si>
    <t>用于主角的&lt;装备升星&gt;</t>
    <phoneticPr fontId="1" type="noConversion"/>
  </si>
  <si>
    <t>2阶升星石</t>
    <phoneticPr fontId="1" type="noConversion"/>
  </si>
  <si>
    <t>3阶升星石</t>
    <phoneticPr fontId="1" type="noConversion"/>
  </si>
  <si>
    <t>4阶升星石</t>
    <phoneticPr fontId="1" type="noConversion"/>
  </si>
  <si>
    <t>5阶升星石</t>
    <phoneticPr fontId="1" type="noConversion"/>
  </si>
  <si>
    <t>VIP1礼包</t>
    <phoneticPr fontId="1" type="noConversion"/>
  </si>
  <si>
    <t>VIP1专属礼包，打开可获得：司徒浩南灵魂石*2,金币卡(1万)*1,马仔经验药水*10,扫荡券*30,极光之翼*1,部位材料(武器)*10</t>
    <phoneticPr fontId="1" type="noConversion"/>
  </si>
  <si>
    <t>VIP2礼包</t>
    <phoneticPr fontId="1" type="noConversion"/>
  </si>
  <si>
    <t>VIP2专属礼包，打开可获得：司徒浩南灵魂石*4,金币卡(1万)*2,马仔经验药水*15,扫荡券*50,翅膀碎片*10,部位材料(衣服)*10</t>
    <phoneticPr fontId="1" type="noConversion"/>
  </si>
  <si>
    <t>VIP3礼包</t>
    <phoneticPr fontId="1" type="noConversion"/>
  </si>
  <si>
    <t>VIP3专属礼包，打开可获得：司徒浩南灵魂石*6,金币卡(1万)*3,马仔经验药水*20,野性套装*1,扫荡券*30,部位材料(裤子)*10</t>
    <phoneticPr fontId="1" type="noConversion"/>
  </si>
  <si>
    <t>VIP4礼包</t>
    <phoneticPr fontId="1" type="noConversion"/>
  </si>
  <si>
    <t>VIP4专属礼包，打开可获得：司徒浩南灵魂石*8,金币卡(2万)*1,马仔经验药水*25,富甲一方*1,金凤羽翼*1,部位材料(项链)*10</t>
    <phoneticPr fontId="1" type="noConversion"/>
  </si>
  <si>
    <t>VIP5礼包</t>
    <phoneticPr fontId="1" type="noConversion"/>
  </si>
  <si>
    <t>VIP5专属礼包，打开可获得：司徒浩南灵魂石*10,金币卡(2万)*2,马仔经验药水*30,扫荡券*30,幻痛武器图纸*1,部位材料(腰带)*10</t>
    <phoneticPr fontId="1" type="noConversion"/>
  </si>
  <si>
    <t>VIP6礼包</t>
    <phoneticPr fontId="1" type="noConversion"/>
  </si>
  <si>
    <t>VIP6专属礼包，打开可获得：司徒浩南灵魂石*12,金币卡(2万)*3,马仔经验合剂*20,贵族套装*1,翅膀碎片*30,部位材料(鞋子)*10</t>
    <phoneticPr fontId="1" type="noConversion"/>
  </si>
  <si>
    <t>VIP7礼包</t>
    <phoneticPr fontId="1" type="noConversion"/>
  </si>
  <si>
    <t>VIP7专属礼包，打开可获得：司徒浩南灵魂石*14,金币卡(2万)*4,马仔经验合剂*25,扫荡券*30,恶魔之翼*1,部位材料(武器)*10</t>
    <phoneticPr fontId="1" type="noConversion"/>
  </si>
  <si>
    <t>VIP8礼包</t>
    <phoneticPr fontId="1" type="noConversion"/>
  </si>
  <si>
    <t>VIP8专属礼包，打开可获得：司徒浩南灵魂石*16,金币卡(2万)*5,马仔经验合剂*30,壕气冲天*1,扫荡券*30,部位材料(衣服)*10</t>
    <phoneticPr fontId="1" type="noConversion"/>
  </si>
  <si>
    <t>VIP9礼包</t>
    <phoneticPr fontId="1" type="noConversion"/>
  </si>
  <si>
    <t>VIP9专属礼包，打开可获得：司徒浩南灵魂石*18,金币卡(2万)*6,马仔经验合剂*35,战神套装*1,扫荡券*30,部位材料(裤子)*10</t>
    <phoneticPr fontId="1" type="noConversion"/>
  </si>
  <si>
    <t>VIP10礼包</t>
    <phoneticPr fontId="1" type="noConversion"/>
  </si>
  <si>
    <t>VIP10专属礼包，打开可获得：司徒浩南灵魂石*20,金币卡(2万)*7,马仔经验合剂*40,扫荡券*30,梦幻羽翼*1,部位材料(项链)*10</t>
    <phoneticPr fontId="1" type="noConversion"/>
  </si>
  <si>
    <t>VIP11礼包</t>
    <phoneticPr fontId="1" type="noConversion"/>
  </si>
  <si>
    <t>VIP11专属礼包，打开可获得：司徒浩南灵魂石*22,金币卡(2万)*8,马仔经验甘露*10,富可敌国*1,扫荡券*30,部位材料(腰带)*10</t>
    <phoneticPr fontId="1" type="noConversion"/>
  </si>
  <si>
    <t>VIP12礼包</t>
    <phoneticPr fontId="1" type="noConversion"/>
  </si>
  <si>
    <t>VIP12专属礼包，打开可获得：司徒浩南灵魂石*24,金币卡(2万)*9,马仔经验合剂*10,扫荡券*30,叱咤天河*1,部位材料(鞋子)*10</t>
    <phoneticPr fontId="1" type="noConversion"/>
  </si>
  <si>
    <t>VIP13礼包</t>
    <phoneticPr fontId="1" type="noConversion"/>
  </si>
  <si>
    <t>VIP13专属礼包，打开可获得：司徒浩南灵魂石*26,金币卡(2万)*10,马仔经验合剂*10</t>
    <phoneticPr fontId="1" type="noConversion"/>
  </si>
  <si>
    <t>VIP14礼包</t>
    <phoneticPr fontId="1" type="noConversion"/>
  </si>
  <si>
    <t>VIP14专属礼包，打开可获得：司徒浩南灵魂石*28,金币卡(2万)*11,马仔经验合剂*10</t>
    <phoneticPr fontId="1" type="noConversion"/>
  </si>
  <si>
    <t>VIP15礼包</t>
    <phoneticPr fontId="1" type="noConversion"/>
  </si>
  <si>
    <t>VIP15专属礼包，打开可获得：司徒浩南灵魂石*30,金币卡(2万)*12,马仔经验合剂*10</t>
    <phoneticPr fontId="1" type="noConversion"/>
  </si>
  <si>
    <t>金币卡(1万)</t>
    <phoneticPr fontId="1" type="noConversion"/>
  </si>
  <si>
    <t>使用后可兑换1万金币的神奇卡片</t>
    <phoneticPr fontId="1" type="noConversion"/>
  </si>
  <si>
    <t>金币卡(2万)</t>
    <phoneticPr fontId="1" type="noConversion"/>
  </si>
  <si>
    <t>使用后可兑换2万金币的神奇卡片</t>
    <phoneticPr fontId="1" type="noConversion"/>
  </si>
  <si>
    <t>金币卡(5万)</t>
    <phoneticPr fontId="1" type="noConversion"/>
  </si>
  <si>
    <t>使用后可兑换5万金币的神奇卡片</t>
    <phoneticPr fontId="1" type="noConversion"/>
  </si>
  <si>
    <t>马仔经验药水</t>
    <phoneticPr fontId="1" type="noConversion"/>
  </si>
  <si>
    <t>使用后可以为指定马仔提供500点经验值</t>
    <phoneticPr fontId="1" type="noConversion"/>
  </si>
  <si>
    <t>马仔经验合剂</t>
    <phoneticPr fontId="1" type="noConversion"/>
  </si>
  <si>
    <t>使用后可以为指定马仔提供1000点经验值</t>
    <phoneticPr fontId="1" type="noConversion"/>
  </si>
  <si>
    <t>马仔经验甘露</t>
    <phoneticPr fontId="1" type="noConversion"/>
  </si>
  <si>
    <t>使用后可以为指定马仔提供10000点经验值</t>
    <phoneticPr fontId="1" type="noConversion"/>
  </si>
  <si>
    <t>钻石兑换卡(100)</t>
    <phoneticPr fontId="1" type="noConversion"/>
  </si>
  <si>
    <t>使用后可兑换100钻石的神奇卡片</t>
    <phoneticPr fontId="1" type="noConversion"/>
  </si>
  <si>
    <t>钻石兑换卡(500)</t>
    <phoneticPr fontId="1" type="noConversion"/>
  </si>
  <si>
    <t>使用后可兑换500钻石的神奇卡片</t>
    <phoneticPr fontId="1" type="noConversion"/>
  </si>
  <si>
    <t>钻石兑换卡(1000)</t>
    <phoneticPr fontId="1" type="noConversion"/>
  </si>
  <si>
    <t>使用后可兑换1000钻石的神奇卡片</t>
    <phoneticPr fontId="1" type="noConversion"/>
  </si>
  <si>
    <t>初级体力药水</t>
    <phoneticPr fontId="1" type="noConversion"/>
  </si>
  <si>
    <t>用无数珍贵药材调制而成的秘药，服用后可增加20点体力</t>
    <phoneticPr fontId="1" type="noConversion"/>
  </si>
  <si>
    <t>中级体力药水</t>
    <phoneticPr fontId="1" type="noConversion"/>
  </si>
  <si>
    <t>用无数珍贵药材调制而成的秘药，服用后可增加40点体力</t>
    <phoneticPr fontId="1" type="noConversion"/>
  </si>
  <si>
    <t>高级体力药水</t>
    <phoneticPr fontId="1" type="noConversion"/>
  </si>
  <si>
    <t>用无数珍贵药材调制而成的秘药，服用后可增加60点体力</t>
    <phoneticPr fontId="1" type="noConversion"/>
  </si>
  <si>
    <t>成长礼包</t>
    <phoneticPr fontId="1" type="noConversion"/>
  </si>
  <si>
    <t>开启礼包即可获得丰厚的奖励</t>
    <phoneticPr fontId="1" type="noConversion"/>
  </si>
  <si>
    <t>用于主角的&lt;装备合成&gt;和&lt;装备升星&gt;</t>
    <phoneticPr fontId="1" type="noConversion"/>
  </si>
  <si>
    <t>部位材料(裤子)</t>
    <phoneticPr fontId="1" type="noConversion"/>
  </si>
  <si>
    <t>部位材料(项链)</t>
    <phoneticPr fontId="1" type="noConversion"/>
  </si>
  <si>
    <t>部位材料(腰带)</t>
    <phoneticPr fontId="1" type="noConversion"/>
  </si>
  <si>
    <t>史诗武器碎片</t>
    <phoneticPr fontId="1" type="noConversion"/>
  </si>
  <si>
    <t>史诗衣服碎片</t>
    <phoneticPr fontId="1" type="noConversion"/>
  </si>
  <si>
    <t>史诗裤子碎片</t>
    <phoneticPr fontId="1" type="noConversion"/>
  </si>
  <si>
    <t>史诗项链碎片</t>
    <phoneticPr fontId="1" type="noConversion"/>
  </si>
  <si>
    <t>史诗腰带碎片</t>
    <phoneticPr fontId="1" type="noConversion"/>
  </si>
  <si>
    <t>史诗鞋子碎片</t>
    <phoneticPr fontId="1" type="noConversion"/>
  </si>
  <si>
    <t>传说武器碎片</t>
    <phoneticPr fontId="1" type="noConversion"/>
  </si>
  <si>
    <t>传说衣服碎片</t>
    <phoneticPr fontId="1" type="noConversion"/>
  </si>
  <si>
    <t>传说裤子碎片</t>
    <phoneticPr fontId="1" type="noConversion"/>
  </si>
  <si>
    <t>传说项链碎片</t>
    <phoneticPr fontId="1" type="noConversion"/>
  </si>
  <si>
    <t>传说腰带碎片</t>
    <phoneticPr fontId="1" type="noConversion"/>
  </si>
  <si>
    <t>传说鞋子碎片</t>
    <phoneticPr fontId="1" type="noConversion"/>
  </si>
  <si>
    <t>暗羽霸刀图纸</t>
    <phoneticPr fontId="1" type="noConversion"/>
  </si>
  <si>
    <t>合成&lt;暗羽霸刀&gt;的必备材料</t>
    <phoneticPr fontId="1" type="noConversion"/>
  </si>
  <si>
    <t>暗羽之拳图纸</t>
    <phoneticPr fontId="1" type="noConversion"/>
  </si>
  <si>
    <t>合成&lt;暗羽之拳&gt;的必备材料</t>
    <phoneticPr fontId="1" type="noConversion"/>
  </si>
  <si>
    <t>暗羽之枪图纸</t>
    <phoneticPr fontId="1" type="noConversion"/>
  </si>
  <si>
    <t>合成&lt;暗羽之枪&gt;的必备材料</t>
    <phoneticPr fontId="1" type="noConversion"/>
  </si>
  <si>
    <t>暗羽之书图纸</t>
    <phoneticPr fontId="1" type="noConversion"/>
  </si>
  <si>
    <t>合成&lt;暗羽之书&gt;的必备材料</t>
    <phoneticPr fontId="1" type="noConversion"/>
  </si>
  <si>
    <t>暗羽战衣图纸</t>
    <phoneticPr fontId="1" type="noConversion"/>
  </si>
  <si>
    <t>合成&lt;暗羽战衣&gt;的必备材料</t>
    <phoneticPr fontId="1" type="noConversion"/>
  </si>
  <si>
    <t>暗羽长裤图纸</t>
    <phoneticPr fontId="1" type="noConversion"/>
  </si>
  <si>
    <t>合成&lt;暗羽长裤&gt;的必备材料</t>
    <phoneticPr fontId="1" type="noConversion"/>
  </si>
  <si>
    <t>暗羽项链图纸</t>
    <phoneticPr fontId="1" type="noConversion"/>
  </si>
  <si>
    <t>合成&lt;暗羽项链&gt;的必备材料</t>
    <phoneticPr fontId="1" type="noConversion"/>
  </si>
  <si>
    <t>暗羽腰带图纸</t>
    <phoneticPr fontId="1" type="noConversion"/>
  </si>
  <si>
    <t>合成&lt;暗羽腰带&gt;的必备材料</t>
    <phoneticPr fontId="1" type="noConversion"/>
  </si>
  <si>
    <t>暗羽长靴图纸</t>
    <phoneticPr fontId="1" type="noConversion"/>
  </si>
  <si>
    <t>合成&lt;暗羽长靴&gt;的必备材料</t>
    <phoneticPr fontId="1" type="noConversion"/>
  </si>
  <si>
    <t>暴虐之刃图纸</t>
    <phoneticPr fontId="1" type="noConversion"/>
  </si>
  <si>
    <t>合成&lt;暴虐之刃&gt;的必备材料</t>
    <phoneticPr fontId="1" type="noConversion"/>
  </si>
  <si>
    <t>暴虐之拳图纸</t>
    <phoneticPr fontId="1" type="noConversion"/>
  </si>
  <si>
    <t>合成&lt;暴虐之拳&gt;的必备材料</t>
    <phoneticPr fontId="1" type="noConversion"/>
  </si>
  <si>
    <t>暴虐之枪图纸</t>
    <phoneticPr fontId="1" type="noConversion"/>
  </si>
  <si>
    <t>合成&lt;暴虐之枪&gt;的必备材料</t>
    <phoneticPr fontId="1" type="noConversion"/>
  </si>
  <si>
    <t>暴虐之书图纸</t>
    <phoneticPr fontId="1" type="noConversion"/>
  </si>
  <si>
    <t>合成&lt;暴虐之书&gt;的必备材料</t>
    <phoneticPr fontId="1" type="noConversion"/>
  </si>
  <si>
    <t>暴虐战衣图纸</t>
    <phoneticPr fontId="1" type="noConversion"/>
  </si>
  <si>
    <t>合成&lt;暴虐战衣&gt;的必备材料</t>
    <phoneticPr fontId="1" type="noConversion"/>
  </si>
  <si>
    <t>暴虐战裤图纸</t>
    <phoneticPr fontId="1" type="noConversion"/>
  </si>
  <si>
    <t>合成&lt;暴虐战裤&gt;的必备材料</t>
    <phoneticPr fontId="1" type="noConversion"/>
  </si>
  <si>
    <t>暴虐项链图纸</t>
    <phoneticPr fontId="1" type="noConversion"/>
  </si>
  <si>
    <t>合成&lt;暴虐项链&gt;的必备材料</t>
    <phoneticPr fontId="1" type="noConversion"/>
  </si>
  <si>
    <t>暴虐腰带图纸</t>
    <phoneticPr fontId="1" type="noConversion"/>
  </si>
  <si>
    <t>合成&lt;暴虐腰带&gt;的必备材料</t>
    <phoneticPr fontId="1" type="noConversion"/>
  </si>
  <si>
    <t>暴虐长靴图纸</t>
    <phoneticPr fontId="1" type="noConversion"/>
  </si>
  <si>
    <t>合成&lt;暴虐长靴&gt;的必备材料</t>
    <phoneticPr fontId="1" type="noConversion"/>
  </si>
  <si>
    <t>幻痛霸刀图纸</t>
    <phoneticPr fontId="1" type="noConversion"/>
  </si>
  <si>
    <t>合成&lt;幻痛霸刀&gt;的必备材料</t>
    <phoneticPr fontId="1" type="noConversion"/>
  </si>
  <si>
    <t>幻痛之拳图纸</t>
    <phoneticPr fontId="1" type="noConversion"/>
  </si>
  <si>
    <t>合成&lt;幻痛之拳&gt;的必备材料</t>
    <phoneticPr fontId="1" type="noConversion"/>
  </si>
  <si>
    <t>幻痛之枪图纸</t>
    <phoneticPr fontId="1" type="noConversion"/>
  </si>
  <si>
    <t>合成&lt;幻痛之枪&gt;的必备材料</t>
    <phoneticPr fontId="1" type="noConversion"/>
  </si>
  <si>
    <t>幻痛之书图纸</t>
    <phoneticPr fontId="1" type="noConversion"/>
  </si>
  <si>
    <t>合成&lt;幻痛之书&gt;的必备材料</t>
    <phoneticPr fontId="1" type="noConversion"/>
  </si>
  <si>
    <t>幻痛战衣图纸</t>
    <phoneticPr fontId="1" type="noConversion"/>
  </si>
  <si>
    <t>合成&lt;幻痛战衣&gt;的必备材料</t>
    <phoneticPr fontId="1" type="noConversion"/>
  </si>
  <si>
    <t>幻痛长裤图纸</t>
    <phoneticPr fontId="1" type="noConversion"/>
  </si>
  <si>
    <t>合成&lt;幻痛长裤&gt;的必备材料</t>
    <phoneticPr fontId="1" type="noConversion"/>
  </si>
  <si>
    <t>幻痛项链图纸</t>
    <phoneticPr fontId="1" type="noConversion"/>
  </si>
  <si>
    <t>合成&lt;幻痛项链&gt;的必备材料</t>
    <phoneticPr fontId="1" type="noConversion"/>
  </si>
  <si>
    <t>幻痛腰带图纸</t>
    <phoneticPr fontId="1" type="noConversion"/>
  </si>
  <si>
    <t>合成&lt;幻痛腰带&gt;的必备材料</t>
    <phoneticPr fontId="1" type="noConversion"/>
  </si>
  <si>
    <t>幻痛长靴图纸</t>
    <phoneticPr fontId="1" type="noConversion"/>
  </si>
  <si>
    <t>合成&lt;幻痛长靴&gt;的必备材料</t>
    <phoneticPr fontId="1" type="noConversion"/>
  </si>
  <si>
    <t>霸道之刃图纸</t>
    <phoneticPr fontId="1" type="noConversion"/>
  </si>
  <si>
    <t>合成&lt;霸道之刃&gt;的必备材料</t>
    <phoneticPr fontId="1" type="noConversion"/>
  </si>
  <si>
    <t>霸道之拳图纸</t>
    <phoneticPr fontId="1" type="noConversion"/>
  </si>
  <si>
    <t>合成&lt;霸道之拳&gt;的必备材料</t>
    <phoneticPr fontId="1" type="noConversion"/>
  </si>
  <si>
    <t>霸道之枪图纸</t>
    <phoneticPr fontId="1" type="noConversion"/>
  </si>
  <si>
    <t>合成&lt;霸道之枪&gt;的必备材料</t>
    <phoneticPr fontId="1" type="noConversion"/>
  </si>
  <si>
    <t>霸道之书图纸</t>
    <phoneticPr fontId="1" type="noConversion"/>
  </si>
  <si>
    <t>合成&lt;霸道之书&gt;的必备材料</t>
    <phoneticPr fontId="1" type="noConversion"/>
  </si>
  <si>
    <t>霸道战衣图纸</t>
    <phoneticPr fontId="1" type="noConversion"/>
  </si>
  <si>
    <t>合成&lt;霸道战衣&gt;的必备材料</t>
    <phoneticPr fontId="1" type="noConversion"/>
  </si>
  <si>
    <t>霸道长裤图纸</t>
    <phoneticPr fontId="1" type="noConversion"/>
  </si>
  <si>
    <t>合成&lt;霸道长裤&gt;的必备材料</t>
    <phoneticPr fontId="1" type="noConversion"/>
  </si>
  <si>
    <t>霸道项链图纸</t>
    <phoneticPr fontId="1" type="noConversion"/>
  </si>
  <si>
    <t>合成&lt;霸道项链&gt;的必备材料</t>
    <phoneticPr fontId="1" type="noConversion"/>
  </si>
  <si>
    <t>霸道腰带图纸</t>
    <phoneticPr fontId="1" type="noConversion"/>
  </si>
  <si>
    <t>合成&lt;霸道腰带&gt;的必备材料</t>
    <phoneticPr fontId="1" type="noConversion"/>
  </si>
  <si>
    <t>霸道长靴图纸</t>
    <phoneticPr fontId="1" type="noConversion"/>
  </si>
  <si>
    <t>合成&lt;霸道长靴&gt;的必备材料</t>
    <phoneticPr fontId="1" type="noConversion"/>
  </si>
  <si>
    <t>嗜血之剑图纸</t>
    <phoneticPr fontId="1" type="noConversion"/>
  </si>
  <si>
    <t>合成&lt;嗜血之剑&gt;的必备材料</t>
    <phoneticPr fontId="1" type="noConversion"/>
  </si>
  <si>
    <t>嗜血拳图纸</t>
    <phoneticPr fontId="1" type="noConversion"/>
  </si>
  <si>
    <t>合成&lt;嗜血拳&gt;的必备材料</t>
    <phoneticPr fontId="1" type="noConversion"/>
  </si>
  <si>
    <t>嗜血枪图纸</t>
    <phoneticPr fontId="1" type="noConversion"/>
  </si>
  <si>
    <t>合成&lt;嗜血枪&gt;的必备材料</t>
    <phoneticPr fontId="1" type="noConversion"/>
  </si>
  <si>
    <t>嗜血书图纸</t>
    <phoneticPr fontId="1" type="noConversion"/>
  </si>
  <si>
    <t>合成&lt;嗜血书&gt;的必备材料</t>
    <phoneticPr fontId="1" type="noConversion"/>
  </si>
  <si>
    <t>嗜血战衣图纸</t>
    <phoneticPr fontId="1" type="noConversion"/>
  </si>
  <si>
    <t>合成&lt;嗜血战衣&gt;的必备材料</t>
    <phoneticPr fontId="1" type="noConversion"/>
  </si>
  <si>
    <t>嗜血长裤图纸</t>
    <phoneticPr fontId="1" type="noConversion"/>
  </si>
  <si>
    <t>合成&lt;嗜血长裤&gt;的必备材料</t>
    <phoneticPr fontId="1" type="noConversion"/>
  </si>
  <si>
    <t>嗜血项链图纸</t>
    <phoneticPr fontId="1" type="noConversion"/>
  </si>
  <si>
    <t>合成&lt;嗜血项链&gt;的必备材料</t>
    <phoneticPr fontId="1" type="noConversion"/>
  </si>
  <si>
    <t>嗜血腰带图纸</t>
    <phoneticPr fontId="1" type="noConversion"/>
  </si>
  <si>
    <t>合成&lt;嗜血腰带&gt;的必备材料</t>
    <phoneticPr fontId="1" type="noConversion"/>
  </si>
  <si>
    <t>嗜血长靴图纸</t>
    <phoneticPr fontId="1" type="noConversion"/>
  </si>
  <si>
    <t>合成&lt;嗜血长靴&gt;的必备材料</t>
    <phoneticPr fontId="1" type="noConversion"/>
  </si>
  <si>
    <t>新手之刀图纸</t>
    <phoneticPr fontId="1" type="noConversion"/>
  </si>
  <si>
    <t>合成&lt;新手之刀&gt;的必备材料</t>
    <phoneticPr fontId="1" type="noConversion"/>
  </si>
  <si>
    <t>流光拳图纸</t>
    <phoneticPr fontId="1" type="noConversion"/>
  </si>
  <si>
    <t>合成&lt;流光拳&gt;的必备材料</t>
    <phoneticPr fontId="1" type="noConversion"/>
  </si>
  <si>
    <t>新手枪图纸</t>
    <phoneticPr fontId="1" type="noConversion"/>
  </si>
  <si>
    <t>合成&lt;新手枪&gt;的必备材料</t>
    <phoneticPr fontId="1" type="noConversion"/>
  </si>
  <si>
    <t>新手书图纸</t>
    <phoneticPr fontId="1" type="noConversion"/>
  </si>
  <si>
    <t>合成&lt;新手书&gt;的必备材料</t>
    <phoneticPr fontId="1" type="noConversion"/>
  </si>
  <si>
    <t>新手衣服图纸</t>
    <phoneticPr fontId="1" type="noConversion"/>
  </si>
  <si>
    <t>合成&lt;新手衣服&gt;的必备材料</t>
    <phoneticPr fontId="1" type="noConversion"/>
  </si>
  <si>
    <t>极光裤子图纸</t>
    <phoneticPr fontId="1" type="noConversion"/>
  </si>
  <si>
    <t>合成&lt;极光裤子&gt;的必备材料</t>
    <phoneticPr fontId="1" type="noConversion"/>
  </si>
  <si>
    <t>翡翠项链图纸</t>
    <phoneticPr fontId="1" type="noConversion"/>
  </si>
  <si>
    <t>合成&lt;翡翠项链&gt;的必备材料</t>
    <phoneticPr fontId="1" type="noConversion"/>
  </si>
  <si>
    <t>新手腰带图纸</t>
    <phoneticPr fontId="1" type="noConversion"/>
  </si>
  <si>
    <t>合成&lt;新手腰带&gt;的必备材料</t>
    <phoneticPr fontId="1" type="noConversion"/>
  </si>
  <si>
    <t>红长靴图纸</t>
    <phoneticPr fontId="1" type="noConversion"/>
  </si>
  <si>
    <t>合成&lt;红长靴&gt;的必备材料</t>
    <phoneticPr fontId="1" type="noConversion"/>
  </si>
  <si>
    <t>偷天剑图纸</t>
    <phoneticPr fontId="1" type="noConversion"/>
  </si>
  <si>
    <t>合成&lt;偷天剑&gt;的必备材料</t>
    <phoneticPr fontId="1" type="noConversion"/>
  </si>
  <si>
    <t>偷天拳图纸</t>
    <phoneticPr fontId="1" type="noConversion"/>
  </si>
  <si>
    <t>合成&lt;偷天拳&gt;的必备材料</t>
    <phoneticPr fontId="1" type="noConversion"/>
  </si>
  <si>
    <t>偷天枪图纸</t>
    <phoneticPr fontId="1" type="noConversion"/>
  </si>
  <si>
    <t>合成&lt;偷天枪&gt;的必备材料</t>
    <phoneticPr fontId="1" type="noConversion"/>
  </si>
  <si>
    <t>偷天书图纸</t>
    <phoneticPr fontId="1" type="noConversion"/>
  </si>
  <si>
    <t>合成&lt;偷天书&gt;的必备材料</t>
    <phoneticPr fontId="1" type="noConversion"/>
  </si>
  <si>
    <t>偷天战衣图纸</t>
    <phoneticPr fontId="1" type="noConversion"/>
  </si>
  <si>
    <t>合成&lt;偷天战衣&gt;的必备材料</t>
    <phoneticPr fontId="1" type="noConversion"/>
  </si>
  <si>
    <t>偷天长裤图纸</t>
    <phoneticPr fontId="1" type="noConversion"/>
  </si>
  <si>
    <t>合成&lt;偷天长裤&gt;的必备材料</t>
    <phoneticPr fontId="1" type="noConversion"/>
  </si>
  <si>
    <t>偷天项链图纸</t>
    <phoneticPr fontId="1" type="noConversion"/>
  </si>
  <si>
    <t>合成&lt;偷天项链&gt;的必备材料</t>
    <phoneticPr fontId="1" type="noConversion"/>
  </si>
  <si>
    <t>偷天腰带图纸</t>
    <phoneticPr fontId="1" type="noConversion"/>
  </si>
  <si>
    <t>合成&lt;偷天腰带&gt;的必备材料</t>
    <phoneticPr fontId="1" type="noConversion"/>
  </si>
  <si>
    <t>偷天长靴图纸</t>
    <phoneticPr fontId="1" type="noConversion"/>
  </si>
  <si>
    <t>合成&lt;偷天长靴&gt;的必备材料</t>
    <phoneticPr fontId="1" type="noConversion"/>
  </si>
  <si>
    <t>焚天剑图纸</t>
    <phoneticPr fontId="1" type="noConversion"/>
  </si>
  <si>
    <t>合成&lt;焚天剑&gt;的必备材料</t>
    <phoneticPr fontId="1" type="noConversion"/>
  </si>
  <si>
    <t>焚天拳图纸</t>
    <phoneticPr fontId="1" type="noConversion"/>
  </si>
  <si>
    <t>合成&lt;焚天拳&gt;的必备材料</t>
    <phoneticPr fontId="1" type="noConversion"/>
  </si>
  <si>
    <t>焚天枪图纸</t>
    <phoneticPr fontId="1" type="noConversion"/>
  </si>
  <si>
    <t>合成&lt;焚天枪&gt;的必备材料</t>
    <phoneticPr fontId="1" type="noConversion"/>
  </si>
  <si>
    <t>焚天书图纸</t>
    <phoneticPr fontId="1" type="noConversion"/>
  </si>
  <si>
    <t>合成&lt;焚天书&gt;的必备材料</t>
    <phoneticPr fontId="1" type="noConversion"/>
  </si>
  <si>
    <t>焚天战衣图纸</t>
    <phoneticPr fontId="1" type="noConversion"/>
  </si>
  <si>
    <t>合成&lt;焚天战衣&gt;的必备材料</t>
    <phoneticPr fontId="1" type="noConversion"/>
  </si>
  <si>
    <t>焚天长裤图纸</t>
    <phoneticPr fontId="1" type="noConversion"/>
  </si>
  <si>
    <t>合成&lt;焚天长裤&gt;的必备材料</t>
    <phoneticPr fontId="1" type="noConversion"/>
  </si>
  <si>
    <t>焚天项链图纸</t>
    <phoneticPr fontId="1" type="noConversion"/>
  </si>
  <si>
    <t>合成&lt;焚天项链&gt;的必备材料</t>
    <phoneticPr fontId="1" type="noConversion"/>
  </si>
  <si>
    <t>焚天腰带图纸</t>
    <phoneticPr fontId="1" type="noConversion"/>
  </si>
  <si>
    <t>合成&lt;焚天腰带&gt;的必备材料</t>
    <phoneticPr fontId="1" type="noConversion"/>
  </si>
  <si>
    <t>焚天长靴图纸</t>
    <phoneticPr fontId="1" type="noConversion"/>
  </si>
  <si>
    <t>合成&lt;焚天长靴&gt;的必备材料</t>
    <phoneticPr fontId="1" type="noConversion"/>
  </si>
  <si>
    <t>初级龙魂</t>
    <phoneticPr fontId="1" type="noConversion"/>
  </si>
  <si>
    <t>常见的龙魂货币，使用后可以获得100点龙魂</t>
    <phoneticPr fontId="1" type="noConversion"/>
  </si>
  <si>
    <t>中级龙魂</t>
    <phoneticPr fontId="1" type="noConversion"/>
  </si>
  <si>
    <t>少见的龙魂货币，使用后可以获得500点龙魂</t>
    <phoneticPr fontId="1" type="noConversion"/>
  </si>
  <si>
    <t>高级龙魂</t>
    <phoneticPr fontId="1" type="noConversion"/>
  </si>
  <si>
    <t>珍贵的龙魂货币，使用后可以获得1000点龙魂</t>
    <phoneticPr fontId="1" type="noConversion"/>
  </si>
  <si>
    <t>钻石</t>
    <phoneticPr fontId="1" type="noConversion"/>
  </si>
  <si>
    <t>钻石是古惑仔世界里最通用的货币</t>
    <phoneticPr fontId="1" type="noConversion"/>
  </si>
  <si>
    <t>金币</t>
    <phoneticPr fontId="1" type="noConversion"/>
  </si>
  <si>
    <t>金币是古惑仔世界里最通用的货币</t>
    <phoneticPr fontId="1" type="noConversion"/>
  </si>
  <si>
    <t>龙魂币</t>
    <phoneticPr fontId="1" type="noConversion"/>
  </si>
  <si>
    <t>龙魂币是古惑仔世界里最通用的货币</t>
    <phoneticPr fontId="1" type="noConversion"/>
  </si>
  <si>
    <t>命运石</t>
    <phoneticPr fontId="1" type="noConversion"/>
  </si>
  <si>
    <t>命运石是古惑仔世界里最通用的货币</t>
    <phoneticPr fontId="1" type="noConversion"/>
  </si>
  <si>
    <t>竞技币</t>
    <phoneticPr fontId="1" type="noConversion"/>
  </si>
  <si>
    <t>竞技币是古惑仔世界里最通用的货币</t>
    <phoneticPr fontId="1" type="noConversion"/>
  </si>
  <si>
    <t>亚芝</t>
  </si>
  <si>
    <t>靓坤</t>
  </si>
  <si>
    <t>乌鸦</t>
  </si>
  <si>
    <t>赌王</t>
  </si>
  <si>
    <t>宫本一</t>
  </si>
  <si>
    <t>陈浩南</t>
  </si>
  <si>
    <t>山鸡</t>
  </si>
  <si>
    <t>狂气之剑</t>
  </si>
  <si>
    <t>狂气之枪</t>
  </si>
  <si>
    <t>狂气战衣</t>
  </si>
  <si>
    <t>狂气长裤</t>
  </si>
  <si>
    <t>狂气项链</t>
  </si>
  <si>
    <t>狂气腰带</t>
  </si>
  <si>
    <t>狂气长靴</t>
  </si>
  <si>
    <t>野性之剑</t>
  </si>
  <si>
    <t>野性之枪</t>
  </si>
  <si>
    <t>野性战衣</t>
  </si>
  <si>
    <t>野性长裤</t>
  </si>
  <si>
    <t>野性项链</t>
  </si>
  <si>
    <t>野性腰带</t>
  </si>
  <si>
    <t>野性长靴</t>
  </si>
  <si>
    <t>紫云之剑</t>
  </si>
  <si>
    <t>紫云之拳</t>
  </si>
  <si>
    <t>紫云之枪</t>
  </si>
  <si>
    <t>紫云战衣</t>
  </si>
  <si>
    <t>紫云长裤</t>
  </si>
  <si>
    <t>紫云项链</t>
  </si>
  <si>
    <t>紫云腰带</t>
  </si>
  <si>
    <t>紫云长靴</t>
  </si>
  <si>
    <t>使用后可获得1天的VIP4特权</t>
    <phoneticPr fontId="1" type="noConversion"/>
  </si>
  <si>
    <t>扫荡券</t>
    <phoneticPr fontId="1" type="noConversion"/>
  </si>
  <si>
    <t>可以用来启动称号&lt;洪兴新星&gt;的特殊物品</t>
    <phoneticPr fontId="1" type="noConversion"/>
  </si>
  <si>
    <t>可以用来启动称号&lt;洪兴打仔&gt;的特殊物品</t>
    <phoneticPr fontId="1" type="noConversion"/>
  </si>
  <si>
    <t>可以用来启动称号&lt;扛把子&gt;的特殊物品</t>
    <phoneticPr fontId="1" type="noConversion"/>
  </si>
  <si>
    <t>可以用来启动称号&lt;二路元帅&gt;的特殊物品</t>
    <phoneticPr fontId="1" type="noConversion"/>
  </si>
  <si>
    <t>可以用来启动称号&lt;战无不胜&gt;的特殊物品</t>
    <phoneticPr fontId="1" type="noConversion"/>
  </si>
  <si>
    <t>可以用来启动称号&lt;猛龙过江&gt;的特殊物品</t>
    <phoneticPr fontId="1" type="noConversion"/>
  </si>
  <si>
    <t>可以用来启动称号&lt;神之手&gt;的特殊物品</t>
    <phoneticPr fontId="1" type="noConversion"/>
  </si>
  <si>
    <t>可以用来启动称号&lt;富甲一方&gt;的特殊物品</t>
    <phoneticPr fontId="1" type="noConversion"/>
  </si>
  <si>
    <t>壕气冲天</t>
    <phoneticPr fontId="1" type="noConversion"/>
  </si>
  <si>
    <t>可以用来启动称号&lt;壕气冲天&gt;的特殊物品</t>
    <phoneticPr fontId="1" type="noConversion"/>
  </si>
  <si>
    <t>可以用来启动称号&lt;富可敌国&gt;的特殊物品</t>
    <phoneticPr fontId="1" type="noConversion"/>
  </si>
  <si>
    <t>战斗狂人</t>
    <phoneticPr fontId="1" type="noConversion"/>
  </si>
  <si>
    <t>可以用来启动称号&lt;战斗狂人&gt;的特殊物品</t>
    <phoneticPr fontId="1" type="noConversion"/>
  </si>
  <si>
    <t>可以用来启动称号&lt;不哭死神&gt;的特殊物品</t>
    <phoneticPr fontId="1" type="noConversion"/>
  </si>
  <si>
    <t>可以用来启动称号&lt;干架王&gt;的特殊物品</t>
    <phoneticPr fontId="1" type="noConversion"/>
  </si>
  <si>
    <t>可以用来启动称号&lt;破坏王&gt;的特殊物品</t>
    <phoneticPr fontId="1" type="noConversion"/>
  </si>
  <si>
    <t>可以用来启动称号&lt;战无尽&gt;的特殊物品</t>
    <phoneticPr fontId="1" type="noConversion"/>
  </si>
  <si>
    <t>可以用来启动称号&lt;绝世战神&gt;的特殊物品</t>
    <phoneticPr fontId="1" type="noConversion"/>
  </si>
  <si>
    <t>可以用来启动称号&lt;至尊王者&gt;的特殊物品</t>
    <phoneticPr fontId="1" type="noConversion"/>
  </si>
  <si>
    <t>可以用来启动称号&lt;横砍一条街&gt;的特殊物品</t>
    <phoneticPr fontId="1" type="noConversion"/>
  </si>
  <si>
    <t>洪兴新星(3天)</t>
    <phoneticPr fontId="1" type="noConversion"/>
  </si>
  <si>
    <t>可以用来启动称号&lt;洪兴新星&gt;的特殊物品(限时称号：3天)</t>
    <phoneticPr fontId="1" type="noConversion"/>
  </si>
  <si>
    <t>洪兴打仔(3天)</t>
    <phoneticPr fontId="1" type="noConversion"/>
  </si>
  <si>
    <t>可以用来启动称号&lt;洪兴打仔&gt;的特殊物品(限时称号：3天)</t>
    <phoneticPr fontId="1" type="noConversion"/>
  </si>
  <si>
    <t>可以用来启动称号&lt;扛把子&gt;的特殊物品(限时称号：3天)</t>
    <phoneticPr fontId="1" type="noConversion"/>
  </si>
  <si>
    <t>二路元帅(3天)</t>
    <phoneticPr fontId="1" type="noConversion"/>
  </si>
  <si>
    <t>可以用来启动称号&lt;二路元帅&gt;的特殊物品(限时称号：3天)</t>
    <phoneticPr fontId="1" type="noConversion"/>
  </si>
  <si>
    <t>战无不胜(3天)</t>
    <phoneticPr fontId="1" type="noConversion"/>
  </si>
  <si>
    <t>可以用来启动称号&lt;战无不胜&gt;的特殊物品(限时称号：3天)</t>
    <phoneticPr fontId="1" type="noConversion"/>
  </si>
  <si>
    <t>猛龙过江(3天)</t>
    <phoneticPr fontId="1" type="noConversion"/>
  </si>
  <si>
    <t>可以用来启动称号&lt;猛龙过江&gt;的特殊物品(限时称号：3天)</t>
    <phoneticPr fontId="1" type="noConversion"/>
  </si>
  <si>
    <t>可以用来启动称号&lt;神之手&gt;的特殊物品(限时称号：3天)</t>
    <phoneticPr fontId="1" type="noConversion"/>
  </si>
  <si>
    <t>可以用来启动称号&lt;富甲一方&gt;的特殊物品(限时称号：3天)</t>
    <phoneticPr fontId="1" type="noConversion"/>
  </si>
  <si>
    <t>壕气冲天(3天)</t>
    <phoneticPr fontId="1" type="noConversion"/>
  </si>
  <si>
    <t>可以用来启动称号&lt;壕气冲天&gt;的特殊物品(限时称号：3天)</t>
    <phoneticPr fontId="1" type="noConversion"/>
  </si>
  <si>
    <t>富可敌国(3天)</t>
    <phoneticPr fontId="1" type="noConversion"/>
  </si>
  <si>
    <t>可以用来启动称号&lt;富可敌国&gt;的特殊物品(限时称号：3天)</t>
    <phoneticPr fontId="1" type="noConversion"/>
  </si>
  <si>
    <t>壕气冲天(3天)</t>
    <phoneticPr fontId="1" type="noConversion"/>
  </si>
  <si>
    <t>战斗狂人(3天)</t>
    <phoneticPr fontId="1" type="noConversion"/>
  </si>
  <si>
    <t>可以用来启动称号&lt;战斗狂人&gt;的特殊物品(限时称号：3天)</t>
    <phoneticPr fontId="1" type="noConversion"/>
  </si>
  <si>
    <t>可以用来启动称号&lt;不哭死神&gt;的特殊物品(限时称号：3天)</t>
    <phoneticPr fontId="1" type="noConversion"/>
  </si>
  <si>
    <t>干架王(3天)</t>
    <phoneticPr fontId="1" type="noConversion"/>
  </si>
  <si>
    <t>可以用来启动称号&lt;干架王&gt;的特殊物品(限时称号：3天)</t>
    <phoneticPr fontId="1" type="noConversion"/>
  </si>
  <si>
    <t>破坏王(3天)</t>
    <phoneticPr fontId="1" type="noConversion"/>
  </si>
  <si>
    <t>可以用来启动称号&lt;破坏王&gt;的特殊物品(限时称号：3天)</t>
    <phoneticPr fontId="1" type="noConversion"/>
  </si>
  <si>
    <t>战无尽(3天)</t>
    <phoneticPr fontId="1" type="noConversion"/>
  </si>
  <si>
    <t>可以用来启动称号&lt;战无尽&gt;的特殊物品(限时称号：3天)</t>
    <phoneticPr fontId="1" type="noConversion"/>
  </si>
  <si>
    <t>绝世战神(3天)</t>
    <phoneticPr fontId="1" type="noConversion"/>
  </si>
  <si>
    <t>可以用来启动称号&lt;绝世战神&gt;的特殊物品(限时称号：3天)</t>
    <phoneticPr fontId="1" type="noConversion"/>
  </si>
  <si>
    <t>可以用来启动称号&lt;至尊王者&gt;的特殊物品(限时称号：3天)</t>
    <phoneticPr fontId="1" type="noConversion"/>
  </si>
  <si>
    <t>横砍一条街(3天)</t>
    <phoneticPr fontId="1" type="noConversion"/>
  </si>
  <si>
    <t>可以用来启动称号&lt;横砍一条街&gt;的特殊物品(限时称号：3天)</t>
    <phoneticPr fontId="1" type="noConversion"/>
  </si>
  <si>
    <t>高级升星石</t>
    <phoneticPr fontId="1" type="noConversion"/>
  </si>
  <si>
    <t>龙魂币</t>
    <phoneticPr fontId="1" type="noConversion"/>
  </si>
  <si>
    <t>使用后，副本获取的经验会加倍，持续24小时</t>
    <phoneticPr fontId="1" type="noConversion"/>
  </si>
  <si>
    <t>使用后，副本获取的经验会加倍，持续48小时</t>
    <phoneticPr fontId="1" type="noConversion"/>
  </si>
  <si>
    <t>珍贵的vip经验卡，使用后可以获得100点vip经验值，可用于提升vip等级</t>
    <phoneticPr fontId="1" type="noConversion"/>
  </si>
  <si>
    <t>用于龙纹图的开启，提升角色战斗力</t>
    <phoneticPr fontId="1" type="noConversion"/>
  </si>
  <si>
    <t>用于命格猎命，提升角色战斗力</t>
    <phoneticPr fontId="1" type="noConversion"/>
  </si>
  <si>
    <t>竞技币是古惑仔世界里最通用的货币，可在地下擂台商店购买商品</t>
    <phoneticPr fontId="1" type="noConversion"/>
  </si>
  <si>
    <t>灵魂石(雷复轰)</t>
    <phoneticPr fontId="1" type="noConversion"/>
  </si>
  <si>
    <t>可以招募雷复轰，同时也是雷复轰升阶的必备材料</t>
    <phoneticPr fontId="1" type="noConversion"/>
  </si>
  <si>
    <t>用于主角的&lt;装备升星&gt;</t>
    <phoneticPr fontId="1" type="noConversion"/>
  </si>
  <si>
    <t>集齐10个可以招募马仔蟹仔，同时也是蟹仔升阶的必备材料</t>
    <phoneticPr fontId="1" type="noConversion"/>
  </si>
  <si>
    <t>集齐10个可以招募马仔比利，同时也是比利升阶的必备材料</t>
    <phoneticPr fontId="1" type="noConversion"/>
  </si>
  <si>
    <t>集齐10个可以招募马仔黎九，同时也是黎九升阶的必备材料</t>
    <phoneticPr fontId="1" type="noConversion"/>
  </si>
  <si>
    <t>集齐10个可以招募马仔黑古，同时也是黑古升阶的必备材料</t>
    <phoneticPr fontId="1" type="noConversion"/>
  </si>
  <si>
    <t>1105.png</t>
    <phoneticPr fontId="1" type="noConversion"/>
  </si>
  <si>
    <t>1102.png</t>
    <phoneticPr fontId="1" type="noConversion"/>
  </si>
  <si>
    <t>1104.png</t>
    <phoneticPr fontId="1" type="noConversion"/>
  </si>
  <si>
    <t>蟹仔</t>
  </si>
  <si>
    <t>比利</t>
  </si>
  <si>
    <t>黎九</t>
  </si>
  <si>
    <t>黑古</t>
  </si>
  <si>
    <t>雷复轰</t>
  </si>
  <si>
    <t>肥仔</t>
  </si>
  <si>
    <t>司徒浩南</t>
  </si>
  <si>
    <t>山下忠秀</t>
  </si>
  <si>
    <t>大天二</t>
  </si>
  <si>
    <t>马仔碎片(亚芝)</t>
  </si>
  <si>
    <t>马仔碎片(蟹仔)</t>
  </si>
  <si>
    <t>马仔碎片(比利)</t>
  </si>
  <si>
    <t>马仔碎片(黎九)</t>
  </si>
  <si>
    <t>马仔碎片(黑古)</t>
  </si>
  <si>
    <t>马仔碎片(靓坤)</t>
  </si>
  <si>
    <t>马仔碎片(雷复轰)</t>
  </si>
  <si>
    <t>马仔碎片(肥仔)</t>
  </si>
  <si>
    <t>马仔碎片(司徒浩南)</t>
  </si>
  <si>
    <t>马仔碎片(乌鸦)</t>
  </si>
  <si>
    <t>马仔碎片(赌王)</t>
  </si>
  <si>
    <t>马仔碎片(山下忠秀)</t>
  </si>
  <si>
    <t>马仔碎片(宫本一)</t>
  </si>
  <si>
    <t>马仔碎片(陈浩南)</t>
  </si>
  <si>
    <t>马仔碎片(山鸡)</t>
  </si>
  <si>
    <t>马仔碎片(大天二)</t>
  </si>
  <si>
    <t>寻宝券</t>
    <phoneticPr fontId="1" type="noConversion"/>
  </si>
  <si>
    <t>特殊获取途径</t>
    <phoneticPr fontId="1" type="noConversion"/>
  </si>
  <si>
    <t>可在寻宝中获得一次寻宝机会</t>
    <phoneticPr fontId="1" type="noConversion"/>
  </si>
  <si>
    <t>常见的强化材料，用于主角的&lt;装备强化&gt;</t>
  </si>
  <si>
    <t>常见的升星材料，用于主角的&lt;装备升星&gt;</t>
    <phoneticPr fontId="1" type="noConversion"/>
  </si>
  <si>
    <t>少见的升星材料，用于主角的&lt;装备升星&gt;，可通过初级升星石合成</t>
    <phoneticPr fontId="1" type="noConversion"/>
  </si>
  <si>
    <t>少见的强化材料，用于主角的&lt;装备强化&gt;，可通过低级强化石合成</t>
    <phoneticPr fontId="1" type="noConversion"/>
  </si>
  <si>
    <t>珍贵的强化材料，用于主角的&lt;装备强化&gt;，可通过中级强化石合成</t>
    <phoneticPr fontId="1" type="noConversion"/>
  </si>
  <si>
    <t>珍贵的升星材料，用于主角的&lt;装备升星&gt;，可通过中级升星石合成</t>
    <phoneticPr fontId="1" type="noConversion"/>
  </si>
  <si>
    <t>用于主角的&lt;技能升级&gt;，可在堂口商店中购买</t>
    <phoneticPr fontId="1" type="noConversion"/>
  </si>
  <si>
    <t>常见的蓝色装备升级材料，可用于主角的&lt;蓝色装备升级&gt;</t>
    <phoneticPr fontId="1" type="noConversion"/>
  </si>
  <si>
    <t>常见的紫色装备升级材料，可用于主角的&lt;紫色装备升级&gt;</t>
    <phoneticPr fontId="1" type="noConversion"/>
  </si>
  <si>
    <t>常见的橙色装备升级材料，可用于主角的&lt;橙色装备升级&gt;</t>
    <phoneticPr fontId="1" type="noConversion"/>
  </si>
  <si>
    <t>常见的红色装备升级材料，可用于主角的&lt;红色装备升级&gt;</t>
    <phoneticPr fontId="1" type="noConversion"/>
  </si>
  <si>
    <t>洪兴小财主</t>
    <phoneticPr fontId="1" type="noConversion"/>
  </si>
  <si>
    <t>83003.png</t>
    <phoneticPr fontId="1" type="noConversion"/>
  </si>
  <si>
    <t>可以用来启动称号&lt;洪兴小财主&gt;的特殊物品</t>
    <phoneticPr fontId="1" type="noConversion"/>
  </si>
  <si>
    <t>洪兴小财主</t>
    <phoneticPr fontId="1" type="noConversion"/>
  </si>
  <si>
    <t>技能冷却石</t>
    <phoneticPr fontId="1" type="noConversion"/>
  </si>
  <si>
    <t>用于主角的&lt;技能冷却&gt;，可在马仔追债和劫掠中获得</t>
    <phoneticPr fontId="1" type="noConversion"/>
  </si>
  <si>
    <t>金豆</t>
    <phoneticPr fontId="1" type="noConversion"/>
  </si>
  <si>
    <t>83305.png</t>
    <phoneticPr fontId="1" type="noConversion"/>
  </si>
  <si>
    <t>单次扫荡特权</t>
    <phoneticPr fontId="1" type="noConversion"/>
  </si>
  <si>
    <t>多次扫荡特权</t>
    <phoneticPr fontId="1" type="noConversion"/>
  </si>
  <si>
    <t>83306.png</t>
    <phoneticPr fontId="1" type="noConversion"/>
  </si>
  <si>
    <t>83307.png</t>
    <phoneticPr fontId="1" type="noConversion"/>
  </si>
  <si>
    <t>83308.png</t>
    <phoneticPr fontId="1" type="noConversion"/>
  </si>
  <si>
    <t>//17.单次扫荡功能开启</t>
    <phoneticPr fontId="1" type="noConversion"/>
  </si>
  <si>
    <t>//18.多次扫荡功能开启</t>
    <phoneticPr fontId="1" type="noConversion"/>
  </si>
  <si>
    <t>//19.单次和多次扫荡功能开启</t>
    <phoneticPr fontId="1" type="noConversion"/>
  </si>
  <si>
    <t>马仔碎片(巴闭)</t>
    <phoneticPr fontId="1" type="noConversion"/>
  </si>
  <si>
    <t>马仔碎片(耀阳)</t>
    <phoneticPr fontId="1" type="noConversion"/>
  </si>
  <si>
    <t>马仔碎片(笑面虎)</t>
    <phoneticPr fontId="1" type="noConversion"/>
  </si>
  <si>
    <t>巴闭</t>
  </si>
  <si>
    <t>耀阳</t>
  </si>
  <si>
    <t>笑面虎</t>
  </si>
  <si>
    <t>1113.png</t>
    <phoneticPr fontId="1" type="noConversion"/>
  </si>
  <si>
    <t>1111.png</t>
  </si>
  <si>
    <t>1110.png</t>
  </si>
  <si>
    <t>马仔碎片(巴闭)</t>
    <phoneticPr fontId="1" type="noConversion"/>
  </si>
  <si>
    <t>打开可获得随机装备升星部位材料</t>
    <phoneticPr fontId="1" type="noConversion"/>
  </si>
  <si>
    <t>龙魂币(500)</t>
    <phoneticPr fontId="1" type="noConversion"/>
  </si>
  <si>
    <t>龙魂币(1000)</t>
    <phoneticPr fontId="1" type="noConversion"/>
  </si>
  <si>
    <t>龙魂币(2000)</t>
    <phoneticPr fontId="1" type="noConversion"/>
  </si>
  <si>
    <t>龙魂币(500)</t>
    <phoneticPr fontId="1" type="noConversion"/>
  </si>
  <si>
    <t>龙魂币(1000)</t>
    <phoneticPr fontId="1" type="noConversion"/>
  </si>
  <si>
    <t>龙魂币(2000)</t>
    <phoneticPr fontId="1" type="noConversion"/>
  </si>
  <si>
    <t>命运石(5000)</t>
    <phoneticPr fontId="1" type="noConversion"/>
  </si>
  <si>
    <t>命运石(1万)</t>
    <phoneticPr fontId="1" type="noConversion"/>
  </si>
  <si>
    <t>命运石(2万)</t>
    <phoneticPr fontId="1" type="noConversion"/>
  </si>
  <si>
    <t>命运石(5000)</t>
    <phoneticPr fontId="1" type="noConversion"/>
  </si>
  <si>
    <t>命运石(1万)</t>
    <phoneticPr fontId="1" type="noConversion"/>
  </si>
  <si>
    <t>命运石(2万)</t>
    <phoneticPr fontId="1" type="noConversion"/>
  </si>
  <si>
    <t>常见的命运石货币，使用后可以获得5000点命运石</t>
    <phoneticPr fontId="1" type="noConversion"/>
  </si>
  <si>
    <t>少见的命运石货币，使用后可以获得1万点命运石</t>
    <phoneticPr fontId="1" type="noConversion"/>
  </si>
  <si>
    <t>珍贵的命运石货币，使用后可以获得2万点命运石</t>
    <phoneticPr fontId="1" type="noConversion"/>
  </si>
  <si>
    <t>解锁普通、精英副本的单次扫荡功能</t>
    <phoneticPr fontId="1" type="noConversion"/>
  </si>
  <si>
    <t>解锁普通、精英副本的多次扫荡功能</t>
    <phoneticPr fontId="1" type="noConversion"/>
  </si>
  <si>
    <t>解锁普通、精英副本的单次和多次扫荡功能</t>
    <phoneticPr fontId="1" type="noConversion"/>
  </si>
  <si>
    <t>扫荡特权</t>
    <phoneticPr fontId="1" type="noConversion"/>
  </si>
  <si>
    <t>技能冷却石</t>
  </si>
  <si>
    <t>紫色装备礼包</t>
    <phoneticPr fontId="1" type="noConversion"/>
  </si>
  <si>
    <t>橙色装备礼包</t>
    <phoneticPr fontId="1" type="noConversion"/>
  </si>
  <si>
    <t>限时碎片(陈浩南)</t>
    <phoneticPr fontId="1" type="noConversion"/>
  </si>
  <si>
    <t>限时碎片(山鸡)</t>
    <phoneticPr fontId="1" type="noConversion"/>
  </si>
  <si>
    <t>限时碎片(大天二)</t>
    <phoneticPr fontId="1" type="noConversion"/>
  </si>
  <si>
    <t>集齐10个可以招募马仔靓坤，同时也是靓坤升阶的必备材料</t>
    <phoneticPr fontId="1" type="noConversion"/>
  </si>
  <si>
    <t>集齐10个可以招募马仔雷复轰，同时也是雷复轰升阶的必备材料</t>
    <phoneticPr fontId="1" type="noConversion"/>
  </si>
  <si>
    <t>集齐10个可以招募马仔肥仔，同时也是肥仔升阶的必备材料</t>
    <phoneticPr fontId="1" type="noConversion"/>
  </si>
  <si>
    <t>集齐10个可以招募马仔司徒浩南，同时也是司徒浩南升阶的必备材料</t>
    <phoneticPr fontId="1" type="noConversion"/>
  </si>
  <si>
    <t>集齐10个可以招募马仔乌鸦，同时也是乌鸦升阶的必备材料</t>
    <phoneticPr fontId="1" type="noConversion"/>
  </si>
  <si>
    <t>集齐10个可以招募马仔赌王，同时也是赌王升阶的必备材料</t>
    <phoneticPr fontId="1" type="noConversion"/>
  </si>
  <si>
    <t>集齐10个可以招募马仔山下忠秀，同时也是山下忠秀升阶的必备材料</t>
    <phoneticPr fontId="1" type="noConversion"/>
  </si>
  <si>
    <t>集齐10个可以招募马仔宫本一，同时也是宫本一升阶的必备材料</t>
    <phoneticPr fontId="1" type="noConversion"/>
  </si>
  <si>
    <t>集齐10个可以招募马仔陈浩南，同时也是陈浩南升阶的必备材料</t>
    <phoneticPr fontId="1" type="noConversion"/>
  </si>
  <si>
    <t>集齐10个可以招募马仔山鸡，同时也是山鸡升阶的必备材料</t>
    <phoneticPr fontId="1" type="noConversion"/>
  </si>
  <si>
    <t>集齐10个可以招募马仔大天二，同时也是大天二升阶的必备材料</t>
    <phoneticPr fontId="1" type="noConversion"/>
  </si>
  <si>
    <t>集齐10个可以招募马仔巴闭，同时也是巴闭升阶的必备材料</t>
    <phoneticPr fontId="1" type="noConversion"/>
  </si>
  <si>
    <t>集齐10个可以招募马仔耀阳，同时也是耀阳升阶的必备材料</t>
    <phoneticPr fontId="1" type="noConversion"/>
  </si>
  <si>
    <t>集齐10个可以招募马仔笑面虎，同时也是笑面虎升阶的必备材料</t>
    <phoneticPr fontId="1" type="noConversion"/>
  </si>
  <si>
    <t>马仔碎片(制服太妹)</t>
    <phoneticPr fontId="1" type="noConversion"/>
  </si>
  <si>
    <t>集齐10个可以招募马仔制服太妹，同时也是制服太妹升阶的必备材料</t>
    <phoneticPr fontId="1" type="noConversion"/>
  </si>
  <si>
    <t>堂口贡献</t>
    <phoneticPr fontId="1" type="noConversion"/>
  </si>
  <si>
    <t>83309.png</t>
    <phoneticPr fontId="1" type="noConversion"/>
  </si>
  <si>
    <t>堂口捐献可获得，用于&lt;堂口商店购物&gt;</t>
    <phoneticPr fontId="1" type="noConversion"/>
  </si>
  <si>
    <t>幸运戒指</t>
  </si>
  <si>
    <t>亚诺</t>
  </si>
  <si>
    <t>银色手环</t>
  </si>
  <si>
    <t>鎏金手环</t>
  </si>
  <si>
    <t>镀金耳钉</t>
  </si>
  <si>
    <t>诅咒项链</t>
  </si>
  <si>
    <t>金饰项链</t>
  </si>
  <si>
    <t>银针手表</t>
  </si>
  <si>
    <t>白金手环</t>
  </si>
  <si>
    <t>银饰耳钉</t>
  </si>
  <si>
    <t>白银戒指</t>
  </si>
  <si>
    <t>水晶项链</t>
  </si>
  <si>
    <t>红石项链</t>
  </si>
  <si>
    <t>越野手表</t>
  </si>
  <si>
    <t>精准手表</t>
  </si>
  <si>
    <t>宝驼</t>
  </si>
  <si>
    <t>小迭钞票</t>
  </si>
  <si>
    <t>金块</t>
  </si>
  <si>
    <t>黄金戒指</t>
  </si>
  <si>
    <t>宝石手环</t>
  </si>
  <si>
    <t>青玉项链</t>
  </si>
  <si>
    <t>水晶耳钉</t>
  </si>
  <si>
    <t>金针手表</t>
  </si>
  <si>
    <t>智能手表</t>
  </si>
  <si>
    <t>宾倪</t>
  </si>
  <si>
    <t>大迭钞票</t>
  </si>
  <si>
    <t>大金块</t>
  </si>
  <si>
    <t>红石耳钉</t>
  </si>
  <si>
    <t>毒蝎耳钉</t>
  </si>
  <si>
    <t>王者手环</t>
  </si>
  <si>
    <t>符文手环</t>
  </si>
  <si>
    <t>猫妖项链</t>
  </si>
  <si>
    <t>苍蓝项链</t>
  </si>
  <si>
    <t>汉密手表</t>
  </si>
  <si>
    <t>大堆钞票</t>
  </si>
  <si>
    <t>小堆金块</t>
  </si>
  <si>
    <t>菠萝</t>
  </si>
  <si>
    <t>星光红石</t>
  </si>
  <si>
    <t>苍蓝戒指</t>
  </si>
  <si>
    <t>金饰宝盒</t>
  </si>
  <si>
    <t>圣徒项链</t>
  </si>
  <si>
    <t>贵族项链</t>
  </si>
  <si>
    <t>千国手表</t>
  </si>
  <si>
    <t>红博机利</t>
  </si>
  <si>
    <t>巨额钞票</t>
  </si>
  <si>
    <t>大堆金块</t>
  </si>
  <si>
    <t>深蓝</t>
  </si>
  <si>
    <t>黑耀项链</t>
  </si>
  <si>
    <t>翠绿之心</t>
  </si>
  <si>
    <t>珍珠宝盒</t>
  </si>
  <si>
    <t>古董宝盒</t>
  </si>
  <si>
    <t>水晶宝盒</t>
  </si>
  <si>
    <t>皇家项链</t>
  </si>
  <si>
    <t>海洋之泪</t>
  </si>
  <si>
    <t>壕利手表</t>
  </si>
  <si>
    <t>劳莱斯特</t>
  </si>
  <si>
    <t>房产证</t>
  </si>
  <si>
    <t>巨量金块</t>
  </si>
  <si>
    <t>白金手环碎片</t>
  </si>
  <si>
    <t>银饰耳钉碎片</t>
  </si>
  <si>
    <t>白银戒指碎片</t>
  </si>
  <si>
    <t>水晶项链碎片</t>
  </si>
  <si>
    <t>红石项链碎片</t>
  </si>
  <si>
    <t>越野手表碎片</t>
  </si>
  <si>
    <t>精准手表碎片</t>
  </si>
  <si>
    <t>宝驼碎片</t>
  </si>
  <si>
    <t>小迭钞票碎片</t>
  </si>
  <si>
    <t>金块碎片</t>
  </si>
  <si>
    <t>黄金戒指碎片</t>
  </si>
  <si>
    <t>宝石手环碎片</t>
  </si>
  <si>
    <t>摩拉碎片</t>
  </si>
  <si>
    <t>青玉项链碎片</t>
  </si>
  <si>
    <t>水晶耳钉碎片</t>
  </si>
  <si>
    <t>金针手表碎片</t>
  </si>
  <si>
    <t>智能手表碎片</t>
  </si>
  <si>
    <t>宾倪碎片</t>
  </si>
  <si>
    <t>大迭钞票碎片</t>
  </si>
  <si>
    <t>大金块碎片</t>
  </si>
  <si>
    <t>红石耳钉碎片</t>
  </si>
  <si>
    <t>毒蝎耳钉碎片</t>
  </si>
  <si>
    <t>王者手环碎片</t>
  </si>
  <si>
    <t>符文手环碎片</t>
  </si>
  <si>
    <t>猫妖项链碎片</t>
  </si>
  <si>
    <t>苍蓝项链碎片</t>
  </si>
  <si>
    <t>汉密手表碎片</t>
  </si>
  <si>
    <t>大堆钞票碎片</t>
  </si>
  <si>
    <t>小堆金块碎片</t>
  </si>
  <si>
    <t>菠萝碎片</t>
  </si>
  <si>
    <t>星光红石碎片</t>
  </si>
  <si>
    <t>苍蓝戒指碎片</t>
  </si>
  <si>
    <t>金饰宝盒碎片</t>
  </si>
  <si>
    <t>圣徒项链碎片</t>
  </si>
  <si>
    <t>贵族项链碎片</t>
  </si>
  <si>
    <t>千国手表碎片</t>
  </si>
  <si>
    <t>红博机利碎片</t>
  </si>
  <si>
    <t>巨额钞票碎片</t>
  </si>
  <si>
    <t>大堆金块碎片</t>
  </si>
  <si>
    <t>深蓝碎片</t>
  </si>
  <si>
    <t>黑耀项链碎片</t>
  </si>
  <si>
    <t>翠绿之心碎片</t>
  </si>
  <si>
    <t>珍珠宝盒碎片</t>
  </si>
  <si>
    <t>古董宝盒碎片</t>
  </si>
  <si>
    <t>水晶宝盒碎片</t>
  </si>
  <si>
    <t>皇家项链碎片</t>
  </si>
  <si>
    <t>海洋之泪碎片</t>
  </si>
  <si>
    <t>壕利手表碎片</t>
  </si>
  <si>
    <t>劳莱斯特碎片</t>
  </si>
  <si>
    <t>房产证碎片</t>
  </si>
  <si>
    <t>巨量金块碎片</t>
  </si>
  <si>
    <t>限时碎片，可用于马仔陈浩南升阶，升阶时优先消耗限时碎片，次日早上5:00自动删除该道具</t>
    <phoneticPr fontId="1" type="noConversion"/>
  </si>
  <si>
    <t>限时碎片，可用于马仔山鸡升阶，升阶时优先消耗限时碎片，次日早上5:00自动删除该道具</t>
    <phoneticPr fontId="1" type="noConversion"/>
  </si>
  <si>
    <t>限时碎片，可用于马仔大天二升阶，升阶时优先消耗限时碎片，次日早上5:00自动删除该道具</t>
    <phoneticPr fontId="1" type="noConversion"/>
  </si>
  <si>
    <t>马仔宝物碎片礼包</t>
    <phoneticPr fontId="1" type="noConversion"/>
  </si>
  <si>
    <t>金豆是古惑仔世界里最通用的货币</t>
    <phoneticPr fontId="1" type="noConversion"/>
  </si>
  <si>
    <t>马仔宝物礼包</t>
    <phoneticPr fontId="1" type="noConversion"/>
  </si>
  <si>
    <t>马仔碎片福袋</t>
    <phoneticPr fontId="1" type="noConversion"/>
  </si>
  <si>
    <t>打开可获得1件绿色马仔宝物</t>
  </si>
  <si>
    <t>打开可获得1件蓝色马仔宝物</t>
  </si>
  <si>
    <t>打开可获得1件紫色马仔宝物</t>
  </si>
  <si>
    <t>打开可获得1件橙色马仔宝物</t>
  </si>
  <si>
    <t>打开可获得1件红色马仔宝物</t>
  </si>
  <si>
    <t>打开可获得一个绿色命格</t>
  </si>
  <si>
    <t>打开可获得一个蓝色命格</t>
  </si>
  <si>
    <t>打开可获得一个紫色命格</t>
  </si>
  <si>
    <t>打开可获得一个橙色命格</t>
  </si>
  <si>
    <t>打开可获得一个红色命格</t>
  </si>
  <si>
    <t>打开可获得一件紫色装备</t>
    <phoneticPr fontId="1" type="noConversion"/>
  </si>
  <si>
    <t>打开可获得一件橙色装备</t>
    <phoneticPr fontId="1" type="noConversion"/>
  </si>
  <si>
    <t>打开可获得随机蓝色马仔宝物碎片</t>
    <phoneticPr fontId="1" type="noConversion"/>
  </si>
  <si>
    <t>打开可获得随机紫色马仔宝物碎片</t>
    <phoneticPr fontId="1" type="noConversion"/>
  </si>
  <si>
    <t>打开可获得随机橙色马仔宝物碎片</t>
    <phoneticPr fontId="1" type="noConversion"/>
  </si>
  <si>
    <t>打开可获得随机红色马仔宝物碎片</t>
    <phoneticPr fontId="1" type="noConversion"/>
  </si>
  <si>
    <t>打开可获得一个绿色马仔碎片</t>
    <phoneticPr fontId="1" type="noConversion"/>
  </si>
  <si>
    <t>打开可获得一个蓝色马仔碎片</t>
    <phoneticPr fontId="1" type="noConversion"/>
  </si>
  <si>
    <t>打开可获得一个紫色马仔碎片</t>
    <phoneticPr fontId="1" type="noConversion"/>
  </si>
  <si>
    <t>打开可获得一个橙色马仔碎片</t>
    <phoneticPr fontId="1" type="noConversion"/>
  </si>
  <si>
    <t>打开可获得一个红色马仔碎片</t>
    <phoneticPr fontId="1" type="noConversion"/>
  </si>
  <si>
    <t>打开可获得随机颜色的装备升星石一个</t>
    <phoneticPr fontId="1" type="noConversion"/>
  </si>
  <si>
    <t>装备升星石福袋</t>
    <phoneticPr fontId="1" type="noConversion"/>
  </si>
  <si>
    <t>红色装备礼包</t>
    <phoneticPr fontId="1" type="noConversion"/>
  </si>
  <si>
    <t>打开可获得一件红色装备</t>
    <phoneticPr fontId="1" type="noConversion"/>
  </si>
  <si>
    <t>83104.png</t>
    <phoneticPr fontId="1" type="noConversion"/>
  </si>
  <si>
    <t>83103.png</t>
    <phoneticPr fontId="1" type="noConversion"/>
  </si>
  <si>
    <t>马仔追债宝箱</t>
    <phoneticPr fontId="1" type="noConversion"/>
  </si>
  <si>
    <t>83102.png</t>
    <phoneticPr fontId="1" type="noConversion"/>
  </si>
  <si>
    <t>马仔追债活动中获得的宝箱，打开可获得少量马仔经验药水</t>
    <phoneticPr fontId="1" type="noConversion"/>
  </si>
  <si>
    <t>马仔追债活动中获得的宝箱，打开可获得中量马仔经验药水</t>
  </si>
  <si>
    <t>马仔追债活动中获得的宝箱，打开可获得大量马仔经验药水</t>
  </si>
  <si>
    <t>马仔追债活动中获得的宝箱，打开可获得巨量马仔经验药水</t>
  </si>
  <si>
    <t>马仔追债活动中获得的宝箱，打开可获得海量马仔经验药水</t>
  </si>
  <si>
    <t>部位材料宝箱</t>
    <phoneticPr fontId="1" type="noConversion"/>
  </si>
  <si>
    <t>83101.png</t>
    <phoneticPr fontId="1" type="noConversion"/>
  </si>
  <si>
    <t>命格福袋</t>
    <phoneticPr fontId="1" type="noConversion"/>
  </si>
  <si>
    <t>83103.png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</si>
</sst>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176" fontId="0" fillId="0" borderId="1" xfId="0" applyNumberFormat="1" applyBorder="1"/>
    <xf numFmtId="0" fontId="0" fillId="5" borderId="0" xfId="0" applyFill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Border="1"/>
    <xf numFmtId="0" fontId="0" fillId="0" borderId="1" xfId="0" applyNumberFormat="1" applyBorder="1"/>
    <xf numFmtId="0" fontId="0" fillId="0" borderId="0" xfId="0" applyFill="1" applyBorder="1"/>
    <xf numFmtId="0" fontId="0" fillId="10" borderId="0" xfId="0" applyFill="1"/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15</xdr:col>
      <xdr:colOff>457200</xdr:colOff>
      <xdr:row>32</xdr:row>
      <xdr:rowOff>48292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71450"/>
          <a:ext cx="10058400" cy="536324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43</xdr:row>
      <xdr:rowOff>28575</xdr:rowOff>
    </xdr:from>
    <xdr:to>
      <xdr:col>5</xdr:col>
      <xdr:colOff>324275</xdr:colOff>
      <xdr:row>49</xdr:row>
      <xdr:rowOff>95403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7400925"/>
          <a:ext cx="3048425" cy="109552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50</xdr:row>
      <xdr:rowOff>28575</xdr:rowOff>
    </xdr:from>
    <xdr:to>
      <xdr:col>5</xdr:col>
      <xdr:colOff>495749</xdr:colOff>
      <xdr:row>57</xdr:row>
      <xdr:rowOff>164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8601075"/>
          <a:ext cx="3219899" cy="1171739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33</xdr:row>
      <xdr:rowOff>9525</xdr:rowOff>
    </xdr:from>
    <xdr:to>
      <xdr:col>8</xdr:col>
      <xdr:colOff>561664</xdr:colOff>
      <xdr:row>38</xdr:row>
      <xdr:rowOff>166037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5667375"/>
          <a:ext cx="5343214" cy="1013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335280</xdr:colOff>
      <xdr:row>4</xdr:row>
      <xdr:rowOff>53340</xdr:rowOff>
    </xdr:from>
    <xdr:to>
      <xdr:col>12</xdr:col>
      <xdr:colOff>137160</xdr:colOff>
      <xdr:row>6</xdr:row>
      <xdr:rowOff>15240</xdr:rowOff>
    </xdr:to>
    <xdr:sp macro="[0]!ThisWorkbook.createItemData" textlink="">
      <xdr:nvSpPr>
        <xdr:cNvPr id="2" name="矩形 1"/>
        <xdr:cNvSpPr/>
      </xdr:nvSpPr>
      <xdr:spPr>
        <a:xfrm>
          <a:off x="7688580" y="784860"/>
          <a:ext cx="1021080" cy="327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导出数据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__&#20020;&#26102;&#36816;&#31639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1216;&#2149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9532;&#2018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492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830;&#2421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</v>
          </cell>
          <cell r="B1" t="str">
            <v>名称</v>
          </cell>
        </row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马仔追债宝箱</v>
          </cell>
        </row>
        <row r="121">
          <cell r="A121">
            <v>86002</v>
          </cell>
          <cell r="B121" t="str">
            <v>马仔追债宝箱</v>
          </cell>
        </row>
        <row r="122">
          <cell r="A122">
            <v>86003</v>
          </cell>
          <cell r="B122" t="str">
            <v>马仔追债宝箱</v>
          </cell>
        </row>
        <row r="123">
          <cell r="A123">
            <v>86004</v>
          </cell>
          <cell r="B123" t="str">
            <v>马仔追债宝箱</v>
          </cell>
        </row>
        <row r="124">
          <cell r="A124">
            <v>86005</v>
          </cell>
          <cell r="B124" t="str">
            <v>马仔追债宝箱</v>
          </cell>
        </row>
        <row r="125">
          <cell r="A125">
            <v>86110</v>
          </cell>
          <cell r="B125" t="str">
            <v>马仔宝物礼包</v>
          </cell>
        </row>
        <row r="126">
          <cell r="A126">
            <v>86120</v>
          </cell>
          <cell r="B126" t="str">
            <v>马仔宝物礼包</v>
          </cell>
        </row>
        <row r="127">
          <cell r="A127">
            <v>86130</v>
          </cell>
          <cell r="B127" t="str">
            <v>马仔宝物礼包</v>
          </cell>
        </row>
        <row r="128">
          <cell r="A128">
            <v>86140</v>
          </cell>
          <cell r="B128" t="str">
            <v>马仔宝物礼包</v>
          </cell>
        </row>
        <row r="129">
          <cell r="A129">
            <v>86150</v>
          </cell>
          <cell r="B129" t="str">
            <v>马仔宝物礼包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部位材料宝箱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86023</v>
          </cell>
          <cell r="B137" t="str">
            <v>红色装备礼包</v>
          </cell>
        </row>
        <row r="138">
          <cell r="A138">
            <v>78214</v>
          </cell>
          <cell r="B138" t="str">
            <v>限时碎片(陈浩南)</v>
          </cell>
        </row>
        <row r="139">
          <cell r="A139">
            <v>78215</v>
          </cell>
          <cell r="B139" t="str">
            <v>限时碎片(山鸡)</v>
          </cell>
        </row>
        <row r="140">
          <cell r="A140">
            <v>78216</v>
          </cell>
          <cell r="B140" t="str">
            <v>限时碎片(大天二)</v>
          </cell>
        </row>
        <row r="141">
          <cell r="A141">
            <v>83309</v>
          </cell>
          <cell r="B141" t="str">
            <v>堂口贡献</v>
          </cell>
        </row>
        <row r="142">
          <cell r="A142">
            <v>86121</v>
          </cell>
          <cell r="B142" t="str">
            <v>马仔宝物碎片礼包</v>
          </cell>
        </row>
        <row r="143">
          <cell r="A143">
            <v>86131</v>
          </cell>
          <cell r="B143" t="str">
            <v>马仔宝物碎片礼包</v>
          </cell>
        </row>
        <row r="144">
          <cell r="A144">
            <v>86141</v>
          </cell>
          <cell r="B144" t="str">
            <v>马仔宝物碎片礼包</v>
          </cell>
        </row>
        <row r="145">
          <cell r="A145">
            <v>86151</v>
          </cell>
          <cell r="B145" t="str">
            <v>马仔宝物碎片礼包</v>
          </cell>
        </row>
        <row r="146">
          <cell r="A146">
            <v>86210</v>
          </cell>
          <cell r="B146" t="str">
            <v>命格福袋</v>
          </cell>
        </row>
        <row r="147">
          <cell r="A147">
            <v>86220</v>
          </cell>
          <cell r="B147" t="str">
            <v>命格福袋</v>
          </cell>
        </row>
        <row r="148">
          <cell r="A148">
            <v>86230</v>
          </cell>
          <cell r="B148" t="str">
            <v>命格福袋</v>
          </cell>
        </row>
        <row r="149">
          <cell r="A149">
            <v>86240</v>
          </cell>
          <cell r="B149" t="str">
            <v>命格福袋</v>
          </cell>
        </row>
        <row r="150">
          <cell r="A150">
            <v>86250</v>
          </cell>
          <cell r="B150" t="str">
            <v>命格福袋</v>
          </cell>
        </row>
        <row r="151">
          <cell r="A151">
            <v>86310</v>
          </cell>
          <cell r="B151" t="str">
            <v>马仔碎片福袋</v>
          </cell>
        </row>
        <row r="152">
          <cell r="A152">
            <v>86320</v>
          </cell>
          <cell r="B152" t="str">
            <v>马仔碎片福袋</v>
          </cell>
        </row>
        <row r="153">
          <cell r="A153">
            <v>86330</v>
          </cell>
          <cell r="B153" t="str">
            <v>马仔碎片福袋</v>
          </cell>
        </row>
        <row r="154">
          <cell r="A154">
            <v>86340</v>
          </cell>
          <cell r="B154" t="str">
            <v>马仔碎片福袋</v>
          </cell>
        </row>
        <row r="155">
          <cell r="A155">
            <v>86350</v>
          </cell>
          <cell r="B155" t="str">
            <v>马仔碎片福袋</v>
          </cell>
        </row>
        <row r="156">
          <cell r="A156">
            <v>86400</v>
          </cell>
          <cell r="B156" t="str">
            <v>装备升星石福袋</v>
          </cell>
        </row>
        <row r="157">
          <cell r="A157">
            <v>91400</v>
          </cell>
          <cell r="B157" t="str">
            <v>马仔经验圣水</v>
          </cell>
        </row>
        <row r="158">
          <cell r="A158">
            <v>10001</v>
          </cell>
          <cell r="B158" t="str">
            <v>新手之剑</v>
          </cell>
        </row>
        <row r="159">
          <cell r="A159">
            <v>20001</v>
          </cell>
          <cell r="B159" t="str">
            <v>新手之拳</v>
          </cell>
        </row>
        <row r="160">
          <cell r="A160">
            <v>30001</v>
          </cell>
          <cell r="B160" t="str">
            <v>新手之枪</v>
          </cell>
        </row>
        <row r="161">
          <cell r="A161">
            <v>10002</v>
          </cell>
          <cell r="B161" t="str">
            <v>染血之剑</v>
          </cell>
        </row>
        <row r="162">
          <cell r="A162">
            <v>20002</v>
          </cell>
          <cell r="B162" t="str">
            <v>染血之拳</v>
          </cell>
        </row>
        <row r="163">
          <cell r="A163">
            <v>30002</v>
          </cell>
          <cell r="B163" t="str">
            <v>染血之枪</v>
          </cell>
        </row>
        <row r="164">
          <cell r="A164">
            <v>51002</v>
          </cell>
          <cell r="B164" t="str">
            <v>染血战衣</v>
          </cell>
        </row>
        <row r="165">
          <cell r="A165">
            <v>52002</v>
          </cell>
          <cell r="B165" t="str">
            <v>染血长裤</v>
          </cell>
        </row>
        <row r="166">
          <cell r="A166">
            <v>55002</v>
          </cell>
          <cell r="B166" t="str">
            <v>染血长靴</v>
          </cell>
        </row>
        <row r="167">
          <cell r="A167">
            <v>54002</v>
          </cell>
          <cell r="B167" t="str">
            <v>染血腰带</v>
          </cell>
        </row>
        <row r="168">
          <cell r="A168">
            <v>53002</v>
          </cell>
          <cell r="B168" t="str">
            <v>染血项链</v>
          </cell>
        </row>
        <row r="169">
          <cell r="A169">
            <v>10103</v>
          </cell>
          <cell r="B169" t="str">
            <v>狂气之剑</v>
          </cell>
        </row>
        <row r="170">
          <cell r="A170">
            <v>20103</v>
          </cell>
          <cell r="B170" t="str">
            <v>狂气之拳</v>
          </cell>
        </row>
        <row r="171">
          <cell r="A171">
            <v>30103</v>
          </cell>
          <cell r="B171" t="str">
            <v>狂气之枪</v>
          </cell>
        </row>
        <row r="172">
          <cell r="A172">
            <v>51103</v>
          </cell>
          <cell r="B172" t="str">
            <v>狂气战衣</v>
          </cell>
        </row>
        <row r="173">
          <cell r="A173">
            <v>52103</v>
          </cell>
          <cell r="B173" t="str">
            <v>狂气长裤</v>
          </cell>
        </row>
        <row r="174">
          <cell r="A174">
            <v>55103</v>
          </cell>
          <cell r="B174" t="str">
            <v>狂气长靴</v>
          </cell>
        </row>
        <row r="175">
          <cell r="A175">
            <v>54103</v>
          </cell>
          <cell r="B175" t="str">
            <v>狂气腰带</v>
          </cell>
        </row>
        <row r="176">
          <cell r="A176">
            <v>53103</v>
          </cell>
          <cell r="B176" t="str">
            <v>狂气项链</v>
          </cell>
        </row>
        <row r="177">
          <cell r="A177">
            <v>10104</v>
          </cell>
          <cell r="B177" t="str">
            <v>野性之剑</v>
          </cell>
        </row>
        <row r="178">
          <cell r="A178">
            <v>20104</v>
          </cell>
          <cell r="B178" t="str">
            <v>野性之拳</v>
          </cell>
        </row>
        <row r="179">
          <cell r="A179">
            <v>30104</v>
          </cell>
          <cell r="B179" t="str">
            <v>野性之枪</v>
          </cell>
        </row>
        <row r="180">
          <cell r="A180">
            <v>51104</v>
          </cell>
          <cell r="B180" t="str">
            <v>野性战衣</v>
          </cell>
        </row>
        <row r="181">
          <cell r="A181">
            <v>52104</v>
          </cell>
          <cell r="B181" t="str">
            <v>野性长裤</v>
          </cell>
        </row>
        <row r="182">
          <cell r="A182">
            <v>55104</v>
          </cell>
          <cell r="B182" t="str">
            <v>野性长靴</v>
          </cell>
        </row>
        <row r="183">
          <cell r="A183">
            <v>54104</v>
          </cell>
          <cell r="B183" t="str">
            <v>野性腰带</v>
          </cell>
        </row>
        <row r="184">
          <cell r="A184">
            <v>53104</v>
          </cell>
          <cell r="B184" t="str">
            <v>野性项链</v>
          </cell>
        </row>
        <row r="185">
          <cell r="A185">
            <v>10205</v>
          </cell>
          <cell r="B185" t="str">
            <v>紫云之剑</v>
          </cell>
        </row>
        <row r="186">
          <cell r="A186">
            <v>20205</v>
          </cell>
          <cell r="B186" t="str">
            <v>紫云之拳</v>
          </cell>
        </row>
        <row r="187">
          <cell r="A187">
            <v>30205</v>
          </cell>
          <cell r="B187" t="str">
            <v>紫云之枪</v>
          </cell>
        </row>
        <row r="188">
          <cell r="A188">
            <v>51205</v>
          </cell>
          <cell r="B188" t="str">
            <v>紫云战衣</v>
          </cell>
        </row>
        <row r="189">
          <cell r="A189">
            <v>52205</v>
          </cell>
          <cell r="B189" t="str">
            <v>紫云长裤</v>
          </cell>
        </row>
        <row r="190">
          <cell r="A190">
            <v>55205</v>
          </cell>
          <cell r="B190" t="str">
            <v>紫云长靴</v>
          </cell>
        </row>
        <row r="191">
          <cell r="A191">
            <v>54205</v>
          </cell>
          <cell r="B191" t="str">
            <v>紫云腰带</v>
          </cell>
        </row>
        <row r="192">
          <cell r="A192">
            <v>53205</v>
          </cell>
          <cell r="B192" t="str">
            <v>紫云项链</v>
          </cell>
        </row>
        <row r="193">
          <cell r="A193">
            <v>10306</v>
          </cell>
          <cell r="B193" t="str">
            <v>鎏金之剑</v>
          </cell>
        </row>
        <row r="194">
          <cell r="A194">
            <v>20306</v>
          </cell>
          <cell r="B194" t="str">
            <v>鎏金之拳</v>
          </cell>
        </row>
        <row r="195">
          <cell r="A195">
            <v>30306</v>
          </cell>
          <cell r="B195" t="str">
            <v>鎏金之枪</v>
          </cell>
        </row>
        <row r="196">
          <cell r="A196">
            <v>51306</v>
          </cell>
          <cell r="B196" t="str">
            <v>鎏金战衣</v>
          </cell>
        </row>
        <row r="197">
          <cell r="A197">
            <v>52306</v>
          </cell>
          <cell r="B197" t="str">
            <v>鎏金长裤</v>
          </cell>
        </row>
        <row r="198">
          <cell r="A198">
            <v>55306</v>
          </cell>
          <cell r="B198" t="str">
            <v>鎏金长靴</v>
          </cell>
        </row>
        <row r="199">
          <cell r="A199">
            <v>54306</v>
          </cell>
          <cell r="B199" t="str">
            <v>鎏金腰带</v>
          </cell>
        </row>
        <row r="200">
          <cell r="A200">
            <v>53306</v>
          </cell>
          <cell r="B200" t="str">
            <v>鎏金项链</v>
          </cell>
        </row>
        <row r="201">
          <cell r="A201">
            <v>10407</v>
          </cell>
          <cell r="B201" t="str">
            <v>虹光之剑</v>
          </cell>
        </row>
        <row r="202">
          <cell r="A202">
            <v>20407</v>
          </cell>
          <cell r="B202" t="str">
            <v>虹光之拳</v>
          </cell>
        </row>
        <row r="203">
          <cell r="A203">
            <v>30407</v>
          </cell>
          <cell r="B203" t="str">
            <v>虹光之枪</v>
          </cell>
        </row>
        <row r="204">
          <cell r="A204">
            <v>51407</v>
          </cell>
          <cell r="B204" t="str">
            <v>虹光战衣</v>
          </cell>
        </row>
        <row r="205">
          <cell r="A205">
            <v>52407</v>
          </cell>
          <cell r="B205" t="str">
            <v>虹光长裤</v>
          </cell>
        </row>
        <row r="206">
          <cell r="A206">
            <v>55407</v>
          </cell>
          <cell r="B206" t="str">
            <v>虹光长靴</v>
          </cell>
        </row>
        <row r="207">
          <cell r="A207">
            <v>54407</v>
          </cell>
          <cell r="B207" t="str">
            <v>虹光腰带</v>
          </cell>
        </row>
        <row r="208">
          <cell r="A208">
            <v>53407</v>
          </cell>
          <cell r="B208" t="str">
            <v>虹光项链</v>
          </cell>
        </row>
        <row r="209">
          <cell r="A209">
            <v>10108</v>
          </cell>
          <cell r="B209" t="str">
            <v>碧蓝之剑</v>
          </cell>
        </row>
        <row r="210">
          <cell r="A210">
            <v>20108</v>
          </cell>
          <cell r="B210" t="str">
            <v>碧蓝之拳</v>
          </cell>
        </row>
        <row r="211">
          <cell r="A211">
            <v>30108</v>
          </cell>
          <cell r="B211" t="str">
            <v>碧蓝之枪</v>
          </cell>
        </row>
        <row r="212">
          <cell r="A212">
            <v>51108</v>
          </cell>
          <cell r="B212" t="str">
            <v>碧蓝战衣</v>
          </cell>
        </row>
        <row r="213">
          <cell r="A213">
            <v>52108</v>
          </cell>
          <cell r="B213" t="str">
            <v>碧蓝长裤</v>
          </cell>
        </row>
        <row r="214">
          <cell r="A214">
            <v>55108</v>
          </cell>
          <cell r="B214" t="str">
            <v>碧蓝长靴</v>
          </cell>
        </row>
        <row r="215">
          <cell r="A215">
            <v>54108</v>
          </cell>
          <cell r="B215" t="str">
            <v>碧蓝腰带</v>
          </cell>
        </row>
        <row r="216">
          <cell r="A216">
            <v>53108</v>
          </cell>
          <cell r="B216" t="str">
            <v>碧蓝项链</v>
          </cell>
        </row>
        <row r="217">
          <cell r="A217">
            <v>10209</v>
          </cell>
          <cell r="B217" t="str">
            <v>斩魄之刃</v>
          </cell>
        </row>
        <row r="218">
          <cell r="A218">
            <v>20209</v>
          </cell>
          <cell r="B218" t="str">
            <v>流光之拳</v>
          </cell>
        </row>
        <row r="219">
          <cell r="A219">
            <v>30209</v>
          </cell>
          <cell r="B219" t="str">
            <v>玫瑰骑士</v>
          </cell>
        </row>
        <row r="220">
          <cell r="A220">
            <v>51209</v>
          </cell>
          <cell r="B220" t="str">
            <v>黑鸦战衣</v>
          </cell>
        </row>
        <row r="221">
          <cell r="A221">
            <v>52209</v>
          </cell>
          <cell r="B221" t="str">
            <v>黑鸦长裤</v>
          </cell>
        </row>
        <row r="222">
          <cell r="A222">
            <v>55209</v>
          </cell>
          <cell r="B222" t="str">
            <v>黑鸦长靴</v>
          </cell>
        </row>
        <row r="223">
          <cell r="A223">
            <v>54209</v>
          </cell>
          <cell r="B223" t="str">
            <v>黑鸦腰带</v>
          </cell>
        </row>
        <row r="224">
          <cell r="A224">
            <v>53209</v>
          </cell>
          <cell r="B224" t="str">
            <v>黑鸦项链</v>
          </cell>
        </row>
        <row r="225">
          <cell r="A225">
            <v>10310</v>
          </cell>
          <cell r="B225" t="str">
            <v>爵士之刃</v>
          </cell>
        </row>
        <row r="226">
          <cell r="A226">
            <v>20310</v>
          </cell>
          <cell r="B226" t="str">
            <v>爵士之拳</v>
          </cell>
        </row>
        <row r="227">
          <cell r="A227">
            <v>30310</v>
          </cell>
          <cell r="B227" t="str">
            <v>爵士之枪</v>
          </cell>
        </row>
        <row r="228">
          <cell r="A228">
            <v>51310</v>
          </cell>
          <cell r="B228" t="str">
            <v>爵士战衣</v>
          </cell>
        </row>
        <row r="229">
          <cell r="A229">
            <v>52310</v>
          </cell>
          <cell r="B229" t="str">
            <v>爵士长裤</v>
          </cell>
        </row>
        <row r="230">
          <cell r="A230">
            <v>55310</v>
          </cell>
          <cell r="B230" t="str">
            <v>爵士长靴</v>
          </cell>
        </row>
        <row r="231">
          <cell r="A231">
            <v>54310</v>
          </cell>
          <cell r="B231" t="str">
            <v>爵士腰带</v>
          </cell>
        </row>
        <row r="232">
          <cell r="A232">
            <v>53310</v>
          </cell>
          <cell r="B232" t="str">
            <v>爵士项链</v>
          </cell>
        </row>
        <row r="233">
          <cell r="A233">
            <v>10411</v>
          </cell>
          <cell r="B233" t="str">
            <v>暴血之刃</v>
          </cell>
        </row>
        <row r="234">
          <cell r="A234">
            <v>20411</v>
          </cell>
          <cell r="B234" t="str">
            <v>暴血之拳</v>
          </cell>
        </row>
        <row r="235">
          <cell r="A235">
            <v>30411</v>
          </cell>
          <cell r="B235" t="str">
            <v>暴血之枪</v>
          </cell>
        </row>
        <row r="236">
          <cell r="A236">
            <v>51411</v>
          </cell>
          <cell r="B236" t="str">
            <v>暴血战衣</v>
          </cell>
        </row>
        <row r="237">
          <cell r="A237">
            <v>52411</v>
          </cell>
          <cell r="B237" t="str">
            <v>暴血长裤</v>
          </cell>
        </row>
        <row r="238">
          <cell r="A238">
            <v>55411</v>
          </cell>
          <cell r="B238" t="str">
            <v>暴血长靴</v>
          </cell>
        </row>
        <row r="239">
          <cell r="A239">
            <v>54411</v>
          </cell>
          <cell r="B239" t="str">
            <v>暴血腰带</v>
          </cell>
        </row>
        <row r="240">
          <cell r="A240">
            <v>53411</v>
          </cell>
          <cell r="B240" t="str">
            <v>暴血项链</v>
          </cell>
        </row>
        <row r="241">
          <cell r="A241">
            <v>10112</v>
          </cell>
          <cell r="B241" t="str">
            <v>勇气之刃</v>
          </cell>
        </row>
        <row r="242">
          <cell r="A242">
            <v>20112</v>
          </cell>
          <cell r="B242" t="str">
            <v>勇气之拳</v>
          </cell>
        </row>
        <row r="243">
          <cell r="A243">
            <v>30112</v>
          </cell>
          <cell r="B243" t="str">
            <v>勇气之枪</v>
          </cell>
        </row>
        <row r="244">
          <cell r="A244">
            <v>51112</v>
          </cell>
          <cell r="B244" t="str">
            <v>勇气战衣</v>
          </cell>
        </row>
        <row r="245">
          <cell r="A245">
            <v>52112</v>
          </cell>
          <cell r="B245" t="str">
            <v>勇气长裤</v>
          </cell>
        </row>
        <row r="246">
          <cell r="A246">
            <v>55112</v>
          </cell>
          <cell r="B246" t="str">
            <v>勇气长靴</v>
          </cell>
        </row>
        <row r="247">
          <cell r="A247">
            <v>54112</v>
          </cell>
          <cell r="B247" t="str">
            <v>勇气腰带</v>
          </cell>
        </row>
        <row r="248">
          <cell r="A248">
            <v>53112</v>
          </cell>
          <cell r="B248" t="str">
            <v>勇气项链</v>
          </cell>
        </row>
        <row r="249">
          <cell r="A249">
            <v>10213</v>
          </cell>
          <cell r="B249" t="str">
            <v>暗羽霸刀</v>
          </cell>
        </row>
        <row r="250">
          <cell r="A250">
            <v>20213</v>
          </cell>
          <cell r="B250" t="str">
            <v>暗羽之拳</v>
          </cell>
        </row>
        <row r="251">
          <cell r="A251">
            <v>30213</v>
          </cell>
          <cell r="B251" t="str">
            <v>暗羽之枪</v>
          </cell>
        </row>
        <row r="252">
          <cell r="A252">
            <v>51213</v>
          </cell>
          <cell r="B252" t="str">
            <v>暗羽战衣</v>
          </cell>
        </row>
        <row r="253">
          <cell r="A253">
            <v>52213</v>
          </cell>
          <cell r="B253" t="str">
            <v>暗羽长裤</v>
          </cell>
        </row>
        <row r="254">
          <cell r="A254">
            <v>55213</v>
          </cell>
          <cell r="B254" t="str">
            <v>暗羽长靴</v>
          </cell>
        </row>
        <row r="255">
          <cell r="A255">
            <v>54213</v>
          </cell>
          <cell r="B255" t="str">
            <v>暗羽腰带</v>
          </cell>
        </row>
        <row r="256">
          <cell r="A256">
            <v>53213</v>
          </cell>
          <cell r="B256" t="str">
            <v>暗羽项链</v>
          </cell>
        </row>
        <row r="257">
          <cell r="A257">
            <v>10314</v>
          </cell>
          <cell r="B257" t="str">
            <v>玄武霸刀</v>
          </cell>
        </row>
        <row r="258">
          <cell r="A258">
            <v>20314</v>
          </cell>
          <cell r="B258" t="str">
            <v>玄武之拳</v>
          </cell>
        </row>
        <row r="259">
          <cell r="A259">
            <v>30314</v>
          </cell>
          <cell r="B259" t="str">
            <v>玄武之枪</v>
          </cell>
        </row>
        <row r="260">
          <cell r="A260">
            <v>51314</v>
          </cell>
          <cell r="B260" t="str">
            <v>玄武战衣</v>
          </cell>
        </row>
        <row r="261">
          <cell r="A261">
            <v>52314</v>
          </cell>
          <cell r="B261" t="str">
            <v>玄武长裤</v>
          </cell>
        </row>
        <row r="262">
          <cell r="A262">
            <v>55314</v>
          </cell>
          <cell r="B262" t="str">
            <v>玄武长靴</v>
          </cell>
        </row>
        <row r="263">
          <cell r="A263">
            <v>54314</v>
          </cell>
          <cell r="B263" t="str">
            <v>玄武腰带</v>
          </cell>
        </row>
        <row r="264">
          <cell r="A264">
            <v>53314</v>
          </cell>
          <cell r="B264" t="str">
            <v>玄武项链</v>
          </cell>
        </row>
        <row r="265">
          <cell r="A265">
            <v>10415</v>
          </cell>
          <cell r="B265" t="str">
            <v>暗魔之刃</v>
          </cell>
        </row>
        <row r="266">
          <cell r="A266">
            <v>20415</v>
          </cell>
          <cell r="B266" t="str">
            <v>暗魔之拳</v>
          </cell>
        </row>
        <row r="267">
          <cell r="A267">
            <v>30415</v>
          </cell>
          <cell r="B267" t="str">
            <v>暗魔之枪</v>
          </cell>
        </row>
        <row r="268">
          <cell r="A268">
            <v>51415</v>
          </cell>
          <cell r="B268" t="str">
            <v>暗魔战衣</v>
          </cell>
        </row>
        <row r="269">
          <cell r="A269">
            <v>52415</v>
          </cell>
          <cell r="B269" t="str">
            <v>暗魔长裤</v>
          </cell>
        </row>
        <row r="270">
          <cell r="A270">
            <v>55415</v>
          </cell>
          <cell r="B270" t="str">
            <v>暗魔长靴</v>
          </cell>
        </row>
        <row r="271">
          <cell r="A271">
            <v>54415</v>
          </cell>
          <cell r="B271" t="str">
            <v>暗魔腰带</v>
          </cell>
        </row>
        <row r="272">
          <cell r="A272">
            <v>53415</v>
          </cell>
          <cell r="B272" t="str">
            <v>暗魔项链</v>
          </cell>
        </row>
        <row r="273">
          <cell r="A273">
            <v>10116</v>
          </cell>
          <cell r="B273" t="str">
            <v>战爵之刃</v>
          </cell>
        </row>
        <row r="274">
          <cell r="A274">
            <v>20116</v>
          </cell>
          <cell r="B274" t="str">
            <v>战爵之拳</v>
          </cell>
        </row>
        <row r="275">
          <cell r="A275">
            <v>30116</v>
          </cell>
          <cell r="B275" t="str">
            <v>战爵之枪</v>
          </cell>
        </row>
        <row r="276">
          <cell r="A276">
            <v>51116</v>
          </cell>
          <cell r="B276" t="str">
            <v>战爵之衣</v>
          </cell>
        </row>
        <row r="277">
          <cell r="A277">
            <v>52116</v>
          </cell>
          <cell r="B277" t="str">
            <v>战爵长裤</v>
          </cell>
        </row>
        <row r="278">
          <cell r="A278">
            <v>55116</v>
          </cell>
          <cell r="B278" t="str">
            <v>战爵长靴</v>
          </cell>
        </row>
        <row r="279">
          <cell r="A279">
            <v>54116</v>
          </cell>
          <cell r="B279" t="str">
            <v>战爵腰带</v>
          </cell>
        </row>
        <row r="280">
          <cell r="A280">
            <v>53116</v>
          </cell>
          <cell r="B280" t="str">
            <v>战爵项链</v>
          </cell>
        </row>
        <row r="281">
          <cell r="A281">
            <v>10217</v>
          </cell>
          <cell r="B281" t="str">
            <v>嗜血之剑</v>
          </cell>
        </row>
        <row r="282">
          <cell r="A282">
            <v>20217</v>
          </cell>
          <cell r="B282" t="str">
            <v>嗜血拳</v>
          </cell>
        </row>
        <row r="283">
          <cell r="A283">
            <v>30217</v>
          </cell>
          <cell r="B283" t="str">
            <v>嗜血枪</v>
          </cell>
        </row>
        <row r="284">
          <cell r="A284">
            <v>51217</v>
          </cell>
          <cell r="B284" t="str">
            <v>嗜血战衣</v>
          </cell>
        </row>
        <row r="285">
          <cell r="A285">
            <v>52217</v>
          </cell>
          <cell r="B285" t="str">
            <v>嗜血长裤</v>
          </cell>
        </row>
        <row r="286">
          <cell r="A286">
            <v>55217</v>
          </cell>
          <cell r="B286" t="str">
            <v>嗜血长靴</v>
          </cell>
        </row>
        <row r="287">
          <cell r="A287">
            <v>54217</v>
          </cell>
          <cell r="B287" t="str">
            <v>嗜血腰带</v>
          </cell>
        </row>
        <row r="288">
          <cell r="A288">
            <v>53217</v>
          </cell>
          <cell r="B288" t="str">
            <v>嗜血项链</v>
          </cell>
        </row>
        <row r="289">
          <cell r="A289">
            <v>10318</v>
          </cell>
          <cell r="B289" t="str">
            <v>霸道之刃</v>
          </cell>
        </row>
        <row r="290">
          <cell r="A290">
            <v>20318</v>
          </cell>
          <cell r="B290" t="str">
            <v>霸道之拳</v>
          </cell>
        </row>
        <row r="291">
          <cell r="A291">
            <v>30318</v>
          </cell>
          <cell r="B291" t="str">
            <v>霸道之枪</v>
          </cell>
        </row>
        <row r="292">
          <cell r="A292">
            <v>51318</v>
          </cell>
          <cell r="B292" t="str">
            <v>霸道战衣</v>
          </cell>
        </row>
        <row r="293">
          <cell r="A293">
            <v>52318</v>
          </cell>
          <cell r="B293" t="str">
            <v>霸道长裤</v>
          </cell>
        </row>
        <row r="294">
          <cell r="A294">
            <v>55318</v>
          </cell>
          <cell r="B294" t="str">
            <v>霸道长靴</v>
          </cell>
        </row>
        <row r="295">
          <cell r="A295">
            <v>54318</v>
          </cell>
          <cell r="B295" t="str">
            <v>霸道腰带</v>
          </cell>
        </row>
        <row r="296">
          <cell r="A296">
            <v>53318</v>
          </cell>
          <cell r="B296" t="str">
            <v>霸道项链</v>
          </cell>
        </row>
        <row r="297">
          <cell r="A297">
            <v>10419</v>
          </cell>
          <cell r="B297" t="str">
            <v>白虎霸刀</v>
          </cell>
        </row>
        <row r="298">
          <cell r="A298">
            <v>20419</v>
          </cell>
          <cell r="B298" t="str">
            <v>白虎之拳</v>
          </cell>
        </row>
        <row r="299">
          <cell r="A299">
            <v>30419</v>
          </cell>
          <cell r="B299" t="str">
            <v>白虎之枪</v>
          </cell>
        </row>
        <row r="300">
          <cell r="A300">
            <v>51419</v>
          </cell>
          <cell r="B300" t="str">
            <v>白虎战衣</v>
          </cell>
        </row>
        <row r="301">
          <cell r="A301">
            <v>52419</v>
          </cell>
          <cell r="B301" t="str">
            <v>白虎长裤</v>
          </cell>
        </row>
        <row r="302">
          <cell r="A302">
            <v>55419</v>
          </cell>
          <cell r="B302" t="str">
            <v>白虎长靴</v>
          </cell>
        </row>
        <row r="303">
          <cell r="A303">
            <v>54419</v>
          </cell>
          <cell r="B303" t="str">
            <v>白虎腰带</v>
          </cell>
        </row>
        <row r="304">
          <cell r="A304">
            <v>53419</v>
          </cell>
          <cell r="B304" t="str">
            <v>白虎项链</v>
          </cell>
        </row>
        <row r="305">
          <cell r="A305">
            <v>10120</v>
          </cell>
          <cell r="B305" t="str">
            <v>堕落之刃</v>
          </cell>
        </row>
        <row r="306">
          <cell r="A306">
            <v>20120</v>
          </cell>
          <cell r="B306" t="str">
            <v>堕落之拳</v>
          </cell>
        </row>
        <row r="307">
          <cell r="A307">
            <v>30120</v>
          </cell>
          <cell r="B307" t="str">
            <v>堕落之枪</v>
          </cell>
        </row>
        <row r="308">
          <cell r="A308">
            <v>51120</v>
          </cell>
          <cell r="B308" t="str">
            <v>堕落战衣</v>
          </cell>
        </row>
        <row r="309">
          <cell r="A309">
            <v>52120</v>
          </cell>
          <cell r="B309" t="str">
            <v>堕落长裤</v>
          </cell>
        </row>
        <row r="310">
          <cell r="A310">
            <v>55120</v>
          </cell>
          <cell r="B310" t="str">
            <v>堕落长靴</v>
          </cell>
        </row>
        <row r="311">
          <cell r="A311">
            <v>54120</v>
          </cell>
          <cell r="B311" t="str">
            <v>堕落腰带</v>
          </cell>
        </row>
        <row r="312">
          <cell r="A312">
            <v>53120</v>
          </cell>
          <cell r="B312" t="str">
            <v>堕落项链</v>
          </cell>
        </row>
        <row r="313">
          <cell r="A313">
            <v>10221</v>
          </cell>
          <cell r="B313" t="str">
            <v>幻痛霸刀</v>
          </cell>
        </row>
        <row r="314">
          <cell r="A314">
            <v>20221</v>
          </cell>
          <cell r="B314" t="str">
            <v>幻痛之拳</v>
          </cell>
        </row>
        <row r="315">
          <cell r="A315">
            <v>30221</v>
          </cell>
          <cell r="B315" t="str">
            <v>幻痛之枪</v>
          </cell>
        </row>
        <row r="316">
          <cell r="A316">
            <v>51221</v>
          </cell>
          <cell r="B316" t="str">
            <v>幻痛战衣</v>
          </cell>
        </row>
        <row r="317">
          <cell r="A317">
            <v>52221</v>
          </cell>
          <cell r="B317" t="str">
            <v>幻痛长裤</v>
          </cell>
        </row>
        <row r="318">
          <cell r="A318">
            <v>55221</v>
          </cell>
          <cell r="B318" t="str">
            <v>幻痛长靴</v>
          </cell>
        </row>
        <row r="319">
          <cell r="A319">
            <v>54221</v>
          </cell>
          <cell r="B319" t="str">
            <v>幻痛腰带</v>
          </cell>
        </row>
        <row r="320">
          <cell r="A320">
            <v>53221</v>
          </cell>
          <cell r="B320" t="str">
            <v>幻痛项链</v>
          </cell>
        </row>
        <row r="321">
          <cell r="A321">
            <v>10322</v>
          </cell>
          <cell r="B321" t="str">
            <v>焚天之剑</v>
          </cell>
        </row>
        <row r="322">
          <cell r="A322">
            <v>20322</v>
          </cell>
          <cell r="B322" t="str">
            <v>焚天之拳</v>
          </cell>
        </row>
        <row r="323">
          <cell r="A323">
            <v>30322</v>
          </cell>
          <cell r="B323" t="str">
            <v>焚天之枪</v>
          </cell>
        </row>
        <row r="324">
          <cell r="A324">
            <v>51322</v>
          </cell>
          <cell r="B324" t="str">
            <v>焚天战衣</v>
          </cell>
        </row>
        <row r="325">
          <cell r="A325">
            <v>52322</v>
          </cell>
          <cell r="B325" t="str">
            <v>焚天长裤</v>
          </cell>
        </row>
        <row r="326">
          <cell r="A326">
            <v>55322</v>
          </cell>
          <cell r="B326" t="str">
            <v>焚天长靴</v>
          </cell>
        </row>
        <row r="327">
          <cell r="A327">
            <v>54322</v>
          </cell>
          <cell r="B327" t="str">
            <v>焚天腰带</v>
          </cell>
        </row>
        <row r="328">
          <cell r="A328">
            <v>53322</v>
          </cell>
          <cell r="B328" t="str">
            <v>焚天项链</v>
          </cell>
        </row>
        <row r="329">
          <cell r="A329">
            <v>10423</v>
          </cell>
          <cell r="B329" t="str">
            <v>朱雀霸刀</v>
          </cell>
        </row>
        <row r="330">
          <cell r="A330">
            <v>20423</v>
          </cell>
          <cell r="B330" t="str">
            <v>朱雀之拳</v>
          </cell>
        </row>
        <row r="331">
          <cell r="A331">
            <v>30423</v>
          </cell>
          <cell r="B331" t="str">
            <v>朱雀之枪</v>
          </cell>
        </row>
        <row r="332">
          <cell r="A332">
            <v>51423</v>
          </cell>
          <cell r="B332" t="str">
            <v>朱雀战衣</v>
          </cell>
        </row>
        <row r="333">
          <cell r="A333">
            <v>52423</v>
          </cell>
          <cell r="B333" t="str">
            <v>朱雀长裤</v>
          </cell>
        </row>
        <row r="334">
          <cell r="A334">
            <v>55423</v>
          </cell>
          <cell r="B334" t="str">
            <v>朱雀长靴</v>
          </cell>
        </row>
        <row r="335">
          <cell r="A335">
            <v>54423</v>
          </cell>
          <cell r="B335" t="str">
            <v>朱雀腰带</v>
          </cell>
        </row>
        <row r="336">
          <cell r="A336">
            <v>53423</v>
          </cell>
          <cell r="B336" t="str">
            <v>朱雀项链</v>
          </cell>
        </row>
        <row r="337">
          <cell r="A337">
            <v>10124</v>
          </cell>
          <cell r="B337" t="str">
            <v>高洁之刃</v>
          </cell>
        </row>
        <row r="338">
          <cell r="A338">
            <v>20124</v>
          </cell>
          <cell r="B338" t="str">
            <v>高洁之拳</v>
          </cell>
        </row>
        <row r="339">
          <cell r="A339">
            <v>30124</v>
          </cell>
          <cell r="B339" t="str">
            <v>高洁之枪</v>
          </cell>
        </row>
        <row r="340">
          <cell r="A340">
            <v>51124</v>
          </cell>
          <cell r="B340" t="str">
            <v>高洁战衣</v>
          </cell>
        </row>
        <row r="341">
          <cell r="A341">
            <v>52124</v>
          </cell>
          <cell r="B341" t="str">
            <v>高洁长裤</v>
          </cell>
        </row>
        <row r="342">
          <cell r="A342">
            <v>55124</v>
          </cell>
          <cell r="B342" t="str">
            <v>高洁长靴</v>
          </cell>
        </row>
        <row r="343">
          <cell r="A343">
            <v>54124</v>
          </cell>
          <cell r="B343" t="str">
            <v>高洁腰带</v>
          </cell>
        </row>
        <row r="344">
          <cell r="A344">
            <v>53124</v>
          </cell>
          <cell r="B344" t="str">
            <v>高洁项链</v>
          </cell>
        </row>
        <row r="345">
          <cell r="A345">
            <v>10225</v>
          </cell>
          <cell r="B345" t="str">
            <v>星宿之刃</v>
          </cell>
        </row>
        <row r="346">
          <cell r="A346">
            <v>20225</v>
          </cell>
          <cell r="B346" t="str">
            <v>星宿之拳</v>
          </cell>
        </row>
        <row r="347">
          <cell r="A347">
            <v>30225</v>
          </cell>
          <cell r="B347" t="str">
            <v>星宿之枪</v>
          </cell>
        </row>
        <row r="348">
          <cell r="A348">
            <v>51225</v>
          </cell>
          <cell r="B348" t="str">
            <v>星宿战衣</v>
          </cell>
        </row>
        <row r="349">
          <cell r="A349">
            <v>52225</v>
          </cell>
          <cell r="B349" t="str">
            <v>星宿长裤</v>
          </cell>
        </row>
        <row r="350">
          <cell r="A350">
            <v>55225</v>
          </cell>
          <cell r="B350" t="str">
            <v>星宿长靴</v>
          </cell>
        </row>
        <row r="351">
          <cell r="A351">
            <v>54225</v>
          </cell>
          <cell r="B351" t="str">
            <v>星宿腰带</v>
          </cell>
        </row>
        <row r="352">
          <cell r="A352">
            <v>53225</v>
          </cell>
          <cell r="B352" t="str">
            <v>星宿项链</v>
          </cell>
        </row>
        <row r="353">
          <cell r="A353">
            <v>10326</v>
          </cell>
          <cell r="B353" t="str">
            <v>炼狱之剑</v>
          </cell>
        </row>
        <row r="354">
          <cell r="A354">
            <v>20326</v>
          </cell>
          <cell r="B354" t="str">
            <v>炼狱之拳</v>
          </cell>
        </row>
        <row r="355">
          <cell r="A355">
            <v>30326</v>
          </cell>
          <cell r="B355" t="str">
            <v>炼狱之枪</v>
          </cell>
        </row>
        <row r="356">
          <cell r="A356">
            <v>51326</v>
          </cell>
          <cell r="B356" t="str">
            <v>炼狱战衣</v>
          </cell>
        </row>
        <row r="357">
          <cell r="A357">
            <v>52326</v>
          </cell>
          <cell r="B357" t="str">
            <v>炼狱长裤</v>
          </cell>
        </row>
        <row r="358">
          <cell r="A358">
            <v>55326</v>
          </cell>
          <cell r="B358" t="str">
            <v>炼狱长靴</v>
          </cell>
        </row>
        <row r="359">
          <cell r="A359">
            <v>54326</v>
          </cell>
          <cell r="B359" t="str">
            <v>炼狱腰带</v>
          </cell>
        </row>
        <row r="360">
          <cell r="A360">
            <v>53326</v>
          </cell>
          <cell r="B360" t="str">
            <v>炼狱项链</v>
          </cell>
        </row>
        <row r="361">
          <cell r="A361">
            <v>10427</v>
          </cell>
          <cell r="B361" t="str">
            <v>青龙霸刀</v>
          </cell>
        </row>
        <row r="362">
          <cell r="A362">
            <v>20427</v>
          </cell>
          <cell r="B362" t="str">
            <v>青龙之拳</v>
          </cell>
        </row>
        <row r="363">
          <cell r="A363">
            <v>30427</v>
          </cell>
          <cell r="B363" t="str">
            <v>青龙之枪</v>
          </cell>
        </row>
        <row r="364">
          <cell r="A364">
            <v>51427</v>
          </cell>
          <cell r="B364" t="str">
            <v>青龙战衣</v>
          </cell>
        </row>
        <row r="365">
          <cell r="A365">
            <v>52427</v>
          </cell>
          <cell r="B365" t="str">
            <v>青龙长裤</v>
          </cell>
        </row>
        <row r="366">
          <cell r="A366">
            <v>55427</v>
          </cell>
          <cell r="B366" t="str">
            <v>青龙长靴</v>
          </cell>
        </row>
        <row r="367">
          <cell r="A367">
            <v>54427</v>
          </cell>
          <cell r="B367" t="str">
            <v>青龙腰带</v>
          </cell>
        </row>
        <row r="368">
          <cell r="A368">
            <v>53427</v>
          </cell>
          <cell r="B368" t="str">
            <v>青龙项链</v>
          </cell>
        </row>
        <row r="369">
          <cell r="A369">
            <v>92131</v>
          </cell>
          <cell r="B369" t="str">
            <v>幸运戒指</v>
          </cell>
        </row>
        <row r="370">
          <cell r="A370">
            <v>92011</v>
          </cell>
          <cell r="B370" t="str">
            <v>亚诺</v>
          </cell>
        </row>
        <row r="371">
          <cell r="A371">
            <v>92228</v>
          </cell>
          <cell r="B371" t="str">
            <v>银色手环</v>
          </cell>
        </row>
        <row r="372">
          <cell r="A372">
            <v>92232</v>
          </cell>
          <cell r="B372" t="str">
            <v>鎏金手环</v>
          </cell>
        </row>
        <row r="373">
          <cell r="A373">
            <v>92121</v>
          </cell>
          <cell r="B373" t="str">
            <v>镀金耳钉</v>
          </cell>
        </row>
        <row r="374">
          <cell r="A374">
            <v>92243</v>
          </cell>
          <cell r="B374" t="str">
            <v>诅咒项链</v>
          </cell>
        </row>
        <row r="375">
          <cell r="A375">
            <v>92244</v>
          </cell>
          <cell r="B375" t="str">
            <v>金饰项链</v>
          </cell>
        </row>
        <row r="376">
          <cell r="A376">
            <v>92263</v>
          </cell>
          <cell r="B376" t="str">
            <v>银针手表</v>
          </cell>
        </row>
        <row r="377">
          <cell r="A377">
            <v>92277</v>
          </cell>
          <cell r="B377" t="str">
            <v>冬利</v>
          </cell>
        </row>
        <row r="378">
          <cell r="A378">
            <v>92233</v>
          </cell>
          <cell r="B378" t="str">
            <v>白金手环</v>
          </cell>
        </row>
        <row r="379">
          <cell r="A379">
            <v>92122</v>
          </cell>
          <cell r="B379" t="str">
            <v>银饰耳钉</v>
          </cell>
        </row>
        <row r="380">
          <cell r="A380">
            <v>92141</v>
          </cell>
          <cell r="B380" t="str">
            <v>白银戒指</v>
          </cell>
        </row>
        <row r="381">
          <cell r="A381">
            <v>92245</v>
          </cell>
          <cell r="B381" t="str">
            <v>水晶项链</v>
          </cell>
        </row>
        <row r="382">
          <cell r="A382">
            <v>92251</v>
          </cell>
          <cell r="B382" t="str">
            <v>红石项链</v>
          </cell>
        </row>
        <row r="383">
          <cell r="A383">
            <v>92264</v>
          </cell>
          <cell r="B383" t="str">
            <v>越野手表</v>
          </cell>
        </row>
        <row r="384">
          <cell r="A384">
            <v>92271</v>
          </cell>
          <cell r="B384" t="str">
            <v>精准手表</v>
          </cell>
        </row>
        <row r="385">
          <cell r="A385">
            <v>92278</v>
          </cell>
          <cell r="B385" t="str">
            <v>宝驼</v>
          </cell>
        </row>
        <row r="386">
          <cell r="A386">
            <v>92283</v>
          </cell>
          <cell r="B386" t="str">
            <v>小迭钞票</v>
          </cell>
        </row>
        <row r="387">
          <cell r="A387">
            <v>92287</v>
          </cell>
          <cell r="B387" t="str">
            <v>金块</v>
          </cell>
        </row>
        <row r="388">
          <cell r="A388">
            <v>92142</v>
          </cell>
          <cell r="B388" t="str">
            <v>黄金戒指</v>
          </cell>
        </row>
        <row r="389">
          <cell r="A389">
            <v>92235</v>
          </cell>
          <cell r="B389" t="str">
            <v>宝石手环</v>
          </cell>
        </row>
        <row r="390">
          <cell r="A390">
            <v>92012</v>
          </cell>
          <cell r="B390" t="str">
            <v>摩拉</v>
          </cell>
        </row>
        <row r="391">
          <cell r="A391">
            <v>92252</v>
          </cell>
          <cell r="B391" t="str">
            <v>青玉项链</v>
          </cell>
        </row>
        <row r="392">
          <cell r="A392">
            <v>92124</v>
          </cell>
          <cell r="B392" t="str">
            <v>水晶耳钉</v>
          </cell>
        </row>
        <row r="393">
          <cell r="A393">
            <v>92272</v>
          </cell>
          <cell r="B393" t="str">
            <v>金针手表</v>
          </cell>
        </row>
        <row r="394">
          <cell r="A394">
            <v>92273</v>
          </cell>
          <cell r="B394" t="str">
            <v>智能手表</v>
          </cell>
        </row>
        <row r="395">
          <cell r="A395">
            <v>92279</v>
          </cell>
          <cell r="B395" t="str">
            <v>宾倪</v>
          </cell>
        </row>
        <row r="396">
          <cell r="A396">
            <v>92284</v>
          </cell>
          <cell r="B396" t="str">
            <v>大迭钞票</v>
          </cell>
        </row>
        <row r="397">
          <cell r="A397">
            <v>92288</v>
          </cell>
          <cell r="B397" t="str">
            <v>大金块</v>
          </cell>
        </row>
        <row r="398">
          <cell r="A398">
            <v>92125</v>
          </cell>
          <cell r="B398" t="str">
            <v>红石耳钉</v>
          </cell>
        </row>
        <row r="399">
          <cell r="A399">
            <v>92134</v>
          </cell>
          <cell r="B399" t="str">
            <v>毒蝎耳钉</v>
          </cell>
        </row>
        <row r="400">
          <cell r="A400">
            <v>92223</v>
          </cell>
          <cell r="B400" t="str">
            <v>赤金戒指</v>
          </cell>
        </row>
        <row r="401">
          <cell r="A401">
            <v>92227</v>
          </cell>
          <cell r="B401" t="str">
            <v>王者手环</v>
          </cell>
        </row>
        <row r="402">
          <cell r="A402">
            <v>92236</v>
          </cell>
          <cell r="B402" t="str">
            <v>符文手环</v>
          </cell>
        </row>
        <row r="403">
          <cell r="A403">
            <v>92013</v>
          </cell>
          <cell r="B403" t="str">
            <v>月立</v>
          </cell>
        </row>
        <row r="404">
          <cell r="A404">
            <v>92253</v>
          </cell>
          <cell r="B404" t="str">
            <v>猫妖项链</v>
          </cell>
        </row>
        <row r="405">
          <cell r="A405">
            <v>92254</v>
          </cell>
          <cell r="B405" t="str">
            <v>苍蓝项链</v>
          </cell>
        </row>
        <row r="406">
          <cell r="A406">
            <v>92274</v>
          </cell>
          <cell r="B406" t="str">
            <v>汉密手表</v>
          </cell>
        </row>
        <row r="407">
          <cell r="A407">
            <v>92280</v>
          </cell>
          <cell r="B407" t="str">
            <v>法拉捷</v>
          </cell>
        </row>
        <row r="408">
          <cell r="A408">
            <v>92285</v>
          </cell>
          <cell r="B408" t="str">
            <v>大堆钞票</v>
          </cell>
        </row>
        <row r="409">
          <cell r="A409">
            <v>92289</v>
          </cell>
          <cell r="B409" t="str">
            <v>小堆金块</v>
          </cell>
        </row>
        <row r="410">
          <cell r="A410">
            <v>92014</v>
          </cell>
          <cell r="B410" t="str">
            <v>菠萝</v>
          </cell>
        </row>
        <row r="411">
          <cell r="A411">
            <v>92296</v>
          </cell>
          <cell r="B411" t="str">
            <v>星光红石</v>
          </cell>
        </row>
        <row r="412">
          <cell r="A412">
            <v>92240</v>
          </cell>
          <cell r="B412" t="str">
            <v>苍蓝戒指</v>
          </cell>
        </row>
        <row r="413">
          <cell r="A413">
            <v>92292</v>
          </cell>
          <cell r="B413" t="str">
            <v>金饰宝盒</v>
          </cell>
        </row>
        <row r="414">
          <cell r="A414">
            <v>92256</v>
          </cell>
          <cell r="B414" t="str">
            <v>圣徒项链</v>
          </cell>
        </row>
        <row r="415">
          <cell r="A415">
            <v>92261</v>
          </cell>
          <cell r="B415" t="str">
            <v>贵族项链</v>
          </cell>
        </row>
        <row r="416">
          <cell r="A416">
            <v>92275</v>
          </cell>
          <cell r="B416" t="str">
            <v>千国手表</v>
          </cell>
        </row>
        <row r="417">
          <cell r="A417">
            <v>92281</v>
          </cell>
          <cell r="B417" t="str">
            <v>红博机利</v>
          </cell>
        </row>
        <row r="418">
          <cell r="A418">
            <v>92286</v>
          </cell>
          <cell r="B418" t="str">
            <v>巨额钞票</v>
          </cell>
        </row>
        <row r="419">
          <cell r="A419">
            <v>92290</v>
          </cell>
          <cell r="B419" t="str">
            <v>大堆金块</v>
          </cell>
        </row>
        <row r="420">
          <cell r="A420">
            <v>92026</v>
          </cell>
          <cell r="B420" t="str">
            <v>深蓝</v>
          </cell>
        </row>
        <row r="421">
          <cell r="A421">
            <v>92255</v>
          </cell>
          <cell r="B421" t="str">
            <v>黑耀项链</v>
          </cell>
        </row>
        <row r="422">
          <cell r="A422">
            <v>92297</v>
          </cell>
          <cell r="B422" t="str">
            <v>翠绿之心</v>
          </cell>
        </row>
        <row r="423">
          <cell r="A423">
            <v>92293</v>
          </cell>
          <cell r="B423" t="str">
            <v>珍珠宝盒</v>
          </cell>
        </row>
        <row r="424">
          <cell r="A424">
            <v>92294</v>
          </cell>
          <cell r="B424" t="str">
            <v>古董宝盒</v>
          </cell>
        </row>
        <row r="425">
          <cell r="A425">
            <v>92295</v>
          </cell>
          <cell r="B425" t="str">
            <v>水晶宝盒</v>
          </cell>
        </row>
        <row r="426">
          <cell r="A426">
            <v>92262</v>
          </cell>
          <cell r="B426" t="str">
            <v>皇家项链</v>
          </cell>
        </row>
        <row r="427">
          <cell r="A427">
            <v>92298</v>
          </cell>
          <cell r="B427" t="str">
            <v>海洋之泪</v>
          </cell>
        </row>
        <row r="428">
          <cell r="A428">
            <v>92276</v>
          </cell>
          <cell r="B428" t="str">
            <v>壕利手表</v>
          </cell>
        </row>
        <row r="429">
          <cell r="A429">
            <v>92282</v>
          </cell>
          <cell r="B429" t="str">
            <v>劳莱斯特</v>
          </cell>
        </row>
        <row r="430">
          <cell r="A430">
            <v>92299</v>
          </cell>
          <cell r="B430" t="str">
            <v>房产证</v>
          </cell>
        </row>
        <row r="431">
          <cell r="A431">
            <v>92291</v>
          </cell>
          <cell r="B431" t="str">
            <v>巨量金块</v>
          </cell>
        </row>
        <row r="432">
          <cell r="A432">
            <v>93233</v>
          </cell>
          <cell r="B432" t="str">
            <v>白金手环碎片</v>
          </cell>
        </row>
        <row r="433">
          <cell r="A433">
            <v>93122</v>
          </cell>
          <cell r="B433" t="str">
            <v>银饰耳钉碎片</v>
          </cell>
        </row>
        <row r="434">
          <cell r="A434">
            <v>93141</v>
          </cell>
          <cell r="B434" t="str">
            <v>白银戒指碎片</v>
          </cell>
        </row>
        <row r="435">
          <cell r="A435">
            <v>93245</v>
          </cell>
          <cell r="B435" t="str">
            <v>水晶项链碎片</v>
          </cell>
        </row>
        <row r="436">
          <cell r="A436">
            <v>93251</v>
          </cell>
          <cell r="B436" t="str">
            <v>红石项链碎片</v>
          </cell>
        </row>
        <row r="437">
          <cell r="A437">
            <v>93264</v>
          </cell>
          <cell r="B437" t="str">
            <v>越野手表碎片</v>
          </cell>
        </row>
        <row r="438">
          <cell r="A438">
            <v>93271</v>
          </cell>
          <cell r="B438" t="str">
            <v>精准手表碎片</v>
          </cell>
        </row>
        <row r="439">
          <cell r="A439">
            <v>93278</v>
          </cell>
          <cell r="B439" t="str">
            <v>宝驼碎片</v>
          </cell>
        </row>
        <row r="440">
          <cell r="A440">
            <v>93283</v>
          </cell>
          <cell r="B440" t="str">
            <v>小迭钞票碎片</v>
          </cell>
        </row>
        <row r="441">
          <cell r="A441">
            <v>93287</v>
          </cell>
          <cell r="B441" t="str">
            <v>金块碎片</v>
          </cell>
        </row>
        <row r="442">
          <cell r="A442">
            <v>93142</v>
          </cell>
          <cell r="B442" t="str">
            <v>黄金戒指碎片</v>
          </cell>
        </row>
        <row r="443">
          <cell r="A443">
            <v>93235</v>
          </cell>
          <cell r="B443" t="str">
            <v>宝石手环碎片</v>
          </cell>
        </row>
        <row r="444">
          <cell r="A444">
            <v>93012</v>
          </cell>
          <cell r="B444" t="str">
            <v>摩拉碎片</v>
          </cell>
        </row>
        <row r="445">
          <cell r="A445">
            <v>93252</v>
          </cell>
          <cell r="B445" t="str">
            <v>青玉项链碎片</v>
          </cell>
        </row>
        <row r="446">
          <cell r="A446">
            <v>93124</v>
          </cell>
          <cell r="B446" t="str">
            <v>水晶耳钉碎片</v>
          </cell>
        </row>
        <row r="447">
          <cell r="A447">
            <v>93272</v>
          </cell>
          <cell r="B447" t="str">
            <v>金针手表碎片</v>
          </cell>
        </row>
        <row r="448">
          <cell r="A448">
            <v>93273</v>
          </cell>
          <cell r="B448" t="str">
            <v>智能手表碎片</v>
          </cell>
        </row>
        <row r="449">
          <cell r="A449">
            <v>93279</v>
          </cell>
          <cell r="B449" t="str">
            <v>宾倪碎片</v>
          </cell>
        </row>
        <row r="450">
          <cell r="A450">
            <v>93284</v>
          </cell>
          <cell r="B450" t="str">
            <v>大迭钞票碎片</v>
          </cell>
        </row>
        <row r="451">
          <cell r="A451">
            <v>93288</v>
          </cell>
          <cell r="B451" t="str">
            <v>大金块碎片</v>
          </cell>
        </row>
        <row r="452">
          <cell r="A452">
            <v>93125</v>
          </cell>
          <cell r="B452" t="str">
            <v>红石耳钉碎片</v>
          </cell>
        </row>
        <row r="453">
          <cell r="A453">
            <v>93134</v>
          </cell>
          <cell r="B453" t="str">
            <v>毒蝎耳钉碎片</v>
          </cell>
        </row>
        <row r="454">
          <cell r="A454">
            <v>93223</v>
          </cell>
          <cell r="B454" t="str">
            <v>赤金戒指碎片</v>
          </cell>
        </row>
        <row r="455">
          <cell r="A455">
            <v>93227</v>
          </cell>
          <cell r="B455" t="str">
            <v>王者手环碎片</v>
          </cell>
        </row>
        <row r="456">
          <cell r="A456">
            <v>93236</v>
          </cell>
          <cell r="B456" t="str">
            <v>符文手环碎片</v>
          </cell>
        </row>
        <row r="457">
          <cell r="A457">
            <v>93013</v>
          </cell>
          <cell r="B457" t="str">
            <v>月立碎片</v>
          </cell>
        </row>
        <row r="458">
          <cell r="A458">
            <v>93253</v>
          </cell>
          <cell r="B458" t="str">
            <v>猫妖项链碎片</v>
          </cell>
        </row>
        <row r="459">
          <cell r="A459">
            <v>93254</v>
          </cell>
          <cell r="B459" t="str">
            <v>苍蓝项链碎片</v>
          </cell>
        </row>
        <row r="460">
          <cell r="A460">
            <v>93274</v>
          </cell>
          <cell r="B460" t="str">
            <v>汉密手表碎片</v>
          </cell>
        </row>
        <row r="461">
          <cell r="A461">
            <v>93280</v>
          </cell>
          <cell r="B461" t="str">
            <v>法拉捷碎片</v>
          </cell>
        </row>
        <row r="462">
          <cell r="A462">
            <v>93285</v>
          </cell>
          <cell r="B462" t="str">
            <v>大堆钞票碎片</v>
          </cell>
        </row>
        <row r="463">
          <cell r="A463">
            <v>93289</v>
          </cell>
          <cell r="B463" t="str">
            <v>小堆金块碎片</v>
          </cell>
        </row>
        <row r="464">
          <cell r="A464">
            <v>93014</v>
          </cell>
          <cell r="B464" t="str">
            <v>菠萝碎片</v>
          </cell>
        </row>
        <row r="465">
          <cell r="A465">
            <v>93296</v>
          </cell>
          <cell r="B465" t="str">
            <v>星光红石碎片</v>
          </cell>
        </row>
        <row r="466">
          <cell r="A466">
            <v>93240</v>
          </cell>
          <cell r="B466" t="str">
            <v>苍蓝戒指碎片</v>
          </cell>
        </row>
        <row r="467">
          <cell r="A467">
            <v>93292</v>
          </cell>
          <cell r="B467" t="str">
            <v>金饰宝盒碎片</v>
          </cell>
        </row>
        <row r="468">
          <cell r="A468">
            <v>93256</v>
          </cell>
          <cell r="B468" t="str">
            <v>圣徒项链碎片</v>
          </cell>
        </row>
        <row r="469">
          <cell r="A469">
            <v>93261</v>
          </cell>
          <cell r="B469" t="str">
            <v>贵族项链碎片</v>
          </cell>
        </row>
        <row r="470">
          <cell r="A470">
            <v>93275</v>
          </cell>
          <cell r="B470" t="str">
            <v>千国手表碎片</v>
          </cell>
        </row>
        <row r="471">
          <cell r="A471">
            <v>93281</v>
          </cell>
          <cell r="B471" t="str">
            <v>红博机利碎片</v>
          </cell>
        </row>
        <row r="472">
          <cell r="A472">
            <v>93286</v>
          </cell>
          <cell r="B472" t="str">
            <v>巨额钞票碎片</v>
          </cell>
        </row>
        <row r="473">
          <cell r="A473">
            <v>93290</v>
          </cell>
          <cell r="B473" t="str">
            <v>大堆金块碎片</v>
          </cell>
        </row>
        <row r="474">
          <cell r="A474">
            <v>93026</v>
          </cell>
          <cell r="B474" t="str">
            <v>深蓝碎片</v>
          </cell>
        </row>
        <row r="475">
          <cell r="A475">
            <v>93255</v>
          </cell>
          <cell r="B475" t="str">
            <v>黑耀项链碎片</v>
          </cell>
        </row>
        <row r="476">
          <cell r="A476">
            <v>93297</v>
          </cell>
          <cell r="B476" t="str">
            <v>翠绿之心碎片</v>
          </cell>
        </row>
        <row r="477">
          <cell r="A477">
            <v>93293</v>
          </cell>
          <cell r="B477" t="str">
            <v>珍珠宝盒碎片</v>
          </cell>
        </row>
        <row r="478">
          <cell r="A478">
            <v>93294</v>
          </cell>
          <cell r="B478" t="str">
            <v>古董宝盒碎片</v>
          </cell>
        </row>
        <row r="479">
          <cell r="A479">
            <v>93295</v>
          </cell>
          <cell r="B479" t="str">
            <v>水晶宝盒碎片</v>
          </cell>
        </row>
        <row r="480">
          <cell r="A480">
            <v>93262</v>
          </cell>
          <cell r="B480" t="str">
            <v>皇家项链碎片</v>
          </cell>
        </row>
        <row r="481">
          <cell r="A481">
            <v>93298</v>
          </cell>
          <cell r="B481" t="str">
            <v>海洋之泪碎片</v>
          </cell>
        </row>
        <row r="482">
          <cell r="A482">
            <v>93276</v>
          </cell>
          <cell r="B482" t="str">
            <v>壕利手表碎片</v>
          </cell>
        </row>
        <row r="483">
          <cell r="A483">
            <v>93282</v>
          </cell>
          <cell r="B483" t="str">
            <v>劳莱斯特碎片</v>
          </cell>
        </row>
        <row r="484">
          <cell r="A484">
            <v>93299</v>
          </cell>
          <cell r="B484" t="str">
            <v>房产证碎片</v>
          </cell>
        </row>
        <row r="485">
          <cell r="A485">
            <v>93291</v>
          </cell>
          <cell r="B485" t="str">
            <v>巨量金块碎片</v>
          </cell>
        </row>
        <row r="486">
          <cell r="A486">
            <v>101101</v>
          </cell>
          <cell r="B486" t="str">
            <v>制服太妹</v>
          </cell>
        </row>
        <row r="487">
          <cell r="A487">
            <v>101102</v>
          </cell>
          <cell r="B487" t="str">
            <v>蟹仔</v>
          </cell>
        </row>
        <row r="488">
          <cell r="A488">
            <v>101103</v>
          </cell>
          <cell r="B488" t="str">
            <v>比利</v>
          </cell>
        </row>
        <row r="489">
          <cell r="A489">
            <v>101104</v>
          </cell>
          <cell r="B489" t="str">
            <v>黎九</v>
          </cell>
        </row>
        <row r="490">
          <cell r="A490">
            <v>101105</v>
          </cell>
          <cell r="B490" t="str">
            <v>黑古</v>
          </cell>
        </row>
        <row r="491">
          <cell r="A491">
            <v>101106</v>
          </cell>
          <cell r="B491" t="str">
            <v>靓坤</v>
          </cell>
        </row>
        <row r="492">
          <cell r="A492">
            <v>101107</v>
          </cell>
          <cell r="B492" t="str">
            <v>雷复轰</v>
          </cell>
        </row>
        <row r="493">
          <cell r="A493">
            <v>101108</v>
          </cell>
          <cell r="B493" t="str">
            <v>肥仔</v>
          </cell>
        </row>
        <row r="494">
          <cell r="A494">
            <v>101109</v>
          </cell>
          <cell r="B494" t="str">
            <v>司徒浩南</v>
          </cell>
        </row>
        <row r="495">
          <cell r="A495">
            <v>101110</v>
          </cell>
          <cell r="B495" t="str">
            <v>乌鸦</v>
          </cell>
        </row>
        <row r="496">
          <cell r="A496">
            <v>101111</v>
          </cell>
          <cell r="B496" t="str">
            <v>赌王</v>
          </cell>
        </row>
        <row r="497">
          <cell r="A497">
            <v>101112</v>
          </cell>
          <cell r="B497" t="str">
            <v>山下忠秀</v>
          </cell>
        </row>
        <row r="498">
          <cell r="A498">
            <v>101113</v>
          </cell>
          <cell r="B498" t="str">
            <v>宫本一</v>
          </cell>
        </row>
        <row r="499">
          <cell r="A499">
            <v>101114</v>
          </cell>
          <cell r="B499" t="str">
            <v>陈浩南</v>
          </cell>
        </row>
        <row r="500">
          <cell r="A500">
            <v>101115</v>
          </cell>
          <cell r="B500" t="str">
            <v>山鸡</v>
          </cell>
        </row>
        <row r="501">
          <cell r="A501">
            <v>101116</v>
          </cell>
          <cell r="B501" t="str">
            <v>大天二</v>
          </cell>
        </row>
        <row r="502">
          <cell r="A502">
            <v>101117</v>
          </cell>
          <cell r="B502" t="str">
            <v>巴闭</v>
          </cell>
        </row>
        <row r="503">
          <cell r="A503">
            <v>101118</v>
          </cell>
          <cell r="B503" t="str">
            <v>耀阳</v>
          </cell>
        </row>
        <row r="504">
          <cell r="A504">
            <v>101119</v>
          </cell>
          <cell r="B504" t="str">
            <v>笑面虎</v>
          </cell>
        </row>
        <row r="505">
          <cell r="A505">
            <v>59001</v>
          </cell>
          <cell r="B505" t="str">
            <v>洪兴新星</v>
          </cell>
        </row>
        <row r="506">
          <cell r="A506">
            <v>59002</v>
          </cell>
          <cell r="B506" t="str">
            <v>洪兴打仔</v>
          </cell>
        </row>
        <row r="507">
          <cell r="A507">
            <v>59003</v>
          </cell>
          <cell r="B507" t="str">
            <v>扛把子</v>
          </cell>
        </row>
        <row r="508">
          <cell r="A508">
            <v>59004</v>
          </cell>
          <cell r="B508" t="str">
            <v>二路元帅</v>
          </cell>
        </row>
        <row r="509">
          <cell r="A509">
            <v>59005</v>
          </cell>
          <cell r="B509" t="str">
            <v>战无不胜</v>
          </cell>
        </row>
        <row r="510">
          <cell r="A510">
            <v>59006</v>
          </cell>
          <cell r="B510" t="str">
            <v>猛龙过江</v>
          </cell>
        </row>
        <row r="511">
          <cell r="A511">
            <v>59007</v>
          </cell>
          <cell r="B511" t="str">
            <v>神之手</v>
          </cell>
        </row>
        <row r="512">
          <cell r="A512">
            <v>59008</v>
          </cell>
          <cell r="B512" t="str">
            <v>富甲一方</v>
          </cell>
        </row>
        <row r="513">
          <cell r="A513">
            <v>59009</v>
          </cell>
          <cell r="B513" t="str">
            <v>壕气冲天</v>
          </cell>
        </row>
        <row r="514">
          <cell r="A514">
            <v>59010</v>
          </cell>
          <cell r="B514" t="str">
            <v>富可敌国</v>
          </cell>
        </row>
        <row r="515">
          <cell r="A515">
            <v>59030</v>
          </cell>
          <cell r="B515" t="str">
            <v>洪兴小财主</v>
          </cell>
        </row>
        <row r="516">
          <cell r="A516">
            <v>8001</v>
          </cell>
          <cell r="B516" t="str">
            <v>灰色物质</v>
          </cell>
        </row>
        <row r="517">
          <cell r="A517">
            <v>8110</v>
          </cell>
          <cell r="B517" t="str">
            <v>兽腾</v>
          </cell>
        </row>
        <row r="518">
          <cell r="A518">
            <v>8210</v>
          </cell>
          <cell r="B518" t="str">
            <v>战狂</v>
          </cell>
        </row>
        <row r="519">
          <cell r="A519">
            <v>8310</v>
          </cell>
          <cell r="B519" t="str">
            <v>贪狼</v>
          </cell>
        </row>
        <row r="520">
          <cell r="A520">
            <v>8120</v>
          </cell>
          <cell r="B520" t="str">
            <v>辉煌</v>
          </cell>
        </row>
        <row r="521">
          <cell r="A521">
            <v>8220</v>
          </cell>
          <cell r="B521" t="str">
            <v>破军</v>
          </cell>
        </row>
        <row r="522">
          <cell r="A522">
            <v>8320</v>
          </cell>
          <cell r="B522" t="str">
            <v>真刚</v>
          </cell>
        </row>
        <row r="523">
          <cell r="A523">
            <v>8420</v>
          </cell>
          <cell r="B523" t="str">
            <v>飞仙</v>
          </cell>
        </row>
        <row r="524">
          <cell r="A524">
            <v>8520</v>
          </cell>
          <cell r="B524" t="str">
            <v>虚空</v>
          </cell>
        </row>
        <row r="525">
          <cell r="A525">
            <v>8620</v>
          </cell>
          <cell r="B525" t="str">
            <v>无惧</v>
          </cell>
        </row>
        <row r="526">
          <cell r="A526">
            <v>8720</v>
          </cell>
          <cell r="B526" t="str">
            <v>天杀</v>
          </cell>
        </row>
        <row r="527">
          <cell r="A527">
            <v>8820</v>
          </cell>
          <cell r="B527" t="str">
            <v>诛魔</v>
          </cell>
        </row>
        <row r="528">
          <cell r="A528">
            <v>8130</v>
          </cell>
          <cell r="B528" t="str">
            <v>霸主</v>
          </cell>
        </row>
        <row r="529">
          <cell r="A529">
            <v>8230</v>
          </cell>
          <cell r="B529" t="str">
            <v>虎啸</v>
          </cell>
        </row>
        <row r="530">
          <cell r="A530">
            <v>8330</v>
          </cell>
          <cell r="B530" t="str">
            <v>豪魄</v>
          </cell>
        </row>
        <row r="531">
          <cell r="A531">
            <v>8430</v>
          </cell>
          <cell r="B531" t="str">
            <v>捉影</v>
          </cell>
        </row>
        <row r="532">
          <cell r="A532">
            <v>8530</v>
          </cell>
          <cell r="B532" t="str">
            <v>游刃</v>
          </cell>
        </row>
        <row r="533">
          <cell r="A533">
            <v>8630</v>
          </cell>
          <cell r="B533" t="str">
            <v>傲骨</v>
          </cell>
        </row>
        <row r="534">
          <cell r="A534">
            <v>8730</v>
          </cell>
          <cell r="B534" t="str">
            <v>心眼</v>
          </cell>
        </row>
        <row r="535">
          <cell r="A535">
            <v>8830</v>
          </cell>
          <cell r="B535" t="str">
            <v>噬生</v>
          </cell>
        </row>
        <row r="536">
          <cell r="A536">
            <v>8930</v>
          </cell>
          <cell r="B536" t="str">
            <v>痛击</v>
          </cell>
        </row>
        <row r="537">
          <cell r="A537">
            <v>9030</v>
          </cell>
          <cell r="B537" t="str">
            <v>不坏</v>
          </cell>
        </row>
        <row r="538">
          <cell r="A538">
            <v>9130</v>
          </cell>
          <cell r="B538" t="str">
            <v>寂灭</v>
          </cell>
        </row>
        <row r="539">
          <cell r="A539">
            <v>9230</v>
          </cell>
          <cell r="B539" t="str">
            <v>盘蛇</v>
          </cell>
        </row>
        <row r="540">
          <cell r="A540">
            <v>8140</v>
          </cell>
          <cell r="B540" t="str">
            <v>天命</v>
          </cell>
        </row>
        <row r="541">
          <cell r="A541">
            <v>8240</v>
          </cell>
          <cell r="B541" t="str">
            <v>龙吟</v>
          </cell>
        </row>
        <row r="542">
          <cell r="A542">
            <v>8340</v>
          </cell>
          <cell r="B542" t="str">
            <v>守御</v>
          </cell>
        </row>
        <row r="543">
          <cell r="A543">
            <v>8440</v>
          </cell>
          <cell r="B543" t="str">
            <v>千眼</v>
          </cell>
        </row>
        <row r="544">
          <cell r="A544">
            <v>8540</v>
          </cell>
          <cell r="B544" t="str">
            <v>逍遥</v>
          </cell>
        </row>
        <row r="545">
          <cell r="A545">
            <v>8640</v>
          </cell>
          <cell r="B545" t="str">
            <v>流离</v>
          </cell>
        </row>
        <row r="546">
          <cell r="A546">
            <v>8740</v>
          </cell>
          <cell r="B546" t="str">
            <v>夺魄</v>
          </cell>
        </row>
        <row r="547">
          <cell r="A547">
            <v>8840</v>
          </cell>
          <cell r="B547" t="str">
            <v>审判</v>
          </cell>
        </row>
        <row r="548">
          <cell r="A548">
            <v>8940</v>
          </cell>
          <cell r="B548" t="str">
            <v>破天</v>
          </cell>
        </row>
        <row r="549">
          <cell r="A549">
            <v>9040</v>
          </cell>
          <cell r="B549" t="str">
            <v>天狱</v>
          </cell>
        </row>
        <row r="550">
          <cell r="A550">
            <v>9140</v>
          </cell>
          <cell r="B550" t="str">
            <v>幽灵</v>
          </cell>
        </row>
        <row r="551">
          <cell r="A551">
            <v>9240</v>
          </cell>
          <cell r="B551" t="str">
            <v>困魔</v>
          </cell>
        </row>
        <row r="552">
          <cell r="A552">
            <v>9340</v>
          </cell>
          <cell r="B552" t="str">
            <v>无尽</v>
          </cell>
        </row>
        <row r="553">
          <cell r="A553">
            <v>9440</v>
          </cell>
          <cell r="B553" t="str">
            <v>无尽</v>
          </cell>
        </row>
        <row r="554">
          <cell r="A554">
            <v>9540</v>
          </cell>
          <cell r="B554" t="str">
            <v>八卦</v>
          </cell>
        </row>
        <row r="555">
          <cell r="A555">
            <v>9640</v>
          </cell>
          <cell r="B555" t="str">
            <v>剎那</v>
          </cell>
        </row>
        <row r="556">
          <cell r="A556">
            <v>9740</v>
          </cell>
          <cell r="B556" t="str">
            <v>咆哮</v>
          </cell>
        </row>
        <row r="557">
          <cell r="A557">
            <v>9840</v>
          </cell>
          <cell r="B557" t="str">
            <v>断罪</v>
          </cell>
        </row>
        <row r="558">
          <cell r="A558">
            <v>8150</v>
          </cell>
          <cell r="B558" t="str">
            <v>一元复始</v>
          </cell>
        </row>
        <row r="559">
          <cell r="A559">
            <v>8250</v>
          </cell>
          <cell r="B559" t="str">
            <v>大破坏神</v>
          </cell>
        </row>
        <row r="560">
          <cell r="A560">
            <v>8350</v>
          </cell>
          <cell r="B560" t="str">
            <v>天地无用</v>
          </cell>
        </row>
        <row r="561">
          <cell r="A561">
            <v>8450</v>
          </cell>
          <cell r="B561" t="str">
            <v>百步穿杨</v>
          </cell>
        </row>
        <row r="562">
          <cell r="A562">
            <v>8550</v>
          </cell>
          <cell r="B562" t="str">
            <v>破碎虚空</v>
          </cell>
        </row>
        <row r="563">
          <cell r="A563">
            <v>8650</v>
          </cell>
          <cell r="B563" t="str">
            <v>冰魄寒光</v>
          </cell>
        </row>
        <row r="564">
          <cell r="A564">
            <v>8750</v>
          </cell>
          <cell r="B564" t="str">
            <v>震破苍穹</v>
          </cell>
        </row>
        <row r="565">
          <cell r="A565">
            <v>8850</v>
          </cell>
          <cell r="B565" t="str">
            <v>雷霆万钧</v>
          </cell>
        </row>
        <row r="566">
          <cell r="A566">
            <v>8950</v>
          </cell>
          <cell r="B566" t="str">
            <v>快刀乱麻</v>
          </cell>
        </row>
        <row r="567">
          <cell r="A567">
            <v>9050</v>
          </cell>
          <cell r="B567" t="str">
            <v>明镜止水</v>
          </cell>
        </row>
        <row r="568">
          <cell r="A568">
            <v>9150</v>
          </cell>
          <cell r="B568" t="str">
            <v>背水一战</v>
          </cell>
        </row>
        <row r="569">
          <cell r="A569">
            <v>9250</v>
          </cell>
          <cell r="B569" t="str">
            <v>金钟护体</v>
          </cell>
        </row>
        <row r="570">
          <cell r="A570">
            <v>9350</v>
          </cell>
          <cell r="B570" t="str">
            <v>轩辕剑体</v>
          </cell>
        </row>
        <row r="571">
          <cell r="A571">
            <v>9450</v>
          </cell>
          <cell r="B571" t="str">
            <v>气势如虹</v>
          </cell>
        </row>
        <row r="572">
          <cell r="A572">
            <v>9550</v>
          </cell>
          <cell r="B572" t="str">
            <v>包罗万象</v>
          </cell>
        </row>
        <row r="573">
          <cell r="A573">
            <v>9650</v>
          </cell>
          <cell r="B573" t="str">
            <v>心无杂念</v>
          </cell>
        </row>
        <row r="574">
          <cell r="A574">
            <v>9750</v>
          </cell>
          <cell r="B574" t="str">
            <v>披荆斩棘</v>
          </cell>
        </row>
        <row r="575">
          <cell r="A575">
            <v>9850</v>
          </cell>
          <cell r="B575" t="str">
            <v>斗转星移</v>
          </cell>
        </row>
        <row r="576">
          <cell r="A576">
            <v>8840</v>
          </cell>
          <cell r="B576" t="str">
            <v>审判</v>
          </cell>
        </row>
        <row r="577">
          <cell r="A577">
            <v>8940</v>
          </cell>
          <cell r="B577" t="str">
            <v>破天</v>
          </cell>
        </row>
        <row r="578">
          <cell r="A578">
            <v>9040</v>
          </cell>
          <cell r="B578" t="str">
            <v>天狱</v>
          </cell>
        </row>
        <row r="579">
          <cell r="A579">
            <v>9140</v>
          </cell>
          <cell r="B579" t="str">
            <v>幽灵</v>
          </cell>
        </row>
        <row r="580">
          <cell r="A580">
            <v>9240</v>
          </cell>
          <cell r="B580" t="str">
            <v>困魔</v>
          </cell>
        </row>
        <row r="581">
          <cell r="A581">
            <v>9340</v>
          </cell>
          <cell r="B581" t="str">
            <v>元初</v>
          </cell>
        </row>
        <row r="582">
          <cell r="A582">
            <v>9440</v>
          </cell>
          <cell r="B582" t="str">
            <v>无尽</v>
          </cell>
        </row>
        <row r="583">
          <cell r="A583">
            <v>9540</v>
          </cell>
          <cell r="B583" t="str">
            <v>八卦</v>
          </cell>
        </row>
        <row r="584">
          <cell r="A584">
            <v>9640</v>
          </cell>
          <cell r="B584" t="str">
            <v>剎那</v>
          </cell>
        </row>
        <row r="585">
          <cell r="A585">
            <v>9740</v>
          </cell>
          <cell r="B585" t="str">
            <v>咆哮</v>
          </cell>
        </row>
        <row r="586">
          <cell r="A586">
            <v>9840</v>
          </cell>
          <cell r="B586" t="str">
            <v>断罪</v>
          </cell>
        </row>
        <row r="587">
          <cell r="A587">
            <v>8150</v>
          </cell>
          <cell r="B587" t="str">
            <v>一元复始</v>
          </cell>
        </row>
        <row r="588">
          <cell r="A588">
            <v>8250</v>
          </cell>
          <cell r="B588" t="str">
            <v>大破坏神</v>
          </cell>
        </row>
        <row r="589">
          <cell r="A589">
            <v>8350</v>
          </cell>
          <cell r="B589" t="str">
            <v>天地无用</v>
          </cell>
        </row>
        <row r="590">
          <cell r="A590">
            <v>8450</v>
          </cell>
          <cell r="B590" t="str">
            <v>百步穿杨</v>
          </cell>
        </row>
        <row r="591">
          <cell r="A591">
            <v>8550</v>
          </cell>
          <cell r="B591" t="str">
            <v>破碎虚空</v>
          </cell>
        </row>
        <row r="592">
          <cell r="A592">
            <v>8650</v>
          </cell>
          <cell r="B592" t="str">
            <v>冰魄寒光</v>
          </cell>
        </row>
        <row r="593">
          <cell r="A593">
            <v>8750</v>
          </cell>
          <cell r="B593" t="str">
            <v>震破苍穹</v>
          </cell>
        </row>
        <row r="594">
          <cell r="A594">
            <v>8850</v>
          </cell>
          <cell r="B594" t="str">
            <v>雷霆万钧</v>
          </cell>
        </row>
        <row r="595">
          <cell r="A595">
            <v>8950</v>
          </cell>
          <cell r="B595" t="str">
            <v>快刀乱麻</v>
          </cell>
        </row>
        <row r="596">
          <cell r="A596">
            <v>9050</v>
          </cell>
          <cell r="B596" t="str">
            <v>明镜止水</v>
          </cell>
        </row>
        <row r="597">
          <cell r="A597">
            <v>9150</v>
          </cell>
          <cell r="B597" t="str">
            <v>背水一战</v>
          </cell>
        </row>
        <row r="598">
          <cell r="A598">
            <v>9250</v>
          </cell>
          <cell r="B598" t="str">
            <v>金钟护体</v>
          </cell>
        </row>
        <row r="599">
          <cell r="A599">
            <v>9350</v>
          </cell>
          <cell r="B599" t="str">
            <v>轩辕剑体</v>
          </cell>
        </row>
        <row r="600">
          <cell r="A600">
            <v>9450</v>
          </cell>
          <cell r="B600" t="str">
            <v>气势如虹</v>
          </cell>
        </row>
        <row r="601">
          <cell r="A601">
            <v>9550</v>
          </cell>
          <cell r="B601" t="str">
            <v>包罗万象</v>
          </cell>
        </row>
        <row r="602">
          <cell r="A602">
            <v>9650</v>
          </cell>
          <cell r="B602" t="str">
            <v>心无杂念</v>
          </cell>
        </row>
        <row r="603">
          <cell r="A603">
            <v>9750</v>
          </cell>
          <cell r="B603" t="str">
            <v>披荆斩棘</v>
          </cell>
        </row>
        <row r="604">
          <cell r="A604">
            <v>9850</v>
          </cell>
          <cell r="B604" t="str">
            <v>斗转星移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获取途径临时表"/>
      <sheetName val="普通掉落表引用"/>
      <sheetName val="__临时运算表"/>
    </sheetNames>
    <definedNames>
      <definedName name="掉落查询" refersTo="='获取途径临时表'!$A$3:$R$326"/>
    </definedNames>
    <sheetDataSet>
      <sheetData sheetId="0">
        <row r="1"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  <cell r="R1">
            <v>18</v>
          </cell>
        </row>
        <row r="3">
          <cell r="A3" t="str">
            <v>需要获取的ID</v>
          </cell>
          <cell r="B3" t="str">
            <v>名字</v>
          </cell>
          <cell r="C3" t="str">
            <v>掉落ID1</v>
          </cell>
          <cell r="D3" t="str">
            <v>掉落ID2</v>
          </cell>
          <cell r="E3" t="str">
            <v>掉落ID3</v>
          </cell>
          <cell r="F3" t="str">
            <v>掉落ID4</v>
          </cell>
          <cell r="G3" t="str">
            <v>掉落ID5</v>
          </cell>
          <cell r="H3" t="str">
            <v>掉落ID6</v>
          </cell>
          <cell r="I3" t="str">
            <v>掉落ID7</v>
          </cell>
          <cell r="J3" t="str">
            <v>掉落ID8</v>
          </cell>
          <cell r="K3" t="str">
            <v>掉落ID9</v>
          </cell>
          <cell r="L3" t="str">
            <v>掉落ID10</v>
          </cell>
          <cell r="M3" t="str">
            <v>掉落ID11</v>
          </cell>
          <cell r="N3" t="str">
            <v>掉落ID12</v>
          </cell>
          <cell r="O3" t="str">
            <v>掉落ID13</v>
          </cell>
          <cell r="P3" t="str">
            <v>掉落ID14</v>
          </cell>
          <cell r="Q3" t="str">
            <v>掉落ID15</v>
          </cell>
          <cell r="R3" t="str">
            <v>掉落ID16</v>
          </cell>
        </row>
        <row r="4">
          <cell r="A4">
            <v>91001</v>
          </cell>
          <cell r="B4" t="str">
            <v>马仔经验药水</v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</row>
        <row r="5">
          <cell r="A5">
            <v>81002</v>
          </cell>
          <cell r="B5" t="str">
            <v>金币卡</v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</row>
        <row r="6">
          <cell r="A6">
            <v>81003</v>
          </cell>
          <cell r="B6" t="str">
            <v>VIP礼包</v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</row>
        <row r="7">
          <cell r="A7">
            <v>81010</v>
          </cell>
          <cell r="B7" t="str">
            <v>VIP体验卡</v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</row>
        <row r="8">
          <cell r="A8">
            <v>82001</v>
          </cell>
          <cell r="B8" t="str">
            <v>翅膀碎片</v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</row>
        <row r="9">
          <cell r="A9">
            <v>83001</v>
          </cell>
          <cell r="B9" t="str">
            <v>巨额金币卡</v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</row>
        <row r="10">
          <cell r="A10">
            <v>83002</v>
          </cell>
          <cell r="B10" t="str">
            <v>扫荡券</v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</row>
        <row r="11">
          <cell r="A11">
            <v>83003</v>
          </cell>
          <cell r="B11" t="str">
            <v>洪兴新星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</row>
        <row r="12">
          <cell r="A12">
            <v>83004</v>
          </cell>
          <cell r="B12" t="str">
            <v>洪兴打仔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</row>
        <row r="13">
          <cell r="A13">
            <v>83005</v>
          </cell>
          <cell r="B13" t="str">
            <v>扛把子</v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</row>
        <row r="14">
          <cell r="A14">
            <v>83006</v>
          </cell>
          <cell r="B14" t="str">
            <v>二路元帅</v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</row>
        <row r="15">
          <cell r="A15">
            <v>83007</v>
          </cell>
          <cell r="B15" t="str">
            <v>战无不胜</v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</row>
        <row r="16">
          <cell r="A16">
            <v>83008</v>
          </cell>
          <cell r="B16" t="str">
            <v>猛龙过江</v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</row>
        <row r="17">
          <cell r="A17">
            <v>83009</v>
          </cell>
          <cell r="B17" t="str">
            <v>神之手</v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</row>
        <row r="18">
          <cell r="A18">
            <v>83010</v>
          </cell>
          <cell r="B18" t="str">
            <v>富甲一方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</row>
        <row r="19">
          <cell r="A19">
            <v>83011</v>
          </cell>
          <cell r="B19" t="str">
            <v>壕气冲天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</row>
        <row r="20">
          <cell r="A20">
            <v>83012</v>
          </cell>
          <cell r="B20" t="str">
            <v>富可敌国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</row>
        <row r="21">
          <cell r="A21">
            <v>83013</v>
          </cell>
          <cell r="B21" t="str">
            <v>壕气冲天</v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</row>
        <row r="22">
          <cell r="A22">
            <v>83014</v>
          </cell>
          <cell r="B22" t="str">
            <v>富可敌国</v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</row>
        <row r="23">
          <cell r="A23">
            <v>83015</v>
          </cell>
          <cell r="B23" t="str">
            <v>战斗狂人</v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</row>
        <row r="24">
          <cell r="A24">
            <v>83016</v>
          </cell>
          <cell r="B24" t="str">
            <v>不哭死神</v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</row>
        <row r="25">
          <cell r="A25">
            <v>83017</v>
          </cell>
          <cell r="B25" t="str">
            <v>干架王</v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</row>
        <row r="26">
          <cell r="A26">
            <v>83018</v>
          </cell>
          <cell r="B26" t="str">
            <v>破坏王</v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</row>
        <row r="27">
          <cell r="A27">
            <v>83019</v>
          </cell>
          <cell r="B27" t="str">
            <v>战无尽</v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</row>
        <row r="28">
          <cell r="A28">
            <v>83020</v>
          </cell>
          <cell r="B28" t="str">
            <v>绝世战神</v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</row>
        <row r="29">
          <cell r="A29">
            <v>83021</v>
          </cell>
          <cell r="B29" t="str">
            <v>至尊王者</v>
          </cell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</row>
        <row r="30">
          <cell r="A30">
            <v>83022</v>
          </cell>
          <cell r="B30" t="str">
            <v>横砍一条街</v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</row>
        <row r="31">
          <cell r="A31">
            <v>83023</v>
          </cell>
          <cell r="B31" t="str">
            <v>洪兴小财主</v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</row>
        <row r="32">
          <cell r="A32">
            <v>83103</v>
          </cell>
          <cell r="B32" t="str">
            <v>洪兴新星(3天)</v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</row>
        <row r="33">
          <cell r="A33">
            <v>83104</v>
          </cell>
          <cell r="B33" t="str">
            <v>洪兴打仔(3天)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</row>
        <row r="34">
          <cell r="A34">
            <v>83105</v>
          </cell>
          <cell r="B34" t="str">
            <v>扛把子(3天)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</row>
        <row r="35">
          <cell r="A35">
            <v>83106</v>
          </cell>
          <cell r="B35" t="str">
            <v>二路元帅(3天)</v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</row>
        <row r="36">
          <cell r="A36">
            <v>83107</v>
          </cell>
          <cell r="B36" t="str">
            <v>战无不胜(3天)</v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</row>
        <row r="37">
          <cell r="A37">
            <v>83108</v>
          </cell>
          <cell r="B37" t="str">
            <v>猛龙过江(3天)</v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</row>
        <row r="38">
          <cell r="A38">
            <v>83109</v>
          </cell>
          <cell r="B38" t="str">
            <v>神之手(3天)</v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</row>
        <row r="39">
          <cell r="A39">
            <v>83110</v>
          </cell>
          <cell r="B39" t="str">
            <v>富甲一方(3天)</v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</row>
        <row r="40">
          <cell r="A40">
            <v>83111</v>
          </cell>
          <cell r="B40" t="str">
            <v>壕气冲天(3天)</v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</row>
        <row r="41">
          <cell r="A41">
            <v>83112</v>
          </cell>
          <cell r="B41" t="str">
            <v>富可敌国(3天)</v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</row>
        <row r="42">
          <cell r="A42">
            <v>83113</v>
          </cell>
          <cell r="B42" t="str">
            <v>壕气冲天(3天)</v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</row>
        <row r="43">
          <cell r="A43">
            <v>83114</v>
          </cell>
          <cell r="B43" t="str">
            <v>富可敌国(3天)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</row>
        <row r="44">
          <cell r="A44">
            <v>83115</v>
          </cell>
          <cell r="B44" t="str">
            <v>战斗狂人(3天)</v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</row>
        <row r="45">
          <cell r="A45">
            <v>83116</v>
          </cell>
          <cell r="B45" t="str">
            <v>不哭死神(3天)</v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</row>
        <row r="46">
          <cell r="A46">
            <v>83117</v>
          </cell>
          <cell r="B46" t="str">
            <v>干架王(3天)</v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</row>
        <row r="47">
          <cell r="A47">
            <v>83118</v>
          </cell>
          <cell r="B47" t="str">
            <v>破坏王(3天)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</row>
        <row r="48">
          <cell r="A48">
            <v>83119</v>
          </cell>
          <cell r="B48" t="str">
            <v>战无尽(3天)</v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</row>
        <row r="49">
          <cell r="A49">
            <v>83120</v>
          </cell>
          <cell r="B49" t="str">
            <v>绝世战神(3天)</v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</row>
        <row r="50">
          <cell r="A50">
            <v>83121</v>
          </cell>
          <cell r="B50" t="str">
            <v>至尊王者(3天)</v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</row>
        <row r="51">
          <cell r="A51">
            <v>83122</v>
          </cell>
          <cell r="B51" t="str">
            <v>横砍一条街(3天)</v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</row>
        <row r="52">
          <cell r="A52">
            <v>78101</v>
          </cell>
          <cell r="B52" t="str">
            <v>马仔碎片(制服太妹)</v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</row>
        <row r="53">
          <cell r="A53">
            <v>78102</v>
          </cell>
          <cell r="B53" t="str">
            <v>马仔碎片(蟹仔)</v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</row>
        <row r="54">
          <cell r="A54">
            <v>78103</v>
          </cell>
          <cell r="B54" t="str">
            <v>马仔碎片(比利)</v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</row>
        <row r="55">
          <cell r="A55">
            <v>78104</v>
          </cell>
          <cell r="B55" t="str">
            <v>马仔碎片(黎九)</v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</row>
        <row r="56">
          <cell r="A56">
            <v>78105</v>
          </cell>
          <cell r="B56" t="str">
            <v>马仔碎片(黑古)</v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</row>
        <row r="57">
          <cell r="A57">
            <v>78106</v>
          </cell>
          <cell r="B57" t="str">
            <v>马仔碎片(靓坤)</v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</row>
        <row r="58">
          <cell r="A58">
            <v>78107</v>
          </cell>
          <cell r="B58" t="str">
            <v>马仔碎片(雷复轰)</v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</row>
        <row r="59">
          <cell r="A59">
            <v>78108</v>
          </cell>
          <cell r="B59" t="str">
            <v>马仔碎片(肥仔)</v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</row>
        <row r="60">
          <cell r="A60">
            <v>78109</v>
          </cell>
          <cell r="B60" t="str">
            <v>马仔碎片(司徒浩南)</v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</row>
        <row r="61">
          <cell r="A61">
            <v>78110</v>
          </cell>
          <cell r="B61" t="str">
            <v>马仔碎片(乌鸦)</v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</row>
        <row r="62">
          <cell r="A62">
            <v>78111</v>
          </cell>
          <cell r="B62" t="str">
            <v>马仔碎片(赌王)</v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</row>
        <row r="63">
          <cell r="A63">
            <v>78112</v>
          </cell>
          <cell r="B63" t="str">
            <v>马仔碎片(山下忠秀)</v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</row>
        <row r="64">
          <cell r="A64">
            <v>78113</v>
          </cell>
          <cell r="B64" t="str">
            <v>马仔碎片(宫本一)</v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</row>
        <row r="65">
          <cell r="A65">
            <v>78114</v>
          </cell>
          <cell r="B65" t="str">
            <v>马仔碎片(陈浩南)</v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</row>
        <row r="66">
          <cell r="A66">
            <v>78115</v>
          </cell>
          <cell r="B66" t="str">
            <v>马仔碎片(山鸡)</v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</row>
        <row r="67">
          <cell r="A67">
            <v>78116</v>
          </cell>
          <cell r="B67" t="str">
            <v>马仔碎片(大天二)</v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</row>
        <row r="68">
          <cell r="A68">
            <v>78117</v>
          </cell>
          <cell r="B68" t="str">
            <v>马仔碎片(巴闭)</v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</row>
        <row r="69">
          <cell r="A69">
            <v>78118</v>
          </cell>
          <cell r="B69" t="str">
            <v>马仔碎片(耀阳)</v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</row>
        <row r="70">
          <cell r="A70">
            <v>78119</v>
          </cell>
          <cell r="B70" t="str">
            <v>马仔碎片(笑面虎)</v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</row>
        <row r="71">
          <cell r="A71">
            <v>70001</v>
          </cell>
          <cell r="B71" t="str">
            <v>低级强化石</v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</row>
        <row r="72">
          <cell r="A72">
            <v>70002</v>
          </cell>
          <cell r="B72" t="str">
            <v>中级强化石</v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</row>
        <row r="73">
          <cell r="A73">
            <v>70003</v>
          </cell>
          <cell r="B73" t="str">
            <v>高级强化石</v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</row>
        <row r="74">
          <cell r="A74">
            <v>70101</v>
          </cell>
          <cell r="B74" t="str">
            <v>初级升星石</v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</row>
        <row r="75">
          <cell r="A75">
            <v>70201</v>
          </cell>
          <cell r="B75" t="str">
            <v>中级升星石</v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</row>
        <row r="76">
          <cell r="A76">
            <v>70301</v>
          </cell>
          <cell r="B76" t="str">
            <v>高级升星石</v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</row>
        <row r="77">
          <cell r="A77">
            <v>70401</v>
          </cell>
          <cell r="B77" t="str">
            <v>4阶升星石(不用）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</row>
        <row r="78">
          <cell r="A78">
            <v>70501</v>
          </cell>
          <cell r="B78" t="str">
            <v>5阶升星石（不用）</v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</row>
        <row r="79">
          <cell r="A79">
            <v>82100</v>
          </cell>
          <cell r="B79" t="str">
            <v>金币卡(1万)</v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</row>
        <row r="80">
          <cell r="A80">
            <v>82200</v>
          </cell>
          <cell r="B80" t="str">
            <v>金币卡(2万)</v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</row>
        <row r="81">
          <cell r="A81">
            <v>82300</v>
          </cell>
          <cell r="B81" t="str">
            <v>金币卡(5万)</v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</row>
        <row r="82">
          <cell r="A82">
            <v>91100</v>
          </cell>
          <cell r="B82" t="str">
            <v>马仔经验药水</v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</row>
        <row r="83">
          <cell r="A83">
            <v>91200</v>
          </cell>
          <cell r="B83" t="str">
            <v>马仔经验合剂</v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</row>
        <row r="84">
          <cell r="A84">
            <v>91300</v>
          </cell>
          <cell r="B84" t="str">
            <v>马仔经验甘露</v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</row>
        <row r="85">
          <cell r="A85">
            <v>87100</v>
          </cell>
          <cell r="B85" t="str">
            <v>钻石兑换卡(100)</v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</row>
        <row r="86">
          <cell r="A86">
            <v>87200</v>
          </cell>
          <cell r="B86" t="str">
            <v>钻石兑换卡(500)</v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</row>
        <row r="87">
          <cell r="A87">
            <v>87400</v>
          </cell>
          <cell r="B87" t="str">
            <v>钻石兑换卡(1000)</v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</row>
        <row r="88">
          <cell r="A88">
            <v>89100</v>
          </cell>
          <cell r="B88" t="str">
            <v>初级体力药水</v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</row>
        <row r="89">
          <cell r="A89">
            <v>89200</v>
          </cell>
          <cell r="B89" t="str">
            <v>中级体力药水</v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</row>
        <row r="90">
          <cell r="A90">
            <v>89300</v>
          </cell>
          <cell r="B90" t="str">
            <v>高级体力药水</v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</row>
        <row r="91">
          <cell r="A91">
            <v>83100</v>
          </cell>
          <cell r="B91" t="str">
            <v>成长礼包</v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</row>
        <row r="92">
          <cell r="A92">
            <v>70010</v>
          </cell>
          <cell r="B92" t="str">
            <v>部位材料(武器)</v>
          </cell>
          <cell r="C92">
            <v>2001</v>
          </cell>
          <cell r="D92">
            <v>2007</v>
          </cell>
          <cell r="E92">
            <v>3004</v>
          </cell>
          <cell r="F92">
            <v>4001</v>
          </cell>
          <cell r="G92">
            <v>4007</v>
          </cell>
          <cell r="H92">
            <v>5004</v>
          </cell>
          <cell r="I92">
            <v>6001</v>
          </cell>
          <cell r="J92">
            <v>6007</v>
          </cell>
          <cell r="K92">
            <v>7004</v>
          </cell>
          <cell r="L92">
            <v>8001</v>
          </cell>
          <cell r="M92">
            <v>8007</v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</row>
        <row r="93">
          <cell r="A93">
            <v>71010</v>
          </cell>
          <cell r="B93" t="str">
            <v>部位材料(衣服)</v>
          </cell>
          <cell r="C93">
            <v>2006</v>
          </cell>
          <cell r="D93">
            <v>3003</v>
          </cell>
          <cell r="E93">
            <v>3009</v>
          </cell>
          <cell r="F93">
            <v>4006</v>
          </cell>
          <cell r="G93">
            <v>5003</v>
          </cell>
          <cell r="H93">
            <v>5009</v>
          </cell>
          <cell r="I93">
            <v>6006</v>
          </cell>
          <cell r="J93">
            <v>7003</v>
          </cell>
          <cell r="K93">
            <v>7009</v>
          </cell>
          <cell r="L93">
            <v>8006</v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</row>
        <row r="94">
          <cell r="A94">
            <v>72010</v>
          </cell>
          <cell r="B94" t="str">
            <v>部位材料(裤子)</v>
          </cell>
          <cell r="C94">
            <v>2003</v>
          </cell>
          <cell r="D94">
            <v>2009</v>
          </cell>
          <cell r="E94">
            <v>3006</v>
          </cell>
          <cell r="F94">
            <v>4003</v>
          </cell>
          <cell r="G94">
            <v>4009</v>
          </cell>
          <cell r="H94">
            <v>5006</v>
          </cell>
          <cell r="I94">
            <v>6003</v>
          </cell>
          <cell r="J94">
            <v>6009</v>
          </cell>
          <cell r="K94">
            <v>7006</v>
          </cell>
          <cell r="L94">
            <v>8003</v>
          </cell>
          <cell r="M94">
            <v>8009</v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</row>
        <row r="95">
          <cell r="A95">
            <v>73010</v>
          </cell>
          <cell r="B95" t="str">
            <v>部位材料(项链)</v>
          </cell>
          <cell r="C95">
            <v>2002</v>
          </cell>
          <cell r="D95">
            <v>2008</v>
          </cell>
          <cell r="E95">
            <v>3005</v>
          </cell>
          <cell r="F95">
            <v>4002</v>
          </cell>
          <cell r="G95">
            <v>4008</v>
          </cell>
          <cell r="H95">
            <v>5005</v>
          </cell>
          <cell r="I95">
            <v>6002</v>
          </cell>
          <cell r="J95">
            <v>6008</v>
          </cell>
          <cell r="K95">
            <v>7005</v>
          </cell>
          <cell r="L95">
            <v>8002</v>
          </cell>
          <cell r="M95">
            <v>8008</v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</row>
        <row r="96">
          <cell r="A96">
            <v>74010</v>
          </cell>
          <cell r="B96" t="str">
            <v>部位材料(腰带)</v>
          </cell>
          <cell r="C96">
            <v>2005</v>
          </cell>
          <cell r="D96">
            <v>3002</v>
          </cell>
          <cell r="E96">
            <v>3008</v>
          </cell>
          <cell r="F96">
            <v>4005</v>
          </cell>
          <cell r="G96">
            <v>5002</v>
          </cell>
          <cell r="H96">
            <v>5008</v>
          </cell>
          <cell r="I96">
            <v>6005</v>
          </cell>
          <cell r="J96">
            <v>7002</v>
          </cell>
          <cell r="K96">
            <v>7008</v>
          </cell>
          <cell r="L96">
            <v>8005</v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</row>
        <row r="97">
          <cell r="A97">
            <v>75010</v>
          </cell>
          <cell r="B97" t="str">
            <v>部位材料(鞋子)</v>
          </cell>
          <cell r="C97">
            <v>2004</v>
          </cell>
          <cell r="D97">
            <v>3001</v>
          </cell>
          <cell r="E97">
            <v>3007</v>
          </cell>
          <cell r="F97">
            <v>4004</v>
          </cell>
          <cell r="G97">
            <v>5001</v>
          </cell>
          <cell r="H97">
            <v>5007</v>
          </cell>
          <cell r="I97">
            <v>6004</v>
          </cell>
          <cell r="J97">
            <v>7001</v>
          </cell>
          <cell r="K97">
            <v>7007</v>
          </cell>
          <cell r="L97">
            <v>8004</v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</row>
        <row r="98">
          <cell r="A98">
            <v>80110</v>
          </cell>
          <cell r="B98" t="str">
            <v>龙魂币(500)</v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</row>
        <row r="99">
          <cell r="A99">
            <v>80210</v>
          </cell>
          <cell r="B99" t="str">
            <v>龙魂币(1000)</v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</row>
        <row r="100">
          <cell r="A100">
            <v>80310</v>
          </cell>
          <cell r="B100" t="str">
            <v>龙魂币(2000)</v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</row>
        <row r="101">
          <cell r="A101">
            <v>80410</v>
          </cell>
          <cell r="B101" t="str">
            <v>命运石(5000)</v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</row>
        <row r="102">
          <cell r="A102">
            <v>80510</v>
          </cell>
          <cell r="B102" t="str">
            <v>命运石(1万)</v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</row>
        <row r="103">
          <cell r="A103">
            <v>80610</v>
          </cell>
          <cell r="B103" t="str">
            <v>命运石(2万)</v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</row>
        <row r="104">
          <cell r="A104">
            <v>87300</v>
          </cell>
          <cell r="B104" t="str">
            <v>钻石</v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</row>
        <row r="105">
          <cell r="A105">
            <v>83300</v>
          </cell>
          <cell r="B105" t="str">
            <v>金币</v>
          </cell>
          <cell r="C105" t="str">
            <v/>
          </cell>
          <cell r="D105" t="str">
            <v/>
          </cell>
          <cell r="E105" t="str">
            <v/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</row>
        <row r="106">
          <cell r="A106">
            <v>83301</v>
          </cell>
          <cell r="B106" t="str">
            <v>龙魂币</v>
          </cell>
          <cell r="C106" t="str">
            <v/>
          </cell>
          <cell r="D106" t="str">
            <v/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</row>
        <row r="107">
          <cell r="A107">
            <v>83302</v>
          </cell>
          <cell r="B107" t="str">
            <v>命运石</v>
          </cell>
          <cell r="C107" t="str">
            <v/>
          </cell>
          <cell r="D107" t="str">
            <v/>
          </cell>
          <cell r="E107" t="str">
            <v/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</row>
        <row r="108">
          <cell r="A108">
            <v>83303</v>
          </cell>
          <cell r="B108" t="str">
            <v>擂台币</v>
          </cell>
          <cell r="C108" t="str">
            <v/>
          </cell>
          <cell r="D108" t="str">
            <v/>
          </cell>
          <cell r="E108" t="str">
            <v/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</row>
        <row r="109">
          <cell r="A109">
            <v>89101</v>
          </cell>
          <cell r="B109" t="str">
            <v>双倍经验卡（1天）</v>
          </cell>
          <cell r="C109" t="str">
            <v/>
          </cell>
          <cell r="D109" t="str">
            <v/>
          </cell>
          <cell r="E109" t="str">
            <v/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</row>
        <row r="110">
          <cell r="A110">
            <v>89102</v>
          </cell>
          <cell r="B110" t="str">
            <v>双倍经验卡（2天）</v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</row>
        <row r="111">
          <cell r="A111">
            <v>89106</v>
          </cell>
          <cell r="B111" t="str">
            <v>vip经验卡</v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</row>
        <row r="112">
          <cell r="A112">
            <v>89107</v>
          </cell>
          <cell r="B112" t="str">
            <v>技能升级石</v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</row>
        <row r="113">
          <cell r="A113">
            <v>89108</v>
          </cell>
          <cell r="B113" t="str">
            <v>蓝色装备碎片（无用）</v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 t="str">
            <v/>
          </cell>
          <cell r="P113" t="str">
            <v/>
          </cell>
          <cell r="Q113" t="str">
            <v/>
          </cell>
          <cell r="R113" t="str">
            <v/>
          </cell>
        </row>
        <row r="114">
          <cell r="A114">
            <v>89109</v>
          </cell>
          <cell r="B114" t="str">
            <v>紫色装备碎片（无用）</v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 t="str">
            <v/>
          </cell>
          <cell r="P114" t="str">
            <v/>
          </cell>
          <cell r="Q114" t="str">
            <v/>
          </cell>
          <cell r="R114" t="str">
            <v/>
          </cell>
        </row>
        <row r="115">
          <cell r="A115">
            <v>89110</v>
          </cell>
          <cell r="B115" t="str">
            <v>橙色装备碎片（无用）</v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 t="str">
            <v/>
          </cell>
          <cell r="P115" t="str">
            <v/>
          </cell>
          <cell r="Q115" t="str">
            <v/>
          </cell>
          <cell r="R115" t="str">
            <v/>
          </cell>
        </row>
        <row r="116">
          <cell r="A116">
            <v>89111</v>
          </cell>
          <cell r="B116" t="str">
            <v>技能冷却石</v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</row>
        <row r="117">
          <cell r="A117">
            <v>83304</v>
          </cell>
          <cell r="B117" t="str">
            <v>寻宝券</v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  <cell r="Q117" t="str">
            <v/>
          </cell>
          <cell r="R117" t="str">
            <v/>
          </cell>
        </row>
        <row r="118">
          <cell r="A118">
            <v>85200</v>
          </cell>
          <cell r="B118" t="str">
            <v>高级装备升级石</v>
          </cell>
          <cell r="C118">
            <v>2001</v>
          </cell>
          <cell r="D118">
            <v>2002</v>
          </cell>
          <cell r="E118">
            <v>2003</v>
          </cell>
          <cell r="F118">
            <v>2004</v>
          </cell>
          <cell r="G118">
            <v>2005</v>
          </cell>
          <cell r="H118">
            <v>2006</v>
          </cell>
          <cell r="I118">
            <v>2007</v>
          </cell>
          <cell r="J118">
            <v>2008</v>
          </cell>
          <cell r="K118">
            <v>2009</v>
          </cell>
          <cell r="L118">
            <v>3001</v>
          </cell>
          <cell r="M118">
            <v>3002</v>
          </cell>
          <cell r="N118">
            <v>3003</v>
          </cell>
          <cell r="O118">
            <v>3004</v>
          </cell>
          <cell r="P118">
            <v>3005</v>
          </cell>
          <cell r="Q118">
            <v>3006</v>
          </cell>
          <cell r="R118">
            <v>3007</v>
          </cell>
        </row>
        <row r="119">
          <cell r="A119">
            <v>85300</v>
          </cell>
          <cell r="B119" t="str">
            <v>稀有装备升级石</v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  <cell r="R119" t="str">
            <v/>
          </cell>
        </row>
        <row r="120">
          <cell r="A120">
            <v>85400</v>
          </cell>
          <cell r="B120" t="str">
            <v>史诗装备升级石</v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Q120" t="str">
            <v/>
          </cell>
          <cell r="R120" t="str">
            <v/>
          </cell>
        </row>
        <row r="121">
          <cell r="A121">
            <v>85500</v>
          </cell>
          <cell r="B121" t="str">
            <v>传说装备升级石</v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</row>
        <row r="122">
          <cell r="A122">
            <v>86001</v>
          </cell>
          <cell r="B122" t="str">
            <v>马仔追债礼包</v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</row>
        <row r="123">
          <cell r="A123">
            <v>86002</v>
          </cell>
          <cell r="B123" t="str">
            <v>马仔追债礼包</v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</row>
        <row r="124">
          <cell r="A124">
            <v>86003</v>
          </cell>
          <cell r="B124" t="str">
            <v>马仔追债礼包</v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</row>
        <row r="125">
          <cell r="A125">
            <v>86004</v>
          </cell>
          <cell r="B125" t="str">
            <v>马仔追债礼包</v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</row>
        <row r="126">
          <cell r="A126">
            <v>86005</v>
          </cell>
          <cell r="B126" t="str">
            <v>马仔追债礼包</v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</row>
        <row r="127">
          <cell r="A127">
            <v>86110</v>
          </cell>
          <cell r="B127" t="str">
            <v>马仔装备礼包</v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</row>
        <row r="128">
          <cell r="A128">
            <v>86120</v>
          </cell>
          <cell r="B128" t="str">
            <v>马仔装备礼包</v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</row>
        <row r="129">
          <cell r="A129">
            <v>86130</v>
          </cell>
          <cell r="B129" t="str">
            <v>马仔装备礼包</v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</row>
        <row r="130">
          <cell r="A130">
            <v>86140</v>
          </cell>
          <cell r="B130" t="str">
            <v>马仔装备礼包</v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</row>
        <row r="131">
          <cell r="A131">
            <v>86150</v>
          </cell>
          <cell r="B131" t="str">
            <v>马仔装备礼包</v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  <cell r="Q131" t="str">
            <v/>
          </cell>
          <cell r="R131" t="str">
            <v/>
          </cell>
        </row>
        <row r="132">
          <cell r="A132">
            <v>83305</v>
          </cell>
          <cell r="B132" t="str">
            <v>金豆</v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 t="str">
            <v/>
          </cell>
          <cell r="P132" t="str">
            <v/>
          </cell>
          <cell r="Q132" t="str">
            <v/>
          </cell>
          <cell r="R132" t="str">
            <v/>
          </cell>
        </row>
        <row r="133">
          <cell r="A133">
            <v>83306</v>
          </cell>
          <cell r="B133" t="str">
            <v>单次扫荡特权</v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 t="str">
            <v/>
          </cell>
          <cell r="P133" t="str">
            <v/>
          </cell>
          <cell r="Q133" t="str">
            <v/>
          </cell>
          <cell r="R133" t="str">
            <v/>
          </cell>
        </row>
        <row r="134">
          <cell r="A134">
            <v>83307</v>
          </cell>
          <cell r="B134" t="str">
            <v>多次扫荡特权</v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 t="str">
            <v/>
          </cell>
          <cell r="P134" t="str">
            <v/>
          </cell>
          <cell r="Q134" t="str">
            <v/>
          </cell>
          <cell r="R134" t="str">
            <v/>
          </cell>
        </row>
        <row r="135">
          <cell r="A135">
            <v>83308</v>
          </cell>
          <cell r="B135" t="str">
            <v>扫荡特权</v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  <cell r="Q135" t="str">
            <v/>
          </cell>
          <cell r="R135" t="str">
            <v/>
          </cell>
        </row>
        <row r="136">
          <cell r="A136">
            <v>86010</v>
          </cell>
          <cell r="B136" t="str">
            <v>部位材料包</v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str">
            <v/>
          </cell>
          <cell r="P136" t="str">
            <v/>
          </cell>
          <cell r="Q136" t="str">
            <v/>
          </cell>
          <cell r="R136" t="str">
            <v/>
          </cell>
        </row>
        <row r="137">
          <cell r="A137">
            <v>86021</v>
          </cell>
          <cell r="B137" t="str">
            <v>紫色装备礼包</v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str">
            <v/>
          </cell>
          <cell r="P137" t="str">
            <v/>
          </cell>
          <cell r="Q137" t="str">
            <v/>
          </cell>
          <cell r="R137" t="str">
            <v/>
          </cell>
        </row>
        <row r="138">
          <cell r="A138">
            <v>86022</v>
          </cell>
          <cell r="B138" t="str">
            <v>橙色装备礼包</v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  <cell r="Q138" t="str">
            <v/>
          </cell>
          <cell r="R138" t="str">
            <v/>
          </cell>
        </row>
        <row r="139">
          <cell r="A139">
            <v>78214</v>
          </cell>
          <cell r="B139" t="str">
            <v>限时碎片(陈浩南)</v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/>
          </cell>
          <cell r="Q139" t="str">
            <v/>
          </cell>
          <cell r="R139" t="str">
            <v/>
          </cell>
        </row>
        <row r="140">
          <cell r="A140">
            <v>78215</v>
          </cell>
          <cell r="B140" t="str">
            <v>限时碎片(山鸡)</v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</row>
        <row r="141">
          <cell r="A141">
            <v>78216</v>
          </cell>
          <cell r="B141" t="str">
            <v>限时碎片(大天二)</v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</row>
        <row r="142">
          <cell r="A142">
            <v>83309</v>
          </cell>
          <cell r="B142" t="str">
            <v>堂口贡献</v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</row>
        <row r="143">
          <cell r="A143">
            <v>92131</v>
          </cell>
          <cell r="B143" t="str">
            <v>幸运戒指</v>
          </cell>
          <cell r="C143">
            <v>1201</v>
          </cell>
          <cell r="D143">
            <v>1208</v>
          </cell>
          <cell r="E143">
            <v>1209</v>
          </cell>
          <cell r="F143">
            <v>2201</v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</row>
        <row r="144">
          <cell r="A144">
            <v>92011</v>
          </cell>
          <cell r="B144" t="str">
            <v>亚诺</v>
          </cell>
          <cell r="C144">
            <v>1201</v>
          </cell>
          <cell r="D144">
            <v>1202</v>
          </cell>
          <cell r="E144">
            <v>1209</v>
          </cell>
          <cell r="F144">
            <v>2202</v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</row>
        <row r="145">
          <cell r="A145">
            <v>92228</v>
          </cell>
          <cell r="B145" t="str">
            <v>银色手环</v>
          </cell>
          <cell r="C145">
            <v>1201</v>
          </cell>
          <cell r="D145">
            <v>1202</v>
          </cell>
          <cell r="E145">
            <v>1203</v>
          </cell>
          <cell r="F145">
            <v>2203</v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</row>
        <row r="146">
          <cell r="A146">
            <v>92232</v>
          </cell>
          <cell r="B146" t="str">
            <v>鎏金手环</v>
          </cell>
          <cell r="C146">
            <v>1202</v>
          </cell>
          <cell r="D146">
            <v>1203</v>
          </cell>
          <cell r="E146">
            <v>1204</v>
          </cell>
          <cell r="F146">
            <v>2204</v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</row>
        <row r="147">
          <cell r="A147">
            <v>92121</v>
          </cell>
          <cell r="B147" t="str">
            <v>镀金耳钉</v>
          </cell>
          <cell r="C147">
            <v>1203</v>
          </cell>
          <cell r="D147">
            <v>1204</v>
          </cell>
          <cell r="E147">
            <v>1205</v>
          </cell>
          <cell r="F147">
            <v>2205</v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</row>
        <row r="148">
          <cell r="A148">
            <v>92243</v>
          </cell>
          <cell r="B148" t="str">
            <v>诅咒项链</v>
          </cell>
          <cell r="C148">
            <v>1204</v>
          </cell>
          <cell r="D148">
            <v>1205</v>
          </cell>
          <cell r="E148">
            <v>1206</v>
          </cell>
          <cell r="F148">
            <v>2201</v>
          </cell>
          <cell r="G148">
            <v>2206</v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str">
            <v/>
          </cell>
          <cell r="P148" t="str">
            <v/>
          </cell>
          <cell r="Q148" t="str">
            <v/>
          </cell>
          <cell r="R148" t="str">
            <v/>
          </cell>
        </row>
        <row r="149">
          <cell r="A149">
            <v>92244</v>
          </cell>
          <cell r="B149" t="str">
            <v>金饰项链</v>
          </cell>
          <cell r="C149">
            <v>1205</v>
          </cell>
          <cell r="D149">
            <v>1206</v>
          </cell>
          <cell r="E149">
            <v>1207</v>
          </cell>
          <cell r="F149">
            <v>2202</v>
          </cell>
          <cell r="G149">
            <v>2207</v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str">
            <v/>
          </cell>
          <cell r="P149" t="str">
            <v/>
          </cell>
          <cell r="Q149" t="str">
            <v/>
          </cell>
          <cell r="R149" t="str">
            <v/>
          </cell>
        </row>
        <row r="150">
          <cell r="A150">
            <v>92263</v>
          </cell>
          <cell r="B150" t="str">
            <v>银针手表</v>
          </cell>
          <cell r="C150">
            <v>1206</v>
          </cell>
          <cell r="D150">
            <v>1207</v>
          </cell>
          <cell r="E150">
            <v>1208</v>
          </cell>
          <cell r="F150">
            <v>2203</v>
          </cell>
          <cell r="G150">
            <v>2208</v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  <cell r="Q150" t="str">
            <v/>
          </cell>
          <cell r="R150" t="str">
            <v/>
          </cell>
        </row>
        <row r="151">
          <cell r="A151">
            <v>92277</v>
          </cell>
          <cell r="B151" t="str">
            <v>冬利</v>
          </cell>
          <cell r="C151">
            <v>1207</v>
          </cell>
          <cell r="D151">
            <v>1208</v>
          </cell>
          <cell r="E151">
            <v>1209</v>
          </cell>
          <cell r="F151">
            <v>2204</v>
          </cell>
          <cell r="G151">
            <v>2209</v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  <cell r="Q151" t="str">
            <v/>
          </cell>
          <cell r="R151" t="str">
            <v/>
          </cell>
        </row>
        <row r="152">
          <cell r="A152">
            <v>92233</v>
          </cell>
          <cell r="B152" t="str">
            <v>白金手环</v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str">
            <v/>
          </cell>
          <cell r="P152" t="str">
            <v/>
          </cell>
          <cell r="Q152" t="str">
            <v/>
          </cell>
          <cell r="R152" t="str">
            <v/>
          </cell>
        </row>
        <row r="153">
          <cell r="A153">
            <v>92122</v>
          </cell>
          <cell r="B153" t="str">
            <v>银饰耳钉</v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str">
            <v/>
          </cell>
          <cell r="P153" t="str">
            <v/>
          </cell>
          <cell r="Q153" t="str">
            <v/>
          </cell>
          <cell r="R153" t="str">
            <v/>
          </cell>
        </row>
        <row r="154">
          <cell r="A154">
            <v>92141</v>
          </cell>
          <cell r="B154" t="str">
            <v>白银戒指</v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  <cell r="Q154" t="str">
            <v/>
          </cell>
          <cell r="R154" t="str">
            <v/>
          </cell>
        </row>
        <row r="155">
          <cell r="A155">
            <v>92245</v>
          </cell>
          <cell r="B155" t="str">
            <v>水晶项链</v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/>
          </cell>
          <cell r="Q155" t="str">
            <v/>
          </cell>
          <cell r="R155" t="str">
            <v/>
          </cell>
        </row>
        <row r="156">
          <cell r="A156">
            <v>92251</v>
          </cell>
          <cell r="B156" t="str">
            <v>红石项链</v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str">
            <v/>
          </cell>
          <cell r="P156" t="str">
            <v/>
          </cell>
          <cell r="Q156" t="str">
            <v/>
          </cell>
          <cell r="R156" t="str">
            <v/>
          </cell>
        </row>
        <row r="157">
          <cell r="A157">
            <v>92264</v>
          </cell>
          <cell r="B157" t="str">
            <v>越野手表</v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</row>
        <row r="158">
          <cell r="A158">
            <v>92271</v>
          </cell>
          <cell r="B158" t="str">
            <v>精准手表</v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</row>
        <row r="159">
          <cell r="A159">
            <v>92278</v>
          </cell>
          <cell r="B159" t="str">
            <v>宝驼</v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</row>
        <row r="160">
          <cell r="A160">
            <v>92283</v>
          </cell>
          <cell r="B160" t="str">
            <v>小迭钞票</v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</row>
        <row r="161">
          <cell r="A161">
            <v>92287</v>
          </cell>
          <cell r="B161" t="str">
            <v>金块</v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</row>
        <row r="162">
          <cell r="A162">
            <v>92142</v>
          </cell>
          <cell r="B162" t="str">
            <v>黄金戒指</v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</row>
        <row r="163">
          <cell r="A163">
            <v>92235</v>
          </cell>
          <cell r="B163" t="str">
            <v>宝石手环</v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</row>
        <row r="164">
          <cell r="A164">
            <v>92012</v>
          </cell>
          <cell r="B164" t="str">
            <v>摩拉</v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</row>
        <row r="165">
          <cell r="A165">
            <v>92252</v>
          </cell>
          <cell r="B165" t="str">
            <v>青玉项链</v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str">
            <v/>
          </cell>
          <cell r="P165" t="str">
            <v/>
          </cell>
          <cell r="Q165" t="str">
            <v/>
          </cell>
          <cell r="R165" t="str">
            <v/>
          </cell>
        </row>
        <row r="166">
          <cell r="A166">
            <v>92124</v>
          </cell>
          <cell r="B166" t="str">
            <v>水晶耳钉</v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  <cell r="R166" t="str">
            <v/>
          </cell>
        </row>
        <row r="167">
          <cell r="A167">
            <v>92272</v>
          </cell>
          <cell r="B167" t="str">
            <v>金针手表</v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str">
            <v/>
          </cell>
          <cell r="P167" t="str">
            <v/>
          </cell>
          <cell r="Q167" t="str">
            <v/>
          </cell>
          <cell r="R167" t="str">
            <v/>
          </cell>
        </row>
        <row r="168">
          <cell r="A168">
            <v>92273</v>
          </cell>
          <cell r="B168" t="str">
            <v>智能手表</v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  <cell r="R168" t="str">
            <v/>
          </cell>
        </row>
        <row r="169">
          <cell r="A169">
            <v>92279</v>
          </cell>
          <cell r="B169" t="str">
            <v>宾倪</v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  <cell r="R169" t="str">
            <v/>
          </cell>
        </row>
        <row r="170">
          <cell r="A170">
            <v>92284</v>
          </cell>
          <cell r="B170" t="str">
            <v>大迭钞票</v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  <cell r="R170" t="str">
            <v/>
          </cell>
        </row>
        <row r="171">
          <cell r="A171">
            <v>92288</v>
          </cell>
          <cell r="B171" t="str">
            <v>大金块</v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/>
          </cell>
          <cell r="Q171" t="str">
            <v/>
          </cell>
          <cell r="R171" t="str">
            <v/>
          </cell>
        </row>
        <row r="172">
          <cell r="A172">
            <v>92125</v>
          </cell>
          <cell r="B172" t="str">
            <v>红石耳钉</v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  <cell r="Q172" t="str">
            <v/>
          </cell>
          <cell r="R172" t="str">
            <v/>
          </cell>
        </row>
        <row r="173">
          <cell r="A173">
            <v>92134</v>
          </cell>
          <cell r="B173" t="str">
            <v>毒蝎耳钉</v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  <cell r="O173" t="str">
            <v/>
          </cell>
          <cell r="P173" t="str">
            <v/>
          </cell>
          <cell r="Q173" t="str">
            <v/>
          </cell>
          <cell r="R173" t="str">
            <v/>
          </cell>
        </row>
        <row r="174">
          <cell r="A174">
            <v>92223</v>
          </cell>
          <cell r="B174" t="str">
            <v>赤金戒指</v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</row>
        <row r="175">
          <cell r="A175">
            <v>92227</v>
          </cell>
          <cell r="B175" t="str">
            <v>王者手环</v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</row>
        <row r="176">
          <cell r="A176">
            <v>92236</v>
          </cell>
          <cell r="B176" t="str">
            <v>符文手环</v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</row>
        <row r="177">
          <cell r="A177">
            <v>92013</v>
          </cell>
          <cell r="B177" t="str">
            <v>月立</v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</row>
        <row r="178">
          <cell r="A178">
            <v>92253</v>
          </cell>
          <cell r="B178" t="str">
            <v>猫妖项链</v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</row>
        <row r="179">
          <cell r="A179">
            <v>92254</v>
          </cell>
          <cell r="B179" t="str">
            <v>苍蓝项链</v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</row>
        <row r="180">
          <cell r="A180">
            <v>92274</v>
          </cell>
          <cell r="B180" t="str">
            <v>汉密手表</v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</row>
        <row r="181">
          <cell r="A181">
            <v>92280</v>
          </cell>
          <cell r="B181" t="str">
            <v>法拉捷</v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</row>
        <row r="182">
          <cell r="A182">
            <v>92285</v>
          </cell>
          <cell r="B182" t="str">
            <v>大堆钞票</v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O182" t="str">
            <v/>
          </cell>
          <cell r="P182" t="str">
            <v/>
          </cell>
          <cell r="Q182" t="str">
            <v/>
          </cell>
          <cell r="R182" t="str">
            <v/>
          </cell>
        </row>
        <row r="183">
          <cell r="A183">
            <v>92289</v>
          </cell>
          <cell r="B183" t="str">
            <v>小堆金块</v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O183" t="str">
            <v/>
          </cell>
          <cell r="P183" t="str">
            <v/>
          </cell>
          <cell r="Q183" t="str">
            <v/>
          </cell>
          <cell r="R183" t="str">
            <v/>
          </cell>
        </row>
        <row r="184">
          <cell r="A184">
            <v>92014</v>
          </cell>
          <cell r="B184" t="str">
            <v>菠萝</v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  <cell r="Q184" t="str">
            <v/>
          </cell>
          <cell r="R184" t="str">
            <v/>
          </cell>
        </row>
        <row r="185">
          <cell r="A185">
            <v>92296</v>
          </cell>
          <cell r="B185" t="str">
            <v>星光红石</v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  <cell r="Q185" t="str">
            <v/>
          </cell>
          <cell r="R185" t="str">
            <v/>
          </cell>
        </row>
        <row r="186">
          <cell r="A186">
            <v>92240</v>
          </cell>
          <cell r="B186" t="str">
            <v>苍蓝戒指</v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  <cell r="O186" t="str">
            <v/>
          </cell>
          <cell r="P186" t="str">
            <v/>
          </cell>
          <cell r="Q186" t="str">
            <v/>
          </cell>
          <cell r="R186" t="str">
            <v/>
          </cell>
        </row>
        <row r="187">
          <cell r="A187">
            <v>92292</v>
          </cell>
          <cell r="B187" t="str">
            <v>金饰宝盒</v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  <cell r="O187" t="str">
            <v/>
          </cell>
          <cell r="P187" t="str">
            <v/>
          </cell>
          <cell r="Q187" t="str">
            <v/>
          </cell>
          <cell r="R187" t="str">
            <v/>
          </cell>
        </row>
        <row r="188">
          <cell r="A188">
            <v>92256</v>
          </cell>
          <cell r="B188" t="str">
            <v>圣徒项链</v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  <cell r="O188" t="str">
            <v/>
          </cell>
          <cell r="P188" t="str">
            <v/>
          </cell>
          <cell r="Q188" t="str">
            <v/>
          </cell>
          <cell r="R188" t="str">
            <v/>
          </cell>
        </row>
        <row r="189">
          <cell r="A189">
            <v>92261</v>
          </cell>
          <cell r="B189" t="str">
            <v>贵族项链</v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  <cell r="O189" t="str">
            <v/>
          </cell>
          <cell r="P189" t="str">
            <v/>
          </cell>
          <cell r="Q189" t="str">
            <v/>
          </cell>
          <cell r="R189" t="str">
            <v/>
          </cell>
        </row>
        <row r="190">
          <cell r="A190">
            <v>92275</v>
          </cell>
          <cell r="B190" t="str">
            <v>千国手表</v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  <cell r="O190" t="str">
            <v/>
          </cell>
          <cell r="P190" t="str">
            <v/>
          </cell>
          <cell r="Q190" t="str">
            <v/>
          </cell>
          <cell r="R190" t="str">
            <v/>
          </cell>
        </row>
        <row r="191">
          <cell r="A191">
            <v>92281</v>
          </cell>
          <cell r="B191" t="str">
            <v>红博机利</v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  <cell r="O191" t="str">
            <v/>
          </cell>
          <cell r="P191" t="str">
            <v/>
          </cell>
          <cell r="Q191" t="str">
            <v/>
          </cell>
          <cell r="R191" t="str">
            <v/>
          </cell>
        </row>
        <row r="192">
          <cell r="A192">
            <v>92286</v>
          </cell>
          <cell r="B192" t="str">
            <v>巨额钞票</v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</row>
        <row r="193">
          <cell r="A193">
            <v>92290</v>
          </cell>
          <cell r="B193" t="str">
            <v>大堆金块</v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</row>
        <row r="194">
          <cell r="A194">
            <v>92026</v>
          </cell>
          <cell r="B194" t="str">
            <v>深蓝</v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</row>
        <row r="195">
          <cell r="A195">
            <v>92255</v>
          </cell>
          <cell r="B195" t="str">
            <v>黑耀项链</v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</row>
        <row r="196">
          <cell r="A196">
            <v>92297</v>
          </cell>
          <cell r="B196" t="str">
            <v>翠绿之心</v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</row>
        <row r="197">
          <cell r="A197">
            <v>92293</v>
          </cell>
          <cell r="B197" t="str">
            <v>珍珠宝盒</v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</row>
        <row r="198">
          <cell r="A198">
            <v>92294</v>
          </cell>
          <cell r="B198" t="str">
            <v>古董宝盒</v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</row>
        <row r="199">
          <cell r="A199">
            <v>92295</v>
          </cell>
          <cell r="B199" t="str">
            <v>水晶宝盒</v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</row>
        <row r="200">
          <cell r="A200">
            <v>92262</v>
          </cell>
          <cell r="B200" t="str">
            <v>皇家项链</v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  <cell r="O200" t="str">
            <v/>
          </cell>
          <cell r="P200" t="str">
            <v/>
          </cell>
          <cell r="Q200" t="str">
            <v/>
          </cell>
          <cell r="R200" t="str">
            <v/>
          </cell>
        </row>
        <row r="201">
          <cell r="A201">
            <v>92298</v>
          </cell>
          <cell r="B201" t="str">
            <v>海洋之泪</v>
          </cell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  <cell r="O201" t="str">
            <v/>
          </cell>
          <cell r="P201" t="str">
            <v/>
          </cell>
          <cell r="Q201" t="str">
            <v/>
          </cell>
          <cell r="R201" t="str">
            <v/>
          </cell>
        </row>
        <row r="202">
          <cell r="A202">
            <v>92276</v>
          </cell>
          <cell r="B202" t="str">
            <v>壕利手表</v>
          </cell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  <cell r="O202" t="str">
            <v/>
          </cell>
          <cell r="P202" t="str">
            <v/>
          </cell>
          <cell r="Q202" t="str">
            <v/>
          </cell>
          <cell r="R202" t="str">
            <v/>
          </cell>
        </row>
        <row r="203">
          <cell r="A203">
            <v>92282</v>
          </cell>
          <cell r="B203" t="str">
            <v>劳莱斯特</v>
          </cell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  <cell r="O203" t="str">
            <v/>
          </cell>
          <cell r="P203" t="str">
            <v/>
          </cell>
          <cell r="Q203" t="str">
            <v/>
          </cell>
          <cell r="R203" t="str">
            <v/>
          </cell>
        </row>
        <row r="204">
          <cell r="A204">
            <v>92299</v>
          </cell>
          <cell r="B204" t="str">
            <v>房产证</v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  <cell r="O204" t="str">
            <v/>
          </cell>
          <cell r="P204" t="str">
            <v/>
          </cell>
          <cell r="Q204" t="str">
            <v/>
          </cell>
          <cell r="R204" t="str">
            <v/>
          </cell>
        </row>
        <row r="205">
          <cell r="A205">
            <v>92291</v>
          </cell>
          <cell r="B205" t="str">
            <v>巨量金块</v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  <cell r="O205" t="str">
            <v/>
          </cell>
          <cell r="P205" t="str">
            <v/>
          </cell>
          <cell r="Q205" t="str">
            <v/>
          </cell>
          <cell r="R205" t="str">
            <v/>
          </cell>
        </row>
        <row r="206">
          <cell r="A206">
            <v>93233</v>
          </cell>
          <cell r="B206" t="str">
            <v>白金手环碎片</v>
          </cell>
          <cell r="C206">
            <v>2201</v>
          </cell>
          <cell r="D206">
            <v>2205</v>
          </cell>
          <cell r="E206">
            <v>3201</v>
          </cell>
          <cell r="F206">
            <v>3203</v>
          </cell>
          <cell r="G206">
            <v>3207</v>
          </cell>
          <cell r="H206">
            <v>4202</v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  <cell r="O206" t="str">
            <v/>
          </cell>
          <cell r="P206" t="str">
            <v/>
          </cell>
          <cell r="Q206" t="str">
            <v/>
          </cell>
          <cell r="R206" t="str">
            <v/>
          </cell>
        </row>
        <row r="207">
          <cell r="A207">
            <v>93122</v>
          </cell>
          <cell r="B207" t="str">
            <v>银饰耳钉碎片</v>
          </cell>
          <cell r="C207">
            <v>2202</v>
          </cell>
          <cell r="D207">
            <v>2206</v>
          </cell>
          <cell r="E207">
            <v>3202</v>
          </cell>
          <cell r="F207">
            <v>3204</v>
          </cell>
          <cell r="G207">
            <v>3208</v>
          </cell>
          <cell r="H207">
            <v>4203</v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  <cell r="O207" t="str">
            <v/>
          </cell>
          <cell r="P207" t="str">
            <v/>
          </cell>
          <cell r="Q207" t="str">
            <v/>
          </cell>
          <cell r="R207" t="str">
            <v/>
          </cell>
        </row>
        <row r="208">
          <cell r="A208">
            <v>93141</v>
          </cell>
          <cell r="B208" t="str">
            <v>白银戒指碎片</v>
          </cell>
          <cell r="C208">
            <v>2203</v>
          </cell>
          <cell r="D208">
            <v>2207</v>
          </cell>
          <cell r="E208">
            <v>3203</v>
          </cell>
          <cell r="F208">
            <v>3205</v>
          </cell>
          <cell r="G208">
            <v>4201</v>
          </cell>
          <cell r="H208">
            <v>4204</v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  <cell r="O208" t="str">
            <v/>
          </cell>
          <cell r="P208" t="str">
            <v/>
          </cell>
          <cell r="Q208" t="str">
            <v/>
          </cell>
          <cell r="R208" t="str">
            <v/>
          </cell>
        </row>
        <row r="209">
          <cell r="A209">
            <v>93245</v>
          </cell>
          <cell r="B209" t="str">
            <v>水晶项链碎片</v>
          </cell>
          <cell r="C209">
            <v>2204</v>
          </cell>
          <cell r="D209">
            <v>2208</v>
          </cell>
          <cell r="E209">
            <v>3204</v>
          </cell>
          <cell r="F209">
            <v>3206</v>
          </cell>
          <cell r="G209">
            <v>4202</v>
          </cell>
          <cell r="H209">
            <v>4205</v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</row>
        <row r="210">
          <cell r="A210">
            <v>93251</v>
          </cell>
          <cell r="B210" t="str">
            <v>红石项链碎片</v>
          </cell>
          <cell r="C210">
            <v>2205</v>
          </cell>
          <cell r="D210">
            <v>3201</v>
          </cell>
          <cell r="E210">
            <v>3205</v>
          </cell>
          <cell r="F210">
            <v>3207</v>
          </cell>
          <cell r="G210">
            <v>4203</v>
          </cell>
          <cell r="H210">
            <v>4206</v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</row>
        <row r="211">
          <cell r="A211">
            <v>93264</v>
          </cell>
          <cell r="B211" t="str">
            <v>越野手表碎片</v>
          </cell>
          <cell r="C211">
            <v>2206</v>
          </cell>
          <cell r="D211">
            <v>3202</v>
          </cell>
          <cell r="E211">
            <v>3206</v>
          </cell>
          <cell r="F211">
            <v>3208</v>
          </cell>
          <cell r="G211">
            <v>4204</v>
          </cell>
          <cell r="H211">
            <v>4207</v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</row>
        <row r="212">
          <cell r="A212">
            <v>93271</v>
          </cell>
          <cell r="B212" t="str">
            <v>精准手表碎片</v>
          </cell>
          <cell r="C212">
            <v>2207</v>
          </cell>
          <cell r="D212">
            <v>3203</v>
          </cell>
          <cell r="E212">
            <v>3207</v>
          </cell>
          <cell r="F212">
            <v>3209</v>
          </cell>
          <cell r="G212">
            <v>4205</v>
          </cell>
          <cell r="H212">
            <v>4208</v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</row>
        <row r="213">
          <cell r="A213">
            <v>93278</v>
          </cell>
          <cell r="B213" t="str">
            <v>宝驼碎片</v>
          </cell>
          <cell r="C213">
            <v>2208</v>
          </cell>
          <cell r="D213">
            <v>3204</v>
          </cell>
          <cell r="E213">
            <v>3208</v>
          </cell>
          <cell r="F213">
            <v>4201</v>
          </cell>
          <cell r="G213">
            <v>4206</v>
          </cell>
          <cell r="H213">
            <v>4209</v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</row>
        <row r="214">
          <cell r="A214">
            <v>93283</v>
          </cell>
          <cell r="B214" t="str">
            <v>小迭钞票碎片</v>
          </cell>
          <cell r="C214">
            <v>2209</v>
          </cell>
          <cell r="D214">
            <v>3201</v>
          </cell>
          <cell r="E214">
            <v>3205</v>
          </cell>
          <cell r="F214">
            <v>3209</v>
          </cell>
          <cell r="G214">
            <v>4207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</row>
        <row r="215">
          <cell r="A215">
            <v>93287</v>
          </cell>
          <cell r="B215" t="str">
            <v>金块碎片</v>
          </cell>
          <cell r="C215">
            <v>2209</v>
          </cell>
          <cell r="D215">
            <v>3202</v>
          </cell>
          <cell r="E215">
            <v>3206</v>
          </cell>
          <cell r="F215">
            <v>3209</v>
          </cell>
          <cell r="G215">
            <v>4208</v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</row>
        <row r="216">
          <cell r="A216">
            <v>93142</v>
          </cell>
          <cell r="B216" t="str">
            <v>黄金戒指碎片</v>
          </cell>
          <cell r="C216">
            <v>4201</v>
          </cell>
          <cell r="D216">
            <v>5201</v>
          </cell>
          <cell r="E216">
            <v>5208</v>
          </cell>
          <cell r="F216">
            <v>5209</v>
          </cell>
          <cell r="G216">
            <v>6202</v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</row>
        <row r="217">
          <cell r="A217">
            <v>93235</v>
          </cell>
          <cell r="B217" t="str">
            <v>宝石手环碎片</v>
          </cell>
          <cell r="C217">
            <v>4202</v>
          </cell>
          <cell r="D217">
            <v>5201</v>
          </cell>
          <cell r="E217">
            <v>5202</v>
          </cell>
          <cell r="F217">
            <v>6201</v>
          </cell>
          <cell r="G217">
            <v>6203</v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  <cell r="O217" t="str">
            <v/>
          </cell>
          <cell r="P217" t="str">
            <v/>
          </cell>
          <cell r="Q217" t="str">
            <v/>
          </cell>
          <cell r="R217" t="str">
            <v/>
          </cell>
        </row>
        <row r="218">
          <cell r="A218">
            <v>93012</v>
          </cell>
          <cell r="B218" t="str">
            <v>摩拉碎片</v>
          </cell>
          <cell r="C218">
            <v>4203</v>
          </cell>
          <cell r="D218">
            <v>5201</v>
          </cell>
          <cell r="E218">
            <v>5202</v>
          </cell>
          <cell r="F218">
            <v>5203</v>
          </cell>
          <cell r="G218">
            <v>6204</v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  <cell r="O218" t="str">
            <v/>
          </cell>
          <cell r="P218" t="str">
            <v/>
          </cell>
          <cell r="Q218" t="str">
            <v/>
          </cell>
          <cell r="R218" t="str">
            <v/>
          </cell>
        </row>
        <row r="219">
          <cell r="A219">
            <v>93252</v>
          </cell>
          <cell r="B219" t="str">
            <v>青玉项链碎片</v>
          </cell>
          <cell r="C219">
            <v>4204</v>
          </cell>
          <cell r="D219">
            <v>5202</v>
          </cell>
          <cell r="E219">
            <v>5203</v>
          </cell>
          <cell r="F219">
            <v>5204</v>
          </cell>
          <cell r="G219">
            <v>6205</v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  <cell r="O219" t="str">
            <v/>
          </cell>
          <cell r="P219" t="str">
            <v/>
          </cell>
          <cell r="Q219" t="str">
            <v/>
          </cell>
          <cell r="R219" t="str">
            <v/>
          </cell>
        </row>
        <row r="220">
          <cell r="A220">
            <v>93124</v>
          </cell>
          <cell r="B220" t="str">
            <v>水晶耳钉碎片</v>
          </cell>
          <cell r="C220">
            <v>4205</v>
          </cell>
          <cell r="D220">
            <v>5203</v>
          </cell>
          <cell r="E220">
            <v>5204</v>
          </cell>
          <cell r="F220">
            <v>5205</v>
          </cell>
          <cell r="G220">
            <v>6206</v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  <cell r="O220" t="str">
            <v/>
          </cell>
          <cell r="P220" t="str">
            <v/>
          </cell>
          <cell r="Q220" t="str">
            <v/>
          </cell>
          <cell r="R220" t="str">
            <v/>
          </cell>
        </row>
        <row r="221">
          <cell r="A221">
            <v>93272</v>
          </cell>
          <cell r="B221" t="str">
            <v>金针手表碎片</v>
          </cell>
          <cell r="C221">
            <v>4206</v>
          </cell>
          <cell r="D221">
            <v>5204</v>
          </cell>
          <cell r="E221">
            <v>5205</v>
          </cell>
          <cell r="F221">
            <v>5206</v>
          </cell>
          <cell r="G221">
            <v>6207</v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  <cell r="O221" t="str">
            <v/>
          </cell>
          <cell r="P221" t="str">
            <v/>
          </cell>
          <cell r="Q221" t="str">
            <v/>
          </cell>
          <cell r="R221" t="str">
            <v/>
          </cell>
        </row>
        <row r="222">
          <cell r="A222">
            <v>93273</v>
          </cell>
          <cell r="B222" t="str">
            <v>智能手表碎片</v>
          </cell>
          <cell r="C222">
            <v>4207</v>
          </cell>
          <cell r="D222">
            <v>5205</v>
          </cell>
          <cell r="E222">
            <v>5206</v>
          </cell>
          <cell r="F222">
            <v>5207</v>
          </cell>
          <cell r="G222">
            <v>6208</v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  <cell r="O222" t="str">
            <v/>
          </cell>
          <cell r="P222" t="str">
            <v/>
          </cell>
          <cell r="Q222" t="str">
            <v/>
          </cell>
          <cell r="R222" t="str">
            <v/>
          </cell>
        </row>
        <row r="223">
          <cell r="A223">
            <v>93279</v>
          </cell>
          <cell r="B223" t="str">
            <v>宾倪碎片</v>
          </cell>
          <cell r="C223">
            <v>4208</v>
          </cell>
          <cell r="D223">
            <v>5206</v>
          </cell>
          <cell r="E223">
            <v>5207</v>
          </cell>
          <cell r="F223">
            <v>5208</v>
          </cell>
          <cell r="G223">
            <v>6209</v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  <cell r="Q223" t="str">
            <v/>
          </cell>
          <cell r="R223" t="str">
            <v/>
          </cell>
        </row>
        <row r="224">
          <cell r="A224">
            <v>93284</v>
          </cell>
          <cell r="B224" t="str">
            <v>大迭钞票碎片</v>
          </cell>
          <cell r="C224">
            <v>4209</v>
          </cell>
          <cell r="D224">
            <v>5207</v>
          </cell>
          <cell r="E224">
            <v>5209</v>
          </cell>
          <cell r="F224">
            <v>6201</v>
          </cell>
          <cell r="G224">
            <v>6202</v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O224" t="str">
            <v/>
          </cell>
          <cell r="P224" t="str">
            <v/>
          </cell>
          <cell r="Q224" t="str">
            <v/>
          </cell>
          <cell r="R224" t="str">
            <v/>
          </cell>
        </row>
        <row r="225">
          <cell r="A225">
            <v>93288</v>
          </cell>
          <cell r="B225" t="str">
            <v>大金块碎片</v>
          </cell>
          <cell r="C225">
            <v>4209</v>
          </cell>
          <cell r="D225">
            <v>5208</v>
          </cell>
          <cell r="E225">
            <v>5209</v>
          </cell>
          <cell r="F225">
            <v>6203</v>
          </cell>
          <cell r="G225">
            <v>6204</v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O225" t="str">
            <v/>
          </cell>
          <cell r="P225" t="str">
            <v/>
          </cell>
          <cell r="Q225" t="str">
            <v/>
          </cell>
          <cell r="R225" t="str">
            <v/>
          </cell>
        </row>
        <row r="226">
          <cell r="A226">
            <v>93125</v>
          </cell>
          <cell r="B226" t="str">
            <v>红石耳钉碎片</v>
          </cell>
          <cell r="C226">
            <v>6201</v>
          </cell>
          <cell r="D226">
            <v>6205</v>
          </cell>
          <cell r="E226">
            <v>7201</v>
          </cell>
          <cell r="F226">
            <v>7207</v>
          </cell>
          <cell r="G226">
            <v>7208</v>
          </cell>
          <cell r="H226">
            <v>8201</v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  <cell r="O226" t="str">
            <v/>
          </cell>
          <cell r="P226" t="str">
            <v/>
          </cell>
          <cell r="Q226" t="str">
            <v/>
          </cell>
          <cell r="R226" t="str">
            <v/>
          </cell>
        </row>
        <row r="227">
          <cell r="A227">
            <v>93134</v>
          </cell>
          <cell r="B227" t="str">
            <v>毒蝎耳钉碎片</v>
          </cell>
          <cell r="C227">
            <v>6202</v>
          </cell>
          <cell r="D227">
            <v>6206</v>
          </cell>
          <cell r="E227">
            <v>7202</v>
          </cell>
          <cell r="F227">
            <v>7208</v>
          </cell>
          <cell r="G227">
            <v>7209</v>
          </cell>
          <cell r="H227">
            <v>8202</v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  <cell r="Q227" t="str">
            <v/>
          </cell>
          <cell r="R227" t="str">
            <v/>
          </cell>
        </row>
        <row r="228">
          <cell r="A228">
            <v>93223</v>
          </cell>
          <cell r="B228" t="str">
            <v>赤金戒指碎片</v>
          </cell>
          <cell r="C228">
            <v>6203</v>
          </cell>
          <cell r="D228">
            <v>7201</v>
          </cell>
          <cell r="E228">
            <v>7203</v>
          </cell>
          <cell r="F228">
            <v>7209</v>
          </cell>
          <cell r="G228">
            <v>8201</v>
          </cell>
          <cell r="H228">
            <v>8203</v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O228" t="str">
            <v/>
          </cell>
          <cell r="P228" t="str">
            <v/>
          </cell>
          <cell r="Q228" t="str">
            <v/>
          </cell>
          <cell r="R228" t="str">
            <v/>
          </cell>
        </row>
        <row r="229">
          <cell r="A229">
            <v>93227</v>
          </cell>
          <cell r="B229" t="str">
            <v>王者手环碎片</v>
          </cell>
          <cell r="C229">
            <v>6204</v>
          </cell>
          <cell r="D229">
            <v>7202</v>
          </cell>
          <cell r="E229">
            <v>7204</v>
          </cell>
          <cell r="F229">
            <v>8201</v>
          </cell>
          <cell r="G229">
            <v>8202</v>
          </cell>
          <cell r="H229">
            <v>8204</v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  <cell r="O229" t="str">
            <v/>
          </cell>
          <cell r="P229" t="str">
            <v/>
          </cell>
          <cell r="Q229" t="str">
            <v/>
          </cell>
          <cell r="R229" t="str">
            <v/>
          </cell>
        </row>
        <row r="230">
          <cell r="A230">
            <v>93236</v>
          </cell>
          <cell r="B230" t="str">
            <v>符文手环碎片</v>
          </cell>
          <cell r="C230">
            <v>6205</v>
          </cell>
          <cell r="D230">
            <v>7203</v>
          </cell>
          <cell r="E230">
            <v>7205</v>
          </cell>
          <cell r="F230">
            <v>8202</v>
          </cell>
          <cell r="G230">
            <v>8203</v>
          </cell>
          <cell r="H230">
            <v>8205</v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  <cell r="O230" t="str">
            <v/>
          </cell>
          <cell r="P230" t="str">
            <v/>
          </cell>
          <cell r="Q230" t="str">
            <v/>
          </cell>
          <cell r="R230" t="str">
            <v/>
          </cell>
        </row>
        <row r="231">
          <cell r="A231">
            <v>93013</v>
          </cell>
          <cell r="B231" t="str">
            <v>月立碎片</v>
          </cell>
          <cell r="C231">
            <v>6206</v>
          </cell>
          <cell r="D231">
            <v>7204</v>
          </cell>
          <cell r="E231">
            <v>7206</v>
          </cell>
          <cell r="F231">
            <v>8203</v>
          </cell>
          <cell r="G231">
            <v>8204</v>
          </cell>
          <cell r="H231">
            <v>8206</v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O231" t="str">
            <v/>
          </cell>
          <cell r="P231" t="str">
            <v/>
          </cell>
          <cell r="Q231" t="str">
            <v/>
          </cell>
          <cell r="R231" t="str">
            <v/>
          </cell>
        </row>
        <row r="232">
          <cell r="A232">
            <v>93253</v>
          </cell>
          <cell r="B232" t="str">
            <v>猫妖项链碎片</v>
          </cell>
          <cell r="C232">
            <v>6207</v>
          </cell>
          <cell r="D232">
            <v>7201</v>
          </cell>
          <cell r="E232">
            <v>7207</v>
          </cell>
          <cell r="F232">
            <v>8204</v>
          </cell>
          <cell r="G232">
            <v>8205</v>
          </cell>
          <cell r="H232">
            <v>8207</v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  <cell r="Q232" t="str">
            <v/>
          </cell>
          <cell r="R232" t="str">
            <v/>
          </cell>
        </row>
        <row r="233">
          <cell r="A233">
            <v>93254</v>
          </cell>
          <cell r="B233" t="str">
            <v>苍蓝项链碎片</v>
          </cell>
          <cell r="C233">
            <v>6208</v>
          </cell>
          <cell r="D233">
            <v>7202</v>
          </cell>
          <cell r="E233">
            <v>7208</v>
          </cell>
          <cell r="F233">
            <v>8205</v>
          </cell>
          <cell r="G233">
            <v>8208</v>
          </cell>
          <cell r="H233">
            <v>8209</v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  <cell r="O233" t="str">
            <v/>
          </cell>
          <cell r="P233" t="str">
            <v/>
          </cell>
          <cell r="Q233" t="str">
            <v/>
          </cell>
          <cell r="R233" t="str">
            <v/>
          </cell>
        </row>
        <row r="234">
          <cell r="A234">
            <v>93274</v>
          </cell>
          <cell r="B234" t="str">
            <v>汉密手表碎片</v>
          </cell>
          <cell r="C234">
            <v>6209</v>
          </cell>
          <cell r="D234">
            <v>7203</v>
          </cell>
          <cell r="E234">
            <v>7209</v>
          </cell>
          <cell r="F234">
            <v>8206</v>
          </cell>
          <cell r="G234">
            <v>8209</v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  <cell r="O234" t="str">
            <v/>
          </cell>
          <cell r="P234" t="str">
            <v/>
          </cell>
          <cell r="Q234" t="str">
            <v/>
          </cell>
          <cell r="R234" t="str">
            <v/>
          </cell>
        </row>
        <row r="235">
          <cell r="A235">
            <v>93280</v>
          </cell>
          <cell r="B235" t="str">
            <v>法拉捷碎片</v>
          </cell>
          <cell r="C235">
            <v>6207</v>
          </cell>
          <cell r="D235">
            <v>7204</v>
          </cell>
          <cell r="E235">
            <v>7205</v>
          </cell>
          <cell r="F235">
            <v>8206</v>
          </cell>
          <cell r="G235">
            <v>8207</v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  <cell r="O235" t="str">
            <v/>
          </cell>
          <cell r="P235" t="str">
            <v/>
          </cell>
          <cell r="Q235" t="str">
            <v/>
          </cell>
          <cell r="R235" t="str">
            <v/>
          </cell>
        </row>
        <row r="236">
          <cell r="A236">
            <v>93285</v>
          </cell>
          <cell r="B236" t="str">
            <v>大堆钞票碎片</v>
          </cell>
          <cell r="C236">
            <v>6208</v>
          </cell>
          <cell r="D236">
            <v>7205</v>
          </cell>
          <cell r="E236">
            <v>7206</v>
          </cell>
          <cell r="F236">
            <v>8207</v>
          </cell>
          <cell r="G236">
            <v>8208</v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O236" t="str">
            <v/>
          </cell>
          <cell r="P236" t="str">
            <v/>
          </cell>
          <cell r="Q236" t="str">
            <v/>
          </cell>
          <cell r="R236" t="str">
            <v/>
          </cell>
        </row>
        <row r="237">
          <cell r="A237">
            <v>93289</v>
          </cell>
          <cell r="B237" t="str">
            <v>小堆金块碎片</v>
          </cell>
          <cell r="C237">
            <v>6209</v>
          </cell>
          <cell r="D237">
            <v>7206</v>
          </cell>
          <cell r="E237">
            <v>7207</v>
          </cell>
          <cell r="F237">
            <v>8208</v>
          </cell>
          <cell r="G237">
            <v>8209</v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  <cell r="O237" t="str">
            <v/>
          </cell>
          <cell r="P237" t="str">
            <v/>
          </cell>
          <cell r="Q237" t="str">
            <v/>
          </cell>
          <cell r="R237" t="str">
            <v/>
          </cell>
        </row>
        <row r="238">
          <cell r="A238">
            <v>93014</v>
          </cell>
          <cell r="B238" t="str">
            <v>菠萝碎片</v>
          </cell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  <cell r="O238" t="str">
            <v/>
          </cell>
          <cell r="P238" t="str">
            <v/>
          </cell>
          <cell r="Q238" t="str">
            <v/>
          </cell>
          <cell r="R238" t="str">
            <v/>
          </cell>
        </row>
        <row r="239">
          <cell r="A239">
            <v>93296</v>
          </cell>
          <cell r="B239" t="str">
            <v>星光红石碎片</v>
          </cell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  <cell r="O239" t="str">
            <v/>
          </cell>
          <cell r="P239" t="str">
            <v/>
          </cell>
          <cell r="Q239" t="str">
            <v/>
          </cell>
          <cell r="R239" t="str">
            <v/>
          </cell>
        </row>
        <row r="240">
          <cell r="A240">
            <v>93240</v>
          </cell>
          <cell r="B240" t="str">
            <v>苍蓝戒指碎片</v>
          </cell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  <cell r="Q240" t="str">
            <v/>
          </cell>
          <cell r="R240" t="str">
            <v/>
          </cell>
        </row>
        <row r="241">
          <cell r="A241">
            <v>93292</v>
          </cell>
          <cell r="B241" t="str">
            <v>金饰宝盒碎片</v>
          </cell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  <cell r="R241" t="str">
            <v/>
          </cell>
        </row>
        <row r="242">
          <cell r="A242">
            <v>93256</v>
          </cell>
          <cell r="B242" t="str">
            <v>圣徒项链碎片</v>
          </cell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  <cell r="O242" t="str">
            <v/>
          </cell>
          <cell r="P242" t="str">
            <v/>
          </cell>
          <cell r="Q242" t="str">
            <v/>
          </cell>
          <cell r="R242" t="str">
            <v/>
          </cell>
        </row>
        <row r="243">
          <cell r="A243">
            <v>93261</v>
          </cell>
          <cell r="B243" t="str">
            <v>贵族项链碎片</v>
          </cell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  <cell r="O243" t="str">
            <v/>
          </cell>
          <cell r="P243" t="str">
            <v/>
          </cell>
          <cell r="Q243" t="str">
            <v/>
          </cell>
          <cell r="R243" t="str">
            <v/>
          </cell>
        </row>
        <row r="244">
          <cell r="A244">
            <v>93275</v>
          </cell>
          <cell r="B244" t="str">
            <v>千国手表碎片</v>
          </cell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  <cell r="O244" t="str">
            <v/>
          </cell>
          <cell r="P244" t="str">
            <v/>
          </cell>
          <cell r="Q244" t="str">
            <v/>
          </cell>
          <cell r="R244" t="str">
            <v/>
          </cell>
        </row>
        <row r="245">
          <cell r="A245">
            <v>93281</v>
          </cell>
          <cell r="B245" t="str">
            <v>红博机利碎片</v>
          </cell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  <cell r="O245" t="str">
            <v/>
          </cell>
          <cell r="P245" t="str">
            <v/>
          </cell>
          <cell r="Q245" t="str">
            <v/>
          </cell>
          <cell r="R245" t="str">
            <v/>
          </cell>
        </row>
        <row r="246">
          <cell r="A246">
            <v>93286</v>
          </cell>
          <cell r="B246" t="str">
            <v>巨额钞票碎片</v>
          </cell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O246" t="str">
            <v/>
          </cell>
          <cell r="P246" t="str">
            <v/>
          </cell>
          <cell r="Q246" t="str">
            <v/>
          </cell>
          <cell r="R246" t="str">
            <v/>
          </cell>
        </row>
        <row r="247">
          <cell r="A247">
            <v>93290</v>
          </cell>
          <cell r="B247" t="str">
            <v>大堆金块碎片</v>
          </cell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  <cell r="O247" t="str">
            <v/>
          </cell>
          <cell r="P247" t="str">
            <v/>
          </cell>
          <cell r="Q247" t="str">
            <v/>
          </cell>
          <cell r="R247" t="str">
            <v/>
          </cell>
        </row>
        <row r="248">
          <cell r="A248">
            <v>93026</v>
          </cell>
          <cell r="B248" t="str">
            <v>深蓝碎片</v>
          </cell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  <cell r="O248" t="str">
            <v/>
          </cell>
          <cell r="P248" t="str">
            <v/>
          </cell>
          <cell r="Q248" t="str">
            <v/>
          </cell>
          <cell r="R248" t="str">
            <v/>
          </cell>
        </row>
        <row r="249">
          <cell r="A249">
            <v>93255</v>
          </cell>
          <cell r="B249" t="str">
            <v>黑耀项链碎片</v>
          </cell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  <cell r="O249" t="str">
            <v/>
          </cell>
          <cell r="P249" t="str">
            <v/>
          </cell>
          <cell r="Q249" t="str">
            <v/>
          </cell>
          <cell r="R249" t="str">
            <v/>
          </cell>
        </row>
        <row r="250">
          <cell r="A250">
            <v>93297</v>
          </cell>
          <cell r="B250" t="str">
            <v>翠绿之心碎片</v>
          </cell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  <cell r="Q250" t="str">
            <v/>
          </cell>
          <cell r="R250" t="str">
            <v/>
          </cell>
        </row>
        <row r="251">
          <cell r="A251">
            <v>93293</v>
          </cell>
          <cell r="B251" t="str">
            <v>珍珠宝盒碎片</v>
          </cell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  <cell r="Q251" t="str">
            <v/>
          </cell>
          <cell r="R251" t="str">
            <v/>
          </cell>
        </row>
        <row r="252">
          <cell r="A252">
            <v>93294</v>
          </cell>
          <cell r="B252" t="str">
            <v>古董宝盒碎片</v>
          </cell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  <cell r="O252" t="str">
            <v/>
          </cell>
          <cell r="P252" t="str">
            <v/>
          </cell>
          <cell r="Q252" t="str">
            <v/>
          </cell>
          <cell r="R252" t="str">
            <v/>
          </cell>
        </row>
        <row r="253">
          <cell r="A253">
            <v>93295</v>
          </cell>
          <cell r="B253" t="str">
            <v>水晶宝盒碎片</v>
          </cell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  <cell r="O253" t="str">
            <v/>
          </cell>
          <cell r="P253" t="str">
            <v/>
          </cell>
          <cell r="Q253" t="str">
            <v/>
          </cell>
          <cell r="R253" t="str">
            <v/>
          </cell>
        </row>
        <row r="254">
          <cell r="A254">
            <v>93262</v>
          </cell>
          <cell r="B254" t="str">
            <v>皇家项链碎片</v>
          </cell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  <cell r="O254" t="str">
            <v/>
          </cell>
          <cell r="P254" t="str">
            <v/>
          </cell>
          <cell r="Q254" t="str">
            <v/>
          </cell>
          <cell r="R254" t="str">
            <v/>
          </cell>
        </row>
        <row r="255">
          <cell r="A255">
            <v>93298</v>
          </cell>
          <cell r="B255" t="str">
            <v>海洋之泪碎片</v>
          </cell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  <cell r="O255" t="str">
            <v/>
          </cell>
          <cell r="P255" t="str">
            <v/>
          </cell>
          <cell r="Q255" t="str">
            <v/>
          </cell>
          <cell r="R255" t="str">
            <v/>
          </cell>
        </row>
        <row r="256">
          <cell r="A256">
            <v>93276</v>
          </cell>
          <cell r="B256" t="str">
            <v>壕利手表碎片</v>
          </cell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  <cell r="O256" t="str">
            <v/>
          </cell>
          <cell r="P256" t="str">
            <v/>
          </cell>
          <cell r="Q256" t="str">
            <v/>
          </cell>
          <cell r="R256" t="str">
            <v/>
          </cell>
        </row>
        <row r="257">
          <cell r="A257">
            <v>93282</v>
          </cell>
          <cell r="B257" t="str">
            <v>劳莱斯特碎片</v>
          </cell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  <cell r="O257" t="str">
            <v/>
          </cell>
          <cell r="P257" t="str">
            <v/>
          </cell>
          <cell r="Q257" t="str">
            <v/>
          </cell>
          <cell r="R257" t="str">
            <v/>
          </cell>
        </row>
        <row r="258">
          <cell r="A258">
            <v>93299</v>
          </cell>
          <cell r="B258" t="str">
            <v>房产证碎片</v>
          </cell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  <cell r="O258" t="str">
            <v/>
          </cell>
          <cell r="P258" t="str">
            <v/>
          </cell>
          <cell r="Q258" t="str">
            <v/>
          </cell>
          <cell r="R258" t="str">
            <v/>
          </cell>
        </row>
        <row r="259">
          <cell r="A259">
            <v>93291</v>
          </cell>
          <cell r="B259" t="str">
            <v>巨量金块碎片</v>
          </cell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O259" t="str">
            <v/>
          </cell>
          <cell r="P259" t="str">
            <v/>
          </cell>
          <cell r="Q259" t="str">
            <v/>
          </cell>
          <cell r="R259" t="str">
            <v/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称号"/>
      <sheetName val="称号辅助表"/>
      <sheetName val="称号估值"/>
    </sheetNames>
    <sheetDataSet>
      <sheetData sheetId="0"/>
      <sheetData sheetId="1">
        <row r="3">
          <cell r="D3">
            <v>5</v>
          </cell>
        </row>
        <row r="4">
          <cell r="D4">
            <v>5</v>
          </cell>
        </row>
        <row r="5">
          <cell r="D5">
            <v>5</v>
          </cell>
        </row>
        <row r="6">
          <cell r="D6">
            <v>5</v>
          </cell>
        </row>
        <row r="7">
          <cell r="D7">
            <v>7</v>
          </cell>
        </row>
        <row r="8">
          <cell r="D8">
            <v>5</v>
          </cell>
        </row>
        <row r="9">
          <cell r="D9">
            <v>6</v>
          </cell>
        </row>
        <row r="10">
          <cell r="D10">
            <v>4</v>
          </cell>
        </row>
        <row r="11">
          <cell r="D11">
            <v>5</v>
          </cell>
        </row>
        <row r="12">
          <cell r="D12">
            <v>6</v>
          </cell>
        </row>
        <row r="13">
          <cell r="D13">
            <v>3</v>
          </cell>
        </row>
      </sheetData>
      <sheetData sheetId="2">
        <row r="2">
          <cell r="C2">
            <v>40.883264194285957</v>
          </cell>
        </row>
        <row r="3">
          <cell r="C3">
            <v>65.526357207911119</v>
          </cell>
        </row>
        <row r="4">
          <cell r="C4">
            <v>93.895930095509812</v>
          </cell>
        </row>
        <row r="5">
          <cell r="C5">
            <v>136.84714401067484</v>
          </cell>
        </row>
        <row r="6">
          <cell r="C6">
            <v>525.2369515441618</v>
          </cell>
        </row>
        <row r="7">
          <cell r="C7">
            <v>195.7419418851112</v>
          </cell>
        </row>
        <row r="8">
          <cell r="C8">
            <v>325.83843064355233</v>
          </cell>
        </row>
        <row r="9">
          <cell r="C9">
            <v>163.11828490425933</v>
          </cell>
        </row>
        <row r="10">
          <cell r="C10">
            <v>271.53202553629359</v>
          </cell>
        </row>
        <row r="11">
          <cell r="C11">
            <v>437.69745962013485</v>
          </cell>
        </row>
        <row r="12">
          <cell r="C12">
            <v>95.032738896301993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sheetDataSet>
      <sheetData sheetId="0">
        <row r="18">
          <cell r="C18">
            <v>50</v>
          </cell>
          <cell r="E18">
            <v>0.1</v>
          </cell>
        </row>
        <row r="19">
          <cell r="C19">
            <v>500</v>
          </cell>
          <cell r="E19">
            <v>2E-3</v>
          </cell>
        </row>
        <row r="20">
          <cell r="C20">
            <v>0.1</v>
          </cell>
        </row>
        <row r="23">
          <cell r="E23">
            <v>30</v>
          </cell>
        </row>
      </sheetData>
      <sheetData sheetId="1"/>
      <sheetData sheetId="2">
        <row r="3">
          <cell r="K3">
            <v>20</v>
          </cell>
        </row>
      </sheetData>
      <sheetData sheetId="3">
        <row r="2">
          <cell r="M2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F6">
            <v>12718.926262365594</v>
          </cell>
        </row>
      </sheetData>
      <sheetData sheetId="10"/>
      <sheetData sheetId="11"/>
      <sheetData sheetId="12">
        <row r="35">
          <cell r="AI35">
            <v>0.42348703809684618</v>
          </cell>
        </row>
      </sheetData>
      <sheetData sheetId="13">
        <row r="4">
          <cell r="C4">
            <v>5</v>
          </cell>
        </row>
        <row r="6">
          <cell r="C6">
            <v>166715.03080579554</v>
          </cell>
        </row>
      </sheetData>
      <sheetData sheetId="14">
        <row r="3">
          <cell r="B3">
            <v>1000</v>
          </cell>
        </row>
        <row r="7">
          <cell r="B7">
            <v>24720220.268193729</v>
          </cell>
        </row>
      </sheetData>
      <sheetData sheetId="15">
        <row r="13">
          <cell r="C13">
            <v>10000</v>
          </cell>
        </row>
      </sheetData>
      <sheetData sheetId="16">
        <row r="7">
          <cell r="L7">
            <v>2029.2631578947369</v>
          </cell>
        </row>
      </sheetData>
      <sheetData sheetId="17">
        <row r="23">
          <cell r="K23" t="str">
            <v/>
          </cell>
        </row>
      </sheetData>
      <sheetData sheetId="18"/>
      <sheetData sheetId="19">
        <row r="1">
          <cell r="A1" t="str">
            <v>ID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马仔表"/>
      <sheetName val="D_马仔经验"/>
      <sheetName val="马仔辅助经验表"/>
      <sheetName val="马仔等级性价比"/>
      <sheetName val="D_马仔升级属性"/>
      <sheetName val="D_马仔升星灵魂石"/>
      <sheetName val="D_马仔升星属性"/>
      <sheetName val="D_马仔培养进阶属性"/>
      <sheetName val="D_马仔培养宝物"/>
      <sheetName val="D_马仔宝物"/>
      <sheetName val="价值评估"/>
      <sheetName val="D_马仔技能"/>
      <sheetName val="技能辅助表"/>
      <sheetName val="D_马仔BUF表"/>
      <sheetName val="D__马仔援护位开放"/>
      <sheetName val="D_马仔追债任务表"/>
      <sheetName val="马仔追债辅助表"/>
      <sheetName val="D_追债劫掠购买表"/>
      <sheetName val="马仔辅助表"/>
      <sheetName val="马仔培养辅助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F6">
            <v>10</v>
          </cell>
        </row>
        <row r="7">
          <cell r="F7">
            <v>30</v>
          </cell>
        </row>
        <row r="8">
          <cell r="F8">
            <v>100</v>
          </cell>
        </row>
        <row r="14">
          <cell r="F14">
            <v>2.5553552307428928</v>
          </cell>
          <cell r="G14">
            <v>980</v>
          </cell>
        </row>
        <row r="15">
          <cell r="F15">
            <v>2.5553552307428928</v>
          </cell>
          <cell r="G15">
            <v>980</v>
          </cell>
        </row>
        <row r="16">
          <cell r="F16">
            <v>2.5553552307428928</v>
          </cell>
          <cell r="G16">
            <v>980</v>
          </cell>
        </row>
        <row r="17">
          <cell r="F17">
            <v>2.5553552307428928</v>
          </cell>
          <cell r="G17">
            <v>980</v>
          </cell>
        </row>
        <row r="18">
          <cell r="F18">
            <v>2.5553552307428928</v>
          </cell>
          <cell r="G18">
            <v>980</v>
          </cell>
        </row>
        <row r="19">
          <cell r="F19">
            <v>5.1107104614857857</v>
          </cell>
          <cell r="G19">
            <v>980</v>
          </cell>
        </row>
        <row r="20">
          <cell r="F20">
            <v>5.1107104614857857</v>
          </cell>
          <cell r="G20">
            <v>980</v>
          </cell>
        </row>
        <row r="21">
          <cell r="F21">
            <v>5.1107104614857857</v>
          </cell>
          <cell r="G21">
            <v>980</v>
          </cell>
        </row>
        <row r="22">
          <cell r="F22">
            <v>10.221420922971571</v>
          </cell>
          <cell r="G22">
            <v>980</v>
          </cell>
        </row>
        <row r="23">
          <cell r="F23">
            <v>10.221420922971571</v>
          </cell>
          <cell r="G23">
            <v>980</v>
          </cell>
        </row>
        <row r="24">
          <cell r="F24">
            <v>10.221420922971571</v>
          </cell>
          <cell r="G24">
            <v>980</v>
          </cell>
        </row>
        <row r="25">
          <cell r="F25">
            <v>10.221420922971571</v>
          </cell>
          <cell r="G25">
            <v>980</v>
          </cell>
        </row>
        <row r="26">
          <cell r="F26">
            <v>10.221420922971571</v>
          </cell>
          <cell r="G26">
            <v>980</v>
          </cell>
        </row>
        <row r="27">
          <cell r="F27">
            <v>15.332131384457353</v>
          </cell>
          <cell r="G27">
            <v>980</v>
          </cell>
        </row>
        <row r="28">
          <cell r="F28">
            <v>15.332131384457353</v>
          </cell>
          <cell r="G28">
            <v>980</v>
          </cell>
        </row>
        <row r="29">
          <cell r="F29">
            <v>15.332131384457353</v>
          </cell>
          <cell r="G29">
            <v>980</v>
          </cell>
        </row>
        <row r="30">
          <cell r="F30">
            <v>5.1107104614857857</v>
          </cell>
          <cell r="G30">
            <v>980</v>
          </cell>
        </row>
        <row r="31">
          <cell r="F31">
            <v>10.221420922971571</v>
          </cell>
          <cell r="G31">
            <v>980</v>
          </cell>
        </row>
        <row r="32">
          <cell r="F32">
            <v>10.221420922971571</v>
          </cell>
          <cell r="G32">
            <v>980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装备基础数据"/>
      <sheetName val="D_装备升级表"/>
      <sheetName val="D_装备强化数据"/>
      <sheetName val="D_装备金币参考表"/>
      <sheetName val="D_装备升星数据"/>
      <sheetName val="D_装备分解表"/>
      <sheetName val="定义数据"/>
      <sheetName val="装备属性计算表"/>
      <sheetName val="强化辅助表"/>
      <sheetName val="升星辅助表"/>
      <sheetName val="升星消耗"/>
      <sheetName val="价值&amp;消耗"/>
    </sheetNames>
    <sheetDataSet>
      <sheetData sheetId="0"/>
      <sheetData sheetId="1">
        <row r="16">
          <cell r="V16">
            <v>2019.7074124618819</v>
          </cell>
          <cell r="Y16">
            <v>10</v>
          </cell>
        </row>
        <row r="17">
          <cell r="Y17">
            <v>30</v>
          </cell>
        </row>
        <row r="18">
          <cell r="Y18">
            <v>80</v>
          </cell>
        </row>
        <row r="19">
          <cell r="Y19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32">
          <cell r="R32">
            <v>50</v>
          </cell>
        </row>
      </sheetData>
      <sheetData sheetId="9">
        <row r="33">
          <cell r="U33">
            <v>50</v>
          </cell>
        </row>
      </sheetData>
      <sheetData sheetId="10"/>
      <sheetData sheetId="11">
        <row r="169">
          <cell r="X169">
            <v>200</v>
          </cell>
          <cell r="Z169">
            <v>200</v>
          </cell>
        </row>
        <row r="170">
          <cell r="X170">
            <v>1000</v>
          </cell>
          <cell r="Z170">
            <v>1000</v>
          </cell>
        </row>
        <row r="171">
          <cell r="J171">
            <v>200</v>
          </cell>
          <cell r="X171">
            <v>5000</v>
          </cell>
          <cell r="Z171">
            <v>5000</v>
          </cell>
        </row>
        <row r="172">
          <cell r="J172">
            <v>1000</v>
          </cell>
        </row>
        <row r="173">
          <cell r="J173">
            <v>5000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技能表"/>
      <sheetName val="D_技能表CD"/>
      <sheetName val="金币生产率"/>
      <sheetName val="消耗&amp;价值&amp;分析"/>
      <sheetName val="伤害参考系"/>
      <sheetName val="技能配置辅助表"/>
      <sheetName val="技能CD配置辅助表"/>
      <sheetName val="升级时间"/>
    </sheetNames>
    <sheetDataSet>
      <sheetData sheetId="0">
        <row r="15">
          <cell r="AN15">
            <v>2.5</v>
          </cell>
        </row>
        <row r="16">
          <cell r="AN16">
            <v>7724</v>
          </cell>
        </row>
      </sheetData>
      <sheetData sheetId="1">
        <row r="4">
          <cell r="T4">
            <v>0.7</v>
          </cell>
        </row>
        <row r="5">
          <cell r="T5">
            <v>30978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神秘商店概率"/>
      <sheetName val="D_神秘商店"/>
      <sheetName val="D_金币商场"/>
      <sheetName val="D_VIP商城"/>
      <sheetName val="D_红包积分商城"/>
      <sheetName val="D_金币十连抽"/>
      <sheetName val="D_钻石十连抽"/>
      <sheetName val="D_十连抽"/>
      <sheetName val="D_幸运值配置表"/>
      <sheetName val="D_十连抽幸运马仔"/>
      <sheetName val="商城刷新模拟"/>
      <sheetName val="D_十连抽价格表"/>
      <sheetName val="D_商店刷新"/>
      <sheetName val="D_点金手"/>
      <sheetName val="D_点金手概率表"/>
      <sheetName val="D_点金手计算表"/>
      <sheetName val="D_钻石商场"/>
      <sheetName val="D_装备兑换商店"/>
      <sheetName val="商城备份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K5">
            <v>30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56"/>
  <sheetViews>
    <sheetView tabSelected="1" workbookViewId="0">
      <pane xSplit="7" ySplit="1" topLeftCell="H131" activePane="bottomRight" state="frozenSplit"/>
      <selection pane="topRight" activeCell="H1" sqref="H1"/>
      <selection pane="bottomLeft" activeCell="A2" sqref="A2"/>
      <selection pane="bottomRight" activeCell="F142" sqref="F142"/>
    </sheetView>
  </sheetViews>
  <sheetFormatPr defaultRowHeight="13.5" x14ac:dyDescent="0.15"/>
  <cols>
    <col min="2" max="2" width="18.375" bestFit="1" customWidth="1"/>
    <col min="3" max="3" width="9.5" bestFit="1" customWidth="1"/>
    <col min="4" max="6" width="11" bestFit="1" customWidth="1"/>
    <col min="7" max="7" width="11.625" bestFit="1" customWidth="1"/>
    <col min="8" max="8" width="13.875" bestFit="1" customWidth="1"/>
    <col min="9" max="9" width="11.75" bestFit="1" customWidth="1"/>
    <col min="10" max="10" width="13.875" bestFit="1" customWidth="1"/>
    <col min="11" max="11" width="16.125" bestFit="1" customWidth="1"/>
    <col min="12" max="12" width="11.75" bestFit="1" customWidth="1"/>
    <col min="13" max="13" width="7.5" bestFit="1" customWidth="1"/>
    <col min="14" max="14" width="9.5" bestFit="1" customWidth="1"/>
    <col min="16" max="16" width="10.5" bestFit="1" customWidth="1"/>
    <col min="17" max="17" width="68" bestFit="1" customWidth="1"/>
  </cols>
  <sheetData>
    <row r="1" spans="1:17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15">
      <c r="A2">
        <v>91001</v>
      </c>
      <c r="B2" t="s">
        <v>525</v>
      </c>
      <c r="C2">
        <v>1</v>
      </c>
      <c r="D2">
        <v>1</v>
      </c>
      <c r="E2">
        <v>300</v>
      </c>
      <c r="F2">
        <v>0</v>
      </c>
      <c r="G2">
        <v>0</v>
      </c>
      <c r="J2">
        <v>0</v>
      </c>
      <c r="K2">
        <v>0</v>
      </c>
      <c r="L2">
        <v>0</v>
      </c>
      <c r="N2">
        <v>999</v>
      </c>
      <c r="O2">
        <v>-1</v>
      </c>
      <c r="P2" t="s">
        <v>47</v>
      </c>
      <c r="Q2" t="s">
        <v>402</v>
      </c>
    </row>
    <row r="3" spans="1:17" x14ac:dyDescent="0.15">
      <c r="A3">
        <v>81002</v>
      </c>
      <c r="B3" t="s">
        <v>403</v>
      </c>
      <c r="C3">
        <v>2</v>
      </c>
      <c r="D3">
        <v>1</v>
      </c>
      <c r="E3">
        <v>100</v>
      </c>
      <c r="F3">
        <v>0</v>
      </c>
      <c r="G3">
        <v>0</v>
      </c>
      <c r="J3">
        <v>0</v>
      </c>
      <c r="K3">
        <v>0</v>
      </c>
      <c r="L3">
        <v>0</v>
      </c>
      <c r="N3">
        <v>999</v>
      </c>
      <c r="O3">
        <v>0</v>
      </c>
      <c r="P3" t="s">
        <v>17</v>
      </c>
      <c r="Q3" t="s">
        <v>404</v>
      </c>
    </row>
    <row r="4" spans="1:17" x14ac:dyDescent="0.15">
      <c r="A4">
        <v>81003</v>
      </c>
      <c r="B4" t="s">
        <v>405</v>
      </c>
      <c r="C4">
        <v>3</v>
      </c>
      <c r="D4">
        <v>1</v>
      </c>
      <c r="E4">
        <v>4001</v>
      </c>
      <c r="F4">
        <v>0</v>
      </c>
      <c r="G4">
        <v>0</v>
      </c>
      <c r="J4">
        <v>0</v>
      </c>
      <c r="K4">
        <v>0</v>
      </c>
      <c r="L4">
        <v>0</v>
      </c>
      <c r="N4">
        <v>99</v>
      </c>
      <c r="O4">
        <v>2</v>
      </c>
      <c r="P4" t="s">
        <v>38</v>
      </c>
      <c r="Q4" t="s">
        <v>406</v>
      </c>
    </row>
    <row r="5" spans="1:17" x14ac:dyDescent="0.15">
      <c r="A5">
        <v>81010</v>
      </c>
      <c r="B5" t="s">
        <v>407</v>
      </c>
      <c r="C5">
        <v>4</v>
      </c>
      <c r="D5">
        <v>1</v>
      </c>
      <c r="E5">
        <v>4</v>
      </c>
      <c r="F5">
        <v>0</v>
      </c>
      <c r="G5">
        <v>0</v>
      </c>
      <c r="J5">
        <v>0</v>
      </c>
      <c r="K5">
        <v>0</v>
      </c>
      <c r="L5">
        <v>0</v>
      </c>
      <c r="N5">
        <v>1</v>
      </c>
      <c r="O5">
        <v>1</v>
      </c>
      <c r="P5" t="s">
        <v>48</v>
      </c>
      <c r="Q5" t="s">
        <v>750</v>
      </c>
    </row>
    <row r="6" spans="1:17" x14ac:dyDescent="0.15">
      <c r="A6">
        <v>82001</v>
      </c>
      <c r="B6" t="s">
        <v>18</v>
      </c>
      <c r="C6">
        <v>0</v>
      </c>
      <c r="D6">
        <v>0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100</v>
      </c>
      <c r="N6">
        <v>999</v>
      </c>
      <c r="O6">
        <v>2</v>
      </c>
      <c r="P6" t="s">
        <v>19</v>
      </c>
      <c r="Q6" t="s">
        <v>409</v>
      </c>
    </row>
    <row r="7" spans="1:17" x14ac:dyDescent="0.15">
      <c r="A7">
        <v>83001</v>
      </c>
      <c r="B7" t="s">
        <v>410</v>
      </c>
      <c r="C7">
        <v>2</v>
      </c>
      <c r="D7">
        <v>1</v>
      </c>
      <c r="E7">
        <v>10000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N7">
        <v>999</v>
      </c>
      <c r="O7">
        <v>1</v>
      </c>
      <c r="P7" t="s">
        <v>17</v>
      </c>
      <c r="Q7" t="s">
        <v>411</v>
      </c>
    </row>
    <row r="8" spans="1:17" x14ac:dyDescent="0.15">
      <c r="A8">
        <v>83002</v>
      </c>
      <c r="B8" t="s">
        <v>751</v>
      </c>
      <c r="C8">
        <v>2</v>
      </c>
      <c r="D8">
        <v>0</v>
      </c>
      <c r="F8">
        <v>0</v>
      </c>
      <c r="G8">
        <v>1</v>
      </c>
      <c r="H8">
        <v>2</v>
      </c>
      <c r="I8">
        <v>1</v>
      </c>
      <c r="J8">
        <v>0</v>
      </c>
      <c r="K8">
        <v>1</v>
      </c>
      <c r="L8">
        <v>100</v>
      </c>
      <c r="N8">
        <v>999</v>
      </c>
      <c r="O8">
        <v>-1</v>
      </c>
      <c r="P8" t="s">
        <v>20</v>
      </c>
      <c r="Q8" t="s">
        <v>413</v>
      </c>
    </row>
    <row r="9" spans="1:17" x14ac:dyDescent="0.15">
      <c r="A9">
        <v>83003</v>
      </c>
      <c r="B9" t="s">
        <v>414</v>
      </c>
      <c r="C9">
        <v>12</v>
      </c>
      <c r="D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f>INT(VLOOKUP(A9,道具表价值评估!A:G,7,0)/5)</f>
        <v>24</v>
      </c>
      <c r="M9">
        <v>51</v>
      </c>
      <c r="N9">
        <v>1</v>
      </c>
      <c r="O9">
        <v>0</v>
      </c>
      <c r="P9" t="s">
        <v>21</v>
      </c>
      <c r="Q9" t="s">
        <v>752</v>
      </c>
    </row>
    <row r="10" spans="1:17" x14ac:dyDescent="0.15">
      <c r="A10">
        <v>83004</v>
      </c>
      <c r="B10" t="s">
        <v>416</v>
      </c>
      <c r="C10">
        <v>12</v>
      </c>
      <c r="D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2</v>
      </c>
      <c r="L10">
        <f>INT(VLOOKUP(A10,道具表价值评估!A:G,7,0)/5)</f>
        <v>39</v>
      </c>
      <c r="M10">
        <v>52</v>
      </c>
      <c r="N10">
        <v>1</v>
      </c>
      <c r="O10">
        <v>0</v>
      </c>
      <c r="P10" t="s">
        <v>21</v>
      </c>
      <c r="Q10" t="s">
        <v>753</v>
      </c>
    </row>
    <row r="11" spans="1:17" x14ac:dyDescent="0.15">
      <c r="A11">
        <v>83005</v>
      </c>
      <c r="B11" t="s">
        <v>264</v>
      </c>
      <c r="C11">
        <v>12</v>
      </c>
      <c r="D11">
        <v>1</v>
      </c>
      <c r="G11">
        <v>0</v>
      </c>
      <c r="H11">
        <v>0</v>
      </c>
      <c r="I11">
        <v>0</v>
      </c>
      <c r="J11">
        <v>0</v>
      </c>
      <c r="K11">
        <v>2</v>
      </c>
      <c r="L11">
        <f>INT(VLOOKUP(A11,道具表价值评估!A:G,7,0)/5)</f>
        <v>56</v>
      </c>
      <c r="M11">
        <v>53</v>
      </c>
      <c r="N11">
        <v>1</v>
      </c>
      <c r="O11">
        <v>1</v>
      </c>
      <c r="P11" t="s">
        <v>21</v>
      </c>
      <c r="Q11" t="s">
        <v>754</v>
      </c>
    </row>
    <row r="12" spans="1:17" x14ac:dyDescent="0.15">
      <c r="A12">
        <v>83006</v>
      </c>
      <c r="B12" t="s">
        <v>419</v>
      </c>
      <c r="C12">
        <v>12</v>
      </c>
      <c r="D12">
        <v>1</v>
      </c>
      <c r="G12">
        <v>0</v>
      </c>
      <c r="H12">
        <v>0</v>
      </c>
      <c r="I12">
        <v>0</v>
      </c>
      <c r="J12">
        <v>0</v>
      </c>
      <c r="K12">
        <v>2</v>
      </c>
      <c r="L12">
        <f>INT(VLOOKUP(A12,道具表价值评估!A:G,7,0)/5)</f>
        <v>82</v>
      </c>
      <c r="M12">
        <v>54</v>
      </c>
      <c r="N12">
        <v>1</v>
      </c>
      <c r="O12">
        <v>1</v>
      </c>
      <c r="P12" t="s">
        <v>21</v>
      </c>
      <c r="Q12" t="s">
        <v>755</v>
      </c>
    </row>
    <row r="13" spans="1:17" x14ac:dyDescent="0.15">
      <c r="A13">
        <v>83007</v>
      </c>
      <c r="B13" t="s">
        <v>421</v>
      </c>
      <c r="C13">
        <v>12</v>
      </c>
      <c r="D13">
        <v>1</v>
      </c>
      <c r="G13">
        <v>0</v>
      </c>
      <c r="H13">
        <v>0</v>
      </c>
      <c r="I13">
        <v>0</v>
      </c>
      <c r="J13">
        <v>0</v>
      </c>
      <c r="K13">
        <v>2</v>
      </c>
      <c r="L13">
        <f>INT(VLOOKUP(A13,道具表价值评估!A:G,7,0)/5)</f>
        <v>420</v>
      </c>
      <c r="M13">
        <v>55</v>
      </c>
      <c r="N13">
        <v>1</v>
      </c>
      <c r="O13">
        <v>2</v>
      </c>
      <c r="P13" t="s">
        <v>21</v>
      </c>
      <c r="Q13" t="s">
        <v>756</v>
      </c>
    </row>
    <row r="14" spans="1:17" x14ac:dyDescent="0.15">
      <c r="A14">
        <v>83008</v>
      </c>
      <c r="B14" t="s">
        <v>423</v>
      </c>
      <c r="C14">
        <v>12</v>
      </c>
      <c r="D14">
        <v>1</v>
      </c>
      <c r="G14">
        <v>0</v>
      </c>
      <c r="H14">
        <v>0</v>
      </c>
      <c r="I14">
        <v>0</v>
      </c>
      <c r="J14">
        <v>0</v>
      </c>
      <c r="K14">
        <v>2</v>
      </c>
      <c r="L14">
        <f>INT(VLOOKUP(A14,道具表价值评估!A:G,7,0)/5)</f>
        <v>117</v>
      </c>
      <c r="M14">
        <v>56</v>
      </c>
      <c r="N14">
        <v>1</v>
      </c>
      <c r="O14">
        <v>2</v>
      </c>
      <c r="P14" t="s">
        <v>21</v>
      </c>
      <c r="Q14" t="s">
        <v>757</v>
      </c>
    </row>
    <row r="15" spans="1:17" x14ac:dyDescent="0.15">
      <c r="A15">
        <v>83009</v>
      </c>
      <c r="B15" t="s">
        <v>265</v>
      </c>
      <c r="C15">
        <v>12</v>
      </c>
      <c r="D15">
        <v>1</v>
      </c>
      <c r="G15">
        <v>0</v>
      </c>
      <c r="H15">
        <v>0</v>
      </c>
      <c r="I15">
        <v>0</v>
      </c>
      <c r="J15">
        <v>0</v>
      </c>
      <c r="K15">
        <v>2</v>
      </c>
      <c r="L15">
        <f>INT(VLOOKUP(A15,道具表价值评估!A:G,7,0)/5)</f>
        <v>228</v>
      </c>
      <c r="M15">
        <v>57</v>
      </c>
      <c r="N15">
        <v>1</v>
      </c>
      <c r="O15">
        <v>2</v>
      </c>
      <c r="P15" t="s">
        <v>21</v>
      </c>
      <c r="Q15" t="s">
        <v>758</v>
      </c>
    </row>
    <row r="16" spans="1:17" x14ac:dyDescent="0.15">
      <c r="A16">
        <v>83010</v>
      </c>
      <c r="B16" t="s">
        <v>22</v>
      </c>
      <c r="C16">
        <v>12</v>
      </c>
      <c r="D16">
        <v>1</v>
      </c>
      <c r="G16">
        <v>0</v>
      </c>
      <c r="H16">
        <v>0</v>
      </c>
      <c r="I16">
        <v>0</v>
      </c>
      <c r="J16">
        <v>0</v>
      </c>
      <c r="K16">
        <v>2</v>
      </c>
      <c r="L16">
        <f>INT(VLOOKUP(A16,道具表价值评估!A:G,7,0)/5)</f>
        <v>81</v>
      </c>
      <c r="M16">
        <v>58</v>
      </c>
      <c r="N16">
        <v>1</v>
      </c>
      <c r="O16">
        <v>2</v>
      </c>
      <c r="P16" t="s">
        <v>21</v>
      </c>
      <c r="Q16" t="s">
        <v>759</v>
      </c>
    </row>
    <row r="17" spans="1:17" x14ac:dyDescent="0.15">
      <c r="A17">
        <v>83011</v>
      </c>
      <c r="B17" t="s">
        <v>760</v>
      </c>
      <c r="C17">
        <v>12</v>
      </c>
      <c r="D17">
        <v>1</v>
      </c>
      <c r="G17">
        <v>0</v>
      </c>
      <c r="H17">
        <v>0</v>
      </c>
      <c r="I17">
        <v>0</v>
      </c>
      <c r="J17">
        <v>0</v>
      </c>
      <c r="K17">
        <v>2</v>
      </c>
      <c r="L17">
        <f>INT(VLOOKUP(A17,道具表价值评估!A:G,7,0)/5)</f>
        <v>162</v>
      </c>
      <c r="M17">
        <v>59</v>
      </c>
      <c r="N17">
        <v>1</v>
      </c>
      <c r="O17">
        <v>2</v>
      </c>
      <c r="P17" t="s">
        <v>21</v>
      </c>
      <c r="Q17" t="s">
        <v>761</v>
      </c>
    </row>
    <row r="18" spans="1:17" x14ac:dyDescent="0.15">
      <c r="A18">
        <v>83012</v>
      </c>
      <c r="B18" t="s">
        <v>429</v>
      </c>
      <c r="C18">
        <v>12</v>
      </c>
      <c r="D18">
        <v>1</v>
      </c>
      <c r="G18">
        <v>0</v>
      </c>
      <c r="H18">
        <v>0</v>
      </c>
      <c r="I18">
        <v>0</v>
      </c>
      <c r="J18">
        <v>0</v>
      </c>
      <c r="K18">
        <v>2</v>
      </c>
      <c r="L18">
        <f>INT(VLOOKUP(A18,道具表价值评估!A:G,7,0)/5)</f>
        <v>306</v>
      </c>
      <c r="M18">
        <v>60</v>
      </c>
      <c r="N18">
        <v>1</v>
      </c>
      <c r="O18">
        <v>2</v>
      </c>
      <c r="P18" t="s">
        <v>21</v>
      </c>
      <c r="Q18" t="s">
        <v>762</v>
      </c>
    </row>
    <row r="19" spans="1:17" x14ac:dyDescent="0.15">
      <c r="A19">
        <v>83013</v>
      </c>
      <c r="B19" t="s">
        <v>427</v>
      </c>
      <c r="C19">
        <v>12</v>
      </c>
      <c r="D19">
        <v>1</v>
      </c>
      <c r="G19">
        <v>0</v>
      </c>
      <c r="H19">
        <v>0</v>
      </c>
      <c r="I19">
        <v>0</v>
      </c>
      <c r="J19">
        <v>0</v>
      </c>
      <c r="K19">
        <v>2</v>
      </c>
      <c r="L19">
        <f>INT(VLOOKUP(A19,道具表价值评估!A:G,7,0)/5)</f>
        <v>28</v>
      </c>
      <c r="M19">
        <v>61</v>
      </c>
      <c r="N19">
        <v>1</v>
      </c>
      <c r="O19">
        <v>2</v>
      </c>
      <c r="P19" t="s">
        <v>21</v>
      </c>
      <c r="Q19" t="s">
        <v>761</v>
      </c>
    </row>
    <row r="20" spans="1:17" x14ac:dyDescent="0.15">
      <c r="A20">
        <v>83014</v>
      </c>
      <c r="B20" t="s">
        <v>429</v>
      </c>
      <c r="C20">
        <v>12</v>
      </c>
      <c r="D20">
        <v>1</v>
      </c>
      <c r="G20">
        <v>0</v>
      </c>
      <c r="H20">
        <v>0</v>
      </c>
      <c r="I20">
        <v>0</v>
      </c>
      <c r="J20">
        <v>0</v>
      </c>
      <c r="K20">
        <v>2</v>
      </c>
      <c r="L20">
        <f>INT(VLOOKUP(A20,道具表价值评估!A:G,7,0)/5)</f>
        <v>0</v>
      </c>
      <c r="M20">
        <v>62</v>
      </c>
      <c r="N20">
        <v>1</v>
      </c>
      <c r="O20">
        <v>3</v>
      </c>
      <c r="P20" t="s">
        <v>21</v>
      </c>
      <c r="Q20" t="s">
        <v>762</v>
      </c>
    </row>
    <row r="21" spans="1:17" x14ac:dyDescent="0.15">
      <c r="A21">
        <v>83015</v>
      </c>
      <c r="B21" t="s">
        <v>763</v>
      </c>
      <c r="C21">
        <v>12</v>
      </c>
      <c r="D21">
        <v>1</v>
      </c>
      <c r="G21">
        <v>0</v>
      </c>
      <c r="H21">
        <v>0</v>
      </c>
      <c r="I21">
        <v>0</v>
      </c>
      <c r="J21">
        <v>0</v>
      </c>
      <c r="K21">
        <v>2</v>
      </c>
      <c r="L21">
        <f>INT(VLOOKUP(A21,道具表价值评估!A:G,7,0)/5)</f>
        <v>0</v>
      </c>
      <c r="M21">
        <v>63</v>
      </c>
      <c r="N21">
        <v>1</v>
      </c>
      <c r="O21">
        <v>3</v>
      </c>
      <c r="P21" t="s">
        <v>21</v>
      </c>
      <c r="Q21" t="s">
        <v>764</v>
      </c>
    </row>
    <row r="22" spans="1:17" x14ac:dyDescent="0.15">
      <c r="A22">
        <v>83016</v>
      </c>
      <c r="B22" t="s">
        <v>23</v>
      </c>
      <c r="C22">
        <v>12</v>
      </c>
      <c r="D22">
        <v>1</v>
      </c>
      <c r="G22">
        <v>0</v>
      </c>
      <c r="H22">
        <v>0</v>
      </c>
      <c r="I22">
        <v>0</v>
      </c>
      <c r="J22">
        <v>0</v>
      </c>
      <c r="K22">
        <v>2</v>
      </c>
      <c r="L22">
        <f>INT(VLOOKUP(A22,道具表价值评估!A:G,7,0)/5)</f>
        <v>0</v>
      </c>
      <c r="M22">
        <v>64</v>
      </c>
      <c r="N22">
        <v>1</v>
      </c>
      <c r="O22">
        <v>3</v>
      </c>
      <c r="P22" t="s">
        <v>21</v>
      </c>
      <c r="Q22" t="s">
        <v>765</v>
      </c>
    </row>
    <row r="23" spans="1:17" x14ac:dyDescent="0.15">
      <c r="A23">
        <v>83017</v>
      </c>
      <c r="B23" t="s">
        <v>434</v>
      </c>
      <c r="C23">
        <v>12</v>
      </c>
      <c r="D23">
        <v>1</v>
      </c>
      <c r="G23">
        <v>0</v>
      </c>
      <c r="H23">
        <v>0</v>
      </c>
      <c r="I23">
        <v>0</v>
      </c>
      <c r="J23">
        <v>0</v>
      </c>
      <c r="K23">
        <v>2</v>
      </c>
      <c r="L23">
        <f>INT(VLOOKUP(A23,道具表价值评估!A:G,7,0)/5)</f>
        <v>0</v>
      </c>
      <c r="M23">
        <v>65</v>
      </c>
      <c r="N23">
        <v>1</v>
      </c>
      <c r="O23">
        <v>3</v>
      </c>
      <c r="P23" t="s">
        <v>21</v>
      </c>
      <c r="Q23" t="s">
        <v>766</v>
      </c>
    </row>
    <row r="24" spans="1:17" x14ac:dyDescent="0.15">
      <c r="A24">
        <v>83018</v>
      </c>
      <c r="B24" t="s">
        <v>436</v>
      </c>
      <c r="C24">
        <v>12</v>
      </c>
      <c r="D24">
        <v>1</v>
      </c>
      <c r="G24">
        <v>0</v>
      </c>
      <c r="H24">
        <v>0</v>
      </c>
      <c r="I24">
        <v>0</v>
      </c>
      <c r="J24">
        <v>0</v>
      </c>
      <c r="K24">
        <v>2</v>
      </c>
      <c r="L24">
        <f>INT(VLOOKUP(A24,道具表价值评估!A:G,7,0)/5)</f>
        <v>0</v>
      </c>
      <c r="M24">
        <v>66</v>
      </c>
      <c r="N24">
        <v>1</v>
      </c>
      <c r="O24">
        <v>4</v>
      </c>
      <c r="P24" t="s">
        <v>21</v>
      </c>
      <c r="Q24" t="s">
        <v>767</v>
      </c>
    </row>
    <row r="25" spans="1:17" x14ac:dyDescent="0.15">
      <c r="A25">
        <v>83019</v>
      </c>
      <c r="B25" t="s">
        <v>438</v>
      </c>
      <c r="C25">
        <v>12</v>
      </c>
      <c r="D25">
        <v>1</v>
      </c>
      <c r="G25">
        <v>0</v>
      </c>
      <c r="H25">
        <v>0</v>
      </c>
      <c r="I25">
        <v>0</v>
      </c>
      <c r="J25">
        <v>0</v>
      </c>
      <c r="K25">
        <v>2</v>
      </c>
      <c r="L25">
        <f>INT(VLOOKUP(A25,道具表价值评估!A:G,7,0)/5)</f>
        <v>0</v>
      </c>
      <c r="M25">
        <v>67</v>
      </c>
      <c r="N25">
        <v>1</v>
      </c>
      <c r="O25">
        <v>4</v>
      </c>
      <c r="P25" t="s">
        <v>21</v>
      </c>
      <c r="Q25" t="s">
        <v>768</v>
      </c>
    </row>
    <row r="26" spans="1:17" x14ac:dyDescent="0.15">
      <c r="A26">
        <v>83020</v>
      </c>
      <c r="B26" t="s">
        <v>440</v>
      </c>
      <c r="C26">
        <v>12</v>
      </c>
      <c r="D26">
        <v>1</v>
      </c>
      <c r="G26">
        <v>0</v>
      </c>
      <c r="H26">
        <v>0</v>
      </c>
      <c r="I26">
        <v>0</v>
      </c>
      <c r="J26">
        <v>0</v>
      </c>
      <c r="K26">
        <v>2</v>
      </c>
      <c r="L26">
        <f>INT(VLOOKUP(A26,道具表价值评估!A:G,7,0)/5)</f>
        <v>0</v>
      </c>
      <c r="M26">
        <v>68</v>
      </c>
      <c r="N26">
        <v>1</v>
      </c>
      <c r="O26">
        <v>4</v>
      </c>
      <c r="P26" t="s">
        <v>21</v>
      </c>
      <c r="Q26" t="s">
        <v>769</v>
      </c>
    </row>
    <row r="27" spans="1:17" x14ac:dyDescent="0.15">
      <c r="A27">
        <v>83021</v>
      </c>
      <c r="B27" t="s">
        <v>24</v>
      </c>
      <c r="C27">
        <v>12</v>
      </c>
      <c r="D27">
        <v>1</v>
      </c>
      <c r="G27">
        <v>0</v>
      </c>
      <c r="H27">
        <v>0</v>
      </c>
      <c r="I27">
        <v>0</v>
      </c>
      <c r="J27">
        <v>0</v>
      </c>
      <c r="K27">
        <v>2</v>
      </c>
      <c r="L27">
        <f>INT(VLOOKUP(A27,道具表价值评估!A:G,7,0)/5)</f>
        <v>0</v>
      </c>
      <c r="M27">
        <v>69</v>
      </c>
      <c r="N27">
        <v>1</v>
      </c>
      <c r="O27">
        <v>4</v>
      </c>
      <c r="P27" t="s">
        <v>21</v>
      </c>
      <c r="Q27" t="s">
        <v>770</v>
      </c>
    </row>
    <row r="28" spans="1:17" x14ac:dyDescent="0.15">
      <c r="A28">
        <v>83022</v>
      </c>
      <c r="B28" t="s">
        <v>443</v>
      </c>
      <c r="C28">
        <v>12</v>
      </c>
      <c r="D28">
        <v>1</v>
      </c>
      <c r="G28">
        <v>0</v>
      </c>
      <c r="H28">
        <v>0</v>
      </c>
      <c r="I28">
        <v>0</v>
      </c>
      <c r="J28">
        <v>0</v>
      </c>
      <c r="K28">
        <v>2</v>
      </c>
      <c r="L28">
        <f>INT(VLOOKUP(A28,道具表价值评估!A:G,7,0)/5)</f>
        <v>0</v>
      </c>
      <c r="M28">
        <v>70</v>
      </c>
      <c r="N28">
        <v>1</v>
      </c>
      <c r="O28">
        <v>4</v>
      </c>
      <c r="P28" t="s">
        <v>21</v>
      </c>
      <c r="Q28" t="s">
        <v>771</v>
      </c>
    </row>
    <row r="29" spans="1:17" x14ac:dyDescent="0.15">
      <c r="A29">
        <v>83023</v>
      </c>
      <c r="B29" t="s">
        <v>861</v>
      </c>
      <c r="C29">
        <v>12</v>
      </c>
      <c r="D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91</v>
      </c>
      <c r="N29">
        <v>1</v>
      </c>
      <c r="O29">
        <v>2</v>
      </c>
      <c r="P29" t="s">
        <v>862</v>
      </c>
      <c r="Q29" t="s">
        <v>863</v>
      </c>
    </row>
    <row r="30" spans="1:17" x14ac:dyDescent="0.15">
      <c r="A30">
        <v>83103</v>
      </c>
      <c r="B30" t="s">
        <v>772</v>
      </c>
      <c r="C30">
        <v>13</v>
      </c>
      <c r="D30">
        <v>5</v>
      </c>
      <c r="E30">
        <v>72</v>
      </c>
      <c r="F30">
        <v>3</v>
      </c>
      <c r="G30">
        <v>0</v>
      </c>
      <c r="H30">
        <v>0</v>
      </c>
      <c r="I30">
        <v>0</v>
      </c>
      <c r="J30">
        <v>0</v>
      </c>
      <c r="K30">
        <v>2</v>
      </c>
      <c r="L30">
        <f>INT(VLOOKUP(A30,道具表价值评估!A:G,7,0)/5)</f>
        <v>12</v>
      </c>
      <c r="M30">
        <v>71</v>
      </c>
      <c r="N30">
        <v>1</v>
      </c>
      <c r="O30">
        <v>0</v>
      </c>
      <c r="P30" t="s">
        <v>21</v>
      </c>
      <c r="Q30" t="s">
        <v>773</v>
      </c>
    </row>
    <row r="31" spans="1:17" x14ac:dyDescent="0.15">
      <c r="A31">
        <v>83104</v>
      </c>
      <c r="B31" t="s">
        <v>774</v>
      </c>
      <c r="C31">
        <v>13</v>
      </c>
      <c r="D31">
        <v>5</v>
      </c>
      <c r="E31">
        <v>72</v>
      </c>
      <c r="F31">
        <v>3</v>
      </c>
      <c r="G31">
        <v>0</v>
      </c>
      <c r="H31">
        <v>0</v>
      </c>
      <c r="I31">
        <v>0</v>
      </c>
      <c r="J31">
        <v>0</v>
      </c>
      <c r="K31">
        <v>2</v>
      </c>
      <c r="L31">
        <f>INT(VLOOKUP(A31,道具表价值评估!A:G,7,0)/5)</f>
        <v>19</v>
      </c>
      <c r="M31">
        <v>72</v>
      </c>
      <c r="N31">
        <v>1</v>
      </c>
      <c r="O31">
        <v>0</v>
      </c>
      <c r="P31" t="s">
        <v>21</v>
      </c>
      <c r="Q31" t="s">
        <v>775</v>
      </c>
    </row>
    <row r="32" spans="1:17" x14ac:dyDescent="0.15">
      <c r="A32">
        <v>83105</v>
      </c>
      <c r="B32" t="s">
        <v>266</v>
      </c>
      <c r="C32">
        <v>13</v>
      </c>
      <c r="D32">
        <v>5</v>
      </c>
      <c r="E32">
        <v>72</v>
      </c>
      <c r="F32">
        <v>3</v>
      </c>
      <c r="G32">
        <v>0</v>
      </c>
      <c r="H32">
        <v>0</v>
      </c>
      <c r="I32">
        <v>0</v>
      </c>
      <c r="J32">
        <v>0</v>
      </c>
      <c r="K32">
        <v>2</v>
      </c>
      <c r="L32">
        <f>INT(VLOOKUP(A32,道具表价值评估!A:G,7,0)/5)</f>
        <v>28</v>
      </c>
      <c r="M32">
        <v>73</v>
      </c>
      <c r="N32">
        <v>1</v>
      </c>
      <c r="O32">
        <v>1</v>
      </c>
      <c r="P32" t="s">
        <v>21</v>
      </c>
      <c r="Q32" t="s">
        <v>776</v>
      </c>
    </row>
    <row r="33" spans="1:17" x14ac:dyDescent="0.15">
      <c r="A33">
        <v>83106</v>
      </c>
      <c r="B33" t="s">
        <v>777</v>
      </c>
      <c r="C33">
        <v>13</v>
      </c>
      <c r="D33">
        <v>5</v>
      </c>
      <c r="E33">
        <v>72</v>
      </c>
      <c r="F33">
        <v>3</v>
      </c>
      <c r="G33">
        <v>0</v>
      </c>
      <c r="H33">
        <v>0</v>
      </c>
      <c r="I33">
        <v>0</v>
      </c>
      <c r="J33">
        <v>0</v>
      </c>
      <c r="K33">
        <v>2</v>
      </c>
      <c r="L33">
        <f>INT(VLOOKUP(A33,道具表价值评估!A:G,7,0)/5)</f>
        <v>41</v>
      </c>
      <c r="M33">
        <v>74</v>
      </c>
      <c r="N33">
        <v>1</v>
      </c>
      <c r="O33">
        <v>1</v>
      </c>
      <c r="P33" t="s">
        <v>21</v>
      </c>
      <c r="Q33" t="s">
        <v>778</v>
      </c>
    </row>
    <row r="34" spans="1:17" x14ac:dyDescent="0.15">
      <c r="A34">
        <v>83107</v>
      </c>
      <c r="B34" t="s">
        <v>779</v>
      </c>
      <c r="C34">
        <v>13</v>
      </c>
      <c r="D34">
        <v>5</v>
      </c>
      <c r="E34">
        <v>72</v>
      </c>
      <c r="F34">
        <v>3</v>
      </c>
      <c r="G34">
        <v>0</v>
      </c>
      <c r="H34">
        <v>0</v>
      </c>
      <c r="I34">
        <v>0</v>
      </c>
      <c r="J34">
        <v>0</v>
      </c>
      <c r="K34">
        <v>2</v>
      </c>
      <c r="L34">
        <f>INT(VLOOKUP(A34,道具表价值评估!A:G,7,0)/5)</f>
        <v>210</v>
      </c>
      <c r="M34">
        <v>75</v>
      </c>
      <c r="N34">
        <v>1</v>
      </c>
      <c r="O34">
        <v>2</v>
      </c>
      <c r="P34" t="s">
        <v>21</v>
      </c>
      <c r="Q34" t="s">
        <v>780</v>
      </c>
    </row>
    <row r="35" spans="1:17" x14ac:dyDescent="0.15">
      <c r="A35">
        <v>83108</v>
      </c>
      <c r="B35" t="s">
        <v>781</v>
      </c>
      <c r="C35">
        <v>13</v>
      </c>
      <c r="D35">
        <v>5</v>
      </c>
      <c r="E35">
        <v>72</v>
      </c>
      <c r="F35">
        <v>3</v>
      </c>
      <c r="G35">
        <v>0</v>
      </c>
      <c r="H35">
        <v>0</v>
      </c>
      <c r="I35">
        <v>0</v>
      </c>
      <c r="J35">
        <v>0</v>
      </c>
      <c r="K35">
        <v>2</v>
      </c>
      <c r="L35">
        <f>INT(VLOOKUP(A35,道具表价值评估!A:G,7,0)/5)</f>
        <v>58</v>
      </c>
      <c r="M35">
        <v>76</v>
      </c>
      <c r="N35">
        <v>1</v>
      </c>
      <c r="O35">
        <v>2</v>
      </c>
      <c r="P35" t="s">
        <v>21</v>
      </c>
      <c r="Q35" t="s">
        <v>782</v>
      </c>
    </row>
    <row r="36" spans="1:17" x14ac:dyDescent="0.15">
      <c r="A36">
        <v>83109</v>
      </c>
      <c r="B36" t="s">
        <v>267</v>
      </c>
      <c r="C36">
        <v>13</v>
      </c>
      <c r="D36">
        <v>5</v>
      </c>
      <c r="E36">
        <v>72</v>
      </c>
      <c r="F36">
        <v>3</v>
      </c>
      <c r="G36">
        <v>0</v>
      </c>
      <c r="H36">
        <v>0</v>
      </c>
      <c r="I36">
        <v>0</v>
      </c>
      <c r="J36">
        <v>0</v>
      </c>
      <c r="K36">
        <v>2</v>
      </c>
      <c r="L36">
        <f>INT(VLOOKUP(A36,道具表价值评估!A:G,7,0)/5)</f>
        <v>114</v>
      </c>
      <c r="M36">
        <v>77</v>
      </c>
      <c r="N36">
        <v>1</v>
      </c>
      <c r="O36">
        <v>2</v>
      </c>
      <c r="P36" t="s">
        <v>21</v>
      </c>
      <c r="Q36" t="s">
        <v>783</v>
      </c>
    </row>
    <row r="37" spans="1:17" x14ac:dyDescent="0.15">
      <c r="A37">
        <v>83110</v>
      </c>
      <c r="B37" t="s">
        <v>268</v>
      </c>
      <c r="C37">
        <v>13</v>
      </c>
      <c r="D37">
        <v>5</v>
      </c>
      <c r="E37">
        <v>72</v>
      </c>
      <c r="F37">
        <v>3</v>
      </c>
      <c r="G37">
        <v>0</v>
      </c>
      <c r="H37">
        <v>0</v>
      </c>
      <c r="I37">
        <v>0</v>
      </c>
      <c r="J37">
        <v>0</v>
      </c>
      <c r="K37">
        <v>2</v>
      </c>
      <c r="L37">
        <f>INT(VLOOKUP(A37,道具表价值评估!A:G,7,0)/5)</f>
        <v>40</v>
      </c>
      <c r="M37">
        <v>78</v>
      </c>
      <c r="N37">
        <v>1</v>
      </c>
      <c r="O37">
        <v>2</v>
      </c>
      <c r="P37" t="s">
        <v>21</v>
      </c>
      <c r="Q37" t="s">
        <v>784</v>
      </c>
    </row>
    <row r="38" spans="1:17" x14ac:dyDescent="0.15">
      <c r="A38">
        <v>83111</v>
      </c>
      <c r="B38" t="s">
        <v>785</v>
      </c>
      <c r="C38">
        <v>13</v>
      </c>
      <c r="D38">
        <v>5</v>
      </c>
      <c r="E38">
        <v>72</v>
      </c>
      <c r="F38">
        <v>3</v>
      </c>
      <c r="G38">
        <v>0</v>
      </c>
      <c r="H38">
        <v>0</v>
      </c>
      <c r="I38">
        <v>0</v>
      </c>
      <c r="J38">
        <v>0</v>
      </c>
      <c r="K38">
        <v>2</v>
      </c>
      <c r="L38">
        <f>INT(VLOOKUP(A38,道具表价值评估!A:G,7,0)/5)</f>
        <v>81</v>
      </c>
      <c r="M38">
        <v>79</v>
      </c>
      <c r="N38">
        <v>1</v>
      </c>
      <c r="O38">
        <v>2</v>
      </c>
      <c r="P38" t="s">
        <v>21</v>
      </c>
      <c r="Q38" t="s">
        <v>786</v>
      </c>
    </row>
    <row r="39" spans="1:17" x14ac:dyDescent="0.15">
      <c r="A39">
        <v>83112</v>
      </c>
      <c r="B39" t="s">
        <v>787</v>
      </c>
      <c r="C39">
        <v>13</v>
      </c>
      <c r="D39">
        <v>5</v>
      </c>
      <c r="E39">
        <v>72</v>
      </c>
      <c r="F39">
        <v>3</v>
      </c>
      <c r="G39">
        <v>0</v>
      </c>
      <c r="H39">
        <v>0</v>
      </c>
      <c r="I39">
        <v>0</v>
      </c>
      <c r="J39">
        <v>0</v>
      </c>
      <c r="K39">
        <v>2</v>
      </c>
      <c r="L39">
        <f>INT(VLOOKUP(A39,道具表价值评估!A:G,7,0)/5)</f>
        <v>153</v>
      </c>
      <c r="M39">
        <v>80</v>
      </c>
      <c r="N39">
        <v>1</v>
      </c>
      <c r="O39">
        <v>2</v>
      </c>
      <c r="P39" t="s">
        <v>21</v>
      </c>
      <c r="Q39" t="s">
        <v>788</v>
      </c>
    </row>
    <row r="40" spans="1:17" x14ac:dyDescent="0.15">
      <c r="A40">
        <v>83113</v>
      </c>
      <c r="B40" t="s">
        <v>789</v>
      </c>
      <c r="C40">
        <v>13</v>
      </c>
      <c r="D40">
        <v>5</v>
      </c>
      <c r="E40">
        <v>72</v>
      </c>
      <c r="F40">
        <v>3</v>
      </c>
      <c r="G40">
        <v>0</v>
      </c>
      <c r="H40">
        <v>0</v>
      </c>
      <c r="I40">
        <v>0</v>
      </c>
      <c r="J40">
        <v>0</v>
      </c>
      <c r="K40">
        <v>2</v>
      </c>
      <c r="L40">
        <f>INT(VLOOKUP(A40,道具表价值评估!A:G,7,0)/5)</f>
        <v>28</v>
      </c>
      <c r="M40">
        <v>81</v>
      </c>
      <c r="N40">
        <v>1</v>
      </c>
      <c r="O40">
        <v>2</v>
      </c>
      <c r="P40" t="s">
        <v>21</v>
      </c>
      <c r="Q40" t="s">
        <v>786</v>
      </c>
    </row>
    <row r="41" spans="1:17" x14ac:dyDescent="0.15">
      <c r="A41">
        <v>83114</v>
      </c>
      <c r="B41" t="s">
        <v>787</v>
      </c>
      <c r="C41">
        <v>13</v>
      </c>
      <c r="D41">
        <v>5</v>
      </c>
      <c r="E41">
        <v>72</v>
      </c>
      <c r="F41">
        <v>3</v>
      </c>
      <c r="G41">
        <v>0</v>
      </c>
      <c r="H41">
        <v>0</v>
      </c>
      <c r="I41">
        <v>0</v>
      </c>
      <c r="J41">
        <v>0</v>
      </c>
      <c r="K41">
        <v>2</v>
      </c>
      <c r="L41">
        <f>INT(VLOOKUP(A41,道具表价值评估!A:G,7,0)/5)</f>
        <v>0</v>
      </c>
      <c r="M41">
        <v>82</v>
      </c>
      <c r="N41">
        <v>1</v>
      </c>
      <c r="O41">
        <v>3</v>
      </c>
      <c r="P41" t="s">
        <v>21</v>
      </c>
      <c r="Q41" t="s">
        <v>788</v>
      </c>
    </row>
    <row r="42" spans="1:17" x14ac:dyDescent="0.15">
      <c r="A42">
        <v>83115</v>
      </c>
      <c r="B42" t="s">
        <v>790</v>
      </c>
      <c r="C42">
        <v>13</v>
      </c>
      <c r="D42">
        <v>5</v>
      </c>
      <c r="E42">
        <v>72</v>
      </c>
      <c r="F42">
        <v>3</v>
      </c>
      <c r="G42">
        <v>0</v>
      </c>
      <c r="H42">
        <v>0</v>
      </c>
      <c r="I42">
        <v>0</v>
      </c>
      <c r="J42">
        <v>0</v>
      </c>
      <c r="K42">
        <v>2</v>
      </c>
      <c r="L42">
        <f>INT(VLOOKUP(A42,道具表价值评估!A:G,7,0)/5)</f>
        <v>0</v>
      </c>
      <c r="M42">
        <v>83</v>
      </c>
      <c r="N42">
        <v>1</v>
      </c>
      <c r="O42">
        <v>3</v>
      </c>
      <c r="P42" t="s">
        <v>21</v>
      </c>
      <c r="Q42" t="s">
        <v>791</v>
      </c>
    </row>
    <row r="43" spans="1:17" x14ac:dyDescent="0.15">
      <c r="A43">
        <v>83116</v>
      </c>
      <c r="B43" t="s">
        <v>269</v>
      </c>
      <c r="C43">
        <v>13</v>
      </c>
      <c r="D43">
        <v>5</v>
      </c>
      <c r="E43">
        <v>72</v>
      </c>
      <c r="F43">
        <v>3</v>
      </c>
      <c r="G43">
        <v>0</v>
      </c>
      <c r="H43">
        <v>0</v>
      </c>
      <c r="I43">
        <v>0</v>
      </c>
      <c r="J43">
        <v>0</v>
      </c>
      <c r="K43">
        <v>2</v>
      </c>
      <c r="L43">
        <f>INT(VLOOKUP(A43,道具表价值评估!A:G,7,0)/5)</f>
        <v>0</v>
      </c>
      <c r="M43">
        <v>84</v>
      </c>
      <c r="N43">
        <v>1</v>
      </c>
      <c r="O43">
        <v>3</v>
      </c>
      <c r="P43" t="s">
        <v>21</v>
      </c>
      <c r="Q43" t="s">
        <v>792</v>
      </c>
    </row>
    <row r="44" spans="1:17" x14ac:dyDescent="0.15">
      <c r="A44">
        <v>83117</v>
      </c>
      <c r="B44" t="s">
        <v>793</v>
      </c>
      <c r="C44">
        <v>13</v>
      </c>
      <c r="D44">
        <v>5</v>
      </c>
      <c r="E44">
        <v>72</v>
      </c>
      <c r="F44">
        <v>3</v>
      </c>
      <c r="G44">
        <v>0</v>
      </c>
      <c r="H44">
        <v>0</v>
      </c>
      <c r="I44">
        <v>0</v>
      </c>
      <c r="J44">
        <v>0</v>
      </c>
      <c r="K44">
        <v>2</v>
      </c>
      <c r="L44">
        <f>INT(VLOOKUP(A44,道具表价值评估!A:G,7,0)/5)</f>
        <v>0</v>
      </c>
      <c r="M44">
        <v>85</v>
      </c>
      <c r="N44">
        <v>1</v>
      </c>
      <c r="O44">
        <v>3</v>
      </c>
      <c r="P44" t="s">
        <v>21</v>
      </c>
      <c r="Q44" t="s">
        <v>794</v>
      </c>
    </row>
    <row r="45" spans="1:17" x14ac:dyDescent="0.15">
      <c r="A45">
        <v>83118</v>
      </c>
      <c r="B45" t="s">
        <v>795</v>
      </c>
      <c r="C45">
        <v>13</v>
      </c>
      <c r="D45">
        <v>5</v>
      </c>
      <c r="E45">
        <v>72</v>
      </c>
      <c r="F45">
        <v>3</v>
      </c>
      <c r="G45">
        <v>0</v>
      </c>
      <c r="H45">
        <v>0</v>
      </c>
      <c r="I45">
        <v>0</v>
      </c>
      <c r="J45">
        <v>0</v>
      </c>
      <c r="K45">
        <v>2</v>
      </c>
      <c r="L45">
        <f>INT(VLOOKUP(A45,道具表价值评估!A:G,7,0)/5)</f>
        <v>0</v>
      </c>
      <c r="M45">
        <v>86</v>
      </c>
      <c r="N45">
        <v>1</v>
      </c>
      <c r="O45">
        <v>4</v>
      </c>
      <c r="P45" t="s">
        <v>21</v>
      </c>
      <c r="Q45" t="s">
        <v>796</v>
      </c>
    </row>
    <row r="46" spans="1:17" x14ac:dyDescent="0.15">
      <c r="A46">
        <v>83119</v>
      </c>
      <c r="B46" t="s">
        <v>797</v>
      </c>
      <c r="C46">
        <v>13</v>
      </c>
      <c r="D46">
        <v>5</v>
      </c>
      <c r="E46">
        <v>72</v>
      </c>
      <c r="F46">
        <v>3</v>
      </c>
      <c r="G46">
        <v>0</v>
      </c>
      <c r="H46">
        <v>0</v>
      </c>
      <c r="I46">
        <v>0</v>
      </c>
      <c r="J46">
        <v>0</v>
      </c>
      <c r="K46">
        <v>2</v>
      </c>
      <c r="L46">
        <f>INT(VLOOKUP(A46,道具表价值评估!A:G,7,0)/5)</f>
        <v>0</v>
      </c>
      <c r="M46">
        <v>87</v>
      </c>
      <c r="N46">
        <v>1</v>
      </c>
      <c r="O46">
        <v>4</v>
      </c>
      <c r="P46" t="s">
        <v>21</v>
      </c>
      <c r="Q46" t="s">
        <v>798</v>
      </c>
    </row>
    <row r="47" spans="1:17" x14ac:dyDescent="0.15">
      <c r="A47">
        <v>83120</v>
      </c>
      <c r="B47" t="s">
        <v>799</v>
      </c>
      <c r="C47">
        <v>13</v>
      </c>
      <c r="D47">
        <v>5</v>
      </c>
      <c r="E47">
        <v>72</v>
      </c>
      <c r="F47">
        <v>3</v>
      </c>
      <c r="G47">
        <v>0</v>
      </c>
      <c r="H47">
        <v>0</v>
      </c>
      <c r="I47">
        <v>0</v>
      </c>
      <c r="J47">
        <v>0</v>
      </c>
      <c r="K47">
        <v>2</v>
      </c>
      <c r="L47">
        <f>INT(VLOOKUP(A47,道具表价值评估!A:G,7,0)/5)</f>
        <v>0</v>
      </c>
      <c r="M47">
        <v>88</v>
      </c>
      <c r="N47">
        <v>1</v>
      </c>
      <c r="O47">
        <v>4</v>
      </c>
      <c r="P47" t="s">
        <v>21</v>
      </c>
      <c r="Q47" t="s">
        <v>800</v>
      </c>
    </row>
    <row r="48" spans="1:17" x14ac:dyDescent="0.15">
      <c r="A48">
        <v>83121</v>
      </c>
      <c r="B48" t="s">
        <v>270</v>
      </c>
      <c r="C48">
        <v>13</v>
      </c>
      <c r="D48">
        <v>5</v>
      </c>
      <c r="E48">
        <v>72</v>
      </c>
      <c r="F48">
        <v>3</v>
      </c>
      <c r="G48">
        <v>0</v>
      </c>
      <c r="H48">
        <v>0</v>
      </c>
      <c r="I48">
        <v>0</v>
      </c>
      <c r="J48">
        <v>0</v>
      </c>
      <c r="K48">
        <v>2</v>
      </c>
      <c r="L48">
        <f>INT(VLOOKUP(A48,道具表价值评估!A:G,7,0)/5)</f>
        <v>0</v>
      </c>
      <c r="M48">
        <v>89</v>
      </c>
      <c r="N48">
        <v>1</v>
      </c>
      <c r="O48">
        <v>4</v>
      </c>
      <c r="P48" t="s">
        <v>21</v>
      </c>
      <c r="Q48" t="s">
        <v>801</v>
      </c>
    </row>
    <row r="49" spans="1:17" x14ac:dyDescent="0.15">
      <c r="A49">
        <v>83122</v>
      </c>
      <c r="B49" t="s">
        <v>802</v>
      </c>
      <c r="C49">
        <v>13</v>
      </c>
      <c r="D49">
        <v>5</v>
      </c>
      <c r="E49">
        <v>72</v>
      </c>
      <c r="F49">
        <v>3</v>
      </c>
      <c r="G49">
        <v>0</v>
      </c>
      <c r="H49">
        <v>0</v>
      </c>
      <c r="I49">
        <v>0</v>
      </c>
      <c r="J49">
        <v>0</v>
      </c>
      <c r="K49">
        <v>2</v>
      </c>
      <c r="L49">
        <f>INT(VLOOKUP(A49,道具表价值评估!A:G,7,0)/5)</f>
        <v>0</v>
      </c>
      <c r="M49">
        <v>90</v>
      </c>
      <c r="N49">
        <v>1</v>
      </c>
      <c r="O49">
        <v>4</v>
      </c>
      <c r="P49" t="s">
        <v>21</v>
      </c>
      <c r="Q49" t="s">
        <v>803</v>
      </c>
    </row>
    <row r="50" spans="1:17" x14ac:dyDescent="0.15">
      <c r="A50">
        <v>78101</v>
      </c>
      <c r="B50" s="16" t="s">
        <v>927</v>
      </c>
      <c r="C50">
        <v>8</v>
      </c>
      <c r="D50">
        <v>0</v>
      </c>
      <c r="E50">
        <v>50</v>
      </c>
      <c r="F50">
        <v>0</v>
      </c>
      <c r="G50">
        <v>0</v>
      </c>
      <c r="H50">
        <v>2</v>
      </c>
      <c r="I50">
        <f>ROUND(道具表价值评估!G49,0)</f>
        <v>25</v>
      </c>
      <c r="J50">
        <v>0</v>
      </c>
      <c r="K50">
        <v>2</v>
      </c>
      <c r="L50">
        <f>INT(VLOOKUP(A50,道具表价值评估!A:G,7,0)/5)</f>
        <v>5</v>
      </c>
      <c r="M50">
        <v>101</v>
      </c>
      <c r="N50">
        <v>999</v>
      </c>
      <c r="O50">
        <v>0</v>
      </c>
      <c r="P50" t="s">
        <v>25</v>
      </c>
      <c r="Q50" t="s">
        <v>928</v>
      </c>
    </row>
    <row r="51" spans="1:17" x14ac:dyDescent="0.15">
      <c r="A51">
        <v>78102</v>
      </c>
      <c r="B51" t="s">
        <v>832</v>
      </c>
      <c r="C51">
        <v>8</v>
      </c>
      <c r="D51">
        <v>0</v>
      </c>
      <c r="E51">
        <v>50</v>
      </c>
      <c r="F51">
        <v>0</v>
      </c>
      <c r="G51">
        <v>0</v>
      </c>
      <c r="H51">
        <v>2</v>
      </c>
      <c r="I51">
        <f>ROUND(道具表价值评估!G50,0)</f>
        <v>25</v>
      </c>
      <c r="J51">
        <v>0</v>
      </c>
      <c r="K51">
        <v>2</v>
      </c>
      <c r="L51">
        <f>INT(VLOOKUP(A51,道具表价值评估!A:G,7,0)/5)</f>
        <v>5</v>
      </c>
      <c r="M51">
        <v>102</v>
      </c>
      <c r="N51">
        <v>999</v>
      </c>
      <c r="O51">
        <v>0</v>
      </c>
      <c r="P51" t="s">
        <v>26</v>
      </c>
      <c r="Q51" t="s">
        <v>815</v>
      </c>
    </row>
    <row r="52" spans="1:17" x14ac:dyDescent="0.15">
      <c r="A52">
        <v>78103</v>
      </c>
      <c r="B52" s="16" t="s">
        <v>833</v>
      </c>
      <c r="C52">
        <v>8</v>
      </c>
      <c r="D52">
        <v>0</v>
      </c>
      <c r="E52">
        <v>50</v>
      </c>
      <c r="F52">
        <v>0</v>
      </c>
      <c r="G52">
        <v>0</v>
      </c>
      <c r="H52">
        <v>2</v>
      </c>
      <c r="I52">
        <f>ROUND(道具表价值评估!G51,0)</f>
        <v>25</v>
      </c>
      <c r="J52">
        <v>0</v>
      </c>
      <c r="K52">
        <v>2</v>
      </c>
      <c r="L52">
        <f>INT(VLOOKUP(A52,道具表价值评估!A:G,7,0)/5)</f>
        <v>5</v>
      </c>
      <c r="M52">
        <v>103</v>
      </c>
      <c r="N52">
        <v>999</v>
      </c>
      <c r="O52">
        <v>0</v>
      </c>
      <c r="P52" t="s">
        <v>27</v>
      </c>
      <c r="Q52" t="s">
        <v>816</v>
      </c>
    </row>
    <row r="53" spans="1:17" x14ac:dyDescent="0.15">
      <c r="A53">
        <v>78104</v>
      </c>
      <c r="B53" t="s">
        <v>834</v>
      </c>
      <c r="C53">
        <v>8</v>
      </c>
      <c r="D53">
        <v>0</v>
      </c>
      <c r="E53">
        <v>50</v>
      </c>
      <c r="F53">
        <v>0</v>
      </c>
      <c r="G53">
        <v>0</v>
      </c>
      <c r="H53">
        <v>2</v>
      </c>
      <c r="I53">
        <f>ROUND(道具表价值评估!G52,0)</f>
        <v>25</v>
      </c>
      <c r="J53">
        <v>0</v>
      </c>
      <c r="K53">
        <v>2</v>
      </c>
      <c r="L53">
        <f>INT(VLOOKUP(A53,道具表价值评估!A:G,7,0)/5)</f>
        <v>5</v>
      </c>
      <c r="M53">
        <v>104</v>
      </c>
      <c r="N53">
        <v>999</v>
      </c>
      <c r="O53">
        <v>0</v>
      </c>
      <c r="P53" t="s">
        <v>28</v>
      </c>
      <c r="Q53" t="s">
        <v>817</v>
      </c>
    </row>
    <row r="54" spans="1:17" x14ac:dyDescent="0.15">
      <c r="A54">
        <v>78105</v>
      </c>
      <c r="B54" t="s">
        <v>835</v>
      </c>
      <c r="C54">
        <v>8</v>
      </c>
      <c r="D54">
        <v>0</v>
      </c>
      <c r="E54">
        <v>50</v>
      </c>
      <c r="F54">
        <v>0</v>
      </c>
      <c r="G54">
        <v>0</v>
      </c>
      <c r="H54">
        <v>2</v>
      </c>
      <c r="I54">
        <f>ROUND(道具表价值评估!G53,0)</f>
        <v>25</v>
      </c>
      <c r="J54">
        <v>0</v>
      </c>
      <c r="K54">
        <v>2</v>
      </c>
      <c r="L54">
        <f>INT(VLOOKUP(A54,道具表价值评估!A:G,7,0)/5)</f>
        <v>5</v>
      </c>
      <c r="M54">
        <v>105</v>
      </c>
      <c r="N54">
        <v>999</v>
      </c>
      <c r="O54">
        <v>0</v>
      </c>
      <c r="P54" t="s">
        <v>49</v>
      </c>
      <c r="Q54" t="s">
        <v>818</v>
      </c>
    </row>
    <row r="55" spans="1:17" x14ac:dyDescent="0.15">
      <c r="A55">
        <v>78106</v>
      </c>
      <c r="B55" s="18" t="s">
        <v>836</v>
      </c>
      <c r="C55">
        <v>8</v>
      </c>
      <c r="D55">
        <v>0</v>
      </c>
      <c r="E55">
        <v>50</v>
      </c>
      <c r="F55">
        <v>0</v>
      </c>
      <c r="G55">
        <v>0</v>
      </c>
      <c r="H55">
        <v>2</v>
      </c>
      <c r="I55">
        <f>ROUND(道具表价值评估!G54,0)</f>
        <v>50</v>
      </c>
      <c r="J55">
        <v>0</v>
      </c>
      <c r="K55">
        <v>2</v>
      </c>
      <c r="L55">
        <f>INT(VLOOKUP(A55,道具表价值评估!A:G,7,0)/5)</f>
        <v>10</v>
      </c>
      <c r="M55">
        <v>106</v>
      </c>
      <c r="N55">
        <v>999</v>
      </c>
      <c r="O55">
        <v>1</v>
      </c>
      <c r="P55" t="s">
        <v>29</v>
      </c>
      <c r="Q55" t="s">
        <v>913</v>
      </c>
    </row>
    <row r="56" spans="1:17" x14ac:dyDescent="0.15">
      <c r="A56">
        <v>78107</v>
      </c>
      <c r="B56" s="18" t="s">
        <v>837</v>
      </c>
      <c r="C56">
        <v>8</v>
      </c>
      <c r="D56">
        <v>0</v>
      </c>
      <c r="E56">
        <v>50</v>
      </c>
      <c r="F56">
        <v>0</v>
      </c>
      <c r="G56">
        <v>0</v>
      </c>
      <c r="H56">
        <v>2</v>
      </c>
      <c r="I56">
        <f>ROUND(道具表价值评估!G55,0)</f>
        <v>50</v>
      </c>
      <c r="J56">
        <v>0</v>
      </c>
      <c r="K56">
        <v>2</v>
      </c>
      <c r="L56">
        <f>INT(VLOOKUP(A56,道具表价值评估!A:G,7,0)/5)</f>
        <v>10</v>
      </c>
      <c r="M56">
        <v>107</v>
      </c>
      <c r="N56">
        <v>999</v>
      </c>
      <c r="O56">
        <v>1</v>
      </c>
      <c r="P56" t="s">
        <v>819</v>
      </c>
      <c r="Q56" t="s">
        <v>914</v>
      </c>
    </row>
    <row r="57" spans="1:17" x14ac:dyDescent="0.15">
      <c r="A57">
        <v>78108</v>
      </c>
      <c r="B57" s="18" t="s">
        <v>838</v>
      </c>
      <c r="C57">
        <v>8</v>
      </c>
      <c r="D57">
        <v>0</v>
      </c>
      <c r="E57">
        <v>50</v>
      </c>
      <c r="F57">
        <v>0</v>
      </c>
      <c r="G57">
        <v>0</v>
      </c>
      <c r="H57">
        <v>2</v>
      </c>
      <c r="I57">
        <f>ROUND(道具表价值评估!G56,0)</f>
        <v>50</v>
      </c>
      <c r="J57">
        <v>0</v>
      </c>
      <c r="K57">
        <v>2</v>
      </c>
      <c r="L57">
        <f>INT(VLOOKUP(A57,道具表价值评估!A:G,7,0)/5)</f>
        <v>10</v>
      </c>
      <c r="M57">
        <v>108</v>
      </c>
      <c r="N57">
        <v>999</v>
      </c>
      <c r="O57">
        <v>1</v>
      </c>
      <c r="P57" t="s">
        <v>50</v>
      </c>
      <c r="Q57" t="s">
        <v>915</v>
      </c>
    </row>
    <row r="58" spans="1:17" x14ac:dyDescent="0.15">
      <c r="A58">
        <v>78109</v>
      </c>
      <c r="B58" s="13" t="s">
        <v>839</v>
      </c>
      <c r="C58">
        <v>8</v>
      </c>
      <c r="D58">
        <v>0</v>
      </c>
      <c r="E58">
        <v>50</v>
      </c>
      <c r="F58">
        <v>0</v>
      </c>
      <c r="G58">
        <v>0</v>
      </c>
      <c r="H58">
        <v>2</v>
      </c>
      <c r="I58">
        <f>ROUND(道具表价值评估!G57,0)</f>
        <v>100</v>
      </c>
      <c r="J58">
        <v>0</v>
      </c>
      <c r="K58">
        <v>2</v>
      </c>
      <c r="L58">
        <f>INT(VLOOKUP(A58,道具表价值评估!A:G,7,0)/5)</f>
        <v>20</v>
      </c>
      <c r="M58">
        <v>109</v>
      </c>
      <c r="N58">
        <v>999</v>
      </c>
      <c r="O58">
        <v>2</v>
      </c>
      <c r="P58" t="s">
        <v>31</v>
      </c>
      <c r="Q58" t="s">
        <v>916</v>
      </c>
    </row>
    <row r="59" spans="1:17" x14ac:dyDescent="0.15">
      <c r="A59">
        <v>78110</v>
      </c>
      <c r="B59" s="19" t="s">
        <v>840</v>
      </c>
      <c r="C59">
        <v>8</v>
      </c>
      <c r="D59">
        <v>0</v>
      </c>
      <c r="E59">
        <v>50</v>
      </c>
      <c r="F59">
        <v>0</v>
      </c>
      <c r="G59">
        <v>0</v>
      </c>
      <c r="H59">
        <v>2</v>
      </c>
      <c r="I59">
        <f>ROUND(道具表价值评估!G58,0)</f>
        <v>100</v>
      </c>
      <c r="J59">
        <v>0</v>
      </c>
      <c r="K59">
        <v>2</v>
      </c>
      <c r="L59">
        <f>INT(VLOOKUP(A59,道具表价值评估!A:G,7,0)/5)</f>
        <v>20</v>
      </c>
      <c r="M59">
        <v>110</v>
      </c>
      <c r="N59">
        <v>999</v>
      </c>
      <c r="O59">
        <v>2</v>
      </c>
      <c r="P59" t="s">
        <v>820</v>
      </c>
      <c r="Q59" t="s">
        <v>917</v>
      </c>
    </row>
    <row r="60" spans="1:17" x14ac:dyDescent="0.15">
      <c r="A60">
        <v>78111</v>
      </c>
      <c r="B60" s="19" t="s">
        <v>841</v>
      </c>
      <c r="C60">
        <v>8</v>
      </c>
      <c r="D60">
        <v>0</v>
      </c>
      <c r="E60">
        <v>50</v>
      </c>
      <c r="F60">
        <v>0</v>
      </c>
      <c r="G60">
        <v>0</v>
      </c>
      <c r="H60">
        <v>2</v>
      </c>
      <c r="I60">
        <f>ROUND(道具表价值评估!G59,0)</f>
        <v>100</v>
      </c>
      <c r="J60">
        <v>0</v>
      </c>
      <c r="K60">
        <v>2</v>
      </c>
      <c r="L60">
        <f>INT(VLOOKUP(A60,道具表价值评估!A:G,7,0)/5)</f>
        <v>20</v>
      </c>
      <c r="M60">
        <v>111</v>
      </c>
      <c r="N60">
        <v>999</v>
      </c>
      <c r="O60">
        <v>2</v>
      </c>
      <c r="P60" t="s">
        <v>821</v>
      </c>
      <c r="Q60" t="s">
        <v>918</v>
      </c>
    </row>
    <row r="61" spans="1:17" x14ac:dyDescent="0.15">
      <c r="A61">
        <v>78112</v>
      </c>
      <c r="B61" s="19" t="s">
        <v>842</v>
      </c>
      <c r="C61">
        <v>8</v>
      </c>
      <c r="D61">
        <v>0</v>
      </c>
      <c r="E61">
        <v>50</v>
      </c>
      <c r="F61">
        <v>0</v>
      </c>
      <c r="G61">
        <v>0</v>
      </c>
      <c r="H61">
        <v>2</v>
      </c>
      <c r="I61">
        <f>ROUND(道具表价值评估!G60,0)</f>
        <v>100</v>
      </c>
      <c r="J61">
        <v>0</v>
      </c>
      <c r="K61">
        <v>2</v>
      </c>
      <c r="L61">
        <f>INT(VLOOKUP(A61,道具表价值评估!A:G,7,0)/5)</f>
        <v>20</v>
      </c>
      <c r="M61">
        <v>112</v>
      </c>
      <c r="N61">
        <v>999</v>
      </c>
      <c r="O61">
        <v>2</v>
      </c>
      <c r="P61" t="s">
        <v>52</v>
      </c>
      <c r="Q61" t="s">
        <v>919</v>
      </c>
    </row>
    <row r="62" spans="1:17" x14ac:dyDescent="0.15">
      <c r="A62">
        <v>78113</v>
      </c>
      <c r="B62" s="19" t="s">
        <v>843</v>
      </c>
      <c r="C62">
        <v>8</v>
      </c>
      <c r="D62">
        <v>0</v>
      </c>
      <c r="E62">
        <v>50</v>
      </c>
      <c r="F62">
        <v>0</v>
      </c>
      <c r="G62">
        <v>0</v>
      </c>
      <c r="H62">
        <v>2</v>
      </c>
      <c r="I62">
        <f>ROUND(道具表价值评估!G61,0)</f>
        <v>100</v>
      </c>
      <c r="J62">
        <v>0</v>
      </c>
      <c r="K62">
        <v>2</v>
      </c>
      <c r="L62">
        <f>INT(VLOOKUP(A62,道具表价值评估!A:G,7,0)/5)</f>
        <v>20</v>
      </c>
      <c r="M62">
        <v>113</v>
      </c>
      <c r="N62">
        <v>999</v>
      </c>
      <c r="O62">
        <v>2</v>
      </c>
      <c r="P62" t="s">
        <v>53</v>
      </c>
      <c r="Q62" t="s">
        <v>920</v>
      </c>
    </row>
    <row r="63" spans="1:17" x14ac:dyDescent="0.15">
      <c r="A63">
        <v>78114</v>
      </c>
      <c r="B63" s="25" t="s">
        <v>844</v>
      </c>
      <c r="C63">
        <v>8</v>
      </c>
      <c r="D63">
        <v>0</v>
      </c>
      <c r="E63">
        <v>50</v>
      </c>
      <c r="F63">
        <v>0</v>
      </c>
      <c r="G63">
        <v>0</v>
      </c>
      <c r="H63">
        <v>2</v>
      </c>
      <c r="I63">
        <f>ROUND(道具表价值评估!G62,0)</f>
        <v>150</v>
      </c>
      <c r="J63">
        <v>0</v>
      </c>
      <c r="K63">
        <v>2</v>
      </c>
      <c r="L63">
        <f>INT(VLOOKUP(A63,道具表价值评估!A:G,7,0)/5)</f>
        <v>30</v>
      </c>
      <c r="M63">
        <v>114</v>
      </c>
      <c r="N63">
        <v>999</v>
      </c>
      <c r="O63">
        <v>3</v>
      </c>
      <c r="P63" t="s">
        <v>54</v>
      </c>
      <c r="Q63" t="s">
        <v>921</v>
      </c>
    </row>
    <row r="64" spans="1:17" x14ac:dyDescent="0.15">
      <c r="A64">
        <v>78115</v>
      </c>
      <c r="B64" s="25" t="s">
        <v>845</v>
      </c>
      <c r="C64">
        <v>8</v>
      </c>
      <c r="D64">
        <v>0</v>
      </c>
      <c r="E64">
        <v>50</v>
      </c>
      <c r="F64">
        <v>0</v>
      </c>
      <c r="G64">
        <v>0</v>
      </c>
      <c r="H64">
        <v>2</v>
      </c>
      <c r="I64">
        <f>ROUND(道具表价值评估!G63,0)</f>
        <v>150</v>
      </c>
      <c r="J64">
        <v>0</v>
      </c>
      <c r="K64">
        <v>2</v>
      </c>
      <c r="L64">
        <f>INT(VLOOKUP(A64,道具表价值评估!A:G,7,0)/5)</f>
        <v>30</v>
      </c>
      <c r="M64">
        <v>115</v>
      </c>
      <c r="N64">
        <v>999</v>
      </c>
      <c r="O64">
        <v>3</v>
      </c>
      <c r="P64" t="s">
        <v>55</v>
      </c>
      <c r="Q64" t="s">
        <v>922</v>
      </c>
    </row>
    <row r="65" spans="1:17" x14ac:dyDescent="0.15">
      <c r="A65">
        <v>78116</v>
      </c>
      <c r="B65" s="25" t="s">
        <v>846</v>
      </c>
      <c r="C65">
        <v>8</v>
      </c>
      <c r="D65">
        <v>0</v>
      </c>
      <c r="E65">
        <v>50</v>
      </c>
      <c r="F65">
        <v>0</v>
      </c>
      <c r="G65">
        <v>0</v>
      </c>
      <c r="H65">
        <v>2</v>
      </c>
      <c r="I65">
        <f>ROUND(道具表价值评估!G64,0)</f>
        <v>150</v>
      </c>
      <c r="J65">
        <v>0</v>
      </c>
      <c r="K65">
        <v>2</v>
      </c>
      <c r="L65">
        <f>INT(VLOOKUP(A65,道具表价值评估!A:G,7,0)/5)</f>
        <v>30</v>
      </c>
      <c r="M65">
        <v>116</v>
      </c>
      <c r="N65">
        <v>999</v>
      </c>
      <c r="O65">
        <v>3</v>
      </c>
      <c r="P65" t="s">
        <v>56</v>
      </c>
      <c r="Q65" t="s">
        <v>923</v>
      </c>
    </row>
    <row r="66" spans="1:17" x14ac:dyDescent="0.15">
      <c r="A66">
        <v>78117</v>
      </c>
      <c r="B66" s="18" t="s">
        <v>877</v>
      </c>
      <c r="C66">
        <v>8</v>
      </c>
      <c r="D66">
        <v>0</v>
      </c>
      <c r="E66">
        <v>50</v>
      </c>
      <c r="F66">
        <v>0</v>
      </c>
      <c r="G66">
        <v>0</v>
      </c>
      <c r="H66">
        <v>2</v>
      </c>
      <c r="I66">
        <f>ROUND(道具表价值评估!G65,0)</f>
        <v>50</v>
      </c>
      <c r="J66">
        <v>0</v>
      </c>
      <c r="K66">
        <v>2</v>
      </c>
      <c r="L66">
        <f>INT(VLOOKUP(A66,道具表价值评估!A:G,7,0)/5)</f>
        <v>10</v>
      </c>
      <c r="M66">
        <v>117</v>
      </c>
      <c r="N66">
        <v>999</v>
      </c>
      <c r="O66">
        <v>1</v>
      </c>
      <c r="P66" t="s">
        <v>885</v>
      </c>
      <c r="Q66" t="s">
        <v>924</v>
      </c>
    </row>
    <row r="67" spans="1:17" x14ac:dyDescent="0.15">
      <c r="A67">
        <v>78118</v>
      </c>
      <c r="B67" s="13" t="s">
        <v>878</v>
      </c>
      <c r="C67">
        <v>8</v>
      </c>
      <c r="D67">
        <v>0</v>
      </c>
      <c r="E67">
        <v>50</v>
      </c>
      <c r="F67">
        <v>0</v>
      </c>
      <c r="G67">
        <v>0</v>
      </c>
      <c r="H67">
        <v>2</v>
      </c>
      <c r="I67">
        <f>ROUND(道具表价值评估!G66,0)</f>
        <v>100</v>
      </c>
      <c r="J67">
        <v>0</v>
      </c>
      <c r="K67">
        <v>2</v>
      </c>
      <c r="L67">
        <f>INT(VLOOKUP(A67,道具表价值评估!A:G,7,0)/5)</f>
        <v>20</v>
      </c>
      <c r="M67">
        <v>118</v>
      </c>
      <c r="N67">
        <v>999</v>
      </c>
      <c r="O67">
        <v>2</v>
      </c>
      <c r="P67" t="s">
        <v>883</v>
      </c>
      <c r="Q67" t="s">
        <v>925</v>
      </c>
    </row>
    <row r="68" spans="1:17" x14ac:dyDescent="0.15">
      <c r="A68">
        <v>78119</v>
      </c>
      <c r="B68" s="19" t="s">
        <v>879</v>
      </c>
      <c r="C68">
        <v>8</v>
      </c>
      <c r="D68">
        <v>0</v>
      </c>
      <c r="E68">
        <v>50</v>
      </c>
      <c r="F68">
        <v>0</v>
      </c>
      <c r="G68">
        <v>0</v>
      </c>
      <c r="H68">
        <v>2</v>
      </c>
      <c r="I68">
        <f>ROUND(道具表价值评估!G67,0)</f>
        <v>100</v>
      </c>
      <c r="J68">
        <v>0</v>
      </c>
      <c r="K68">
        <v>2</v>
      </c>
      <c r="L68">
        <f>INT(VLOOKUP(A68,道具表价值评估!A:G,7,0)/5)</f>
        <v>20</v>
      </c>
      <c r="M68">
        <v>119</v>
      </c>
      <c r="N68">
        <v>999</v>
      </c>
      <c r="O68">
        <v>2</v>
      </c>
      <c r="P68" t="s">
        <v>884</v>
      </c>
      <c r="Q68" t="s">
        <v>926</v>
      </c>
    </row>
    <row r="69" spans="1:17" x14ac:dyDescent="0.15">
      <c r="A69">
        <v>70001</v>
      </c>
      <c r="B69" t="s">
        <v>312</v>
      </c>
      <c r="C69">
        <v>0</v>
      </c>
      <c r="D69">
        <v>0</v>
      </c>
      <c r="F69">
        <v>0</v>
      </c>
      <c r="G69">
        <v>1</v>
      </c>
      <c r="H69">
        <v>2</v>
      </c>
      <c r="I69">
        <f>ROUND(道具表价值评估!G68,0)</f>
        <v>2</v>
      </c>
      <c r="J69">
        <v>0</v>
      </c>
      <c r="K69">
        <v>1</v>
      </c>
      <c r="L69">
        <f>INT(VLOOKUP(A69,道具表价值评估!$A:$G,6,0)/10)</f>
        <v>80</v>
      </c>
      <c r="N69">
        <v>9999</v>
      </c>
      <c r="O69">
        <v>0</v>
      </c>
      <c r="P69" t="s">
        <v>57</v>
      </c>
      <c r="Q69" t="s">
        <v>850</v>
      </c>
    </row>
    <row r="70" spans="1:17" x14ac:dyDescent="0.15">
      <c r="A70">
        <v>70002</v>
      </c>
      <c r="B70" t="s">
        <v>313</v>
      </c>
      <c r="C70">
        <v>0</v>
      </c>
      <c r="D70">
        <v>0</v>
      </c>
      <c r="F70">
        <v>0</v>
      </c>
      <c r="G70">
        <v>1</v>
      </c>
      <c r="H70">
        <v>2</v>
      </c>
      <c r="I70">
        <f>ROUND(道具表价值评估!G69,0)</f>
        <v>8</v>
      </c>
      <c r="J70">
        <v>0</v>
      </c>
      <c r="K70">
        <v>1</v>
      </c>
      <c r="L70">
        <f>INT(VLOOKUP(A70,道具表价值评估!$A:$G,6,0)/10)</f>
        <v>400</v>
      </c>
      <c r="N70">
        <v>9999</v>
      </c>
      <c r="O70">
        <v>1</v>
      </c>
      <c r="P70" t="s">
        <v>58</v>
      </c>
      <c r="Q70" t="s">
        <v>853</v>
      </c>
    </row>
    <row r="71" spans="1:17" x14ac:dyDescent="0.15">
      <c r="A71">
        <v>70003</v>
      </c>
      <c r="B71" t="s">
        <v>314</v>
      </c>
      <c r="C71">
        <v>0</v>
      </c>
      <c r="D71">
        <v>0</v>
      </c>
      <c r="F71">
        <v>0</v>
      </c>
      <c r="G71">
        <v>1</v>
      </c>
      <c r="H71">
        <v>2</v>
      </c>
      <c r="I71">
        <f>ROUND(道具表价值评估!G70,0)</f>
        <v>40</v>
      </c>
      <c r="J71">
        <v>0</v>
      </c>
      <c r="K71">
        <v>1</v>
      </c>
      <c r="L71">
        <f>INT(VLOOKUP(A71,道具表价值评估!$A:$G,6,0)/10)</f>
        <v>2000</v>
      </c>
      <c r="N71">
        <v>9999</v>
      </c>
      <c r="O71">
        <v>2</v>
      </c>
      <c r="P71" t="s">
        <v>59</v>
      </c>
      <c r="Q71" t="s">
        <v>854</v>
      </c>
    </row>
    <row r="72" spans="1:17" x14ac:dyDescent="0.15">
      <c r="A72">
        <v>70101</v>
      </c>
      <c r="B72" t="s">
        <v>364</v>
      </c>
      <c r="C72">
        <v>0</v>
      </c>
      <c r="D72">
        <v>0</v>
      </c>
      <c r="E72" s="12">
        <v>0</v>
      </c>
      <c r="F72">
        <v>0</v>
      </c>
      <c r="G72">
        <v>1</v>
      </c>
      <c r="H72">
        <v>2</v>
      </c>
      <c r="I72">
        <f>ROUND(道具表价值评估!G71*2,0)</f>
        <v>4</v>
      </c>
      <c r="J72">
        <v>0</v>
      </c>
      <c r="K72">
        <v>1</v>
      </c>
      <c r="L72">
        <f>INT(VLOOKUP(A72,道具表价值评估!$A:$G,6,0)/10)</f>
        <v>100</v>
      </c>
      <c r="N72">
        <v>9999</v>
      </c>
      <c r="O72">
        <v>0</v>
      </c>
      <c r="P72" t="s">
        <v>33</v>
      </c>
      <c r="Q72" t="s">
        <v>851</v>
      </c>
    </row>
    <row r="73" spans="1:17" x14ac:dyDescent="0.15">
      <c r="A73">
        <v>70201</v>
      </c>
      <c r="B73" t="s">
        <v>365</v>
      </c>
      <c r="C73">
        <v>0</v>
      </c>
      <c r="D73">
        <v>0</v>
      </c>
      <c r="E73" s="12">
        <v>0</v>
      </c>
      <c r="F73">
        <v>0</v>
      </c>
      <c r="G73">
        <v>1</v>
      </c>
      <c r="H73">
        <v>2</v>
      </c>
      <c r="I73">
        <f>ROUND(道具表价值评估!G72*2,0)</f>
        <v>20</v>
      </c>
      <c r="J73">
        <v>0</v>
      </c>
      <c r="K73">
        <v>1</v>
      </c>
      <c r="L73">
        <f>INT(VLOOKUP(A73,道具表价值评估!$A:$G,6,0)/10)</f>
        <v>500</v>
      </c>
      <c r="N73">
        <v>9999</v>
      </c>
      <c r="O73">
        <v>1</v>
      </c>
      <c r="P73" t="s">
        <v>34</v>
      </c>
      <c r="Q73" t="s">
        <v>852</v>
      </c>
    </row>
    <row r="74" spans="1:17" x14ac:dyDescent="0.15">
      <c r="A74">
        <v>70301</v>
      </c>
      <c r="B74" t="s">
        <v>804</v>
      </c>
      <c r="C74">
        <v>0</v>
      </c>
      <c r="D74">
        <v>0</v>
      </c>
      <c r="E74" s="12">
        <v>0</v>
      </c>
      <c r="F74">
        <v>0</v>
      </c>
      <c r="G74">
        <v>1</v>
      </c>
      <c r="H74">
        <v>2</v>
      </c>
      <c r="I74">
        <f>ROUND(道具表价值评估!G73*2,0)</f>
        <v>100</v>
      </c>
      <c r="J74">
        <v>0</v>
      </c>
      <c r="K74">
        <v>1</v>
      </c>
      <c r="L74">
        <f>INT(VLOOKUP(A74,道具表价值评估!$A:$G,6,0)/10)</f>
        <v>2500</v>
      </c>
      <c r="N74">
        <v>9999</v>
      </c>
      <c r="O74">
        <v>2</v>
      </c>
      <c r="P74" t="s">
        <v>35</v>
      </c>
      <c r="Q74" t="s">
        <v>855</v>
      </c>
    </row>
    <row r="75" spans="1:17" x14ac:dyDescent="0.15">
      <c r="A75">
        <v>70401</v>
      </c>
      <c r="B75" t="s">
        <v>367</v>
      </c>
      <c r="C75">
        <v>0</v>
      </c>
      <c r="D75">
        <v>0</v>
      </c>
      <c r="E75" s="12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f>INT(VLOOKUP(A75,道具表价值评估!$A:$G,6,0)/10)</f>
        <v>0</v>
      </c>
      <c r="N75">
        <v>9999</v>
      </c>
      <c r="O75">
        <v>3</v>
      </c>
      <c r="P75" t="s">
        <v>36</v>
      </c>
      <c r="Q75" t="s">
        <v>484</v>
      </c>
    </row>
    <row r="76" spans="1:17" x14ac:dyDescent="0.15">
      <c r="A76">
        <v>70501</v>
      </c>
      <c r="B76" t="s">
        <v>368</v>
      </c>
      <c r="C76">
        <v>0</v>
      </c>
      <c r="D76">
        <v>0</v>
      </c>
      <c r="E76" s="12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f>INT(VLOOKUP(A76,道具表价值评估!$A:$G,6,0)/10)</f>
        <v>0</v>
      </c>
      <c r="N76">
        <v>9999</v>
      </c>
      <c r="O76">
        <v>4</v>
      </c>
      <c r="P76" t="s">
        <v>37</v>
      </c>
      <c r="Q76" t="s">
        <v>484</v>
      </c>
    </row>
    <row r="77" spans="1:17" x14ac:dyDescent="0.15">
      <c r="A77">
        <v>82100</v>
      </c>
      <c r="B77" t="s">
        <v>519</v>
      </c>
      <c r="C77">
        <v>2</v>
      </c>
      <c r="D77">
        <v>4</v>
      </c>
      <c r="E77">
        <v>10000</v>
      </c>
      <c r="F77">
        <v>0</v>
      </c>
      <c r="G77">
        <v>1</v>
      </c>
      <c r="H77">
        <v>0</v>
      </c>
      <c r="I77">
        <v>0</v>
      </c>
      <c r="J77">
        <v>0</v>
      </c>
      <c r="K77">
        <v>1</v>
      </c>
      <c r="L77">
        <f>INT(VLOOKUP(A77,道具表价值评估!$A:$G,6,0))</f>
        <v>10000</v>
      </c>
      <c r="N77">
        <v>999</v>
      </c>
      <c r="O77">
        <v>0</v>
      </c>
      <c r="P77" t="s">
        <v>60</v>
      </c>
      <c r="Q77" t="s">
        <v>520</v>
      </c>
    </row>
    <row r="78" spans="1:17" x14ac:dyDescent="0.15">
      <c r="A78">
        <v>82200</v>
      </c>
      <c r="B78" t="s">
        <v>521</v>
      </c>
      <c r="C78">
        <v>2</v>
      </c>
      <c r="D78">
        <v>4</v>
      </c>
      <c r="E78">
        <v>20000</v>
      </c>
      <c r="F78">
        <v>0</v>
      </c>
      <c r="G78">
        <v>1</v>
      </c>
      <c r="H78">
        <v>0</v>
      </c>
      <c r="I78">
        <v>0</v>
      </c>
      <c r="J78">
        <v>0</v>
      </c>
      <c r="K78">
        <v>1</v>
      </c>
      <c r="L78">
        <f>INT(VLOOKUP(A78,道具表价值评估!$A:$G,6,0))</f>
        <v>20000</v>
      </c>
      <c r="N78">
        <v>999</v>
      </c>
      <c r="O78">
        <v>1</v>
      </c>
      <c r="P78" t="s">
        <v>17</v>
      </c>
      <c r="Q78" t="s">
        <v>522</v>
      </c>
    </row>
    <row r="79" spans="1:17" x14ac:dyDescent="0.15">
      <c r="A79">
        <v>82300</v>
      </c>
      <c r="B79" t="s">
        <v>523</v>
      </c>
      <c r="C79">
        <v>2</v>
      </c>
      <c r="D79">
        <v>4</v>
      </c>
      <c r="E79">
        <v>50000</v>
      </c>
      <c r="F79">
        <v>0</v>
      </c>
      <c r="G79">
        <v>1</v>
      </c>
      <c r="H79">
        <v>0</v>
      </c>
      <c r="I79">
        <v>0</v>
      </c>
      <c r="J79">
        <v>0</v>
      </c>
      <c r="K79">
        <v>1</v>
      </c>
      <c r="L79">
        <f>INT(VLOOKUP(A79,道具表价值评估!$A:$G,6,0))</f>
        <v>50000</v>
      </c>
      <c r="N79">
        <v>999</v>
      </c>
      <c r="O79">
        <v>2</v>
      </c>
      <c r="P79" t="s">
        <v>44</v>
      </c>
      <c r="Q79" t="s">
        <v>524</v>
      </c>
    </row>
    <row r="80" spans="1:17" s="16" customFormat="1" x14ac:dyDescent="0.15">
      <c r="A80" s="16">
        <v>91100</v>
      </c>
      <c r="B80" s="16" t="s">
        <v>525</v>
      </c>
      <c r="C80" s="16">
        <v>1</v>
      </c>
      <c r="D80" s="16">
        <v>4</v>
      </c>
      <c r="E80">
        <v>100</v>
      </c>
      <c r="F80" s="16">
        <v>0</v>
      </c>
      <c r="G80" s="16">
        <v>1</v>
      </c>
      <c r="H80">
        <v>0</v>
      </c>
      <c r="I80">
        <v>0</v>
      </c>
      <c r="J80" s="16">
        <v>0</v>
      </c>
      <c r="K80">
        <v>1</v>
      </c>
      <c r="L80">
        <f>INT(VLOOKUP(A80,道具表价值评估!$A:$G,6,0)/10)</f>
        <v>100</v>
      </c>
      <c r="N80" s="16">
        <v>999</v>
      </c>
      <c r="O80" s="16">
        <v>0</v>
      </c>
      <c r="P80" s="16" t="s">
        <v>61</v>
      </c>
      <c r="Q80" s="16" t="str">
        <f>"使用后可以为指定马仔提供"&amp;E80&amp;"点经验值"</f>
        <v>使用后可以为指定马仔提供100点经验值</v>
      </c>
    </row>
    <row r="81" spans="1:17" s="16" customFormat="1" x14ac:dyDescent="0.15">
      <c r="A81" s="16">
        <v>91200</v>
      </c>
      <c r="B81" s="16" t="s">
        <v>527</v>
      </c>
      <c r="C81" s="16">
        <v>1</v>
      </c>
      <c r="D81" s="16">
        <v>4</v>
      </c>
      <c r="E81">
        <v>300</v>
      </c>
      <c r="F81" s="16">
        <v>0</v>
      </c>
      <c r="G81" s="16">
        <v>1</v>
      </c>
      <c r="H81">
        <v>0</v>
      </c>
      <c r="I81">
        <v>0</v>
      </c>
      <c r="J81" s="16">
        <v>0</v>
      </c>
      <c r="K81">
        <v>1</v>
      </c>
      <c r="L81">
        <f>INT(VLOOKUP(A81,道具表价值评估!$A:$G,6,0)/10)</f>
        <v>300</v>
      </c>
      <c r="N81" s="16">
        <v>999</v>
      </c>
      <c r="O81" s="16">
        <v>1</v>
      </c>
      <c r="P81" s="16" t="s">
        <v>62</v>
      </c>
      <c r="Q81" s="16" t="str">
        <f t="shared" ref="Q81:Q82" si="0">"使用后可以为指定马仔提供"&amp;E81&amp;"点经验值"</f>
        <v>使用后可以为指定马仔提供300点经验值</v>
      </c>
    </row>
    <row r="82" spans="1:17" s="16" customFormat="1" x14ac:dyDescent="0.15">
      <c r="A82" s="16">
        <v>91300</v>
      </c>
      <c r="B82" s="16" t="s">
        <v>529</v>
      </c>
      <c r="C82" s="16">
        <v>1</v>
      </c>
      <c r="D82" s="16">
        <v>4</v>
      </c>
      <c r="E82">
        <v>1000</v>
      </c>
      <c r="F82" s="16">
        <v>0</v>
      </c>
      <c r="G82" s="16">
        <v>1</v>
      </c>
      <c r="H82">
        <v>0</v>
      </c>
      <c r="I82">
        <v>0</v>
      </c>
      <c r="J82" s="16">
        <v>0</v>
      </c>
      <c r="K82">
        <v>1</v>
      </c>
      <c r="L82">
        <f>INT(VLOOKUP(A82,道具表价值评估!$A:$G,6,0)/10)</f>
        <v>1000</v>
      </c>
      <c r="N82" s="16">
        <v>999</v>
      </c>
      <c r="O82" s="16">
        <v>2</v>
      </c>
      <c r="P82" s="16" t="s">
        <v>63</v>
      </c>
      <c r="Q82" s="16" t="str">
        <f t="shared" si="0"/>
        <v>使用后可以为指定马仔提供1000点经验值</v>
      </c>
    </row>
    <row r="83" spans="1:17" x14ac:dyDescent="0.15">
      <c r="A83">
        <v>87100</v>
      </c>
      <c r="B83" t="s">
        <v>531</v>
      </c>
      <c r="C83">
        <v>7</v>
      </c>
      <c r="D83">
        <v>4</v>
      </c>
      <c r="E83">
        <v>100</v>
      </c>
      <c r="F83">
        <v>0</v>
      </c>
      <c r="G83">
        <v>0</v>
      </c>
      <c r="H83">
        <v>0</v>
      </c>
      <c r="I83">
        <v>0</v>
      </c>
      <c r="J83">
        <v>0</v>
      </c>
      <c r="K83">
        <v>2</v>
      </c>
      <c r="L83">
        <f>E83</f>
        <v>100</v>
      </c>
      <c r="N83">
        <v>999</v>
      </c>
      <c r="O83">
        <v>0</v>
      </c>
      <c r="P83" t="s">
        <v>64</v>
      </c>
      <c r="Q83" t="s">
        <v>532</v>
      </c>
    </row>
    <row r="84" spans="1:17" x14ac:dyDescent="0.15">
      <c r="A84">
        <v>87200</v>
      </c>
      <c r="B84" t="s">
        <v>533</v>
      </c>
      <c r="C84">
        <v>7</v>
      </c>
      <c r="D84">
        <v>4</v>
      </c>
      <c r="E84">
        <v>500</v>
      </c>
      <c r="F84">
        <v>0</v>
      </c>
      <c r="G84">
        <v>0</v>
      </c>
      <c r="H84">
        <v>0</v>
      </c>
      <c r="I84">
        <v>0</v>
      </c>
      <c r="J84">
        <v>0</v>
      </c>
      <c r="K84">
        <v>2</v>
      </c>
      <c r="L84">
        <f t="shared" ref="L84:L85" si="1">E84</f>
        <v>500</v>
      </c>
      <c r="N84">
        <v>999</v>
      </c>
      <c r="O84">
        <v>1</v>
      </c>
      <c r="P84" t="s">
        <v>43</v>
      </c>
      <c r="Q84" t="s">
        <v>534</v>
      </c>
    </row>
    <row r="85" spans="1:17" x14ac:dyDescent="0.15">
      <c r="A85">
        <v>87400</v>
      </c>
      <c r="B85" t="s">
        <v>535</v>
      </c>
      <c r="C85">
        <v>7</v>
      </c>
      <c r="D85">
        <v>4</v>
      </c>
      <c r="E85">
        <v>1000</v>
      </c>
      <c r="F85">
        <v>0</v>
      </c>
      <c r="G85">
        <v>0</v>
      </c>
      <c r="H85">
        <v>0</v>
      </c>
      <c r="I85">
        <v>0</v>
      </c>
      <c r="J85">
        <v>0</v>
      </c>
      <c r="K85">
        <v>2</v>
      </c>
      <c r="L85">
        <f t="shared" si="1"/>
        <v>1000</v>
      </c>
      <c r="N85">
        <v>999</v>
      </c>
      <c r="O85">
        <v>2</v>
      </c>
      <c r="P85" t="s">
        <v>65</v>
      </c>
      <c r="Q85" t="s">
        <v>536</v>
      </c>
    </row>
    <row r="86" spans="1:17" x14ac:dyDescent="0.15">
      <c r="A86">
        <v>89100</v>
      </c>
      <c r="B86" t="s">
        <v>537</v>
      </c>
      <c r="C86">
        <v>9</v>
      </c>
      <c r="D86">
        <v>4</v>
      </c>
      <c r="E86">
        <v>20</v>
      </c>
      <c r="F86">
        <v>0</v>
      </c>
      <c r="G86">
        <v>1</v>
      </c>
      <c r="H86">
        <v>0</v>
      </c>
      <c r="I86">
        <v>0</v>
      </c>
      <c r="J86">
        <v>0</v>
      </c>
      <c r="K86">
        <v>1</v>
      </c>
      <c r="L86">
        <f>INT(VLOOKUP(A86,道具表价值评估!$A:$G,6,0)/10)</f>
        <v>500</v>
      </c>
      <c r="N86">
        <v>1</v>
      </c>
      <c r="O86">
        <v>0</v>
      </c>
      <c r="P86" t="s">
        <v>66</v>
      </c>
      <c r="Q86" t="str">
        <f>"用无数珍贵药材调制而成的秘药，服用后可增加"&amp;E86&amp;"点体力"</f>
        <v>用无数珍贵药材调制而成的秘药，服用后可增加20点体力</v>
      </c>
    </row>
    <row r="87" spans="1:17" x14ac:dyDescent="0.15">
      <c r="A87">
        <v>89200</v>
      </c>
      <c r="B87" t="s">
        <v>539</v>
      </c>
      <c r="C87">
        <v>9</v>
      </c>
      <c r="D87">
        <v>4</v>
      </c>
      <c r="E87">
        <v>40</v>
      </c>
      <c r="F87">
        <v>0</v>
      </c>
      <c r="G87">
        <v>1</v>
      </c>
      <c r="H87">
        <v>0</v>
      </c>
      <c r="I87">
        <v>0</v>
      </c>
      <c r="J87">
        <v>0</v>
      </c>
      <c r="K87">
        <v>1</v>
      </c>
      <c r="L87">
        <f>INT(VLOOKUP(A87,道具表价值评估!$A:$G,6,0)/10)</f>
        <v>1000</v>
      </c>
      <c r="N87">
        <v>1</v>
      </c>
      <c r="O87">
        <v>1</v>
      </c>
      <c r="P87" t="s">
        <v>67</v>
      </c>
      <c r="Q87" t="str">
        <f t="shared" ref="Q87:Q88" si="2">"用无数珍贵药材调制而成的秘药，服用后可增加"&amp;E87&amp;"点体力"</f>
        <v>用无数珍贵药材调制而成的秘药，服用后可增加40点体力</v>
      </c>
    </row>
    <row r="88" spans="1:17" x14ac:dyDescent="0.15">
      <c r="A88">
        <v>89300</v>
      </c>
      <c r="B88" t="s">
        <v>541</v>
      </c>
      <c r="C88">
        <v>9</v>
      </c>
      <c r="D88">
        <v>4</v>
      </c>
      <c r="E88">
        <v>80</v>
      </c>
      <c r="F88">
        <v>0</v>
      </c>
      <c r="G88">
        <v>1</v>
      </c>
      <c r="H88">
        <v>0</v>
      </c>
      <c r="I88">
        <v>0</v>
      </c>
      <c r="J88">
        <v>0</v>
      </c>
      <c r="K88">
        <v>1</v>
      </c>
      <c r="L88">
        <f>INT(VLOOKUP(A88,道具表价值评估!$A:$G,6,0)/10)</f>
        <v>2000</v>
      </c>
      <c r="N88">
        <v>1</v>
      </c>
      <c r="O88">
        <v>2</v>
      </c>
      <c r="P88" t="s">
        <v>68</v>
      </c>
      <c r="Q88" t="str">
        <f t="shared" si="2"/>
        <v>用无数珍贵药材调制而成的秘药，服用后可增加80点体力</v>
      </c>
    </row>
    <row r="89" spans="1:17" x14ac:dyDescent="0.15">
      <c r="A89">
        <v>83100</v>
      </c>
      <c r="B89" t="s">
        <v>543</v>
      </c>
      <c r="C89">
        <v>3</v>
      </c>
      <c r="D89">
        <v>4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N89">
        <v>1</v>
      </c>
      <c r="O89">
        <v>1</v>
      </c>
      <c r="P89" t="s">
        <v>69</v>
      </c>
      <c r="Q89" t="s">
        <v>544</v>
      </c>
    </row>
    <row r="90" spans="1:17" x14ac:dyDescent="0.15">
      <c r="A90">
        <v>70010</v>
      </c>
      <c r="B90" t="s">
        <v>39</v>
      </c>
      <c r="C90">
        <v>31</v>
      </c>
      <c r="D90">
        <v>0</v>
      </c>
      <c r="F90">
        <v>0</v>
      </c>
      <c r="G90">
        <v>1</v>
      </c>
      <c r="H90">
        <v>2</v>
      </c>
      <c r="I90">
        <f>ROUND(道具表价值评估!G89*1.5,0)</f>
        <v>5</v>
      </c>
      <c r="J90">
        <v>0</v>
      </c>
      <c r="K90">
        <v>1</v>
      </c>
      <c r="L90">
        <f>INT(VLOOKUP(A90,道具表价值评估!$A:$G,6,0)/20)</f>
        <v>75</v>
      </c>
      <c r="N90">
        <v>999</v>
      </c>
      <c r="O90">
        <v>2</v>
      </c>
      <c r="P90" t="s">
        <v>70</v>
      </c>
      <c r="Q90" t="s">
        <v>814</v>
      </c>
    </row>
    <row r="91" spans="1:17" x14ac:dyDescent="0.15">
      <c r="A91">
        <v>71010</v>
      </c>
      <c r="B91" t="s">
        <v>40</v>
      </c>
      <c r="C91">
        <v>31</v>
      </c>
      <c r="D91">
        <v>0</v>
      </c>
      <c r="F91">
        <v>0</v>
      </c>
      <c r="G91">
        <v>1</v>
      </c>
      <c r="H91">
        <v>2</v>
      </c>
      <c r="I91">
        <f>ROUND(道具表价值评估!G90*1.5,0)</f>
        <v>5</v>
      </c>
      <c r="J91">
        <v>0</v>
      </c>
      <c r="K91">
        <v>1</v>
      </c>
      <c r="L91">
        <f>INT(VLOOKUP(A91,道具表价值评估!$A:$G,6,0)/20)</f>
        <v>75</v>
      </c>
      <c r="N91">
        <v>999</v>
      </c>
      <c r="O91">
        <v>2</v>
      </c>
      <c r="P91" t="s">
        <v>71</v>
      </c>
      <c r="Q91" t="s">
        <v>814</v>
      </c>
    </row>
    <row r="92" spans="1:17" x14ac:dyDescent="0.15">
      <c r="A92">
        <v>72010</v>
      </c>
      <c r="B92" t="s">
        <v>546</v>
      </c>
      <c r="C92">
        <v>31</v>
      </c>
      <c r="D92">
        <v>0</v>
      </c>
      <c r="F92">
        <v>0</v>
      </c>
      <c r="G92">
        <v>1</v>
      </c>
      <c r="H92">
        <v>2</v>
      </c>
      <c r="I92">
        <f>ROUND(道具表价值评估!G91*1.5,0)</f>
        <v>5</v>
      </c>
      <c r="J92">
        <v>0</v>
      </c>
      <c r="K92">
        <v>1</v>
      </c>
      <c r="L92">
        <f>INT(VLOOKUP(A92,道具表价值评估!$A:$G,6,0)/20)</f>
        <v>75</v>
      </c>
      <c r="N92">
        <v>999</v>
      </c>
      <c r="O92">
        <v>2</v>
      </c>
      <c r="P92" t="s">
        <v>72</v>
      </c>
      <c r="Q92" t="s">
        <v>814</v>
      </c>
    </row>
    <row r="93" spans="1:17" x14ac:dyDescent="0.15">
      <c r="A93">
        <v>73010</v>
      </c>
      <c r="B93" t="s">
        <v>547</v>
      </c>
      <c r="C93">
        <v>31</v>
      </c>
      <c r="D93">
        <v>0</v>
      </c>
      <c r="F93">
        <v>0</v>
      </c>
      <c r="G93">
        <v>1</v>
      </c>
      <c r="H93">
        <v>2</v>
      </c>
      <c r="I93">
        <f>ROUND(道具表价值评估!G92*1.5,0)</f>
        <v>5</v>
      </c>
      <c r="J93">
        <v>0</v>
      </c>
      <c r="K93">
        <v>1</v>
      </c>
      <c r="L93">
        <f>INT(VLOOKUP(A93,道具表价值评估!$A:$G,6,0)/20)</f>
        <v>75</v>
      </c>
      <c r="N93">
        <v>999</v>
      </c>
      <c r="O93">
        <v>2</v>
      </c>
      <c r="P93" t="s">
        <v>73</v>
      </c>
      <c r="Q93" t="s">
        <v>814</v>
      </c>
    </row>
    <row r="94" spans="1:17" x14ac:dyDescent="0.15">
      <c r="A94">
        <v>74010</v>
      </c>
      <c r="B94" t="s">
        <v>548</v>
      </c>
      <c r="C94">
        <v>31</v>
      </c>
      <c r="D94">
        <v>0</v>
      </c>
      <c r="F94">
        <v>0</v>
      </c>
      <c r="G94">
        <v>1</v>
      </c>
      <c r="H94">
        <v>2</v>
      </c>
      <c r="I94">
        <f>ROUND(道具表价值评估!G93*1.5,0)</f>
        <v>5</v>
      </c>
      <c r="J94">
        <v>0</v>
      </c>
      <c r="K94">
        <v>1</v>
      </c>
      <c r="L94">
        <f>INT(VLOOKUP(A94,道具表价值评估!$A:$G,6,0)/20)</f>
        <v>75</v>
      </c>
      <c r="N94">
        <v>999</v>
      </c>
      <c r="O94">
        <v>2</v>
      </c>
      <c r="P94" t="s">
        <v>74</v>
      </c>
      <c r="Q94" t="s">
        <v>814</v>
      </c>
    </row>
    <row r="95" spans="1:17" x14ac:dyDescent="0.15">
      <c r="A95">
        <v>75010</v>
      </c>
      <c r="B95" t="s">
        <v>41</v>
      </c>
      <c r="C95">
        <v>31</v>
      </c>
      <c r="D95">
        <v>0</v>
      </c>
      <c r="F95">
        <v>0</v>
      </c>
      <c r="G95">
        <v>1</v>
      </c>
      <c r="H95">
        <v>2</v>
      </c>
      <c r="I95">
        <f>ROUND(道具表价值评估!G94*1.5,0)</f>
        <v>5</v>
      </c>
      <c r="J95">
        <v>0</v>
      </c>
      <c r="K95">
        <v>1</v>
      </c>
      <c r="L95">
        <f>INT(VLOOKUP(A95,道具表价值评估!$A:$G,6,0)/20)</f>
        <v>75</v>
      </c>
      <c r="N95">
        <v>999</v>
      </c>
      <c r="O95">
        <v>2</v>
      </c>
      <c r="P95" t="s">
        <v>75</v>
      </c>
      <c r="Q95" t="s">
        <v>814</v>
      </c>
    </row>
    <row r="96" spans="1:17" x14ac:dyDescent="0.15">
      <c r="A96">
        <v>80110</v>
      </c>
      <c r="B96" t="s">
        <v>891</v>
      </c>
      <c r="C96">
        <v>10</v>
      </c>
      <c r="D96">
        <v>4</v>
      </c>
      <c r="E96" s="12">
        <v>500</v>
      </c>
      <c r="F96">
        <v>0</v>
      </c>
      <c r="G96">
        <v>0</v>
      </c>
      <c r="H96">
        <v>0</v>
      </c>
      <c r="I96">
        <v>0</v>
      </c>
      <c r="J96">
        <v>0</v>
      </c>
      <c r="K96">
        <v>1</v>
      </c>
      <c r="L96">
        <f>INT(VLOOKUP(A96,道具表价值评估!$A:$G,6,0)/10)</f>
        <v>1000</v>
      </c>
      <c r="N96">
        <v>999</v>
      </c>
      <c r="O96">
        <v>0</v>
      </c>
      <c r="P96" t="s">
        <v>42</v>
      </c>
      <c r="Q96" t="str">
        <f>"常见的龙魂货币，使用后可以获得"&amp;E96&amp;"点龙魂"</f>
        <v>常见的龙魂货币，使用后可以获得500点龙魂</v>
      </c>
    </row>
    <row r="97" spans="1:17" x14ac:dyDescent="0.15">
      <c r="A97">
        <v>80210</v>
      </c>
      <c r="B97" t="s">
        <v>892</v>
      </c>
      <c r="C97">
        <v>10</v>
      </c>
      <c r="D97">
        <v>4</v>
      </c>
      <c r="E97" s="12">
        <v>1000</v>
      </c>
      <c r="F97">
        <v>0</v>
      </c>
      <c r="G97">
        <v>0</v>
      </c>
      <c r="H97">
        <v>0</v>
      </c>
      <c r="I97">
        <v>0</v>
      </c>
      <c r="J97">
        <v>0</v>
      </c>
      <c r="K97">
        <v>1</v>
      </c>
      <c r="L97">
        <f>INT(VLOOKUP(A97,道具表价值评估!$A:$G,6,0)/10)</f>
        <v>2000</v>
      </c>
      <c r="N97">
        <v>999</v>
      </c>
      <c r="O97">
        <v>1</v>
      </c>
      <c r="P97" t="s">
        <v>42</v>
      </c>
      <c r="Q97" t="str">
        <f>"少见的龙魂货币，使用后可以获得"&amp;E97&amp;"点龙魂"</f>
        <v>少见的龙魂货币，使用后可以获得1000点龙魂</v>
      </c>
    </row>
    <row r="98" spans="1:17" x14ac:dyDescent="0.15">
      <c r="A98">
        <v>80310</v>
      </c>
      <c r="B98" t="s">
        <v>893</v>
      </c>
      <c r="C98">
        <v>10</v>
      </c>
      <c r="D98">
        <v>4</v>
      </c>
      <c r="E98" s="12">
        <v>2000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>
        <f>INT(VLOOKUP(A98,道具表价值评估!$A:$G,6,0)/10)</f>
        <v>4000</v>
      </c>
      <c r="N98">
        <v>999</v>
      </c>
      <c r="O98">
        <v>2</v>
      </c>
      <c r="P98" t="s">
        <v>42</v>
      </c>
      <c r="Q98" t="str">
        <f>"珍贵的龙魂货币，使用后可以获得"&amp;E98&amp;"点龙魂"</f>
        <v>珍贵的龙魂货币，使用后可以获得2000点龙魂</v>
      </c>
    </row>
    <row r="99" spans="1:17" x14ac:dyDescent="0.15">
      <c r="A99">
        <v>80410</v>
      </c>
      <c r="B99" t="s">
        <v>897</v>
      </c>
      <c r="C99">
        <v>15</v>
      </c>
      <c r="D99">
        <v>4</v>
      </c>
      <c r="E99" s="12">
        <v>5000</v>
      </c>
      <c r="F99">
        <v>0</v>
      </c>
      <c r="G99">
        <v>0</v>
      </c>
      <c r="H99">
        <v>0</v>
      </c>
      <c r="I99">
        <v>0</v>
      </c>
      <c r="J99">
        <v>0</v>
      </c>
      <c r="K99">
        <v>1</v>
      </c>
      <c r="L99">
        <f>INT(VLOOKUP(A99,道具表价值评估!$A:$G,6,0)/10)</f>
        <v>250</v>
      </c>
      <c r="N99">
        <v>999</v>
      </c>
      <c r="O99">
        <v>0</v>
      </c>
      <c r="P99" t="s">
        <v>45</v>
      </c>
      <c r="Q99" t="s">
        <v>900</v>
      </c>
    </row>
    <row r="100" spans="1:17" x14ac:dyDescent="0.15">
      <c r="A100">
        <v>80510</v>
      </c>
      <c r="B100" t="s">
        <v>898</v>
      </c>
      <c r="C100">
        <v>15</v>
      </c>
      <c r="D100">
        <v>4</v>
      </c>
      <c r="E100" s="12">
        <v>10000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</v>
      </c>
      <c r="L100">
        <f>INT(VLOOKUP(A100,道具表价值评估!$A:$G,6,0)/10)</f>
        <v>500</v>
      </c>
      <c r="N100">
        <v>999</v>
      </c>
      <c r="O100">
        <v>1</v>
      </c>
      <c r="P100" t="s">
        <v>45</v>
      </c>
      <c r="Q100" t="s">
        <v>901</v>
      </c>
    </row>
    <row r="101" spans="1:17" x14ac:dyDescent="0.15">
      <c r="A101">
        <v>80610</v>
      </c>
      <c r="B101" t="s">
        <v>899</v>
      </c>
      <c r="C101">
        <v>15</v>
      </c>
      <c r="D101">
        <v>4</v>
      </c>
      <c r="E101" s="12">
        <v>20000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f>INT(VLOOKUP(A101,道具表价值评估!$A:$G,6,0)/10)</f>
        <v>1000</v>
      </c>
      <c r="N101">
        <v>999</v>
      </c>
      <c r="O101">
        <v>2</v>
      </c>
      <c r="P101" t="s">
        <v>45</v>
      </c>
      <c r="Q101" t="s">
        <v>902</v>
      </c>
    </row>
    <row r="102" spans="1:17" x14ac:dyDescent="0.15">
      <c r="A102" s="13">
        <v>87300</v>
      </c>
      <c r="B102" s="13" t="s">
        <v>711</v>
      </c>
      <c r="H102">
        <v>0</v>
      </c>
      <c r="I102">
        <v>0</v>
      </c>
      <c r="J102">
        <v>0</v>
      </c>
      <c r="K102">
        <v>0</v>
      </c>
      <c r="L102">
        <f>INT(VLOOKUP(A102,道具表价值评估!$A:$G,6,0)/10)</f>
        <v>50</v>
      </c>
      <c r="N102">
        <v>9999999</v>
      </c>
      <c r="O102">
        <v>-1</v>
      </c>
      <c r="P102" t="s">
        <v>43</v>
      </c>
      <c r="Q102" t="s">
        <v>712</v>
      </c>
    </row>
    <row r="103" spans="1:17" x14ac:dyDescent="0.15">
      <c r="A103" s="13">
        <v>83300</v>
      </c>
      <c r="B103" s="13" t="s">
        <v>713</v>
      </c>
      <c r="H103">
        <v>0</v>
      </c>
      <c r="I103">
        <v>0</v>
      </c>
      <c r="J103">
        <v>0</v>
      </c>
      <c r="K103">
        <v>0</v>
      </c>
      <c r="L103">
        <f>INT(VLOOKUP(A103,道具表价值评估!$A:$G,6,0)/10)</f>
        <v>0</v>
      </c>
      <c r="N103">
        <v>9999999</v>
      </c>
      <c r="O103">
        <v>-1</v>
      </c>
      <c r="P103" t="s">
        <v>44</v>
      </c>
      <c r="Q103" t="s">
        <v>714</v>
      </c>
    </row>
    <row r="104" spans="1:17" x14ac:dyDescent="0.15">
      <c r="A104" s="13">
        <v>83301</v>
      </c>
      <c r="B104" s="13" t="s">
        <v>805</v>
      </c>
      <c r="H104">
        <v>0</v>
      </c>
      <c r="I104">
        <v>0</v>
      </c>
      <c r="J104">
        <v>0</v>
      </c>
      <c r="K104">
        <v>0</v>
      </c>
      <c r="L104">
        <f>INT(VLOOKUP(A104,道具表价值评估!$A:$G,6,0)/10)</f>
        <v>2</v>
      </c>
      <c r="N104">
        <v>9999999</v>
      </c>
      <c r="O104">
        <v>-1</v>
      </c>
      <c r="P104" t="s">
        <v>42</v>
      </c>
      <c r="Q104" t="s">
        <v>809</v>
      </c>
    </row>
    <row r="105" spans="1:17" x14ac:dyDescent="0.15">
      <c r="A105" s="13">
        <v>83302</v>
      </c>
      <c r="B105" s="13" t="s">
        <v>717</v>
      </c>
      <c r="H105">
        <v>0</v>
      </c>
      <c r="I105">
        <v>0</v>
      </c>
      <c r="J105">
        <v>0</v>
      </c>
      <c r="K105">
        <v>0</v>
      </c>
      <c r="L105">
        <f>INT(VLOOKUP(A105,道具表价值评估!$A:$G,6,0)/10)</f>
        <v>0</v>
      </c>
      <c r="N105">
        <v>9999999</v>
      </c>
      <c r="O105">
        <v>-1</v>
      </c>
      <c r="P105" t="s">
        <v>45</v>
      </c>
      <c r="Q105" t="s">
        <v>810</v>
      </c>
    </row>
    <row r="106" spans="1:17" x14ac:dyDescent="0.15">
      <c r="A106" s="13">
        <v>83303</v>
      </c>
      <c r="B106" s="13" t="s">
        <v>394</v>
      </c>
      <c r="H106">
        <v>0</v>
      </c>
      <c r="I106">
        <v>0</v>
      </c>
      <c r="J106">
        <v>0</v>
      </c>
      <c r="K106">
        <v>0</v>
      </c>
      <c r="L106">
        <f>INT(VLOOKUP(A106,道具表价值评估!$A:$G,6,0)/10)</f>
        <v>5</v>
      </c>
      <c r="N106">
        <v>9999999</v>
      </c>
      <c r="O106">
        <v>-1</v>
      </c>
      <c r="P106" t="s">
        <v>46</v>
      </c>
      <c r="Q106" t="s">
        <v>811</v>
      </c>
    </row>
    <row r="107" spans="1:17" x14ac:dyDescent="0.15">
      <c r="A107">
        <v>89101</v>
      </c>
      <c r="B107" t="s">
        <v>236</v>
      </c>
      <c r="C107">
        <v>14</v>
      </c>
      <c r="D107">
        <v>5</v>
      </c>
      <c r="E107">
        <v>24</v>
      </c>
      <c r="H107">
        <v>0</v>
      </c>
      <c r="I107">
        <v>0</v>
      </c>
      <c r="J107">
        <v>0</v>
      </c>
      <c r="K107">
        <v>0</v>
      </c>
      <c r="L107">
        <f>INT(VLOOKUP(A107,道具表价值评估!$A:$G,6,0)/10)</f>
        <v>0</v>
      </c>
      <c r="N107">
        <v>1</v>
      </c>
      <c r="O107">
        <v>4</v>
      </c>
      <c r="P107" t="s">
        <v>251</v>
      </c>
      <c r="Q107" t="s">
        <v>806</v>
      </c>
    </row>
    <row r="108" spans="1:17" x14ac:dyDescent="0.15">
      <c r="A108">
        <v>89102</v>
      </c>
      <c r="B108" t="s">
        <v>237</v>
      </c>
      <c r="C108">
        <v>14</v>
      </c>
      <c r="D108">
        <v>5</v>
      </c>
      <c r="E108">
        <v>48</v>
      </c>
      <c r="H108">
        <v>0</v>
      </c>
      <c r="I108">
        <v>0</v>
      </c>
      <c r="J108">
        <v>0</v>
      </c>
      <c r="K108">
        <v>0</v>
      </c>
      <c r="L108">
        <f>INT(VLOOKUP(A108,道具表价值评估!$A:$G,6,0)/10)</f>
        <v>0</v>
      </c>
      <c r="N108">
        <v>1</v>
      </c>
      <c r="O108">
        <v>4</v>
      </c>
      <c r="P108" t="s">
        <v>251</v>
      </c>
      <c r="Q108" t="s">
        <v>807</v>
      </c>
    </row>
    <row r="109" spans="1:17" x14ac:dyDescent="0.15">
      <c r="A109" s="13">
        <v>89106</v>
      </c>
      <c r="B109" s="13" t="s">
        <v>395</v>
      </c>
      <c r="C109">
        <v>16</v>
      </c>
      <c r="D109">
        <v>4</v>
      </c>
      <c r="E109">
        <v>100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f>INT(VLOOKUP(A109,道具表价值评估!$A:$G,6,0)/10)</f>
        <v>0</v>
      </c>
      <c r="M109">
        <v>0</v>
      </c>
      <c r="N109">
        <v>999</v>
      </c>
      <c r="O109">
        <v>2</v>
      </c>
      <c r="P109" t="s">
        <v>48</v>
      </c>
      <c r="Q109" t="s">
        <v>808</v>
      </c>
    </row>
    <row r="110" spans="1:17" s="17" customFormat="1" x14ac:dyDescent="0.15">
      <c r="A110" s="13">
        <v>89107</v>
      </c>
      <c r="B110" s="13" t="s">
        <v>396</v>
      </c>
      <c r="C110" s="17">
        <v>0</v>
      </c>
      <c r="D110" s="17">
        <v>0</v>
      </c>
      <c r="E110" s="17">
        <v>0</v>
      </c>
      <c r="F110" s="17">
        <v>0</v>
      </c>
      <c r="G110" s="17">
        <v>0</v>
      </c>
      <c r="H110" s="17">
        <v>0</v>
      </c>
      <c r="I110">
        <f>ROUND(道具表价值评估!G109,0)</f>
        <v>1</v>
      </c>
      <c r="J110">
        <v>0</v>
      </c>
      <c r="K110" s="17">
        <v>2</v>
      </c>
      <c r="L110">
        <f>INT(VLOOKUP(A110,道具表价值评估!$A:$G,6,0)/5)</f>
        <v>100</v>
      </c>
      <c r="M110" s="17">
        <v>0</v>
      </c>
      <c r="N110" s="17">
        <v>999</v>
      </c>
      <c r="O110" s="17">
        <v>2</v>
      </c>
      <c r="P110" s="17" t="s">
        <v>274</v>
      </c>
      <c r="Q110" t="s">
        <v>856</v>
      </c>
    </row>
    <row r="111" spans="1:17" x14ac:dyDescent="0.15">
      <c r="A111">
        <v>89108</v>
      </c>
      <c r="B111" s="17" t="s">
        <v>271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f>INT(VLOOKUP(A111,道具表价值评估!$A:$G,6,0)/10)</f>
        <v>0</v>
      </c>
      <c r="M111">
        <v>0</v>
      </c>
      <c r="N111">
        <v>999</v>
      </c>
      <c r="O111" s="17">
        <v>1</v>
      </c>
    </row>
    <row r="112" spans="1:17" x14ac:dyDescent="0.15">
      <c r="A112">
        <v>89109</v>
      </c>
      <c r="B112" t="s">
        <v>272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f>INT(VLOOKUP(A112,道具表价值评估!$A:$G,6,0)/10)</f>
        <v>0</v>
      </c>
      <c r="M112">
        <v>0</v>
      </c>
      <c r="N112">
        <v>999</v>
      </c>
      <c r="O112" s="17">
        <v>2</v>
      </c>
    </row>
    <row r="113" spans="1:17" x14ac:dyDescent="0.15">
      <c r="A113">
        <v>89110</v>
      </c>
      <c r="B113" t="s">
        <v>273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</v>
      </c>
      <c r="L113">
        <f>INT(VLOOKUP(A113,道具表价值评估!$A:$G,6,0)/10)</f>
        <v>0</v>
      </c>
      <c r="M113">
        <v>0</v>
      </c>
      <c r="N113">
        <v>999</v>
      </c>
      <c r="O113" s="17">
        <v>3</v>
      </c>
    </row>
    <row r="114" spans="1:17" x14ac:dyDescent="0.15">
      <c r="A114" s="13">
        <v>89111</v>
      </c>
      <c r="B114" s="13" t="s">
        <v>865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f>ROUND(道具表价值评估!G113,0)</f>
        <v>1</v>
      </c>
      <c r="J114">
        <v>0</v>
      </c>
      <c r="K114">
        <v>2</v>
      </c>
      <c r="L114">
        <f>INT(VLOOKUP(A114,道具表价值评估!$A:$G,6,0)/5)</f>
        <v>100</v>
      </c>
      <c r="M114">
        <v>0</v>
      </c>
      <c r="N114">
        <v>999</v>
      </c>
      <c r="O114" s="17">
        <v>2</v>
      </c>
      <c r="P114" t="s">
        <v>59</v>
      </c>
      <c r="Q114" t="s">
        <v>866</v>
      </c>
    </row>
    <row r="115" spans="1:17" x14ac:dyDescent="0.15">
      <c r="A115">
        <v>83304</v>
      </c>
      <c r="B115" t="s">
        <v>847</v>
      </c>
      <c r="C115">
        <v>0</v>
      </c>
      <c r="D115">
        <v>0</v>
      </c>
      <c r="E115">
        <v>0</v>
      </c>
      <c r="F115">
        <v>0</v>
      </c>
      <c r="G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999</v>
      </c>
      <c r="O115" s="17">
        <v>2</v>
      </c>
      <c r="P115" t="s">
        <v>275</v>
      </c>
      <c r="Q115" s="17" t="s">
        <v>849</v>
      </c>
    </row>
    <row r="116" spans="1:17" x14ac:dyDescent="0.15">
      <c r="A116">
        <v>85200</v>
      </c>
      <c r="B116" t="s">
        <v>397</v>
      </c>
      <c r="C116">
        <v>0</v>
      </c>
      <c r="D116">
        <v>0</v>
      </c>
      <c r="E116" s="12">
        <v>50</v>
      </c>
      <c r="F116">
        <v>0</v>
      </c>
      <c r="G116">
        <v>0</v>
      </c>
      <c r="H116">
        <v>2</v>
      </c>
      <c r="I116">
        <f>ROUND(道具表价值评估!G115,0)</f>
        <v>10</v>
      </c>
      <c r="J116">
        <v>0</v>
      </c>
      <c r="K116">
        <v>1</v>
      </c>
      <c r="L116">
        <f>INT(VLOOKUP(A116,道具表价值评估!$A:$G,6,0)/20)</f>
        <v>250</v>
      </c>
      <c r="N116">
        <v>9999</v>
      </c>
      <c r="O116">
        <v>1</v>
      </c>
      <c r="P116" t="s">
        <v>276</v>
      </c>
      <c r="Q116" t="s">
        <v>857</v>
      </c>
    </row>
    <row r="117" spans="1:17" x14ac:dyDescent="0.15">
      <c r="A117">
        <v>85300</v>
      </c>
      <c r="B117" t="s">
        <v>398</v>
      </c>
      <c r="C117">
        <v>0</v>
      </c>
      <c r="D117">
        <v>0</v>
      </c>
      <c r="E117" s="12">
        <v>50</v>
      </c>
      <c r="F117">
        <v>0</v>
      </c>
      <c r="G117">
        <v>0</v>
      </c>
      <c r="H117">
        <v>2</v>
      </c>
      <c r="I117">
        <f>ROUND(道具表价值评估!G116,0)</f>
        <v>30</v>
      </c>
      <c r="J117">
        <v>0</v>
      </c>
      <c r="K117">
        <v>1</v>
      </c>
      <c r="L117">
        <f>INT(VLOOKUP(A117,道具表价值评估!$A:$G,6,0)/20)</f>
        <v>750</v>
      </c>
      <c r="N117">
        <v>9999</v>
      </c>
      <c r="O117">
        <v>2</v>
      </c>
      <c r="P117" t="s">
        <v>277</v>
      </c>
      <c r="Q117" t="s">
        <v>858</v>
      </c>
    </row>
    <row r="118" spans="1:17" x14ac:dyDescent="0.15">
      <c r="A118">
        <v>85400</v>
      </c>
      <c r="B118" t="s">
        <v>399</v>
      </c>
      <c r="C118">
        <v>0</v>
      </c>
      <c r="D118">
        <v>0</v>
      </c>
      <c r="E118" s="12">
        <v>50</v>
      </c>
      <c r="F118">
        <v>0</v>
      </c>
      <c r="G118">
        <v>0</v>
      </c>
      <c r="H118">
        <v>2</v>
      </c>
      <c r="I118">
        <f>ROUND(道具表价值评估!G117,0)</f>
        <v>80</v>
      </c>
      <c r="J118">
        <v>0</v>
      </c>
      <c r="K118">
        <v>1</v>
      </c>
      <c r="L118">
        <f>INT(VLOOKUP(A118,道具表价值评估!$A:$G,6,0)/20)</f>
        <v>2000</v>
      </c>
      <c r="N118">
        <v>9999</v>
      </c>
      <c r="O118">
        <v>3</v>
      </c>
      <c r="P118" t="s">
        <v>278</v>
      </c>
      <c r="Q118" t="s">
        <v>859</v>
      </c>
    </row>
    <row r="119" spans="1:17" x14ac:dyDescent="0.15">
      <c r="A119">
        <v>85500</v>
      </c>
      <c r="B119" t="s">
        <v>400</v>
      </c>
      <c r="C119">
        <v>0</v>
      </c>
      <c r="D119">
        <v>0</v>
      </c>
      <c r="E119" s="12">
        <v>50</v>
      </c>
      <c r="F119">
        <v>0</v>
      </c>
      <c r="G119">
        <v>0</v>
      </c>
      <c r="H119">
        <v>2</v>
      </c>
      <c r="I119">
        <f>ROUND(道具表价值评估!G118,0)</f>
        <v>100</v>
      </c>
      <c r="J119">
        <v>0</v>
      </c>
      <c r="K119">
        <v>1</v>
      </c>
      <c r="L119">
        <f>INT(VLOOKUP(A119,道具表价值评估!$A:$G,6,0)/20)</f>
        <v>2500</v>
      </c>
      <c r="N119">
        <v>9999</v>
      </c>
      <c r="O119">
        <v>4</v>
      </c>
      <c r="P119" t="s">
        <v>279</v>
      </c>
      <c r="Q119" t="s">
        <v>860</v>
      </c>
    </row>
    <row r="120" spans="1:17" x14ac:dyDescent="0.15">
      <c r="A120">
        <v>86001</v>
      </c>
      <c r="B120" t="s">
        <v>1075</v>
      </c>
      <c r="C120">
        <v>3</v>
      </c>
      <c r="D120">
        <v>4</v>
      </c>
      <c r="E120" s="14">
        <v>486001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10</v>
      </c>
      <c r="O120">
        <v>0</v>
      </c>
      <c r="P120" t="s">
        <v>1076</v>
      </c>
      <c r="Q120" t="s">
        <v>1077</v>
      </c>
    </row>
    <row r="121" spans="1:17" x14ac:dyDescent="0.15">
      <c r="A121">
        <v>86002</v>
      </c>
      <c r="B121" t="s">
        <v>1075</v>
      </c>
      <c r="C121">
        <v>3</v>
      </c>
      <c r="D121">
        <v>4</v>
      </c>
      <c r="E121" s="14">
        <v>486002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10</v>
      </c>
      <c r="O121">
        <v>1</v>
      </c>
      <c r="P121" t="s">
        <v>1076</v>
      </c>
      <c r="Q121" t="s">
        <v>1078</v>
      </c>
    </row>
    <row r="122" spans="1:17" x14ac:dyDescent="0.15">
      <c r="A122">
        <v>86003</v>
      </c>
      <c r="B122" t="s">
        <v>1075</v>
      </c>
      <c r="C122">
        <v>3</v>
      </c>
      <c r="D122">
        <v>4</v>
      </c>
      <c r="E122" s="14">
        <v>486003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10</v>
      </c>
      <c r="O122">
        <v>2</v>
      </c>
      <c r="P122" t="s">
        <v>1076</v>
      </c>
      <c r="Q122" t="s">
        <v>1079</v>
      </c>
    </row>
    <row r="123" spans="1:17" x14ac:dyDescent="0.15">
      <c r="A123">
        <v>86004</v>
      </c>
      <c r="B123" t="s">
        <v>1075</v>
      </c>
      <c r="C123">
        <v>3</v>
      </c>
      <c r="D123">
        <v>4</v>
      </c>
      <c r="E123" s="14">
        <v>486004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10</v>
      </c>
      <c r="O123">
        <v>3</v>
      </c>
      <c r="P123" t="s">
        <v>1076</v>
      </c>
      <c r="Q123" t="s">
        <v>1080</v>
      </c>
    </row>
    <row r="124" spans="1:17" x14ac:dyDescent="0.15">
      <c r="A124">
        <v>86005</v>
      </c>
      <c r="B124" t="s">
        <v>1075</v>
      </c>
      <c r="C124">
        <v>3</v>
      </c>
      <c r="D124">
        <v>4</v>
      </c>
      <c r="E124" s="14">
        <v>486005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10</v>
      </c>
      <c r="O124">
        <v>4</v>
      </c>
      <c r="P124" t="s">
        <v>1076</v>
      </c>
      <c r="Q124" t="s">
        <v>1081</v>
      </c>
    </row>
    <row r="125" spans="1:17" x14ac:dyDescent="0.15">
      <c r="A125">
        <v>86110</v>
      </c>
      <c r="B125" t="s">
        <v>1046</v>
      </c>
      <c r="C125">
        <v>3</v>
      </c>
      <c r="D125">
        <v>4</v>
      </c>
      <c r="E125" s="14">
        <v>486110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10</v>
      </c>
      <c r="O125">
        <v>0</v>
      </c>
      <c r="P125" t="s">
        <v>69</v>
      </c>
      <c r="Q125" t="s">
        <v>1048</v>
      </c>
    </row>
    <row r="126" spans="1:17" x14ac:dyDescent="0.15">
      <c r="A126">
        <v>86120</v>
      </c>
      <c r="B126" t="s">
        <v>1046</v>
      </c>
      <c r="C126">
        <v>3</v>
      </c>
      <c r="D126">
        <v>4</v>
      </c>
      <c r="E126" s="14">
        <v>486120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10</v>
      </c>
      <c r="O126">
        <v>1</v>
      </c>
      <c r="P126" t="s">
        <v>69</v>
      </c>
      <c r="Q126" t="s">
        <v>1049</v>
      </c>
    </row>
    <row r="127" spans="1:17" x14ac:dyDescent="0.15">
      <c r="A127">
        <v>86130</v>
      </c>
      <c r="B127" t="s">
        <v>1046</v>
      </c>
      <c r="C127">
        <v>3</v>
      </c>
      <c r="D127">
        <v>4</v>
      </c>
      <c r="E127" s="14">
        <v>486130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10</v>
      </c>
      <c r="O127">
        <v>2</v>
      </c>
      <c r="P127" t="s">
        <v>69</v>
      </c>
      <c r="Q127" t="s">
        <v>1050</v>
      </c>
    </row>
    <row r="128" spans="1:17" x14ac:dyDescent="0.15">
      <c r="A128">
        <v>86140</v>
      </c>
      <c r="B128" t="s">
        <v>1046</v>
      </c>
      <c r="C128">
        <v>3</v>
      </c>
      <c r="D128">
        <v>4</v>
      </c>
      <c r="E128" s="14">
        <v>486140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10</v>
      </c>
      <c r="O128">
        <v>3</v>
      </c>
      <c r="P128" t="s">
        <v>69</v>
      </c>
      <c r="Q128" t="s">
        <v>1051</v>
      </c>
    </row>
    <row r="129" spans="1:17" x14ac:dyDescent="0.15">
      <c r="A129">
        <v>86150</v>
      </c>
      <c r="B129" t="s">
        <v>1046</v>
      </c>
      <c r="C129">
        <v>3</v>
      </c>
      <c r="D129">
        <v>4</v>
      </c>
      <c r="E129" s="14">
        <v>486150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10</v>
      </c>
      <c r="O129">
        <v>4</v>
      </c>
      <c r="P129" t="s">
        <v>69</v>
      </c>
      <c r="Q129" t="s">
        <v>1052</v>
      </c>
    </row>
    <row r="130" spans="1:17" x14ac:dyDescent="0.15">
      <c r="A130" s="13">
        <v>83305</v>
      </c>
      <c r="B130" s="13" t="s">
        <v>867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9999999</v>
      </c>
      <c r="O130">
        <v>-1</v>
      </c>
      <c r="P130" t="s">
        <v>868</v>
      </c>
      <c r="Q130" t="s">
        <v>1045</v>
      </c>
    </row>
    <row r="131" spans="1:17" x14ac:dyDescent="0.15">
      <c r="A131">
        <v>83306</v>
      </c>
      <c r="B131" t="s">
        <v>869</v>
      </c>
      <c r="C131">
        <v>17</v>
      </c>
      <c r="D131">
        <v>4</v>
      </c>
      <c r="E131" s="24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2</v>
      </c>
      <c r="P131" t="s">
        <v>871</v>
      </c>
      <c r="Q131" t="s">
        <v>903</v>
      </c>
    </row>
    <row r="132" spans="1:17" x14ac:dyDescent="0.15">
      <c r="A132">
        <v>83307</v>
      </c>
      <c r="B132" t="s">
        <v>870</v>
      </c>
      <c r="C132">
        <v>18</v>
      </c>
      <c r="D132">
        <v>4</v>
      </c>
      <c r="E132" s="24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1</v>
      </c>
      <c r="O132">
        <v>2</v>
      </c>
      <c r="P132" t="s">
        <v>872</v>
      </c>
      <c r="Q132" t="s">
        <v>904</v>
      </c>
    </row>
    <row r="133" spans="1:17" x14ac:dyDescent="0.15">
      <c r="A133">
        <v>83308</v>
      </c>
      <c r="B133" t="s">
        <v>906</v>
      </c>
      <c r="C133">
        <v>19</v>
      </c>
      <c r="D133">
        <v>4</v>
      </c>
      <c r="E133" s="24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1</v>
      </c>
      <c r="O133">
        <v>2</v>
      </c>
      <c r="P133" t="s">
        <v>873</v>
      </c>
      <c r="Q133" t="s">
        <v>905</v>
      </c>
    </row>
    <row r="134" spans="1:17" x14ac:dyDescent="0.15">
      <c r="A134">
        <v>86010</v>
      </c>
      <c r="B134" t="s">
        <v>1082</v>
      </c>
      <c r="C134">
        <v>3</v>
      </c>
      <c r="D134">
        <v>4</v>
      </c>
      <c r="E134">
        <v>486010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50</v>
      </c>
      <c r="O134">
        <v>2</v>
      </c>
      <c r="P134" t="s">
        <v>1083</v>
      </c>
      <c r="Q134" t="s">
        <v>887</v>
      </c>
    </row>
    <row r="135" spans="1:17" x14ac:dyDescent="0.15">
      <c r="A135">
        <v>86021</v>
      </c>
      <c r="B135" t="s">
        <v>908</v>
      </c>
      <c r="C135">
        <v>3</v>
      </c>
      <c r="D135">
        <v>4</v>
      </c>
      <c r="E135" s="24">
        <v>486021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10</v>
      </c>
      <c r="O135">
        <v>2</v>
      </c>
      <c r="P135" t="s">
        <v>69</v>
      </c>
      <c r="Q135" t="s">
        <v>1058</v>
      </c>
    </row>
    <row r="136" spans="1:17" x14ac:dyDescent="0.15">
      <c r="A136">
        <v>86022</v>
      </c>
      <c r="B136" t="s">
        <v>909</v>
      </c>
      <c r="C136">
        <v>3</v>
      </c>
      <c r="D136">
        <v>4</v>
      </c>
      <c r="E136" s="24">
        <v>486022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10</v>
      </c>
      <c r="O136">
        <v>3</v>
      </c>
      <c r="P136" t="s">
        <v>69</v>
      </c>
      <c r="Q136" t="s">
        <v>1059</v>
      </c>
    </row>
    <row r="137" spans="1:17" x14ac:dyDescent="0.15">
      <c r="A137">
        <v>86023</v>
      </c>
      <c r="B137" t="s">
        <v>1071</v>
      </c>
      <c r="C137">
        <v>3</v>
      </c>
      <c r="D137">
        <v>4</v>
      </c>
      <c r="E137" s="24">
        <v>486023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10</v>
      </c>
      <c r="O137">
        <v>4</v>
      </c>
      <c r="P137" t="s">
        <v>69</v>
      </c>
      <c r="Q137" t="s">
        <v>1072</v>
      </c>
    </row>
    <row r="138" spans="1:17" x14ac:dyDescent="0.15">
      <c r="A138">
        <f>A63+100</f>
        <v>78214</v>
      </c>
      <c r="B138" t="s">
        <v>910</v>
      </c>
      <c r="C138">
        <v>8</v>
      </c>
      <c r="D138">
        <v>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514</v>
      </c>
      <c r="N138">
        <v>999</v>
      </c>
      <c r="O138">
        <v>3</v>
      </c>
      <c r="P138" t="s">
        <v>54</v>
      </c>
      <c r="Q138" t="s">
        <v>1041</v>
      </c>
    </row>
    <row r="139" spans="1:17" x14ac:dyDescent="0.15">
      <c r="A139">
        <f>A64+100</f>
        <v>78215</v>
      </c>
      <c r="B139" t="s">
        <v>911</v>
      </c>
      <c r="C139">
        <v>8</v>
      </c>
      <c r="D139">
        <v>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515</v>
      </c>
      <c r="N139">
        <v>999</v>
      </c>
      <c r="O139">
        <v>3</v>
      </c>
      <c r="P139" t="s">
        <v>55</v>
      </c>
      <c r="Q139" t="s">
        <v>1042</v>
      </c>
    </row>
    <row r="140" spans="1:17" x14ac:dyDescent="0.15">
      <c r="A140">
        <f>A65+100</f>
        <v>78216</v>
      </c>
      <c r="B140" t="s">
        <v>912</v>
      </c>
      <c r="C140">
        <v>8</v>
      </c>
      <c r="D140">
        <v>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516</v>
      </c>
      <c r="N140">
        <v>999</v>
      </c>
      <c r="O140">
        <v>3</v>
      </c>
      <c r="P140" t="s">
        <v>56</v>
      </c>
      <c r="Q140" t="s">
        <v>1043</v>
      </c>
    </row>
    <row r="141" spans="1:17" x14ac:dyDescent="0.15">
      <c r="A141">
        <v>83309</v>
      </c>
      <c r="B141" t="s">
        <v>929</v>
      </c>
      <c r="N141">
        <v>9999999</v>
      </c>
      <c r="O141">
        <v>-1</v>
      </c>
      <c r="P141" t="s">
        <v>930</v>
      </c>
      <c r="Q141" t="s">
        <v>931</v>
      </c>
    </row>
    <row r="142" spans="1:17" x14ac:dyDescent="0.15">
      <c r="A142">
        <v>86121</v>
      </c>
      <c r="B142" t="s">
        <v>1044</v>
      </c>
      <c r="C142">
        <v>3</v>
      </c>
      <c r="D142">
        <v>4</v>
      </c>
      <c r="E142" s="14">
        <f t="shared" ref="E142:E145" si="3">A142+400000</f>
        <v>486121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50</v>
      </c>
      <c r="O142">
        <v>1</v>
      </c>
      <c r="P142" t="s">
        <v>1073</v>
      </c>
      <c r="Q142" t="s">
        <v>1060</v>
      </c>
    </row>
    <row r="143" spans="1:17" x14ac:dyDescent="0.15">
      <c r="A143">
        <v>86131</v>
      </c>
      <c r="B143" t="s">
        <v>1044</v>
      </c>
      <c r="C143">
        <v>3</v>
      </c>
      <c r="D143">
        <v>4</v>
      </c>
      <c r="E143" s="14">
        <f t="shared" si="3"/>
        <v>486131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50</v>
      </c>
      <c r="O143">
        <v>2</v>
      </c>
      <c r="P143" t="s">
        <v>1073</v>
      </c>
      <c r="Q143" t="s">
        <v>1061</v>
      </c>
    </row>
    <row r="144" spans="1:17" x14ac:dyDescent="0.15">
      <c r="A144">
        <v>86141</v>
      </c>
      <c r="B144" t="s">
        <v>1044</v>
      </c>
      <c r="C144">
        <v>3</v>
      </c>
      <c r="D144">
        <v>4</v>
      </c>
      <c r="E144" s="14">
        <f t="shared" si="3"/>
        <v>486141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50</v>
      </c>
      <c r="O144">
        <v>3</v>
      </c>
      <c r="P144" t="s">
        <v>1073</v>
      </c>
      <c r="Q144" t="s">
        <v>1062</v>
      </c>
    </row>
    <row r="145" spans="1:17" x14ac:dyDescent="0.15">
      <c r="A145">
        <v>86151</v>
      </c>
      <c r="B145" t="s">
        <v>1044</v>
      </c>
      <c r="C145">
        <v>3</v>
      </c>
      <c r="D145">
        <v>4</v>
      </c>
      <c r="E145" s="14">
        <f t="shared" si="3"/>
        <v>486151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50</v>
      </c>
      <c r="O145">
        <v>4</v>
      </c>
      <c r="P145" t="s">
        <v>1073</v>
      </c>
      <c r="Q145" t="s">
        <v>1063</v>
      </c>
    </row>
    <row r="146" spans="1:17" x14ac:dyDescent="0.15">
      <c r="A146">
        <v>86210</v>
      </c>
      <c r="B146" t="s">
        <v>1084</v>
      </c>
      <c r="C146">
        <v>3</v>
      </c>
      <c r="D146">
        <v>4</v>
      </c>
      <c r="E146" s="14">
        <f t="shared" ref="E146:E150" si="4">A146+400000</f>
        <v>486210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10</v>
      </c>
      <c r="O146">
        <v>0</v>
      </c>
      <c r="P146" t="s">
        <v>1074</v>
      </c>
      <c r="Q146" t="s">
        <v>1053</v>
      </c>
    </row>
    <row r="147" spans="1:17" x14ac:dyDescent="0.15">
      <c r="A147">
        <v>86220</v>
      </c>
      <c r="B147" t="s">
        <v>1084</v>
      </c>
      <c r="C147">
        <v>3</v>
      </c>
      <c r="D147">
        <v>4</v>
      </c>
      <c r="E147" s="14">
        <f t="shared" si="4"/>
        <v>486220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10</v>
      </c>
      <c r="O147">
        <v>1</v>
      </c>
      <c r="P147" t="s">
        <v>1074</v>
      </c>
      <c r="Q147" t="s">
        <v>1054</v>
      </c>
    </row>
    <row r="148" spans="1:17" x14ac:dyDescent="0.15">
      <c r="A148">
        <v>86230</v>
      </c>
      <c r="B148" t="s">
        <v>1084</v>
      </c>
      <c r="C148">
        <v>3</v>
      </c>
      <c r="D148">
        <v>4</v>
      </c>
      <c r="E148" s="14">
        <f t="shared" si="4"/>
        <v>486230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10</v>
      </c>
      <c r="O148">
        <v>2</v>
      </c>
      <c r="P148" t="s">
        <v>1085</v>
      </c>
      <c r="Q148" t="s">
        <v>1055</v>
      </c>
    </row>
    <row r="149" spans="1:17" x14ac:dyDescent="0.15">
      <c r="A149">
        <v>86240</v>
      </c>
      <c r="B149" t="s">
        <v>1084</v>
      </c>
      <c r="C149">
        <v>3</v>
      </c>
      <c r="D149">
        <v>4</v>
      </c>
      <c r="E149" s="14">
        <f t="shared" si="4"/>
        <v>486240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10</v>
      </c>
      <c r="O149">
        <v>3</v>
      </c>
      <c r="P149" t="s">
        <v>1074</v>
      </c>
      <c r="Q149" t="s">
        <v>1056</v>
      </c>
    </row>
    <row r="150" spans="1:17" x14ac:dyDescent="0.15">
      <c r="A150">
        <v>86250</v>
      </c>
      <c r="B150" t="s">
        <v>1084</v>
      </c>
      <c r="C150">
        <v>3</v>
      </c>
      <c r="D150">
        <v>4</v>
      </c>
      <c r="E150" s="14">
        <f t="shared" si="4"/>
        <v>486250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10</v>
      </c>
      <c r="O150">
        <v>4</v>
      </c>
      <c r="P150" t="s">
        <v>1074</v>
      </c>
      <c r="Q150" t="s">
        <v>1057</v>
      </c>
    </row>
    <row r="151" spans="1:17" x14ac:dyDescent="0.15">
      <c r="A151">
        <v>86310</v>
      </c>
      <c r="B151" t="s">
        <v>1047</v>
      </c>
      <c r="C151">
        <v>3</v>
      </c>
      <c r="D151">
        <v>4</v>
      </c>
      <c r="E151" s="14">
        <f t="shared" ref="E151:E156" si="5">A151+400000</f>
        <v>486310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10</v>
      </c>
      <c r="O151">
        <v>0</v>
      </c>
      <c r="P151" t="s">
        <v>1074</v>
      </c>
      <c r="Q151" t="s">
        <v>1064</v>
      </c>
    </row>
    <row r="152" spans="1:17" x14ac:dyDescent="0.15">
      <c r="A152">
        <v>86320</v>
      </c>
      <c r="B152" t="s">
        <v>1047</v>
      </c>
      <c r="C152">
        <v>3</v>
      </c>
      <c r="D152">
        <v>4</v>
      </c>
      <c r="E152" s="14">
        <f t="shared" si="5"/>
        <v>486320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10</v>
      </c>
      <c r="O152">
        <v>1</v>
      </c>
      <c r="P152" t="s">
        <v>1074</v>
      </c>
      <c r="Q152" t="s">
        <v>1065</v>
      </c>
    </row>
    <row r="153" spans="1:17" x14ac:dyDescent="0.15">
      <c r="A153">
        <v>86330</v>
      </c>
      <c r="B153" t="s">
        <v>1047</v>
      </c>
      <c r="C153">
        <v>3</v>
      </c>
      <c r="D153">
        <v>4</v>
      </c>
      <c r="E153" s="14">
        <f t="shared" si="5"/>
        <v>486330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10</v>
      </c>
      <c r="O153">
        <v>2</v>
      </c>
      <c r="P153" t="s">
        <v>1074</v>
      </c>
      <c r="Q153" t="s">
        <v>1066</v>
      </c>
    </row>
    <row r="154" spans="1:17" x14ac:dyDescent="0.15">
      <c r="A154">
        <v>86340</v>
      </c>
      <c r="B154" t="s">
        <v>1047</v>
      </c>
      <c r="C154">
        <v>3</v>
      </c>
      <c r="D154">
        <v>4</v>
      </c>
      <c r="E154" s="14">
        <f t="shared" si="5"/>
        <v>486340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10</v>
      </c>
      <c r="O154">
        <v>3</v>
      </c>
      <c r="P154" t="s">
        <v>1074</v>
      </c>
      <c r="Q154" t="s">
        <v>1067</v>
      </c>
    </row>
    <row r="155" spans="1:17" x14ac:dyDescent="0.15">
      <c r="A155">
        <v>86350</v>
      </c>
      <c r="B155" t="s">
        <v>1047</v>
      </c>
      <c r="C155">
        <v>3</v>
      </c>
      <c r="D155">
        <v>4</v>
      </c>
      <c r="E155" s="14">
        <f t="shared" ref="E155" si="6">A155+400000</f>
        <v>486350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10</v>
      </c>
      <c r="O155">
        <v>4</v>
      </c>
      <c r="P155" t="s">
        <v>1074</v>
      </c>
      <c r="Q155" t="s">
        <v>1068</v>
      </c>
    </row>
    <row r="156" spans="1:17" x14ac:dyDescent="0.15">
      <c r="A156">
        <v>86400</v>
      </c>
      <c r="B156" t="s">
        <v>1070</v>
      </c>
      <c r="C156">
        <v>3</v>
      </c>
      <c r="D156">
        <v>4</v>
      </c>
      <c r="E156" s="14">
        <f t="shared" si="5"/>
        <v>486400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50</v>
      </c>
      <c r="O156">
        <v>2</v>
      </c>
      <c r="P156" t="s">
        <v>1073</v>
      </c>
      <c r="Q156" t="s">
        <v>1069</v>
      </c>
    </row>
  </sheetData>
  <phoneticPr fontId="1" type="noConversion"/>
  <conditionalFormatting sqref="A141 A151:A154 A156:A1048576 A1:A137">
    <cfRule type="duplicateValues" dxfId="13" priority="18"/>
  </conditionalFormatting>
  <conditionalFormatting sqref="E120:E129 E131:E133 E135:E137">
    <cfRule type="duplicateValues" dxfId="12" priority="17"/>
  </conditionalFormatting>
  <conditionalFormatting sqref="A138:A140">
    <cfRule type="duplicateValues" dxfId="11" priority="36"/>
  </conditionalFormatting>
  <conditionalFormatting sqref="A142:A145">
    <cfRule type="duplicateValues" dxfId="10" priority="39"/>
  </conditionalFormatting>
  <conditionalFormatting sqref="E142:E145">
    <cfRule type="duplicateValues" dxfId="9" priority="42"/>
  </conditionalFormatting>
  <conditionalFormatting sqref="A146:A150">
    <cfRule type="duplicateValues" dxfId="8" priority="11"/>
  </conditionalFormatting>
  <conditionalFormatting sqref="E146">
    <cfRule type="duplicateValues" dxfId="7" priority="10"/>
  </conditionalFormatting>
  <conditionalFormatting sqref="E147:E150">
    <cfRule type="duplicateValues" dxfId="6" priority="9"/>
  </conditionalFormatting>
  <conditionalFormatting sqref="E151">
    <cfRule type="duplicateValues" dxfId="5" priority="8"/>
  </conditionalFormatting>
  <conditionalFormatting sqref="E152:E154 E156">
    <cfRule type="duplicateValues" dxfId="4" priority="7"/>
  </conditionalFormatting>
  <conditionalFormatting sqref="A155">
    <cfRule type="duplicateValues" dxfId="3" priority="6"/>
  </conditionalFormatting>
  <conditionalFormatting sqref="E155">
    <cfRule type="duplicateValues" dxfId="2" priority="5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O108"/>
  <sheetViews>
    <sheetView workbookViewId="0">
      <pane xSplit="5" ySplit="1" topLeftCell="F80" activePane="bottomRight" state="frozenSplit"/>
      <selection pane="topRight" activeCell="F1" sqref="F1"/>
      <selection pane="bottomLeft" activeCell="A2" sqref="A2"/>
      <selection pane="bottomRight" activeCell="I106" sqref="I106:I108"/>
    </sheetView>
  </sheetViews>
  <sheetFormatPr defaultRowHeight="13.5" x14ac:dyDescent="0.15"/>
  <cols>
    <col min="1" max="1" width="7.5" bestFit="1" customWidth="1"/>
    <col min="2" max="3" width="9.5" bestFit="1" customWidth="1"/>
    <col min="4" max="4" width="18.375" bestFit="1" customWidth="1"/>
    <col min="5" max="5" width="11.625" bestFit="1" customWidth="1"/>
    <col min="6" max="7" width="9.5" bestFit="1" customWidth="1"/>
    <col min="8" max="8" width="16.875" customWidth="1"/>
    <col min="9" max="9" width="12.75" bestFit="1" customWidth="1"/>
    <col min="10" max="10" width="15" bestFit="1" customWidth="1"/>
    <col min="11" max="11" width="15" customWidth="1"/>
    <col min="12" max="12" width="12.75" bestFit="1" customWidth="1"/>
    <col min="13" max="13" width="15" bestFit="1" customWidth="1"/>
    <col min="14" max="14" width="12.75" bestFit="1" customWidth="1"/>
    <col min="15" max="15" width="15" bestFit="1" customWidth="1"/>
  </cols>
  <sheetData>
    <row r="1" spans="1:15" x14ac:dyDescent="0.15">
      <c r="A1" t="s">
        <v>12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260</v>
      </c>
      <c r="I1" t="s">
        <v>170</v>
      </c>
      <c r="J1" t="s">
        <v>171</v>
      </c>
      <c r="K1" t="s">
        <v>261</v>
      </c>
      <c r="L1" t="s">
        <v>172</v>
      </c>
      <c r="M1" t="s">
        <v>173</v>
      </c>
      <c r="N1" t="s">
        <v>174</v>
      </c>
      <c r="O1" t="s">
        <v>175</v>
      </c>
    </row>
    <row r="2" spans="1:15" x14ac:dyDescent="0.15">
      <c r="A2">
        <v>1</v>
      </c>
      <c r="B2">
        <v>0</v>
      </c>
      <c r="C2">
        <v>100</v>
      </c>
      <c r="D2" t="s">
        <v>327</v>
      </c>
      <c r="E2">
        <v>85300</v>
      </c>
      <c r="G2">
        <v>1</v>
      </c>
      <c r="H2" t="s">
        <v>326</v>
      </c>
      <c r="I2">
        <v>85200</v>
      </c>
      <c r="J2">
        <v>10</v>
      </c>
    </row>
    <row r="3" spans="1:15" x14ac:dyDescent="0.15">
      <c r="A3">
        <v>2</v>
      </c>
      <c r="B3">
        <v>0</v>
      </c>
      <c r="C3">
        <v>500</v>
      </c>
      <c r="D3" t="s">
        <v>328</v>
      </c>
      <c r="E3">
        <v>85400</v>
      </c>
      <c r="G3">
        <v>1</v>
      </c>
      <c r="H3" t="s">
        <v>327</v>
      </c>
      <c r="I3">
        <v>85300</v>
      </c>
      <c r="J3">
        <v>10</v>
      </c>
    </row>
    <row r="4" spans="1:15" x14ac:dyDescent="0.15">
      <c r="A4">
        <v>3</v>
      </c>
      <c r="B4">
        <v>0</v>
      </c>
      <c r="C4">
        <v>100</v>
      </c>
      <c r="D4" t="s">
        <v>316</v>
      </c>
      <c r="E4">
        <v>70201</v>
      </c>
      <c r="G4">
        <v>1</v>
      </c>
      <c r="H4" t="s">
        <v>315</v>
      </c>
      <c r="I4">
        <v>70101</v>
      </c>
      <c r="J4">
        <v>10</v>
      </c>
      <c r="K4" t="str">
        <f>IFERROR(VLOOKUP(L4,D_道具表!$A$2:$B$136,2,FALSE),"")</f>
        <v/>
      </c>
    </row>
    <row r="5" spans="1:15" x14ac:dyDescent="0.15">
      <c r="A5">
        <v>4</v>
      </c>
      <c r="B5">
        <v>0</v>
      </c>
      <c r="C5">
        <v>1000</v>
      </c>
      <c r="D5" t="s">
        <v>317</v>
      </c>
      <c r="E5">
        <v>70301</v>
      </c>
      <c r="G5">
        <v>1</v>
      </c>
      <c r="H5" t="s">
        <v>316</v>
      </c>
      <c r="I5">
        <v>70201</v>
      </c>
      <c r="J5">
        <v>10</v>
      </c>
      <c r="K5" t="str">
        <f>IFERROR(VLOOKUP(L5,D_道具表!$A$2:$B$136,2,FALSE),"")</f>
        <v/>
      </c>
    </row>
    <row r="6" spans="1:15" x14ac:dyDescent="0.15">
      <c r="A6">
        <v>101</v>
      </c>
      <c r="B6">
        <v>0</v>
      </c>
      <c r="C6">
        <v>0</v>
      </c>
      <c r="D6" t="s">
        <v>721</v>
      </c>
      <c r="E6">
        <v>101101</v>
      </c>
      <c r="G6">
        <v>1</v>
      </c>
      <c r="H6" t="s">
        <v>831</v>
      </c>
      <c r="I6">
        <v>78101</v>
      </c>
      <c r="J6">
        <v>10</v>
      </c>
      <c r="K6" t="str">
        <f>IFERROR(VLOOKUP(L6,D_道具表!$A$2:$B$136,2,FALSE),"")</f>
        <v/>
      </c>
    </row>
    <row r="7" spans="1:15" x14ac:dyDescent="0.15">
      <c r="A7">
        <v>102</v>
      </c>
      <c r="B7">
        <v>0</v>
      </c>
      <c r="C7">
        <v>0</v>
      </c>
      <c r="D7" t="s">
        <v>822</v>
      </c>
      <c r="E7">
        <v>101102</v>
      </c>
      <c r="G7">
        <v>1</v>
      </c>
      <c r="H7" t="s">
        <v>832</v>
      </c>
      <c r="I7">
        <v>78102</v>
      </c>
      <c r="J7">
        <v>10</v>
      </c>
      <c r="K7" t="str">
        <f>IFERROR(VLOOKUP(L7,D_道具表!$A$2:$B$136,2,FALSE),"")</f>
        <v/>
      </c>
    </row>
    <row r="8" spans="1:15" x14ac:dyDescent="0.15">
      <c r="A8">
        <v>103</v>
      </c>
      <c r="B8">
        <v>0</v>
      </c>
      <c r="C8">
        <v>0</v>
      </c>
      <c r="D8" t="s">
        <v>823</v>
      </c>
      <c r="E8">
        <v>101103</v>
      </c>
      <c r="G8">
        <v>1</v>
      </c>
      <c r="H8" t="s">
        <v>833</v>
      </c>
      <c r="I8">
        <v>78103</v>
      </c>
      <c r="J8">
        <v>10</v>
      </c>
      <c r="K8" t="str">
        <f>IFERROR(VLOOKUP(L8,D_道具表!$A$2:$B$136,2,FALSE),"")</f>
        <v/>
      </c>
    </row>
    <row r="9" spans="1:15" x14ac:dyDescent="0.15">
      <c r="A9">
        <v>104</v>
      </c>
      <c r="B9">
        <v>0</v>
      </c>
      <c r="C9">
        <v>0</v>
      </c>
      <c r="D9" t="s">
        <v>824</v>
      </c>
      <c r="E9">
        <v>101104</v>
      </c>
      <c r="G9">
        <v>1</v>
      </c>
      <c r="H9" t="s">
        <v>834</v>
      </c>
      <c r="I9">
        <v>78104</v>
      </c>
      <c r="J9">
        <v>10</v>
      </c>
      <c r="K9" t="str">
        <f>IFERROR(VLOOKUP(L9,D_道具表!$A$2:$B$136,2,FALSE),"")</f>
        <v/>
      </c>
    </row>
    <row r="10" spans="1:15" x14ac:dyDescent="0.15">
      <c r="A10">
        <v>105</v>
      </c>
      <c r="B10">
        <v>0</v>
      </c>
      <c r="C10">
        <v>0</v>
      </c>
      <c r="D10" t="s">
        <v>825</v>
      </c>
      <c r="E10">
        <v>101105</v>
      </c>
      <c r="G10">
        <v>1</v>
      </c>
      <c r="H10" t="s">
        <v>835</v>
      </c>
      <c r="I10">
        <v>78105</v>
      </c>
      <c r="J10">
        <v>10</v>
      </c>
      <c r="K10" t="str">
        <f>IFERROR(VLOOKUP(L10,D_道具表!$A$2:$B$136,2,FALSE),"")</f>
        <v/>
      </c>
    </row>
    <row r="11" spans="1:15" x14ac:dyDescent="0.15">
      <c r="A11">
        <v>106</v>
      </c>
      <c r="B11">
        <v>0</v>
      </c>
      <c r="C11">
        <v>0</v>
      </c>
      <c r="D11" t="s">
        <v>722</v>
      </c>
      <c r="E11">
        <v>101106</v>
      </c>
      <c r="G11">
        <v>1</v>
      </c>
      <c r="H11" t="s">
        <v>836</v>
      </c>
      <c r="I11">
        <v>78106</v>
      </c>
      <c r="J11">
        <v>10</v>
      </c>
      <c r="K11" t="str">
        <f>IFERROR(VLOOKUP(L11,D_道具表!$A$2:$B$136,2,FALSE),"")</f>
        <v/>
      </c>
    </row>
    <row r="12" spans="1:15" x14ac:dyDescent="0.15">
      <c r="A12">
        <v>107</v>
      </c>
      <c r="B12">
        <v>0</v>
      </c>
      <c r="C12">
        <v>0</v>
      </c>
      <c r="D12" t="s">
        <v>826</v>
      </c>
      <c r="E12">
        <v>101107</v>
      </c>
      <c r="G12">
        <v>1</v>
      </c>
      <c r="H12" t="s">
        <v>837</v>
      </c>
      <c r="I12">
        <v>78107</v>
      </c>
      <c r="J12">
        <v>10</v>
      </c>
      <c r="K12" t="str">
        <f>IFERROR(VLOOKUP(L12,D_道具表!$A$2:$B$136,2,FALSE),"")</f>
        <v/>
      </c>
    </row>
    <row r="13" spans="1:15" x14ac:dyDescent="0.15">
      <c r="A13">
        <v>108</v>
      </c>
      <c r="B13">
        <v>0</v>
      </c>
      <c r="C13">
        <v>0</v>
      </c>
      <c r="D13" t="s">
        <v>827</v>
      </c>
      <c r="E13">
        <v>101108</v>
      </c>
      <c r="G13">
        <v>1</v>
      </c>
      <c r="H13" t="s">
        <v>838</v>
      </c>
      <c r="I13">
        <v>78108</v>
      </c>
      <c r="J13">
        <v>10</v>
      </c>
      <c r="K13" t="str">
        <f>IFERROR(VLOOKUP(L13,D_道具表!$A$2:$B$136,2,FALSE),"")</f>
        <v/>
      </c>
    </row>
    <row r="14" spans="1:15" x14ac:dyDescent="0.15">
      <c r="A14">
        <v>109</v>
      </c>
      <c r="B14">
        <v>0</v>
      </c>
      <c r="C14">
        <v>0</v>
      </c>
      <c r="D14" t="s">
        <v>828</v>
      </c>
      <c r="E14">
        <v>101109</v>
      </c>
      <c r="G14">
        <v>1</v>
      </c>
      <c r="H14" t="s">
        <v>839</v>
      </c>
      <c r="I14">
        <v>78109</v>
      </c>
      <c r="J14">
        <v>10</v>
      </c>
      <c r="K14" t="str">
        <f>IFERROR(VLOOKUP(L14,D_道具表!$A$2:$B$136,2,FALSE),"")</f>
        <v/>
      </c>
    </row>
    <row r="15" spans="1:15" x14ac:dyDescent="0.15">
      <c r="A15">
        <v>110</v>
      </c>
      <c r="B15">
        <v>0</v>
      </c>
      <c r="C15">
        <v>0</v>
      </c>
      <c r="D15" t="s">
        <v>723</v>
      </c>
      <c r="E15">
        <v>101110</v>
      </c>
      <c r="G15">
        <v>1</v>
      </c>
      <c r="H15" t="s">
        <v>840</v>
      </c>
      <c r="I15">
        <v>78110</v>
      </c>
      <c r="J15">
        <v>10</v>
      </c>
      <c r="K15" t="str">
        <f>IFERROR(VLOOKUP(L15,D_道具表!$A$2:$B$136,2,FALSE),"")</f>
        <v/>
      </c>
    </row>
    <row r="16" spans="1:15" x14ac:dyDescent="0.15">
      <c r="A16">
        <v>111</v>
      </c>
      <c r="B16">
        <v>0</v>
      </c>
      <c r="C16">
        <v>0</v>
      </c>
      <c r="D16" t="s">
        <v>724</v>
      </c>
      <c r="E16">
        <v>101111</v>
      </c>
      <c r="G16">
        <v>1</v>
      </c>
      <c r="H16" t="s">
        <v>841</v>
      </c>
      <c r="I16">
        <v>78111</v>
      </c>
      <c r="J16">
        <v>10</v>
      </c>
      <c r="K16" t="str">
        <f>IFERROR(VLOOKUP(L16,D_道具表!$A$2:$B$136,2,FALSE),"")</f>
        <v/>
      </c>
    </row>
    <row r="17" spans="1:13" x14ac:dyDescent="0.15">
      <c r="A17">
        <v>112</v>
      </c>
      <c r="B17">
        <v>0</v>
      </c>
      <c r="C17">
        <v>0</v>
      </c>
      <c r="D17" t="s">
        <v>829</v>
      </c>
      <c r="E17">
        <v>101112</v>
      </c>
      <c r="G17">
        <v>1</v>
      </c>
      <c r="H17" t="s">
        <v>842</v>
      </c>
      <c r="I17">
        <v>78112</v>
      </c>
      <c r="J17">
        <v>10</v>
      </c>
      <c r="K17" t="str">
        <f>IFERROR(VLOOKUP(L17,D_道具表!$A$2:$B$136,2,FALSE),"")</f>
        <v/>
      </c>
    </row>
    <row r="18" spans="1:13" x14ac:dyDescent="0.15">
      <c r="A18">
        <v>113</v>
      </c>
      <c r="B18">
        <v>0</v>
      </c>
      <c r="C18">
        <v>0</v>
      </c>
      <c r="D18" t="s">
        <v>725</v>
      </c>
      <c r="E18">
        <v>101113</v>
      </c>
      <c r="G18">
        <v>1</v>
      </c>
      <c r="H18" t="s">
        <v>843</v>
      </c>
      <c r="I18">
        <v>78113</v>
      </c>
      <c r="J18">
        <v>10</v>
      </c>
      <c r="K18" t="str">
        <f>IFERROR(VLOOKUP(L18,D_道具表!$A$2:$B$136,2,FALSE),"")</f>
        <v/>
      </c>
    </row>
    <row r="19" spans="1:13" x14ac:dyDescent="0.15">
      <c r="A19">
        <v>114</v>
      </c>
      <c r="B19">
        <v>0</v>
      </c>
      <c r="C19">
        <v>0</v>
      </c>
      <c r="D19" t="s">
        <v>726</v>
      </c>
      <c r="E19">
        <v>101114</v>
      </c>
      <c r="G19">
        <v>1</v>
      </c>
      <c r="H19" t="s">
        <v>844</v>
      </c>
      <c r="I19">
        <v>78114</v>
      </c>
      <c r="J19">
        <v>10</v>
      </c>
      <c r="K19" t="str">
        <f>IFERROR(VLOOKUP(L19,D_道具表!$A$2:$B$136,2,FALSE),"")</f>
        <v/>
      </c>
    </row>
    <row r="20" spans="1:13" x14ac:dyDescent="0.15">
      <c r="A20">
        <v>115</v>
      </c>
      <c r="B20">
        <v>0</v>
      </c>
      <c r="C20">
        <v>0</v>
      </c>
      <c r="D20" t="s">
        <v>727</v>
      </c>
      <c r="E20">
        <v>101115</v>
      </c>
      <c r="G20">
        <v>1</v>
      </c>
      <c r="H20" t="s">
        <v>845</v>
      </c>
      <c r="I20">
        <v>78115</v>
      </c>
      <c r="J20">
        <v>10</v>
      </c>
      <c r="K20" t="str">
        <f>IFERROR(VLOOKUP(L20,D_道具表!$A$2:$B$136,2,FALSE),"")</f>
        <v/>
      </c>
    </row>
    <row r="21" spans="1:13" x14ac:dyDescent="0.15">
      <c r="A21">
        <v>116</v>
      </c>
      <c r="B21">
        <v>0</v>
      </c>
      <c r="C21">
        <v>0</v>
      </c>
      <c r="D21" t="s">
        <v>830</v>
      </c>
      <c r="E21">
        <v>101116</v>
      </c>
      <c r="G21">
        <v>1</v>
      </c>
      <c r="H21" t="s">
        <v>846</v>
      </c>
      <c r="I21">
        <v>78116</v>
      </c>
      <c r="J21">
        <v>10</v>
      </c>
      <c r="K21" t="str">
        <f>IFERROR(VLOOKUP(L21,D_道具表!$A$2:$B$136,2,FALSE),"")</f>
        <v/>
      </c>
    </row>
    <row r="22" spans="1:13" x14ac:dyDescent="0.15">
      <c r="A22">
        <v>117</v>
      </c>
      <c r="B22">
        <v>0</v>
      </c>
      <c r="C22">
        <v>0</v>
      </c>
      <c r="D22" t="s">
        <v>880</v>
      </c>
      <c r="E22">
        <v>101117</v>
      </c>
      <c r="G22">
        <v>1</v>
      </c>
      <c r="H22" t="s">
        <v>877</v>
      </c>
      <c r="I22">
        <v>78117</v>
      </c>
      <c r="J22">
        <v>10</v>
      </c>
    </row>
    <row r="23" spans="1:13" x14ac:dyDescent="0.15">
      <c r="A23">
        <v>118</v>
      </c>
      <c r="B23">
        <v>0</v>
      </c>
      <c r="C23">
        <v>0</v>
      </c>
      <c r="D23" t="s">
        <v>881</v>
      </c>
      <c r="E23">
        <v>101118</v>
      </c>
      <c r="G23">
        <v>1</v>
      </c>
      <c r="H23" t="s">
        <v>878</v>
      </c>
      <c r="I23">
        <v>78118</v>
      </c>
      <c r="J23">
        <v>10</v>
      </c>
    </row>
    <row r="24" spans="1:13" x14ac:dyDescent="0.15">
      <c r="A24">
        <v>119</v>
      </c>
      <c r="B24">
        <v>0</v>
      </c>
      <c r="C24">
        <v>0</v>
      </c>
      <c r="D24" t="s">
        <v>882</v>
      </c>
      <c r="E24">
        <v>101119</v>
      </c>
      <c r="G24">
        <v>1</v>
      </c>
      <c r="H24" t="s">
        <v>879</v>
      </c>
      <c r="I24">
        <v>78119</v>
      </c>
      <c r="J24">
        <v>10</v>
      </c>
    </row>
    <row r="25" spans="1:13" x14ac:dyDescent="0.15">
      <c r="A25">
        <v>201</v>
      </c>
      <c r="B25">
        <v>0</v>
      </c>
      <c r="C25">
        <v>0</v>
      </c>
      <c r="D25" t="s">
        <v>728</v>
      </c>
      <c r="E25">
        <v>10203</v>
      </c>
      <c r="G25">
        <v>2</v>
      </c>
      <c r="I25">
        <v>70213</v>
      </c>
      <c r="J25">
        <v>1</v>
      </c>
      <c r="K25" t="str">
        <f>IFERROR(VLOOKUP(L25,D_道具表!$A$2:$B$136,2,FALSE),"")</f>
        <v>部位材料(武器)</v>
      </c>
      <c r="L25">
        <v>70010</v>
      </c>
      <c r="M25">
        <v>10</v>
      </c>
    </row>
    <row r="26" spans="1:13" x14ac:dyDescent="0.15">
      <c r="A26">
        <v>202</v>
      </c>
      <c r="B26">
        <v>0</v>
      </c>
      <c r="C26">
        <v>0</v>
      </c>
      <c r="D26" t="str">
        <f>IFERROR(VLOOKUP(E26,[1]引用表合并!$A$1:$B$1000,2,FALSE),"")</f>
        <v/>
      </c>
      <c r="E26">
        <v>20203</v>
      </c>
      <c r="G26">
        <v>2</v>
      </c>
      <c r="I26">
        <v>70223</v>
      </c>
      <c r="J26">
        <v>1</v>
      </c>
      <c r="K26" t="str">
        <f>IFERROR(VLOOKUP(L26,D_道具表!$A$2:$B$136,2,FALSE),"")</f>
        <v>部位材料(武器)</v>
      </c>
      <c r="L26">
        <v>70010</v>
      </c>
      <c r="M26">
        <v>10</v>
      </c>
    </row>
    <row r="27" spans="1:13" x14ac:dyDescent="0.15">
      <c r="A27">
        <v>203</v>
      </c>
      <c r="B27">
        <v>0</v>
      </c>
      <c r="C27">
        <v>0</v>
      </c>
      <c r="D27" t="s">
        <v>729</v>
      </c>
      <c r="E27">
        <v>30203</v>
      </c>
      <c r="G27">
        <v>2</v>
      </c>
      <c r="I27">
        <v>70233</v>
      </c>
      <c r="J27">
        <v>1</v>
      </c>
      <c r="K27" t="str">
        <f>IFERROR(VLOOKUP(L27,D_道具表!$A$2:$B$136,2,FALSE),"")</f>
        <v>部位材料(武器)</v>
      </c>
      <c r="L27">
        <v>70010</v>
      </c>
      <c r="M27">
        <v>10</v>
      </c>
    </row>
    <row r="28" spans="1:13" x14ac:dyDescent="0.15">
      <c r="A28">
        <v>205</v>
      </c>
      <c r="B28">
        <v>0</v>
      </c>
      <c r="C28">
        <v>0</v>
      </c>
      <c r="D28" t="s">
        <v>730</v>
      </c>
      <c r="E28">
        <v>51203</v>
      </c>
      <c r="G28">
        <v>2</v>
      </c>
      <c r="I28">
        <v>70253</v>
      </c>
      <c r="J28">
        <v>1</v>
      </c>
      <c r="K28" t="str">
        <f>IFERROR(VLOOKUP(L28,D_道具表!$A$2:$B$136,2,FALSE),"")</f>
        <v>部位材料(衣服)</v>
      </c>
      <c r="L28">
        <v>71010</v>
      </c>
      <c r="M28">
        <v>10</v>
      </c>
    </row>
    <row r="29" spans="1:13" x14ac:dyDescent="0.15">
      <c r="A29">
        <v>206</v>
      </c>
      <c r="B29">
        <v>0</v>
      </c>
      <c r="C29">
        <v>0</v>
      </c>
      <c r="D29" t="s">
        <v>731</v>
      </c>
      <c r="E29">
        <v>52203</v>
      </c>
      <c r="G29">
        <v>2</v>
      </c>
      <c r="H29" t="str">
        <f>IFERROR(VLOOKUP(I29,D_道具表!$A$2:$B$136,2,FALSE),"")</f>
        <v/>
      </c>
      <c r="I29">
        <v>70263</v>
      </c>
      <c r="J29">
        <v>1</v>
      </c>
      <c r="K29" t="s">
        <v>318</v>
      </c>
      <c r="L29">
        <v>72010</v>
      </c>
      <c r="M29">
        <v>10</v>
      </c>
    </row>
    <row r="30" spans="1:13" x14ac:dyDescent="0.15">
      <c r="A30">
        <v>207</v>
      </c>
      <c r="B30">
        <v>0</v>
      </c>
      <c r="C30">
        <v>0</v>
      </c>
      <c r="D30" t="s">
        <v>732</v>
      </c>
      <c r="E30">
        <v>53203</v>
      </c>
      <c r="G30">
        <v>2</v>
      </c>
      <c r="H30" t="str">
        <f>IFERROR(VLOOKUP(I30,D_道具表!$A$2:$B$136,2,FALSE),"")</f>
        <v/>
      </c>
      <c r="I30">
        <v>70273</v>
      </c>
      <c r="J30">
        <v>1</v>
      </c>
      <c r="K30" t="s">
        <v>319</v>
      </c>
      <c r="L30">
        <v>73010</v>
      </c>
      <c r="M30">
        <v>10</v>
      </c>
    </row>
    <row r="31" spans="1:13" x14ac:dyDescent="0.15">
      <c r="A31">
        <v>208</v>
      </c>
      <c r="B31">
        <v>0</v>
      </c>
      <c r="C31">
        <v>0</v>
      </c>
      <c r="D31" t="s">
        <v>733</v>
      </c>
      <c r="E31">
        <v>54203</v>
      </c>
      <c r="G31">
        <v>2</v>
      </c>
      <c r="H31" t="str">
        <f>IFERROR(VLOOKUP(I31,D_道具表!$A$2:$B$136,2,FALSE),"")</f>
        <v/>
      </c>
      <c r="I31">
        <v>70283</v>
      </c>
      <c r="J31">
        <v>1</v>
      </c>
      <c r="K31" t="s">
        <v>320</v>
      </c>
      <c r="L31">
        <v>74010</v>
      </c>
      <c r="M31">
        <v>10</v>
      </c>
    </row>
    <row r="32" spans="1:13" x14ac:dyDescent="0.15">
      <c r="A32">
        <v>209</v>
      </c>
      <c r="B32">
        <v>0</v>
      </c>
      <c r="C32">
        <v>0</v>
      </c>
      <c r="D32" t="s">
        <v>734</v>
      </c>
      <c r="E32">
        <v>55203</v>
      </c>
      <c r="G32">
        <v>2</v>
      </c>
      <c r="H32" t="str">
        <f>IFERROR(VLOOKUP(I32,D_道具表!$A$2:$B$136,2,FALSE),"")</f>
        <v/>
      </c>
      <c r="I32">
        <v>70293</v>
      </c>
      <c r="J32">
        <v>1</v>
      </c>
      <c r="K32" t="str">
        <f>IFERROR(VLOOKUP(L32,D_道具表!$A$2:$B$136,2,FALSE),"")</f>
        <v>部位材料(鞋子)</v>
      </c>
      <c r="L32">
        <v>75010</v>
      </c>
      <c r="M32">
        <v>10</v>
      </c>
    </row>
    <row r="33" spans="1:13" x14ac:dyDescent="0.15">
      <c r="A33">
        <v>210</v>
      </c>
      <c r="B33">
        <v>0</v>
      </c>
      <c r="C33">
        <v>0</v>
      </c>
      <c r="D33" t="s">
        <v>735</v>
      </c>
      <c r="E33">
        <v>10104</v>
      </c>
      <c r="G33">
        <v>2</v>
      </c>
      <c r="H33" t="str">
        <f>IFERROR(VLOOKUP(I33,D_道具表!$A$2:$B$136,2,FALSE),"")</f>
        <v/>
      </c>
      <c r="I33">
        <v>70214</v>
      </c>
      <c r="J33">
        <v>2</v>
      </c>
      <c r="K33" t="str">
        <f>IFERROR(VLOOKUP(L33,D_道具表!$A$2:$B$136,2,FALSE),"")</f>
        <v>部位材料(武器)</v>
      </c>
      <c r="L33">
        <v>70010</v>
      </c>
      <c r="M33">
        <v>15</v>
      </c>
    </row>
    <row r="34" spans="1:13" x14ac:dyDescent="0.15">
      <c r="A34">
        <v>211</v>
      </c>
      <c r="B34">
        <v>0</v>
      </c>
      <c r="C34">
        <v>0</v>
      </c>
      <c r="D34" t="str">
        <f>IFERROR(VLOOKUP(E34,[1]引用表合并!$A$1:$B$1000,2,FALSE),"")</f>
        <v>野性之拳</v>
      </c>
      <c r="E34">
        <v>20104</v>
      </c>
      <c r="G34">
        <v>2</v>
      </c>
      <c r="H34" t="str">
        <f>IFERROR(VLOOKUP(I34,D_道具表!$A$2:$B$136,2,FALSE),"")</f>
        <v/>
      </c>
      <c r="I34">
        <v>70224</v>
      </c>
      <c r="J34">
        <v>2</v>
      </c>
      <c r="K34" t="str">
        <f>IFERROR(VLOOKUP(L34,D_道具表!$A$2:$B$136,2,FALSE),"")</f>
        <v>部位材料(武器)</v>
      </c>
      <c r="L34">
        <v>70010</v>
      </c>
      <c r="M34">
        <v>15</v>
      </c>
    </row>
    <row r="35" spans="1:13" x14ac:dyDescent="0.15">
      <c r="A35">
        <v>212</v>
      </c>
      <c r="B35">
        <v>0</v>
      </c>
      <c r="C35">
        <v>0</v>
      </c>
      <c r="D35" t="s">
        <v>736</v>
      </c>
      <c r="E35">
        <v>30104</v>
      </c>
      <c r="G35">
        <v>2</v>
      </c>
      <c r="H35" t="str">
        <f>IFERROR(VLOOKUP(I35,D_道具表!$A$2:$B$136,2,FALSE),"")</f>
        <v/>
      </c>
      <c r="I35">
        <v>70234</v>
      </c>
      <c r="J35">
        <v>2</v>
      </c>
      <c r="K35" t="str">
        <f>IFERROR(VLOOKUP(L35,D_道具表!$A$2:$B$136,2,FALSE),"")</f>
        <v>部位材料(武器)</v>
      </c>
      <c r="L35">
        <v>70010</v>
      </c>
      <c r="M35">
        <v>15</v>
      </c>
    </row>
    <row r="36" spans="1:13" x14ac:dyDescent="0.15">
      <c r="A36">
        <v>214</v>
      </c>
      <c r="B36">
        <v>0</v>
      </c>
      <c r="C36">
        <v>0</v>
      </c>
      <c r="D36" t="s">
        <v>737</v>
      </c>
      <c r="E36">
        <v>51104</v>
      </c>
      <c r="G36">
        <v>2</v>
      </c>
      <c r="H36" t="str">
        <f>IFERROR(VLOOKUP(I36,D_道具表!$A$2:$B$136,2,FALSE),"")</f>
        <v/>
      </c>
      <c r="I36">
        <v>70254</v>
      </c>
      <c r="J36">
        <v>2</v>
      </c>
      <c r="K36" t="str">
        <f>IFERROR(VLOOKUP(L36,D_道具表!$A$2:$B$136,2,FALSE),"")</f>
        <v>部位材料(衣服)</v>
      </c>
      <c r="L36">
        <v>71010</v>
      </c>
      <c r="M36">
        <v>15</v>
      </c>
    </row>
    <row r="37" spans="1:13" x14ac:dyDescent="0.15">
      <c r="A37">
        <v>215</v>
      </c>
      <c r="B37">
        <v>0</v>
      </c>
      <c r="C37">
        <v>0</v>
      </c>
      <c r="D37" t="s">
        <v>738</v>
      </c>
      <c r="E37">
        <v>52104</v>
      </c>
      <c r="G37">
        <v>2</v>
      </c>
      <c r="H37" t="str">
        <f>IFERROR(VLOOKUP(I37,D_道具表!$A$2:$B$136,2,FALSE),"")</f>
        <v/>
      </c>
      <c r="I37">
        <v>70264</v>
      </c>
      <c r="J37">
        <v>2</v>
      </c>
      <c r="K37" t="s">
        <v>318</v>
      </c>
      <c r="L37">
        <v>72010</v>
      </c>
      <c r="M37">
        <v>15</v>
      </c>
    </row>
    <row r="38" spans="1:13" x14ac:dyDescent="0.15">
      <c r="A38">
        <v>216</v>
      </c>
      <c r="B38">
        <v>0</v>
      </c>
      <c r="C38">
        <v>0</v>
      </c>
      <c r="D38" t="s">
        <v>739</v>
      </c>
      <c r="E38">
        <v>53104</v>
      </c>
      <c r="G38">
        <v>2</v>
      </c>
      <c r="H38" t="str">
        <f>IFERROR(VLOOKUP(I38,D_道具表!$A$2:$B$136,2,FALSE),"")</f>
        <v/>
      </c>
      <c r="I38">
        <v>70274</v>
      </c>
      <c r="J38">
        <v>2</v>
      </c>
      <c r="K38" t="s">
        <v>319</v>
      </c>
      <c r="L38">
        <v>73010</v>
      </c>
      <c r="M38">
        <v>15</v>
      </c>
    </row>
    <row r="39" spans="1:13" x14ac:dyDescent="0.15">
      <c r="A39">
        <v>217</v>
      </c>
      <c r="B39">
        <v>0</v>
      </c>
      <c r="C39">
        <v>0</v>
      </c>
      <c r="D39" t="s">
        <v>740</v>
      </c>
      <c r="E39">
        <v>54104</v>
      </c>
      <c r="G39">
        <v>2</v>
      </c>
      <c r="H39" t="str">
        <f>IFERROR(VLOOKUP(I39,D_道具表!$A$2:$B$136,2,FALSE),"")</f>
        <v/>
      </c>
      <c r="I39">
        <v>70284</v>
      </c>
      <c r="J39">
        <v>2</v>
      </c>
      <c r="K39" t="s">
        <v>320</v>
      </c>
      <c r="L39">
        <v>74010</v>
      </c>
      <c r="M39">
        <v>15</v>
      </c>
    </row>
    <row r="40" spans="1:13" x14ac:dyDescent="0.15">
      <c r="A40">
        <v>218</v>
      </c>
      <c r="B40">
        <v>0</v>
      </c>
      <c r="C40">
        <v>0</v>
      </c>
      <c r="D40" t="s">
        <v>741</v>
      </c>
      <c r="E40">
        <v>55104</v>
      </c>
      <c r="G40">
        <v>2</v>
      </c>
      <c r="H40" t="str">
        <f>IFERROR(VLOOKUP(I40,D_道具表!$A$2:$B$136,2,FALSE),"")</f>
        <v/>
      </c>
      <c r="I40">
        <v>70294</v>
      </c>
      <c r="J40">
        <v>2</v>
      </c>
      <c r="K40" t="str">
        <f>IFERROR(VLOOKUP(L40,D_道具表!$A$2:$B$136,2,FALSE),"")</f>
        <v>部位材料(鞋子)</v>
      </c>
      <c r="L40">
        <v>75010</v>
      </c>
      <c r="M40">
        <v>15</v>
      </c>
    </row>
    <row r="41" spans="1:13" x14ac:dyDescent="0.15">
      <c r="A41">
        <v>219</v>
      </c>
      <c r="B41">
        <v>0</v>
      </c>
      <c r="C41">
        <v>0</v>
      </c>
      <c r="D41" t="s">
        <v>742</v>
      </c>
      <c r="E41">
        <v>10205</v>
      </c>
      <c r="G41">
        <v>2</v>
      </c>
      <c r="H41" t="str">
        <f>IFERROR(VLOOKUP(I41,D_道具表!$A$2:$B$136,2,FALSE),"")</f>
        <v/>
      </c>
      <c r="I41">
        <v>70315</v>
      </c>
      <c r="J41">
        <v>3</v>
      </c>
      <c r="K41" t="str">
        <f>IFERROR(VLOOKUP(L41,D_道具表!$A$2:$B$136,2,FALSE),"")</f>
        <v>部位材料(武器)</v>
      </c>
      <c r="L41">
        <v>70010</v>
      </c>
      <c r="M41">
        <v>20</v>
      </c>
    </row>
    <row r="42" spans="1:13" x14ac:dyDescent="0.15">
      <c r="A42">
        <v>220</v>
      </c>
      <c r="B42">
        <v>0</v>
      </c>
      <c r="C42">
        <v>0</v>
      </c>
      <c r="D42" t="s">
        <v>743</v>
      </c>
      <c r="E42">
        <v>20205</v>
      </c>
      <c r="G42">
        <v>2</v>
      </c>
      <c r="H42" t="str">
        <f>IFERROR(VLOOKUP(I42,D_道具表!$A$2:$B$136,2,FALSE),"")</f>
        <v/>
      </c>
      <c r="I42">
        <v>70325</v>
      </c>
      <c r="J42">
        <v>3</v>
      </c>
      <c r="K42" t="str">
        <f>IFERROR(VLOOKUP(L42,D_道具表!$A$2:$B$136,2,FALSE),"")</f>
        <v>部位材料(武器)</v>
      </c>
      <c r="L42">
        <v>70010</v>
      </c>
      <c r="M42">
        <v>20</v>
      </c>
    </row>
    <row r="43" spans="1:13" x14ac:dyDescent="0.15">
      <c r="A43">
        <v>221</v>
      </c>
      <c r="B43">
        <v>0</v>
      </c>
      <c r="C43">
        <v>0</v>
      </c>
      <c r="D43" t="s">
        <v>744</v>
      </c>
      <c r="E43">
        <v>30205</v>
      </c>
      <c r="G43">
        <v>2</v>
      </c>
      <c r="H43" t="str">
        <f>IFERROR(VLOOKUP(I43,D_道具表!$A$2:$B$136,2,FALSE),"")</f>
        <v/>
      </c>
      <c r="I43">
        <v>70335</v>
      </c>
      <c r="J43">
        <v>3</v>
      </c>
      <c r="K43" t="str">
        <f>IFERROR(VLOOKUP(L43,D_道具表!$A$2:$B$136,2,FALSE),"")</f>
        <v>部位材料(武器)</v>
      </c>
      <c r="L43">
        <v>70010</v>
      </c>
      <c r="M43">
        <v>20</v>
      </c>
    </row>
    <row r="44" spans="1:13" x14ac:dyDescent="0.15">
      <c r="A44">
        <v>223</v>
      </c>
      <c r="B44">
        <v>0</v>
      </c>
      <c r="C44">
        <v>0</v>
      </c>
      <c r="D44" t="s">
        <v>745</v>
      </c>
      <c r="E44">
        <v>51205</v>
      </c>
      <c r="G44">
        <v>2</v>
      </c>
      <c r="H44" t="str">
        <f>IFERROR(VLOOKUP(I44,D_道具表!$A$2:$B$136,2,FALSE),"")</f>
        <v/>
      </c>
      <c r="I44">
        <v>70355</v>
      </c>
      <c r="J44">
        <v>3</v>
      </c>
      <c r="K44" t="str">
        <f>IFERROR(VLOOKUP(L44,D_道具表!$A$2:$B$136,2,FALSE),"")</f>
        <v>部位材料(衣服)</v>
      </c>
      <c r="L44">
        <v>71010</v>
      </c>
      <c r="M44">
        <v>20</v>
      </c>
    </row>
    <row r="45" spans="1:13" x14ac:dyDescent="0.15">
      <c r="A45">
        <v>224</v>
      </c>
      <c r="B45">
        <v>0</v>
      </c>
      <c r="C45">
        <v>0</v>
      </c>
      <c r="D45" t="s">
        <v>746</v>
      </c>
      <c r="E45">
        <v>52205</v>
      </c>
      <c r="G45">
        <v>2</v>
      </c>
      <c r="H45" t="str">
        <f>IFERROR(VLOOKUP(I45,D_道具表!$A$2:$B$136,2,FALSE),"")</f>
        <v/>
      </c>
      <c r="I45">
        <v>70365</v>
      </c>
      <c r="J45">
        <v>3</v>
      </c>
      <c r="K45" t="s">
        <v>318</v>
      </c>
      <c r="L45">
        <v>72010</v>
      </c>
      <c r="M45">
        <v>20</v>
      </c>
    </row>
    <row r="46" spans="1:13" x14ac:dyDescent="0.15">
      <c r="A46">
        <v>225</v>
      </c>
      <c r="B46">
        <v>0</v>
      </c>
      <c r="C46">
        <v>0</v>
      </c>
      <c r="D46" t="s">
        <v>747</v>
      </c>
      <c r="E46">
        <v>53205</v>
      </c>
      <c r="G46">
        <v>2</v>
      </c>
      <c r="H46" t="str">
        <f>IFERROR(VLOOKUP(I46,D_道具表!$A$2:$B$136,2,FALSE),"")</f>
        <v/>
      </c>
      <c r="I46">
        <v>70375</v>
      </c>
      <c r="J46">
        <v>3</v>
      </c>
      <c r="K46" t="s">
        <v>319</v>
      </c>
      <c r="L46">
        <v>73010</v>
      </c>
      <c r="M46">
        <v>20</v>
      </c>
    </row>
    <row r="47" spans="1:13" x14ac:dyDescent="0.15">
      <c r="A47">
        <v>226</v>
      </c>
      <c r="B47">
        <v>0</v>
      </c>
      <c r="C47">
        <v>0</v>
      </c>
      <c r="D47" t="s">
        <v>748</v>
      </c>
      <c r="E47">
        <v>54205</v>
      </c>
      <c r="G47">
        <v>2</v>
      </c>
      <c r="H47" t="str">
        <f>IFERROR(VLOOKUP(I47,D_道具表!$A$2:$B$136,2,FALSE),"")</f>
        <v/>
      </c>
      <c r="I47">
        <v>70385</v>
      </c>
      <c r="J47">
        <v>3</v>
      </c>
      <c r="K47" t="s">
        <v>320</v>
      </c>
      <c r="L47">
        <v>74010</v>
      </c>
      <c r="M47">
        <v>20</v>
      </c>
    </row>
    <row r="48" spans="1:13" x14ac:dyDescent="0.15">
      <c r="A48">
        <v>227</v>
      </c>
      <c r="B48">
        <v>0</v>
      </c>
      <c r="C48">
        <v>0</v>
      </c>
      <c r="D48" t="s">
        <v>749</v>
      </c>
      <c r="E48">
        <v>55205</v>
      </c>
      <c r="G48">
        <v>2</v>
      </c>
      <c r="H48" t="str">
        <f>IFERROR(VLOOKUP(I48,D_道具表!$A$2:$B$136,2,FALSE),"")</f>
        <v/>
      </c>
      <c r="I48">
        <v>70395</v>
      </c>
      <c r="J48">
        <v>3</v>
      </c>
      <c r="K48" t="str">
        <f>IFERROR(VLOOKUP(L48,D_道具表!$A$2:$B$136,2,FALSE),"")</f>
        <v>部位材料(鞋子)</v>
      </c>
      <c r="L48">
        <v>75010</v>
      </c>
      <c r="M48">
        <v>20</v>
      </c>
    </row>
    <row r="49" spans="1:13" x14ac:dyDescent="0.15">
      <c r="A49">
        <v>228</v>
      </c>
      <c r="B49">
        <v>0</v>
      </c>
      <c r="C49">
        <v>0</v>
      </c>
      <c r="D49" t="str">
        <f>IFERROR(VLOOKUP(E49,[1]引用表合并!$A$1:$B$1000,2,FALSE),"")</f>
        <v/>
      </c>
      <c r="E49">
        <v>10206</v>
      </c>
      <c r="G49">
        <v>2</v>
      </c>
      <c r="H49" t="str">
        <f>IFERROR(VLOOKUP(I49,D_道具表!$A$2:$B$136,2,FALSE),"")</f>
        <v/>
      </c>
      <c r="I49">
        <v>70316</v>
      </c>
      <c r="J49">
        <v>4</v>
      </c>
      <c r="K49" t="str">
        <f>IFERROR(VLOOKUP(L49,D_道具表!$A$2:$B$136,2,FALSE),"")</f>
        <v>部位材料(武器)</v>
      </c>
      <c r="L49">
        <v>70010</v>
      </c>
      <c r="M49">
        <v>25</v>
      </c>
    </row>
    <row r="50" spans="1:13" x14ac:dyDescent="0.15">
      <c r="A50">
        <v>229</v>
      </c>
      <c r="B50">
        <v>0</v>
      </c>
      <c r="C50">
        <v>0</v>
      </c>
      <c r="D50" t="str">
        <f>IFERROR(VLOOKUP(E50,[1]引用表合并!$A$1:$B$1000,2,FALSE),"")</f>
        <v/>
      </c>
      <c r="E50">
        <v>20206</v>
      </c>
      <c r="G50">
        <v>2</v>
      </c>
      <c r="H50" t="str">
        <f>IFERROR(VLOOKUP(I50,D_道具表!$A$2:$B$136,2,FALSE),"")</f>
        <v/>
      </c>
      <c r="I50">
        <v>70326</v>
      </c>
      <c r="J50">
        <v>4</v>
      </c>
      <c r="K50" t="str">
        <f>IFERROR(VLOOKUP(L50,D_道具表!$A$2:$B$136,2,FALSE),"")</f>
        <v>部位材料(武器)</v>
      </c>
      <c r="L50">
        <v>70010</v>
      </c>
      <c r="M50">
        <v>25</v>
      </c>
    </row>
    <row r="51" spans="1:13" x14ac:dyDescent="0.15">
      <c r="A51">
        <v>230</v>
      </c>
      <c r="B51">
        <v>0</v>
      </c>
      <c r="C51">
        <v>0</v>
      </c>
      <c r="D51" t="str">
        <f>IFERROR(VLOOKUP(E51,[1]引用表合并!$A$1:$B$1000,2,FALSE),"")</f>
        <v/>
      </c>
      <c r="E51">
        <v>20206</v>
      </c>
      <c r="G51">
        <v>2</v>
      </c>
      <c r="H51" t="str">
        <f>IFERROR(VLOOKUP(I51,D_道具表!$A$2:$B$136,2,FALSE),"")</f>
        <v/>
      </c>
      <c r="I51">
        <v>70336</v>
      </c>
      <c r="J51">
        <v>4</v>
      </c>
      <c r="K51" t="str">
        <f>IFERROR(VLOOKUP(L51,D_道具表!$A$2:$B$136,2,FALSE),"")</f>
        <v>部位材料(武器)</v>
      </c>
      <c r="L51">
        <v>70010</v>
      </c>
      <c r="M51">
        <v>25</v>
      </c>
    </row>
    <row r="52" spans="1:13" x14ac:dyDescent="0.15">
      <c r="A52">
        <v>232</v>
      </c>
      <c r="B52">
        <v>0</v>
      </c>
      <c r="C52">
        <v>0</v>
      </c>
      <c r="D52" t="str">
        <f>IFERROR(VLOOKUP(E52,[1]引用表合并!$A$1:$B$1000,2,FALSE),"")</f>
        <v/>
      </c>
      <c r="E52">
        <v>51206</v>
      </c>
      <c r="G52">
        <v>2</v>
      </c>
      <c r="H52" t="str">
        <f>IFERROR(VLOOKUP(I52,D_道具表!$A$2:$B$136,2,FALSE),"")</f>
        <v/>
      </c>
      <c r="I52">
        <v>70356</v>
      </c>
      <c r="J52">
        <v>4</v>
      </c>
      <c r="K52" t="str">
        <f>IFERROR(VLOOKUP(L52,D_道具表!$A$2:$B$136,2,FALSE),"")</f>
        <v>部位材料(衣服)</v>
      </c>
      <c r="L52">
        <v>71010</v>
      </c>
      <c r="M52">
        <v>25</v>
      </c>
    </row>
    <row r="53" spans="1:13" x14ac:dyDescent="0.15">
      <c r="A53">
        <v>233</v>
      </c>
      <c r="B53">
        <v>0</v>
      </c>
      <c r="C53">
        <v>0</v>
      </c>
      <c r="D53" t="str">
        <f>IFERROR(VLOOKUP(E53,[1]引用表合并!$A$1:$B$1000,2,FALSE),"")</f>
        <v/>
      </c>
      <c r="E53">
        <v>52206</v>
      </c>
      <c r="G53">
        <v>2</v>
      </c>
      <c r="H53" t="str">
        <f>IFERROR(VLOOKUP(I53,D_道具表!$A$2:$B$136,2,FALSE),"")</f>
        <v/>
      </c>
      <c r="I53">
        <v>70366</v>
      </c>
      <c r="J53">
        <v>4</v>
      </c>
      <c r="K53" t="s">
        <v>318</v>
      </c>
      <c r="L53">
        <v>72010</v>
      </c>
      <c r="M53">
        <v>25</v>
      </c>
    </row>
    <row r="54" spans="1:13" x14ac:dyDescent="0.15">
      <c r="A54">
        <v>234</v>
      </c>
      <c r="B54">
        <v>0</v>
      </c>
      <c r="C54">
        <v>0</v>
      </c>
      <c r="D54" t="str">
        <f>IFERROR(VLOOKUP(E54,[1]引用表合并!$A$1:$B$1000,2,FALSE),"")</f>
        <v/>
      </c>
      <c r="E54">
        <v>53206</v>
      </c>
      <c r="G54">
        <v>2</v>
      </c>
      <c r="H54" t="str">
        <f>IFERROR(VLOOKUP(I54,D_道具表!$A$2:$B$136,2,FALSE),"")</f>
        <v/>
      </c>
      <c r="I54">
        <v>70376</v>
      </c>
      <c r="J54">
        <v>4</v>
      </c>
      <c r="K54" t="s">
        <v>319</v>
      </c>
      <c r="L54">
        <v>73010</v>
      </c>
      <c r="M54">
        <v>25</v>
      </c>
    </row>
    <row r="55" spans="1:13" x14ac:dyDescent="0.15">
      <c r="A55">
        <v>235</v>
      </c>
      <c r="B55">
        <v>0</v>
      </c>
      <c r="C55">
        <v>0</v>
      </c>
      <c r="D55" t="str">
        <f>IFERROR(VLOOKUP(E55,[1]引用表合并!$A$1:$B$1000,2,FALSE),"")</f>
        <v/>
      </c>
      <c r="E55">
        <v>54206</v>
      </c>
      <c r="G55">
        <v>2</v>
      </c>
      <c r="H55" t="str">
        <f>IFERROR(VLOOKUP(I55,D_道具表!$A$2:$B$136,2,FALSE),"")</f>
        <v/>
      </c>
      <c r="I55">
        <v>70386</v>
      </c>
      <c r="J55">
        <v>4</v>
      </c>
      <c r="K55" t="s">
        <v>320</v>
      </c>
      <c r="L55">
        <v>74010</v>
      </c>
      <c r="M55">
        <v>25</v>
      </c>
    </row>
    <row r="56" spans="1:13" x14ac:dyDescent="0.15">
      <c r="A56">
        <v>236</v>
      </c>
      <c r="B56">
        <v>0</v>
      </c>
      <c r="C56">
        <v>0</v>
      </c>
      <c r="D56" t="str">
        <f>IFERROR(VLOOKUP(E56,[1]引用表合并!$A$1:$B$1000,2,FALSE),"")</f>
        <v/>
      </c>
      <c r="E56">
        <v>55206</v>
      </c>
      <c r="G56">
        <v>2</v>
      </c>
      <c r="H56" t="str">
        <f>IFERROR(VLOOKUP(I56,D_道具表!$A$2:$B$136,2,FALSE),"")</f>
        <v/>
      </c>
      <c r="I56">
        <v>70396</v>
      </c>
      <c r="J56">
        <v>4</v>
      </c>
      <c r="K56" t="str">
        <f>IFERROR(VLOOKUP(L56,D_道具表!$A$2:$B$136,2,FALSE),"")</f>
        <v>部位材料(鞋子)</v>
      </c>
      <c r="L56">
        <v>75010</v>
      </c>
      <c r="M56">
        <v>25</v>
      </c>
    </row>
    <row r="57" spans="1:13" x14ac:dyDescent="0.15">
      <c r="A57">
        <v>237</v>
      </c>
      <c r="B57">
        <v>0</v>
      </c>
      <c r="C57">
        <v>0</v>
      </c>
      <c r="D57" t="str">
        <f>IFERROR(VLOOKUP(E57,[1]引用表合并!$A$1:$B$1000,2,FALSE),"")</f>
        <v/>
      </c>
      <c r="E57">
        <v>10307</v>
      </c>
      <c r="G57">
        <v>2</v>
      </c>
      <c r="H57" t="str">
        <f>IFERROR(VLOOKUP(I57,D_道具表!$A$2:$B$136,2,FALSE),"")</f>
        <v/>
      </c>
      <c r="I57">
        <v>70317</v>
      </c>
      <c r="J57">
        <v>5</v>
      </c>
      <c r="K57" t="str">
        <f>IFERROR(VLOOKUP(L57,D_道具表!$A$2:$B$136,2,FALSE),"")</f>
        <v>部位材料(武器)</v>
      </c>
      <c r="L57">
        <v>70010</v>
      </c>
      <c r="M57">
        <v>30</v>
      </c>
    </row>
    <row r="58" spans="1:13" x14ac:dyDescent="0.15">
      <c r="A58">
        <v>238</v>
      </c>
      <c r="B58">
        <v>0</v>
      </c>
      <c r="C58">
        <v>0</v>
      </c>
      <c r="D58" t="str">
        <f>IFERROR(VLOOKUP(E58,[1]引用表合并!$A$1:$B$1000,2,FALSE),"")</f>
        <v/>
      </c>
      <c r="E58">
        <v>20307</v>
      </c>
      <c r="G58">
        <v>2</v>
      </c>
      <c r="H58" t="str">
        <f>IFERROR(VLOOKUP(I58,D_道具表!$A$2:$B$136,2,FALSE),"")</f>
        <v/>
      </c>
      <c r="I58">
        <v>70327</v>
      </c>
      <c r="J58">
        <v>5</v>
      </c>
      <c r="K58" t="str">
        <f>IFERROR(VLOOKUP(L58,D_道具表!$A$2:$B$136,2,FALSE),"")</f>
        <v>部位材料(武器)</v>
      </c>
      <c r="L58">
        <v>70010</v>
      </c>
      <c r="M58">
        <v>30</v>
      </c>
    </row>
    <row r="59" spans="1:13" x14ac:dyDescent="0.15">
      <c r="A59">
        <v>239</v>
      </c>
      <c r="B59">
        <v>0</v>
      </c>
      <c r="C59">
        <v>0</v>
      </c>
      <c r="D59" t="str">
        <f>IFERROR(VLOOKUP(E59,[1]引用表合并!$A$1:$B$1000,2,FALSE),"")</f>
        <v/>
      </c>
      <c r="E59">
        <v>30307</v>
      </c>
      <c r="G59">
        <v>2</v>
      </c>
      <c r="H59" t="str">
        <f>IFERROR(VLOOKUP(I59,D_道具表!$A$2:$B$136,2,FALSE),"")</f>
        <v/>
      </c>
      <c r="I59">
        <v>70337</v>
      </c>
      <c r="J59">
        <v>5</v>
      </c>
      <c r="K59" t="str">
        <f>IFERROR(VLOOKUP(L59,D_道具表!$A$2:$B$136,2,FALSE),"")</f>
        <v>部位材料(武器)</v>
      </c>
      <c r="L59">
        <v>70010</v>
      </c>
      <c r="M59">
        <v>30</v>
      </c>
    </row>
    <row r="60" spans="1:13" x14ac:dyDescent="0.15">
      <c r="A60">
        <v>241</v>
      </c>
      <c r="B60">
        <v>0</v>
      </c>
      <c r="C60">
        <v>0</v>
      </c>
      <c r="D60" t="str">
        <f>IFERROR(VLOOKUP(E60,[1]引用表合并!$A$1:$B$1000,2,FALSE),"")</f>
        <v/>
      </c>
      <c r="E60">
        <v>51307</v>
      </c>
      <c r="G60">
        <v>2</v>
      </c>
      <c r="H60" t="str">
        <f>IFERROR(VLOOKUP(I60,D_道具表!$A$2:$B$136,2,FALSE),"")</f>
        <v/>
      </c>
      <c r="I60">
        <v>70357</v>
      </c>
      <c r="J60">
        <v>5</v>
      </c>
      <c r="K60" t="str">
        <f>IFERROR(VLOOKUP(L60,D_道具表!$A$2:$B$136,2,FALSE),"")</f>
        <v>部位材料(衣服)</v>
      </c>
      <c r="L60">
        <v>71010</v>
      </c>
      <c r="M60">
        <v>30</v>
      </c>
    </row>
    <row r="61" spans="1:13" x14ac:dyDescent="0.15">
      <c r="A61">
        <v>242</v>
      </c>
      <c r="B61">
        <v>0</v>
      </c>
      <c r="C61">
        <v>0</v>
      </c>
      <c r="D61" t="str">
        <f>IFERROR(VLOOKUP(E61,[1]引用表合并!$A$1:$B$1000,2,FALSE),"")</f>
        <v/>
      </c>
      <c r="E61">
        <v>52307</v>
      </c>
      <c r="G61">
        <v>2</v>
      </c>
      <c r="H61" t="str">
        <f>IFERROR(VLOOKUP(I61,D_道具表!$A$2:$B$136,2,FALSE),"")</f>
        <v/>
      </c>
      <c r="I61">
        <v>70367</v>
      </c>
      <c r="J61">
        <v>5</v>
      </c>
      <c r="K61" t="s">
        <v>318</v>
      </c>
      <c r="L61">
        <v>72010</v>
      </c>
      <c r="M61">
        <v>30</v>
      </c>
    </row>
    <row r="62" spans="1:13" x14ac:dyDescent="0.15">
      <c r="A62">
        <v>243</v>
      </c>
      <c r="B62">
        <v>0</v>
      </c>
      <c r="C62">
        <v>0</v>
      </c>
      <c r="D62" t="str">
        <f>IFERROR(VLOOKUP(E62,[1]引用表合并!$A$1:$B$1000,2,FALSE),"")</f>
        <v/>
      </c>
      <c r="E62">
        <v>53307</v>
      </c>
      <c r="G62">
        <v>2</v>
      </c>
      <c r="H62" t="str">
        <f>IFERROR(VLOOKUP(I62,D_道具表!$A$2:$B$136,2,FALSE),"")</f>
        <v/>
      </c>
      <c r="I62">
        <v>70377</v>
      </c>
      <c r="J62">
        <v>5</v>
      </c>
      <c r="K62" t="s">
        <v>319</v>
      </c>
      <c r="L62">
        <v>73010</v>
      </c>
      <c r="M62">
        <v>30</v>
      </c>
    </row>
    <row r="63" spans="1:13" x14ac:dyDescent="0.15">
      <c r="A63">
        <v>244</v>
      </c>
      <c r="B63">
        <v>0</v>
      </c>
      <c r="C63">
        <v>0</v>
      </c>
      <c r="D63" t="str">
        <f>IFERROR(VLOOKUP(E63,[1]引用表合并!$A$1:$B$1000,2,FALSE),"")</f>
        <v/>
      </c>
      <c r="E63">
        <v>54307</v>
      </c>
      <c r="G63">
        <v>2</v>
      </c>
      <c r="H63" t="str">
        <f>IFERROR(VLOOKUP(I63,D_道具表!$A$2:$B$136,2,FALSE),"")</f>
        <v/>
      </c>
      <c r="I63">
        <v>70387</v>
      </c>
      <c r="J63">
        <v>5</v>
      </c>
      <c r="K63" t="s">
        <v>320</v>
      </c>
      <c r="L63">
        <v>74010</v>
      </c>
      <c r="M63">
        <v>30</v>
      </c>
    </row>
    <row r="64" spans="1:13" x14ac:dyDescent="0.15">
      <c r="A64">
        <v>245</v>
      </c>
      <c r="B64">
        <v>0</v>
      </c>
      <c r="C64">
        <v>0</v>
      </c>
      <c r="D64" t="str">
        <f>IFERROR(VLOOKUP(E64,[1]引用表合并!$A$1:$B$1000,2,FALSE),"")</f>
        <v/>
      </c>
      <c r="E64">
        <v>55307</v>
      </c>
      <c r="G64">
        <v>2</v>
      </c>
      <c r="H64" t="str">
        <f>IFERROR(VLOOKUP(I64,D_道具表!$A$2:$B$136,2,FALSE),"")</f>
        <v/>
      </c>
      <c r="I64">
        <v>70397</v>
      </c>
      <c r="J64">
        <v>5</v>
      </c>
      <c r="K64" t="str">
        <f>IFERROR(VLOOKUP(L64,D_道具表!$A$2:$B$136,2,FALSE),"")</f>
        <v>部位材料(鞋子)</v>
      </c>
      <c r="L64">
        <v>75010</v>
      </c>
      <c r="M64">
        <v>30</v>
      </c>
    </row>
    <row r="65" spans="1:11" x14ac:dyDescent="0.15">
      <c r="A65">
        <v>51</v>
      </c>
      <c r="B65">
        <v>0</v>
      </c>
      <c r="C65">
        <v>0</v>
      </c>
      <c r="D65" t="s">
        <v>286</v>
      </c>
      <c r="E65">
        <v>59001</v>
      </c>
      <c r="G65">
        <v>1</v>
      </c>
      <c r="H65" t="s">
        <v>286</v>
      </c>
      <c r="I65">
        <v>83003</v>
      </c>
      <c r="J65">
        <v>1</v>
      </c>
      <c r="K65" t="str">
        <f>IFERROR(VLOOKUP(L65,D_道具表!$A$2:$B$136,2,FALSE),"")</f>
        <v/>
      </c>
    </row>
    <row r="66" spans="1:11" x14ac:dyDescent="0.15">
      <c r="A66">
        <v>52</v>
      </c>
      <c r="B66">
        <v>0</v>
      </c>
      <c r="C66">
        <v>0</v>
      </c>
      <c r="D66" t="s">
        <v>287</v>
      </c>
      <c r="E66">
        <v>59002</v>
      </c>
      <c r="G66">
        <v>1</v>
      </c>
      <c r="H66" t="s">
        <v>287</v>
      </c>
      <c r="I66">
        <v>83004</v>
      </c>
      <c r="J66">
        <v>1</v>
      </c>
      <c r="K66" t="str">
        <f>IFERROR(VLOOKUP(L66,D_道具表!$A$2:$B$136,2,FALSE),"")</f>
        <v/>
      </c>
    </row>
    <row r="67" spans="1:11" x14ac:dyDescent="0.15">
      <c r="A67">
        <v>53</v>
      </c>
      <c r="B67">
        <v>0</v>
      </c>
      <c r="C67">
        <v>0</v>
      </c>
      <c r="D67" t="str">
        <f>IFERROR(VLOOKUP(E67,[1]引用表合并!$A$1:$B$1000,2,FALSE),"")</f>
        <v>扛把子</v>
      </c>
      <c r="E67">
        <v>59003</v>
      </c>
      <c r="G67">
        <v>1</v>
      </c>
      <c r="H67" t="str">
        <f>IFERROR(VLOOKUP(I67,D_道具表!$A$2:$B$136,2,FALSE),"")</f>
        <v>扛把子</v>
      </c>
      <c r="I67">
        <v>83005</v>
      </c>
      <c r="J67">
        <v>1</v>
      </c>
      <c r="K67" t="str">
        <f>IFERROR(VLOOKUP(L67,D_道具表!$A$2:$B$136,2,FALSE),"")</f>
        <v/>
      </c>
    </row>
    <row r="68" spans="1:11" x14ac:dyDescent="0.15">
      <c r="A68">
        <v>54</v>
      </c>
      <c r="B68">
        <v>0</v>
      </c>
      <c r="C68">
        <v>0</v>
      </c>
      <c r="D68" t="s">
        <v>288</v>
      </c>
      <c r="E68">
        <v>59004</v>
      </c>
      <c r="G68">
        <v>1</v>
      </c>
      <c r="H68" t="s">
        <v>288</v>
      </c>
      <c r="I68">
        <v>83006</v>
      </c>
      <c r="J68">
        <v>1</v>
      </c>
      <c r="K68" t="str">
        <f>IFERROR(VLOOKUP(L68,D_道具表!$A$2:$B$136,2,FALSE),"")</f>
        <v/>
      </c>
    </row>
    <row r="69" spans="1:11" x14ac:dyDescent="0.15">
      <c r="A69">
        <v>55</v>
      </c>
      <c r="B69">
        <v>0</v>
      </c>
      <c r="C69">
        <v>0</v>
      </c>
      <c r="D69" t="s">
        <v>289</v>
      </c>
      <c r="E69">
        <v>59005</v>
      </c>
      <c r="G69">
        <v>1</v>
      </c>
      <c r="H69" t="s">
        <v>289</v>
      </c>
      <c r="I69">
        <v>83007</v>
      </c>
      <c r="J69">
        <v>1</v>
      </c>
      <c r="K69" t="str">
        <f>IFERROR(VLOOKUP(L69,D_道具表!$A$2:$B$136,2,FALSE),"")</f>
        <v/>
      </c>
    </row>
    <row r="70" spans="1:11" x14ac:dyDescent="0.15">
      <c r="A70">
        <v>56</v>
      </c>
      <c r="B70">
        <v>0</v>
      </c>
      <c r="C70">
        <v>0</v>
      </c>
      <c r="D70" t="s">
        <v>290</v>
      </c>
      <c r="E70">
        <v>59006</v>
      </c>
      <c r="G70">
        <v>1</v>
      </c>
      <c r="H70" t="s">
        <v>290</v>
      </c>
      <c r="I70">
        <v>83008</v>
      </c>
      <c r="J70">
        <v>1</v>
      </c>
      <c r="K70" t="str">
        <f>IFERROR(VLOOKUP(L70,D_道具表!$A$2:$B$136,2,FALSE),"")</f>
        <v/>
      </c>
    </row>
    <row r="71" spans="1:11" x14ac:dyDescent="0.15">
      <c r="A71">
        <v>57</v>
      </c>
      <c r="B71">
        <v>0</v>
      </c>
      <c r="C71">
        <v>0</v>
      </c>
      <c r="D71" t="str">
        <f>IFERROR(VLOOKUP(E71,[1]引用表合并!$A$1:$B$1000,2,FALSE),"")</f>
        <v>神之手</v>
      </c>
      <c r="E71">
        <v>59007</v>
      </c>
      <c r="G71">
        <v>1</v>
      </c>
      <c r="H71" t="str">
        <f>IFERROR(VLOOKUP(I71,D_道具表!$A$2:$B$136,2,FALSE),"")</f>
        <v>神之手</v>
      </c>
      <c r="I71">
        <v>83009</v>
      </c>
      <c r="J71">
        <v>1</v>
      </c>
      <c r="K71" t="str">
        <f>IFERROR(VLOOKUP(L71,D_道具表!$A$2:$B$136,2,FALSE),"")</f>
        <v/>
      </c>
    </row>
    <row r="72" spans="1:11" x14ac:dyDescent="0.15">
      <c r="A72">
        <v>58</v>
      </c>
      <c r="B72">
        <v>0</v>
      </c>
      <c r="C72">
        <v>0</v>
      </c>
      <c r="D72" t="str">
        <f>IFERROR(VLOOKUP(E72,[1]引用表合并!$A$1:$B$1000,2,FALSE),"")</f>
        <v>富甲一方</v>
      </c>
      <c r="E72">
        <v>59008</v>
      </c>
      <c r="G72">
        <v>1</v>
      </c>
      <c r="H72" t="str">
        <f>IFERROR(VLOOKUP(I72,D_道具表!$A$2:$B$136,2,FALSE),"")</f>
        <v>富甲一方</v>
      </c>
      <c r="I72">
        <v>83010</v>
      </c>
      <c r="J72">
        <v>1</v>
      </c>
      <c r="K72" t="str">
        <f>IFERROR(VLOOKUP(L72,D_道具表!$A$2:$B$136,2,FALSE),"")</f>
        <v/>
      </c>
    </row>
    <row r="73" spans="1:11" x14ac:dyDescent="0.15">
      <c r="A73">
        <v>59</v>
      </c>
      <c r="B73">
        <v>0</v>
      </c>
      <c r="C73">
        <v>0</v>
      </c>
      <c r="D73" t="s">
        <v>291</v>
      </c>
      <c r="E73">
        <v>59009</v>
      </c>
      <c r="G73">
        <v>1</v>
      </c>
      <c r="H73" t="s">
        <v>291</v>
      </c>
      <c r="I73">
        <v>83011</v>
      </c>
      <c r="J73">
        <v>1</v>
      </c>
      <c r="K73" t="str">
        <f>IFERROR(VLOOKUP(L73,D_道具表!$A$2:$B$136,2,FALSE),"")</f>
        <v/>
      </c>
    </row>
    <row r="74" spans="1:11" x14ac:dyDescent="0.15">
      <c r="A74">
        <v>60</v>
      </c>
      <c r="B74">
        <v>0</v>
      </c>
      <c r="C74">
        <v>0</v>
      </c>
      <c r="D74" t="s">
        <v>292</v>
      </c>
      <c r="E74">
        <v>59010</v>
      </c>
      <c r="G74">
        <v>1</v>
      </c>
      <c r="H74" t="s">
        <v>292</v>
      </c>
      <c r="I74">
        <v>83012</v>
      </c>
      <c r="J74">
        <v>1</v>
      </c>
      <c r="K74" t="str">
        <f>IFERROR(VLOOKUP(L74,D_道具表!$A$2:$B$136,2,FALSE),"")</f>
        <v/>
      </c>
    </row>
    <row r="75" spans="1:11" x14ac:dyDescent="0.15">
      <c r="A75">
        <v>61</v>
      </c>
      <c r="B75">
        <v>0</v>
      </c>
      <c r="C75">
        <v>0</v>
      </c>
      <c r="D75" t="str">
        <f>IFERROR(VLOOKUP(E75,[1]引用表合并!$A$1:$B$1000,2,FALSE),"")</f>
        <v/>
      </c>
      <c r="E75">
        <v>59011</v>
      </c>
      <c r="G75">
        <v>1</v>
      </c>
      <c r="H75" t="s">
        <v>291</v>
      </c>
      <c r="I75">
        <v>83013</v>
      </c>
      <c r="J75">
        <v>1</v>
      </c>
      <c r="K75" t="str">
        <f>IFERROR(VLOOKUP(L75,D_道具表!$A$2:$B$136,2,FALSE),"")</f>
        <v/>
      </c>
    </row>
    <row r="76" spans="1:11" x14ac:dyDescent="0.15">
      <c r="A76">
        <v>62</v>
      </c>
      <c r="B76">
        <v>0</v>
      </c>
      <c r="C76">
        <v>0</v>
      </c>
      <c r="D76" t="str">
        <f>IFERROR(VLOOKUP(E76,[1]引用表合并!$A$1:$B$1000,2,FALSE),"")</f>
        <v/>
      </c>
      <c r="E76">
        <v>59012</v>
      </c>
      <c r="G76">
        <v>1</v>
      </c>
      <c r="H76" t="s">
        <v>292</v>
      </c>
      <c r="I76">
        <v>83014</v>
      </c>
      <c r="J76">
        <v>1</v>
      </c>
      <c r="K76" t="str">
        <f>IFERROR(VLOOKUP(L76,D_道具表!$A$2:$B$136,2,FALSE),"")</f>
        <v/>
      </c>
    </row>
    <row r="77" spans="1:11" x14ac:dyDescent="0.15">
      <c r="A77">
        <v>63</v>
      </c>
      <c r="B77">
        <v>0</v>
      </c>
      <c r="C77">
        <v>0</v>
      </c>
      <c r="D77" t="str">
        <f>IFERROR(VLOOKUP(E77,[1]引用表合并!$A$1:$B$1000,2,FALSE),"")</f>
        <v/>
      </c>
      <c r="E77">
        <v>59013</v>
      </c>
      <c r="G77">
        <v>1</v>
      </c>
      <c r="H77" t="s">
        <v>293</v>
      </c>
      <c r="I77">
        <v>83015</v>
      </c>
      <c r="J77">
        <v>1</v>
      </c>
      <c r="K77" t="str">
        <f>IFERROR(VLOOKUP(L77,D_道具表!$A$2:$B$136,2,FALSE),"")</f>
        <v/>
      </c>
    </row>
    <row r="78" spans="1:11" x14ac:dyDescent="0.15">
      <c r="A78">
        <v>64</v>
      </c>
      <c r="B78">
        <v>0</v>
      </c>
      <c r="C78">
        <v>0</v>
      </c>
      <c r="D78" t="str">
        <f>IFERROR(VLOOKUP(E78,[1]引用表合并!$A$1:$B$1000,2,FALSE),"")</f>
        <v/>
      </c>
      <c r="E78">
        <v>59014</v>
      </c>
      <c r="G78">
        <v>1</v>
      </c>
      <c r="H78" t="str">
        <f>IFERROR(VLOOKUP(I78,D_道具表!$A$2:$B$136,2,FALSE),"")</f>
        <v>不哭死神</v>
      </c>
      <c r="I78">
        <v>83016</v>
      </c>
      <c r="J78">
        <v>1</v>
      </c>
      <c r="K78" t="str">
        <f>IFERROR(VLOOKUP(L78,D_道具表!$A$2:$B$136,2,FALSE),"")</f>
        <v/>
      </c>
    </row>
    <row r="79" spans="1:11" x14ac:dyDescent="0.15">
      <c r="A79">
        <v>65</v>
      </c>
      <c r="B79">
        <v>0</v>
      </c>
      <c r="C79">
        <v>0</v>
      </c>
      <c r="D79" t="str">
        <f>IFERROR(VLOOKUP(E79,[1]引用表合并!$A$1:$B$1000,2,FALSE),"")</f>
        <v/>
      </c>
      <c r="E79">
        <v>59015</v>
      </c>
      <c r="G79">
        <v>1</v>
      </c>
      <c r="H79" t="s">
        <v>294</v>
      </c>
      <c r="I79">
        <v>83017</v>
      </c>
      <c r="J79">
        <v>1</v>
      </c>
      <c r="K79" t="str">
        <f>IFERROR(VLOOKUP(L79,D_道具表!$A$2:$B$136,2,FALSE),"")</f>
        <v/>
      </c>
    </row>
    <row r="80" spans="1:11" x14ac:dyDescent="0.15">
      <c r="A80">
        <v>66</v>
      </c>
      <c r="B80">
        <v>0</v>
      </c>
      <c r="C80">
        <v>0</v>
      </c>
      <c r="D80" t="str">
        <f>IFERROR(VLOOKUP(E80,[1]引用表合并!$A$1:$B$1000,2,FALSE),"")</f>
        <v/>
      </c>
      <c r="E80">
        <v>59016</v>
      </c>
      <c r="G80">
        <v>1</v>
      </c>
      <c r="H80" t="s">
        <v>295</v>
      </c>
      <c r="I80">
        <v>83018</v>
      </c>
      <c r="J80">
        <v>1</v>
      </c>
      <c r="K80" t="str">
        <f>IFERROR(VLOOKUP(L80,D_道具表!$A$2:$B$136,2,FALSE),"")</f>
        <v/>
      </c>
    </row>
    <row r="81" spans="1:11" x14ac:dyDescent="0.15">
      <c r="A81">
        <v>67</v>
      </c>
      <c r="B81">
        <v>0</v>
      </c>
      <c r="C81">
        <v>0</v>
      </c>
      <c r="D81" t="str">
        <f>IFERROR(VLOOKUP(E81,[1]引用表合并!$A$1:$B$1000,2,FALSE),"")</f>
        <v/>
      </c>
      <c r="E81">
        <v>59017</v>
      </c>
      <c r="G81">
        <v>1</v>
      </c>
      <c r="H81" t="s">
        <v>296</v>
      </c>
      <c r="I81">
        <v>83019</v>
      </c>
      <c r="J81">
        <v>1</v>
      </c>
      <c r="K81" t="str">
        <f>IFERROR(VLOOKUP(L81,D_道具表!$A$2:$B$136,2,FALSE),"")</f>
        <v/>
      </c>
    </row>
    <row r="82" spans="1:11" x14ac:dyDescent="0.15">
      <c r="A82">
        <v>68</v>
      </c>
      <c r="B82">
        <v>0</v>
      </c>
      <c r="C82">
        <v>0</v>
      </c>
      <c r="D82" t="str">
        <f>IFERROR(VLOOKUP(E82,[1]引用表合并!$A$1:$B$1000,2,FALSE),"")</f>
        <v/>
      </c>
      <c r="E82">
        <v>59018</v>
      </c>
      <c r="G82">
        <v>1</v>
      </c>
      <c r="H82" t="s">
        <v>297</v>
      </c>
      <c r="I82">
        <v>83020</v>
      </c>
      <c r="J82">
        <v>1</v>
      </c>
      <c r="K82" t="str">
        <f>IFERROR(VLOOKUP(L82,D_道具表!$A$2:$B$136,2,FALSE),"")</f>
        <v/>
      </c>
    </row>
    <row r="83" spans="1:11" x14ac:dyDescent="0.15">
      <c r="A83">
        <v>69</v>
      </c>
      <c r="B83">
        <v>0</v>
      </c>
      <c r="C83">
        <v>0</v>
      </c>
      <c r="D83" t="str">
        <f>IFERROR(VLOOKUP(E83,[1]引用表合并!$A$1:$B$1000,2,FALSE),"")</f>
        <v/>
      </c>
      <c r="E83">
        <v>59019</v>
      </c>
      <c r="G83">
        <v>1</v>
      </c>
      <c r="H83" t="str">
        <f>IFERROR(VLOOKUP(I83,D_道具表!$A$2:$B$136,2,FALSE),"")</f>
        <v>至尊王者</v>
      </c>
      <c r="I83">
        <v>83021</v>
      </c>
      <c r="J83">
        <v>1</v>
      </c>
      <c r="K83" t="str">
        <f>IFERROR(VLOOKUP(L83,D_道具表!$A$2:$B$136,2,FALSE),"")</f>
        <v/>
      </c>
    </row>
    <row r="84" spans="1:11" x14ac:dyDescent="0.15">
      <c r="A84">
        <v>70</v>
      </c>
      <c r="B84">
        <v>0</v>
      </c>
      <c r="C84">
        <v>0</v>
      </c>
      <c r="D84" t="str">
        <f>IFERROR(VLOOKUP(E84,[1]引用表合并!$A$1:$B$1000,2,FALSE),"")</f>
        <v/>
      </c>
      <c r="E84">
        <v>59020</v>
      </c>
      <c r="G84">
        <v>1</v>
      </c>
      <c r="H84" t="s">
        <v>298</v>
      </c>
      <c r="I84">
        <v>83022</v>
      </c>
      <c r="J84">
        <v>1</v>
      </c>
      <c r="K84" t="str">
        <f>IFERROR(VLOOKUP(L84,D_道具表!$A$2:$B$136,2,FALSE),"")</f>
        <v/>
      </c>
    </row>
    <row r="85" spans="1:11" x14ac:dyDescent="0.15">
      <c r="A85">
        <v>71</v>
      </c>
      <c r="B85">
        <v>0</v>
      </c>
      <c r="C85">
        <v>0</v>
      </c>
      <c r="D85" t="s">
        <v>286</v>
      </c>
      <c r="E85">
        <v>59001</v>
      </c>
      <c r="G85">
        <v>1</v>
      </c>
      <c r="H85" t="s">
        <v>299</v>
      </c>
      <c r="I85">
        <v>83103</v>
      </c>
      <c r="J85">
        <v>1</v>
      </c>
      <c r="K85" t="str">
        <f>IFERROR(VLOOKUP(L85,D_道具表!$A$2:$B$136,2,FALSE),"")</f>
        <v/>
      </c>
    </row>
    <row r="86" spans="1:11" x14ac:dyDescent="0.15">
      <c r="A86">
        <v>72</v>
      </c>
      <c r="B86">
        <v>0</v>
      </c>
      <c r="C86">
        <v>0</v>
      </c>
      <c r="D86" t="s">
        <v>287</v>
      </c>
      <c r="E86">
        <v>59002</v>
      </c>
      <c r="G86">
        <v>1</v>
      </c>
      <c r="H86" t="s">
        <v>300</v>
      </c>
      <c r="I86">
        <v>83104</v>
      </c>
      <c r="J86">
        <v>1</v>
      </c>
      <c r="K86" t="str">
        <f>IFERROR(VLOOKUP(L86,D_道具表!$A$2:$B$136,2,FALSE),"")</f>
        <v/>
      </c>
    </row>
    <row r="87" spans="1:11" x14ac:dyDescent="0.15">
      <c r="A87">
        <v>73</v>
      </c>
      <c r="B87">
        <v>0</v>
      </c>
      <c r="C87">
        <v>0</v>
      </c>
      <c r="D87" t="str">
        <f>IFERROR(VLOOKUP(E87,[1]引用表合并!$A$1:$B$1000,2,FALSE),"")</f>
        <v>扛把子</v>
      </c>
      <c r="E87">
        <v>59003</v>
      </c>
      <c r="G87">
        <v>1</v>
      </c>
      <c r="H87" t="str">
        <f>IFERROR(VLOOKUP(I87,D_道具表!$A$2:$B$136,2,FALSE),"")</f>
        <v>扛把子(3天)</v>
      </c>
      <c r="I87">
        <v>83105</v>
      </c>
      <c r="J87">
        <v>1</v>
      </c>
      <c r="K87" t="str">
        <f>IFERROR(VLOOKUP(L87,D_道具表!$A$2:$B$136,2,FALSE),"")</f>
        <v/>
      </c>
    </row>
    <row r="88" spans="1:11" x14ac:dyDescent="0.15">
      <c r="A88">
        <v>74</v>
      </c>
      <c r="B88">
        <v>0</v>
      </c>
      <c r="C88">
        <v>0</v>
      </c>
      <c r="D88" t="s">
        <v>288</v>
      </c>
      <c r="E88">
        <v>59004</v>
      </c>
      <c r="G88">
        <v>1</v>
      </c>
      <c r="H88" t="s">
        <v>301</v>
      </c>
      <c r="I88">
        <v>83106</v>
      </c>
      <c r="J88">
        <v>1</v>
      </c>
      <c r="K88" t="str">
        <f>IFERROR(VLOOKUP(L88,D_道具表!$A$2:$B$136,2,FALSE),"")</f>
        <v/>
      </c>
    </row>
    <row r="89" spans="1:11" x14ac:dyDescent="0.15">
      <c r="A89">
        <v>75</v>
      </c>
      <c r="B89">
        <v>0</v>
      </c>
      <c r="C89">
        <v>0</v>
      </c>
      <c r="D89" t="s">
        <v>289</v>
      </c>
      <c r="E89">
        <v>59005</v>
      </c>
      <c r="G89">
        <v>1</v>
      </c>
      <c r="H89" t="s">
        <v>302</v>
      </c>
      <c r="I89">
        <v>83107</v>
      </c>
      <c r="J89">
        <v>1</v>
      </c>
      <c r="K89" t="str">
        <f>IFERROR(VLOOKUP(L89,D_道具表!$A$2:$B$136,2,FALSE),"")</f>
        <v/>
      </c>
    </row>
    <row r="90" spans="1:11" x14ac:dyDescent="0.15">
      <c r="A90">
        <v>76</v>
      </c>
      <c r="B90">
        <v>0</v>
      </c>
      <c r="C90">
        <v>0</v>
      </c>
      <c r="D90" t="s">
        <v>290</v>
      </c>
      <c r="E90">
        <v>59006</v>
      </c>
      <c r="G90">
        <v>1</v>
      </c>
      <c r="H90" t="s">
        <v>303</v>
      </c>
      <c r="I90">
        <v>83108</v>
      </c>
      <c r="J90">
        <v>1</v>
      </c>
      <c r="K90" t="str">
        <f>IFERROR(VLOOKUP(L90,D_道具表!$A$2:$B$136,2,FALSE),"")</f>
        <v/>
      </c>
    </row>
    <row r="91" spans="1:11" x14ac:dyDescent="0.15">
      <c r="A91">
        <v>77</v>
      </c>
      <c r="B91">
        <v>0</v>
      </c>
      <c r="C91">
        <v>0</v>
      </c>
      <c r="D91" t="str">
        <f>IFERROR(VLOOKUP(E91,[1]引用表合并!$A$1:$B$1000,2,FALSE),"")</f>
        <v>神之手</v>
      </c>
      <c r="E91">
        <v>59007</v>
      </c>
      <c r="G91">
        <v>1</v>
      </c>
      <c r="H91" t="str">
        <f>IFERROR(VLOOKUP(I91,D_道具表!$A$2:$B$136,2,FALSE),"")</f>
        <v>神之手(3天)</v>
      </c>
      <c r="I91">
        <v>83109</v>
      </c>
      <c r="J91">
        <v>1</v>
      </c>
      <c r="K91" t="str">
        <f>IFERROR(VLOOKUP(L91,D_道具表!$A$2:$B$136,2,FALSE),"")</f>
        <v/>
      </c>
    </row>
    <row r="92" spans="1:11" x14ac:dyDescent="0.15">
      <c r="A92">
        <v>78</v>
      </c>
      <c r="B92">
        <v>0</v>
      </c>
      <c r="C92">
        <v>0</v>
      </c>
      <c r="D92" t="str">
        <f>IFERROR(VLOOKUP(E92,[1]引用表合并!$A$1:$B$1000,2,FALSE),"")</f>
        <v>富甲一方</v>
      </c>
      <c r="E92">
        <v>59008</v>
      </c>
      <c r="G92">
        <v>1</v>
      </c>
      <c r="H92" t="str">
        <f>IFERROR(VLOOKUP(I92,D_道具表!$A$2:$B$136,2,FALSE),"")</f>
        <v>富甲一方(3天)</v>
      </c>
      <c r="I92">
        <v>83110</v>
      </c>
      <c r="J92">
        <v>1</v>
      </c>
      <c r="K92" t="str">
        <f>IFERROR(VLOOKUP(L92,D_道具表!$A$2:$B$136,2,FALSE),"")</f>
        <v/>
      </c>
    </row>
    <row r="93" spans="1:11" x14ac:dyDescent="0.15">
      <c r="A93">
        <v>79</v>
      </c>
      <c r="B93">
        <v>0</v>
      </c>
      <c r="C93">
        <v>0</v>
      </c>
      <c r="D93" t="s">
        <v>291</v>
      </c>
      <c r="E93">
        <v>59009</v>
      </c>
      <c r="G93">
        <v>1</v>
      </c>
      <c r="H93" t="s">
        <v>304</v>
      </c>
      <c r="I93">
        <v>83111</v>
      </c>
      <c r="J93">
        <v>1</v>
      </c>
      <c r="K93" t="str">
        <f>IFERROR(VLOOKUP(L93,D_道具表!$A$2:$B$136,2,FALSE),"")</f>
        <v/>
      </c>
    </row>
    <row r="94" spans="1:11" x14ac:dyDescent="0.15">
      <c r="A94">
        <v>80</v>
      </c>
      <c r="B94">
        <v>0</v>
      </c>
      <c r="C94">
        <v>0</v>
      </c>
      <c r="D94" t="s">
        <v>292</v>
      </c>
      <c r="E94">
        <v>59010</v>
      </c>
      <c r="G94">
        <v>1</v>
      </c>
      <c r="H94" t="s">
        <v>305</v>
      </c>
      <c r="I94">
        <v>83112</v>
      </c>
      <c r="J94">
        <v>1</v>
      </c>
      <c r="K94" t="str">
        <f>IFERROR(VLOOKUP(L94,D_道具表!$A$2:$B$136,2,FALSE),"")</f>
        <v/>
      </c>
    </row>
    <row r="95" spans="1:11" x14ac:dyDescent="0.15">
      <c r="A95">
        <v>81</v>
      </c>
      <c r="B95">
        <v>0</v>
      </c>
      <c r="C95">
        <v>0</v>
      </c>
      <c r="D95" t="str">
        <f>IFERROR(VLOOKUP(E95,[1]引用表合并!$A$1:$B$1000,2,FALSE),"")</f>
        <v/>
      </c>
      <c r="E95">
        <v>59011</v>
      </c>
      <c r="G95">
        <v>1</v>
      </c>
      <c r="H95" t="s">
        <v>304</v>
      </c>
      <c r="I95">
        <v>83113</v>
      </c>
      <c r="J95">
        <v>1</v>
      </c>
      <c r="K95" t="str">
        <f>IFERROR(VLOOKUP(L95,D_道具表!$A$2:$B$136,2,FALSE),"")</f>
        <v/>
      </c>
    </row>
    <row r="96" spans="1:11" x14ac:dyDescent="0.15">
      <c r="A96">
        <v>82</v>
      </c>
      <c r="B96">
        <v>0</v>
      </c>
      <c r="C96">
        <v>0</v>
      </c>
      <c r="D96" t="str">
        <f>IFERROR(VLOOKUP(E96,[1]引用表合并!$A$1:$B$1000,2,FALSE),"")</f>
        <v/>
      </c>
      <c r="E96">
        <v>59012</v>
      </c>
      <c r="G96">
        <v>1</v>
      </c>
      <c r="H96" t="s">
        <v>305</v>
      </c>
      <c r="I96">
        <v>83114</v>
      </c>
      <c r="J96">
        <v>1</v>
      </c>
      <c r="K96" t="str">
        <f>IFERROR(VLOOKUP(L96,D_道具表!$A$2:$B$136,2,FALSE),"")</f>
        <v/>
      </c>
    </row>
    <row r="97" spans="1:11" x14ac:dyDescent="0.15">
      <c r="A97">
        <v>83</v>
      </c>
      <c r="B97">
        <v>0</v>
      </c>
      <c r="C97">
        <v>0</v>
      </c>
      <c r="D97" t="str">
        <f>IFERROR(VLOOKUP(E97,[1]引用表合并!$A$1:$B$1000,2,FALSE),"")</f>
        <v/>
      </c>
      <c r="E97">
        <v>59013</v>
      </c>
      <c r="G97">
        <v>1</v>
      </c>
      <c r="H97" t="s">
        <v>306</v>
      </c>
      <c r="I97">
        <v>83115</v>
      </c>
      <c r="J97">
        <v>1</v>
      </c>
      <c r="K97" t="str">
        <f>IFERROR(VLOOKUP(L97,D_道具表!$A$2:$B$136,2,FALSE),"")</f>
        <v/>
      </c>
    </row>
    <row r="98" spans="1:11" x14ac:dyDescent="0.15">
      <c r="A98">
        <v>84</v>
      </c>
      <c r="B98">
        <v>0</v>
      </c>
      <c r="C98">
        <v>0</v>
      </c>
      <c r="D98" t="str">
        <f>IFERROR(VLOOKUP(E98,[1]引用表合并!$A$1:$B$1000,2,FALSE),"")</f>
        <v/>
      </c>
      <c r="E98">
        <v>59014</v>
      </c>
      <c r="G98">
        <v>1</v>
      </c>
      <c r="H98" t="str">
        <f>IFERROR(VLOOKUP(I98,D_道具表!$A$2:$B$136,2,FALSE),"")</f>
        <v>不哭死神(3天)</v>
      </c>
      <c r="I98">
        <v>83116</v>
      </c>
      <c r="J98">
        <v>1</v>
      </c>
      <c r="K98" t="str">
        <f>IFERROR(VLOOKUP(L98,D_道具表!$A$2:$B$136,2,FALSE),"")</f>
        <v/>
      </c>
    </row>
    <row r="99" spans="1:11" x14ac:dyDescent="0.15">
      <c r="A99">
        <v>85</v>
      </c>
      <c r="B99">
        <v>0</v>
      </c>
      <c r="C99">
        <v>0</v>
      </c>
      <c r="D99" t="str">
        <f>IFERROR(VLOOKUP(E99,[1]引用表合并!$A$1:$B$1000,2,FALSE),"")</f>
        <v/>
      </c>
      <c r="E99">
        <v>59015</v>
      </c>
      <c r="G99">
        <v>1</v>
      </c>
      <c r="H99" t="s">
        <v>307</v>
      </c>
      <c r="I99">
        <v>83117</v>
      </c>
      <c r="J99">
        <v>1</v>
      </c>
      <c r="K99" t="str">
        <f>IFERROR(VLOOKUP(L99,D_道具表!$A$2:$B$136,2,FALSE),"")</f>
        <v/>
      </c>
    </row>
    <row r="100" spans="1:11" x14ac:dyDescent="0.15">
      <c r="A100">
        <v>86</v>
      </c>
      <c r="B100">
        <v>0</v>
      </c>
      <c r="C100">
        <v>0</v>
      </c>
      <c r="D100" t="str">
        <f>IFERROR(VLOOKUP(E100,[1]引用表合并!$A$1:$B$1000,2,FALSE),"")</f>
        <v/>
      </c>
      <c r="E100">
        <v>59016</v>
      </c>
      <c r="G100">
        <v>1</v>
      </c>
      <c r="H100" t="s">
        <v>308</v>
      </c>
      <c r="I100">
        <v>83118</v>
      </c>
      <c r="J100">
        <v>1</v>
      </c>
      <c r="K100" t="str">
        <f>IFERROR(VLOOKUP(L100,D_道具表!$A$2:$B$136,2,FALSE),"")</f>
        <v/>
      </c>
    </row>
    <row r="101" spans="1:11" x14ac:dyDescent="0.15">
      <c r="A101">
        <v>87</v>
      </c>
      <c r="B101">
        <v>0</v>
      </c>
      <c r="C101">
        <v>0</v>
      </c>
      <c r="D101" t="str">
        <f>IFERROR(VLOOKUP(E101,[1]引用表合并!$A$1:$B$1000,2,FALSE),"")</f>
        <v/>
      </c>
      <c r="E101">
        <v>59017</v>
      </c>
      <c r="G101">
        <v>1</v>
      </c>
      <c r="H101" t="s">
        <v>309</v>
      </c>
      <c r="I101">
        <v>83119</v>
      </c>
      <c r="J101">
        <v>1</v>
      </c>
      <c r="K101" t="str">
        <f>IFERROR(VLOOKUP(L101,D_道具表!$A$2:$B$136,2,FALSE),"")</f>
        <v/>
      </c>
    </row>
    <row r="102" spans="1:11" x14ac:dyDescent="0.15">
      <c r="A102">
        <v>88</v>
      </c>
      <c r="B102">
        <v>0</v>
      </c>
      <c r="C102">
        <v>0</v>
      </c>
      <c r="D102" t="str">
        <f>IFERROR(VLOOKUP(E102,[1]引用表合并!$A$1:$B$1000,2,FALSE),"")</f>
        <v/>
      </c>
      <c r="E102">
        <v>59018</v>
      </c>
      <c r="G102">
        <v>1</v>
      </c>
      <c r="H102" t="s">
        <v>310</v>
      </c>
      <c r="I102">
        <v>83120</v>
      </c>
      <c r="J102">
        <v>1</v>
      </c>
      <c r="K102" t="str">
        <f>IFERROR(VLOOKUP(L102,D_道具表!$A$2:$B$136,2,FALSE),"")</f>
        <v/>
      </c>
    </row>
    <row r="103" spans="1:11" x14ac:dyDescent="0.15">
      <c r="A103">
        <v>89</v>
      </c>
      <c r="B103">
        <v>0</v>
      </c>
      <c r="C103">
        <v>0</v>
      </c>
      <c r="D103" t="str">
        <f>IFERROR(VLOOKUP(E103,[1]引用表合并!$A$1:$B$1000,2,FALSE),"")</f>
        <v/>
      </c>
      <c r="E103">
        <v>59019</v>
      </c>
      <c r="G103">
        <v>1</v>
      </c>
      <c r="H103" t="str">
        <f>IFERROR(VLOOKUP(I103,D_道具表!$A$2:$B$136,2,FALSE),"")</f>
        <v>至尊王者(3天)</v>
      </c>
      <c r="I103">
        <v>83121</v>
      </c>
      <c r="J103">
        <v>1</v>
      </c>
      <c r="K103" t="str">
        <f>IFERROR(VLOOKUP(L103,D_道具表!$A$2:$B$136,2,FALSE),"")</f>
        <v/>
      </c>
    </row>
    <row r="104" spans="1:11" x14ac:dyDescent="0.15">
      <c r="A104">
        <v>90</v>
      </c>
      <c r="B104">
        <v>0</v>
      </c>
      <c r="C104">
        <v>0</v>
      </c>
      <c r="D104" t="str">
        <f>IFERROR(VLOOKUP(E104,[1]引用表合并!$A$1:$B$1000,2,FALSE),"")</f>
        <v/>
      </c>
      <c r="E104">
        <v>59020</v>
      </c>
      <c r="G104">
        <v>1</v>
      </c>
      <c r="H104" t="s">
        <v>311</v>
      </c>
      <c r="I104">
        <v>83122</v>
      </c>
      <c r="J104">
        <v>1</v>
      </c>
      <c r="K104" t="str">
        <f>IFERROR(VLOOKUP(L104,D_道具表!$A$2:$B$136,2,FALSE),"")</f>
        <v/>
      </c>
    </row>
    <row r="105" spans="1:11" x14ac:dyDescent="0.15">
      <c r="A105">
        <v>91</v>
      </c>
      <c r="B105">
        <v>0</v>
      </c>
      <c r="C105">
        <v>0</v>
      </c>
      <c r="D105" t="s">
        <v>864</v>
      </c>
      <c r="E105">
        <v>59030</v>
      </c>
      <c r="G105">
        <v>1</v>
      </c>
      <c r="H105" t="s">
        <v>864</v>
      </c>
      <c r="I105">
        <v>83023</v>
      </c>
      <c r="J105">
        <v>1</v>
      </c>
    </row>
    <row r="106" spans="1:11" x14ac:dyDescent="0.15">
      <c r="A106">
        <v>514</v>
      </c>
      <c r="B106">
        <v>0</v>
      </c>
      <c r="C106">
        <v>0</v>
      </c>
      <c r="D106" t="s">
        <v>726</v>
      </c>
      <c r="E106">
        <v>101114</v>
      </c>
      <c r="G106">
        <v>1</v>
      </c>
      <c r="H106" t="s">
        <v>910</v>
      </c>
      <c r="I106">
        <v>78214</v>
      </c>
      <c r="J106">
        <v>10</v>
      </c>
      <c r="K106" t="str">
        <f>IFERROR(VLOOKUP(L106,D_道具表!$A$2:$B$136,2,FALSE),"")</f>
        <v/>
      </c>
    </row>
    <row r="107" spans="1:11" x14ac:dyDescent="0.15">
      <c r="A107">
        <v>515</v>
      </c>
      <c r="B107">
        <v>0</v>
      </c>
      <c r="C107">
        <v>0</v>
      </c>
      <c r="D107" t="s">
        <v>727</v>
      </c>
      <c r="E107">
        <v>101115</v>
      </c>
      <c r="G107">
        <v>1</v>
      </c>
      <c r="H107" t="s">
        <v>911</v>
      </c>
      <c r="I107">
        <v>78215</v>
      </c>
      <c r="J107">
        <v>10</v>
      </c>
      <c r="K107" t="str">
        <f>IFERROR(VLOOKUP(L107,D_道具表!$A$2:$B$136,2,FALSE),"")</f>
        <v/>
      </c>
    </row>
    <row r="108" spans="1:11" x14ac:dyDescent="0.15">
      <c r="A108">
        <v>516</v>
      </c>
      <c r="B108">
        <v>0</v>
      </c>
      <c r="C108">
        <v>0</v>
      </c>
      <c r="D108" t="s">
        <v>830</v>
      </c>
      <c r="E108">
        <v>101116</v>
      </c>
      <c r="G108">
        <v>1</v>
      </c>
      <c r="H108" t="s">
        <v>912</v>
      </c>
      <c r="I108">
        <v>78216</v>
      </c>
      <c r="J108">
        <v>10</v>
      </c>
      <c r="K108" t="str">
        <f>IFERROR(VLOOKUP(L108,D_道具表!$A$2:$B$136,2,FALSE),"")</f>
        <v/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3" workbookViewId="0">
      <selection activeCell="F42" sqref="F42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S202"/>
  <sheetViews>
    <sheetView topLeftCell="B52" workbookViewId="0">
      <selection activeCell="D71" sqref="D71"/>
    </sheetView>
  </sheetViews>
  <sheetFormatPr defaultRowHeight="13.5" x14ac:dyDescent="0.15"/>
  <cols>
    <col min="3" max="3" width="7.25" bestFit="1" customWidth="1"/>
    <col min="4" max="4" width="17.625" bestFit="1" customWidth="1"/>
    <col min="9" max="9" width="11" bestFit="1" customWidth="1"/>
    <col min="10" max="10" width="13" bestFit="1" customWidth="1"/>
    <col min="12" max="12" width="11" bestFit="1" customWidth="1"/>
    <col min="13" max="13" width="13" bestFit="1" customWidth="1"/>
    <col min="15" max="15" width="7.25" bestFit="1" customWidth="1"/>
    <col min="18" max="18" width="10.5" bestFit="1" customWidth="1"/>
  </cols>
  <sheetData>
    <row r="5" spans="3:19" x14ac:dyDescent="0.15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5</v>
      </c>
      <c r="I5" t="s">
        <v>6</v>
      </c>
      <c r="J5" t="s">
        <v>7</v>
      </c>
      <c r="K5" t="s">
        <v>8</v>
      </c>
      <c r="L5" t="s">
        <v>9</v>
      </c>
      <c r="M5" t="s">
        <v>10</v>
      </c>
      <c r="N5" t="s">
        <v>11</v>
      </c>
      <c r="O5" t="s">
        <v>12</v>
      </c>
      <c r="P5" t="s">
        <v>13</v>
      </c>
      <c r="Q5" t="s">
        <v>14</v>
      </c>
      <c r="R5" t="s">
        <v>15</v>
      </c>
      <c r="S5" t="s">
        <v>16</v>
      </c>
    </row>
    <row r="6" spans="3:19" x14ac:dyDescent="0.15">
      <c r="C6">
        <v>91001</v>
      </c>
      <c r="D6" t="s">
        <v>401</v>
      </c>
      <c r="E6">
        <v>1</v>
      </c>
      <c r="F6">
        <v>1</v>
      </c>
      <c r="G6">
        <v>300</v>
      </c>
      <c r="H6">
        <v>0</v>
      </c>
      <c r="I6">
        <v>0</v>
      </c>
      <c r="L6">
        <v>0</v>
      </c>
      <c r="M6">
        <v>0</v>
      </c>
      <c r="N6">
        <v>2000</v>
      </c>
      <c r="P6">
        <v>999</v>
      </c>
      <c r="Q6">
        <v>-1</v>
      </c>
      <c r="R6" t="s">
        <v>47</v>
      </c>
      <c r="S6" t="s">
        <v>402</v>
      </c>
    </row>
    <row r="7" spans="3:19" x14ac:dyDescent="0.15">
      <c r="C7">
        <v>81002</v>
      </c>
      <c r="D7" t="s">
        <v>403</v>
      </c>
      <c r="E7">
        <v>2</v>
      </c>
      <c r="F7">
        <v>1</v>
      </c>
      <c r="G7">
        <v>100</v>
      </c>
      <c r="H7">
        <v>0</v>
      </c>
      <c r="I7">
        <v>0</v>
      </c>
      <c r="L7">
        <v>0</v>
      </c>
      <c r="M7">
        <v>0</v>
      </c>
      <c r="N7">
        <v>3000</v>
      </c>
      <c r="P7">
        <v>999</v>
      </c>
      <c r="Q7">
        <v>0</v>
      </c>
      <c r="R7" t="s">
        <v>17</v>
      </c>
      <c r="S7" t="s">
        <v>404</v>
      </c>
    </row>
    <row r="8" spans="3:19" x14ac:dyDescent="0.15">
      <c r="C8">
        <v>81003</v>
      </c>
      <c r="D8" t="s">
        <v>405</v>
      </c>
      <c r="E8">
        <v>3</v>
      </c>
      <c r="F8">
        <v>1</v>
      </c>
      <c r="G8">
        <v>4001</v>
      </c>
      <c r="H8">
        <v>0</v>
      </c>
      <c r="I8">
        <v>0</v>
      </c>
      <c r="L8">
        <v>0</v>
      </c>
      <c r="N8">
        <v>4000</v>
      </c>
      <c r="P8">
        <v>99</v>
      </c>
      <c r="Q8">
        <v>2</v>
      </c>
      <c r="R8" t="s">
        <v>38</v>
      </c>
      <c r="S8" t="s">
        <v>406</v>
      </c>
    </row>
    <row r="9" spans="3:19" x14ac:dyDescent="0.15">
      <c r="C9">
        <v>81010</v>
      </c>
      <c r="D9" t="s">
        <v>407</v>
      </c>
      <c r="E9">
        <v>4</v>
      </c>
      <c r="F9">
        <v>1</v>
      </c>
      <c r="G9">
        <v>4</v>
      </c>
      <c r="H9">
        <v>0</v>
      </c>
      <c r="I9">
        <v>0</v>
      </c>
      <c r="L9">
        <v>0</v>
      </c>
      <c r="M9">
        <v>0</v>
      </c>
      <c r="N9">
        <v>0</v>
      </c>
      <c r="P9">
        <v>1</v>
      </c>
      <c r="Q9">
        <v>1</v>
      </c>
      <c r="R9" t="s">
        <v>48</v>
      </c>
      <c r="S9" t="s">
        <v>408</v>
      </c>
    </row>
    <row r="10" spans="3:19" x14ac:dyDescent="0.15">
      <c r="C10">
        <v>82001</v>
      </c>
      <c r="D10" t="s">
        <v>18</v>
      </c>
      <c r="E10">
        <v>0</v>
      </c>
      <c r="F10">
        <v>0</v>
      </c>
      <c r="G10">
        <v>1</v>
      </c>
      <c r="H10">
        <v>0</v>
      </c>
      <c r="I10">
        <v>1</v>
      </c>
      <c r="J10">
        <v>2</v>
      </c>
      <c r="K10">
        <v>50</v>
      </c>
      <c r="L10">
        <v>1</v>
      </c>
      <c r="M10">
        <v>1</v>
      </c>
      <c r="N10">
        <v>1000</v>
      </c>
      <c r="P10">
        <v>999</v>
      </c>
      <c r="Q10">
        <v>2</v>
      </c>
      <c r="R10" t="s">
        <v>19</v>
      </c>
      <c r="S10" t="s">
        <v>409</v>
      </c>
    </row>
    <row r="11" spans="3:19" x14ac:dyDescent="0.15">
      <c r="C11">
        <v>83001</v>
      </c>
      <c r="D11" t="s">
        <v>410</v>
      </c>
      <c r="E11">
        <v>2</v>
      </c>
      <c r="F11">
        <v>1</v>
      </c>
      <c r="G11">
        <v>10000</v>
      </c>
      <c r="H11">
        <v>0</v>
      </c>
      <c r="I11">
        <v>1</v>
      </c>
      <c r="J11">
        <v>2</v>
      </c>
      <c r="K11">
        <v>100</v>
      </c>
      <c r="L11">
        <v>0</v>
      </c>
      <c r="M11">
        <v>0</v>
      </c>
      <c r="N11">
        <v>0</v>
      </c>
      <c r="P11">
        <v>999</v>
      </c>
      <c r="Q11">
        <v>1</v>
      </c>
      <c r="R11" t="s">
        <v>17</v>
      </c>
      <c r="S11" t="s">
        <v>411</v>
      </c>
    </row>
    <row r="12" spans="3:19" x14ac:dyDescent="0.15">
      <c r="C12">
        <v>83002</v>
      </c>
      <c r="D12" t="s">
        <v>412</v>
      </c>
      <c r="E12">
        <v>2</v>
      </c>
      <c r="F12">
        <v>0</v>
      </c>
      <c r="H12">
        <v>0</v>
      </c>
      <c r="I12">
        <v>1</v>
      </c>
      <c r="J12">
        <v>2</v>
      </c>
      <c r="K12">
        <v>10</v>
      </c>
      <c r="L12">
        <v>0</v>
      </c>
      <c r="M12">
        <v>0</v>
      </c>
      <c r="N12">
        <v>1000</v>
      </c>
      <c r="P12">
        <v>999</v>
      </c>
      <c r="Q12">
        <v>-1</v>
      </c>
      <c r="R12" t="s">
        <v>20</v>
      </c>
      <c r="S12" t="s">
        <v>413</v>
      </c>
    </row>
    <row r="13" spans="3:19" x14ac:dyDescent="0.15">
      <c r="C13">
        <v>83003</v>
      </c>
      <c r="D13" t="s">
        <v>414</v>
      </c>
      <c r="E13">
        <v>12</v>
      </c>
      <c r="F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51</v>
      </c>
      <c r="P13">
        <v>1</v>
      </c>
      <c r="Q13">
        <v>0</v>
      </c>
      <c r="R13" t="s">
        <v>21</v>
      </c>
      <c r="S13" t="s">
        <v>415</v>
      </c>
    </row>
    <row r="14" spans="3:19" x14ac:dyDescent="0.15">
      <c r="C14">
        <v>83004</v>
      </c>
      <c r="D14" t="s">
        <v>416</v>
      </c>
      <c r="E14">
        <v>12</v>
      </c>
      <c r="F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52</v>
      </c>
      <c r="P14">
        <v>1</v>
      </c>
      <c r="Q14">
        <v>0</v>
      </c>
      <c r="R14" t="s">
        <v>21</v>
      </c>
      <c r="S14" t="s">
        <v>417</v>
      </c>
    </row>
    <row r="15" spans="3:19" x14ac:dyDescent="0.15">
      <c r="C15">
        <v>83005</v>
      </c>
      <c r="D15" t="s">
        <v>264</v>
      </c>
      <c r="E15">
        <v>12</v>
      </c>
      <c r="F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53</v>
      </c>
      <c r="P15">
        <v>1</v>
      </c>
      <c r="Q15">
        <v>1</v>
      </c>
      <c r="R15" t="s">
        <v>21</v>
      </c>
      <c r="S15" t="s">
        <v>418</v>
      </c>
    </row>
    <row r="16" spans="3:19" x14ac:dyDescent="0.15">
      <c r="C16">
        <v>83006</v>
      </c>
      <c r="D16" t="s">
        <v>419</v>
      </c>
      <c r="E16">
        <v>12</v>
      </c>
      <c r="F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54</v>
      </c>
      <c r="P16">
        <v>1</v>
      </c>
      <c r="Q16">
        <v>1</v>
      </c>
      <c r="R16" t="s">
        <v>21</v>
      </c>
      <c r="S16" t="s">
        <v>420</v>
      </c>
    </row>
    <row r="17" spans="3:19" x14ac:dyDescent="0.15">
      <c r="C17">
        <v>83007</v>
      </c>
      <c r="D17" t="s">
        <v>421</v>
      </c>
      <c r="E17">
        <v>12</v>
      </c>
      <c r="F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55</v>
      </c>
      <c r="P17">
        <v>1</v>
      </c>
      <c r="Q17">
        <v>2</v>
      </c>
      <c r="R17" t="s">
        <v>21</v>
      </c>
      <c r="S17" t="s">
        <v>422</v>
      </c>
    </row>
    <row r="18" spans="3:19" x14ac:dyDescent="0.15">
      <c r="C18">
        <v>83008</v>
      </c>
      <c r="D18" t="s">
        <v>423</v>
      </c>
      <c r="E18">
        <v>12</v>
      </c>
      <c r="F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56</v>
      </c>
      <c r="P18">
        <v>1</v>
      </c>
      <c r="Q18">
        <v>2</v>
      </c>
      <c r="R18" t="s">
        <v>21</v>
      </c>
      <c r="S18" t="s">
        <v>424</v>
      </c>
    </row>
    <row r="19" spans="3:19" x14ac:dyDescent="0.15">
      <c r="C19">
        <v>83009</v>
      </c>
      <c r="D19" t="s">
        <v>265</v>
      </c>
      <c r="E19">
        <v>12</v>
      </c>
      <c r="F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57</v>
      </c>
      <c r="P19">
        <v>1</v>
      </c>
      <c r="Q19">
        <v>2</v>
      </c>
      <c r="R19" t="s">
        <v>21</v>
      </c>
      <c r="S19" t="s">
        <v>425</v>
      </c>
    </row>
    <row r="20" spans="3:19" x14ac:dyDescent="0.15">
      <c r="C20">
        <v>83010</v>
      </c>
      <c r="D20" t="s">
        <v>22</v>
      </c>
      <c r="E20">
        <v>12</v>
      </c>
      <c r="F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58</v>
      </c>
      <c r="P20">
        <v>1</v>
      </c>
      <c r="Q20">
        <v>2</v>
      </c>
      <c r="R20" t="s">
        <v>21</v>
      </c>
      <c r="S20" t="s">
        <v>426</v>
      </c>
    </row>
    <row r="21" spans="3:19" x14ac:dyDescent="0.15">
      <c r="C21">
        <v>83011</v>
      </c>
      <c r="D21" t="s">
        <v>427</v>
      </c>
      <c r="E21">
        <v>12</v>
      </c>
      <c r="F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59</v>
      </c>
      <c r="P21">
        <v>1</v>
      </c>
      <c r="Q21">
        <v>2</v>
      </c>
      <c r="R21" t="s">
        <v>21</v>
      </c>
      <c r="S21" t="s">
        <v>428</v>
      </c>
    </row>
    <row r="22" spans="3:19" x14ac:dyDescent="0.15">
      <c r="C22">
        <v>83012</v>
      </c>
      <c r="D22" t="s">
        <v>429</v>
      </c>
      <c r="E22">
        <v>12</v>
      </c>
      <c r="F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60</v>
      </c>
      <c r="P22">
        <v>1</v>
      </c>
      <c r="Q22">
        <v>2</v>
      </c>
      <c r="R22" t="s">
        <v>21</v>
      </c>
      <c r="S22" t="s">
        <v>430</v>
      </c>
    </row>
    <row r="23" spans="3:19" x14ac:dyDescent="0.15">
      <c r="C23">
        <v>83013</v>
      </c>
      <c r="D23" t="s">
        <v>427</v>
      </c>
      <c r="E23">
        <v>12</v>
      </c>
      <c r="F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61</v>
      </c>
      <c r="P23">
        <v>1</v>
      </c>
      <c r="Q23">
        <v>2</v>
      </c>
      <c r="R23" t="s">
        <v>21</v>
      </c>
      <c r="S23" t="s">
        <v>428</v>
      </c>
    </row>
    <row r="24" spans="3:19" x14ac:dyDescent="0.15">
      <c r="C24">
        <v>83014</v>
      </c>
      <c r="D24" t="s">
        <v>429</v>
      </c>
      <c r="E24">
        <v>12</v>
      </c>
      <c r="F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62</v>
      </c>
      <c r="P24">
        <v>1</v>
      </c>
      <c r="Q24">
        <v>3</v>
      </c>
      <c r="R24" t="s">
        <v>21</v>
      </c>
      <c r="S24" t="s">
        <v>430</v>
      </c>
    </row>
    <row r="25" spans="3:19" x14ac:dyDescent="0.15">
      <c r="C25">
        <v>83015</v>
      </c>
      <c r="D25" t="s">
        <v>431</v>
      </c>
      <c r="E25">
        <v>12</v>
      </c>
      <c r="F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63</v>
      </c>
      <c r="P25">
        <v>1</v>
      </c>
      <c r="Q25">
        <v>3</v>
      </c>
      <c r="R25" t="s">
        <v>21</v>
      </c>
      <c r="S25" t="s">
        <v>432</v>
      </c>
    </row>
    <row r="26" spans="3:19" x14ac:dyDescent="0.15">
      <c r="C26">
        <v>83016</v>
      </c>
      <c r="D26" t="s">
        <v>23</v>
      </c>
      <c r="E26">
        <v>12</v>
      </c>
      <c r="F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64</v>
      </c>
      <c r="P26">
        <v>1</v>
      </c>
      <c r="Q26">
        <v>3</v>
      </c>
      <c r="R26" t="s">
        <v>21</v>
      </c>
      <c r="S26" t="s">
        <v>433</v>
      </c>
    </row>
    <row r="27" spans="3:19" x14ac:dyDescent="0.15">
      <c r="C27">
        <v>83017</v>
      </c>
      <c r="D27" t="s">
        <v>434</v>
      </c>
      <c r="E27">
        <v>12</v>
      </c>
      <c r="F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65</v>
      </c>
      <c r="P27">
        <v>1</v>
      </c>
      <c r="Q27">
        <v>3</v>
      </c>
      <c r="R27" t="s">
        <v>21</v>
      </c>
      <c r="S27" t="s">
        <v>435</v>
      </c>
    </row>
    <row r="28" spans="3:19" x14ac:dyDescent="0.15">
      <c r="C28">
        <v>83018</v>
      </c>
      <c r="D28" t="s">
        <v>436</v>
      </c>
      <c r="E28">
        <v>12</v>
      </c>
      <c r="F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66</v>
      </c>
      <c r="P28">
        <v>1</v>
      </c>
      <c r="Q28">
        <v>4</v>
      </c>
      <c r="R28" t="s">
        <v>21</v>
      </c>
      <c r="S28" t="s">
        <v>437</v>
      </c>
    </row>
    <row r="29" spans="3:19" x14ac:dyDescent="0.15">
      <c r="C29">
        <v>83019</v>
      </c>
      <c r="D29" t="s">
        <v>438</v>
      </c>
      <c r="E29">
        <v>12</v>
      </c>
      <c r="F29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67</v>
      </c>
      <c r="P29">
        <v>1</v>
      </c>
      <c r="Q29">
        <v>4</v>
      </c>
      <c r="R29" t="s">
        <v>21</v>
      </c>
      <c r="S29" t="s">
        <v>439</v>
      </c>
    </row>
    <row r="30" spans="3:19" x14ac:dyDescent="0.15">
      <c r="C30">
        <v>83020</v>
      </c>
      <c r="D30" t="s">
        <v>440</v>
      </c>
      <c r="E30">
        <v>12</v>
      </c>
      <c r="F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68</v>
      </c>
      <c r="P30">
        <v>1</v>
      </c>
      <c r="Q30">
        <v>4</v>
      </c>
      <c r="R30" t="s">
        <v>21</v>
      </c>
      <c r="S30" t="s">
        <v>441</v>
      </c>
    </row>
    <row r="31" spans="3:19" x14ac:dyDescent="0.15">
      <c r="C31">
        <v>83021</v>
      </c>
      <c r="D31" t="s">
        <v>24</v>
      </c>
      <c r="E31">
        <v>12</v>
      </c>
      <c r="F31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69</v>
      </c>
      <c r="P31">
        <v>1</v>
      </c>
      <c r="Q31">
        <v>4</v>
      </c>
      <c r="R31" t="s">
        <v>21</v>
      </c>
      <c r="S31" t="s">
        <v>442</v>
      </c>
    </row>
    <row r="32" spans="3:19" x14ac:dyDescent="0.15">
      <c r="C32">
        <v>83022</v>
      </c>
      <c r="D32" t="s">
        <v>443</v>
      </c>
      <c r="E32">
        <v>12</v>
      </c>
      <c r="F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70</v>
      </c>
      <c r="P32">
        <v>1</v>
      </c>
      <c r="Q32">
        <v>4</v>
      </c>
      <c r="R32" t="s">
        <v>21</v>
      </c>
      <c r="S32" t="s">
        <v>444</v>
      </c>
    </row>
    <row r="33" spans="3:19" x14ac:dyDescent="0.15">
      <c r="C33">
        <v>83103</v>
      </c>
      <c r="D33" t="s">
        <v>414</v>
      </c>
      <c r="E33">
        <v>13</v>
      </c>
      <c r="F33">
        <v>5</v>
      </c>
      <c r="G33">
        <v>24</v>
      </c>
      <c r="H33">
        <v>3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71</v>
      </c>
      <c r="P33">
        <v>1</v>
      </c>
      <c r="Q33">
        <v>0</v>
      </c>
      <c r="R33" t="s">
        <v>21</v>
      </c>
      <c r="S33" t="s">
        <v>415</v>
      </c>
    </row>
    <row r="34" spans="3:19" x14ac:dyDescent="0.15">
      <c r="C34">
        <v>83104</v>
      </c>
      <c r="D34" t="s">
        <v>416</v>
      </c>
      <c r="E34">
        <v>13</v>
      </c>
      <c r="F34">
        <v>5</v>
      </c>
      <c r="G34">
        <v>24</v>
      </c>
      <c r="H34">
        <v>3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72</v>
      </c>
      <c r="P34">
        <v>1</v>
      </c>
      <c r="Q34">
        <v>0</v>
      </c>
      <c r="R34" t="s">
        <v>21</v>
      </c>
      <c r="S34" t="s">
        <v>417</v>
      </c>
    </row>
    <row r="35" spans="3:19" x14ac:dyDescent="0.15">
      <c r="C35">
        <v>83105</v>
      </c>
      <c r="D35" t="s">
        <v>264</v>
      </c>
      <c r="E35">
        <v>13</v>
      </c>
      <c r="F35">
        <v>5</v>
      </c>
      <c r="G35">
        <v>24</v>
      </c>
      <c r="H35">
        <v>3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73</v>
      </c>
      <c r="P35">
        <v>1</v>
      </c>
      <c r="Q35">
        <v>1</v>
      </c>
      <c r="R35" t="s">
        <v>21</v>
      </c>
      <c r="S35" t="s">
        <v>418</v>
      </c>
    </row>
    <row r="36" spans="3:19" x14ac:dyDescent="0.15">
      <c r="C36">
        <v>83106</v>
      </c>
      <c r="D36" t="s">
        <v>419</v>
      </c>
      <c r="E36">
        <v>13</v>
      </c>
      <c r="F36">
        <v>5</v>
      </c>
      <c r="G36">
        <v>24</v>
      </c>
      <c r="H36">
        <v>3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74</v>
      </c>
      <c r="P36">
        <v>1</v>
      </c>
      <c r="Q36">
        <v>1</v>
      </c>
      <c r="R36" t="s">
        <v>21</v>
      </c>
      <c r="S36" t="s">
        <v>420</v>
      </c>
    </row>
    <row r="37" spans="3:19" x14ac:dyDescent="0.15">
      <c r="C37">
        <v>83107</v>
      </c>
      <c r="D37" t="s">
        <v>421</v>
      </c>
      <c r="E37">
        <v>13</v>
      </c>
      <c r="F37">
        <v>5</v>
      </c>
      <c r="G37">
        <v>24</v>
      </c>
      <c r="H37">
        <v>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75</v>
      </c>
      <c r="P37">
        <v>1</v>
      </c>
      <c r="Q37">
        <v>2</v>
      </c>
      <c r="R37" t="s">
        <v>21</v>
      </c>
      <c r="S37" t="s">
        <v>422</v>
      </c>
    </row>
    <row r="38" spans="3:19" x14ac:dyDescent="0.15">
      <c r="C38">
        <v>83108</v>
      </c>
      <c r="D38" t="s">
        <v>423</v>
      </c>
      <c r="E38">
        <v>13</v>
      </c>
      <c r="F38">
        <v>5</v>
      </c>
      <c r="G38">
        <v>24</v>
      </c>
      <c r="H38">
        <v>3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76</v>
      </c>
      <c r="P38">
        <v>1</v>
      </c>
      <c r="Q38">
        <v>2</v>
      </c>
      <c r="R38" t="s">
        <v>21</v>
      </c>
      <c r="S38" t="s">
        <v>424</v>
      </c>
    </row>
    <row r="39" spans="3:19" x14ac:dyDescent="0.15">
      <c r="C39">
        <v>83109</v>
      </c>
      <c r="D39" t="s">
        <v>265</v>
      </c>
      <c r="E39">
        <v>13</v>
      </c>
      <c r="F39">
        <v>5</v>
      </c>
      <c r="G39">
        <v>24</v>
      </c>
      <c r="H39">
        <v>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77</v>
      </c>
      <c r="P39">
        <v>1</v>
      </c>
      <c r="Q39">
        <v>2</v>
      </c>
      <c r="R39" t="s">
        <v>21</v>
      </c>
      <c r="S39" t="s">
        <v>425</v>
      </c>
    </row>
    <row r="40" spans="3:19" x14ac:dyDescent="0.15">
      <c r="C40">
        <v>83110</v>
      </c>
      <c r="D40" t="s">
        <v>22</v>
      </c>
      <c r="E40">
        <v>13</v>
      </c>
      <c r="F40">
        <v>5</v>
      </c>
      <c r="G40">
        <v>24</v>
      </c>
      <c r="H40">
        <v>3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78</v>
      </c>
      <c r="P40">
        <v>1</v>
      </c>
      <c r="Q40">
        <v>2</v>
      </c>
      <c r="R40" t="s">
        <v>21</v>
      </c>
      <c r="S40" t="s">
        <v>426</v>
      </c>
    </row>
    <row r="41" spans="3:19" x14ac:dyDescent="0.15">
      <c r="C41">
        <v>83111</v>
      </c>
      <c r="D41" t="s">
        <v>427</v>
      </c>
      <c r="E41">
        <v>13</v>
      </c>
      <c r="F41">
        <v>5</v>
      </c>
      <c r="G41">
        <v>24</v>
      </c>
      <c r="H41">
        <v>3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79</v>
      </c>
      <c r="P41">
        <v>1</v>
      </c>
      <c r="Q41">
        <v>2</v>
      </c>
      <c r="R41" t="s">
        <v>21</v>
      </c>
      <c r="S41" t="s">
        <v>428</v>
      </c>
    </row>
    <row r="42" spans="3:19" x14ac:dyDescent="0.15">
      <c r="C42">
        <v>83112</v>
      </c>
      <c r="D42" t="s">
        <v>429</v>
      </c>
      <c r="E42">
        <v>13</v>
      </c>
      <c r="F42">
        <v>5</v>
      </c>
      <c r="G42">
        <v>24</v>
      </c>
      <c r="H42">
        <v>3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80</v>
      </c>
      <c r="P42">
        <v>1</v>
      </c>
      <c r="Q42">
        <v>2</v>
      </c>
      <c r="R42" t="s">
        <v>21</v>
      </c>
      <c r="S42" t="s">
        <v>430</v>
      </c>
    </row>
    <row r="43" spans="3:19" x14ac:dyDescent="0.15">
      <c r="C43">
        <v>83113</v>
      </c>
      <c r="D43" t="s">
        <v>427</v>
      </c>
      <c r="E43">
        <v>13</v>
      </c>
      <c r="F43">
        <v>5</v>
      </c>
      <c r="G43">
        <v>24</v>
      </c>
      <c r="H43">
        <v>3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81</v>
      </c>
      <c r="P43">
        <v>1</v>
      </c>
      <c r="Q43">
        <v>2</v>
      </c>
      <c r="R43" t="s">
        <v>21</v>
      </c>
      <c r="S43" t="s">
        <v>428</v>
      </c>
    </row>
    <row r="44" spans="3:19" x14ac:dyDescent="0.15">
      <c r="C44">
        <v>83114</v>
      </c>
      <c r="D44" t="s">
        <v>429</v>
      </c>
      <c r="E44">
        <v>13</v>
      </c>
      <c r="F44">
        <v>5</v>
      </c>
      <c r="G44">
        <v>24</v>
      </c>
      <c r="H44">
        <v>3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82</v>
      </c>
      <c r="P44">
        <v>1</v>
      </c>
      <c r="Q44">
        <v>3</v>
      </c>
      <c r="R44" t="s">
        <v>21</v>
      </c>
      <c r="S44" t="s">
        <v>430</v>
      </c>
    </row>
    <row r="45" spans="3:19" x14ac:dyDescent="0.15">
      <c r="C45">
        <v>83115</v>
      </c>
      <c r="D45" t="s">
        <v>431</v>
      </c>
      <c r="E45">
        <v>13</v>
      </c>
      <c r="F45">
        <v>5</v>
      </c>
      <c r="G45">
        <v>24</v>
      </c>
      <c r="H45">
        <v>3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83</v>
      </c>
      <c r="P45">
        <v>1</v>
      </c>
      <c r="Q45">
        <v>3</v>
      </c>
      <c r="R45" t="s">
        <v>21</v>
      </c>
      <c r="S45" t="s">
        <v>432</v>
      </c>
    </row>
    <row r="46" spans="3:19" x14ac:dyDescent="0.15">
      <c r="C46">
        <v>83116</v>
      </c>
      <c r="D46" t="s">
        <v>23</v>
      </c>
      <c r="E46">
        <v>13</v>
      </c>
      <c r="F46">
        <v>5</v>
      </c>
      <c r="G46">
        <v>24</v>
      </c>
      <c r="H46">
        <v>3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84</v>
      </c>
      <c r="P46">
        <v>1</v>
      </c>
      <c r="Q46">
        <v>3</v>
      </c>
      <c r="R46" t="s">
        <v>21</v>
      </c>
      <c r="S46" t="s">
        <v>433</v>
      </c>
    </row>
    <row r="47" spans="3:19" x14ac:dyDescent="0.15">
      <c r="C47">
        <v>83117</v>
      </c>
      <c r="D47" t="s">
        <v>445</v>
      </c>
      <c r="E47">
        <v>13</v>
      </c>
      <c r="F47">
        <v>5</v>
      </c>
      <c r="G47">
        <v>24</v>
      </c>
      <c r="H47">
        <v>3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85</v>
      </c>
      <c r="P47">
        <v>1</v>
      </c>
      <c r="Q47">
        <v>3</v>
      </c>
      <c r="R47" t="s">
        <v>21</v>
      </c>
      <c r="S47" t="s">
        <v>435</v>
      </c>
    </row>
    <row r="48" spans="3:19" x14ac:dyDescent="0.15">
      <c r="C48">
        <v>83118</v>
      </c>
      <c r="D48" t="s">
        <v>446</v>
      </c>
      <c r="E48">
        <v>13</v>
      </c>
      <c r="F48">
        <v>5</v>
      </c>
      <c r="G48">
        <v>24</v>
      </c>
      <c r="H48">
        <v>3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86</v>
      </c>
      <c r="P48">
        <v>1</v>
      </c>
      <c r="Q48">
        <v>4</v>
      </c>
      <c r="R48" t="s">
        <v>21</v>
      </c>
      <c r="S48" t="s">
        <v>437</v>
      </c>
    </row>
    <row r="49" spans="3:19" x14ac:dyDescent="0.15">
      <c r="C49">
        <v>83119</v>
      </c>
      <c r="D49" t="s">
        <v>438</v>
      </c>
      <c r="E49">
        <v>13</v>
      </c>
      <c r="F49">
        <v>5</v>
      </c>
      <c r="G49">
        <v>24</v>
      </c>
      <c r="H49">
        <v>3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87</v>
      </c>
      <c r="P49">
        <v>1</v>
      </c>
      <c r="Q49">
        <v>4</v>
      </c>
      <c r="R49" t="s">
        <v>21</v>
      </c>
      <c r="S49" t="s">
        <v>439</v>
      </c>
    </row>
    <row r="50" spans="3:19" x14ac:dyDescent="0.15">
      <c r="C50">
        <v>83120</v>
      </c>
      <c r="D50" t="s">
        <v>440</v>
      </c>
      <c r="E50">
        <v>13</v>
      </c>
      <c r="F50">
        <v>5</v>
      </c>
      <c r="G50">
        <v>24</v>
      </c>
      <c r="H50">
        <v>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88</v>
      </c>
      <c r="P50">
        <v>1</v>
      </c>
      <c r="Q50">
        <v>4</v>
      </c>
      <c r="R50" t="s">
        <v>21</v>
      </c>
      <c r="S50" t="s">
        <v>441</v>
      </c>
    </row>
    <row r="51" spans="3:19" x14ac:dyDescent="0.15">
      <c r="C51">
        <v>83121</v>
      </c>
      <c r="D51" t="s">
        <v>24</v>
      </c>
      <c r="E51">
        <v>13</v>
      </c>
      <c r="F51">
        <v>5</v>
      </c>
      <c r="G51">
        <v>24</v>
      </c>
      <c r="H51">
        <v>3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89</v>
      </c>
      <c r="P51">
        <v>1</v>
      </c>
      <c r="Q51">
        <v>4</v>
      </c>
      <c r="R51" t="s">
        <v>21</v>
      </c>
      <c r="S51" t="s">
        <v>442</v>
      </c>
    </row>
    <row r="52" spans="3:19" x14ac:dyDescent="0.15">
      <c r="C52">
        <v>83122</v>
      </c>
      <c r="D52" t="s">
        <v>443</v>
      </c>
      <c r="E52">
        <v>13</v>
      </c>
      <c r="F52">
        <v>5</v>
      </c>
      <c r="G52">
        <v>24</v>
      </c>
      <c r="H52">
        <v>3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90</v>
      </c>
      <c r="P52">
        <v>1</v>
      </c>
      <c r="Q52">
        <v>4</v>
      </c>
      <c r="R52" t="s">
        <v>21</v>
      </c>
      <c r="S52" t="s">
        <v>444</v>
      </c>
    </row>
    <row r="53" spans="3:19" x14ac:dyDescent="0.15">
      <c r="C53">
        <v>78101</v>
      </c>
      <c r="D53" t="s">
        <v>447</v>
      </c>
      <c r="E53">
        <v>8</v>
      </c>
      <c r="F53">
        <v>0</v>
      </c>
      <c r="G53">
        <v>50</v>
      </c>
      <c r="H53">
        <v>0</v>
      </c>
      <c r="I53">
        <v>0</v>
      </c>
      <c r="J53">
        <v>2</v>
      </c>
      <c r="K53">
        <v>10</v>
      </c>
      <c r="L53">
        <v>0</v>
      </c>
      <c r="N53">
        <v>0</v>
      </c>
      <c r="O53">
        <v>101</v>
      </c>
      <c r="P53">
        <v>999</v>
      </c>
      <c r="Q53">
        <v>2</v>
      </c>
      <c r="R53" t="s">
        <v>25</v>
      </c>
      <c r="S53" t="s">
        <v>448</v>
      </c>
    </row>
    <row r="54" spans="3:19" x14ac:dyDescent="0.15">
      <c r="C54">
        <v>78102</v>
      </c>
      <c r="D54" t="s">
        <v>449</v>
      </c>
      <c r="E54">
        <v>8</v>
      </c>
      <c r="F54">
        <v>0</v>
      </c>
      <c r="G54">
        <v>50</v>
      </c>
      <c r="H54">
        <v>0</v>
      </c>
      <c r="I54">
        <v>0</v>
      </c>
      <c r="J54">
        <v>2</v>
      </c>
      <c r="K54">
        <v>10</v>
      </c>
      <c r="L54">
        <v>0</v>
      </c>
      <c r="N54">
        <v>0</v>
      </c>
      <c r="O54">
        <v>102</v>
      </c>
      <c r="P54">
        <v>999</v>
      </c>
      <c r="Q54">
        <v>2</v>
      </c>
      <c r="R54" t="s">
        <v>26</v>
      </c>
      <c r="S54" t="s">
        <v>450</v>
      </c>
    </row>
    <row r="55" spans="3:19" x14ac:dyDescent="0.15">
      <c r="C55">
        <v>78103</v>
      </c>
      <c r="D55" t="s">
        <v>451</v>
      </c>
      <c r="E55">
        <v>8</v>
      </c>
      <c r="F55">
        <v>0</v>
      </c>
      <c r="G55">
        <v>50</v>
      </c>
      <c r="H55">
        <v>0</v>
      </c>
      <c r="I55">
        <v>0</v>
      </c>
      <c r="J55">
        <v>2</v>
      </c>
      <c r="K55">
        <v>10</v>
      </c>
      <c r="L55">
        <v>0</v>
      </c>
      <c r="N55">
        <v>0</v>
      </c>
      <c r="O55">
        <v>103</v>
      </c>
      <c r="P55">
        <v>999</v>
      </c>
      <c r="Q55">
        <v>2</v>
      </c>
      <c r="R55" t="s">
        <v>27</v>
      </c>
      <c r="S55" t="s">
        <v>452</v>
      </c>
    </row>
    <row r="56" spans="3:19" x14ac:dyDescent="0.15">
      <c r="C56">
        <v>78104</v>
      </c>
      <c r="D56" t="s">
        <v>453</v>
      </c>
      <c r="E56">
        <v>8</v>
      </c>
      <c r="F56">
        <v>0</v>
      </c>
      <c r="G56">
        <v>50</v>
      </c>
      <c r="H56">
        <v>0</v>
      </c>
      <c r="I56">
        <v>0</v>
      </c>
      <c r="J56">
        <v>2</v>
      </c>
      <c r="K56">
        <v>10</v>
      </c>
      <c r="L56">
        <v>0</v>
      </c>
      <c r="N56">
        <v>0</v>
      </c>
      <c r="O56">
        <v>104</v>
      </c>
      <c r="P56">
        <v>999</v>
      </c>
      <c r="Q56">
        <v>2</v>
      </c>
      <c r="R56" t="s">
        <v>28</v>
      </c>
      <c r="S56" t="s">
        <v>454</v>
      </c>
    </row>
    <row r="57" spans="3:19" x14ac:dyDescent="0.15">
      <c r="C57">
        <v>78105</v>
      </c>
      <c r="D57" t="s">
        <v>455</v>
      </c>
      <c r="E57">
        <v>8</v>
      </c>
      <c r="F57">
        <v>0</v>
      </c>
      <c r="G57">
        <v>50</v>
      </c>
      <c r="H57">
        <v>0</v>
      </c>
      <c r="I57">
        <v>0</v>
      </c>
      <c r="J57">
        <v>2</v>
      </c>
      <c r="K57">
        <v>10</v>
      </c>
      <c r="L57">
        <v>0</v>
      </c>
      <c r="N57">
        <v>0</v>
      </c>
      <c r="O57">
        <v>105</v>
      </c>
      <c r="P57">
        <v>999</v>
      </c>
      <c r="Q57">
        <v>2</v>
      </c>
      <c r="R57" t="s">
        <v>49</v>
      </c>
      <c r="S57" t="s">
        <v>456</v>
      </c>
    </row>
    <row r="58" spans="3:19" x14ac:dyDescent="0.15">
      <c r="C58">
        <v>78106</v>
      </c>
      <c r="D58" t="s">
        <v>457</v>
      </c>
      <c r="E58">
        <v>8</v>
      </c>
      <c r="F58">
        <v>0</v>
      </c>
      <c r="G58">
        <v>50</v>
      </c>
      <c r="H58">
        <v>0</v>
      </c>
      <c r="I58">
        <v>0</v>
      </c>
      <c r="J58">
        <v>2</v>
      </c>
      <c r="K58">
        <v>50</v>
      </c>
      <c r="L58">
        <v>0</v>
      </c>
      <c r="N58">
        <v>0</v>
      </c>
      <c r="O58">
        <v>106</v>
      </c>
      <c r="P58">
        <v>999</v>
      </c>
      <c r="Q58">
        <v>2</v>
      </c>
      <c r="R58" t="s">
        <v>29</v>
      </c>
      <c r="S58" t="s">
        <v>458</v>
      </c>
    </row>
    <row r="59" spans="3:19" x14ac:dyDescent="0.15">
      <c r="C59">
        <v>78107</v>
      </c>
      <c r="D59" t="s">
        <v>459</v>
      </c>
      <c r="E59">
        <v>8</v>
      </c>
      <c r="F59">
        <v>0</v>
      </c>
      <c r="G59">
        <v>50</v>
      </c>
      <c r="H59">
        <v>0</v>
      </c>
      <c r="I59">
        <v>0</v>
      </c>
      <c r="J59">
        <v>2</v>
      </c>
      <c r="K59">
        <v>50</v>
      </c>
      <c r="L59">
        <v>0</v>
      </c>
      <c r="N59">
        <v>0</v>
      </c>
      <c r="O59">
        <v>107</v>
      </c>
      <c r="P59">
        <v>999</v>
      </c>
      <c r="Q59">
        <v>2</v>
      </c>
      <c r="R59" t="s">
        <v>30</v>
      </c>
      <c r="S59" t="s">
        <v>460</v>
      </c>
    </row>
    <row r="60" spans="3:19" x14ac:dyDescent="0.15">
      <c r="C60">
        <v>78108</v>
      </c>
      <c r="D60" t="s">
        <v>461</v>
      </c>
      <c r="E60">
        <v>8</v>
      </c>
      <c r="F60">
        <v>0</v>
      </c>
      <c r="G60">
        <v>50</v>
      </c>
      <c r="H60">
        <v>0</v>
      </c>
      <c r="I60">
        <v>0</v>
      </c>
      <c r="J60">
        <v>2</v>
      </c>
      <c r="K60">
        <v>50</v>
      </c>
      <c r="L60">
        <v>0</v>
      </c>
      <c r="N60">
        <v>0</v>
      </c>
      <c r="O60">
        <v>108</v>
      </c>
      <c r="P60">
        <v>999</v>
      </c>
      <c r="Q60">
        <v>2</v>
      </c>
      <c r="R60" t="s">
        <v>50</v>
      </c>
      <c r="S60" t="s">
        <v>462</v>
      </c>
    </row>
    <row r="61" spans="3:19" x14ac:dyDescent="0.15">
      <c r="C61">
        <v>78109</v>
      </c>
      <c r="D61" t="s">
        <v>463</v>
      </c>
      <c r="E61">
        <v>8</v>
      </c>
      <c r="F61">
        <v>0</v>
      </c>
      <c r="G61">
        <v>50</v>
      </c>
      <c r="H61">
        <v>0</v>
      </c>
      <c r="I61">
        <v>0</v>
      </c>
      <c r="J61">
        <v>2</v>
      </c>
      <c r="K61">
        <v>50</v>
      </c>
      <c r="L61">
        <v>0</v>
      </c>
      <c r="N61">
        <v>0</v>
      </c>
      <c r="O61">
        <v>109</v>
      </c>
      <c r="P61">
        <v>999</v>
      </c>
      <c r="Q61">
        <v>2</v>
      </c>
      <c r="R61" t="s">
        <v>31</v>
      </c>
      <c r="S61" t="s">
        <v>464</v>
      </c>
    </row>
    <row r="62" spans="3:19" x14ac:dyDescent="0.15">
      <c r="C62">
        <v>78110</v>
      </c>
      <c r="D62" t="s">
        <v>465</v>
      </c>
      <c r="E62">
        <v>8</v>
      </c>
      <c r="F62">
        <v>0</v>
      </c>
      <c r="G62">
        <v>50</v>
      </c>
      <c r="H62">
        <v>0</v>
      </c>
      <c r="I62">
        <v>0</v>
      </c>
      <c r="J62">
        <v>2</v>
      </c>
      <c r="K62">
        <v>100</v>
      </c>
      <c r="L62">
        <v>0</v>
      </c>
      <c r="N62">
        <v>0</v>
      </c>
      <c r="O62">
        <v>110</v>
      </c>
      <c r="P62">
        <v>999</v>
      </c>
      <c r="Q62">
        <v>2</v>
      </c>
      <c r="R62" t="s">
        <v>32</v>
      </c>
      <c r="S62" t="s">
        <v>466</v>
      </c>
    </row>
    <row r="63" spans="3:19" x14ac:dyDescent="0.15">
      <c r="C63">
        <v>78111</v>
      </c>
      <c r="D63" t="s">
        <v>812</v>
      </c>
      <c r="E63">
        <v>8</v>
      </c>
      <c r="F63">
        <v>0</v>
      </c>
      <c r="G63">
        <v>50</v>
      </c>
      <c r="H63">
        <v>0</v>
      </c>
      <c r="I63">
        <v>0</v>
      </c>
      <c r="J63">
        <v>2</v>
      </c>
      <c r="K63">
        <v>100</v>
      </c>
      <c r="L63">
        <v>0</v>
      </c>
      <c r="N63">
        <v>0</v>
      </c>
      <c r="O63">
        <v>111</v>
      </c>
      <c r="P63">
        <v>999</v>
      </c>
      <c r="Q63">
        <v>2</v>
      </c>
      <c r="R63" t="s">
        <v>51</v>
      </c>
      <c r="S63" t="s">
        <v>813</v>
      </c>
    </row>
    <row r="64" spans="3:19" x14ac:dyDescent="0.15">
      <c r="C64">
        <v>78112</v>
      </c>
      <c r="D64" t="s">
        <v>467</v>
      </c>
      <c r="E64">
        <v>8</v>
      </c>
      <c r="F64">
        <v>0</v>
      </c>
      <c r="G64">
        <v>50</v>
      </c>
      <c r="H64">
        <v>0</v>
      </c>
      <c r="I64">
        <v>0</v>
      </c>
      <c r="J64">
        <v>2</v>
      </c>
      <c r="K64">
        <v>100</v>
      </c>
      <c r="L64">
        <v>0</v>
      </c>
      <c r="N64">
        <v>0</v>
      </c>
      <c r="O64">
        <v>112</v>
      </c>
      <c r="P64">
        <v>999</v>
      </c>
      <c r="Q64">
        <v>2</v>
      </c>
      <c r="R64" t="s">
        <v>52</v>
      </c>
      <c r="S64" t="s">
        <v>468</v>
      </c>
    </row>
    <row r="65" spans="3:19" x14ac:dyDescent="0.15">
      <c r="C65">
        <v>78113</v>
      </c>
      <c r="D65" t="s">
        <v>469</v>
      </c>
      <c r="E65">
        <v>8</v>
      </c>
      <c r="F65">
        <v>0</v>
      </c>
      <c r="G65">
        <v>50</v>
      </c>
      <c r="H65">
        <v>0</v>
      </c>
      <c r="I65">
        <v>0</v>
      </c>
      <c r="J65">
        <v>2</v>
      </c>
      <c r="K65">
        <v>100</v>
      </c>
      <c r="L65">
        <v>0</v>
      </c>
      <c r="N65">
        <v>0</v>
      </c>
      <c r="O65">
        <v>113</v>
      </c>
      <c r="P65">
        <v>999</v>
      </c>
      <c r="Q65">
        <v>2</v>
      </c>
      <c r="R65" t="s">
        <v>53</v>
      </c>
      <c r="S65" t="s">
        <v>470</v>
      </c>
    </row>
    <row r="66" spans="3:19" x14ac:dyDescent="0.15">
      <c r="C66">
        <v>78114</v>
      </c>
      <c r="D66" t="s">
        <v>471</v>
      </c>
      <c r="E66">
        <v>8</v>
      </c>
      <c r="F66">
        <v>0</v>
      </c>
      <c r="G66">
        <v>50</v>
      </c>
      <c r="H66">
        <v>0</v>
      </c>
      <c r="I66">
        <v>0</v>
      </c>
      <c r="J66">
        <v>2</v>
      </c>
      <c r="K66">
        <v>500</v>
      </c>
      <c r="L66">
        <v>0</v>
      </c>
      <c r="N66">
        <v>0</v>
      </c>
      <c r="O66">
        <v>114</v>
      </c>
      <c r="P66">
        <v>999</v>
      </c>
      <c r="Q66">
        <v>2</v>
      </c>
      <c r="R66" t="s">
        <v>54</v>
      </c>
      <c r="S66" t="s">
        <v>472</v>
      </c>
    </row>
    <row r="67" spans="3:19" x14ac:dyDescent="0.15">
      <c r="C67">
        <v>78115</v>
      </c>
      <c r="D67" t="s">
        <v>473</v>
      </c>
      <c r="E67">
        <v>8</v>
      </c>
      <c r="F67">
        <v>0</v>
      </c>
      <c r="G67">
        <v>50</v>
      </c>
      <c r="H67">
        <v>0</v>
      </c>
      <c r="I67">
        <v>0</v>
      </c>
      <c r="J67">
        <v>2</v>
      </c>
      <c r="K67">
        <v>500</v>
      </c>
      <c r="L67">
        <v>0</v>
      </c>
      <c r="N67">
        <v>0</v>
      </c>
      <c r="O67">
        <v>115</v>
      </c>
      <c r="P67">
        <v>999</v>
      </c>
      <c r="Q67">
        <v>2</v>
      </c>
      <c r="R67" t="s">
        <v>55</v>
      </c>
      <c r="S67" t="s">
        <v>474</v>
      </c>
    </row>
    <row r="68" spans="3:19" x14ac:dyDescent="0.15">
      <c r="C68">
        <v>78116</v>
      </c>
      <c r="D68" t="s">
        <v>475</v>
      </c>
      <c r="E68">
        <v>8</v>
      </c>
      <c r="F68">
        <v>0</v>
      </c>
      <c r="G68">
        <v>50</v>
      </c>
      <c r="H68">
        <v>0</v>
      </c>
      <c r="I68">
        <v>0</v>
      </c>
      <c r="J68">
        <v>2</v>
      </c>
      <c r="K68">
        <v>500</v>
      </c>
      <c r="L68">
        <v>0</v>
      </c>
      <c r="N68">
        <v>0</v>
      </c>
      <c r="O68">
        <v>116</v>
      </c>
      <c r="P68">
        <v>999</v>
      </c>
      <c r="Q68">
        <v>2</v>
      </c>
      <c r="R68" t="s">
        <v>56</v>
      </c>
      <c r="S68" t="s">
        <v>476</v>
      </c>
    </row>
    <row r="69" spans="3:19" x14ac:dyDescent="0.15">
      <c r="C69">
        <v>70001</v>
      </c>
      <c r="D69" t="s">
        <v>477</v>
      </c>
      <c r="E69">
        <v>0</v>
      </c>
      <c r="F69">
        <v>0</v>
      </c>
      <c r="H69">
        <v>0</v>
      </c>
      <c r="I69">
        <v>1</v>
      </c>
      <c r="J69">
        <v>2</v>
      </c>
      <c r="K69">
        <v>1</v>
      </c>
      <c r="L69">
        <v>0</v>
      </c>
      <c r="M69">
        <v>1</v>
      </c>
      <c r="N69">
        <v>2000</v>
      </c>
      <c r="P69">
        <v>9999</v>
      </c>
      <c r="Q69">
        <v>0</v>
      </c>
      <c r="R69" t="s">
        <v>57</v>
      </c>
      <c r="S69" t="s">
        <v>478</v>
      </c>
    </row>
    <row r="70" spans="3:19" x14ac:dyDescent="0.15">
      <c r="C70">
        <v>70002</v>
      </c>
      <c r="D70" t="s">
        <v>479</v>
      </c>
      <c r="E70">
        <v>0</v>
      </c>
      <c r="F70">
        <v>0</v>
      </c>
      <c r="H70">
        <v>0</v>
      </c>
      <c r="I70">
        <v>1</v>
      </c>
      <c r="J70">
        <v>2</v>
      </c>
      <c r="K70">
        <v>2</v>
      </c>
      <c r="L70">
        <v>0</v>
      </c>
      <c r="M70">
        <v>1</v>
      </c>
      <c r="N70">
        <v>4000</v>
      </c>
      <c r="P70">
        <v>9999</v>
      </c>
      <c r="Q70">
        <v>1</v>
      </c>
      <c r="R70" t="s">
        <v>58</v>
      </c>
      <c r="S70" t="s">
        <v>480</v>
      </c>
    </row>
    <row r="71" spans="3:19" x14ac:dyDescent="0.15">
      <c r="C71">
        <v>70003</v>
      </c>
      <c r="D71" t="s">
        <v>481</v>
      </c>
      <c r="E71">
        <v>0</v>
      </c>
      <c r="F71">
        <v>0</v>
      </c>
      <c r="H71">
        <v>0</v>
      </c>
      <c r="I71">
        <v>1</v>
      </c>
      <c r="J71">
        <v>2</v>
      </c>
      <c r="K71">
        <v>5</v>
      </c>
      <c r="L71">
        <v>0</v>
      </c>
      <c r="M71">
        <v>1</v>
      </c>
      <c r="N71">
        <v>10000</v>
      </c>
      <c r="P71">
        <v>9999</v>
      </c>
      <c r="Q71">
        <v>2</v>
      </c>
      <c r="R71" t="s">
        <v>59</v>
      </c>
      <c r="S71" t="s">
        <v>482</v>
      </c>
    </row>
    <row r="72" spans="3:19" x14ac:dyDescent="0.15">
      <c r="C72">
        <v>70101</v>
      </c>
      <c r="D72" t="s">
        <v>483</v>
      </c>
      <c r="E72">
        <v>0</v>
      </c>
      <c r="F72">
        <v>0</v>
      </c>
      <c r="H72">
        <v>0</v>
      </c>
      <c r="I72">
        <v>1</v>
      </c>
      <c r="J72">
        <v>2</v>
      </c>
      <c r="K72">
        <v>5</v>
      </c>
      <c r="L72">
        <v>0</v>
      </c>
      <c r="M72">
        <v>1</v>
      </c>
      <c r="N72">
        <v>10000</v>
      </c>
      <c r="P72">
        <v>9999</v>
      </c>
      <c r="Q72">
        <v>0</v>
      </c>
      <c r="R72" t="s">
        <v>33</v>
      </c>
      <c r="S72" t="s">
        <v>484</v>
      </c>
    </row>
    <row r="73" spans="3:19" x14ac:dyDescent="0.15">
      <c r="C73">
        <v>70201</v>
      </c>
      <c r="D73" t="s">
        <v>485</v>
      </c>
      <c r="E73">
        <v>0</v>
      </c>
      <c r="F73">
        <v>0</v>
      </c>
      <c r="H73">
        <v>0</v>
      </c>
      <c r="I73">
        <v>1</v>
      </c>
      <c r="J73">
        <v>2</v>
      </c>
      <c r="K73">
        <v>10</v>
      </c>
      <c r="L73">
        <v>0</v>
      </c>
      <c r="M73">
        <v>1</v>
      </c>
      <c r="N73">
        <v>20000</v>
      </c>
      <c r="P73">
        <v>9999</v>
      </c>
      <c r="Q73">
        <v>1</v>
      </c>
      <c r="R73" t="s">
        <v>34</v>
      </c>
      <c r="S73" t="s">
        <v>484</v>
      </c>
    </row>
    <row r="74" spans="3:19" x14ac:dyDescent="0.15">
      <c r="C74">
        <v>70301</v>
      </c>
      <c r="D74" t="s">
        <v>486</v>
      </c>
      <c r="E74">
        <v>0</v>
      </c>
      <c r="F74">
        <v>0</v>
      </c>
      <c r="H74">
        <v>0</v>
      </c>
      <c r="I74">
        <v>1</v>
      </c>
      <c r="J74">
        <v>2</v>
      </c>
      <c r="K74">
        <v>20</v>
      </c>
      <c r="L74">
        <v>0</v>
      </c>
      <c r="M74">
        <v>1</v>
      </c>
      <c r="N74">
        <v>40000</v>
      </c>
      <c r="P74">
        <v>9999</v>
      </c>
      <c r="Q74">
        <v>2</v>
      </c>
      <c r="R74" t="s">
        <v>35</v>
      </c>
      <c r="S74" t="s">
        <v>484</v>
      </c>
    </row>
    <row r="75" spans="3:19" x14ac:dyDescent="0.15">
      <c r="C75">
        <v>70401</v>
      </c>
      <c r="D75" t="s">
        <v>487</v>
      </c>
      <c r="E75">
        <v>0</v>
      </c>
      <c r="F75">
        <v>0</v>
      </c>
      <c r="H75">
        <v>0</v>
      </c>
      <c r="I75">
        <v>1</v>
      </c>
      <c r="J75">
        <v>2</v>
      </c>
      <c r="K75">
        <v>40</v>
      </c>
      <c r="L75">
        <v>0</v>
      </c>
      <c r="M75">
        <v>1</v>
      </c>
      <c r="N75">
        <v>80000</v>
      </c>
      <c r="P75">
        <v>9999</v>
      </c>
      <c r="Q75">
        <v>3</v>
      </c>
      <c r="R75" t="s">
        <v>36</v>
      </c>
      <c r="S75" t="s">
        <v>484</v>
      </c>
    </row>
    <row r="76" spans="3:19" x14ac:dyDescent="0.15">
      <c r="C76">
        <v>70501</v>
      </c>
      <c r="D76" t="s">
        <v>488</v>
      </c>
      <c r="E76">
        <v>0</v>
      </c>
      <c r="F76">
        <v>0</v>
      </c>
      <c r="H76">
        <v>0</v>
      </c>
      <c r="I76">
        <v>1</v>
      </c>
      <c r="J76">
        <v>2</v>
      </c>
      <c r="K76">
        <v>100</v>
      </c>
      <c r="L76">
        <v>0</v>
      </c>
      <c r="M76">
        <v>1</v>
      </c>
      <c r="N76">
        <v>200000</v>
      </c>
      <c r="P76">
        <v>9999</v>
      </c>
      <c r="Q76">
        <v>4</v>
      </c>
      <c r="R76" t="s">
        <v>37</v>
      </c>
      <c r="S76" t="s">
        <v>484</v>
      </c>
    </row>
    <row r="77" spans="3:19" x14ac:dyDescent="0.15">
      <c r="C77">
        <v>81101</v>
      </c>
      <c r="D77" t="s">
        <v>489</v>
      </c>
      <c r="E77">
        <v>3</v>
      </c>
      <c r="F77">
        <v>2</v>
      </c>
      <c r="G77">
        <v>6001</v>
      </c>
      <c r="H77">
        <v>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P77">
        <v>1</v>
      </c>
      <c r="Q77">
        <v>3</v>
      </c>
      <c r="R77" t="s">
        <v>38</v>
      </c>
      <c r="S77" t="s">
        <v>490</v>
      </c>
    </row>
    <row r="78" spans="3:19" x14ac:dyDescent="0.15">
      <c r="C78">
        <v>81102</v>
      </c>
      <c r="D78" t="s">
        <v>491</v>
      </c>
      <c r="E78">
        <v>3</v>
      </c>
      <c r="F78">
        <v>2</v>
      </c>
      <c r="G78">
        <v>6002</v>
      </c>
      <c r="H78">
        <v>2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P78">
        <v>1</v>
      </c>
      <c r="Q78">
        <v>3</v>
      </c>
      <c r="R78" t="s">
        <v>38</v>
      </c>
      <c r="S78" t="s">
        <v>492</v>
      </c>
    </row>
    <row r="79" spans="3:19" x14ac:dyDescent="0.15">
      <c r="C79">
        <v>81103</v>
      </c>
      <c r="D79" t="s">
        <v>493</v>
      </c>
      <c r="E79">
        <v>3</v>
      </c>
      <c r="F79">
        <v>2</v>
      </c>
      <c r="G79">
        <v>6003</v>
      </c>
      <c r="H79">
        <v>3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1</v>
      </c>
      <c r="Q79">
        <v>3</v>
      </c>
      <c r="R79" t="s">
        <v>38</v>
      </c>
      <c r="S79" t="s">
        <v>494</v>
      </c>
    </row>
    <row r="80" spans="3:19" x14ac:dyDescent="0.15">
      <c r="C80">
        <v>81104</v>
      </c>
      <c r="D80" t="s">
        <v>495</v>
      </c>
      <c r="E80">
        <v>3</v>
      </c>
      <c r="F80">
        <v>2</v>
      </c>
      <c r="G80">
        <v>6004</v>
      </c>
      <c r="H80">
        <v>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P80">
        <v>1</v>
      </c>
      <c r="Q80">
        <v>3</v>
      </c>
      <c r="R80" t="s">
        <v>38</v>
      </c>
      <c r="S80" t="s">
        <v>496</v>
      </c>
    </row>
    <row r="81" spans="3:19" x14ac:dyDescent="0.15">
      <c r="C81">
        <v>81105</v>
      </c>
      <c r="D81" t="s">
        <v>497</v>
      </c>
      <c r="E81">
        <v>3</v>
      </c>
      <c r="F81">
        <v>2</v>
      </c>
      <c r="G81">
        <v>6005</v>
      </c>
      <c r="H81">
        <v>5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1</v>
      </c>
      <c r="Q81">
        <v>3</v>
      </c>
      <c r="R81" t="s">
        <v>38</v>
      </c>
      <c r="S81" t="s">
        <v>498</v>
      </c>
    </row>
    <row r="82" spans="3:19" x14ac:dyDescent="0.15">
      <c r="C82">
        <v>81106</v>
      </c>
      <c r="D82" t="s">
        <v>499</v>
      </c>
      <c r="E82">
        <v>3</v>
      </c>
      <c r="F82">
        <v>2</v>
      </c>
      <c r="G82">
        <v>6006</v>
      </c>
      <c r="H82">
        <v>6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P82">
        <v>1</v>
      </c>
      <c r="Q82">
        <v>3</v>
      </c>
      <c r="R82" t="s">
        <v>38</v>
      </c>
      <c r="S82" t="s">
        <v>500</v>
      </c>
    </row>
    <row r="83" spans="3:19" x14ac:dyDescent="0.15">
      <c r="C83">
        <v>81107</v>
      </c>
      <c r="D83" t="s">
        <v>501</v>
      </c>
      <c r="E83">
        <v>3</v>
      </c>
      <c r="F83">
        <v>2</v>
      </c>
      <c r="G83">
        <v>6007</v>
      </c>
      <c r="H83">
        <v>7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P83">
        <v>1</v>
      </c>
      <c r="Q83">
        <v>3</v>
      </c>
      <c r="R83" t="s">
        <v>38</v>
      </c>
      <c r="S83" t="s">
        <v>502</v>
      </c>
    </row>
    <row r="84" spans="3:19" x14ac:dyDescent="0.15">
      <c r="C84">
        <v>81108</v>
      </c>
      <c r="D84" t="s">
        <v>503</v>
      </c>
      <c r="E84">
        <v>3</v>
      </c>
      <c r="F84">
        <v>2</v>
      </c>
      <c r="G84">
        <v>6008</v>
      </c>
      <c r="H84">
        <v>8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P84">
        <v>1</v>
      </c>
      <c r="Q84">
        <v>3</v>
      </c>
      <c r="R84" t="s">
        <v>38</v>
      </c>
      <c r="S84" t="s">
        <v>504</v>
      </c>
    </row>
    <row r="85" spans="3:19" x14ac:dyDescent="0.15">
      <c r="C85">
        <v>81109</v>
      </c>
      <c r="D85" t="s">
        <v>505</v>
      </c>
      <c r="E85">
        <v>3</v>
      </c>
      <c r="F85">
        <v>2</v>
      </c>
      <c r="G85">
        <v>6009</v>
      </c>
      <c r="H85">
        <v>9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P85">
        <v>1</v>
      </c>
      <c r="Q85">
        <v>3</v>
      </c>
      <c r="R85" t="s">
        <v>38</v>
      </c>
      <c r="S85" t="s">
        <v>506</v>
      </c>
    </row>
    <row r="86" spans="3:19" x14ac:dyDescent="0.15">
      <c r="C86">
        <v>81110</v>
      </c>
      <c r="D86" t="s">
        <v>507</v>
      </c>
      <c r="E86">
        <v>3</v>
      </c>
      <c r="F86">
        <v>2</v>
      </c>
      <c r="G86">
        <v>6010</v>
      </c>
      <c r="H86">
        <v>10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1</v>
      </c>
      <c r="Q86">
        <v>3</v>
      </c>
      <c r="R86" t="s">
        <v>38</v>
      </c>
      <c r="S86" t="s">
        <v>508</v>
      </c>
    </row>
    <row r="87" spans="3:19" x14ac:dyDescent="0.15">
      <c r="C87">
        <v>81111</v>
      </c>
      <c r="D87" t="s">
        <v>509</v>
      </c>
      <c r="E87">
        <v>3</v>
      </c>
      <c r="F87">
        <v>2</v>
      </c>
      <c r="G87">
        <v>6011</v>
      </c>
      <c r="H87">
        <v>11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P87">
        <v>1</v>
      </c>
      <c r="Q87">
        <v>3</v>
      </c>
      <c r="R87" t="s">
        <v>38</v>
      </c>
      <c r="S87" t="s">
        <v>510</v>
      </c>
    </row>
    <row r="88" spans="3:19" x14ac:dyDescent="0.15">
      <c r="C88">
        <v>81112</v>
      </c>
      <c r="D88" t="s">
        <v>511</v>
      </c>
      <c r="E88">
        <v>3</v>
      </c>
      <c r="F88">
        <v>2</v>
      </c>
      <c r="G88">
        <v>6012</v>
      </c>
      <c r="H88">
        <v>12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P88">
        <v>1</v>
      </c>
      <c r="Q88">
        <v>3</v>
      </c>
      <c r="R88" t="s">
        <v>38</v>
      </c>
      <c r="S88" t="s">
        <v>512</v>
      </c>
    </row>
    <row r="89" spans="3:19" x14ac:dyDescent="0.15">
      <c r="C89">
        <v>81113</v>
      </c>
      <c r="D89" t="s">
        <v>513</v>
      </c>
      <c r="E89">
        <v>3</v>
      </c>
      <c r="F89">
        <v>2</v>
      </c>
      <c r="G89">
        <v>6013</v>
      </c>
      <c r="H89">
        <v>13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P89">
        <v>1</v>
      </c>
      <c r="Q89">
        <v>3</v>
      </c>
      <c r="R89" t="s">
        <v>38</v>
      </c>
      <c r="S89" t="s">
        <v>514</v>
      </c>
    </row>
    <row r="90" spans="3:19" x14ac:dyDescent="0.15">
      <c r="C90">
        <v>81114</v>
      </c>
      <c r="D90" t="s">
        <v>515</v>
      </c>
      <c r="E90">
        <v>3</v>
      </c>
      <c r="F90">
        <v>2</v>
      </c>
      <c r="G90">
        <v>6014</v>
      </c>
      <c r="H90">
        <v>14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P90">
        <v>1</v>
      </c>
      <c r="Q90">
        <v>3</v>
      </c>
      <c r="R90" t="s">
        <v>38</v>
      </c>
      <c r="S90" t="s">
        <v>516</v>
      </c>
    </row>
    <row r="91" spans="3:19" x14ac:dyDescent="0.15">
      <c r="C91">
        <v>81115</v>
      </c>
      <c r="D91" t="s">
        <v>517</v>
      </c>
      <c r="E91">
        <v>3</v>
      </c>
      <c r="F91">
        <v>2</v>
      </c>
      <c r="G91">
        <v>6015</v>
      </c>
      <c r="H91">
        <v>15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1</v>
      </c>
      <c r="Q91">
        <v>3</v>
      </c>
      <c r="R91" t="s">
        <v>38</v>
      </c>
      <c r="S91" t="s">
        <v>518</v>
      </c>
    </row>
    <row r="92" spans="3:19" x14ac:dyDescent="0.15">
      <c r="C92">
        <v>82100</v>
      </c>
      <c r="D92" t="s">
        <v>519</v>
      </c>
      <c r="E92">
        <v>2</v>
      </c>
      <c r="F92">
        <v>4</v>
      </c>
      <c r="G92">
        <v>10000</v>
      </c>
      <c r="H92">
        <v>0</v>
      </c>
      <c r="I92">
        <v>1</v>
      </c>
      <c r="J92">
        <v>2</v>
      </c>
      <c r="K92">
        <v>30</v>
      </c>
      <c r="L92">
        <v>0</v>
      </c>
      <c r="N92">
        <v>0</v>
      </c>
      <c r="P92">
        <v>999</v>
      </c>
      <c r="Q92">
        <v>0</v>
      </c>
      <c r="R92" t="s">
        <v>60</v>
      </c>
      <c r="S92" t="s">
        <v>520</v>
      </c>
    </row>
    <row r="93" spans="3:19" x14ac:dyDescent="0.15">
      <c r="C93">
        <v>82200</v>
      </c>
      <c r="D93" t="s">
        <v>521</v>
      </c>
      <c r="E93">
        <v>2</v>
      </c>
      <c r="F93">
        <v>4</v>
      </c>
      <c r="G93">
        <v>20000</v>
      </c>
      <c r="H93">
        <v>0</v>
      </c>
      <c r="I93">
        <v>1</v>
      </c>
      <c r="J93">
        <v>2</v>
      </c>
      <c r="K93">
        <v>20</v>
      </c>
      <c r="L93">
        <v>0</v>
      </c>
      <c r="N93">
        <v>0</v>
      </c>
      <c r="P93">
        <v>999</v>
      </c>
      <c r="Q93">
        <v>1</v>
      </c>
      <c r="R93" t="s">
        <v>17</v>
      </c>
      <c r="S93" t="s">
        <v>522</v>
      </c>
    </row>
    <row r="94" spans="3:19" x14ac:dyDescent="0.15">
      <c r="C94">
        <v>82300</v>
      </c>
      <c r="D94" t="s">
        <v>523</v>
      </c>
      <c r="E94">
        <v>2</v>
      </c>
      <c r="F94">
        <v>4</v>
      </c>
      <c r="G94">
        <v>50000</v>
      </c>
      <c r="H94">
        <v>0</v>
      </c>
      <c r="I94">
        <v>1</v>
      </c>
      <c r="J94">
        <v>2</v>
      </c>
      <c r="K94">
        <v>30</v>
      </c>
      <c r="L94">
        <v>0</v>
      </c>
      <c r="N94">
        <v>0</v>
      </c>
      <c r="P94">
        <v>999</v>
      </c>
      <c r="Q94">
        <v>2</v>
      </c>
      <c r="R94" t="s">
        <v>44</v>
      </c>
      <c r="S94" t="s">
        <v>524</v>
      </c>
    </row>
    <row r="95" spans="3:19" x14ac:dyDescent="0.15">
      <c r="C95">
        <v>91100</v>
      </c>
      <c r="D95" t="s">
        <v>525</v>
      </c>
      <c r="E95">
        <v>1</v>
      </c>
      <c r="F95">
        <v>4</v>
      </c>
      <c r="G95">
        <v>500</v>
      </c>
      <c r="H95">
        <v>0</v>
      </c>
      <c r="I95">
        <v>1</v>
      </c>
      <c r="J95">
        <v>2</v>
      </c>
      <c r="K95">
        <v>10</v>
      </c>
      <c r="L95">
        <v>0</v>
      </c>
      <c r="N95">
        <v>0</v>
      </c>
      <c r="P95">
        <v>999</v>
      </c>
      <c r="Q95">
        <v>0</v>
      </c>
      <c r="R95" t="s">
        <v>61</v>
      </c>
      <c r="S95" t="s">
        <v>526</v>
      </c>
    </row>
    <row r="96" spans="3:19" x14ac:dyDescent="0.15">
      <c r="C96">
        <v>91200</v>
      </c>
      <c r="D96" t="s">
        <v>527</v>
      </c>
      <c r="E96">
        <v>1</v>
      </c>
      <c r="F96">
        <v>4</v>
      </c>
      <c r="G96">
        <v>1000</v>
      </c>
      <c r="H96">
        <v>0</v>
      </c>
      <c r="I96">
        <v>1</v>
      </c>
      <c r="J96">
        <v>2</v>
      </c>
      <c r="K96">
        <v>20</v>
      </c>
      <c r="L96">
        <v>0</v>
      </c>
      <c r="N96">
        <v>0</v>
      </c>
      <c r="P96">
        <v>999</v>
      </c>
      <c r="Q96">
        <v>1</v>
      </c>
      <c r="R96" t="s">
        <v>62</v>
      </c>
      <c r="S96" t="s">
        <v>528</v>
      </c>
    </row>
    <row r="97" spans="3:19" x14ac:dyDescent="0.15">
      <c r="C97">
        <v>91300</v>
      </c>
      <c r="D97" t="s">
        <v>529</v>
      </c>
      <c r="E97">
        <v>1</v>
      </c>
      <c r="F97">
        <v>4</v>
      </c>
      <c r="G97">
        <v>10000</v>
      </c>
      <c r="H97">
        <v>0</v>
      </c>
      <c r="I97">
        <v>1</v>
      </c>
      <c r="J97">
        <v>2</v>
      </c>
      <c r="K97">
        <v>30</v>
      </c>
      <c r="L97">
        <v>0</v>
      </c>
      <c r="N97">
        <v>0</v>
      </c>
      <c r="P97">
        <v>999</v>
      </c>
      <c r="Q97">
        <v>2</v>
      </c>
      <c r="R97" t="s">
        <v>63</v>
      </c>
      <c r="S97" t="s">
        <v>530</v>
      </c>
    </row>
    <row r="98" spans="3:19" x14ac:dyDescent="0.15">
      <c r="C98">
        <v>87100</v>
      </c>
      <c r="D98" t="s">
        <v>531</v>
      </c>
      <c r="E98">
        <v>7</v>
      </c>
      <c r="F98">
        <v>4</v>
      </c>
      <c r="G98">
        <v>100</v>
      </c>
      <c r="H98">
        <v>0</v>
      </c>
      <c r="I98">
        <v>0</v>
      </c>
      <c r="L98">
        <v>1</v>
      </c>
      <c r="M98">
        <v>1</v>
      </c>
      <c r="N98">
        <v>1000</v>
      </c>
      <c r="P98">
        <v>999</v>
      </c>
      <c r="Q98">
        <v>0</v>
      </c>
      <c r="R98" t="s">
        <v>64</v>
      </c>
      <c r="S98" t="s">
        <v>532</v>
      </c>
    </row>
    <row r="99" spans="3:19" x14ac:dyDescent="0.15">
      <c r="C99">
        <v>87200</v>
      </c>
      <c r="D99" t="s">
        <v>533</v>
      </c>
      <c r="E99">
        <v>7</v>
      </c>
      <c r="F99">
        <v>4</v>
      </c>
      <c r="G99">
        <v>500</v>
      </c>
      <c r="H99">
        <v>0</v>
      </c>
      <c r="I99">
        <v>0</v>
      </c>
      <c r="L99">
        <v>1</v>
      </c>
      <c r="M99">
        <v>1</v>
      </c>
      <c r="N99">
        <v>10000</v>
      </c>
      <c r="P99">
        <v>999</v>
      </c>
      <c r="Q99">
        <v>1</v>
      </c>
      <c r="R99" t="s">
        <v>43</v>
      </c>
      <c r="S99" t="s">
        <v>534</v>
      </c>
    </row>
    <row r="100" spans="3:19" x14ac:dyDescent="0.15">
      <c r="C100">
        <v>87400</v>
      </c>
      <c r="D100" t="s">
        <v>535</v>
      </c>
      <c r="E100">
        <v>7</v>
      </c>
      <c r="F100">
        <v>4</v>
      </c>
      <c r="G100">
        <v>1000</v>
      </c>
      <c r="H100">
        <v>0</v>
      </c>
      <c r="I100">
        <v>0</v>
      </c>
      <c r="L100">
        <v>1</v>
      </c>
      <c r="M100">
        <v>1</v>
      </c>
      <c r="N100">
        <v>100000</v>
      </c>
      <c r="P100">
        <v>999</v>
      </c>
      <c r="Q100">
        <v>2</v>
      </c>
      <c r="R100" t="s">
        <v>65</v>
      </c>
      <c r="S100" t="s">
        <v>536</v>
      </c>
    </row>
    <row r="101" spans="3:19" x14ac:dyDescent="0.15">
      <c r="C101">
        <v>89100</v>
      </c>
      <c r="D101" t="s">
        <v>537</v>
      </c>
      <c r="E101">
        <v>9</v>
      </c>
      <c r="F101">
        <v>4</v>
      </c>
      <c r="G101">
        <v>40</v>
      </c>
      <c r="H101">
        <v>0</v>
      </c>
      <c r="I101">
        <v>1</v>
      </c>
      <c r="J101">
        <v>2</v>
      </c>
      <c r="K101">
        <v>10</v>
      </c>
      <c r="L101">
        <v>0</v>
      </c>
      <c r="N101">
        <v>0</v>
      </c>
      <c r="P101">
        <v>999</v>
      </c>
      <c r="Q101">
        <v>0</v>
      </c>
      <c r="R101" t="s">
        <v>66</v>
      </c>
      <c r="S101" t="s">
        <v>538</v>
      </c>
    </row>
    <row r="102" spans="3:19" x14ac:dyDescent="0.15">
      <c r="C102">
        <v>89200</v>
      </c>
      <c r="D102" t="s">
        <v>539</v>
      </c>
      <c r="E102">
        <v>9</v>
      </c>
      <c r="F102">
        <v>4</v>
      </c>
      <c r="G102">
        <v>40</v>
      </c>
      <c r="H102">
        <v>0</v>
      </c>
      <c r="I102">
        <v>1</v>
      </c>
      <c r="J102">
        <v>2</v>
      </c>
      <c r="K102">
        <v>20</v>
      </c>
      <c r="L102">
        <v>0</v>
      </c>
      <c r="N102">
        <v>0</v>
      </c>
      <c r="P102">
        <v>999</v>
      </c>
      <c r="Q102">
        <v>1</v>
      </c>
      <c r="R102" t="s">
        <v>67</v>
      </c>
      <c r="S102" t="s">
        <v>540</v>
      </c>
    </row>
    <row r="103" spans="3:19" x14ac:dyDescent="0.15">
      <c r="C103">
        <v>89300</v>
      </c>
      <c r="D103" t="s">
        <v>541</v>
      </c>
      <c r="E103">
        <v>9</v>
      </c>
      <c r="F103">
        <v>4</v>
      </c>
      <c r="G103">
        <v>40</v>
      </c>
      <c r="H103">
        <v>0</v>
      </c>
      <c r="I103">
        <v>1</v>
      </c>
      <c r="J103">
        <v>2</v>
      </c>
      <c r="K103">
        <v>30</v>
      </c>
      <c r="L103">
        <v>0</v>
      </c>
      <c r="N103">
        <v>0</v>
      </c>
      <c r="P103">
        <v>999</v>
      </c>
      <c r="Q103">
        <v>2</v>
      </c>
      <c r="R103" t="s">
        <v>68</v>
      </c>
      <c r="S103" t="s">
        <v>542</v>
      </c>
    </row>
    <row r="104" spans="3:19" x14ac:dyDescent="0.15">
      <c r="C104">
        <v>83100</v>
      </c>
      <c r="D104" t="s">
        <v>543</v>
      </c>
      <c r="E104">
        <v>3</v>
      </c>
      <c r="F104">
        <v>4</v>
      </c>
      <c r="H104">
        <v>0</v>
      </c>
      <c r="I104">
        <v>1</v>
      </c>
      <c r="J104">
        <v>2</v>
      </c>
      <c r="K104">
        <v>50</v>
      </c>
      <c r="L104">
        <v>0</v>
      </c>
      <c r="N104">
        <v>0</v>
      </c>
      <c r="P104">
        <v>1</v>
      </c>
      <c r="Q104">
        <v>1</v>
      </c>
      <c r="R104" t="s">
        <v>69</v>
      </c>
      <c r="S104" t="s">
        <v>544</v>
      </c>
    </row>
    <row r="105" spans="3:19" x14ac:dyDescent="0.15">
      <c r="C105">
        <v>70010</v>
      </c>
      <c r="D105" t="s">
        <v>39</v>
      </c>
      <c r="E105">
        <v>31</v>
      </c>
      <c r="F105">
        <v>0</v>
      </c>
      <c r="H105">
        <v>0</v>
      </c>
      <c r="I105">
        <v>1</v>
      </c>
      <c r="J105">
        <v>2</v>
      </c>
      <c r="K105">
        <v>20</v>
      </c>
      <c r="L105">
        <v>1</v>
      </c>
      <c r="M105">
        <v>1</v>
      </c>
      <c r="N105">
        <v>1000</v>
      </c>
      <c r="P105">
        <v>999</v>
      </c>
      <c r="Q105">
        <v>1</v>
      </c>
      <c r="R105" t="s">
        <v>70</v>
      </c>
      <c r="S105" t="s">
        <v>545</v>
      </c>
    </row>
    <row r="106" spans="3:19" x14ac:dyDescent="0.15">
      <c r="C106">
        <v>71010</v>
      </c>
      <c r="D106" t="s">
        <v>40</v>
      </c>
      <c r="E106">
        <v>31</v>
      </c>
      <c r="F106">
        <v>0</v>
      </c>
      <c r="H106">
        <v>0</v>
      </c>
      <c r="I106">
        <v>1</v>
      </c>
      <c r="J106">
        <v>2</v>
      </c>
      <c r="K106">
        <v>10</v>
      </c>
      <c r="L106">
        <v>1</v>
      </c>
      <c r="M106">
        <v>1</v>
      </c>
      <c r="N106">
        <v>1000</v>
      </c>
      <c r="P106">
        <v>999</v>
      </c>
      <c r="Q106">
        <v>1</v>
      </c>
      <c r="R106" t="s">
        <v>71</v>
      </c>
      <c r="S106" t="s">
        <v>545</v>
      </c>
    </row>
    <row r="107" spans="3:19" x14ac:dyDescent="0.15">
      <c r="C107">
        <v>72010</v>
      </c>
      <c r="D107" t="s">
        <v>546</v>
      </c>
      <c r="E107">
        <v>31</v>
      </c>
      <c r="F107">
        <v>0</v>
      </c>
      <c r="H107">
        <v>0</v>
      </c>
      <c r="I107">
        <v>1</v>
      </c>
      <c r="J107">
        <v>2</v>
      </c>
      <c r="K107">
        <v>10</v>
      </c>
      <c r="L107">
        <v>1</v>
      </c>
      <c r="M107">
        <v>1</v>
      </c>
      <c r="N107">
        <v>1000</v>
      </c>
      <c r="P107">
        <v>999</v>
      </c>
      <c r="Q107">
        <v>1</v>
      </c>
      <c r="R107" t="s">
        <v>72</v>
      </c>
      <c r="S107" t="s">
        <v>545</v>
      </c>
    </row>
    <row r="108" spans="3:19" x14ac:dyDescent="0.15">
      <c r="C108">
        <v>73010</v>
      </c>
      <c r="D108" t="s">
        <v>547</v>
      </c>
      <c r="E108">
        <v>31</v>
      </c>
      <c r="F108">
        <v>0</v>
      </c>
      <c r="H108">
        <v>0</v>
      </c>
      <c r="I108">
        <v>1</v>
      </c>
      <c r="J108">
        <v>2</v>
      </c>
      <c r="K108">
        <v>10</v>
      </c>
      <c r="L108">
        <v>1</v>
      </c>
      <c r="M108">
        <v>1</v>
      </c>
      <c r="N108">
        <v>1000</v>
      </c>
      <c r="P108">
        <v>999</v>
      </c>
      <c r="Q108">
        <v>1</v>
      </c>
      <c r="R108" t="s">
        <v>73</v>
      </c>
      <c r="S108" t="s">
        <v>545</v>
      </c>
    </row>
    <row r="109" spans="3:19" x14ac:dyDescent="0.15">
      <c r="C109">
        <v>74010</v>
      </c>
      <c r="D109" t="s">
        <v>548</v>
      </c>
      <c r="E109">
        <v>31</v>
      </c>
      <c r="F109">
        <v>0</v>
      </c>
      <c r="H109">
        <v>0</v>
      </c>
      <c r="I109">
        <v>1</v>
      </c>
      <c r="J109">
        <v>2</v>
      </c>
      <c r="K109">
        <v>10</v>
      </c>
      <c r="L109">
        <v>1</v>
      </c>
      <c r="M109">
        <v>1</v>
      </c>
      <c r="N109">
        <v>1000</v>
      </c>
      <c r="P109">
        <v>999</v>
      </c>
      <c r="Q109">
        <v>1</v>
      </c>
      <c r="R109" t="s">
        <v>74</v>
      </c>
      <c r="S109" t="s">
        <v>545</v>
      </c>
    </row>
    <row r="110" spans="3:19" x14ac:dyDescent="0.15">
      <c r="C110">
        <v>75010</v>
      </c>
      <c r="D110" t="s">
        <v>41</v>
      </c>
      <c r="E110">
        <v>31</v>
      </c>
      <c r="F110">
        <v>0</v>
      </c>
      <c r="H110">
        <v>0</v>
      </c>
      <c r="I110">
        <v>1</v>
      </c>
      <c r="J110">
        <v>2</v>
      </c>
      <c r="K110">
        <v>10</v>
      </c>
      <c r="L110">
        <v>1</v>
      </c>
      <c r="M110">
        <v>1</v>
      </c>
      <c r="N110">
        <v>1000</v>
      </c>
      <c r="P110">
        <v>999</v>
      </c>
      <c r="Q110">
        <v>1</v>
      </c>
      <c r="R110" t="s">
        <v>75</v>
      </c>
      <c r="S110" t="s">
        <v>545</v>
      </c>
    </row>
    <row r="111" spans="3:19" x14ac:dyDescent="0.15">
      <c r="C111">
        <v>70020</v>
      </c>
      <c r="D111" t="s">
        <v>549</v>
      </c>
      <c r="E111">
        <v>31</v>
      </c>
      <c r="F111">
        <v>0</v>
      </c>
      <c r="L111">
        <v>1</v>
      </c>
      <c r="M111">
        <v>1</v>
      </c>
      <c r="N111">
        <v>10000</v>
      </c>
      <c r="P111">
        <v>999</v>
      </c>
      <c r="Q111">
        <v>2</v>
      </c>
      <c r="R111" t="s">
        <v>76</v>
      </c>
      <c r="S111" t="s">
        <v>545</v>
      </c>
    </row>
    <row r="112" spans="3:19" x14ac:dyDescent="0.15">
      <c r="C112">
        <v>71020</v>
      </c>
      <c r="D112" t="s">
        <v>550</v>
      </c>
      <c r="E112">
        <v>31</v>
      </c>
      <c r="F112">
        <v>0</v>
      </c>
      <c r="L112">
        <v>1</v>
      </c>
      <c r="M112">
        <v>1</v>
      </c>
      <c r="N112">
        <v>10000</v>
      </c>
      <c r="P112">
        <v>999</v>
      </c>
      <c r="Q112">
        <v>2</v>
      </c>
      <c r="R112" t="s">
        <v>77</v>
      </c>
      <c r="S112" t="s">
        <v>545</v>
      </c>
    </row>
    <row r="113" spans="3:19" x14ac:dyDescent="0.15">
      <c r="C113">
        <v>72020</v>
      </c>
      <c r="D113" t="s">
        <v>551</v>
      </c>
      <c r="E113">
        <v>31</v>
      </c>
      <c r="F113">
        <v>0</v>
      </c>
      <c r="L113">
        <v>1</v>
      </c>
      <c r="M113">
        <v>1</v>
      </c>
      <c r="N113">
        <v>10000</v>
      </c>
      <c r="P113">
        <v>999</v>
      </c>
      <c r="Q113">
        <v>2</v>
      </c>
      <c r="R113" t="s">
        <v>78</v>
      </c>
      <c r="S113" t="s">
        <v>545</v>
      </c>
    </row>
    <row r="114" spans="3:19" x14ac:dyDescent="0.15">
      <c r="C114">
        <v>73020</v>
      </c>
      <c r="D114" t="s">
        <v>552</v>
      </c>
      <c r="E114">
        <v>31</v>
      </c>
      <c r="F114">
        <v>0</v>
      </c>
      <c r="L114">
        <v>1</v>
      </c>
      <c r="M114">
        <v>1</v>
      </c>
      <c r="N114">
        <v>10000</v>
      </c>
      <c r="P114">
        <v>999</v>
      </c>
      <c r="Q114">
        <v>2</v>
      </c>
      <c r="R114" t="s">
        <v>79</v>
      </c>
      <c r="S114" t="s">
        <v>545</v>
      </c>
    </row>
    <row r="115" spans="3:19" x14ac:dyDescent="0.15">
      <c r="C115">
        <v>74020</v>
      </c>
      <c r="D115" t="s">
        <v>553</v>
      </c>
      <c r="E115">
        <v>31</v>
      </c>
      <c r="F115">
        <v>0</v>
      </c>
      <c r="L115">
        <v>1</v>
      </c>
      <c r="M115">
        <v>1</v>
      </c>
      <c r="N115">
        <v>10000</v>
      </c>
      <c r="P115">
        <v>999</v>
      </c>
      <c r="Q115">
        <v>2</v>
      </c>
      <c r="R115" t="s">
        <v>80</v>
      </c>
      <c r="S115" t="s">
        <v>545</v>
      </c>
    </row>
    <row r="116" spans="3:19" x14ac:dyDescent="0.15">
      <c r="C116">
        <v>75020</v>
      </c>
      <c r="D116" t="s">
        <v>554</v>
      </c>
      <c r="E116">
        <v>31</v>
      </c>
      <c r="F116">
        <v>0</v>
      </c>
      <c r="L116">
        <v>1</v>
      </c>
      <c r="M116">
        <v>1</v>
      </c>
      <c r="N116">
        <v>10000</v>
      </c>
      <c r="P116">
        <v>999</v>
      </c>
      <c r="Q116">
        <v>2</v>
      </c>
      <c r="R116" t="s">
        <v>81</v>
      </c>
      <c r="S116" t="s">
        <v>545</v>
      </c>
    </row>
    <row r="117" spans="3:19" x14ac:dyDescent="0.15">
      <c r="C117">
        <v>70030</v>
      </c>
      <c r="D117" t="s">
        <v>555</v>
      </c>
      <c r="E117">
        <v>31</v>
      </c>
      <c r="F117">
        <v>0</v>
      </c>
      <c r="L117">
        <v>1</v>
      </c>
      <c r="M117">
        <v>1</v>
      </c>
      <c r="N117">
        <v>10000</v>
      </c>
      <c r="P117">
        <v>999</v>
      </c>
      <c r="Q117">
        <v>3</v>
      </c>
      <c r="R117" t="s">
        <v>82</v>
      </c>
      <c r="S117" t="s">
        <v>545</v>
      </c>
    </row>
    <row r="118" spans="3:19" x14ac:dyDescent="0.15">
      <c r="C118">
        <v>71030</v>
      </c>
      <c r="D118" t="s">
        <v>556</v>
      </c>
      <c r="E118">
        <v>31</v>
      </c>
      <c r="F118">
        <v>0</v>
      </c>
      <c r="L118">
        <v>1</v>
      </c>
      <c r="M118">
        <v>1</v>
      </c>
      <c r="N118">
        <v>10000</v>
      </c>
      <c r="P118">
        <v>999</v>
      </c>
      <c r="Q118">
        <v>3</v>
      </c>
      <c r="R118" t="s">
        <v>83</v>
      </c>
      <c r="S118" t="s">
        <v>545</v>
      </c>
    </row>
    <row r="119" spans="3:19" x14ac:dyDescent="0.15">
      <c r="C119">
        <v>72030</v>
      </c>
      <c r="D119" t="s">
        <v>557</v>
      </c>
      <c r="E119">
        <v>31</v>
      </c>
      <c r="F119">
        <v>0</v>
      </c>
      <c r="L119">
        <v>1</v>
      </c>
      <c r="M119">
        <v>1</v>
      </c>
      <c r="N119">
        <v>10000</v>
      </c>
      <c r="P119">
        <v>999</v>
      </c>
      <c r="Q119">
        <v>3</v>
      </c>
      <c r="R119" t="s">
        <v>84</v>
      </c>
      <c r="S119" t="s">
        <v>545</v>
      </c>
    </row>
    <row r="120" spans="3:19" x14ac:dyDescent="0.15">
      <c r="C120">
        <v>73030</v>
      </c>
      <c r="D120" t="s">
        <v>558</v>
      </c>
      <c r="E120">
        <v>31</v>
      </c>
      <c r="F120">
        <v>0</v>
      </c>
      <c r="L120">
        <v>1</v>
      </c>
      <c r="M120">
        <v>1</v>
      </c>
      <c r="N120">
        <v>10000</v>
      </c>
      <c r="P120">
        <v>999</v>
      </c>
      <c r="Q120">
        <v>3</v>
      </c>
      <c r="R120" t="s">
        <v>85</v>
      </c>
      <c r="S120" t="s">
        <v>545</v>
      </c>
    </row>
    <row r="121" spans="3:19" x14ac:dyDescent="0.15">
      <c r="C121">
        <v>74030</v>
      </c>
      <c r="D121" t="s">
        <v>559</v>
      </c>
      <c r="E121">
        <v>31</v>
      </c>
      <c r="F121">
        <v>0</v>
      </c>
      <c r="L121">
        <v>1</v>
      </c>
      <c r="M121">
        <v>1</v>
      </c>
      <c r="N121">
        <v>10000</v>
      </c>
      <c r="P121">
        <v>999</v>
      </c>
      <c r="Q121">
        <v>3</v>
      </c>
      <c r="R121" t="s">
        <v>86</v>
      </c>
      <c r="S121" t="s">
        <v>545</v>
      </c>
    </row>
    <row r="122" spans="3:19" x14ac:dyDescent="0.15">
      <c r="C122">
        <v>75030</v>
      </c>
      <c r="D122" t="s">
        <v>560</v>
      </c>
      <c r="E122">
        <v>31</v>
      </c>
      <c r="F122">
        <v>0</v>
      </c>
      <c r="L122">
        <v>1</v>
      </c>
      <c r="M122">
        <v>1</v>
      </c>
      <c r="N122">
        <v>10000</v>
      </c>
      <c r="P122">
        <v>999</v>
      </c>
      <c r="Q122">
        <v>3</v>
      </c>
      <c r="R122" t="s">
        <v>87</v>
      </c>
      <c r="S122" t="s">
        <v>545</v>
      </c>
    </row>
    <row r="123" spans="3:19" x14ac:dyDescent="0.15">
      <c r="C123">
        <v>70213</v>
      </c>
      <c r="D123" t="s">
        <v>561</v>
      </c>
      <c r="E123">
        <v>11</v>
      </c>
      <c r="F123">
        <v>3</v>
      </c>
      <c r="H123" t="s">
        <v>88</v>
      </c>
      <c r="I123">
        <v>1</v>
      </c>
      <c r="J123">
        <v>2</v>
      </c>
      <c r="L123">
        <v>1</v>
      </c>
      <c r="M123">
        <v>1</v>
      </c>
      <c r="N123">
        <v>1000</v>
      </c>
      <c r="O123">
        <v>201</v>
      </c>
      <c r="P123">
        <v>99</v>
      </c>
      <c r="Q123" t="s">
        <v>89</v>
      </c>
      <c r="R123" t="s">
        <v>90</v>
      </c>
      <c r="S123" t="s">
        <v>562</v>
      </c>
    </row>
    <row r="124" spans="3:19" x14ac:dyDescent="0.15">
      <c r="C124">
        <v>70223</v>
      </c>
      <c r="D124" t="s">
        <v>563</v>
      </c>
      <c r="E124">
        <v>11</v>
      </c>
      <c r="F124">
        <v>3</v>
      </c>
      <c r="H124" t="s">
        <v>89</v>
      </c>
      <c r="I124">
        <v>1</v>
      </c>
      <c r="J124">
        <v>2</v>
      </c>
      <c r="L124">
        <v>1</v>
      </c>
      <c r="M124">
        <v>1</v>
      </c>
      <c r="N124">
        <v>1000</v>
      </c>
      <c r="O124">
        <v>202</v>
      </c>
      <c r="P124">
        <v>99</v>
      </c>
      <c r="Q124" t="s">
        <v>89</v>
      </c>
      <c r="R124" t="s">
        <v>91</v>
      </c>
      <c r="S124" t="s">
        <v>564</v>
      </c>
    </row>
    <row r="125" spans="3:19" x14ac:dyDescent="0.15">
      <c r="C125">
        <v>70233</v>
      </c>
      <c r="D125" t="s">
        <v>565</v>
      </c>
      <c r="E125">
        <v>11</v>
      </c>
      <c r="F125">
        <v>3</v>
      </c>
      <c r="H125" t="s">
        <v>92</v>
      </c>
      <c r="I125">
        <v>1</v>
      </c>
      <c r="J125">
        <v>2</v>
      </c>
      <c r="L125">
        <v>1</v>
      </c>
      <c r="M125">
        <v>1</v>
      </c>
      <c r="N125">
        <v>1000</v>
      </c>
      <c r="O125">
        <v>203</v>
      </c>
      <c r="P125">
        <v>99</v>
      </c>
      <c r="Q125" t="s">
        <v>89</v>
      </c>
      <c r="R125" t="s">
        <v>93</v>
      </c>
      <c r="S125" t="s">
        <v>566</v>
      </c>
    </row>
    <row r="126" spans="3:19" x14ac:dyDescent="0.15">
      <c r="C126">
        <v>70243</v>
      </c>
      <c r="D126" t="s">
        <v>567</v>
      </c>
      <c r="E126">
        <v>11</v>
      </c>
      <c r="F126">
        <v>3</v>
      </c>
      <c r="H126" t="s">
        <v>94</v>
      </c>
      <c r="I126">
        <v>1</v>
      </c>
      <c r="J126">
        <v>2</v>
      </c>
      <c r="L126">
        <v>1</v>
      </c>
      <c r="M126">
        <v>1</v>
      </c>
      <c r="N126">
        <v>1000</v>
      </c>
      <c r="O126">
        <v>204</v>
      </c>
      <c r="P126">
        <v>99</v>
      </c>
      <c r="Q126" t="s">
        <v>89</v>
      </c>
      <c r="R126" t="s">
        <v>95</v>
      </c>
      <c r="S126" t="s">
        <v>568</v>
      </c>
    </row>
    <row r="127" spans="3:19" x14ac:dyDescent="0.15">
      <c r="C127">
        <v>70253</v>
      </c>
      <c r="D127" t="s">
        <v>569</v>
      </c>
      <c r="E127">
        <v>11</v>
      </c>
      <c r="F127">
        <v>0</v>
      </c>
      <c r="H127">
        <v>0</v>
      </c>
      <c r="I127">
        <v>1</v>
      </c>
      <c r="J127">
        <v>2</v>
      </c>
      <c r="L127">
        <v>1</v>
      </c>
      <c r="M127">
        <v>1</v>
      </c>
      <c r="N127">
        <v>1000</v>
      </c>
      <c r="O127">
        <v>205</v>
      </c>
      <c r="P127">
        <v>99</v>
      </c>
      <c r="Q127" t="s">
        <v>89</v>
      </c>
      <c r="R127" t="s">
        <v>96</v>
      </c>
      <c r="S127" t="s">
        <v>570</v>
      </c>
    </row>
    <row r="128" spans="3:19" x14ac:dyDescent="0.15">
      <c r="C128">
        <v>70263</v>
      </c>
      <c r="D128" t="s">
        <v>571</v>
      </c>
      <c r="E128">
        <v>11</v>
      </c>
      <c r="F128">
        <v>0</v>
      </c>
      <c r="H128">
        <v>0</v>
      </c>
      <c r="I128">
        <v>1</v>
      </c>
      <c r="J128">
        <v>2</v>
      </c>
      <c r="L128">
        <v>1</v>
      </c>
      <c r="M128">
        <v>1</v>
      </c>
      <c r="N128">
        <v>1000</v>
      </c>
      <c r="O128">
        <v>206</v>
      </c>
      <c r="P128">
        <v>99</v>
      </c>
      <c r="Q128" t="s">
        <v>89</v>
      </c>
      <c r="R128" t="s">
        <v>97</v>
      </c>
      <c r="S128" t="s">
        <v>572</v>
      </c>
    </row>
    <row r="129" spans="3:19" x14ac:dyDescent="0.15">
      <c r="C129">
        <v>70273</v>
      </c>
      <c r="D129" t="s">
        <v>573</v>
      </c>
      <c r="E129">
        <v>11</v>
      </c>
      <c r="F129">
        <v>0</v>
      </c>
      <c r="H129">
        <v>0</v>
      </c>
      <c r="I129">
        <v>1</v>
      </c>
      <c r="J129">
        <v>2</v>
      </c>
      <c r="L129">
        <v>1</v>
      </c>
      <c r="M129">
        <v>1</v>
      </c>
      <c r="N129">
        <v>1000</v>
      </c>
      <c r="O129">
        <v>207</v>
      </c>
      <c r="P129">
        <v>99</v>
      </c>
      <c r="Q129" t="s">
        <v>89</v>
      </c>
      <c r="R129" t="s">
        <v>98</v>
      </c>
      <c r="S129" t="s">
        <v>574</v>
      </c>
    </row>
    <row r="130" spans="3:19" x14ac:dyDescent="0.15">
      <c r="C130">
        <v>70283</v>
      </c>
      <c r="D130" t="s">
        <v>575</v>
      </c>
      <c r="E130">
        <v>11</v>
      </c>
      <c r="F130">
        <v>0</v>
      </c>
      <c r="H130">
        <v>0</v>
      </c>
      <c r="I130">
        <v>1</v>
      </c>
      <c r="J130">
        <v>2</v>
      </c>
      <c r="L130">
        <v>1</v>
      </c>
      <c r="M130">
        <v>1</v>
      </c>
      <c r="N130">
        <v>1000</v>
      </c>
      <c r="O130">
        <v>208</v>
      </c>
      <c r="P130">
        <v>99</v>
      </c>
      <c r="Q130" t="s">
        <v>89</v>
      </c>
      <c r="R130" t="s">
        <v>99</v>
      </c>
      <c r="S130" t="s">
        <v>576</v>
      </c>
    </row>
    <row r="131" spans="3:19" x14ac:dyDescent="0.15">
      <c r="C131">
        <v>70293</v>
      </c>
      <c r="D131" t="s">
        <v>577</v>
      </c>
      <c r="E131">
        <v>11</v>
      </c>
      <c r="F131">
        <v>0</v>
      </c>
      <c r="H131">
        <v>0</v>
      </c>
      <c r="I131">
        <v>1</v>
      </c>
      <c r="J131">
        <v>2</v>
      </c>
      <c r="L131">
        <v>1</v>
      </c>
      <c r="M131">
        <v>1</v>
      </c>
      <c r="N131">
        <v>1000</v>
      </c>
      <c r="O131">
        <v>209</v>
      </c>
      <c r="P131">
        <v>99</v>
      </c>
      <c r="Q131" t="s">
        <v>89</v>
      </c>
      <c r="R131" t="s">
        <v>100</v>
      </c>
      <c r="S131" t="s">
        <v>578</v>
      </c>
    </row>
    <row r="132" spans="3:19" x14ac:dyDescent="0.15">
      <c r="C132">
        <v>70214</v>
      </c>
      <c r="D132" t="s">
        <v>579</v>
      </c>
      <c r="E132">
        <v>11</v>
      </c>
      <c r="F132">
        <v>3</v>
      </c>
      <c r="H132" t="s">
        <v>88</v>
      </c>
      <c r="I132">
        <v>1</v>
      </c>
      <c r="J132">
        <v>2</v>
      </c>
      <c r="L132">
        <v>1</v>
      </c>
      <c r="M132">
        <v>1</v>
      </c>
      <c r="N132">
        <v>1000</v>
      </c>
      <c r="O132">
        <v>210</v>
      </c>
      <c r="P132">
        <v>99</v>
      </c>
      <c r="Q132" t="s">
        <v>89</v>
      </c>
      <c r="R132" t="s">
        <v>101</v>
      </c>
      <c r="S132" t="s">
        <v>580</v>
      </c>
    </row>
    <row r="133" spans="3:19" x14ac:dyDescent="0.15">
      <c r="C133">
        <v>70224</v>
      </c>
      <c r="D133" t="s">
        <v>581</v>
      </c>
      <c r="E133">
        <v>11</v>
      </c>
      <c r="F133">
        <v>3</v>
      </c>
      <c r="H133" t="s">
        <v>89</v>
      </c>
      <c r="I133">
        <v>1</v>
      </c>
      <c r="J133">
        <v>2</v>
      </c>
      <c r="L133">
        <v>1</v>
      </c>
      <c r="M133">
        <v>1</v>
      </c>
      <c r="N133">
        <v>1000</v>
      </c>
      <c r="O133">
        <v>211</v>
      </c>
      <c r="P133">
        <v>99</v>
      </c>
      <c r="Q133" t="s">
        <v>89</v>
      </c>
      <c r="R133" t="s">
        <v>102</v>
      </c>
      <c r="S133" t="s">
        <v>582</v>
      </c>
    </row>
    <row r="134" spans="3:19" x14ac:dyDescent="0.15">
      <c r="C134">
        <v>70234</v>
      </c>
      <c r="D134" t="s">
        <v>583</v>
      </c>
      <c r="E134">
        <v>11</v>
      </c>
      <c r="F134">
        <v>3</v>
      </c>
      <c r="H134" t="s">
        <v>92</v>
      </c>
      <c r="I134">
        <v>1</v>
      </c>
      <c r="J134">
        <v>2</v>
      </c>
      <c r="L134">
        <v>1</v>
      </c>
      <c r="M134">
        <v>1</v>
      </c>
      <c r="N134">
        <v>1000</v>
      </c>
      <c r="O134">
        <v>212</v>
      </c>
      <c r="P134">
        <v>99</v>
      </c>
      <c r="Q134" t="s">
        <v>89</v>
      </c>
      <c r="R134" t="s">
        <v>103</v>
      </c>
      <c r="S134" t="s">
        <v>584</v>
      </c>
    </row>
    <row r="135" spans="3:19" x14ac:dyDescent="0.15">
      <c r="C135">
        <v>70244</v>
      </c>
      <c r="D135" t="s">
        <v>585</v>
      </c>
      <c r="E135">
        <v>11</v>
      </c>
      <c r="F135">
        <v>3</v>
      </c>
      <c r="H135" t="s">
        <v>94</v>
      </c>
      <c r="I135">
        <v>1</v>
      </c>
      <c r="J135">
        <v>2</v>
      </c>
      <c r="L135">
        <v>1</v>
      </c>
      <c r="M135">
        <v>1</v>
      </c>
      <c r="N135">
        <v>1000</v>
      </c>
      <c r="O135">
        <v>213</v>
      </c>
      <c r="P135">
        <v>99</v>
      </c>
      <c r="Q135" t="s">
        <v>89</v>
      </c>
      <c r="R135" t="s">
        <v>104</v>
      </c>
      <c r="S135" t="s">
        <v>586</v>
      </c>
    </row>
    <row r="136" spans="3:19" x14ac:dyDescent="0.15">
      <c r="C136">
        <v>70254</v>
      </c>
      <c r="D136" t="s">
        <v>587</v>
      </c>
      <c r="E136">
        <v>11</v>
      </c>
      <c r="F136">
        <v>0</v>
      </c>
      <c r="H136">
        <v>0</v>
      </c>
      <c r="I136">
        <v>1</v>
      </c>
      <c r="J136">
        <v>2</v>
      </c>
      <c r="L136">
        <v>1</v>
      </c>
      <c r="M136">
        <v>1</v>
      </c>
      <c r="N136">
        <v>1000</v>
      </c>
      <c r="O136">
        <v>214</v>
      </c>
      <c r="P136">
        <v>99</v>
      </c>
      <c r="Q136" t="s">
        <v>89</v>
      </c>
      <c r="R136" t="s">
        <v>105</v>
      </c>
      <c r="S136" t="s">
        <v>588</v>
      </c>
    </row>
    <row r="137" spans="3:19" x14ac:dyDescent="0.15">
      <c r="C137">
        <v>70264</v>
      </c>
      <c r="D137" t="s">
        <v>589</v>
      </c>
      <c r="E137">
        <v>11</v>
      </c>
      <c r="F137">
        <v>0</v>
      </c>
      <c r="H137">
        <v>0</v>
      </c>
      <c r="I137">
        <v>1</v>
      </c>
      <c r="J137">
        <v>2</v>
      </c>
      <c r="L137">
        <v>1</v>
      </c>
      <c r="M137">
        <v>1</v>
      </c>
      <c r="N137">
        <v>1000</v>
      </c>
      <c r="O137">
        <v>215</v>
      </c>
      <c r="P137">
        <v>99</v>
      </c>
      <c r="Q137" t="s">
        <v>89</v>
      </c>
      <c r="R137" t="s">
        <v>106</v>
      </c>
      <c r="S137" t="s">
        <v>590</v>
      </c>
    </row>
    <row r="138" spans="3:19" x14ac:dyDescent="0.15">
      <c r="C138">
        <v>70274</v>
      </c>
      <c r="D138" t="s">
        <v>591</v>
      </c>
      <c r="E138">
        <v>11</v>
      </c>
      <c r="F138">
        <v>0</v>
      </c>
      <c r="H138">
        <v>0</v>
      </c>
      <c r="I138">
        <v>1</v>
      </c>
      <c r="J138">
        <v>2</v>
      </c>
      <c r="L138">
        <v>1</v>
      </c>
      <c r="M138">
        <v>1</v>
      </c>
      <c r="N138">
        <v>1000</v>
      </c>
      <c r="O138">
        <v>216</v>
      </c>
      <c r="P138">
        <v>99</v>
      </c>
      <c r="Q138" t="s">
        <v>89</v>
      </c>
      <c r="R138" t="s">
        <v>107</v>
      </c>
      <c r="S138" t="s">
        <v>592</v>
      </c>
    </row>
    <row r="139" spans="3:19" x14ac:dyDescent="0.15">
      <c r="C139">
        <v>70284</v>
      </c>
      <c r="D139" t="s">
        <v>593</v>
      </c>
      <c r="E139">
        <v>11</v>
      </c>
      <c r="F139">
        <v>0</v>
      </c>
      <c r="H139">
        <v>0</v>
      </c>
      <c r="I139">
        <v>1</v>
      </c>
      <c r="J139">
        <v>2</v>
      </c>
      <c r="L139">
        <v>1</v>
      </c>
      <c r="M139">
        <v>1</v>
      </c>
      <c r="N139">
        <v>1000</v>
      </c>
      <c r="O139">
        <v>217</v>
      </c>
      <c r="P139">
        <v>99</v>
      </c>
      <c r="Q139" t="s">
        <v>89</v>
      </c>
      <c r="R139" t="s">
        <v>108</v>
      </c>
      <c r="S139" t="s">
        <v>594</v>
      </c>
    </row>
    <row r="140" spans="3:19" x14ac:dyDescent="0.15">
      <c r="C140">
        <v>70294</v>
      </c>
      <c r="D140" t="s">
        <v>595</v>
      </c>
      <c r="E140">
        <v>11</v>
      </c>
      <c r="F140">
        <v>0</v>
      </c>
      <c r="H140">
        <v>0</v>
      </c>
      <c r="I140">
        <v>1</v>
      </c>
      <c r="J140">
        <v>2</v>
      </c>
      <c r="L140">
        <v>1</v>
      </c>
      <c r="M140">
        <v>1</v>
      </c>
      <c r="N140">
        <v>1000</v>
      </c>
      <c r="O140">
        <v>218</v>
      </c>
      <c r="P140">
        <v>99</v>
      </c>
      <c r="Q140" t="s">
        <v>89</v>
      </c>
      <c r="R140" t="s">
        <v>109</v>
      </c>
      <c r="S140" t="s">
        <v>596</v>
      </c>
    </row>
    <row r="141" spans="3:19" x14ac:dyDescent="0.15">
      <c r="C141">
        <v>70315</v>
      </c>
      <c r="D141" t="s">
        <v>597</v>
      </c>
      <c r="E141">
        <v>11</v>
      </c>
      <c r="F141">
        <v>3</v>
      </c>
      <c r="H141" t="s">
        <v>88</v>
      </c>
      <c r="I141">
        <v>1</v>
      </c>
      <c r="J141">
        <v>2</v>
      </c>
      <c r="L141">
        <v>1</v>
      </c>
      <c r="M141">
        <v>1</v>
      </c>
      <c r="N141">
        <v>1000</v>
      </c>
      <c r="O141">
        <v>219</v>
      </c>
      <c r="P141">
        <v>99</v>
      </c>
      <c r="Q141" t="s">
        <v>92</v>
      </c>
      <c r="R141" t="s">
        <v>110</v>
      </c>
      <c r="S141" t="s">
        <v>598</v>
      </c>
    </row>
    <row r="142" spans="3:19" x14ac:dyDescent="0.15">
      <c r="C142">
        <v>70325</v>
      </c>
      <c r="D142" t="s">
        <v>599</v>
      </c>
      <c r="E142">
        <v>11</v>
      </c>
      <c r="F142">
        <v>3</v>
      </c>
      <c r="H142" t="s">
        <v>89</v>
      </c>
      <c r="I142">
        <v>1</v>
      </c>
      <c r="J142">
        <v>2</v>
      </c>
      <c r="L142">
        <v>1</v>
      </c>
      <c r="M142">
        <v>1</v>
      </c>
      <c r="N142">
        <v>1000</v>
      </c>
      <c r="O142">
        <v>220</v>
      </c>
      <c r="P142">
        <v>99</v>
      </c>
      <c r="Q142" t="s">
        <v>92</v>
      </c>
      <c r="R142" t="s">
        <v>111</v>
      </c>
      <c r="S142" t="s">
        <v>600</v>
      </c>
    </row>
    <row r="143" spans="3:19" x14ac:dyDescent="0.15">
      <c r="C143">
        <v>70335</v>
      </c>
      <c r="D143" t="s">
        <v>601</v>
      </c>
      <c r="E143">
        <v>11</v>
      </c>
      <c r="F143">
        <v>3</v>
      </c>
      <c r="H143" t="s">
        <v>92</v>
      </c>
      <c r="I143">
        <v>1</v>
      </c>
      <c r="J143">
        <v>2</v>
      </c>
      <c r="L143">
        <v>1</v>
      </c>
      <c r="M143">
        <v>1</v>
      </c>
      <c r="N143">
        <v>1000</v>
      </c>
      <c r="O143">
        <v>221</v>
      </c>
      <c r="P143">
        <v>99</v>
      </c>
      <c r="Q143" t="s">
        <v>92</v>
      </c>
      <c r="R143" t="s">
        <v>112</v>
      </c>
      <c r="S143" t="s">
        <v>602</v>
      </c>
    </row>
    <row r="144" spans="3:19" x14ac:dyDescent="0.15">
      <c r="C144">
        <v>70345</v>
      </c>
      <c r="D144" t="s">
        <v>603</v>
      </c>
      <c r="E144">
        <v>11</v>
      </c>
      <c r="F144">
        <v>3</v>
      </c>
      <c r="H144" t="s">
        <v>94</v>
      </c>
      <c r="I144">
        <v>1</v>
      </c>
      <c r="J144">
        <v>2</v>
      </c>
      <c r="L144">
        <v>1</v>
      </c>
      <c r="M144">
        <v>1</v>
      </c>
      <c r="N144">
        <v>1000</v>
      </c>
      <c r="O144">
        <v>222</v>
      </c>
      <c r="P144">
        <v>99</v>
      </c>
      <c r="Q144" t="s">
        <v>92</v>
      </c>
      <c r="R144" t="s">
        <v>113</v>
      </c>
      <c r="S144" t="s">
        <v>604</v>
      </c>
    </row>
    <row r="145" spans="3:19" x14ac:dyDescent="0.15">
      <c r="C145">
        <v>70355</v>
      </c>
      <c r="D145" t="s">
        <v>605</v>
      </c>
      <c r="E145">
        <v>11</v>
      </c>
      <c r="F145">
        <v>0</v>
      </c>
      <c r="H145">
        <v>0</v>
      </c>
      <c r="I145">
        <v>1</v>
      </c>
      <c r="J145">
        <v>2</v>
      </c>
      <c r="L145">
        <v>1</v>
      </c>
      <c r="M145">
        <v>1</v>
      </c>
      <c r="N145">
        <v>1000</v>
      </c>
      <c r="O145">
        <v>223</v>
      </c>
      <c r="P145">
        <v>99</v>
      </c>
      <c r="Q145" t="s">
        <v>92</v>
      </c>
      <c r="R145" t="s">
        <v>114</v>
      </c>
      <c r="S145" t="s">
        <v>606</v>
      </c>
    </row>
    <row r="146" spans="3:19" x14ac:dyDescent="0.15">
      <c r="C146">
        <v>70365</v>
      </c>
      <c r="D146" t="s">
        <v>607</v>
      </c>
      <c r="E146">
        <v>11</v>
      </c>
      <c r="F146">
        <v>0</v>
      </c>
      <c r="H146">
        <v>0</v>
      </c>
      <c r="I146">
        <v>1</v>
      </c>
      <c r="J146">
        <v>2</v>
      </c>
      <c r="L146">
        <v>1</v>
      </c>
      <c r="M146">
        <v>1</v>
      </c>
      <c r="N146">
        <v>1000</v>
      </c>
      <c r="O146">
        <v>224</v>
      </c>
      <c r="P146">
        <v>99</v>
      </c>
      <c r="Q146" t="s">
        <v>92</v>
      </c>
      <c r="R146" t="s">
        <v>115</v>
      </c>
      <c r="S146" t="s">
        <v>608</v>
      </c>
    </row>
    <row r="147" spans="3:19" x14ac:dyDescent="0.15">
      <c r="C147">
        <v>70375</v>
      </c>
      <c r="D147" t="s">
        <v>609</v>
      </c>
      <c r="E147">
        <v>11</v>
      </c>
      <c r="F147">
        <v>0</v>
      </c>
      <c r="H147">
        <v>0</v>
      </c>
      <c r="I147">
        <v>1</v>
      </c>
      <c r="J147">
        <v>2</v>
      </c>
      <c r="L147">
        <v>1</v>
      </c>
      <c r="M147">
        <v>1</v>
      </c>
      <c r="N147">
        <v>1000</v>
      </c>
      <c r="O147">
        <v>225</v>
      </c>
      <c r="P147">
        <v>99</v>
      </c>
      <c r="Q147" t="s">
        <v>92</v>
      </c>
      <c r="R147" t="s">
        <v>116</v>
      </c>
      <c r="S147" t="s">
        <v>610</v>
      </c>
    </row>
    <row r="148" spans="3:19" x14ac:dyDescent="0.15">
      <c r="C148">
        <v>70385</v>
      </c>
      <c r="D148" t="s">
        <v>611</v>
      </c>
      <c r="E148">
        <v>11</v>
      </c>
      <c r="F148">
        <v>0</v>
      </c>
      <c r="H148">
        <v>0</v>
      </c>
      <c r="I148">
        <v>1</v>
      </c>
      <c r="J148">
        <v>2</v>
      </c>
      <c r="L148">
        <v>1</v>
      </c>
      <c r="M148">
        <v>1</v>
      </c>
      <c r="N148">
        <v>1000</v>
      </c>
      <c r="O148">
        <v>226</v>
      </c>
      <c r="P148">
        <v>99</v>
      </c>
      <c r="Q148" t="s">
        <v>92</v>
      </c>
      <c r="R148" t="s">
        <v>117</v>
      </c>
      <c r="S148" t="s">
        <v>612</v>
      </c>
    </row>
    <row r="149" spans="3:19" x14ac:dyDescent="0.15">
      <c r="C149">
        <v>70395</v>
      </c>
      <c r="D149" t="s">
        <v>613</v>
      </c>
      <c r="E149">
        <v>11</v>
      </c>
      <c r="F149">
        <v>0</v>
      </c>
      <c r="H149">
        <v>0</v>
      </c>
      <c r="I149">
        <v>1</v>
      </c>
      <c r="J149">
        <v>2</v>
      </c>
      <c r="L149">
        <v>1</v>
      </c>
      <c r="M149">
        <v>1</v>
      </c>
      <c r="N149">
        <v>1000</v>
      </c>
      <c r="O149">
        <v>227</v>
      </c>
      <c r="P149">
        <v>99</v>
      </c>
      <c r="Q149" t="s">
        <v>92</v>
      </c>
      <c r="R149" t="s">
        <v>118</v>
      </c>
      <c r="S149" t="s">
        <v>614</v>
      </c>
    </row>
    <row r="150" spans="3:19" x14ac:dyDescent="0.15">
      <c r="C150">
        <v>70316</v>
      </c>
      <c r="D150" t="s">
        <v>615</v>
      </c>
      <c r="E150">
        <v>11</v>
      </c>
      <c r="F150">
        <v>3</v>
      </c>
      <c r="H150" t="s">
        <v>88</v>
      </c>
      <c r="I150">
        <v>1</v>
      </c>
      <c r="J150">
        <v>2</v>
      </c>
      <c r="L150">
        <v>1</v>
      </c>
      <c r="M150">
        <v>1</v>
      </c>
      <c r="N150">
        <v>1000</v>
      </c>
      <c r="O150">
        <v>228</v>
      </c>
      <c r="P150">
        <v>99</v>
      </c>
      <c r="Q150" t="s">
        <v>92</v>
      </c>
      <c r="R150" t="s">
        <v>119</v>
      </c>
      <c r="S150" t="s">
        <v>616</v>
      </c>
    </row>
    <row r="151" spans="3:19" x14ac:dyDescent="0.15">
      <c r="C151">
        <v>70326</v>
      </c>
      <c r="D151" t="s">
        <v>617</v>
      </c>
      <c r="E151">
        <v>11</v>
      </c>
      <c r="F151">
        <v>3</v>
      </c>
      <c r="H151" t="s">
        <v>89</v>
      </c>
      <c r="I151">
        <v>1</v>
      </c>
      <c r="J151">
        <v>2</v>
      </c>
      <c r="L151">
        <v>1</v>
      </c>
      <c r="M151">
        <v>1</v>
      </c>
      <c r="N151">
        <v>1000</v>
      </c>
      <c r="O151">
        <v>229</v>
      </c>
      <c r="P151">
        <v>99</v>
      </c>
      <c r="Q151" t="s">
        <v>92</v>
      </c>
      <c r="R151" t="s">
        <v>120</v>
      </c>
      <c r="S151" t="s">
        <v>618</v>
      </c>
    </row>
    <row r="152" spans="3:19" x14ac:dyDescent="0.15">
      <c r="C152">
        <v>70336</v>
      </c>
      <c r="D152" t="s">
        <v>619</v>
      </c>
      <c r="E152">
        <v>11</v>
      </c>
      <c r="F152">
        <v>3</v>
      </c>
      <c r="H152" t="s">
        <v>92</v>
      </c>
      <c r="I152">
        <v>1</v>
      </c>
      <c r="J152">
        <v>2</v>
      </c>
      <c r="L152">
        <v>1</v>
      </c>
      <c r="M152">
        <v>1</v>
      </c>
      <c r="N152">
        <v>1000</v>
      </c>
      <c r="O152">
        <v>230</v>
      </c>
      <c r="P152">
        <v>99</v>
      </c>
      <c r="Q152" t="s">
        <v>92</v>
      </c>
      <c r="R152" t="s">
        <v>121</v>
      </c>
      <c r="S152" t="s">
        <v>620</v>
      </c>
    </row>
    <row r="153" spans="3:19" x14ac:dyDescent="0.15">
      <c r="C153">
        <v>70346</v>
      </c>
      <c r="D153" t="s">
        <v>621</v>
      </c>
      <c r="E153">
        <v>11</v>
      </c>
      <c r="F153">
        <v>3</v>
      </c>
      <c r="H153" t="s">
        <v>94</v>
      </c>
      <c r="I153">
        <v>1</v>
      </c>
      <c r="J153">
        <v>2</v>
      </c>
      <c r="L153">
        <v>1</v>
      </c>
      <c r="M153">
        <v>1</v>
      </c>
      <c r="N153">
        <v>1000</v>
      </c>
      <c r="O153">
        <v>231</v>
      </c>
      <c r="P153">
        <v>99</v>
      </c>
      <c r="Q153" t="s">
        <v>92</v>
      </c>
      <c r="R153" t="s">
        <v>122</v>
      </c>
      <c r="S153" t="s">
        <v>622</v>
      </c>
    </row>
    <row r="154" spans="3:19" x14ac:dyDescent="0.15">
      <c r="C154">
        <v>70356</v>
      </c>
      <c r="D154" t="s">
        <v>623</v>
      </c>
      <c r="E154">
        <v>11</v>
      </c>
      <c r="F154">
        <v>0</v>
      </c>
      <c r="H154">
        <v>0</v>
      </c>
      <c r="I154">
        <v>1</v>
      </c>
      <c r="J154">
        <v>2</v>
      </c>
      <c r="L154">
        <v>1</v>
      </c>
      <c r="M154">
        <v>1</v>
      </c>
      <c r="N154">
        <v>1000</v>
      </c>
      <c r="O154">
        <v>232</v>
      </c>
      <c r="P154">
        <v>99</v>
      </c>
      <c r="Q154" t="s">
        <v>92</v>
      </c>
      <c r="R154" t="s">
        <v>123</v>
      </c>
      <c r="S154" t="s">
        <v>624</v>
      </c>
    </row>
    <row r="155" spans="3:19" x14ac:dyDescent="0.15">
      <c r="C155">
        <v>70366</v>
      </c>
      <c r="D155" t="s">
        <v>625</v>
      </c>
      <c r="E155">
        <v>11</v>
      </c>
      <c r="F155">
        <v>0</v>
      </c>
      <c r="H155">
        <v>0</v>
      </c>
      <c r="I155">
        <v>1</v>
      </c>
      <c r="J155">
        <v>2</v>
      </c>
      <c r="L155">
        <v>1</v>
      </c>
      <c r="M155">
        <v>1</v>
      </c>
      <c r="N155">
        <v>1000</v>
      </c>
      <c r="O155">
        <v>233</v>
      </c>
      <c r="P155">
        <v>99</v>
      </c>
      <c r="Q155" t="s">
        <v>92</v>
      </c>
      <c r="R155" t="s">
        <v>124</v>
      </c>
      <c r="S155" t="s">
        <v>626</v>
      </c>
    </row>
    <row r="156" spans="3:19" x14ac:dyDescent="0.15">
      <c r="C156">
        <v>70376</v>
      </c>
      <c r="D156" t="s">
        <v>627</v>
      </c>
      <c r="E156">
        <v>11</v>
      </c>
      <c r="F156">
        <v>0</v>
      </c>
      <c r="H156">
        <v>0</v>
      </c>
      <c r="I156">
        <v>1</v>
      </c>
      <c r="J156">
        <v>2</v>
      </c>
      <c r="L156">
        <v>1</v>
      </c>
      <c r="M156">
        <v>1</v>
      </c>
      <c r="N156">
        <v>1000</v>
      </c>
      <c r="O156">
        <v>234</v>
      </c>
      <c r="P156">
        <v>99</v>
      </c>
      <c r="Q156" t="s">
        <v>92</v>
      </c>
      <c r="R156" t="s">
        <v>125</v>
      </c>
      <c r="S156" t="s">
        <v>628</v>
      </c>
    </row>
    <row r="157" spans="3:19" x14ac:dyDescent="0.15">
      <c r="C157">
        <v>70386</v>
      </c>
      <c r="D157" t="s">
        <v>629</v>
      </c>
      <c r="E157">
        <v>11</v>
      </c>
      <c r="F157">
        <v>0</v>
      </c>
      <c r="H157">
        <v>0</v>
      </c>
      <c r="I157">
        <v>1</v>
      </c>
      <c r="J157">
        <v>2</v>
      </c>
      <c r="L157">
        <v>1</v>
      </c>
      <c r="M157">
        <v>1</v>
      </c>
      <c r="N157">
        <v>1000</v>
      </c>
      <c r="O157">
        <v>235</v>
      </c>
      <c r="P157">
        <v>99</v>
      </c>
      <c r="Q157" t="s">
        <v>92</v>
      </c>
      <c r="R157" t="s">
        <v>126</v>
      </c>
      <c r="S157" t="s">
        <v>630</v>
      </c>
    </row>
    <row r="158" spans="3:19" x14ac:dyDescent="0.15">
      <c r="C158">
        <v>70396</v>
      </c>
      <c r="D158" t="s">
        <v>631</v>
      </c>
      <c r="E158">
        <v>11</v>
      </c>
      <c r="F158">
        <v>0</v>
      </c>
      <c r="H158">
        <v>0</v>
      </c>
      <c r="I158">
        <v>1</v>
      </c>
      <c r="J158">
        <v>2</v>
      </c>
      <c r="L158">
        <v>1</v>
      </c>
      <c r="M158">
        <v>1</v>
      </c>
      <c r="N158">
        <v>1000</v>
      </c>
      <c r="O158">
        <v>236</v>
      </c>
      <c r="P158">
        <v>99</v>
      </c>
      <c r="Q158" t="s">
        <v>92</v>
      </c>
      <c r="R158" t="s">
        <v>127</v>
      </c>
      <c r="S158" t="s">
        <v>632</v>
      </c>
    </row>
    <row r="159" spans="3:19" x14ac:dyDescent="0.15">
      <c r="C159">
        <v>70317</v>
      </c>
      <c r="D159" t="s">
        <v>633</v>
      </c>
      <c r="E159">
        <v>11</v>
      </c>
      <c r="F159">
        <v>3</v>
      </c>
      <c r="H159" t="s">
        <v>88</v>
      </c>
      <c r="I159">
        <v>1</v>
      </c>
      <c r="J159">
        <v>2</v>
      </c>
      <c r="L159">
        <v>1</v>
      </c>
      <c r="M159">
        <v>1</v>
      </c>
      <c r="N159">
        <v>1000</v>
      </c>
      <c r="O159">
        <v>237</v>
      </c>
      <c r="P159">
        <v>99</v>
      </c>
      <c r="Q159" t="s">
        <v>92</v>
      </c>
      <c r="R159" t="s">
        <v>128</v>
      </c>
      <c r="S159" t="s">
        <v>634</v>
      </c>
    </row>
    <row r="160" spans="3:19" x14ac:dyDescent="0.15">
      <c r="C160">
        <v>70327</v>
      </c>
      <c r="D160" t="s">
        <v>635</v>
      </c>
      <c r="E160">
        <v>11</v>
      </c>
      <c r="F160">
        <v>3</v>
      </c>
      <c r="H160" t="s">
        <v>89</v>
      </c>
      <c r="I160">
        <v>1</v>
      </c>
      <c r="J160">
        <v>2</v>
      </c>
      <c r="L160">
        <v>1</v>
      </c>
      <c r="M160">
        <v>1</v>
      </c>
      <c r="N160">
        <v>1000</v>
      </c>
      <c r="O160">
        <v>238</v>
      </c>
      <c r="P160">
        <v>99</v>
      </c>
      <c r="Q160" t="s">
        <v>92</v>
      </c>
      <c r="R160" t="s">
        <v>129</v>
      </c>
      <c r="S160" t="s">
        <v>636</v>
      </c>
    </row>
    <row r="161" spans="3:19" x14ac:dyDescent="0.15">
      <c r="C161">
        <v>70337</v>
      </c>
      <c r="D161" t="s">
        <v>637</v>
      </c>
      <c r="E161">
        <v>11</v>
      </c>
      <c r="F161">
        <v>3</v>
      </c>
      <c r="H161" t="s">
        <v>92</v>
      </c>
      <c r="I161">
        <v>1</v>
      </c>
      <c r="J161">
        <v>2</v>
      </c>
      <c r="L161">
        <v>1</v>
      </c>
      <c r="M161">
        <v>1</v>
      </c>
      <c r="N161">
        <v>1000</v>
      </c>
      <c r="O161">
        <v>239</v>
      </c>
      <c r="P161">
        <v>99</v>
      </c>
      <c r="Q161" t="s">
        <v>92</v>
      </c>
      <c r="R161" t="s">
        <v>130</v>
      </c>
      <c r="S161" t="s">
        <v>638</v>
      </c>
    </row>
    <row r="162" spans="3:19" x14ac:dyDescent="0.15">
      <c r="C162">
        <v>70347</v>
      </c>
      <c r="D162" t="s">
        <v>639</v>
      </c>
      <c r="E162">
        <v>11</v>
      </c>
      <c r="F162">
        <v>3</v>
      </c>
      <c r="H162" t="s">
        <v>94</v>
      </c>
      <c r="I162">
        <v>1</v>
      </c>
      <c r="J162">
        <v>2</v>
      </c>
      <c r="L162">
        <v>1</v>
      </c>
      <c r="M162">
        <v>1</v>
      </c>
      <c r="N162">
        <v>1000</v>
      </c>
      <c r="O162">
        <v>240</v>
      </c>
      <c r="P162">
        <v>99</v>
      </c>
      <c r="Q162" t="s">
        <v>92</v>
      </c>
      <c r="R162" t="s">
        <v>131</v>
      </c>
      <c r="S162" t="s">
        <v>640</v>
      </c>
    </row>
    <row r="163" spans="3:19" x14ac:dyDescent="0.15">
      <c r="C163">
        <v>70357</v>
      </c>
      <c r="D163" t="s">
        <v>641</v>
      </c>
      <c r="E163">
        <v>11</v>
      </c>
      <c r="F163">
        <v>0</v>
      </c>
      <c r="H163">
        <v>0</v>
      </c>
      <c r="I163">
        <v>1</v>
      </c>
      <c r="J163">
        <v>2</v>
      </c>
      <c r="L163">
        <v>1</v>
      </c>
      <c r="M163">
        <v>1</v>
      </c>
      <c r="N163">
        <v>1000</v>
      </c>
      <c r="O163">
        <v>241</v>
      </c>
      <c r="P163">
        <v>99</v>
      </c>
      <c r="Q163" t="s">
        <v>92</v>
      </c>
      <c r="R163" t="s">
        <v>132</v>
      </c>
      <c r="S163" t="s">
        <v>642</v>
      </c>
    </row>
    <row r="164" spans="3:19" x14ac:dyDescent="0.15">
      <c r="C164">
        <v>70367</v>
      </c>
      <c r="D164" t="s">
        <v>643</v>
      </c>
      <c r="E164">
        <v>11</v>
      </c>
      <c r="F164">
        <v>0</v>
      </c>
      <c r="H164">
        <v>0</v>
      </c>
      <c r="I164">
        <v>1</v>
      </c>
      <c r="J164">
        <v>2</v>
      </c>
      <c r="L164">
        <v>1</v>
      </c>
      <c r="M164">
        <v>1</v>
      </c>
      <c r="N164">
        <v>1000</v>
      </c>
      <c r="O164">
        <v>242</v>
      </c>
      <c r="P164">
        <v>99</v>
      </c>
      <c r="Q164" t="s">
        <v>92</v>
      </c>
      <c r="R164" t="s">
        <v>133</v>
      </c>
      <c r="S164" t="s">
        <v>644</v>
      </c>
    </row>
    <row r="165" spans="3:19" x14ac:dyDescent="0.15">
      <c r="C165">
        <v>70377</v>
      </c>
      <c r="D165" t="s">
        <v>645</v>
      </c>
      <c r="E165">
        <v>11</v>
      </c>
      <c r="F165">
        <v>0</v>
      </c>
      <c r="H165">
        <v>0</v>
      </c>
      <c r="I165">
        <v>1</v>
      </c>
      <c r="J165">
        <v>2</v>
      </c>
      <c r="L165">
        <v>1</v>
      </c>
      <c r="M165">
        <v>1</v>
      </c>
      <c r="N165">
        <v>1000</v>
      </c>
      <c r="O165">
        <v>243</v>
      </c>
      <c r="P165">
        <v>99</v>
      </c>
      <c r="Q165" t="s">
        <v>92</v>
      </c>
      <c r="R165" t="s">
        <v>134</v>
      </c>
      <c r="S165" t="s">
        <v>646</v>
      </c>
    </row>
    <row r="166" spans="3:19" x14ac:dyDescent="0.15">
      <c r="C166">
        <v>70387</v>
      </c>
      <c r="D166" t="s">
        <v>647</v>
      </c>
      <c r="E166">
        <v>11</v>
      </c>
      <c r="F166">
        <v>0</v>
      </c>
      <c r="H166">
        <v>0</v>
      </c>
      <c r="I166">
        <v>1</v>
      </c>
      <c r="J166">
        <v>2</v>
      </c>
      <c r="L166">
        <v>1</v>
      </c>
      <c r="M166">
        <v>1</v>
      </c>
      <c r="N166">
        <v>1000</v>
      </c>
      <c r="O166">
        <v>244</v>
      </c>
      <c r="P166">
        <v>99</v>
      </c>
      <c r="Q166" t="s">
        <v>92</v>
      </c>
      <c r="R166" t="s">
        <v>135</v>
      </c>
      <c r="S166" t="s">
        <v>648</v>
      </c>
    </row>
    <row r="167" spans="3:19" x14ac:dyDescent="0.15">
      <c r="C167">
        <v>70397</v>
      </c>
      <c r="D167" t="s">
        <v>649</v>
      </c>
      <c r="E167">
        <v>11</v>
      </c>
      <c r="F167">
        <v>0</v>
      </c>
      <c r="H167">
        <v>0</v>
      </c>
      <c r="I167">
        <v>1</v>
      </c>
      <c r="J167">
        <v>2</v>
      </c>
      <c r="L167">
        <v>1</v>
      </c>
      <c r="M167">
        <v>1</v>
      </c>
      <c r="N167">
        <v>1000</v>
      </c>
      <c r="O167">
        <v>245</v>
      </c>
      <c r="P167">
        <v>99</v>
      </c>
      <c r="Q167" t="s">
        <v>92</v>
      </c>
      <c r="R167" t="s">
        <v>136</v>
      </c>
      <c r="S167" t="s">
        <v>650</v>
      </c>
    </row>
    <row r="168" spans="3:19" x14ac:dyDescent="0.15">
      <c r="C168">
        <v>70415</v>
      </c>
      <c r="D168" t="s">
        <v>651</v>
      </c>
      <c r="E168">
        <v>11</v>
      </c>
      <c r="F168">
        <v>3</v>
      </c>
      <c r="H168" t="s">
        <v>88</v>
      </c>
      <c r="I168">
        <v>1</v>
      </c>
      <c r="J168">
        <v>2</v>
      </c>
      <c r="L168">
        <v>1</v>
      </c>
      <c r="M168">
        <v>1</v>
      </c>
      <c r="N168">
        <v>1000</v>
      </c>
      <c r="O168">
        <v>246</v>
      </c>
      <c r="P168">
        <v>99</v>
      </c>
      <c r="Q168" t="s">
        <v>94</v>
      </c>
      <c r="R168" t="s">
        <v>137</v>
      </c>
      <c r="S168" t="s">
        <v>652</v>
      </c>
    </row>
    <row r="169" spans="3:19" x14ac:dyDescent="0.15">
      <c r="C169">
        <v>70425</v>
      </c>
      <c r="D169" t="s">
        <v>653</v>
      </c>
      <c r="E169">
        <v>11</v>
      </c>
      <c r="F169">
        <v>3</v>
      </c>
      <c r="H169" t="s">
        <v>89</v>
      </c>
      <c r="I169">
        <v>1</v>
      </c>
      <c r="J169">
        <v>2</v>
      </c>
      <c r="L169">
        <v>1</v>
      </c>
      <c r="M169">
        <v>1</v>
      </c>
      <c r="N169">
        <v>1000</v>
      </c>
      <c r="O169">
        <v>247</v>
      </c>
      <c r="P169">
        <v>99</v>
      </c>
      <c r="Q169" t="s">
        <v>94</v>
      </c>
      <c r="R169" t="s">
        <v>138</v>
      </c>
      <c r="S169" t="s">
        <v>654</v>
      </c>
    </row>
    <row r="170" spans="3:19" x14ac:dyDescent="0.15">
      <c r="C170">
        <v>70435</v>
      </c>
      <c r="D170" t="s">
        <v>655</v>
      </c>
      <c r="E170">
        <v>11</v>
      </c>
      <c r="F170">
        <v>3</v>
      </c>
      <c r="H170" t="s">
        <v>92</v>
      </c>
      <c r="I170">
        <v>1</v>
      </c>
      <c r="J170">
        <v>2</v>
      </c>
      <c r="L170">
        <v>1</v>
      </c>
      <c r="M170">
        <v>1</v>
      </c>
      <c r="N170">
        <v>1000</v>
      </c>
      <c r="O170">
        <v>248</v>
      </c>
      <c r="P170">
        <v>99</v>
      </c>
      <c r="Q170" t="s">
        <v>94</v>
      </c>
      <c r="R170" t="s">
        <v>139</v>
      </c>
      <c r="S170" t="s">
        <v>656</v>
      </c>
    </row>
    <row r="171" spans="3:19" x14ac:dyDescent="0.15">
      <c r="C171">
        <v>70445</v>
      </c>
      <c r="D171" t="s">
        <v>657</v>
      </c>
      <c r="E171">
        <v>11</v>
      </c>
      <c r="F171">
        <v>3</v>
      </c>
      <c r="H171" t="s">
        <v>94</v>
      </c>
      <c r="I171">
        <v>1</v>
      </c>
      <c r="J171">
        <v>2</v>
      </c>
      <c r="L171">
        <v>1</v>
      </c>
      <c r="M171">
        <v>1</v>
      </c>
      <c r="N171">
        <v>1000</v>
      </c>
      <c r="O171">
        <v>249</v>
      </c>
      <c r="P171">
        <v>99</v>
      </c>
      <c r="Q171" t="s">
        <v>94</v>
      </c>
      <c r="R171" t="s">
        <v>140</v>
      </c>
      <c r="S171" t="s">
        <v>658</v>
      </c>
    </row>
    <row r="172" spans="3:19" x14ac:dyDescent="0.15">
      <c r="C172">
        <v>70455</v>
      </c>
      <c r="D172" t="s">
        <v>659</v>
      </c>
      <c r="E172">
        <v>11</v>
      </c>
      <c r="F172">
        <v>0</v>
      </c>
      <c r="H172">
        <v>0</v>
      </c>
      <c r="I172">
        <v>1</v>
      </c>
      <c r="J172">
        <v>2</v>
      </c>
      <c r="L172">
        <v>1</v>
      </c>
      <c r="M172">
        <v>1</v>
      </c>
      <c r="N172">
        <v>1000</v>
      </c>
      <c r="O172">
        <v>250</v>
      </c>
      <c r="P172">
        <v>99</v>
      </c>
      <c r="Q172" t="s">
        <v>94</v>
      </c>
      <c r="R172" t="s">
        <v>141</v>
      </c>
      <c r="S172" t="s">
        <v>660</v>
      </c>
    </row>
    <row r="173" spans="3:19" x14ac:dyDescent="0.15">
      <c r="C173">
        <v>70465</v>
      </c>
      <c r="D173" t="s">
        <v>661</v>
      </c>
      <c r="E173">
        <v>11</v>
      </c>
      <c r="F173">
        <v>0</v>
      </c>
      <c r="H173">
        <v>0</v>
      </c>
      <c r="I173">
        <v>1</v>
      </c>
      <c r="J173">
        <v>2</v>
      </c>
      <c r="L173">
        <v>1</v>
      </c>
      <c r="M173">
        <v>1</v>
      </c>
      <c r="N173">
        <v>1000</v>
      </c>
      <c r="O173">
        <v>251</v>
      </c>
      <c r="P173">
        <v>99</v>
      </c>
      <c r="Q173" t="s">
        <v>94</v>
      </c>
      <c r="R173" t="s">
        <v>142</v>
      </c>
      <c r="S173" t="s">
        <v>662</v>
      </c>
    </row>
    <row r="174" spans="3:19" x14ac:dyDescent="0.15">
      <c r="C174">
        <v>70475</v>
      </c>
      <c r="D174" t="s">
        <v>663</v>
      </c>
      <c r="E174">
        <v>11</v>
      </c>
      <c r="F174">
        <v>0</v>
      </c>
      <c r="H174">
        <v>0</v>
      </c>
      <c r="I174">
        <v>1</v>
      </c>
      <c r="J174">
        <v>2</v>
      </c>
      <c r="L174">
        <v>1</v>
      </c>
      <c r="M174">
        <v>1</v>
      </c>
      <c r="N174">
        <v>1000</v>
      </c>
      <c r="O174">
        <v>252</v>
      </c>
      <c r="P174">
        <v>99</v>
      </c>
      <c r="Q174" t="s">
        <v>94</v>
      </c>
      <c r="R174" t="s">
        <v>143</v>
      </c>
      <c r="S174" t="s">
        <v>664</v>
      </c>
    </row>
    <row r="175" spans="3:19" x14ac:dyDescent="0.15">
      <c r="C175">
        <v>70485</v>
      </c>
      <c r="D175" t="s">
        <v>665</v>
      </c>
      <c r="E175">
        <v>11</v>
      </c>
      <c r="F175">
        <v>0</v>
      </c>
      <c r="H175">
        <v>0</v>
      </c>
      <c r="I175">
        <v>1</v>
      </c>
      <c r="J175">
        <v>2</v>
      </c>
      <c r="L175">
        <v>1</v>
      </c>
      <c r="M175">
        <v>1</v>
      </c>
      <c r="N175">
        <v>1000</v>
      </c>
      <c r="O175">
        <v>253</v>
      </c>
      <c r="P175">
        <v>99</v>
      </c>
      <c r="Q175" t="s">
        <v>94</v>
      </c>
      <c r="R175" t="s">
        <v>144</v>
      </c>
      <c r="S175" t="s">
        <v>666</v>
      </c>
    </row>
    <row r="176" spans="3:19" x14ac:dyDescent="0.15">
      <c r="C176">
        <v>70495</v>
      </c>
      <c r="D176" t="s">
        <v>667</v>
      </c>
      <c r="E176">
        <v>11</v>
      </c>
      <c r="F176">
        <v>0</v>
      </c>
      <c r="H176">
        <v>0</v>
      </c>
      <c r="I176">
        <v>1</v>
      </c>
      <c r="J176">
        <v>2</v>
      </c>
      <c r="L176">
        <v>1</v>
      </c>
      <c r="M176">
        <v>1</v>
      </c>
      <c r="N176">
        <v>1000</v>
      </c>
      <c r="O176">
        <v>254</v>
      </c>
      <c r="P176">
        <v>99</v>
      </c>
      <c r="Q176" t="s">
        <v>94</v>
      </c>
      <c r="R176" t="s">
        <v>145</v>
      </c>
      <c r="S176" t="s">
        <v>668</v>
      </c>
    </row>
    <row r="177" spans="3:19" x14ac:dyDescent="0.15">
      <c r="C177">
        <v>70416</v>
      </c>
      <c r="D177" t="s">
        <v>669</v>
      </c>
      <c r="E177">
        <v>11</v>
      </c>
      <c r="F177">
        <v>3</v>
      </c>
      <c r="H177" t="s">
        <v>88</v>
      </c>
      <c r="I177">
        <v>1</v>
      </c>
      <c r="J177">
        <v>2</v>
      </c>
      <c r="L177">
        <v>1</v>
      </c>
      <c r="M177">
        <v>1</v>
      </c>
      <c r="N177">
        <v>1000</v>
      </c>
      <c r="O177">
        <v>255</v>
      </c>
      <c r="P177">
        <v>99</v>
      </c>
      <c r="Q177" t="s">
        <v>94</v>
      </c>
      <c r="R177" t="s">
        <v>146</v>
      </c>
      <c r="S177" t="s">
        <v>670</v>
      </c>
    </row>
    <row r="178" spans="3:19" x14ac:dyDescent="0.15">
      <c r="C178">
        <v>70426</v>
      </c>
      <c r="D178" t="s">
        <v>671</v>
      </c>
      <c r="E178">
        <v>11</v>
      </c>
      <c r="F178">
        <v>3</v>
      </c>
      <c r="H178" t="s">
        <v>89</v>
      </c>
      <c r="I178">
        <v>1</v>
      </c>
      <c r="J178">
        <v>2</v>
      </c>
      <c r="L178">
        <v>1</v>
      </c>
      <c r="M178">
        <v>1</v>
      </c>
      <c r="N178">
        <v>1000</v>
      </c>
      <c r="O178">
        <v>256</v>
      </c>
      <c r="P178">
        <v>99</v>
      </c>
      <c r="Q178" t="s">
        <v>94</v>
      </c>
      <c r="R178" t="s">
        <v>147</v>
      </c>
      <c r="S178" t="s">
        <v>672</v>
      </c>
    </row>
    <row r="179" spans="3:19" x14ac:dyDescent="0.15">
      <c r="C179">
        <v>70436</v>
      </c>
      <c r="D179" t="s">
        <v>673</v>
      </c>
      <c r="E179">
        <v>11</v>
      </c>
      <c r="F179">
        <v>3</v>
      </c>
      <c r="H179" t="s">
        <v>92</v>
      </c>
      <c r="I179">
        <v>1</v>
      </c>
      <c r="J179">
        <v>2</v>
      </c>
      <c r="L179">
        <v>1</v>
      </c>
      <c r="M179">
        <v>1</v>
      </c>
      <c r="N179">
        <v>1000</v>
      </c>
      <c r="O179">
        <v>257</v>
      </c>
      <c r="P179">
        <v>99</v>
      </c>
      <c r="Q179" t="s">
        <v>94</v>
      </c>
      <c r="R179" t="s">
        <v>148</v>
      </c>
      <c r="S179" t="s">
        <v>674</v>
      </c>
    </row>
    <row r="180" spans="3:19" x14ac:dyDescent="0.15">
      <c r="C180">
        <v>70446</v>
      </c>
      <c r="D180" t="s">
        <v>675</v>
      </c>
      <c r="E180">
        <v>11</v>
      </c>
      <c r="F180">
        <v>3</v>
      </c>
      <c r="H180" t="s">
        <v>94</v>
      </c>
      <c r="I180">
        <v>1</v>
      </c>
      <c r="J180">
        <v>2</v>
      </c>
      <c r="L180">
        <v>1</v>
      </c>
      <c r="M180">
        <v>1</v>
      </c>
      <c r="N180">
        <v>1000</v>
      </c>
      <c r="O180">
        <v>258</v>
      </c>
      <c r="P180">
        <v>99</v>
      </c>
      <c r="Q180" t="s">
        <v>94</v>
      </c>
      <c r="R180" t="s">
        <v>149</v>
      </c>
      <c r="S180" t="s">
        <v>676</v>
      </c>
    </row>
    <row r="181" spans="3:19" x14ac:dyDescent="0.15">
      <c r="C181">
        <v>70456</v>
      </c>
      <c r="D181" t="s">
        <v>677</v>
      </c>
      <c r="E181">
        <v>11</v>
      </c>
      <c r="F181">
        <v>0</v>
      </c>
      <c r="H181">
        <v>0</v>
      </c>
      <c r="I181">
        <v>1</v>
      </c>
      <c r="J181">
        <v>2</v>
      </c>
      <c r="L181">
        <v>1</v>
      </c>
      <c r="M181">
        <v>1</v>
      </c>
      <c r="N181">
        <v>1000</v>
      </c>
      <c r="O181">
        <v>259</v>
      </c>
      <c r="P181">
        <v>99</v>
      </c>
      <c r="Q181" t="s">
        <v>94</v>
      </c>
      <c r="R181" t="s">
        <v>150</v>
      </c>
      <c r="S181" t="s">
        <v>678</v>
      </c>
    </row>
    <row r="182" spans="3:19" x14ac:dyDescent="0.15">
      <c r="C182">
        <v>70466</v>
      </c>
      <c r="D182" t="s">
        <v>679</v>
      </c>
      <c r="E182">
        <v>11</v>
      </c>
      <c r="F182">
        <v>0</v>
      </c>
      <c r="H182">
        <v>0</v>
      </c>
      <c r="I182">
        <v>1</v>
      </c>
      <c r="J182">
        <v>2</v>
      </c>
      <c r="L182">
        <v>1</v>
      </c>
      <c r="M182">
        <v>1</v>
      </c>
      <c r="N182">
        <v>1000</v>
      </c>
      <c r="O182">
        <v>260</v>
      </c>
      <c r="P182">
        <v>99</v>
      </c>
      <c r="Q182" t="s">
        <v>94</v>
      </c>
      <c r="R182" t="s">
        <v>151</v>
      </c>
      <c r="S182" t="s">
        <v>680</v>
      </c>
    </row>
    <row r="183" spans="3:19" x14ac:dyDescent="0.15">
      <c r="C183">
        <v>70476</v>
      </c>
      <c r="D183" t="s">
        <v>681</v>
      </c>
      <c r="E183">
        <v>11</v>
      </c>
      <c r="F183">
        <v>0</v>
      </c>
      <c r="H183">
        <v>0</v>
      </c>
      <c r="I183">
        <v>1</v>
      </c>
      <c r="J183">
        <v>2</v>
      </c>
      <c r="L183">
        <v>1</v>
      </c>
      <c r="M183">
        <v>1</v>
      </c>
      <c r="N183">
        <v>1000</v>
      </c>
      <c r="O183">
        <v>261</v>
      </c>
      <c r="P183">
        <v>99</v>
      </c>
      <c r="Q183" t="s">
        <v>94</v>
      </c>
      <c r="R183" t="s">
        <v>152</v>
      </c>
      <c r="S183" t="s">
        <v>682</v>
      </c>
    </row>
    <row r="184" spans="3:19" x14ac:dyDescent="0.15">
      <c r="C184">
        <v>70486</v>
      </c>
      <c r="D184" t="s">
        <v>683</v>
      </c>
      <c r="E184">
        <v>11</v>
      </c>
      <c r="F184">
        <v>0</v>
      </c>
      <c r="H184">
        <v>0</v>
      </c>
      <c r="I184">
        <v>1</v>
      </c>
      <c r="J184">
        <v>2</v>
      </c>
      <c r="L184">
        <v>1</v>
      </c>
      <c r="M184">
        <v>1</v>
      </c>
      <c r="N184">
        <v>1000</v>
      </c>
      <c r="O184">
        <v>262</v>
      </c>
      <c r="P184">
        <v>99</v>
      </c>
      <c r="Q184" t="s">
        <v>94</v>
      </c>
      <c r="R184" t="s">
        <v>153</v>
      </c>
      <c r="S184" t="s">
        <v>684</v>
      </c>
    </row>
    <row r="185" spans="3:19" x14ac:dyDescent="0.15">
      <c r="C185">
        <v>70496</v>
      </c>
      <c r="D185" t="s">
        <v>685</v>
      </c>
      <c r="E185">
        <v>11</v>
      </c>
      <c r="F185">
        <v>0</v>
      </c>
      <c r="H185">
        <v>0</v>
      </c>
      <c r="I185">
        <v>1</v>
      </c>
      <c r="J185">
        <v>2</v>
      </c>
      <c r="L185">
        <v>1</v>
      </c>
      <c r="M185">
        <v>1</v>
      </c>
      <c r="N185">
        <v>1000</v>
      </c>
      <c r="O185">
        <v>263</v>
      </c>
      <c r="P185">
        <v>99</v>
      </c>
      <c r="Q185" t="s">
        <v>94</v>
      </c>
      <c r="R185" t="s">
        <v>154</v>
      </c>
      <c r="S185" t="s">
        <v>686</v>
      </c>
    </row>
    <row r="186" spans="3:19" x14ac:dyDescent="0.15">
      <c r="C186">
        <v>70417</v>
      </c>
      <c r="D186" t="s">
        <v>687</v>
      </c>
      <c r="E186">
        <v>11</v>
      </c>
      <c r="F186">
        <v>3</v>
      </c>
      <c r="H186" t="s">
        <v>88</v>
      </c>
      <c r="I186">
        <v>1</v>
      </c>
      <c r="J186">
        <v>2</v>
      </c>
      <c r="L186">
        <v>1</v>
      </c>
      <c r="M186">
        <v>1</v>
      </c>
      <c r="N186">
        <v>1000</v>
      </c>
      <c r="O186">
        <v>264</v>
      </c>
      <c r="P186">
        <v>99</v>
      </c>
      <c r="Q186" t="s">
        <v>94</v>
      </c>
      <c r="R186" t="s">
        <v>155</v>
      </c>
      <c r="S186" t="s">
        <v>688</v>
      </c>
    </row>
    <row r="187" spans="3:19" x14ac:dyDescent="0.15">
      <c r="C187">
        <v>70427</v>
      </c>
      <c r="D187" t="s">
        <v>689</v>
      </c>
      <c r="E187">
        <v>11</v>
      </c>
      <c r="F187">
        <v>3</v>
      </c>
      <c r="H187" t="s">
        <v>89</v>
      </c>
      <c r="I187">
        <v>1</v>
      </c>
      <c r="J187">
        <v>2</v>
      </c>
      <c r="L187">
        <v>1</v>
      </c>
      <c r="M187">
        <v>1</v>
      </c>
      <c r="N187">
        <v>1000</v>
      </c>
      <c r="O187">
        <v>265</v>
      </c>
      <c r="P187">
        <v>99</v>
      </c>
      <c r="Q187" t="s">
        <v>94</v>
      </c>
      <c r="R187" t="s">
        <v>156</v>
      </c>
      <c r="S187" t="s">
        <v>690</v>
      </c>
    </row>
    <row r="188" spans="3:19" x14ac:dyDescent="0.15">
      <c r="C188">
        <v>70437</v>
      </c>
      <c r="D188" t="s">
        <v>691</v>
      </c>
      <c r="E188">
        <v>11</v>
      </c>
      <c r="F188">
        <v>3</v>
      </c>
      <c r="H188" t="s">
        <v>92</v>
      </c>
      <c r="I188">
        <v>1</v>
      </c>
      <c r="J188">
        <v>2</v>
      </c>
      <c r="L188">
        <v>1</v>
      </c>
      <c r="M188">
        <v>1</v>
      </c>
      <c r="N188">
        <v>1000</v>
      </c>
      <c r="O188">
        <v>266</v>
      </c>
      <c r="P188">
        <v>99</v>
      </c>
      <c r="Q188" t="s">
        <v>94</v>
      </c>
      <c r="R188" t="s">
        <v>157</v>
      </c>
      <c r="S188" t="s">
        <v>692</v>
      </c>
    </row>
    <row r="189" spans="3:19" x14ac:dyDescent="0.15">
      <c r="C189">
        <v>70447</v>
      </c>
      <c r="D189" t="s">
        <v>693</v>
      </c>
      <c r="E189">
        <v>11</v>
      </c>
      <c r="F189">
        <v>3</v>
      </c>
      <c r="H189" t="s">
        <v>94</v>
      </c>
      <c r="I189">
        <v>1</v>
      </c>
      <c r="J189">
        <v>2</v>
      </c>
      <c r="L189">
        <v>1</v>
      </c>
      <c r="M189">
        <v>1</v>
      </c>
      <c r="N189">
        <v>1000</v>
      </c>
      <c r="O189">
        <v>267</v>
      </c>
      <c r="P189">
        <v>99</v>
      </c>
      <c r="Q189" t="s">
        <v>94</v>
      </c>
      <c r="R189" t="s">
        <v>158</v>
      </c>
      <c r="S189" t="s">
        <v>694</v>
      </c>
    </row>
    <row r="190" spans="3:19" x14ac:dyDescent="0.15">
      <c r="C190">
        <v>70457</v>
      </c>
      <c r="D190" t="s">
        <v>695</v>
      </c>
      <c r="E190">
        <v>11</v>
      </c>
      <c r="F190">
        <v>0</v>
      </c>
      <c r="H190">
        <v>0</v>
      </c>
      <c r="I190">
        <v>1</v>
      </c>
      <c r="J190">
        <v>2</v>
      </c>
      <c r="L190">
        <v>1</v>
      </c>
      <c r="M190">
        <v>1</v>
      </c>
      <c r="N190">
        <v>1000</v>
      </c>
      <c r="O190">
        <v>268</v>
      </c>
      <c r="P190">
        <v>99</v>
      </c>
      <c r="Q190" t="s">
        <v>94</v>
      </c>
      <c r="R190" t="s">
        <v>159</v>
      </c>
      <c r="S190" t="s">
        <v>696</v>
      </c>
    </row>
    <row r="191" spans="3:19" x14ac:dyDescent="0.15">
      <c r="C191">
        <v>70467</v>
      </c>
      <c r="D191" t="s">
        <v>697</v>
      </c>
      <c r="E191">
        <v>11</v>
      </c>
      <c r="F191">
        <v>0</v>
      </c>
      <c r="H191">
        <v>0</v>
      </c>
      <c r="I191">
        <v>1</v>
      </c>
      <c r="J191">
        <v>2</v>
      </c>
      <c r="L191">
        <v>1</v>
      </c>
      <c r="M191">
        <v>1</v>
      </c>
      <c r="N191">
        <v>1000</v>
      </c>
      <c r="O191">
        <v>269</v>
      </c>
      <c r="P191">
        <v>99</v>
      </c>
      <c r="Q191" t="s">
        <v>94</v>
      </c>
      <c r="R191" t="s">
        <v>160</v>
      </c>
      <c r="S191" t="s">
        <v>698</v>
      </c>
    </row>
    <row r="192" spans="3:19" x14ac:dyDescent="0.15">
      <c r="C192">
        <v>70477</v>
      </c>
      <c r="D192" t="s">
        <v>699</v>
      </c>
      <c r="E192">
        <v>11</v>
      </c>
      <c r="F192">
        <v>0</v>
      </c>
      <c r="H192">
        <v>0</v>
      </c>
      <c r="I192">
        <v>1</v>
      </c>
      <c r="J192">
        <v>2</v>
      </c>
      <c r="L192">
        <v>1</v>
      </c>
      <c r="M192">
        <v>1</v>
      </c>
      <c r="N192">
        <v>1000</v>
      </c>
      <c r="O192">
        <v>270</v>
      </c>
      <c r="P192">
        <v>99</v>
      </c>
      <c r="Q192" t="s">
        <v>94</v>
      </c>
      <c r="R192" t="s">
        <v>161</v>
      </c>
      <c r="S192" t="s">
        <v>700</v>
      </c>
    </row>
    <row r="193" spans="3:19" x14ac:dyDescent="0.15">
      <c r="C193">
        <v>70487</v>
      </c>
      <c r="D193" t="s">
        <v>701</v>
      </c>
      <c r="E193">
        <v>11</v>
      </c>
      <c r="F193">
        <v>0</v>
      </c>
      <c r="H193">
        <v>0</v>
      </c>
      <c r="I193">
        <v>1</v>
      </c>
      <c r="J193">
        <v>2</v>
      </c>
      <c r="L193">
        <v>1</v>
      </c>
      <c r="M193">
        <v>1</v>
      </c>
      <c r="N193">
        <v>1000</v>
      </c>
      <c r="O193">
        <v>271</v>
      </c>
      <c r="P193">
        <v>99</v>
      </c>
      <c r="Q193" t="s">
        <v>94</v>
      </c>
      <c r="R193" t="s">
        <v>162</v>
      </c>
      <c r="S193" t="s">
        <v>702</v>
      </c>
    </row>
    <row r="194" spans="3:19" x14ac:dyDescent="0.15">
      <c r="C194">
        <v>70497</v>
      </c>
      <c r="D194" t="s">
        <v>703</v>
      </c>
      <c r="E194">
        <v>11</v>
      </c>
      <c r="F194">
        <v>0</v>
      </c>
      <c r="H194">
        <v>0</v>
      </c>
      <c r="I194">
        <v>1</v>
      </c>
      <c r="J194">
        <v>2</v>
      </c>
      <c r="L194">
        <v>1</v>
      </c>
      <c r="M194">
        <v>1</v>
      </c>
      <c r="N194">
        <v>1000</v>
      </c>
      <c r="O194">
        <v>272</v>
      </c>
      <c r="P194">
        <v>99</v>
      </c>
      <c r="Q194" t="s">
        <v>94</v>
      </c>
      <c r="R194" t="s">
        <v>163</v>
      </c>
      <c r="S194" t="s">
        <v>704</v>
      </c>
    </row>
    <row r="195" spans="3:19" x14ac:dyDescent="0.15">
      <c r="C195">
        <v>80110</v>
      </c>
      <c r="D195" t="s">
        <v>705</v>
      </c>
      <c r="E195">
        <v>10</v>
      </c>
      <c r="F195">
        <v>4</v>
      </c>
      <c r="G195">
        <v>100</v>
      </c>
      <c r="H195">
        <v>0</v>
      </c>
      <c r="I195">
        <v>0</v>
      </c>
      <c r="J195">
        <v>2</v>
      </c>
      <c r="P195">
        <v>999</v>
      </c>
      <c r="Q195">
        <v>0</v>
      </c>
      <c r="R195" t="s">
        <v>42</v>
      </c>
      <c r="S195" t="s">
        <v>706</v>
      </c>
    </row>
    <row r="196" spans="3:19" x14ac:dyDescent="0.15">
      <c r="C196">
        <v>80210</v>
      </c>
      <c r="D196" t="s">
        <v>707</v>
      </c>
      <c r="E196">
        <v>10</v>
      </c>
      <c r="F196">
        <v>4</v>
      </c>
      <c r="G196">
        <v>500</v>
      </c>
      <c r="H196">
        <v>0</v>
      </c>
      <c r="I196">
        <v>0</v>
      </c>
      <c r="J196">
        <v>2</v>
      </c>
      <c r="P196">
        <v>999</v>
      </c>
      <c r="Q196">
        <v>1</v>
      </c>
      <c r="R196" t="s">
        <v>42</v>
      </c>
      <c r="S196" t="s">
        <v>708</v>
      </c>
    </row>
    <row r="197" spans="3:19" x14ac:dyDescent="0.15">
      <c r="C197">
        <v>80310</v>
      </c>
      <c r="D197" t="s">
        <v>709</v>
      </c>
      <c r="E197">
        <v>10</v>
      </c>
      <c r="F197">
        <v>4</v>
      </c>
      <c r="G197">
        <v>1000</v>
      </c>
      <c r="H197">
        <v>0</v>
      </c>
      <c r="I197">
        <v>0</v>
      </c>
      <c r="J197">
        <v>2</v>
      </c>
      <c r="P197">
        <v>999</v>
      </c>
      <c r="Q197">
        <v>2</v>
      </c>
      <c r="R197" t="s">
        <v>42</v>
      </c>
      <c r="S197" t="s">
        <v>710</v>
      </c>
    </row>
    <row r="198" spans="3:19" x14ac:dyDescent="0.15">
      <c r="C198">
        <v>87300</v>
      </c>
      <c r="D198" t="s">
        <v>711</v>
      </c>
      <c r="P198">
        <v>9999999</v>
      </c>
      <c r="Q198">
        <v>-1</v>
      </c>
      <c r="R198" t="s">
        <v>43</v>
      </c>
      <c r="S198" t="s">
        <v>712</v>
      </c>
    </row>
    <row r="199" spans="3:19" x14ac:dyDescent="0.15">
      <c r="C199">
        <v>83300</v>
      </c>
      <c r="D199" t="s">
        <v>713</v>
      </c>
      <c r="P199">
        <v>9999999</v>
      </c>
      <c r="Q199">
        <v>-1</v>
      </c>
      <c r="R199" t="s">
        <v>44</v>
      </c>
      <c r="S199" t="s">
        <v>714</v>
      </c>
    </row>
    <row r="200" spans="3:19" x14ac:dyDescent="0.15">
      <c r="C200">
        <v>83301</v>
      </c>
      <c r="D200" t="s">
        <v>715</v>
      </c>
      <c r="P200">
        <v>9999999</v>
      </c>
      <c r="Q200">
        <v>-1</v>
      </c>
      <c r="R200" t="s">
        <v>42</v>
      </c>
      <c r="S200" t="s">
        <v>716</v>
      </c>
    </row>
    <row r="201" spans="3:19" x14ac:dyDescent="0.15">
      <c r="C201">
        <v>83302</v>
      </c>
      <c r="D201" t="s">
        <v>717</v>
      </c>
      <c r="P201">
        <v>9999999</v>
      </c>
      <c r="Q201">
        <v>-1</v>
      </c>
      <c r="R201" t="s">
        <v>45</v>
      </c>
      <c r="S201" t="s">
        <v>718</v>
      </c>
    </row>
    <row r="202" spans="3:19" x14ac:dyDescent="0.15">
      <c r="C202">
        <v>83303</v>
      </c>
      <c r="D202" t="s">
        <v>719</v>
      </c>
      <c r="P202">
        <v>9999999</v>
      </c>
      <c r="Q202">
        <v>-1</v>
      </c>
      <c r="R202" t="s">
        <v>46</v>
      </c>
      <c r="S202" t="s">
        <v>720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242"/>
  <sheetViews>
    <sheetView topLeftCell="A187" workbookViewId="0">
      <selection activeCell="H109" sqref="H109"/>
    </sheetView>
  </sheetViews>
  <sheetFormatPr defaultRowHeight="13.5" x14ac:dyDescent="0.15"/>
  <cols>
    <col min="2" max="2" width="16.25" customWidth="1"/>
    <col min="3" max="3" width="13" bestFit="1" customWidth="1"/>
    <col min="6" max="6" width="8.5" bestFit="1" customWidth="1"/>
  </cols>
  <sheetData>
    <row r="1" spans="1:20" x14ac:dyDescent="0.15">
      <c r="A1" t="s">
        <v>0</v>
      </c>
      <c r="B1" t="s">
        <v>1</v>
      </c>
      <c r="C1" t="s">
        <v>848</v>
      </c>
      <c r="D1" t="s">
        <v>228</v>
      </c>
      <c r="E1" t="s">
        <v>220</v>
      </c>
      <c r="F1" t="s">
        <v>221</v>
      </c>
      <c r="G1" t="s">
        <v>222</v>
      </c>
      <c r="H1" t="s">
        <v>223</v>
      </c>
      <c r="I1" t="s">
        <v>224</v>
      </c>
      <c r="J1" t="s">
        <v>225</v>
      </c>
      <c r="K1" t="s">
        <v>226</v>
      </c>
      <c r="L1" t="s">
        <v>227</v>
      </c>
      <c r="M1" t="s">
        <v>230</v>
      </c>
      <c r="N1" t="s">
        <v>231</v>
      </c>
      <c r="O1" t="s">
        <v>232</v>
      </c>
      <c r="P1" t="s">
        <v>233</v>
      </c>
      <c r="Q1" t="s">
        <v>234</v>
      </c>
      <c r="R1" t="s">
        <v>235</v>
      </c>
      <c r="S1" t="s">
        <v>262</v>
      </c>
      <c r="T1" t="s">
        <v>263</v>
      </c>
    </row>
    <row r="2" spans="1:20" x14ac:dyDescent="0.15">
      <c r="A2">
        <v>91001</v>
      </c>
      <c r="B2" t="s">
        <v>329</v>
      </c>
      <c r="C2">
        <v>0</v>
      </c>
      <c r="D2">
        <f>COUNTIF(E2:T2,"&gt;0")</f>
        <v>0</v>
      </c>
      <c r="E2" t="str">
        <f>VLOOKUP($A2,[2]!掉落查询,[2]获取途径临时表!C$1,FALSE)</f>
        <v/>
      </c>
      <c r="F2" t="str">
        <f>VLOOKUP($A2,[2]!掉落查询,[2]获取途径临时表!D$1,FALSE)</f>
        <v/>
      </c>
      <c r="G2" t="str">
        <f>VLOOKUP($A2,[2]!掉落查询,[2]获取途径临时表!E$1,FALSE)</f>
        <v/>
      </c>
      <c r="H2" t="str">
        <f>VLOOKUP($A2,[2]!掉落查询,[2]获取途径临时表!F$1,FALSE)</f>
        <v/>
      </c>
      <c r="I2" t="str">
        <f>VLOOKUP($A2,[2]!掉落查询,[2]获取途径临时表!G$1,FALSE)</f>
        <v/>
      </c>
      <c r="J2" t="str">
        <f>VLOOKUP($A2,[2]!掉落查询,[2]获取途径临时表!H$1,FALSE)</f>
        <v/>
      </c>
      <c r="K2" t="str">
        <f>VLOOKUP($A2,[2]!掉落查询,[2]获取途径临时表!I$1,FALSE)</f>
        <v/>
      </c>
      <c r="L2" t="str">
        <f>VLOOKUP($A2,[2]!掉落查询,[2]获取途径临时表!J$1,FALSE)</f>
        <v/>
      </c>
      <c r="M2" t="str">
        <f>VLOOKUP($A2,[2]!掉落查询,[2]获取途径临时表!K$1,FALSE)</f>
        <v/>
      </c>
      <c r="N2" t="str">
        <f>VLOOKUP($A2,[2]!掉落查询,[2]获取途径临时表!L$1,FALSE)</f>
        <v/>
      </c>
      <c r="O2" t="str">
        <f>VLOOKUP($A2,[2]!掉落查询,[2]获取途径临时表!M$1,FALSE)</f>
        <v/>
      </c>
      <c r="P2" t="str">
        <f>VLOOKUP($A2,[2]!掉落查询,[2]获取途径临时表!N$1,FALSE)</f>
        <v/>
      </c>
      <c r="Q2" t="str">
        <f>VLOOKUP($A2,[2]!掉落查询,[2]获取途径临时表!O$1,FALSE)</f>
        <v/>
      </c>
      <c r="R2" t="str">
        <f>VLOOKUP($A2,[2]!掉落查询,[2]获取途径临时表!P$1,FALSE)</f>
        <v/>
      </c>
      <c r="S2" t="str">
        <f>VLOOKUP($A2,[2]!掉落查询,[2]获取途径临时表!Q$1,FALSE)</f>
        <v/>
      </c>
      <c r="T2" t="str">
        <f>VLOOKUP($A2,[2]!掉落查询,[2]获取途径临时表!R$1,FALSE)</f>
        <v/>
      </c>
    </row>
    <row r="3" spans="1:20" x14ac:dyDescent="0.15">
      <c r="A3">
        <v>81002</v>
      </c>
      <c r="B3" t="s">
        <v>330</v>
      </c>
      <c r="C3">
        <v>0</v>
      </c>
      <c r="D3">
        <f t="shared" ref="D3:D69" si="0">COUNTIF(E3:T3,"&gt;0")</f>
        <v>0</v>
      </c>
      <c r="E3" t="str">
        <f>VLOOKUP($A3,[2]!掉落查询,[2]获取途径临时表!C$1,FALSE)</f>
        <v/>
      </c>
      <c r="F3" t="str">
        <f>VLOOKUP($A3,[2]!掉落查询,[2]获取途径临时表!D$1,FALSE)</f>
        <v/>
      </c>
      <c r="G3" t="str">
        <f>VLOOKUP($A3,[2]!掉落查询,[2]获取途径临时表!E$1,FALSE)</f>
        <v/>
      </c>
      <c r="H3" t="str">
        <f>VLOOKUP($A3,[2]!掉落查询,[2]获取途径临时表!F$1,FALSE)</f>
        <v/>
      </c>
      <c r="I3" t="str">
        <f>VLOOKUP($A3,[2]!掉落查询,[2]获取途径临时表!G$1,FALSE)</f>
        <v/>
      </c>
      <c r="J3" t="str">
        <f>VLOOKUP($A3,[2]!掉落查询,[2]获取途径临时表!H$1,FALSE)</f>
        <v/>
      </c>
      <c r="K3" t="str">
        <f>VLOOKUP($A3,[2]!掉落查询,[2]获取途径临时表!I$1,FALSE)</f>
        <v/>
      </c>
      <c r="L3" t="str">
        <f>VLOOKUP($A3,[2]!掉落查询,[2]获取途径临时表!J$1,FALSE)</f>
        <v/>
      </c>
      <c r="M3" t="str">
        <f>VLOOKUP($A3,[2]!掉落查询,[2]获取途径临时表!K$1,FALSE)</f>
        <v/>
      </c>
      <c r="N3" t="str">
        <f>VLOOKUP($A3,[2]!掉落查询,[2]获取途径临时表!L$1,FALSE)</f>
        <v/>
      </c>
      <c r="O3" t="str">
        <f>VLOOKUP($A3,[2]!掉落查询,[2]获取途径临时表!M$1,FALSE)</f>
        <v/>
      </c>
      <c r="P3" t="str">
        <f>VLOOKUP($A3,[2]!掉落查询,[2]获取途径临时表!N$1,FALSE)</f>
        <v/>
      </c>
      <c r="Q3" t="str">
        <f>VLOOKUP($A3,[2]!掉落查询,[2]获取途径临时表!O$1,FALSE)</f>
        <v/>
      </c>
      <c r="R3" t="str">
        <f>VLOOKUP($A3,[2]!掉落查询,[2]获取途径临时表!P$1,FALSE)</f>
        <v/>
      </c>
      <c r="S3" t="str">
        <f>VLOOKUP($A3,[2]!掉落查询,[2]获取途径临时表!Q$1,FALSE)</f>
        <v/>
      </c>
      <c r="T3" t="str">
        <f>VLOOKUP($A3,[2]!掉落查询,[2]获取途径临时表!R$1,FALSE)</f>
        <v/>
      </c>
    </row>
    <row r="4" spans="1:20" x14ac:dyDescent="0.15">
      <c r="A4">
        <v>81003</v>
      </c>
      <c r="B4" t="s">
        <v>331</v>
      </c>
      <c r="C4">
        <v>0</v>
      </c>
      <c r="D4">
        <f t="shared" si="0"/>
        <v>0</v>
      </c>
      <c r="E4" t="str">
        <f>VLOOKUP($A4,[2]!掉落查询,[2]获取途径临时表!C$1,FALSE)</f>
        <v/>
      </c>
      <c r="F4" t="str">
        <f>VLOOKUP($A4,[2]!掉落查询,[2]获取途径临时表!D$1,FALSE)</f>
        <v/>
      </c>
      <c r="G4" t="str">
        <f>VLOOKUP($A4,[2]!掉落查询,[2]获取途径临时表!E$1,FALSE)</f>
        <v/>
      </c>
      <c r="H4" t="str">
        <f>VLOOKUP($A4,[2]!掉落查询,[2]获取途径临时表!F$1,FALSE)</f>
        <v/>
      </c>
      <c r="I4" t="str">
        <f>VLOOKUP($A4,[2]!掉落查询,[2]获取途径临时表!G$1,FALSE)</f>
        <v/>
      </c>
      <c r="J4" t="str">
        <f>VLOOKUP($A4,[2]!掉落查询,[2]获取途径临时表!H$1,FALSE)</f>
        <v/>
      </c>
      <c r="K4" t="str">
        <f>VLOOKUP($A4,[2]!掉落查询,[2]获取途径临时表!I$1,FALSE)</f>
        <v/>
      </c>
      <c r="L4" t="str">
        <f>VLOOKUP($A4,[2]!掉落查询,[2]获取途径临时表!J$1,FALSE)</f>
        <v/>
      </c>
      <c r="M4" t="str">
        <f>VLOOKUP($A4,[2]!掉落查询,[2]获取途径临时表!K$1,FALSE)</f>
        <v/>
      </c>
      <c r="N4" t="str">
        <f>VLOOKUP($A4,[2]!掉落查询,[2]获取途径临时表!L$1,FALSE)</f>
        <v/>
      </c>
      <c r="O4" t="str">
        <f>VLOOKUP($A4,[2]!掉落查询,[2]获取途径临时表!M$1,FALSE)</f>
        <v/>
      </c>
      <c r="P4" t="str">
        <f>VLOOKUP($A4,[2]!掉落查询,[2]获取途径临时表!N$1,FALSE)</f>
        <v/>
      </c>
      <c r="Q4" t="str">
        <f>VLOOKUP($A4,[2]!掉落查询,[2]获取途径临时表!O$1,FALSE)</f>
        <v/>
      </c>
      <c r="R4" t="str">
        <f>VLOOKUP($A4,[2]!掉落查询,[2]获取途径临时表!P$1,FALSE)</f>
        <v/>
      </c>
      <c r="S4" t="str">
        <f>VLOOKUP($A4,[2]!掉落查询,[2]获取途径临时表!Q$1,FALSE)</f>
        <v/>
      </c>
      <c r="T4" t="str">
        <f>VLOOKUP($A4,[2]!掉落查询,[2]获取途径临时表!R$1,FALSE)</f>
        <v/>
      </c>
    </row>
    <row r="5" spans="1:20" x14ac:dyDescent="0.15">
      <c r="A5">
        <v>81010</v>
      </c>
      <c r="B5" t="s">
        <v>332</v>
      </c>
      <c r="C5">
        <v>0</v>
      </c>
      <c r="D5">
        <f t="shared" si="0"/>
        <v>0</v>
      </c>
      <c r="E5" t="str">
        <f>VLOOKUP($A5,[2]!掉落查询,[2]获取途径临时表!C$1,FALSE)</f>
        <v/>
      </c>
      <c r="F5" t="str">
        <f>VLOOKUP($A5,[2]!掉落查询,[2]获取途径临时表!D$1,FALSE)</f>
        <v/>
      </c>
      <c r="G5" t="str">
        <f>VLOOKUP($A5,[2]!掉落查询,[2]获取途径临时表!E$1,FALSE)</f>
        <v/>
      </c>
      <c r="H5" t="str">
        <f>VLOOKUP($A5,[2]!掉落查询,[2]获取途径临时表!F$1,FALSE)</f>
        <v/>
      </c>
      <c r="I5" t="str">
        <f>VLOOKUP($A5,[2]!掉落查询,[2]获取途径临时表!G$1,FALSE)</f>
        <v/>
      </c>
      <c r="J5" t="str">
        <f>VLOOKUP($A5,[2]!掉落查询,[2]获取途径临时表!H$1,FALSE)</f>
        <v/>
      </c>
      <c r="K5" t="str">
        <f>VLOOKUP($A5,[2]!掉落查询,[2]获取途径临时表!I$1,FALSE)</f>
        <v/>
      </c>
      <c r="L5" t="str">
        <f>VLOOKUP($A5,[2]!掉落查询,[2]获取途径临时表!J$1,FALSE)</f>
        <v/>
      </c>
      <c r="M5" t="str">
        <f>VLOOKUP($A5,[2]!掉落查询,[2]获取途径临时表!K$1,FALSE)</f>
        <v/>
      </c>
      <c r="N5" t="str">
        <f>VLOOKUP($A5,[2]!掉落查询,[2]获取途径临时表!L$1,FALSE)</f>
        <v/>
      </c>
      <c r="O5" t="str">
        <f>VLOOKUP($A5,[2]!掉落查询,[2]获取途径临时表!M$1,FALSE)</f>
        <v/>
      </c>
      <c r="P5" t="str">
        <f>VLOOKUP($A5,[2]!掉落查询,[2]获取途径临时表!N$1,FALSE)</f>
        <v/>
      </c>
      <c r="Q5" t="str">
        <f>VLOOKUP($A5,[2]!掉落查询,[2]获取途径临时表!O$1,FALSE)</f>
        <v/>
      </c>
      <c r="R5" t="str">
        <f>VLOOKUP($A5,[2]!掉落查询,[2]获取途径临时表!P$1,FALSE)</f>
        <v/>
      </c>
      <c r="S5" t="str">
        <f>VLOOKUP($A5,[2]!掉落查询,[2]获取途径临时表!Q$1,FALSE)</f>
        <v/>
      </c>
      <c r="T5" t="str">
        <f>VLOOKUP($A5,[2]!掉落查询,[2]获取途径临时表!R$1,FALSE)</f>
        <v/>
      </c>
    </row>
    <row r="6" spans="1:20" x14ac:dyDescent="0.15">
      <c r="A6">
        <v>82001</v>
      </c>
      <c r="B6" t="s">
        <v>18</v>
      </c>
      <c r="C6">
        <v>0</v>
      </c>
      <c r="D6">
        <f t="shared" si="0"/>
        <v>0</v>
      </c>
      <c r="E6" t="str">
        <f>VLOOKUP($A6,[2]!掉落查询,[2]获取途径临时表!C$1,FALSE)</f>
        <v/>
      </c>
      <c r="F6" t="str">
        <f>VLOOKUP($A6,[2]!掉落查询,[2]获取途径临时表!D$1,FALSE)</f>
        <v/>
      </c>
      <c r="G6" t="str">
        <f>VLOOKUP($A6,[2]!掉落查询,[2]获取途径临时表!E$1,FALSE)</f>
        <v/>
      </c>
      <c r="H6" t="str">
        <f>VLOOKUP($A6,[2]!掉落查询,[2]获取途径临时表!F$1,FALSE)</f>
        <v/>
      </c>
      <c r="I6" t="str">
        <f>VLOOKUP($A6,[2]!掉落查询,[2]获取途径临时表!G$1,FALSE)</f>
        <v/>
      </c>
      <c r="J6" t="str">
        <f>VLOOKUP($A6,[2]!掉落查询,[2]获取途径临时表!H$1,FALSE)</f>
        <v/>
      </c>
      <c r="K6" t="str">
        <f>VLOOKUP($A6,[2]!掉落查询,[2]获取途径临时表!I$1,FALSE)</f>
        <v/>
      </c>
      <c r="L6" t="str">
        <f>VLOOKUP($A6,[2]!掉落查询,[2]获取途径临时表!J$1,FALSE)</f>
        <v/>
      </c>
      <c r="M6" t="str">
        <f>VLOOKUP($A6,[2]!掉落查询,[2]获取途径临时表!K$1,FALSE)</f>
        <v/>
      </c>
      <c r="N6" t="str">
        <f>VLOOKUP($A6,[2]!掉落查询,[2]获取途径临时表!L$1,FALSE)</f>
        <v/>
      </c>
      <c r="O6" t="str">
        <f>VLOOKUP($A6,[2]!掉落查询,[2]获取途径临时表!M$1,FALSE)</f>
        <v/>
      </c>
      <c r="P6" t="str">
        <f>VLOOKUP($A6,[2]!掉落查询,[2]获取途径临时表!N$1,FALSE)</f>
        <v/>
      </c>
      <c r="Q6" t="str">
        <f>VLOOKUP($A6,[2]!掉落查询,[2]获取途径临时表!O$1,FALSE)</f>
        <v/>
      </c>
      <c r="R6" t="str">
        <f>VLOOKUP($A6,[2]!掉落查询,[2]获取途径临时表!P$1,FALSE)</f>
        <v/>
      </c>
      <c r="S6" t="str">
        <f>VLOOKUP($A6,[2]!掉落查询,[2]获取途径临时表!Q$1,FALSE)</f>
        <v/>
      </c>
      <c r="T6" t="str">
        <f>VLOOKUP($A6,[2]!掉落查询,[2]获取途径临时表!R$1,FALSE)</f>
        <v/>
      </c>
    </row>
    <row r="7" spans="1:20" x14ac:dyDescent="0.15">
      <c r="A7">
        <v>83001</v>
      </c>
      <c r="B7" t="s">
        <v>333</v>
      </c>
      <c r="C7">
        <v>0</v>
      </c>
      <c r="D7">
        <f t="shared" si="0"/>
        <v>0</v>
      </c>
      <c r="E7" t="str">
        <f>VLOOKUP($A7,[2]!掉落查询,[2]获取途径临时表!C$1,FALSE)</f>
        <v/>
      </c>
      <c r="F7" t="str">
        <f>VLOOKUP($A7,[2]!掉落查询,[2]获取途径临时表!D$1,FALSE)</f>
        <v/>
      </c>
      <c r="G7" t="str">
        <f>VLOOKUP($A7,[2]!掉落查询,[2]获取途径临时表!E$1,FALSE)</f>
        <v/>
      </c>
      <c r="H7" t="str">
        <f>VLOOKUP($A7,[2]!掉落查询,[2]获取途径临时表!F$1,FALSE)</f>
        <v/>
      </c>
      <c r="I7" t="str">
        <f>VLOOKUP($A7,[2]!掉落查询,[2]获取途径临时表!G$1,FALSE)</f>
        <v/>
      </c>
      <c r="J7" t="str">
        <f>VLOOKUP($A7,[2]!掉落查询,[2]获取途径临时表!H$1,FALSE)</f>
        <v/>
      </c>
      <c r="K7" t="str">
        <f>VLOOKUP($A7,[2]!掉落查询,[2]获取途径临时表!I$1,FALSE)</f>
        <v/>
      </c>
      <c r="L7" t="str">
        <f>VLOOKUP($A7,[2]!掉落查询,[2]获取途径临时表!J$1,FALSE)</f>
        <v/>
      </c>
      <c r="M7" t="str">
        <f>VLOOKUP($A7,[2]!掉落查询,[2]获取途径临时表!K$1,FALSE)</f>
        <v/>
      </c>
      <c r="N7" t="str">
        <f>VLOOKUP($A7,[2]!掉落查询,[2]获取途径临时表!L$1,FALSE)</f>
        <v/>
      </c>
      <c r="O7" t="str">
        <f>VLOOKUP($A7,[2]!掉落查询,[2]获取途径临时表!M$1,FALSE)</f>
        <v/>
      </c>
      <c r="P7" t="str">
        <f>VLOOKUP($A7,[2]!掉落查询,[2]获取途径临时表!N$1,FALSE)</f>
        <v/>
      </c>
      <c r="Q7" t="str">
        <f>VLOOKUP($A7,[2]!掉落查询,[2]获取途径临时表!O$1,FALSE)</f>
        <v/>
      </c>
      <c r="R7" t="str">
        <f>VLOOKUP($A7,[2]!掉落查询,[2]获取途径临时表!P$1,FALSE)</f>
        <v/>
      </c>
      <c r="S7" t="str">
        <f>VLOOKUP($A7,[2]!掉落查询,[2]获取途径临时表!Q$1,FALSE)</f>
        <v/>
      </c>
      <c r="T7" t="str">
        <f>VLOOKUP($A7,[2]!掉落查询,[2]获取途径临时表!R$1,FALSE)</f>
        <v/>
      </c>
    </row>
    <row r="8" spans="1:20" x14ac:dyDescent="0.15">
      <c r="A8">
        <v>83002</v>
      </c>
      <c r="B8" t="s">
        <v>334</v>
      </c>
      <c r="C8">
        <v>0</v>
      </c>
      <c r="D8">
        <f t="shared" si="0"/>
        <v>0</v>
      </c>
      <c r="E8" t="str">
        <f>VLOOKUP($A8,[2]!掉落查询,[2]获取途径临时表!C$1,FALSE)</f>
        <v/>
      </c>
      <c r="F8" t="str">
        <f>VLOOKUP($A8,[2]!掉落查询,[2]获取途径临时表!D$1,FALSE)</f>
        <v/>
      </c>
      <c r="G8" t="str">
        <f>VLOOKUP($A8,[2]!掉落查询,[2]获取途径临时表!E$1,FALSE)</f>
        <v/>
      </c>
      <c r="H8" t="str">
        <f>VLOOKUP($A8,[2]!掉落查询,[2]获取途径临时表!F$1,FALSE)</f>
        <v/>
      </c>
      <c r="I8" t="str">
        <f>VLOOKUP($A8,[2]!掉落查询,[2]获取途径临时表!G$1,FALSE)</f>
        <v/>
      </c>
      <c r="J8" t="str">
        <f>VLOOKUP($A8,[2]!掉落查询,[2]获取途径临时表!H$1,FALSE)</f>
        <v/>
      </c>
      <c r="K8" t="str">
        <f>VLOOKUP($A8,[2]!掉落查询,[2]获取途径临时表!I$1,FALSE)</f>
        <v/>
      </c>
      <c r="L8" t="str">
        <f>VLOOKUP($A8,[2]!掉落查询,[2]获取途径临时表!J$1,FALSE)</f>
        <v/>
      </c>
      <c r="M8" t="str">
        <f>VLOOKUP($A8,[2]!掉落查询,[2]获取途径临时表!K$1,FALSE)</f>
        <v/>
      </c>
      <c r="N8" t="str">
        <f>VLOOKUP($A8,[2]!掉落查询,[2]获取途径临时表!L$1,FALSE)</f>
        <v/>
      </c>
      <c r="O8" t="str">
        <f>VLOOKUP($A8,[2]!掉落查询,[2]获取途径临时表!M$1,FALSE)</f>
        <v/>
      </c>
      <c r="P8" t="str">
        <f>VLOOKUP($A8,[2]!掉落查询,[2]获取途径临时表!N$1,FALSE)</f>
        <v/>
      </c>
      <c r="Q8" t="str">
        <f>VLOOKUP($A8,[2]!掉落查询,[2]获取途径临时表!O$1,FALSE)</f>
        <v/>
      </c>
      <c r="R8" t="str">
        <f>VLOOKUP($A8,[2]!掉落查询,[2]获取途径临时表!P$1,FALSE)</f>
        <v/>
      </c>
      <c r="S8" t="str">
        <f>VLOOKUP($A8,[2]!掉落查询,[2]获取途径临时表!Q$1,FALSE)</f>
        <v/>
      </c>
      <c r="T8" t="str">
        <f>VLOOKUP($A8,[2]!掉落查询,[2]获取途径临时表!R$1,FALSE)</f>
        <v/>
      </c>
    </row>
    <row r="9" spans="1:20" x14ac:dyDescent="0.15">
      <c r="A9">
        <v>83003</v>
      </c>
      <c r="B9" t="s">
        <v>335</v>
      </c>
      <c r="C9">
        <v>0</v>
      </c>
      <c r="D9">
        <f t="shared" si="0"/>
        <v>0</v>
      </c>
      <c r="E9" t="str">
        <f>VLOOKUP($A9,[2]!掉落查询,[2]获取途径临时表!C$1,FALSE)</f>
        <v/>
      </c>
      <c r="F9" t="str">
        <f>VLOOKUP($A9,[2]!掉落查询,[2]获取途径临时表!D$1,FALSE)</f>
        <v/>
      </c>
      <c r="G9" t="str">
        <f>VLOOKUP($A9,[2]!掉落查询,[2]获取途径临时表!E$1,FALSE)</f>
        <v/>
      </c>
      <c r="H9" t="str">
        <f>VLOOKUP($A9,[2]!掉落查询,[2]获取途径临时表!F$1,FALSE)</f>
        <v/>
      </c>
      <c r="I9" t="str">
        <f>VLOOKUP($A9,[2]!掉落查询,[2]获取途径临时表!G$1,FALSE)</f>
        <v/>
      </c>
      <c r="J9" t="str">
        <f>VLOOKUP($A9,[2]!掉落查询,[2]获取途径临时表!H$1,FALSE)</f>
        <v/>
      </c>
      <c r="K9" t="str">
        <f>VLOOKUP($A9,[2]!掉落查询,[2]获取途径临时表!I$1,FALSE)</f>
        <v/>
      </c>
      <c r="L9" t="str">
        <f>VLOOKUP($A9,[2]!掉落查询,[2]获取途径临时表!J$1,FALSE)</f>
        <v/>
      </c>
      <c r="M9" t="str">
        <f>VLOOKUP($A9,[2]!掉落查询,[2]获取途径临时表!K$1,FALSE)</f>
        <v/>
      </c>
      <c r="N9" t="str">
        <f>VLOOKUP($A9,[2]!掉落查询,[2]获取途径临时表!L$1,FALSE)</f>
        <v/>
      </c>
      <c r="O9" t="str">
        <f>VLOOKUP($A9,[2]!掉落查询,[2]获取途径临时表!M$1,FALSE)</f>
        <v/>
      </c>
      <c r="P9" t="str">
        <f>VLOOKUP($A9,[2]!掉落查询,[2]获取途径临时表!N$1,FALSE)</f>
        <v/>
      </c>
      <c r="Q9" t="str">
        <f>VLOOKUP($A9,[2]!掉落查询,[2]获取途径临时表!O$1,FALSE)</f>
        <v/>
      </c>
      <c r="R9" t="str">
        <f>VLOOKUP($A9,[2]!掉落查询,[2]获取途径临时表!P$1,FALSE)</f>
        <v/>
      </c>
      <c r="S9" t="str">
        <f>VLOOKUP($A9,[2]!掉落查询,[2]获取途径临时表!Q$1,FALSE)</f>
        <v/>
      </c>
      <c r="T9" t="str">
        <f>VLOOKUP($A9,[2]!掉落查询,[2]获取途径临时表!R$1,FALSE)</f>
        <v/>
      </c>
    </row>
    <row r="10" spans="1:20" x14ac:dyDescent="0.15">
      <c r="A10">
        <v>83004</v>
      </c>
      <c r="B10" t="s">
        <v>336</v>
      </c>
      <c r="C10">
        <v>0</v>
      </c>
      <c r="D10">
        <f t="shared" si="0"/>
        <v>0</v>
      </c>
      <c r="E10" t="str">
        <f>VLOOKUP($A10,[2]!掉落查询,[2]获取途径临时表!C$1,FALSE)</f>
        <v/>
      </c>
      <c r="F10" t="str">
        <f>VLOOKUP($A10,[2]!掉落查询,[2]获取途径临时表!D$1,FALSE)</f>
        <v/>
      </c>
      <c r="G10" t="str">
        <f>VLOOKUP($A10,[2]!掉落查询,[2]获取途径临时表!E$1,FALSE)</f>
        <v/>
      </c>
      <c r="H10" t="str">
        <f>VLOOKUP($A10,[2]!掉落查询,[2]获取途径临时表!F$1,FALSE)</f>
        <v/>
      </c>
      <c r="I10" t="str">
        <f>VLOOKUP($A10,[2]!掉落查询,[2]获取途径临时表!G$1,FALSE)</f>
        <v/>
      </c>
      <c r="J10" t="str">
        <f>VLOOKUP($A10,[2]!掉落查询,[2]获取途径临时表!H$1,FALSE)</f>
        <v/>
      </c>
      <c r="K10" t="str">
        <f>VLOOKUP($A10,[2]!掉落查询,[2]获取途径临时表!I$1,FALSE)</f>
        <v/>
      </c>
      <c r="L10" t="str">
        <f>VLOOKUP($A10,[2]!掉落查询,[2]获取途径临时表!J$1,FALSE)</f>
        <v/>
      </c>
      <c r="M10" t="str">
        <f>VLOOKUP($A10,[2]!掉落查询,[2]获取途径临时表!K$1,FALSE)</f>
        <v/>
      </c>
      <c r="N10" t="str">
        <f>VLOOKUP($A10,[2]!掉落查询,[2]获取途径临时表!L$1,FALSE)</f>
        <v/>
      </c>
      <c r="O10" t="str">
        <f>VLOOKUP($A10,[2]!掉落查询,[2]获取途径临时表!M$1,FALSE)</f>
        <v/>
      </c>
      <c r="P10" t="str">
        <f>VLOOKUP($A10,[2]!掉落查询,[2]获取途径临时表!N$1,FALSE)</f>
        <v/>
      </c>
      <c r="Q10" t="str">
        <f>VLOOKUP($A10,[2]!掉落查询,[2]获取途径临时表!O$1,FALSE)</f>
        <v/>
      </c>
      <c r="R10" t="str">
        <f>VLOOKUP($A10,[2]!掉落查询,[2]获取途径临时表!P$1,FALSE)</f>
        <v/>
      </c>
      <c r="S10" t="str">
        <f>VLOOKUP($A10,[2]!掉落查询,[2]获取途径临时表!Q$1,FALSE)</f>
        <v/>
      </c>
      <c r="T10" t="str">
        <f>VLOOKUP($A10,[2]!掉落查询,[2]获取途径临时表!R$1,FALSE)</f>
        <v/>
      </c>
    </row>
    <row r="11" spans="1:20" x14ac:dyDescent="0.15">
      <c r="A11">
        <v>83005</v>
      </c>
      <c r="B11" t="s">
        <v>264</v>
      </c>
      <c r="C11">
        <v>0</v>
      </c>
      <c r="D11">
        <f t="shared" si="0"/>
        <v>0</v>
      </c>
      <c r="E11" t="str">
        <f>VLOOKUP($A11,[2]!掉落查询,[2]获取途径临时表!C$1,FALSE)</f>
        <v/>
      </c>
      <c r="F11" t="str">
        <f>VLOOKUP($A11,[2]!掉落查询,[2]获取途径临时表!D$1,FALSE)</f>
        <v/>
      </c>
      <c r="G11" t="str">
        <f>VLOOKUP($A11,[2]!掉落查询,[2]获取途径临时表!E$1,FALSE)</f>
        <v/>
      </c>
      <c r="H11" t="str">
        <f>VLOOKUP($A11,[2]!掉落查询,[2]获取途径临时表!F$1,FALSE)</f>
        <v/>
      </c>
      <c r="I11" t="str">
        <f>VLOOKUP($A11,[2]!掉落查询,[2]获取途径临时表!G$1,FALSE)</f>
        <v/>
      </c>
      <c r="J11" t="str">
        <f>VLOOKUP($A11,[2]!掉落查询,[2]获取途径临时表!H$1,FALSE)</f>
        <v/>
      </c>
      <c r="K11" t="str">
        <f>VLOOKUP($A11,[2]!掉落查询,[2]获取途径临时表!I$1,FALSE)</f>
        <v/>
      </c>
      <c r="L11" t="str">
        <f>VLOOKUP($A11,[2]!掉落查询,[2]获取途径临时表!J$1,FALSE)</f>
        <v/>
      </c>
      <c r="M11" t="str">
        <f>VLOOKUP($A11,[2]!掉落查询,[2]获取途径临时表!K$1,FALSE)</f>
        <v/>
      </c>
      <c r="N11" t="str">
        <f>VLOOKUP($A11,[2]!掉落查询,[2]获取途径临时表!L$1,FALSE)</f>
        <v/>
      </c>
      <c r="O11" t="str">
        <f>VLOOKUP($A11,[2]!掉落查询,[2]获取途径临时表!M$1,FALSE)</f>
        <v/>
      </c>
      <c r="P11" t="str">
        <f>VLOOKUP($A11,[2]!掉落查询,[2]获取途径临时表!N$1,FALSE)</f>
        <v/>
      </c>
      <c r="Q11" t="str">
        <f>VLOOKUP($A11,[2]!掉落查询,[2]获取途径临时表!O$1,FALSE)</f>
        <v/>
      </c>
      <c r="R11" t="str">
        <f>VLOOKUP($A11,[2]!掉落查询,[2]获取途径临时表!P$1,FALSE)</f>
        <v/>
      </c>
      <c r="S11" t="str">
        <f>VLOOKUP($A11,[2]!掉落查询,[2]获取途径临时表!Q$1,FALSE)</f>
        <v/>
      </c>
      <c r="T11" t="str">
        <f>VLOOKUP($A11,[2]!掉落查询,[2]获取途径临时表!R$1,FALSE)</f>
        <v/>
      </c>
    </row>
    <row r="12" spans="1:20" x14ac:dyDescent="0.15">
      <c r="A12">
        <v>83006</v>
      </c>
      <c r="B12" t="s">
        <v>337</v>
      </c>
      <c r="C12">
        <v>0</v>
      </c>
      <c r="D12">
        <f t="shared" si="0"/>
        <v>0</v>
      </c>
      <c r="E12" t="str">
        <f>VLOOKUP($A12,[2]!掉落查询,[2]获取途径临时表!C$1,FALSE)</f>
        <v/>
      </c>
      <c r="F12" t="str">
        <f>VLOOKUP($A12,[2]!掉落查询,[2]获取途径临时表!D$1,FALSE)</f>
        <v/>
      </c>
      <c r="G12" t="str">
        <f>VLOOKUP($A12,[2]!掉落查询,[2]获取途径临时表!E$1,FALSE)</f>
        <v/>
      </c>
      <c r="H12" t="str">
        <f>VLOOKUP($A12,[2]!掉落查询,[2]获取途径临时表!F$1,FALSE)</f>
        <v/>
      </c>
      <c r="I12" t="str">
        <f>VLOOKUP($A12,[2]!掉落查询,[2]获取途径临时表!G$1,FALSE)</f>
        <v/>
      </c>
      <c r="J12" t="str">
        <f>VLOOKUP($A12,[2]!掉落查询,[2]获取途径临时表!H$1,FALSE)</f>
        <v/>
      </c>
      <c r="K12" t="str">
        <f>VLOOKUP($A12,[2]!掉落查询,[2]获取途径临时表!I$1,FALSE)</f>
        <v/>
      </c>
      <c r="L12" t="str">
        <f>VLOOKUP($A12,[2]!掉落查询,[2]获取途径临时表!J$1,FALSE)</f>
        <v/>
      </c>
      <c r="M12" t="str">
        <f>VLOOKUP($A12,[2]!掉落查询,[2]获取途径临时表!K$1,FALSE)</f>
        <v/>
      </c>
      <c r="N12" t="str">
        <f>VLOOKUP($A12,[2]!掉落查询,[2]获取途径临时表!L$1,FALSE)</f>
        <v/>
      </c>
      <c r="O12" t="str">
        <f>VLOOKUP($A12,[2]!掉落查询,[2]获取途径临时表!M$1,FALSE)</f>
        <v/>
      </c>
      <c r="P12" t="str">
        <f>VLOOKUP($A12,[2]!掉落查询,[2]获取途径临时表!N$1,FALSE)</f>
        <v/>
      </c>
      <c r="Q12" t="str">
        <f>VLOOKUP($A12,[2]!掉落查询,[2]获取途径临时表!O$1,FALSE)</f>
        <v/>
      </c>
      <c r="R12" t="str">
        <f>VLOOKUP($A12,[2]!掉落查询,[2]获取途径临时表!P$1,FALSE)</f>
        <v/>
      </c>
      <c r="S12" t="str">
        <f>VLOOKUP($A12,[2]!掉落查询,[2]获取途径临时表!Q$1,FALSE)</f>
        <v/>
      </c>
      <c r="T12" t="str">
        <f>VLOOKUP($A12,[2]!掉落查询,[2]获取途径临时表!R$1,FALSE)</f>
        <v/>
      </c>
    </row>
    <row r="13" spans="1:20" x14ac:dyDescent="0.15">
      <c r="A13">
        <v>83007</v>
      </c>
      <c r="B13" t="s">
        <v>338</v>
      </c>
      <c r="C13">
        <v>0</v>
      </c>
      <c r="D13">
        <f t="shared" si="0"/>
        <v>0</v>
      </c>
      <c r="E13" t="str">
        <f>VLOOKUP($A13,[2]!掉落查询,[2]获取途径临时表!C$1,FALSE)</f>
        <v/>
      </c>
      <c r="F13" t="str">
        <f>VLOOKUP($A13,[2]!掉落查询,[2]获取途径临时表!D$1,FALSE)</f>
        <v/>
      </c>
      <c r="G13" t="str">
        <f>VLOOKUP($A13,[2]!掉落查询,[2]获取途径临时表!E$1,FALSE)</f>
        <v/>
      </c>
      <c r="H13" t="str">
        <f>VLOOKUP($A13,[2]!掉落查询,[2]获取途径临时表!F$1,FALSE)</f>
        <v/>
      </c>
      <c r="I13" t="str">
        <f>VLOOKUP($A13,[2]!掉落查询,[2]获取途径临时表!G$1,FALSE)</f>
        <v/>
      </c>
      <c r="J13" t="str">
        <f>VLOOKUP($A13,[2]!掉落查询,[2]获取途径临时表!H$1,FALSE)</f>
        <v/>
      </c>
      <c r="K13" t="str">
        <f>VLOOKUP($A13,[2]!掉落查询,[2]获取途径临时表!I$1,FALSE)</f>
        <v/>
      </c>
      <c r="L13" t="str">
        <f>VLOOKUP($A13,[2]!掉落查询,[2]获取途径临时表!J$1,FALSE)</f>
        <v/>
      </c>
      <c r="M13" t="str">
        <f>VLOOKUP($A13,[2]!掉落查询,[2]获取途径临时表!K$1,FALSE)</f>
        <v/>
      </c>
      <c r="N13" t="str">
        <f>VLOOKUP($A13,[2]!掉落查询,[2]获取途径临时表!L$1,FALSE)</f>
        <v/>
      </c>
      <c r="O13" t="str">
        <f>VLOOKUP($A13,[2]!掉落查询,[2]获取途径临时表!M$1,FALSE)</f>
        <v/>
      </c>
      <c r="P13" t="str">
        <f>VLOOKUP($A13,[2]!掉落查询,[2]获取途径临时表!N$1,FALSE)</f>
        <v/>
      </c>
      <c r="Q13" t="str">
        <f>VLOOKUP($A13,[2]!掉落查询,[2]获取途径临时表!O$1,FALSE)</f>
        <v/>
      </c>
      <c r="R13" t="str">
        <f>VLOOKUP($A13,[2]!掉落查询,[2]获取途径临时表!P$1,FALSE)</f>
        <v/>
      </c>
      <c r="S13" t="str">
        <f>VLOOKUP($A13,[2]!掉落查询,[2]获取途径临时表!Q$1,FALSE)</f>
        <v/>
      </c>
      <c r="T13" t="str">
        <f>VLOOKUP($A13,[2]!掉落查询,[2]获取途径临时表!R$1,FALSE)</f>
        <v/>
      </c>
    </row>
    <row r="14" spans="1:20" x14ac:dyDescent="0.15">
      <c r="A14">
        <v>83008</v>
      </c>
      <c r="B14" t="s">
        <v>339</v>
      </c>
      <c r="C14">
        <v>0</v>
      </c>
      <c r="D14">
        <f t="shared" si="0"/>
        <v>0</v>
      </c>
      <c r="E14" t="str">
        <f>VLOOKUP($A14,[2]!掉落查询,[2]获取途径临时表!C$1,FALSE)</f>
        <v/>
      </c>
      <c r="F14" t="str">
        <f>VLOOKUP($A14,[2]!掉落查询,[2]获取途径临时表!D$1,FALSE)</f>
        <v/>
      </c>
      <c r="G14" t="str">
        <f>VLOOKUP($A14,[2]!掉落查询,[2]获取途径临时表!E$1,FALSE)</f>
        <v/>
      </c>
      <c r="H14" t="str">
        <f>VLOOKUP($A14,[2]!掉落查询,[2]获取途径临时表!F$1,FALSE)</f>
        <v/>
      </c>
      <c r="I14" t="str">
        <f>VLOOKUP($A14,[2]!掉落查询,[2]获取途径临时表!G$1,FALSE)</f>
        <v/>
      </c>
      <c r="J14" t="str">
        <f>VLOOKUP($A14,[2]!掉落查询,[2]获取途径临时表!H$1,FALSE)</f>
        <v/>
      </c>
      <c r="K14" t="str">
        <f>VLOOKUP($A14,[2]!掉落查询,[2]获取途径临时表!I$1,FALSE)</f>
        <v/>
      </c>
      <c r="L14" t="str">
        <f>VLOOKUP($A14,[2]!掉落查询,[2]获取途径临时表!J$1,FALSE)</f>
        <v/>
      </c>
      <c r="M14" t="str">
        <f>VLOOKUP($A14,[2]!掉落查询,[2]获取途径临时表!K$1,FALSE)</f>
        <v/>
      </c>
      <c r="N14" t="str">
        <f>VLOOKUP($A14,[2]!掉落查询,[2]获取途径临时表!L$1,FALSE)</f>
        <v/>
      </c>
      <c r="O14" t="str">
        <f>VLOOKUP($A14,[2]!掉落查询,[2]获取途径临时表!M$1,FALSE)</f>
        <v/>
      </c>
      <c r="P14" t="str">
        <f>VLOOKUP($A14,[2]!掉落查询,[2]获取途径临时表!N$1,FALSE)</f>
        <v/>
      </c>
      <c r="Q14" t="str">
        <f>VLOOKUP($A14,[2]!掉落查询,[2]获取途径临时表!O$1,FALSE)</f>
        <v/>
      </c>
      <c r="R14" t="str">
        <f>VLOOKUP($A14,[2]!掉落查询,[2]获取途径临时表!P$1,FALSE)</f>
        <v/>
      </c>
      <c r="S14" t="str">
        <f>VLOOKUP($A14,[2]!掉落查询,[2]获取途径临时表!Q$1,FALSE)</f>
        <v/>
      </c>
      <c r="T14" t="str">
        <f>VLOOKUP($A14,[2]!掉落查询,[2]获取途径临时表!R$1,FALSE)</f>
        <v/>
      </c>
    </row>
    <row r="15" spans="1:20" x14ac:dyDescent="0.15">
      <c r="A15">
        <v>83009</v>
      </c>
      <c r="B15" t="s">
        <v>265</v>
      </c>
      <c r="C15">
        <v>0</v>
      </c>
      <c r="D15">
        <f t="shared" si="0"/>
        <v>0</v>
      </c>
      <c r="E15" t="str">
        <f>VLOOKUP($A15,[2]!掉落查询,[2]获取途径临时表!C$1,FALSE)</f>
        <v/>
      </c>
      <c r="F15" t="str">
        <f>VLOOKUP($A15,[2]!掉落查询,[2]获取途径临时表!D$1,FALSE)</f>
        <v/>
      </c>
      <c r="G15" t="str">
        <f>VLOOKUP($A15,[2]!掉落查询,[2]获取途径临时表!E$1,FALSE)</f>
        <v/>
      </c>
      <c r="H15" t="str">
        <f>VLOOKUP($A15,[2]!掉落查询,[2]获取途径临时表!F$1,FALSE)</f>
        <v/>
      </c>
      <c r="I15" t="str">
        <f>VLOOKUP($A15,[2]!掉落查询,[2]获取途径临时表!G$1,FALSE)</f>
        <v/>
      </c>
      <c r="J15" t="str">
        <f>VLOOKUP($A15,[2]!掉落查询,[2]获取途径临时表!H$1,FALSE)</f>
        <v/>
      </c>
      <c r="K15" t="str">
        <f>VLOOKUP($A15,[2]!掉落查询,[2]获取途径临时表!I$1,FALSE)</f>
        <v/>
      </c>
      <c r="L15" t="str">
        <f>VLOOKUP($A15,[2]!掉落查询,[2]获取途径临时表!J$1,FALSE)</f>
        <v/>
      </c>
      <c r="M15" t="str">
        <f>VLOOKUP($A15,[2]!掉落查询,[2]获取途径临时表!K$1,FALSE)</f>
        <v/>
      </c>
      <c r="N15" t="str">
        <f>VLOOKUP($A15,[2]!掉落查询,[2]获取途径临时表!L$1,FALSE)</f>
        <v/>
      </c>
      <c r="O15" t="str">
        <f>VLOOKUP($A15,[2]!掉落查询,[2]获取途径临时表!M$1,FALSE)</f>
        <v/>
      </c>
      <c r="P15" t="str">
        <f>VLOOKUP($A15,[2]!掉落查询,[2]获取途径临时表!N$1,FALSE)</f>
        <v/>
      </c>
      <c r="Q15" t="str">
        <f>VLOOKUP($A15,[2]!掉落查询,[2]获取途径临时表!O$1,FALSE)</f>
        <v/>
      </c>
      <c r="R15" t="str">
        <f>VLOOKUP($A15,[2]!掉落查询,[2]获取途径临时表!P$1,FALSE)</f>
        <v/>
      </c>
      <c r="S15" t="str">
        <f>VLOOKUP($A15,[2]!掉落查询,[2]获取途径临时表!Q$1,FALSE)</f>
        <v/>
      </c>
      <c r="T15" t="str">
        <f>VLOOKUP($A15,[2]!掉落查询,[2]获取途径临时表!R$1,FALSE)</f>
        <v/>
      </c>
    </row>
    <row r="16" spans="1:20" x14ac:dyDescent="0.15">
      <c r="A16">
        <v>83010</v>
      </c>
      <c r="B16" t="s">
        <v>22</v>
      </c>
      <c r="C16">
        <v>0</v>
      </c>
      <c r="D16">
        <f t="shared" si="0"/>
        <v>0</v>
      </c>
      <c r="E16" t="str">
        <f>VLOOKUP($A16,[2]!掉落查询,[2]获取途径临时表!C$1,FALSE)</f>
        <v/>
      </c>
      <c r="F16" t="str">
        <f>VLOOKUP($A16,[2]!掉落查询,[2]获取途径临时表!D$1,FALSE)</f>
        <v/>
      </c>
      <c r="G16" t="str">
        <f>VLOOKUP($A16,[2]!掉落查询,[2]获取途径临时表!E$1,FALSE)</f>
        <v/>
      </c>
      <c r="H16" t="str">
        <f>VLOOKUP($A16,[2]!掉落查询,[2]获取途径临时表!F$1,FALSE)</f>
        <v/>
      </c>
      <c r="I16" t="str">
        <f>VLOOKUP($A16,[2]!掉落查询,[2]获取途径临时表!G$1,FALSE)</f>
        <v/>
      </c>
      <c r="J16" t="str">
        <f>VLOOKUP($A16,[2]!掉落查询,[2]获取途径临时表!H$1,FALSE)</f>
        <v/>
      </c>
      <c r="K16" t="str">
        <f>VLOOKUP($A16,[2]!掉落查询,[2]获取途径临时表!I$1,FALSE)</f>
        <v/>
      </c>
      <c r="L16" t="str">
        <f>VLOOKUP($A16,[2]!掉落查询,[2]获取途径临时表!J$1,FALSE)</f>
        <v/>
      </c>
      <c r="M16" t="str">
        <f>VLOOKUP($A16,[2]!掉落查询,[2]获取途径临时表!K$1,FALSE)</f>
        <v/>
      </c>
      <c r="N16" t="str">
        <f>VLOOKUP($A16,[2]!掉落查询,[2]获取途径临时表!L$1,FALSE)</f>
        <v/>
      </c>
      <c r="O16" t="str">
        <f>VLOOKUP($A16,[2]!掉落查询,[2]获取途径临时表!M$1,FALSE)</f>
        <v/>
      </c>
      <c r="P16" t="str">
        <f>VLOOKUP($A16,[2]!掉落查询,[2]获取途径临时表!N$1,FALSE)</f>
        <v/>
      </c>
      <c r="Q16" t="str">
        <f>VLOOKUP($A16,[2]!掉落查询,[2]获取途径临时表!O$1,FALSE)</f>
        <v/>
      </c>
      <c r="R16" t="str">
        <f>VLOOKUP($A16,[2]!掉落查询,[2]获取途径临时表!P$1,FALSE)</f>
        <v/>
      </c>
      <c r="S16" t="str">
        <f>VLOOKUP($A16,[2]!掉落查询,[2]获取途径临时表!Q$1,FALSE)</f>
        <v/>
      </c>
      <c r="T16" t="str">
        <f>VLOOKUP($A16,[2]!掉落查询,[2]获取途径临时表!R$1,FALSE)</f>
        <v/>
      </c>
    </row>
    <row r="17" spans="1:20" x14ac:dyDescent="0.15">
      <c r="A17">
        <v>83011</v>
      </c>
      <c r="B17" t="s">
        <v>340</v>
      </c>
      <c r="C17">
        <v>0</v>
      </c>
      <c r="D17">
        <f t="shared" si="0"/>
        <v>0</v>
      </c>
      <c r="E17" t="str">
        <f>VLOOKUP($A17,[2]!掉落查询,[2]获取途径临时表!C$1,FALSE)</f>
        <v/>
      </c>
      <c r="F17" t="str">
        <f>VLOOKUP($A17,[2]!掉落查询,[2]获取途径临时表!D$1,FALSE)</f>
        <v/>
      </c>
      <c r="G17" t="str">
        <f>VLOOKUP($A17,[2]!掉落查询,[2]获取途径临时表!E$1,FALSE)</f>
        <v/>
      </c>
      <c r="H17" t="str">
        <f>VLOOKUP($A17,[2]!掉落查询,[2]获取途径临时表!F$1,FALSE)</f>
        <v/>
      </c>
      <c r="I17" t="str">
        <f>VLOOKUP($A17,[2]!掉落查询,[2]获取途径临时表!G$1,FALSE)</f>
        <v/>
      </c>
      <c r="J17" t="str">
        <f>VLOOKUP($A17,[2]!掉落查询,[2]获取途径临时表!H$1,FALSE)</f>
        <v/>
      </c>
      <c r="K17" t="str">
        <f>VLOOKUP($A17,[2]!掉落查询,[2]获取途径临时表!I$1,FALSE)</f>
        <v/>
      </c>
      <c r="L17" t="str">
        <f>VLOOKUP($A17,[2]!掉落查询,[2]获取途径临时表!J$1,FALSE)</f>
        <v/>
      </c>
      <c r="M17" t="str">
        <f>VLOOKUP($A17,[2]!掉落查询,[2]获取途径临时表!K$1,FALSE)</f>
        <v/>
      </c>
      <c r="N17" t="str">
        <f>VLOOKUP($A17,[2]!掉落查询,[2]获取途径临时表!L$1,FALSE)</f>
        <v/>
      </c>
      <c r="O17" t="str">
        <f>VLOOKUP($A17,[2]!掉落查询,[2]获取途径临时表!M$1,FALSE)</f>
        <v/>
      </c>
      <c r="P17" t="str">
        <f>VLOOKUP($A17,[2]!掉落查询,[2]获取途径临时表!N$1,FALSE)</f>
        <v/>
      </c>
      <c r="Q17" t="str">
        <f>VLOOKUP($A17,[2]!掉落查询,[2]获取途径临时表!O$1,FALSE)</f>
        <v/>
      </c>
      <c r="R17" t="str">
        <f>VLOOKUP($A17,[2]!掉落查询,[2]获取途径临时表!P$1,FALSE)</f>
        <v/>
      </c>
      <c r="S17" t="str">
        <f>VLOOKUP($A17,[2]!掉落查询,[2]获取途径临时表!Q$1,FALSE)</f>
        <v/>
      </c>
      <c r="T17" t="str">
        <f>VLOOKUP($A17,[2]!掉落查询,[2]获取途径临时表!R$1,FALSE)</f>
        <v/>
      </c>
    </row>
    <row r="18" spans="1:20" x14ac:dyDescent="0.15">
      <c r="A18">
        <v>83012</v>
      </c>
      <c r="B18" t="s">
        <v>341</v>
      </c>
      <c r="C18">
        <v>0</v>
      </c>
      <c r="D18">
        <f t="shared" si="0"/>
        <v>0</v>
      </c>
      <c r="E18" t="str">
        <f>VLOOKUP($A18,[2]!掉落查询,[2]获取途径临时表!C$1,FALSE)</f>
        <v/>
      </c>
      <c r="F18" t="str">
        <f>VLOOKUP($A18,[2]!掉落查询,[2]获取途径临时表!D$1,FALSE)</f>
        <v/>
      </c>
      <c r="G18" t="str">
        <f>VLOOKUP($A18,[2]!掉落查询,[2]获取途径临时表!E$1,FALSE)</f>
        <v/>
      </c>
      <c r="H18" t="str">
        <f>VLOOKUP($A18,[2]!掉落查询,[2]获取途径临时表!F$1,FALSE)</f>
        <v/>
      </c>
      <c r="I18" t="str">
        <f>VLOOKUP($A18,[2]!掉落查询,[2]获取途径临时表!G$1,FALSE)</f>
        <v/>
      </c>
      <c r="J18" t="str">
        <f>VLOOKUP($A18,[2]!掉落查询,[2]获取途径临时表!H$1,FALSE)</f>
        <v/>
      </c>
      <c r="K18" t="str">
        <f>VLOOKUP($A18,[2]!掉落查询,[2]获取途径临时表!I$1,FALSE)</f>
        <v/>
      </c>
      <c r="L18" t="str">
        <f>VLOOKUP($A18,[2]!掉落查询,[2]获取途径临时表!J$1,FALSE)</f>
        <v/>
      </c>
      <c r="M18" t="str">
        <f>VLOOKUP($A18,[2]!掉落查询,[2]获取途径临时表!K$1,FALSE)</f>
        <v/>
      </c>
      <c r="N18" t="str">
        <f>VLOOKUP($A18,[2]!掉落查询,[2]获取途径临时表!L$1,FALSE)</f>
        <v/>
      </c>
      <c r="O18" t="str">
        <f>VLOOKUP($A18,[2]!掉落查询,[2]获取途径临时表!M$1,FALSE)</f>
        <v/>
      </c>
      <c r="P18" t="str">
        <f>VLOOKUP($A18,[2]!掉落查询,[2]获取途径临时表!N$1,FALSE)</f>
        <v/>
      </c>
      <c r="Q18" t="str">
        <f>VLOOKUP($A18,[2]!掉落查询,[2]获取途径临时表!O$1,FALSE)</f>
        <v/>
      </c>
      <c r="R18" t="str">
        <f>VLOOKUP($A18,[2]!掉落查询,[2]获取途径临时表!P$1,FALSE)</f>
        <v/>
      </c>
      <c r="S18" t="str">
        <f>VLOOKUP($A18,[2]!掉落查询,[2]获取途径临时表!Q$1,FALSE)</f>
        <v/>
      </c>
      <c r="T18" t="str">
        <f>VLOOKUP($A18,[2]!掉落查询,[2]获取途径临时表!R$1,FALSE)</f>
        <v/>
      </c>
    </row>
    <row r="19" spans="1:20" x14ac:dyDescent="0.15">
      <c r="A19">
        <v>83013</v>
      </c>
      <c r="B19" t="s">
        <v>340</v>
      </c>
      <c r="C19">
        <v>0</v>
      </c>
      <c r="D19">
        <f t="shared" si="0"/>
        <v>0</v>
      </c>
      <c r="E19" t="str">
        <f>VLOOKUP($A19,[2]!掉落查询,[2]获取途径临时表!C$1,FALSE)</f>
        <v/>
      </c>
      <c r="F19" t="str">
        <f>VLOOKUP($A19,[2]!掉落查询,[2]获取途径临时表!D$1,FALSE)</f>
        <v/>
      </c>
      <c r="G19" t="str">
        <f>VLOOKUP($A19,[2]!掉落查询,[2]获取途径临时表!E$1,FALSE)</f>
        <v/>
      </c>
      <c r="H19" t="str">
        <f>VLOOKUP($A19,[2]!掉落查询,[2]获取途径临时表!F$1,FALSE)</f>
        <v/>
      </c>
      <c r="I19" t="str">
        <f>VLOOKUP($A19,[2]!掉落查询,[2]获取途径临时表!G$1,FALSE)</f>
        <v/>
      </c>
      <c r="J19" t="str">
        <f>VLOOKUP($A19,[2]!掉落查询,[2]获取途径临时表!H$1,FALSE)</f>
        <v/>
      </c>
      <c r="K19" t="str">
        <f>VLOOKUP($A19,[2]!掉落查询,[2]获取途径临时表!I$1,FALSE)</f>
        <v/>
      </c>
      <c r="L19" t="str">
        <f>VLOOKUP($A19,[2]!掉落查询,[2]获取途径临时表!J$1,FALSE)</f>
        <v/>
      </c>
      <c r="M19" t="str">
        <f>VLOOKUP($A19,[2]!掉落查询,[2]获取途径临时表!K$1,FALSE)</f>
        <v/>
      </c>
      <c r="N19" t="str">
        <f>VLOOKUP($A19,[2]!掉落查询,[2]获取途径临时表!L$1,FALSE)</f>
        <v/>
      </c>
      <c r="O19" t="str">
        <f>VLOOKUP($A19,[2]!掉落查询,[2]获取途径临时表!M$1,FALSE)</f>
        <v/>
      </c>
      <c r="P19" t="str">
        <f>VLOOKUP($A19,[2]!掉落查询,[2]获取途径临时表!N$1,FALSE)</f>
        <v/>
      </c>
      <c r="Q19" t="str">
        <f>VLOOKUP($A19,[2]!掉落查询,[2]获取途径临时表!O$1,FALSE)</f>
        <v/>
      </c>
      <c r="R19" t="str">
        <f>VLOOKUP($A19,[2]!掉落查询,[2]获取途径临时表!P$1,FALSE)</f>
        <v/>
      </c>
      <c r="S19" t="str">
        <f>VLOOKUP($A19,[2]!掉落查询,[2]获取途径临时表!Q$1,FALSE)</f>
        <v/>
      </c>
      <c r="T19" t="str">
        <f>VLOOKUP($A19,[2]!掉落查询,[2]获取途径临时表!R$1,FALSE)</f>
        <v/>
      </c>
    </row>
    <row r="20" spans="1:20" x14ac:dyDescent="0.15">
      <c r="A20">
        <v>83014</v>
      </c>
      <c r="B20" t="s">
        <v>341</v>
      </c>
      <c r="C20">
        <v>0</v>
      </c>
      <c r="D20">
        <f t="shared" si="0"/>
        <v>0</v>
      </c>
      <c r="E20" t="str">
        <f>VLOOKUP($A20,[2]!掉落查询,[2]获取途径临时表!C$1,FALSE)</f>
        <v/>
      </c>
      <c r="F20" t="str">
        <f>VLOOKUP($A20,[2]!掉落查询,[2]获取途径临时表!D$1,FALSE)</f>
        <v/>
      </c>
      <c r="G20" t="str">
        <f>VLOOKUP($A20,[2]!掉落查询,[2]获取途径临时表!E$1,FALSE)</f>
        <v/>
      </c>
      <c r="H20" t="str">
        <f>VLOOKUP($A20,[2]!掉落查询,[2]获取途径临时表!F$1,FALSE)</f>
        <v/>
      </c>
      <c r="I20" t="str">
        <f>VLOOKUP($A20,[2]!掉落查询,[2]获取途径临时表!G$1,FALSE)</f>
        <v/>
      </c>
      <c r="J20" t="str">
        <f>VLOOKUP($A20,[2]!掉落查询,[2]获取途径临时表!H$1,FALSE)</f>
        <v/>
      </c>
      <c r="K20" t="str">
        <f>VLOOKUP($A20,[2]!掉落查询,[2]获取途径临时表!I$1,FALSE)</f>
        <v/>
      </c>
      <c r="L20" t="str">
        <f>VLOOKUP($A20,[2]!掉落查询,[2]获取途径临时表!J$1,FALSE)</f>
        <v/>
      </c>
      <c r="M20" t="str">
        <f>VLOOKUP($A20,[2]!掉落查询,[2]获取途径临时表!K$1,FALSE)</f>
        <v/>
      </c>
      <c r="N20" t="str">
        <f>VLOOKUP($A20,[2]!掉落查询,[2]获取途径临时表!L$1,FALSE)</f>
        <v/>
      </c>
      <c r="O20" t="str">
        <f>VLOOKUP($A20,[2]!掉落查询,[2]获取途径临时表!M$1,FALSE)</f>
        <v/>
      </c>
      <c r="P20" t="str">
        <f>VLOOKUP($A20,[2]!掉落查询,[2]获取途径临时表!N$1,FALSE)</f>
        <v/>
      </c>
      <c r="Q20" t="str">
        <f>VLOOKUP($A20,[2]!掉落查询,[2]获取途径临时表!O$1,FALSE)</f>
        <v/>
      </c>
      <c r="R20" t="str">
        <f>VLOOKUP($A20,[2]!掉落查询,[2]获取途径临时表!P$1,FALSE)</f>
        <v/>
      </c>
      <c r="S20" t="str">
        <f>VLOOKUP($A20,[2]!掉落查询,[2]获取途径临时表!Q$1,FALSE)</f>
        <v/>
      </c>
      <c r="T20" t="str">
        <f>VLOOKUP($A20,[2]!掉落查询,[2]获取途径临时表!R$1,FALSE)</f>
        <v/>
      </c>
    </row>
    <row r="21" spans="1:20" x14ac:dyDescent="0.15">
      <c r="A21">
        <v>83015</v>
      </c>
      <c r="B21" t="s">
        <v>342</v>
      </c>
      <c r="C21">
        <v>0</v>
      </c>
      <c r="D21">
        <f t="shared" si="0"/>
        <v>0</v>
      </c>
      <c r="E21" t="str">
        <f>VLOOKUP($A21,[2]!掉落查询,[2]获取途径临时表!C$1,FALSE)</f>
        <v/>
      </c>
      <c r="F21" t="str">
        <f>VLOOKUP($A21,[2]!掉落查询,[2]获取途径临时表!D$1,FALSE)</f>
        <v/>
      </c>
      <c r="G21" t="str">
        <f>VLOOKUP($A21,[2]!掉落查询,[2]获取途径临时表!E$1,FALSE)</f>
        <v/>
      </c>
      <c r="H21" t="str">
        <f>VLOOKUP($A21,[2]!掉落查询,[2]获取途径临时表!F$1,FALSE)</f>
        <v/>
      </c>
      <c r="I21" t="str">
        <f>VLOOKUP($A21,[2]!掉落查询,[2]获取途径临时表!G$1,FALSE)</f>
        <v/>
      </c>
      <c r="J21" t="str">
        <f>VLOOKUP($A21,[2]!掉落查询,[2]获取途径临时表!H$1,FALSE)</f>
        <v/>
      </c>
      <c r="K21" t="str">
        <f>VLOOKUP($A21,[2]!掉落查询,[2]获取途径临时表!I$1,FALSE)</f>
        <v/>
      </c>
      <c r="L21" t="str">
        <f>VLOOKUP($A21,[2]!掉落查询,[2]获取途径临时表!J$1,FALSE)</f>
        <v/>
      </c>
      <c r="M21" t="str">
        <f>VLOOKUP($A21,[2]!掉落查询,[2]获取途径临时表!K$1,FALSE)</f>
        <v/>
      </c>
      <c r="N21" t="str">
        <f>VLOOKUP($A21,[2]!掉落查询,[2]获取途径临时表!L$1,FALSE)</f>
        <v/>
      </c>
      <c r="O21" t="str">
        <f>VLOOKUP($A21,[2]!掉落查询,[2]获取途径临时表!M$1,FALSE)</f>
        <v/>
      </c>
      <c r="P21" t="str">
        <f>VLOOKUP($A21,[2]!掉落查询,[2]获取途径临时表!N$1,FALSE)</f>
        <v/>
      </c>
      <c r="Q21" t="str">
        <f>VLOOKUP($A21,[2]!掉落查询,[2]获取途径临时表!O$1,FALSE)</f>
        <v/>
      </c>
      <c r="R21" t="str">
        <f>VLOOKUP($A21,[2]!掉落查询,[2]获取途径临时表!P$1,FALSE)</f>
        <v/>
      </c>
      <c r="S21" t="str">
        <f>VLOOKUP($A21,[2]!掉落查询,[2]获取途径临时表!Q$1,FALSE)</f>
        <v/>
      </c>
      <c r="T21" t="str">
        <f>VLOOKUP($A21,[2]!掉落查询,[2]获取途径临时表!R$1,FALSE)</f>
        <v/>
      </c>
    </row>
    <row r="22" spans="1:20" x14ac:dyDescent="0.15">
      <c r="A22">
        <v>83016</v>
      </c>
      <c r="B22" t="s">
        <v>23</v>
      </c>
      <c r="C22">
        <v>0</v>
      </c>
      <c r="D22">
        <f t="shared" si="0"/>
        <v>0</v>
      </c>
      <c r="E22" t="str">
        <f>VLOOKUP($A22,[2]!掉落查询,[2]获取途径临时表!C$1,FALSE)</f>
        <v/>
      </c>
      <c r="F22" t="str">
        <f>VLOOKUP($A22,[2]!掉落查询,[2]获取途径临时表!D$1,FALSE)</f>
        <v/>
      </c>
      <c r="G22" t="str">
        <f>VLOOKUP($A22,[2]!掉落查询,[2]获取途径临时表!E$1,FALSE)</f>
        <v/>
      </c>
      <c r="H22" t="str">
        <f>VLOOKUP($A22,[2]!掉落查询,[2]获取途径临时表!F$1,FALSE)</f>
        <v/>
      </c>
      <c r="I22" t="str">
        <f>VLOOKUP($A22,[2]!掉落查询,[2]获取途径临时表!G$1,FALSE)</f>
        <v/>
      </c>
      <c r="J22" t="str">
        <f>VLOOKUP($A22,[2]!掉落查询,[2]获取途径临时表!H$1,FALSE)</f>
        <v/>
      </c>
      <c r="K22" t="str">
        <f>VLOOKUP($A22,[2]!掉落查询,[2]获取途径临时表!I$1,FALSE)</f>
        <v/>
      </c>
      <c r="L22" t="str">
        <f>VLOOKUP($A22,[2]!掉落查询,[2]获取途径临时表!J$1,FALSE)</f>
        <v/>
      </c>
      <c r="M22" t="str">
        <f>VLOOKUP($A22,[2]!掉落查询,[2]获取途径临时表!K$1,FALSE)</f>
        <v/>
      </c>
      <c r="N22" t="str">
        <f>VLOOKUP($A22,[2]!掉落查询,[2]获取途径临时表!L$1,FALSE)</f>
        <v/>
      </c>
      <c r="O22" t="str">
        <f>VLOOKUP($A22,[2]!掉落查询,[2]获取途径临时表!M$1,FALSE)</f>
        <v/>
      </c>
      <c r="P22" t="str">
        <f>VLOOKUP($A22,[2]!掉落查询,[2]获取途径临时表!N$1,FALSE)</f>
        <v/>
      </c>
      <c r="Q22" t="str">
        <f>VLOOKUP($A22,[2]!掉落查询,[2]获取途径临时表!O$1,FALSE)</f>
        <v/>
      </c>
      <c r="R22" t="str">
        <f>VLOOKUP($A22,[2]!掉落查询,[2]获取途径临时表!P$1,FALSE)</f>
        <v/>
      </c>
      <c r="S22" t="str">
        <f>VLOOKUP($A22,[2]!掉落查询,[2]获取途径临时表!Q$1,FALSE)</f>
        <v/>
      </c>
      <c r="T22" t="str">
        <f>VLOOKUP($A22,[2]!掉落查询,[2]获取途径临时表!R$1,FALSE)</f>
        <v/>
      </c>
    </row>
    <row r="23" spans="1:20" x14ac:dyDescent="0.15">
      <c r="A23">
        <v>83017</v>
      </c>
      <c r="B23" t="s">
        <v>343</v>
      </c>
      <c r="C23">
        <v>0</v>
      </c>
      <c r="D23">
        <f t="shared" si="0"/>
        <v>0</v>
      </c>
      <c r="E23" t="str">
        <f>VLOOKUP($A23,[2]!掉落查询,[2]获取途径临时表!C$1,FALSE)</f>
        <v/>
      </c>
      <c r="F23" t="str">
        <f>VLOOKUP($A23,[2]!掉落查询,[2]获取途径临时表!D$1,FALSE)</f>
        <v/>
      </c>
      <c r="G23" t="str">
        <f>VLOOKUP($A23,[2]!掉落查询,[2]获取途径临时表!E$1,FALSE)</f>
        <v/>
      </c>
      <c r="H23" t="str">
        <f>VLOOKUP($A23,[2]!掉落查询,[2]获取途径临时表!F$1,FALSE)</f>
        <v/>
      </c>
      <c r="I23" t="str">
        <f>VLOOKUP($A23,[2]!掉落查询,[2]获取途径临时表!G$1,FALSE)</f>
        <v/>
      </c>
      <c r="J23" t="str">
        <f>VLOOKUP($A23,[2]!掉落查询,[2]获取途径临时表!H$1,FALSE)</f>
        <v/>
      </c>
      <c r="K23" t="str">
        <f>VLOOKUP($A23,[2]!掉落查询,[2]获取途径临时表!I$1,FALSE)</f>
        <v/>
      </c>
      <c r="L23" t="str">
        <f>VLOOKUP($A23,[2]!掉落查询,[2]获取途径临时表!J$1,FALSE)</f>
        <v/>
      </c>
      <c r="M23" t="str">
        <f>VLOOKUP($A23,[2]!掉落查询,[2]获取途径临时表!K$1,FALSE)</f>
        <v/>
      </c>
      <c r="N23" t="str">
        <f>VLOOKUP($A23,[2]!掉落查询,[2]获取途径临时表!L$1,FALSE)</f>
        <v/>
      </c>
      <c r="O23" t="str">
        <f>VLOOKUP($A23,[2]!掉落查询,[2]获取途径临时表!M$1,FALSE)</f>
        <v/>
      </c>
      <c r="P23" t="str">
        <f>VLOOKUP($A23,[2]!掉落查询,[2]获取途径临时表!N$1,FALSE)</f>
        <v/>
      </c>
      <c r="Q23" t="str">
        <f>VLOOKUP($A23,[2]!掉落查询,[2]获取途径临时表!O$1,FALSE)</f>
        <v/>
      </c>
      <c r="R23" t="str">
        <f>VLOOKUP($A23,[2]!掉落查询,[2]获取途径临时表!P$1,FALSE)</f>
        <v/>
      </c>
      <c r="S23" t="str">
        <f>VLOOKUP($A23,[2]!掉落查询,[2]获取途径临时表!Q$1,FALSE)</f>
        <v/>
      </c>
      <c r="T23" t="str">
        <f>VLOOKUP($A23,[2]!掉落查询,[2]获取途径临时表!R$1,FALSE)</f>
        <v/>
      </c>
    </row>
    <row r="24" spans="1:20" x14ac:dyDescent="0.15">
      <c r="A24">
        <v>83018</v>
      </c>
      <c r="B24" t="s">
        <v>344</v>
      </c>
      <c r="C24">
        <v>0</v>
      </c>
      <c r="D24">
        <f t="shared" si="0"/>
        <v>0</v>
      </c>
      <c r="E24" t="str">
        <f>VLOOKUP($A24,[2]!掉落查询,[2]获取途径临时表!C$1,FALSE)</f>
        <v/>
      </c>
      <c r="F24" t="str">
        <f>VLOOKUP($A24,[2]!掉落查询,[2]获取途径临时表!D$1,FALSE)</f>
        <v/>
      </c>
      <c r="G24" t="str">
        <f>VLOOKUP($A24,[2]!掉落查询,[2]获取途径临时表!E$1,FALSE)</f>
        <v/>
      </c>
      <c r="H24" t="str">
        <f>VLOOKUP($A24,[2]!掉落查询,[2]获取途径临时表!F$1,FALSE)</f>
        <v/>
      </c>
      <c r="I24" t="str">
        <f>VLOOKUP($A24,[2]!掉落查询,[2]获取途径临时表!G$1,FALSE)</f>
        <v/>
      </c>
      <c r="J24" t="str">
        <f>VLOOKUP($A24,[2]!掉落查询,[2]获取途径临时表!H$1,FALSE)</f>
        <v/>
      </c>
      <c r="K24" t="str">
        <f>VLOOKUP($A24,[2]!掉落查询,[2]获取途径临时表!I$1,FALSE)</f>
        <v/>
      </c>
      <c r="L24" t="str">
        <f>VLOOKUP($A24,[2]!掉落查询,[2]获取途径临时表!J$1,FALSE)</f>
        <v/>
      </c>
      <c r="M24" t="str">
        <f>VLOOKUP($A24,[2]!掉落查询,[2]获取途径临时表!K$1,FALSE)</f>
        <v/>
      </c>
      <c r="N24" t="str">
        <f>VLOOKUP($A24,[2]!掉落查询,[2]获取途径临时表!L$1,FALSE)</f>
        <v/>
      </c>
      <c r="O24" t="str">
        <f>VLOOKUP($A24,[2]!掉落查询,[2]获取途径临时表!M$1,FALSE)</f>
        <v/>
      </c>
      <c r="P24" t="str">
        <f>VLOOKUP($A24,[2]!掉落查询,[2]获取途径临时表!N$1,FALSE)</f>
        <v/>
      </c>
      <c r="Q24" t="str">
        <f>VLOOKUP($A24,[2]!掉落查询,[2]获取途径临时表!O$1,FALSE)</f>
        <v/>
      </c>
      <c r="R24" t="str">
        <f>VLOOKUP($A24,[2]!掉落查询,[2]获取途径临时表!P$1,FALSE)</f>
        <v/>
      </c>
      <c r="S24" t="str">
        <f>VLOOKUP($A24,[2]!掉落查询,[2]获取途径临时表!Q$1,FALSE)</f>
        <v/>
      </c>
      <c r="T24" t="str">
        <f>VLOOKUP($A24,[2]!掉落查询,[2]获取途径临时表!R$1,FALSE)</f>
        <v/>
      </c>
    </row>
    <row r="25" spans="1:20" x14ac:dyDescent="0.15">
      <c r="A25">
        <v>83019</v>
      </c>
      <c r="B25" t="s">
        <v>345</v>
      </c>
      <c r="C25">
        <v>0</v>
      </c>
      <c r="D25">
        <f t="shared" si="0"/>
        <v>0</v>
      </c>
      <c r="E25" t="str">
        <f>VLOOKUP($A25,[2]!掉落查询,[2]获取途径临时表!C$1,FALSE)</f>
        <v/>
      </c>
      <c r="F25" t="str">
        <f>VLOOKUP($A25,[2]!掉落查询,[2]获取途径临时表!D$1,FALSE)</f>
        <v/>
      </c>
      <c r="G25" t="str">
        <f>VLOOKUP($A25,[2]!掉落查询,[2]获取途径临时表!E$1,FALSE)</f>
        <v/>
      </c>
      <c r="H25" t="str">
        <f>VLOOKUP($A25,[2]!掉落查询,[2]获取途径临时表!F$1,FALSE)</f>
        <v/>
      </c>
      <c r="I25" t="str">
        <f>VLOOKUP($A25,[2]!掉落查询,[2]获取途径临时表!G$1,FALSE)</f>
        <v/>
      </c>
      <c r="J25" t="str">
        <f>VLOOKUP($A25,[2]!掉落查询,[2]获取途径临时表!H$1,FALSE)</f>
        <v/>
      </c>
      <c r="K25" t="str">
        <f>VLOOKUP($A25,[2]!掉落查询,[2]获取途径临时表!I$1,FALSE)</f>
        <v/>
      </c>
      <c r="L25" t="str">
        <f>VLOOKUP($A25,[2]!掉落查询,[2]获取途径临时表!J$1,FALSE)</f>
        <v/>
      </c>
      <c r="M25" t="str">
        <f>VLOOKUP($A25,[2]!掉落查询,[2]获取途径临时表!K$1,FALSE)</f>
        <v/>
      </c>
      <c r="N25" t="str">
        <f>VLOOKUP($A25,[2]!掉落查询,[2]获取途径临时表!L$1,FALSE)</f>
        <v/>
      </c>
      <c r="O25" t="str">
        <f>VLOOKUP($A25,[2]!掉落查询,[2]获取途径临时表!M$1,FALSE)</f>
        <v/>
      </c>
      <c r="P25" t="str">
        <f>VLOOKUP($A25,[2]!掉落查询,[2]获取途径临时表!N$1,FALSE)</f>
        <v/>
      </c>
      <c r="Q25" t="str">
        <f>VLOOKUP($A25,[2]!掉落查询,[2]获取途径临时表!O$1,FALSE)</f>
        <v/>
      </c>
      <c r="R25" t="str">
        <f>VLOOKUP($A25,[2]!掉落查询,[2]获取途径临时表!P$1,FALSE)</f>
        <v/>
      </c>
      <c r="S25" t="str">
        <f>VLOOKUP($A25,[2]!掉落查询,[2]获取途径临时表!Q$1,FALSE)</f>
        <v/>
      </c>
      <c r="T25" t="str">
        <f>VLOOKUP($A25,[2]!掉落查询,[2]获取途径临时表!R$1,FALSE)</f>
        <v/>
      </c>
    </row>
    <row r="26" spans="1:20" x14ac:dyDescent="0.15">
      <c r="A26">
        <v>83020</v>
      </c>
      <c r="B26" t="s">
        <v>346</v>
      </c>
      <c r="C26">
        <v>0</v>
      </c>
      <c r="D26">
        <f t="shared" si="0"/>
        <v>0</v>
      </c>
      <c r="E26" t="str">
        <f>VLOOKUP($A26,[2]!掉落查询,[2]获取途径临时表!C$1,FALSE)</f>
        <v/>
      </c>
      <c r="F26" t="str">
        <f>VLOOKUP($A26,[2]!掉落查询,[2]获取途径临时表!D$1,FALSE)</f>
        <v/>
      </c>
      <c r="G26" t="str">
        <f>VLOOKUP($A26,[2]!掉落查询,[2]获取途径临时表!E$1,FALSE)</f>
        <v/>
      </c>
      <c r="H26" t="str">
        <f>VLOOKUP($A26,[2]!掉落查询,[2]获取途径临时表!F$1,FALSE)</f>
        <v/>
      </c>
      <c r="I26" t="str">
        <f>VLOOKUP($A26,[2]!掉落查询,[2]获取途径临时表!G$1,FALSE)</f>
        <v/>
      </c>
      <c r="J26" t="str">
        <f>VLOOKUP($A26,[2]!掉落查询,[2]获取途径临时表!H$1,FALSE)</f>
        <v/>
      </c>
      <c r="K26" t="str">
        <f>VLOOKUP($A26,[2]!掉落查询,[2]获取途径临时表!I$1,FALSE)</f>
        <v/>
      </c>
      <c r="L26" t="str">
        <f>VLOOKUP($A26,[2]!掉落查询,[2]获取途径临时表!J$1,FALSE)</f>
        <v/>
      </c>
      <c r="M26" t="str">
        <f>VLOOKUP($A26,[2]!掉落查询,[2]获取途径临时表!K$1,FALSE)</f>
        <v/>
      </c>
      <c r="N26" t="str">
        <f>VLOOKUP($A26,[2]!掉落查询,[2]获取途径临时表!L$1,FALSE)</f>
        <v/>
      </c>
      <c r="O26" t="str">
        <f>VLOOKUP($A26,[2]!掉落查询,[2]获取途径临时表!M$1,FALSE)</f>
        <v/>
      </c>
      <c r="P26" t="str">
        <f>VLOOKUP($A26,[2]!掉落查询,[2]获取途径临时表!N$1,FALSE)</f>
        <v/>
      </c>
      <c r="Q26" t="str">
        <f>VLOOKUP($A26,[2]!掉落查询,[2]获取途径临时表!O$1,FALSE)</f>
        <v/>
      </c>
      <c r="R26" t="str">
        <f>VLOOKUP($A26,[2]!掉落查询,[2]获取途径临时表!P$1,FALSE)</f>
        <v/>
      </c>
      <c r="S26" t="str">
        <f>VLOOKUP($A26,[2]!掉落查询,[2]获取途径临时表!Q$1,FALSE)</f>
        <v/>
      </c>
      <c r="T26" t="str">
        <f>VLOOKUP($A26,[2]!掉落查询,[2]获取途径临时表!R$1,FALSE)</f>
        <v/>
      </c>
    </row>
    <row r="27" spans="1:20" x14ac:dyDescent="0.15">
      <c r="A27">
        <v>83021</v>
      </c>
      <c r="B27" t="s">
        <v>24</v>
      </c>
      <c r="C27">
        <v>0</v>
      </c>
      <c r="D27">
        <f t="shared" si="0"/>
        <v>0</v>
      </c>
      <c r="E27" t="str">
        <f>VLOOKUP($A27,[2]!掉落查询,[2]获取途径临时表!C$1,FALSE)</f>
        <v/>
      </c>
      <c r="F27" t="str">
        <f>VLOOKUP($A27,[2]!掉落查询,[2]获取途径临时表!D$1,FALSE)</f>
        <v/>
      </c>
      <c r="G27" t="str">
        <f>VLOOKUP($A27,[2]!掉落查询,[2]获取途径临时表!E$1,FALSE)</f>
        <v/>
      </c>
      <c r="H27" t="str">
        <f>VLOOKUP($A27,[2]!掉落查询,[2]获取途径临时表!F$1,FALSE)</f>
        <v/>
      </c>
      <c r="I27" t="str">
        <f>VLOOKUP($A27,[2]!掉落查询,[2]获取途径临时表!G$1,FALSE)</f>
        <v/>
      </c>
      <c r="J27" t="str">
        <f>VLOOKUP($A27,[2]!掉落查询,[2]获取途径临时表!H$1,FALSE)</f>
        <v/>
      </c>
      <c r="K27" t="str">
        <f>VLOOKUP($A27,[2]!掉落查询,[2]获取途径临时表!I$1,FALSE)</f>
        <v/>
      </c>
      <c r="L27" t="str">
        <f>VLOOKUP($A27,[2]!掉落查询,[2]获取途径临时表!J$1,FALSE)</f>
        <v/>
      </c>
      <c r="M27" t="str">
        <f>VLOOKUP($A27,[2]!掉落查询,[2]获取途径临时表!K$1,FALSE)</f>
        <v/>
      </c>
      <c r="N27" t="str">
        <f>VLOOKUP($A27,[2]!掉落查询,[2]获取途径临时表!L$1,FALSE)</f>
        <v/>
      </c>
      <c r="O27" t="str">
        <f>VLOOKUP($A27,[2]!掉落查询,[2]获取途径临时表!M$1,FALSE)</f>
        <v/>
      </c>
      <c r="P27" t="str">
        <f>VLOOKUP($A27,[2]!掉落查询,[2]获取途径临时表!N$1,FALSE)</f>
        <v/>
      </c>
      <c r="Q27" t="str">
        <f>VLOOKUP($A27,[2]!掉落查询,[2]获取途径临时表!O$1,FALSE)</f>
        <v/>
      </c>
      <c r="R27" t="str">
        <f>VLOOKUP($A27,[2]!掉落查询,[2]获取途径临时表!P$1,FALSE)</f>
        <v/>
      </c>
      <c r="S27" t="str">
        <f>VLOOKUP($A27,[2]!掉落查询,[2]获取途径临时表!Q$1,FALSE)</f>
        <v/>
      </c>
      <c r="T27" t="str">
        <f>VLOOKUP($A27,[2]!掉落查询,[2]获取途径临时表!R$1,FALSE)</f>
        <v/>
      </c>
    </row>
    <row r="28" spans="1:20" x14ac:dyDescent="0.15">
      <c r="A28">
        <v>83022</v>
      </c>
      <c r="B28" t="s">
        <v>347</v>
      </c>
      <c r="C28">
        <v>0</v>
      </c>
      <c r="D28">
        <f t="shared" si="0"/>
        <v>0</v>
      </c>
      <c r="E28" t="str">
        <f>VLOOKUP($A28,[2]!掉落查询,[2]获取途径临时表!C$1,FALSE)</f>
        <v/>
      </c>
      <c r="F28" t="str">
        <f>VLOOKUP($A28,[2]!掉落查询,[2]获取途径临时表!D$1,FALSE)</f>
        <v/>
      </c>
      <c r="G28" t="str">
        <f>VLOOKUP($A28,[2]!掉落查询,[2]获取途径临时表!E$1,FALSE)</f>
        <v/>
      </c>
      <c r="H28" t="str">
        <f>VLOOKUP($A28,[2]!掉落查询,[2]获取途径临时表!F$1,FALSE)</f>
        <v/>
      </c>
      <c r="I28" t="str">
        <f>VLOOKUP($A28,[2]!掉落查询,[2]获取途径临时表!G$1,FALSE)</f>
        <v/>
      </c>
      <c r="J28" t="str">
        <f>VLOOKUP($A28,[2]!掉落查询,[2]获取途径临时表!H$1,FALSE)</f>
        <v/>
      </c>
      <c r="K28" t="str">
        <f>VLOOKUP($A28,[2]!掉落查询,[2]获取途径临时表!I$1,FALSE)</f>
        <v/>
      </c>
      <c r="L28" t="str">
        <f>VLOOKUP($A28,[2]!掉落查询,[2]获取途径临时表!J$1,FALSE)</f>
        <v/>
      </c>
      <c r="M28" t="str">
        <f>VLOOKUP($A28,[2]!掉落查询,[2]获取途径临时表!K$1,FALSE)</f>
        <v/>
      </c>
      <c r="N28" t="str">
        <f>VLOOKUP($A28,[2]!掉落查询,[2]获取途径临时表!L$1,FALSE)</f>
        <v/>
      </c>
      <c r="O28" t="str">
        <f>VLOOKUP($A28,[2]!掉落查询,[2]获取途径临时表!M$1,FALSE)</f>
        <v/>
      </c>
      <c r="P28" t="str">
        <f>VLOOKUP($A28,[2]!掉落查询,[2]获取途径临时表!N$1,FALSE)</f>
        <v/>
      </c>
      <c r="Q28" t="str">
        <f>VLOOKUP($A28,[2]!掉落查询,[2]获取途径临时表!O$1,FALSE)</f>
        <v/>
      </c>
      <c r="R28" t="str">
        <f>VLOOKUP($A28,[2]!掉落查询,[2]获取途径临时表!P$1,FALSE)</f>
        <v/>
      </c>
      <c r="S28" t="str">
        <f>VLOOKUP($A28,[2]!掉落查询,[2]获取途径临时表!Q$1,FALSE)</f>
        <v/>
      </c>
      <c r="T28" t="str">
        <f>VLOOKUP($A28,[2]!掉落查询,[2]获取途径临时表!R$1,FALSE)</f>
        <v/>
      </c>
    </row>
    <row r="29" spans="1:20" x14ac:dyDescent="0.15">
      <c r="A29">
        <v>83103</v>
      </c>
      <c r="B29" t="s">
        <v>348</v>
      </c>
      <c r="C29">
        <v>0</v>
      </c>
      <c r="D29">
        <f t="shared" si="0"/>
        <v>0</v>
      </c>
      <c r="E29" t="str">
        <f>VLOOKUP($A29,[2]!掉落查询,[2]获取途径临时表!C$1,FALSE)</f>
        <v/>
      </c>
      <c r="F29" t="str">
        <f>VLOOKUP($A29,[2]!掉落查询,[2]获取途径临时表!D$1,FALSE)</f>
        <v/>
      </c>
      <c r="G29" t="str">
        <f>VLOOKUP($A29,[2]!掉落查询,[2]获取途径临时表!E$1,FALSE)</f>
        <v/>
      </c>
      <c r="H29" t="str">
        <f>VLOOKUP($A29,[2]!掉落查询,[2]获取途径临时表!F$1,FALSE)</f>
        <v/>
      </c>
      <c r="I29" t="str">
        <f>VLOOKUP($A29,[2]!掉落查询,[2]获取途径临时表!G$1,FALSE)</f>
        <v/>
      </c>
      <c r="J29" t="str">
        <f>VLOOKUP($A29,[2]!掉落查询,[2]获取途径临时表!H$1,FALSE)</f>
        <v/>
      </c>
      <c r="K29" t="str">
        <f>VLOOKUP($A29,[2]!掉落查询,[2]获取途径临时表!I$1,FALSE)</f>
        <v/>
      </c>
      <c r="L29" t="str">
        <f>VLOOKUP($A29,[2]!掉落查询,[2]获取途径临时表!J$1,FALSE)</f>
        <v/>
      </c>
      <c r="M29" t="str">
        <f>VLOOKUP($A29,[2]!掉落查询,[2]获取途径临时表!K$1,FALSE)</f>
        <v/>
      </c>
      <c r="N29" t="str">
        <f>VLOOKUP($A29,[2]!掉落查询,[2]获取途径临时表!L$1,FALSE)</f>
        <v/>
      </c>
      <c r="O29" t="str">
        <f>VLOOKUP($A29,[2]!掉落查询,[2]获取途径临时表!M$1,FALSE)</f>
        <v/>
      </c>
      <c r="P29" t="str">
        <f>VLOOKUP($A29,[2]!掉落查询,[2]获取途径临时表!N$1,FALSE)</f>
        <v/>
      </c>
      <c r="Q29" t="str">
        <f>VLOOKUP($A29,[2]!掉落查询,[2]获取途径临时表!O$1,FALSE)</f>
        <v/>
      </c>
      <c r="R29" t="str">
        <f>VLOOKUP($A29,[2]!掉落查询,[2]获取途径临时表!P$1,FALSE)</f>
        <v/>
      </c>
      <c r="S29" t="str">
        <f>VLOOKUP($A29,[2]!掉落查询,[2]获取途径临时表!Q$1,FALSE)</f>
        <v/>
      </c>
      <c r="T29" t="str">
        <f>VLOOKUP($A29,[2]!掉落查询,[2]获取途径临时表!R$1,FALSE)</f>
        <v/>
      </c>
    </row>
    <row r="30" spans="1:20" x14ac:dyDescent="0.15">
      <c r="A30">
        <v>83104</v>
      </c>
      <c r="B30" t="s">
        <v>349</v>
      </c>
      <c r="C30">
        <v>0</v>
      </c>
      <c r="D30">
        <f t="shared" si="0"/>
        <v>0</v>
      </c>
      <c r="E30" t="str">
        <f>VLOOKUP($A30,[2]!掉落查询,[2]获取途径临时表!C$1,FALSE)</f>
        <v/>
      </c>
      <c r="F30" t="str">
        <f>VLOOKUP($A30,[2]!掉落查询,[2]获取途径临时表!D$1,FALSE)</f>
        <v/>
      </c>
      <c r="G30" t="str">
        <f>VLOOKUP($A30,[2]!掉落查询,[2]获取途径临时表!E$1,FALSE)</f>
        <v/>
      </c>
      <c r="H30" t="str">
        <f>VLOOKUP($A30,[2]!掉落查询,[2]获取途径临时表!F$1,FALSE)</f>
        <v/>
      </c>
      <c r="I30" t="str">
        <f>VLOOKUP($A30,[2]!掉落查询,[2]获取途径临时表!G$1,FALSE)</f>
        <v/>
      </c>
      <c r="J30" t="str">
        <f>VLOOKUP($A30,[2]!掉落查询,[2]获取途径临时表!H$1,FALSE)</f>
        <v/>
      </c>
      <c r="K30" t="str">
        <f>VLOOKUP($A30,[2]!掉落查询,[2]获取途径临时表!I$1,FALSE)</f>
        <v/>
      </c>
      <c r="L30" t="str">
        <f>VLOOKUP($A30,[2]!掉落查询,[2]获取途径临时表!J$1,FALSE)</f>
        <v/>
      </c>
      <c r="M30" t="str">
        <f>VLOOKUP($A30,[2]!掉落查询,[2]获取途径临时表!K$1,FALSE)</f>
        <v/>
      </c>
      <c r="N30" t="str">
        <f>VLOOKUP($A30,[2]!掉落查询,[2]获取途径临时表!L$1,FALSE)</f>
        <v/>
      </c>
      <c r="O30" t="str">
        <f>VLOOKUP($A30,[2]!掉落查询,[2]获取途径临时表!M$1,FALSE)</f>
        <v/>
      </c>
      <c r="P30" t="str">
        <f>VLOOKUP($A30,[2]!掉落查询,[2]获取途径临时表!N$1,FALSE)</f>
        <v/>
      </c>
      <c r="Q30" t="str">
        <f>VLOOKUP($A30,[2]!掉落查询,[2]获取途径临时表!O$1,FALSE)</f>
        <v/>
      </c>
      <c r="R30" t="str">
        <f>VLOOKUP($A30,[2]!掉落查询,[2]获取途径临时表!P$1,FALSE)</f>
        <v/>
      </c>
      <c r="S30" t="str">
        <f>VLOOKUP($A30,[2]!掉落查询,[2]获取途径临时表!Q$1,FALSE)</f>
        <v/>
      </c>
      <c r="T30" t="str">
        <f>VLOOKUP($A30,[2]!掉落查询,[2]获取途径临时表!R$1,FALSE)</f>
        <v/>
      </c>
    </row>
    <row r="31" spans="1:20" x14ac:dyDescent="0.15">
      <c r="A31">
        <v>83105</v>
      </c>
      <c r="B31" t="s">
        <v>266</v>
      </c>
      <c r="C31">
        <v>0</v>
      </c>
      <c r="D31">
        <f t="shared" si="0"/>
        <v>0</v>
      </c>
      <c r="E31" t="str">
        <f>VLOOKUP($A31,[2]!掉落查询,[2]获取途径临时表!C$1,FALSE)</f>
        <v/>
      </c>
      <c r="F31" t="str">
        <f>VLOOKUP($A31,[2]!掉落查询,[2]获取途径临时表!D$1,FALSE)</f>
        <v/>
      </c>
      <c r="G31" t="str">
        <f>VLOOKUP($A31,[2]!掉落查询,[2]获取途径临时表!E$1,FALSE)</f>
        <v/>
      </c>
      <c r="H31" t="str">
        <f>VLOOKUP($A31,[2]!掉落查询,[2]获取途径临时表!F$1,FALSE)</f>
        <v/>
      </c>
      <c r="I31" t="str">
        <f>VLOOKUP($A31,[2]!掉落查询,[2]获取途径临时表!G$1,FALSE)</f>
        <v/>
      </c>
      <c r="J31" t="str">
        <f>VLOOKUP($A31,[2]!掉落查询,[2]获取途径临时表!H$1,FALSE)</f>
        <v/>
      </c>
      <c r="K31" t="str">
        <f>VLOOKUP($A31,[2]!掉落查询,[2]获取途径临时表!I$1,FALSE)</f>
        <v/>
      </c>
      <c r="L31" t="str">
        <f>VLOOKUP($A31,[2]!掉落查询,[2]获取途径临时表!J$1,FALSE)</f>
        <v/>
      </c>
      <c r="M31" t="str">
        <f>VLOOKUP($A31,[2]!掉落查询,[2]获取途径临时表!K$1,FALSE)</f>
        <v/>
      </c>
      <c r="N31" t="str">
        <f>VLOOKUP($A31,[2]!掉落查询,[2]获取途径临时表!L$1,FALSE)</f>
        <v/>
      </c>
      <c r="O31" t="str">
        <f>VLOOKUP($A31,[2]!掉落查询,[2]获取途径临时表!M$1,FALSE)</f>
        <v/>
      </c>
      <c r="P31" t="str">
        <f>VLOOKUP($A31,[2]!掉落查询,[2]获取途径临时表!N$1,FALSE)</f>
        <v/>
      </c>
      <c r="Q31" t="str">
        <f>VLOOKUP($A31,[2]!掉落查询,[2]获取途径临时表!O$1,FALSE)</f>
        <v/>
      </c>
      <c r="R31" t="str">
        <f>VLOOKUP($A31,[2]!掉落查询,[2]获取途径临时表!P$1,FALSE)</f>
        <v/>
      </c>
      <c r="S31" t="str">
        <f>VLOOKUP($A31,[2]!掉落查询,[2]获取途径临时表!Q$1,FALSE)</f>
        <v/>
      </c>
      <c r="T31" t="str">
        <f>VLOOKUP($A31,[2]!掉落查询,[2]获取途径临时表!R$1,FALSE)</f>
        <v/>
      </c>
    </row>
    <row r="32" spans="1:20" x14ac:dyDescent="0.15">
      <c r="A32">
        <v>83106</v>
      </c>
      <c r="B32" t="s">
        <v>350</v>
      </c>
      <c r="C32">
        <v>0</v>
      </c>
      <c r="D32">
        <f t="shared" si="0"/>
        <v>0</v>
      </c>
      <c r="E32" t="str">
        <f>VLOOKUP($A32,[2]!掉落查询,[2]获取途径临时表!C$1,FALSE)</f>
        <v/>
      </c>
      <c r="F32" t="str">
        <f>VLOOKUP($A32,[2]!掉落查询,[2]获取途径临时表!D$1,FALSE)</f>
        <v/>
      </c>
      <c r="G32" t="str">
        <f>VLOOKUP($A32,[2]!掉落查询,[2]获取途径临时表!E$1,FALSE)</f>
        <v/>
      </c>
      <c r="H32" t="str">
        <f>VLOOKUP($A32,[2]!掉落查询,[2]获取途径临时表!F$1,FALSE)</f>
        <v/>
      </c>
      <c r="I32" t="str">
        <f>VLOOKUP($A32,[2]!掉落查询,[2]获取途径临时表!G$1,FALSE)</f>
        <v/>
      </c>
      <c r="J32" t="str">
        <f>VLOOKUP($A32,[2]!掉落查询,[2]获取途径临时表!H$1,FALSE)</f>
        <v/>
      </c>
      <c r="K32" t="str">
        <f>VLOOKUP($A32,[2]!掉落查询,[2]获取途径临时表!I$1,FALSE)</f>
        <v/>
      </c>
      <c r="L32" t="str">
        <f>VLOOKUP($A32,[2]!掉落查询,[2]获取途径临时表!J$1,FALSE)</f>
        <v/>
      </c>
      <c r="M32" t="str">
        <f>VLOOKUP($A32,[2]!掉落查询,[2]获取途径临时表!K$1,FALSE)</f>
        <v/>
      </c>
      <c r="N32" t="str">
        <f>VLOOKUP($A32,[2]!掉落查询,[2]获取途径临时表!L$1,FALSE)</f>
        <v/>
      </c>
      <c r="O32" t="str">
        <f>VLOOKUP($A32,[2]!掉落查询,[2]获取途径临时表!M$1,FALSE)</f>
        <v/>
      </c>
      <c r="P32" t="str">
        <f>VLOOKUP($A32,[2]!掉落查询,[2]获取途径临时表!N$1,FALSE)</f>
        <v/>
      </c>
      <c r="Q32" t="str">
        <f>VLOOKUP($A32,[2]!掉落查询,[2]获取途径临时表!O$1,FALSE)</f>
        <v/>
      </c>
      <c r="R32" t="str">
        <f>VLOOKUP($A32,[2]!掉落查询,[2]获取途径临时表!P$1,FALSE)</f>
        <v/>
      </c>
      <c r="S32" t="str">
        <f>VLOOKUP($A32,[2]!掉落查询,[2]获取途径临时表!Q$1,FALSE)</f>
        <v/>
      </c>
      <c r="T32" t="str">
        <f>VLOOKUP($A32,[2]!掉落查询,[2]获取途径临时表!R$1,FALSE)</f>
        <v/>
      </c>
    </row>
    <row r="33" spans="1:20" x14ac:dyDescent="0.15">
      <c r="A33">
        <v>83107</v>
      </c>
      <c r="B33" t="s">
        <v>351</v>
      </c>
      <c r="C33">
        <v>0</v>
      </c>
      <c r="D33">
        <f t="shared" si="0"/>
        <v>0</v>
      </c>
      <c r="E33" t="str">
        <f>VLOOKUP($A33,[2]!掉落查询,[2]获取途径临时表!C$1,FALSE)</f>
        <v/>
      </c>
      <c r="F33" t="str">
        <f>VLOOKUP($A33,[2]!掉落查询,[2]获取途径临时表!D$1,FALSE)</f>
        <v/>
      </c>
      <c r="G33" t="str">
        <f>VLOOKUP($A33,[2]!掉落查询,[2]获取途径临时表!E$1,FALSE)</f>
        <v/>
      </c>
      <c r="H33" t="str">
        <f>VLOOKUP($A33,[2]!掉落查询,[2]获取途径临时表!F$1,FALSE)</f>
        <v/>
      </c>
      <c r="I33" t="str">
        <f>VLOOKUP($A33,[2]!掉落查询,[2]获取途径临时表!G$1,FALSE)</f>
        <v/>
      </c>
      <c r="J33" t="str">
        <f>VLOOKUP($A33,[2]!掉落查询,[2]获取途径临时表!H$1,FALSE)</f>
        <v/>
      </c>
      <c r="K33" t="str">
        <f>VLOOKUP($A33,[2]!掉落查询,[2]获取途径临时表!I$1,FALSE)</f>
        <v/>
      </c>
      <c r="L33" t="str">
        <f>VLOOKUP($A33,[2]!掉落查询,[2]获取途径临时表!J$1,FALSE)</f>
        <v/>
      </c>
      <c r="M33" t="str">
        <f>VLOOKUP($A33,[2]!掉落查询,[2]获取途径临时表!K$1,FALSE)</f>
        <v/>
      </c>
      <c r="N33" t="str">
        <f>VLOOKUP($A33,[2]!掉落查询,[2]获取途径临时表!L$1,FALSE)</f>
        <v/>
      </c>
      <c r="O33" t="str">
        <f>VLOOKUP($A33,[2]!掉落查询,[2]获取途径临时表!M$1,FALSE)</f>
        <v/>
      </c>
      <c r="P33" t="str">
        <f>VLOOKUP($A33,[2]!掉落查询,[2]获取途径临时表!N$1,FALSE)</f>
        <v/>
      </c>
      <c r="Q33" t="str">
        <f>VLOOKUP($A33,[2]!掉落查询,[2]获取途径临时表!O$1,FALSE)</f>
        <v/>
      </c>
      <c r="R33" t="str">
        <f>VLOOKUP($A33,[2]!掉落查询,[2]获取途径临时表!P$1,FALSE)</f>
        <v/>
      </c>
      <c r="S33" t="str">
        <f>VLOOKUP($A33,[2]!掉落查询,[2]获取途径临时表!Q$1,FALSE)</f>
        <v/>
      </c>
      <c r="T33" t="str">
        <f>VLOOKUP($A33,[2]!掉落查询,[2]获取途径临时表!R$1,FALSE)</f>
        <v/>
      </c>
    </row>
    <row r="34" spans="1:20" x14ac:dyDescent="0.15">
      <c r="A34">
        <v>83108</v>
      </c>
      <c r="B34" t="s">
        <v>352</v>
      </c>
      <c r="C34">
        <v>0</v>
      </c>
      <c r="D34">
        <f t="shared" si="0"/>
        <v>0</v>
      </c>
      <c r="E34" t="str">
        <f>VLOOKUP($A34,[2]!掉落查询,[2]获取途径临时表!C$1,FALSE)</f>
        <v/>
      </c>
      <c r="F34" t="str">
        <f>VLOOKUP($A34,[2]!掉落查询,[2]获取途径临时表!D$1,FALSE)</f>
        <v/>
      </c>
      <c r="G34" t="str">
        <f>VLOOKUP($A34,[2]!掉落查询,[2]获取途径临时表!E$1,FALSE)</f>
        <v/>
      </c>
      <c r="H34" t="str">
        <f>VLOOKUP($A34,[2]!掉落查询,[2]获取途径临时表!F$1,FALSE)</f>
        <v/>
      </c>
      <c r="I34" t="str">
        <f>VLOOKUP($A34,[2]!掉落查询,[2]获取途径临时表!G$1,FALSE)</f>
        <v/>
      </c>
      <c r="J34" t="str">
        <f>VLOOKUP($A34,[2]!掉落查询,[2]获取途径临时表!H$1,FALSE)</f>
        <v/>
      </c>
      <c r="K34" t="str">
        <f>VLOOKUP($A34,[2]!掉落查询,[2]获取途径临时表!I$1,FALSE)</f>
        <v/>
      </c>
      <c r="L34" t="str">
        <f>VLOOKUP($A34,[2]!掉落查询,[2]获取途径临时表!J$1,FALSE)</f>
        <v/>
      </c>
      <c r="M34" t="str">
        <f>VLOOKUP($A34,[2]!掉落查询,[2]获取途径临时表!K$1,FALSE)</f>
        <v/>
      </c>
      <c r="N34" t="str">
        <f>VLOOKUP($A34,[2]!掉落查询,[2]获取途径临时表!L$1,FALSE)</f>
        <v/>
      </c>
      <c r="O34" t="str">
        <f>VLOOKUP($A34,[2]!掉落查询,[2]获取途径临时表!M$1,FALSE)</f>
        <v/>
      </c>
      <c r="P34" t="str">
        <f>VLOOKUP($A34,[2]!掉落查询,[2]获取途径临时表!N$1,FALSE)</f>
        <v/>
      </c>
      <c r="Q34" t="str">
        <f>VLOOKUP($A34,[2]!掉落查询,[2]获取途径临时表!O$1,FALSE)</f>
        <v/>
      </c>
      <c r="R34" t="str">
        <f>VLOOKUP($A34,[2]!掉落查询,[2]获取途径临时表!P$1,FALSE)</f>
        <v/>
      </c>
      <c r="S34" t="str">
        <f>VLOOKUP($A34,[2]!掉落查询,[2]获取途径临时表!Q$1,FALSE)</f>
        <v/>
      </c>
      <c r="T34" t="str">
        <f>VLOOKUP($A34,[2]!掉落查询,[2]获取途径临时表!R$1,FALSE)</f>
        <v/>
      </c>
    </row>
    <row r="35" spans="1:20" x14ac:dyDescent="0.15">
      <c r="A35">
        <v>83109</v>
      </c>
      <c r="B35" t="s">
        <v>267</v>
      </c>
      <c r="C35">
        <v>0</v>
      </c>
      <c r="D35">
        <f t="shared" si="0"/>
        <v>0</v>
      </c>
      <c r="E35" t="str">
        <f>VLOOKUP($A35,[2]!掉落查询,[2]获取途径临时表!C$1,FALSE)</f>
        <v/>
      </c>
      <c r="F35" t="str">
        <f>VLOOKUP($A35,[2]!掉落查询,[2]获取途径临时表!D$1,FALSE)</f>
        <v/>
      </c>
      <c r="G35" t="str">
        <f>VLOOKUP($A35,[2]!掉落查询,[2]获取途径临时表!E$1,FALSE)</f>
        <v/>
      </c>
      <c r="H35" t="str">
        <f>VLOOKUP($A35,[2]!掉落查询,[2]获取途径临时表!F$1,FALSE)</f>
        <v/>
      </c>
      <c r="I35" t="str">
        <f>VLOOKUP($A35,[2]!掉落查询,[2]获取途径临时表!G$1,FALSE)</f>
        <v/>
      </c>
      <c r="J35" t="str">
        <f>VLOOKUP($A35,[2]!掉落查询,[2]获取途径临时表!H$1,FALSE)</f>
        <v/>
      </c>
      <c r="K35" t="str">
        <f>VLOOKUP($A35,[2]!掉落查询,[2]获取途径临时表!I$1,FALSE)</f>
        <v/>
      </c>
      <c r="L35" t="str">
        <f>VLOOKUP($A35,[2]!掉落查询,[2]获取途径临时表!J$1,FALSE)</f>
        <v/>
      </c>
      <c r="M35" t="str">
        <f>VLOOKUP($A35,[2]!掉落查询,[2]获取途径临时表!K$1,FALSE)</f>
        <v/>
      </c>
      <c r="N35" t="str">
        <f>VLOOKUP($A35,[2]!掉落查询,[2]获取途径临时表!L$1,FALSE)</f>
        <v/>
      </c>
      <c r="O35" t="str">
        <f>VLOOKUP($A35,[2]!掉落查询,[2]获取途径临时表!M$1,FALSE)</f>
        <v/>
      </c>
      <c r="P35" t="str">
        <f>VLOOKUP($A35,[2]!掉落查询,[2]获取途径临时表!N$1,FALSE)</f>
        <v/>
      </c>
      <c r="Q35" t="str">
        <f>VLOOKUP($A35,[2]!掉落查询,[2]获取途径临时表!O$1,FALSE)</f>
        <v/>
      </c>
      <c r="R35" t="str">
        <f>VLOOKUP($A35,[2]!掉落查询,[2]获取途径临时表!P$1,FALSE)</f>
        <v/>
      </c>
      <c r="S35" t="str">
        <f>VLOOKUP($A35,[2]!掉落查询,[2]获取途径临时表!Q$1,FALSE)</f>
        <v/>
      </c>
      <c r="T35" t="str">
        <f>VLOOKUP($A35,[2]!掉落查询,[2]获取途径临时表!R$1,FALSE)</f>
        <v/>
      </c>
    </row>
    <row r="36" spans="1:20" x14ac:dyDescent="0.15">
      <c r="A36">
        <v>83110</v>
      </c>
      <c r="B36" t="s">
        <v>268</v>
      </c>
      <c r="C36">
        <v>0</v>
      </c>
      <c r="D36">
        <f t="shared" si="0"/>
        <v>0</v>
      </c>
      <c r="E36" t="str">
        <f>VLOOKUP($A36,[2]!掉落查询,[2]获取途径临时表!C$1,FALSE)</f>
        <v/>
      </c>
      <c r="F36" t="str">
        <f>VLOOKUP($A36,[2]!掉落查询,[2]获取途径临时表!D$1,FALSE)</f>
        <v/>
      </c>
      <c r="G36" t="str">
        <f>VLOOKUP($A36,[2]!掉落查询,[2]获取途径临时表!E$1,FALSE)</f>
        <v/>
      </c>
      <c r="H36" t="str">
        <f>VLOOKUP($A36,[2]!掉落查询,[2]获取途径临时表!F$1,FALSE)</f>
        <v/>
      </c>
      <c r="I36" t="str">
        <f>VLOOKUP($A36,[2]!掉落查询,[2]获取途径临时表!G$1,FALSE)</f>
        <v/>
      </c>
      <c r="J36" t="str">
        <f>VLOOKUP($A36,[2]!掉落查询,[2]获取途径临时表!H$1,FALSE)</f>
        <v/>
      </c>
      <c r="K36" t="str">
        <f>VLOOKUP($A36,[2]!掉落查询,[2]获取途径临时表!I$1,FALSE)</f>
        <v/>
      </c>
      <c r="L36" t="str">
        <f>VLOOKUP($A36,[2]!掉落查询,[2]获取途径临时表!J$1,FALSE)</f>
        <v/>
      </c>
      <c r="M36" t="str">
        <f>VLOOKUP($A36,[2]!掉落查询,[2]获取途径临时表!K$1,FALSE)</f>
        <v/>
      </c>
      <c r="N36" t="str">
        <f>VLOOKUP($A36,[2]!掉落查询,[2]获取途径临时表!L$1,FALSE)</f>
        <v/>
      </c>
      <c r="O36" t="str">
        <f>VLOOKUP($A36,[2]!掉落查询,[2]获取途径临时表!M$1,FALSE)</f>
        <v/>
      </c>
      <c r="P36" t="str">
        <f>VLOOKUP($A36,[2]!掉落查询,[2]获取途径临时表!N$1,FALSE)</f>
        <v/>
      </c>
      <c r="Q36" t="str">
        <f>VLOOKUP($A36,[2]!掉落查询,[2]获取途径临时表!O$1,FALSE)</f>
        <v/>
      </c>
      <c r="R36" t="str">
        <f>VLOOKUP($A36,[2]!掉落查询,[2]获取途径临时表!P$1,FALSE)</f>
        <v/>
      </c>
      <c r="S36" t="str">
        <f>VLOOKUP($A36,[2]!掉落查询,[2]获取途径临时表!Q$1,FALSE)</f>
        <v/>
      </c>
      <c r="T36" t="str">
        <f>VLOOKUP($A36,[2]!掉落查询,[2]获取途径临时表!R$1,FALSE)</f>
        <v/>
      </c>
    </row>
    <row r="37" spans="1:20" x14ac:dyDescent="0.15">
      <c r="A37">
        <v>83111</v>
      </c>
      <c r="B37" t="s">
        <v>353</v>
      </c>
      <c r="C37">
        <v>0</v>
      </c>
      <c r="D37">
        <f t="shared" si="0"/>
        <v>0</v>
      </c>
      <c r="E37" t="str">
        <f>VLOOKUP($A37,[2]!掉落查询,[2]获取途径临时表!C$1,FALSE)</f>
        <v/>
      </c>
      <c r="F37" t="str">
        <f>VLOOKUP($A37,[2]!掉落查询,[2]获取途径临时表!D$1,FALSE)</f>
        <v/>
      </c>
      <c r="G37" t="str">
        <f>VLOOKUP($A37,[2]!掉落查询,[2]获取途径临时表!E$1,FALSE)</f>
        <v/>
      </c>
      <c r="H37" t="str">
        <f>VLOOKUP($A37,[2]!掉落查询,[2]获取途径临时表!F$1,FALSE)</f>
        <v/>
      </c>
      <c r="I37" t="str">
        <f>VLOOKUP($A37,[2]!掉落查询,[2]获取途径临时表!G$1,FALSE)</f>
        <v/>
      </c>
      <c r="J37" t="str">
        <f>VLOOKUP($A37,[2]!掉落查询,[2]获取途径临时表!H$1,FALSE)</f>
        <v/>
      </c>
      <c r="K37" t="str">
        <f>VLOOKUP($A37,[2]!掉落查询,[2]获取途径临时表!I$1,FALSE)</f>
        <v/>
      </c>
      <c r="L37" t="str">
        <f>VLOOKUP($A37,[2]!掉落查询,[2]获取途径临时表!J$1,FALSE)</f>
        <v/>
      </c>
      <c r="M37" t="str">
        <f>VLOOKUP($A37,[2]!掉落查询,[2]获取途径临时表!K$1,FALSE)</f>
        <v/>
      </c>
      <c r="N37" t="str">
        <f>VLOOKUP($A37,[2]!掉落查询,[2]获取途径临时表!L$1,FALSE)</f>
        <v/>
      </c>
      <c r="O37" t="str">
        <f>VLOOKUP($A37,[2]!掉落查询,[2]获取途径临时表!M$1,FALSE)</f>
        <v/>
      </c>
      <c r="P37" t="str">
        <f>VLOOKUP($A37,[2]!掉落查询,[2]获取途径临时表!N$1,FALSE)</f>
        <v/>
      </c>
      <c r="Q37" t="str">
        <f>VLOOKUP($A37,[2]!掉落查询,[2]获取途径临时表!O$1,FALSE)</f>
        <v/>
      </c>
      <c r="R37" t="str">
        <f>VLOOKUP($A37,[2]!掉落查询,[2]获取途径临时表!P$1,FALSE)</f>
        <v/>
      </c>
      <c r="S37" t="str">
        <f>VLOOKUP($A37,[2]!掉落查询,[2]获取途径临时表!Q$1,FALSE)</f>
        <v/>
      </c>
      <c r="T37" t="str">
        <f>VLOOKUP($A37,[2]!掉落查询,[2]获取途径临时表!R$1,FALSE)</f>
        <v/>
      </c>
    </row>
    <row r="38" spans="1:20" x14ac:dyDescent="0.15">
      <c r="A38">
        <v>83112</v>
      </c>
      <c r="B38" t="s">
        <v>354</v>
      </c>
      <c r="C38">
        <v>0</v>
      </c>
      <c r="D38">
        <f t="shared" si="0"/>
        <v>0</v>
      </c>
      <c r="E38" t="str">
        <f>VLOOKUP($A38,[2]!掉落查询,[2]获取途径临时表!C$1,FALSE)</f>
        <v/>
      </c>
      <c r="F38" t="str">
        <f>VLOOKUP($A38,[2]!掉落查询,[2]获取途径临时表!D$1,FALSE)</f>
        <v/>
      </c>
      <c r="G38" t="str">
        <f>VLOOKUP($A38,[2]!掉落查询,[2]获取途径临时表!E$1,FALSE)</f>
        <v/>
      </c>
      <c r="H38" t="str">
        <f>VLOOKUP($A38,[2]!掉落查询,[2]获取途径临时表!F$1,FALSE)</f>
        <v/>
      </c>
      <c r="I38" t="str">
        <f>VLOOKUP($A38,[2]!掉落查询,[2]获取途径临时表!G$1,FALSE)</f>
        <v/>
      </c>
      <c r="J38" t="str">
        <f>VLOOKUP($A38,[2]!掉落查询,[2]获取途径临时表!H$1,FALSE)</f>
        <v/>
      </c>
      <c r="K38" t="str">
        <f>VLOOKUP($A38,[2]!掉落查询,[2]获取途径临时表!I$1,FALSE)</f>
        <v/>
      </c>
      <c r="L38" t="str">
        <f>VLOOKUP($A38,[2]!掉落查询,[2]获取途径临时表!J$1,FALSE)</f>
        <v/>
      </c>
      <c r="M38" t="str">
        <f>VLOOKUP($A38,[2]!掉落查询,[2]获取途径临时表!K$1,FALSE)</f>
        <v/>
      </c>
      <c r="N38" t="str">
        <f>VLOOKUP($A38,[2]!掉落查询,[2]获取途径临时表!L$1,FALSE)</f>
        <v/>
      </c>
      <c r="O38" t="str">
        <f>VLOOKUP($A38,[2]!掉落查询,[2]获取途径临时表!M$1,FALSE)</f>
        <v/>
      </c>
      <c r="P38" t="str">
        <f>VLOOKUP($A38,[2]!掉落查询,[2]获取途径临时表!N$1,FALSE)</f>
        <v/>
      </c>
      <c r="Q38" t="str">
        <f>VLOOKUP($A38,[2]!掉落查询,[2]获取途径临时表!O$1,FALSE)</f>
        <v/>
      </c>
      <c r="R38" t="str">
        <f>VLOOKUP($A38,[2]!掉落查询,[2]获取途径临时表!P$1,FALSE)</f>
        <v/>
      </c>
      <c r="S38" t="str">
        <f>VLOOKUP($A38,[2]!掉落查询,[2]获取途径临时表!Q$1,FALSE)</f>
        <v/>
      </c>
      <c r="T38" t="str">
        <f>VLOOKUP($A38,[2]!掉落查询,[2]获取途径临时表!R$1,FALSE)</f>
        <v/>
      </c>
    </row>
    <row r="39" spans="1:20" x14ac:dyDescent="0.15">
      <c r="A39">
        <v>83113</v>
      </c>
      <c r="B39" t="s">
        <v>353</v>
      </c>
      <c r="C39">
        <v>0</v>
      </c>
      <c r="D39">
        <f t="shared" si="0"/>
        <v>0</v>
      </c>
      <c r="E39" t="str">
        <f>VLOOKUP($A39,[2]!掉落查询,[2]获取途径临时表!C$1,FALSE)</f>
        <v/>
      </c>
      <c r="F39" t="str">
        <f>VLOOKUP($A39,[2]!掉落查询,[2]获取途径临时表!D$1,FALSE)</f>
        <v/>
      </c>
      <c r="G39" t="str">
        <f>VLOOKUP($A39,[2]!掉落查询,[2]获取途径临时表!E$1,FALSE)</f>
        <v/>
      </c>
      <c r="H39" t="str">
        <f>VLOOKUP($A39,[2]!掉落查询,[2]获取途径临时表!F$1,FALSE)</f>
        <v/>
      </c>
      <c r="I39" t="str">
        <f>VLOOKUP($A39,[2]!掉落查询,[2]获取途径临时表!G$1,FALSE)</f>
        <v/>
      </c>
      <c r="J39" t="str">
        <f>VLOOKUP($A39,[2]!掉落查询,[2]获取途径临时表!H$1,FALSE)</f>
        <v/>
      </c>
      <c r="K39" t="str">
        <f>VLOOKUP($A39,[2]!掉落查询,[2]获取途径临时表!I$1,FALSE)</f>
        <v/>
      </c>
      <c r="L39" t="str">
        <f>VLOOKUP($A39,[2]!掉落查询,[2]获取途径临时表!J$1,FALSE)</f>
        <v/>
      </c>
      <c r="M39" t="str">
        <f>VLOOKUP($A39,[2]!掉落查询,[2]获取途径临时表!K$1,FALSE)</f>
        <v/>
      </c>
      <c r="N39" t="str">
        <f>VLOOKUP($A39,[2]!掉落查询,[2]获取途径临时表!L$1,FALSE)</f>
        <v/>
      </c>
      <c r="O39" t="str">
        <f>VLOOKUP($A39,[2]!掉落查询,[2]获取途径临时表!M$1,FALSE)</f>
        <v/>
      </c>
      <c r="P39" t="str">
        <f>VLOOKUP($A39,[2]!掉落查询,[2]获取途径临时表!N$1,FALSE)</f>
        <v/>
      </c>
      <c r="Q39" t="str">
        <f>VLOOKUP($A39,[2]!掉落查询,[2]获取途径临时表!O$1,FALSE)</f>
        <v/>
      </c>
      <c r="R39" t="str">
        <f>VLOOKUP($A39,[2]!掉落查询,[2]获取途径临时表!P$1,FALSE)</f>
        <v/>
      </c>
      <c r="S39" t="str">
        <f>VLOOKUP($A39,[2]!掉落查询,[2]获取途径临时表!Q$1,FALSE)</f>
        <v/>
      </c>
      <c r="T39" t="str">
        <f>VLOOKUP($A39,[2]!掉落查询,[2]获取途径临时表!R$1,FALSE)</f>
        <v/>
      </c>
    </row>
    <row r="40" spans="1:20" x14ac:dyDescent="0.15">
      <c r="A40">
        <v>83114</v>
      </c>
      <c r="B40" t="s">
        <v>354</v>
      </c>
      <c r="C40">
        <v>0</v>
      </c>
      <c r="D40">
        <f t="shared" si="0"/>
        <v>0</v>
      </c>
      <c r="E40" t="str">
        <f>VLOOKUP($A40,[2]!掉落查询,[2]获取途径临时表!C$1,FALSE)</f>
        <v/>
      </c>
      <c r="F40" t="str">
        <f>VLOOKUP($A40,[2]!掉落查询,[2]获取途径临时表!D$1,FALSE)</f>
        <v/>
      </c>
      <c r="G40" t="str">
        <f>VLOOKUP($A40,[2]!掉落查询,[2]获取途径临时表!E$1,FALSE)</f>
        <v/>
      </c>
      <c r="H40" t="str">
        <f>VLOOKUP($A40,[2]!掉落查询,[2]获取途径临时表!F$1,FALSE)</f>
        <v/>
      </c>
      <c r="I40" t="str">
        <f>VLOOKUP($A40,[2]!掉落查询,[2]获取途径临时表!G$1,FALSE)</f>
        <v/>
      </c>
      <c r="J40" t="str">
        <f>VLOOKUP($A40,[2]!掉落查询,[2]获取途径临时表!H$1,FALSE)</f>
        <v/>
      </c>
      <c r="K40" t="str">
        <f>VLOOKUP($A40,[2]!掉落查询,[2]获取途径临时表!I$1,FALSE)</f>
        <v/>
      </c>
      <c r="L40" t="str">
        <f>VLOOKUP($A40,[2]!掉落查询,[2]获取途径临时表!J$1,FALSE)</f>
        <v/>
      </c>
      <c r="M40" t="str">
        <f>VLOOKUP($A40,[2]!掉落查询,[2]获取途径临时表!K$1,FALSE)</f>
        <v/>
      </c>
      <c r="N40" t="str">
        <f>VLOOKUP($A40,[2]!掉落查询,[2]获取途径临时表!L$1,FALSE)</f>
        <v/>
      </c>
      <c r="O40" t="str">
        <f>VLOOKUP($A40,[2]!掉落查询,[2]获取途径临时表!M$1,FALSE)</f>
        <v/>
      </c>
      <c r="P40" t="str">
        <f>VLOOKUP($A40,[2]!掉落查询,[2]获取途径临时表!N$1,FALSE)</f>
        <v/>
      </c>
      <c r="Q40" t="str">
        <f>VLOOKUP($A40,[2]!掉落查询,[2]获取途径临时表!O$1,FALSE)</f>
        <v/>
      </c>
      <c r="R40" t="str">
        <f>VLOOKUP($A40,[2]!掉落查询,[2]获取途径临时表!P$1,FALSE)</f>
        <v/>
      </c>
      <c r="S40" t="str">
        <f>VLOOKUP($A40,[2]!掉落查询,[2]获取途径临时表!Q$1,FALSE)</f>
        <v/>
      </c>
      <c r="T40" t="str">
        <f>VLOOKUP($A40,[2]!掉落查询,[2]获取途径临时表!R$1,FALSE)</f>
        <v/>
      </c>
    </row>
    <row r="41" spans="1:20" x14ac:dyDescent="0.15">
      <c r="A41">
        <v>83115</v>
      </c>
      <c r="B41" t="s">
        <v>355</v>
      </c>
      <c r="C41">
        <v>0</v>
      </c>
      <c r="D41">
        <f t="shared" si="0"/>
        <v>0</v>
      </c>
      <c r="E41" t="str">
        <f>VLOOKUP($A41,[2]!掉落查询,[2]获取途径临时表!C$1,FALSE)</f>
        <v/>
      </c>
      <c r="F41" t="str">
        <f>VLOOKUP($A41,[2]!掉落查询,[2]获取途径临时表!D$1,FALSE)</f>
        <v/>
      </c>
      <c r="G41" t="str">
        <f>VLOOKUP($A41,[2]!掉落查询,[2]获取途径临时表!E$1,FALSE)</f>
        <v/>
      </c>
      <c r="H41" t="str">
        <f>VLOOKUP($A41,[2]!掉落查询,[2]获取途径临时表!F$1,FALSE)</f>
        <v/>
      </c>
      <c r="I41" t="str">
        <f>VLOOKUP($A41,[2]!掉落查询,[2]获取途径临时表!G$1,FALSE)</f>
        <v/>
      </c>
      <c r="J41" t="str">
        <f>VLOOKUP($A41,[2]!掉落查询,[2]获取途径临时表!H$1,FALSE)</f>
        <v/>
      </c>
      <c r="K41" t="str">
        <f>VLOOKUP($A41,[2]!掉落查询,[2]获取途径临时表!I$1,FALSE)</f>
        <v/>
      </c>
      <c r="L41" t="str">
        <f>VLOOKUP($A41,[2]!掉落查询,[2]获取途径临时表!J$1,FALSE)</f>
        <v/>
      </c>
      <c r="M41" t="str">
        <f>VLOOKUP($A41,[2]!掉落查询,[2]获取途径临时表!K$1,FALSE)</f>
        <v/>
      </c>
      <c r="N41" t="str">
        <f>VLOOKUP($A41,[2]!掉落查询,[2]获取途径临时表!L$1,FALSE)</f>
        <v/>
      </c>
      <c r="O41" t="str">
        <f>VLOOKUP($A41,[2]!掉落查询,[2]获取途径临时表!M$1,FALSE)</f>
        <v/>
      </c>
      <c r="P41" t="str">
        <f>VLOOKUP($A41,[2]!掉落查询,[2]获取途径临时表!N$1,FALSE)</f>
        <v/>
      </c>
      <c r="Q41" t="str">
        <f>VLOOKUP($A41,[2]!掉落查询,[2]获取途径临时表!O$1,FALSE)</f>
        <v/>
      </c>
      <c r="R41" t="str">
        <f>VLOOKUP($A41,[2]!掉落查询,[2]获取途径临时表!P$1,FALSE)</f>
        <v/>
      </c>
      <c r="S41" t="str">
        <f>VLOOKUP($A41,[2]!掉落查询,[2]获取途径临时表!Q$1,FALSE)</f>
        <v/>
      </c>
      <c r="T41" t="str">
        <f>VLOOKUP($A41,[2]!掉落查询,[2]获取途径临时表!R$1,FALSE)</f>
        <v/>
      </c>
    </row>
    <row r="42" spans="1:20" x14ac:dyDescent="0.15">
      <c r="A42">
        <v>83116</v>
      </c>
      <c r="B42" t="s">
        <v>269</v>
      </c>
      <c r="C42">
        <v>0</v>
      </c>
      <c r="D42">
        <f t="shared" si="0"/>
        <v>0</v>
      </c>
      <c r="E42" t="str">
        <f>VLOOKUP($A42,[2]!掉落查询,[2]获取途径临时表!C$1,FALSE)</f>
        <v/>
      </c>
      <c r="F42" t="str">
        <f>VLOOKUP($A42,[2]!掉落查询,[2]获取途径临时表!D$1,FALSE)</f>
        <v/>
      </c>
      <c r="G42" t="str">
        <f>VLOOKUP($A42,[2]!掉落查询,[2]获取途径临时表!E$1,FALSE)</f>
        <v/>
      </c>
      <c r="H42" t="str">
        <f>VLOOKUP($A42,[2]!掉落查询,[2]获取途径临时表!F$1,FALSE)</f>
        <v/>
      </c>
      <c r="I42" t="str">
        <f>VLOOKUP($A42,[2]!掉落查询,[2]获取途径临时表!G$1,FALSE)</f>
        <v/>
      </c>
      <c r="J42" t="str">
        <f>VLOOKUP($A42,[2]!掉落查询,[2]获取途径临时表!H$1,FALSE)</f>
        <v/>
      </c>
      <c r="K42" t="str">
        <f>VLOOKUP($A42,[2]!掉落查询,[2]获取途径临时表!I$1,FALSE)</f>
        <v/>
      </c>
      <c r="L42" t="str">
        <f>VLOOKUP($A42,[2]!掉落查询,[2]获取途径临时表!J$1,FALSE)</f>
        <v/>
      </c>
      <c r="M42" t="str">
        <f>VLOOKUP($A42,[2]!掉落查询,[2]获取途径临时表!K$1,FALSE)</f>
        <v/>
      </c>
      <c r="N42" t="str">
        <f>VLOOKUP($A42,[2]!掉落查询,[2]获取途径临时表!L$1,FALSE)</f>
        <v/>
      </c>
      <c r="O42" t="str">
        <f>VLOOKUP($A42,[2]!掉落查询,[2]获取途径临时表!M$1,FALSE)</f>
        <v/>
      </c>
      <c r="P42" t="str">
        <f>VLOOKUP($A42,[2]!掉落查询,[2]获取途径临时表!N$1,FALSE)</f>
        <v/>
      </c>
      <c r="Q42" t="str">
        <f>VLOOKUP($A42,[2]!掉落查询,[2]获取途径临时表!O$1,FALSE)</f>
        <v/>
      </c>
      <c r="R42" t="str">
        <f>VLOOKUP($A42,[2]!掉落查询,[2]获取途径临时表!P$1,FALSE)</f>
        <v/>
      </c>
      <c r="S42" t="str">
        <f>VLOOKUP($A42,[2]!掉落查询,[2]获取途径临时表!Q$1,FALSE)</f>
        <v/>
      </c>
      <c r="T42" t="str">
        <f>VLOOKUP($A42,[2]!掉落查询,[2]获取途径临时表!R$1,FALSE)</f>
        <v/>
      </c>
    </row>
    <row r="43" spans="1:20" x14ac:dyDescent="0.15">
      <c r="A43">
        <v>83117</v>
      </c>
      <c r="B43" t="s">
        <v>356</v>
      </c>
      <c r="C43">
        <v>0</v>
      </c>
      <c r="D43">
        <f t="shared" si="0"/>
        <v>0</v>
      </c>
      <c r="E43" t="str">
        <f>VLOOKUP($A43,[2]!掉落查询,[2]获取途径临时表!C$1,FALSE)</f>
        <v/>
      </c>
      <c r="F43" t="str">
        <f>VLOOKUP($A43,[2]!掉落查询,[2]获取途径临时表!D$1,FALSE)</f>
        <v/>
      </c>
      <c r="G43" t="str">
        <f>VLOOKUP($A43,[2]!掉落查询,[2]获取途径临时表!E$1,FALSE)</f>
        <v/>
      </c>
      <c r="H43" t="str">
        <f>VLOOKUP($A43,[2]!掉落查询,[2]获取途径临时表!F$1,FALSE)</f>
        <v/>
      </c>
      <c r="I43" t="str">
        <f>VLOOKUP($A43,[2]!掉落查询,[2]获取途径临时表!G$1,FALSE)</f>
        <v/>
      </c>
      <c r="J43" t="str">
        <f>VLOOKUP($A43,[2]!掉落查询,[2]获取途径临时表!H$1,FALSE)</f>
        <v/>
      </c>
      <c r="K43" t="str">
        <f>VLOOKUP($A43,[2]!掉落查询,[2]获取途径临时表!I$1,FALSE)</f>
        <v/>
      </c>
      <c r="L43" t="str">
        <f>VLOOKUP($A43,[2]!掉落查询,[2]获取途径临时表!J$1,FALSE)</f>
        <v/>
      </c>
      <c r="M43" t="str">
        <f>VLOOKUP($A43,[2]!掉落查询,[2]获取途径临时表!K$1,FALSE)</f>
        <v/>
      </c>
      <c r="N43" t="str">
        <f>VLOOKUP($A43,[2]!掉落查询,[2]获取途径临时表!L$1,FALSE)</f>
        <v/>
      </c>
      <c r="O43" t="str">
        <f>VLOOKUP($A43,[2]!掉落查询,[2]获取途径临时表!M$1,FALSE)</f>
        <v/>
      </c>
      <c r="P43" t="str">
        <f>VLOOKUP($A43,[2]!掉落查询,[2]获取途径临时表!N$1,FALSE)</f>
        <v/>
      </c>
      <c r="Q43" t="str">
        <f>VLOOKUP($A43,[2]!掉落查询,[2]获取途径临时表!O$1,FALSE)</f>
        <v/>
      </c>
      <c r="R43" t="str">
        <f>VLOOKUP($A43,[2]!掉落查询,[2]获取途径临时表!P$1,FALSE)</f>
        <v/>
      </c>
      <c r="S43" t="str">
        <f>VLOOKUP($A43,[2]!掉落查询,[2]获取途径临时表!Q$1,FALSE)</f>
        <v/>
      </c>
      <c r="T43" t="str">
        <f>VLOOKUP($A43,[2]!掉落查询,[2]获取途径临时表!R$1,FALSE)</f>
        <v/>
      </c>
    </row>
    <row r="44" spans="1:20" x14ac:dyDescent="0.15">
      <c r="A44">
        <v>83118</v>
      </c>
      <c r="B44" t="s">
        <v>357</v>
      </c>
      <c r="C44">
        <v>0</v>
      </c>
      <c r="D44">
        <f t="shared" si="0"/>
        <v>0</v>
      </c>
      <c r="E44" t="str">
        <f>VLOOKUP($A44,[2]!掉落查询,[2]获取途径临时表!C$1,FALSE)</f>
        <v/>
      </c>
      <c r="F44" t="str">
        <f>VLOOKUP($A44,[2]!掉落查询,[2]获取途径临时表!D$1,FALSE)</f>
        <v/>
      </c>
      <c r="G44" t="str">
        <f>VLOOKUP($A44,[2]!掉落查询,[2]获取途径临时表!E$1,FALSE)</f>
        <v/>
      </c>
      <c r="H44" t="str">
        <f>VLOOKUP($A44,[2]!掉落查询,[2]获取途径临时表!F$1,FALSE)</f>
        <v/>
      </c>
      <c r="I44" t="str">
        <f>VLOOKUP($A44,[2]!掉落查询,[2]获取途径临时表!G$1,FALSE)</f>
        <v/>
      </c>
      <c r="J44" t="str">
        <f>VLOOKUP($A44,[2]!掉落查询,[2]获取途径临时表!H$1,FALSE)</f>
        <v/>
      </c>
      <c r="K44" t="str">
        <f>VLOOKUP($A44,[2]!掉落查询,[2]获取途径临时表!I$1,FALSE)</f>
        <v/>
      </c>
      <c r="L44" t="str">
        <f>VLOOKUP($A44,[2]!掉落查询,[2]获取途径临时表!J$1,FALSE)</f>
        <v/>
      </c>
      <c r="M44" t="str">
        <f>VLOOKUP($A44,[2]!掉落查询,[2]获取途径临时表!K$1,FALSE)</f>
        <v/>
      </c>
      <c r="N44" t="str">
        <f>VLOOKUP($A44,[2]!掉落查询,[2]获取途径临时表!L$1,FALSE)</f>
        <v/>
      </c>
      <c r="O44" t="str">
        <f>VLOOKUP($A44,[2]!掉落查询,[2]获取途径临时表!M$1,FALSE)</f>
        <v/>
      </c>
      <c r="P44" t="str">
        <f>VLOOKUP($A44,[2]!掉落查询,[2]获取途径临时表!N$1,FALSE)</f>
        <v/>
      </c>
      <c r="Q44" t="str">
        <f>VLOOKUP($A44,[2]!掉落查询,[2]获取途径临时表!O$1,FALSE)</f>
        <v/>
      </c>
      <c r="R44" t="str">
        <f>VLOOKUP($A44,[2]!掉落查询,[2]获取途径临时表!P$1,FALSE)</f>
        <v/>
      </c>
      <c r="S44" t="str">
        <f>VLOOKUP($A44,[2]!掉落查询,[2]获取途径临时表!Q$1,FALSE)</f>
        <v/>
      </c>
      <c r="T44" t="str">
        <f>VLOOKUP($A44,[2]!掉落查询,[2]获取途径临时表!R$1,FALSE)</f>
        <v/>
      </c>
    </row>
    <row r="45" spans="1:20" x14ac:dyDescent="0.15">
      <c r="A45">
        <v>83119</v>
      </c>
      <c r="B45" t="s">
        <v>358</v>
      </c>
      <c r="C45">
        <v>0</v>
      </c>
      <c r="D45">
        <f t="shared" si="0"/>
        <v>0</v>
      </c>
      <c r="E45" t="str">
        <f>VLOOKUP($A45,[2]!掉落查询,[2]获取途径临时表!C$1,FALSE)</f>
        <v/>
      </c>
      <c r="F45" t="str">
        <f>VLOOKUP($A45,[2]!掉落查询,[2]获取途径临时表!D$1,FALSE)</f>
        <v/>
      </c>
      <c r="G45" t="str">
        <f>VLOOKUP($A45,[2]!掉落查询,[2]获取途径临时表!E$1,FALSE)</f>
        <v/>
      </c>
      <c r="H45" t="str">
        <f>VLOOKUP($A45,[2]!掉落查询,[2]获取途径临时表!F$1,FALSE)</f>
        <v/>
      </c>
      <c r="I45" t="str">
        <f>VLOOKUP($A45,[2]!掉落查询,[2]获取途径临时表!G$1,FALSE)</f>
        <v/>
      </c>
      <c r="J45" t="str">
        <f>VLOOKUP($A45,[2]!掉落查询,[2]获取途径临时表!H$1,FALSE)</f>
        <v/>
      </c>
      <c r="K45" t="str">
        <f>VLOOKUP($A45,[2]!掉落查询,[2]获取途径临时表!I$1,FALSE)</f>
        <v/>
      </c>
      <c r="L45" t="str">
        <f>VLOOKUP($A45,[2]!掉落查询,[2]获取途径临时表!J$1,FALSE)</f>
        <v/>
      </c>
      <c r="M45" t="str">
        <f>VLOOKUP($A45,[2]!掉落查询,[2]获取途径临时表!K$1,FALSE)</f>
        <v/>
      </c>
      <c r="N45" t="str">
        <f>VLOOKUP($A45,[2]!掉落查询,[2]获取途径临时表!L$1,FALSE)</f>
        <v/>
      </c>
      <c r="O45" t="str">
        <f>VLOOKUP($A45,[2]!掉落查询,[2]获取途径临时表!M$1,FALSE)</f>
        <v/>
      </c>
      <c r="P45" t="str">
        <f>VLOOKUP($A45,[2]!掉落查询,[2]获取途径临时表!N$1,FALSE)</f>
        <v/>
      </c>
      <c r="Q45" t="str">
        <f>VLOOKUP($A45,[2]!掉落查询,[2]获取途径临时表!O$1,FALSE)</f>
        <v/>
      </c>
      <c r="R45" t="str">
        <f>VLOOKUP($A45,[2]!掉落查询,[2]获取途径临时表!P$1,FALSE)</f>
        <v/>
      </c>
      <c r="S45" t="str">
        <f>VLOOKUP($A45,[2]!掉落查询,[2]获取途径临时表!Q$1,FALSE)</f>
        <v/>
      </c>
      <c r="T45" t="str">
        <f>VLOOKUP($A45,[2]!掉落查询,[2]获取途径临时表!R$1,FALSE)</f>
        <v/>
      </c>
    </row>
    <row r="46" spans="1:20" x14ac:dyDescent="0.15">
      <c r="A46">
        <v>83120</v>
      </c>
      <c r="B46" t="s">
        <v>359</v>
      </c>
      <c r="C46">
        <v>0</v>
      </c>
      <c r="D46">
        <f t="shared" si="0"/>
        <v>0</v>
      </c>
      <c r="E46" t="str">
        <f>VLOOKUP($A46,[2]!掉落查询,[2]获取途径临时表!C$1,FALSE)</f>
        <v/>
      </c>
      <c r="F46" t="str">
        <f>VLOOKUP($A46,[2]!掉落查询,[2]获取途径临时表!D$1,FALSE)</f>
        <v/>
      </c>
      <c r="G46" t="str">
        <f>VLOOKUP($A46,[2]!掉落查询,[2]获取途径临时表!E$1,FALSE)</f>
        <v/>
      </c>
      <c r="H46" t="str">
        <f>VLOOKUP($A46,[2]!掉落查询,[2]获取途径临时表!F$1,FALSE)</f>
        <v/>
      </c>
      <c r="I46" t="str">
        <f>VLOOKUP($A46,[2]!掉落查询,[2]获取途径临时表!G$1,FALSE)</f>
        <v/>
      </c>
      <c r="J46" t="str">
        <f>VLOOKUP($A46,[2]!掉落查询,[2]获取途径临时表!H$1,FALSE)</f>
        <v/>
      </c>
      <c r="K46" t="str">
        <f>VLOOKUP($A46,[2]!掉落查询,[2]获取途径临时表!I$1,FALSE)</f>
        <v/>
      </c>
      <c r="L46" t="str">
        <f>VLOOKUP($A46,[2]!掉落查询,[2]获取途径临时表!J$1,FALSE)</f>
        <v/>
      </c>
      <c r="M46" t="str">
        <f>VLOOKUP($A46,[2]!掉落查询,[2]获取途径临时表!K$1,FALSE)</f>
        <v/>
      </c>
      <c r="N46" t="str">
        <f>VLOOKUP($A46,[2]!掉落查询,[2]获取途径临时表!L$1,FALSE)</f>
        <v/>
      </c>
      <c r="O46" t="str">
        <f>VLOOKUP($A46,[2]!掉落查询,[2]获取途径临时表!M$1,FALSE)</f>
        <v/>
      </c>
      <c r="P46" t="str">
        <f>VLOOKUP($A46,[2]!掉落查询,[2]获取途径临时表!N$1,FALSE)</f>
        <v/>
      </c>
      <c r="Q46" t="str">
        <f>VLOOKUP($A46,[2]!掉落查询,[2]获取途径临时表!O$1,FALSE)</f>
        <v/>
      </c>
      <c r="R46" t="str">
        <f>VLOOKUP($A46,[2]!掉落查询,[2]获取途径临时表!P$1,FALSE)</f>
        <v/>
      </c>
      <c r="S46" t="str">
        <f>VLOOKUP($A46,[2]!掉落查询,[2]获取途径临时表!Q$1,FALSE)</f>
        <v/>
      </c>
      <c r="T46" t="str">
        <f>VLOOKUP($A46,[2]!掉落查询,[2]获取途径临时表!R$1,FALSE)</f>
        <v/>
      </c>
    </row>
    <row r="47" spans="1:20" x14ac:dyDescent="0.15">
      <c r="A47">
        <v>83121</v>
      </c>
      <c r="B47" t="s">
        <v>270</v>
      </c>
      <c r="C47">
        <v>0</v>
      </c>
      <c r="D47">
        <f t="shared" si="0"/>
        <v>0</v>
      </c>
      <c r="E47" t="str">
        <f>VLOOKUP($A47,[2]!掉落查询,[2]获取途径临时表!C$1,FALSE)</f>
        <v/>
      </c>
      <c r="F47" t="str">
        <f>VLOOKUP($A47,[2]!掉落查询,[2]获取途径临时表!D$1,FALSE)</f>
        <v/>
      </c>
      <c r="G47" t="str">
        <f>VLOOKUP($A47,[2]!掉落查询,[2]获取途径临时表!E$1,FALSE)</f>
        <v/>
      </c>
      <c r="H47" t="str">
        <f>VLOOKUP($A47,[2]!掉落查询,[2]获取途径临时表!F$1,FALSE)</f>
        <v/>
      </c>
      <c r="I47" t="str">
        <f>VLOOKUP($A47,[2]!掉落查询,[2]获取途径临时表!G$1,FALSE)</f>
        <v/>
      </c>
      <c r="J47" t="str">
        <f>VLOOKUP($A47,[2]!掉落查询,[2]获取途径临时表!H$1,FALSE)</f>
        <v/>
      </c>
      <c r="K47" t="str">
        <f>VLOOKUP($A47,[2]!掉落查询,[2]获取途径临时表!I$1,FALSE)</f>
        <v/>
      </c>
      <c r="L47" t="str">
        <f>VLOOKUP($A47,[2]!掉落查询,[2]获取途径临时表!J$1,FALSE)</f>
        <v/>
      </c>
      <c r="M47" t="str">
        <f>VLOOKUP($A47,[2]!掉落查询,[2]获取途径临时表!K$1,FALSE)</f>
        <v/>
      </c>
      <c r="N47" t="str">
        <f>VLOOKUP($A47,[2]!掉落查询,[2]获取途径临时表!L$1,FALSE)</f>
        <v/>
      </c>
      <c r="O47" t="str">
        <f>VLOOKUP($A47,[2]!掉落查询,[2]获取途径临时表!M$1,FALSE)</f>
        <v/>
      </c>
      <c r="P47" t="str">
        <f>VLOOKUP($A47,[2]!掉落查询,[2]获取途径临时表!N$1,FALSE)</f>
        <v/>
      </c>
      <c r="Q47" t="str">
        <f>VLOOKUP($A47,[2]!掉落查询,[2]获取途径临时表!O$1,FALSE)</f>
        <v/>
      </c>
      <c r="R47" t="str">
        <f>VLOOKUP($A47,[2]!掉落查询,[2]获取途径临时表!P$1,FALSE)</f>
        <v/>
      </c>
      <c r="S47" t="str">
        <f>VLOOKUP($A47,[2]!掉落查询,[2]获取途径临时表!Q$1,FALSE)</f>
        <v/>
      </c>
      <c r="T47" t="str">
        <f>VLOOKUP($A47,[2]!掉落查询,[2]获取途径临时表!R$1,FALSE)</f>
        <v/>
      </c>
    </row>
    <row r="48" spans="1:20" x14ac:dyDescent="0.15">
      <c r="A48">
        <v>83122</v>
      </c>
      <c r="B48" t="s">
        <v>360</v>
      </c>
      <c r="C48">
        <v>0</v>
      </c>
      <c r="D48">
        <f t="shared" si="0"/>
        <v>0</v>
      </c>
      <c r="E48" t="str">
        <f>VLOOKUP($A48,[2]!掉落查询,[2]获取途径临时表!C$1,FALSE)</f>
        <v/>
      </c>
      <c r="F48" t="str">
        <f>VLOOKUP($A48,[2]!掉落查询,[2]获取途径临时表!D$1,FALSE)</f>
        <v/>
      </c>
      <c r="G48" t="str">
        <f>VLOOKUP($A48,[2]!掉落查询,[2]获取途径临时表!E$1,FALSE)</f>
        <v/>
      </c>
      <c r="H48" t="str">
        <f>VLOOKUP($A48,[2]!掉落查询,[2]获取途径临时表!F$1,FALSE)</f>
        <v/>
      </c>
      <c r="I48" t="str">
        <f>VLOOKUP($A48,[2]!掉落查询,[2]获取途径临时表!G$1,FALSE)</f>
        <v/>
      </c>
      <c r="J48" t="str">
        <f>VLOOKUP($A48,[2]!掉落查询,[2]获取途径临时表!H$1,FALSE)</f>
        <v/>
      </c>
      <c r="K48" t="str">
        <f>VLOOKUP($A48,[2]!掉落查询,[2]获取途径临时表!I$1,FALSE)</f>
        <v/>
      </c>
      <c r="L48" t="str">
        <f>VLOOKUP($A48,[2]!掉落查询,[2]获取途径临时表!J$1,FALSE)</f>
        <v/>
      </c>
      <c r="M48" t="str">
        <f>VLOOKUP($A48,[2]!掉落查询,[2]获取途径临时表!K$1,FALSE)</f>
        <v/>
      </c>
      <c r="N48" t="str">
        <f>VLOOKUP($A48,[2]!掉落查询,[2]获取途径临时表!L$1,FALSE)</f>
        <v/>
      </c>
      <c r="O48" t="str">
        <f>VLOOKUP($A48,[2]!掉落查询,[2]获取途径临时表!M$1,FALSE)</f>
        <v/>
      </c>
      <c r="P48" t="str">
        <f>VLOOKUP($A48,[2]!掉落查询,[2]获取途径临时表!N$1,FALSE)</f>
        <v/>
      </c>
      <c r="Q48" t="str">
        <f>VLOOKUP($A48,[2]!掉落查询,[2]获取途径临时表!O$1,FALSE)</f>
        <v/>
      </c>
      <c r="R48" t="str">
        <f>VLOOKUP($A48,[2]!掉落查询,[2]获取途径临时表!P$1,FALSE)</f>
        <v/>
      </c>
      <c r="S48" t="str">
        <f>VLOOKUP($A48,[2]!掉落查询,[2]获取途径临时表!Q$1,FALSE)</f>
        <v/>
      </c>
      <c r="T48" t="str">
        <f>VLOOKUP($A48,[2]!掉落查询,[2]获取途径临时表!R$1,FALSE)</f>
        <v/>
      </c>
    </row>
    <row r="49" spans="1:20" x14ac:dyDescent="0.15">
      <c r="A49">
        <v>78101</v>
      </c>
      <c r="B49" t="s">
        <v>831</v>
      </c>
      <c r="C49">
        <v>430</v>
      </c>
      <c r="D49">
        <f t="shared" si="0"/>
        <v>0</v>
      </c>
      <c r="E49" t="str">
        <f>VLOOKUP($A49,[2]!掉落查询,[2]获取途径临时表!C$1,FALSE)</f>
        <v/>
      </c>
      <c r="F49" t="str">
        <f>VLOOKUP($A49,[2]!掉落查询,[2]获取途径临时表!D$1,FALSE)</f>
        <v/>
      </c>
      <c r="G49" t="str">
        <f>VLOOKUP($A49,[2]!掉落查询,[2]获取途径临时表!E$1,FALSE)</f>
        <v/>
      </c>
      <c r="H49" t="str">
        <f>VLOOKUP($A49,[2]!掉落查询,[2]获取途径临时表!F$1,FALSE)</f>
        <v/>
      </c>
      <c r="I49" t="str">
        <f>VLOOKUP($A49,[2]!掉落查询,[2]获取途径临时表!G$1,FALSE)</f>
        <v/>
      </c>
      <c r="J49" t="str">
        <f>VLOOKUP($A49,[2]!掉落查询,[2]获取途径临时表!H$1,FALSE)</f>
        <v/>
      </c>
      <c r="K49" t="str">
        <f>VLOOKUP($A49,[2]!掉落查询,[2]获取途径临时表!I$1,FALSE)</f>
        <v/>
      </c>
      <c r="L49" t="str">
        <f>VLOOKUP($A49,[2]!掉落查询,[2]获取途径临时表!J$1,FALSE)</f>
        <v/>
      </c>
      <c r="M49" t="str">
        <f>VLOOKUP($A49,[2]!掉落查询,[2]获取途径临时表!K$1,FALSE)</f>
        <v/>
      </c>
      <c r="N49" t="str">
        <f>VLOOKUP($A49,[2]!掉落查询,[2]获取途径临时表!L$1,FALSE)</f>
        <v/>
      </c>
      <c r="O49" t="str">
        <f>VLOOKUP($A49,[2]!掉落查询,[2]获取途径临时表!M$1,FALSE)</f>
        <v/>
      </c>
      <c r="P49" t="str">
        <f>VLOOKUP($A49,[2]!掉落查询,[2]获取途径临时表!N$1,FALSE)</f>
        <v/>
      </c>
      <c r="Q49" t="str">
        <f>VLOOKUP($A49,[2]!掉落查询,[2]获取途径临时表!O$1,FALSE)</f>
        <v/>
      </c>
      <c r="R49" t="str">
        <f>VLOOKUP($A49,[2]!掉落查询,[2]获取途径临时表!P$1,FALSE)</f>
        <v/>
      </c>
      <c r="S49" t="str">
        <f>VLOOKUP($A49,[2]!掉落查询,[2]获取途径临时表!Q$1,FALSE)</f>
        <v/>
      </c>
      <c r="T49" t="str">
        <f>VLOOKUP($A49,[2]!掉落查询,[2]获取途径临时表!R$1,FALSE)</f>
        <v/>
      </c>
    </row>
    <row r="50" spans="1:20" x14ac:dyDescent="0.15">
      <c r="A50">
        <v>78102</v>
      </c>
      <c r="B50" t="s">
        <v>832</v>
      </c>
      <c r="C50">
        <v>430</v>
      </c>
      <c r="D50">
        <f t="shared" si="0"/>
        <v>0</v>
      </c>
      <c r="E50" t="str">
        <f>VLOOKUP($A50,[2]!掉落查询,[2]获取途径临时表!C$1,FALSE)</f>
        <v/>
      </c>
      <c r="F50" t="str">
        <f>VLOOKUP($A50,[2]!掉落查询,[2]获取途径临时表!D$1,FALSE)</f>
        <v/>
      </c>
      <c r="G50" t="str">
        <f>VLOOKUP($A50,[2]!掉落查询,[2]获取途径临时表!E$1,FALSE)</f>
        <v/>
      </c>
      <c r="H50" t="str">
        <f>VLOOKUP($A50,[2]!掉落查询,[2]获取途径临时表!F$1,FALSE)</f>
        <v/>
      </c>
      <c r="I50" t="str">
        <f>VLOOKUP($A50,[2]!掉落查询,[2]获取途径临时表!G$1,FALSE)</f>
        <v/>
      </c>
      <c r="J50" t="str">
        <f>VLOOKUP($A50,[2]!掉落查询,[2]获取途径临时表!H$1,FALSE)</f>
        <v/>
      </c>
      <c r="K50" t="str">
        <f>VLOOKUP($A50,[2]!掉落查询,[2]获取途径临时表!I$1,FALSE)</f>
        <v/>
      </c>
      <c r="L50" t="str">
        <f>VLOOKUP($A50,[2]!掉落查询,[2]获取途径临时表!J$1,FALSE)</f>
        <v/>
      </c>
      <c r="M50" t="str">
        <f>VLOOKUP($A50,[2]!掉落查询,[2]获取途径临时表!K$1,FALSE)</f>
        <v/>
      </c>
      <c r="N50" t="str">
        <f>VLOOKUP($A50,[2]!掉落查询,[2]获取途径临时表!L$1,FALSE)</f>
        <v/>
      </c>
      <c r="O50" t="str">
        <f>VLOOKUP($A50,[2]!掉落查询,[2]获取途径临时表!M$1,FALSE)</f>
        <v/>
      </c>
      <c r="P50" t="str">
        <f>VLOOKUP($A50,[2]!掉落查询,[2]获取途径临时表!N$1,FALSE)</f>
        <v/>
      </c>
      <c r="Q50" t="str">
        <f>VLOOKUP($A50,[2]!掉落查询,[2]获取途径临时表!O$1,FALSE)</f>
        <v/>
      </c>
      <c r="R50" t="str">
        <f>VLOOKUP($A50,[2]!掉落查询,[2]获取途径临时表!P$1,FALSE)</f>
        <v/>
      </c>
      <c r="S50" t="str">
        <f>VLOOKUP($A50,[2]!掉落查询,[2]获取途径临时表!Q$1,FALSE)</f>
        <v/>
      </c>
      <c r="T50" t="str">
        <f>VLOOKUP($A50,[2]!掉落查询,[2]获取途径临时表!R$1,FALSE)</f>
        <v/>
      </c>
    </row>
    <row r="51" spans="1:20" x14ac:dyDescent="0.15">
      <c r="A51">
        <v>78103</v>
      </c>
      <c r="B51" t="s">
        <v>833</v>
      </c>
      <c r="C51">
        <v>430</v>
      </c>
      <c r="D51">
        <f t="shared" si="0"/>
        <v>0</v>
      </c>
      <c r="E51" t="str">
        <f>VLOOKUP($A51,[2]!掉落查询,[2]获取途径临时表!C$1,FALSE)</f>
        <v/>
      </c>
      <c r="F51" t="str">
        <f>VLOOKUP($A51,[2]!掉落查询,[2]获取途径临时表!D$1,FALSE)</f>
        <v/>
      </c>
      <c r="G51" t="str">
        <f>VLOOKUP($A51,[2]!掉落查询,[2]获取途径临时表!E$1,FALSE)</f>
        <v/>
      </c>
      <c r="H51" t="str">
        <f>VLOOKUP($A51,[2]!掉落查询,[2]获取途径临时表!F$1,FALSE)</f>
        <v/>
      </c>
      <c r="I51" t="str">
        <f>VLOOKUP($A51,[2]!掉落查询,[2]获取途径临时表!G$1,FALSE)</f>
        <v/>
      </c>
      <c r="J51" t="str">
        <f>VLOOKUP($A51,[2]!掉落查询,[2]获取途径临时表!H$1,FALSE)</f>
        <v/>
      </c>
      <c r="K51" t="str">
        <f>VLOOKUP($A51,[2]!掉落查询,[2]获取途径临时表!I$1,FALSE)</f>
        <v/>
      </c>
      <c r="L51" t="str">
        <f>VLOOKUP($A51,[2]!掉落查询,[2]获取途径临时表!J$1,FALSE)</f>
        <v/>
      </c>
      <c r="M51" t="str">
        <f>VLOOKUP($A51,[2]!掉落查询,[2]获取途径临时表!K$1,FALSE)</f>
        <v/>
      </c>
      <c r="N51" t="str">
        <f>VLOOKUP($A51,[2]!掉落查询,[2]获取途径临时表!L$1,FALSE)</f>
        <v/>
      </c>
      <c r="O51" t="str">
        <f>VLOOKUP($A51,[2]!掉落查询,[2]获取途径临时表!M$1,FALSE)</f>
        <v/>
      </c>
      <c r="P51" t="str">
        <f>VLOOKUP($A51,[2]!掉落查询,[2]获取途径临时表!N$1,FALSE)</f>
        <v/>
      </c>
      <c r="Q51" t="str">
        <f>VLOOKUP($A51,[2]!掉落查询,[2]获取途径临时表!O$1,FALSE)</f>
        <v/>
      </c>
      <c r="R51" t="str">
        <f>VLOOKUP($A51,[2]!掉落查询,[2]获取途径临时表!P$1,FALSE)</f>
        <v/>
      </c>
      <c r="S51" t="str">
        <f>VLOOKUP($A51,[2]!掉落查询,[2]获取途径临时表!Q$1,FALSE)</f>
        <v/>
      </c>
      <c r="T51" t="str">
        <f>VLOOKUP($A51,[2]!掉落查询,[2]获取途径临时表!R$1,FALSE)</f>
        <v/>
      </c>
    </row>
    <row r="52" spans="1:20" x14ac:dyDescent="0.15">
      <c r="A52">
        <v>78104</v>
      </c>
      <c r="B52" t="s">
        <v>834</v>
      </c>
      <c r="C52">
        <v>430</v>
      </c>
      <c r="D52">
        <f t="shared" si="0"/>
        <v>0</v>
      </c>
      <c r="E52" t="str">
        <f>VLOOKUP($A52,[2]!掉落查询,[2]获取途径临时表!C$1,FALSE)</f>
        <v/>
      </c>
      <c r="F52" t="str">
        <f>VLOOKUP($A52,[2]!掉落查询,[2]获取途径临时表!D$1,FALSE)</f>
        <v/>
      </c>
      <c r="G52" t="str">
        <f>VLOOKUP($A52,[2]!掉落查询,[2]获取途径临时表!E$1,FALSE)</f>
        <v/>
      </c>
      <c r="H52" t="str">
        <f>VLOOKUP($A52,[2]!掉落查询,[2]获取途径临时表!F$1,FALSE)</f>
        <v/>
      </c>
      <c r="I52" t="str">
        <f>VLOOKUP($A52,[2]!掉落查询,[2]获取途径临时表!G$1,FALSE)</f>
        <v/>
      </c>
      <c r="J52" t="str">
        <f>VLOOKUP($A52,[2]!掉落查询,[2]获取途径临时表!H$1,FALSE)</f>
        <v/>
      </c>
      <c r="K52" t="str">
        <f>VLOOKUP($A52,[2]!掉落查询,[2]获取途径临时表!I$1,FALSE)</f>
        <v/>
      </c>
      <c r="L52" t="str">
        <f>VLOOKUP($A52,[2]!掉落查询,[2]获取途径临时表!J$1,FALSE)</f>
        <v/>
      </c>
      <c r="M52" t="str">
        <f>VLOOKUP($A52,[2]!掉落查询,[2]获取途径临时表!K$1,FALSE)</f>
        <v/>
      </c>
      <c r="N52" t="str">
        <f>VLOOKUP($A52,[2]!掉落查询,[2]获取途径临时表!L$1,FALSE)</f>
        <v/>
      </c>
      <c r="O52" t="str">
        <f>VLOOKUP($A52,[2]!掉落查询,[2]获取途径临时表!M$1,FALSE)</f>
        <v/>
      </c>
      <c r="P52" t="str">
        <f>VLOOKUP($A52,[2]!掉落查询,[2]获取途径临时表!N$1,FALSE)</f>
        <v/>
      </c>
      <c r="Q52" t="str">
        <f>VLOOKUP($A52,[2]!掉落查询,[2]获取途径临时表!O$1,FALSE)</f>
        <v/>
      </c>
      <c r="R52" t="str">
        <f>VLOOKUP($A52,[2]!掉落查询,[2]获取途径临时表!P$1,FALSE)</f>
        <v/>
      </c>
      <c r="S52" t="str">
        <f>VLOOKUP($A52,[2]!掉落查询,[2]获取途径临时表!Q$1,FALSE)</f>
        <v/>
      </c>
      <c r="T52" t="str">
        <f>VLOOKUP($A52,[2]!掉落查询,[2]获取途径临时表!R$1,FALSE)</f>
        <v/>
      </c>
    </row>
    <row r="53" spans="1:20" x14ac:dyDescent="0.15">
      <c r="A53">
        <v>78105</v>
      </c>
      <c r="B53" t="s">
        <v>835</v>
      </c>
      <c r="C53">
        <v>430</v>
      </c>
      <c r="D53">
        <f t="shared" si="0"/>
        <v>0</v>
      </c>
      <c r="E53" t="str">
        <f>VLOOKUP($A53,[2]!掉落查询,[2]获取途径临时表!C$1,FALSE)</f>
        <v/>
      </c>
      <c r="F53" t="str">
        <f>VLOOKUP($A53,[2]!掉落查询,[2]获取途径临时表!D$1,FALSE)</f>
        <v/>
      </c>
      <c r="G53" t="str">
        <f>VLOOKUP($A53,[2]!掉落查询,[2]获取途径临时表!E$1,FALSE)</f>
        <v/>
      </c>
      <c r="H53" t="str">
        <f>VLOOKUP($A53,[2]!掉落查询,[2]获取途径临时表!F$1,FALSE)</f>
        <v/>
      </c>
      <c r="I53" t="str">
        <f>VLOOKUP($A53,[2]!掉落查询,[2]获取途径临时表!G$1,FALSE)</f>
        <v/>
      </c>
      <c r="J53" t="str">
        <f>VLOOKUP($A53,[2]!掉落查询,[2]获取途径临时表!H$1,FALSE)</f>
        <v/>
      </c>
      <c r="K53" t="str">
        <f>VLOOKUP($A53,[2]!掉落查询,[2]获取途径临时表!I$1,FALSE)</f>
        <v/>
      </c>
      <c r="L53" t="str">
        <f>VLOOKUP($A53,[2]!掉落查询,[2]获取途径临时表!J$1,FALSE)</f>
        <v/>
      </c>
      <c r="M53" t="str">
        <f>VLOOKUP($A53,[2]!掉落查询,[2]获取途径临时表!K$1,FALSE)</f>
        <v/>
      </c>
      <c r="N53" t="str">
        <f>VLOOKUP($A53,[2]!掉落查询,[2]获取途径临时表!L$1,FALSE)</f>
        <v/>
      </c>
      <c r="O53" t="str">
        <f>VLOOKUP($A53,[2]!掉落查询,[2]获取途径临时表!M$1,FALSE)</f>
        <v/>
      </c>
      <c r="P53" t="str">
        <f>VLOOKUP($A53,[2]!掉落查询,[2]获取途径临时表!N$1,FALSE)</f>
        <v/>
      </c>
      <c r="Q53" t="str">
        <f>VLOOKUP($A53,[2]!掉落查询,[2]获取途径临时表!O$1,FALSE)</f>
        <v/>
      </c>
      <c r="R53" t="str">
        <f>VLOOKUP($A53,[2]!掉落查询,[2]获取途径临时表!P$1,FALSE)</f>
        <v/>
      </c>
      <c r="S53" t="str">
        <f>VLOOKUP($A53,[2]!掉落查询,[2]获取途径临时表!Q$1,FALSE)</f>
        <v/>
      </c>
      <c r="T53" t="str">
        <f>VLOOKUP($A53,[2]!掉落查询,[2]获取途径临时表!R$1,FALSE)</f>
        <v/>
      </c>
    </row>
    <row r="54" spans="1:20" x14ac:dyDescent="0.15">
      <c r="A54">
        <v>78106</v>
      </c>
      <c r="B54" t="s">
        <v>836</v>
      </c>
      <c r="C54">
        <v>430</v>
      </c>
      <c r="D54">
        <f t="shared" si="0"/>
        <v>0</v>
      </c>
      <c r="E54" t="str">
        <f>VLOOKUP($A54,[2]!掉落查询,[2]获取途径临时表!C$1,FALSE)</f>
        <v/>
      </c>
      <c r="F54" t="str">
        <f>VLOOKUP($A54,[2]!掉落查询,[2]获取途径临时表!D$1,FALSE)</f>
        <v/>
      </c>
      <c r="G54" t="str">
        <f>VLOOKUP($A54,[2]!掉落查询,[2]获取途径临时表!E$1,FALSE)</f>
        <v/>
      </c>
      <c r="H54" t="str">
        <f>VLOOKUP($A54,[2]!掉落查询,[2]获取途径临时表!F$1,FALSE)</f>
        <v/>
      </c>
      <c r="I54" t="str">
        <f>VLOOKUP($A54,[2]!掉落查询,[2]获取途径临时表!G$1,FALSE)</f>
        <v/>
      </c>
      <c r="J54" t="str">
        <f>VLOOKUP($A54,[2]!掉落查询,[2]获取途径临时表!H$1,FALSE)</f>
        <v/>
      </c>
      <c r="K54" t="str">
        <f>VLOOKUP($A54,[2]!掉落查询,[2]获取途径临时表!I$1,FALSE)</f>
        <v/>
      </c>
      <c r="L54" t="str">
        <f>VLOOKUP($A54,[2]!掉落查询,[2]获取途径临时表!J$1,FALSE)</f>
        <v/>
      </c>
      <c r="M54" t="str">
        <f>VLOOKUP($A54,[2]!掉落查询,[2]获取途径临时表!K$1,FALSE)</f>
        <v/>
      </c>
      <c r="N54" t="str">
        <f>VLOOKUP($A54,[2]!掉落查询,[2]获取途径临时表!L$1,FALSE)</f>
        <v/>
      </c>
      <c r="O54" t="str">
        <f>VLOOKUP($A54,[2]!掉落查询,[2]获取途径临时表!M$1,FALSE)</f>
        <v/>
      </c>
      <c r="P54" t="str">
        <f>VLOOKUP($A54,[2]!掉落查询,[2]获取途径临时表!N$1,FALSE)</f>
        <v/>
      </c>
      <c r="Q54" t="str">
        <f>VLOOKUP($A54,[2]!掉落查询,[2]获取途径临时表!O$1,FALSE)</f>
        <v/>
      </c>
      <c r="R54" t="str">
        <f>VLOOKUP($A54,[2]!掉落查询,[2]获取途径临时表!P$1,FALSE)</f>
        <v/>
      </c>
      <c r="S54" t="str">
        <f>VLOOKUP($A54,[2]!掉落查询,[2]获取途径临时表!Q$1,FALSE)</f>
        <v/>
      </c>
      <c r="T54" t="str">
        <f>VLOOKUP($A54,[2]!掉落查询,[2]获取途径临时表!R$1,FALSE)</f>
        <v/>
      </c>
    </row>
    <row r="55" spans="1:20" x14ac:dyDescent="0.15">
      <c r="A55">
        <v>78107</v>
      </c>
      <c r="B55" t="s">
        <v>837</v>
      </c>
      <c r="C55">
        <v>430</v>
      </c>
      <c r="D55">
        <f t="shared" si="0"/>
        <v>0</v>
      </c>
      <c r="E55" t="str">
        <f>VLOOKUP($A55,[2]!掉落查询,[2]获取途径临时表!C$1,FALSE)</f>
        <v/>
      </c>
      <c r="F55" t="str">
        <f>VLOOKUP($A55,[2]!掉落查询,[2]获取途径临时表!D$1,FALSE)</f>
        <v/>
      </c>
      <c r="G55" t="str">
        <f>VLOOKUP($A55,[2]!掉落查询,[2]获取途径临时表!E$1,FALSE)</f>
        <v/>
      </c>
      <c r="H55" t="str">
        <f>VLOOKUP($A55,[2]!掉落查询,[2]获取途径临时表!F$1,FALSE)</f>
        <v/>
      </c>
      <c r="I55" t="str">
        <f>VLOOKUP($A55,[2]!掉落查询,[2]获取途径临时表!G$1,FALSE)</f>
        <v/>
      </c>
      <c r="J55" t="str">
        <f>VLOOKUP($A55,[2]!掉落查询,[2]获取途径临时表!H$1,FALSE)</f>
        <v/>
      </c>
      <c r="K55" t="str">
        <f>VLOOKUP($A55,[2]!掉落查询,[2]获取途径临时表!I$1,FALSE)</f>
        <v/>
      </c>
      <c r="L55" t="str">
        <f>VLOOKUP($A55,[2]!掉落查询,[2]获取途径临时表!J$1,FALSE)</f>
        <v/>
      </c>
      <c r="M55" t="str">
        <f>VLOOKUP($A55,[2]!掉落查询,[2]获取途径临时表!K$1,FALSE)</f>
        <v/>
      </c>
      <c r="N55" t="str">
        <f>VLOOKUP($A55,[2]!掉落查询,[2]获取途径临时表!L$1,FALSE)</f>
        <v/>
      </c>
      <c r="O55" t="str">
        <f>VLOOKUP($A55,[2]!掉落查询,[2]获取途径临时表!M$1,FALSE)</f>
        <v/>
      </c>
      <c r="P55" t="str">
        <f>VLOOKUP($A55,[2]!掉落查询,[2]获取途径临时表!N$1,FALSE)</f>
        <v/>
      </c>
      <c r="Q55" t="str">
        <f>VLOOKUP($A55,[2]!掉落查询,[2]获取途径临时表!O$1,FALSE)</f>
        <v/>
      </c>
      <c r="R55" t="str">
        <f>VLOOKUP($A55,[2]!掉落查询,[2]获取途径临时表!P$1,FALSE)</f>
        <v/>
      </c>
      <c r="S55" t="str">
        <f>VLOOKUP($A55,[2]!掉落查询,[2]获取途径临时表!Q$1,FALSE)</f>
        <v/>
      </c>
      <c r="T55" t="str">
        <f>VLOOKUP($A55,[2]!掉落查询,[2]获取途径临时表!R$1,FALSE)</f>
        <v/>
      </c>
    </row>
    <row r="56" spans="1:20" x14ac:dyDescent="0.15">
      <c r="A56">
        <v>78108</v>
      </c>
      <c r="B56" t="s">
        <v>838</v>
      </c>
      <c r="C56">
        <v>430</v>
      </c>
      <c r="D56">
        <f t="shared" si="0"/>
        <v>0</v>
      </c>
      <c r="E56" t="str">
        <f>VLOOKUP($A56,[2]!掉落查询,[2]获取途径临时表!C$1,FALSE)</f>
        <v/>
      </c>
      <c r="F56" t="str">
        <f>VLOOKUP($A56,[2]!掉落查询,[2]获取途径临时表!D$1,FALSE)</f>
        <v/>
      </c>
      <c r="G56" t="str">
        <f>VLOOKUP($A56,[2]!掉落查询,[2]获取途径临时表!E$1,FALSE)</f>
        <v/>
      </c>
      <c r="H56" t="str">
        <f>VLOOKUP($A56,[2]!掉落查询,[2]获取途径临时表!F$1,FALSE)</f>
        <v/>
      </c>
      <c r="I56" t="str">
        <f>VLOOKUP($A56,[2]!掉落查询,[2]获取途径临时表!G$1,FALSE)</f>
        <v/>
      </c>
      <c r="J56" t="str">
        <f>VLOOKUP($A56,[2]!掉落查询,[2]获取途径临时表!H$1,FALSE)</f>
        <v/>
      </c>
      <c r="K56" t="str">
        <f>VLOOKUP($A56,[2]!掉落查询,[2]获取途径临时表!I$1,FALSE)</f>
        <v/>
      </c>
      <c r="L56" t="str">
        <f>VLOOKUP($A56,[2]!掉落查询,[2]获取途径临时表!J$1,FALSE)</f>
        <v/>
      </c>
      <c r="M56" t="str">
        <f>VLOOKUP($A56,[2]!掉落查询,[2]获取途径临时表!K$1,FALSE)</f>
        <v/>
      </c>
      <c r="N56" t="str">
        <f>VLOOKUP($A56,[2]!掉落查询,[2]获取途径临时表!L$1,FALSE)</f>
        <v/>
      </c>
      <c r="O56" t="str">
        <f>VLOOKUP($A56,[2]!掉落查询,[2]获取途径临时表!M$1,FALSE)</f>
        <v/>
      </c>
      <c r="P56" t="str">
        <f>VLOOKUP($A56,[2]!掉落查询,[2]获取途径临时表!N$1,FALSE)</f>
        <v/>
      </c>
      <c r="Q56" t="str">
        <f>VLOOKUP($A56,[2]!掉落查询,[2]获取途径临时表!O$1,FALSE)</f>
        <v/>
      </c>
      <c r="R56" t="str">
        <f>VLOOKUP($A56,[2]!掉落查询,[2]获取途径临时表!P$1,FALSE)</f>
        <v/>
      </c>
      <c r="S56" t="str">
        <f>VLOOKUP($A56,[2]!掉落查询,[2]获取途径临时表!Q$1,FALSE)</f>
        <v/>
      </c>
      <c r="T56" t="str">
        <f>VLOOKUP($A56,[2]!掉落查询,[2]获取途径临时表!R$1,FALSE)</f>
        <v/>
      </c>
    </row>
    <row r="57" spans="1:20" x14ac:dyDescent="0.15">
      <c r="A57">
        <v>78109</v>
      </c>
      <c r="B57" t="s">
        <v>839</v>
      </c>
      <c r="C57">
        <v>431</v>
      </c>
      <c r="D57">
        <f t="shared" si="0"/>
        <v>0</v>
      </c>
      <c r="E57" t="str">
        <f>VLOOKUP($A57,[2]!掉落查询,[2]获取途径临时表!C$1,FALSE)</f>
        <v/>
      </c>
      <c r="F57" t="str">
        <f>VLOOKUP($A57,[2]!掉落查询,[2]获取途径临时表!D$1,FALSE)</f>
        <v/>
      </c>
      <c r="G57" t="str">
        <f>VLOOKUP($A57,[2]!掉落查询,[2]获取途径临时表!E$1,FALSE)</f>
        <v/>
      </c>
      <c r="H57" t="str">
        <f>VLOOKUP($A57,[2]!掉落查询,[2]获取途径临时表!F$1,FALSE)</f>
        <v/>
      </c>
      <c r="I57" t="str">
        <f>VLOOKUP($A57,[2]!掉落查询,[2]获取途径临时表!G$1,FALSE)</f>
        <v/>
      </c>
      <c r="J57" t="str">
        <f>VLOOKUP($A57,[2]!掉落查询,[2]获取途径临时表!H$1,FALSE)</f>
        <v/>
      </c>
      <c r="K57" t="str">
        <f>VLOOKUP($A57,[2]!掉落查询,[2]获取途径临时表!I$1,FALSE)</f>
        <v/>
      </c>
      <c r="L57" t="str">
        <f>VLOOKUP($A57,[2]!掉落查询,[2]获取途径临时表!J$1,FALSE)</f>
        <v/>
      </c>
      <c r="M57" t="str">
        <f>VLOOKUP($A57,[2]!掉落查询,[2]获取途径临时表!K$1,FALSE)</f>
        <v/>
      </c>
      <c r="N57" t="str">
        <f>VLOOKUP($A57,[2]!掉落查询,[2]获取途径临时表!L$1,FALSE)</f>
        <v/>
      </c>
      <c r="O57" t="str">
        <f>VLOOKUP($A57,[2]!掉落查询,[2]获取途径临时表!M$1,FALSE)</f>
        <v/>
      </c>
      <c r="P57" t="str">
        <f>VLOOKUP($A57,[2]!掉落查询,[2]获取途径临时表!N$1,FALSE)</f>
        <v/>
      </c>
      <c r="Q57" t="str">
        <f>VLOOKUP($A57,[2]!掉落查询,[2]获取途径临时表!O$1,FALSE)</f>
        <v/>
      </c>
      <c r="R57" t="str">
        <f>VLOOKUP($A57,[2]!掉落查询,[2]获取途径临时表!P$1,FALSE)</f>
        <v/>
      </c>
      <c r="S57" t="str">
        <f>VLOOKUP($A57,[2]!掉落查询,[2]获取途径临时表!Q$1,FALSE)</f>
        <v/>
      </c>
      <c r="T57" t="str">
        <f>VLOOKUP($A57,[2]!掉落查询,[2]获取途径临时表!R$1,FALSE)</f>
        <v/>
      </c>
    </row>
    <row r="58" spans="1:20" x14ac:dyDescent="0.15">
      <c r="A58">
        <v>78110</v>
      </c>
      <c r="B58" t="s">
        <v>840</v>
      </c>
      <c r="C58">
        <v>430</v>
      </c>
      <c r="D58">
        <f t="shared" si="0"/>
        <v>0</v>
      </c>
      <c r="E58" t="str">
        <f>VLOOKUP($A58,[2]!掉落查询,[2]获取途径临时表!C$1,FALSE)</f>
        <v/>
      </c>
      <c r="F58" t="str">
        <f>VLOOKUP($A58,[2]!掉落查询,[2]获取途径临时表!D$1,FALSE)</f>
        <v/>
      </c>
      <c r="G58" t="str">
        <f>VLOOKUP($A58,[2]!掉落查询,[2]获取途径临时表!E$1,FALSE)</f>
        <v/>
      </c>
      <c r="H58" t="str">
        <f>VLOOKUP($A58,[2]!掉落查询,[2]获取途径临时表!F$1,FALSE)</f>
        <v/>
      </c>
      <c r="I58" t="str">
        <f>VLOOKUP($A58,[2]!掉落查询,[2]获取途径临时表!G$1,FALSE)</f>
        <v/>
      </c>
      <c r="J58" t="str">
        <f>VLOOKUP($A58,[2]!掉落查询,[2]获取途径临时表!H$1,FALSE)</f>
        <v/>
      </c>
      <c r="K58" t="str">
        <f>VLOOKUP($A58,[2]!掉落查询,[2]获取途径临时表!I$1,FALSE)</f>
        <v/>
      </c>
      <c r="L58" t="str">
        <f>VLOOKUP($A58,[2]!掉落查询,[2]获取途径临时表!J$1,FALSE)</f>
        <v/>
      </c>
      <c r="M58" t="str">
        <f>VLOOKUP($A58,[2]!掉落查询,[2]获取途径临时表!K$1,FALSE)</f>
        <v/>
      </c>
      <c r="N58" t="str">
        <f>VLOOKUP($A58,[2]!掉落查询,[2]获取途径临时表!L$1,FALSE)</f>
        <v/>
      </c>
      <c r="O58" t="str">
        <f>VLOOKUP($A58,[2]!掉落查询,[2]获取途径临时表!M$1,FALSE)</f>
        <v/>
      </c>
      <c r="P58" t="str">
        <f>VLOOKUP($A58,[2]!掉落查询,[2]获取途径临时表!N$1,FALSE)</f>
        <v/>
      </c>
      <c r="Q58" t="str">
        <f>VLOOKUP($A58,[2]!掉落查询,[2]获取途径临时表!O$1,FALSE)</f>
        <v/>
      </c>
      <c r="R58" t="str">
        <f>VLOOKUP($A58,[2]!掉落查询,[2]获取途径临时表!P$1,FALSE)</f>
        <v/>
      </c>
      <c r="S58" t="str">
        <f>VLOOKUP($A58,[2]!掉落查询,[2]获取途径临时表!Q$1,FALSE)</f>
        <v/>
      </c>
      <c r="T58" t="str">
        <f>VLOOKUP($A58,[2]!掉落查询,[2]获取途径临时表!R$1,FALSE)</f>
        <v/>
      </c>
    </row>
    <row r="59" spans="1:20" x14ac:dyDescent="0.15">
      <c r="A59">
        <v>78111</v>
      </c>
      <c r="B59" t="s">
        <v>841</v>
      </c>
      <c r="C59">
        <v>430</v>
      </c>
      <c r="D59">
        <f t="shared" si="0"/>
        <v>0</v>
      </c>
      <c r="E59" t="str">
        <f>VLOOKUP($A59,[2]!掉落查询,[2]获取途径临时表!C$1,FALSE)</f>
        <v/>
      </c>
      <c r="F59" t="str">
        <f>VLOOKUP($A59,[2]!掉落查询,[2]获取途径临时表!D$1,FALSE)</f>
        <v/>
      </c>
      <c r="G59" t="str">
        <f>VLOOKUP($A59,[2]!掉落查询,[2]获取途径临时表!E$1,FALSE)</f>
        <v/>
      </c>
      <c r="H59" t="str">
        <f>VLOOKUP($A59,[2]!掉落查询,[2]获取途径临时表!F$1,FALSE)</f>
        <v/>
      </c>
      <c r="I59" t="str">
        <f>VLOOKUP($A59,[2]!掉落查询,[2]获取途径临时表!G$1,FALSE)</f>
        <v/>
      </c>
      <c r="J59" t="str">
        <f>VLOOKUP($A59,[2]!掉落查询,[2]获取途径临时表!H$1,FALSE)</f>
        <v/>
      </c>
      <c r="K59" t="str">
        <f>VLOOKUP($A59,[2]!掉落查询,[2]获取途径临时表!I$1,FALSE)</f>
        <v/>
      </c>
      <c r="L59" t="str">
        <f>VLOOKUP($A59,[2]!掉落查询,[2]获取途径临时表!J$1,FALSE)</f>
        <v/>
      </c>
      <c r="M59" t="str">
        <f>VLOOKUP($A59,[2]!掉落查询,[2]获取途径临时表!K$1,FALSE)</f>
        <v/>
      </c>
      <c r="N59" t="str">
        <f>VLOOKUP($A59,[2]!掉落查询,[2]获取途径临时表!L$1,FALSE)</f>
        <v/>
      </c>
      <c r="O59" t="str">
        <f>VLOOKUP($A59,[2]!掉落查询,[2]获取途径临时表!M$1,FALSE)</f>
        <v/>
      </c>
      <c r="P59" t="str">
        <f>VLOOKUP($A59,[2]!掉落查询,[2]获取途径临时表!N$1,FALSE)</f>
        <v/>
      </c>
      <c r="Q59" t="str">
        <f>VLOOKUP($A59,[2]!掉落查询,[2]获取途径临时表!O$1,FALSE)</f>
        <v/>
      </c>
      <c r="R59" t="str">
        <f>VLOOKUP($A59,[2]!掉落查询,[2]获取途径临时表!P$1,FALSE)</f>
        <v/>
      </c>
      <c r="S59" t="str">
        <f>VLOOKUP($A59,[2]!掉落查询,[2]获取途径临时表!Q$1,FALSE)</f>
        <v/>
      </c>
      <c r="T59" t="str">
        <f>VLOOKUP($A59,[2]!掉落查询,[2]获取途径临时表!R$1,FALSE)</f>
        <v/>
      </c>
    </row>
    <row r="60" spans="1:20" x14ac:dyDescent="0.15">
      <c r="A60">
        <v>78112</v>
      </c>
      <c r="B60" t="s">
        <v>842</v>
      </c>
      <c r="C60">
        <v>430</v>
      </c>
      <c r="D60">
        <f t="shared" si="0"/>
        <v>0</v>
      </c>
      <c r="E60" t="str">
        <f>VLOOKUP($A60,[2]!掉落查询,[2]获取途径临时表!C$1,FALSE)</f>
        <v/>
      </c>
      <c r="F60" t="str">
        <f>VLOOKUP($A60,[2]!掉落查询,[2]获取途径临时表!D$1,FALSE)</f>
        <v/>
      </c>
      <c r="G60" t="str">
        <f>VLOOKUP($A60,[2]!掉落查询,[2]获取途径临时表!E$1,FALSE)</f>
        <v/>
      </c>
      <c r="H60" t="str">
        <f>VLOOKUP($A60,[2]!掉落查询,[2]获取途径临时表!F$1,FALSE)</f>
        <v/>
      </c>
      <c r="I60" t="str">
        <f>VLOOKUP($A60,[2]!掉落查询,[2]获取途径临时表!G$1,FALSE)</f>
        <v/>
      </c>
      <c r="J60" t="str">
        <f>VLOOKUP($A60,[2]!掉落查询,[2]获取途径临时表!H$1,FALSE)</f>
        <v/>
      </c>
      <c r="K60" t="str">
        <f>VLOOKUP($A60,[2]!掉落查询,[2]获取途径临时表!I$1,FALSE)</f>
        <v/>
      </c>
      <c r="L60" t="str">
        <f>VLOOKUP($A60,[2]!掉落查询,[2]获取途径临时表!J$1,FALSE)</f>
        <v/>
      </c>
      <c r="M60" t="str">
        <f>VLOOKUP($A60,[2]!掉落查询,[2]获取途径临时表!K$1,FALSE)</f>
        <v/>
      </c>
      <c r="N60" t="str">
        <f>VLOOKUP($A60,[2]!掉落查询,[2]获取途径临时表!L$1,FALSE)</f>
        <v/>
      </c>
      <c r="O60" t="str">
        <f>VLOOKUP($A60,[2]!掉落查询,[2]获取途径临时表!M$1,FALSE)</f>
        <v/>
      </c>
      <c r="P60" t="str">
        <f>VLOOKUP($A60,[2]!掉落查询,[2]获取途径临时表!N$1,FALSE)</f>
        <v/>
      </c>
      <c r="Q60" t="str">
        <f>VLOOKUP($A60,[2]!掉落查询,[2]获取途径临时表!O$1,FALSE)</f>
        <v/>
      </c>
      <c r="R60" t="str">
        <f>VLOOKUP($A60,[2]!掉落查询,[2]获取途径临时表!P$1,FALSE)</f>
        <v/>
      </c>
      <c r="S60" t="str">
        <f>VLOOKUP($A60,[2]!掉落查询,[2]获取途径临时表!Q$1,FALSE)</f>
        <v/>
      </c>
      <c r="T60" t="str">
        <f>VLOOKUP($A60,[2]!掉落查询,[2]获取途径临时表!R$1,FALSE)</f>
        <v/>
      </c>
    </row>
    <row r="61" spans="1:20" x14ac:dyDescent="0.15">
      <c r="A61">
        <v>78113</v>
      </c>
      <c r="B61" t="s">
        <v>843</v>
      </c>
      <c r="C61">
        <v>430</v>
      </c>
      <c r="D61">
        <f t="shared" si="0"/>
        <v>0</v>
      </c>
      <c r="E61" t="str">
        <f>VLOOKUP($A61,[2]!掉落查询,[2]获取途径临时表!C$1,FALSE)</f>
        <v/>
      </c>
      <c r="F61" t="str">
        <f>VLOOKUP($A61,[2]!掉落查询,[2]获取途径临时表!D$1,FALSE)</f>
        <v/>
      </c>
      <c r="G61" t="str">
        <f>VLOOKUP($A61,[2]!掉落查询,[2]获取途径临时表!E$1,FALSE)</f>
        <v/>
      </c>
      <c r="H61" t="str">
        <f>VLOOKUP($A61,[2]!掉落查询,[2]获取途径临时表!F$1,FALSE)</f>
        <v/>
      </c>
      <c r="I61" t="str">
        <f>VLOOKUP($A61,[2]!掉落查询,[2]获取途径临时表!G$1,FALSE)</f>
        <v/>
      </c>
      <c r="J61" t="str">
        <f>VLOOKUP($A61,[2]!掉落查询,[2]获取途径临时表!H$1,FALSE)</f>
        <v/>
      </c>
      <c r="K61" t="str">
        <f>VLOOKUP($A61,[2]!掉落查询,[2]获取途径临时表!I$1,FALSE)</f>
        <v/>
      </c>
      <c r="L61" t="str">
        <f>VLOOKUP($A61,[2]!掉落查询,[2]获取途径临时表!J$1,FALSE)</f>
        <v/>
      </c>
      <c r="M61" t="str">
        <f>VLOOKUP($A61,[2]!掉落查询,[2]获取途径临时表!K$1,FALSE)</f>
        <v/>
      </c>
      <c r="N61" t="str">
        <f>VLOOKUP($A61,[2]!掉落查询,[2]获取途径临时表!L$1,FALSE)</f>
        <v/>
      </c>
      <c r="O61" t="str">
        <f>VLOOKUP($A61,[2]!掉落查询,[2]获取途径临时表!M$1,FALSE)</f>
        <v/>
      </c>
      <c r="P61" t="str">
        <f>VLOOKUP($A61,[2]!掉落查询,[2]获取途径临时表!N$1,FALSE)</f>
        <v/>
      </c>
      <c r="Q61" t="str">
        <f>VLOOKUP($A61,[2]!掉落查询,[2]获取途径临时表!O$1,FALSE)</f>
        <v/>
      </c>
      <c r="R61" t="str">
        <f>VLOOKUP($A61,[2]!掉落查询,[2]获取途径临时表!P$1,FALSE)</f>
        <v/>
      </c>
      <c r="S61" t="str">
        <f>VLOOKUP($A61,[2]!掉落查询,[2]获取途径临时表!Q$1,FALSE)</f>
        <v/>
      </c>
      <c r="T61" t="str">
        <f>VLOOKUP($A61,[2]!掉落查询,[2]获取途径临时表!R$1,FALSE)</f>
        <v/>
      </c>
    </row>
    <row r="62" spans="1:20" x14ac:dyDescent="0.15">
      <c r="A62">
        <v>78114</v>
      </c>
      <c r="B62" t="s">
        <v>844</v>
      </c>
      <c r="C62">
        <v>430</v>
      </c>
      <c r="D62">
        <f t="shared" si="0"/>
        <v>0</v>
      </c>
      <c r="E62" t="str">
        <f>VLOOKUP($A62,[2]!掉落查询,[2]获取途径临时表!C$1,FALSE)</f>
        <v/>
      </c>
      <c r="F62" t="str">
        <f>VLOOKUP($A62,[2]!掉落查询,[2]获取途径临时表!D$1,FALSE)</f>
        <v/>
      </c>
      <c r="G62" t="str">
        <f>VLOOKUP($A62,[2]!掉落查询,[2]获取途径临时表!E$1,FALSE)</f>
        <v/>
      </c>
      <c r="H62" t="str">
        <f>VLOOKUP($A62,[2]!掉落查询,[2]获取途径临时表!F$1,FALSE)</f>
        <v/>
      </c>
      <c r="I62" t="str">
        <f>VLOOKUP($A62,[2]!掉落查询,[2]获取途径临时表!G$1,FALSE)</f>
        <v/>
      </c>
      <c r="J62" t="str">
        <f>VLOOKUP($A62,[2]!掉落查询,[2]获取途径临时表!H$1,FALSE)</f>
        <v/>
      </c>
      <c r="K62" t="str">
        <f>VLOOKUP($A62,[2]!掉落查询,[2]获取途径临时表!I$1,FALSE)</f>
        <v/>
      </c>
      <c r="N62" t="str">
        <f>VLOOKUP($A62,[2]!掉落查询,[2]获取途径临时表!L$1,FALSE)</f>
        <v/>
      </c>
      <c r="O62" t="str">
        <f>VLOOKUP($A62,[2]!掉落查询,[2]获取途径临时表!M$1,FALSE)</f>
        <v/>
      </c>
      <c r="P62" t="str">
        <f>VLOOKUP($A62,[2]!掉落查询,[2]获取途径临时表!N$1,FALSE)</f>
        <v/>
      </c>
      <c r="Q62" t="str">
        <f>VLOOKUP($A62,[2]!掉落查询,[2]获取途径临时表!O$1,FALSE)</f>
        <v/>
      </c>
      <c r="R62" t="str">
        <f>VLOOKUP($A62,[2]!掉落查询,[2]获取途径临时表!P$1,FALSE)</f>
        <v/>
      </c>
      <c r="S62" t="str">
        <f>VLOOKUP($A62,[2]!掉落查询,[2]获取途径临时表!Q$1,FALSE)</f>
        <v/>
      </c>
      <c r="T62" t="str">
        <f>VLOOKUP($A62,[2]!掉落查询,[2]获取途径临时表!R$1,FALSE)</f>
        <v/>
      </c>
    </row>
    <row r="63" spans="1:20" x14ac:dyDescent="0.15">
      <c r="A63">
        <v>78115</v>
      </c>
      <c r="B63" t="s">
        <v>845</v>
      </c>
      <c r="C63">
        <v>430</v>
      </c>
      <c r="D63">
        <f t="shared" si="0"/>
        <v>0</v>
      </c>
      <c r="E63" t="str">
        <f>VLOOKUP($A63,[2]!掉落查询,[2]获取途径临时表!C$1,FALSE)</f>
        <v/>
      </c>
      <c r="F63" t="str">
        <f>VLOOKUP($A63,[2]!掉落查询,[2]获取途径临时表!D$1,FALSE)</f>
        <v/>
      </c>
      <c r="G63" t="str">
        <f>VLOOKUP($A63,[2]!掉落查询,[2]获取途径临时表!E$1,FALSE)</f>
        <v/>
      </c>
      <c r="H63" t="str">
        <f>VLOOKUP($A63,[2]!掉落查询,[2]获取途径临时表!F$1,FALSE)</f>
        <v/>
      </c>
      <c r="I63" t="str">
        <f>VLOOKUP($A63,[2]!掉落查询,[2]获取途径临时表!G$1,FALSE)</f>
        <v/>
      </c>
      <c r="J63" t="str">
        <f>VLOOKUP($A63,[2]!掉落查询,[2]获取途径临时表!H$1,FALSE)</f>
        <v/>
      </c>
      <c r="K63" t="str">
        <f>VLOOKUP($A63,[2]!掉落查询,[2]获取途径临时表!I$1,FALSE)</f>
        <v/>
      </c>
      <c r="N63" t="str">
        <f>VLOOKUP($A63,[2]!掉落查询,[2]获取途径临时表!L$1,FALSE)</f>
        <v/>
      </c>
      <c r="O63" t="str">
        <f>VLOOKUP($A63,[2]!掉落查询,[2]获取途径临时表!M$1,FALSE)</f>
        <v/>
      </c>
      <c r="P63" t="str">
        <f>VLOOKUP($A63,[2]!掉落查询,[2]获取途径临时表!N$1,FALSE)</f>
        <v/>
      </c>
      <c r="Q63" t="str">
        <f>VLOOKUP($A63,[2]!掉落查询,[2]获取途径临时表!O$1,FALSE)</f>
        <v/>
      </c>
      <c r="R63" t="str">
        <f>VLOOKUP($A63,[2]!掉落查询,[2]获取途径临时表!P$1,FALSE)</f>
        <v/>
      </c>
      <c r="S63" t="str">
        <f>VLOOKUP($A63,[2]!掉落查询,[2]获取途径临时表!Q$1,FALSE)</f>
        <v/>
      </c>
      <c r="T63" t="str">
        <f>VLOOKUP($A63,[2]!掉落查询,[2]获取途径临时表!R$1,FALSE)</f>
        <v/>
      </c>
    </row>
    <row r="64" spans="1:20" x14ac:dyDescent="0.15">
      <c r="A64">
        <v>78116</v>
      </c>
      <c r="B64" t="s">
        <v>846</v>
      </c>
      <c r="C64">
        <v>430</v>
      </c>
      <c r="D64">
        <f t="shared" si="0"/>
        <v>0</v>
      </c>
      <c r="E64" t="str">
        <f>VLOOKUP($A64,[2]!掉落查询,[2]获取途径临时表!C$1,FALSE)</f>
        <v/>
      </c>
      <c r="F64" t="str">
        <f>VLOOKUP($A64,[2]!掉落查询,[2]获取途径临时表!D$1,FALSE)</f>
        <v/>
      </c>
      <c r="G64" t="str">
        <f>VLOOKUP($A64,[2]!掉落查询,[2]获取途径临时表!E$1,FALSE)</f>
        <v/>
      </c>
      <c r="H64" t="str">
        <f>VLOOKUP($A64,[2]!掉落查询,[2]获取途径临时表!F$1,FALSE)</f>
        <v/>
      </c>
      <c r="I64" t="str">
        <f>VLOOKUP($A64,[2]!掉落查询,[2]获取途径临时表!G$1,FALSE)</f>
        <v/>
      </c>
      <c r="J64" t="str">
        <f>VLOOKUP($A64,[2]!掉落查询,[2]获取途径临时表!H$1,FALSE)</f>
        <v/>
      </c>
      <c r="K64" t="str">
        <f>VLOOKUP($A64,[2]!掉落查询,[2]获取途径临时表!I$1,FALSE)</f>
        <v/>
      </c>
      <c r="N64" t="str">
        <f>VLOOKUP($A64,[2]!掉落查询,[2]获取途径临时表!L$1,FALSE)</f>
        <v/>
      </c>
      <c r="O64" t="str">
        <f>VLOOKUP($A64,[2]!掉落查询,[2]获取途径临时表!M$1,FALSE)</f>
        <v/>
      </c>
      <c r="P64" t="str">
        <f>VLOOKUP($A64,[2]!掉落查询,[2]获取途径临时表!N$1,FALSE)</f>
        <v/>
      </c>
      <c r="Q64" t="str">
        <f>VLOOKUP($A64,[2]!掉落查询,[2]获取途径临时表!O$1,FALSE)</f>
        <v/>
      </c>
      <c r="R64" t="str">
        <f>VLOOKUP($A64,[2]!掉落查询,[2]获取途径临时表!P$1,FALSE)</f>
        <v/>
      </c>
      <c r="S64" t="str">
        <f>VLOOKUP($A64,[2]!掉落查询,[2]获取途径临时表!Q$1,FALSE)</f>
        <v/>
      </c>
      <c r="T64" t="str">
        <f>VLOOKUP($A64,[2]!掉落查询,[2]获取途径临时表!R$1,FALSE)</f>
        <v/>
      </c>
    </row>
    <row r="65" spans="1:20" x14ac:dyDescent="0.15">
      <c r="A65">
        <v>78117</v>
      </c>
      <c r="B65" t="s">
        <v>886</v>
      </c>
      <c r="C65">
        <v>430</v>
      </c>
      <c r="D65">
        <f t="shared" ref="D65:D67" si="1">COUNTIF(E65:T65,"&gt;0")</f>
        <v>0</v>
      </c>
      <c r="E65" t="str">
        <f>VLOOKUP($A65,[2]!掉落查询,[2]获取途径临时表!C$1,FALSE)</f>
        <v/>
      </c>
      <c r="F65" t="str">
        <f>VLOOKUP($A65,[2]!掉落查询,[2]获取途径临时表!D$1,FALSE)</f>
        <v/>
      </c>
      <c r="G65" t="str">
        <f>VLOOKUP($A65,[2]!掉落查询,[2]获取途径临时表!E$1,FALSE)</f>
        <v/>
      </c>
      <c r="H65" t="str">
        <f>VLOOKUP($A65,[2]!掉落查询,[2]获取途径临时表!F$1,FALSE)</f>
        <v/>
      </c>
      <c r="I65" t="str">
        <f>VLOOKUP($A65,[2]!掉落查询,[2]获取途径临时表!G$1,FALSE)</f>
        <v/>
      </c>
      <c r="J65" t="str">
        <f>VLOOKUP($A65,[2]!掉落查询,[2]获取途径临时表!H$1,FALSE)</f>
        <v/>
      </c>
      <c r="K65" t="str">
        <f>VLOOKUP($A65,[2]!掉落查询,[2]获取途径临时表!I$1,FALSE)</f>
        <v/>
      </c>
      <c r="N65" t="str">
        <f>VLOOKUP($A65,[2]!掉落查询,[2]获取途径临时表!L$1,FALSE)</f>
        <v/>
      </c>
      <c r="O65" t="str">
        <f>VLOOKUP($A65,[2]!掉落查询,[2]获取途径临时表!M$1,FALSE)</f>
        <v/>
      </c>
      <c r="P65" t="str">
        <f>VLOOKUP($A65,[2]!掉落查询,[2]获取途径临时表!N$1,FALSE)</f>
        <v/>
      </c>
      <c r="Q65" t="str">
        <f>VLOOKUP($A65,[2]!掉落查询,[2]获取途径临时表!O$1,FALSE)</f>
        <v/>
      </c>
      <c r="R65" t="str">
        <f>VLOOKUP($A65,[2]!掉落查询,[2]获取途径临时表!P$1,FALSE)</f>
        <v/>
      </c>
      <c r="S65" t="str">
        <f>VLOOKUP($A65,[2]!掉落查询,[2]获取途径临时表!Q$1,FALSE)</f>
        <v/>
      </c>
      <c r="T65" t="str">
        <f>VLOOKUP($A65,[2]!掉落查询,[2]获取途径临时表!R$1,FALSE)</f>
        <v/>
      </c>
    </row>
    <row r="66" spans="1:20" x14ac:dyDescent="0.15">
      <c r="A66">
        <v>78118</v>
      </c>
      <c r="B66" t="s">
        <v>878</v>
      </c>
      <c r="C66">
        <v>432</v>
      </c>
      <c r="D66">
        <f t="shared" si="1"/>
        <v>0</v>
      </c>
      <c r="E66" t="str">
        <f>VLOOKUP($A66,[2]!掉落查询,[2]获取途径临时表!C$1,FALSE)</f>
        <v/>
      </c>
      <c r="F66" t="str">
        <f>VLOOKUP($A66,[2]!掉落查询,[2]获取途径临时表!D$1,FALSE)</f>
        <v/>
      </c>
      <c r="G66" t="str">
        <f>VLOOKUP($A66,[2]!掉落查询,[2]获取途径临时表!E$1,FALSE)</f>
        <v/>
      </c>
      <c r="H66" t="str">
        <f>VLOOKUP($A66,[2]!掉落查询,[2]获取途径临时表!F$1,FALSE)</f>
        <v/>
      </c>
      <c r="I66" t="str">
        <f>VLOOKUP($A66,[2]!掉落查询,[2]获取途径临时表!G$1,FALSE)</f>
        <v/>
      </c>
      <c r="J66" t="str">
        <f>VLOOKUP($A66,[2]!掉落查询,[2]获取途径临时表!H$1,FALSE)</f>
        <v/>
      </c>
      <c r="K66" t="str">
        <f>VLOOKUP($A66,[2]!掉落查询,[2]获取途径临时表!I$1,FALSE)</f>
        <v/>
      </c>
      <c r="N66" t="str">
        <f>VLOOKUP($A66,[2]!掉落查询,[2]获取途径临时表!L$1,FALSE)</f>
        <v/>
      </c>
      <c r="O66" t="str">
        <f>VLOOKUP($A66,[2]!掉落查询,[2]获取途径临时表!M$1,FALSE)</f>
        <v/>
      </c>
      <c r="P66" t="str">
        <f>VLOOKUP($A66,[2]!掉落查询,[2]获取途径临时表!N$1,FALSE)</f>
        <v/>
      </c>
      <c r="Q66" t="str">
        <f>VLOOKUP($A66,[2]!掉落查询,[2]获取途径临时表!O$1,FALSE)</f>
        <v/>
      </c>
      <c r="R66" t="str">
        <f>VLOOKUP($A66,[2]!掉落查询,[2]获取途径临时表!P$1,FALSE)</f>
        <v/>
      </c>
      <c r="S66" t="str">
        <f>VLOOKUP($A66,[2]!掉落查询,[2]获取途径临时表!Q$1,FALSE)</f>
        <v/>
      </c>
      <c r="T66" t="str">
        <f>VLOOKUP($A66,[2]!掉落查询,[2]获取途径临时表!R$1,FALSE)</f>
        <v/>
      </c>
    </row>
    <row r="67" spans="1:20" x14ac:dyDescent="0.15">
      <c r="A67">
        <v>78119</v>
      </c>
      <c r="B67" t="s">
        <v>879</v>
      </c>
      <c r="C67">
        <v>430</v>
      </c>
      <c r="D67">
        <f t="shared" si="1"/>
        <v>0</v>
      </c>
      <c r="E67" t="str">
        <f>VLOOKUP($A67,[2]!掉落查询,[2]获取途径临时表!C$1,FALSE)</f>
        <v/>
      </c>
      <c r="F67" t="str">
        <f>VLOOKUP($A67,[2]!掉落查询,[2]获取途径临时表!D$1,FALSE)</f>
        <v/>
      </c>
      <c r="G67" t="str">
        <f>VLOOKUP($A67,[2]!掉落查询,[2]获取途径临时表!E$1,FALSE)</f>
        <v/>
      </c>
      <c r="H67" t="str">
        <f>VLOOKUP($A67,[2]!掉落查询,[2]获取途径临时表!F$1,FALSE)</f>
        <v/>
      </c>
      <c r="I67" t="str">
        <f>VLOOKUP($A67,[2]!掉落查询,[2]获取途径临时表!G$1,FALSE)</f>
        <v/>
      </c>
      <c r="J67" t="str">
        <f>VLOOKUP($A67,[2]!掉落查询,[2]获取途径临时表!H$1,FALSE)</f>
        <v/>
      </c>
      <c r="K67" t="str">
        <f>VLOOKUP($A67,[2]!掉落查询,[2]获取途径临时表!I$1,FALSE)</f>
        <v/>
      </c>
      <c r="N67" t="str">
        <f>VLOOKUP($A67,[2]!掉落查询,[2]获取途径临时表!L$1,FALSE)</f>
        <v/>
      </c>
      <c r="O67" t="str">
        <f>VLOOKUP($A67,[2]!掉落查询,[2]获取途径临时表!M$1,FALSE)</f>
        <v/>
      </c>
      <c r="P67" t="str">
        <f>VLOOKUP($A67,[2]!掉落查询,[2]获取途径临时表!N$1,FALSE)</f>
        <v/>
      </c>
      <c r="Q67" t="str">
        <f>VLOOKUP($A67,[2]!掉落查询,[2]获取途径临时表!O$1,FALSE)</f>
        <v/>
      </c>
      <c r="R67" t="str">
        <f>VLOOKUP($A67,[2]!掉落查询,[2]获取途径临时表!P$1,FALSE)</f>
        <v/>
      </c>
      <c r="S67" t="str">
        <f>VLOOKUP($A67,[2]!掉落查询,[2]获取途径临时表!Q$1,FALSE)</f>
        <v/>
      </c>
      <c r="T67" t="str">
        <f>VLOOKUP($A67,[2]!掉落查询,[2]获取途径临时表!R$1,FALSE)</f>
        <v/>
      </c>
    </row>
    <row r="68" spans="1:20" x14ac:dyDescent="0.15">
      <c r="A68">
        <v>70001</v>
      </c>
      <c r="B68" t="s">
        <v>361</v>
      </c>
      <c r="D68">
        <f t="shared" si="0"/>
        <v>0</v>
      </c>
      <c r="E68" t="str">
        <f>VLOOKUP($A68,[2]!掉落查询,[2]获取途径临时表!C$1,FALSE)</f>
        <v/>
      </c>
      <c r="F68" t="str">
        <f>VLOOKUP($A68,[2]!掉落查询,[2]获取途径临时表!D$1,FALSE)</f>
        <v/>
      </c>
      <c r="G68" t="str">
        <f>VLOOKUP($A68,[2]!掉落查询,[2]获取途径临时表!E$1,FALSE)</f>
        <v/>
      </c>
      <c r="H68" t="str">
        <f>VLOOKUP($A68,[2]!掉落查询,[2]获取途径临时表!F$1,FALSE)</f>
        <v/>
      </c>
      <c r="I68" t="str">
        <f>VLOOKUP($A68,[2]!掉落查询,[2]获取途径临时表!G$1,FALSE)</f>
        <v/>
      </c>
      <c r="J68" t="str">
        <f>VLOOKUP($A68,[2]!掉落查询,[2]获取途径临时表!H$1,FALSE)</f>
        <v/>
      </c>
      <c r="K68" t="str">
        <f>VLOOKUP($A68,[2]!掉落查询,[2]获取途径临时表!I$1,FALSE)</f>
        <v/>
      </c>
      <c r="N68" t="str">
        <f>VLOOKUP($A68,[2]!掉落查询,[2]获取途径临时表!L$1,FALSE)</f>
        <v/>
      </c>
      <c r="O68" t="str">
        <f>VLOOKUP($A68,[2]!掉落查询,[2]获取途径临时表!M$1,FALSE)</f>
        <v/>
      </c>
      <c r="P68" t="str">
        <f>VLOOKUP($A68,[2]!掉落查询,[2]获取途径临时表!N$1,FALSE)</f>
        <v/>
      </c>
      <c r="Q68" t="str">
        <f>VLOOKUP($A68,[2]!掉落查询,[2]获取途径临时表!O$1,FALSE)</f>
        <v/>
      </c>
      <c r="R68" t="str">
        <f>VLOOKUP($A68,[2]!掉落查询,[2]获取途径临时表!P$1,FALSE)</f>
        <v/>
      </c>
      <c r="S68" t="str">
        <f>VLOOKUP($A68,[2]!掉落查询,[2]获取途径临时表!Q$1,FALSE)</f>
        <v/>
      </c>
      <c r="T68" t="str">
        <f>VLOOKUP($A68,[2]!掉落查询,[2]获取途径临时表!R$1,FALSE)</f>
        <v/>
      </c>
    </row>
    <row r="69" spans="1:20" x14ac:dyDescent="0.15">
      <c r="A69">
        <v>70002</v>
      </c>
      <c r="B69" t="s">
        <v>362</v>
      </c>
      <c r="D69">
        <f t="shared" si="0"/>
        <v>0</v>
      </c>
      <c r="E69" t="str">
        <f>VLOOKUP($A69,[2]!掉落查询,[2]获取途径临时表!C$1,FALSE)</f>
        <v/>
      </c>
      <c r="F69" t="str">
        <f>VLOOKUP($A69,[2]!掉落查询,[2]获取途径临时表!D$1,FALSE)</f>
        <v/>
      </c>
      <c r="G69" t="str">
        <f>VLOOKUP($A69,[2]!掉落查询,[2]获取途径临时表!E$1,FALSE)</f>
        <v/>
      </c>
      <c r="H69" t="str">
        <f>VLOOKUP($A69,[2]!掉落查询,[2]获取途径临时表!F$1,FALSE)</f>
        <v/>
      </c>
      <c r="I69" t="str">
        <f>VLOOKUP($A69,[2]!掉落查询,[2]获取途径临时表!G$1,FALSE)</f>
        <v/>
      </c>
      <c r="J69" t="str">
        <f>VLOOKUP($A69,[2]!掉落查询,[2]获取途径临时表!H$1,FALSE)</f>
        <v/>
      </c>
      <c r="K69" t="str">
        <f>VLOOKUP($A69,[2]!掉落查询,[2]获取途径临时表!I$1,FALSE)</f>
        <v/>
      </c>
      <c r="N69" t="str">
        <f>VLOOKUP($A69,[2]!掉落查询,[2]获取途径临时表!L$1,FALSE)</f>
        <v/>
      </c>
      <c r="O69" t="str">
        <f>VLOOKUP($A69,[2]!掉落查询,[2]获取途径临时表!M$1,FALSE)</f>
        <v/>
      </c>
      <c r="P69" t="str">
        <f>VLOOKUP($A69,[2]!掉落查询,[2]获取途径临时表!N$1,FALSE)</f>
        <v/>
      </c>
      <c r="Q69" t="str">
        <f>VLOOKUP($A69,[2]!掉落查询,[2]获取途径临时表!O$1,FALSE)</f>
        <v/>
      </c>
      <c r="R69" t="str">
        <f>VLOOKUP($A69,[2]!掉落查询,[2]获取途径临时表!P$1,FALSE)</f>
        <v/>
      </c>
      <c r="S69" t="str">
        <f>VLOOKUP($A69,[2]!掉落查询,[2]获取途径临时表!Q$1,FALSE)</f>
        <v/>
      </c>
      <c r="T69" t="str">
        <f>VLOOKUP($A69,[2]!掉落查询,[2]获取途径临时表!R$1,FALSE)</f>
        <v/>
      </c>
    </row>
    <row r="70" spans="1:20" x14ac:dyDescent="0.15">
      <c r="A70">
        <v>70003</v>
      </c>
      <c r="B70" t="s">
        <v>363</v>
      </c>
      <c r="D70">
        <f t="shared" ref="D70:D122" si="2">COUNTIF(E70:T70,"&gt;0")</f>
        <v>0</v>
      </c>
      <c r="E70" t="str">
        <f>VLOOKUP($A70,[2]!掉落查询,[2]获取途径临时表!C$1,FALSE)</f>
        <v/>
      </c>
      <c r="F70" t="str">
        <f>VLOOKUP($A70,[2]!掉落查询,[2]获取途径临时表!D$1,FALSE)</f>
        <v/>
      </c>
      <c r="G70" t="str">
        <f>VLOOKUP($A70,[2]!掉落查询,[2]获取途径临时表!E$1,FALSE)</f>
        <v/>
      </c>
      <c r="H70" t="str">
        <f>VLOOKUP($A70,[2]!掉落查询,[2]获取途径临时表!F$1,FALSE)</f>
        <v/>
      </c>
      <c r="I70" t="str">
        <f>VLOOKUP($A70,[2]!掉落查询,[2]获取途径临时表!G$1,FALSE)</f>
        <v/>
      </c>
      <c r="J70" t="str">
        <f>VLOOKUP($A70,[2]!掉落查询,[2]获取途径临时表!H$1,FALSE)</f>
        <v/>
      </c>
      <c r="K70" t="str">
        <f>VLOOKUP($A70,[2]!掉落查询,[2]获取途径临时表!I$1,FALSE)</f>
        <v/>
      </c>
      <c r="L70" t="str">
        <f>VLOOKUP($A70,[2]!掉落查询,[2]获取途径临时表!J$1,FALSE)</f>
        <v/>
      </c>
      <c r="M70" t="str">
        <f>VLOOKUP($A70,[2]!掉落查询,[2]获取途径临时表!K$1,FALSE)</f>
        <v/>
      </c>
      <c r="N70" t="str">
        <f>VLOOKUP($A70,[2]!掉落查询,[2]获取途径临时表!L$1,FALSE)</f>
        <v/>
      </c>
      <c r="O70" t="str">
        <f>VLOOKUP($A70,[2]!掉落查询,[2]获取途径临时表!M$1,FALSE)</f>
        <v/>
      </c>
      <c r="P70" t="str">
        <f>VLOOKUP($A70,[2]!掉落查询,[2]获取途径临时表!N$1,FALSE)</f>
        <v/>
      </c>
      <c r="Q70" t="str">
        <f>VLOOKUP($A70,[2]!掉落查询,[2]获取途径临时表!O$1,FALSE)</f>
        <v/>
      </c>
      <c r="R70" t="str">
        <f>VLOOKUP($A70,[2]!掉落查询,[2]获取途径临时表!P$1,FALSE)</f>
        <v/>
      </c>
      <c r="S70" t="str">
        <f>VLOOKUP($A70,[2]!掉落查询,[2]获取途径临时表!Q$1,FALSE)</f>
        <v/>
      </c>
      <c r="T70" t="str">
        <f>VLOOKUP($A70,[2]!掉落查询,[2]获取途径临时表!R$1,FALSE)</f>
        <v/>
      </c>
    </row>
    <row r="71" spans="1:20" x14ac:dyDescent="0.15">
      <c r="A71">
        <v>70101</v>
      </c>
      <c r="B71" t="s">
        <v>364</v>
      </c>
      <c r="C71">
        <v>428</v>
      </c>
      <c r="D71">
        <f t="shared" si="2"/>
        <v>0</v>
      </c>
      <c r="E71" t="str">
        <f>VLOOKUP($A71,[2]!掉落查询,[2]获取途径临时表!C$1,FALSE)</f>
        <v/>
      </c>
      <c r="F71" t="str">
        <f>VLOOKUP($A71,[2]!掉落查询,[2]获取途径临时表!D$1,FALSE)</f>
        <v/>
      </c>
      <c r="G71" t="str">
        <f>VLOOKUP($A71,[2]!掉落查询,[2]获取途径临时表!E$1,FALSE)</f>
        <v/>
      </c>
      <c r="H71" t="str">
        <f>VLOOKUP($A71,[2]!掉落查询,[2]获取途径临时表!F$1,FALSE)</f>
        <v/>
      </c>
      <c r="I71" t="str">
        <f>VLOOKUP($A71,[2]!掉落查询,[2]获取途径临时表!G$1,FALSE)</f>
        <v/>
      </c>
      <c r="J71" t="str">
        <f>VLOOKUP($A71,[2]!掉落查询,[2]获取途径临时表!H$1,FALSE)</f>
        <v/>
      </c>
      <c r="K71" t="str">
        <f>VLOOKUP($A71,[2]!掉落查询,[2]获取途径临时表!I$1,FALSE)</f>
        <v/>
      </c>
      <c r="L71" t="str">
        <f>VLOOKUP($A71,[2]!掉落查询,[2]获取途径临时表!J$1,FALSE)</f>
        <v/>
      </c>
      <c r="M71" t="str">
        <f>VLOOKUP($A71,[2]!掉落查询,[2]获取途径临时表!K$1,FALSE)</f>
        <v/>
      </c>
      <c r="N71" t="str">
        <f>VLOOKUP($A71,[2]!掉落查询,[2]获取途径临时表!L$1,FALSE)</f>
        <v/>
      </c>
      <c r="O71" t="str">
        <f>VLOOKUP($A71,[2]!掉落查询,[2]获取途径临时表!M$1,FALSE)</f>
        <v/>
      </c>
      <c r="P71" t="str">
        <f>VLOOKUP($A71,[2]!掉落查询,[2]获取途径临时表!N$1,FALSE)</f>
        <v/>
      </c>
      <c r="Q71" t="str">
        <f>VLOOKUP($A71,[2]!掉落查询,[2]获取途径临时表!O$1,FALSE)</f>
        <v/>
      </c>
      <c r="R71" t="str">
        <f>VLOOKUP($A71,[2]!掉落查询,[2]获取途径临时表!P$1,FALSE)</f>
        <v/>
      </c>
      <c r="S71" t="str">
        <f>VLOOKUP($A71,[2]!掉落查询,[2]获取途径临时表!Q$1,FALSE)</f>
        <v/>
      </c>
      <c r="T71" t="str">
        <f>VLOOKUP($A71,[2]!掉落查询,[2]获取途径临时表!R$1,FALSE)</f>
        <v/>
      </c>
    </row>
    <row r="72" spans="1:20" x14ac:dyDescent="0.15">
      <c r="A72">
        <v>70201</v>
      </c>
      <c r="B72" t="s">
        <v>365</v>
      </c>
      <c r="C72">
        <v>428</v>
      </c>
      <c r="D72">
        <f t="shared" si="2"/>
        <v>0</v>
      </c>
      <c r="E72" t="str">
        <f>VLOOKUP($A72,[2]!掉落查询,[2]获取途径临时表!C$1,FALSE)</f>
        <v/>
      </c>
      <c r="F72" t="str">
        <f>VLOOKUP($A72,[2]!掉落查询,[2]获取途径临时表!D$1,FALSE)</f>
        <v/>
      </c>
      <c r="G72" t="str">
        <f>VLOOKUP($A72,[2]!掉落查询,[2]获取途径临时表!E$1,FALSE)</f>
        <v/>
      </c>
      <c r="H72" t="str">
        <f>VLOOKUP($A72,[2]!掉落查询,[2]获取途径临时表!F$1,FALSE)</f>
        <v/>
      </c>
      <c r="I72" t="str">
        <f>VLOOKUP($A72,[2]!掉落查询,[2]获取途径临时表!G$1,FALSE)</f>
        <v/>
      </c>
      <c r="J72" t="str">
        <f>VLOOKUP($A72,[2]!掉落查询,[2]获取途径临时表!H$1,FALSE)</f>
        <v/>
      </c>
      <c r="K72" t="str">
        <f>VLOOKUP($A72,[2]!掉落查询,[2]获取途径临时表!I$1,FALSE)</f>
        <v/>
      </c>
      <c r="L72" t="str">
        <f>VLOOKUP($A72,[2]!掉落查询,[2]获取途径临时表!J$1,FALSE)</f>
        <v/>
      </c>
      <c r="M72" t="str">
        <f>VLOOKUP($A72,[2]!掉落查询,[2]获取途径临时表!K$1,FALSE)</f>
        <v/>
      </c>
      <c r="N72" t="str">
        <f>VLOOKUP($A72,[2]!掉落查询,[2]获取途径临时表!L$1,FALSE)</f>
        <v/>
      </c>
      <c r="O72" t="str">
        <f>VLOOKUP($A72,[2]!掉落查询,[2]获取途径临时表!M$1,FALSE)</f>
        <v/>
      </c>
      <c r="P72" t="str">
        <f>VLOOKUP($A72,[2]!掉落查询,[2]获取途径临时表!N$1,FALSE)</f>
        <v/>
      </c>
      <c r="Q72" t="str">
        <f>VLOOKUP($A72,[2]!掉落查询,[2]获取途径临时表!O$1,FALSE)</f>
        <v/>
      </c>
      <c r="R72" t="str">
        <f>VLOOKUP($A72,[2]!掉落查询,[2]获取途径临时表!P$1,FALSE)</f>
        <v/>
      </c>
      <c r="S72" t="str">
        <f>VLOOKUP($A72,[2]!掉落查询,[2]获取途径临时表!Q$1,FALSE)</f>
        <v/>
      </c>
      <c r="T72" t="str">
        <f>VLOOKUP($A72,[2]!掉落查询,[2]获取途径临时表!R$1,FALSE)</f>
        <v/>
      </c>
    </row>
    <row r="73" spans="1:20" x14ac:dyDescent="0.15">
      <c r="A73">
        <v>70301</v>
      </c>
      <c r="B73" t="s">
        <v>366</v>
      </c>
      <c r="C73">
        <v>428</v>
      </c>
      <c r="D73">
        <f t="shared" si="2"/>
        <v>0</v>
      </c>
      <c r="E73" t="str">
        <f>VLOOKUP($A73,[2]!掉落查询,[2]获取途径临时表!C$1,FALSE)</f>
        <v/>
      </c>
      <c r="F73" t="str">
        <f>VLOOKUP($A73,[2]!掉落查询,[2]获取途径临时表!D$1,FALSE)</f>
        <v/>
      </c>
      <c r="G73" t="str">
        <f>VLOOKUP($A73,[2]!掉落查询,[2]获取途径临时表!E$1,FALSE)</f>
        <v/>
      </c>
      <c r="H73" t="str">
        <f>VLOOKUP($A73,[2]!掉落查询,[2]获取途径临时表!F$1,FALSE)</f>
        <v/>
      </c>
      <c r="I73" t="str">
        <f>VLOOKUP($A73,[2]!掉落查询,[2]获取途径临时表!G$1,FALSE)</f>
        <v/>
      </c>
      <c r="J73" t="str">
        <f>VLOOKUP($A73,[2]!掉落查询,[2]获取途径临时表!H$1,FALSE)</f>
        <v/>
      </c>
      <c r="K73" t="str">
        <f>VLOOKUP($A73,[2]!掉落查询,[2]获取途径临时表!I$1,FALSE)</f>
        <v/>
      </c>
      <c r="L73" t="str">
        <f>VLOOKUP($A73,[2]!掉落查询,[2]获取途径临时表!J$1,FALSE)</f>
        <v/>
      </c>
      <c r="M73" t="str">
        <f>VLOOKUP($A73,[2]!掉落查询,[2]获取途径临时表!K$1,FALSE)</f>
        <v/>
      </c>
      <c r="N73" t="str">
        <f>VLOOKUP($A73,[2]!掉落查询,[2]获取途径临时表!L$1,FALSE)</f>
        <v/>
      </c>
      <c r="O73" t="str">
        <f>VLOOKUP($A73,[2]!掉落查询,[2]获取途径临时表!M$1,FALSE)</f>
        <v/>
      </c>
      <c r="P73" t="str">
        <f>VLOOKUP($A73,[2]!掉落查询,[2]获取途径临时表!N$1,FALSE)</f>
        <v/>
      </c>
      <c r="Q73" t="str">
        <f>VLOOKUP($A73,[2]!掉落查询,[2]获取途径临时表!O$1,FALSE)</f>
        <v/>
      </c>
      <c r="R73" t="str">
        <f>VLOOKUP($A73,[2]!掉落查询,[2]获取途径临时表!P$1,FALSE)</f>
        <v/>
      </c>
      <c r="S73" t="str">
        <f>VLOOKUP($A73,[2]!掉落查询,[2]获取途径临时表!Q$1,FALSE)</f>
        <v/>
      </c>
      <c r="T73" t="str">
        <f>VLOOKUP($A73,[2]!掉落查询,[2]获取途径临时表!R$1,FALSE)</f>
        <v/>
      </c>
    </row>
    <row r="74" spans="1:20" x14ac:dyDescent="0.15">
      <c r="A74">
        <v>70401</v>
      </c>
      <c r="B74" t="s">
        <v>367</v>
      </c>
      <c r="C74">
        <v>0</v>
      </c>
      <c r="D74">
        <f t="shared" si="2"/>
        <v>0</v>
      </c>
      <c r="E74" t="str">
        <f>VLOOKUP($A74,[2]!掉落查询,[2]获取途径临时表!C$1,FALSE)</f>
        <v/>
      </c>
      <c r="F74" t="str">
        <f>VLOOKUP($A74,[2]!掉落查询,[2]获取途径临时表!D$1,FALSE)</f>
        <v/>
      </c>
      <c r="G74" t="str">
        <f>VLOOKUP($A74,[2]!掉落查询,[2]获取途径临时表!E$1,FALSE)</f>
        <v/>
      </c>
      <c r="H74" t="str">
        <f>VLOOKUP($A74,[2]!掉落查询,[2]获取途径临时表!F$1,FALSE)</f>
        <v/>
      </c>
      <c r="I74" t="str">
        <f>VLOOKUP($A74,[2]!掉落查询,[2]获取途径临时表!G$1,FALSE)</f>
        <v/>
      </c>
      <c r="J74" t="str">
        <f>VLOOKUP($A74,[2]!掉落查询,[2]获取途径临时表!H$1,FALSE)</f>
        <v/>
      </c>
      <c r="K74" t="str">
        <f>VLOOKUP($A74,[2]!掉落查询,[2]获取途径临时表!I$1,FALSE)</f>
        <v/>
      </c>
      <c r="L74" t="str">
        <f>VLOOKUP($A74,[2]!掉落查询,[2]获取途径临时表!J$1,FALSE)</f>
        <v/>
      </c>
      <c r="M74" t="str">
        <f>VLOOKUP($A74,[2]!掉落查询,[2]获取途径临时表!K$1,FALSE)</f>
        <v/>
      </c>
      <c r="N74" t="str">
        <f>VLOOKUP($A74,[2]!掉落查询,[2]获取途径临时表!L$1,FALSE)</f>
        <v/>
      </c>
      <c r="O74" t="str">
        <f>VLOOKUP($A74,[2]!掉落查询,[2]获取途径临时表!M$1,FALSE)</f>
        <v/>
      </c>
      <c r="P74" t="str">
        <f>VLOOKUP($A74,[2]!掉落查询,[2]获取途径临时表!N$1,FALSE)</f>
        <v/>
      </c>
      <c r="Q74" t="str">
        <f>VLOOKUP($A74,[2]!掉落查询,[2]获取途径临时表!O$1,FALSE)</f>
        <v/>
      </c>
      <c r="R74" t="str">
        <f>VLOOKUP($A74,[2]!掉落查询,[2]获取途径临时表!P$1,FALSE)</f>
        <v/>
      </c>
      <c r="S74" t="str">
        <f>VLOOKUP($A74,[2]!掉落查询,[2]获取途径临时表!Q$1,FALSE)</f>
        <v/>
      </c>
      <c r="T74" t="str">
        <f>VLOOKUP($A74,[2]!掉落查询,[2]获取途径临时表!R$1,FALSE)</f>
        <v/>
      </c>
    </row>
    <row r="75" spans="1:20" x14ac:dyDescent="0.15">
      <c r="A75">
        <v>70501</v>
      </c>
      <c r="B75" t="s">
        <v>368</v>
      </c>
      <c r="C75">
        <v>0</v>
      </c>
      <c r="D75">
        <f t="shared" si="2"/>
        <v>0</v>
      </c>
      <c r="E75" t="str">
        <f>VLOOKUP($A75,[2]!掉落查询,[2]获取途径临时表!C$1,FALSE)</f>
        <v/>
      </c>
      <c r="F75" t="str">
        <f>VLOOKUP($A75,[2]!掉落查询,[2]获取途径临时表!D$1,FALSE)</f>
        <v/>
      </c>
      <c r="G75" t="str">
        <f>VLOOKUP($A75,[2]!掉落查询,[2]获取途径临时表!E$1,FALSE)</f>
        <v/>
      </c>
      <c r="H75" t="str">
        <f>VLOOKUP($A75,[2]!掉落查询,[2]获取途径临时表!F$1,FALSE)</f>
        <v/>
      </c>
      <c r="I75" t="str">
        <f>VLOOKUP($A75,[2]!掉落查询,[2]获取途径临时表!G$1,FALSE)</f>
        <v/>
      </c>
      <c r="J75" t="str">
        <f>VLOOKUP($A75,[2]!掉落查询,[2]获取途径临时表!H$1,FALSE)</f>
        <v/>
      </c>
      <c r="K75" t="str">
        <f>VLOOKUP($A75,[2]!掉落查询,[2]获取途径临时表!I$1,FALSE)</f>
        <v/>
      </c>
      <c r="L75" t="str">
        <f>VLOOKUP($A75,[2]!掉落查询,[2]获取途径临时表!J$1,FALSE)</f>
        <v/>
      </c>
      <c r="M75" t="str">
        <f>VLOOKUP($A75,[2]!掉落查询,[2]获取途径临时表!K$1,FALSE)</f>
        <v/>
      </c>
      <c r="N75" t="str">
        <f>VLOOKUP($A75,[2]!掉落查询,[2]获取途径临时表!L$1,FALSE)</f>
        <v/>
      </c>
      <c r="O75" t="str">
        <f>VLOOKUP($A75,[2]!掉落查询,[2]获取途径临时表!M$1,FALSE)</f>
        <v/>
      </c>
      <c r="P75" t="str">
        <f>VLOOKUP($A75,[2]!掉落查询,[2]获取途径临时表!N$1,FALSE)</f>
        <v/>
      </c>
      <c r="Q75" t="str">
        <f>VLOOKUP($A75,[2]!掉落查询,[2]获取途径临时表!O$1,FALSE)</f>
        <v/>
      </c>
      <c r="R75" t="str">
        <f>VLOOKUP($A75,[2]!掉落查询,[2]获取途径临时表!P$1,FALSE)</f>
        <v/>
      </c>
      <c r="S75" t="str">
        <f>VLOOKUP($A75,[2]!掉落查询,[2]获取途径临时表!Q$1,FALSE)</f>
        <v/>
      </c>
      <c r="T75" t="str">
        <f>VLOOKUP($A75,[2]!掉落查询,[2]获取途径临时表!R$1,FALSE)</f>
        <v/>
      </c>
    </row>
    <row r="76" spans="1:20" x14ac:dyDescent="0.15">
      <c r="A76">
        <v>82100</v>
      </c>
      <c r="B76" t="s">
        <v>369</v>
      </c>
      <c r="C76">
        <v>0</v>
      </c>
      <c r="D76">
        <f t="shared" si="2"/>
        <v>0</v>
      </c>
      <c r="E76" t="str">
        <f>VLOOKUP($A76,[2]!掉落查询,[2]获取途径临时表!C$1,FALSE)</f>
        <v/>
      </c>
      <c r="F76" t="str">
        <f>VLOOKUP($A76,[2]!掉落查询,[2]获取途径临时表!D$1,FALSE)</f>
        <v/>
      </c>
      <c r="G76" t="str">
        <f>VLOOKUP($A76,[2]!掉落查询,[2]获取途径临时表!E$1,FALSE)</f>
        <v/>
      </c>
      <c r="H76" t="str">
        <f>VLOOKUP($A76,[2]!掉落查询,[2]获取途径临时表!F$1,FALSE)</f>
        <v/>
      </c>
      <c r="I76" t="str">
        <f>VLOOKUP($A76,[2]!掉落查询,[2]获取途径临时表!G$1,FALSE)</f>
        <v/>
      </c>
      <c r="J76" t="str">
        <f>VLOOKUP($A76,[2]!掉落查询,[2]获取途径临时表!H$1,FALSE)</f>
        <v/>
      </c>
      <c r="K76" t="str">
        <f>VLOOKUP($A76,[2]!掉落查询,[2]获取途径临时表!I$1,FALSE)</f>
        <v/>
      </c>
      <c r="L76" t="str">
        <f>VLOOKUP($A76,[2]!掉落查询,[2]获取途径临时表!J$1,FALSE)</f>
        <v/>
      </c>
      <c r="M76" t="str">
        <f>VLOOKUP($A76,[2]!掉落查询,[2]获取途径临时表!K$1,FALSE)</f>
        <v/>
      </c>
      <c r="N76" t="str">
        <f>VLOOKUP($A76,[2]!掉落查询,[2]获取途径临时表!L$1,FALSE)</f>
        <v/>
      </c>
      <c r="O76" t="str">
        <f>VLOOKUP($A76,[2]!掉落查询,[2]获取途径临时表!M$1,FALSE)</f>
        <v/>
      </c>
      <c r="P76" t="str">
        <f>VLOOKUP($A76,[2]!掉落查询,[2]获取途径临时表!N$1,FALSE)</f>
        <v/>
      </c>
      <c r="Q76" t="str">
        <f>VLOOKUP($A76,[2]!掉落查询,[2]获取途径临时表!O$1,FALSE)</f>
        <v/>
      </c>
      <c r="R76" t="str">
        <f>VLOOKUP($A76,[2]!掉落查询,[2]获取途径临时表!P$1,FALSE)</f>
        <v/>
      </c>
      <c r="S76" t="str">
        <f>VLOOKUP($A76,[2]!掉落查询,[2]获取途径临时表!Q$1,FALSE)</f>
        <v/>
      </c>
      <c r="T76" t="str">
        <f>VLOOKUP($A76,[2]!掉落查询,[2]获取途径临时表!R$1,FALSE)</f>
        <v/>
      </c>
    </row>
    <row r="77" spans="1:20" x14ac:dyDescent="0.15">
      <c r="A77">
        <v>82200</v>
      </c>
      <c r="B77" t="s">
        <v>370</v>
      </c>
      <c r="C77">
        <v>0</v>
      </c>
      <c r="D77">
        <f t="shared" si="2"/>
        <v>0</v>
      </c>
      <c r="E77" t="str">
        <f>VLOOKUP($A77,[2]!掉落查询,[2]获取途径临时表!C$1,FALSE)</f>
        <v/>
      </c>
      <c r="F77" t="str">
        <f>VLOOKUP($A77,[2]!掉落查询,[2]获取途径临时表!D$1,FALSE)</f>
        <v/>
      </c>
      <c r="G77" t="str">
        <f>VLOOKUP($A77,[2]!掉落查询,[2]获取途径临时表!E$1,FALSE)</f>
        <v/>
      </c>
      <c r="H77" t="str">
        <f>VLOOKUP($A77,[2]!掉落查询,[2]获取途径临时表!F$1,FALSE)</f>
        <v/>
      </c>
      <c r="I77" t="str">
        <f>VLOOKUP($A77,[2]!掉落查询,[2]获取途径临时表!G$1,FALSE)</f>
        <v/>
      </c>
      <c r="J77" t="str">
        <f>VLOOKUP($A77,[2]!掉落查询,[2]获取途径临时表!H$1,FALSE)</f>
        <v/>
      </c>
      <c r="K77" t="str">
        <f>VLOOKUP($A77,[2]!掉落查询,[2]获取途径临时表!I$1,FALSE)</f>
        <v/>
      </c>
      <c r="L77" t="str">
        <f>VLOOKUP($A77,[2]!掉落查询,[2]获取途径临时表!J$1,FALSE)</f>
        <v/>
      </c>
      <c r="M77" t="str">
        <f>VLOOKUP($A77,[2]!掉落查询,[2]获取途径临时表!K$1,FALSE)</f>
        <v/>
      </c>
      <c r="N77" t="str">
        <f>VLOOKUP($A77,[2]!掉落查询,[2]获取途径临时表!L$1,FALSE)</f>
        <v/>
      </c>
      <c r="O77" t="str">
        <f>VLOOKUP($A77,[2]!掉落查询,[2]获取途径临时表!M$1,FALSE)</f>
        <v/>
      </c>
      <c r="P77" t="str">
        <f>VLOOKUP($A77,[2]!掉落查询,[2]获取途径临时表!N$1,FALSE)</f>
        <v/>
      </c>
      <c r="Q77" t="str">
        <f>VLOOKUP($A77,[2]!掉落查询,[2]获取途径临时表!O$1,FALSE)</f>
        <v/>
      </c>
      <c r="R77" t="str">
        <f>VLOOKUP($A77,[2]!掉落查询,[2]获取途径临时表!P$1,FALSE)</f>
        <v/>
      </c>
      <c r="S77" t="str">
        <f>VLOOKUP($A77,[2]!掉落查询,[2]获取途径临时表!Q$1,FALSE)</f>
        <v/>
      </c>
      <c r="T77" t="str">
        <f>VLOOKUP($A77,[2]!掉落查询,[2]获取途径临时表!R$1,FALSE)</f>
        <v/>
      </c>
    </row>
    <row r="78" spans="1:20" x14ac:dyDescent="0.15">
      <c r="A78">
        <v>82300</v>
      </c>
      <c r="B78" t="s">
        <v>371</v>
      </c>
      <c r="C78">
        <v>0</v>
      </c>
      <c r="D78">
        <f t="shared" si="2"/>
        <v>0</v>
      </c>
      <c r="E78" t="str">
        <f>VLOOKUP($A78,[2]!掉落查询,[2]获取途径临时表!C$1,FALSE)</f>
        <v/>
      </c>
      <c r="F78" t="str">
        <f>VLOOKUP($A78,[2]!掉落查询,[2]获取途径临时表!D$1,FALSE)</f>
        <v/>
      </c>
      <c r="G78" t="str">
        <f>VLOOKUP($A78,[2]!掉落查询,[2]获取途径临时表!E$1,FALSE)</f>
        <v/>
      </c>
      <c r="H78" t="str">
        <f>VLOOKUP($A78,[2]!掉落查询,[2]获取途径临时表!F$1,FALSE)</f>
        <v/>
      </c>
      <c r="I78" t="str">
        <f>VLOOKUP($A78,[2]!掉落查询,[2]获取途径临时表!G$1,FALSE)</f>
        <v/>
      </c>
      <c r="J78" t="str">
        <f>VLOOKUP($A78,[2]!掉落查询,[2]获取途径临时表!H$1,FALSE)</f>
        <v/>
      </c>
      <c r="K78" t="str">
        <f>VLOOKUP($A78,[2]!掉落查询,[2]获取途径临时表!I$1,FALSE)</f>
        <v/>
      </c>
      <c r="L78" t="str">
        <f>VLOOKUP($A78,[2]!掉落查询,[2]获取途径临时表!J$1,FALSE)</f>
        <v/>
      </c>
      <c r="M78" t="str">
        <f>VLOOKUP($A78,[2]!掉落查询,[2]获取途径临时表!K$1,FALSE)</f>
        <v/>
      </c>
      <c r="N78" t="str">
        <f>VLOOKUP($A78,[2]!掉落查询,[2]获取途径临时表!L$1,FALSE)</f>
        <v/>
      </c>
      <c r="O78" t="str">
        <f>VLOOKUP($A78,[2]!掉落查询,[2]获取途径临时表!M$1,FALSE)</f>
        <v/>
      </c>
      <c r="P78" t="str">
        <f>VLOOKUP($A78,[2]!掉落查询,[2]获取途径临时表!N$1,FALSE)</f>
        <v/>
      </c>
      <c r="Q78" t="str">
        <f>VLOOKUP($A78,[2]!掉落查询,[2]获取途径临时表!O$1,FALSE)</f>
        <v/>
      </c>
      <c r="R78" t="str">
        <f>VLOOKUP($A78,[2]!掉落查询,[2]获取途径临时表!P$1,FALSE)</f>
        <v/>
      </c>
      <c r="S78" t="str">
        <f>VLOOKUP($A78,[2]!掉落查询,[2]获取途径临时表!Q$1,FALSE)</f>
        <v/>
      </c>
      <c r="T78" t="str">
        <f>VLOOKUP($A78,[2]!掉落查询,[2]获取途径临时表!R$1,FALSE)</f>
        <v/>
      </c>
    </row>
    <row r="79" spans="1:20" x14ac:dyDescent="0.15">
      <c r="A79" s="16">
        <v>91100</v>
      </c>
      <c r="B79" s="16" t="s">
        <v>329</v>
      </c>
      <c r="C79">
        <v>0</v>
      </c>
      <c r="D79">
        <f t="shared" si="2"/>
        <v>0</v>
      </c>
      <c r="E79" t="str">
        <f>VLOOKUP($A79,[2]!掉落查询,[2]获取途径临时表!C$1,FALSE)</f>
        <v/>
      </c>
      <c r="F79" t="str">
        <f>VLOOKUP($A79,[2]!掉落查询,[2]获取途径临时表!D$1,FALSE)</f>
        <v/>
      </c>
      <c r="G79" t="str">
        <f>VLOOKUP($A79,[2]!掉落查询,[2]获取途径临时表!E$1,FALSE)</f>
        <v/>
      </c>
      <c r="H79" t="str">
        <f>VLOOKUP($A79,[2]!掉落查询,[2]获取途径临时表!F$1,FALSE)</f>
        <v/>
      </c>
      <c r="I79" t="str">
        <f>VLOOKUP($A79,[2]!掉落查询,[2]获取途径临时表!G$1,FALSE)</f>
        <v/>
      </c>
      <c r="J79" t="str">
        <f>VLOOKUP($A79,[2]!掉落查询,[2]获取途径临时表!H$1,FALSE)</f>
        <v/>
      </c>
      <c r="K79" t="str">
        <f>VLOOKUP($A79,[2]!掉落查询,[2]获取途径临时表!I$1,FALSE)</f>
        <v/>
      </c>
      <c r="L79" t="str">
        <f>VLOOKUP($A79,[2]!掉落查询,[2]获取途径临时表!J$1,FALSE)</f>
        <v/>
      </c>
      <c r="M79" t="str">
        <f>VLOOKUP($A79,[2]!掉落查询,[2]获取途径临时表!K$1,FALSE)</f>
        <v/>
      </c>
      <c r="N79" t="str">
        <f>VLOOKUP($A79,[2]!掉落查询,[2]获取途径临时表!L$1,FALSE)</f>
        <v/>
      </c>
      <c r="O79" t="str">
        <f>VLOOKUP($A79,[2]!掉落查询,[2]获取途径临时表!M$1,FALSE)</f>
        <v/>
      </c>
      <c r="P79" t="str">
        <f>VLOOKUP($A79,[2]!掉落查询,[2]获取途径临时表!N$1,FALSE)</f>
        <v/>
      </c>
      <c r="Q79" t="str">
        <f>VLOOKUP($A79,[2]!掉落查询,[2]获取途径临时表!O$1,FALSE)</f>
        <v/>
      </c>
      <c r="R79" t="str">
        <f>VLOOKUP($A79,[2]!掉落查询,[2]获取途径临时表!P$1,FALSE)</f>
        <v/>
      </c>
      <c r="S79" t="str">
        <f>VLOOKUP($A79,[2]!掉落查询,[2]获取途径临时表!Q$1,FALSE)</f>
        <v/>
      </c>
      <c r="T79" t="str">
        <f>VLOOKUP($A79,[2]!掉落查询,[2]获取途径临时表!R$1,FALSE)</f>
        <v/>
      </c>
    </row>
    <row r="80" spans="1:20" x14ac:dyDescent="0.15">
      <c r="A80" s="16">
        <v>91200</v>
      </c>
      <c r="B80" s="16" t="s">
        <v>372</v>
      </c>
      <c r="C80">
        <v>0</v>
      </c>
      <c r="D80">
        <f t="shared" si="2"/>
        <v>0</v>
      </c>
      <c r="E80" t="str">
        <f>VLOOKUP($A80,[2]!掉落查询,[2]获取途径临时表!C$1,FALSE)</f>
        <v/>
      </c>
      <c r="F80" t="str">
        <f>VLOOKUP($A80,[2]!掉落查询,[2]获取途径临时表!D$1,FALSE)</f>
        <v/>
      </c>
      <c r="G80" t="str">
        <f>VLOOKUP($A80,[2]!掉落查询,[2]获取途径临时表!E$1,FALSE)</f>
        <v/>
      </c>
      <c r="H80" t="str">
        <f>VLOOKUP($A80,[2]!掉落查询,[2]获取途径临时表!F$1,FALSE)</f>
        <v/>
      </c>
      <c r="I80" t="str">
        <f>VLOOKUP($A80,[2]!掉落查询,[2]获取途径临时表!G$1,FALSE)</f>
        <v/>
      </c>
      <c r="J80" t="str">
        <f>VLOOKUP($A80,[2]!掉落查询,[2]获取途径临时表!H$1,FALSE)</f>
        <v/>
      </c>
      <c r="K80" t="str">
        <f>VLOOKUP($A80,[2]!掉落查询,[2]获取途径临时表!I$1,FALSE)</f>
        <v/>
      </c>
      <c r="L80" t="str">
        <f>VLOOKUP($A80,[2]!掉落查询,[2]获取途径临时表!J$1,FALSE)</f>
        <v/>
      </c>
      <c r="M80" t="str">
        <f>VLOOKUP($A80,[2]!掉落查询,[2]获取途径临时表!K$1,FALSE)</f>
        <v/>
      </c>
      <c r="N80" t="str">
        <f>VLOOKUP($A80,[2]!掉落查询,[2]获取途径临时表!L$1,FALSE)</f>
        <v/>
      </c>
      <c r="O80" t="str">
        <f>VLOOKUP($A80,[2]!掉落查询,[2]获取途径临时表!M$1,FALSE)</f>
        <v/>
      </c>
      <c r="P80" t="str">
        <f>VLOOKUP($A80,[2]!掉落查询,[2]获取途径临时表!N$1,FALSE)</f>
        <v/>
      </c>
      <c r="Q80" t="str">
        <f>VLOOKUP($A80,[2]!掉落查询,[2]获取途径临时表!O$1,FALSE)</f>
        <v/>
      </c>
      <c r="R80" t="str">
        <f>VLOOKUP($A80,[2]!掉落查询,[2]获取途径临时表!P$1,FALSE)</f>
        <v/>
      </c>
      <c r="S80" t="str">
        <f>VLOOKUP($A80,[2]!掉落查询,[2]获取途径临时表!Q$1,FALSE)</f>
        <v/>
      </c>
      <c r="T80" t="str">
        <f>VLOOKUP($A80,[2]!掉落查询,[2]获取途径临时表!R$1,FALSE)</f>
        <v/>
      </c>
    </row>
    <row r="81" spans="1:20" x14ac:dyDescent="0.15">
      <c r="A81" s="16">
        <v>91300</v>
      </c>
      <c r="B81" s="16" t="s">
        <v>373</v>
      </c>
      <c r="C81">
        <v>0</v>
      </c>
      <c r="D81">
        <f t="shared" si="2"/>
        <v>0</v>
      </c>
      <c r="E81" t="str">
        <f>VLOOKUP($A81,[2]!掉落查询,[2]获取途径临时表!C$1,FALSE)</f>
        <v/>
      </c>
      <c r="F81" t="str">
        <f>VLOOKUP($A81,[2]!掉落查询,[2]获取途径临时表!D$1,FALSE)</f>
        <v/>
      </c>
      <c r="G81" t="str">
        <f>VLOOKUP($A81,[2]!掉落查询,[2]获取途径临时表!E$1,FALSE)</f>
        <v/>
      </c>
      <c r="H81" t="str">
        <f>VLOOKUP($A81,[2]!掉落查询,[2]获取途径临时表!F$1,FALSE)</f>
        <v/>
      </c>
      <c r="I81" t="str">
        <f>VLOOKUP($A81,[2]!掉落查询,[2]获取途径临时表!G$1,FALSE)</f>
        <v/>
      </c>
      <c r="J81" t="str">
        <f>VLOOKUP($A81,[2]!掉落查询,[2]获取途径临时表!H$1,FALSE)</f>
        <v/>
      </c>
      <c r="K81" t="str">
        <f>VLOOKUP($A81,[2]!掉落查询,[2]获取途径临时表!I$1,FALSE)</f>
        <v/>
      </c>
      <c r="L81" t="str">
        <f>VLOOKUP($A81,[2]!掉落查询,[2]获取途径临时表!J$1,FALSE)</f>
        <v/>
      </c>
      <c r="M81" t="str">
        <f>VLOOKUP($A81,[2]!掉落查询,[2]获取途径临时表!K$1,FALSE)</f>
        <v/>
      </c>
      <c r="N81" t="str">
        <f>VLOOKUP($A81,[2]!掉落查询,[2]获取途径临时表!L$1,FALSE)</f>
        <v/>
      </c>
      <c r="O81" t="str">
        <f>VLOOKUP($A81,[2]!掉落查询,[2]获取途径临时表!M$1,FALSE)</f>
        <v/>
      </c>
      <c r="P81" t="str">
        <f>VLOOKUP($A81,[2]!掉落查询,[2]获取途径临时表!N$1,FALSE)</f>
        <v/>
      </c>
      <c r="Q81" t="str">
        <f>VLOOKUP($A81,[2]!掉落查询,[2]获取途径临时表!O$1,FALSE)</f>
        <v/>
      </c>
      <c r="R81" t="str">
        <f>VLOOKUP($A81,[2]!掉落查询,[2]获取途径临时表!P$1,FALSE)</f>
        <v/>
      </c>
      <c r="S81" t="str">
        <f>VLOOKUP($A81,[2]!掉落查询,[2]获取途径临时表!Q$1,FALSE)</f>
        <v/>
      </c>
      <c r="T81" t="str">
        <f>VLOOKUP($A81,[2]!掉落查询,[2]获取途径临时表!R$1,FALSE)</f>
        <v/>
      </c>
    </row>
    <row r="82" spans="1:20" x14ac:dyDescent="0.15">
      <c r="A82">
        <v>87100</v>
      </c>
      <c r="B82" t="s">
        <v>374</v>
      </c>
      <c r="C82">
        <v>0</v>
      </c>
      <c r="D82">
        <f t="shared" si="2"/>
        <v>0</v>
      </c>
      <c r="E82" t="str">
        <f>VLOOKUP($A82,[2]!掉落查询,[2]获取途径临时表!C$1,FALSE)</f>
        <v/>
      </c>
      <c r="F82" t="str">
        <f>VLOOKUP($A82,[2]!掉落查询,[2]获取途径临时表!D$1,FALSE)</f>
        <v/>
      </c>
      <c r="G82" t="str">
        <f>VLOOKUP($A82,[2]!掉落查询,[2]获取途径临时表!E$1,FALSE)</f>
        <v/>
      </c>
      <c r="H82" t="str">
        <f>VLOOKUP($A82,[2]!掉落查询,[2]获取途径临时表!F$1,FALSE)</f>
        <v/>
      </c>
      <c r="I82" t="str">
        <f>VLOOKUP($A82,[2]!掉落查询,[2]获取途径临时表!G$1,FALSE)</f>
        <v/>
      </c>
      <c r="J82" t="str">
        <f>VLOOKUP($A82,[2]!掉落查询,[2]获取途径临时表!H$1,FALSE)</f>
        <v/>
      </c>
      <c r="K82" t="str">
        <f>VLOOKUP($A82,[2]!掉落查询,[2]获取途径临时表!I$1,FALSE)</f>
        <v/>
      </c>
      <c r="L82" t="str">
        <f>VLOOKUP($A82,[2]!掉落查询,[2]获取途径临时表!J$1,FALSE)</f>
        <v/>
      </c>
      <c r="M82" t="str">
        <f>VLOOKUP($A82,[2]!掉落查询,[2]获取途径临时表!K$1,FALSE)</f>
        <v/>
      </c>
      <c r="N82" t="str">
        <f>VLOOKUP($A82,[2]!掉落查询,[2]获取途径临时表!L$1,FALSE)</f>
        <v/>
      </c>
      <c r="O82" t="str">
        <f>VLOOKUP($A82,[2]!掉落查询,[2]获取途径临时表!M$1,FALSE)</f>
        <v/>
      </c>
      <c r="P82" t="str">
        <f>VLOOKUP($A82,[2]!掉落查询,[2]获取途径临时表!N$1,FALSE)</f>
        <v/>
      </c>
      <c r="Q82" t="str">
        <f>VLOOKUP($A82,[2]!掉落查询,[2]获取途径临时表!O$1,FALSE)</f>
        <v/>
      </c>
      <c r="R82" t="str">
        <f>VLOOKUP($A82,[2]!掉落查询,[2]获取途径临时表!P$1,FALSE)</f>
        <v/>
      </c>
      <c r="S82" t="str">
        <f>VLOOKUP($A82,[2]!掉落查询,[2]获取途径临时表!Q$1,FALSE)</f>
        <v/>
      </c>
      <c r="T82" t="str">
        <f>VLOOKUP($A82,[2]!掉落查询,[2]获取途径临时表!R$1,FALSE)</f>
        <v/>
      </c>
    </row>
    <row r="83" spans="1:20" x14ac:dyDescent="0.15">
      <c r="A83">
        <v>87200</v>
      </c>
      <c r="B83" t="s">
        <v>375</v>
      </c>
      <c r="C83">
        <v>0</v>
      </c>
      <c r="D83">
        <f t="shared" si="2"/>
        <v>0</v>
      </c>
      <c r="E83" t="str">
        <f>VLOOKUP($A83,[2]!掉落查询,[2]获取途径临时表!C$1,FALSE)</f>
        <v/>
      </c>
      <c r="F83" t="str">
        <f>VLOOKUP($A83,[2]!掉落查询,[2]获取途径临时表!D$1,FALSE)</f>
        <v/>
      </c>
      <c r="G83" t="str">
        <f>VLOOKUP($A83,[2]!掉落查询,[2]获取途径临时表!E$1,FALSE)</f>
        <v/>
      </c>
      <c r="H83" t="str">
        <f>VLOOKUP($A83,[2]!掉落查询,[2]获取途径临时表!F$1,FALSE)</f>
        <v/>
      </c>
      <c r="I83" t="str">
        <f>VLOOKUP($A83,[2]!掉落查询,[2]获取途径临时表!G$1,FALSE)</f>
        <v/>
      </c>
      <c r="J83" t="str">
        <f>VLOOKUP($A83,[2]!掉落查询,[2]获取途径临时表!H$1,FALSE)</f>
        <v/>
      </c>
      <c r="K83" t="str">
        <f>VLOOKUP($A83,[2]!掉落查询,[2]获取途径临时表!I$1,FALSE)</f>
        <v/>
      </c>
      <c r="L83" t="str">
        <f>VLOOKUP($A83,[2]!掉落查询,[2]获取途径临时表!J$1,FALSE)</f>
        <v/>
      </c>
      <c r="M83" t="str">
        <f>VLOOKUP($A83,[2]!掉落查询,[2]获取途径临时表!K$1,FALSE)</f>
        <v/>
      </c>
      <c r="N83" t="str">
        <f>VLOOKUP($A83,[2]!掉落查询,[2]获取途径临时表!L$1,FALSE)</f>
        <v/>
      </c>
      <c r="O83" t="str">
        <f>VLOOKUP($A83,[2]!掉落查询,[2]获取途径临时表!M$1,FALSE)</f>
        <v/>
      </c>
      <c r="P83" t="str">
        <f>VLOOKUP($A83,[2]!掉落查询,[2]获取途径临时表!N$1,FALSE)</f>
        <v/>
      </c>
      <c r="Q83" t="str">
        <f>VLOOKUP($A83,[2]!掉落查询,[2]获取途径临时表!O$1,FALSE)</f>
        <v/>
      </c>
      <c r="R83" t="str">
        <f>VLOOKUP($A83,[2]!掉落查询,[2]获取途径临时表!P$1,FALSE)</f>
        <v/>
      </c>
      <c r="S83" t="str">
        <f>VLOOKUP($A83,[2]!掉落查询,[2]获取途径临时表!Q$1,FALSE)</f>
        <v/>
      </c>
      <c r="T83" t="str">
        <f>VLOOKUP($A83,[2]!掉落查询,[2]获取途径临时表!R$1,FALSE)</f>
        <v/>
      </c>
    </row>
    <row r="84" spans="1:20" x14ac:dyDescent="0.15">
      <c r="A84">
        <v>87400</v>
      </c>
      <c r="B84" t="s">
        <v>376</v>
      </c>
      <c r="C84">
        <v>0</v>
      </c>
      <c r="D84">
        <f t="shared" si="2"/>
        <v>0</v>
      </c>
      <c r="E84" t="str">
        <f>VLOOKUP($A84,[2]!掉落查询,[2]获取途径临时表!C$1,FALSE)</f>
        <v/>
      </c>
      <c r="F84" t="str">
        <f>VLOOKUP($A84,[2]!掉落查询,[2]获取途径临时表!D$1,FALSE)</f>
        <v/>
      </c>
      <c r="G84" t="str">
        <f>VLOOKUP($A84,[2]!掉落查询,[2]获取途径临时表!E$1,FALSE)</f>
        <v/>
      </c>
      <c r="H84" t="str">
        <f>VLOOKUP($A84,[2]!掉落查询,[2]获取途径临时表!F$1,FALSE)</f>
        <v/>
      </c>
      <c r="I84" t="str">
        <f>VLOOKUP($A84,[2]!掉落查询,[2]获取途径临时表!G$1,FALSE)</f>
        <v/>
      </c>
      <c r="J84" t="str">
        <f>VLOOKUP($A84,[2]!掉落查询,[2]获取途径临时表!H$1,FALSE)</f>
        <v/>
      </c>
      <c r="K84" t="str">
        <f>VLOOKUP($A84,[2]!掉落查询,[2]获取途径临时表!I$1,FALSE)</f>
        <v/>
      </c>
      <c r="L84" t="str">
        <f>VLOOKUP($A84,[2]!掉落查询,[2]获取途径临时表!J$1,FALSE)</f>
        <v/>
      </c>
      <c r="M84" t="str">
        <f>VLOOKUP($A84,[2]!掉落查询,[2]获取途径临时表!K$1,FALSE)</f>
        <v/>
      </c>
      <c r="N84" t="str">
        <f>VLOOKUP($A84,[2]!掉落查询,[2]获取途径临时表!L$1,FALSE)</f>
        <v/>
      </c>
      <c r="O84" t="str">
        <f>VLOOKUP($A84,[2]!掉落查询,[2]获取途径临时表!M$1,FALSE)</f>
        <v/>
      </c>
      <c r="P84" t="str">
        <f>VLOOKUP($A84,[2]!掉落查询,[2]获取途径临时表!N$1,FALSE)</f>
        <v/>
      </c>
      <c r="Q84" t="str">
        <f>VLOOKUP($A84,[2]!掉落查询,[2]获取途径临时表!O$1,FALSE)</f>
        <v/>
      </c>
      <c r="R84" t="str">
        <f>VLOOKUP($A84,[2]!掉落查询,[2]获取途径临时表!P$1,FALSE)</f>
        <v/>
      </c>
      <c r="S84" t="str">
        <f>VLOOKUP($A84,[2]!掉落查询,[2]获取途径临时表!Q$1,FALSE)</f>
        <v/>
      </c>
      <c r="T84" t="str">
        <f>VLOOKUP($A84,[2]!掉落查询,[2]获取途径临时表!R$1,FALSE)</f>
        <v/>
      </c>
    </row>
    <row r="85" spans="1:20" x14ac:dyDescent="0.15">
      <c r="A85">
        <v>89100</v>
      </c>
      <c r="B85" t="s">
        <v>377</v>
      </c>
      <c r="C85">
        <v>0</v>
      </c>
      <c r="D85">
        <f t="shared" si="2"/>
        <v>0</v>
      </c>
      <c r="E85" t="str">
        <f>VLOOKUP($A85,[2]!掉落查询,[2]获取途径临时表!C$1,FALSE)</f>
        <v/>
      </c>
      <c r="F85" t="str">
        <f>VLOOKUP($A85,[2]!掉落查询,[2]获取途径临时表!D$1,FALSE)</f>
        <v/>
      </c>
      <c r="G85" t="str">
        <f>VLOOKUP($A85,[2]!掉落查询,[2]获取途径临时表!E$1,FALSE)</f>
        <v/>
      </c>
      <c r="H85" t="str">
        <f>VLOOKUP($A85,[2]!掉落查询,[2]获取途径临时表!F$1,FALSE)</f>
        <v/>
      </c>
      <c r="I85" t="str">
        <f>VLOOKUP($A85,[2]!掉落查询,[2]获取途径临时表!G$1,FALSE)</f>
        <v/>
      </c>
      <c r="J85" t="str">
        <f>VLOOKUP($A85,[2]!掉落查询,[2]获取途径临时表!H$1,FALSE)</f>
        <v/>
      </c>
      <c r="K85" t="str">
        <f>VLOOKUP($A85,[2]!掉落查询,[2]获取途径临时表!I$1,FALSE)</f>
        <v/>
      </c>
      <c r="L85" t="str">
        <f>VLOOKUP($A85,[2]!掉落查询,[2]获取途径临时表!J$1,FALSE)</f>
        <v/>
      </c>
      <c r="M85" t="str">
        <f>VLOOKUP($A85,[2]!掉落查询,[2]获取途径临时表!K$1,FALSE)</f>
        <v/>
      </c>
      <c r="N85" t="str">
        <f>VLOOKUP($A85,[2]!掉落查询,[2]获取途径临时表!L$1,FALSE)</f>
        <v/>
      </c>
      <c r="O85" t="str">
        <f>VLOOKUP($A85,[2]!掉落查询,[2]获取途径临时表!M$1,FALSE)</f>
        <v/>
      </c>
      <c r="P85" t="str">
        <f>VLOOKUP($A85,[2]!掉落查询,[2]获取途径临时表!N$1,FALSE)</f>
        <v/>
      </c>
      <c r="Q85" t="str">
        <f>VLOOKUP($A85,[2]!掉落查询,[2]获取途径临时表!O$1,FALSE)</f>
        <v/>
      </c>
      <c r="R85" t="str">
        <f>VLOOKUP($A85,[2]!掉落查询,[2]获取途径临时表!P$1,FALSE)</f>
        <v/>
      </c>
      <c r="S85" t="str">
        <f>VLOOKUP($A85,[2]!掉落查询,[2]获取途径临时表!Q$1,FALSE)</f>
        <v/>
      </c>
      <c r="T85" t="str">
        <f>VLOOKUP($A85,[2]!掉落查询,[2]获取途径临时表!R$1,FALSE)</f>
        <v/>
      </c>
    </row>
    <row r="86" spans="1:20" x14ac:dyDescent="0.15">
      <c r="A86">
        <v>89200</v>
      </c>
      <c r="B86" t="s">
        <v>378</v>
      </c>
      <c r="C86">
        <v>0</v>
      </c>
      <c r="D86">
        <f t="shared" si="2"/>
        <v>0</v>
      </c>
      <c r="E86" t="str">
        <f>VLOOKUP($A86,[2]!掉落查询,[2]获取途径临时表!C$1,FALSE)</f>
        <v/>
      </c>
      <c r="F86" t="str">
        <f>VLOOKUP($A86,[2]!掉落查询,[2]获取途径临时表!D$1,FALSE)</f>
        <v/>
      </c>
      <c r="G86" t="str">
        <f>VLOOKUP($A86,[2]!掉落查询,[2]获取途径临时表!E$1,FALSE)</f>
        <v/>
      </c>
      <c r="H86" t="str">
        <f>VLOOKUP($A86,[2]!掉落查询,[2]获取途径临时表!F$1,FALSE)</f>
        <v/>
      </c>
      <c r="I86" t="str">
        <f>VLOOKUP($A86,[2]!掉落查询,[2]获取途径临时表!G$1,FALSE)</f>
        <v/>
      </c>
      <c r="J86" t="str">
        <f>VLOOKUP($A86,[2]!掉落查询,[2]获取途径临时表!H$1,FALSE)</f>
        <v/>
      </c>
      <c r="K86" t="str">
        <f>VLOOKUP($A86,[2]!掉落查询,[2]获取途径临时表!I$1,FALSE)</f>
        <v/>
      </c>
      <c r="L86" t="str">
        <f>VLOOKUP($A86,[2]!掉落查询,[2]获取途径临时表!J$1,FALSE)</f>
        <v/>
      </c>
      <c r="M86" t="str">
        <f>VLOOKUP($A86,[2]!掉落查询,[2]获取途径临时表!K$1,FALSE)</f>
        <v/>
      </c>
      <c r="N86" t="str">
        <f>VLOOKUP($A86,[2]!掉落查询,[2]获取途径临时表!L$1,FALSE)</f>
        <v/>
      </c>
      <c r="O86" t="str">
        <f>VLOOKUP($A86,[2]!掉落查询,[2]获取途径临时表!M$1,FALSE)</f>
        <v/>
      </c>
      <c r="P86" t="str">
        <f>VLOOKUP($A86,[2]!掉落查询,[2]获取途径临时表!N$1,FALSE)</f>
        <v/>
      </c>
      <c r="Q86" t="str">
        <f>VLOOKUP($A86,[2]!掉落查询,[2]获取途径临时表!O$1,FALSE)</f>
        <v/>
      </c>
      <c r="R86" t="str">
        <f>VLOOKUP($A86,[2]!掉落查询,[2]获取途径临时表!P$1,FALSE)</f>
        <v/>
      </c>
      <c r="S86" t="str">
        <f>VLOOKUP($A86,[2]!掉落查询,[2]获取途径临时表!Q$1,FALSE)</f>
        <v/>
      </c>
      <c r="T86" t="str">
        <f>VLOOKUP($A86,[2]!掉落查询,[2]获取途径临时表!R$1,FALSE)</f>
        <v/>
      </c>
    </row>
    <row r="87" spans="1:20" x14ac:dyDescent="0.15">
      <c r="A87">
        <v>89300</v>
      </c>
      <c r="B87" t="s">
        <v>379</v>
      </c>
      <c r="C87">
        <v>0</v>
      </c>
      <c r="D87">
        <f t="shared" si="2"/>
        <v>0</v>
      </c>
      <c r="E87" t="str">
        <f>VLOOKUP($A87,[2]!掉落查询,[2]获取途径临时表!C$1,FALSE)</f>
        <v/>
      </c>
      <c r="F87" t="str">
        <f>VLOOKUP($A87,[2]!掉落查询,[2]获取途径临时表!D$1,FALSE)</f>
        <v/>
      </c>
      <c r="G87" t="str">
        <f>VLOOKUP($A87,[2]!掉落查询,[2]获取途径临时表!E$1,FALSE)</f>
        <v/>
      </c>
      <c r="H87" t="str">
        <f>VLOOKUP($A87,[2]!掉落查询,[2]获取途径临时表!F$1,FALSE)</f>
        <v/>
      </c>
      <c r="I87" t="str">
        <f>VLOOKUP($A87,[2]!掉落查询,[2]获取途径临时表!G$1,FALSE)</f>
        <v/>
      </c>
      <c r="J87" t="str">
        <f>VLOOKUP($A87,[2]!掉落查询,[2]获取途径临时表!H$1,FALSE)</f>
        <v/>
      </c>
      <c r="K87" t="str">
        <f>VLOOKUP($A87,[2]!掉落查询,[2]获取途径临时表!I$1,FALSE)</f>
        <v/>
      </c>
      <c r="L87" t="str">
        <f>VLOOKUP($A87,[2]!掉落查询,[2]获取途径临时表!J$1,FALSE)</f>
        <v/>
      </c>
      <c r="M87" t="str">
        <f>VLOOKUP($A87,[2]!掉落查询,[2]获取途径临时表!K$1,FALSE)</f>
        <v/>
      </c>
      <c r="N87" t="str">
        <f>VLOOKUP($A87,[2]!掉落查询,[2]获取途径临时表!L$1,FALSE)</f>
        <v/>
      </c>
      <c r="O87" t="str">
        <f>VLOOKUP($A87,[2]!掉落查询,[2]获取途径临时表!M$1,FALSE)</f>
        <v/>
      </c>
      <c r="P87" t="str">
        <f>VLOOKUP($A87,[2]!掉落查询,[2]获取途径临时表!N$1,FALSE)</f>
        <v/>
      </c>
      <c r="Q87" t="str">
        <f>VLOOKUP($A87,[2]!掉落查询,[2]获取途径临时表!O$1,FALSE)</f>
        <v/>
      </c>
      <c r="R87" t="str">
        <f>VLOOKUP($A87,[2]!掉落查询,[2]获取途径临时表!P$1,FALSE)</f>
        <v/>
      </c>
      <c r="S87" t="str">
        <f>VLOOKUP($A87,[2]!掉落查询,[2]获取途径临时表!Q$1,FALSE)</f>
        <v/>
      </c>
      <c r="T87" t="str">
        <f>VLOOKUP($A87,[2]!掉落查询,[2]获取途径临时表!R$1,FALSE)</f>
        <v/>
      </c>
    </row>
    <row r="88" spans="1:20" x14ac:dyDescent="0.15">
      <c r="A88">
        <v>83100</v>
      </c>
      <c r="B88" t="s">
        <v>380</v>
      </c>
      <c r="C88">
        <v>0</v>
      </c>
      <c r="D88">
        <f t="shared" si="2"/>
        <v>0</v>
      </c>
      <c r="E88" t="str">
        <f>VLOOKUP($A88,[2]!掉落查询,[2]获取途径临时表!C$1,FALSE)</f>
        <v/>
      </c>
      <c r="F88" t="str">
        <f>VLOOKUP($A88,[2]!掉落查询,[2]获取途径临时表!D$1,FALSE)</f>
        <v/>
      </c>
      <c r="G88" t="str">
        <f>VLOOKUP($A88,[2]!掉落查询,[2]获取途径临时表!E$1,FALSE)</f>
        <v/>
      </c>
      <c r="H88" t="str">
        <f>VLOOKUP($A88,[2]!掉落查询,[2]获取途径临时表!F$1,FALSE)</f>
        <v/>
      </c>
      <c r="I88" t="str">
        <f>VLOOKUP($A88,[2]!掉落查询,[2]获取途径临时表!G$1,FALSE)</f>
        <v/>
      </c>
      <c r="J88" t="str">
        <f>VLOOKUP($A88,[2]!掉落查询,[2]获取途径临时表!H$1,FALSE)</f>
        <v/>
      </c>
      <c r="K88" t="str">
        <f>VLOOKUP($A88,[2]!掉落查询,[2]获取途径临时表!I$1,FALSE)</f>
        <v/>
      </c>
      <c r="L88" t="str">
        <f>VLOOKUP($A88,[2]!掉落查询,[2]获取途径临时表!J$1,FALSE)</f>
        <v/>
      </c>
      <c r="M88" t="str">
        <f>VLOOKUP($A88,[2]!掉落查询,[2]获取途径临时表!K$1,FALSE)</f>
        <v/>
      </c>
      <c r="N88" t="str">
        <f>VLOOKUP($A88,[2]!掉落查询,[2]获取途径临时表!L$1,FALSE)</f>
        <v/>
      </c>
      <c r="O88" t="str">
        <f>VLOOKUP($A88,[2]!掉落查询,[2]获取途径临时表!M$1,FALSE)</f>
        <v/>
      </c>
      <c r="P88" t="str">
        <f>VLOOKUP($A88,[2]!掉落查询,[2]获取途径临时表!N$1,FALSE)</f>
        <v/>
      </c>
      <c r="Q88" t="str">
        <f>VLOOKUP($A88,[2]!掉落查询,[2]获取途径临时表!O$1,FALSE)</f>
        <v/>
      </c>
      <c r="R88" t="str">
        <f>VLOOKUP($A88,[2]!掉落查询,[2]获取途径临时表!P$1,FALSE)</f>
        <v/>
      </c>
      <c r="S88" t="str">
        <f>VLOOKUP($A88,[2]!掉落查询,[2]获取途径临时表!Q$1,FALSE)</f>
        <v/>
      </c>
      <c r="T88" t="str">
        <f>VLOOKUP($A88,[2]!掉落查询,[2]获取途径临时表!R$1,FALSE)</f>
        <v/>
      </c>
    </row>
    <row r="89" spans="1:20" x14ac:dyDescent="0.15">
      <c r="A89">
        <v>70010</v>
      </c>
      <c r="B89" t="s">
        <v>39</v>
      </c>
      <c r="C89">
        <v>428</v>
      </c>
      <c r="D89">
        <f t="shared" si="2"/>
        <v>11</v>
      </c>
      <c r="E89">
        <f>VLOOKUP($A89,[2]!掉落查询,[2]获取途径临时表!C$1,FALSE)</f>
        <v>2001</v>
      </c>
      <c r="F89">
        <f>VLOOKUP($A89,[2]!掉落查询,[2]获取途径临时表!D$1,FALSE)</f>
        <v>2007</v>
      </c>
      <c r="G89">
        <f>VLOOKUP($A89,[2]!掉落查询,[2]获取途径临时表!E$1,FALSE)</f>
        <v>3004</v>
      </c>
      <c r="H89">
        <f>VLOOKUP($A89,[2]!掉落查询,[2]获取途径临时表!F$1,FALSE)</f>
        <v>4001</v>
      </c>
      <c r="I89">
        <f>VLOOKUP($A89,[2]!掉落查询,[2]获取途径临时表!G$1,FALSE)</f>
        <v>4007</v>
      </c>
      <c r="J89">
        <f>VLOOKUP($A89,[2]!掉落查询,[2]获取途径临时表!H$1,FALSE)</f>
        <v>5004</v>
      </c>
      <c r="K89">
        <f>VLOOKUP($A89,[2]!掉落查询,[2]获取途径临时表!I$1,FALSE)</f>
        <v>6001</v>
      </c>
      <c r="L89">
        <f>VLOOKUP($A89,[2]!掉落查询,[2]获取途径临时表!J$1,FALSE)</f>
        <v>6007</v>
      </c>
      <c r="M89">
        <f>VLOOKUP($A89,[2]!掉落查询,[2]获取途径临时表!K$1,FALSE)</f>
        <v>7004</v>
      </c>
      <c r="N89">
        <f>VLOOKUP($A89,[2]!掉落查询,[2]获取途径临时表!L$1,FALSE)</f>
        <v>8001</v>
      </c>
      <c r="O89">
        <f>VLOOKUP($A89,[2]!掉落查询,[2]获取途径临时表!M$1,FALSE)</f>
        <v>8007</v>
      </c>
      <c r="P89" t="str">
        <f>VLOOKUP($A89,[2]!掉落查询,[2]获取途径临时表!N$1,FALSE)</f>
        <v/>
      </c>
      <c r="Q89" t="str">
        <f>VLOOKUP($A89,[2]!掉落查询,[2]获取途径临时表!O$1,FALSE)</f>
        <v/>
      </c>
      <c r="R89" t="str">
        <f>VLOOKUP($A89,[2]!掉落查询,[2]获取途径临时表!P$1,FALSE)</f>
        <v/>
      </c>
      <c r="S89" t="str">
        <f>VLOOKUP($A89,[2]!掉落查询,[2]获取途径临时表!Q$1,FALSE)</f>
        <v/>
      </c>
      <c r="T89" t="str">
        <f>VLOOKUP($A89,[2]!掉落查询,[2]获取途径临时表!R$1,FALSE)</f>
        <v/>
      </c>
    </row>
    <row r="90" spans="1:20" x14ac:dyDescent="0.15">
      <c r="A90">
        <v>71010</v>
      </c>
      <c r="B90" t="s">
        <v>40</v>
      </c>
      <c r="C90">
        <v>428</v>
      </c>
      <c r="D90">
        <f t="shared" si="2"/>
        <v>10</v>
      </c>
      <c r="E90">
        <f>VLOOKUP($A90,[2]!掉落查询,[2]获取途径临时表!C$1,FALSE)</f>
        <v>2006</v>
      </c>
      <c r="F90">
        <f>VLOOKUP($A90,[2]!掉落查询,[2]获取途径临时表!D$1,FALSE)</f>
        <v>3003</v>
      </c>
      <c r="G90">
        <f>VLOOKUP($A90,[2]!掉落查询,[2]获取途径临时表!E$1,FALSE)</f>
        <v>3009</v>
      </c>
      <c r="H90">
        <f>VLOOKUP($A90,[2]!掉落查询,[2]获取途径临时表!F$1,FALSE)</f>
        <v>4006</v>
      </c>
      <c r="I90">
        <f>VLOOKUP($A90,[2]!掉落查询,[2]获取途径临时表!G$1,FALSE)</f>
        <v>5003</v>
      </c>
      <c r="J90">
        <f>VLOOKUP($A90,[2]!掉落查询,[2]获取途径临时表!H$1,FALSE)</f>
        <v>5009</v>
      </c>
      <c r="K90">
        <f>VLOOKUP($A90,[2]!掉落查询,[2]获取途径临时表!I$1,FALSE)</f>
        <v>6006</v>
      </c>
      <c r="L90">
        <f>VLOOKUP($A90,[2]!掉落查询,[2]获取途径临时表!J$1,FALSE)</f>
        <v>7003</v>
      </c>
      <c r="M90">
        <f>VLOOKUP($A90,[2]!掉落查询,[2]获取途径临时表!K$1,FALSE)</f>
        <v>7009</v>
      </c>
      <c r="N90">
        <f>VLOOKUP($A90,[2]!掉落查询,[2]获取途径临时表!L$1,FALSE)</f>
        <v>8006</v>
      </c>
      <c r="O90" t="str">
        <f>VLOOKUP($A90,[2]!掉落查询,[2]获取途径临时表!M$1,FALSE)</f>
        <v/>
      </c>
      <c r="P90" t="str">
        <f>VLOOKUP($A90,[2]!掉落查询,[2]获取途径临时表!N$1,FALSE)</f>
        <v/>
      </c>
      <c r="Q90" t="str">
        <f>VLOOKUP($A90,[2]!掉落查询,[2]获取途径临时表!O$1,FALSE)</f>
        <v/>
      </c>
      <c r="R90" t="str">
        <f>VLOOKUP($A90,[2]!掉落查询,[2]获取途径临时表!P$1,FALSE)</f>
        <v/>
      </c>
      <c r="S90" t="str">
        <f>VLOOKUP($A90,[2]!掉落查询,[2]获取途径临时表!Q$1,FALSE)</f>
        <v/>
      </c>
      <c r="T90" t="str">
        <f>VLOOKUP($A90,[2]!掉落查询,[2]获取途径临时表!R$1,FALSE)</f>
        <v/>
      </c>
    </row>
    <row r="91" spans="1:20" x14ac:dyDescent="0.15">
      <c r="A91">
        <v>72010</v>
      </c>
      <c r="B91" t="s">
        <v>381</v>
      </c>
      <c r="C91">
        <v>428</v>
      </c>
      <c r="D91">
        <f t="shared" si="2"/>
        <v>11</v>
      </c>
      <c r="E91">
        <f>VLOOKUP($A91,[2]!掉落查询,[2]获取途径临时表!C$1,FALSE)</f>
        <v>2003</v>
      </c>
      <c r="F91">
        <f>VLOOKUP($A91,[2]!掉落查询,[2]获取途径临时表!D$1,FALSE)</f>
        <v>2009</v>
      </c>
      <c r="G91">
        <f>VLOOKUP($A91,[2]!掉落查询,[2]获取途径临时表!E$1,FALSE)</f>
        <v>3006</v>
      </c>
      <c r="H91">
        <f>VLOOKUP($A91,[2]!掉落查询,[2]获取途径临时表!F$1,FALSE)</f>
        <v>4003</v>
      </c>
      <c r="I91">
        <f>VLOOKUP($A91,[2]!掉落查询,[2]获取途径临时表!G$1,FALSE)</f>
        <v>4009</v>
      </c>
      <c r="J91">
        <f>VLOOKUP($A91,[2]!掉落查询,[2]获取途径临时表!H$1,FALSE)</f>
        <v>5006</v>
      </c>
      <c r="K91">
        <f>VLOOKUP($A91,[2]!掉落查询,[2]获取途径临时表!I$1,FALSE)</f>
        <v>6003</v>
      </c>
      <c r="L91">
        <f>VLOOKUP($A91,[2]!掉落查询,[2]获取途径临时表!J$1,FALSE)</f>
        <v>6009</v>
      </c>
      <c r="M91">
        <f>VLOOKUP($A91,[2]!掉落查询,[2]获取途径临时表!K$1,FALSE)</f>
        <v>7006</v>
      </c>
      <c r="N91">
        <f>VLOOKUP($A91,[2]!掉落查询,[2]获取途径临时表!L$1,FALSE)</f>
        <v>8003</v>
      </c>
      <c r="O91">
        <f>VLOOKUP($A91,[2]!掉落查询,[2]获取途径临时表!M$1,FALSE)</f>
        <v>8009</v>
      </c>
      <c r="P91" t="str">
        <f>VLOOKUP($A91,[2]!掉落查询,[2]获取途径临时表!N$1,FALSE)</f>
        <v/>
      </c>
      <c r="Q91" t="str">
        <f>VLOOKUP($A91,[2]!掉落查询,[2]获取途径临时表!O$1,FALSE)</f>
        <v/>
      </c>
      <c r="R91" t="str">
        <f>VLOOKUP($A91,[2]!掉落查询,[2]获取途径临时表!P$1,FALSE)</f>
        <v/>
      </c>
      <c r="S91" t="str">
        <f>VLOOKUP($A91,[2]!掉落查询,[2]获取途径临时表!Q$1,FALSE)</f>
        <v/>
      </c>
      <c r="T91" t="str">
        <f>VLOOKUP($A91,[2]!掉落查询,[2]获取途径临时表!R$1,FALSE)</f>
        <v/>
      </c>
    </row>
    <row r="92" spans="1:20" x14ac:dyDescent="0.15">
      <c r="A92">
        <v>73010</v>
      </c>
      <c r="B92" t="s">
        <v>382</v>
      </c>
      <c r="C92">
        <v>428</v>
      </c>
      <c r="D92">
        <f t="shared" si="2"/>
        <v>11</v>
      </c>
      <c r="E92">
        <f>VLOOKUP($A92,[2]!掉落查询,[2]获取途径临时表!C$1,FALSE)</f>
        <v>2002</v>
      </c>
      <c r="F92">
        <f>VLOOKUP($A92,[2]!掉落查询,[2]获取途径临时表!D$1,FALSE)</f>
        <v>2008</v>
      </c>
      <c r="G92">
        <f>VLOOKUP($A92,[2]!掉落查询,[2]获取途径临时表!E$1,FALSE)</f>
        <v>3005</v>
      </c>
      <c r="H92">
        <f>VLOOKUP($A92,[2]!掉落查询,[2]获取途径临时表!F$1,FALSE)</f>
        <v>4002</v>
      </c>
      <c r="I92">
        <f>VLOOKUP($A92,[2]!掉落查询,[2]获取途径临时表!G$1,FALSE)</f>
        <v>4008</v>
      </c>
      <c r="J92">
        <f>VLOOKUP($A92,[2]!掉落查询,[2]获取途径临时表!H$1,FALSE)</f>
        <v>5005</v>
      </c>
      <c r="K92">
        <f>VLOOKUP($A92,[2]!掉落查询,[2]获取途径临时表!I$1,FALSE)</f>
        <v>6002</v>
      </c>
      <c r="L92">
        <f>VLOOKUP($A92,[2]!掉落查询,[2]获取途径临时表!J$1,FALSE)</f>
        <v>6008</v>
      </c>
      <c r="M92">
        <f>VLOOKUP($A92,[2]!掉落查询,[2]获取途径临时表!K$1,FALSE)</f>
        <v>7005</v>
      </c>
      <c r="N92">
        <f>VLOOKUP($A92,[2]!掉落查询,[2]获取途径临时表!L$1,FALSE)</f>
        <v>8002</v>
      </c>
      <c r="O92">
        <f>VLOOKUP($A92,[2]!掉落查询,[2]获取途径临时表!M$1,FALSE)</f>
        <v>8008</v>
      </c>
      <c r="P92" t="str">
        <f>VLOOKUP($A92,[2]!掉落查询,[2]获取途径临时表!N$1,FALSE)</f>
        <v/>
      </c>
      <c r="Q92" t="str">
        <f>VLOOKUP($A92,[2]!掉落查询,[2]获取途径临时表!O$1,FALSE)</f>
        <v/>
      </c>
      <c r="R92" t="str">
        <f>VLOOKUP($A92,[2]!掉落查询,[2]获取途径临时表!P$1,FALSE)</f>
        <v/>
      </c>
      <c r="S92" t="str">
        <f>VLOOKUP($A92,[2]!掉落查询,[2]获取途径临时表!Q$1,FALSE)</f>
        <v/>
      </c>
      <c r="T92" t="str">
        <f>VLOOKUP($A92,[2]!掉落查询,[2]获取途径临时表!R$1,FALSE)</f>
        <v/>
      </c>
    </row>
    <row r="93" spans="1:20" x14ac:dyDescent="0.15">
      <c r="A93">
        <v>74010</v>
      </c>
      <c r="B93" t="s">
        <v>383</v>
      </c>
      <c r="C93">
        <v>428</v>
      </c>
      <c r="D93">
        <f t="shared" si="2"/>
        <v>10</v>
      </c>
      <c r="E93">
        <f>VLOOKUP($A93,[2]!掉落查询,[2]获取途径临时表!C$1,FALSE)</f>
        <v>2005</v>
      </c>
      <c r="F93">
        <f>VLOOKUP($A93,[2]!掉落查询,[2]获取途径临时表!D$1,FALSE)</f>
        <v>3002</v>
      </c>
      <c r="G93">
        <f>VLOOKUP($A93,[2]!掉落查询,[2]获取途径临时表!E$1,FALSE)</f>
        <v>3008</v>
      </c>
      <c r="H93">
        <f>VLOOKUP($A93,[2]!掉落查询,[2]获取途径临时表!F$1,FALSE)</f>
        <v>4005</v>
      </c>
      <c r="I93">
        <f>VLOOKUP($A93,[2]!掉落查询,[2]获取途径临时表!G$1,FALSE)</f>
        <v>5002</v>
      </c>
      <c r="J93">
        <f>VLOOKUP($A93,[2]!掉落查询,[2]获取途径临时表!H$1,FALSE)</f>
        <v>5008</v>
      </c>
      <c r="K93">
        <f>VLOOKUP($A93,[2]!掉落查询,[2]获取途径临时表!I$1,FALSE)</f>
        <v>6005</v>
      </c>
      <c r="L93">
        <f>VLOOKUP($A93,[2]!掉落查询,[2]获取途径临时表!J$1,FALSE)</f>
        <v>7002</v>
      </c>
      <c r="M93">
        <f>VLOOKUP($A93,[2]!掉落查询,[2]获取途径临时表!K$1,FALSE)</f>
        <v>7008</v>
      </c>
      <c r="N93">
        <f>VLOOKUP($A93,[2]!掉落查询,[2]获取途径临时表!L$1,FALSE)</f>
        <v>8005</v>
      </c>
      <c r="O93" t="str">
        <f>VLOOKUP($A93,[2]!掉落查询,[2]获取途径临时表!M$1,FALSE)</f>
        <v/>
      </c>
      <c r="P93" t="str">
        <f>VLOOKUP($A93,[2]!掉落查询,[2]获取途径临时表!N$1,FALSE)</f>
        <v/>
      </c>
      <c r="Q93" t="str">
        <f>VLOOKUP($A93,[2]!掉落查询,[2]获取途径临时表!O$1,FALSE)</f>
        <v/>
      </c>
      <c r="R93" t="str">
        <f>VLOOKUP($A93,[2]!掉落查询,[2]获取途径临时表!P$1,FALSE)</f>
        <v/>
      </c>
      <c r="S93" t="str">
        <f>VLOOKUP($A93,[2]!掉落查询,[2]获取途径临时表!Q$1,FALSE)</f>
        <v/>
      </c>
      <c r="T93" t="str">
        <f>VLOOKUP($A93,[2]!掉落查询,[2]获取途径临时表!R$1,FALSE)</f>
        <v/>
      </c>
    </row>
    <row r="94" spans="1:20" x14ac:dyDescent="0.15">
      <c r="A94">
        <v>75010</v>
      </c>
      <c r="B94" t="s">
        <v>41</v>
      </c>
      <c r="C94">
        <v>428</v>
      </c>
      <c r="D94">
        <f t="shared" si="2"/>
        <v>10</v>
      </c>
      <c r="E94">
        <f>VLOOKUP($A94,[2]!掉落查询,[2]获取途径临时表!C$1,FALSE)</f>
        <v>2004</v>
      </c>
      <c r="F94">
        <f>VLOOKUP($A94,[2]!掉落查询,[2]获取途径临时表!D$1,FALSE)</f>
        <v>3001</v>
      </c>
      <c r="G94">
        <f>VLOOKUP($A94,[2]!掉落查询,[2]获取途径临时表!E$1,FALSE)</f>
        <v>3007</v>
      </c>
      <c r="H94">
        <f>VLOOKUP($A94,[2]!掉落查询,[2]获取途径临时表!F$1,FALSE)</f>
        <v>4004</v>
      </c>
      <c r="I94">
        <f>VLOOKUP($A94,[2]!掉落查询,[2]获取途径临时表!G$1,FALSE)</f>
        <v>5001</v>
      </c>
      <c r="J94">
        <f>VLOOKUP($A94,[2]!掉落查询,[2]获取途径临时表!H$1,FALSE)</f>
        <v>5007</v>
      </c>
      <c r="K94">
        <f>VLOOKUP($A94,[2]!掉落查询,[2]获取途径临时表!I$1,FALSE)</f>
        <v>6004</v>
      </c>
      <c r="L94">
        <f>VLOOKUP($A94,[2]!掉落查询,[2]获取途径临时表!J$1,FALSE)</f>
        <v>7001</v>
      </c>
      <c r="M94">
        <f>VLOOKUP($A94,[2]!掉落查询,[2]获取途径临时表!K$1,FALSE)</f>
        <v>7007</v>
      </c>
      <c r="N94">
        <f>VLOOKUP($A94,[2]!掉落查询,[2]获取途径临时表!L$1,FALSE)</f>
        <v>8004</v>
      </c>
      <c r="O94" t="str">
        <f>VLOOKUP($A94,[2]!掉落查询,[2]获取途径临时表!M$1,FALSE)</f>
        <v/>
      </c>
      <c r="P94" t="str">
        <f>VLOOKUP($A94,[2]!掉落查询,[2]获取途径临时表!N$1,FALSE)</f>
        <v/>
      </c>
      <c r="Q94" t="str">
        <f>VLOOKUP($A94,[2]!掉落查询,[2]获取途径临时表!O$1,FALSE)</f>
        <v/>
      </c>
      <c r="R94" t="str">
        <f>VLOOKUP($A94,[2]!掉落查询,[2]获取途径临时表!P$1,FALSE)</f>
        <v/>
      </c>
      <c r="S94" t="str">
        <f>VLOOKUP($A94,[2]!掉落查询,[2]获取途径临时表!Q$1,FALSE)</f>
        <v/>
      </c>
      <c r="T94" t="str">
        <f>VLOOKUP($A94,[2]!掉落查询,[2]获取途径临时表!R$1,FALSE)</f>
        <v/>
      </c>
    </row>
    <row r="95" spans="1:20" x14ac:dyDescent="0.15">
      <c r="A95">
        <v>80110</v>
      </c>
      <c r="B95" t="s">
        <v>384</v>
      </c>
      <c r="C95">
        <v>0</v>
      </c>
      <c r="D95">
        <f t="shared" si="2"/>
        <v>0</v>
      </c>
      <c r="E95" t="str">
        <f>VLOOKUP($A95,[2]!掉落查询,[2]获取途径临时表!C$1,FALSE)</f>
        <v/>
      </c>
      <c r="F95" t="str">
        <f>VLOOKUP($A95,[2]!掉落查询,[2]获取途径临时表!D$1,FALSE)</f>
        <v/>
      </c>
      <c r="G95" t="str">
        <f>VLOOKUP($A95,[2]!掉落查询,[2]获取途径临时表!E$1,FALSE)</f>
        <v/>
      </c>
      <c r="H95" t="str">
        <f>VLOOKUP($A95,[2]!掉落查询,[2]获取途径临时表!F$1,FALSE)</f>
        <v/>
      </c>
      <c r="I95" t="str">
        <f>VLOOKUP($A95,[2]!掉落查询,[2]获取途径临时表!G$1,FALSE)</f>
        <v/>
      </c>
      <c r="J95" t="str">
        <f>VLOOKUP($A95,[2]!掉落查询,[2]获取途径临时表!H$1,FALSE)</f>
        <v/>
      </c>
      <c r="K95" t="str">
        <f>VLOOKUP($A95,[2]!掉落查询,[2]获取途径临时表!I$1,FALSE)</f>
        <v/>
      </c>
      <c r="L95" t="str">
        <f>VLOOKUP($A95,[2]!掉落查询,[2]获取途径临时表!J$1,FALSE)</f>
        <v/>
      </c>
      <c r="M95" t="str">
        <f>VLOOKUP($A95,[2]!掉落查询,[2]获取途径临时表!K$1,FALSE)</f>
        <v/>
      </c>
      <c r="N95" t="str">
        <f>VLOOKUP($A95,[2]!掉落查询,[2]获取途径临时表!L$1,FALSE)</f>
        <v/>
      </c>
      <c r="O95" t="str">
        <f>VLOOKUP($A95,[2]!掉落查询,[2]获取途径临时表!M$1,FALSE)</f>
        <v/>
      </c>
      <c r="P95" t="str">
        <f>VLOOKUP($A95,[2]!掉落查询,[2]获取途径临时表!N$1,FALSE)</f>
        <v/>
      </c>
      <c r="Q95" t="str">
        <f>VLOOKUP($A95,[2]!掉落查询,[2]获取途径临时表!O$1,FALSE)</f>
        <v/>
      </c>
      <c r="R95" t="str">
        <f>VLOOKUP($A95,[2]!掉落查询,[2]获取途径临时表!P$1,FALSE)</f>
        <v/>
      </c>
      <c r="S95" t="str">
        <f>VLOOKUP($A95,[2]!掉落查询,[2]获取途径临时表!Q$1,FALSE)</f>
        <v/>
      </c>
      <c r="T95" t="str">
        <f>VLOOKUP($A95,[2]!掉落查询,[2]获取途径临时表!R$1,FALSE)</f>
        <v/>
      </c>
    </row>
    <row r="96" spans="1:20" x14ac:dyDescent="0.15">
      <c r="A96">
        <v>80210</v>
      </c>
      <c r="B96" t="s">
        <v>385</v>
      </c>
      <c r="C96">
        <v>0</v>
      </c>
      <c r="D96">
        <f t="shared" si="2"/>
        <v>0</v>
      </c>
      <c r="E96" t="str">
        <f>VLOOKUP($A96,[2]!掉落查询,[2]获取途径临时表!C$1,FALSE)</f>
        <v/>
      </c>
      <c r="F96" t="str">
        <f>VLOOKUP($A96,[2]!掉落查询,[2]获取途径临时表!D$1,FALSE)</f>
        <v/>
      </c>
      <c r="G96" t="str">
        <f>VLOOKUP($A96,[2]!掉落查询,[2]获取途径临时表!E$1,FALSE)</f>
        <v/>
      </c>
      <c r="H96" t="str">
        <f>VLOOKUP($A96,[2]!掉落查询,[2]获取途径临时表!F$1,FALSE)</f>
        <v/>
      </c>
      <c r="I96" t="str">
        <f>VLOOKUP($A96,[2]!掉落查询,[2]获取途径临时表!G$1,FALSE)</f>
        <v/>
      </c>
      <c r="J96" t="str">
        <f>VLOOKUP($A96,[2]!掉落查询,[2]获取途径临时表!H$1,FALSE)</f>
        <v/>
      </c>
      <c r="K96" t="str">
        <f>VLOOKUP($A96,[2]!掉落查询,[2]获取途径临时表!I$1,FALSE)</f>
        <v/>
      </c>
      <c r="L96" t="str">
        <f>VLOOKUP($A96,[2]!掉落查询,[2]获取途径临时表!J$1,FALSE)</f>
        <v/>
      </c>
      <c r="M96" t="str">
        <f>VLOOKUP($A96,[2]!掉落查询,[2]获取途径临时表!K$1,FALSE)</f>
        <v/>
      </c>
      <c r="N96" t="str">
        <f>VLOOKUP($A96,[2]!掉落查询,[2]获取途径临时表!L$1,FALSE)</f>
        <v/>
      </c>
      <c r="O96" t="str">
        <f>VLOOKUP($A96,[2]!掉落查询,[2]获取途径临时表!M$1,FALSE)</f>
        <v/>
      </c>
      <c r="P96" t="str">
        <f>VLOOKUP($A96,[2]!掉落查询,[2]获取途径临时表!N$1,FALSE)</f>
        <v/>
      </c>
      <c r="Q96" t="str">
        <f>VLOOKUP($A96,[2]!掉落查询,[2]获取途径临时表!O$1,FALSE)</f>
        <v/>
      </c>
      <c r="R96" t="str">
        <f>VLOOKUP($A96,[2]!掉落查询,[2]获取途径临时表!P$1,FALSE)</f>
        <v/>
      </c>
      <c r="S96" t="str">
        <f>VLOOKUP($A96,[2]!掉落查询,[2]获取途径临时表!Q$1,FALSE)</f>
        <v/>
      </c>
      <c r="T96" t="str">
        <f>VLOOKUP($A96,[2]!掉落查询,[2]获取途径临时表!R$1,FALSE)</f>
        <v/>
      </c>
    </row>
    <row r="97" spans="1:20" x14ac:dyDescent="0.15">
      <c r="A97">
        <v>80310</v>
      </c>
      <c r="B97" t="s">
        <v>386</v>
      </c>
      <c r="C97">
        <v>0</v>
      </c>
      <c r="D97">
        <f t="shared" si="2"/>
        <v>0</v>
      </c>
      <c r="E97" t="str">
        <f>VLOOKUP($A97,[2]!掉落查询,[2]获取途径临时表!C$1,FALSE)</f>
        <v/>
      </c>
      <c r="F97" t="str">
        <f>VLOOKUP($A97,[2]!掉落查询,[2]获取途径临时表!D$1,FALSE)</f>
        <v/>
      </c>
      <c r="G97" t="str">
        <f>VLOOKUP($A97,[2]!掉落查询,[2]获取途径临时表!E$1,FALSE)</f>
        <v/>
      </c>
      <c r="H97" t="str">
        <f>VLOOKUP($A97,[2]!掉落查询,[2]获取途径临时表!F$1,FALSE)</f>
        <v/>
      </c>
      <c r="I97" t="str">
        <f>VLOOKUP($A97,[2]!掉落查询,[2]获取途径临时表!G$1,FALSE)</f>
        <v/>
      </c>
      <c r="J97" t="str">
        <f>VLOOKUP($A97,[2]!掉落查询,[2]获取途径临时表!H$1,FALSE)</f>
        <v/>
      </c>
      <c r="K97" t="str">
        <f>VLOOKUP($A97,[2]!掉落查询,[2]获取途径临时表!I$1,FALSE)</f>
        <v/>
      </c>
      <c r="L97" t="str">
        <f>VLOOKUP($A97,[2]!掉落查询,[2]获取途径临时表!J$1,FALSE)</f>
        <v/>
      </c>
      <c r="M97" t="str">
        <f>VLOOKUP($A97,[2]!掉落查询,[2]获取途径临时表!K$1,FALSE)</f>
        <v/>
      </c>
      <c r="N97" t="str">
        <f>VLOOKUP($A97,[2]!掉落查询,[2]获取途径临时表!L$1,FALSE)</f>
        <v/>
      </c>
      <c r="O97" t="str">
        <f>VLOOKUP($A97,[2]!掉落查询,[2]获取途径临时表!M$1,FALSE)</f>
        <v/>
      </c>
      <c r="P97" t="str">
        <f>VLOOKUP($A97,[2]!掉落查询,[2]获取途径临时表!N$1,FALSE)</f>
        <v/>
      </c>
      <c r="Q97" t="str">
        <f>VLOOKUP($A97,[2]!掉落查询,[2]获取途径临时表!O$1,FALSE)</f>
        <v/>
      </c>
      <c r="R97" t="str">
        <f>VLOOKUP($A97,[2]!掉落查询,[2]获取途径临时表!P$1,FALSE)</f>
        <v/>
      </c>
      <c r="S97" t="str">
        <f>VLOOKUP($A97,[2]!掉落查询,[2]获取途径临时表!Q$1,FALSE)</f>
        <v/>
      </c>
      <c r="T97" t="str">
        <f>VLOOKUP($A97,[2]!掉落查询,[2]获取途径临时表!R$1,FALSE)</f>
        <v/>
      </c>
    </row>
    <row r="98" spans="1:20" x14ac:dyDescent="0.15">
      <c r="A98">
        <v>80410</v>
      </c>
      <c r="B98" t="s">
        <v>387</v>
      </c>
      <c r="C98">
        <v>0</v>
      </c>
      <c r="D98">
        <f t="shared" si="2"/>
        <v>0</v>
      </c>
      <c r="E98" t="str">
        <f>VLOOKUP($A98,[2]!掉落查询,[2]获取途径临时表!C$1,FALSE)</f>
        <v/>
      </c>
      <c r="F98" t="str">
        <f>VLOOKUP($A98,[2]!掉落查询,[2]获取途径临时表!D$1,FALSE)</f>
        <v/>
      </c>
      <c r="G98" t="str">
        <f>VLOOKUP($A98,[2]!掉落查询,[2]获取途径临时表!E$1,FALSE)</f>
        <v/>
      </c>
      <c r="H98" t="str">
        <f>VLOOKUP($A98,[2]!掉落查询,[2]获取途径临时表!F$1,FALSE)</f>
        <v/>
      </c>
      <c r="I98" t="str">
        <f>VLOOKUP($A98,[2]!掉落查询,[2]获取途径临时表!G$1,FALSE)</f>
        <v/>
      </c>
      <c r="J98" t="str">
        <f>VLOOKUP($A98,[2]!掉落查询,[2]获取途径临时表!H$1,FALSE)</f>
        <v/>
      </c>
      <c r="K98" t="str">
        <f>VLOOKUP($A98,[2]!掉落查询,[2]获取途径临时表!I$1,FALSE)</f>
        <v/>
      </c>
      <c r="L98" t="str">
        <f>VLOOKUP($A98,[2]!掉落查询,[2]获取途径临时表!J$1,FALSE)</f>
        <v/>
      </c>
      <c r="M98" t="str">
        <f>VLOOKUP($A98,[2]!掉落查询,[2]获取途径临时表!K$1,FALSE)</f>
        <v/>
      </c>
      <c r="N98" t="str">
        <f>VLOOKUP($A98,[2]!掉落查询,[2]获取途径临时表!L$1,FALSE)</f>
        <v/>
      </c>
      <c r="O98" t="str">
        <f>VLOOKUP($A98,[2]!掉落查询,[2]获取途径临时表!M$1,FALSE)</f>
        <v/>
      </c>
      <c r="P98" t="str">
        <f>VLOOKUP($A98,[2]!掉落查询,[2]获取途径临时表!N$1,FALSE)</f>
        <v/>
      </c>
      <c r="Q98" t="str">
        <f>VLOOKUP($A98,[2]!掉落查询,[2]获取途径临时表!O$1,FALSE)</f>
        <v/>
      </c>
      <c r="R98" t="str">
        <f>VLOOKUP($A98,[2]!掉落查询,[2]获取途径临时表!P$1,FALSE)</f>
        <v/>
      </c>
      <c r="S98" t="str">
        <f>VLOOKUP($A98,[2]!掉落查询,[2]获取途径临时表!Q$1,FALSE)</f>
        <v/>
      </c>
      <c r="T98" t="str">
        <f>VLOOKUP($A98,[2]!掉落查询,[2]获取途径临时表!R$1,FALSE)</f>
        <v/>
      </c>
    </row>
    <row r="99" spans="1:20" x14ac:dyDescent="0.15">
      <c r="A99">
        <v>80510</v>
      </c>
      <c r="B99" t="s">
        <v>388</v>
      </c>
      <c r="C99">
        <v>0</v>
      </c>
      <c r="D99">
        <f t="shared" si="2"/>
        <v>0</v>
      </c>
      <c r="E99" t="str">
        <f>VLOOKUP($A99,[2]!掉落查询,[2]获取途径临时表!C$1,FALSE)</f>
        <v/>
      </c>
      <c r="F99" t="str">
        <f>VLOOKUP($A99,[2]!掉落查询,[2]获取途径临时表!D$1,FALSE)</f>
        <v/>
      </c>
      <c r="G99" t="str">
        <f>VLOOKUP($A99,[2]!掉落查询,[2]获取途径临时表!E$1,FALSE)</f>
        <v/>
      </c>
      <c r="H99" t="str">
        <f>VLOOKUP($A99,[2]!掉落查询,[2]获取途径临时表!F$1,FALSE)</f>
        <v/>
      </c>
      <c r="I99" t="str">
        <f>VLOOKUP($A99,[2]!掉落查询,[2]获取途径临时表!G$1,FALSE)</f>
        <v/>
      </c>
      <c r="J99" t="str">
        <f>VLOOKUP($A99,[2]!掉落查询,[2]获取途径临时表!H$1,FALSE)</f>
        <v/>
      </c>
      <c r="K99" t="str">
        <f>VLOOKUP($A99,[2]!掉落查询,[2]获取途径临时表!I$1,FALSE)</f>
        <v/>
      </c>
      <c r="L99" t="str">
        <f>VLOOKUP($A99,[2]!掉落查询,[2]获取途径临时表!J$1,FALSE)</f>
        <v/>
      </c>
      <c r="M99" t="str">
        <f>VLOOKUP($A99,[2]!掉落查询,[2]获取途径临时表!K$1,FALSE)</f>
        <v/>
      </c>
      <c r="N99" t="str">
        <f>VLOOKUP($A99,[2]!掉落查询,[2]获取途径临时表!L$1,FALSE)</f>
        <v/>
      </c>
      <c r="O99" t="str">
        <f>VLOOKUP($A99,[2]!掉落查询,[2]获取途径临时表!M$1,FALSE)</f>
        <v/>
      </c>
      <c r="P99" t="str">
        <f>VLOOKUP($A99,[2]!掉落查询,[2]获取途径临时表!N$1,FALSE)</f>
        <v/>
      </c>
      <c r="Q99" t="str">
        <f>VLOOKUP($A99,[2]!掉落查询,[2]获取途径临时表!O$1,FALSE)</f>
        <v/>
      </c>
      <c r="R99" t="str">
        <f>VLOOKUP($A99,[2]!掉落查询,[2]获取途径临时表!P$1,FALSE)</f>
        <v/>
      </c>
      <c r="S99" t="str">
        <f>VLOOKUP($A99,[2]!掉落查询,[2]获取途径临时表!Q$1,FALSE)</f>
        <v/>
      </c>
      <c r="T99" t="str">
        <f>VLOOKUP($A99,[2]!掉落查询,[2]获取途径临时表!R$1,FALSE)</f>
        <v/>
      </c>
    </row>
    <row r="100" spans="1:20" x14ac:dyDescent="0.15">
      <c r="A100">
        <v>80610</v>
      </c>
      <c r="B100" t="s">
        <v>389</v>
      </c>
      <c r="C100">
        <v>0</v>
      </c>
      <c r="D100">
        <f t="shared" si="2"/>
        <v>0</v>
      </c>
      <c r="E100" t="str">
        <f>VLOOKUP($A100,[2]!掉落查询,[2]获取途径临时表!C$1,FALSE)</f>
        <v/>
      </c>
      <c r="F100" t="str">
        <f>VLOOKUP($A100,[2]!掉落查询,[2]获取途径临时表!D$1,FALSE)</f>
        <v/>
      </c>
      <c r="G100" t="str">
        <f>VLOOKUP($A100,[2]!掉落查询,[2]获取途径临时表!E$1,FALSE)</f>
        <v/>
      </c>
      <c r="H100" t="str">
        <f>VLOOKUP($A100,[2]!掉落查询,[2]获取途径临时表!F$1,FALSE)</f>
        <v/>
      </c>
      <c r="I100" t="str">
        <f>VLOOKUP($A100,[2]!掉落查询,[2]获取途径临时表!G$1,FALSE)</f>
        <v/>
      </c>
      <c r="J100" t="str">
        <f>VLOOKUP($A100,[2]!掉落查询,[2]获取途径临时表!H$1,FALSE)</f>
        <v/>
      </c>
      <c r="K100" t="str">
        <f>VLOOKUP($A100,[2]!掉落查询,[2]获取途径临时表!I$1,FALSE)</f>
        <v/>
      </c>
      <c r="L100" t="str">
        <f>VLOOKUP($A100,[2]!掉落查询,[2]获取途径临时表!J$1,FALSE)</f>
        <v/>
      </c>
      <c r="M100" t="str">
        <f>VLOOKUP($A100,[2]!掉落查询,[2]获取途径临时表!K$1,FALSE)</f>
        <v/>
      </c>
      <c r="N100" t="str">
        <f>VLOOKUP($A100,[2]!掉落查询,[2]获取途径临时表!L$1,FALSE)</f>
        <v/>
      </c>
      <c r="O100" t="str">
        <f>VLOOKUP($A100,[2]!掉落查询,[2]获取途径临时表!M$1,FALSE)</f>
        <v/>
      </c>
      <c r="P100" t="str">
        <f>VLOOKUP($A100,[2]!掉落查询,[2]获取途径临时表!N$1,FALSE)</f>
        <v/>
      </c>
      <c r="Q100" t="str">
        <f>VLOOKUP($A100,[2]!掉落查询,[2]获取途径临时表!O$1,FALSE)</f>
        <v/>
      </c>
      <c r="R100" t="str">
        <f>VLOOKUP($A100,[2]!掉落查询,[2]获取途径临时表!P$1,FALSE)</f>
        <v/>
      </c>
      <c r="S100" t="str">
        <f>VLOOKUP($A100,[2]!掉落查询,[2]获取途径临时表!Q$1,FALSE)</f>
        <v/>
      </c>
      <c r="T100" t="str">
        <f>VLOOKUP($A100,[2]!掉落查询,[2]获取途径临时表!R$1,FALSE)</f>
        <v/>
      </c>
    </row>
    <row r="101" spans="1:20" x14ac:dyDescent="0.15">
      <c r="A101" s="13">
        <v>87300</v>
      </c>
      <c r="B101" s="13" t="s">
        <v>390</v>
      </c>
      <c r="C101">
        <v>0</v>
      </c>
      <c r="D101">
        <f t="shared" si="2"/>
        <v>0</v>
      </c>
      <c r="E101" t="str">
        <f>VLOOKUP($A101,[2]!掉落查询,[2]获取途径临时表!C$1,FALSE)</f>
        <v/>
      </c>
      <c r="F101" t="str">
        <f>VLOOKUP($A101,[2]!掉落查询,[2]获取途径临时表!D$1,FALSE)</f>
        <v/>
      </c>
      <c r="G101" t="str">
        <f>VLOOKUP($A101,[2]!掉落查询,[2]获取途径临时表!E$1,FALSE)</f>
        <v/>
      </c>
      <c r="H101" t="str">
        <f>VLOOKUP($A101,[2]!掉落查询,[2]获取途径临时表!F$1,FALSE)</f>
        <v/>
      </c>
      <c r="I101" t="str">
        <f>VLOOKUP($A101,[2]!掉落查询,[2]获取途径临时表!G$1,FALSE)</f>
        <v/>
      </c>
      <c r="J101" t="str">
        <f>VLOOKUP($A101,[2]!掉落查询,[2]获取途径临时表!H$1,FALSE)</f>
        <v/>
      </c>
      <c r="K101" t="str">
        <f>VLOOKUP($A101,[2]!掉落查询,[2]获取途径临时表!I$1,FALSE)</f>
        <v/>
      </c>
      <c r="L101" t="str">
        <f>VLOOKUP($A101,[2]!掉落查询,[2]获取途径临时表!J$1,FALSE)</f>
        <v/>
      </c>
      <c r="M101" t="str">
        <f>VLOOKUP($A101,[2]!掉落查询,[2]获取途径临时表!K$1,FALSE)</f>
        <v/>
      </c>
      <c r="N101" t="str">
        <f>VLOOKUP($A101,[2]!掉落查询,[2]获取途径临时表!L$1,FALSE)</f>
        <v/>
      </c>
      <c r="O101" t="str">
        <f>VLOOKUP($A101,[2]!掉落查询,[2]获取途径临时表!M$1,FALSE)</f>
        <v/>
      </c>
      <c r="P101" t="str">
        <f>VLOOKUP($A101,[2]!掉落查询,[2]获取途径临时表!N$1,FALSE)</f>
        <v/>
      </c>
      <c r="Q101" t="str">
        <f>VLOOKUP($A101,[2]!掉落查询,[2]获取途径临时表!O$1,FALSE)</f>
        <v/>
      </c>
      <c r="R101" t="str">
        <f>VLOOKUP($A101,[2]!掉落查询,[2]获取途径临时表!P$1,FALSE)</f>
        <v/>
      </c>
      <c r="S101" t="str">
        <f>VLOOKUP($A101,[2]!掉落查询,[2]获取途径临时表!Q$1,FALSE)</f>
        <v/>
      </c>
      <c r="T101" t="str">
        <f>VLOOKUP($A101,[2]!掉落查询,[2]获取途径临时表!R$1,FALSE)</f>
        <v/>
      </c>
    </row>
    <row r="102" spans="1:20" x14ac:dyDescent="0.15">
      <c r="A102" s="13">
        <v>83300</v>
      </c>
      <c r="B102" s="13" t="s">
        <v>391</v>
      </c>
      <c r="C102">
        <v>0</v>
      </c>
      <c r="D102">
        <f t="shared" si="2"/>
        <v>0</v>
      </c>
      <c r="E102" t="str">
        <f>VLOOKUP($A102,[2]!掉落查询,[2]获取途径临时表!C$1,FALSE)</f>
        <v/>
      </c>
      <c r="F102" t="str">
        <f>VLOOKUP($A102,[2]!掉落查询,[2]获取途径临时表!D$1,FALSE)</f>
        <v/>
      </c>
      <c r="G102" t="str">
        <f>VLOOKUP($A102,[2]!掉落查询,[2]获取途径临时表!E$1,FALSE)</f>
        <v/>
      </c>
      <c r="H102" t="str">
        <f>VLOOKUP($A102,[2]!掉落查询,[2]获取途径临时表!F$1,FALSE)</f>
        <v/>
      </c>
      <c r="I102" t="str">
        <f>VLOOKUP($A102,[2]!掉落查询,[2]获取途径临时表!G$1,FALSE)</f>
        <v/>
      </c>
      <c r="J102" t="str">
        <f>VLOOKUP($A102,[2]!掉落查询,[2]获取途径临时表!H$1,FALSE)</f>
        <v/>
      </c>
      <c r="K102" t="str">
        <f>VLOOKUP($A102,[2]!掉落查询,[2]获取途径临时表!I$1,FALSE)</f>
        <v/>
      </c>
      <c r="L102" t="str">
        <f>VLOOKUP($A102,[2]!掉落查询,[2]获取途径临时表!J$1,FALSE)</f>
        <v/>
      </c>
      <c r="M102" t="str">
        <f>VLOOKUP($A102,[2]!掉落查询,[2]获取途径临时表!K$1,FALSE)</f>
        <v/>
      </c>
      <c r="N102" t="str">
        <f>VLOOKUP($A102,[2]!掉落查询,[2]获取途径临时表!L$1,FALSE)</f>
        <v/>
      </c>
      <c r="O102" t="str">
        <f>VLOOKUP($A102,[2]!掉落查询,[2]获取途径临时表!M$1,FALSE)</f>
        <v/>
      </c>
      <c r="P102" t="str">
        <f>VLOOKUP($A102,[2]!掉落查询,[2]获取途径临时表!N$1,FALSE)</f>
        <v/>
      </c>
      <c r="Q102" t="str">
        <f>VLOOKUP($A102,[2]!掉落查询,[2]获取途径临时表!O$1,FALSE)</f>
        <v/>
      </c>
      <c r="R102" t="str">
        <f>VLOOKUP($A102,[2]!掉落查询,[2]获取途径临时表!P$1,FALSE)</f>
        <v/>
      </c>
      <c r="S102" t="str">
        <f>VLOOKUP($A102,[2]!掉落查询,[2]获取途径临时表!Q$1,FALSE)</f>
        <v/>
      </c>
      <c r="T102" t="str">
        <f>VLOOKUP($A102,[2]!掉落查询,[2]获取途径临时表!R$1,FALSE)</f>
        <v/>
      </c>
    </row>
    <row r="103" spans="1:20" x14ac:dyDescent="0.15">
      <c r="A103" s="13">
        <v>83301</v>
      </c>
      <c r="B103" s="13" t="s">
        <v>392</v>
      </c>
      <c r="C103">
        <v>0</v>
      </c>
      <c r="D103">
        <f t="shared" si="2"/>
        <v>0</v>
      </c>
      <c r="E103" t="str">
        <f>VLOOKUP($A103,[2]!掉落查询,[2]获取途径临时表!C$1,FALSE)</f>
        <v/>
      </c>
      <c r="F103" t="str">
        <f>VLOOKUP($A103,[2]!掉落查询,[2]获取途径临时表!D$1,FALSE)</f>
        <v/>
      </c>
      <c r="G103" t="str">
        <f>VLOOKUP($A103,[2]!掉落查询,[2]获取途径临时表!E$1,FALSE)</f>
        <v/>
      </c>
      <c r="H103" t="str">
        <f>VLOOKUP($A103,[2]!掉落查询,[2]获取途径临时表!F$1,FALSE)</f>
        <v/>
      </c>
      <c r="I103" t="str">
        <f>VLOOKUP($A103,[2]!掉落查询,[2]获取途径临时表!G$1,FALSE)</f>
        <v/>
      </c>
      <c r="J103" t="str">
        <f>VLOOKUP($A103,[2]!掉落查询,[2]获取途径临时表!H$1,FALSE)</f>
        <v/>
      </c>
      <c r="K103" t="str">
        <f>VLOOKUP($A103,[2]!掉落查询,[2]获取途径临时表!I$1,FALSE)</f>
        <v/>
      </c>
      <c r="L103" t="str">
        <f>VLOOKUP($A103,[2]!掉落查询,[2]获取途径临时表!J$1,FALSE)</f>
        <v/>
      </c>
      <c r="M103" t="str">
        <f>VLOOKUP($A103,[2]!掉落查询,[2]获取途径临时表!K$1,FALSE)</f>
        <v/>
      </c>
      <c r="N103" t="str">
        <f>VLOOKUP($A103,[2]!掉落查询,[2]获取途径临时表!L$1,FALSE)</f>
        <v/>
      </c>
      <c r="O103" t="str">
        <f>VLOOKUP($A103,[2]!掉落查询,[2]获取途径临时表!M$1,FALSE)</f>
        <v/>
      </c>
      <c r="P103" t="str">
        <f>VLOOKUP($A103,[2]!掉落查询,[2]获取途径临时表!N$1,FALSE)</f>
        <v/>
      </c>
      <c r="Q103" t="str">
        <f>VLOOKUP($A103,[2]!掉落查询,[2]获取途径临时表!O$1,FALSE)</f>
        <v/>
      </c>
      <c r="R103" t="str">
        <f>VLOOKUP($A103,[2]!掉落查询,[2]获取途径临时表!P$1,FALSE)</f>
        <v/>
      </c>
      <c r="S103" t="str">
        <f>VLOOKUP($A103,[2]!掉落查询,[2]获取途径临时表!Q$1,FALSE)</f>
        <v/>
      </c>
      <c r="T103" t="str">
        <f>VLOOKUP($A103,[2]!掉落查询,[2]获取途径临时表!R$1,FALSE)</f>
        <v/>
      </c>
    </row>
    <row r="104" spans="1:20" x14ac:dyDescent="0.15">
      <c r="A104" s="13">
        <v>83302</v>
      </c>
      <c r="B104" s="13" t="s">
        <v>393</v>
      </c>
      <c r="C104">
        <v>0</v>
      </c>
      <c r="D104">
        <f t="shared" si="2"/>
        <v>0</v>
      </c>
      <c r="E104" t="str">
        <f>VLOOKUP($A104,[2]!掉落查询,[2]获取途径临时表!C$1,FALSE)</f>
        <v/>
      </c>
      <c r="F104" t="str">
        <f>VLOOKUP($A104,[2]!掉落查询,[2]获取途径临时表!D$1,FALSE)</f>
        <v/>
      </c>
      <c r="G104" t="str">
        <f>VLOOKUP($A104,[2]!掉落查询,[2]获取途径临时表!E$1,FALSE)</f>
        <v/>
      </c>
      <c r="H104" t="str">
        <f>VLOOKUP($A104,[2]!掉落查询,[2]获取途径临时表!F$1,FALSE)</f>
        <v/>
      </c>
      <c r="I104" t="str">
        <f>VLOOKUP($A104,[2]!掉落查询,[2]获取途径临时表!G$1,FALSE)</f>
        <v/>
      </c>
      <c r="J104" t="str">
        <f>VLOOKUP($A104,[2]!掉落查询,[2]获取途径临时表!H$1,FALSE)</f>
        <v/>
      </c>
      <c r="K104" t="str">
        <f>VLOOKUP($A104,[2]!掉落查询,[2]获取途径临时表!I$1,FALSE)</f>
        <v/>
      </c>
      <c r="L104" t="str">
        <f>VLOOKUP($A104,[2]!掉落查询,[2]获取途径临时表!J$1,FALSE)</f>
        <v/>
      </c>
      <c r="M104" t="str">
        <f>VLOOKUP($A104,[2]!掉落查询,[2]获取途径临时表!K$1,FALSE)</f>
        <v/>
      </c>
      <c r="N104" t="str">
        <f>VLOOKUP($A104,[2]!掉落查询,[2]获取途径临时表!L$1,FALSE)</f>
        <v/>
      </c>
      <c r="O104" t="str">
        <f>VLOOKUP($A104,[2]!掉落查询,[2]获取途径临时表!M$1,FALSE)</f>
        <v/>
      </c>
      <c r="P104" t="str">
        <f>VLOOKUP($A104,[2]!掉落查询,[2]获取途径临时表!N$1,FALSE)</f>
        <v/>
      </c>
      <c r="Q104" t="str">
        <f>VLOOKUP($A104,[2]!掉落查询,[2]获取途径临时表!O$1,FALSE)</f>
        <v/>
      </c>
      <c r="R104" t="str">
        <f>VLOOKUP($A104,[2]!掉落查询,[2]获取途径临时表!P$1,FALSE)</f>
        <v/>
      </c>
      <c r="S104" t="str">
        <f>VLOOKUP($A104,[2]!掉落查询,[2]获取途径临时表!Q$1,FALSE)</f>
        <v/>
      </c>
      <c r="T104" t="str">
        <f>VLOOKUP($A104,[2]!掉落查询,[2]获取途径临时表!R$1,FALSE)</f>
        <v/>
      </c>
    </row>
    <row r="105" spans="1:20" x14ac:dyDescent="0.15">
      <c r="A105" s="13">
        <v>83303</v>
      </c>
      <c r="B105" s="13" t="s">
        <v>394</v>
      </c>
      <c r="C105">
        <v>0</v>
      </c>
      <c r="D105">
        <f t="shared" si="2"/>
        <v>0</v>
      </c>
      <c r="E105" t="str">
        <f>VLOOKUP($A105,[2]!掉落查询,[2]获取途径临时表!C$1,FALSE)</f>
        <v/>
      </c>
      <c r="F105" t="str">
        <f>VLOOKUP($A105,[2]!掉落查询,[2]获取途径临时表!D$1,FALSE)</f>
        <v/>
      </c>
      <c r="G105" t="str">
        <f>VLOOKUP($A105,[2]!掉落查询,[2]获取途径临时表!E$1,FALSE)</f>
        <v/>
      </c>
      <c r="H105" t="str">
        <f>VLOOKUP($A105,[2]!掉落查询,[2]获取途径临时表!F$1,FALSE)</f>
        <v/>
      </c>
      <c r="I105" t="str">
        <f>VLOOKUP($A105,[2]!掉落查询,[2]获取途径临时表!G$1,FALSE)</f>
        <v/>
      </c>
      <c r="J105" t="str">
        <f>VLOOKUP($A105,[2]!掉落查询,[2]获取途径临时表!H$1,FALSE)</f>
        <v/>
      </c>
      <c r="K105" t="str">
        <f>VLOOKUP($A105,[2]!掉落查询,[2]获取途径临时表!I$1,FALSE)</f>
        <v/>
      </c>
      <c r="L105" t="str">
        <f>VLOOKUP($A105,[2]!掉落查询,[2]获取途径临时表!J$1,FALSE)</f>
        <v/>
      </c>
      <c r="M105" t="str">
        <f>VLOOKUP($A105,[2]!掉落查询,[2]获取途径临时表!K$1,FALSE)</f>
        <v/>
      </c>
      <c r="N105" t="str">
        <f>VLOOKUP($A105,[2]!掉落查询,[2]获取途径临时表!L$1,FALSE)</f>
        <v/>
      </c>
      <c r="O105" t="str">
        <f>VLOOKUP($A105,[2]!掉落查询,[2]获取途径临时表!M$1,FALSE)</f>
        <v/>
      </c>
      <c r="P105" t="str">
        <f>VLOOKUP($A105,[2]!掉落查询,[2]获取途径临时表!N$1,FALSE)</f>
        <v/>
      </c>
      <c r="Q105" t="str">
        <f>VLOOKUP($A105,[2]!掉落查询,[2]获取途径临时表!O$1,FALSE)</f>
        <v/>
      </c>
      <c r="R105" t="str">
        <f>VLOOKUP($A105,[2]!掉落查询,[2]获取途径临时表!P$1,FALSE)</f>
        <v/>
      </c>
      <c r="S105" t="str">
        <f>VLOOKUP($A105,[2]!掉落查询,[2]获取途径临时表!Q$1,FALSE)</f>
        <v/>
      </c>
      <c r="T105" t="str">
        <f>VLOOKUP($A105,[2]!掉落查询,[2]获取途径临时表!R$1,FALSE)</f>
        <v/>
      </c>
    </row>
    <row r="106" spans="1:20" x14ac:dyDescent="0.15">
      <c r="A106">
        <v>89101</v>
      </c>
      <c r="B106" t="s">
        <v>236</v>
      </c>
      <c r="C106">
        <v>0</v>
      </c>
      <c r="D106">
        <f t="shared" si="2"/>
        <v>0</v>
      </c>
      <c r="E106" t="str">
        <f>VLOOKUP($A106,[2]!掉落查询,[2]获取途径临时表!C$1,FALSE)</f>
        <v/>
      </c>
      <c r="F106" t="str">
        <f>VLOOKUP($A106,[2]!掉落查询,[2]获取途径临时表!D$1,FALSE)</f>
        <v/>
      </c>
      <c r="G106" t="str">
        <f>VLOOKUP($A106,[2]!掉落查询,[2]获取途径临时表!E$1,FALSE)</f>
        <v/>
      </c>
      <c r="H106" t="str">
        <f>VLOOKUP($A106,[2]!掉落查询,[2]获取途径临时表!F$1,FALSE)</f>
        <v/>
      </c>
      <c r="I106" t="str">
        <f>VLOOKUP($A106,[2]!掉落查询,[2]获取途径临时表!G$1,FALSE)</f>
        <v/>
      </c>
      <c r="J106" t="str">
        <f>VLOOKUP($A106,[2]!掉落查询,[2]获取途径临时表!H$1,FALSE)</f>
        <v/>
      </c>
      <c r="K106" t="str">
        <f>VLOOKUP($A106,[2]!掉落查询,[2]获取途径临时表!I$1,FALSE)</f>
        <v/>
      </c>
      <c r="L106" t="str">
        <f>VLOOKUP($A106,[2]!掉落查询,[2]获取途径临时表!J$1,FALSE)</f>
        <v/>
      </c>
      <c r="M106" t="str">
        <f>VLOOKUP($A106,[2]!掉落查询,[2]获取途径临时表!K$1,FALSE)</f>
        <v/>
      </c>
      <c r="N106" t="str">
        <f>VLOOKUP($A106,[2]!掉落查询,[2]获取途径临时表!L$1,FALSE)</f>
        <v/>
      </c>
      <c r="O106" t="str">
        <f>VLOOKUP($A106,[2]!掉落查询,[2]获取途径临时表!M$1,FALSE)</f>
        <v/>
      </c>
      <c r="P106" t="str">
        <f>VLOOKUP($A106,[2]!掉落查询,[2]获取途径临时表!N$1,FALSE)</f>
        <v/>
      </c>
      <c r="Q106" t="str">
        <f>VLOOKUP($A106,[2]!掉落查询,[2]获取途径临时表!O$1,FALSE)</f>
        <v/>
      </c>
      <c r="R106" t="str">
        <f>VLOOKUP($A106,[2]!掉落查询,[2]获取途径临时表!P$1,FALSE)</f>
        <v/>
      </c>
      <c r="S106" t="str">
        <f>VLOOKUP($A106,[2]!掉落查询,[2]获取途径临时表!Q$1,FALSE)</f>
        <v/>
      </c>
      <c r="T106" t="str">
        <f>VLOOKUP($A106,[2]!掉落查询,[2]获取途径临时表!R$1,FALSE)</f>
        <v/>
      </c>
    </row>
    <row r="107" spans="1:20" x14ac:dyDescent="0.15">
      <c r="A107">
        <v>89102</v>
      </c>
      <c r="B107" t="s">
        <v>237</v>
      </c>
      <c r="C107">
        <v>0</v>
      </c>
      <c r="D107">
        <f t="shared" si="2"/>
        <v>0</v>
      </c>
      <c r="E107" t="str">
        <f>VLOOKUP($A107,[2]!掉落查询,[2]获取途径临时表!C$1,FALSE)</f>
        <v/>
      </c>
      <c r="F107" t="str">
        <f>VLOOKUP($A107,[2]!掉落查询,[2]获取途径临时表!D$1,FALSE)</f>
        <v/>
      </c>
      <c r="G107" t="str">
        <f>VLOOKUP($A107,[2]!掉落查询,[2]获取途径临时表!E$1,FALSE)</f>
        <v/>
      </c>
      <c r="H107" t="str">
        <f>VLOOKUP($A107,[2]!掉落查询,[2]获取途径临时表!F$1,FALSE)</f>
        <v/>
      </c>
      <c r="I107" t="str">
        <f>VLOOKUP($A107,[2]!掉落查询,[2]获取途径临时表!G$1,FALSE)</f>
        <v/>
      </c>
      <c r="J107" t="str">
        <f>VLOOKUP($A107,[2]!掉落查询,[2]获取途径临时表!H$1,FALSE)</f>
        <v/>
      </c>
      <c r="K107" t="str">
        <f>VLOOKUP($A107,[2]!掉落查询,[2]获取途径临时表!I$1,FALSE)</f>
        <v/>
      </c>
      <c r="L107" t="str">
        <f>VLOOKUP($A107,[2]!掉落查询,[2]获取途径临时表!J$1,FALSE)</f>
        <v/>
      </c>
      <c r="M107" t="str">
        <f>VLOOKUP($A107,[2]!掉落查询,[2]获取途径临时表!K$1,FALSE)</f>
        <v/>
      </c>
      <c r="N107" t="str">
        <f>VLOOKUP($A107,[2]!掉落查询,[2]获取途径临时表!L$1,FALSE)</f>
        <v/>
      </c>
      <c r="O107" t="str">
        <f>VLOOKUP($A107,[2]!掉落查询,[2]获取途径临时表!M$1,FALSE)</f>
        <v/>
      </c>
      <c r="P107" t="str">
        <f>VLOOKUP($A107,[2]!掉落查询,[2]获取途径临时表!N$1,FALSE)</f>
        <v/>
      </c>
      <c r="Q107" t="str">
        <f>VLOOKUP($A107,[2]!掉落查询,[2]获取途径临时表!O$1,FALSE)</f>
        <v/>
      </c>
      <c r="R107" t="str">
        <f>VLOOKUP($A107,[2]!掉落查询,[2]获取途径临时表!P$1,FALSE)</f>
        <v/>
      </c>
      <c r="S107" t="str">
        <f>VLOOKUP($A107,[2]!掉落查询,[2]获取途径临时表!Q$1,FALSE)</f>
        <v/>
      </c>
      <c r="T107" t="str">
        <f>VLOOKUP($A107,[2]!掉落查询,[2]获取途径临时表!R$1,FALSE)</f>
        <v/>
      </c>
    </row>
    <row r="108" spans="1:20" x14ac:dyDescent="0.15">
      <c r="A108" s="13">
        <v>89106</v>
      </c>
      <c r="B108" s="13" t="s">
        <v>395</v>
      </c>
      <c r="C108">
        <v>0</v>
      </c>
      <c r="D108">
        <f t="shared" si="2"/>
        <v>0</v>
      </c>
      <c r="E108" t="str">
        <f>VLOOKUP($A108,[2]!掉落查询,[2]获取途径临时表!C$1,FALSE)</f>
        <v/>
      </c>
      <c r="F108" t="str">
        <f>VLOOKUP($A108,[2]!掉落查询,[2]获取途径临时表!D$1,FALSE)</f>
        <v/>
      </c>
      <c r="G108" t="str">
        <f>VLOOKUP($A108,[2]!掉落查询,[2]获取途径临时表!E$1,FALSE)</f>
        <v/>
      </c>
      <c r="H108" t="str">
        <f>VLOOKUP($A108,[2]!掉落查询,[2]获取途径临时表!F$1,FALSE)</f>
        <v/>
      </c>
      <c r="I108" t="str">
        <f>VLOOKUP($A108,[2]!掉落查询,[2]获取途径临时表!G$1,FALSE)</f>
        <v/>
      </c>
      <c r="J108" t="str">
        <f>VLOOKUP($A108,[2]!掉落查询,[2]获取途径临时表!H$1,FALSE)</f>
        <v/>
      </c>
      <c r="K108" t="str">
        <f>VLOOKUP($A108,[2]!掉落查询,[2]获取途径临时表!I$1,FALSE)</f>
        <v/>
      </c>
      <c r="L108" t="str">
        <f>VLOOKUP($A108,[2]!掉落查询,[2]获取途径临时表!J$1,FALSE)</f>
        <v/>
      </c>
      <c r="M108" t="str">
        <f>VLOOKUP($A108,[2]!掉落查询,[2]获取途径临时表!K$1,FALSE)</f>
        <v/>
      </c>
      <c r="N108" t="str">
        <f>VLOOKUP($A108,[2]!掉落查询,[2]获取途径临时表!L$1,FALSE)</f>
        <v/>
      </c>
      <c r="O108" t="str">
        <f>VLOOKUP($A108,[2]!掉落查询,[2]获取途径临时表!M$1,FALSE)</f>
        <v/>
      </c>
      <c r="P108" t="str">
        <f>VLOOKUP($A108,[2]!掉落查询,[2]获取途径临时表!N$1,FALSE)</f>
        <v/>
      </c>
      <c r="Q108" t="str">
        <f>VLOOKUP($A108,[2]!掉落查询,[2]获取途径临时表!O$1,FALSE)</f>
        <v/>
      </c>
      <c r="R108" t="str">
        <f>VLOOKUP($A108,[2]!掉落查询,[2]获取途径临时表!P$1,FALSE)</f>
        <v/>
      </c>
      <c r="S108" t="str">
        <f>VLOOKUP($A108,[2]!掉落查询,[2]获取途径临时表!Q$1,FALSE)</f>
        <v/>
      </c>
      <c r="T108" t="str">
        <f>VLOOKUP($A108,[2]!掉落查询,[2]获取途径临时表!R$1,FALSE)</f>
        <v/>
      </c>
    </row>
    <row r="109" spans="1:20" x14ac:dyDescent="0.15">
      <c r="A109" s="17">
        <v>89107</v>
      </c>
      <c r="B109" s="17" t="s">
        <v>396</v>
      </c>
      <c r="C109">
        <v>433</v>
      </c>
      <c r="D109">
        <f t="shared" si="2"/>
        <v>0</v>
      </c>
      <c r="E109" t="str">
        <f>VLOOKUP($A109,[2]!掉落查询,[2]获取途径临时表!C$1,FALSE)</f>
        <v/>
      </c>
      <c r="F109" t="str">
        <f>VLOOKUP($A109,[2]!掉落查询,[2]获取途径临时表!D$1,FALSE)</f>
        <v/>
      </c>
      <c r="G109" t="str">
        <f>VLOOKUP($A109,[2]!掉落查询,[2]获取途径临时表!E$1,FALSE)</f>
        <v/>
      </c>
      <c r="H109" t="str">
        <f>VLOOKUP($A109,[2]!掉落查询,[2]获取途径临时表!F$1,FALSE)</f>
        <v/>
      </c>
      <c r="I109" t="str">
        <f>VLOOKUP($A109,[2]!掉落查询,[2]获取途径临时表!G$1,FALSE)</f>
        <v/>
      </c>
      <c r="J109" t="str">
        <f>VLOOKUP($A109,[2]!掉落查询,[2]获取途径临时表!H$1,FALSE)</f>
        <v/>
      </c>
      <c r="K109" t="str">
        <f>VLOOKUP($A109,[2]!掉落查询,[2]获取途径临时表!I$1,FALSE)</f>
        <v/>
      </c>
      <c r="L109" t="str">
        <f>VLOOKUP($A109,[2]!掉落查询,[2]获取途径临时表!J$1,FALSE)</f>
        <v/>
      </c>
      <c r="M109" t="str">
        <f>VLOOKUP($A109,[2]!掉落查询,[2]获取途径临时表!K$1,FALSE)</f>
        <v/>
      </c>
      <c r="N109" t="str">
        <f>VLOOKUP($A109,[2]!掉落查询,[2]获取途径临时表!L$1,FALSE)</f>
        <v/>
      </c>
      <c r="O109" t="str">
        <f>VLOOKUP($A109,[2]!掉落查询,[2]获取途径临时表!M$1,FALSE)</f>
        <v/>
      </c>
      <c r="P109" t="str">
        <f>VLOOKUP($A109,[2]!掉落查询,[2]获取途径临时表!N$1,FALSE)</f>
        <v/>
      </c>
      <c r="Q109" t="str">
        <f>VLOOKUP($A109,[2]!掉落查询,[2]获取途径临时表!O$1,FALSE)</f>
        <v/>
      </c>
      <c r="R109" t="str">
        <f>VLOOKUP($A109,[2]!掉落查询,[2]获取途径临时表!P$1,FALSE)</f>
        <v/>
      </c>
      <c r="S109" t="str">
        <f>VLOOKUP($A109,[2]!掉落查询,[2]获取途径临时表!Q$1,FALSE)</f>
        <v/>
      </c>
      <c r="T109" t="str">
        <f>VLOOKUP($A109,[2]!掉落查询,[2]获取途径临时表!R$1,FALSE)</f>
        <v/>
      </c>
    </row>
    <row r="110" spans="1:20" x14ac:dyDescent="0.15">
      <c r="A110">
        <v>89108</v>
      </c>
      <c r="B110" s="17" t="s">
        <v>271</v>
      </c>
      <c r="C110">
        <v>0</v>
      </c>
      <c r="D110">
        <f t="shared" si="2"/>
        <v>0</v>
      </c>
      <c r="E110" t="str">
        <f>VLOOKUP($A110,[2]!掉落查询,[2]获取途径临时表!C$1,FALSE)</f>
        <v/>
      </c>
      <c r="F110" t="str">
        <f>VLOOKUP($A110,[2]!掉落查询,[2]获取途径临时表!D$1,FALSE)</f>
        <v/>
      </c>
      <c r="G110" t="str">
        <f>VLOOKUP($A110,[2]!掉落查询,[2]获取途径临时表!E$1,FALSE)</f>
        <v/>
      </c>
      <c r="H110" t="str">
        <f>VLOOKUP($A110,[2]!掉落查询,[2]获取途径临时表!F$1,FALSE)</f>
        <v/>
      </c>
      <c r="I110" t="str">
        <f>VLOOKUP($A110,[2]!掉落查询,[2]获取途径临时表!G$1,FALSE)</f>
        <v/>
      </c>
      <c r="J110" t="str">
        <f>VLOOKUP($A110,[2]!掉落查询,[2]获取途径临时表!H$1,FALSE)</f>
        <v/>
      </c>
      <c r="K110" t="str">
        <f>VLOOKUP($A110,[2]!掉落查询,[2]获取途径临时表!I$1,FALSE)</f>
        <v/>
      </c>
      <c r="L110" t="str">
        <f>VLOOKUP($A110,[2]!掉落查询,[2]获取途径临时表!J$1,FALSE)</f>
        <v/>
      </c>
      <c r="M110" t="str">
        <f>VLOOKUP($A110,[2]!掉落查询,[2]获取途径临时表!K$1,FALSE)</f>
        <v/>
      </c>
      <c r="N110" t="str">
        <f>VLOOKUP($A110,[2]!掉落查询,[2]获取途径临时表!L$1,FALSE)</f>
        <v/>
      </c>
      <c r="O110" t="str">
        <f>VLOOKUP($A110,[2]!掉落查询,[2]获取途径临时表!M$1,FALSE)</f>
        <v/>
      </c>
      <c r="P110" t="str">
        <f>VLOOKUP($A110,[2]!掉落查询,[2]获取途径临时表!N$1,FALSE)</f>
        <v/>
      </c>
      <c r="Q110" t="str">
        <f>VLOOKUP($A110,[2]!掉落查询,[2]获取途径临时表!O$1,FALSE)</f>
        <v/>
      </c>
      <c r="R110" t="str">
        <f>VLOOKUP($A110,[2]!掉落查询,[2]获取途径临时表!P$1,FALSE)</f>
        <v/>
      </c>
      <c r="S110" t="str">
        <f>VLOOKUP($A110,[2]!掉落查询,[2]获取途径临时表!Q$1,FALSE)</f>
        <v/>
      </c>
      <c r="T110" t="str">
        <f>VLOOKUP($A110,[2]!掉落查询,[2]获取途径临时表!R$1,FALSE)</f>
        <v/>
      </c>
    </row>
    <row r="111" spans="1:20" x14ac:dyDescent="0.15">
      <c r="A111">
        <v>89109</v>
      </c>
      <c r="B111" t="s">
        <v>272</v>
      </c>
      <c r="C111">
        <v>0</v>
      </c>
      <c r="D111">
        <f t="shared" si="2"/>
        <v>0</v>
      </c>
      <c r="E111" t="str">
        <f>VLOOKUP($A111,[2]!掉落查询,[2]获取途径临时表!C$1,FALSE)</f>
        <v/>
      </c>
      <c r="F111" t="str">
        <f>VLOOKUP($A111,[2]!掉落查询,[2]获取途径临时表!D$1,FALSE)</f>
        <v/>
      </c>
      <c r="G111" t="str">
        <f>VLOOKUP($A111,[2]!掉落查询,[2]获取途径临时表!E$1,FALSE)</f>
        <v/>
      </c>
      <c r="H111" t="str">
        <f>VLOOKUP($A111,[2]!掉落查询,[2]获取途径临时表!F$1,FALSE)</f>
        <v/>
      </c>
      <c r="I111" t="str">
        <f>VLOOKUP($A111,[2]!掉落查询,[2]获取途径临时表!G$1,FALSE)</f>
        <v/>
      </c>
      <c r="J111" t="str">
        <f>VLOOKUP($A111,[2]!掉落查询,[2]获取途径临时表!H$1,FALSE)</f>
        <v/>
      </c>
      <c r="K111" t="str">
        <f>VLOOKUP($A111,[2]!掉落查询,[2]获取途径临时表!I$1,FALSE)</f>
        <v/>
      </c>
      <c r="L111" t="str">
        <f>VLOOKUP($A111,[2]!掉落查询,[2]获取途径临时表!J$1,FALSE)</f>
        <v/>
      </c>
      <c r="M111" t="str">
        <f>VLOOKUP($A111,[2]!掉落查询,[2]获取途径临时表!K$1,FALSE)</f>
        <v/>
      </c>
      <c r="N111" t="str">
        <f>VLOOKUP($A111,[2]!掉落查询,[2]获取途径临时表!L$1,FALSE)</f>
        <v/>
      </c>
      <c r="O111" t="str">
        <f>VLOOKUP($A111,[2]!掉落查询,[2]获取途径临时表!M$1,FALSE)</f>
        <v/>
      </c>
      <c r="P111" t="str">
        <f>VLOOKUP($A111,[2]!掉落查询,[2]获取途径临时表!N$1,FALSE)</f>
        <v/>
      </c>
      <c r="Q111" t="str">
        <f>VLOOKUP($A111,[2]!掉落查询,[2]获取途径临时表!O$1,FALSE)</f>
        <v/>
      </c>
      <c r="R111" t="str">
        <f>VLOOKUP($A111,[2]!掉落查询,[2]获取途径临时表!P$1,FALSE)</f>
        <v/>
      </c>
      <c r="S111" t="str">
        <f>VLOOKUP($A111,[2]!掉落查询,[2]获取途径临时表!Q$1,FALSE)</f>
        <v/>
      </c>
      <c r="T111" t="str">
        <f>VLOOKUP($A111,[2]!掉落查询,[2]获取途径临时表!R$1,FALSE)</f>
        <v/>
      </c>
    </row>
    <row r="112" spans="1:20" x14ac:dyDescent="0.15">
      <c r="A112">
        <v>89110</v>
      </c>
      <c r="B112" t="s">
        <v>273</v>
      </c>
      <c r="C112">
        <v>0</v>
      </c>
      <c r="D112">
        <f t="shared" si="2"/>
        <v>0</v>
      </c>
      <c r="E112" t="str">
        <f>VLOOKUP($A112,[2]!掉落查询,[2]获取途径临时表!C$1,FALSE)</f>
        <v/>
      </c>
      <c r="F112" t="str">
        <f>VLOOKUP($A112,[2]!掉落查询,[2]获取途径临时表!D$1,FALSE)</f>
        <v/>
      </c>
      <c r="G112" t="str">
        <f>VLOOKUP($A112,[2]!掉落查询,[2]获取途径临时表!E$1,FALSE)</f>
        <v/>
      </c>
      <c r="H112" t="str">
        <f>VLOOKUP($A112,[2]!掉落查询,[2]获取途径临时表!F$1,FALSE)</f>
        <v/>
      </c>
      <c r="I112" t="str">
        <f>VLOOKUP($A112,[2]!掉落查询,[2]获取途径临时表!G$1,FALSE)</f>
        <v/>
      </c>
      <c r="J112" t="str">
        <f>VLOOKUP($A112,[2]!掉落查询,[2]获取途径临时表!H$1,FALSE)</f>
        <v/>
      </c>
      <c r="K112" t="str">
        <f>VLOOKUP($A112,[2]!掉落查询,[2]获取途径临时表!I$1,FALSE)</f>
        <v/>
      </c>
      <c r="L112" t="str">
        <f>VLOOKUP($A112,[2]!掉落查询,[2]获取途径临时表!J$1,FALSE)</f>
        <v/>
      </c>
      <c r="M112" t="str">
        <f>VLOOKUP($A112,[2]!掉落查询,[2]获取途径临时表!K$1,FALSE)</f>
        <v/>
      </c>
      <c r="N112" t="str">
        <f>VLOOKUP($A112,[2]!掉落查询,[2]获取途径临时表!L$1,FALSE)</f>
        <v/>
      </c>
      <c r="O112" t="str">
        <f>VLOOKUP($A112,[2]!掉落查询,[2]获取途径临时表!M$1,FALSE)</f>
        <v/>
      </c>
      <c r="P112" t="str">
        <f>VLOOKUP($A112,[2]!掉落查询,[2]获取途径临时表!N$1,FALSE)</f>
        <v/>
      </c>
      <c r="Q112" t="str">
        <f>VLOOKUP($A112,[2]!掉落查询,[2]获取途径临时表!O$1,FALSE)</f>
        <v/>
      </c>
      <c r="R112" t="str">
        <f>VLOOKUP($A112,[2]!掉落查询,[2]获取途径临时表!P$1,FALSE)</f>
        <v/>
      </c>
      <c r="S112" t="str">
        <f>VLOOKUP($A112,[2]!掉落查询,[2]获取途径临时表!Q$1,FALSE)</f>
        <v/>
      </c>
      <c r="T112" t="str">
        <f>VLOOKUP($A112,[2]!掉落查询,[2]获取途径临时表!R$1,FALSE)</f>
        <v/>
      </c>
    </row>
    <row r="113" spans="1:20" x14ac:dyDescent="0.15">
      <c r="A113">
        <v>89111</v>
      </c>
      <c r="B113" t="s">
        <v>907</v>
      </c>
      <c r="C113">
        <v>434</v>
      </c>
      <c r="D113">
        <f t="shared" ref="D113" si="3">COUNTIF(E113:T113,"&gt;0")</f>
        <v>0</v>
      </c>
      <c r="E113" t="str">
        <f>VLOOKUP($A113,[2]!掉落查询,[2]获取途径临时表!C$1,FALSE)</f>
        <v/>
      </c>
      <c r="F113" t="str">
        <f>VLOOKUP($A113,[2]!掉落查询,[2]获取途径临时表!D$1,FALSE)</f>
        <v/>
      </c>
      <c r="G113" t="str">
        <f>VLOOKUP($A113,[2]!掉落查询,[2]获取途径临时表!E$1,FALSE)</f>
        <v/>
      </c>
      <c r="H113" t="str">
        <f>VLOOKUP($A113,[2]!掉落查询,[2]获取途径临时表!F$1,FALSE)</f>
        <v/>
      </c>
      <c r="I113" t="str">
        <f>VLOOKUP($A113,[2]!掉落查询,[2]获取途径临时表!G$1,FALSE)</f>
        <v/>
      </c>
      <c r="J113" t="str">
        <f>VLOOKUP($A113,[2]!掉落查询,[2]获取途径临时表!H$1,FALSE)</f>
        <v/>
      </c>
      <c r="K113" t="str">
        <f>VLOOKUP($A113,[2]!掉落查询,[2]获取途径临时表!I$1,FALSE)</f>
        <v/>
      </c>
      <c r="L113" t="str">
        <f>VLOOKUP($A113,[2]!掉落查询,[2]获取途径临时表!J$1,FALSE)</f>
        <v/>
      </c>
      <c r="M113" t="str">
        <f>VLOOKUP($A113,[2]!掉落查询,[2]获取途径临时表!K$1,FALSE)</f>
        <v/>
      </c>
      <c r="N113" t="str">
        <f>VLOOKUP($A113,[2]!掉落查询,[2]获取途径临时表!L$1,FALSE)</f>
        <v/>
      </c>
      <c r="O113" t="str">
        <f>VLOOKUP($A113,[2]!掉落查询,[2]获取途径临时表!M$1,FALSE)</f>
        <v/>
      </c>
      <c r="P113" t="str">
        <f>VLOOKUP($A113,[2]!掉落查询,[2]获取途径临时表!N$1,FALSE)</f>
        <v/>
      </c>
      <c r="Q113" t="str">
        <f>VLOOKUP($A113,[2]!掉落查询,[2]获取途径临时表!O$1,FALSE)</f>
        <v/>
      </c>
      <c r="R113" t="str">
        <f>VLOOKUP($A113,[2]!掉落查询,[2]获取途径临时表!P$1,FALSE)</f>
        <v/>
      </c>
      <c r="S113" t="str">
        <f>VLOOKUP($A113,[2]!掉落查询,[2]获取途径临时表!Q$1,FALSE)</f>
        <v/>
      </c>
      <c r="T113" t="str">
        <f>VLOOKUP($A113,[2]!掉落查询,[2]获取途径临时表!R$1,FALSE)</f>
        <v/>
      </c>
    </row>
    <row r="114" spans="1:20" x14ac:dyDescent="0.15">
      <c r="A114">
        <v>83304</v>
      </c>
      <c r="B114" t="s">
        <v>847</v>
      </c>
      <c r="C114">
        <v>435</v>
      </c>
      <c r="D114">
        <f t="shared" si="2"/>
        <v>0</v>
      </c>
      <c r="E114" t="str">
        <f>VLOOKUP($A114,[2]!掉落查询,[2]获取途径临时表!C$1,FALSE)</f>
        <v/>
      </c>
      <c r="F114" t="str">
        <f>VLOOKUP($A114,[2]!掉落查询,[2]获取途径临时表!D$1,FALSE)</f>
        <v/>
      </c>
      <c r="G114" t="str">
        <f>VLOOKUP($A114,[2]!掉落查询,[2]获取途径临时表!E$1,FALSE)</f>
        <v/>
      </c>
      <c r="H114" t="str">
        <f>VLOOKUP($A114,[2]!掉落查询,[2]获取途径临时表!F$1,FALSE)</f>
        <v/>
      </c>
      <c r="I114" t="str">
        <f>VLOOKUP($A114,[2]!掉落查询,[2]获取途径临时表!G$1,FALSE)</f>
        <v/>
      </c>
      <c r="J114" t="str">
        <f>VLOOKUP($A114,[2]!掉落查询,[2]获取途径临时表!H$1,FALSE)</f>
        <v/>
      </c>
      <c r="K114" t="str">
        <f>VLOOKUP($A114,[2]!掉落查询,[2]获取途径临时表!I$1,FALSE)</f>
        <v/>
      </c>
      <c r="L114" t="str">
        <f>VLOOKUP($A114,[2]!掉落查询,[2]获取途径临时表!J$1,FALSE)</f>
        <v/>
      </c>
      <c r="M114" t="str">
        <f>VLOOKUP($A114,[2]!掉落查询,[2]获取途径临时表!K$1,FALSE)</f>
        <v/>
      </c>
      <c r="N114" t="str">
        <f>VLOOKUP($A114,[2]!掉落查询,[2]获取途径临时表!L$1,FALSE)</f>
        <v/>
      </c>
      <c r="O114" t="str">
        <f>VLOOKUP($A114,[2]!掉落查询,[2]获取途径临时表!M$1,FALSE)</f>
        <v/>
      </c>
      <c r="P114" t="str">
        <f>VLOOKUP($A114,[2]!掉落查询,[2]获取途径临时表!N$1,FALSE)</f>
        <v/>
      </c>
      <c r="Q114" t="str">
        <f>VLOOKUP($A114,[2]!掉落查询,[2]获取途径临时表!O$1,FALSE)</f>
        <v/>
      </c>
      <c r="R114" t="str">
        <f>VLOOKUP($A114,[2]!掉落查询,[2]获取途径临时表!P$1,FALSE)</f>
        <v/>
      </c>
      <c r="S114" t="str">
        <f>VLOOKUP($A114,[2]!掉落查询,[2]获取途径临时表!Q$1,FALSE)</f>
        <v/>
      </c>
      <c r="T114" t="str">
        <f>VLOOKUP($A114,[2]!掉落查询,[2]获取途径临时表!R$1,FALSE)</f>
        <v/>
      </c>
    </row>
    <row r="115" spans="1:20" x14ac:dyDescent="0.15">
      <c r="A115">
        <v>85200</v>
      </c>
      <c r="B115" t="s">
        <v>397</v>
      </c>
      <c r="C115">
        <v>0</v>
      </c>
      <c r="D115">
        <f t="shared" si="2"/>
        <v>16</v>
      </c>
      <c r="E115">
        <f>VLOOKUP($A115,[2]!掉落查询,[2]获取途径临时表!C$1,FALSE)</f>
        <v>2001</v>
      </c>
      <c r="F115">
        <f>VLOOKUP($A115,[2]!掉落查询,[2]获取途径临时表!D$1,FALSE)</f>
        <v>2002</v>
      </c>
      <c r="G115">
        <f>VLOOKUP($A115,[2]!掉落查询,[2]获取途径临时表!E$1,FALSE)</f>
        <v>2003</v>
      </c>
      <c r="H115">
        <f>VLOOKUP($A115,[2]!掉落查询,[2]获取途径临时表!F$1,FALSE)</f>
        <v>2004</v>
      </c>
      <c r="I115">
        <f>VLOOKUP($A115,[2]!掉落查询,[2]获取途径临时表!G$1,FALSE)</f>
        <v>2005</v>
      </c>
      <c r="J115">
        <f>VLOOKUP($A115,[2]!掉落查询,[2]获取途径临时表!H$1,FALSE)</f>
        <v>2006</v>
      </c>
      <c r="K115">
        <f>VLOOKUP($A115,[2]!掉落查询,[2]获取途径临时表!I$1,FALSE)</f>
        <v>2007</v>
      </c>
      <c r="L115">
        <f>VLOOKUP($A115,[2]!掉落查询,[2]获取途径临时表!J$1,FALSE)</f>
        <v>2008</v>
      </c>
      <c r="M115">
        <f>VLOOKUP($A115,[2]!掉落查询,[2]获取途径临时表!K$1,FALSE)</f>
        <v>2009</v>
      </c>
      <c r="N115">
        <f>VLOOKUP($A115,[2]!掉落查询,[2]获取途径临时表!L$1,FALSE)</f>
        <v>3001</v>
      </c>
      <c r="O115">
        <f>VLOOKUP($A115,[2]!掉落查询,[2]获取途径临时表!M$1,FALSE)</f>
        <v>3002</v>
      </c>
      <c r="P115">
        <f>VLOOKUP($A115,[2]!掉落查询,[2]获取途径临时表!N$1,FALSE)</f>
        <v>3003</v>
      </c>
      <c r="Q115">
        <f>VLOOKUP($A115,[2]!掉落查询,[2]获取途径临时表!O$1,FALSE)</f>
        <v>3004</v>
      </c>
      <c r="R115">
        <f>VLOOKUP($A115,[2]!掉落查询,[2]获取途径临时表!P$1,FALSE)</f>
        <v>3005</v>
      </c>
      <c r="S115">
        <f>VLOOKUP($A115,[2]!掉落查询,[2]获取途径临时表!Q$1,FALSE)</f>
        <v>3006</v>
      </c>
      <c r="T115">
        <f>VLOOKUP($A115,[2]!掉落查询,[2]获取途径临时表!R$1,FALSE)</f>
        <v>3007</v>
      </c>
    </row>
    <row r="116" spans="1:20" x14ac:dyDescent="0.15">
      <c r="A116">
        <v>85300</v>
      </c>
      <c r="B116" t="s">
        <v>398</v>
      </c>
      <c r="C116">
        <v>429</v>
      </c>
      <c r="D116">
        <f t="shared" si="2"/>
        <v>0</v>
      </c>
      <c r="E116" t="str">
        <f>VLOOKUP($A116,[2]!掉落查询,[2]获取途径临时表!C$1,FALSE)</f>
        <v/>
      </c>
      <c r="F116" t="str">
        <f>VLOOKUP($A116,[2]!掉落查询,[2]获取途径临时表!D$1,FALSE)</f>
        <v/>
      </c>
      <c r="G116" t="str">
        <f>VLOOKUP($A116,[2]!掉落查询,[2]获取途径临时表!E$1,FALSE)</f>
        <v/>
      </c>
      <c r="H116" t="str">
        <f>VLOOKUP($A116,[2]!掉落查询,[2]获取途径临时表!F$1,FALSE)</f>
        <v/>
      </c>
      <c r="I116" t="str">
        <f>VLOOKUP($A116,[2]!掉落查询,[2]获取途径临时表!G$1,FALSE)</f>
        <v/>
      </c>
      <c r="J116" t="str">
        <f>VLOOKUP($A116,[2]!掉落查询,[2]获取途径临时表!H$1,FALSE)</f>
        <v/>
      </c>
      <c r="K116" t="str">
        <f>VLOOKUP($A116,[2]!掉落查询,[2]获取途径临时表!I$1,FALSE)</f>
        <v/>
      </c>
      <c r="L116" t="str">
        <f>VLOOKUP($A116,[2]!掉落查询,[2]获取途径临时表!J$1,FALSE)</f>
        <v/>
      </c>
      <c r="M116" t="str">
        <f>VLOOKUP($A116,[2]!掉落查询,[2]获取途径临时表!K$1,FALSE)</f>
        <v/>
      </c>
      <c r="N116" t="str">
        <f>VLOOKUP($A116,[2]!掉落查询,[2]获取途径临时表!L$1,FALSE)</f>
        <v/>
      </c>
      <c r="O116" t="str">
        <f>VLOOKUP($A116,[2]!掉落查询,[2]获取途径临时表!M$1,FALSE)</f>
        <v/>
      </c>
      <c r="P116" t="str">
        <f>VLOOKUP($A116,[2]!掉落查询,[2]获取途径临时表!N$1,FALSE)</f>
        <v/>
      </c>
      <c r="Q116" t="str">
        <f>VLOOKUP($A116,[2]!掉落查询,[2]获取途径临时表!O$1,FALSE)</f>
        <v/>
      </c>
      <c r="R116" t="str">
        <f>VLOOKUP($A116,[2]!掉落查询,[2]获取途径临时表!P$1,FALSE)</f>
        <v/>
      </c>
      <c r="S116" t="str">
        <f>VLOOKUP($A116,[2]!掉落查询,[2]获取途径临时表!Q$1,FALSE)</f>
        <v/>
      </c>
      <c r="T116" t="str">
        <f>VLOOKUP($A116,[2]!掉落查询,[2]获取途径临时表!R$1,FALSE)</f>
        <v/>
      </c>
    </row>
    <row r="117" spans="1:20" x14ac:dyDescent="0.15">
      <c r="A117">
        <v>85400</v>
      </c>
      <c r="B117" t="s">
        <v>399</v>
      </c>
      <c r="C117">
        <v>429</v>
      </c>
      <c r="D117">
        <f t="shared" si="2"/>
        <v>0</v>
      </c>
      <c r="E117" t="str">
        <f>VLOOKUP($A117,[2]!掉落查询,[2]获取途径临时表!C$1,FALSE)</f>
        <v/>
      </c>
      <c r="F117" t="str">
        <f>VLOOKUP($A117,[2]!掉落查询,[2]获取途径临时表!D$1,FALSE)</f>
        <v/>
      </c>
      <c r="G117" t="str">
        <f>VLOOKUP($A117,[2]!掉落查询,[2]获取途径临时表!E$1,FALSE)</f>
        <v/>
      </c>
      <c r="H117" t="str">
        <f>VLOOKUP($A117,[2]!掉落查询,[2]获取途径临时表!F$1,FALSE)</f>
        <v/>
      </c>
      <c r="I117" t="str">
        <f>VLOOKUP($A117,[2]!掉落查询,[2]获取途径临时表!G$1,FALSE)</f>
        <v/>
      </c>
      <c r="J117" t="str">
        <f>VLOOKUP($A117,[2]!掉落查询,[2]获取途径临时表!H$1,FALSE)</f>
        <v/>
      </c>
      <c r="K117" t="str">
        <f>VLOOKUP($A117,[2]!掉落查询,[2]获取途径临时表!I$1,FALSE)</f>
        <v/>
      </c>
      <c r="L117" t="str">
        <f>VLOOKUP($A117,[2]!掉落查询,[2]获取途径临时表!J$1,FALSE)</f>
        <v/>
      </c>
      <c r="M117" t="str">
        <f>VLOOKUP($A117,[2]!掉落查询,[2]获取途径临时表!K$1,FALSE)</f>
        <v/>
      </c>
      <c r="N117" t="str">
        <f>VLOOKUP($A117,[2]!掉落查询,[2]获取途径临时表!L$1,FALSE)</f>
        <v/>
      </c>
      <c r="O117" t="str">
        <f>VLOOKUP($A117,[2]!掉落查询,[2]获取途径临时表!M$1,FALSE)</f>
        <v/>
      </c>
      <c r="P117" t="str">
        <f>VLOOKUP($A117,[2]!掉落查询,[2]获取途径临时表!N$1,FALSE)</f>
        <v/>
      </c>
      <c r="Q117" t="str">
        <f>VLOOKUP($A117,[2]!掉落查询,[2]获取途径临时表!O$1,FALSE)</f>
        <v/>
      </c>
      <c r="R117" t="str">
        <f>VLOOKUP($A117,[2]!掉落查询,[2]获取途径临时表!P$1,FALSE)</f>
        <v/>
      </c>
      <c r="S117" t="str">
        <f>VLOOKUP($A117,[2]!掉落查询,[2]获取途径临时表!Q$1,FALSE)</f>
        <v/>
      </c>
      <c r="T117" t="str">
        <f>VLOOKUP($A117,[2]!掉落查询,[2]获取途径临时表!R$1,FALSE)</f>
        <v/>
      </c>
    </row>
    <row r="118" spans="1:20" x14ac:dyDescent="0.15">
      <c r="A118">
        <v>85500</v>
      </c>
      <c r="B118" t="s">
        <v>400</v>
      </c>
      <c r="C118">
        <v>0</v>
      </c>
      <c r="D118">
        <f t="shared" si="2"/>
        <v>0</v>
      </c>
      <c r="E118" t="str">
        <f>VLOOKUP($A118,[2]!掉落查询,[2]获取途径临时表!C$1,FALSE)</f>
        <v/>
      </c>
      <c r="F118" t="str">
        <f>VLOOKUP($A118,[2]!掉落查询,[2]获取途径临时表!D$1,FALSE)</f>
        <v/>
      </c>
      <c r="G118" t="str">
        <f>VLOOKUP($A118,[2]!掉落查询,[2]获取途径临时表!E$1,FALSE)</f>
        <v/>
      </c>
      <c r="H118" t="str">
        <f>VLOOKUP($A118,[2]!掉落查询,[2]获取途径临时表!F$1,FALSE)</f>
        <v/>
      </c>
      <c r="I118" t="str">
        <f>VLOOKUP($A118,[2]!掉落查询,[2]获取途径临时表!G$1,FALSE)</f>
        <v/>
      </c>
      <c r="J118" t="str">
        <f>VLOOKUP($A118,[2]!掉落查询,[2]获取途径临时表!H$1,FALSE)</f>
        <v/>
      </c>
      <c r="K118" t="str">
        <f>VLOOKUP($A118,[2]!掉落查询,[2]获取途径临时表!I$1,FALSE)</f>
        <v/>
      </c>
      <c r="L118" t="str">
        <f>VLOOKUP($A118,[2]!掉落查询,[2]获取途径临时表!J$1,FALSE)</f>
        <v/>
      </c>
      <c r="M118" t="str">
        <f>VLOOKUP($A118,[2]!掉落查询,[2]获取途径临时表!K$1,FALSE)</f>
        <v/>
      </c>
      <c r="N118" t="str">
        <f>VLOOKUP($A118,[2]!掉落查询,[2]获取途径临时表!L$1,FALSE)</f>
        <v/>
      </c>
      <c r="O118" t="str">
        <f>VLOOKUP($A118,[2]!掉落查询,[2]获取途径临时表!M$1,FALSE)</f>
        <v/>
      </c>
      <c r="P118" t="str">
        <f>VLOOKUP($A118,[2]!掉落查询,[2]获取途径临时表!N$1,FALSE)</f>
        <v/>
      </c>
      <c r="Q118" t="str">
        <f>VLOOKUP($A118,[2]!掉落查询,[2]获取途径临时表!O$1,FALSE)</f>
        <v/>
      </c>
      <c r="R118" t="str">
        <f>VLOOKUP($A118,[2]!掉落查询,[2]获取途径临时表!P$1,FALSE)</f>
        <v/>
      </c>
      <c r="S118" t="str">
        <f>VLOOKUP($A118,[2]!掉落查询,[2]获取途径临时表!Q$1,FALSE)</f>
        <v/>
      </c>
      <c r="T118" t="str">
        <f>VLOOKUP($A118,[2]!掉落查询,[2]获取途径临时表!R$1,FALSE)</f>
        <v/>
      </c>
    </row>
    <row r="119" spans="1:20" x14ac:dyDescent="0.15">
      <c r="A119">
        <v>92131</v>
      </c>
      <c r="B119" s="16" t="s">
        <v>932</v>
      </c>
      <c r="C119">
        <v>0</v>
      </c>
      <c r="D119">
        <f t="shared" si="2"/>
        <v>4</v>
      </c>
      <c r="E119">
        <f>VLOOKUP($A119,[2]!掉落查询,[2]获取途径临时表!C$1,FALSE)</f>
        <v>1201</v>
      </c>
      <c r="F119">
        <f>VLOOKUP($A119,[2]!掉落查询,[2]获取途径临时表!D$1,FALSE)</f>
        <v>1208</v>
      </c>
      <c r="G119">
        <f>VLOOKUP($A119,[2]!掉落查询,[2]获取途径临时表!E$1,FALSE)</f>
        <v>1209</v>
      </c>
      <c r="H119">
        <f>VLOOKUP($A119,[2]!掉落查询,[2]获取途径临时表!F$1,FALSE)</f>
        <v>2201</v>
      </c>
      <c r="I119" t="str">
        <f>VLOOKUP($A119,[2]!掉落查询,[2]获取途径临时表!G$1,FALSE)</f>
        <v/>
      </c>
      <c r="J119" t="str">
        <f>VLOOKUP($A119,[2]!掉落查询,[2]获取途径临时表!H$1,FALSE)</f>
        <v/>
      </c>
      <c r="K119" t="str">
        <f>VLOOKUP($A119,[2]!掉落查询,[2]获取途径临时表!I$1,FALSE)</f>
        <v/>
      </c>
      <c r="L119" t="str">
        <f>VLOOKUP($A119,[2]!掉落查询,[2]获取途径临时表!J$1,FALSE)</f>
        <v/>
      </c>
      <c r="M119" t="str">
        <f>VLOOKUP($A119,[2]!掉落查询,[2]获取途径临时表!K$1,FALSE)</f>
        <v/>
      </c>
      <c r="N119" t="str">
        <f>VLOOKUP($A119,[2]!掉落查询,[2]获取途径临时表!L$1,FALSE)</f>
        <v/>
      </c>
      <c r="O119" t="str">
        <f>VLOOKUP($A119,[2]!掉落查询,[2]获取途径临时表!M$1,FALSE)</f>
        <v/>
      </c>
      <c r="P119" t="str">
        <f>VLOOKUP($A119,[2]!掉落查询,[2]获取途径临时表!N$1,FALSE)</f>
        <v/>
      </c>
      <c r="Q119" t="str">
        <f>VLOOKUP($A119,[2]!掉落查询,[2]获取途径临时表!O$1,FALSE)</f>
        <v/>
      </c>
      <c r="R119" t="str">
        <f>VLOOKUP($A119,[2]!掉落查询,[2]获取途径临时表!P$1,FALSE)</f>
        <v/>
      </c>
      <c r="S119" t="str">
        <f>VLOOKUP($A119,[2]!掉落查询,[2]获取途径临时表!Q$1,FALSE)</f>
        <v/>
      </c>
      <c r="T119" t="str">
        <f>VLOOKUP($A119,[2]!掉落查询,[2]获取途径临时表!R$1,FALSE)</f>
        <v/>
      </c>
    </row>
    <row r="120" spans="1:20" x14ac:dyDescent="0.15">
      <c r="A120">
        <v>92011</v>
      </c>
      <c r="B120" s="16" t="s">
        <v>933</v>
      </c>
      <c r="C120">
        <v>0</v>
      </c>
      <c r="D120">
        <f t="shared" si="2"/>
        <v>4</v>
      </c>
      <c r="E120">
        <f>VLOOKUP($A120,[2]!掉落查询,[2]获取途径临时表!C$1,FALSE)</f>
        <v>1201</v>
      </c>
      <c r="F120">
        <f>VLOOKUP($A120,[2]!掉落查询,[2]获取途径临时表!D$1,FALSE)</f>
        <v>1202</v>
      </c>
      <c r="G120">
        <f>VLOOKUP($A120,[2]!掉落查询,[2]获取途径临时表!E$1,FALSE)</f>
        <v>1209</v>
      </c>
      <c r="H120">
        <f>VLOOKUP($A120,[2]!掉落查询,[2]获取途径临时表!F$1,FALSE)</f>
        <v>2202</v>
      </c>
      <c r="I120" t="str">
        <f>VLOOKUP($A120,[2]!掉落查询,[2]获取途径临时表!G$1,FALSE)</f>
        <v/>
      </c>
      <c r="J120" t="str">
        <f>VLOOKUP($A120,[2]!掉落查询,[2]获取途径临时表!H$1,FALSE)</f>
        <v/>
      </c>
      <c r="K120" t="str">
        <f>VLOOKUP($A120,[2]!掉落查询,[2]获取途径临时表!I$1,FALSE)</f>
        <v/>
      </c>
      <c r="L120" t="str">
        <f>VLOOKUP($A120,[2]!掉落查询,[2]获取途径临时表!J$1,FALSE)</f>
        <v/>
      </c>
      <c r="M120" t="str">
        <f>VLOOKUP($A120,[2]!掉落查询,[2]获取途径临时表!K$1,FALSE)</f>
        <v/>
      </c>
      <c r="N120" t="str">
        <f>VLOOKUP($A120,[2]!掉落查询,[2]获取途径临时表!L$1,FALSE)</f>
        <v/>
      </c>
      <c r="O120" t="str">
        <f>VLOOKUP($A120,[2]!掉落查询,[2]获取途径临时表!M$1,FALSE)</f>
        <v/>
      </c>
      <c r="P120" t="str">
        <f>VLOOKUP($A120,[2]!掉落查询,[2]获取途径临时表!N$1,FALSE)</f>
        <v/>
      </c>
      <c r="Q120" t="str">
        <f>VLOOKUP($A120,[2]!掉落查询,[2]获取途径临时表!O$1,FALSE)</f>
        <v/>
      </c>
      <c r="R120" t="str">
        <f>VLOOKUP($A120,[2]!掉落查询,[2]获取途径临时表!P$1,FALSE)</f>
        <v/>
      </c>
      <c r="S120" t="str">
        <f>VLOOKUP($A120,[2]!掉落查询,[2]获取途径临时表!Q$1,FALSE)</f>
        <v/>
      </c>
      <c r="T120" t="str">
        <f>VLOOKUP($A120,[2]!掉落查询,[2]获取途径临时表!R$1,FALSE)</f>
        <v/>
      </c>
    </row>
    <row r="121" spans="1:20" x14ac:dyDescent="0.15">
      <c r="A121">
        <v>92228</v>
      </c>
      <c r="B121" s="16" t="s">
        <v>934</v>
      </c>
      <c r="C121">
        <v>0</v>
      </c>
      <c r="D121">
        <f t="shared" si="2"/>
        <v>4</v>
      </c>
      <c r="E121">
        <f>VLOOKUP($A121,[2]!掉落查询,[2]获取途径临时表!C$1,FALSE)</f>
        <v>1201</v>
      </c>
      <c r="F121">
        <f>VLOOKUP($A121,[2]!掉落查询,[2]获取途径临时表!D$1,FALSE)</f>
        <v>1202</v>
      </c>
      <c r="G121">
        <f>VLOOKUP($A121,[2]!掉落查询,[2]获取途径临时表!E$1,FALSE)</f>
        <v>1203</v>
      </c>
      <c r="H121">
        <f>VLOOKUP($A121,[2]!掉落查询,[2]获取途径临时表!F$1,FALSE)</f>
        <v>2203</v>
      </c>
      <c r="I121" t="str">
        <f>VLOOKUP($A121,[2]!掉落查询,[2]获取途径临时表!G$1,FALSE)</f>
        <v/>
      </c>
      <c r="J121" t="str">
        <f>VLOOKUP($A121,[2]!掉落查询,[2]获取途径临时表!H$1,FALSE)</f>
        <v/>
      </c>
      <c r="K121" t="str">
        <f>VLOOKUP($A121,[2]!掉落查询,[2]获取途径临时表!I$1,FALSE)</f>
        <v/>
      </c>
      <c r="L121" t="str">
        <f>VLOOKUP($A121,[2]!掉落查询,[2]获取途径临时表!J$1,FALSE)</f>
        <v/>
      </c>
      <c r="M121" t="str">
        <f>VLOOKUP($A121,[2]!掉落查询,[2]获取途径临时表!K$1,FALSE)</f>
        <v/>
      </c>
      <c r="N121" t="str">
        <f>VLOOKUP($A121,[2]!掉落查询,[2]获取途径临时表!L$1,FALSE)</f>
        <v/>
      </c>
      <c r="O121" t="str">
        <f>VLOOKUP($A121,[2]!掉落查询,[2]获取途径临时表!M$1,FALSE)</f>
        <v/>
      </c>
      <c r="P121" t="str">
        <f>VLOOKUP($A121,[2]!掉落查询,[2]获取途径临时表!N$1,FALSE)</f>
        <v/>
      </c>
      <c r="Q121" t="str">
        <f>VLOOKUP($A121,[2]!掉落查询,[2]获取途径临时表!O$1,FALSE)</f>
        <v/>
      </c>
      <c r="R121" t="str">
        <f>VLOOKUP($A121,[2]!掉落查询,[2]获取途径临时表!P$1,FALSE)</f>
        <v/>
      </c>
      <c r="S121" t="str">
        <f>VLOOKUP($A121,[2]!掉落查询,[2]获取途径临时表!Q$1,FALSE)</f>
        <v/>
      </c>
      <c r="T121" t="str">
        <f>VLOOKUP($A121,[2]!掉落查询,[2]获取途径临时表!R$1,FALSE)</f>
        <v/>
      </c>
    </row>
    <row r="122" spans="1:20" x14ac:dyDescent="0.15">
      <c r="A122">
        <v>92232</v>
      </c>
      <c r="B122" s="16" t="s">
        <v>935</v>
      </c>
      <c r="C122">
        <v>0</v>
      </c>
      <c r="D122">
        <f t="shared" si="2"/>
        <v>4</v>
      </c>
      <c r="E122">
        <f>VLOOKUP($A122,[2]!掉落查询,[2]获取途径临时表!C$1,FALSE)</f>
        <v>1202</v>
      </c>
      <c r="F122">
        <f>VLOOKUP($A122,[2]!掉落查询,[2]获取途径临时表!D$1,FALSE)</f>
        <v>1203</v>
      </c>
      <c r="G122">
        <f>VLOOKUP($A122,[2]!掉落查询,[2]获取途径临时表!E$1,FALSE)</f>
        <v>1204</v>
      </c>
      <c r="H122">
        <f>VLOOKUP($A122,[2]!掉落查询,[2]获取途径临时表!F$1,FALSE)</f>
        <v>2204</v>
      </c>
      <c r="I122" t="str">
        <f>VLOOKUP($A122,[2]!掉落查询,[2]获取途径临时表!G$1,FALSE)</f>
        <v/>
      </c>
      <c r="J122" t="str">
        <f>VLOOKUP($A122,[2]!掉落查询,[2]获取途径临时表!H$1,FALSE)</f>
        <v/>
      </c>
      <c r="K122" t="str">
        <f>VLOOKUP($A122,[2]!掉落查询,[2]获取途径临时表!I$1,FALSE)</f>
        <v/>
      </c>
      <c r="L122" t="str">
        <f>VLOOKUP($A122,[2]!掉落查询,[2]获取途径临时表!J$1,FALSE)</f>
        <v/>
      </c>
      <c r="M122" t="str">
        <f>VLOOKUP($A122,[2]!掉落查询,[2]获取途径临时表!K$1,FALSE)</f>
        <v/>
      </c>
      <c r="N122" t="str">
        <f>VLOOKUP($A122,[2]!掉落查询,[2]获取途径临时表!L$1,FALSE)</f>
        <v/>
      </c>
      <c r="O122" t="str">
        <f>VLOOKUP($A122,[2]!掉落查询,[2]获取途径临时表!M$1,FALSE)</f>
        <v/>
      </c>
      <c r="P122" t="str">
        <f>VLOOKUP($A122,[2]!掉落查询,[2]获取途径临时表!N$1,FALSE)</f>
        <v/>
      </c>
      <c r="Q122" t="str">
        <f>VLOOKUP($A122,[2]!掉落查询,[2]获取途径临时表!O$1,FALSE)</f>
        <v/>
      </c>
      <c r="R122" t="str">
        <f>VLOOKUP($A122,[2]!掉落查询,[2]获取途径临时表!P$1,FALSE)</f>
        <v/>
      </c>
      <c r="S122" t="str">
        <f>VLOOKUP($A122,[2]!掉落查询,[2]获取途径临时表!Q$1,FALSE)</f>
        <v/>
      </c>
      <c r="T122" t="str">
        <f>VLOOKUP($A122,[2]!掉落查询,[2]获取途径临时表!R$1,FALSE)</f>
        <v/>
      </c>
    </row>
    <row r="123" spans="1:20" x14ac:dyDescent="0.15">
      <c r="A123">
        <v>92121</v>
      </c>
      <c r="B123" s="16" t="s">
        <v>936</v>
      </c>
      <c r="C123">
        <v>0</v>
      </c>
      <c r="D123">
        <f t="shared" ref="D123:D126" si="4">COUNTIF(E123:T123,"&gt;0")</f>
        <v>4</v>
      </c>
      <c r="E123">
        <f>VLOOKUP($A123,[2]!掉落查询,[2]获取途径临时表!C$1,FALSE)</f>
        <v>1203</v>
      </c>
      <c r="F123">
        <f>VLOOKUP($A123,[2]!掉落查询,[2]获取途径临时表!D$1,FALSE)</f>
        <v>1204</v>
      </c>
      <c r="G123">
        <f>VLOOKUP($A123,[2]!掉落查询,[2]获取途径临时表!E$1,FALSE)</f>
        <v>1205</v>
      </c>
      <c r="H123">
        <f>VLOOKUP($A123,[2]!掉落查询,[2]获取途径临时表!F$1,FALSE)</f>
        <v>2205</v>
      </c>
      <c r="I123" t="str">
        <f>VLOOKUP($A123,[2]!掉落查询,[2]获取途径临时表!G$1,FALSE)</f>
        <v/>
      </c>
      <c r="J123" t="str">
        <f>VLOOKUP($A123,[2]!掉落查询,[2]获取途径临时表!H$1,FALSE)</f>
        <v/>
      </c>
      <c r="K123" t="str">
        <f>VLOOKUP($A123,[2]!掉落查询,[2]获取途径临时表!I$1,FALSE)</f>
        <v/>
      </c>
      <c r="L123" t="str">
        <f>VLOOKUP($A123,[2]!掉落查询,[2]获取途径临时表!J$1,FALSE)</f>
        <v/>
      </c>
      <c r="M123" t="str">
        <f>VLOOKUP($A123,[2]!掉落查询,[2]获取途径临时表!K$1,FALSE)</f>
        <v/>
      </c>
      <c r="N123" t="str">
        <f>VLOOKUP($A123,[2]!掉落查询,[2]获取途径临时表!L$1,FALSE)</f>
        <v/>
      </c>
      <c r="O123" t="str">
        <f>VLOOKUP($A123,[2]!掉落查询,[2]获取途径临时表!M$1,FALSE)</f>
        <v/>
      </c>
      <c r="P123" t="str">
        <f>VLOOKUP($A123,[2]!掉落查询,[2]获取途径临时表!N$1,FALSE)</f>
        <v/>
      </c>
      <c r="Q123" t="str">
        <f>VLOOKUP($A123,[2]!掉落查询,[2]获取途径临时表!O$1,FALSE)</f>
        <v/>
      </c>
      <c r="R123" t="str">
        <f>VLOOKUP($A123,[2]!掉落查询,[2]获取途径临时表!P$1,FALSE)</f>
        <v/>
      </c>
      <c r="S123" t="str">
        <f>VLOOKUP($A123,[2]!掉落查询,[2]获取途径临时表!Q$1,FALSE)</f>
        <v/>
      </c>
      <c r="T123" t="str">
        <f>VLOOKUP($A123,[2]!掉落查询,[2]获取途径临时表!R$1,FALSE)</f>
        <v/>
      </c>
    </row>
    <row r="124" spans="1:20" x14ac:dyDescent="0.15">
      <c r="A124">
        <v>92243</v>
      </c>
      <c r="B124" s="16" t="s">
        <v>937</v>
      </c>
      <c r="C124">
        <v>0</v>
      </c>
      <c r="D124">
        <f t="shared" si="4"/>
        <v>5</v>
      </c>
      <c r="E124">
        <f>VLOOKUP($A124,[2]!掉落查询,[2]获取途径临时表!C$1,FALSE)</f>
        <v>1204</v>
      </c>
      <c r="F124">
        <f>VLOOKUP($A124,[2]!掉落查询,[2]获取途径临时表!D$1,FALSE)</f>
        <v>1205</v>
      </c>
      <c r="G124">
        <f>VLOOKUP($A124,[2]!掉落查询,[2]获取途径临时表!E$1,FALSE)</f>
        <v>1206</v>
      </c>
      <c r="H124">
        <f>VLOOKUP($A124,[2]!掉落查询,[2]获取途径临时表!F$1,FALSE)</f>
        <v>2201</v>
      </c>
      <c r="I124">
        <f>VLOOKUP($A124,[2]!掉落查询,[2]获取途径临时表!G$1,FALSE)</f>
        <v>2206</v>
      </c>
      <c r="J124" t="str">
        <f>VLOOKUP($A124,[2]!掉落查询,[2]获取途径临时表!H$1,FALSE)</f>
        <v/>
      </c>
      <c r="K124" t="str">
        <f>VLOOKUP($A124,[2]!掉落查询,[2]获取途径临时表!I$1,FALSE)</f>
        <v/>
      </c>
      <c r="L124" t="str">
        <f>VLOOKUP($A124,[2]!掉落查询,[2]获取途径临时表!J$1,FALSE)</f>
        <v/>
      </c>
      <c r="M124" t="str">
        <f>VLOOKUP($A124,[2]!掉落查询,[2]获取途径临时表!K$1,FALSE)</f>
        <v/>
      </c>
      <c r="N124" t="str">
        <f>VLOOKUP($A124,[2]!掉落查询,[2]获取途径临时表!L$1,FALSE)</f>
        <v/>
      </c>
      <c r="O124" t="str">
        <f>VLOOKUP($A124,[2]!掉落查询,[2]获取途径临时表!M$1,FALSE)</f>
        <v/>
      </c>
      <c r="P124" t="str">
        <f>VLOOKUP($A124,[2]!掉落查询,[2]获取途径临时表!N$1,FALSE)</f>
        <v/>
      </c>
      <c r="Q124" t="str">
        <f>VLOOKUP($A124,[2]!掉落查询,[2]获取途径临时表!O$1,FALSE)</f>
        <v/>
      </c>
      <c r="R124" t="str">
        <f>VLOOKUP($A124,[2]!掉落查询,[2]获取途径临时表!P$1,FALSE)</f>
        <v/>
      </c>
      <c r="S124" t="str">
        <f>VLOOKUP($A124,[2]!掉落查询,[2]获取途径临时表!Q$1,FALSE)</f>
        <v/>
      </c>
      <c r="T124" t="str">
        <f>VLOOKUP($A124,[2]!掉落查询,[2]获取途径临时表!R$1,FALSE)</f>
        <v/>
      </c>
    </row>
    <row r="125" spans="1:20" x14ac:dyDescent="0.15">
      <c r="A125">
        <v>92244</v>
      </c>
      <c r="B125" s="16" t="s">
        <v>938</v>
      </c>
      <c r="C125">
        <v>0</v>
      </c>
      <c r="D125">
        <f t="shared" si="4"/>
        <v>5</v>
      </c>
      <c r="E125">
        <f>VLOOKUP($A125,[2]!掉落查询,[2]获取途径临时表!C$1,FALSE)</f>
        <v>1205</v>
      </c>
      <c r="F125">
        <f>VLOOKUP($A125,[2]!掉落查询,[2]获取途径临时表!D$1,FALSE)</f>
        <v>1206</v>
      </c>
      <c r="G125">
        <f>VLOOKUP($A125,[2]!掉落查询,[2]获取途径临时表!E$1,FALSE)</f>
        <v>1207</v>
      </c>
      <c r="H125">
        <f>VLOOKUP($A125,[2]!掉落查询,[2]获取途径临时表!F$1,FALSE)</f>
        <v>2202</v>
      </c>
      <c r="I125">
        <f>VLOOKUP($A125,[2]!掉落查询,[2]获取途径临时表!G$1,FALSE)</f>
        <v>2207</v>
      </c>
      <c r="J125" t="str">
        <f>VLOOKUP($A125,[2]!掉落查询,[2]获取途径临时表!H$1,FALSE)</f>
        <v/>
      </c>
      <c r="K125" t="str">
        <f>VLOOKUP($A125,[2]!掉落查询,[2]获取途径临时表!I$1,FALSE)</f>
        <v/>
      </c>
      <c r="L125" t="str">
        <f>VLOOKUP($A125,[2]!掉落查询,[2]获取途径临时表!J$1,FALSE)</f>
        <v/>
      </c>
      <c r="M125" t="str">
        <f>VLOOKUP($A125,[2]!掉落查询,[2]获取途径临时表!K$1,FALSE)</f>
        <v/>
      </c>
      <c r="N125" t="str">
        <f>VLOOKUP($A125,[2]!掉落查询,[2]获取途径临时表!L$1,FALSE)</f>
        <v/>
      </c>
      <c r="O125" t="str">
        <f>VLOOKUP($A125,[2]!掉落查询,[2]获取途径临时表!M$1,FALSE)</f>
        <v/>
      </c>
      <c r="P125" t="str">
        <f>VLOOKUP($A125,[2]!掉落查询,[2]获取途径临时表!N$1,FALSE)</f>
        <v/>
      </c>
      <c r="Q125" t="str">
        <f>VLOOKUP($A125,[2]!掉落查询,[2]获取途径临时表!O$1,FALSE)</f>
        <v/>
      </c>
      <c r="R125" t="str">
        <f>VLOOKUP($A125,[2]!掉落查询,[2]获取途径临时表!P$1,FALSE)</f>
        <v/>
      </c>
      <c r="S125" t="str">
        <f>VLOOKUP($A125,[2]!掉落查询,[2]获取途径临时表!Q$1,FALSE)</f>
        <v/>
      </c>
      <c r="T125" t="str">
        <f>VLOOKUP($A125,[2]!掉落查询,[2]获取途径临时表!R$1,FALSE)</f>
        <v/>
      </c>
    </row>
    <row r="126" spans="1:20" x14ac:dyDescent="0.15">
      <c r="A126">
        <v>92263</v>
      </c>
      <c r="B126" s="16" t="s">
        <v>939</v>
      </c>
      <c r="C126">
        <v>0</v>
      </c>
      <c r="D126">
        <f t="shared" si="4"/>
        <v>5</v>
      </c>
      <c r="E126">
        <f>VLOOKUP($A126,[2]!掉落查询,[2]获取途径临时表!C$1,FALSE)</f>
        <v>1206</v>
      </c>
      <c r="F126">
        <f>VLOOKUP($A126,[2]!掉落查询,[2]获取途径临时表!D$1,FALSE)</f>
        <v>1207</v>
      </c>
      <c r="G126">
        <f>VLOOKUP($A126,[2]!掉落查询,[2]获取途径临时表!E$1,FALSE)</f>
        <v>1208</v>
      </c>
      <c r="H126">
        <f>VLOOKUP($A126,[2]!掉落查询,[2]获取途径临时表!F$1,FALSE)</f>
        <v>2203</v>
      </c>
      <c r="I126">
        <f>VLOOKUP($A126,[2]!掉落查询,[2]获取途径临时表!G$1,FALSE)</f>
        <v>2208</v>
      </c>
      <c r="J126" t="str">
        <f>VLOOKUP($A126,[2]!掉落查询,[2]获取途径临时表!H$1,FALSE)</f>
        <v/>
      </c>
      <c r="K126" t="str">
        <f>VLOOKUP($A126,[2]!掉落查询,[2]获取途径临时表!I$1,FALSE)</f>
        <v/>
      </c>
      <c r="L126" t="str">
        <f>VLOOKUP($A126,[2]!掉落查询,[2]获取途径临时表!J$1,FALSE)</f>
        <v/>
      </c>
      <c r="M126" t="str">
        <f>VLOOKUP($A126,[2]!掉落查询,[2]获取途径临时表!K$1,FALSE)</f>
        <v/>
      </c>
      <c r="N126" t="str">
        <f>VLOOKUP($A126,[2]!掉落查询,[2]获取途径临时表!L$1,FALSE)</f>
        <v/>
      </c>
      <c r="O126" t="str">
        <f>VLOOKUP($A126,[2]!掉落查询,[2]获取途径临时表!M$1,FALSE)</f>
        <v/>
      </c>
      <c r="P126" t="str">
        <f>VLOOKUP($A126,[2]!掉落查询,[2]获取途径临时表!N$1,FALSE)</f>
        <v/>
      </c>
      <c r="Q126" t="str">
        <f>VLOOKUP($A126,[2]!掉落查询,[2]获取途径临时表!O$1,FALSE)</f>
        <v/>
      </c>
      <c r="R126" t="str">
        <f>VLOOKUP($A126,[2]!掉落查询,[2]获取途径临时表!P$1,FALSE)</f>
        <v/>
      </c>
      <c r="S126" t="str">
        <f>VLOOKUP($A126,[2]!掉落查询,[2]获取途径临时表!Q$1,FALSE)</f>
        <v/>
      </c>
      <c r="T126" t="str">
        <f>VLOOKUP($A126,[2]!掉落查询,[2]获取途径临时表!R$1,FALSE)</f>
        <v/>
      </c>
    </row>
    <row r="127" spans="1:20" x14ac:dyDescent="0.15">
      <c r="A127">
        <v>92277</v>
      </c>
      <c r="B127" s="16" t="s">
        <v>247</v>
      </c>
      <c r="C127">
        <v>0</v>
      </c>
      <c r="D127">
        <f t="shared" ref="D127:D190" si="5">COUNTIF(E127:T127,"&gt;0")</f>
        <v>5</v>
      </c>
      <c r="E127">
        <f>VLOOKUP($A127,[2]!掉落查询,[2]获取途径临时表!C$1,FALSE)</f>
        <v>1207</v>
      </c>
      <c r="F127">
        <f>VLOOKUP($A127,[2]!掉落查询,[2]获取途径临时表!D$1,FALSE)</f>
        <v>1208</v>
      </c>
      <c r="G127">
        <f>VLOOKUP($A127,[2]!掉落查询,[2]获取途径临时表!E$1,FALSE)</f>
        <v>1209</v>
      </c>
      <c r="H127">
        <f>VLOOKUP($A127,[2]!掉落查询,[2]获取途径临时表!F$1,FALSE)</f>
        <v>2204</v>
      </c>
      <c r="I127">
        <f>VLOOKUP($A127,[2]!掉落查询,[2]获取途径临时表!G$1,FALSE)</f>
        <v>2209</v>
      </c>
      <c r="J127" t="str">
        <f>VLOOKUP($A127,[2]!掉落查询,[2]获取途径临时表!H$1,FALSE)</f>
        <v/>
      </c>
      <c r="K127" t="str">
        <f>VLOOKUP($A127,[2]!掉落查询,[2]获取途径临时表!I$1,FALSE)</f>
        <v/>
      </c>
      <c r="L127" t="str">
        <f>VLOOKUP($A127,[2]!掉落查询,[2]获取途径临时表!J$1,FALSE)</f>
        <v/>
      </c>
      <c r="M127" t="str">
        <f>VLOOKUP($A127,[2]!掉落查询,[2]获取途径临时表!K$1,FALSE)</f>
        <v/>
      </c>
      <c r="N127" t="str">
        <f>VLOOKUP($A127,[2]!掉落查询,[2]获取途径临时表!L$1,FALSE)</f>
        <v/>
      </c>
      <c r="O127" t="str">
        <f>VLOOKUP($A127,[2]!掉落查询,[2]获取途径临时表!M$1,FALSE)</f>
        <v/>
      </c>
      <c r="P127" t="str">
        <f>VLOOKUP($A127,[2]!掉落查询,[2]获取途径临时表!N$1,FALSE)</f>
        <v/>
      </c>
      <c r="Q127" t="str">
        <f>VLOOKUP($A127,[2]!掉落查询,[2]获取途径临时表!O$1,FALSE)</f>
        <v/>
      </c>
      <c r="R127" t="str">
        <f>VLOOKUP($A127,[2]!掉落查询,[2]获取途径临时表!P$1,FALSE)</f>
        <v/>
      </c>
      <c r="S127" t="str">
        <f>VLOOKUP($A127,[2]!掉落查询,[2]获取途径临时表!Q$1,FALSE)</f>
        <v/>
      </c>
      <c r="T127" t="str">
        <f>VLOOKUP($A127,[2]!掉落查询,[2]获取途径临时表!R$1,FALSE)</f>
        <v/>
      </c>
    </row>
    <row r="128" spans="1:20" x14ac:dyDescent="0.15">
      <c r="A128">
        <v>92233</v>
      </c>
      <c r="B128" s="18" t="s">
        <v>940</v>
      </c>
      <c r="C128">
        <v>0</v>
      </c>
      <c r="D128">
        <f t="shared" si="5"/>
        <v>0</v>
      </c>
      <c r="E128" t="str">
        <f>VLOOKUP($A128,[2]!掉落查询,[2]获取途径临时表!C$1,FALSE)</f>
        <v/>
      </c>
      <c r="F128" t="str">
        <f>VLOOKUP($A128,[2]!掉落查询,[2]获取途径临时表!D$1,FALSE)</f>
        <v/>
      </c>
      <c r="G128" t="str">
        <f>VLOOKUP($A128,[2]!掉落查询,[2]获取途径临时表!E$1,FALSE)</f>
        <v/>
      </c>
      <c r="H128" t="str">
        <f>VLOOKUP($A128,[2]!掉落查询,[2]获取途径临时表!F$1,FALSE)</f>
        <v/>
      </c>
      <c r="I128" t="str">
        <f>VLOOKUP($A128,[2]!掉落查询,[2]获取途径临时表!G$1,FALSE)</f>
        <v/>
      </c>
      <c r="J128" t="str">
        <f>VLOOKUP($A128,[2]!掉落查询,[2]获取途径临时表!H$1,FALSE)</f>
        <v/>
      </c>
      <c r="K128" t="str">
        <f>VLOOKUP($A128,[2]!掉落查询,[2]获取途径临时表!I$1,FALSE)</f>
        <v/>
      </c>
      <c r="L128" t="str">
        <f>VLOOKUP($A128,[2]!掉落查询,[2]获取途径临时表!J$1,FALSE)</f>
        <v/>
      </c>
      <c r="M128" t="str">
        <f>VLOOKUP($A128,[2]!掉落查询,[2]获取途径临时表!K$1,FALSE)</f>
        <v/>
      </c>
      <c r="N128" t="str">
        <f>VLOOKUP($A128,[2]!掉落查询,[2]获取途径临时表!L$1,FALSE)</f>
        <v/>
      </c>
      <c r="O128" t="str">
        <f>VLOOKUP($A128,[2]!掉落查询,[2]获取途径临时表!M$1,FALSE)</f>
        <v/>
      </c>
      <c r="P128" t="str">
        <f>VLOOKUP($A128,[2]!掉落查询,[2]获取途径临时表!N$1,FALSE)</f>
        <v/>
      </c>
      <c r="Q128" t="str">
        <f>VLOOKUP($A128,[2]!掉落查询,[2]获取途径临时表!O$1,FALSE)</f>
        <v/>
      </c>
      <c r="R128" t="str">
        <f>VLOOKUP($A128,[2]!掉落查询,[2]获取途径临时表!P$1,FALSE)</f>
        <v/>
      </c>
      <c r="S128" t="str">
        <f>VLOOKUP($A128,[2]!掉落查询,[2]获取途径临时表!Q$1,FALSE)</f>
        <v/>
      </c>
      <c r="T128" t="str">
        <f>VLOOKUP($A128,[2]!掉落查询,[2]获取途径临时表!R$1,FALSE)</f>
        <v/>
      </c>
    </row>
    <row r="129" spans="1:20" x14ac:dyDescent="0.15">
      <c r="A129">
        <v>92122</v>
      </c>
      <c r="B129" s="18" t="s">
        <v>941</v>
      </c>
      <c r="C129">
        <v>0</v>
      </c>
      <c r="D129">
        <f t="shared" si="5"/>
        <v>0</v>
      </c>
      <c r="E129" t="str">
        <f>VLOOKUP($A129,[2]!掉落查询,[2]获取途径临时表!C$1,FALSE)</f>
        <v/>
      </c>
      <c r="F129" t="str">
        <f>VLOOKUP($A129,[2]!掉落查询,[2]获取途径临时表!D$1,FALSE)</f>
        <v/>
      </c>
      <c r="G129" t="str">
        <f>VLOOKUP($A129,[2]!掉落查询,[2]获取途径临时表!E$1,FALSE)</f>
        <v/>
      </c>
      <c r="H129" t="str">
        <f>VLOOKUP($A129,[2]!掉落查询,[2]获取途径临时表!F$1,FALSE)</f>
        <v/>
      </c>
      <c r="I129" t="str">
        <f>VLOOKUP($A129,[2]!掉落查询,[2]获取途径临时表!G$1,FALSE)</f>
        <v/>
      </c>
      <c r="J129" t="str">
        <f>VLOOKUP($A129,[2]!掉落查询,[2]获取途径临时表!H$1,FALSE)</f>
        <v/>
      </c>
      <c r="K129" t="str">
        <f>VLOOKUP($A129,[2]!掉落查询,[2]获取途径临时表!I$1,FALSE)</f>
        <v/>
      </c>
      <c r="L129" t="str">
        <f>VLOOKUP($A129,[2]!掉落查询,[2]获取途径临时表!J$1,FALSE)</f>
        <v/>
      </c>
      <c r="M129" t="str">
        <f>VLOOKUP($A129,[2]!掉落查询,[2]获取途径临时表!K$1,FALSE)</f>
        <v/>
      </c>
      <c r="N129" t="str">
        <f>VLOOKUP($A129,[2]!掉落查询,[2]获取途径临时表!L$1,FALSE)</f>
        <v/>
      </c>
      <c r="O129" t="str">
        <f>VLOOKUP($A129,[2]!掉落查询,[2]获取途径临时表!M$1,FALSE)</f>
        <v/>
      </c>
      <c r="P129" t="str">
        <f>VLOOKUP($A129,[2]!掉落查询,[2]获取途径临时表!N$1,FALSE)</f>
        <v/>
      </c>
      <c r="Q129" t="str">
        <f>VLOOKUP($A129,[2]!掉落查询,[2]获取途径临时表!O$1,FALSE)</f>
        <v/>
      </c>
      <c r="R129" t="str">
        <f>VLOOKUP($A129,[2]!掉落查询,[2]获取途径临时表!P$1,FALSE)</f>
        <v/>
      </c>
      <c r="S129" t="str">
        <f>VLOOKUP($A129,[2]!掉落查询,[2]获取途径临时表!Q$1,FALSE)</f>
        <v/>
      </c>
      <c r="T129" t="str">
        <f>VLOOKUP($A129,[2]!掉落查询,[2]获取途径临时表!R$1,FALSE)</f>
        <v/>
      </c>
    </row>
    <row r="130" spans="1:20" x14ac:dyDescent="0.15">
      <c r="A130">
        <v>92141</v>
      </c>
      <c r="B130" s="18" t="s">
        <v>942</v>
      </c>
      <c r="C130">
        <v>0</v>
      </c>
      <c r="D130">
        <f t="shared" si="5"/>
        <v>0</v>
      </c>
      <c r="E130" t="str">
        <f>VLOOKUP($A130,[2]!掉落查询,[2]获取途径临时表!C$1,FALSE)</f>
        <v/>
      </c>
      <c r="F130" t="str">
        <f>VLOOKUP($A130,[2]!掉落查询,[2]获取途径临时表!D$1,FALSE)</f>
        <v/>
      </c>
      <c r="G130" t="str">
        <f>VLOOKUP($A130,[2]!掉落查询,[2]获取途径临时表!E$1,FALSE)</f>
        <v/>
      </c>
      <c r="H130" t="str">
        <f>VLOOKUP($A130,[2]!掉落查询,[2]获取途径临时表!F$1,FALSE)</f>
        <v/>
      </c>
      <c r="I130" t="str">
        <f>VLOOKUP($A130,[2]!掉落查询,[2]获取途径临时表!G$1,FALSE)</f>
        <v/>
      </c>
      <c r="J130" t="str">
        <f>VLOOKUP($A130,[2]!掉落查询,[2]获取途径临时表!H$1,FALSE)</f>
        <v/>
      </c>
      <c r="K130" t="str">
        <f>VLOOKUP($A130,[2]!掉落查询,[2]获取途径临时表!I$1,FALSE)</f>
        <v/>
      </c>
      <c r="L130" t="str">
        <f>VLOOKUP($A130,[2]!掉落查询,[2]获取途径临时表!J$1,FALSE)</f>
        <v/>
      </c>
      <c r="M130" t="str">
        <f>VLOOKUP($A130,[2]!掉落查询,[2]获取途径临时表!K$1,FALSE)</f>
        <v/>
      </c>
      <c r="N130" t="str">
        <f>VLOOKUP($A130,[2]!掉落查询,[2]获取途径临时表!L$1,FALSE)</f>
        <v/>
      </c>
      <c r="O130" t="str">
        <f>VLOOKUP($A130,[2]!掉落查询,[2]获取途径临时表!M$1,FALSE)</f>
        <v/>
      </c>
      <c r="P130" t="str">
        <f>VLOOKUP($A130,[2]!掉落查询,[2]获取途径临时表!N$1,FALSE)</f>
        <v/>
      </c>
      <c r="Q130" t="str">
        <f>VLOOKUP($A130,[2]!掉落查询,[2]获取途径临时表!O$1,FALSE)</f>
        <v/>
      </c>
      <c r="R130" t="str">
        <f>VLOOKUP($A130,[2]!掉落查询,[2]获取途径临时表!P$1,FALSE)</f>
        <v/>
      </c>
      <c r="S130" t="str">
        <f>VLOOKUP($A130,[2]!掉落查询,[2]获取途径临时表!Q$1,FALSE)</f>
        <v/>
      </c>
      <c r="T130" t="str">
        <f>VLOOKUP($A130,[2]!掉落查询,[2]获取途径临时表!R$1,FALSE)</f>
        <v/>
      </c>
    </row>
    <row r="131" spans="1:20" x14ac:dyDescent="0.15">
      <c r="A131">
        <v>92245</v>
      </c>
      <c r="B131" s="18" t="s">
        <v>943</v>
      </c>
      <c r="C131">
        <v>0</v>
      </c>
      <c r="D131">
        <f t="shared" si="5"/>
        <v>0</v>
      </c>
      <c r="E131" t="str">
        <f>VLOOKUP($A131,[2]!掉落查询,[2]获取途径临时表!C$1,FALSE)</f>
        <v/>
      </c>
      <c r="F131" t="str">
        <f>VLOOKUP($A131,[2]!掉落查询,[2]获取途径临时表!D$1,FALSE)</f>
        <v/>
      </c>
      <c r="G131" t="str">
        <f>VLOOKUP($A131,[2]!掉落查询,[2]获取途径临时表!E$1,FALSE)</f>
        <v/>
      </c>
      <c r="H131" t="str">
        <f>VLOOKUP($A131,[2]!掉落查询,[2]获取途径临时表!F$1,FALSE)</f>
        <v/>
      </c>
      <c r="I131" t="str">
        <f>VLOOKUP($A131,[2]!掉落查询,[2]获取途径临时表!G$1,FALSE)</f>
        <v/>
      </c>
      <c r="J131" t="str">
        <f>VLOOKUP($A131,[2]!掉落查询,[2]获取途径临时表!H$1,FALSE)</f>
        <v/>
      </c>
      <c r="K131" t="str">
        <f>VLOOKUP($A131,[2]!掉落查询,[2]获取途径临时表!I$1,FALSE)</f>
        <v/>
      </c>
      <c r="L131" t="str">
        <f>VLOOKUP($A131,[2]!掉落查询,[2]获取途径临时表!J$1,FALSE)</f>
        <v/>
      </c>
      <c r="M131" t="str">
        <f>VLOOKUP($A131,[2]!掉落查询,[2]获取途径临时表!K$1,FALSE)</f>
        <v/>
      </c>
      <c r="N131" t="str">
        <f>VLOOKUP($A131,[2]!掉落查询,[2]获取途径临时表!L$1,FALSE)</f>
        <v/>
      </c>
      <c r="O131" t="str">
        <f>VLOOKUP($A131,[2]!掉落查询,[2]获取途径临时表!M$1,FALSE)</f>
        <v/>
      </c>
      <c r="P131" t="str">
        <f>VLOOKUP($A131,[2]!掉落查询,[2]获取途径临时表!N$1,FALSE)</f>
        <v/>
      </c>
      <c r="Q131" t="str">
        <f>VLOOKUP($A131,[2]!掉落查询,[2]获取途径临时表!O$1,FALSE)</f>
        <v/>
      </c>
      <c r="R131" t="str">
        <f>VLOOKUP($A131,[2]!掉落查询,[2]获取途径临时表!P$1,FALSE)</f>
        <v/>
      </c>
      <c r="S131" t="str">
        <f>VLOOKUP($A131,[2]!掉落查询,[2]获取途径临时表!Q$1,FALSE)</f>
        <v/>
      </c>
      <c r="T131" t="str">
        <f>VLOOKUP($A131,[2]!掉落查询,[2]获取途径临时表!R$1,FALSE)</f>
        <v/>
      </c>
    </row>
    <row r="132" spans="1:20" x14ac:dyDescent="0.15">
      <c r="A132">
        <v>92251</v>
      </c>
      <c r="B132" s="18" t="s">
        <v>944</v>
      </c>
      <c r="C132">
        <v>0</v>
      </c>
      <c r="D132">
        <f t="shared" si="5"/>
        <v>0</v>
      </c>
      <c r="E132" t="str">
        <f>VLOOKUP($A132,[2]!掉落查询,[2]获取途径临时表!C$1,FALSE)</f>
        <v/>
      </c>
      <c r="F132" t="str">
        <f>VLOOKUP($A132,[2]!掉落查询,[2]获取途径临时表!D$1,FALSE)</f>
        <v/>
      </c>
      <c r="G132" t="str">
        <f>VLOOKUP($A132,[2]!掉落查询,[2]获取途径临时表!E$1,FALSE)</f>
        <v/>
      </c>
      <c r="H132" t="str">
        <f>VLOOKUP($A132,[2]!掉落查询,[2]获取途径临时表!F$1,FALSE)</f>
        <v/>
      </c>
      <c r="I132" t="str">
        <f>VLOOKUP($A132,[2]!掉落查询,[2]获取途径临时表!G$1,FALSE)</f>
        <v/>
      </c>
      <c r="J132" t="str">
        <f>VLOOKUP($A132,[2]!掉落查询,[2]获取途径临时表!H$1,FALSE)</f>
        <v/>
      </c>
      <c r="K132" t="str">
        <f>VLOOKUP($A132,[2]!掉落查询,[2]获取途径临时表!I$1,FALSE)</f>
        <v/>
      </c>
      <c r="L132" t="str">
        <f>VLOOKUP($A132,[2]!掉落查询,[2]获取途径临时表!J$1,FALSE)</f>
        <v/>
      </c>
      <c r="M132" t="str">
        <f>VLOOKUP($A132,[2]!掉落查询,[2]获取途径临时表!K$1,FALSE)</f>
        <v/>
      </c>
      <c r="N132" t="str">
        <f>VLOOKUP($A132,[2]!掉落查询,[2]获取途径临时表!L$1,FALSE)</f>
        <v/>
      </c>
      <c r="O132" t="str">
        <f>VLOOKUP($A132,[2]!掉落查询,[2]获取途径临时表!M$1,FALSE)</f>
        <v/>
      </c>
      <c r="P132" t="str">
        <f>VLOOKUP($A132,[2]!掉落查询,[2]获取途径临时表!N$1,FALSE)</f>
        <v/>
      </c>
      <c r="Q132" t="str">
        <f>VLOOKUP($A132,[2]!掉落查询,[2]获取途径临时表!O$1,FALSE)</f>
        <v/>
      </c>
      <c r="R132" t="str">
        <f>VLOOKUP($A132,[2]!掉落查询,[2]获取途径临时表!P$1,FALSE)</f>
        <v/>
      </c>
      <c r="S132" t="str">
        <f>VLOOKUP($A132,[2]!掉落查询,[2]获取途径临时表!Q$1,FALSE)</f>
        <v/>
      </c>
      <c r="T132" t="str">
        <f>VLOOKUP($A132,[2]!掉落查询,[2]获取途径临时表!R$1,FALSE)</f>
        <v/>
      </c>
    </row>
    <row r="133" spans="1:20" x14ac:dyDescent="0.15">
      <c r="A133">
        <v>92264</v>
      </c>
      <c r="B133" s="18" t="s">
        <v>945</v>
      </c>
      <c r="C133">
        <v>0</v>
      </c>
      <c r="D133">
        <f t="shared" si="5"/>
        <v>0</v>
      </c>
      <c r="E133" t="str">
        <f>VLOOKUP($A133,[2]!掉落查询,[2]获取途径临时表!C$1,FALSE)</f>
        <v/>
      </c>
      <c r="F133" t="str">
        <f>VLOOKUP($A133,[2]!掉落查询,[2]获取途径临时表!D$1,FALSE)</f>
        <v/>
      </c>
      <c r="G133" t="str">
        <f>VLOOKUP($A133,[2]!掉落查询,[2]获取途径临时表!E$1,FALSE)</f>
        <v/>
      </c>
      <c r="H133" t="str">
        <f>VLOOKUP($A133,[2]!掉落查询,[2]获取途径临时表!F$1,FALSE)</f>
        <v/>
      </c>
      <c r="I133" t="str">
        <f>VLOOKUP($A133,[2]!掉落查询,[2]获取途径临时表!G$1,FALSE)</f>
        <v/>
      </c>
      <c r="J133" t="str">
        <f>VLOOKUP($A133,[2]!掉落查询,[2]获取途径临时表!H$1,FALSE)</f>
        <v/>
      </c>
      <c r="K133" t="str">
        <f>VLOOKUP($A133,[2]!掉落查询,[2]获取途径临时表!I$1,FALSE)</f>
        <v/>
      </c>
      <c r="L133" t="str">
        <f>VLOOKUP($A133,[2]!掉落查询,[2]获取途径临时表!J$1,FALSE)</f>
        <v/>
      </c>
      <c r="M133" t="str">
        <f>VLOOKUP($A133,[2]!掉落查询,[2]获取途径临时表!K$1,FALSE)</f>
        <v/>
      </c>
      <c r="N133" t="str">
        <f>VLOOKUP($A133,[2]!掉落查询,[2]获取途径临时表!L$1,FALSE)</f>
        <v/>
      </c>
      <c r="O133" t="str">
        <f>VLOOKUP($A133,[2]!掉落查询,[2]获取途径临时表!M$1,FALSE)</f>
        <v/>
      </c>
      <c r="P133" t="str">
        <f>VLOOKUP($A133,[2]!掉落查询,[2]获取途径临时表!N$1,FALSE)</f>
        <v/>
      </c>
      <c r="Q133" t="str">
        <f>VLOOKUP($A133,[2]!掉落查询,[2]获取途径临时表!O$1,FALSE)</f>
        <v/>
      </c>
      <c r="R133" t="str">
        <f>VLOOKUP($A133,[2]!掉落查询,[2]获取途径临时表!P$1,FALSE)</f>
        <v/>
      </c>
      <c r="S133" t="str">
        <f>VLOOKUP($A133,[2]!掉落查询,[2]获取途径临时表!Q$1,FALSE)</f>
        <v/>
      </c>
      <c r="T133" t="str">
        <f>VLOOKUP($A133,[2]!掉落查询,[2]获取途径临时表!R$1,FALSE)</f>
        <v/>
      </c>
    </row>
    <row r="134" spans="1:20" x14ac:dyDescent="0.15">
      <c r="A134">
        <v>92271</v>
      </c>
      <c r="B134" s="18" t="s">
        <v>946</v>
      </c>
      <c r="C134">
        <v>0</v>
      </c>
      <c r="D134">
        <f t="shared" si="5"/>
        <v>0</v>
      </c>
      <c r="E134" t="str">
        <f>VLOOKUP($A134,[2]!掉落查询,[2]获取途径临时表!C$1,FALSE)</f>
        <v/>
      </c>
      <c r="F134" t="str">
        <f>VLOOKUP($A134,[2]!掉落查询,[2]获取途径临时表!D$1,FALSE)</f>
        <v/>
      </c>
      <c r="G134" t="str">
        <f>VLOOKUP($A134,[2]!掉落查询,[2]获取途径临时表!E$1,FALSE)</f>
        <v/>
      </c>
      <c r="H134" t="str">
        <f>VLOOKUP($A134,[2]!掉落查询,[2]获取途径临时表!F$1,FALSE)</f>
        <v/>
      </c>
      <c r="I134" t="str">
        <f>VLOOKUP($A134,[2]!掉落查询,[2]获取途径临时表!G$1,FALSE)</f>
        <v/>
      </c>
      <c r="J134" t="str">
        <f>VLOOKUP($A134,[2]!掉落查询,[2]获取途径临时表!H$1,FALSE)</f>
        <v/>
      </c>
      <c r="K134" t="str">
        <f>VLOOKUP($A134,[2]!掉落查询,[2]获取途径临时表!I$1,FALSE)</f>
        <v/>
      </c>
      <c r="L134" t="str">
        <f>VLOOKUP($A134,[2]!掉落查询,[2]获取途径临时表!J$1,FALSE)</f>
        <v/>
      </c>
      <c r="M134" t="str">
        <f>VLOOKUP($A134,[2]!掉落查询,[2]获取途径临时表!K$1,FALSE)</f>
        <v/>
      </c>
      <c r="N134" t="str">
        <f>VLOOKUP($A134,[2]!掉落查询,[2]获取途径临时表!L$1,FALSE)</f>
        <v/>
      </c>
      <c r="O134" t="str">
        <f>VLOOKUP($A134,[2]!掉落查询,[2]获取途径临时表!M$1,FALSE)</f>
        <v/>
      </c>
      <c r="P134" t="str">
        <f>VLOOKUP($A134,[2]!掉落查询,[2]获取途径临时表!N$1,FALSE)</f>
        <v/>
      </c>
      <c r="Q134" t="str">
        <f>VLOOKUP($A134,[2]!掉落查询,[2]获取途径临时表!O$1,FALSE)</f>
        <v/>
      </c>
      <c r="R134" t="str">
        <f>VLOOKUP($A134,[2]!掉落查询,[2]获取途径临时表!P$1,FALSE)</f>
        <v/>
      </c>
      <c r="S134" t="str">
        <f>VLOOKUP($A134,[2]!掉落查询,[2]获取途径临时表!Q$1,FALSE)</f>
        <v/>
      </c>
      <c r="T134" t="str">
        <f>VLOOKUP($A134,[2]!掉落查询,[2]获取途径临时表!R$1,FALSE)</f>
        <v/>
      </c>
    </row>
    <row r="135" spans="1:20" x14ac:dyDescent="0.15">
      <c r="A135">
        <v>92278</v>
      </c>
      <c r="B135" s="18" t="s">
        <v>947</v>
      </c>
      <c r="C135">
        <v>0</v>
      </c>
      <c r="D135">
        <f t="shared" si="5"/>
        <v>0</v>
      </c>
      <c r="E135" t="str">
        <f>VLOOKUP($A135,[2]!掉落查询,[2]获取途径临时表!C$1,FALSE)</f>
        <v/>
      </c>
      <c r="F135" t="str">
        <f>VLOOKUP($A135,[2]!掉落查询,[2]获取途径临时表!D$1,FALSE)</f>
        <v/>
      </c>
      <c r="G135" t="str">
        <f>VLOOKUP($A135,[2]!掉落查询,[2]获取途径临时表!E$1,FALSE)</f>
        <v/>
      </c>
      <c r="H135" t="str">
        <f>VLOOKUP($A135,[2]!掉落查询,[2]获取途径临时表!F$1,FALSE)</f>
        <v/>
      </c>
      <c r="I135" t="str">
        <f>VLOOKUP($A135,[2]!掉落查询,[2]获取途径临时表!G$1,FALSE)</f>
        <v/>
      </c>
      <c r="J135" t="str">
        <f>VLOOKUP($A135,[2]!掉落查询,[2]获取途径临时表!H$1,FALSE)</f>
        <v/>
      </c>
      <c r="K135" t="str">
        <f>VLOOKUP($A135,[2]!掉落查询,[2]获取途径临时表!I$1,FALSE)</f>
        <v/>
      </c>
      <c r="L135" t="str">
        <f>VLOOKUP($A135,[2]!掉落查询,[2]获取途径临时表!J$1,FALSE)</f>
        <v/>
      </c>
      <c r="M135" t="str">
        <f>VLOOKUP($A135,[2]!掉落查询,[2]获取途径临时表!K$1,FALSE)</f>
        <v/>
      </c>
      <c r="N135" t="str">
        <f>VLOOKUP($A135,[2]!掉落查询,[2]获取途径临时表!L$1,FALSE)</f>
        <v/>
      </c>
      <c r="O135" t="str">
        <f>VLOOKUP($A135,[2]!掉落查询,[2]获取途径临时表!M$1,FALSE)</f>
        <v/>
      </c>
      <c r="P135" t="str">
        <f>VLOOKUP($A135,[2]!掉落查询,[2]获取途径临时表!N$1,FALSE)</f>
        <v/>
      </c>
      <c r="Q135" t="str">
        <f>VLOOKUP($A135,[2]!掉落查询,[2]获取途径临时表!O$1,FALSE)</f>
        <v/>
      </c>
      <c r="R135" t="str">
        <f>VLOOKUP($A135,[2]!掉落查询,[2]获取途径临时表!P$1,FALSE)</f>
        <v/>
      </c>
      <c r="S135" t="str">
        <f>VLOOKUP($A135,[2]!掉落查询,[2]获取途径临时表!Q$1,FALSE)</f>
        <v/>
      </c>
      <c r="T135" t="str">
        <f>VLOOKUP($A135,[2]!掉落查询,[2]获取途径临时表!R$1,FALSE)</f>
        <v/>
      </c>
    </row>
    <row r="136" spans="1:20" x14ac:dyDescent="0.15">
      <c r="A136">
        <v>92283</v>
      </c>
      <c r="B136" s="18" t="s">
        <v>948</v>
      </c>
      <c r="C136">
        <v>0</v>
      </c>
      <c r="D136">
        <f t="shared" si="5"/>
        <v>0</v>
      </c>
      <c r="E136" t="str">
        <f>VLOOKUP($A136,[2]!掉落查询,[2]获取途径临时表!C$1,FALSE)</f>
        <v/>
      </c>
      <c r="F136" t="str">
        <f>VLOOKUP($A136,[2]!掉落查询,[2]获取途径临时表!D$1,FALSE)</f>
        <v/>
      </c>
      <c r="G136" t="str">
        <f>VLOOKUP($A136,[2]!掉落查询,[2]获取途径临时表!E$1,FALSE)</f>
        <v/>
      </c>
      <c r="H136" t="str">
        <f>VLOOKUP($A136,[2]!掉落查询,[2]获取途径临时表!F$1,FALSE)</f>
        <v/>
      </c>
      <c r="I136" t="str">
        <f>VLOOKUP($A136,[2]!掉落查询,[2]获取途径临时表!G$1,FALSE)</f>
        <v/>
      </c>
      <c r="J136" t="str">
        <f>VLOOKUP($A136,[2]!掉落查询,[2]获取途径临时表!H$1,FALSE)</f>
        <v/>
      </c>
      <c r="K136" t="str">
        <f>VLOOKUP($A136,[2]!掉落查询,[2]获取途径临时表!I$1,FALSE)</f>
        <v/>
      </c>
      <c r="L136" t="str">
        <f>VLOOKUP($A136,[2]!掉落查询,[2]获取途径临时表!J$1,FALSE)</f>
        <v/>
      </c>
      <c r="M136" t="str">
        <f>VLOOKUP($A136,[2]!掉落查询,[2]获取途径临时表!K$1,FALSE)</f>
        <v/>
      </c>
      <c r="N136" t="str">
        <f>VLOOKUP($A136,[2]!掉落查询,[2]获取途径临时表!L$1,FALSE)</f>
        <v/>
      </c>
      <c r="O136" t="str">
        <f>VLOOKUP($A136,[2]!掉落查询,[2]获取途径临时表!M$1,FALSE)</f>
        <v/>
      </c>
      <c r="P136" t="str">
        <f>VLOOKUP($A136,[2]!掉落查询,[2]获取途径临时表!N$1,FALSE)</f>
        <v/>
      </c>
      <c r="Q136" t="str">
        <f>VLOOKUP($A136,[2]!掉落查询,[2]获取途径临时表!O$1,FALSE)</f>
        <v/>
      </c>
      <c r="R136" t="str">
        <f>VLOOKUP($A136,[2]!掉落查询,[2]获取途径临时表!P$1,FALSE)</f>
        <v/>
      </c>
      <c r="S136" t="str">
        <f>VLOOKUP($A136,[2]!掉落查询,[2]获取途径临时表!Q$1,FALSE)</f>
        <v/>
      </c>
      <c r="T136" t="str">
        <f>VLOOKUP($A136,[2]!掉落查询,[2]获取途径临时表!R$1,FALSE)</f>
        <v/>
      </c>
    </row>
    <row r="137" spans="1:20" x14ac:dyDescent="0.15">
      <c r="A137">
        <v>92287</v>
      </c>
      <c r="B137" s="18" t="s">
        <v>949</v>
      </c>
      <c r="C137">
        <v>0</v>
      </c>
      <c r="D137">
        <f t="shared" si="5"/>
        <v>0</v>
      </c>
      <c r="E137" t="str">
        <f>VLOOKUP($A137,[2]!掉落查询,[2]获取途径临时表!C$1,FALSE)</f>
        <v/>
      </c>
      <c r="F137" t="str">
        <f>VLOOKUP($A137,[2]!掉落查询,[2]获取途径临时表!D$1,FALSE)</f>
        <v/>
      </c>
      <c r="G137" t="str">
        <f>VLOOKUP($A137,[2]!掉落查询,[2]获取途径临时表!E$1,FALSE)</f>
        <v/>
      </c>
      <c r="H137" t="str">
        <f>VLOOKUP($A137,[2]!掉落查询,[2]获取途径临时表!F$1,FALSE)</f>
        <v/>
      </c>
      <c r="I137" t="str">
        <f>VLOOKUP($A137,[2]!掉落查询,[2]获取途径临时表!G$1,FALSE)</f>
        <v/>
      </c>
      <c r="J137" t="str">
        <f>VLOOKUP($A137,[2]!掉落查询,[2]获取途径临时表!H$1,FALSE)</f>
        <v/>
      </c>
      <c r="K137" t="str">
        <f>VLOOKUP($A137,[2]!掉落查询,[2]获取途径临时表!I$1,FALSE)</f>
        <v/>
      </c>
      <c r="L137" t="str">
        <f>VLOOKUP($A137,[2]!掉落查询,[2]获取途径临时表!J$1,FALSE)</f>
        <v/>
      </c>
      <c r="M137" t="str">
        <f>VLOOKUP($A137,[2]!掉落查询,[2]获取途径临时表!K$1,FALSE)</f>
        <v/>
      </c>
      <c r="N137" t="str">
        <f>VLOOKUP($A137,[2]!掉落查询,[2]获取途径临时表!L$1,FALSE)</f>
        <v/>
      </c>
      <c r="O137" t="str">
        <f>VLOOKUP($A137,[2]!掉落查询,[2]获取途径临时表!M$1,FALSE)</f>
        <v/>
      </c>
      <c r="P137" t="str">
        <f>VLOOKUP($A137,[2]!掉落查询,[2]获取途径临时表!N$1,FALSE)</f>
        <v/>
      </c>
      <c r="Q137" t="str">
        <f>VLOOKUP($A137,[2]!掉落查询,[2]获取途径临时表!O$1,FALSE)</f>
        <v/>
      </c>
      <c r="R137" t="str">
        <f>VLOOKUP($A137,[2]!掉落查询,[2]获取途径临时表!P$1,FALSE)</f>
        <v/>
      </c>
      <c r="S137" t="str">
        <f>VLOOKUP($A137,[2]!掉落查询,[2]获取途径临时表!Q$1,FALSE)</f>
        <v/>
      </c>
      <c r="T137" t="str">
        <f>VLOOKUP($A137,[2]!掉落查询,[2]获取途径临时表!R$1,FALSE)</f>
        <v/>
      </c>
    </row>
    <row r="138" spans="1:20" x14ac:dyDescent="0.15">
      <c r="A138">
        <v>92142</v>
      </c>
      <c r="B138" s="19" t="s">
        <v>950</v>
      </c>
      <c r="C138">
        <v>0</v>
      </c>
      <c r="D138">
        <f t="shared" si="5"/>
        <v>0</v>
      </c>
      <c r="E138" t="str">
        <f>VLOOKUP($A138,[2]!掉落查询,[2]获取途径临时表!C$1,FALSE)</f>
        <v/>
      </c>
      <c r="F138" t="str">
        <f>VLOOKUP($A138,[2]!掉落查询,[2]获取途径临时表!D$1,FALSE)</f>
        <v/>
      </c>
      <c r="G138" t="str">
        <f>VLOOKUP($A138,[2]!掉落查询,[2]获取途径临时表!E$1,FALSE)</f>
        <v/>
      </c>
      <c r="H138" t="str">
        <f>VLOOKUP($A138,[2]!掉落查询,[2]获取途径临时表!F$1,FALSE)</f>
        <v/>
      </c>
      <c r="I138" t="str">
        <f>VLOOKUP($A138,[2]!掉落查询,[2]获取途径临时表!G$1,FALSE)</f>
        <v/>
      </c>
      <c r="J138" t="str">
        <f>VLOOKUP($A138,[2]!掉落查询,[2]获取途径临时表!H$1,FALSE)</f>
        <v/>
      </c>
      <c r="K138" t="str">
        <f>VLOOKUP($A138,[2]!掉落查询,[2]获取途径临时表!I$1,FALSE)</f>
        <v/>
      </c>
      <c r="L138" t="str">
        <f>VLOOKUP($A138,[2]!掉落查询,[2]获取途径临时表!J$1,FALSE)</f>
        <v/>
      </c>
      <c r="M138" t="str">
        <f>VLOOKUP($A138,[2]!掉落查询,[2]获取途径临时表!K$1,FALSE)</f>
        <v/>
      </c>
      <c r="N138" t="str">
        <f>VLOOKUP($A138,[2]!掉落查询,[2]获取途径临时表!L$1,FALSE)</f>
        <v/>
      </c>
      <c r="O138" t="str">
        <f>VLOOKUP($A138,[2]!掉落查询,[2]获取途径临时表!M$1,FALSE)</f>
        <v/>
      </c>
      <c r="P138" t="str">
        <f>VLOOKUP($A138,[2]!掉落查询,[2]获取途径临时表!N$1,FALSE)</f>
        <v/>
      </c>
      <c r="Q138" t="str">
        <f>VLOOKUP($A138,[2]!掉落查询,[2]获取途径临时表!O$1,FALSE)</f>
        <v/>
      </c>
      <c r="R138" t="str">
        <f>VLOOKUP($A138,[2]!掉落查询,[2]获取途径临时表!P$1,FALSE)</f>
        <v/>
      </c>
      <c r="S138" t="str">
        <f>VLOOKUP($A138,[2]!掉落查询,[2]获取途径临时表!Q$1,FALSE)</f>
        <v/>
      </c>
      <c r="T138" t="str">
        <f>VLOOKUP($A138,[2]!掉落查询,[2]获取途径临时表!R$1,FALSE)</f>
        <v/>
      </c>
    </row>
    <row r="139" spans="1:20" x14ac:dyDescent="0.15">
      <c r="A139">
        <v>92235</v>
      </c>
      <c r="B139" s="19" t="s">
        <v>951</v>
      </c>
      <c r="C139">
        <v>0</v>
      </c>
      <c r="D139">
        <f t="shared" si="5"/>
        <v>0</v>
      </c>
      <c r="E139" t="str">
        <f>VLOOKUP($A139,[2]!掉落查询,[2]获取途径临时表!C$1,FALSE)</f>
        <v/>
      </c>
      <c r="F139" t="str">
        <f>VLOOKUP($A139,[2]!掉落查询,[2]获取途径临时表!D$1,FALSE)</f>
        <v/>
      </c>
      <c r="G139" t="str">
        <f>VLOOKUP($A139,[2]!掉落查询,[2]获取途径临时表!E$1,FALSE)</f>
        <v/>
      </c>
      <c r="H139" t="str">
        <f>VLOOKUP($A139,[2]!掉落查询,[2]获取途径临时表!F$1,FALSE)</f>
        <v/>
      </c>
      <c r="I139" t="str">
        <f>VLOOKUP($A139,[2]!掉落查询,[2]获取途径临时表!G$1,FALSE)</f>
        <v/>
      </c>
      <c r="J139" t="str">
        <f>VLOOKUP($A139,[2]!掉落查询,[2]获取途径临时表!H$1,FALSE)</f>
        <v/>
      </c>
      <c r="K139" t="str">
        <f>VLOOKUP($A139,[2]!掉落查询,[2]获取途径临时表!I$1,FALSE)</f>
        <v/>
      </c>
      <c r="L139" t="str">
        <f>VLOOKUP($A139,[2]!掉落查询,[2]获取途径临时表!J$1,FALSE)</f>
        <v/>
      </c>
      <c r="M139" t="str">
        <f>VLOOKUP($A139,[2]!掉落查询,[2]获取途径临时表!K$1,FALSE)</f>
        <v/>
      </c>
      <c r="N139" t="str">
        <f>VLOOKUP($A139,[2]!掉落查询,[2]获取途径临时表!L$1,FALSE)</f>
        <v/>
      </c>
      <c r="O139" t="str">
        <f>VLOOKUP($A139,[2]!掉落查询,[2]获取途径临时表!M$1,FALSE)</f>
        <v/>
      </c>
      <c r="P139" t="str">
        <f>VLOOKUP($A139,[2]!掉落查询,[2]获取途径临时表!N$1,FALSE)</f>
        <v/>
      </c>
      <c r="Q139" t="str">
        <f>VLOOKUP($A139,[2]!掉落查询,[2]获取途径临时表!O$1,FALSE)</f>
        <v/>
      </c>
      <c r="R139" t="str">
        <f>VLOOKUP($A139,[2]!掉落查询,[2]获取途径临时表!P$1,FALSE)</f>
        <v/>
      </c>
      <c r="S139" t="str">
        <f>VLOOKUP($A139,[2]!掉落查询,[2]获取途径临时表!Q$1,FALSE)</f>
        <v/>
      </c>
      <c r="T139" t="str">
        <f>VLOOKUP($A139,[2]!掉落查询,[2]获取途径临时表!R$1,FALSE)</f>
        <v/>
      </c>
    </row>
    <row r="140" spans="1:20" x14ac:dyDescent="0.15">
      <c r="A140">
        <v>92012</v>
      </c>
      <c r="B140" s="19" t="s">
        <v>243</v>
      </c>
      <c r="C140">
        <v>0</v>
      </c>
      <c r="D140">
        <f t="shared" si="5"/>
        <v>0</v>
      </c>
      <c r="E140" t="str">
        <f>VLOOKUP($A140,[2]!掉落查询,[2]获取途径临时表!C$1,FALSE)</f>
        <v/>
      </c>
      <c r="F140" t="str">
        <f>VLOOKUP($A140,[2]!掉落查询,[2]获取途径临时表!D$1,FALSE)</f>
        <v/>
      </c>
      <c r="G140" t="str">
        <f>VLOOKUP($A140,[2]!掉落查询,[2]获取途径临时表!E$1,FALSE)</f>
        <v/>
      </c>
      <c r="H140" t="str">
        <f>VLOOKUP($A140,[2]!掉落查询,[2]获取途径临时表!F$1,FALSE)</f>
        <v/>
      </c>
      <c r="I140" t="str">
        <f>VLOOKUP($A140,[2]!掉落查询,[2]获取途径临时表!G$1,FALSE)</f>
        <v/>
      </c>
      <c r="J140" t="str">
        <f>VLOOKUP($A140,[2]!掉落查询,[2]获取途径临时表!H$1,FALSE)</f>
        <v/>
      </c>
      <c r="K140" t="str">
        <f>VLOOKUP($A140,[2]!掉落查询,[2]获取途径临时表!I$1,FALSE)</f>
        <v/>
      </c>
      <c r="L140" t="str">
        <f>VLOOKUP($A140,[2]!掉落查询,[2]获取途径临时表!J$1,FALSE)</f>
        <v/>
      </c>
      <c r="M140" t="str">
        <f>VLOOKUP($A140,[2]!掉落查询,[2]获取途径临时表!K$1,FALSE)</f>
        <v/>
      </c>
      <c r="N140" t="str">
        <f>VLOOKUP($A140,[2]!掉落查询,[2]获取途径临时表!L$1,FALSE)</f>
        <v/>
      </c>
      <c r="O140" t="str">
        <f>VLOOKUP($A140,[2]!掉落查询,[2]获取途径临时表!M$1,FALSE)</f>
        <v/>
      </c>
      <c r="P140" t="str">
        <f>VLOOKUP($A140,[2]!掉落查询,[2]获取途径临时表!N$1,FALSE)</f>
        <v/>
      </c>
      <c r="Q140" t="str">
        <f>VLOOKUP($A140,[2]!掉落查询,[2]获取途径临时表!O$1,FALSE)</f>
        <v/>
      </c>
      <c r="R140" t="str">
        <f>VLOOKUP($A140,[2]!掉落查询,[2]获取途径临时表!P$1,FALSE)</f>
        <v/>
      </c>
      <c r="S140" t="str">
        <f>VLOOKUP($A140,[2]!掉落查询,[2]获取途径临时表!Q$1,FALSE)</f>
        <v/>
      </c>
      <c r="T140" t="str">
        <f>VLOOKUP($A140,[2]!掉落查询,[2]获取途径临时表!R$1,FALSE)</f>
        <v/>
      </c>
    </row>
    <row r="141" spans="1:20" x14ac:dyDescent="0.15">
      <c r="A141">
        <v>92252</v>
      </c>
      <c r="B141" s="19" t="s">
        <v>952</v>
      </c>
      <c r="C141">
        <v>0</v>
      </c>
      <c r="D141">
        <f t="shared" si="5"/>
        <v>0</v>
      </c>
      <c r="E141" t="str">
        <f>VLOOKUP($A141,[2]!掉落查询,[2]获取途径临时表!C$1,FALSE)</f>
        <v/>
      </c>
      <c r="F141" t="str">
        <f>VLOOKUP($A141,[2]!掉落查询,[2]获取途径临时表!D$1,FALSE)</f>
        <v/>
      </c>
      <c r="G141" t="str">
        <f>VLOOKUP($A141,[2]!掉落查询,[2]获取途径临时表!E$1,FALSE)</f>
        <v/>
      </c>
      <c r="H141" t="str">
        <f>VLOOKUP($A141,[2]!掉落查询,[2]获取途径临时表!F$1,FALSE)</f>
        <v/>
      </c>
      <c r="I141" t="str">
        <f>VLOOKUP($A141,[2]!掉落查询,[2]获取途径临时表!G$1,FALSE)</f>
        <v/>
      </c>
      <c r="J141" t="str">
        <f>VLOOKUP($A141,[2]!掉落查询,[2]获取途径临时表!H$1,FALSE)</f>
        <v/>
      </c>
      <c r="K141" t="str">
        <f>VLOOKUP($A141,[2]!掉落查询,[2]获取途径临时表!I$1,FALSE)</f>
        <v/>
      </c>
      <c r="L141" t="str">
        <f>VLOOKUP($A141,[2]!掉落查询,[2]获取途径临时表!J$1,FALSE)</f>
        <v/>
      </c>
      <c r="M141" t="str">
        <f>VLOOKUP($A141,[2]!掉落查询,[2]获取途径临时表!K$1,FALSE)</f>
        <v/>
      </c>
      <c r="N141" t="str">
        <f>VLOOKUP($A141,[2]!掉落查询,[2]获取途径临时表!L$1,FALSE)</f>
        <v/>
      </c>
      <c r="O141" t="str">
        <f>VLOOKUP($A141,[2]!掉落查询,[2]获取途径临时表!M$1,FALSE)</f>
        <v/>
      </c>
      <c r="P141" t="str">
        <f>VLOOKUP($A141,[2]!掉落查询,[2]获取途径临时表!N$1,FALSE)</f>
        <v/>
      </c>
      <c r="Q141" t="str">
        <f>VLOOKUP($A141,[2]!掉落查询,[2]获取途径临时表!O$1,FALSE)</f>
        <v/>
      </c>
      <c r="R141" t="str">
        <f>VLOOKUP($A141,[2]!掉落查询,[2]获取途径临时表!P$1,FALSE)</f>
        <v/>
      </c>
      <c r="S141" t="str">
        <f>VLOOKUP($A141,[2]!掉落查询,[2]获取途径临时表!Q$1,FALSE)</f>
        <v/>
      </c>
      <c r="T141" t="str">
        <f>VLOOKUP($A141,[2]!掉落查询,[2]获取途径临时表!R$1,FALSE)</f>
        <v/>
      </c>
    </row>
    <row r="142" spans="1:20" x14ac:dyDescent="0.15">
      <c r="A142">
        <v>92124</v>
      </c>
      <c r="B142" s="19" t="s">
        <v>953</v>
      </c>
      <c r="C142">
        <v>0</v>
      </c>
      <c r="D142">
        <f t="shared" si="5"/>
        <v>0</v>
      </c>
      <c r="E142" t="str">
        <f>VLOOKUP($A142,[2]!掉落查询,[2]获取途径临时表!C$1,FALSE)</f>
        <v/>
      </c>
      <c r="F142" t="str">
        <f>VLOOKUP($A142,[2]!掉落查询,[2]获取途径临时表!D$1,FALSE)</f>
        <v/>
      </c>
      <c r="G142" t="str">
        <f>VLOOKUP($A142,[2]!掉落查询,[2]获取途径临时表!E$1,FALSE)</f>
        <v/>
      </c>
      <c r="H142" t="str">
        <f>VLOOKUP($A142,[2]!掉落查询,[2]获取途径临时表!F$1,FALSE)</f>
        <v/>
      </c>
      <c r="I142" t="str">
        <f>VLOOKUP($A142,[2]!掉落查询,[2]获取途径临时表!G$1,FALSE)</f>
        <v/>
      </c>
      <c r="J142" t="str">
        <f>VLOOKUP($A142,[2]!掉落查询,[2]获取途径临时表!H$1,FALSE)</f>
        <v/>
      </c>
      <c r="K142" t="str">
        <f>VLOOKUP($A142,[2]!掉落查询,[2]获取途径临时表!I$1,FALSE)</f>
        <v/>
      </c>
      <c r="L142" t="str">
        <f>VLOOKUP($A142,[2]!掉落查询,[2]获取途径临时表!J$1,FALSE)</f>
        <v/>
      </c>
      <c r="M142" t="str">
        <f>VLOOKUP($A142,[2]!掉落查询,[2]获取途径临时表!K$1,FALSE)</f>
        <v/>
      </c>
      <c r="N142" t="str">
        <f>VLOOKUP($A142,[2]!掉落查询,[2]获取途径临时表!L$1,FALSE)</f>
        <v/>
      </c>
      <c r="O142" t="str">
        <f>VLOOKUP($A142,[2]!掉落查询,[2]获取途径临时表!M$1,FALSE)</f>
        <v/>
      </c>
      <c r="P142" t="str">
        <f>VLOOKUP($A142,[2]!掉落查询,[2]获取途径临时表!N$1,FALSE)</f>
        <v/>
      </c>
      <c r="Q142" t="str">
        <f>VLOOKUP($A142,[2]!掉落查询,[2]获取途径临时表!O$1,FALSE)</f>
        <v/>
      </c>
      <c r="R142" t="str">
        <f>VLOOKUP($A142,[2]!掉落查询,[2]获取途径临时表!P$1,FALSE)</f>
        <v/>
      </c>
      <c r="S142" t="str">
        <f>VLOOKUP($A142,[2]!掉落查询,[2]获取途径临时表!Q$1,FALSE)</f>
        <v/>
      </c>
      <c r="T142" t="str">
        <f>VLOOKUP($A142,[2]!掉落查询,[2]获取途径临时表!R$1,FALSE)</f>
        <v/>
      </c>
    </row>
    <row r="143" spans="1:20" x14ac:dyDescent="0.15">
      <c r="A143">
        <v>92272</v>
      </c>
      <c r="B143" s="19" t="s">
        <v>954</v>
      </c>
      <c r="C143">
        <v>0</v>
      </c>
      <c r="D143">
        <f t="shared" si="5"/>
        <v>0</v>
      </c>
      <c r="E143" t="str">
        <f>VLOOKUP($A143,[2]!掉落查询,[2]获取途径临时表!C$1,FALSE)</f>
        <v/>
      </c>
      <c r="F143" t="str">
        <f>VLOOKUP($A143,[2]!掉落查询,[2]获取途径临时表!D$1,FALSE)</f>
        <v/>
      </c>
      <c r="G143" t="str">
        <f>VLOOKUP($A143,[2]!掉落查询,[2]获取途径临时表!E$1,FALSE)</f>
        <v/>
      </c>
      <c r="H143" t="str">
        <f>VLOOKUP($A143,[2]!掉落查询,[2]获取途径临时表!F$1,FALSE)</f>
        <v/>
      </c>
      <c r="I143" t="str">
        <f>VLOOKUP($A143,[2]!掉落查询,[2]获取途径临时表!G$1,FALSE)</f>
        <v/>
      </c>
      <c r="J143" t="str">
        <f>VLOOKUP($A143,[2]!掉落查询,[2]获取途径临时表!H$1,FALSE)</f>
        <v/>
      </c>
      <c r="K143" t="str">
        <f>VLOOKUP($A143,[2]!掉落查询,[2]获取途径临时表!I$1,FALSE)</f>
        <v/>
      </c>
      <c r="L143" t="str">
        <f>VLOOKUP($A143,[2]!掉落查询,[2]获取途径临时表!J$1,FALSE)</f>
        <v/>
      </c>
      <c r="M143" t="str">
        <f>VLOOKUP($A143,[2]!掉落查询,[2]获取途径临时表!K$1,FALSE)</f>
        <v/>
      </c>
      <c r="N143" t="str">
        <f>VLOOKUP($A143,[2]!掉落查询,[2]获取途径临时表!L$1,FALSE)</f>
        <v/>
      </c>
      <c r="O143" t="str">
        <f>VLOOKUP($A143,[2]!掉落查询,[2]获取途径临时表!M$1,FALSE)</f>
        <v/>
      </c>
      <c r="P143" t="str">
        <f>VLOOKUP($A143,[2]!掉落查询,[2]获取途径临时表!N$1,FALSE)</f>
        <v/>
      </c>
      <c r="Q143" t="str">
        <f>VLOOKUP($A143,[2]!掉落查询,[2]获取途径临时表!O$1,FALSE)</f>
        <v/>
      </c>
      <c r="R143" t="str">
        <f>VLOOKUP($A143,[2]!掉落查询,[2]获取途径临时表!P$1,FALSE)</f>
        <v/>
      </c>
      <c r="S143" t="str">
        <f>VLOOKUP($A143,[2]!掉落查询,[2]获取途径临时表!Q$1,FALSE)</f>
        <v/>
      </c>
      <c r="T143" t="str">
        <f>VLOOKUP($A143,[2]!掉落查询,[2]获取途径临时表!R$1,FALSE)</f>
        <v/>
      </c>
    </row>
    <row r="144" spans="1:20" x14ac:dyDescent="0.15">
      <c r="A144">
        <v>92273</v>
      </c>
      <c r="B144" s="19" t="s">
        <v>955</v>
      </c>
      <c r="C144">
        <v>0</v>
      </c>
      <c r="D144">
        <f t="shared" si="5"/>
        <v>0</v>
      </c>
      <c r="E144" t="str">
        <f>VLOOKUP($A144,[2]!掉落查询,[2]获取途径临时表!C$1,FALSE)</f>
        <v/>
      </c>
      <c r="F144" t="str">
        <f>VLOOKUP($A144,[2]!掉落查询,[2]获取途径临时表!D$1,FALSE)</f>
        <v/>
      </c>
      <c r="G144" t="str">
        <f>VLOOKUP($A144,[2]!掉落查询,[2]获取途径临时表!E$1,FALSE)</f>
        <v/>
      </c>
      <c r="H144" t="str">
        <f>VLOOKUP($A144,[2]!掉落查询,[2]获取途径临时表!F$1,FALSE)</f>
        <v/>
      </c>
      <c r="I144" t="str">
        <f>VLOOKUP($A144,[2]!掉落查询,[2]获取途径临时表!G$1,FALSE)</f>
        <v/>
      </c>
      <c r="J144" t="str">
        <f>VLOOKUP($A144,[2]!掉落查询,[2]获取途径临时表!H$1,FALSE)</f>
        <v/>
      </c>
      <c r="K144" t="str">
        <f>VLOOKUP($A144,[2]!掉落查询,[2]获取途径临时表!I$1,FALSE)</f>
        <v/>
      </c>
      <c r="L144" t="str">
        <f>VLOOKUP($A144,[2]!掉落查询,[2]获取途径临时表!J$1,FALSE)</f>
        <v/>
      </c>
      <c r="M144" t="str">
        <f>VLOOKUP($A144,[2]!掉落查询,[2]获取途径临时表!K$1,FALSE)</f>
        <v/>
      </c>
      <c r="N144" t="str">
        <f>VLOOKUP($A144,[2]!掉落查询,[2]获取途径临时表!L$1,FALSE)</f>
        <v/>
      </c>
      <c r="O144" t="str">
        <f>VLOOKUP($A144,[2]!掉落查询,[2]获取途径临时表!M$1,FALSE)</f>
        <v/>
      </c>
      <c r="P144" t="str">
        <f>VLOOKUP($A144,[2]!掉落查询,[2]获取途径临时表!N$1,FALSE)</f>
        <v/>
      </c>
      <c r="Q144" t="str">
        <f>VLOOKUP($A144,[2]!掉落查询,[2]获取途径临时表!O$1,FALSE)</f>
        <v/>
      </c>
      <c r="R144" t="str">
        <f>VLOOKUP($A144,[2]!掉落查询,[2]获取途径临时表!P$1,FALSE)</f>
        <v/>
      </c>
      <c r="S144" t="str">
        <f>VLOOKUP($A144,[2]!掉落查询,[2]获取途径临时表!Q$1,FALSE)</f>
        <v/>
      </c>
      <c r="T144" t="str">
        <f>VLOOKUP($A144,[2]!掉落查询,[2]获取途径临时表!R$1,FALSE)</f>
        <v/>
      </c>
    </row>
    <row r="145" spans="1:20" x14ac:dyDescent="0.15">
      <c r="A145">
        <v>92279</v>
      </c>
      <c r="B145" s="19" t="s">
        <v>956</v>
      </c>
      <c r="C145">
        <v>0</v>
      </c>
      <c r="D145">
        <f t="shared" si="5"/>
        <v>0</v>
      </c>
      <c r="E145" t="str">
        <f>VLOOKUP($A145,[2]!掉落查询,[2]获取途径临时表!C$1,FALSE)</f>
        <v/>
      </c>
      <c r="F145" t="str">
        <f>VLOOKUP($A145,[2]!掉落查询,[2]获取途径临时表!D$1,FALSE)</f>
        <v/>
      </c>
      <c r="G145" t="str">
        <f>VLOOKUP($A145,[2]!掉落查询,[2]获取途径临时表!E$1,FALSE)</f>
        <v/>
      </c>
      <c r="H145" t="str">
        <f>VLOOKUP($A145,[2]!掉落查询,[2]获取途径临时表!F$1,FALSE)</f>
        <v/>
      </c>
      <c r="I145" t="str">
        <f>VLOOKUP($A145,[2]!掉落查询,[2]获取途径临时表!G$1,FALSE)</f>
        <v/>
      </c>
      <c r="J145" t="str">
        <f>VLOOKUP($A145,[2]!掉落查询,[2]获取途径临时表!H$1,FALSE)</f>
        <v/>
      </c>
      <c r="K145" t="str">
        <f>VLOOKUP($A145,[2]!掉落查询,[2]获取途径临时表!I$1,FALSE)</f>
        <v/>
      </c>
      <c r="L145" t="str">
        <f>VLOOKUP($A145,[2]!掉落查询,[2]获取途径临时表!J$1,FALSE)</f>
        <v/>
      </c>
      <c r="M145" t="str">
        <f>VLOOKUP($A145,[2]!掉落查询,[2]获取途径临时表!K$1,FALSE)</f>
        <v/>
      </c>
      <c r="N145" t="str">
        <f>VLOOKUP($A145,[2]!掉落查询,[2]获取途径临时表!L$1,FALSE)</f>
        <v/>
      </c>
      <c r="O145" t="str">
        <f>VLOOKUP($A145,[2]!掉落查询,[2]获取途径临时表!M$1,FALSE)</f>
        <v/>
      </c>
      <c r="P145" t="str">
        <f>VLOOKUP($A145,[2]!掉落查询,[2]获取途径临时表!N$1,FALSE)</f>
        <v/>
      </c>
      <c r="Q145" t="str">
        <f>VLOOKUP($A145,[2]!掉落查询,[2]获取途径临时表!O$1,FALSE)</f>
        <v/>
      </c>
      <c r="R145" t="str">
        <f>VLOOKUP($A145,[2]!掉落查询,[2]获取途径临时表!P$1,FALSE)</f>
        <v/>
      </c>
      <c r="S145" t="str">
        <f>VLOOKUP($A145,[2]!掉落查询,[2]获取途径临时表!Q$1,FALSE)</f>
        <v/>
      </c>
      <c r="T145" t="str">
        <f>VLOOKUP($A145,[2]!掉落查询,[2]获取途径临时表!R$1,FALSE)</f>
        <v/>
      </c>
    </row>
    <row r="146" spans="1:20" x14ac:dyDescent="0.15">
      <c r="A146">
        <v>92284</v>
      </c>
      <c r="B146" s="19" t="s">
        <v>957</v>
      </c>
      <c r="C146">
        <v>0</v>
      </c>
      <c r="D146">
        <f t="shared" si="5"/>
        <v>0</v>
      </c>
      <c r="E146" t="str">
        <f>VLOOKUP($A146,[2]!掉落查询,[2]获取途径临时表!C$1,FALSE)</f>
        <v/>
      </c>
      <c r="F146" t="str">
        <f>VLOOKUP($A146,[2]!掉落查询,[2]获取途径临时表!D$1,FALSE)</f>
        <v/>
      </c>
      <c r="G146" t="str">
        <f>VLOOKUP($A146,[2]!掉落查询,[2]获取途径临时表!E$1,FALSE)</f>
        <v/>
      </c>
      <c r="H146" t="str">
        <f>VLOOKUP($A146,[2]!掉落查询,[2]获取途径临时表!F$1,FALSE)</f>
        <v/>
      </c>
      <c r="I146" t="str">
        <f>VLOOKUP($A146,[2]!掉落查询,[2]获取途径临时表!G$1,FALSE)</f>
        <v/>
      </c>
      <c r="J146" t="str">
        <f>VLOOKUP($A146,[2]!掉落查询,[2]获取途径临时表!H$1,FALSE)</f>
        <v/>
      </c>
      <c r="K146" t="str">
        <f>VLOOKUP($A146,[2]!掉落查询,[2]获取途径临时表!I$1,FALSE)</f>
        <v/>
      </c>
      <c r="L146" t="str">
        <f>VLOOKUP($A146,[2]!掉落查询,[2]获取途径临时表!J$1,FALSE)</f>
        <v/>
      </c>
      <c r="M146" t="str">
        <f>VLOOKUP($A146,[2]!掉落查询,[2]获取途径临时表!K$1,FALSE)</f>
        <v/>
      </c>
      <c r="N146" t="str">
        <f>VLOOKUP($A146,[2]!掉落查询,[2]获取途径临时表!L$1,FALSE)</f>
        <v/>
      </c>
      <c r="O146" t="str">
        <f>VLOOKUP($A146,[2]!掉落查询,[2]获取途径临时表!M$1,FALSE)</f>
        <v/>
      </c>
      <c r="P146" t="str">
        <f>VLOOKUP($A146,[2]!掉落查询,[2]获取途径临时表!N$1,FALSE)</f>
        <v/>
      </c>
      <c r="Q146" t="str">
        <f>VLOOKUP($A146,[2]!掉落查询,[2]获取途径临时表!O$1,FALSE)</f>
        <v/>
      </c>
      <c r="R146" t="str">
        <f>VLOOKUP($A146,[2]!掉落查询,[2]获取途径临时表!P$1,FALSE)</f>
        <v/>
      </c>
      <c r="S146" t="str">
        <f>VLOOKUP($A146,[2]!掉落查询,[2]获取途径临时表!Q$1,FALSE)</f>
        <v/>
      </c>
      <c r="T146" t="str">
        <f>VLOOKUP($A146,[2]!掉落查询,[2]获取途径临时表!R$1,FALSE)</f>
        <v/>
      </c>
    </row>
    <row r="147" spans="1:20" x14ac:dyDescent="0.15">
      <c r="A147">
        <v>92288</v>
      </c>
      <c r="B147" s="19" t="s">
        <v>958</v>
      </c>
      <c r="C147">
        <v>0</v>
      </c>
      <c r="D147">
        <f t="shared" si="5"/>
        <v>0</v>
      </c>
      <c r="E147" t="str">
        <f>VLOOKUP($A147,[2]!掉落查询,[2]获取途径临时表!C$1,FALSE)</f>
        <v/>
      </c>
      <c r="F147" t="str">
        <f>VLOOKUP($A147,[2]!掉落查询,[2]获取途径临时表!D$1,FALSE)</f>
        <v/>
      </c>
      <c r="G147" t="str">
        <f>VLOOKUP($A147,[2]!掉落查询,[2]获取途径临时表!E$1,FALSE)</f>
        <v/>
      </c>
      <c r="H147" t="str">
        <f>VLOOKUP($A147,[2]!掉落查询,[2]获取途径临时表!F$1,FALSE)</f>
        <v/>
      </c>
      <c r="I147" t="str">
        <f>VLOOKUP($A147,[2]!掉落查询,[2]获取途径临时表!G$1,FALSE)</f>
        <v/>
      </c>
      <c r="J147" t="str">
        <f>VLOOKUP($A147,[2]!掉落查询,[2]获取途径临时表!H$1,FALSE)</f>
        <v/>
      </c>
      <c r="K147" t="str">
        <f>VLOOKUP($A147,[2]!掉落查询,[2]获取途径临时表!I$1,FALSE)</f>
        <v/>
      </c>
      <c r="L147" t="str">
        <f>VLOOKUP($A147,[2]!掉落查询,[2]获取途径临时表!J$1,FALSE)</f>
        <v/>
      </c>
      <c r="M147" t="str">
        <f>VLOOKUP($A147,[2]!掉落查询,[2]获取途径临时表!K$1,FALSE)</f>
        <v/>
      </c>
      <c r="N147" t="str">
        <f>VLOOKUP($A147,[2]!掉落查询,[2]获取途径临时表!L$1,FALSE)</f>
        <v/>
      </c>
      <c r="O147" t="str">
        <f>VLOOKUP($A147,[2]!掉落查询,[2]获取途径临时表!M$1,FALSE)</f>
        <v/>
      </c>
      <c r="P147" t="str">
        <f>VLOOKUP($A147,[2]!掉落查询,[2]获取途径临时表!N$1,FALSE)</f>
        <v/>
      </c>
      <c r="Q147" t="str">
        <f>VLOOKUP($A147,[2]!掉落查询,[2]获取途径临时表!O$1,FALSE)</f>
        <v/>
      </c>
      <c r="R147" t="str">
        <f>VLOOKUP($A147,[2]!掉落查询,[2]获取途径临时表!P$1,FALSE)</f>
        <v/>
      </c>
      <c r="S147" t="str">
        <f>VLOOKUP($A147,[2]!掉落查询,[2]获取途径临时表!Q$1,FALSE)</f>
        <v/>
      </c>
      <c r="T147" t="str">
        <f>VLOOKUP($A147,[2]!掉落查询,[2]获取途径临时表!R$1,FALSE)</f>
        <v/>
      </c>
    </row>
    <row r="148" spans="1:20" x14ac:dyDescent="0.15">
      <c r="A148">
        <v>92125</v>
      </c>
      <c r="B148" s="20" t="s">
        <v>959</v>
      </c>
      <c r="C148">
        <v>0</v>
      </c>
      <c r="D148">
        <f t="shared" si="5"/>
        <v>0</v>
      </c>
      <c r="E148" t="str">
        <f>VLOOKUP($A148,[2]!掉落查询,[2]获取途径临时表!C$1,FALSE)</f>
        <v/>
      </c>
      <c r="F148" t="str">
        <f>VLOOKUP($A148,[2]!掉落查询,[2]获取途径临时表!D$1,FALSE)</f>
        <v/>
      </c>
      <c r="G148" t="str">
        <f>VLOOKUP($A148,[2]!掉落查询,[2]获取途径临时表!E$1,FALSE)</f>
        <v/>
      </c>
      <c r="H148" t="str">
        <f>VLOOKUP($A148,[2]!掉落查询,[2]获取途径临时表!F$1,FALSE)</f>
        <v/>
      </c>
      <c r="I148" t="str">
        <f>VLOOKUP($A148,[2]!掉落查询,[2]获取途径临时表!G$1,FALSE)</f>
        <v/>
      </c>
      <c r="J148" t="str">
        <f>VLOOKUP($A148,[2]!掉落查询,[2]获取途径临时表!H$1,FALSE)</f>
        <v/>
      </c>
      <c r="K148" t="str">
        <f>VLOOKUP($A148,[2]!掉落查询,[2]获取途径临时表!I$1,FALSE)</f>
        <v/>
      </c>
      <c r="L148" t="str">
        <f>VLOOKUP($A148,[2]!掉落查询,[2]获取途径临时表!J$1,FALSE)</f>
        <v/>
      </c>
      <c r="M148" t="str">
        <f>VLOOKUP($A148,[2]!掉落查询,[2]获取途径临时表!K$1,FALSE)</f>
        <v/>
      </c>
      <c r="N148" t="str">
        <f>VLOOKUP($A148,[2]!掉落查询,[2]获取途径临时表!L$1,FALSE)</f>
        <v/>
      </c>
      <c r="O148" t="str">
        <f>VLOOKUP($A148,[2]!掉落查询,[2]获取途径临时表!M$1,FALSE)</f>
        <v/>
      </c>
      <c r="P148" t="str">
        <f>VLOOKUP($A148,[2]!掉落查询,[2]获取途径临时表!N$1,FALSE)</f>
        <v/>
      </c>
      <c r="Q148" t="str">
        <f>VLOOKUP($A148,[2]!掉落查询,[2]获取途径临时表!O$1,FALSE)</f>
        <v/>
      </c>
      <c r="R148" t="str">
        <f>VLOOKUP($A148,[2]!掉落查询,[2]获取途径临时表!P$1,FALSE)</f>
        <v/>
      </c>
      <c r="S148" t="str">
        <f>VLOOKUP($A148,[2]!掉落查询,[2]获取途径临时表!Q$1,FALSE)</f>
        <v/>
      </c>
      <c r="T148" t="str">
        <f>VLOOKUP($A148,[2]!掉落查询,[2]获取途径临时表!R$1,FALSE)</f>
        <v/>
      </c>
    </row>
    <row r="149" spans="1:20" x14ac:dyDescent="0.15">
      <c r="A149">
        <v>92134</v>
      </c>
      <c r="B149" s="20" t="s">
        <v>960</v>
      </c>
      <c r="C149">
        <v>0</v>
      </c>
      <c r="D149">
        <f t="shared" si="5"/>
        <v>0</v>
      </c>
      <c r="E149" t="str">
        <f>VLOOKUP($A149,[2]!掉落查询,[2]获取途径临时表!C$1,FALSE)</f>
        <v/>
      </c>
      <c r="F149" t="str">
        <f>VLOOKUP($A149,[2]!掉落查询,[2]获取途径临时表!D$1,FALSE)</f>
        <v/>
      </c>
      <c r="G149" t="str">
        <f>VLOOKUP($A149,[2]!掉落查询,[2]获取途径临时表!E$1,FALSE)</f>
        <v/>
      </c>
      <c r="H149" t="str">
        <f>VLOOKUP($A149,[2]!掉落查询,[2]获取途径临时表!F$1,FALSE)</f>
        <v/>
      </c>
      <c r="I149" t="str">
        <f>VLOOKUP($A149,[2]!掉落查询,[2]获取途径临时表!G$1,FALSE)</f>
        <v/>
      </c>
      <c r="J149" t="str">
        <f>VLOOKUP($A149,[2]!掉落查询,[2]获取途径临时表!H$1,FALSE)</f>
        <v/>
      </c>
      <c r="K149" t="str">
        <f>VLOOKUP($A149,[2]!掉落查询,[2]获取途径临时表!I$1,FALSE)</f>
        <v/>
      </c>
      <c r="L149" t="str">
        <f>VLOOKUP($A149,[2]!掉落查询,[2]获取途径临时表!J$1,FALSE)</f>
        <v/>
      </c>
      <c r="M149" t="str">
        <f>VLOOKUP($A149,[2]!掉落查询,[2]获取途径临时表!K$1,FALSE)</f>
        <v/>
      </c>
      <c r="N149" t="str">
        <f>VLOOKUP($A149,[2]!掉落查询,[2]获取途径临时表!L$1,FALSE)</f>
        <v/>
      </c>
      <c r="O149" t="str">
        <f>VLOOKUP($A149,[2]!掉落查询,[2]获取途径临时表!M$1,FALSE)</f>
        <v/>
      </c>
      <c r="P149" t="str">
        <f>VLOOKUP($A149,[2]!掉落查询,[2]获取途径临时表!N$1,FALSE)</f>
        <v/>
      </c>
      <c r="Q149" t="str">
        <f>VLOOKUP($A149,[2]!掉落查询,[2]获取途径临时表!O$1,FALSE)</f>
        <v/>
      </c>
      <c r="R149" t="str">
        <f>VLOOKUP($A149,[2]!掉落查询,[2]获取途径临时表!P$1,FALSE)</f>
        <v/>
      </c>
      <c r="S149" t="str">
        <f>VLOOKUP($A149,[2]!掉落查询,[2]获取途径临时表!Q$1,FALSE)</f>
        <v/>
      </c>
      <c r="T149" t="str">
        <f>VLOOKUP($A149,[2]!掉落查询,[2]获取途径临时表!R$1,FALSE)</f>
        <v/>
      </c>
    </row>
    <row r="150" spans="1:20" x14ac:dyDescent="0.15">
      <c r="A150">
        <v>92223</v>
      </c>
      <c r="B150" s="20" t="s">
        <v>245</v>
      </c>
      <c r="C150">
        <v>0</v>
      </c>
      <c r="D150">
        <f t="shared" si="5"/>
        <v>0</v>
      </c>
      <c r="E150" t="str">
        <f>VLOOKUP($A150,[2]!掉落查询,[2]获取途径临时表!C$1,FALSE)</f>
        <v/>
      </c>
      <c r="F150" t="str">
        <f>VLOOKUP($A150,[2]!掉落查询,[2]获取途径临时表!D$1,FALSE)</f>
        <v/>
      </c>
      <c r="G150" t="str">
        <f>VLOOKUP($A150,[2]!掉落查询,[2]获取途径临时表!E$1,FALSE)</f>
        <v/>
      </c>
      <c r="H150" t="str">
        <f>VLOOKUP($A150,[2]!掉落查询,[2]获取途径临时表!F$1,FALSE)</f>
        <v/>
      </c>
      <c r="I150" t="str">
        <f>VLOOKUP($A150,[2]!掉落查询,[2]获取途径临时表!G$1,FALSE)</f>
        <v/>
      </c>
      <c r="J150" t="str">
        <f>VLOOKUP($A150,[2]!掉落查询,[2]获取途径临时表!H$1,FALSE)</f>
        <v/>
      </c>
      <c r="K150" t="str">
        <f>VLOOKUP($A150,[2]!掉落查询,[2]获取途径临时表!I$1,FALSE)</f>
        <v/>
      </c>
      <c r="L150" t="str">
        <f>VLOOKUP($A150,[2]!掉落查询,[2]获取途径临时表!J$1,FALSE)</f>
        <v/>
      </c>
      <c r="M150" t="str">
        <f>VLOOKUP($A150,[2]!掉落查询,[2]获取途径临时表!K$1,FALSE)</f>
        <v/>
      </c>
      <c r="N150" t="str">
        <f>VLOOKUP($A150,[2]!掉落查询,[2]获取途径临时表!L$1,FALSE)</f>
        <v/>
      </c>
      <c r="O150" t="str">
        <f>VLOOKUP($A150,[2]!掉落查询,[2]获取途径临时表!M$1,FALSE)</f>
        <v/>
      </c>
      <c r="P150" t="str">
        <f>VLOOKUP($A150,[2]!掉落查询,[2]获取途径临时表!N$1,FALSE)</f>
        <v/>
      </c>
      <c r="Q150" t="str">
        <f>VLOOKUP($A150,[2]!掉落查询,[2]获取途径临时表!O$1,FALSE)</f>
        <v/>
      </c>
      <c r="R150" t="str">
        <f>VLOOKUP($A150,[2]!掉落查询,[2]获取途径临时表!P$1,FALSE)</f>
        <v/>
      </c>
      <c r="S150" t="str">
        <f>VLOOKUP($A150,[2]!掉落查询,[2]获取途径临时表!Q$1,FALSE)</f>
        <v/>
      </c>
      <c r="T150" t="str">
        <f>VLOOKUP($A150,[2]!掉落查询,[2]获取途径临时表!R$1,FALSE)</f>
        <v/>
      </c>
    </row>
    <row r="151" spans="1:20" x14ac:dyDescent="0.15">
      <c r="A151">
        <v>92227</v>
      </c>
      <c r="B151" s="20" t="s">
        <v>961</v>
      </c>
      <c r="C151">
        <v>0</v>
      </c>
      <c r="D151">
        <f t="shared" si="5"/>
        <v>0</v>
      </c>
      <c r="E151" t="str">
        <f>VLOOKUP($A151,[2]!掉落查询,[2]获取途径临时表!C$1,FALSE)</f>
        <v/>
      </c>
      <c r="F151" t="str">
        <f>VLOOKUP($A151,[2]!掉落查询,[2]获取途径临时表!D$1,FALSE)</f>
        <v/>
      </c>
      <c r="G151" t="str">
        <f>VLOOKUP($A151,[2]!掉落查询,[2]获取途径临时表!E$1,FALSE)</f>
        <v/>
      </c>
      <c r="H151" t="str">
        <f>VLOOKUP($A151,[2]!掉落查询,[2]获取途径临时表!F$1,FALSE)</f>
        <v/>
      </c>
      <c r="I151" t="str">
        <f>VLOOKUP($A151,[2]!掉落查询,[2]获取途径临时表!G$1,FALSE)</f>
        <v/>
      </c>
      <c r="J151" t="str">
        <f>VLOOKUP($A151,[2]!掉落查询,[2]获取途径临时表!H$1,FALSE)</f>
        <v/>
      </c>
      <c r="K151" t="str">
        <f>VLOOKUP($A151,[2]!掉落查询,[2]获取途径临时表!I$1,FALSE)</f>
        <v/>
      </c>
      <c r="L151" t="str">
        <f>VLOOKUP($A151,[2]!掉落查询,[2]获取途径临时表!J$1,FALSE)</f>
        <v/>
      </c>
      <c r="M151" t="str">
        <f>VLOOKUP($A151,[2]!掉落查询,[2]获取途径临时表!K$1,FALSE)</f>
        <v/>
      </c>
      <c r="N151" t="str">
        <f>VLOOKUP($A151,[2]!掉落查询,[2]获取途径临时表!L$1,FALSE)</f>
        <v/>
      </c>
      <c r="O151" t="str">
        <f>VLOOKUP($A151,[2]!掉落查询,[2]获取途径临时表!M$1,FALSE)</f>
        <v/>
      </c>
      <c r="P151" t="str">
        <f>VLOOKUP($A151,[2]!掉落查询,[2]获取途径临时表!N$1,FALSE)</f>
        <v/>
      </c>
      <c r="Q151" t="str">
        <f>VLOOKUP($A151,[2]!掉落查询,[2]获取途径临时表!O$1,FALSE)</f>
        <v/>
      </c>
      <c r="R151" t="str">
        <f>VLOOKUP($A151,[2]!掉落查询,[2]获取途径临时表!P$1,FALSE)</f>
        <v/>
      </c>
      <c r="S151" t="str">
        <f>VLOOKUP($A151,[2]!掉落查询,[2]获取途径临时表!Q$1,FALSE)</f>
        <v/>
      </c>
      <c r="T151" t="str">
        <f>VLOOKUP($A151,[2]!掉落查询,[2]获取途径临时表!R$1,FALSE)</f>
        <v/>
      </c>
    </row>
    <row r="152" spans="1:20" x14ac:dyDescent="0.15">
      <c r="A152">
        <v>92236</v>
      </c>
      <c r="B152" s="20" t="s">
        <v>962</v>
      </c>
      <c r="C152">
        <v>0</v>
      </c>
      <c r="D152">
        <f t="shared" si="5"/>
        <v>0</v>
      </c>
      <c r="E152" t="str">
        <f>VLOOKUP($A152,[2]!掉落查询,[2]获取途径临时表!C$1,FALSE)</f>
        <v/>
      </c>
      <c r="F152" t="str">
        <f>VLOOKUP($A152,[2]!掉落查询,[2]获取途径临时表!D$1,FALSE)</f>
        <v/>
      </c>
      <c r="G152" t="str">
        <f>VLOOKUP($A152,[2]!掉落查询,[2]获取途径临时表!E$1,FALSE)</f>
        <v/>
      </c>
      <c r="H152" t="str">
        <f>VLOOKUP($A152,[2]!掉落查询,[2]获取途径临时表!F$1,FALSE)</f>
        <v/>
      </c>
      <c r="I152" t="str">
        <f>VLOOKUP($A152,[2]!掉落查询,[2]获取途径临时表!G$1,FALSE)</f>
        <v/>
      </c>
      <c r="J152" t="str">
        <f>VLOOKUP($A152,[2]!掉落查询,[2]获取途径临时表!H$1,FALSE)</f>
        <v/>
      </c>
      <c r="K152" t="str">
        <f>VLOOKUP($A152,[2]!掉落查询,[2]获取途径临时表!I$1,FALSE)</f>
        <v/>
      </c>
      <c r="L152" t="str">
        <f>VLOOKUP($A152,[2]!掉落查询,[2]获取途径临时表!J$1,FALSE)</f>
        <v/>
      </c>
      <c r="M152" t="str">
        <f>VLOOKUP($A152,[2]!掉落查询,[2]获取途径临时表!K$1,FALSE)</f>
        <v/>
      </c>
      <c r="N152" t="str">
        <f>VLOOKUP($A152,[2]!掉落查询,[2]获取途径临时表!L$1,FALSE)</f>
        <v/>
      </c>
      <c r="O152" t="str">
        <f>VLOOKUP($A152,[2]!掉落查询,[2]获取途径临时表!M$1,FALSE)</f>
        <v/>
      </c>
      <c r="P152" t="str">
        <f>VLOOKUP($A152,[2]!掉落查询,[2]获取途径临时表!N$1,FALSE)</f>
        <v/>
      </c>
      <c r="Q152" t="str">
        <f>VLOOKUP($A152,[2]!掉落查询,[2]获取途径临时表!O$1,FALSE)</f>
        <v/>
      </c>
      <c r="R152" t="str">
        <f>VLOOKUP($A152,[2]!掉落查询,[2]获取途径临时表!P$1,FALSE)</f>
        <v/>
      </c>
      <c r="S152" t="str">
        <f>VLOOKUP($A152,[2]!掉落查询,[2]获取途径临时表!Q$1,FALSE)</f>
        <v/>
      </c>
      <c r="T152" t="str">
        <f>VLOOKUP($A152,[2]!掉落查询,[2]获取途径临时表!R$1,FALSE)</f>
        <v/>
      </c>
    </row>
    <row r="153" spans="1:20" x14ac:dyDescent="0.15">
      <c r="A153">
        <v>92013</v>
      </c>
      <c r="B153" s="20" t="s">
        <v>244</v>
      </c>
      <c r="C153">
        <v>0</v>
      </c>
      <c r="D153">
        <f t="shared" si="5"/>
        <v>0</v>
      </c>
      <c r="E153" t="str">
        <f>VLOOKUP($A153,[2]!掉落查询,[2]获取途径临时表!C$1,FALSE)</f>
        <v/>
      </c>
      <c r="F153" t="str">
        <f>VLOOKUP($A153,[2]!掉落查询,[2]获取途径临时表!D$1,FALSE)</f>
        <v/>
      </c>
      <c r="G153" t="str">
        <f>VLOOKUP($A153,[2]!掉落查询,[2]获取途径临时表!E$1,FALSE)</f>
        <v/>
      </c>
      <c r="H153" t="str">
        <f>VLOOKUP($A153,[2]!掉落查询,[2]获取途径临时表!F$1,FALSE)</f>
        <v/>
      </c>
      <c r="I153" t="str">
        <f>VLOOKUP($A153,[2]!掉落查询,[2]获取途径临时表!G$1,FALSE)</f>
        <v/>
      </c>
      <c r="J153" t="str">
        <f>VLOOKUP($A153,[2]!掉落查询,[2]获取途径临时表!H$1,FALSE)</f>
        <v/>
      </c>
      <c r="K153" t="str">
        <f>VLOOKUP($A153,[2]!掉落查询,[2]获取途径临时表!I$1,FALSE)</f>
        <v/>
      </c>
      <c r="L153" t="str">
        <f>VLOOKUP($A153,[2]!掉落查询,[2]获取途径临时表!J$1,FALSE)</f>
        <v/>
      </c>
      <c r="M153" t="str">
        <f>VLOOKUP($A153,[2]!掉落查询,[2]获取途径临时表!K$1,FALSE)</f>
        <v/>
      </c>
      <c r="N153" t="str">
        <f>VLOOKUP($A153,[2]!掉落查询,[2]获取途径临时表!L$1,FALSE)</f>
        <v/>
      </c>
      <c r="O153" t="str">
        <f>VLOOKUP($A153,[2]!掉落查询,[2]获取途径临时表!M$1,FALSE)</f>
        <v/>
      </c>
      <c r="P153" t="str">
        <f>VLOOKUP($A153,[2]!掉落查询,[2]获取途径临时表!N$1,FALSE)</f>
        <v/>
      </c>
      <c r="Q153" t="str">
        <f>VLOOKUP($A153,[2]!掉落查询,[2]获取途径临时表!O$1,FALSE)</f>
        <v/>
      </c>
      <c r="R153" t="str">
        <f>VLOOKUP($A153,[2]!掉落查询,[2]获取途径临时表!P$1,FALSE)</f>
        <v/>
      </c>
      <c r="S153" t="str">
        <f>VLOOKUP($A153,[2]!掉落查询,[2]获取途径临时表!Q$1,FALSE)</f>
        <v/>
      </c>
      <c r="T153" t="str">
        <f>VLOOKUP($A153,[2]!掉落查询,[2]获取途径临时表!R$1,FALSE)</f>
        <v/>
      </c>
    </row>
    <row r="154" spans="1:20" x14ac:dyDescent="0.15">
      <c r="A154">
        <v>92253</v>
      </c>
      <c r="B154" s="20" t="s">
        <v>963</v>
      </c>
      <c r="C154">
        <v>0</v>
      </c>
      <c r="D154">
        <f t="shared" si="5"/>
        <v>0</v>
      </c>
      <c r="E154" t="str">
        <f>VLOOKUP($A154,[2]!掉落查询,[2]获取途径临时表!C$1,FALSE)</f>
        <v/>
      </c>
      <c r="F154" t="str">
        <f>VLOOKUP($A154,[2]!掉落查询,[2]获取途径临时表!D$1,FALSE)</f>
        <v/>
      </c>
      <c r="G154" t="str">
        <f>VLOOKUP($A154,[2]!掉落查询,[2]获取途径临时表!E$1,FALSE)</f>
        <v/>
      </c>
      <c r="H154" t="str">
        <f>VLOOKUP($A154,[2]!掉落查询,[2]获取途径临时表!F$1,FALSE)</f>
        <v/>
      </c>
      <c r="I154" t="str">
        <f>VLOOKUP($A154,[2]!掉落查询,[2]获取途径临时表!G$1,FALSE)</f>
        <v/>
      </c>
      <c r="J154" t="str">
        <f>VLOOKUP($A154,[2]!掉落查询,[2]获取途径临时表!H$1,FALSE)</f>
        <v/>
      </c>
      <c r="K154" t="str">
        <f>VLOOKUP($A154,[2]!掉落查询,[2]获取途径临时表!I$1,FALSE)</f>
        <v/>
      </c>
      <c r="L154" t="str">
        <f>VLOOKUP($A154,[2]!掉落查询,[2]获取途径临时表!J$1,FALSE)</f>
        <v/>
      </c>
      <c r="M154" t="str">
        <f>VLOOKUP($A154,[2]!掉落查询,[2]获取途径临时表!K$1,FALSE)</f>
        <v/>
      </c>
      <c r="N154" t="str">
        <f>VLOOKUP($A154,[2]!掉落查询,[2]获取途径临时表!L$1,FALSE)</f>
        <v/>
      </c>
      <c r="O154" t="str">
        <f>VLOOKUP($A154,[2]!掉落查询,[2]获取途径临时表!M$1,FALSE)</f>
        <v/>
      </c>
      <c r="P154" t="str">
        <f>VLOOKUP($A154,[2]!掉落查询,[2]获取途径临时表!N$1,FALSE)</f>
        <v/>
      </c>
      <c r="Q154" t="str">
        <f>VLOOKUP($A154,[2]!掉落查询,[2]获取途径临时表!O$1,FALSE)</f>
        <v/>
      </c>
      <c r="R154" t="str">
        <f>VLOOKUP($A154,[2]!掉落查询,[2]获取途径临时表!P$1,FALSE)</f>
        <v/>
      </c>
      <c r="S154" t="str">
        <f>VLOOKUP($A154,[2]!掉落查询,[2]获取途径临时表!Q$1,FALSE)</f>
        <v/>
      </c>
      <c r="T154" t="str">
        <f>VLOOKUP($A154,[2]!掉落查询,[2]获取途径临时表!R$1,FALSE)</f>
        <v/>
      </c>
    </row>
    <row r="155" spans="1:20" x14ac:dyDescent="0.15">
      <c r="A155">
        <v>92254</v>
      </c>
      <c r="B155" s="20" t="s">
        <v>964</v>
      </c>
      <c r="C155">
        <v>0</v>
      </c>
      <c r="D155">
        <f t="shared" si="5"/>
        <v>0</v>
      </c>
      <c r="E155" t="str">
        <f>VLOOKUP($A155,[2]!掉落查询,[2]获取途径临时表!C$1,FALSE)</f>
        <v/>
      </c>
      <c r="F155" t="str">
        <f>VLOOKUP($A155,[2]!掉落查询,[2]获取途径临时表!D$1,FALSE)</f>
        <v/>
      </c>
      <c r="G155" t="str">
        <f>VLOOKUP($A155,[2]!掉落查询,[2]获取途径临时表!E$1,FALSE)</f>
        <v/>
      </c>
      <c r="H155" t="str">
        <f>VLOOKUP($A155,[2]!掉落查询,[2]获取途径临时表!F$1,FALSE)</f>
        <v/>
      </c>
      <c r="I155" t="str">
        <f>VLOOKUP($A155,[2]!掉落查询,[2]获取途径临时表!G$1,FALSE)</f>
        <v/>
      </c>
      <c r="J155" t="str">
        <f>VLOOKUP($A155,[2]!掉落查询,[2]获取途径临时表!H$1,FALSE)</f>
        <v/>
      </c>
      <c r="K155" t="str">
        <f>VLOOKUP($A155,[2]!掉落查询,[2]获取途径临时表!I$1,FALSE)</f>
        <v/>
      </c>
      <c r="L155" t="str">
        <f>VLOOKUP($A155,[2]!掉落查询,[2]获取途径临时表!J$1,FALSE)</f>
        <v/>
      </c>
      <c r="M155" t="str">
        <f>VLOOKUP($A155,[2]!掉落查询,[2]获取途径临时表!K$1,FALSE)</f>
        <v/>
      </c>
      <c r="N155" t="str">
        <f>VLOOKUP($A155,[2]!掉落查询,[2]获取途径临时表!L$1,FALSE)</f>
        <v/>
      </c>
      <c r="O155" t="str">
        <f>VLOOKUP($A155,[2]!掉落查询,[2]获取途径临时表!M$1,FALSE)</f>
        <v/>
      </c>
      <c r="P155" t="str">
        <f>VLOOKUP($A155,[2]!掉落查询,[2]获取途径临时表!N$1,FALSE)</f>
        <v/>
      </c>
      <c r="Q155" t="str">
        <f>VLOOKUP($A155,[2]!掉落查询,[2]获取途径临时表!O$1,FALSE)</f>
        <v/>
      </c>
      <c r="R155" t="str">
        <f>VLOOKUP($A155,[2]!掉落查询,[2]获取途径临时表!P$1,FALSE)</f>
        <v/>
      </c>
      <c r="S155" t="str">
        <f>VLOOKUP($A155,[2]!掉落查询,[2]获取途径临时表!Q$1,FALSE)</f>
        <v/>
      </c>
      <c r="T155" t="str">
        <f>VLOOKUP($A155,[2]!掉落查询,[2]获取途径临时表!R$1,FALSE)</f>
        <v/>
      </c>
    </row>
    <row r="156" spans="1:20" x14ac:dyDescent="0.15">
      <c r="A156">
        <v>92274</v>
      </c>
      <c r="B156" s="20" t="s">
        <v>965</v>
      </c>
      <c r="C156">
        <v>0</v>
      </c>
      <c r="D156">
        <f t="shared" si="5"/>
        <v>0</v>
      </c>
      <c r="E156" t="str">
        <f>VLOOKUP($A156,[2]!掉落查询,[2]获取途径临时表!C$1,FALSE)</f>
        <v/>
      </c>
      <c r="F156" t="str">
        <f>VLOOKUP($A156,[2]!掉落查询,[2]获取途径临时表!D$1,FALSE)</f>
        <v/>
      </c>
      <c r="G156" t="str">
        <f>VLOOKUP($A156,[2]!掉落查询,[2]获取途径临时表!E$1,FALSE)</f>
        <v/>
      </c>
      <c r="H156" t="str">
        <f>VLOOKUP($A156,[2]!掉落查询,[2]获取途径临时表!F$1,FALSE)</f>
        <v/>
      </c>
      <c r="I156" t="str">
        <f>VLOOKUP($A156,[2]!掉落查询,[2]获取途径临时表!G$1,FALSE)</f>
        <v/>
      </c>
      <c r="J156" t="str">
        <f>VLOOKUP($A156,[2]!掉落查询,[2]获取途径临时表!H$1,FALSE)</f>
        <v/>
      </c>
      <c r="K156" t="str">
        <f>VLOOKUP($A156,[2]!掉落查询,[2]获取途径临时表!I$1,FALSE)</f>
        <v/>
      </c>
      <c r="L156" t="str">
        <f>VLOOKUP($A156,[2]!掉落查询,[2]获取途径临时表!J$1,FALSE)</f>
        <v/>
      </c>
      <c r="M156" t="str">
        <f>VLOOKUP($A156,[2]!掉落查询,[2]获取途径临时表!K$1,FALSE)</f>
        <v/>
      </c>
      <c r="N156" t="str">
        <f>VLOOKUP($A156,[2]!掉落查询,[2]获取途径临时表!L$1,FALSE)</f>
        <v/>
      </c>
      <c r="O156" t="str">
        <f>VLOOKUP($A156,[2]!掉落查询,[2]获取途径临时表!M$1,FALSE)</f>
        <v/>
      </c>
      <c r="P156" t="str">
        <f>VLOOKUP($A156,[2]!掉落查询,[2]获取途径临时表!N$1,FALSE)</f>
        <v/>
      </c>
      <c r="Q156" t="str">
        <f>VLOOKUP($A156,[2]!掉落查询,[2]获取途径临时表!O$1,FALSE)</f>
        <v/>
      </c>
      <c r="R156" t="str">
        <f>VLOOKUP($A156,[2]!掉落查询,[2]获取途径临时表!P$1,FALSE)</f>
        <v/>
      </c>
      <c r="S156" t="str">
        <f>VLOOKUP($A156,[2]!掉落查询,[2]获取途径临时表!Q$1,FALSE)</f>
        <v/>
      </c>
      <c r="T156" t="str">
        <f>VLOOKUP($A156,[2]!掉落查询,[2]获取途径临时表!R$1,FALSE)</f>
        <v/>
      </c>
    </row>
    <row r="157" spans="1:20" x14ac:dyDescent="0.15">
      <c r="A157">
        <v>92280</v>
      </c>
      <c r="B157" s="20" t="s">
        <v>246</v>
      </c>
      <c r="C157">
        <v>0</v>
      </c>
      <c r="D157">
        <f t="shared" si="5"/>
        <v>0</v>
      </c>
      <c r="E157" t="str">
        <f>VLOOKUP($A157,[2]!掉落查询,[2]获取途径临时表!C$1,FALSE)</f>
        <v/>
      </c>
      <c r="F157" t="str">
        <f>VLOOKUP($A157,[2]!掉落查询,[2]获取途径临时表!D$1,FALSE)</f>
        <v/>
      </c>
      <c r="G157" t="str">
        <f>VLOOKUP($A157,[2]!掉落查询,[2]获取途径临时表!E$1,FALSE)</f>
        <v/>
      </c>
      <c r="H157" t="str">
        <f>VLOOKUP($A157,[2]!掉落查询,[2]获取途径临时表!F$1,FALSE)</f>
        <v/>
      </c>
      <c r="I157" t="str">
        <f>VLOOKUP($A157,[2]!掉落查询,[2]获取途径临时表!G$1,FALSE)</f>
        <v/>
      </c>
      <c r="J157" t="str">
        <f>VLOOKUP($A157,[2]!掉落查询,[2]获取途径临时表!H$1,FALSE)</f>
        <v/>
      </c>
      <c r="K157" t="str">
        <f>VLOOKUP($A157,[2]!掉落查询,[2]获取途径临时表!I$1,FALSE)</f>
        <v/>
      </c>
      <c r="L157" t="str">
        <f>VLOOKUP($A157,[2]!掉落查询,[2]获取途径临时表!J$1,FALSE)</f>
        <v/>
      </c>
      <c r="M157" t="str">
        <f>VLOOKUP($A157,[2]!掉落查询,[2]获取途径临时表!K$1,FALSE)</f>
        <v/>
      </c>
      <c r="N157" t="str">
        <f>VLOOKUP($A157,[2]!掉落查询,[2]获取途径临时表!L$1,FALSE)</f>
        <v/>
      </c>
      <c r="O157" t="str">
        <f>VLOOKUP($A157,[2]!掉落查询,[2]获取途径临时表!M$1,FALSE)</f>
        <v/>
      </c>
      <c r="P157" t="str">
        <f>VLOOKUP($A157,[2]!掉落查询,[2]获取途径临时表!N$1,FALSE)</f>
        <v/>
      </c>
      <c r="Q157" t="str">
        <f>VLOOKUP($A157,[2]!掉落查询,[2]获取途径临时表!O$1,FALSE)</f>
        <v/>
      </c>
      <c r="R157" t="str">
        <f>VLOOKUP($A157,[2]!掉落查询,[2]获取途径临时表!P$1,FALSE)</f>
        <v/>
      </c>
      <c r="S157" t="str">
        <f>VLOOKUP($A157,[2]!掉落查询,[2]获取途径临时表!Q$1,FALSE)</f>
        <v/>
      </c>
      <c r="T157" t="str">
        <f>VLOOKUP($A157,[2]!掉落查询,[2]获取途径临时表!R$1,FALSE)</f>
        <v/>
      </c>
    </row>
    <row r="158" spans="1:20" x14ac:dyDescent="0.15">
      <c r="A158">
        <v>92285</v>
      </c>
      <c r="B158" s="20" t="s">
        <v>966</v>
      </c>
      <c r="C158">
        <v>0</v>
      </c>
      <c r="D158">
        <f t="shared" si="5"/>
        <v>0</v>
      </c>
      <c r="E158" t="str">
        <f>VLOOKUP($A158,[2]!掉落查询,[2]获取途径临时表!C$1,FALSE)</f>
        <v/>
      </c>
      <c r="F158" t="str">
        <f>VLOOKUP($A158,[2]!掉落查询,[2]获取途径临时表!D$1,FALSE)</f>
        <v/>
      </c>
      <c r="G158" t="str">
        <f>VLOOKUP($A158,[2]!掉落查询,[2]获取途径临时表!E$1,FALSE)</f>
        <v/>
      </c>
      <c r="H158" t="str">
        <f>VLOOKUP($A158,[2]!掉落查询,[2]获取途径临时表!F$1,FALSE)</f>
        <v/>
      </c>
      <c r="I158" t="str">
        <f>VLOOKUP($A158,[2]!掉落查询,[2]获取途径临时表!G$1,FALSE)</f>
        <v/>
      </c>
      <c r="J158" t="str">
        <f>VLOOKUP($A158,[2]!掉落查询,[2]获取途径临时表!H$1,FALSE)</f>
        <v/>
      </c>
      <c r="K158" t="str">
        <f>VLOOKUP($A158,[2]!掉落查询,[2]获取途径临时表!I$1,FALSE)</f>
        <v/>
      </c>
      <c r="L158" t="str">
        <f>VLOOKUP($A158,[2]!掉落查询,[2]获取途径临时表!J$1,FALSE)</f>
        <v/>
      </c>
      <c r="M158" t="str">
        <f>VLOOKUP($A158,[2]!掉落查询,[2]获取途径临时表!K$1,FALSE)</f>
        <v/>
      </c>
      <c r="N158" t="str">
        <f>VLOOKUP($A158,[2]!掉落查询,[2]获取途径临时表!L$1,FALSE)</f>
        <v/>
      </c>
      <c r="O158" t="str">
        <f>VLOOKUP($A158,[2]!掉落查询,[2]获取途径临时表!M$1,FALSE)</f>
        <v/>
      </c>
      <c r="P158" t="str">
        <f>VLOOKUP($A158,[2]!掉落查询,[2]获取途径临时表!N$1,FALSE)</f>
        <v/>
      </c>
      <c r="Q158" t="str">
        <f>VLOOKUP($A158,[2]!掉落查询,[2]获取途径临时表!O$1,FALSE)</f>
        <v/>
      </c>
      <c r="R158" t="str">
        <f>VLOOKUP($A158,[2]!掉落查询,[2]获取途径临时表!P$1,FALSE)</f>
        <v/>
      </c>
      <c r="S158" t="str">
        <f>VLOOKUP($A158,[2]!掉落查询,[2]获取途径临时表!Q$1,FALSE)</f>
        <v/>
      </c>
      <c r="T158" t="str">
        <f>VLOOKUP($A158,[2]!掉落查询,[2]获取途径临时表!R$1,FALSE)</f>
        <v/>
      </c>
    </row>
    <row r="159" spans="1:20" x14ac:dyDescent="0.15">
      <c r="A159">
        <v>92289</v>
      </c>
      <c r="B159" s="20" t="s">
        <v>967</v>
      </c>
      <c r="C159">
        <v>0</v>
      </c>
      <c r="D159">
        <f t="shared" si="5"/>
        <v>0</v>
      </c>
      <c r="E159" t="str">
        <f>VLOOKUP($A159,[2]!掉落查询,[2]获取途径临时表!C$1,FALSE)</f>
        <v/>
      </c>
      <c r="F159" t="str">
        <f>VLOOKUP($A159,[2]!掉落查询,[2]获取途径临时表!D$1,FALSE)</f>
        <v/>
      </c>
      <c r="G159" t="str">
        <f>VLOOKUP($A159,[2]!掉落查询,[2]获取途径临时表!E$1,FALSE)</f>
        <v/>
      </c>
      <c r="H159" t="str">
        <f>VLOOKUP($A159,[2]!掉落查询,[2]获取途径临时表!F$1,FALSE)</f>
        <v/>
      </c>
      <c r="I159" t="str">
        <f>VLOOKUP($A159,[2]!掉落查询,[2]获取途径临时表!G$1,FALSE)</f>
        <v/>
      </c>
      <c r="J159" t="str">
        <f>VLOOKUP($A159,[2]!掉落查询,[2]获取途径临时表!H$1,FALSE)</f>
        <v/>
      </c>
      <c r="K159" t="str">
        <f>VLOOKUP($A159,[2]!掉落查询,[2]获取途径临时表!I$1,FALSE)</f>
        <v/>
      </c>
      <c r="L159" t="str">
        <f>VLOOKUP($A159,[2]!掉落查询,[2]获取途径临时表!J$1,FALSE)</f>
        <v/>
      </c>
      <c r="M159" t="str">
        <f>VLOOKUP($A159,[2]!掉落查询,[2]获取途径临时表!K$1,FALSE)</f>
        <v/>
      </c>
      <c r="N159" t="str">
        <f>VLOOKUP($A159,[2]!掉落查询,[2]获取途径临时表!L$1,FALSE)</f>
        <v/>
      </c>
      <c r="O159" t="str">
        <f>VLOOKUP($A159,[2]!掉落查询,[2]获取途径临时表!M$1,FALSE)</f>
        <v/>
      </c>
      <c r="P159" t="str">
        <f>VLOOKUP($A159,[2]!掉落查询,[2]获取途径临时表!N$1,FALSE)</f>
        <v/>
      </c>
      <c r="Q159" t="str">
        <f>VLOOKUP($A159,[2]!掉落查询,[2]获取途径临时表!O$1,FALSE)</f>
        <v/>
      </c>
      <c r="R159" t="str">
        <f>VLOOKUP($A159,[2]!掉落查询,[2]获取途径临时表!P$1,FALSE)</f>
        <v/>
      </c>
      <c r="S159" t="str">
        <f>VLOOKUP($A159,[2]!掉落查询,[2]获取途径临时表!Q$1,FALSE)</f>
        <v/>
      </c>
      <c r="T159" t="str">
        <f>VLOOKUP($A159,[2]!掉落查询,[2]获取途径临时表!R$1,FALSE)</f>
        <v/>
      </c>
    </row>
    <row r="160" spans="1:20" x14ac:dyDescent="0.15">
      <c r="A160">
        <v>92014</v>
      </c>
      <c r="B160" s="21" t="s">
        <v>968</v>
      </c>
      <c r="C160">
        <v>0</v>
      </c>
      <c r="D160">
        <f t="shared" si="5"/>
        <v>0</v>
      </c>
      <c r="E160" t="str">
        <f>VLOOKUP($A160,[2]!掉落查询,[2]获取途径临时表!C$1,FALSE)</f>
        <v/>
      </c>
      <c r="F160" t="str">
        <f>VLOOKUP($A160,[2]!掉落查询,[2]获取途径临时表!D$1,FALSE)</f>
        <v/>
      </c>
      <c r="G160" t="str">
        <f>VLOOKUP($A160,[2]!掉落查询,[2]获取途径临时表!E$1,FALSE)</f>
        <v/>
      </c>
      <c r="H160" t="str">
        <f>VLOOKUP($A160,[2]!掉落查询,[2]获取途径临时表!F$1,FALSE)</f>
        <v/>
      </c>
      <c r="I160" t="str">
        <f>VLOOKUP($A160,[2]!掉落查询,[2]获取途径临时表!G$1,FALSE)</f>
        <v/>
      </c>
      <c r="J160" t="str">
        <f>VLOOKUP($A160,[2]!掉落查询,[2]获取途径临时表!H$1,FALSE)</f>
        <v/>
      </c>
      <c r="K160" t="str">
        <f>VLOOKUP($A160,[2]!掉落查询,[2]获取途径临时表!I$1,FALSE)</f>
        <v/>
      </c>
      <c r="L160" t="str">
        <f>VLOOKUP($A160,[2]!掉落查询,[2]获取途径临时表!J$1,FALSE)</f>
        <v/>
      </c>
      <c r="M160" t="str">
        <f>VLOOKUP($A160,[2]!掉落查询,[2]获取途径临时表!K$1,FALSE)</f>
        <v/>
      </c>
      <c r="N160" t="str">
        <f>VLOOKUP($A160,[2]!掉落查询,[2]获取途径临时表!L$1,FALSE)</f>
        <v/>
      </c>
      <c r="O160" t="str">
        <f>VLOOKUP($A160,[2]!掉落查询,[2]获取途径临时表!M$1,FALSE)</f>
        <v/>
      </c>
      <c r="P160" t="str">
        <f>VLOOKUP($A160,[2]!掉落查询,[2]获取途径临时表!N$1,FALSE)</f>
        <v/>
      </c>
      <c r="Q160" t="str">
        <f>VLOOKUP($A160,[2]!掉落查询,[2]获取途径临时表!O$1,FALSE)</f>
        <v/>
      </c>
      <c r="R160" t="str">
        <f>VLOOKUP($A160,[2]!掉落查询,[2]获取途径临时表!P$1,FALSE)</f>
        <v/>
      </c>
      <c r="S160" t="str">
        <f>VLOOKUP($A160,[2]!掉落查询,[2]获取途径临时表!Q$1,FALSE)</f>
        <v/>
      </c>
      <c r="T160" t="str">
        <f>VLOOKUP($A160,[2]!掉落查询,[2]获取途径临时表!R$1,FALSE)</f>
        <v/>
      </c>
    </row>
    <row r="161" spans="1:20" x14ac:dyDescent="0.15">
      <c r="A161">
        <v>92296</v>
      </c>
      <c r="B161" s="21" t="s">
        <v>969</v>
      </c>
      <c r="C161">
        <v>0</v>
      </c>
      <c r="D161">
        <f t="shared" si="5"/>
        <v>0</v>
      </c>
      <c r="E161" t="str">
        <f>VLOOKUP($A161,[2]!掉落查询,[2]获取途径临时表!C$1,FALSE)</f>
        <v/>
      </c>
      <c r="F161" t="str">
        <f>VLOOKUP($A161,[2]!掉落查询,[2]获取途径临时表!D$1,FALSE)</f>
        <v/>
      </c>
      <c r="G161" t="str">
        <f>VLOOKUP($A161,[2]!掉落查询,[2]获取途径临时表!E$1,FALSE)</f>
        <v/>
      </c>
      <c r="H161" t="str">
        <f>VLOOKUP($A161,[2]!掉落查询,[2]获取途径临时表!F$1,FALSE)</f>
        <v/>
      </c>
      <c r="I161" t="str">
        <f>VLOOKUP($A161,[2]!掉落查询,[2]获取途径临时表!G$1,FALSE)</f>
        <v/>
      </c>
      <c r="J161" t="str">
        <f>VLOOKUP($A161,[2]!掉落查询,[2]获取途径临时表!H$1,FALSE)</f>
        <v/>
      </c>
      <c r="K161" t="str">
        <f>VLOOKUP($A161,[2]!掉落查询,[2]获取途径临时表!I$1,FALSE)</f>
        <v/>
      </c>
      <c r="L161" t="str">
        <f>VLOOKUP($A161,[2]!掉落查询,[2]获取途径临时表!J$1,FALSE)</f>
        <v/>
      </c>
      <c r="M161" t="str">
        <f>VLOOKUP($A161,[2]!掉落查询,[2]获取途径临时表!K$1,FALSE)</f>
        <v/>
      </c>
      <c r="N161" t="str">
        <f>VLOOKUP($A161,[2]!掉落查询,[2]获取途径临时表!L$1,FALSE)</f>
        <v/>
      </c>
      <c r="O161" t="str">
        <f>VLOOKUP($A161,[2]!掉落查询,[2]获取途径临时表!M$1,FALSE)</f>
        <v/>
      </c>
      <c r="P161" t="str">
        <f>VLOOKUP($A161,[2]!掉落查询,[2]获取途径临时表!N$1,FALSE)</f>
        <v/>
      </c>
      <c r="Q161" t="str">
        <f>VLOOKUP($A161,[2]!掉落查询,[2]获取途径临时表!O$1,FALSE)</f>
        <v/>
      </c>
      <c r="R161" t="str">
        <f>VLOOKUP($A161,[2]!掉落查询,[2]获取途径临时表!P$1,FALSE)</f>
        <v/>
      </c>
      <c r="S161" t="str">
        <f>VLOOKUP($A161,[2]!掉落查询,[2]获取途径临时表!Q$1,FALSE)</f>
        <v/>
      </c>
      <c r="T161" t="str">
        <f>VLOOKUP($A161,[2]!掉落查询,[2]获取途径临时表!R$1,FALSE)</f>
        <v/>
      </c>
    </row>
    <row r="162" spans="1:20" x14ac:dyDescent="0.15">
      <c r="A162">
        <v>92240</v>
      </c>
      <c r="B162" s="21" t="s">
        <v>970</v>
      </c>
      <c r="C162">
        <v>0</v>
      </c>
      <c r="D162">
        <f t="shared" si="5"/>
        <v>0</v>
      </c>
      <c r="E162" t="str">
        <f>VLOOKUP($A162,[2]!掉落查询,[2]获取途径临时表!C$1,FALSE)</f>
        <v/>
      </c>
      <c r="F162" t="str">
        <f>VLOOKUP($A162,[2]!掉落查询,[2]获取途径临时表!D$1,FALSE)</f>
        <v/>
      </c>
      <c r="G162" t="str">
        <f>VLOOKUP($A162,[2]!掉落查询,[2]获取途径临时表!E$1,FALSE)</f>
        <v/>
      </c>
      <c r="H162" t="str">
        <f>VLOOKUP($A162,[2]!掉落查询,[2]获取途径临时表!F$1,FALSE)</f>
        <v/>
      </c>
      <c r="I162" t="str">
        <f>VLOOKUP($A162,[2]!掉落查询,[2]获取途径临时表!G$1,FALSE)</f>
        <v/>
      </c>
      <c r="J162" t="str">
        <f>VLOOKUP($A162,[2]!掉落查询,[2]获取途径临时表!H$1,FALSE)</f>
        <v/>
      </c>
      <c r="K162" t="str">
        <f>VLOOKUP($A162,[2]!掉落查询,[2]获取途径临时表!I$1,FALSE)</f>
        <v/>
      </c>
      <c r="L162" t="str">
        <f>VLOOKUP($A162,[2]!掉落查询,[2]获取途径临时表!J$1,FALSE)</f>
        <v/>
      </c>
      <c r="M162" t="str">
        <f>VLOOKUP($A162,[2]!掉落查询,[2]获取途径临时表!K$1,FALSE)</f>
        <v/>
      </c>
      <c r="N162" t="str">
        <f>VLOOKUP($A162,[2]!掉落查询,[2]获取途径临时表!L$1,FALSE)</f>
        <v/>
      </c>
      <c r="O162" t="str">
        <f>VLOOKUP($A162,[2]!掉落查询,[2]获取途径临时表!M$1,FALSE)</f>
        <v/>
      </c>
      <c r="P162" t="str">
        <f>VLOOKUP($A162,[2]!掉落查询,[2]获取途径临时表!N$1,FALSE)</f>
        <v/>
      </c>
      <c r="Q162" t="str">
        <f>VLOOKUP($A162,[2]!掉落查询,[2]获取途径临时表!O$1,FALSE)</f>
        <v/>
      </c>
      <c r="R162" t="str">
        <f>VLOOKUP($A162,[2]!掉落查询,[2]获取途径临时表!P$1,FALSE)</f>
        <v/>
      </c>
      <c r="S162" t="str">
        <f>VLOOKUP($A162,[2]!掉落查询,[2]获取途径临时表!Q$1,FALSE)</f>
        <v/>
      </c>
      <c r="T162" t="str">
        <f>VLOOKUP($A162,[2]!掉落查询,[2]获取途径临时表!R$1,FALSE)</f>
        <v/>
      </c>
    </row>
    <row r="163" spans="1:20" x14ac:dyDescent="0.15">
      <c r="A163">
        <v>92292</v>
      </c>
      <c r="B163" s="21" t="s">
        <v>971</v>
      </c>
      <c r="C163">
        <v>0</v>
      </c>
      <c r="D163">
        <f t="shared" si="5"/>
        <v>0</v>
      </c>
      <c r="E163" t="str">
        <f>VLOOKUP($A163,[2]!掉落查询,[2]获取途径临时表!C$1,FALSE)</f>
        <v/>
      </c>
      <c r="F163" t="str">
        <f>VLOOKUP($A163,[2]!掉落查询,[2]获取途径临时表!D$1,FALSE)</f>
        <v/>
      </c>
      <c r="G163" t="str">
        <f>VLOOKUP($A163,[2]!掉落查询,[2]获取途径临时表!E$1,FALSE)</f>
        <v/>
      </c>
      <c r="H163" t="str">
        <f>VLOOKUP($A163,[2]!掉落查询,[2]获取途径临时表!F$1,FALSE)</f>
        <v/>
      </c>
      <c r="I163" t="str">
        <f>VLOOKUP($A163,[2]!掉落查询,[2]获取途径临时表!G$1,FALSE)</f>
        <v/>
      </c>
      <c r="J163" t="str">
        <f>VLOOKUP($A163,[2]!掉落查询,[2]获取途径临时表!H$1,FALSE)</f>
        <v/>
      </c>
      <c r="K163" t="str">
        <f>VLOOKUP($A163,[2]!掉落查询,[2]获取途径临时表!I$1,FALSE)</f>
        <v/>
      </c>
      <c r="L163" t="str">
        <f>VLOOKUP($A163,[2]!掉落查询,[2]获取途径临时表!J$1,FALSE)</f>
        <v/>
      </c>
      <c r="M163" t="str">
        <f>VLOOKUP($A163,[2]!掉落查询,[2]获取途径临时表!K$1,FALSE)</f>
        <v/>
      </c>
      <c r="N163" t="str">
        <f>VLOOKUP($A163,[2]!掉落查询,[2]获取途径临时表!L$1,FALSE)</f>
        <v/>
      </c>
      <c r="O163" t="str">
        <f>VLOOKUP($A163,[2]!掉落查询,[2]获取途径临时表!M$1,FALSE)</f>
        <v/>
      </c>
      <c r="P163" t="str">
        <f>VLOOKUP($A163,[2]!掉落查询,[2]获取途径临时表!N$1,FALSE)</f>
        <v/>
      </c>
      <c r="Q163" t="str">
        <f>VLOOKUP($A163,[2]!掉落查询,[2]获取途径临时表!O$1,FALSE)</f>
        <v/>
      </c>
      <c r="R163" t="str">
        <f>VLOOKUP($A163,[2]!掉落查询,[2]获取途径临时表!P$1,FALSE)</f>
        <v/>
      </c>
      <c r="S163" t="str">
        <f>VLOOKUP($A163,[2]!掉落查询,[2]获取途径临时表!Q$1,FALSE)</f>
        <v/>
      </c>
      <c r="T163" t="str">
        <f>VLOOKUP($A163,[2]!掉落查询,[2]获取途径临时表!R$1,FALSE)</f>
        <v/>
      </c>
    </row>
    <row r="164" spans="1:20" x14ac:dyDescent="0.15">
      <c r="A164">
        <v>92256</v>
      </c>
      <c r="B164" s="21" t="s">
        <v>972</v>
      </c>
      <c r="C164">
        <v>0</v>
      </c>
      <c r="D164">
        <f t="shared" si="5"/>
        <v>0</v>
      </c>
      <c r="E164" t="str">
        <f>VLOOKUP($A164,[2]!掉落查询,[2]获取途径临时表!C$1,FALSE)</f>
        <v/>
      </c>
      <c r="F164" t="str">
        <f>VLOOKUP($A164,[2]!掉落查询,[2]获取途径临时表!D$1,FALSE)</f>
        <v/>
      </c>
      <c r="G164" t="str">
        <f>VLOOKUP($A164,[2]!掉落查询,[2]获取途径临时表!E$1,FALSE)</f>
        <v/>
      </c>
      <c r="H164" t="str">
        <f>VLOOKUP($A164,[2]!掉落查询,[2]获取途径临时表!F$1,FALSE)</f>
        <v/>
      </c>
      <c r="I164" t="str">
        <f>VLOOKUP($A164,[2]!掉落查询,[2]获取途径临时表!G$1,FALSE)</f>
        <v/>
      </c>
      <c r="J164" t="str">
        <f>VLOOKUP($A164,[2]!掉落查询,[2]获取途径临时表!H$1,FALSE)</f>
        <v/>
      </c>
      <c r="K164" t="str">
        <f>VLOOKUP($A164,[2]!掉落查询,[2]获取途径临时表!I$1,FALSE)</f>
        <v/>
      </c>
      <c r="L164" t="str">
        <f>VLOOKUP($A164,[2]!掉落查询,[2]获取途径临时表!J$1,FALSE)</f>
        <v/>
      </c>
      <c r="M164" t="str">
        <f>VLOOKUP($A164,[2]!掉落查询,[2]获取途径临时表!K$1,FALSE)</f>
        <v/>
      </c>
      <c r="N164" t="str">
        <f>VLOOKUP($A164,[2]!掉落查询,[2]获取途径临时表!L$1,FALSE)</f>
        <v/>
      </c>
      <c r="O164" t="str">
        <f>VLOOKUP($A164,[2]!掉落查询,[2]获取途径临时表!M$1,FALSE)</f>
        <v/>
      </c>
      <c r="P164" t="str">
        <f>VLOOKUP($A164,[2]!掉落查询,[2]获取途径临时表!N$1,FALSE)</f>
        <v/>
      </c>
      <c r="Q164" t="str">
        <f>VLOOKUP($A164,[2]!掉落查询,[2]获取途径临时表!O$1,FALSE)</f>
        <v/>
      </c>
      <c r="R164" t="str">
        <f>VLOOKUP($A164,[2]!掉落查询,[2]获取途径临时表!P$1,FALSE)</f>
        <v/>
      </c>
      <c r="S164" t="str">
        <f>VLOOKUP($A164,[2]!掉落查询,[2]获取途径临时表!Q$1,FALSE)</f>
        <v/>
      </c>
      <c r="T164" t="str">
        <f>VLOOKUP($A164,[2]!掉落查询,[2]获取途径临时表!R$1,FALSE)</f>
        <v/>
      </c>
    </row>
    <row r="165" spans="1:20" x14ac:dyDescent="0.15">
      <c r="A165">
        <v>92261</v>
      </c>
      <c r="B165" s="21" t="s">
        <v>973</v>
      </c>
      <c r="C165">
        <v>0</v>
      </c>
      <c r="D165">
        <f t="shared" si="5"/>
        <v>0</v>
      </c>
      <c r="E165" t="str">
        <f>VLOOKUP($A165,[2]!掉落查询,[2]获取途径临时表!C$1,FALSE)</f>
        <v/>
      </c>
      <c r="F165" t="str">
        <f>VLOOKUP($A165,[2]!掉落查询,[2]获取途径临时表!D$1,FALSE)</f>
        <v/>
      </c>
      <c r="G165" t="str">
        <f>VLOOKUP($A165,[2]!掉落查询,[2]获取途径临时表!E$1,FALSE)</f>
        <v/>
      </c>
      <c r="H165" t="str">
        <f>VLOOKUP($A165,[2]!掉落查询,[2]获取途径临时表!F$1,FALSE)</f>
        <v/>
      </c>
      <c r="I165" t="str">
        <f>VLOOKUP($A165,[2]!掉落查询,[2]获取途径临时表!G$1,FALSE)</f>
        <v/>
      </c>
      <c r="J165" t="str">
        <f>VLOOKUP($A165,[2]!掉落查询,[2]获取途径临时表!H$1,FALSE)</f>
        <v/>
      </c>
      <c r="K165" t="str">
        <f>VLOOKUP($A165,[2]!掉落查询,[2]获取途径临时表!I$1,FALSE)</f>
        <v/>
      </c>
      <c r="L165" t="str">
        <f>VLOOKUP($A165,[2]!掉落查询,[2]获取途径临时表!J$1,FALSE)</f>
        <v/>
      </c>
      <c r="M165" t="str">
        <f>VLOOKUP($A165,[2]!掉落查询,[2]获取途径临时表!K$1,FALSE)</f>
        <v/>
      </c>
      <c r="N165" t="str">
        <f>VLOOKUP($A165,[2]!掉落查询,[2]获取途径临时表!L$1,FALSE)</f>
        <v/>
      </c>
      <c r="O165" t="str">
        <f>VLOOKUP($A165,[2]!掉落查询,[2]获取途径临时表!M$1,FALSE)</f>
        <v/>
      </c>
      <c r="P165" t="str">
        <f>VLOOKUP($A165,[2]!掉落查询,[2]获取途径临时表!N$1,FALSE)</f>
        <v/>
      </c>
      <c r="Q165" t="str">
        <f>VLOOKUP($A165,[2]!掉落查询,[2]获取途径临时表!O$1,FALSE)</f>
        <v/>
      </c>
      <c r="R165" t="str">
        <f>VLOOKUP($A165,[2]!掉落查询,[2]获取途径临时表!P$1,FALSE)</f>
        <v/>
      </c>
      <c r="S165" t="str">
        <f>VLOOKUP($A165,[2]!掉落查询,[2]获取途径临时表!Q$1,FALSE)</f>
        <v/>
      </c>
      <c r="T165" t="str">
        <f>VLOOKUP($A165,[2]!掉落查询,[2]获取途径临时表!R$1,FALSE)</f>
        <v/>
      </c>
    </row>
    <row r="166" spans="1:20" x14ac:dyDescent="0.15">
      <c r="A166">
        <v>92275</v>
      </c>
      <c r="B166" s="21" t="s">
        <v>974</v>
      </c>
      <c r="C166">
        <v>0</v>
      </c>
      <c r="D166">
        <f t="shared" si="5"/>
        <v>0</v>
      </c>
      <c r="E166" t="str">
        <f>VLOOKUP($A166,[2]!掉落查询,[2]获取途径临时表!C$1,FALSE)</f>
        <v/>
      </c>
      <c r="F166" t="str">
        <f>VLOOKUP($A166,[2]!掉落查询,[2]获取途径临时表!D$1,FALSE)</f>
        <v/>
      </c>
      <c r="G166" t="str">
        <f>VLOOKUP($A166,[2]!掉落查询,[2]获取途径临时表!E$1,FALSE)</f>
        <v/>
      </c>
      <c r="H166" t="str">
        <f>VLOOKUP($A166,[2]!掉落查询,[2]获取途径临时表!F$1,FALSE)</f>
        <v/>
      </c>
      <c r="I166" t="str">
        <f>VLOOKUP($A166,[2]!掉落查询,[2]获取途径临时表!G$1,FALSE)</f>
        <v/>
      </c>
      <c r="J166" t="str">
        <f>VLOOKUP($A166,[2]!掉落查询,[2]获取途径临时表!H$1,FALSE)</f>
        <v/>
      </c>
      <c r="K166" t="str">
        <f>VLOOKUP($A166,[2]!掉落查询,[2]获取途径临时表!I$1,FALSE)</f>
        <v/>
      </c>
      <c r="L166" t="str">
        <f>VLOOKUP($A166,[2]!掉落查询,[2]获取途径临时表!J$1,FALSE)</f>
        <v/>
      </c>
      <c r="M166" t="str">
        <f>VLOOKUP($A166,[2]!掉落查询,[2]获取途径临时表!K$1,FALSE)</f>
        <v/>
      </c>
      <c r="N166" t="str">
        <f>VLOOKUP($A166,[2]!掉落查询,[2]获取途径临时表!L$1,FALSE)</f>
        <v/>
      </c>
      <c r="O166" t="str">
        <f>VLOOKUP($A166,[2]!掉落查询,[2]获取途径临时表!M$1,FALSE)</f>
        <v/>
      </c>
      <c r="P166" t="str">
        <f>VLOOKUP($A166,[2]!掉落查询,[2]获取途径临时表!N$1,FALSE)</f>
        <v/>
      </c>
      <c r="Q166" t="str">
        <f>VLOOKUP($A166,[2]!掉落查询,[2]获取途径临时表!O$1,FALSE)</f>
        <v/>
      </c>
      <c r="R166" t="str">
        <f>VLOOKUP($A166,[2]!掉落查询,[2]获取途径临时表!P$1,FALSE)</f>
        <v/>
      </c>
      <c r="S166" t="str">
        <f>VLOOKUP($A166,[2]!掉落查询,[2]获取途径临时表!Q$1,FALSE)</f>
        <v/>
      </c>
      <c r="T166" t="str">
        <f>VLOOKUP($A166,[2]!掉落查询,[2]获取途径临时表!R$1,FALSE)</f>
        <v/>
      </c>
    </row>
    <row r="167" spans="1:20" x14ac:dyDescent="0.15">
      <c r="A167">
        <v>92281</v>
      </c>
      <c r="B167" s="21" t="s">
        <v>975</v>
      </c>
      <c r="C167">
        <v>0</v>
      </c>
      <c r="D167">
        <f t="shared" si="5"/>
        <v>0</v>
      </c>
      <c r="E167" t="str">
        <f>VLOOKUP($A167,[2]!掉落查询,[2]获取途径临时表!C$1,FALSE)</f>
        <v/>
      </c>
      <c r="F167" t="str">
        <f>VLOOKUP($A167,[2]!掉落查询,[2]获取途径临时表!D$1,FALSE)</f>
        <v/>
      </c>
      <c r="G167" t="str">
        <f>VLOOKUP($A167,[2]!掉落查询,[2]获取途径临时表!E$1,FALSE)</f>
        <v/>
      </c>
      <c r="H167" t="str">
        <f>VLOOKUP($A167,[2]!掉落查询,[2]获取途径临时表!F$1,FALSE)</f>
        <v/>
      </c>
      <c r="I167" t="str">
        <f>VLOOKUP($A167,[2]!掉落查询,[2]获取途径临时表!G$1,FALSE)</f>
        <v/>
      </c>
      <c r="J167" t="str">
        <f>VLOOKUP($A167,[2]!掉落查询,[2]获取途径临时表!H$1,FALSE)</f>
        <v/>
      </c>
      <c r="K167" t="str">
        <f>VLOOKUP($A167,[2]!掉落查询,[2]获取途径临时表!I$1,FALSE)</f>
        <v/>
      </c>
      <c r="L167" t="str">
        <f>VLOOKUP($A167,[2]!掉落查询,[2]获取途径临时表!J$1,FALSE)</f>
        <v/>
      </c>
      <c r="M167" t="str">
        <f>VLOOKUP($A167,[2]!掉落查询,[2]获取途径临时表!K$1,FALSE)</f>
        <v/>
      </c>
      <c r="N167" t="str">
        <f>VLOOKUP($A167,[2]!掉落查询,[2]获取途径临时表!L$1,FALSE)</f>
        <v/>
      </c>
      <c r="O167" t="str">
        <f>VLOOKUP($A167,[2]!掉落查询,[2]获取途径临时表!M$1,FALSE)</f>
        <v/>
      </c>
      <c r="P167" t="str">
        <f>VLOOKUP($A167,[2]!掉落查询,[2]获取途径临时表!N$1,FALSE)</f>
        <v/>
      </c>
      <c r="Q167" t="str">
        <f>VLOOKUP($A167,[2]!掉落查询,[2]获取途径临时表!O$1,FALSE)</f>
        <v/>
      </c>
      <c r="R167" t="str">
        <f>VLOOKUP($A167,[2]!掉落查询,[2]获取途径临时表!P$1,FALSE)</f>
        <v/>
      </c>
      <c r="S167" t="str">
        <f>VLOOKUP($A167,[2]!掉落查询,[2]获取途径临时表!Q$1,FALSE)</f>
        <v/>
      </c>
      <c r="T167" t="str">
        <f>VLOOKUP($A167,[2]!掉落查询,[2]获取途径临时表!R$1,FALSE)</f>
        <v/>
      </c>
    </row>
    <row r="168" spans="1:20" x14ac:dyDescent="0.15">
      <c r="A168">
        <v>92286</v>
      </c>
      <c r="B168" s="21" t="s">
        <v>976</v>
      </c>
      <c r="C168">
        <v>0</v>
      </c>
      <c r="D168">
        <f t="shared" si="5"/>
        <v>0</v>
      </c>
      <c r="E168" t="str">
        <f>VLOOKUP($A168,[2]!掉落查询,[2]获取途径临时表!C$1,FALSE)</f>
        <v/>
      </c>
      <c r="F168" t="str">
        <f>VLOOKUP($A168,[2]!掉落查询,[2]获取途径临时表!D$1,FALSE)</f>
        <v/>
      </c>
      <c r="G168" t="str">
        <f>VLOOKUP($A168,[2]!掉落查询,[2]获取途径临时表!E$1,FALSE)</f>
        <v/>
      </c>
      <c r="H168" t="str">
        <f>VLOOKUP($A168,[2]!掉落查询,[2]获取途径临时表!F$1,FALSE)</f>
        <v/>
      </c>
      <c r="I168" t="str">
        <f>VLOOKUP($A168,[2]!掉落查询,[2]获取途径临时表!G$1,FALSE)</f>
        <v/>
      </c>
      <c r="J168" t="str">
        <f>VLOOKUP($A168,[2]!掉落查询,[2]获取途径临时表!H$1,FALSE)</f>
        <v/>
      </c>
      <c r="K168" t="str">
        <f>VLOOKUP($A168,[2]!掉落查询,[2]获取途径临时表!I$1,FALSE)</f>
        <v/>
      </c>
      <c r="L168" t="str">
        <f>VLOOKUP($A168,[2]!掉落查询,[2]获取途径临时表!J$1,FALSE)</f>
        <v/>
      </c>
      <c r="M168" t="str">
        <f>VLOOKUP($A168,[2]!掉落查询,[2]获取途径临时表!K$1,FALSE)</f>
        <v/>
      </c>
      <c r="N168" t="str">
        <f>VLOOKUP($A168,[2]!掉落查询,[2]获取途径临时表!L$1,FALSE)</f>
        <v/>
      </c>
      <c r="O168" t="str">
        <f>VLOOKUP($A168,[2]!掉落查询,[2]获取途径临时表!M$1,FALSE)</f>
        <v/>
      </c>
      <c r="P168" t="str">
        <f>VLOOKUP($A168,[2]!掉落查询,[2]获取途径临时表!N$1,FALSE)</f>
        <v/>
      </c>
      <c r="Q168" t="str">
        <f>VLOOKUP($A168,[2]!掉落查询,[2]获取途径临时表!O$1,FALSE)</f>
        <v/>
      </c>
      <c r="R168" t="str">
        <f>VLOOKUP($A168,[2]!掉落查询,[2]获取途径临时表!P$1,FALSE)</f>
        <v/>
      </c>
      <c r="S168" t="str">
        <f>VLOOKUP($A168,[2]!掉落查询,[2]获取途径临时表!Q$1,FALSE)</f>
        <v/>
      </c>
      <c r="T168" t="str">
        <f>VLOOKUP($A168,[2]!掉落查询,[2]获取途径临时表!R$1,FALSE)</f>
        <v/>
      </c>
    </row>
    <row r="169" spans="1:20" x14ac:dyDescent="0.15">
      <c r="A169">
        <v>92290</v>
      </c>
      <c r="B169" s="21" t="s">
        <v>977</v>
      </c>
      <c r="C169">
        <v>0</v>
      </c>
      <c r="D169">
        <f t="shared" si="5"/>
        <v>0</v>
      </c>
      <c r="E169" t="str">
        <f>VLOOKUP($A169,[2]!掉落查询,[2]获取途径临时表!C$1,FALSE)</f>
        <v/>
      </c>
      <c r="F169" t="str">
        <f>VLOOKUP($A169,[2]!掉落查询,[2]获取途径临时表!D$1,FALSE)</f>
        <v/>
      </c>
      <c r="G169" t="str">
        <f>VLOOKUP($A169,[2]!掉落查询,[2]获取途径临时表!E$1,FALSE)</f>
        <v/>
      </c>
      <c r="H169" t="str">
        <f>VLOOKUP($A169,[2]!掉落查询,[2]获取途径临时表!F$1,FALSE)</f>
        <v/>
      </c>
      <c r="I169" t="str">
        <f>VLOOKUP($A169,[2]!掉落查询,[2]获取途径临时表!G$1,FALSE)</f>
        <v/>
      </c>
      <c r="J169" t="str">
        <f>VLOOKUP($A169,[2]!掉落查询,[2]获取途径临时表!H$1,FALSE)</f>
        <v/>
      </c>
      <c r="K169" t="str">
        <f>VLOOKUP($A169,[2]!掉落查询,[2]获取途径临时表!I$1,FALSE)</f>
        <v/>
      </c>
      <c r="L169" t="str">
        <f>VLOOKUP($A169,[2]!掉落查询,[2]获取途径临时表!J$1,FALSE)</f>
        <v/>
      </c>
      <c r="M169" t="str">
        <f>VLOOKUP($A169,[2]!掉落查询,[2]获取途径临时表!K$1,FALSE)</f>
        <v/>
      </c>
      <c r="N169" t="str">
        <f>VLOOKUP($A169,[2]!掉落查询,[2]获取途径临时表!L$1,FALSE)</f>
        <v/>
      </c>
      <c r="O169" t="str">
        <f>VLOOKUP($A169,[2]!掉落查询,[2]获取途径临时表!M$1,FALSE)</f>
        <v/>
      </c>
      <c r="P169" t="str">
        <f>VLOOKUP($A169,[2]!掉落查询,[2]获取途径临时表!N$1,FALSE)</f>
        <v/>
      </c>
      <c r="Q169" t="str">
        <f>VLOOKUP($A169,[2]!掉落查询,[2]获取途径临时表!O$1,FALSE)</f>
        <v/>
      </c>
      <c r="R169" t="str">
        <f>VLOOKUP($A169,[2]!掉落查询,[2]获取途径临时表!P$1,FALSE)</f>
        <v/>
      </c>
      <c r="S169" t="str">
        <f>VLOOKUP($A169,[2]!掉落查询,[2]获取途径临时表!Q$1,FALSE)</f>
        <v/>
      </c>
      <c r="T169" t="str">
        <f>VLOOKUP($A169,[2]!掉落查询,[2]获取途径临时表!R$1,FALSE)</f>
        <v/>
      </c>
    </row>
    <row r="170" spans="1:20" x14ac:dyDescent="0.15">
      <c r="A170">
        <v>92026</v>
      </c>
      <c r="B170" s="21" t="s">
        <v>978</v>
      </c>
      <c r="C170">
        <v>0</v>
      </c>
      <c r="D170">
        <f t="shared" si="5"/>
        <v>0</v>
      </c>
      <c r="E170" t="str">
        <f>VLOOKUP($A170,[2]!掉落查询,[2]获取途径临时表!C$1,FALSE)</f>
        <v/>
      </c>
      <c r="F170" t="str">
        <f>VLOOKUP($A170,[2]!掉落查询,[2]获取途径临时表!D$1,FALSE)</f>
        <v/>
      </c>
      <c r="G170" t="str">
        <f>VLOOKUP($A170,[2]!掉落查询,[2]获取途径临时表!E$1,FALSE)</f>
        <v/>
      </c>
      <c r="H170" t="str">
        <f>VLOOKUP($A170,[2]!掉落查询,[2]获取途径临时表!F$1,FALSE)</f>
        <v/>
      </c>
      <c r="I170" t="str">
        <f>VLOOKUP($A170,[2]!掉落查询,[2]获取途径临时表!G$1,FALSE)</f>
        <v/>
      </c>
      <c r="J170" t="str">
        <f>VLOOKUP($A170,[2]!掉落查询,[2]获取途径临时表!H$1,FALSE)</f>
        <v/>
      </c>
      <c r="K170" t="str">
        <f>VLOOKUP($A170,[2]!掉落查询,[2]获取途径临时表!I$1,FALSE)</f>
        <v/>
      </c>
      <c r="L170" t="str">
        <f>VLOOKUP($A170,[2]!掉落查询,[2]获取途径临时表!J$1,FALSE)</f>
        <v/>
      </c>
      <c r="M170" t="str">
        <f>VLOOKUP($A170,[2]!掉落查询,[2]获取途径临时表!K$1,FALSE)</f>
        <v/>
      </c>
      <c r="N170" t="str">
        <f>VLOOKUP($A170,[2]!掉落查询,[2]获取途径临时表!L$1,FALSE)</f>
        <v/>
      </c>
      <c r="O170" t="str">
        <f>VLOOKUP($A170,[2]!掉落查询,[2]获取途径临时表!M$1,FALSE)</f>
        <v/>
      </c>
      <c r="P170" t="str">
        <f>VLOOKUP($A170,[2]!掉落查询,[2]获取途径临时表!N$1,FALSE)</f>
        <v/>
      </c>
      <c r="Q170" t="str">
        <f>VLOOKUP($A170,[2]!掉落查询,[2]获取途径临时表!O$1,FALSE)</f>
        <v/>
      </c>
      <c r="R170" t="str">
        <f>VLOOKUP($A170,[2]!掉落查询,[2]获取途径临时表!P$1,FALSE)</f>
        <v/>
      </c>
      <c r="S170" t="str">
        <f>VLOOKUP($A170,[2]!掉落查询,[2]获取途径临时表!Q$1,FALSE)</f>
        <v/>
      </c>
      <c r="T170" t="str">
        <f>VLOOKUP($A170,[2]!掉落查询,[2]获取途径临时表!R$1,FALSE)</f>
        <v/>
      </c>
    </row>
    <row r="171" spans="1:20" x14ac:dyDescent="0.15">
      <c r="A171">
        <v>92255</v>
      </c>
      <c r="B171" s="21" t="s">
        <v>979</v>
      </c>
      <c r="C171">
        <v>0</v>
      </c>
      <c r="D171">
        <f t="shared" si="5"/>
        <v>0</v>
      </c>
      <c r="E171" t="str">
        <f>VLOOKUP($A171,[2]!掉落查询,[2]获取途径临时表!C$1,FALSE)</f>
        <v/>
      </c>
      <c r="F171" t="str">
        <f>VLOOKUP($A171,[2]!掉落查询,[2]获取途径临时表!D$1,FALSE)</f>
        <v/>
      </c>
      <c r="G171" t="str">
        <f>VLOOKUP($A171,[2]!掉落查询,[2]获取途径临时表!E$1,FALSE)</f>
        <v/>
      </c>
      <c r="H171" t="str">
        <f>VLOOKUP($A171,[2]!掉落查询,[2]获取途径临时表!F$1,FALSE)</f>
        <v/>
      </c>
      <c r="I171" t="str">
        <f>VLOOKUP($A171,[2]!掉落查询,[2]获取途径临时表!G$1,FALSE)</f>
        <v/>
      </c>
      <c r="J171" t="str">
        <f>VLOOKUP($A171,[2]!掉落查询,[2]获取途径临时表!H$1,FALSE)</f>
        <v/>
      </c>
      <c r="K171" t="str">
        <f>VLOOKUP($A171,[2]!掉落查询,[2]获取途径临时表!I$1,FALSE)</f>
        <v/>
      </c>
      <c r="L171" t="str">
        <f>VLOOKUP($A171,[2]!掉落查询,[2]获取途径临时表!J$1,FALSE)</f>
        <v/>
      </c>
      <c r="M171" t="str">
        <f>VLOOKUP($A171,[2]!掉落查询,[2]获取途径临时表!K$1,FALSE)</f>
        <v/>
      </c>
      <c r="N171" t="str">
        <f>VLOOKUP($A171,[2]!掉落查询,[2]获取途径临时表!L$1,FALSE)</f>
        <v/>
      </c>
      <c r="O171" t="str">
        <f>VLOOKUP($A171,[2]!掉落查询,[2]获取途径临时表!M$1,FALSE)</f>
        <v/>
      </c>
      <c r="P171" t="str">
        <f>VLOOKUP($A171,[2]!掉落查询,[2]获取途径临时表!N$1,FALSE)</f>
        <v/>
      </c>
      <c r="Q171" t="str">
        <f>VLOOKUP($A171,[2]!掉落查询,[2]获取途径临时表!O$1,FALSE)</f>
        <v/>
      </c>
      <c r="R171" t="str">
        <f>VLOOKUP($A171,[2]!掉落查询,[2]获取途径临时表!P$1,FALSE)</f>
        <v/>
      </c>
      <c r="S171" t="str">
        <f>VLOOKUP($A171,[2]!掉落查询,[2]获取途径临时表!Q$1,FALSE)</f>
        <v/>
      </c>
      <c r="T171" t="str">
        <f>VLOOKUP($A171,[2]!掉落查询,[2]获取途径临时表!R$1,FALSE)</f>
        <v/>
      </c>
    </row>
    <row r="172" spans="1:20" x14ac:dyDescent="0.15">
      <c r="A172">
        <v>92297</v>
      </c>
      <c r="B172" s="21" t="s">
        <v>980</v>
      </c>
      <c r="C172">
        <v>0</v>
      </c>
      <c r="D172">
        <f t="shared" si="5"/>
        <v>0</v>
      </c>
      <c r="E172" t="str">
        <f>VLOOKUP($A172,[2]!掉落查询,[2]获取途径临时表!C$1,FALSE)</f>
        <v/>
      </c>
      <c r="F172" t="str">
        <f>VLOOKUP($A172,[2]!掉落查询,[2]获取途径临时表!D$1,FALSE)</f>
        <v/>
      </c>
      <c r="G172" t="str">
        <f>VLOOKUP($A172,[2]!掉落查询,[2]获取途径临时表!E$1,FALSE)</f>
        <v/>
      </c>
      <c r="H172" t="str">
        <f>VLOOKUP($A172,[2]!掉落查询,[2]获取途径临时表!F$1,FALSE)</f>
        <v/>
      </c>
      <c r="I172" t="str">
        <f>VLOOKUP($A172,[2]!掉落查询,[2]获取途径临时表!G$1,FALSE)</f>
        <v/>
      </c>
      <c r="J172" t="str">
        <f>VLOOKUP($A172,[2]!掉落查询,[2]获取途径临时表!H$1,FALSE)</f>
        <v/>
      </c>
      <c r="K172" t="str">
        <f>VLOOKUP($A172,[2]!掉落查询,[2]获取途径临时表!I$1,FALSE)</f>
        <v/>
      </c>
      <c r="L172" t="str">
        <f>VLOOKUP($A172,[2]!掉落查询,[2]获取途径临时表!J$1,FALSE)</f>
        <v/>
      </c>
      <c r="M172" t="str">
        <f>VLOOKUP($A172,[2]!掉落查询,[2]获取途径临时表!K$1,FALSE)</f>
        <v/>
      </c>
      <c r="N172" t="str">
        <f>VLOOKUP($A172,[2]!掉落查询,[2]获取途径临时表!L$1,FALSE)</f>
        <v/>
      </c>
      <c r="O172" t="str">
        <f>VLOOKUP($A172,[2]!掉落查询,[2]获取途径临时表!M$1,FALSE)</f>
        <v/>
      </c>
      <c r="P172" t="str">
        <f>VLOOKUP($A172,[2]!掉落查询,[2]获取途径临时表!N$1,FALSE)</f>
        <v/>
      </c>
      <c r="Q172" t="str">
        <f>VLOOKUP($A172,[2]!掉落查询,[2]获取途径临时表!O$1,FALSE)</f>
        <v/>
      </c>
      <c r="R172" t="str">
        <f>VLOOKUP($A172,[2]!掉落查询,[2]获取途径临时表!P$1,FALSE)</f>
        <v/>
      </c>
      <c r="S172" t="str">
        <f>VLOOKUP($A172,[2]!掉落查询,[2]获取途径临时表!Q$1,FALSE)</f>
        <v/>
      </c>
      <c r="T172" t="str">
        <f>VLOOKUP($A172,[2]!掉落查询,[2]获取途径临时表!R$1,FALSE)</f>
        <v/>
      </c>
    </row>
    <row r="173" spans="1:20" x14ac:dyDescent="0.15">
      <c r="A173">
        <v>92293</v>
      </c>
      <c r="B173" s="21" t="s">
        <v>981</v>
      </c>
      <c r="C173">
        <v>0</v>
      </c>
      <c r="D173">
        <f t="shared" si="5"/>
        <v>0</v>
      </c>
      <c r="E173" t="str">
        <f>VLOOKUP($A173,[2]!掉落查询,[2]获取途径临时表!C$1,FALSE)</f>
        <v/>
      </c>
      <c r="F173" t="str">
        <f>VLOOKUP($A173,[2]!掉落查询,[2]获取途径临时表!D$1,FALSE)</f>
        <v/>
      </c>
      <c r="G173" t="str">
        <f>VLOOKUP($A173,[2]!掉落查询,[2]获取途径临时表!E$1,FALSE)</f>
        <v/>
      </c>
      <c r="H173" t="str">
        <f>VLOOKUP($A173,[2]!掉落查询,[2]获取途径临时表!F$1,FALSE)</f>
        <v/>
      </c>
      <c r="I173" t="str">
        <f>VLOOKUP($A173,[2]!掉落查询,[2]获取途径临时表!G$1,FALSE)</f>
        <v/>
      </c>
      <c r="J173" t="str">
        <f>VLOOKUP($A173,[2]!掉落查询,[2]获取途径临时表!H$1,FALSE)</f>
        <v/>
      </c>
      <c r="K173" t="str">
        <f>VLOOKUP($A173,[2]!掉落查询,[2]获取途径临时表!I$1,FALSE)</f>
        <v/>
      </c>
      <c r="L173" t="str">
        <f>VLOOKUP($A173,[2]!掉落查询,[2]获取途径临时表!J$1,FALSE)</f>
        <v/>
      </c>
      <c r="M173" t="str">
        <f>VLOOKUP($A173,[2]!掉落查询,[2]获取途径临时表!K$1,FALSE)</f>
        <v/>
      </c>
      <c r="N173" t="str">
        <f>VLOOKUP($A173,[2]!掉落查询,[2]获取途径临时表!L$1,FALSE)</f>
        <v/>
      </c>
      <c r="O173" t="str">
        <f>VLOOKUP($A173,[2]!掉落查询,[2]获取途径临时表!M$1,FALSE)</f>
        <v/>
      </c>
      <c r="P173" t="str">
        <f>VLOOKUP($A173,[2]!掉落查询,[2]获取途径临时表!N$1,FALSE)</f>
        <v/>
      </c>
      <c r="Q173" t="str">
        <f>VLOOKUP($A173,[2]!掉落查询,[2]获取途径临时表!O$1,FALSE)</f>
        <v/>
      </c>
      <c r="R173" t="str">
        <f>VLOOKUP($A173,[2]!掉落查询,[2]获取途径临时表!P$1,FALSE)</f>
        <v/>
      </c>
      <c r="S173" t="str">
        <f>VLOOKUP($A173,[2]!掉落查询,[2]获取途径临时表!Q$1,FALSE)</f>
        <v/>
      </c>
      <c r="T173" t="str">
        <f>VLOOKUP($A173,[2]!掉落查询,[2]获取途径临时表!R$1,FALSE)</f>
        <v/>
      </c>
    </row>
    <row r="174" spans="1:20" x14ac:dyDescent="0.15">
      <c r="A174">
        <v>92294</v>
      </c>
      <c r="B174" s="21" t="s">
        <v>982</v>
      </c>
      <c r="C174">
        <v>0</v>
      </c>
      <c r="D174">
        <f t="shared" si="5"/>
        <v>0</v>
      </c>
      <c r="E174" t="str">
        <f>VLOOKUP($A174,[2]!掉落查询,[2]获取途径临时表!C$1,FALSE)</f>
        <v/>
      </c>
      <c r="F174" t="str">
        <f>VLOOKUP($A174,[2]!掉落查询,[2]获取途径临时表!D$1,FALSE)</f>
        <v/>
      </c>
      <c r="G174" t="str">
        <f>VLOOKUP($A174,[2]!掉落查询,[2]获取途径临时表!E$1,FALSE)</f>
        <v/>
      </c>
      <c r="H174" t="str">
        <f>VLOOKUP($A174,[2]!掉落查询,[2]获取途径临时表!F$1,FALSE)</f>
        <v/>
      </c>
      <c r="I174" t="str">
        <f>VLOOKUP($A174,[2]!掉落查询,[2]获取途径临时表!G$1,FALSE)</f>
        <v/>
      </c>
      <c r="J174" t="str">
        <f>VLOOKUP($A174,[2]!掉落查询,[2]获取途径临时表!H$1,FALSE)</f>
        <v/>
      </c>
      <c r="K174" t="str">
        <f>VLOOKUP($A174,[2]!掉落查询,[2]获取途径临时表!I$1,FALSE)</f>
        <v/>
      </c>
      <c r="L174" t="str">
        <f>VLOOKUP($A174,[2]!掉落查询,[2]获取途径临时表!J$1,FALSE)</f>
        <v/>
      </c>
      <c r="M174" t="str">
        <f>VLOOKUP($A174,[2]!掉落查询,[2]获取途径临时表!K$1,FALSE)</f>
        <v/>
      </c>
      <c r="N174" t="str">
        <f>VLOOKUP($A174,[2]!掉落查询,[2]获取途径临时表!L$1,FALSE)</f>
        <v/>
      </c>
      <c r="O174" t="str">
        <f>VLOOKUP($A174,[2]!掉落查询,[2]获取途径临时表!M$1,FALSE)</f>
        <v/>
      </c>
      <c r="P174" t="str">
        <f>VLOOKUP($A174,[2]!掉落查询,[2]获取途径临时表!N$1,FALSE)</f>
        <v/>
      </c>
      <c r="Q174" t="str">
        <f>VLOOKUP($A174,[2]!掉落查询,[2]获取途径临时表!O$1,FALSE)</f>
        <v/>
      </c>
      <c r="R174" t="str">
        <f>VLOOKUP($A174,[2]!掉落查询,[2]获取途径临时表!P$1,FALSE)</f>
        <v/>
      </c>
      <c r="S174" t="str">
        <f>VLOOKUP($A174,[2]!掉落查询,[2]获取途径临时表!Q$1,FALSE)</f>
        <v/>
      </c>
      <c r="T174" t="str">
        <f>VLOOKUP($A174,[2]!掉落查询,[2]获取途径临时表!R$1,FALSE)</f>
        <v/>
      </c>
    </row>
    <row r="175" spans="1:20" x14ac:dyDescent="0.15">
      <c r="A175">
        <v>92295</v>
      </c>
      <c r="B175" s="21" t="s">
        <v>983</v>
      </c>
      <c r="C175">
        <v>0</v>
      </c>
      <c r="D175">
        <f t="shared" si="5"/>
        <v>0</v>
      </c>
      <c r="E175" t="str">
        <f>VLOOKUP($A175,[2]!掉落查询,[2]获取途径临时表!C$1,FALSE)</f>
        <v/>
      </c>
      <c r="F175" t="str">
        <f>VLOOKUP($A175,[2]!掉落查询,[2]获取途径临时表!D$1,FALSE)</f>
        <v/>
      </c>
      <c r="G175" t="str">
        <f>VLOOKUP($A175,[2]!掉落查询,[2]获取途径临时表!E$1,FALSE)</f>
        <v/>
      </c>
      <c r="H175" t="str">
        <f>VLOOKUP($A175,[2]!掉落查询,[2]获取途径临时表!F$1,FALSE)</f>
        <v/>
      </c>
      <c r="I175" t="str">
        <f>VLOOKUP($A175,[2]!掉落查询,[2]获取途径临时表!G$1,FALSE)</f>
        <v/>
      </c>
      <c r="J175" t="str">
        <f>VLOOKUP($A175,[2]!掉落查询,[2]获取途径临时表!H$1,FALSE)</f>
        <v/>
      </c>
      <c r="K175" t="str">
        <f>VLOOKUP($A175,[2]!掉落查询,[2]获取途径临时表!I$1,FALSE)</f>
        <v/>
      </c>
      <c r="L175" t="str">
        <f>VLOOKUP($A175,[2]!掉落查询,[2]获取途径临时表!J$1,FALSE)</f>
        <v/>
      </c>
      <c r="M175" t="str">
        <f>VLOOKUP($A175,[2]!掉落查询,[2]获取途径临时表!K$1,FALSE)</f>
        <v/>
      </c>
      <c r="N175" t="str">
        <f>VLOOKUP($A175,[2]!掉落查询,[2]获取途径临时表!L$1,FALSE)</f>
        <v/>
      </c>
      <c r="O175" t="str">
        <f>VLOOKUP($A175,[2]!掉落查询,[2]获取途径临时表!M$1,FALSE)</f>
        <v/>
      </c>
      <c r="P175" t="str">
        <f>VLOOKUP($A175,[2]!掉落查询,[2]获取途径临时表!N$1,FALSE)</f>
        <v/>
      </c>
      <c r="Q175" t="str">
        <f>VLOOKUP($A175,[2]!掉落查询,[2]获取途径临时表!O$1,FALSE)</f>
        <v/>
      </c>
      <c r="R175" t="str">
        <f>VLOOKUP($A175,[2]!掉落查询,[2]获取途径临时表!P$1,FALSE)</f>
        <v/>
      </c>
      <c r="S175" t="str">
        <f>VLOOKUP($A175,[2]!掉落查询,[2]获取途径临时表!Q$1,FALSE)</f>
        <v/>
      </c>
      <c r="T175" t="str">
        <f>VLOOKUP($A175,[2]!掉落查询,[2]获取途径临时表!R$1,FALSE)</f>
        <v/>
      </c>
    </row>
    <row r="176" spans="1:20" x14ac:dyDescent="0.15">
      <c r="A176">
        <v>92262</v>
      </c>
      <c r="B176" s="21" t="s">
        <v>984</v>
      </c>
      <c r="C176">
        <v>0</v>
      </c>
      <c r="D176">
        <f t="shared" si="5"/>
        <v>0</v>
      </c>
      <c r="E176" t="str">
        <f>VLOOKUP($A176,[2]!掉落查询,[2]获取途径临时表!C$1,FALSE)</f>
        <v/>
      </c>
      <c r="F176" t="str">
        <f>VLOOKUP($A176,[2]!掉落查询,[2]获取途径临时表!D$1,FALSE)</f>
        <v/>
      </c>
      <c r="G176" t="str">
        <f>VLOOKUP($A176,[2]!掉落查询,[2]获取途径临时表!E$1,FALSE)</f>
        <v/>
      </c>
      <c r="H176" t="str">
        <f>VLOOKUP($A176,[2]!掉落查询,[2]获取途径临时表!F$1,FALSE)</f>
        <v/>
      </c>
      <c r="I176" t="str">
        <f>VLOOKUP($A176,[2]!掉落查询,[2]获取途径临时表!G$1,FALSE)</f>
        <v/>
      </c>
      <c r="J176" t="str">
        <f>VLOOKUP($A176,[2]!掉落查询,[2]获取途径临时表!H$1,FALSE)</f>
        <v/>
      </c>
      <c r="K176" t="str">
        <f>VLOOKUP($A176,[2]!掉落查询,[2]获取途径临时表!I$1,FALSE)</f>
        <v/>
      </c>
      <c r="L176" t="str">
        <f>VLOOKUP($A176,[2]!掉落查询,[2]获取途径临时表!J$1,FALSE)</f>
        <v/>
      </c>
      <c r="M176" t="str">
        <f>VLOOKUP($A176,[2]!掉落查询,[2]获取途径临时表!K$1,FALSE)</f>
        <v/>
      </c>
      <c r="N176" t="str">
        <f>VLOOKUP($A176,[2]!掉落查询,[2]获取途径临时表!L$1,FALSE)</f>
        <v/>
      </c>
      <c r="O176" t="str">
        <f>VLOOKUP($A176,[2]!掉落查询,[2]获取途径临时表!M$1,FALSE)</f>
        <v/>
      </c>
      <c r="P176" t="str">
        <f>VLOOKUP($A176,[2]!掉落查询,[2]获取途径临时表!N$1,FALSE)</f>
        <v/>
      </c>
      <c r="Q176" t="str">
        <f>VLOOKUP($A176,[2]!掉落查询,[2]获取途径临时表!O$1,FALSE)</f>
        <v/>
      </c>
      <c r="R176" t="str">
        <f>VLOOKUP($A176,[2]!掉落查询,[2]获取途径临时表!P$1,FALSE)</f>
        <v/>
      </c>
      <c r="S176" t="str">
        <f>VLOOKUP($A176,[2]!掉落查询,[2]获取途径临时表!Q$1,FALSE)</f>
        <v/>
      </c>
      <c r="T176" t="str">
        <f>VLOOKUP($A176,[2]!掉落查询,[2]获取途径临时表!R$1,FALSE)</f>
        <v/>
      </c>
    </row>
    <row r="177" spans="1:20" x14ac:dyDescent="0.15">
      <c r="A177">
        <v>92298</v>
      </c>
      <c r="B177" s="21" t="s">
        <v>985</v>
      </c>
      <c r="C177">
        <v>0</v>
      </c>
      <c r="D177">
        <f t="shared" si="5"/>
        <v>0</v>
      </c>
      <c r="E177" t="str">
        <f>VLOOKUP($A177,[2]!掉落查询,[2]获取途径临时表!C$1,FALSE)</f>
        <v/>
      </c>
      <c r="F177" t="str">
        <f>VLOOKUP($A177,[2]!掉落查询,[2]获取途径临时表!D$1,FALSE)</f>
        <v/>
      </c>
      <c r="G177" t="str">
        <f>VLOOKUP($A177,[2]!掉落查询,[2]获取途径临时表!E$1,FALSE)</f>
        <v/>
      </c>
      <c r="H177" t="str">
        <f>VLOOKUP($A177,[2]!掉落查询,[2]获取途径临时表!F$1,FALSE)</f>
        <v/>
      </c>
      <c r="I177" t="str">
        <f>VLOOKUP($A177,[2]!掉落查询,[2]获取途径临时表!G$1,FALSE)</f>
        <v/>
      </c>
      <c r="J177" t="str">
        <f>VLOOKUP($A177,[2]!掉落查询,[2]获取途径临时表!H$1,FALSE)</f>
        <v/>
      </c>
      <c r="K177" t="str">
        <f>VLOOKUP($A177,[2]!掉落查询,[2]获取途径临时表!I$1,FALSE)</f>
        <v/>
      </c>
      <c r="L177" t="str">
        <f>VLOOKUP($A177,[2]!掉落查询,[2]获取途径临时表!J$1,FALSE)</f>
        <v/>
      </c>
      <c r="M177" t="str">
        <f>VLOOKUP($A177,[2]!掉落查询,[2]获取途径临时表!K$1,FALSE)</f>
        <v/>
      </c>
      <c r="N177" t="str">
        <f>VLOOKUP($A177,[2]!掉落查询,[2]获取途径临时表!L$1,FALSE)</f>
        <v/>
      </c>
      <c r="O177" t="str">
        <f>VLOOKUP($A177,[2]!掉落查询,[2]获取途径临时表!M$1,FALSE)</f>
        <v/>
      </c>
      <c r="P177" t="str">
        <f>VLOOKUP($A177,[2]!掉落查询,[2]获取途径临时表!N$1,FALSE)</f>
        <v/>
      </c>
      <c r="Q177" t="str">
        <f>VLOOKUP($A177,[2]!掉落查询,[2]获取途径临时表!O$1,FALSE)</f>
        <v/>
      </c>
      <c r="R177" t="str">
        <f>VLOOKUP($A177,[2]!掉落查询,[2]获取途径临时表!P$1,FALSE)</f>
        <v/>
      </c>
      <c r="S177" t="str">
        <f>VLOOKUP($A177,[2]!掉落查询,[2]获取途径临时表!Q$1,FALSE)</f>
        <v/>
      </c>
      <c r="T177" t="str">
        <f>VLOOKUP($A177,[2]!掉落查询,[2]获取途径临时表!R$1,FALSE)</f>
        <v/>
      </c>
    </row>
    <row r="178" spans="1:20" x14ac:dyDescent="0.15">
      <c r="A178">
        <v>92276</v>
      </c>
      <c r="B178" s="21" t="s">
        <v>986</v>
      </c>
      <c r="C178">
        <v>0</v>
      </c>
      <c r="D178">
        <f t="shared" si="5"/>
        <v>0</v>
      </c>
      <c r="E178" t="str">
        <f>VLOOKUP($A178,[2]!掉落查询,[2]获取途径临时表!C$1,FALSE)</f>
        <v/>
      </c>
      <c r="F178" t="str">
        <f>VLOOKUP($A178,[2]!掉落查询,[2]获取途径临时表!D$1,FALSE)</f>
        <v/>
      </c>
      <c r="G178" t="str">
        <f>VLOOKUP($A178,[2]!掉落查询,[2]获取途径临时表!E$1,FALSE)</f>
        <v/>
      </c>
      <c r="H178" t="str">
        <f>VLOOKUP($A178,[2]!掉落查询,[2]获取途径临时表!F$1,FALSE)</f>
        <v/>
      </c>
      <c r="I178" t="str">
        <f>VLOOKUP($A178,[2]!掉落查询,[2]获取途径临时表!G$1,FALSE)</f>
        <v/>
      </c>
      <c r="J178" t="str">
        <f>VLOOKUP($A178,[2]!掉落查询,[2]获取途径临时表!H$1,FALSE)</f>
        <v/>
      </c>
      <c r="K178" t="str">
        <f>VLOOKUP($A178,[2]!掉落查询,[2]获取途径临时表!I$1,FALSE)</f>
        <v/>
      </c>
      <c r="L178" t="str">
        <f>VLOOKUP($A178,[2]!掉落查询,[2]获取途径临时表!J$1,FALSE)</f>
        <v/>
      </c>
      <c r="M178" t="str">
        <f>VLOOKUP($A178,[2]!掉落查询,[2]获取途径临时表!K$1,FALSE)</f>
        <v/>
      </c>
      <c r="N178" t="str">
        <f>VLOOKUP($A178,[2]!掉落查询,[2]获取途径临时表!L$1,FALSE)</f>
        <v/>
      </c>
      <c r="O178" t="str">
        <f>VLOOKUP($A178,[2]!掉落查询,[2]获取途径临时表!M$1,FALSE)</f>
        <v/>
      </c>
      <c r="P178" t="str">
        <f>VLOOKUP($A178,[2]!掉落查询,[2]获取途径临时表!N$1,FALSE)</f>
        <v/>
      </c>
      <c r="Q178" t="str">
        <f>VLOOKUP($A178,[2]!掉落查询,[2]获取途径临时表!O$1,FALSE)</f>
        <v/>
      </c>
      <c r="R178" t="str">
        <f>VLOOKUP($A178,[2]!掉落查询,[2]获取途径临时表!P$1,FALSE)</f>
        <v/>
      </c>
      <c r="S178" t="str">
        <f>VLOOKUP($A178,[2]!掉落查询,[2]获取途径临时表!Q$1,FALSE)</f>
        <v/>
      </c>
      <c r="T178" t="str">
        <f>VLOOKUP($A178,[2]!掉落查询,[2]获取途径临时表!R$1,FALSE)</f>
        <v/>
      </c>
    </row>
    <row r="179" spans="1:20" x14ac:dyDescent="0.15">
      <c r="A179">
        <v>92282</v>
      </c>
      <c r="B179" s="21" t="s">
        <v>987</v>
      </c>
      <c r="C179">
        <v>0</v>
      </c>
      <c r="D179">
        <f t="shared" si="5"/>
        <v>0</v>
      </c>
      <c r="E179" t="str">
        <f>VLOOKUP($A179,[2]!掉落查询,[2]获取途径临时表!C$1,FALSE)</f>
        <v/>
      </c>
      <c r="F179" t="str">
        <f>VLOOKUP($A179,[2]!掉落查询,[2]获取途径临时表!D$1,FALSE)</f>
        <v/>
      </c>
      <c r="G179" t="str">
        <f>VLOOKUP($A179,[2]!掉落查询,[2]获取途径临时表!E$1,FALSE)</f>
        <v/>
      </c>
      <c r="H179" t="str">
        <f>VLOOKUP($A179,[2]!掉落查询,[2]获取途径临时表!F$1,FALSE)</f>
        <v/>
      </c>
      <c r="I179" t="str">
        <f>VLOOKUP($A179,[2]!掉落查询,[2]获取途径临时表!G$1,FALSE)</f>
        <v/>
      </c>
      <c r="J179" t="str">
        <f>VLOOKUP($A179,[2]!掉落查询,[2]获取途径临时表!H$1,FALSE)</f>
        <v/>
      </c>
      <c r="K179" t="str">
        <f>VLOOKUP($A179,[2]!掉落查询,[2]获取途径临时表!I$1,FALSE)</f>
        <v/>
      </c>
      <c r="L179" t="str">
        <f>VLOOKUP($A179,[2]!掉落查询,[2]获取途径临时表!J$1,FALSE)</f>
        <v/>
      </c>
      <c r="M179" t="str">
        <f>VLOOKUP($A179,[2]!掉落查询,[2]获取途径临时表!K$1,FALSE)</f>
        <v/>
      </c>
      <c r="N179" t="str">
        <f>VLOOKUP($A179,[2]!掉落查询,[2]获取途径临时表!L$1,FALSE)</f>
        <v/>
      </c>
      <c r="O179" t="str">
        <f>VLOOKUP($A179,[2]!掉落查询,[2]获取途径临时表!M$1,FALSE)</f>
        <v/>
      </c>
      <c r="P179" t="str">
        <f>VLOOKUP($A179,[2]!掉落查询,[2]获取途径临时表!N$1,FALSE)</f>
        <v/>
      </c>
      <c r="Q179" t="str">
        <f>VLOOKUP($A179,[2]!掉落查询,[2]获取途径临时表!O$1,FALSE)</f>
        <v/>
      </c>
      <c r="R179" t="str">
        <f>VLOOKUP($A179,[2]!掉落查询,[2]获取途径临时表!P$1,FALSE)</f>
        <v/>
      </c>
      <c r="S179" t="str">
        <f>VLOOKUP($A179,[2]!掉落查询,[2]获取途径临时表!Q$1,FALSE)</f>
        <v/>
      </c>
      <c r="T179" t="str">
        <f>VLOOKUP($A179,[2]!掉落查询,[2]获取途径临时表!R$1,FALSE)</f>
        <v/>
      </c>
    </row>
    <row r="180" spans="1:20" x14ac:dyDescent="0.15">
      <c r="A180">
        <v>92299</v>
      </c>
      <c r="B180" s="21" t="s">
        <v>988</v>
      </c>
      <c r="C180">
        <v>0</v>
      </c>
      <c r="D180">
        <f t="shared" si="5"/>
        <v>0</v>
      </c>
      <c r="E180" t="str">
        <f>VLOOKUP($A180,[2]!掉落查询,[2]获取途径临时表!C$1,FALSE)</f>
        <v/>
      </c>
      <c r="F180" t="str">
        <f>VLOOKUP($A180,[2]!掉落查询,[2]获取途径临时表!D$1,FALSE)</f>
        <v/>
      </c>
      <c r="G180" t="str">
        <f>VLOOKUP($A180,[2]!掉落查询,[2]获取途径临时表!E$1,FALSE)</f>
        <v/>
      </c>
      <c r="H180" t="str">
        <f>VLOOKUP($A180,[2]!掉落查询,[2]获取途径临时表!F$1,FALSE)</f>
        <v/>
      </c>
      <c r="I180" t="str">
        <f>VLOOKUP($A180,[2]!掉落查询,[2]获取途径临时表!G$1,FALSE)</f>
        <v/>
      </c>
      <c r="J180" t="str">
        <f>VLOOKUP($A180,[2]!掉落查询,[2]获取途径临时表!H$1,FALSE)</f>
        <v/>
      </c>
      <c r="K180" t="str">
        <f>VLOOKUP($A180,[2]!掉落查询,[2]获取途径临时表!I$1,FALSE)</f>
        <v/>
      </c>
      <c r="L180" t="str">
        <f>VLOOKUP($A180,[2]!掉落查询,[2]获取途径临时表!J$1,FALSE)</f>
        <v/>
      </c>
      <c r="M180" t="str">
        <f>VLOOKUP($A180,[2]!掉落查询,[2]获取途径临时表!K$1,FALSE)</f>
        <v/>
      </c>
      <c r="N180" t="str">
        <f>VLOOKUP($A180,[2]!掉落查询,[2]获取途径临时表!L$1,FALSE)</f>
        <v/>
      </c>
      <c r="O180" t="str">
        <f>VLOOKUP($A180,[2]!掉落查询,[2]获取途径临时表!M$1,FALSE)</f>
        <v/>
      </c>
      <c r="P180" t="str">
        <f>VLOOKUP($A180,[2]!掉落查询,[2]获取途径临时表!N$1,FALSE)</f>
        <v/>
      </c>
      <c r="Q180" t="str">
        <f>VLOOKUP($A180,[2]!掉落查询,[2]获取途径临时表!O$1,FALSE)</f>
        <v/>
      </c>
      <c r="R180" t="str">
        <f>VLOOKUP($A180,[2]!掉落查询,[2]获取途径临时表!P$1,FALSE)</f>
        <v/>
      </c>
      <c r="S180" t="str">
        <f>VLOOKUP($A180,[2]!掉落查询,[2]获取途径临时表!Q$1,FALSE)</f>
        <v/>
      </c>
      <c r="T180" t="str">
        <f>VLOOKUP($A180,[2]!掉落查询,[2]获取途径临时表!R$1,FALSE)</f>
        <v/>
      </c>
    </row>
    <row r="181" spans="1:20" x14ac:dyDescent="0.15">
      <c r="A181">
        <v>92291</v>
      </c>
      <c r="B181" s="21" t="s">
        <v>989</v>
      </c>
      <c r="C181">
        <v>0</v>
      </c>
      <c r="D181">
        <f t="shared" si="5"/>
        <v>0</v>
      </c>
      <c r="E181" t="str">
        <f>VLOOKUP($A181,[2]!掉落查询,[2]获取途径临时表!C$1,FALSE)</f>
        <v/>
      </c>
      <c r="F181" t="str">
        <f>VLOOKUP($A181,[2]!掉落查询,[2]获取途径临时表!D$1,FALSE)</f>
        <v/>
      </c>
      <c r="G181" t="str">
        <f>VLOOKUP($A181,[2]!掉落查询,[2]获取途径临时表!E$1,FALSE)</f>
        <v/>
      </c>
      <c r="H181" t="str">
        <f>VLOOKUP($A181,[2]!掉落查询,[2]获取途径临时表!F$1,FALSE)</f>
        <v/>
      </c>
      <c r="I181" t="str">
        <f>VLOOKUP($A181,[2]!掉落查询,[2]获取途径临时表!G$1,FALSE)</f>
        <v/>
      </c>
      <c r="J181" t="str">
        <f>VLOOKUP($A181,[2]!掉落查询,[2]获取途径临时表!H$1,FALSE)</f>
        <v/>
      </c>
      <c r="K181" t="str">
        <f>VLOOKUP($A181,[2]!掉落查询,[2]获取途径临时表!I$1,FALSE)</f>
        <v/>
      </c>
      <c r="L181" t="str">
        <f>VLOOKUP($A181,[2]!掉落查询,[2]获取途径临时表!J$1,FALSE)</f>
        <v/>
      </c>
      <c r="M181" t="str">
        <f>VLOOKUP($A181,[2]!掉落查询,[2]获取途径临时表!K$1,FALSE)</f>
        <v/>
      </c>
      <c r="N181" t="str">
        <f>VLOOKUP($A181,[2]!掉落查询,[2]获取途径临时表!L$1,FALSE)</f>
        <v/>
      </c>
      <c r="O181" t="str">
        <f>VLOOKUP($A181,[2]!掉落查询,[2]获取途径临时表!M$1,FALSE)</f>
        <v/>
      </c>
      <c r="P181" t="str">
        <f>VLOOKUP($A181,[2]!掉落查询,[2]获取途径临时表!N$1,FALSE)</f>
        <v/>
      </c>
      <c r="Q181" t="str">
        <f>VLOOKUP($A181,[2]!掉落查询,[2]获取途径临时表!O$1,FALSE)</f>
        <v/>
      </c>
      <c r="R181" t="str">
        <f>VLOOKUP($A181,[2]!掉落查询,[2]获取途径临时表!P$1,FALSE)</f>
        <v/>
      </c>
      <c r="S181" t="str">
        <f>VLOOKUP($A181,[2]!掉落查询,[2]获取途径临时表!Q$1,FALSE)</f>
        <v/>
      </c>
      <c r="T181" t="str">
        <f>VLOOKUP($A181,[2]!掉落查询,[2]获取途径临时表!R$1,FALSE)</f>
        <v/>
      </c>
    </row>
    <row r="182" spans="1:20" x14ac:dyDescent="0.15">
      <c r="A182">
        <v>93233</v>
      </c>
      <c r="B182" s="18" t="s">
        <v>990</v>
      </c>
      <c r="C182">
        <v>0</v>
      </c>
      <c r="D182">
        <f t="shared" si="5"/>
        <v>6</v>
      </c>
      <c r="E182">
        <f>VLOOKUP($A182,[2]!掉落查询,[2]获取途径临时表!C$1,FALSE)</f>
        <v>2201</v>
      </c>
      <c r="F182">
        <f>VLOOKUP($A182,[2]!掉落查询,[2]获取途径临时表!D$1,FALSE)</f>
        <v>2205</v>
      </c>
      <c r="G182">
        <f>VLOOKUP($A182,[2]!掉落查询,[2]获取途径临时表!E$1,FALSE)</f>
        <v>3201</v>
      </c>
      <c r="H182">
        <f>VLOOKUP($A182,[2]!掉落查询,[2]获取途径临时表!F$1,FALSE)</f>
        <v>3203</v>
      </c>
      <c r="I182">
        <f>VLOOKUP($A182,[2]!掉落查询,[2]获取途径临时表!G$1,FALSE)</f>
        <v>3207</v>
      </c>
      <c r="J182">
        <f>VLOOKUP($A182,[2]!掉落查询,[2]获取途径临时表!H$1,FALSE)</f>
        <v>4202</v>
      </c>
      <c r="K182" t="str">
        <f>VLOOKUP($A182,[2]!掉落查询,[2]获取途径临时表!I$1,FALSE)</f>
        <v/>
      </c>
      <c r="L182" t="str">
        <f>VLOOKUP($A182,[2]!掉落查询,[2]获取途径临时表!J$1,FALSE)</f>
        <v/>
      </c>
      <c r="M182" t="str">
        <f>VLOOKUP($A182,[2]!掉落查询,[2]获取途径临时表!K$1,FALSE)</f>
        <v/>
      </c>
      <c r="N182" t="str">
        <f>VLOOKUP($A182,[2]!掉落查询,[2]获取途径临时表!L$1,FALSE)</f>
        <v/>
      </c>
      <c r="O182" t="str">
        <f>VLOOKUP($A182,[2]!掉落查询,[2]获取途径临时表!M$1,FALSE)</f>
        <v/>
      </c>
      <c r="P182" t="str">
        <f>VLOOKUP($A182,[2]!掉落查询,[2]获取途径临时表!N$1,FALSE)</f>
        <v/>
      </c>
      <c r="Q182" t="str">
        <f>VLOOKUP($A182,[2]!掉落查询,[2]获取途径临时表!O$1,FALSE)</f>
        <v/>
      </c>
      <c r="R182" t="str">
        <f>VLOOKUP($A182,[2]!掉落查询,[2]获取途径临时表!P$1,FALSE)</f>
        <v/>
      </c>
      <c r="S182" t="str">
        <f>VLOOKUP($A182,[2]!掉落查询,[2]获取途径临时表!Q$1,FALSE)</f>
        <v/>
      </c>
      <c r="T182" t="str">
        <f>VLOOKUP($A182,[2]!掉落查询,[2]获取途径临时表!R$1,FALSE)</f>
        <v/>
      </c>
    </row>
    <row r="183" spans="1:20" x14ac:dyDescent="0.15">
      <c r="A183">
        <v>93122</v>
      </c>
      <c r="B183" s="18" t="s">
        <v>991</v>
      </c>
      <c r="C183">
        <v>0</v>
      </c>
      <c r="D183">
        <f t="shared" si="5"/>
        <v>6</v>
      </c>
      <c r="E183">
        <f>VLOOKUP($A183,[2]!掉落查询,[2]获取途径临时表!C$1,FALSE)</f>
        <v>2202</v>
      </c>
      <c r="F183">
        <f>VLOOKUP($A183,[2]!掉落查询,[2]获取途径临时表!D$1,FALSE)</f>
        <v>2206</v>
      </c>
      <c r="G183">
        <f>VLOOKUP($A183,[2]!掉落查询,[2]获取途径临时表!E$1,FALSE)</f>
        <v>3202</v>
      </c>
      <c r="H183">
        <f>VLOOKUP($A183,[2]!掉落查询,[2]获取途径临时表!F$1,FALSE)</f>
        <v>3204</v>
      </c>
      <c r="I183">
        <f>VLOOKUP($A183,[2]!掉落查询,[2]获取途径临时表!G$1,FALSE)</f>
        <v>3208</v>
      </c>
      <c r="J183">
        <f>VLOOKUP($A183,[2]!掉落查询,[2]获取途径临时表!H$1,FALSE)</f>
        <v>4203</v>
      </c>
      <c r="K183" t="str">
        <f>VLOOKUP($A183,[2]!掉落查询,[2]获取途径临时表!I$1,FALSE)</f>
        <v/>
      </c>
      <c r="L183" t="str">
        <f>VLOOKUP($A183,[2]!掉落查询,[2]获取途径临时表!J$1,FALSE)</f>
        <v/>
      </c>
      <c r="M183" t="str">
        <f>VLOOKUP($A183,[2]!掉落查询,[2]获取途径临时表!K$1,FALSE)</f>
        <v/>
      </c>
      <c r="N183" t="str">
        <f>VLOOKUP($A183,[2]!掉落查询,[2]获取途径临时表!L$1,FALSE)</f>
        <v/>
      </c>
      <c r="O183" t="str">
        <f>VLOOKUP($A183,[2]!掉落查询,[2]获取途径临时表!M$1,FALSE)</f>
        <v/>
      </c>
      <c r="P183" t="str">
        <f>VLOOKUP($A183,[2]!掉落查询,[2]获取途径临时表!N$1,FALSE)</f>
        <v/>
      </c>
      <c r="Q183" t="str">
        <f>VLOOKUP($A183,[2]!掉落查询,[2]获取途径临时表!O$1,FALSE)</f>
        <v/>
      </c>
      <c r="R183" t="str">
        <f>VLOOKUP($A183,[2]!掉落查询,[2]获取途径临时表!P$1,FALSE)</f>
        <v/>
      </c>
      <c r="S183" t="str">
        <f>VLOOKUP($A183,[2]!掉落查询,[2]获取途径临时表!Q$1,FALSE)</f>
        <v/>
      </c>
      <c r="T183" t="str">
        <f>VLOOKUP($A183,[2]!掉落查询,[2]获取途径临时表!R$1,FALSE)</f>
        <v/>
      </c>
    </row>
    <row r="184" spans="1:20" x14ac:dyDescent="0.15">
      <c r="A184">
        <v>93141</v>
      </c>
      <c r="B184" s="18" t="s">
        <v>992</v>
      </c>
      <c r="C184">
        <v>0</v>
      </c>
      <c r="D184">
        <f t="shared" si="5"/>
        <v>6</v>
      </c>
      <c r="E184">
        <f>VLOOKUP($A184,[2]!掉落查询,[2]获取途径临时表!C$1,FALSE)</f>
        <v>2203</v>
      </c>
      <c r="F184">
        <f>VLOOKUP($A184,[2]!掉落查询,[2]获取途径临时表!D$1,FALSE)</f>
        <v>2207</v>
      </c>
      <c r="G184">
        <f>VLOOKUP($A184,[2]!掉落查询,[2]获取途径临时表!E$1,FALSE)</f>
        <v>3203</v>
      </c>
      <c r="H184">
        <f>VLOOKUP($A184,[2]!掉落查询,[2]获取途径临时表!F$1,FALSE)</f>
        <v>3205</v>
      </c>
      <c r="I184">
        <f>VLOOKUP($A184,[2]!掉落查询,[2]获取途径临时表!G$1,FALSE)</f>
        <v>4201</v>
      </c>
      <c r="J184">
        <f>VLOOKUP($A184,[2]!掉落查询,[2]获取途径临时表!H$1,FALSE)</f>
        <v>4204</v>
      </c>
      <c r="K184" t="str">
        <f>VLOOKUP($A184,[2]!掉落查询,[2]获取途径临时表!I$1,FALSE)</f>
        <v/>
      </c>
      <c r="L184" t="str">
        <f>VLOOKUP($A184,[2]!掉落查询,[2]获取途径临时表!J$1,FALSE)</f>
        <v/>
      </c>
      <c r="M184" t="str">
        <f>VLOOKUP($A184,[2]!掉落查询,[2]获取途径临时表!K$1,FALSE)</f>
        <v/>
      </c>
      <c r="N184" t="str">
        <f>VLOOKUP($A184,[2]!掉落查询,[2]获取途径临时表!L$1,FALSE)</f>
        <v/>
      </c>
      <c r="O184" t="str">
        <f>VLOOKUP($A184,[2]!掉落查询,[2]获取途径临时表!M$1,FALSE)</f>
        <v/>
      </c>
      <c r="P184" t="str">
        <f>VLOOKUP($A184,[2]!掉落查询,[2]获取途径临时表!N$1,FALSE)</f>
        <v/>
      </c>
      <c r="Q184" t="str">
        <f>VLOOKUP($A184,[2]!掉落查询,[2]获取途径临时表!O$1,FALSE)</f>
        <v/>
      </c>
      <c r="R184" t="str">
        <f>VLOOKUP($A184,[2]!掉落查询,[2]获取途径临时表!P$1,FALSE)</f>
        <v/>
      </c>
      <c r="S184" t="str">
        <f>VLOOKUP($A184,[2]!掉落查询,[2]获取途径临时表!Q$1,FALSE)</f>
        <v/>
      </c>
      <c r="T184" t="str">
        <f>VLOOKUP($A184,[2]!掉落查询,[2]获取途径临时表!R$1,FALSE)</f>
        <v/>
      </c>
    </row>
    <row r="185" spans="1:20" x14ac:dyDescent="0.15">
      <c r="A185">
        <v>93245</v>
      </c>
      <c r="B185" s="18" t="s">
        <v>993</v>
      </c>
      <c r="C185">
        <v>0</v>
      </c>
      <c r="D185">
        <f t="shared" si="5"/>
        <v>6</v>
      </c>
      <c r="E185">
        <f>VLOOKUP($A185,[2]!掉落查询,[2]获取途径临时表!C$1,FALSE)</f>
        <v>2204</v>
      </c>
      <c r="F185">
        <f>VLOOKUP($A185,[2]!掉落查询,[2]获取途径临时表!D$1,FALSE)</f>
        <v>2208</v>
      </c>
      <c r="G185">
        <f>VLOOKUP($A185,[2]!掉落查询,[2]获取途径临时表!E$1,FALSE)</f>
        <v>3204</v>
      </c>
      <c r="H185">
        <f>VLOOKUP($A185,[2]!掉落查询,[2]获取途径临时表!F$1,FALSE)</f>
        <v>3206</v>
      </c>
      <c r="I185">
        <f>VLOOKUP($A185,[2]!掉落查询,[2]获取途径临时表!G$1,FALSE)</f>
        <v>4202</v>
      </c>
      <c r="J185">
        <f>VLOOKUP($A185,[2]!掉落查询,[2]获取途径临时表!H$1,FALSE)</f>
        <v>4205</v>
      </c>
      <c r="K185" t="str">
        <f>VLOOKUP($A185,[2]!掉落查询,[2]获取途径临时表!I$1,FALSE)</f>
        <v/>
      </c>
      <c r="L185" t="str">
        <f>VLOOKUP($A185,[2]!掉落查询,[2]获取途径临时表!J$1,FALSE)</f>
        <v/>
      </c>
      <c r="M185" t="str">
        <f>VLOOKUP($A185,[2]!掉落查询,[2]获取途径临时表!K$1,FALSE)</f>
        <v/>
      </c>
      <c r="N185" t="str">
        <f>VLOOKUP($A185,[2]!掉落查询,[2]获取途径临时表!L$1,FALSE)</f>
        <v/>
      </c>
      <c r="O185" t="str">
        <f>VLOOKUP($A185,[2]!掉落查询,[2]获取途径临时表!M$1,FALSE)</f>
        <v/>
      </c>
      <c r="P185" t="str">
        <f>VLOOKUP($A185,[2]!掉落查询,[2]获取途径临时表!N$1,FALSE)</f>
        <v/>
      </c>
      <c r="Q185" t="str">
        <f>VLOOKUP($A185,[2]!掉落查询,[2]获取途径临时表!O$1,FALSE)</f>
        <v/>
      </c>
      <c r="R185" t="str">
        <f>VLOOKUP($A185,[2]!掉落查询,[2]获取途径临时表!P$1,FALSE)</f>
        <v/>
      </c>
      <c r="S185" t="str">
        <f>VLOOKUP($A185,[2]!掉落查询,[2]获取途径临时表!Q$1,FALSE)</f>
        <v/>
      </c>
      <c r="T185" t="str">
        <f>VLOOKUP($A185,[2]!掉落查询,[2]获取途径临时表!R$1,FALSE)</f>
        <v/>
      </c>
    </row>
    <row r="186" spans="1:20" x14ac:dyDescent="0.15">
      <c r="A186">
        <v>93251</v>
      </c>
      <c r="B186" s="18" t="s">
        <v>994</v>
      </c>
      <c r="C186">
        <v>0</v>
      </c>
      <c r="D186">
        <f t="shared" si="5"/>
        <v>6</v>
      </c>
      <c r="E186">
        <f>VLOOKUP($A186,[2]!掉落查询,[2]获取途径临时表!C$1,FALSE)</f>
        <v>2205</v>
      </c>
      <c r="F186">
        <f>VLOOKUP($A186,[2]!掉落查询,[2]获取途径临时表!D$1,FALSE)</f>
        <v>3201</v>
      </c>
      <c r="G186">
        <f>VLOOKUP($A186,[2]!掉落查询,[2]获取途径临时表!E$1,FALSE)</f>
        <v>3205</v>
      </c>
      <c r="H186">
        <f>VLOOKUP($A186,[2]!掉落查询,[2]获取途径临时表!F$1,FALSE)</f>
        <v>3207</v>
      </c>
      <c r="I186">
        <f>VLOOKUP($A186,[2]!掉落查询,[2]获取途径临时表!G$1,FALSE)</f>
        <v>4203</v>
      </c>
      <c r="J186">
        <f>VLOOKUP($A186,[2]!掉落查询,[2]获取途径临时表!H$1,FALSE)</f>
        <v>4206</v>
      </c>
      <c r="K186" t="str">
        <f>VLOOKUP($A186,[2]!掉落查询,[2]获取途径临时表!I$1,FALSE)</f>
        <v/>
      </c>
      <c r="L186" t="str">
        <f>VLOOKUP($A186,[2]!掉落查询,[2]获取途径临时表!J$1,FALSE)</f>
        <v/>
      </c>
      <c r="M186" t="str">
        <f>VLOOKUP($A186,[2]!掉落查询,[2]获取途径临时表!K$1,FALSE)</f>
        <v/>
      </c>
      <c r="N186" t="str">
        <f>VLOOKUP($A186,[2]!掉落查询,[2]获取途径临时表!L$1,FALSE)</f>
        <v/>
      </c>
      <c r="O186" t="str">
        <f>VLOOKUP($A186,[2]!掉落查询,[2]获取途径临时表!M$1,FALSE)</f>
        <v/>
      </c>
      <c r="P186" t="str">
        <f>VLOOKUP($A186,[2]!掉落查询,[2]获取途径临时表!N$1,FALSE)</f>
        <v/>
      </c>
      <c r="Q186" t="str">
        <f>VLOOKUP($A186,[2]!掉落查询,[2]获取途径临时表!O$1,FALSE)</f>
        <v/>
      </c>
      <c r="R186" t="str">
        <f>VLOOKUP($A186,[2]!掉落查询,[2]获取途径临时表!P$1,FALSE)</f>
        <v/>
      </c>
      <c r="S186" t="str">
        <f>VLOOKUP($A186,[2]!掉落查询,[2]获取途径临时表!Q$1,FALSE)</f>
        <v/>
      </c>
      <c r="T186" t="str">
        <f>VLOOKUP($A186,[2]!掉落查询,[2]获取途径临时表!R$1,FALSE)</f>
        <v/>
      </c>
    </row>
    <row r="187" spans="1:20" x14ac:dyDescent="0.15">
      <c r="A187">
        <v>93264</v>
      </c>
      <c r="B187" s="18" t="s">
        <v>995</v>
      </c>
      <c r="C187">
        <v>0</v>
      </c>
      <c r="D187">
        <f t="shared" si="5"/>
        <v>6</v>
      </c>
      <c r="E187">
        <f>VLOOKUP($A187,[2]!掉落查询,[2]获取途径临时表!C$1,FALSE)</f>
        <v>2206</v>
      </c>
      <c r="F187">
        <f>VLOOKUP($A187,[2]!掉落查询,[2]获取途径临时表!D$1,FALSE)</f>
        <v>3202</v>
      </c>
      <c r="G187">
        <f>VLOOKUP($A187,[2]!掉落查询,[2]获取途径临时表!E$1,FALSE)</f>
        <v>3206</v>
      </c>
      <c r="H187">
        <f>VLOOKUP($A187,[2]!掉落查询,[2]获取途径临时表!F$1,FALSE)</f>
        <v>3208</v>
      </c>
      <c r="I187">
        <f>VLOOKUP($A187,[2]!掉落查询,[2]获取途径临时表!G$1,FALSE)</f>
        <v>4204</v>
      </c>
      <c r="J187">
        <f>VLOOKUP($A187,[2]!掉落查询,[2]获取途径临时表!H$1,FALSE)</f>
        <v>4207</v>
      </c>
      <c r="K187" t="str">
        <f>VLOOKUP($A187,[2]!掉落查询,[2]获取途径临时表!I$1,FALSE)</f>
        <v/>
      </c>
      <c r="L187" t="str">
        <f>VLOOKUP($A187,[2]!掉落查询,[2]获取途径临时表!J$1,FALSE)</f>
        <v/>
      </c>
      <c r="M187" t="str">
        <f>VLOOKUP($A187,[2]!掉落查询,[2]获取途径临时表!K$1,FALSE)</f>
        <v/>
      </c>
      <c r="N187" t="str">
        <f>VLOOKUP($A187,[2]!掉落查询,[2]获取途径临时表!L$1,FALSE)</f>
        <v/>
      </c>
      <c r="O187" t="str">
        <f>VLOOKUP($A187,[2]!掉落查询,[2]获取途径临时表!M$1,FALSE)</f>
        <v/>
      </c>
      <c r="P187" t="str">
        <f>VLOOKUP($A187,[2]!掉落查询,[2]获取途径临时表!N$1,FALSE)</f>
        <v/>
      </c>
      <c r="Q187" t="str">
        <f>VLOOKUP($A187,[2]!掉落查询,[2]获取途径临时表!O$1,FALSE)</f>
        <v/>
      </c>
      <c r="R187" t="str">
        <f>VLOOKUP($A187,[2]!掉落查询,[2]获取途径临时表!P$1,FALSE)</f>
        <v/>
      </c>
      <c r="S187" t="str">
        <f>VLOOKUP($A187,[2]!掉落查询,[2]获取途径临时表!Q$1,FALSE)</f>
        <v/>
      </c>
      <c r="T187" t="str">
        <f>VLOOKUP($A187,[2]!掉落查询,[2]获取途径临时表!R$1,FALSE)</f>
        <v/>
      </c>
    </row>
    <row r="188" spans="1:20" x14ac:dyDescent="0.15">
      <c r="A188">
        <v>93271</v>
      </c>
      <c r="B188" s="18" t="s">
        <v>996</v>
      </c>
      <c r="C188">
        <v>0</v>
      </c>
      <c r="D188">
        <f t="shared" si="5"/>
        <v>6</v>
      </c>
      <c r="E188">
        <f>VLOOKUP($A188,[2]!掉落查询,[2]获取途径临时表!C$1,FALSE)</f>
        <v>2207</v>
      </c>
      <c r="F188">
        <f>VLOOKUP($A188,[2]!掉落查询,[2]获取途径临时表!D$1,FALSE)</f>
        <v>3203</v>
      </c>
      <c r="G188">
        <f>VLOOKUP($A188,[2]!掉落查询,[2]获取途径临时表!E$1,FALSE)</f>
        <v>3207</v>
      </c>
      <c r="H188">
        <f>VLOOKUP($A188,[2]!掉落查询,[2]获取途径临时表!F$1,FALSE)</f>
        <v>3209</v>
      </c>
      <c r="I188">
        <f>VLOOKUP($A188,[2]!掉落查询,[2]获取途径临时表!G$1,FALSE)</f>
        <v>4205</v>
      </c>
      <c r="J188">
        <f>VLOOKUP($A188,[2]!掉落查询,[2]获取途径临时表!H$1,FALSE)</f>
        <v>4208</v>
      </c>
      <c r="K188" t="str">
        <f>VLOOKUP($A188,[2]!掉落查询,[2]获取途径临时表!I$1,FALSE)</f>
        <v/>
      </c>
      <c r="L188" t="str">
        <f>VLOOKUP($A188,[2]!掉落查询,[2]获取途径临时表!J$1,FALSE)</f>
        <v/>
      </c>
      <c r="M188" t="str">
        <f>VLOOKUP($A188,[2]!掉落查询,[2]获取途径临时表!K$1,FALSE)</f>
        <v/>
      </c>
      <c r="N188" t="str">
        <f>VLOOKUP($A188,[2]!掉落查询,[2]获取途径临时表!L$1,FALSE)</f>
        <v/>
      </c>
      <c r="O188" t="str">
        <f>VLOOKUP($A188,[2]!掉落查询,[2]获取途径临时表!M$1,FALSE)</f>
        <v/>
      </c>
      <c r="P188" t="str">
        <f>VLOOKUP($A188,[2]!掉落查询,[2]获取途径临时表!N$1,FALSE)</f>
        <v/>
      </c>
      <c r="Q188" t="str">
        <f>VLOOKUP($A188,[2]!掉落查询,[2]获取途径临时表!O$1,FALSE)</f>
        <v/>
      </c>
      <c r="R188" t="str">
        <f>VLOOKUP($A188,[2]!掉落查询,[2]获取途径临时表!P$1,FALSE)</f>
        <v/>
      </c>
      <c r="S188" t="str">
        <f>VLOOKUP($A188,[2]!掉落查询,[2]获取途径临时表!Q$1,FALSE)</f>
        <v/>
      </c>
      <c r="T188" t="str">
        <f>VLOOKUP($A188,[2]!掉落查询,[2]获取途径临时表!R$1,FALSE)</f>
        <v/>
      </c>
    </row>
    <row r="189" spans="1:20" x14ac:dyDescent="0.15">
      <c r="A189">
        <v>93278</v>
      </c>
      <c r="B189" s="18" t="s">
        <v>997</v>
      </c>
      <c r="C189">
        <v>0</v>
      </c>
      <c r="D189">
        <f t="shared" si="5"/>
        <v>6</v>
      </c>
      <c r="E189">
        <f>VLOOKUP($A189,[2]!掉落查询,[2]获取途径临时表!C$1,FALSE)</f>
        <v>2208</v>
      </c>
      <c r="F189">
        <f>VLOOKUP($A189,[2]!掉落查询,[2]获取途径临时表!D$1,FALSE)</f>
        <v>3204</v>
      </c>
      <c r="G189">
        <f>VLOOKUP($A189,[2]!掉落查询,[2]获取途径临时表!E$1,FALSE)</f>
        <v>3208</v>
      </c>
      <c r="H189">
        <f>VLOOKUP($A189,[2]!掉落查询,[2]获取途径临时表!F$1,FALSE)</f>
        <v>4201</v>
      </c>
      <c r="I189">
        <f>VLOOKUP($A189,[2]!掉落查询,[2]获取途径临时表!G$1,FALSE)</f>
        <v>4206</v>
      </c>
      <c r="J189">
        <f>VLOOKUP($A189,[2]!掉落查询,[2]获取途径临时表!H$1,FALSE)</f>
        <v>4209</v>
      </c>
      <c r="K189" t="str">
        <f>VLOOKUP($A189,[2]!掉落查询,[2]获取途径临时表!I$1,FALSE)</f>
        <v/>
      </c>
      <c r="L189" t="str">
        <f>VLOOKUP($A189,[2]!掉落查询,[2]获取途径临时表!J$1,FALSE)</f>
        <v/>
      </c>
      <c r="M189" t="str">
        <f>VLOOKUP($A189,[2]!掉落查询,[2]获取途径临时表!K$1,FALSE)</f>
        <v/>
      </c>
      <c r="N189" t="str">
        <f>VLOOKUP($A189,[2]!掉落查询,[2]获取途径临时表!L$1,FALSE)</f>
        <v/>
      </c>
      <c r="O189" t="str">
        <f>VLOOKUP($A189,[2]!掉落查询,[2]获取途径临时表!M$1,FALSE)</f>
        <v/>
      </c>
      <c r="P189" t="str">
        <f>VLOOKUP($A189,[2]!掉落查询,[2]获取途径临时表!N$1,FALSE)</f>
        <v/>
      </c>
      <c r="Q189" t="str">
        <f>VLOOKUP($A189,[2]!掉落查询,[2]获取途径临时表!O$1,FALSE)</f>
        <v/>
      </c>
      <c r="R189" t="str">
        <f>VLOOKUP($A189,[2]!掉落查询,[2]获取途径临时表!P$1,FALSE)</f>
        <v/>
      </c>
      <c r="S189" t="str">
        <f>VLOOKUP($A189,[2]!掉落查询,[2]获取途径临时表!Q$1,FALSE)</f>
        <v/>
      </c>
      <c r="T189" t="str">
        <f>VLOOKUP($A189,[2]!掉落查询,[2]获取途径临时表!R$1,FALSE)</f>
        <v/>
      </c>
    </row>
    <row r="190" spans="1:20" x14ac:dyDescent="0.15">
      <c r="A190">
        <v>93283</v>
      </c>
      <c r="B190" s="18" t="s">
        <v>998</v>
      </c>
      <c r="C190">
        <v>0</v>
      </c>
      <c r="D190">
        <f t="shared" si="5"/>
        <v>5</v>
      </c>
      <c r="E190">
        <f>VLOOKUP($A190,[2]!掉落查询,[2]获取途径临时表!C$1,FALSE)</f>
        <v>2209</v>
      </c>
      <c r="F190">
        <f>VLOOKUP($A190,[2]!掉落查询,[2]获取途径临时表!D$1,FALSE)</f>
        <v>3201</v>
      </c>
      <c r="G190">
        <f>VLOOKUP($A190,[2]!掉落查询,[2]获取途径临时表!E$1,FALSE)</f>
        <v>3205</v>
      </c>
      <c r="H190">
        <f>VLOOKUP($A190,[2]!掉落查询,[2]获取途径临时表!F$1,FALSE)</f>
        <v>3209</v>
      </c>
      <c r="I190">
        <f>VLOOKUP($A190,[2]!掉落查询,[2]获取途径临时表!G$1,FALSE)</f>
        <v>4207</v>
      </c>
      <c r="J190" t="str">
        <f>VLOOKUP($A190,[2]!掉落查询,[2]获取途径临时表!H$1,FALSE)</f>
        <v/>
      </c>
      <c r="K190" t="str">
        <f>VLOOKUP($A190,[2]!掉落查询,[2]获取途径临时表!I$1,FALSE)</f>
        <v/>
      </c>
      <c r="L190" t="str">
        <f>VLOOKUP($A190,[2]!掉落查询,[2]获取途径临时表!J$1,FALSE)</f>
        <v/>
      </c>
      <c r="M190" t="str">
        <f>VLOOKUP($A190,[2]!掉落查询,[2]获取途径临时表!K$1,FALSE)</f>
        <v/>
      </c>
      <c r="N190" t="str">
        <f>VLOOKUP($A190,[2]!掉落查询,[2]获取途径临时表!L$1,FALSE)</f>
        <v/>
      </c>
      <c r="O190" t="str">
        <f>VLOOKUP($A190,[2]!掉落查询,[2]获取途径临时表!M$1,FALSE)</f>
        <v/>
      </c>
      <c r="P190" t="str">
        <f>VLOOKUP($A190,[2]!掉落查询,[2]获取途径临时表!N$1,FALSE)</f>
        <v/>
      </c>
      <c r="Q190" t="str">
        <f>VLOOKUP($A190,[2]!掉落查询,[2]获取途径临时表!O$1,FALSE)</f>
        <v/>
      </c>
      <c r="R190" t="str">
        <f>VLOOKUP($A190,[2]!掉落查询,[2]获取途径临时表!P$1,FALSE)</f>
        <v/>
      </c>
      <c r="S190" t="str">
        <f>VLOOKUP($A190,[2]!掉落查询,[2]获取途径临时表!Q$1,FALSE)</f>
        <v/>
      </c>
      <c r="T190" t="str">
        <f>VLOOKUP($A190,[2]!掉落查询,[2]获取途径临时表!R$1,FALSE)</f>
        <v/>
      </c>
    </row>
    <row r="191" spans="1:20" x14ac:dyDescent="0.15">
      <c r="A191">
        <v>93287</v>
      </c>
      <c r="B191" s="18" t="s">
        <v>999</v>
      </c>
      <c r="C191">
        <v>0</v>
      </c>
      <c r="D191">
        <f t="shared" ref="D191:D223" si="6">COUNTIF(E191:T191,"&gt;0")</f>
        <v>5</v>
      </c>
      <c r="E191">
        <f>VLOOKUP($A191,[2]!掉落查询,[2]获取途径临时表!C$1,FALSE)</f>
        <v>2209</v>
      </c>
      <c r="F191">
        <f>VLOOKUP($A191,[2]!掉落查询,[2]获取途径临时表!D$1,FALSE)</f>
        <v>3202</v>
      </c>
      <c r="G191">
        <f>VLOOKUP($A191,[2]!掉落查询,[2]获取途径临时表!E$1,FALSE)</f>
        <v>3206</v>
      </c>
      <c r="H191">
        <f>VLOOKUP($A191,[2]!掉落查询,[2]获取途径临时表!F$1,FALSE)</f>
        <v>3209</v>
      </c>
      <c r="I191">
        <f>VLOOKUP($A191,[2]!掉落查询,[2]获取途径临时表!G$1,FALSE)</f>
        <v>4208</v>
      </c>
      <c r="J191" t="str">
        <f>VLOOKUP($A191,[2]!掉落查询,[2]获取途径临时表!H$1,FALSE)</f>
        <v/>
      </c>
      <c r="K191" t="str">
        <f>VLOOKUP($A191,[2]!掉落查询,[2]获取途径临时表!I$1,FALSE)</f>
        <v/>
      </c>
      <c r="L191" t="str">
        <f>VLOOKUP($A191,[2]!掉落查询,[2]获取途径临时表!J$1,FALSE)</f>
        <v/>
      </c>
      <c r="M191" t="str">
        <f>VLOOKUP($A191,[2]!掉落查询,[2]获取途径临时表!K$1,FALSE)</f>
        <v/>
      </c>
      <c r="N191" t="str">
        <f>VLOOKUP($A191,[2]!掉落查询,[2]获取途径临时表!L$1,FALSE)</f>
        <v/>
      </c>
      <c r="O191" t="str">
        <f>VLOOKUP($A191,[2]!掉落查询,[2]获取途径临时表!M$1,FALSE)</f>
        <v/>
      </c>
      <c r="P191" t="str">
        <f>VLOOKUP($A191,[2]!掉落查询,[2]获取途径临时表!N$1,FALSE)</f>
        <v/>
      </c>
      <c r="Q191" t="str">
        <f>VLOOKUP($A191,[2]!掉落查询,[2]获取途径临时表!O$1,FALSE)</f>
        <v/>
      </c>
      <c r="R191" t="str">
        <f>VLOOKUP($A191,[2]!掉落查询,[2]获取途径临时表!P$1,FALSE)</f>
        <v/>
      </c>
      <c r="S191" t="str">
        <f>VLOOKUP($A191,[2]!掉落查询,[2]获取途径临时表!Q$1,FALSE)</f>
        <v/>
      </c>
      <c r="T191" t="str">
        <f>VLOOKUP($A191,[2]!掉落查询,[2]获取途径临时表!R$1,FALSE)</f>
        <v/>
      </c>
    </row>
    <row r="192" spans="1:20" x14ac:dyDescent="0.15">
      <c r="A192">
        <v>93142</v>
      </c>
      <c r="B192" s="19" t="s">
        <v>1000</v>
      </c>
      <c r="C192">
        <v>0</v>
      </c>
      <c r="D192">
        <f t="shared" si="6"/>
        <v>5</v>
      </c>
      <c r="E192">
        <f>VLOOKUP($A192,[2]!掉落查询,[2]获取途径临时表!C$1,FALSE)</f>
        <v>4201</v>
      </c>
      <c r="F192">
        <f>VLOOKUP($A192,[2]!掉落查询,[2]获取途径临时表!D$1,FALSE)</f>
        <v>5201</v>
      </c>
      <c r="G192">
        <f>VLOOKUP($A192,[2]!掉落查询,[2]获取途径临时表!E$1,FALSE)</f>
        <v>5208</v>
      </c>
      <c r="H192">
        <f>VLOOKUP($A192,[2]!掉落查询,[2]获取途径临时表!F$1,FALSE)</f>
        <v>5209</v>
      </c>
      <c r="I192">
        <f>VLOOKUP($A192,[2]!掉落查询,[2]获取途径临时表!G$1,FALSE)</f>
        <v>6202</v>
      </c>
      <c r="J192" t="str">
        <f>VLOOKUP($A192,[2]!掉落查询,[2]获取途径临时表!H$1,FALSE)</f>
        <v/>
      </c>
      <c r="K192" t="str">
        <f>VLOOKUP($A192,[2]!掉落查询,[2]获取途径临时表!I$1,FALSE)</f>
        <v/>
      </c>
      <c r="L192" t="str">
        <f>VLOOKUP($A192,[2]!掉落查询,[2]获取途径临时表!J$1,FALSE)</f>
        <v/>
      </c>
      <c r="M192" t="str">
        <f>VLOOKUP($A192,[2]!掉落查询,[2]获取途径临时表!K$1,FALSE)</f>
        <v/>
      </c>
      <c r="N192" t="str">
        <f>VLOOKUP($A192,[2]!掉落查询,[2]获取途径临时表!L$1,FALSE)</f>
        <v/>
      </c>
      <c r="O192" t="str">
        <f>VLOOKUP($A192,[2]!掉落查询,[2]获取途径临时表!M$1,FALSE)</f>
        <v/>
      </c>
      <c r="P192" t="str">
        <f>VLOOKUP($A192,[2]!掉落查询,[2]获取途径临时表!N$1,FALSE)</f>
        <v/>
      </c>
      <c r="Q192" t="str">
        <f>VLOOKUP($A192,[2]!掉落查询,[2]获取途径临时表!O$1,FALSE)</f>
        <v/>
      </c>
      <c r="R192" t="str">
        <f>VLOOKUP($A192,[2]!掉落查询,[2]获取途径临时表!P$1,FALSE)</f>
        <v/>
      </c>
      <c r="S192" t="str">
        <f>VLOOKUP($A192,[2]!掉落查询,[2]获取途径临时表!Q$1,FALSE)</f>
        <v/>
      </c>
      <c r="T192" t="str">
        <f>VLOOKUP($A192,[2]!掉落查询,[2]获取途径临时表!R$1,FALSE)</f>
        <v/>
      </c>
    </row>
    <row r="193" spans="1:20" x14ac:dyDescent="0.15">
      <c r="A193">
        <v>93235</v>
      </c>
      <c r="B193" s="19" t="s">
        <v>1001</v>
      </c>
      <c r="C193">
        <v>0</v>
      </c>
      <c r="D193">
        <f t="shared" si="6"/>
        <v>5</v>
      </c>
      <c r="E193">
        <f>VLOOKUP($A193,[2]!掉落查询,[2]获取途径临时表!C$1,FALSE)</f>
        <v>4202</v>
      </c>
      <c r="F193">
        <f>VLOOKUP($A193,[2]!掉落查询,[2]获取途径临时表!D$1,FALSE)</f>
        <v>5201</v>
      </c>
      <c r="G193">
        <f>VLOOKUP($A193,[2]!掉落查询,[2]获取途径临时表!E$1,FALSE)</f>
        <v>5202</v>
      </c>
      <c r="H193">
        <f>VLOOKUP($A193,[2]!掉落查询,[2]获取途径临时表!F$1,FALSE)</f>
        <v>6201</v>
      </c>
      <c r="I193">
        <f>VLOOKUP($A193,[2]!掉落查询,[2]获取途径临时表!G$1,FALSE)</f>
        <v>6203</v>
      </c>
      <c r="J193" t="str">
        <f>VLOOKUP($A193,[2]!掉落查询,[2]获取途径临时表!H$1,FALSE)</f>
        <v/>
      </c>
      <c r="K193" t="str">
        <f>VLOOKUP($A193,[2]!掉落查询,[2]获取途径临时表!I$1,FALSE)</f>
        <v/>
      </c>
      <c r="L193" t="str">
        <f>VLOOKUP($A193,[2]!掉落查询,[2]获取途径临时表!J$1,FALSE)</f>
        <v/>
      </c>
      <c r="M193" t="str">
        <f>VLOOKUP($A193,[2]!掉落查询,[2]获取途径临时表!K$1,FALSE)</f>
        <v/>
      </c>
      <c r="N193" t="str">
        <f>VLOOKUP($A193,[2]!掉落查询,[2]获取途径临时表!L$1,FALSE)</f>
        <v/>
      </c>
      <c r="O193" t="str">
        <f>VLOOKUP($A193,[2]!掉落查询,[2]获取途径临时表!M$1,FALSE)</f>
        <v/>
      </c>
      <c r="P193" t="str">
        <f>VLOOKUP($A193,[2]!掉落查询,[2]获取途径临时表!N$1,FALSE)</f>
        <v/>
      </c>
      <c r="Q193" t="str">
        <f>VLOOKUP($A193,[2]!掉落查询,[2]获取途径临时表!O$1,FALSE)</f>
        <v/>
      </c>
      <c r="R193" t="str">
        <f>VLOOKUP($A193,[2]!掉落查询,[2]获取途径临时表!P$1,FALSE)</f>
        <v/>
      </c>
      <c r="S193" t="str">
        <f>VLOOKUP($A193,[2]!掉落查询,[2]获取途径临时表!Q$1,FALSE)</f>
        <v/>
      </c>
      <c r="T193" t="str">
        <f>VLOOKUP($A193,[2]!掉落查询,[2]获取途径临时表!R$1,FALSE)</f>
        <v/>
      </c>
    </row>
    <row r="194" spans="1:20" x14ac:dyDescent="0.15">
      <c r="A194">
        <v>93012</v>
      </c>
      <c r="B194" s="19" t="s">
        <v>1002</v>
      </c>
      <c r="C194">
        <v>0</v>
      </c>
      <c r="D194">
        <f t="shared" si="6"/>
        <v>5</v>
      </c>
      <c r="E194">
        <f>VLOOKUP($A194,[2]!掉落查询,[2]获取途径临时表!C$1,FALSE)</f>
        <v>4203</v>
      </c>
      <c r="F194">
        <f>VLOOKUP($A194,[2]!掉落查询,[2]获取途径临时表!D$1,FALSE)</f>
        <v>5201</v>
      </c>
      <c r="G194">
        <f>VLOOKUP($A194,[2]!掉落查询,[2]获取途径临时表!E$1,FALSE)</f>
        <v>5202</v>
      </c>
      <c r="H194">
        <f>VLOOKUP($A194,[2]!掉落查询,[2]获取途径临时表!F$1,FALSE)</f>
        <v>5203</v>
      </c>
      <c r="I194">
        <f>VLOOKUP($A194,[2]!掉落查询,[2]获取途径临时表!G$1,FALSE)</f>
        <v>6204</v>
      </c>
      <c r="J194" t="str">
        <f>VLOOKUP($A194,[2]!掉落查询,[2]获取途径临时表!H$1,FALSE)</f>
        <v/>
      </c>
      <c r="K194" t="str">
        <f>VLOOKUP($A194,[2]!掉落查询,[2]获取途径临时表!I$1,FALSE)</f>
        <v/>
      </c>
      <c r="L194" t="str">
        <f>VLOOKUP($A194,[2]!掉落查询,[2]获取途径临时表!J$1,FALSE)</f>
        <v/>
      </c>
      <c r="M194" t="str">
        <f>VLOOKUP($A194,[2]!掉落查询,[2]获取途径临时表!K$1,FALSE)</f>
        <v/>
      </c>
      <c r="N194" t="str">
        <f>VLOOKUP($A194,[2]!掉落查询,[2]获取途径临时表!L$1,FALSE)</f>
        <v/>
      </c>
      <c r="O194" t="str">
        <f>VLOOKUP($A194,[2]!掉落查询,[2]获取途径临时表!M$1,FALSE)</f>
        <v/>
      </c>
      <c r="P194" t="str">
        <f>VLOOKUP($A194,[2]!掉落查询,[2]获取途径临时表!N$1,FALSE)</f>
        <v/>
      </c>
      <c r="Q194" t="str">
        <f>VLOOKUP($A194,[2]!掉落查询,[2]获取途径临时表!O$1,FALSE)</f>
        <v/>
      </c>
      <c r="R194" t="str">
        <f>VLOOKUP($A194,[2]!掉落查询,[2]获取途径临时表!P$1,FALSE)</f>
        <v/>
      </c>
      <c r="S194" t="str">
        <f>VLOOKUP($A194,[2]!掉落查询,[2]获取途径临时表!Q$1,FALSE)</f>
        <v/>
      </c>
      <c r="T194" t="str">
        <f>VLOOKUP($A194,[2]!掉落查询,[2]获取途径临时表!R$1,FALSE)</f>
        <v/>
      </c>
    </row>
    <row r="195" spans="1:20" x14ac:dyDescent="0.15">
      <c r="A195">
        <v>93252</v>
      </c>
      <c r="B195" s="19" t="s">
        <v>1003</v>
      </c>
      <c r="C195">
        <v>0</v>
      </c>
      <c r="D195">
        <f t="shared" si="6"/>
        <v>5</v>
      </c>
      <c r="E195">
        <f>VLOOKUP($A195,[2]!掉落查询,[2]获取途径临时表!C$1,FALSE)</f>
        <v>4204</v>
      </c>
      <c r="F195">
        <f>VLOOKUP($A195,[2]!掉落查询,[2]获取途径临时表!D$1,FALSE)</f>
        <v>5202</v>
      </c>
      <c r="G195">
        <f>VLOOKUP($A195,[2]!掉落查询,[2]获取途径临时表!E$1,FALSE)</f>
        <v>5203</v>
      </c>
      <c r="H195">
        <f>VLOOKUP($A195,[2]!掉落查询,[2]获取途径临时表!F$1,FALSE)</f>
        <v>5204</v>
      </c>
      <c r="I195">
        <f>VLOOKUP($A195,[2]!掉落查询,[2]获取途径临时表!G$1,FALSE)</f>
        <v>6205</v>
      </c>
      <c r="J195" t="str">
        <f>VLOOKUP($A195,[2]!掉落查询,[2]获取途径临时表!H$1,FALSE)</f>
        <v/>
      </c>
      <c r="K195" t="str">
        <f>VLOOKUP($A195,[2]!掉落查询,[2]获取途径临时表!I$1,FALSE)</f>
        <v/>
      </c>
      <c r="L195" t="str">
        <f>VLOOKUP($A195,[2]!掉落查询,[2]获取途径临时表!J$1,FALSE)</f>
        <v/>
      </c>
      <c r="M195" t="str">
        <f>VLOOKUP($A195,[2]!掉落查询,[2]获取途径临时表!K$1,FALSE)</f>
        <v/>
      </c>
      <c r="N195" t="str">
        <f>VLOOKUP($A195,[2]!掉落查询,[2]获取途径临时表!L$1,FALSE)</f>
        <v/>
      </c>
      <c r="O195" t="str">
        <f>VLOOKUP($A195,[2]!掉落查询,[2]获取途径临时表!M$1,FALSE)</f>
        <v/>
      </c>
      <c r="P195" t="str">
        <f>VLOOKUP($A195,[2]!掉落查询,[2]获取途径临时表!N$1,FALSE)</f>
        <v/>
      </c>
      <c r="Q195" t="str">
        <f>VLOOKUP($A195,[2]!掉落查询,[2]获取途径临时表!O$1,FALSE)</f>
        <v/>
      </c>
      <c r="R195" t="str">
        <f>VLOOKUP($A195,[2]!掉落查询,[2]获取途径临时表!P$1,FALSE)</f>
        <v/>
      </c>
      <c r="S195" t="str">
        <f>VLOOKUP($A195,[2]!掉落查询,[2]获取途径临时表!Q$1,FALSE)</f>
        <v/>
      </c>
      <c r="T195" t="str">
        <f>VLOOKUP($A195,[2]!掉落查询,[2]获取途径临时表!R$1,FALSE)</f>
        <v/>
      </c>
    </row>
    <row r="196" spans="1:20" x14ac:dyDescent="0.15">
      <c r="A196">
        <v>93124</v>
      </c>
      <c r="B196" s="19" t="s">
        <v>1004</v>
      </c>
      <c r="C196">
        <v>0</v>
      </c>
      <c r="D196">
        <f t="shared" si="6"/>
        <v>5</v>
      </c>
      <c r="E196">
        <f>VLOOKUP($A196,[2]!掉落查询,[2]获取途径临时表!C$1,FALSE)</f>
        <v>4205</v>
      </c>
      <c r="F196">
        <f>VLOOKUP($A196,[2]!掉落查询,[2]获取途径临时表!D$1,FALSE)</f>
        <v>5203</v>
      </c>
      <c r="G196">
        <f>VLOOKUP($A196,[2]!掉落查询,[2]获取途径临时表!E$1,FALSE)</f>
        <v>5204</v>
      </c>
      <c r="H196">
        <f>VLOOKUP($A196,[2]!掉落查询,[2]获取途径临时表!F$1,FALSE)</f>
        <v>5205</v>
      </c>
      <c r="I196">
        <f>VLOOKUP($A196,[2]!掉落查询,[2]获取途径临时表!G$1,FALSE)</f>
        <v>6206</v>
      </c>
      <c r="J196" t="str">
        <f>VLOOKUP($A196,[2]!掉落查询,[2]获取途径临时表!H$1,FALSE)</f>
        <v/>
      </c>
      <c r="K196" t="str">
        <f>VLOOKUP($A196,[2]!掉落查询,[2]获取途径临时表!I$1,FALSE)</f>
        <v/>
      </c>
      <c r="L196" t="str">
        <f>VLOOKUP($A196,[2]!掉落查询,[2]获取途径临时表!J$1,FALSE)</f>
        <v/>
      </c>
      <c r="M196" t="str">
        <f>VLOOKUP($A196,[2]!掉落查询,[2]获取途径临时表!K$1,FALSE)</f>
        <v/>
      </c>
      <c r="N196" t="str">
        <f>VLOOKUP($A196,[2]!掉落查询,[2]获取途径临时表!L$1,FALSE)</f>
        <v/>
      </c>
      <c r="O196" t="str">
        <f>VLOOKUP($A196,[2]!掉落查询,[2]获取途径临时表!M$1,FALSE)</f>
        <v/>
      </c>
      <c r="P196" t="str">
        <f>VLOOKUP($A196,[2]!掉落查询,[2]获取途径临时表!N$1,FALSE)</f>
        <v/>
      </c>
      <c r="Q196" t="str">
        <f>VLOOKUP($A196,[2]!掉落查询,[2]获取途径临时表!O$1,FALSE)</f>
        <v/>
      </c>
      <c r="R196" t="str">
        <f>VLOOKUP($A196,[2]!掉落查询,[2]获取途径临时表!P$1,FALSE)</f>
        <v/>
      </c>
      <c r="S196" t="str">
        <f>VLOOKUP($A196,[2]!掉落查询,[2]获取途径临时表!Q$1,FALSE)</f>
        <v/>
      </c>
      <c r="T196" t="str">
        <f>VLOOKUP($A196,[2]!掉落查询,[2]获取途径临时表!R$1,FALSE)</f>
        <v/>
      </c>
    </row>
    <row r="197" spans="1:20" x14ac:dyDescent="0.15">
      <c r="A197">
        <v>93272</v>
      </c>
      <c r="B197" s="19" t="s">
        <v>1005</v>
      </c>
      <c r="C197">
        <v>0</v>
      </c>
      <c r="D197">
        <f t="shared" si="6"/>
        <v>5</v>
      </c>
      <c r="E197">
        <f>VLOOKUP($A197,[2]!掉落查询,[2]获取途径临时表!C$1,FALSE)</f>
        <v>4206</v>
      </c>
      <c r="F197">
        <f>VLOOKUP($A197,[2]!掉落查询,[2]获取途径临时表!D$1,FALSE)</f>
        <v>5204</v>
      </c>
      <c r="G197">
        <f>VLOOKUP($A197,[2]!掉落查询,[2]获取途径临时表!E$1,FALSE)</f>
        <v>5205</v>
      </c>
      <c r="H197">
        <f>VLOOKUP($A197,[2]!掉落查询,[2]获取途径临时表!F$1,FALSE)</f>
        <v>5206</v>
      </c>
      <c r="I197">
        <f>VLOOKUP($A197,[2]!掉落查询,[2]获取途径临时表!G$1,FALSE)</f>
        <v>6207</v>
      </c>
      <c r="J197" t="str">
        <f>VLOOKUP($A197,[2]!掉落查询,[2]获取途径临时表!H$1,FALSE)</f>
        <v/>
      </c>
      <c r="K197" t="str">
        <f>VLOOKUP($A197,[2]!掉落查询,[2]获取途径临时表!I$1,FALSE)</f>
        <v/>
      </c>
      <c r="L197" t="str">
        <f>VLOOKUP($A197,[2]!掉落查询,[2]获取途径临时表!J$1,FALSE)</f>
        <v/>
      </c>
      <c r="M197" t="str">
        <f>VLOOKUP($A197,[2]!掉落查询,[2]获取途径临时表!K$1,FALSE)</f>
        <v/>
      </c>
      <c r="N197" t="str">
        <f>VLOOKUP($A197,[2]!掉落查询,[2]获取途径临时表!L$1,FALSE)</f>
        <v/>
      </c>
      <c r="O197" t="str">
        <f>VLOOKUP($A197,[2]!掉落查询,[2]获取途径临时表!M$1,FALSE)</f>
        <v/>
      </c>
      <c r="P197" t="str">
        <f>VLOOKUP($A197,[2]!掉落查询,[2]获取途径临时表!N$1,FALSE)</f>
        <v/>
      </c>
      <c r="Q197" t="str">
        <f>VLOOKUP($A197,[2]!掉落查询,[2]获取途径临时表!O$1,FALSE)</f>
        <v/>
      </c>
      <c r="R197" t="str">
        <f>VLOOKUP($A197,[2]!掉落查询,[2]获取途径临时表!P$1,FALSE)</f>
        <v/>
      </c>
      <c r="S197" t="str">
        <f>VLOOKUP($A197,[2]!掉落查询,[2]获取途径临时表!Q$1,FALSE)</f>
        <v/>
      </c>
      <c r="T197" t="str">
        <f>VLOOKUP($A197,[2]!掉落查询,[2]获取途径临时表!R$1,FALSE)</f>
        <v/>
      </c>
    </row>
    <row r="198" spans="1:20" x14ac:dyDescent="0.15">
      <c r="A198">
        <v>93273</v>
      </c>
      <c r="B198" s="19" t="s">
        <v>1006</v>
      </c>
      <c r="C198">
        <v>0</v>
      </c>
      <c r="D198">
        <f t="shared" si="6"/>
        <v>5</v>
      </c>
      <c r="E198">
        <f>VLOOKUP($A198,[2]!掉落查询,[2]获取途径临时表!C$1,FALSE)</f>
        <v>4207</v>
      </c>
      <c r="F198">
        <f>VLOOKUP($A198,[2]!掉落查询,[2]获取途径临时表!D$1,FALSE)</f>
        <v>5205</v>
      </c>
      <c r="G198">
        <f>VLOOKUP($A198,[2]!掉落查询,[2]获取途径临时表!E$1,FALSE)</f>
        <v>5206</v>
      </c>
      <c r="H198">
        <f>VLOOKUP($A198,[2]!掉落查询,[2]获取途径临时表!F$1,FALSE)</f>
        <v>5207</v>
      </c>
      <c r="I198">
        <f>VLOOKUP($A198,[2]!掉落查询,[2]获取途径临时表!G$1,FALSE)</f>
        <v>6208</v>
      </c>
      <c r="J198" t="str">
        <f>VLOOKUP($A198,[2]!掉落查询,[2]获取途径临时表!H$1,FALSE)</f>
        <v/>
      </c>
      <c r="K198" t="str">
        <f>VLOOKUP($A198,[2]!掉落查询,[2]获取途径临时表!I$1,FALSE)</f>
        <v/>
      </c>
      <c r="L198" t="str">
        <f>VLOOKUP($A198,[2]!掉落查询,[2]获取途径临时表!J$1,FALSE)</f>
        <v/>
      </c>
      <c r="M198" t="str">
        <f>VLOOKUP($A198,[2]!掉落查询,[2]获取途径临时表!K$1,FALSE)</f>
        <v/>
      </c>
      <c r="N198" t="str">
        <f>VLOOKUP($A198,[2]!掉落查询,[2]获取途径临时表!L$1,FALSE)</f>
        <v/>
      </c>
      <c r="O198" t="str">
        <f>VLOOKUP($A198,[2]!掉落查询,[2]获取途径临时表!M$1,FALSE)</f>
        <v/>
      </c>
      <c r="P198" t="str">
        <f>VLOOKUP($A198,[2]!掉落查询,[2]获取途径临时表!N$1,FALSE)</f>
        <v/>
      </c>
      <c r="Q198" t="str">
        <f>VLOOKUP($A198,[2]!掉落查询,[2]获取途径临时表!O$1,FALSE)</f>
        <v/>
      </c>
      <c r="R198" t="str">
        <f>VLOOKUP($A198,[2]!掉落查询,[2]获取途径临时表!P$1,FALSE)</f>
        <v/>
      </c>
      <c r="S198" t="str">
        <f>VLOOKUP($A198,[2]!掉落查询,[2]获取途径临时表!Q$1,FALSE)</f>
        <v/>
      </c>
      <c r="T198" t="str">
        <f>VLOOKUP($A198,[2]!掉落查询,[2]获取途径临时表!R$1,FALSE)</f>
        <v/>
      </c>
    </row>
    <row r="199" spans="1:20" x14ac:dyDescent="0.15">
      <c r="A199">
        <v>93279</v>
      </c>
      <c r="B199" s="19" t="s">
        <v>1007</v>
      </c>
      <c r="C199">
        <v>0</v>
      </c>
      <c r="D199">
        <f t="shared" si="6"/>
        <v>5</v>
      </c>
      <c r="E199">
        <f>VLOOKUP($A199,[2]!掉落查询,[2]获取途径临时表!C$1,FALSE)</f>
        <v>4208</v>
      </c>
      <c r="F199">
        <f>VLOOKUP($A199,[2]!掉落查询,[2]获取途径临时表!D$1,FALSE)</f>
        <v>5206</v>
      </c>
      <c r="G199">
        <f>VLOOKUP($A199,[2]!掉落查询,[2]获取途径临时表!E$1,FALSE)</f>
        <v>5207</v>
      </c>
      <c r="H199">
        <f>VLOOKUP($A199,[2]!掉落查询,[2]获取途径临时表!F$1,FALSE)</f>
        <v>5208</v>
      </c>
      <c r="I199">
        <f>VLOOKUP($A199,[2]!掉落查询,[2]获取途径临时表!G$1,FALSE)</f>
        <v>6209</v>
      </c>
      <c r="J199" t="str">
        <f>VLOOKUP($A199,[2]!掉落查询,[2]获取途径临时表!H$1,FALSE)</f>
        <v/>
      </c>
      <c r="K199" t="str">
        <f>VLOOKUP($A199,[2]!掉落查询,[2]获取途径临时表!I$1,FALSE)</f>
        <v/>
      </c>
      <c r="L199" t="str">
        <f>VLOOKUP($A199,[2]!掉落查询,[2]获取途径临时表!J$1,FALSE)</f>
        <v/>
      </c>
      <c r="M199" t="str">
        <f>VLOOKUP($A199,[2]!掉落查询,[2]获取途径临时表!K$1,FALSE)</f>
        <v/>
      </c>
      <c r="N199" t="str">
        <f>VLOOKUP($A199,[2]!掉落查询,[2]获取途径临时表!L$1,FALSE)</f>
        <v/>
      </c>
      <c r="O199" t="str">
        <f>VLOOKUP($A199,[2]!掉落查询,[2]获取途径临时表!M$1,FALSE)</f>
        <v/>
      </c>
      <c r="P199" t="str">
        <f>VLOOKUP($A199,[2]!掉落查询,[2]获取途径临时表!N$1,FALSE)</f>
        <v/>
      </c>
      <c r="Q199" t="str">
        <f>VLOOKUP($A199,[2]!掉落查询,[2]获取途径临时表!O$1,FALSE)</f>
        <v/>
      </c>
      <c r="R199" t="str">
        <f>VLOOKUP($A199,[2]!掉落查询,[2]获取途径临时表!P$1,FALSE)</f>
        <v/>
      </c>
      <c r="S199" t="str">
        <f>VLOOKUP($A199,[2]!掉落查询,[2]获取途径临时表!Q$1,FALSE)</f>
        <v/>
      </c>
      <c r="T199" t="str">
        <f>VLOOKUP($A199,[2]!掉落查询,[2]获取途径临时表!R$1,FALSE)</f>
        <v/>
      </c>
    </row>
    <row r="200" spans="1:20" x14ac:dyDescent="0.15">
      <c r="A200">
        <v>93284</v>
      </c>
      <c r="B200" s="19" t="s">
        <v>1008</v>
      </c>
      <c r="C200">
        <v>0</v>
      </c>
      <c r="D200">
        <f t="shared" si="6"/>
        <v>5</v>
      </c>
      <c r="E200">
        <f>VLOOKUP($A200,[2]!掉落查询,[2]获取途径临时表!C$1,FALSE)</f>
        <v>4209</v>
      </c>
      <c r="F200">
        <f>VLOOKUP($A200,[2]!掉落查询,[2]获取途径临时表!D$1,FALSE)</f>
        <v>5207</v>
      </c>
      <c r="G200">
        <f>VLOOKUP($A200,[2]!掉落查询,[2]获取途径临时表!E$1,FALSE)</f>
        <v>5209</v>
      </c>
      <c r="H200">
        <f>VLOOKUP($A200,[2]!掉落查询,[2]获取途径临时表!F$1,FALSE)</f>
        <v>6201</v>
      </c>
      <c r="I200">
        <f>VLOOKUP($A200,[2]!掉落查询,[2]获取途径临时表!G$1,FALSE)</f>
        <v>6202</v>
      </c>
      <c r="J200" t="str">
        <f>VLOOKUP($A200,[2]!掉落查询,[2]获取途径临时表!H$1,FALSE)</f>
        <v/>
      </c>
      <c r="K200" t="str">
        <f>VLOOKUP($A200,[2]!掉落查询,[2]获取途径临时表!I$1,FALSE)</f>
        <v/>
      </c>
      <c r="L200" t="str">
        <f>VLOOKUP($A200,[2]!掉落查询,[2]获取途径临时表!J$1,FALSE)</f>
        <v/>
      </c>
      <c r="M200" t="str">
        <f>VLOOKUP($A200,[2]!掉落查询,[2]获取途径临时表!K$1,FALSE)</f>
        <v/>
      </c>
      <c r="N200" t="str">
        <f>VLOOKUP($A200,[2]!掉落查询,[2]获取途径临时表!L$1,FALSE)</f>
        <v/>
      </c>
      <c r="O200" t="str">
        <f>VLOOKUP($A200,[2]!掉落查询,[2]获取途径临时表!M$1,FALSE)</f>
        <v/>
      </c>
      <c r="P200" t="str">
        <f>VLOOKUP($A200,[2]!掉落查询,[2]获取途径临时表!N$1,FALSE)</f>
        <v/>
      </c>
      <c r="Q200" t="str">
        <f>VLOOKUP($A200,[2]!掉落查询,[2]获取途径临时表!O$1,FALSE)</f>
        <v/>
      </c>
      <c r="R200" t="str">
        <f>VLOOKUP($A200,[2]!掉落查询,[2]获取途径临时表!P$1,FALSE)</f>
        <v/>
      </c>
      <c r="S200" t="str">
        <f>VLOOKUP($A200,[2]!掉落查询,[2]获取途径临时表!Q$1,FALSE)</f>
        <v/>
      </c>
      <c r="T200" t="str">
        <f>VLOOKUP($A200,[2]!掉落查询,[2]获取途径临时表!R$1,FALSE)</f>
        <v/>
      </c>
    </row>
    <row r="201" spans="1:20" x14ac:dyDescent="0.15">
      <c r="A201">
        <v>93288</v>
      </c>
      <c r="B201" s="19" t="s">
        <v>1009</v>
      </c>
      <c r="C201">
        <v>0</v>
      </c>
      <c r="D201">
        <f t="shared" si="6"/>
        <v>5</v>
      </c>
      <c r="E201">
        <f>VLOOKUP($A201,[2]!掉落查询,[2]获取途径临时表!C$1,FALSE)</f>
        <v>4209</v>
      </c>
      <c r="F201">
        <f>VLOOKUP($A201,[2]!掉落查询,[2]获取途径临时表!D$1,FALSE)</f>
        <v>5208</v>
      </c>
      <c r="G201">
        <f>VLOOKUP($A201,[2]!掉落查询,[2]获取途径临时表!E$1,FALSE)</f>
        <v>5209</v>
      </c>
      <c r="H201">
        <f>VLOOKUP($A201,[2]!掉落查询,[2]获取途径临时表!F$1,FALSE)</f>
        <v>6203</v>
      </c>
      <c r="I201">
        <f>VLOOKUP($A201,[2]!掉落查询,[2]获取途径临时表!G$1,FALSE)</f>
        <v>6204</v>
      </c>
      <c r="J201" t="str">
        <f>VLOOKUP($A201,[2]!掉落查询,[2]获取途径临时表!H$1,FALSE)</f>
        <v/>
      </c>
      <c r="K201" t="str">
        <f>VLOOKUP($A201,[2]!掉落查询,[2]获取途径临时表!I$1,FALSE)</f>
        <v/>
      </c>
      <c r="L201" t="str">
        <f>VLOOKUP($A201,[2]!掉落查询,[2]获取途径临时表!J$1,FALSE)</f>
        <v/>
      </c>
      <c r="M201" t="str">
        <f>VLOOKUP($A201,[2]!掉落查询,[2]获取途径临时表!K$1,FALSE)</f>
        <v/>
      </c>
      <c r="N201" t="str">
        <f>VLOOKUP($A201,[2]!掉落查询,[2]获取途径临时表!L$1,FALSE)</f>
        <v/>
      </c>
      <c r="O201" t="str">
        <f>VLOOKUP($A201,[2]!掉落查询,[2]获取途径临时表!M$1,FALSE)</f>
        <v/>
      </c>
      <c r="P201" t="str">
        <f>VLOOKUP($A201,[2]!掉落查询,[2]获取途径临时表!N$1,FALSE)</f>
        <v/>
      </c>
      <c r="Q201" t="str">
        <f>VLOOKUP($A201,[2]!掉落查询,[2]获取途径临时表!O$1,FALSE)</f>
        <v/>
      </c>
      <c r="R201" t="str">
        <f>VLOOKUP($A201,[2]!掉落查询,[2]获取途径临时表!P$1,FALSE)</f>
        <v/>
      </c>
      <c r="S201" t="str">
        <f>VLOOKUP($A201,[2]!掉落查询,[2]获取途径临时表!Q$1,FALSE)</f>
        <v/>
      </c>
      <c r="T201" t="str">
        <f>VLOOKUP($A201,[2]!掉落查询,[2]获取途径临时表!R$1,FALSE)</f>
        <v/>
      </c>
    </row>
    <row r="202" spans="1:20" x14ac:dyDescent="0.15">
      <c r="A202">
        <v>93125</v>
      </c>
      <c r="B202" s="20" t="s">
        <v>1010</v>
      </c>
      <c r="C202">
        <v>0</v>
      </c>
      <c r="D202">
        <f t="shared" si="6"/>
        <v>6</v>
      </c>
      <c r="E202">
        <f>VLOOKUP($A202,[2]!掉落查询,[2]获取途径临时表!C$1,FALSE)</f>
        <v>6201</v>
      </c>
      <c r="F202">
        <f>VLOOKUP($A202,[2]!掉落查询,[2]获取途径临时表!D$1,FALSE)</f>
        <v>6205</v>
      </c>
      <c r="G202">
        <f>VLOOKUP($A202,[2]!掉落查询,[2]获取途径临时表!E$1,FALSE)</f>
        <v>7201</v>
      </c>
      <c r="H202">
        <f>VLOOKUP($A202,[2]!掉落查询,[2]获取途径临时表!F$1,FALSE)</f>
        <v>7207</v>
      </c>
      <c r="I202">
        <f>VLOOKUP($A202,[2]!掉落查询,[2]获取途径临时表!G$1,FALSE)</f>
        <v>7208</v>
      </c>
      <c r="J202">
        <f>VLOOKUP($A202,[2]!掉落查询,[2]获取途径临时表!H$1,FALSE)</f>
        <v>8201</v>
      </c>
      <c r="K202" t="str">
        <f>VLOOKUP($A202,[2]!掉落查询,[2]获取途径临时表!I$1,FALSE)</f>
        <v/>
      </c>
      <c r="L202" t="str">
        <f>VLOOKUP($A202,[2]!掉落查询,[2]获取途径临时表!J$1,FALSE)</f>
        <v/>
      </c>
      <c r="M202" t="str">
        <f>VLOOKUP($A202,[2]!掉落查询,[2]获取途径临时表!K$1,FALSE)</f>
        <v/>
      </c>
      <c r="N202" t="str">
        <f>VLOOKUP($A202,[2]!掉落查询,[2]获取途径临时表!L$1,FALSE)</f>
        <v/>
      </c>
      <c r="O202" t="str">
        <f>VLOOKUP($A202,[2]!掉落查询,[2]获取途径临时表!M$1,FALSE)</f>
        <v/>
      </c>
      <c r="P202" t="str">
        <f>VLOOKUP($A202,[2]!掉落查询,[2]获取途径临时表!N$1,FALSE)</f>
        <v/>
      </c>
      <c r="Q202" t="str">
        <f>VLOOKUP($A202,[2]!掉落查询,[2]获取途径临时表!O$1,FALSE)</f>
        <v/>
      </c>
      <c r="R202" t="str">
        <f>VLOOKUP($A202,[2]!掉落查询,[2]获取途径临时表!P$1,FALSE)</f>
        <v/>
      </c>
      <c r="S202" t="str">
        <f>VLOOKUP($A202,[2]!掉落查询,[2]获取途径临时表!Q$1,FALSE)</f>
        <v/>
      </c>
      <c r="T202" t="str">
        <f>VLOOKUP($A202,[2]!掉落查询,[2]获取途径临时表!R$1,FALSE)</f>
        <v/>
      </c>
    </row>
    <row r="203" spans="1:20" x14ac:dyDescent="0.15">
      <c r="A203">
        <v>93134</v>
      </c>
      <c r="B203" s="20" t="s">
        <v>1011</v>
      </c>
      <c r="C203">
        <v>0</v>
      </c>
      <c r="D203">
        <f t="shared" si="6"/>
        <v>6</v>
      </c>
      <c r="E203">
        <f>VLOOKUP($A203,[2]!掉落查询,[2]获取途径临时表!C$1,FALSE)</f>
        <v>6202</v>
      </c>
      <c r="F203">
        <f>VLOOKUP($A203,[2]!掉落查询,[2]获取途径临时表!D$1,FALSE)</f>
        <v>6206</v>
      </c>
      <c r="G203">
        <f>VLOOKUP($A203,[2]!掉落查询,[2]获取途径临时表!E$1,FALSE)</f>
        <v>7202</v>
      </c>
      <c r="H203">
        <f>VLOOKUP($A203,[2]!掉落查询,[2]获取途径临时表!F$1,FALSE)</f>
        <v>7208</v>
      </c>
      <c r="I203">
        <f>VLOOKUP($A203,[2]!掉落查询,[2]获取途径临时表!G$1,FALSE)</f>
        <v>7209</v>
      </c>
      <c r="J203">
        <f>VLOOKUP($A203,[2]!掉落查询,[2]获取途径临时表!H$1,FALSE)</f>
        <v>8202</v>
      </c>
      <c r="K203" t="str">
        <f>VLOOKUP($A203,[2]!掉落查询,[2]获取途径临时表!I$1,FALSE)</f>
        <v/>
      </c>
      <c r="L203" t="str">
        <f>VLOOKUP($A203,[2]!掉落查询,[2]获取途径临时表!J$1,FALSE)</f>
        <v/>
      </c>
      <c r="M203" t="str">
        <f>VLOOKUP($A203,[2]!掉落查询,[2]获取途径临时表!K$1,FALSE)</f>
        <v/>
      </c>
      <c r="N203" t="str">
        <f>VLOOKUP($A203,[2]!掉落查询,[2]获取途径临时表!L$1,FALSE)</f>
        <v/>
      </c>
      <c r="O203" t="str">
        <f>VLOOKUP($A203,[2]!掉落查询,[2]获取途径临时表!M$1,FALSE)</f>
        <v/>
      </c>
      <c r="P203" t="str">
        <f>VLOOKUP($A203,[2]!掉落查询,[2]获取途径临时表!N$1,FALSE)</f>
        <v/>
      </c>
      <c r="Q203" t="str">
        <f>VLOOKUP($A203,[2]!掉落查询,[2]获取途径临时表!O$1,FALSE)</f>
        <v/>
      </c>
      <c r="R203" t="str">
        <f>VLOOKUP($A203,[2]!掉落查询,[2]获取途径临时表!P$1,FALSE)</f>
        <v/>
      </c>
      <c r="S203" t="str">
        <f>VLOOKUP($A203,[2]!掉落查询,[2]获取途径临时表!Q$1,FALSE)</f>
        <v/>
      </c>
      <c r="T203" t="str">
        <f>VLOOKUP($A203,[2]!掉落查询,[2]获取途径临时表!R$1,FALSE)</f>
        <v/>
      </c>
    </row>
    <row r="204" spans="1:20" x14ac:dyDescent="0.15">
      <c r="A204">
        <v>93223</v>
      </c>
      <c r="B204" s="20" t="s">
        <v>249</v>
      </c>
      <c r="C204">
        <v>0</v>
      </c>
      <c r="D204">
        <f t="shared" si="6"/>
        <v>6</v>
      </c>
      <c r="E204">
        <f>VLOOKUP($A204,[2]!掉落查询,[2]获取途径临时表!C$1,FALSE)</f>
        <v>6203</v>
      </c>
      <c r="F204">
        <f>VLOOKUP($A204,[2]!掉落查询,[2]获取途径临时表!D$1,FALSE)</f>
        <v>7201</v>
      </c>
      <c r="G204">
        <f>VLOOKUP($A204,[2]!掉落查询,[2]获取途径临时表!E$1,FALSE)</f>
        <v>7203</v>
      </c>
      <c r="H204">
        <f>VLOOKUP($A204,[2]!掉落查询,[2]获取途径临时表!F$1,FALSE)</f>
        <v>7209</v>
      </c>
      <c r="I204">
        <f>VLOOKUP($A204,[2]!掉落查询,[2]获取途径临时表!G$1,FALSE)</f>
        <v>8201</v>
      </c>
      <c r="J204">
        <f>VLOOKUP($A204,[2]!掉落查询,[2]获取途径临时表!H$1,FALSE)</f>
        <v>8203</v>
      </c>
      <c r="K204" t="str">
        <f>VLOOKUP($A204,[2]!掉落查询,[2]获取途径临时表!I$1,FALSE)</f>
        <v/>
      </c>
      <c r="L204" t="str">
        <f>VLOOKUP($A204,[2]!掉落查询,[2]获取途径临时表!J$1,FALSE)</f>
        <v/>
      </c>
      <c r="M204" t="str">
        <f>VLOOKUP($A204,[2]!掉落查询,[2]获取途径临时表!K$1,FALSE)</f>
        <v/>
      </c>
      <c r="N204" t="str">
        <f>VLOOKUP($A204,[2]!掉落查询,[2]获取途径临时表!L$1,FALSE)</f>
        <v/>
      </c>
      <c r="O204" t="str">
        <f>VLOOKUP($A204,[2]!掉落查询,[2]获取途径临时表!M$1,FALSE)</f>
        <v/>
      </c>
      <c r="P204" t="str">
        <f>VLOOKUP($A204,[2]!掉落查询,[2]获取途径临时表!N$1,FALSE)</f>
        <v/>
      </c>
      <c r="Q204" t="str">
        <f>VLOOKUP($A204,[2]!掉落查询,[2]获取途径临时表!O$1,FALSE)</f>
        <v/>
      </c>
      <c r="R204" t="str">
        <f>VLOOKUP($A204,[2]!掉落查询,[2]获取途径临时表!P$1,FALSE)</f>
        <v/>
      </c>
      <c r="S204" t="str">
        <f>VLOOKUP($A204,[2]!掉落查询,[2]获取途径临时表!Q$1,FALSE)</f>
        <v/>
      </c>
      <c r="T204" t="str">
        <f>VLOOKUP($A204,[2]!掉落查询,[2]获取途径临时表!R$1,FALSE)</f>
        <v/>
      </c>
    </row>
    <row r="205" spans="1:20" x14ac:dyDescent="0.15">
      <c r="A205">
        <v>93227</v>
      </c>
      <c r="B205" s="20" t="s">
        <v>1012</v>
      </c>
      <c r="C205">
        <v>0</v>
      </c>
      <c r="D205">
        <f t="shared" si="6"/>
        <v>6</v>
      </c>
      <c r="E205">
        <f>VLOOKUP($A205,[2]!掉落查询,[2]获取途径临时表!C$1,FALSE)</f>
        <v>6204</v>
      </c>
      <c r="F205">
        <f>VLOOKUP($A205,[2]!掉落查询,[2]获取途径临时表!D$1,FALSE)</f>
        <v>7202</v>
      </c>
      <c r="G205">
        <f>VLOOKUP($A205,[2]!掉落查询,[2]获取途径临时表!E$1,FALSE)</f>
        <v>7204</v>
      </c>
      <c r="H205">
        <f>VLOOKUP($A205,[2]!掉落查询,[2]获取途径临时表!F$1,FALSE)</f>
        <v>8201</v>
      </c>
      <c r="I205">
        <f>VLOOKUP($A205,[2]!掉落查询,[2]获取途径临时表!G$1,FALSE)</f>
        <v>8202</v>
      </c>
      <c r="J205">
        <f>VLOOKUP($A205,[2]!掉落查询,[2]获取途径临时表!H$1,FALSE)</f>
        <v>8204</v>
      </c>
      <c r="K205" t="str">
        <f>VLOOKUP($A205,[2]!掉落查询,[2]获取途径临时表!I$1,FALSE)</f>
        <v/>
      </c>
      <c r="L205" t="str">
        <f>VLOOKUP($A205,[2]!掉落查询,[2]获取途径临时表!J$1,FALSE)</f>
        <v/>
      </c>
      <c r="M205" t="str">
        <f>VLOOKUP($A205,[2]!掉落查询,[2]获取途径临时表!K$1,FALSE)</f>
        <v/>
      </c>
      <c r="N205" t="str">
        <f>VLOOKUP($A205,[2]!掉落查询,[2]获取途径临时表!L$1,FALSE)</f>
        <v/>
      </c>
      <c r="O205" t="str">
        <f>VLOOKUP($A205,[2]!掉落查询,[2]获取途径临时表!M$1,FALSE)</f>
        <v/>
      </c>
      <c r="P205" t="str">
        <f>VLOOKUP($A205,[2]!掉落查询,[2]获取途径临时表!N$1,FALSE)</f>
        <v/>
      </c>
      <c r="Q205" t="str">
        <f>VLOOKUP($A205,[2]!掉落查询,[2]获取途径临时表!O$1,FALSE)</f>
        <v/>
      </c>
      <c r="R205" t="str">
        <f>VLOOKUP($A205,[2]!掉落查询,[2]获取途径临时表!P$1,FALSE)</f>
        <v/>
      </c>
      <c r="S205" t="str">
        <f>VLOOKUP($A205,[2]!掉落查询,[2]获取途径临时表!Q$1,FALSE)</f>
        <v/>
      </c>
      <c r="T205" t="str">
        <f>VLOOKUP($A205,[2]!掉落查询,[2]获取途径临时表!R$1,FALSE)</f>
        <v/>
      </c>
    </row>
    <row r="206" spans="1:20" x14ac:dyDescent="0.15">
      <c r="A206">
        <v>93236</v>
      </c>
      <c r="B206" s="20" t="s">
        <v>1013</v>
      </c>
      <c r="C206">
        <v>0</v>
      </c>
      <c r="D206">
        <f t="shared" si="6"/>
        <v>6</v>
      </c>
      <c r="E206">
        <f>VLOOKUP($A206,[2]!掉落查询,[2]获取途径临时表!C$1,FALSE)</f>
        <v>6205</v>
      </c>
      <c r="F206">
        <f>VLOOKUP($A206,[2]!掉落查询,[2]获取途径临时表!D$1,FALSE)</f>
        <v>7203</v>
      </c>
      <c r="G206">
        <f>VLOOKUP($A206,[2]!掉落查询,[2]获取途径临时表!E$1,FALSE)</f>
        <v>7205</v>
      </c>
      <c r="H206">
        <f>VLOOKUP($A206,[2]!掉落查询,[2]获取途径临时表!F$1,FALSE)</f>
        <v>8202</v>
      </c>
      <c r="I206">
        <f>VLOOKUP($A206,[2]!掉落查询,[2]获取途径临时表!G$1,FALSE)</f>
        <v>8203</v>
      </c>
      <c r="J206">
        <f>VLOOKUP($A206,[2]!掉落查询,[2]获取途径临时表!H$1,FALSE)</f>
        <v>8205</v>
      </c>
      <c r="K206" t="str">
        <f>VLOOKUP($A206,[2]!掉落查询,[2]获取途径临时表!I$1,FALSE)</f>
        <v/>
      </c>
      <c r="L206" t="str">
        <f>VLOOKUP($A206,[2]!掉落查询,[2]获取途径临时表!J$1,FALSE)</f>
        <v/>
      </c>
      <c r="M206" t="str">
        <f>VLOOKUP($A206,[2]!掉落查询,[2]获取途径临时表!K$1,FALSE)</f>
        <v/>
      </c>
      <c r="N206" t="str">
        <f>VLOOKUP($A206,[2]!掉落查询,[2]获取途径临时表!L$1,FALSE)</f>
        <v/>
      </c>
      <c r="O206" t="str">
        <f>VLOOKUP($A206,[2]!掉落查询,[2]获取途径临时表!M$1,FALSE)</f>
        <v/>
      </c>
      <c r="P206" t="str">
        <f>VLOOKUP($A206,[2]!掉落查询,[2]获取途径临时表!N$1,FALSE)</f>
        <v/>
      </c>
      <c r="Q206" t="str">
        <f>VLOOKUP($A206,[2]!掉落查询,[2]获取途径临时表!O$1,FALSE)</f>
        <v/>
      </c>
      <c r="R206" t="str">
        <f>VLOOKUP($A206,[2]!掉落查询,[2]获取途径临时表!P$1,FALSE)</f>
        <v/>
      </c>
      <c r="S206" t="str">
        <f>VLOOKUP($A206,[2]!掉落查询,[2]获取途径临时表!Q$1,FALSE)</f>
        <v/>
      </c>
      <c r="T206" t="str">
        <f>VLOOKUP($A206,[2]!掉落查询,[2]获取途径临时表!R$1,FALSE)</f>
        <v/>
      </c>
    </row>
    <row r="207" spans="1:20" x14ac:dyDescent="0.15">
      <c r="A207">
        <v>93013</v>
      </c>
      <c r="B207" s="20" t="s">
        <v>248</v>
      </c>
      <c r="C207">
        <v>0</v>
      </c>
      <c r="D207">
        <f t="shared" si="6"/>
        <v>6</v>
      </c>
      <c r="E207">
        <f>VLOOKUP($A207,[2]!掉落查询,[2]获取途径临时表!C$1,FALSE)</f>
        <v>6206</v>
      </c>
      <c r="F207">
        <f>VLOOKUP($A207,[2]!掉落查询,[2]获取途径临时表!D$1,FALSE)</f>
        <v>7204</v>
      </c>
      <c r="G207">
        <f>VLOOKUP($A207,[2]!掉落查询,[2]获取途径临时表!E$1,FALSE)</f>
        <v>7206</v>
      </c>
      <c r="H207">
        <f>VLOOKUP($A207,[2]!掉落查询,[2]获取途径临时表!F$1,FALSE)</f>
        <v>8203</v>
      </c>
      <c r="I207">
        <f>VLOOKUP($A207,[2]!掉落查询,[2]获取途径临时表!G$1,FALSE)</f>
        <v>8204</v>
      </c>
      <c r="J207">
        <f>VLOOKUP($A207,[2]!掉落查询,[2]获取途径临时表!H$1,FALSE)</f>
        <v>8206</v>
      </c>
      <c r="K207" t="str">
        <f>VLOOKUP($A207,[2]!掉落查询,[2]获取途径临时表!I$1,FALSE)</f>
        <v/>
      </c>
      <c r="L207" t="str">
        <f>VLOOKUP($A207,[2]!掉落查询,[2]获取途径临时表!J$1,FALSE)</f>
        <v/>
      </c>
      <c r="M207" t="str">
        <f>VLOOKUP($A207,[2]!掉落查询,[2]获取途径临时表!K$1,FALSE)</f>
        <v/>
      </c>
      <c r="N207" t="str">
        <f>VLOOKUP($A207,[2]!掉落查询,[2]获取途径临时表!L$1,FALSE)</f>
        <v/>
      </c>
      <c r="O207" t="str">
        <f>VLOOKUP($A207,[2]!掉落查询,[2]获取途径临时表!M$1,FALSE)</f>
        <v/>
      </c>
      <c r="P207" t="str">
        <f>VLOOKUP($A207,[2]!掉落查询,[2]获取途径临时表!N$1,FALSE)</f>
        <v/>
      </c>
      <c r="Q207" t="str">
        <f>VLOOKUP($A207,[2]!掉落查询,[2]获取途径临时表!O$1,FALSE)</f>
        <v/>
      </c>
      <c r="R207" t="str">
        <f>VLOOKUP($A207,[2]!掉落查询,[2]获取途径临时表!P$1,FALSE)</f>
        <v/>
      </c>
      <c r="S207" t="str">
        <f>VLOOKUP($A207,[2]!掉落查询,[2]获取途径临时表!Q$1,FALSE)</f>
        <v/>
      </c>
      <c r="T207" t="str">
        <f>VLOOKUP($A207,[2]!掉落查询,[2]获取途径临时表!R$1,FALSE)</f>
        <v/>
      </c>
    </row>
    <row r="208" spans="1:20" x14ac:dyDescent="0.15">
      <c r="A208">
        <v>93253</v>
      </c>
      <c r="B208" s="20" t="s">
        <v>1014</v>
      </c>
      <c r="C208">
        <v>0</v>
      </c>
      <c r="D208">
        <f t="shared" si="6"/>
        <v>6</v>
      </c>
      <c r="E208">
        <f>VLOOKUP($A208,[2]!掉落查询,[2]获取途径临时表!C$1,FALSE)</f>
        <v>6207</v>
      </c>
      <c r="F208">
        <f>VLOOKUP($A208,[2]!掉落查询,[2]获取途径临时表!D$1,FALSE)</f>
        <v>7201</v>
      </c>
      <c r="G208">
        <f>VLOOKUP($A208,[2]!掉落查询,[2]获取途径临时表!E$1,FALSE)</f>
        <v>7207</v>
      </c>
      <c r="H208">
        <f>VLOOKUP($A208,[2]!掉落查询,[2]获取途径临时表!F$1,FALSE)</f>
        <v>8204</v>
      </c>
      <c r="I208">
        <f>VLOOKUP($A208,[2]!掉落查询,[2]获取途径临时表!G$1,FALSE)</f>
        <v>8205</v>
      </c>
      <c r="J208">
        <f>VLOOKUP($A208,[2]!掉落查询,[2]获取途径临时表!H$1,FALSE)</f>
        <v>8207</v>
      </c>
      <c r="K208" t="str">
        <f>VLOOKUP($A208,[2]!掉落查询,[2]获取途径临时表!I$1,FALSE)</f>
        <v/>
      </c>
      <c r="L208" t="str">
        <f>VLOOKUP($A208,[2]!掉落查询,[2]获取途径临时表!J$1,FALSE)</f>
        <v/>
      </c>
      <c r="M208" t="str">
        <f>VLOOKUP($A208,[2]!掉落查询,[2]获取途径临时表!K$1,FALSE)</f>
        <v/>
      </c>
      <c r="N208" t="str">
        <f>VLOOKUP($A208,[2]!掉落查询,[2]获取途径临时表!L$1,FALSE)</f>
        <v/>
      </c>
      <c r="O208" t="str">
        <f>VLOOKUP($A208,[2]!掉落查询,[2]获取途径临时表!M$1,FALSE)</f>
        <v/>
      </c>
      <c r="P208" t="str">
        <f>VLOOKUP($A208,[2]!掉落查询,[2]获取途径临时表!N$1,FALSE)</f>
        <v/>
      </c>
      <c r="Q208" t="str">
        <f>VLOOKUP($A208,[2]!掉落查询,[2]获取途径临时表!O$1,FALSE)</f>
        <v/>
      </c>
      <c r="R208" t="str">
        <f>VLOOKUP($A208,[2]!掉落查询,[2]获取途径临时表!P$1,FALSE)</f>
        <v/>
      </c>
      <c r="S208" t="str">
        <f>VLOOKUP($A208,[2]!掉落查询,[2]获取途径临时表!Q$1,FALSE)</f>
        <v/>
      </c>
      <c r="T208" t="str">
        <f>VLOOKUP($A208,[2]!掉落查询,[2]获取途径临时表!R$1,FALSE)</f>
        <v/>
      </c>
    </row>
    <row r="209" spans="1:20" x14ac:dyDescent="0.15">
      <c r="A209">
        <v>93254</v>
      </c>
      <c r="B209" s="20" t="s">
        <v>1015</v>
      </c>
      <c r="C209">
        <v>0</v>
      </c>
      <c r="D209">
        <f t="shared" si="6"/>
        <v>6</v>
      </c>
      <c r="E209">
        <f>VLOOKUP($A209,[2]!掉落查询,[2]获取途径临时表!C$1,FALSE)</f>
        <v>6208</v>
      </c>
      <c r="F209">
        <f>VLOOKUP($A209,[2]!掉落查询,[2]获取途径临时表!D$1,FALSE)</f>
        <v>7202</v>
      </c>
      <c r="G209">
        <f>VLOOKUP($A209,[2]!掉落查询,[2]获取途径临时表!E$1,FALSE)</f>
        <v>7208</v>
      </c>
      <c r="H209">
        <f>VLOOKUP($A209,[2]!掉落查询,[2]获取途径临时表!F$1,FALSE)</f>
        <v>8205</v>
      </c>
      <c r="I209">
        <f>VLOOKUP($A209,[2]!掉落查询,[2]获取途径临时表!G$1,FALSE)</f>
        <v>8208</v>
      </c>
      <c r="J209">
        <f>VLOOKUP($A209,[2]!掉落查询,[2]获取途径临时表!H$1,FALSE)</f>
        <v>8209</v>
      </c>
      <c r="K209" t="str">
        <f>VLOOKUP($A209,[2]!掉落查询,[2]获取途径临时表!I$1,FALSE)</f>
        <v/>
      </c>
      <c r="L209" t="str">
        <f>VLOOKUP($A209,[2]!掉落查询,[2]获取途径临时表!J$1,FALSE)</f>
        <v/>
      </c>
      <c r="M209" t="str">
        <f>VLOOKUP($A209,[2]!掉落查询,[2]获取途径临时表!K$1,FALSE)</f>
        <v/>
      </c>
      <c r="N209" t="str">
        <f>VLOOKUP($A209,[2]!掉落查询,[2]获取途径临时表!L$1,FALSE)</f>
        <v/>
      </c>
      <c r="O209" t="str">
        <f>VLOOKUP($A209,[2]!掉落查询,[2]获取途径临时表!M$1,FALSE)</f>
        <v/>
      </c>
      <c r="P209" t="str">
        <f>VLOOKUP($A209,[2]!掉落查询,[2]获取途径临时表!N$1,FALSE)</f>
        <v/>
      </c>
      <c r="Q209" t="str">
        <f>VLOOKUP($A209,[2]!掉落查询,[2]获取途径临时表!O$1,FALSE)</f>
        <v/>
      </c>
      <c r="R209" t="str">
        <f>VLOOKUP($A209,[2]!掉落查询,[2]获取途径临时表!P$1,FALSE)</f>
        <v/>
      </c>
      <c r="S209" t="str">
        <f>VLOOKUP($A209,[2]!掉落查询,[2]获取途径临时表!Q$1,FALSE)</f>
        <v/>
      </c>
      <c r="T209" t="str">
        <f>VLOOKUP($A209,[2]!掉落查询,[2]获取途径临时表!R$1,FALSE)</f>
        <v/>
      </c>
    </row>
    <row r="210" spans="1:20" x14ac:dyDescent="0.15">
      <c r="A210">
        <v>93274</v>
      </c>
      <c r="B210" s="20" t="s">
        <v>1016</v>
      </c>
      <c r="C210">
        <v>0</v>
      </c>
      <c r="D210">
        <f t="shared" si="6"/>
        <v>5</v>
      </c>
      <c r="E210">
        <f>VLOOKUP($A210,[2]!掉落查询,[2]获取途径临时表!C$1,FALSE)</f>
        <v>6209</v>
      </c>
      <c r="F210">
        <f>VLOOKUP($A210,[2]!掉落查询,[2]获取途径临时表!D$1,FALSE)</f>
        <v>7203</v>
      </c>
      <c r="G210">
        <f>VLOOKUP($A210,[2]!掉落查询,[2]获取途径临时表!E$1,FALSE)</f>
        <v>7209</v>
      </c>
      <c r="H210">
        <f>VLOOKUP($A210,[2]!掉落查询,[2]获取途径临时表!F$1,FALSE)</f>
        <v>8206</v>
      </c>
      <c r="I210">
        <f>VLOOKUP($A210,[2]!掉落查询,[2]获取途径临时表!G$1,FALSE)</f>
        <v>8209</v>
      </c>
      <c r="J210" t="str">
        <f>VLOOKUP($A210,[2]!掉落查询,[2]获取途径临时表!H$1,FALSE)</f>
        <v/>
      </c>
      <c r="K210" t="str">
        <f>VLOOKUP($A210,[2]!掉落查询,[2]获取途径临时表!I$1,FALSE)</f>
        <v/>
      </c>
      <c r="L210" t="str">
        <f>VLOOKUP($A210,[2]!掉落查询,[2]获取途径临时表!J$1,FALSE)</f>
        <v/>
      </c>
      <c r="M210" t="str">
        <f>VLOOKUP($A210,[2]!掉落查询,[2]获取途径临时表!K$1,FALSE)</f>
        <v/>
      </c>
      <c r="N210" t="str">
        <f>VLOOKUP($A210,[2]!掉落查询,[2]获取途径临时表!L$1,FALSE)</f>
        <v/>
      </c>
      <c r="O210" t="str">
        <f>VLOOKUP($A210,[2]!掉落查询,[2]获取途径临时表!M$1,FALSE)</f>
        <v/>
      </c>
      <c r="P210" t="str">
        <f>VLOOKUP($A210,[2]!掉落查询,[2]获取途径临时表!N$1,FALSE)</f>
        <v/>
      </c>
      <c r="Q210" t="str">
        <f>VLOOKUP($A210,[2]!掉落查询,[2]获取途径临时表!O$1,FALSE)</f>
        <v/>
      </c>
      <c r="R210" t="str">
        <f>VLOOKUP($A210,[2]!掉落查询,[2]获取途径临时表!P$1,FALSE)</f>
        <v/>
      </c>
      <c r="S210" t="str">
        <f>VLOOKUP($A210,[2]!掉落查询,[2]获取途径临时表!Q$1,FALSE)</f>
        <v/>
      </c>
      <c r="T210" t="str">
        <f>VLOOKUP($A210,[2]!掉落查询,[2]获取途径临时表!R$1,FALSE)</f>
        <v/>
      </c>
    </row>
    <row r="211" spans="1:20" x14ac:dyDescent="0.15">
      <c r="A211">
        <v>93280</v>
      </c>
      <c r="B211" s="20" t="s">
        <v>250</v>
      </c>
      <c r="C211">
        <v>0</v>
      </c>
      <c r="D211">
        <f t="shared" si="6"/>
        <v>5</v>
      </c>
      <c r="E211">
        <f>VLOOKUP($A211,[2]!掉落查询,[2]获取途径临时表!C$1,FALSE)</f>
        <v>6207</v>
      </c>
      <c r="F211">
        <f>VLOOKUP($A211,[2]!掉落查询,[2]获取途径临时表!D$1,FALSE)</f>
        <v>7204</v>
      </c>
      <c r="G211">
        <f>VLOOKUP($A211,[2]!掉落查询,[2]获取途径临时表!E$1,FALSE)</f>
        <v>7205</v>
      </c>
      <c r="H211">
        <f>VLOOKUP($A211,[2]!掉落查询,[2]获取途径临时表!F$1,FALSE)</f>
        <v>8206</v>
      </c>
      <c r="I211">
        <f>VLOOKUP($A211,[2]!掉落查询,[2]获取途径临时表!G$1,FALSE)</f>
        <v>8207</v>
      </c>
      <c r="J211" t="str">
        <f>VLOOKUP($A211,[2]!掉落查询,[2]获取途径临时表!H$1,FALSE)</f>
        <v/>
      </c>
      <c r="K211" t="str">
        <f>VLOOKUP($A211,[2]!掉落查询,[2]获取途径临时表!I$1,FALSE)</f>
        <v/>
      </c>
      <c r="L211" t="str">
        <f>VLOOKUP($A211,[2]!掉落查询,[2]获取途径临时表!J$1,FALSE)</f>
        <v/>
      </c>
      <c r="M211" t="str">
        <f>VLOOKUP($A211,[2]!掉落查询,[2]获取途径临时表!K$1,FALSE)</f>
        <v/>
      </c>
      <c r="N211" t="str">
        <f>VLOOKUP($A211,[2]!掉落查询,[2]获取途径临时表!L$1,FALSE)</f>
        <v/>
      </c>
      <c r="O211" t="str">
        <f>VLOOKUP($A211,[2]!掉落查询,[2]获取途径临时表!M$1,FALSE)</f>
        <v/>
      </c>
      <c r="P211" t="str">
        <f>VLOOKUP($A211,[2]!掉落查询,[2]获取途径临时表!N$1,FALSE)</f>
        <v/>
      </c>
      <c r="Q211" t="str">
        <f>VLOOKUP($A211,[2]!掉落查询,[2]获取途径临时表!O$1,FALSE)</f>
        <v/>
      </c>
      <c r="R211" t="str">
        <f>VLOOKUP($A211,[2]!掉落查询,[2]获取途径临时表!P$1,FALSE)</f>
        <v/>
      </c>
      <c r="S211" t="str">
        <f>VLOOKUP($A211,[2]!掉落查询,[2]获取途径临时表!Q$1,FALSE)</f>
        <v/>
      </c>
      <c r="T211" t="str">
        <f>VLOOKUP($A211,[2]!掉落查询,[2]获取途径临时表!R$1,FALSE)</f>
        <v/>
      </c>
    </row>
    <row r="212" spans="1:20" x14ac:dyDescent="0.15">
      <c r="A212">
        <v>93285</v>
      </c>
      <c r="B212" s="20" t="s">
        <v>1017</v>
      </c>
      <c r="C212">
        <v>0</v>
      </c>
      <c r="D212">
        <f t="shared" si="6"/>
        <v>5</v>
      </c>
      <c r="E212">
        <f>VLOOKUP($A212,[2]!掉落查询,[2]获取途径临时表!C$1,FALSE)</f>
        <v>6208</v>
      </c>
      <c r="F212">
        <f>VLOOKUP($A212,[2]!掉落查询,[2]获取途径临时表!D$1,FALSE)</f>
        <v>7205</v>
      </c>
      <c r="G212">
        <f>VLOOKUP($A212,[2]!掉落查询,[2]获取途径临时表!E$1,FALSE)</f>
        <v>7206</v>
      </c>
      <c r="H212">
        <f>VLOOKUP($A212,[2]!掉落查询,[2]获取途径临时表!F$1,FALSE)</f>
        <v>8207</v>
      </c>
      <c r="I212">
        <f>VLOOKUP($A212,[2]!掉落查询,[2]获取途径临时表!G$1,FALSE)</f>
        <v>8208</v>
      </c>
      <c r="J212" t="str">
        <f>VLOOKUP($A212,[2]!掉落查询,[2]获取途径临时表!H$1,FALSE)</f>
        <v/>
      </c>
      <c r="K212" t="str">
        <f>VLOOKUP($A212,[2]!掉落查询,[2]获取途径临时表!I$1,FALSE)</f>
        <v/>
      </c>
      <c r="L212" t="str">
        <f>VLOOKUP($A212,[2]!掉落查询,[2]获取途径临时表!J$1,FALSE)</f>
        <v/>
      </c>
      <c r="M212" t="str">
        <f>VLOOKUP($A212,[2]!掉落查询,[2]获取途径临时表!K$1,FALSE)</f>
        <v/>
      </c>
      <c r="N212" t="str">
        <f>VLOOKUP($A212,[2]!掉落查询,[2]获取途径临时表!L$1,FALSE)</f>
        <v/>
      </c>
      <c r="O212" t="str">
        <f>VLOOKUP($A212,[2]!掉落查询,[2]获取途径临时表!M$1,FALSE)</f>
        <v/>
      </c>
      <c r="P212" t="str">
        <f>VLOOKUP($A212,[2]!掉落查询,[2]获取途径临时表!N$1,FALSE)</f>
        <v/>
      </c>
      <c r="Q212" t="str">
        <f>VLOOKUP($A212,[2]!掉落查询,[2]获取途径临时表!O$1,FALSE)</f>
        <v/>
      </c>
      <c r="R212" t="str">
        <f>VLOOKUP($A212,[2]!掉落查询,[2]获取途径临时表!P$1,FALSE)</f>
        <v/>
      </c>
      <c r="S212" t="str">
        <f>VLOOKUP($A212,[2]!掉落查询,[2]获取途径临时表!Q$1,FALSE)</f>
        <v/>
      </c>
      <c r="T212" t="str">
        <f>VLOOKUP($A212,[2]!掉落查询,[2]获取途径临时表!R$1,FALSE)</f>
        <v/>
      </c>
    </row>
    <row r="213" spans="1:20" x14ac:dyDescent="0.15">
      <c r="A213">
        <v>93289</v>
      </c>
      <c r="B213" s="20" t="s">
        <v>1018</v>
      </c>
      <c r="C213">
        <v>0</v>
      </c>
      <c r="D213">
        <f t="shared" si="6"/>
        <v>5</v>
      </c>
      <c r="E213">
        <f>VLOOKUP($A213,[2]!掉落查询,[2]获取途径临时表!C$1,FALSE)</f>
        <v>6209</v>
      </c>
      <c r="F213">
        <f>VLOOKUP($A213,[2]!掉落查询,[2]获取途径临时表!D$1,FALSE)</f>
        <v>7206</v>
      </c>
      <c r="G213">
        <f>VLOOKUP($A213,[2]!掉落查询,[2]获取途径临时表!E$1,FALSE)</f>
        <v>7207</v>
      </c>
      <c r="H213">
        <f>VLOOKUP($A213,[2]!掉落查询,[2]获取途径临时表!F$1,FALSE)</f>
        <v>8208</v>
      </c>
      <c r="I213">
        <f>VLOOKUP($A213,[2]!掉落查询,[2]获取途径临时表!G$1,FALSE)</f>
        <v>8209</v>
      </c>
      <c r="J213" t="str">
        <f>VLOOKUP($A213,[2]!掉落查询,[2]获取途径临时表!H$1,FALSE)</f>
        <v/>
      </c>
      <c r="K213" t="str">
        <f>VLOOKUP($A213,[2]!掉落查询,[2]获取途径临时表!I$1,FALSE)</f>
        <v/>
      </c>
      <c r="L213" t="str">
        <f>VLOOKUP($A213,[2]!掉落查询,[2]获取途径临时表!J$1,FALSE)</f>
        <v/>
      </c>
      <c r="M213" t="str">
        <f>VLOOKUP($A213,[2]!掉落查询,[2]获取途径临时表!K$1,FALSE)</f>
        <v/>
      </c>
      <c r="N213" t="str">
        <f>VLOOKUP($A213,[2]!掉落查询,[2]获取途径临时表!L$1,FALSE)</f>
        <v/>
      </c>
      <c r="O213" t="str">
        <f>VLOOKUP($A213,[2]!掉落查询,[2]获取途径临时表!M$1,FALSE)</f>
        <v/>
      </c>
      <c r="P213" t="str">
        <f>VLOOKUP($A213,[2]!掉落查询,[2]获取途径临时表!N$1,FALSE)</f>
        <v/>
      </c>
      <c r="Q213" t="str">
        <f>VLOOKUP($A213,[2]!掉落查询,[2]获取途径临时表!O$1,FALSE)</f>
        <v/>
      </c>
      <c r="R213" t="str">
        <f>VLOOKUP($A213,[2]!掉落查询,[2]获取途径临时表!P$1,FALSE)</f>
        <v/>
      </c>
      <c r="S213" t="str">
        <f>VLOOKUP($A213,[2]!掉落查询,[2]获取途径临时表!Q$1,FALSE)</f>
        <v/>
      </c>
      <c r="T213" t="str">
        <f>VLOOKUP($A213,[2]!掉落查询,[2]获取途径临时表!R$1,FALSE)</f>
        <v/>
      </c>
    </row>
    <row r="214" spans="1:20" x14ac:dyDescent="0.15">
      <c r="A214">
        <v>93014</v>
      </c>
      <c r="B214" s="21" t="s">
        <v>1019</v>
      </c>
      <c r="C214">
        <v>0</v>
      </c>
      <c r="D214">
        <f t="shared" si="6"/>
        <v>0</v>
      </c>
      <c r="E214" t="str">
        <f>VLOOKUP($A214,[2]!掉落查询,[2]获取途径临时表!C$1,FALSE)</f>
        <v/>
      </c>
      <c r="F214" t="str">
        <f>VLOOKUP($A214,[2]!掉落查询,[2]获取途径临时表!D$1,FALSE)</f>
        <v/>
      </c>
      <c r="G214" t="str">
        <f>VLOOKUP($A214,[2]!掉落查询,[2]获取途径临时表!E$1,FALSE)</f>
        <v/>
      </c>
      <c r="H214" t="str">
        <f>VLOOKUP($A214,[2]!掉落查询,[2]获取途径临时表!F$1,FALSE)</f>
        <v/>
      </c>
      <c r="I214" t="str">
        <f>VLOOKUP($A214,[2]!掉落查询,[2]获取途径临时表!G$1,FALSE)</f>
        <v/>
      </c>
      <c r="J214" t="str">
        <f>VLOOKUP($A214,[2]!掉落查询,[2]获取途径临时表!H$1,FALSE)</f>
        <v/>
      </c>
      <c r="K214" t="str">
        <f>VLOOKUP($A214,[2]!掉落查询,[2]获取途径临时表!I$1,FALSE)</f>
        <v/>
      </c>
      <c r="L214" t="str">
        <f>VLOOKUP($A214,[2]!掉落查询,[2]获取途径临时表!J$1,FALSE)</f>
        <v/>
      </c>
      <c r="M214" t="str">
        <f>VLOOKUP($A214,[2]!掉落查询,[2]获取途径临时表!K$1,FALSE)</f>
        <v/>
      </c>
      <c r="N214" t="str">
        <f>VLOOKUP($A214,[2]!掉落查询,[2]获取途径临时表!L$1,FALSE)</f>
        <v/>
      </c>
      <c r="O214" t="str">
        <f>VLOOKUP($A214,[2]!掉落查询,[2]获取途径临时表!M$1,FALSE)</f>
        <v/>
      </c>
      <c r="P214" t="str">
        <f>VLOOKUP($A214,[2]!掉落查询,[2]获取途径临时表!N$1,FALSE)</f>
        <v/>
      </c>
      <c r="Q214" t="str">
        <f>VLOOKUP($A214,[2]!掉落查询,[2]获取途径临时表!O$1,FALSE)</f>
        <v/>
      </c>
      <c r="R214" t="str">
        <f>VLOOKUP($A214,[2]!掉落查询,[2]获取途径临时表!P$1,FALSE)</f>
        <v/>
      </c>
      <c r="S214" t="str">
        <f>VLOOKUP($A214,[2]!掉落查询,[2]获取途径临时表!Q$1,FALSE)</f>
        <v/>
      </c>
      <c r="T214" t="str">
        <f>VLOOKUP($A214,[2]!掉落查询,[2]获取途径临时表!R$1,FALSE)</f>
        <v/>
      </c>
    </row>
    <row r="215" spans="1:20" x14ac:dyDescent="0.15">
      <c r="A215">
        <v>93296</v>
      </c>
      <c r="B215" s="21" t="s">
        <v>1020</v>
      </c>
      <c r="C215">
        <v>0</v>
      </c>
      <c r="D215">
        <f t="shared" si="6"/>
        <v>0</v>
      </c>
      <c r="E215" t="str">
        <f>VLOOKUP($A215,[2]!掉落查询,[2]获取途径临时表!C$1,FALSE)</f>
        <v/>
      </c>
      <c r="F215" t="str">
        <f>VLOOKUP($A215,[2]!掉落查询,[2]获取途径临时表!D$1,FALSE)</f>
        <v/>
      </c>
      <c r="G215" t="str">
        <f>VLOOKUP($A215,[2]!掉落查询,[2]获取途径临时表!E$1,FALSE)</f>
        <v/>
      </c>
      <c r="H215" t="str">
        <f>VLOOKUP($A215,[2]!掉落查询,[2]获取途径临时表!F$1,FALSE)</f>
        <v/>
      </c>
      <c r="I215" t="str">
        <f>VLOOKUP($A215,[2]!掉落查询,[2]获取途径临时表!G$1,FALSE)</f>
        <v/>
      </c>
      <c r="J215" t="str">
        <f>VLOOKUP($A215,[2]!掉落查询,[2]获取途径临时表!H$1,FALSE)</f>
        <v/>
      </c>
      <c r="K215" t="str">
        <f>VLOOKUP($A215,[2]!掉落查询,[2]获取途径临时表!I$1,FALSE)</f>
        <v/>
      </c>
      <c r="L215" t="str">
        <f>VLOOKUP($A215,[2]!掉落查询,[2]获取途径临时表!J$1,FALSE)</f>
        <v/>
      </c>
      <c r="M215" t="str">
        <f>VLOOKUP($A215,[2]!掉落查询,[2]获取途径临时表!K$1,FALSE)</f>
        <v/>
      </c>
      <c r="N215" t="str">
        <f>VLOOKUP($A215,[2]!掉落查询,[2]获取途径临时表!L$1,FALSE)</f>
        <v/>
      </c>
      <c r="O215" t="str">
        <f>VLOOKUP($A215,[2]!掉落查询,[2]获取途径临时表!M$1,FALSE)</f>
        <v/>
      </c>
      <c r="P215" t="str">
        <f>VLOOKUP($A215,[2]!掉落查询,[2]获取途径临时表!N$1,FALSE)</f>
        <v/>
      </c>
      <c r="Q215" t="str">
        <f>VLOOKUP($A215,[2]!掉落查询,[2]获取途径临时表!O$1,FALSE)</f>
        <v/>
      </c>
      <c r="R215" t="str">
        <f>VLOOKUP($A215,[2]!掉落查询,[2]获取途径临时表!P$1,FALSE)</f>
        <v/>
      </c>
      <c r="S215" t="str">
        <f>VLOOKUP($A215,[2]!掉落查询,[2]获取途径临时表!Q$1,FALSE)</f>
        <v/>
      </c>
      <c r="T215" t="str">
        <f>VLOOKUP($A215,[2]!掉落查询,[2]获取途径临时表!R$1,FALSE)</f>
        <v/>
      </c>
    </row>
    <row r="216" spans="1:20" x14ac:dyDescent="0.15">
      <c r="A216">
        <v>93240</v>
      </c>
      <c r="B216" s="21" t="s">
        <v>1021</v>
      </c>
      <c r="C216">
        <v>0</v>
      </c>
      <c r="D216">
        <f t="shared" si="6"/>
        <v>0</v>
      </c>
      <c r="E216" t="str">
        <f>VLOOKUP($A216,[2]!掉落查询,[2]获取途径临时表!C$1,FALSE)</f>
        <v/>
      </c>
      <c r="F216" t="str">
        <f>VLOOKUP($A216,[2]!掉落查询,[2]获取途径临时表!D$1,FALSE)</f>
        <v/>
      </c>
      <c r="G216" t="str">
        <f>VLOOKUP($A216,[2]!掉落查询,[2]获取途径临时表!E$1,FALSE)</f>
        <v/>
      </c>
      <c r="H216" t="str">
        <f>VLOOKUP($A216,[2]!掉落查询,[2]获取途径临时表!F$1,FALSE)</f>
        <v/>
      </c>
      <c r="I216" t="str">
        <f>VLOOKUP($A216,[2]!掉落查询,[2]获取途径临时表!G$1,FALSE)</f>
        <v/>
      </c>
      <c r="J216" t="str">
        <f>VLOOKUP($A216,[2]!掉落查询,[2]获取途径临时表!H$1,FALSE)</f>
        <v/>
      </c>
      <c r="K216" t="str">
        <f>VLOOKUP($A216,[2]!掉落查询,[2]获取途径临时表!I$1,FALSE)</f>
        <v/>
      </c>
      <c r="L216" t="str">
        <f>VLOOKUP($A216,[2]!掉落查询,[2]获取途径临时表!J$1,FALSE)</f>
        <v/>
      </c>
      <c r="M216" t="str">
        <f>VLOOKUP($A216,[2]!掉落查询,[2]获取途径临时表!K$1,FALSE)</f>
        <v/>
      </c>
      <c r="N216" t="str">
        <f>VLOOKUP($A216,[2]!掉落查询,[2]获取途径临时表!L$1,FALSE)</f>
        <v/>
      </c>
      <c r="O216" t="str">
        <f>VLOOKUP($A216,[2]!掉落查询,[2]获取途径临时表!M$1,FALSE)</f>
        <v/>
      </c>
      <c r="P216" t="str">
        <f>VLOOKUP($A216,[2]!掉落查询,[2]获取途径临时表!N$1,FALSE)</f>
        <v/>
      </c>
      <c r="Q216" t="str">
        <f>VLOOKUP($A216,[2]!掉落查询,[2]获取途径临时表!O$1,FALSE)</f>
        <v/>
      </c>
      <c r="R216" t="str">
        <f>VLOOKUP($A216,[2]!掉落查询,[2]获取途径临时表!P$1,FALSE)</f>
        <v/>
      </c>
      <c r="S216" t="str">
        <f>VLOOKUP($A216,[2]!掉落查询,[2]获取途径临时表!Q$1,FALSE)</f>
        <v/>
      </c>
      <c r="T216" t="str">
        <f>VLOOKUP($A216,[2]!掉落查询,[2]获取途径临时表!R$1,FALSE)</f>
        <v/>
      </c>
    </row>
    <row r="217" spans="1:20" x14ac:dyDescent="0.15">
      <c r="A217">
        <v>93292</v>
      </c>
      <c r="B217" s="21" t="s">
        <v>1022</v>
      </c>
      <c r="C217">
        <v>0</v>
      </c>
      <c r="D217">
        <f t="shared" si="6"/>
        <v>0</v>
      </c>
      <c r="E217" t="str">
        <f>VLOOKUP($A217,[2]!掉落查询,[2]获取途径临时表!C$1,FALSE)</f>
        <v/>
      </c>
      <c r="F217" t="str">
        <f>VLOOKUP($A217,[2]!掉落查询,[2]获取途径临时表!D$1,FALSE)</f>
        <v/>
      </c>
      <c r="G217" t="str">
        <f>VLOOKUP($A217,[2]!掉落查询,[2]获取途径临时表!E$1,FALSE)</f>
        <v/>
      </c>
      <c r="H217" t="str">
        <f>VLOOKUP($A217,[2]!掉落查询,[2]获取途径临时表!F$1,FALSE)</f>
        <v/>
      </c>
      <c r="I217" t="str">
        <f>VLOOKUP($A217,[2]!掉落查询,[2]获取途径临时表!G$1,FALSE)</f>
        <v/>
      </c>
      <c r="J217" t="str">
        <f>VLOOKUP($A217,[2]!掉落查询,[2]获取途径临时表!H$1,FALSE)</f>
        <v/>
      </c>
      <c r="K217" t="str">
        <f>VLOOKUP($A217,[2]!掉落查询,[2]获取途径临时表!I$1,FALSE)</f>
        <v/>
      </c>
      <c r="L217" t="str">
        <f>VLOOKUP($A217,[2]!掉落查询,[2]获取途径临时表!J$1,FALSE)</f>
        <v/>
      </c>
      <c r="M217" t="str">
        <f>VLOOKUP($A217,[2]!掉落查询,[2]获取途径临时表!K$1,FALSE)</f>
        <v/>
      </c>
      <c r="N217" t="str">
        <f>VLOOKUP($A217,[2]!掉落查询,[2]获取途径临时表!L$1,FALSE)</f>
        <v/>
      </c>
      <c r="O217" t="str">
        <f>VLOOKUP($A217,[2]!掉落查询,[2]获取途径临时表!M$1,FALSE)</f>
        <v/>
      </c>
      <c r="P217" t="str">
        <f>VLOOKUP($A217,[2]!掉落查询,[2]获取途径临时表!N$1,FALSE)</f>
        <v/>
      </c>
      <c r="Q217" t="str">
        <f>VLOOKUP($A217,[2]!掉落查询,[2]获取途径临时表!O$1,FALSE)</f>
        <v/>
      </c>
      <c r="R217" t="str">
        <f>VLOOKUP($A217,[2]!掉落查询,[2]获取途径临时表!P$1,FALSE)</f>
        <v/>
      </c>
      <c r="S217" t="str">
        <f>VLOOKUP($A217,[2]!掉落查询,[2]获取途径临时表!Q$1,FALSE)</f>
        <v/>
      </c>
      <c r="T217" t="str">
        <f>VLOOKUP($A217,[2]!掉落查询,[2]获取途径临时表!R$1,FALSE)</f>
        <v/>
      </c>
    </row>
    <row r="218" spans="1:20" x14ac:dyDescent="0.15">
      <c r="A218">
        <v>93256</v>
      </c>
      <c r="B218" s="21" t="s">
        <v>1023</v>
      </c>
      <c r="C218">
        <v>0</v>
      </c>
      <c r="D218">
        <f t="shared" si="6"/>
        <v>0</v>
      </c>
      <c r="E218" t="str">
        <f>VLOOKUP($A218,[2]!掉落查询,[2]获取途径临时表!C$1,FALSE)</f>
        <v/>
      </c>
      <c r="F218" t="str">
        <f>VLOOKUP($A218,[2]!掉落查询,[2]获取途径临时表!D$1,FALSE)</f>
        <v/>
      </c>
      <c r="G218" t="str">
        <f>VLOOKUP($A218,[2]!掉落查询,[2]获取途径临时表!E$1,FALSE)</f>
        <v/>
      </c>
      <c r="H218" t="str">
        <f>VLOOKUP($A218,[2]!掉落查询,[2]获取途径临时表!F$1,FALSE)</f>
        <v/>
      </c>
      <c r="I218" t="str">
        <f>VLOOKUP($A218,[2]!掉落查询,[2]获取途径临时表!G$1,FALSE)</f>
        <v/>
      </c>
      <c r="J218" t="str">
        <f>VLOOKUP($A218,[2]!掉落查询,[2]获取途径临时表!H$1,FALSE)</f>
        <v/>
      </c>
      <c r="K218" t="str">
        <f>VLOOKUP($A218,[2]!掉落查询,[2]获取途径临时表!I$1,FALSE)</f>
        <v/>
      </c>
      <c r="L218" t="str">
        <f>VLOOKUP($A218,[2]!掉落查询,[2]获取途径临时表!J$1,FALSE)</f>
        <v/>
      </c>
      <c r="M218" t="str">
        <f>VLOOKUP($A218,[2]!掉落查询,[2]获取途径临时表!K$1,FALSE)</f>
        <v/>
      </c>
      <c r="N218" t="str">
        <f>VLOOKUP($A218,[2]!掉落查询,[2]获取途径临时表!L$1,FALSE)</f>
        <v/>
      </c>
      <c r="O218" t="str">
        <f>VLOOKUP($A218,[2]!掉落查询,[2]获取途径临时表!M$1,FALSE)</f>
        <v/>
      </c>
      <c r="P218" t="str">
        <f>VLOOKUP($A218,[2]!掉落查询,[2]获取途径临时表!N$1,FALSE)</f>
        <v/>
      </c>
      <c r="Q218" t="str">
        <f>VLOOKUP($A218,[2]!掉落查询,[2]获取途径临时表!O$1,FALSE)</f>
        <v/>
      </c>
      <c r="R218" t="str">
        <f>VLOOKUP($A218,[2]!掉落查询,[2]获取途径临时表!P$1,FALSE)</f>
        <v/>
      </c>
      <c r="S218" t="str">
        <f>VLOOKUP($A218,[2]!掉落查询,[2]获取途径临时表!Q$1,FALSE)</f>
        <v/>
      </c>
      <c r="T218" t="str">
        <f>VLOOKUP($A218,[2]!掉落查询,[2]获取途径临时表!R$1,FALSE)</f>
        <v/>
      </c>
    </row>
    <row r="219" spans="1:20" x14ac:dyDescent="0.15">
      <c r="A219">
        <v>93261</v>
      </c>
      <c r="B219" s="21" t="s">
        <v>1024</v>
      </c>
      <c r="C219">
        <v>0</v>
      </c>
      <c r="D219">
        <f t="shared" si="6"/>
        <v>0</v>
      </c>
      <c r="E219" t="str">
        <f>VLOOKUP($A219,[2]!掉落查询,[2]获取途径临时表!C$1,FALSE)</f>
        <v/>
      </c>
      <c r="F219" t="str">
        <f>VLOOKUP($A219,[2]!掉落查询,[2]获取途径临时表!D$1,FALSE)</f>
        <v/>
      </c>
      <c r="G219" t="str">
        <f>VLOOKUP($A219,[2]!掉落查询,[2]获取途径临时表!E$1,FALSE)</f>
        <v/>
      </c>
      <c r="H219" t="str">
        <f>VLOOKUP($A219,[2]!掉落查询,[2]获取途径临时表!F$1,FALSE)</f>
        <v/>
      </c>
      <c r="I219" t="str">
        <f>VLOOKUP($A219,[2]!掉落查询,[2]获取途径临时表!G$1,FALSE)</f>
        <v/>
      </c>
      <c r="J219" t="str">
        <f>VLOOKUP($A219,[2]!掉落查询,[2]获取途径临时表!H$1,FALSE)</f>
        <v/>
      </c>
      <c r="K219" t="str">
        <f>VLOOKUP($A219,[2]!掉落查询,[2]获取途径临时表!I$1,FALSE)</f>
        <v/>
      </c>
      <c r="L219" t="str">
        <f>VLOOKUP($A219,[2]!掉落查询,[2]获取途径临时表!J$1,FALSE)</f>
        <v/>
      </c>
      <c r="M219" t="str">
        <f>VLOOKUP($A219,[2]!掉落查询,[2]获取途径临时表!K$1,FALSE)</f>
        <v/>
      </c>
      <c r="N219" t="str">
        <f>VLOOKUP($A219,[2]!掉落查询,[2]获取途径临时表!L$1,FALSE)</f>
        <v/>
      </c>
      <c r="O219" t="str">
        <f>VLOOKUP($A219,[2]!掉落查询,[2]获取途径临时表!M$1,FALSE)</f>
        <v/>
      </c>
      <c r="P219" t="str">
        <f>VLOOKUP($A219,[2]!掉落查询,[2]获取途径临时表!N$1,FALSE)</f>
        <v/>
      </c>
      <c r="Q219" t="str">
        <f>VLOOKUP($A219,[2]!掉落查询,[2]获取途径临时表!O$1,FALSE)</f>
        <v/>
      </c>
      <c r="R219" t="str">
        <f>VLOOKUP($A219,[2]!掉落查询,[2]获取途径临时表!P$1,FALSE)</f>
        <v/>
      </c>
      <c r="S219" t="str">
        <f>VLOOKUP($A219,[2]!掉落查询,[2]获取途径临时表!Q$1,FALSE)</f>
        <v/>
      </c>
      <c r="T219" t="str">
        <f>VLOOKUP($A219,[2]!掉落查询,[2]获取途径临时表!R$1,FALSE)</f>
        <v/>
      </c>
    </row>
    <row r="220" spans="1:20" x14ac:dyDescent="0.15">
      <c r="A220">
        <v>93275</v>
      </c>
      <c r="B220" s="21" t="s">
        <v>1025</v>
      </c>
      <c r="C220">
        <v>0</v>
      </c>
      <c r="D220">
        <f t="shared" si="6"/>
        <v>0</v>
      </c>
      <c r="E220" t="str">
        <f>VLOOKUP($A220,[2]!掉落查询,[2]获取途径临时表!C$1,FALSE)</f>
        <v/>
      </c>
      <c r="F220" t="str">
        <f>VLOOKUP($A220,[2]!掉落查询,[2]获取途径临时表!D$1,FALSE)</f>
        <v/>
      </c>
      <c r="G220" t="str">
        <f>VLOOKUP($A220,[2]!掉落查询,[2]获取途径临时表!E$1,FALSE)</f>
        <v/>
      </c>
      <c r="H220" t="str">
        <f>VLOOKUP($A220,[2]!掉落查询,[2]获取途径临时表!F$1,FALSE)</f>
        <v/>
      </c>
      <c r="I220" t="str">
        <f>VLOOKUP($A220,[2]!掉落查询,[2]获取途径临时表!G$1,FALSE)</f>
        <v/>
      </c>
      <c r="J220" t="str">
        <f>VLOOKUP($A220,[2]!掉落查询,[2]获取途径临时表!H$1,FALSE)</f>
        <v/>
      </c>
      <c r="K220" t="str">
        <f>VLOOKUP($A220,[2]!掉落查询,[2]获取途径临时表!I$1,FALSE)</f>
        <v/>
      </c>
      <c r="L220" t="str">
        <f>VLOOKUP($A220,[2]!掉落查询,[2]获取途径临时表!J$1,FALSE)</f>
        <v/>
      </c>
      <c r="M220" t="str">
        <f>VLOOKUP($A220,[2]!掉落查询,[2]获取途径临时表!K$1,FALSE)</f>
        <v/>
      </c>
      <c r="N220" t="str">
        <f>VLOOKUP($A220,[2]!掉落查询,[2]获取途径临时表!L$1,FALSE)</f>
        <v/>
      </c>
      <c r="O220" t="str">
        <f>VLOOKUP($A220,[2]!掉落查询,[2]获取途径临时表!M$1,FALSE)</f>
        <v/>
      </c>
      <c r="P220" t="str">
        <f>VLOOKUP($A220,[2]!掉落查询,[2]获取途径临时表!N$1,FALSE)</f>
        <v/>
      </c>
      <c r="Q220" t="str">
        <f>VLOOKUP($A220,[2]!掉落查询,[2]获取途径临时表!O$1,FALSE)</f>
        <v/>
      </c>
      <c r="R220" t="str">
        <f>VLOOKUP($A220,[2]!掉落查询,[2]获取途径临时表!P$1,FALSE)</f>
        <v/>
      </c>
      <c r="S220" t="str">
        <f>VLOOKUP($A220,[2]!掉落查询,[2]获取途径临时表!Q$1,FALSE)</f>
        <v/>
      </c>
      <c r="T220" t="str">
        <f>VLOOKUP($A220,[2]!掉落查询,[2]获取途径临时表!R$1,FALSE)</f>
        <v/>
      </c>
    </row>
    <row r="221" spans="1:20" x14ac:dyDescent="0.15">
      <c r="A221">
        <v>93281</v>
      </c>
      <c r="B221" s="21" t="s">
        <v>1026</v>
      </c>
      <c r="C221">
        <v>0</v>
      </c>
      <c r="D221">
        <f t="shared" si="6"/>
        <v>0</v>
      </c>
      <c r="E221" t="str">
        <f>VLOOKUP($A221,[2]!掉落查询,[2]获取途径临时表!C$1,FALSE)</f>
        <v/>
      </c>
      <c r="F221" t="str">
        <f>VLOOKUP($A221,[2]!掉落查询,[2]获取途径临时表!D$1,FALSE)</f>
        <v/>
      </c>
      <c r="G221" t="str">
        <f>VLOOKUP($A221,[2]!掉落查询,[2]获取途径临时表!E$1,FALSE)</f>
        <v/>
      </c>
      <c r="H221" t="str">
        <f>VLOOKUP($A221,[2]!掉落查询,[2]获取途径临时表!F$1,FALSE)</f>
        <v/>
      </c>
      <c r="I221" t="str">
        <f>VLOOKUP($A221,[2]!掉落查询,[2]获取途径临时表!G$1,FALSE)</f>
        <v/>
      </c>
      <c r="J221" t="str">
        <f>VLOOKUP($A221,[2]!掉落查询,[2]获取途径临时表!H$1,FALSE)</f>
        <v/>
      </c>
      <c r="K221" t="str">
        <f>VLOOKUP($A221,[2]!掉落查询,[2]获取途径临时表!I$1,FALSE)</f>
        <v/>
      </c>
      <c r="L221" t="str">
        <f>VLOOKUP($A221,[2]!掉落查询,[2]获取途径临时表!J$1,FALSE)</f>
        <v/>
      </c>
      <c r="M221" t="str">
        <f>VLOOKUP($A221,[2]!掉落查询,[2]获取途径临时表!K$1,FALSE)</f>
        <v/>
      </c>
      <c r="N221" t="str">
        <f>VLOOKUP($A221,[2]!掉落查询,[2]获取途径临时表!L$1,FALSE)</f>
        <v/>
      </c>
      <c r="O221" t="str">
        <f>VLOOKUP($A221,[2]!掉落查询,[2]获取途径临时表!M$1,FALSE)</f>
        <v/>
      </c>
      <c r="P221" t="str">
        <f>VLOOKUP($A221,[2]!掉落查询,[2]获取途径临时表!N$1,FALSE)</f>
        <v/>
      </c>
      <c r="Q221" t="str">
        <f>VLOOKUP($A221,[2]!掉落查询,[2]获取途径临时表!O$1,FALSE)</f>
        <v/>
      </c>
      <c r="R221" t="str">
        <f>VLOOKUP($A221,[2]!掉落查询,[2]获取途径临时表!P$1,FALSE)</f>
        <v/>
      </c>
      <c r="S221" t="str">
        <f>VLOOKUP($A221,[2]!掉落查询,[2]获取途径临时表!Q$1,FALSE)</f>
        <v/>
      </c>
      <c r="T221" t="str">
        <f>VLOOKUP($A221,[2]!掉落查询,[2]获取途径临时表!R$1,FALSE)</f>
        <v/>
      </c>
    </row>
    <row r="222" spans="1:20" x14ac:dyDescent="0.15">
      <c r="A222">
        <v>93286</v>
      </c>
      <c r="B222" s="21" t="s">
        <v>1027</v>
      </c>
      <c r="C222">
        <v>0</v>
      </c>
      <c r="D222">
        <f t="shared" si="6"/>
        <v>0</v>
      </c>
      <c r="E222" t="str">
        <f>VLOOKUP($A222,[2]!掉落查询,[2]获取途径临时表!C$1,FALSE)</f>
        <v/>
      </c>
      <c r="F222" t="str">
        <f>VLOOKUP($A222,[2]!掉落查询,[2]获取途径临时表!D$1,FALSE)</f>
        <v/>
      </c>
      <c r="G222" t="str">
        <f>VLOOKUP($A222,[2]!掉落查询,[2]获取途径临时表!E$1,FALSE)</f>
        <v/>
      </c>
      <c r="H222" t="str">
        <f>VLOOKUP($A222,[2]!掉落查询,[2]获取途径临时表!F$1,FALSE)</f>
        <v/>
      </c>
      <c r="I222" t="str">
        <f>VLOOKUP($A222,[2]!掉落查询,[2]获取途径临时表!G$1,FALSE)</f>
        <v/>
      </c>
      <c r="J222" t="str">
        <f>VLOOKUP($A222,[2]!掉落查询,[2]获取途径临时表!H$1,FALSE)</f>
        <v/>
      </c>
      <c r="K222" t="str">
        <f>VLOOKUP($A222,[2]!掉落查询,[2]获取途径临时表!I$1,FALSE)</f>
        <v/>
      </c>
      <c r="L222" t="str">
        <f>VLOOKUP($A222,[2]!掉落查询,[2]获取途径临时表!J$1,FALSE)</f>
        <v/>
      </c>
      <c r="M222" t="str">
        <f>VLOOKUP($A222,[2]!掉落查询,[2]获取途径临时表!K$1,FALSE)</f>
        <v/>
      </c>
      <c r="N222" t="str">
        <f>VLOOKUP($A222,[2]!掉落查询,[2]获取途径临时表!L$1,FALSE)</f>
        <v/>
      </c>
      <c r="O222" t="str">
        <f>VLOOKUP($A222,[2]!掉落查询,[2]获取途径临时表!M$1,FALSE)</f>
        <v/>
      </c>
      <c r="P222" t="str">
        <f>VLOOKUP($A222,[2]!掉落查询,[2]获取途径临时表!N$1,FALSE)</f>
        <v/>
      </c>
      <c r="Q222" t="str">
        <f>VLOOKUP($A222,[2]!掉落查询,[2]获取途径临时表!O$1,FALSE)</f>
        <v/>
      </c>
      <c r="R222" t="str">
        <f>VLOOKUP($A222,[2]!掉落查询,[2]获取途径临时表!P$1,FALSE)</f>
        <v/>
      </c>
      <c r="S222" t="str">
        <f>VLOOKUP($A222,[2]!掉落查询,[2]获取途径临时表!Q$1,FALSE)</f>
        <v/>
      </c>
      <c r="T222" t="str">
        <f>VLOOKUP($A222,[2]!掉落查询,[2]获取途径临时表!R$1,FALSE)</f>
        <v/>
      </c>
    </row>
    <row r="223" spans="1:20" x14ac:dyDescent="0.15">
      <c r="A223">
        <v>93290</v>
      </c>
      <c r="B223" s="21" t="s">
        <v>1028</v>
      </c>
      <c r="C223">
        <v>0</v>
      </c>
      <c r="D223">
        <f t="shared" si="6"/>
        <v>0</v>
      </c>
      <c r="E223" t="str">
        <f>VLOOKUP($A223,[2]!掉落查询,[2]获取途径临时表!C$1,FALSE)</f>
        <v/>
      </c>
      <c r="F223" t="str">
        <f>VLOOKUP($A223,[2]!掉落查询,[2]获取途径临时表!D$1,FALSE)</f>
        <v/>
      </c>
      <c r="G223" t="str">
        <f>VLOOKUP($A223,[2]!掉落查询,[2]获取途径临时表!E$1,FALSE)</f>
        <v/>
      </c>
      <c r="H223" t="str">
        <f>VLOOKUP($A223,[2]!掉落查询,[2]获取途径临时表!F$1,FALSE)</f>
        <v/>
      </c>
      <c r="I223" t="str">
        <f>VLOOKUP($A223,[2]!掉落查询,[2]获取途径临时表!G$1,FALSE)</f>
        <v/>
      </c>
      <c r="J223" t="str">
        <f>VLOOKUP($A223,[2]!掉落查询,[2]获取途径临时表!H$1,FALSE)</f>
        <v/>
      </c>
      <c r="K223" t="str">
        <f>VLOOKUP($A223,[2]!掉落查询,[2]获取途径临时表!I$1,FALSE)</f>
        <v/>
      </c>
      <c r="L223" t="str">
        <f>VLOOKUP($A223,[2]!掉落查询,[2]获取途径临时表!J$1,FALSE)</f>
        <v/>
      </c>
      <c r="M223" t="str">
        <f>VLOOKUP($A223,[2]!掉落查询,[2]获取途径临时表!K$1,FALSE)</f>
        <v/>
      </c>
      <c r="N223" t="str">
        <f>VLOOKUP($A223,[2]!掉落查询,[2]获取途径临时表!L$1,FALSE)</f>
        <v/>
      </c>
      <c r="O223" t="str">
        <f>VLOOKUP($A223,[2]!掉落查询,[2]获取途径临时表!M$1,FALSE)</f>
        <v/>
      </c>
      <c r="P223" t="str">
        <f>VLOOKUP($A223,[2]!掉落查询,[2]获取途径临时表!N$1,FALSE)</f>
        <v/>
      </c>
      <c r="Q223" t="str">
        <f>VLOOKUP($A223,[2]!掉落查询,[2]获取途径临时表!O$1,FALSE)</f>
        <v/>
      </c>
      <c r="R223" t="str">
        <f>VLOOKUP($A223,[2]!掉落查询,[2]获取途径临时表!P$1,FALSE)</f>
        <v/>
      </c>
      <c r="S223" t="str">
        <f>VLOOKUP($A223,[2]!掉落查询,[2]获取途径临时表!Q$1,FALSE)</f>
        <v/>
      </c>
      <c r="T223" t="str">
        <f>VLOOKUP($A223,[2]!掉落查询,[2]获取途径临时表!R$1,FALSE)</f>
        <v/>
      </c>
    </row>
    <row r="224" spans="1:20" x14ac:dyDescent="0.15">
      <c r="A224">
        <v>93026</v>
      </c>
      <c r="B224" s="21" t="s">
        <v>1029</v>
      </c>
      <c r="C224">
        <v>0</v>
      </c>
      <c r="D224">
        <f t="shared" ref="D224:D235" si="7">COUNTIF(E224:T224,"&gt;0")</f>
        <v>0</v>
      </c>
      <c r="E224" t="str">
        <f>VLOOKUP($A224,[2]!掉落查询,[2]获取途径临时表!C$1,FALSE)</f>
        <v/>
      </c>
      <c r="F224" t="str">
        <f>VLOOKUP($A224,[2]!掉落查询,[2]获取途径临时表!D$1,FALSE)</f>
        <v/>
      </c>
      <c r="G224" t="str">
        <f>VLOOKUP($A224,[2]!掉落查询,[2]获取途径临时表!E$1,FALSE)</f>
        <v/>
      </c>
      <c r="H224" t="str">
        <f>VLOOKUP($A224,[2]!掉落查询,[2]获取途径临时表!F$1,FALSE)</f>
        <v/>
      </c>
      <c r="I224" t="str">
        <f>VLOOKUP($A224,[2]!掉落查询,[2]获取途径临时表!G$1,FALSE)</f>
        <v/>
      </c>
      <c r="J224" t="str">
        <f>VLOOKUP($A224,[2]!掉落查询,[2]获取途径临时表!H$1,FALSE)</f>
        <v/>
      </c>
      <c r="K224" t="str">
        <f>VLOOKUP($A224,[2]!掉落查询,[2]获取途径临时表!I$1,FALSE)</f>
        <v/>
      </c>
      <c r="L224" t="str">
        <f>VLOOKUP($A224,[2]!掉落查询,[2]获取途径临时表!J$1,FALSE)</f>
        <v/>
      </c>
      <c r="M224" t="str">
        <f>VLOOKUP($A224,[2]!掉落查询,[2]获取途径临时表!K$1,FALSE)</f>
        <v/>
      </c>
      <c r="N224" t="str">
        <f>VLOOKUP($A224,[2]!掉落查询,[2]获取途径临时表!L$1,FALSE)</f>
        <v/>
      </c>
      <c r="O224" t="str">
        <f>VLOOKUP($A224,[2]!掉落查询,[2]获取途径临时表!M$1,FALSE)</f>
        <v/>
      </c>
      <c r="P224" t="str">
        <f>VLOOKUP($A224,[2]!掉落查询,[2]获取途径临时表!N$1,FALSE)</f>
        <v/>
      </c>
      <c r="Q224" t="str">
        <f>VLOOKUP($A224,[2]!掉落查询,[2]获取途径临时表!O$1,FALSE)</f>
        <v/>
      </c>
      <c r="R224" t="str">
        <f>VLOOKUP($A224,[2]!掉落查询,[2]获取途径临时表!P$1,FALSE)</f>
        <v/>
      </c>
      <c r="S224" t="str">
        <f>VLOOKUP($A224,[2]!掉落查询,[2]获取途径临时表!Q$1,FALSE)</f>
        <v/>
      </c>
      <c r="T224" t="str">
        <f>VLOOKUP($A224,[2]!掉落查询,[2]获取途径临时表!R$1,FALSE)</f>
        <v/>
      </c>
    </row>
    <row r="225" spans="1:20" x14ac:dyDescent="0.15">
      <c r="A225">
        <v>93255</v>
      </c>
      <c r="B225" s="21" t="s">
        <v>1030</v>
      </c>
      <c r="C225">
        <v>0</v>
      </c>
      <c r="D225">
        <f t="shared" si="7"/>
        <v>0</v>
      </c>
      <c r="E225" t="str">
        <f>VLOOKUP($A225,[2]!掉落查询,[2]获取途径临时表!C$1,FALSE)</f>
        <v/>
      </c>
      <c r="F225" t="str">
        <f>VLOOKUP($A225,[2]!掉落查询,[2]获取途径临时表!D$1,FALSE)</f>
        <v/>
      </c>
      <c r="G225" t="str">
        <f>VLOOKUP($A225,[2]!掉落查询,[2]获取途径临时表!E$1,FALSE)</f>
        <v/>
      </c>
      <c r="H225" t="str">
        <f>VLOOKUP($A225,[2]!掉落查询,[2]获取途径临时表!F$1,FALSE)</f>
        <v/>
      </c>
      <c r="I225" t="str">
        <f>VLOOKUP($A225,[2]!掉落查询,[2]获取途径临时表!G$1,FALSE)</f>
        <v/>
      </c>
      <c r="J225" t="str">
        <f>VLOOKUP($A225,[2]!掉落查询,[2]获取途径临时表!H$1,FALSE)</f>
        <v/>
      </c>
      <c r="K225" t="str">
        <f>VLOOKUP($A225,[2]!掉落查询,[2]获取途径临时表!I$1,FALSE)</f>
        <v/>
      </c>
      <c r="L225" t="str">
        <f>VLOOKUP($A225,[2]!掉落查询,[2]获取途径临时表!J$1,FALSE)</f>
        <v/>
      </c>
      <c r="M225" t="str">
        <f>VLOOKUP($A225,[2]!掉落查询,[2]获取途径临时表!K$1,FALSE)</f>
        <v/>
      </c>
      <c r="N225" t="str">
        <f>VLOOKUP($A225,[2]!掉落查询,[2]获取途径临时表!L$1,FALSE)</f>
        <v/>
      </c>
      <c r="O225" t="str">
        <f>VLOOKUP($A225,[2]!掉落查询,[2]获取途径临时表!M$1,FALSE)</f>
        <v/>
      </c>
      <c r="P225" t="str">
        <f>VLOOKUP($A225,[2]!掉落查询,[2]获取途径临时表!N$1,FALSE)</f>
        <v/>
      </c>
      <c r="Q225" t="str">
        <f>VLOOKUP($A225,[2]!掉落查询,[2]获取途径临时表!O$1,FALSE)</f>
        <v/>
      </c>
      <c r="R225" t="str">
        <f>VLOOKUP($A225,[2]!掉落查询,[2]获取途径临时表!P$1,FALSE)</f>
        <v/>
      </c>
      <c r="S225" t="str">
        <f>VLOOKUP($A225,[2]!掉落查询,[2]获取途径临时表!Q$1,FALSE)</f>
        <v/>
      </c>
      <c r="T225" t="str">
        <f>VLOOKUP($A225,[2]!掉落查询,[2]获取途径临时表!R$1,FALSE)</f>
        <v/>
      </c>
    </row>
    <row r="226" spans="1:20" x14ac:dyDescent="0.15">
      <c r="A226">
        <v>93297</v>
      </c>
      <c r="B226" s="21" t="s">
        <v>1031</v>
      </c>
      <c r="C226">
        <v>0</v>
      </c>
      <c r="D226">
        <f t="shared" si="7"/>
        <v>0</v>
      </c>
      <c r="E226" t="str">
        <f>VLOOKUP($A226,[2]!掉落查询,[2]获取途径临时表!C$1,FALSE)</f>
        <v/>
      </c>
      <c r="F226" t="str">
        <f>VLOOKUP($A226,[2]!掉落查询,[2]获取途径临时表!D$1,FALSE)</f>
        <v/>
      </c>
      <c r="G226" t="str">
        <f>VLOOKUP($A226,[2]!掉落查询,[2]获取途径临时表!E$1,FALSE)</f>
        <v/>
      </c>
      <c r="H226" t="str">
        <f>VLOOKUP($A226,[2]!掉落查询,[2]获取途径临时表!F$1,FALSE)</f>
        <v/>
      </c>
      <c r="I226" t="str">
        <f>VLOOKUP($A226,[2]!掉落查询,[2]获取途径临时表!G$1,FALSE)</f>
        <v/>
      </c>
      <c r="J226" t="str">
        <f>VLOOKUP($A226,[2]!掉落查询,[2]获取途径临时表!H$1,FALSE)</f>
        <v/>
      </c>
      <c r="K226" t="str">
        <f>VLOOKUP($A226,[2]!掉落查询,[2]获取途径临时表!I$1,FALSE)</f>
        <v/>
      </c>
      <c r="L226" t="str">
        <f>VLOOKUP($A226,[2]!掉落查询,[2]获取途径临时表!J$1,FALSE)</f>
        <v/>
      </c>
      <c r="M226" t="str">
        <f>VLOOKUP($A226,[2]!掉落查询,[2]获取途径临时表!K$1,FALSE)</f>
        <v/>
      </c>
      <c r="N226" t="str">
        <f>VLOOKUP($A226,[2]!掉落查询,[2]获取途径临时表!L$1,FALSE)</f>
        <v/>
      </c>
      <c r="O226" t="str">
        <f>VLOOKUP($A226,[2]!掉落查询,[2]获取途径临时表!M$1,FALSE)</f>
        <v/>
      </c>
      <c r="P226" t="str">
        <f>VLOOKUP($A226,[2]!掉落查询,[2]获取途径临时表!N$1,FALSE)</f>
        <v/>
      </c>
      <c r="Q226" t="str">
        <f>VLOOKUP($A226,[2]!掉落查询,[2]获取途径临时表!O$1,FALSE)</f>
        <v/>
      </c>
      <c r="R226" t="str">
        <f>VLOOKUP($A226,[2]!掉落查询,[2]获取途径临时表!P$1,FALSE)</f>
        <v/>
      </c>
      <c r="S226" t="str">
        <f>VLOOKUP($A226,[2]!掉落查询,[2]获取途径临时表!Q$1,FALSE)</f>
        <v/>
      </c>
      <c r="T226" t="str">
        <f>VLOOKUP($A226,[2]!掉落查询,[2]获取途径临时表!R$1,FALSE)</f>
        <v/>
      </c>
    </row>
    <row r="227" spans="1:20" x14ac:dyDescent="0.15">
      <c r="A227">
        <v>93293</v>
      </c>
      <c r="B227" s="21" t="s">
        <v>1032</v>
      </c>
      <c r="C227">
        <v>0</v>
      </c>
      <c r="D227">
        <f t="shared" si="7"/>
        <v>0</v>
      </c>
      <c r="E227" t="str">
        <f>VLOOKUP($A227,[2]!掉落查询,[2]获取途径临时表!C$1,FALSE)</f>
        <v/>
      </c>
      <c r="F227" t="str">
        <f>VLOOKUP($A227,[2]!掉落查询,[2]获取途径临时表!D$1,FALSE)</f>
        <v/>
      </c>
      <c r="G227" t="str">
        <f>VLOOKUP($A227,[2]!掉落查询,[2]获取途径临时表!E$1,FALSE)</f>
        <v/>
      </c>
      <c r="H227" t="str">
        <f>VLOOKUP($A227,[2]!掉落查询,[2]获取途径临时表!F$1,FALSE)</f>
        <v/>
      </c>
      <c r="I227" t="str">
        <f>VLOOKUP($A227,[2]!掉落查询,[2]获取途径临时表!G$1,FALSE)</f>
        <v/>
      </c>
      <c r="J227" t="str">
        <f>VLOOKUP($A227,[2]!掉落查询,[2]获取途径临时表!H$1,FALSE)</f>
        <v/>
      </c>
      <c r="K227" t="str">
        <f>VLOOKUP($A227,[2]!掉落查询,[2]获取途径临时表!I$1,FALSE)</f>
        <v/>
      </c>
      <c r="L227" t="str">
        <f>VLOOKUP($A227,[2]!掉落查询,[2]获取途径临时表!J$1,FALSE)</f>
        <v/>
      </c>
      <c r="M227" t="str">
        <f>VLOOKUP($A227,[2]!掉落查询,[2]获取途径临时表!K$1,FALSE)</f>
        <v/>
      </c>
      <c r="N227" t="str">
        <f>VLOOKUP($A227,[2]!掉落查询,[2]获取途径临时表!L$1,FALSE)</f>
        <v/>
      </c>
      <c r="O227" t="str">
        <f>VLOOKUP($A227,[2]!掉落查询,[2]获取途径临时表!M$1,FALSE)</f>
        <v/>
      </c>
      <c r="P227" t="str">
        <f>VLOOKUP($A227,[2]!掉落查询,[2]获取途径临时表!N$1,FALSE)</f>
        <v/>
      </c>
      <c r="Q227" t="str">
        <f>VLOOKUP($A227,[2]!掉落查询,[2]获取途径临时表!O$1,FALSE)</f>
        <v/>
      </c>
      <c r="R227" t="str">
        <f>VLOOKUP($A227,[2]!掉落查询,[2]获取途径临时表!P$1,FALSE)</f>
        <v/>
      </c>
      <c r="S227" t="str">
        <f>VLOOKUP($A227,[2]!掉落查询,[2]获取途径临时表!Q$1,FALSE)</f>
        <v/>
      </c>
      <c r="T227" t="str">
        <f>VLOOKUP($A227,[2]!掉落查询,[2]获取途径临时表!R$1,FALSE)</f>
        <v/>
      </c>
    </row>
    <row r="228" spans="1:20" x14ac:dyDescent="0.15">
      <c r="A228">
        <v>93294</v>
      </c>
      <c r="B228" s="21" t="s">
        <v>1033</v>
      </c>
      <c r="C228">
        <v>0</v>
      </c>
      <c r="D228">
        <f t="shared" si="7"/>
        <v>0</v>
      </c>
      <c r="E228" t="str">
        <f>VLOOKUP($A228,[2]!掉落查询,[2]获取途径临时表!C$1,FALSE)</f>
        <v/>
      </c>
      <c r="F228" t="str">
        <f>VLOOKUP($A228,[2]!掉落查询,[2]获取途径临时表!D$1,FALSE)</f>
        <v/>
      </c>
      <c r="G228" t="str">
        <f>VLOOKUP($A228,[2]!掉落查询,[2]获取途径临时表!E$1,FALSE)</f>
        <v/>
      </c>
      <c r="H228" t="str">
        <f>VLOOKUP($A228,[2]!掉落查询,[2]获取途径临时表!F$1,FALSE)</f>
        <v/>
      </c>
      <c r="I228" t="str">
        <f>VLOOKUP($A228,[2]!掉落查询,[2]获取途径临时表!G$1,FALSE)</f>
        <v/>
      </c>
      <c r="J228" t="str">
        <f>VLOOKUP($A228,[2]!掉落查询,[2]获取途径临时表!H$1,FALSE)</f>
        <v/>
      </c>
      <c r="K228" t="str">
        <f>VLOOKUP($A228,[2]!掉落查询,[2]获取途径临时表!I$1,FALSE)</f>
        <v/>
      </c>
      <c r="L228" t="str">
        <f>VLOOKUP($A228,[2]!掉落查询,[2]获取途径临时表!J$1,FALSE)</f>
        <v/>
      </c>
      <c r="M228" t="str">
        <f>VLOOKUP($A228,[2]!掉落查询,[2]获取途径临时表!K$1,FALSE)</f>
        <v/>
      </c>
      <c r="N228" t="str">
        <f>VLOOKUP($A228,[2]!掉落查询,[2]获取途径临时表!L$1,FALSE)</f>
        <v/>
      </c>
      <c r="O228" t="str">
        <f>VLOOKUP($A228,[2]!掉落查询,[2]获取途径临时表!M$1,FALSE)</f>
        <v/>
      </c>
      <c r="P228" t="str">
        <f>VLOOKUP($A228,[2]!掉落查询,[2]获取途径临时表!N$1,FALSE)</f>
        <v/>
      </c>
      <c r="Q228" t="str">
        <f>VLOOKUP($A228,[2]!掉落查询,[2]获取途径临时表!O$1,FALSE)</f>
        <v/>
      </c>
      <c r="R228" t="str">
        <f>VLOOKUP($A228,[2]!掉落查询,[2]获取途径临时表!P$1,FALSE)</f>
        <v/>
      </c>
      <c r="S228" t="str">
        <f>VLOOKUP($A228,[2]!掉落查询,[2]获取途径临时表!Q$1,FALSE)</f>
        <v/>
      </c>
      <c r="T228" t="str">
        <f>VLOOKUP($A228,[2]!掉落查询,[2]获取途径临时表!R$1,FALSE)</f>
        <v/>
      </c>
    </row>
    <row r="229" spans="1:20" x14ac:dyDescent="0.15">
      <c r="A229">
        <v>93295</v>
      </c>
      <c r="B229" s="21" t="s">
        <v>1034</v>
      </c>
      <c r="C229">
        <v>0</v>
      </c>
      <c r="D229">
        <f t="shared" si="7"/>
        <v>0</v>
      </c>
      <c r="E229" t="str">
        <f>VLOOKUP($A229,[2]!掉落查询,[2]获取途径临时表!C$1,FALSE)</f>
        <v/>
      </c>
      <c r="F229" t="str">
        <f>VLOOKUP($A229,[2]!掉落查询,[2]获取途径临时表!D$1,FALSE)</f>
        <v/>
      </c>
      <c r="G229" t="str">
        <f>VLOOKUP($A229,[2]!掉落查询,[2]获取途径临时表!E$1,FALSE)</f>
        <v/>
      </c>
      <c r="H229" t="str">
        <f>VLOOKUP($A229,[2]!掉落查询,[2]获取途径临时表!F$1,FALSE)</f>
        <v/>
      </c>
      <c r="I229" t="str">
        <f>VLOOKUP($A229,[2]!掉落查询,[2]获取途径临时表!G$1,FALSE)</f>
        <v/>
      </c>
      <c r="J229" t="str">
        <f>VLOOKUP($A229,[2]!掉落查询,[2]获取途径临时表!H$1,FALSE)</f>
        <v/>
      </c>
      <c r="K229" t="str">
        <f>VLOOKUP($A229,[2]!掉落查询,[2]获取途径临时表!I$1,FALSE)</f>
        <v/>
      </c>
      <c r="L229" t="str">
        <f>VLOOKUP($A229,[2]!掉落查询,[2]获取途径临时表!J$1,FALSE)</f>
        <v/>
      </c>
      <c r="M229" t="str">
        <f>VLOOKUP($A229,[2]!掉落查询,[2]获取途径临时表!K$1,FALSE)</f>
        <v/>
      </c>
      <c r="N229" t="str">
        <f>VLOOKUP($A229,[2]!掉落查询,[2]获取途径临时表!L$1,FALSE)</f>
        <v/>
      </c>
      <c r="O229" t="str">
        <f>VLOOKUP($A229,[2]!掉落查询,[2]获取途径临时表!M$1,FALSE)</f>
        <v/>
      </c>
      <c r="P229" t="str">
        <f>VLOOKUP($A229,[2]!掉落查询,[2]获取途径临时表!N$1,FALSE)</f>
        <v/>
      </c>
      <c r="Q229" t="str">
        <f>VLOOKUP($A229,[2]!掉落查询,[2]获取途径临时表!O$1,FALSE)</f>
        <v/>
      </c>
      <c r="R229" t="str">
        <f>VLOOKUP($A229,[2]!掉落查询,[2]获取途径临时表!P$1,FALSE)</f>
        <v/>
      </c>
      <c r="S229" t="str">
        <f>VLOOKUP($A229,[2]!掉落查询,[2]获取途径临时表!Q$1,FALSE)</f>
        <v/>
      </c>
      <c r="T229" t="str">
        <f>VLOOKUP($A229,[2]!掉落查询,[2]获取途径临时表!R$1,FALSE)</f>
        <v/>
      </c>
    </row>
    <row r="230" spans="1:20" x14ac:dyDescent="0.15">
      <c r="A230">
        <v>93262</v>
      </c>
      <c r="B230" s="21" t="s">
        <v>1035</v>
      </c>
      <c r="C230">
        <v>0</v>
      </c>
      <c r="D230">
        <f t="shared" si="7"/>
        <v>0</v>
      </c>
      <c r="E230" t="str">
        <f>VLOOKUP($A230,[2]!掉落查询,[2]获取途径临时表!C$1,FALSE)</f>
        <v/>
      </c>
      <c r="F230" t="str">
        <f>VLOOKUP($A230,[2]!掉落查询,[2]获取途径临时表!D$1,FALSE)</f>
        <v/>
      </c>
      <c r="G230" t="str">
        <f>VLOOKUP($A230,[2]!掉落查询,[2]获取途径临时表!E$1,FALSE)</f>
        <v/>
      </c>
      <c r="H230" t="str">
        <f>VLOOKUP($A230,[2]!掉落查询,[2]获取途径临时表!F$1,FALSE)</f>
        <v/>
      </c>
      <c r="I230" t="str">
        <f>VLOOKUP($A230,[2]!掉落查询,[2]获取途径临时表!G$1,FALSE)</f>
        <v/>
      </c>
      <c r="J230" t="str">
        <f>VLOOKUP($A230,[2]!掉落查询,[2]获取途径临时表!H$1,FALSE)</f>
        <v/>
      </c>
      <c r="K230" t="str">
        <f>VLOOKUP($A230,[2]!掉落查询,[2]获取途径临时表!I$1,FALSE)</f>
        <v/>
      </c>
      <c r="L230" t="str">
        <f>VLOOKUP($A230,[2]!掉落查询,[2]获取途径临时表!J$1,FALSE)</f>
        <v/>
      </c>
      <c r="M230" t="str">
        <f>VLOOKUP($A230,[2]!掉落查询,[2]获取途径临时表!K$1,FALSE)</f>
        <v/>
      </c>
      <c r="N230" t="str">
        <f>VLOOKUP($A230,[2]!掉落查询,[2]获取途径临时表!L$1,FALSE)</f>
        <v/>
      </c>
      <c r="O230" t="str">
        <f>VLOOKUP($A230,[2]!掉落查询,[2]获取途径临时表!M$1,FALSE)</f>
        <v/>
      </c>
      <c r="P230" t="str">
        <f>VLOOKUP($A230,[2]!掉落查询,[2]获取途径临时表!N$1,FALSE)</f>
        <v/>
      </c>
      <c r="Q230" t="str">
        <f>VLOOKUP($A230,[2]!掉落查询,[2]获取途径临时表!O$1,FALSE)</f>
        <v/>
      </c>
      <c r="R230" t="str">
        <f>VLOOKUP($A230,[2]!掉落查询,[2]获取途径临时表!P$1,FALSE)</f>
        <v/>
      </c>
      <c r="S230" t="str">
        <f>VLOOKUP($A230,[2]!掉落查询,[2]获取途径临时表!Q$1,FALSE)</f>
        <v/>
      </c>
      <c r="T230" t="str">
        <f>VLOOKUP($A230,[2]!掉落查询,[2]获取途径临时表!R$1,FALSE)</f>
        <v/>
      </c>
    </row>
    <row r="231" spans="1:20" x14ac:dyDescent="0.15">
      <c r="A231">
        <v>93298</v>
      </c>
      <c r="B231" s="21" t="s">
        <v>1036</v>
      </c>
      <c r="C231">
        <v>0</v>
      </c>
      <c r="D231">
        <f t="shared" si="7"/>
        <v>0</v>
      </c>
      <c r="E231" t="str">
        <f>VLOOKUP($A231,[2]!掉落查询,[2]获取途径临时表!C$1,FALSE)</f>
        <v/>
      </c>
      <c r="F231" t="str">
        <f>VLOOKUP($A231,[2]!掉落查询,[2]获取途径临时表!D$1,FALSE)</f>
        <v/>
      </c>
      <c r="G231" t="str">
        <f>VLOOKUP($A231,[2]!掉落查询,[2]获取途径临时表!E$1,FALSE)</f>
        <v/>
      </c>
      <c r="H231" t="str">
        <f>VLOOKUP($A231,[2]!掉落查询,[2]获取途径临时表!F$1,FALSE)</f>
        <v/>
      </c>
      <c r="I231" t="str">
        <f>VLOOKUP($A231,[2]!掉落查询,[2]获取途径临时表!G$1,FALSE)</f>
        <v/>
      </c>
      <c r="J231" t="str">
        <f>VLOOKUP($A231,[2]!掉落查询,[2]获取途径临时表!H$1,FALSE)</f>
        <v/>
      </c>
      <c r="K231" t="str">
        <f>VLOOKUP($A231,[2]!掉落查询,[2]获取途径临时表!I$1,FALSE)</f>
        <v/>
      </c>
      <c r="L231" t="str">
        <f>VLOOKUP($A231,[2]!掉落查询,[2]获取途径临时表!J$1,FALSE)</f>
        <v/>
      </c>
      <c r="M231" t="str">
        <f>VLOOKUP($A231,[2]!掉落查询,[2]获取途径临时表!K$1,FALSE)</f>
        <v/>
      </c>
      <c r="N231" t="str">
        <f>VLOOKUP($A231,[2]!掉落查询,[2]获取途径临时表!L$1,FALSE)</f>
        <v/>
      </c>
      <c r="O231" t="str">
        <f>VLOOKUP($A231,[2]!掉落查询,[2]获取途径临时表!M$1,FALSE)</f>
        <v/>
      </c>
      <c r="P231" t="str">
        <f>VLOOKUP($A231,[2]!掉落查询,[2]获取途径临时表!N$1,FALSE)</f>
        <v/>
      </c>
      <c r="Q231" t="str">
        <f>VLOOKUP($A231,[2]!掉落查询,[2]获取途径临时表!O$1,FALSE)</f>
        <v/>
      </c>
      <c r="R231" t="str">
        <f>VLOOKUP($A231,[2]!掉落查询,[2]获取途径临时表!P$1,FALSE)</f>
        <v/>
      </c>
      <c r="S231" t="str">
        <f>VLOOKUP($A231,[2]!掉落查询,[2]获取途径临时表!Q$1,FALSE)</f>
        <v/>
      </c>
      <c r="T231" t="str">
        <f>VLOOKUP($A231,[2]!掉落查询,[2]获取途径临时表!R$1,FALSE)</f>
        <v/>
      </c>
    </row>
    <row r="232" spans="1:20" x14ac:dyDescent="0.15">
      <c r="A232">
        <v>93276</v>
      </c>
      <c r="B232" s="21" t="s">
        <v>1037</v>
      </c>
      <c r="C232">
        <v>0</v>
      </c>
      <c r="D232">
        <f t="shared" si="7"/>
        <v>0</v>
      </c>
      <c r="E232" t="str">
        <f>VLOOKUP($A232,[2]!掉落查询,[2]获取途径临时表!C$1,FALSE)</f>
        <v/>
      </c>
      <c r="F232" t="str">
        <f>VLOOKUP($A232,[2]!掉落查询,[2]获取途径临时表!D$1,FALSE)</f>
        <v/>
      </c>
      <c r="G232" t="str">
        <f>VLOOKUP($A232,[2]!掉落查询,[2]获取途径临时表!E$1,FALSE)</f>
        <v/>
      </c>
      <c r="H232" t="str">
        <f>VLOOKUP($A232,[2]!掉落查询,[2]获取途径临时表!F$1,FALSE)</f>
        <v/>
      </c>
      <c r="I232" t="str">
        <f>VLOOKUP($A232,[2]!掉落查询,[2]获取途径临时表!G$1,FALSE)</f>
        <v/>
      </c>
      <c r="J232" t="str">
        <f>VLOOKUP($A232,[2]!掉落查询,[2]获取途径临时表!H$1,FALSE)</f>
        <v/>
      </c>
      <c r="K232" t="str">
        <f>VLOOKUP($A232,[2]!掉落查询,[2]获取途径临时表!I$1,FALSE)</f>
        <v/>
      </c>
      <c r="L232" t="str">
        <f>VLOOKUP($A232,[2]!掉落查询,[2]获取途径临时表!J$1,FALSE)</f>
        <v/>
      </c>
      <c r="M232" t="str">
        <f>VLOOKUP($A232,[2]!掉落查询,[2]获取途径临时表!K$1,FALSE)</f>
        <v/>
      </c>
      <c r="N232" t="str">
        <f>VLOOKUP($A232,[2]!掉落查询,[2]获取途径临时表!L$1,FALSE)</f>
        <v/>
      </c>
      <c r="O232" t="str">
        <f>VLOOKUP($A232,[2]!掉落查询,[2]获取途径临时表!M$1,FALSE)</f>
        <v/>
      </c>
      <c r="P232" t="str">
        <f>VLOOKUP($A232,[2]!掉落查询,[2]获取途径临时表!N$1,FALSE)</f>
        <v/>
      </c>
      <c r="Q232" t="str">
        <f>VLOOKUP($A232,[2]!掉落查询,[2]获取途径临时表!O$1,FALSE)</f>
        <v/>
      </c>
      <c r="R232" t="str">
        <f>VLOOKUP($A232,[2]!掉落查询,[2]获取途径临时表!P$1,FALSE)</f>
        <v/>
      </c>
      <c r="S232" t="str">
        <f>VLOOKUP($A232,[2]!掉落查询,[2]获取途径临时表!Q$1,FALSE)</f>
        <v/>
      </c>
      <c r="T232" t="str">
        <f>VLOOKUP($A232,[2]!掉落查询,[2]获取途径临时表!R$1,FALSE)</f>
        <v/>
      </c>
    </row>
    <row r="233" spans="1:20" x14ac:dyDescent="0.15">
      <c r="A233">
        <v>93282</v>
      </c>
      <c r="B233" s="21" t="s">
        <v>1038</v>
      </c>
      <c r="C233">
        <v>0</v>
      </c>
      <c r="D233">
        <f t="shared" si="7"/>
        <v>0</v>
      </c>
      <c r="E233" t="str">
        <f>VLOOKUP($A233,[2]!掉落查询,[2]获取途径临时表!C$1,FALSE)</f>
        <v/>
      </c>
      <c r="F233" t="str">
        <f>VLOOKUP($A233,[2]!掉落查询,[2]获取途径临时表!D$1,FALSE)</f>
        <v/>
      </c>
      <c r="G233" t="str">
        <f>VLOOKUP($A233,[2]!掉落查询,[2]获取途径临时表!E$1,FALSE)</f>
        <v/>
      </c>
      <c r="H233" t="str">
        <f>VLOOKUP($A233,[2]!掉落查询,[2]获取途径临时表!F$1,FALSE)</f>
        <v/>
      </c>
      <c r="I233" t="str">
        <f>VLOOKUP($A233,[2]!掉落查询,[2]获取途径临时表!G$1,FALSE)</f>
        <v/>
      </c>
      <c r="J233" t="str">
        <f>VLOOKUP($A233,[2]!掉落查询,[2]获取途径临时表!H$1,FALSE)</f>
        <v/>
      </c>
      <c r="K233" t="str">
        <f>VLOOKUP($A233,[2]!掉落查询,[2]获取途径临时表!I$1,FALSE)</f>
        <v/>
      </c>
      <c r="L233" t="str">
        <f>VLOOKUP($A233,[2]!掉落查询,[2]获取途径临时表!J$1,FALSE)</f>
        <v/>
      </c>
      <c r="M233" t="str">
        <f>VLOOKUP($A233,[2]!掉落查询,[2]获取途径临时表!K$1,FALSE)</f>
        <v/>
      </c>
      <c r="N233" t="str">
        <f>VLOOKUP($A233,[2]!掉落查询,[2]获取途径临时表!L$1,FALSE)</f>
        <v/>
      </c>
      <c r="O233" t="str">
        <f>VLOOKUP($A233,[2]!掉落查询,[2]获取途径临时表!M$1,FALSE)</f>
        <v/>
      </c>
      <c r="P233" t="str">
        <f>VLOOKUP($A233,[2]!掉落查询,[2]获取途径临时表!N$1,FALSE)</f>
        <v/>
      </c>
      <c r="Q233" t="str">
        <f>VLOOKUP($A233,[2]!掉落查询,[2]获取途径临时表!O$1,FALSE)</f>
        <v/>
      </c>
      <c r="R233" t="str">
        <f>VLOOKUP($A233,[2]!掉落查询,[2]获取途径临时表!P$1,FALSE)</f>
        <v/>
      </c>
      <c r="S233" t="str">
        <f>VLOOKUP($A233,[2]!掉落查询,[2]获取途径临时表!Q$1,FALSE)</f>
        <v/>
      </c>
      <c r="T233" t="str">
        <f>VLOOKUP($A233,[2]!掉落查询,[2]获取途径临时表!R$1,FALSE)</f>
        <v/>
      </c>
    </row>
    <row r="234" spans="1:20" x14ac:dyDescent="0.15">
      <c r="A234">
        <v>93299</v>
      </c>
      <c r="B234" s="21" t="s">
        <v>1039</v>
      </c>
      <c r="C234">
        <v>0</v>
      </c>
      <c r="D234">
        <f t="shared" si="7"/>
        <v>0</v>
      </c>
      <c r="E234" t="str">
        <f>VLOOKUP($A234,[2]!掉落查询,[2]获取途径临时表!C$1,FALSE)</f>
        <v/>
      </c>
      <c r="F234" t="str">
        <f>VLOOKUP($A234,[2]!掉落查询,[2]获取途径临时表!D$1,FALSE)</f>
        <v/>
      </c>
      <c r="G234" t="str">
        <f>VLOOKUP($A234,[2]!掉落查询,[2]获取途径临时表!E$1,FALSE)</f>
        <v/>
      </c>
      <c r="H234" t="str">
        <f>VLOOKUP($A234,[2]!掉落查询,[2]获取途径临时表!F$1,FALSE)</f>
        <v/>
      </c>
      <c r="I234" t="str">
        <f>VLOOKUP($A234,[2]!掉落查询,[2]获取途径临时表!G$1,FALSE)</f>
        <v/>
      </c>
      <c r="J234" t="str">
        <f>VLOOKUP($A234,[2]!掉落查询,[2]获取途径临时表!H$1,FALSE)</f>
        <v/>
      </c>
      <c r="K234" t="str">
        <f>VLOOKUP($A234,[2]!掉落查询,[2]获取途径临时表!I$1,FALSE)</f>
        <v/>
      </c>
      <c r="L234" t="str">
        <f>VLOOKUP($A234,[2]!掉落查询,[2]获取途径临时表!J$1,FALSE)</f>
        <v/>
      </c>
      <c r="M234" t="str">
        <f>VLOOKUP($A234,[2]!掉落查询,[2]获取途径临时表!K$1,FALSE)</f>
        <v/>
      </c>
      <c r="N234" t="str">
        <f>VLOOKUP($A234,[2]!掉落查询,[2]获取途径临时表!L$1,FALSE)</f>
        <v/>
      </c>
      <c r="O234" t="str">
        <f>VLOOKUP($A234,[2]!掉落查询,[2]获取途径临时表!M$1,FALSE)</f>
        <v/>
      </c>
      <c r="P234" t="str">
        <f>VLOOKUP($A234,[2]!掉落查询,[2]获取途径临时表!N$1,FALSE)</f>
        <v/>
      </c>
      <c r="Q234" t="str">
        <f>VLOOKUP($A234,[2]!掉落查询,[2]获取途径临时表!O$1,FALSE)</f>
        <v/>
      </c>
      <c r="R234" t="str">
        <f>VLOOKUP($A234,[2]!掉落查询,[2]获取途径临时表!P$1,FALSE)</f>
        <v/>
      </c>
      <c r="S234" t="str">
        <f>VLOOKUP($A234,[2]!掉落查询,[2]获取途径临时表!Q$1,FALSE)</f>
        <v/>
      </c>
      <c r="T234" t="str">
        <f>VLOOKUP($A234,[2]!掉落查询,[2]获取途径临时表!R$1,FALSE)</f>
        <v/>
      </c>
    </row>
    <row r="235" spans="1:20" x14ac:dyDescent="0.15">
      <c r="A235">
        <v>93291</v>
      </c>
      <c r="B235" s="21" t="s">
        <v>1040</v>
      </c>
      <c r="C235">
        <v>0</v>
      </c>
      <c r="D235">
        <f t="shared" si="7"/>
        <v>0</v>
      </c>
      <c r="E235" t="str">
        <f>VLOOKUP($A235,[2]!掉落查询,[2]获取途径临时表!C$1,FALSE)</f>
        <v/>
      </c>
      <c r="F235" t="str">
        <f>VLOOKUP($A235,[2]!掉落查询,[2]获取途径临时表!D$1,FALSE)</f>
        <v/>
      </c>
      <c r="G235" t="str">
        <f>VLOOKUP($A235,[2]!掉落查询,[2]获取途径临时表!E$1,FALSE)</f>
        <v/>
      </c>
      <c r="H235" t="str">
        <f>VLOOKUP($A235,[2]!掉落查询,[2]获取途径临时表!F$1,FALSE)</f>
        <v/>
      </c>
      <c r="I235" t="str">
        <f>VLOOKUP($A235,[2]!掉落查询,[2]获取途径临时表!G$1,FALSE)</f>
        <v/>
      </c>
      <c r="J235" t="str">
        <f>VLOOKUP($A235,[2]!掉落查询,[2]获取途径临时表!H$1,FALSE)</f>
        <v/>
      </c>
      <c r="K235" t="str">
        <f>VLOOKUP($A235,[2]!掉落查询,[2]获取途径临时表!I$1,FALSE)</f>
        <v/>
      </c>
      <c r="L235" t="str">
        <f>VLOOKUP($A235,[2]!掉落查询,[2]获取途径临时表!J$1,FALSE)</f>
        <v/>
      </c>
      <c r="M235" t="str">
        <f>VLOOKUP($A235,[2]!掉落查询,[2]获取途径临时表!K$1,FALSE)</f>
        <v/>
      </c>
      <c r="N235" t="str">
        <f>VLOOKUP($A235,[2]!掉落查询,[2]获取途径临时表!L$1,FALSE)</f>
        <v/>
      </c>
      <c r="O235" t="str">
        <f>VLOOKUP($A235,[2]!掉落查询,[2]获取途径临时表!M$1,FALSE)</f>
        <v/>
      </c>
      <c r="P235" t="str">
        <f>VLOOKUP($A235,[2]!掉落查询,[2]获取途径临时表!N$1,FALSE)</f>
        <v/>
      </c>
      <c r="Q235" t="str">
        <f>VLOOKUP($A235,[2]!掉落查询,[2]获取途径临时表!O$1,FALSE)</f>
        <v/>
      </c>
      <c r="R235" t="str">
        <f>VLOOKUP($A235,[2]!掉落查询,[2]获取途径临时表!P$1,FALSE)</f>
        <v/>
      </c>
      <c r="S235" t="str">
        <f>VLOOKUP($A235,[2]!掉落查询,[2]获取途径临时表!Q$1,FALSE)</f>
        <v/>
      </c>
      <c r="T235" t="str">
        <f>VLOOKUP($A235,[2]!掉落查询,[2]获取途径临时表!R$1,FALSE)</f>
        <v/>
      </c>
    </row>
    <row r="239" spans="1:20" x14ac:dyDescent="0.15">
      <c r="D239" s="22"/>
    </row>
    <row r="240" spans="1:20" x14ac:dyDescent="0.15">
      <c r="D240" s="22"/>
    </row>
    <row r="242" spans="4:4" x14ac:dyDescent="0.15">
      <c r="D242" s="22"/>
    </row>
  </sheetData>
  <sortState ref="B222:D243">
    <sortCondition descending="1" ref="B222"/>
  </sortState>
  <phoneticPr fontId="1" type="noConversion"/>
  <conditionalFormatting sqref="E160:F18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02:G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82:I18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19:H1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0:I14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8:J15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90:J2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29:H1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Q25"/>
  <sheetViews>
    <sheetView workbookViewId="0">
      <selection activeCell="E10" sqref="E10"/>
    </sheetView>
  </sheetViews>
  <sheetFormatPr defaultRowHeight="13.5" x14ac:dyDescent="0.15"/>
  <cols>
    <col min="4" max="4" width="19.875" customWidth="1"/>
    <col min="5" max="5" width="18.375" customWidth="1"/>
    <col min="6" max="6" width="29.125" customWidth="1"/>
  </cols>
  <sheetData>
    <row r="4" spans="4:17" x14ac:dyDescent="0.15">
      <c r="D4" s="4" t="s">
        <v>2</v>
      </c>
      <c r="E4" s="4" t="s">
        <v>3</v>
      </c>
      <c r="F4" s="4" t="s">
        <v>4</v>
      </c>
      <c r="G4" s="4" t="s">
        <v>176</v>
      </c>
      <c r="H4" s="5" t="s">
        <v>9</v>
      </c>
      <c r="I4" s="4" t="s">
        <v>10</v>
      </c>
      <c r="J4" s="4" t="s">
        <v>11</v>
      </c>
      <c r="K4" s="6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1"/>
      <c r="Q4" s="1"/>
    </row>
    <row r="5" spans="4:17" x14ac:dyDescent="0.15">
      <c r="D5" s="7" t="s">
        <v>177</v>
      </c>
      <c r="E5" s="8" t="s">
        <v>178</v>
      </c>
      <c r="F5" s="8" t="s">
        <v>179</v>
      </c>
      <c r="G5" s="9"/>
      <c r="H5" s="8" t="s">
        <v>180</v>
      </c>
      <c r="I5" s="8" t="s">
        <v>181</v>
      </c>
      <c r="J5" s="9"/>
      <c r="K5" s="2"/>
      <c r="L5" s="9"/>
      <c r="M5" s="9"/>
      <c r="N5" s="9"/>
      <c r="O5" s="9"/>
      <c r="P5" s="1"/>
      <c r="Q5" s="1"/>
    </row>
    <row r="6" spans="4:17" x14ac:dyDescent="0.15">
      <c r="D6" s="7" t="s">
        <v>182</v>
      </c>
      <c r="E6" s="8" t="s">
        <v>183</v>
      </c>
      <c r="F6" s="7" t="s">
        <v>184</v>
      </c>
      <c r="G6" s="1"/>
      <c r="H6" s="7" t="s">
        <v>185</v>
      </c>
      <c r="I6" s="7" t="s">
        <v>186</v>
      </c>
      <c r="J6" s="1"/>
      <c r="K6" s="1"/>
      <c r="L6" s="1"/>
      <c r="M6" s="1"/>
      <c r="N6" s="1"/>
      <c r="O6" s="1"/>
      <c r="P6" s="1"/>
      <c r="Q6" s="10" t="s">
        <v>187</v>
      </c>
    </row>
    <row r="7" spans="4:17" x14ac:dyDescent="0.15">
      <c r="D7" s="7" t="s">
        <v>188</v>
      </c>
      <c r="E7" s="8" t="s">
        <v>189</v>
      </c>
      <c r="F7" s="7" t="s">
        <v>190</v>
      </c>
      <c r="G7" s="1"/>
      <c r="H7" s="1"/>
      <c r="I7" s="1"/>
      <c r="J7" s="1"/>
      <c r="K7" s="1"/>
      <c r="L7" s="1"/>
      <c r="M7" s="1"/>
      <c r="N7" s="1"/>
      <c r="O7" s="1"/>
      <c r="P7" s="1"/>
      <c r="Q7" s="10" t="s">
        <v>191</v>
      </c>
    </row>
    <row r="8" spans="4:17" x14ac:dyDescent="0.15">
      <c r="D8" s="7" t="s">
        <v>192</v>
      </c>
      <c r="E8" s="8" t="s">
        <v>193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0" t="s">
        <v>194</v>
      </c>
    </row>
    <row r="9" spans="4:17" x14ac:dyDescent="0.15">
      <c r="D9" s="7" t="s">
        <v>195</v>
      </c>
      <c r="E9" s="8" t="s">
        <v>196</v>
      </c>
      <c r="F9" s="7" t="s">
        <v>197</v>
      </c>
      <c r="G9" s="1"/>
      <c r="H9" s="1"/>
      <c r="I9" s="1"/>
      <c r="J9" s="1"/>
      <c r="K9" s="1"/>
      <c r="L9" s="1"/>
      <c r="M9" s="1"/>
      <c r="N9" s="1"/>
      <c r="O9" s="1"/>
      <c r="P9" s="1"/>
      <c r="Q9" s="10" t="s">
        <v>198</v>
      </c>
    </row>
    <row r="10" spans="4:17" x14ac:dyDescent="0.15">
      <c r="D10" s="7" t="s">
        <v>199</v>
      </c>
      <c r="E10" s="3" t="s">
        <v>200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0" t="s">
        <v>201</v>
      </c>
    </row>
    <row r="11" spans="4:17" x14ac:dyDescent="0.15">
      <c r="D11" s="7" t="s">
        <v>202</v>
      </c>
      <c r="E11" s="1"/>
      <c r="F11" s="7" t="s">
        <v>203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0" t="s">
        <v>204</v>
      </c>
    </row>
    <row r="12" spans="4:17" x14ac:dyDescent="0.15">
      <c r="D12" s="7" t="s">
        <v>205</v>
      </c>
      <c r="E12" s="1"/>
      <c r="F12" s="7" t="s">
        <v>241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0" t="s">
        <v>206</v>
      </c>
    </row>
    <row r="13" spans="4:17" x14ac:dyDescent="0.15">
      <c r="D13" s="7" t="s">
        <v>207</v>
      </c>
      <c r="E13" s="1"/>
      <c r="F13" s="1" t="s">
        <v>229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0" t="s">
        <v>208</v>
      </c>
    </row>
    <row r="14" spans="4:17" x14ac:dyDescent="0.15">
      <c r="D14" s="7" t="s">
        <v>209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0" t="s">
        <v>210</v>
      </c>
    </row>
    <row r="15" spans="4:17" x14ac:dyDescent="0.15">
      <c r="D15" s="7" t="s">
        <v>211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0" t="s">
        <v>212</v>
      </c>
    </row>
    <row r="16" spans="4:17" x14ac:dyDescent="0.15">
      <c r="D16" s="7" t="s">
        <v>213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0" t="s">
        <v>214</v>
      </c>
    </row>
    <row r="17" spans="4:17" x14ac:dyDescent="0.15">
      <c r="D17" s="7" t="s">
        <v>215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0" t="s">
        <v>216</v>
      </c>
    </row>
    <row r="18" spans="4:17" x14ac:dyDescent="0.15">
      <c r="D18" s="7" t="s">
        <v>217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0" t="s">
        <v>218</v>
      </c>
    </row>
    <row r="19" spans="4:17" ht="14.25" x14ac:dyDescent="0.15">
      <c r="D19" s="11" t="s">
        <v>219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4:17" x14ac:dyDescent="0.15">
      <c r="D20" s="7" t="s">
        <v>238</v>
      </c>
      <c r="F20" t="s">
        <v>239</v>
      </c>
    </row>
    <row r="21" spans="4:17" x14ac:dyDescent="0.15">
      <c r="D21" s="7" t="s">
        <v>240</v>
      </c>
      <c r="F21" t="s">
        <v>242</v>
      </c>
    </row>
    <row r="22" spans="4:17" x14ac:dyDescent="0.15">
      <c r="D22" s="7" t="s">
        <v>252</v>
      </c>
    </row>
    <row r="23" spans="4:17" x14ac:dyDescent="0.15">
      <c r="D23" t="s">
        <v>874</v>
      </c>
    </row>
    <row r="24" spans="4:17" x14ac:dyDescent="0.15">
      <c r="D24" t="s">
        <v>875</v>
      </c>
    </row>
    <row r="25" spans="4:17" x14ac:dyDescent="0.15">
      <c r="D25" t="s">
        <v>876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L155"/>
  <sheetViews>
    <sheetView workbookViewId="0">
      <pane xSplit="2" ySplit="1" topLeftCell="C105" activePane="bottomRight" state="frozen"/>
      <selection pane="topRight" activeCell="C1" sqref="C1"/>
      <selection pane="bottomLeft" activeCell="A2" sqref="A2"/>
      <selection pane="bottomRight" activeCell="H159" sqref="H159"/>
    </sheetView>
  </sheetViews>
  <sheetFormatPr defaultRowHeight="13.5" x14ac:dyDescent="0.15"/>
  <cols>
    <col min="1" max="1" width="8.875" style="14"/>
    <col min="2" max="2" width="19.625" style="14" customWidth="1"/>
    <col min="3" max="5" width="8.875" style="14"/>
    <col min="6" max="6" width="11.25" style="14" customWidth="1"/>
    <col min="7" max="7" width="11" style="14" customWidth="1"/>
    <col min="8" max="8" width="12" customWidth="1"/>
  </cols>
  <sheetData>
    <row r="1" spans="1:7" x14ac:dyDescent="0.15">
      <c r="A1" s="14" t="s">
        <v>253</v>
      </c>
      <c r="B1" s="14" t="s">
        <v>254</v>
      </c>
      <c r="C1" s="14" t="s">
        <v>255</v>
      </c>
      <c r="D1" s="14" t="s">
        <v>259</v>
      </c>
      <c r="E1" s="14" t="s">
        <v>256</v>
      </c>
      <c r="F1" s="14" t="s">
        <v>257</v>
      </c>
      <c r="G1" s="14" t="s">
        <v>258</v>
      </c>
    </row>
    <row r="2" spans="1:7" x14ac:dyDescent="0.15">
      <c r="A2" s="14">
        <f>D_道具表!A2</f>
        <v>91001</v>
      </c>
      <c r="B2" s="14" t="s">
        <v>280</v>
      </c>
    </row>
    <row r="3" spans="1:7" x14ac:dyDescent="0.15">
      <c r="A3" s="14">
        <f>D_道具表!A3</f>
        <v>81002</v>
      </c>
      <c r="B3" s="14" t="s">
        <v>281</v>
      </c>
    </row>
    <row r="4" spans="1:7" x14ac:dyDescent="0.15">
      <c r="A4" s="14">
        <f>D_道具表!A4</f>
        <v>81003</v>
      </c>
      <c r="B4" s="14" t="s">
        <v>282</v>
      </c>
    </row>
    <row r="5" spans="1:7" x14ac:dyDescent="0.15">
      <c r="A5" s="14">
        <f>D_道具表!A5</f>
        <v>81010</v>
      </c>
      <c r="B5" s="14" t="s">
        <v>283</v>
      </c>
    </row>
    <row r="6" spans="1:7" x14ac:dyDescent="0.15">
      <c r="A6" s="14">
        <f>D_道具表!A6</f>
        <v>82001</v>
      </c>
      <c r="B6" s="14" t="str">
        <f>VLOOKUP(A6,D_道具表!$A$2:$B$125,2,FALSE)</f>
        <v>翅膀碎片</v>
      </c>
    </row>
    <row r="7" spans="1:7" x14ac:dyDescent="0.15">
      <c r="A7" s="14">
        <f>D_道具表!A7</f>
        <v>83001</v>
      </c>
      <c r="B7" s="14" t="s">
        <v>284</v>
      </c>
    </row>
    <row r="8" spans="1:7" x14ac:dyDescent="0.15">
      <c r="A8" s="14">
        <f>D_道具表!A8</f>
        <v>83002</v>
      </c>
      <c r="B8" s="14" t="s">
        <v>285</v>
      </c>
    </row>
    <row r="9" spans="1:7" x14ac:dyDescent="0.15">
      <c r="A9" s="14">
        <f>D_道具表!A9</f>
        <v>83003</v>
      </c>
      <c r="B9" s="14" t="s">
        <v>286</v>
      </c>
      <c r="C9" s="14">
        <f>[3]称号估值!$C2</f>
        <v>40.883264194285957</v>
      </c>
      <c r="D9" s="14">
        <v>1</v>
      </c>
      <c r="E9" s="14">
        <f>[3]称号辅助表!$D3*5+5</f>
        <v>30</v>
      </c>
      <c r="F9" s="15">
        <f>C9*E9*'[4]0、经济设定'!$C$18</f>
        <v>61324.896291428937</v>
      </c>
      <c r="G9" s="15">
        <f>F9*'[4]0、经济设定'!$E$19</f>
        <v>122.64979258285787</v>
      </c>
    </row>
    <row r="10" spans="1:7" x14ac:dyDescent="0.15">
      <c r="A10" s="14">
        <f>D_道具表!A10</f>
        <v>83004</v>
      </c>
      <c r="B10" s="14" t="s">
        <v>287</v>
      </c>
      <c r="C10" s="14">
        <f>[3]称号估值!$C3</f>
        <v>65.526357207911119</v>
      </c>
      <c r="D10" s="14">
        <v>1</v>
      </c>
      <c r="E10" s="14">
        <f>[3]称号辅助表!$D4*5+5</f>
        <v>30</v>
      </c>
      <c r="F10" s="15">
        <f>C10*E10*'[4]0、经济设定'!$C$18</f>
        <v>98289.535811866677</v>
      </c>
      <c r="G10" s="15">
        <f>F10*'[4]0、经济设定'!$E$19</f>
        <v>196.57907162373337</v>
      </c>
    </row>
    <row r="11" spans="1:7" x14ac:dyDescent="0.15">
      <c r="A11" s="14">
        <f>D_道具表!A11</f>
        <v>83005</v>
      </c>
      <c r="B11" s="14" t="str">
        <f>VLOOKUP(A11,D_道具表!$A$2:$B$125,2,FALSE)</f>
        <v>扛把子</v>
      </c>
      <c r="C11" s="14">
        <f>[3]称号估值!$C4</f>
        <v>93.895930095509812</v>
      </c>
      <c r="D11" s="14">
        <v>1</v>
      </c>
      <c r="E11" s="14">
        <f>[3]称号辅助表!$D5*5+5</f>
        <v>30</v>
      </c>
      <c r="F11" s="15">
        <f>C11*E11*'[4]0、经济设定'!$C$18</f>
        <v>140843.89514326473</v>
      </c>
      <c r="G11" s="15">
        <f>F11*'[4]0、经济设定'!$E$19</f>
        <v>281.68779028652949</v>
      </c>
    </row>
    <row r="12" spans="1:7" x14ac:dyDescent="0.15">
      <c r="A12" s="14">
        <f>D_道具表!A12</f>
        <v>83006</v>
      </c>
      <c r="B12" s="14" t="s">
        <v>288</v>
      </c>
      <c r="C12" s="14">
        <f>[3]称号估值!$C5</f>
        <v>136.84714401067484</v>
      </c>
      <c r="D12" s="14">
        <v>1</v>
      </c>
      <c r="E12" s="14">
        <f>[3]称号辅助表!$D6*5+5</f>
        <v>30</v>
      </c>
      <c r="F12" s="15">
        <f>C12*E12*'[4]0、经济设定'!$C$18</f>
        <v>205270.71601601224</v>
      </c>
      <c r="G12" s="15">
        <f>F12*'[4]0、经济设定'!$E$19</f>
        <v>410.54143203202449</v>
      </c>
    </row>
    <row r="13" spans="1:7" x14ac:dyDescent="0.15">
      <c r="A13" s="14">
        <f>D_道具表!A13</f>
        <v>83007</v>
      </c>
      <c r="B13" s="14" t="s">
        <v>289</v>
      </c>
      <c r="C13" s="14">
        <f>[3]称号估值!$C6</f>
        <v>525.2369515441618</v>
      </c>
      <c r="D13" s="14">
        <v>1</v>
      </c>
      <c r="E13" s="14">
        <f>[3]称号辅助表!$D7*5+5</f>
        <v>40</v>
      </c>
      <c r="F13" s="15">
        <f>C13*E13*'[4]0、经济设定'!$C$18</f>
        <v>1050473.9030883235</v>
      </c>
      <c r="G13" s="15">
        <f>F13*'[4]0、经济设定'!$E$19</f>
        <v>2100.9478061766472</v>
      </c>
    </row>
    <row r="14" spans="1:7" x14ac:dyDescent="0.15">
      <c r="A14" s="14">
        <f>D_道具表!A14</f>
        <v>83008</v>
      </c>
      <c r="B14" s="14" t="s">
        <v>290</v>
      </c>
      <c r="C14" s="14">
        <f>[3]称号估值!$C7</f>
        <v>195.7419418851112</v>
      </c>
      <c r="D14" s="14">
        <v>1</v>
      </c>
      <c r="E14" s="14">
        <f>[3]称号辅助表!$D8*5+5</f>
        <v>30</v>
      </c>
      <c r="F14" s="15">
        <f>C14*E14*'[4]0、经济设定'!$C$18</f>
        <v>293612.91282766679</v>
      </c>
      <c r="G14" s="15">
        <f>F14*'[4]0、经济设定'!$E$19</f>
        <v>587.22582565533355</v>
      </c>
    </row>
    <row r="15" spans="1:7" x14ac:dyDescent="0.15">
      <c r="A15" s="14">
        <f>D_道具表!A15</f>
        <v>83009</v>
      </c>
      <c r="B15" s="14" t="str">
        <f>VLOOKUP(A15,D_道具表!$A$2:$B$125,2,FALSE)</f>
        <v>神之手</v>
      </c>
      <c r="C15" s="14">
        <f>[3]称号估值!$C8</f>
        <v>325.83843064355233</v>
      </c>
      <c r="D15" s="14">
        <v>1</v>
      </c>
      <c r="E15" s="14">
        <f>[3]称号辅助表!$D9*5+5</f>
        <v>35</v>
      </c>
      <c r="F15" s="15">
        <f>C15*E15*'[4]0、经济设定'!$C$18</f>
        <v>570217.25362621655</v>
      </c>
      <c r="G15" s="15">
        <f>F15*'[4]0、经济设定'!$E$19</f>
        <v>1140.4345072524331</v>
      </c>
    </row>
    <row r="16" spans="1:7" x14ac:dyDescent="0.15">
      <c r="A16" s="14">
        <f>D_道具表!A16</f>
        <v>83010</v>
      </c>
      <c r="B16" s="14" t="str">
        <f>VLOOKUP(A16,D_道具表!$A$2:$B$125,2,FALSE)</f>
        <v>富甲一方</v>
      </c>
      <c r="C16" s="14">
        <f>[3]称号估值!$C9</f>
        <v>163.11828490425933</v>
      </c>
      <c r="D16" s="14">
        <v>1</v>
      </c>
      <c r="E16" s="14">
        <f>[3]称号辅助表!$D10*5+5</f>
        <v>25</v>
      </c>
      <c r="F16" s="15">
        <f>C16*E16*'[4]0、经济设定'!$C$18</f>
        <v>203897.85613032416</v>
      </c>
      <c r="G16" s="15">
        <f>F16*'[4]0、经济设定'!$E$19</f>
        <v>407.79571226064832</v>
      </c>
    </row>
    <row r="17" spans="1:7" x14ac:dyDescent="0.15">
      <c r="A17" s="14">
        <f>D_道具表!A17</f>
        <v>83011</v>
      </c>
      <c r="B17" s="14" t="s">
        <v>291</v>
      </c>
      <c r="C17" s="14">
        <f>[3]称号估值!$C10</f>
        <v>271.53202553629359</v>
      </c>
      <c r="D17" s="14">
        <v>1</v>
      </c>
      <c r="E17" s="14">
        <f>[3]称号辅助表!$D11*5+5</f>
        <v>30</v>
      </c>
      <c r="F17" s="15">
        <f>C17*E17*'[4]0、经济设定'!$C$18</f>
        <v>407298.03830444039</v>
      </c>
      <c r="G17" s="15">
        <f>F17*'[4]0、经济设定'!$E$19</f>
        <v>814.59607660888082</v>
      </c>
    </row>
    <row r="18" spans="1:7" x14ac:dyDescent="0.15">
      <c r="A18" s="14">
        <f>D_道具表!A18</f>
        <v>83012</v>
      </c>
      <c r="B18" s="14" t="s">
        <v>292</v>
      </c>
      <c r="C18" s="14">
        <f>[3]称号估值!$C11</f>
        <v>437.69745962013485</v>
      </c>
      <c r="D18" s="14">
        <v>1</v>
      </c>
      <c r="E18" s="14">
        <f>[3]称号辅助表!$D12*5+5</f>
        <v>35</v>
      </c>
      <c r="F18" s="15">
        <f>C18*E18*'[4]0、经济设定'!$C$18</f>
        <v>765970.55433523597</v>
      </c>
      <c r="G18" s="15">
        <f>F18*'[4]0、经济设定'!$E$19</f>
        <v>1531.941108670472</v>
      </c>
    </row>
    <row r="19" spans="1:7" x14ac:dyDescent="0.15">
      <c r="A19" s="14">
        <f>D_道具表!A19</f>
        <v>83013</v>
      </c>
      <c r="B19" s="14" t="s">
        <v>291</v>
      </c>
      <c r="C19" s="14">
        <f>[3]称号估值!$C12</f>
        <v>95.032738896301993</v>
      </c>
      <c r="D19" s="14">
        <v>1</v>
      </c>
      <c r="E19" s="14">
        <f>[3]称号辅助表!$D13*5</f>
        <v>15</v>
      </c>
      <c r="F19" s="15">
        <f>C19*E19*'[4]0、经济设定'!$C$18</f>
        <v>71274.554172226504</v>
      </c>
      <c r="G19" s="15">
        <f>F19*'[4]0、经济设定'!$E$19</f>
        <v>142.549108344453</v>
      </c>
    </row>
    <row r="20" spans="1:7" x14ac:dyDescent="0.15">
      <c r="A20" s="14">
        <f>D_道具表!A20</f>
        <v>83014</v>
      </c>
      <c r="B20" s="14" t="s">
        <v>292</v>
      </c>
      <c r="C20" s="14">
        <f>[3]称号估值!$C13</f>
        <v>0</v>
      </c>
      <c r="D20" s="14">
        <v>1</v>
      </c>
      <c r="E20" s="14">
        <f>[3]称号辅助表!$D14*5</f>
        <v>0</v>
      </c>
      <c r="F20" s="15">
        <f>C20*E20*'[4]0、经济设定'!$C$18</f>
        <v>0</v>
      </c>
      <c r="G20" s="15">
        <f>F20*'[4]0、经济设定'!$E$19</f>
        <v>0</v>
      </c>
    </row>
    <row r="21" spans="1:7" x14ac:dyDescent="0.15">
      <c r="A21" s="14">
        <f>D_道具表!A21</f>
        <v>83015</v>
      </c>
      <c r="B21" s="14" t="s">
        <v>293</v>
      </c>
      <c r="C21" s="14">
        <f>[3]称号估值!$C14</f>
        <v>0</v>
      </c>
      <c r="D21" s="14">
        <v>1</v>
      </c>
      <c r="E21" s="14">
        <f>[3]称号辅助表!$D15*5</f>
        <v>0</v>
      </c>
      <c r="F21" s="15">
        <f>C21*E21*'[4]0、经济设定'!$C$18</f>
        <v>0</v>
      </c>
      <c r="G21" s="15">
        <f>F21*'[4]0、经济设定'!$E$19</f>
        <v>0</v>
      </c>
    </row>
    <row r="22" spans="1:7" x14ac:dyDescent="0.15">
      <c r="A22" s="14">
        <f>D_道具表!A22</f>
        <v>83016</v>
      </c>
      <c r="B22" s="14" t="str">
        <f>VLOOKUP(A22,D_道具表!$A$2:$B$125,2,FALSE)</f>
        <v>不哭死神</v>
      </c>
      <c r="C22" s="14">
        <f>[3]称号估值!$C15</f>
        <v>0</v>
      </c>
      <c r="D22" s="14">
        <v>1</v>
      </c>
      <c r="E22" s="14">
        <f>[3]称号辅助表!$D16*5</f>
        <v>0</v>
      </c>
      <c r="F22" s="15">
        <f>C22*E22*'[4]0、经济设定'!$C$18</f>
        <v>0</v>
      </c>
      <c r="G22" s="15">
        <f>F22*'[4]0、经济设定'!$E$19</f>
        <v>0</v>
      </c>
    </row>
    <row r="23" spans="1:7" x14ac:dyDescent="0.15">
      <c r="A23" s="14">
        <f>D_道具表!A23</f>
        <v>83017</v>
      </c>
      <c r="B23" s="14" t="s">
        <v>294</v>
      </c>
      <c r="C23" s="14">
        <f>[3]称号估值!$C16</f>
        <v>0</v>
      </c>
      <c r="D23" s="14">
        <v>1</v>
      </c>
      <c r="E23" s="14">
        <f>[3]称号辅助表!$D17*5</f>
        <v>0</v>
      </c>
      <c r="F23" s="15">
        <f>C23*E23*'[4]0、经济设定'!$C$18</f>
        <v>0</v>
      </c>
      <c r="G23" s="15">
        <f>F23*'[4]0、经济设定'!$E$19</f>
        <v>0</v>
      </c>
    </row>
    <row r="24" spans="1:7" x14ac:dyDescent="0.15">
      <c r="A24" s="14">
        <f>D_道具表!A24</f>
        <v>83018</v>
      </c>
      <c r="B24" s="14" t="s">
        <v>295</v>
      </c>
      <c r="C24" s="14">
        <f>[3]称号估值!$C17</f>
        <v>0</v>
      </c>
      <c r="D24" s="14">
        <v>1</v>
      </c>
      <c r="E24" s="14">
        <f>[3]称号辅助表!$D18*5</f>
        <v>0</v>
      </c>
      <c r="F24" s="15">
        <f>C24*E24*'[4]0、经济设定'!$C$18</f>
        <v>0</v>
      </c>
      <c r="G24" s="15">
        <f>F24*'[4]0、经济设定'!$E$19</f>
        <v>0</v>
      </c>
    </row>
    <row r="25" spans="1:7" x14ac:dyDescent="0.15">
      <c r="A25" s="14">
        <f>D_道具表!A25</f>
        <v>83019</v>
      </c>
      <c r="B25" s="14" t="s">
        <v>296</v>
      </c>
      <c r="C25" s="14">
        <f>[3]称号估值!$C18</f>
        <v>0</v>
      </c>
      <c r="D25" s="14">
        <v>1</v>
      </c>
      <c r="E25" s="14">
        <f>[3]称号辅助表!$D19*5</f>
        <v>0</v>
      </c>
      <c r="F25" s="15">
        <f>C25*E25*'[4]0、经济设定'!$C$18</f>
        <v>0</v>
      </c>
      <c r="G25" s="15">
        <f>F25*'[4]0、经济设定'!$E$19</f>
        <v>0</v>
      </c>
    </row>
    <row r="26" spans="1:7" x14ac:dyDescent="0.15">
      <c r="A26" s="14">
        <f>D_道具表!A26</f>
        <v>83020</v>
      </c>
      <c r="B26" s="14" t="s">
        <v>297</v>
      </c>
      <c r="C26" s="14">
        <f>[3]称号估值!$C19</f>
        <v>0</v>
      </c>
      <c r="D26" s="14">
        <v>1</v>
      </c>
      <c r="E26" s="14">
        <f>[3]称号辅助表!$D20*5</f>
        <v>0</v>
      </c>
      <c r="F26" s="15">
        <f>C26*E26*'[4]0、经济设定'!$C$18</f>
        <v>0</v>
      </c>
      <c r="G26" s="15">
        <f>F26*'[4]0、经济设定'!$E$19</f>
        <v>0</v>
      </c>
    </row>
    <row r="27" spans="1:7" x14ac:dyDescent="0.15">
      <c r="A27" s="14">
        <f>D_道具表!A27</f>
        <v>83021</v>
      </c>
      <c r="B27" s="14" t="str">
        <f>VLOOKUP(A27,D_道具表!$A$2:$B$125,2,FALSE)</f>
        <v>至尊王者</v>
      </c>
      <c r="C27" s="14">
        <f>[3]称号估值!$C20</f>
        <v>0</v>
      </c>
      <c r="D27" s="14">
        <v>1</v>
      </c>
      <c r="E27" s="14">
        <f>[3]称号辅助表!$D21*5</f>
        <v>0</v>
      </c>
      <c r="F27" s="15">
        <f>C27*E27*'[4]0、经济设定'!$C$18</f>
        <v>0</v>
      </c>
      <c r="G27" s="15">
        <f>F27*'[4]0、经济设定'!$E$19</f>
        <v>0</v>
      </c>
    </row>
    <row r="28" spans="1:7" x14ac:dyDescent="0.15">
      <c r="A28" s="14">
        <f>D_道具表!A28</f>
        <v>83022</v>
      </c>
      <c r="B28" s="14" t="s">
        <v>298</v>
      </c>
      <c r="C28" s="14">
        <f>[3]称号估值!$C21</f>
        <v>0</v>
      </c>
      <c r="D28" s="14">
        <v>1</v>
      </c>
      <c r="E28" s="14">
        <f>[3]称号辅助表!$D22*5</f>
        <v>0</v>
      </c>
      <c r="F28" s="15">
        <f>C28*E28*'[4]0、经济设定'!$C$18</f>
        <v>0</v>
      </c>
      <c r="G28" s="15">
        <f>F28*'[4]0、经济设定'!$E$19</f>
        <v>0</v>
      </c>
    </row>
    <row r="29" spans="1:7" x14ac:dyDescent="0.15">
      <c r="A29" s="14">
        <f>D_道具表!A30</f>
        <v>83103</v>
      </c>
      <c r="B29" s="14" t="s">
        <v>299</v>
      </c>
      <c r="C29" s="14">
        <f>[3]称号估值!$C2</f>
        <v>40.883264194285957</v>
      </c>
      <c r="D29" s="14">
        <v>1</v>
      </c>
      <c r="E29" s="14">
        <f>E9/2</f>
        <v>15</v>
      </c>
      <c r="F29" s="15">
        <f>C29*E29*'[4]0、经济设定'!$C$18</f>
        <v>30662.448145714468</v>
      </c>
      <c r="G29" s="15">
        <f>F29*'[4]0、经济设定'!$E$19</f>
        <v>61.324896291428935</v>
      </c>
    </row>
    <row r="30" spans="1:7" x14ac:dyDescent="0.15">
      <c r="A30" s="14">
        <f>D_道具表!A31</f>
        <v>83104</v>
      </c>
      <c r="B30" s="14" t="s">
        <v>300</v>
      </c>
      <c r="C30" s="14">
        <f>[3]称号估值!$C3</f>
        <v>65.526357207911119</v>
      </c>
      <c r="D30" s="14">
        <v>1</v>
      </c>
      <c r="E30" s="14">
        <f t="shared" ref="E30:E38" si="0">E10/2</f>
        <v>15</v>
      </c>
      <c r="F30" s="15">
        <f>C30*E30*'[4]0、经济设定'!$C$18</f>
        <v>49144.767905933339</v>
      </c>
      <c r="G30" s="15">
        <f>F30*'[4]0、经济设定'!$E$19</f>
        <v>98.289535811866685</v>
      </c>
    </row>
    <row r="31" spans="1:7" x14ac:dyDescent="0.15">
      <c r="A31" s="14">
        <f>D_道具表!A32</f>
        <v>83105</v>
      </c>
      <c r="B31" s="14" t="str">
        <f>VLOOKUP(A31,D_道具表!$A$2:$B$125,2,FALSE)</f>
        <v>扛把子(3天)</v>
      </c>
      <c r="C31" s="14">
        <f>[3]称号估值!$C4</f>
        <v>93.895930095509812</v>
      </c>
      <c r="D31" s="14">
        <v>1</v>
      </c>
      <c r="E31" s="14">
        <f t="shared" si="0"/>
        <v>15</v>
      </c>
      <c r="F31" s="15">
        <f>C31*E31*'[4]0、经济设定'!$C$18</f>
        <v>70421.947571632365</v>
      </c>
      <c r="G31" s="15">
        <f>F31*'[4]0、经济设定'!$E$19</f>
        <v>140.84389514326475</v>
      </c>
    </row>
    <row r="32" spans="1:7" x14ac:dyDescent="0.15">
      <c r="A32" s="14">
        <f>D_道具表!A33</f>
        <v>83106</v>
      </c>
      <c r="B32" s="14" t="s">
        <v>301</v>
      </c>
      <c r="C32" s="14">
        <f>[3]称号估值!$C5</f>
        <v>136.84714401067484</v>
      </c>
      <c r="D32" s="14">
        <v>1</v>
      </c>
      <c r="E32" s="14">
        <f t="shared" si="0"/>
        <v>15</v>
      </c>
      <c r="F32" s="15">
        <f>C32*E32*'[4]0、经济设定'!$C$18</f>
        <v>102635.35800800612</v>
      </c>
      <c r="G32" s="15">
        <f>F32*'[4]0、经济设定'!$E$19</f>
        <v>205.27071601601224</v>
      </c>
    </row>
    <row r="33" spans="1:7" x14ac:dyDescent="0.15">
      <c r="A33" s="14">
        <f>D_道具表!A34</f>
        <v>83107</v>
      </c>
      <c r="B33" s="14" t="s">
        <v>302</v>
      </c>
      <c r="C33" s="14">
        <f>[3]称号估值!$C6</f>
        <v>525.2369515441618</v>
      </c>
      <c r="D33" s="14">
        <v>1</v>
      </c>
      <c r="E33" s="14">
        <f t="shared" si="0"/>
        <v>20</v>
      </c>
      <c r="F33" s="15">
        <f>C33*E33*'[4]0、经济设定'!$C$18</f>
        <v>525236.95154416177</v>
      </c>
      <c r="G33" s="15">
        <f>F33*'[4]0、经济设定'!$E$19</f>
        <v>1050.4739030883236</v>
      </c>
    </row>
    <row r="34" spans="1:7" x14ac:dyDescent="0.15">
      <c r="A34" s="14">
        <f>D_道具表!A35</f>
        <v>83108</v>
      </c>
      <c r="B34" s="14" t="s">
        <v>303</v>
      </c>
      <c r="C34" s="14">
        <f>[3]称号估值!$C7</f>
        <v>195.7419418851112</v>
      </c>
      <c r="D34" s="14">
        <v>1</v>
      </c>
      <c r="E34" s="14">
        <f t="shared" si="0"/>
        <v>15</v>
      </c>
      <c r="F34" s="15">
        <f>C34*E34*'[4]0、经济设定'!$C$18</f>
        <v>146806.4564138334</v>
      </c>
      <c r="G34" s="15">
        <f>F34*'[4]0、经济设定'!$E$19</f>
        <v>293.61291282766678</v>
      </c>
    </row>
    <row r="35" spans="1:7" x14ac:dyDescent="0.15">
      <c r="A35" s="14">
        <f>D_道具表!A36</f>
        <v>83109</v>
      </c>
      <c r="B35" s="14" t="str">
        <f>VLOOKUP(A35,D_道具表!$A$2:$B$125,2,FALSE)</f>
        <v>神之手(3天)</v>
      </c>
      <c r="C35" s="14">
        <f>[3]称号估值!$C8</f>
        <v>325.83843064355233</v>
      </c>
      <c r="D35" s="14">
        <v>1</v>
      </c>
      <c r="E35" s="14">
        <f t="shared" si="0"/>
        <v>17.5</v>
      </c>
      <c r="F35" s="15">
        <f>C35*E35*'[4]0、经济设定'!$C$18</f>
        <v>285108.62681310828</v>
      </c>
      <c r="G35" s="15">
        <f>F35*'[4]0、经济设定'!$E$19</f>
        <v>570.21725362621657</v>
      </c>
    </row>
    <row r="36" spans="1:7" x14ac:dyDescent="0.15">
      <c r="A36" s="14">
        <f>D_道具表!A37</f>
        <v>83110</v>
      </c>
      <c r="B36" s="14" t="str">
        <f>VLOOKUP(A36,D_道具表!$A$2:$B$125,2,FALSE)</f>
        <v>富甲一方(3天)</v>
      </c>
      <c r="C36" s="14">
        <f>[3]称号估值!$C9</f>
        <v>163.11828490425933</v>
      </c>
      <c r="D36" s="14">
        <v>1</v>
      </c>
      <c r="E36" s="14">
        <f t="shared" si="0"/>
        <v>12.5</v>
      </c>
      <c r="F36" s="15">
        <f>C36*E36*'[4]0、经济设定'!$C$18</f>
        <v>101948.92806516208</v>
      </c>
      <c r="G36" s="15">
        <f>F36*'[4]0、经济设定'!$E$19</f>
        <v>203.89785613032416</v>
      </c>
    </row>
    <row r="37" spans="1:7" x14ac:dyDescent="0.15">
      <c r="A37" s="14">
        <f>D_道具表!A38</f>
        <v>83111</v>
      </c>
      <c r="B37" s="14" t="s">
        <v>304</v>
      </c>
      <c r="C37" s="14">
        <f>[3]称号估值!$C10</f>
        <v>271.53202553629359</v>
      </c>
      <c r="D37" s="14">
        <v>1</v>
      </c>
      <c r="E37" s="14">
        <f t="shared" si="0"/>
        <v>15</v>
      </c>
      <c r="F37" s="15">
        <f>C37*E37*'[4]0、经济设定'!$C$18</f>
        <v>203649.01915222019</v>
      </c>
      <c r="G37" s="15">
        <f>F37*'[4]0、经济设定'!$E$19</f>
        <v>407.29803830444041</v>
      </c>
    </row>
    <row r="38" spans="1:7" x14ac:dyDescent="0.15">
      <c r="A38" s="14">
        <f>D_道具表!A39</f>
        <v>83112</v>
      </c>
      <c r="B38" s="14" t="s">
        <v>305</v>
      </c>
      <c r="C38" s="14">
        <f>[3]称号估值!$C11</f>
        <v>437.69745962013485</v>
      </c>
      <c r="D38" s="14">
        <v>1</v>
      </c>
      <c r="E38" s="14">
        <f t="shared" si="0"/>
        <v>17.5</v>
      </c>
      <c r="F38" s="15">
        <f>C38*E38*'[4]0、经济设定'!$C$18</f>
        <v>382985.27716761798</v>
      </c>
      <c r="G38" s="15">
        <f>F38*'[4]0、经济设定'!$E$19</f>
        <v>765.97055433523599</v>
      </c>
    </row>
    <row r="39" spans="1:7" x14ac:dyDescent="0.15">
      <c r="A39" s="14">
        <f>D_道具表!A40</f>
        <v>83113</v>
      </c>
      <c r="B39" s="14" t="s">
        <v>304</v>
      </c>
      <c r="C39" s="14">
        <f>[3]称号估值!$C12</f>
        <v>95.032738896301993</v>
      </c>
      <c r="D39" s="14">
        <v>1</v>
      </c>
      <c r="E39" s="14">
        <f t="shared" ref="E39:E48" si="1">E19</f>
        <v>15</v>
      </c>
      <c r="F39" s="15">
        <f>C39*E39*'[4]0、经济设定'!$C$18</f>
        <v>71274.554172226504</v>
      </c>
      <c r="G39" s="15">
        <f>F39*'[4]0、经济设定'!$E$19</f>
        <v>142.549108344453</v>
      </c>
    </row>
    <row r="40" spans="1:7" x14ac:dyDescent="0.15">
      <c r="A40" s="14">
        <f>D_道具表!A41</f>
        <v>83114</v>
      </c>
      <c r="B40" s="14" t="s">
        <v>305</v>
      </c>
      <c r="C40" s="14">
        <f>[3]称号估值!$C13</f>
        <v>0</v>
      </c>
      <c r="D40" s="14">
        <v>1</v>
      </c>
      <c r="E40" s="14">
        <f t="shared" si="1"/>
        <v>0</v>
      </c>
      <c r="F40" s="15">
        <f>C40*E40*'[4]0、经济设定'!$C$18</f>
        <v>0</v>
      </c>
      <c r="G40" s="15">
        <f>F40*'[4]0、经济设定'!$E$19</f>
        <v>0</v>
      </c>
    </row>
    <row r="41" spans="1:7" x14ac:dyDescent="0.15">
      <c r="A41" s="14">
        <f>D_道具表!A42</f>
        <v>83115</v>
      </c>
      <c r="B41" s="14" t="s">
        <v>306</v>
      </c>
      <c r="C41" s="14">
        <f>[3]称号估值!$C14</f>
        <v>0</v>
      </c>
      <c r="D41" s="14">
        <v>1</v>
      </c>
      <c r="E41" s="14">
        <f t="shared" si="1"/>
        <v>0</v>
      </c>
      <c r="F41" s="15">
        <f>C41*E41*'[4]0、经济设定'!$C$18</f>
        <v>0</v>
      </c>
      <c r="G41" s="15">
        <f>F41*'[4]0、经济设定'!$E$19</f>
        <v>0</v>
      </c>
    </row>
    <row r="42" spans="1:7" x14ac:dyDescent="0.15">
      <c r="A42" s="14">
        <f>D_道具表!A43</f>
        <v>83116</v>
      </c>
      <c r="B42" s="14" t="str">
        <f>VLOOKUP(A42,D_道具表!$A$2:$B$125,2,FALSE)</f>
        <v>不哭死神(3天)</v>
      </c>
      <c r="C42" s="14">
        <f>[3]称号估值!$C15</f>
        <v>0</v>
      </c>
      <c r="D42" s="14">
        <v>1</v>
      </c>
      <c r="E42" s="14">
        <f t="shared" si="1"/>
        <v>0</v>
      </c>
      <c r="F42" s="15">
        <f>C42*E42*'[4]0、经济设定'!$C$18</f>
        <v>0</v>
      </c>
      <c r="G42" s="15">
        <f>F42*'[4]0、经济设定'!$E$19</f>
        <v>0</v>
      </c>
    </row>
    <row r="43" spans="1:7" x14ac:dyDescent="0.15">
      <c r="A43" s="14">
        <f>D_道具表!A44</f>
        <v>83117</v>
      </c>
      <c r="B43" s="14" t="s">
        <v>307</v>
      </c>
      <c r="C43" s="14">
        <f>[3]称号估值!$C16</f>
        <v>0</v>
      </c>
      <c r="D43" s="14">
        <v>1</v>
      </c>
      <c r="E43" s="14">
        <f t="shared" si="1"/>
        <v>0</v>
      </c>
      <c r="F43" s="15">
        <f>C43*E43*'[4]0、经济设定'!$C$18</f>
        <v>0</v>
      </c>
      <c r="G43" s="15">
        <f>F43*'[4]0、经济设定'!$E$19</f>
        <v>0</v>
      </c>
    </row>
    <row r="44" spans="1:7" x14ac:dyDescent="0.15">
      <c r="A44" s="14">
        <f>D_道具表!A45</f>
        <v>83118</v>
      </c>
      <c r="B44" s="14" t="s">
        <v>308</v>
      </c>
      <c r="C44" s="14">
        <f>[3]称号估值!$C17</f>
        <v>0</v>
      </c>
      <c r="D44" s="14">
        <v>1</v>
      </c>
      <c r="E44" s="14">
        <f t="shared" si="1"/>
        <v>0</v>
      </c>
      <c r="F44" s="15">
        <f>C44*E44*'[4]0、经济设定'!$C$18</f>
        <v>0</v>
      </c>
      <c r="G44" s="15">
        <f>F44*'[4]0、经济设定'!$E$19</f>
        <v>0</v>
      </c>
    </row>
    <row r="45" spans="1:7" x14ac:dyDescent="0.15">
      <c r="A45" s="14">
        <f>D_道具表!A46</f>
        <v>83119</v>
      </c>
      <c r="B45" s="14" t="s">
        <v>309</v>
      </c>
      <c r="C45" s="14">
        <f>[3]称号估值!$C18</f>
        <v>0</v>
      </c>
      <c r="D45" s="14">
        <v>1</v>
      </c>
      <c r="E45" s="14">
        <f t="shared" si="1"/>
        <v>0</v>
      </c>
      <c r="F45" s="15">
        <f>C45*E45*'[4]0、经济设定'!$C$18</f>
        <v>0</v>
      </c>
      <c r="G45" s="15">
        <f>F45*'[4]0、经济设定'!$E$19</f>
        <v>0</v>
      </c>
    </row>
    <row r="46" spans="1:7" x14ac:dyDescent="0.15">
      <c r="A46" s="14">
        <f>D_道具表!A47</f>
        <v>83120</v>
      </c>
      <c r="B46" s="14" t="s">
        <v>310</v>
      </c>
      <c r="C46" s="14">
        <f>[3]称号估值!$C19</f>
        <v>0</v>
      </c>
      <c r="D46" s="14">
        <v>1</v>
      </c>
      <c r="E46" s="14">
        <f t="shared" si="1"/>
        <v>0</v>
      </c>
      <c r="F46" s="15">
        <f>C46*E46*'[4]0、经济设定'!$C$18</f>
        <v>0</v>
      </c>
      <c r="G46" s="15">
        <f>F46*'[4]0、经济设定'!$E$19</f>
        <v>0</v>
      </c>
    </row>
    <row r="47" spans="1:7" x14ac:dyDescent="0.15">
      <c r="A47" s="14">
        <f>D_道具表!A48</f>
        <v>83121</v>
      </c>
      <c r="B47" s="14" t="str">
        <f>VLOOKUP(A47,D_道具表!$A$2:$B$125,2,FALSE)</f>
        <v>至尊王者(3天)</v>
      </c>
      <c r="C47" s="14">
        <f>[3]称号估值!$C20</f>
        <v>0</v>
      </c>
      <c r="D47" s="14">
        <v>1</v>
      </c>
      <c r="E47" s="14">
        <f t="shared" si="1"/>
        <v>0</v>
      </c>
      <c r="F47" s="15">
        <f>C47*E47*'[4]0、经济设定'!$C$18</f>
        <v>0</v>
      </c>
      <c r="G47" s="15">
        <f>F47*'[4]0、经济设定'!$E$19</f>
        <v>0</v>
      </c>
    </row>
    <row r="48" spans="1:7" x14ac:dyDescent="0.15">
      <c r="A48" s="14">
        <f>D_道具表!A49</f>
        <v>83122</v>
      </c>
      <c r="B48" s="14" t="s">
        <v>311</v>
      </c>
      <c r="C48" s="14">
        <f>[3]称号估值!$C21</f>
        <v>0</v>
      </c>
      <c r="D48" s="14">
        <v>1</v>
      </c>
      <c r="E48" s="14">
        <f t="shared" si="1"/>
        <v>0</v>
      </c>
      <c r="F48" s="15">
        <f>C48*E48*'[4]0、经济设定'!$C$18</f>
        <v>0</v>
      </c>
      <c r="G48" s="15">
        <f>F48*'[4]0、经济设定'!$E$19</f>
        <v>0</v>
      </c>
    </row>
    <row r="49" spans="1:8" x14ac:dyDescent="0.15">
      <c r="A49" s="14">
        <f>D_道具表!A50</f>
        <v>78101</v>
      </c>
      <c r="B49" s="14" t="str">
        <f>VLOOKUP(A49,D_道具表!$A$2:$B$125,2,FALSE)</f>
        <v>马仔碎片(制服太妹)</v>
      </c>
      <c r="C49" s="14">
        <f>[5]价值评估!F14</f>
        <v>2.5553552307428928</v>
      </c>
      <c r="D49" s="14">
        <f>[5]价值评估!G14</f>
        <v>980</v>
      </c>
      <c r="E49" s="14">
        <v>97.5</v>
      </c>
      <c r="F49" s="15">
        <f>G49*'[4]0、经济设定'!$C$19</f>
        <v>12500</v>
      </c>
      <c r="G49" s="23">
        <f>ROUNDUP(C49*'[4]0、经济设定'!$E$18*E49,0)</f>
        <v>25</v>
      </c>
      <c r="H49">
        <v>1</v>
      </c>
    </row>
    <row r="50" spans="1:8" x14ac:dyDescent="0.15">
      <c r="A50" s="14">
        <f>D_道具表!A51</f>
        <v>78102</v>
      </c>
      <c r="B50" s="14" t="str">
        <f>VLOOKUP(A50,D_道具表!$A$2:$B$125,2,FALSE)</f>
        <v>马仔碎片(蟹仔)</v>
      </c>
      <c r="C50" s="14">
        <f>[5]价值评估!F15</f>
        <v>2.5553552307428928</v>
      </c>
      <c r="D50" s="14">
        <f>[5]价值评估!G15</f>
        <v>980</v>
      </c>
      <c r="E50" s="14">
        <v>97.5</v>
      </c>
      <c r="F50" s="15">
        <f>G50*'[4]0、经济设定'!$C$19</f>
        <v>12500</v>
      </c>
      <c r="G50" s="23">
        <f>ROUNDUP(C50*'[4]0、经济设定'!$E$18*E50,0)</f>
        <v>25</v>
      </c>
      <c r="H50">
        <v>1</v>
      </c>
    </row>
    <row r="51" spans="1:8" x14ac:dyDescent="0.15">
      <c r="A51" s="14">
        <f>D_道具表!A52</f>
        <v>78103</v>
      </c>
      <c r="B51" s="14" t="str">
        <f>VLOOKUP(A51,D_道具表!$A$2:$B$125,2,FALSE)</f>
        <v>马仔碎片(比利)</v>
      </c>
      <c r="C51" s="14">
        <f>[5]价值评估!F16</f>
        <v>2.5553552307428928</v>
      </c>
      <c r="D51" s="14">
        <f>[5]价值评估!G16</f>
        <v>980</v>
      </c>
      <c r="E51" s="14">
        <v>97.5</v>
      </c>
      <c r="F51" s="15">
        <f>G51*'[4]0、经济设定'!$C$19</f>
        <v>12500</v>
      </c>
      <c r="G51" s="23">
        <f>ROUNDUP(C51*'[4]0、经济设定'!$E$18*E51,0)</f>
        <v>25</v>
      </c>
      <c r="H51">
        <v>1</v>
      </c>
    </row>
    <row r="52" spans="1:8" x14ac:dyDescent="0.15">
      <c r="A52" s="14">
        <f>D_道具表!A53</f>
        <v>78104</v>
      </c>
      <c r="B52" s="14" t="str">
        <f>VLOOKUP(A52,D_道具表!$A$2:$B$125,2,FALSE)</f>
        <v>马仔碎片(黎九)</v>
      </c>
      <c r="C52" s="14">
        <f>[5]价值评估!F17</f>
        <v>2.5553552307428928</v>
      </c>
      <c r="D52" s="14">
        <f>[5]价值评估!G17</f>
        <v>980</v>
      </c>
      <c r="E52" s="14">
        <v>97.5</v>
      </c>
      <c r="F52" s="15">
        <f>G52*'[4]0、经济设定'!$C$19</f>
        <v>12500</v>
      </c>
      <c r="G52" s="23">
        <f>ROUNDUP(C52*'[4]0、经济设定'!$E$18*E52,0)</f>
        <v>25</v>
      </c>
      <c r="H52">
        <v>1</v>
      </c>
    </row>
    <row r="53" spans="1:8" x14ac:dyDescent="0.15">
      <c r="A53" s="14">
        <f>D_道具表!A54</f>
        <v>78105</v>
      </c>
      <c r="B53" s="14" t="str">
        <f>VLOOKUP(A53,D_道具表!$A$2:$B$125,2,FALSE)</f>
        <v>马仔碎片(黑古)</v>
      </c>
      <c r="C53" s="14">
        <f>[5]价值评估!F18</f>
        <v>2.5553552307428928</v>
      </c>
      <c r="D53" s="14">
        <f>[5]价值评估!G18</f>
        <v>980</v>
      </c>
      <c r="E53" s="14">
        <v>97.5</v>
      </c>
      <c r="F53" s="15">
        <f>G53*'[4]0、经济设定'!$C$19</f>
        <v>12500</v>
      </c>
      <c r="G53" s="23">
        <f>ROUNDUP(C53*'[4]0、经济设定'!$E$18*E53,0)</f>
        <v>25</v>
      </c>
      <c r="H53">
        <v>1</v>
      </c>
    </row>
    <row r="54" spans="1:8" x14ac:dyDescent="0.15">
      <c r="A54" s="14">
        <f>D_道具表!A55</f>
        <v>78106</v>
      </c>
      <c r="B54" s="14" t="str">
        <f>VLOOKUP(A54,D_道具表!$A$2:$B$125,2,FALSE)</f>
        <v>马仔碎片(靓坤)</v>
      </c>
      <c r="C54" s="14">
        <f>[5]价值评估!F19</f>
        <v>5.1107104614857857</v>
      </c>
      <c r="D54" s="14">
        <f>[5]价值评估!G19</f>
        <v>980</v>
      </c>
      <c r="E54" s="14">
        <v>97.5</v>
      </c>
      <c r="F54" s="15">
        <f>G54*'[4]0、经济设定'!$C$19</f>
        <v>25000</v>
      </c>
      <c r="G54" s="23">
        <f>ROUNDUP(C54*'[4]0、经济设定'!$E$18*E54,0)</f>
        <v>50</v>
      </c>
      <c r="H54">
        <v>2</v>
      </c>
    </row>
    <row r="55" spans="1:8" x14ac:dyDescent="0.15">
      <c r="A55" s="14">
        <f>D_道具表!A56</f>
        <v>78107</v>
      </c>
      <c r="B55" s="14" t="str">
        <f>VLOOKUP(A55,D_道具表!$A$2:$B$125,2,FALSE)</f>
        <v>马仔碎片(雷复轰)</v>
      </c>
      <c r="C55" s="14">
        <f>[5]价值评估!F20</f>
        <v>5.1107104614857857</v>
      </c>
      <c r="D55" s="14">
        <f>[5]价值评估!G20</f>
        <v>980</v>
      </c>
      <c r="E55" s="14">
        <v>97.5</v>
      </c>
      <c r="F55" s="15">
        <f>G55*'[4]0、经济设定'!$C$19</f>
        <v>25000</v>
      </c>
      <c r="G55" s="23">
        <f>ROUNDUP(C55*'[4]0、经济设定'!$E$18*E55,0)</f>
        <v>50</v>
      </c>
      <c r="H55">
        <v>2</v>
      </c>
    </row>
    <row r="56" spans="1:8" x14ac:dyDescent="0.15">
      <c r="A56" s="14">
        <f>D_道具表!A57</f>
        <v>78108</v>
      </c>
      <c r="B56" s="14" t="str">
        <f>VLOOKUP(A56,D_道具表!$A$2:$B$125,2,FALSE)</f>
        <v>马仔碎片(肥仔)</v>
      </c>
      <c r="C56" s="14">
        <f>[5]价值评估!F21</f>
        <v>5.1107104614857857</v>
      </c>
      <c r="D56" s="14">
        <f>[5]价值评估!G21</f>
        <v>980</v>
      </c>
      <c r="E56" s="14">
        <v>97.5</v>
      </c>
      <c r="F56" s="15">
        <f>G56*'[4]0、经济设定'!$C$19</f>
        <v>25000</v>
      </c>
      <c r="G56" s="23">
        <f>ROUNDUP(C56*'[4]0、经济设定'!$E$18*E56,0)</f>
        <v>50</v>
      </c>
      <c r="H56">
        <v>2</v>
      </c>
    </row>
    <row r="57" spans="1:8" x14ac:dyDescent="0.15">
      <c r="A57" s="14">
        <f>D_道具表!A58</f>
        <v>78109</v>
      </c>
      <c r="B57" s="14" t="str">
        <f>VLOOKUP(A57,D_道具表!$A$2:$B$125,2,FALSE)</f>
        <v>马仔碎片(司徒浩南)</v>
      </c>
      <c r="C57" s="14">
        <f>[5]价值评估!F22</f>
        <v>10.221420922971571</v>
      </c>
      <c r="D57" s="14">
        <f>[5]价值评估!G22</f>
        <v>980</v>
      </c>
      <c r="E57" s="14">
        <v>97.5</v>
      </c>
      <c r="F57" s="15">
        <f>G57*'[4]0、经济设定'!$C$19</f>
        <v>50000</v>
      </c>
      <c r="G57" s="23">
        <f>ROUNDUP(C57*'[4]0、经济设定'!$E$18*E57,0)</f>
        <v>100</v>
      </c>
      <c r="H57">
        <v>3</v>
      </c>
    </row>
    <row r="58" spans="1:8" x14ac:dyDescent="0.15">
      <c r="A58" s="14">
        <f>D_道具表!A59</f>
        <v>78110</v>
      </c>
      <c r="B58" s="14" t="str">
        <f>VLOOKUP(A58,D_道具表!$A$2:$B$125,2,FALSE)</f>
        <v>马仔碎片(乌鸦)</v>
      </c>
      <c r="C58" s="14">
        <f>[5]价值评估!F23</f>
        <v>10.221420922971571</v>
      </c>
      <c r="D58" s="14">
        <f>[5]价值评估!G23</f>
        <v>980</v>
      </c>
      <c r="E58" s="14">
        <v>97.5</v>
      </c>
      <c r="F58" s="15">
        <f>G58*'[4]0、经济设定'!$C$19</f>
        <v>50000</v>
      </c>
      <c r="G58" s="23">
        <f>ROUNDUP(C58*'[4]0、经济设定'!$E$18*E58,0)</f>
        <v>100</v>
      </c>
      <c r="H58">
        <v>3</v>
      </c>
    </row>
    <row r="59" spans="1:8" x14ac:dyDescent="0.15">
      <c r="A59" s="14">
        <f>D_道具表!A60</f>
        <v>78111</v>
      </c>
      <c r="B59" s="14" t="str">
        <f>VLOOKUP(A59,D_道具表!$A$2:$B$125,2,FALSE)</f>
        <v>马仔碎片(赌王)</v>
      </c>
      <c r="C59" s="14">
        <f>[5]价值评估!F24</f>
        <v>10.221420922971571</v>
      </c>
      <c r="D59" s="14">
        <f>[5]价值评估!G24</f>
        <v>980</v>
      </c>
      <c r="E59" s="14">
        <v>97.5</v>
      </c>
      <c r="F59" s="15">
        <f>G59*'[4]0、经济设定'!$C$19</f>
        <v>50000</v>
      </c>
      <c r="G59" s="23">
        <f>ROUNDUP(C59*'[4]0、经济设定'!$E$18*E59,0)</f>
        <v>100</v>
      </c>
      <c r="H59">
        <v>3</v>
      </c>
    </row>
    <row r="60" spans="1:8" x14ac:dyDescent="0.15">
      <c r="A60" s="14">
        <f>D_道具表!A61</f>
        <v>78112</v>
      </c>
      <c r="B60" s="14" t="str">
        <f>VLOOKUP(A60,D_道具表!$A$2:$B$125,2,FALSE)</f>
        <v>马仔碎片(山下忠秀)</v>
      </c>
      <c r="C60" s="14">
        <f>[5]价值评估!F25</f>
        <v>10.221420922971571</v>
      </c>
      <c r="D60" s="14">
        <f>[5]价值评估!G25</f>
        <v>980</v>
      </c>
      <c r="E60" s="14">
        <v>97.5</v>
      </c>
      <c r="F60" s="15">
        <f>G60*'[4]0、经济设定'!$C$19</f>
        <v>50000</v>
      </c>
      <c r="G60" s="23">
        <f>ROUNDUP(C60*'[4]0、经济设定'!$E$18*E60,0)</f>
        <v>100</v>
      </c>
      <c r="H60">
        <v>3</v>
      </c>
    </row>
    <row r="61" spans="1:8" x14ac:dyDescent="0.15">
      <c r="A61" s="14">
        <f>D_道具表!A62</f>
        <v>78113</v>
      </c>
      <c r="B61" s="14" t="str">
        <f>VLOOKUP(A61,D_道具表!$A$2:$B$125,2,FALSE)</f>
        <v>马仔碎片(宫本一)</v>
      </c>
      <c r="C61" s="14">
        <f>[5]价值评估!F26</f>
        <v>10.221420922971571</v>
      </c>
      <c r="D61" s="14">
        <f>[5]价值评估!G26</f>
        <v>980</v>
      </c>
      <c r="E61" s="14">
        <v>97.5</v>
      </c>
      <c r="F61" s="15">
        <f>G61*'[4]0、经济设定'!$C$19</f>
        <v>50000</v>
      </c>
      <c r="G61" s="23">
        <f>ROUNDUP(C61*'[4]0、经济设定'!$E$18*E61,0)</f>
        <v>100</v>
      </c>
      <c r="H61">
        <v>3</v>
      </c>
    </row>
    <row r="62" spans="1:8" x14ac:dyDescent="0.15">
      <c r="A62" s="14">
        <f>D_道具表!A63</f>
        <v>78114</v>
      </c>
      <c r="B62" s="14" t="str">
        <f>VLOOKUP(A62,D_道具表!$A$2:$B$125,2,FALSE)</f>
        <v>马仔碎片(陈浩南)</v>
      </c>
      <c r="C62" s="14">
        <f>[5]价值评估!F27</f>
        <v>15.332131384457353</v>
      </c>
      <c r="D62" s="14">
        <f>[5]价值评估!G27</f>
        <v>980</v>
      </c>
      <c r="E62" s="14">
        <v>97.5</v>
      </c>
      <c r="F62" s="15">
        <f>G62*'[4]0、经济设定'!$C$19</f>
        <v>75000</v>
      </c>
      <c r="G62" s="23">
        <f>ROUNDUP(C62*'[4]0、经济设定'!$E$18*E62,0)</f>
        <v>150</v>
      </c>
      <c r="H62">
        <v>4</v>
      </c>
    </row>
    <row r="63" spans="1:8" x14ac:dyDescent="0.15">
      <c r="A63" s="14">
        <f>D_道具表!A64</f>
        <v>78115</v>
      </c>
      <c r="B63" s="14" t="str">
        <f>VLOOKUP(A63,D_道具表!$A$2:$B$125,2,FALSE)</f>
        <v>马仔碎片(山鸡)</v>
      </c>
      <c r="C63" s="14">
        <f>[5]价值评估!F28</f>
        <v>15.332131384457353</v>
      </c>
      <c r="D63" s="14">
        <f>[5]价值评估!G28</f>
        <v>980</v>
      </c>
      <c r="E63" s="14">
        <v>97.5</v>
      </c>
      <c r="F63" s="15">
        <f>G63*'[4]0、经济设定'!$C$19</f>
        <v>75000</v>
      </c>
      <c r="G63" s="23">
        <f>ROUNDUP(C63*'[4]0、经济设定'!$E$18*E63,0)</f>
        <v>150</v>
      </c>
      <c r="H63">
        <v>4</v>
      </c>
    </row>
    <row r="64" spans="1:8" x14ac:dyDescent="0.15">
      <c r="A64" s="14">
        <f>D_道具表!A65</f>
        <v>78116</v>
      </c>
      <c r="B64" s="14" t="str">
        <f>VLOOKUP(A64,D_道具表!$A$2:$B$125,2,FALSE)</f>
        <v>马仔碎片(大天二)</v>
      </c>
      <c r="C64" s="14">
        <f>[5]价值评估!F29</f>
        <v>15.332131384457353</v>
      </c>
      <c r="D64" s="14">
        <f>[5]价值评估!G29</f>
        <v>980</v>
      </c>
      <c r="E64" s="14">
        <v>97.5</v>
      </c>
      <c r="F64" s="15">
        <f>G64*'[4]0、经济设定'!$C$19</f>
        <v>75000</v>
      </c>
      <c r="G64" s="23">
        <f>ROUNDUP(C64*'[4]0、经济设定'!$E$18*E64,0)</f>
        <v>150</v>
      </c>
      <c r="H64">
        <v>4</v>
      </c>
    </row>
    <row r="65" spans="1:12" x14ac:dyDescent="0.15">
      <c r="A65" s="14">
        <f>D_道具表!A66</f>
        <v>78117</v>
      </c>
      <c r="B65" s="14" t="str">
        <f>VLOOKUP(A65,D_道具表!$A$2:$B$125,2,FALSE)</f>
        <v>马仔碎片(巴闭)</v>
      </c>
      <c r="C65" s="14">
        <f>[5]价值评估!F30</f>
        <v>5.1107104614857857</v>
      </c>
      <c r="D65" s="14">
        <f>[5]价值评估!G30</f>
        <v>980</v>
      </c>
      <c r="E65" s="14">
        <v>97.5</v>
      </c>
      <c r="F65" s="15">
        <f>G65*'[4]0、经济设定'!$C$19</f>
        <v>25000</v>
      </c>
      <c r="G65" s="23">
        <f>ROUNDUP(C65*'[4]0、经济设定'!$E$18*E65,0)</f>
        <v>50</v>
      </c>
      <c r="H65">
        <v>2</v>
      </c>
    </row>
    <row r="66" spans="1:12" x14ac:dyDescent="0.15">
      <c r="A66" s="14">
        <f>D_道具表!A67</f>
        <v>78118</v>
      </c>
      <c r="B66" s="14" t="str">
        <f>VLOOKUP(A66,D_道具表!$A$2:$B$125,2,FALSE)</f>
        <v>马仔碎片(耀阳)</v>
      </c>
      <c r="C66" s="14">
        <f>[5]价值评估!F31</f>
        <v>10.221420922971571</v>
      </c>
      <c r="D66" s="14">
        <f>[5]价值评估!G31</f>
        <v>980</v>
      </c>
      <c r="E66" s="14">
        <v>97.5</v>
      </c>
      <c r="F66" s="15">
        <f>G66*'[4]0、经济设定'!$C$19</f>
        <v>50000</v>
      </c>
      <c r="G66" s="23">
        <f>ROUNDUP(C66*'[4]0、经济设定'!$E$18*E66,0)</f>
        <v>100</v>
      </c>
      <c r="H66">
        <v>3</v>
      </c>
    </row>
    <row r="67" spans="1:12" x14ac:dyDescent="0.15">
      <c r="A67" s="14">
        <f>D_道具表!A68</f>
        <v>78119</v>
      </c>
      <c r="B67" s="14" t="str">
        <f>VLOOKUP(A67,D_道具表!$A$2:$B$125,2,FALSE)</f>
        <v>马仔碎片(笑面虎)</v>
      </c>
      <c r="C67" s="14">
        <f>[5]价值评估!F32</f>
        <v>10.221420922971571</v>
      </c>
      <c r="D67" s="14">
        <f>[5]价值评估!G32</f>
        <v>980</v>
      </c>
      <c r="E67" s="14">
        <v>97.5</v>
      </c>
      <c r="F67" s="15">
        <f>G67*'[4]0、经济设定'!$C$19</f>
        <v>50000</v>
      </c>
      <c r="G67" s="23">
        <f>ROUNDUP(C67*'[4]0、经济设定'!$E$18*E67,0)</f>
        <v>100</v>
      </c>
      <c r="H67">
        <v>3</v>
      </c>
    </row>
    <row r="68" spans="1:12" x14ac:dyDescent="0.15">
      <c r="A68" s="14">
        <f>D_道具表!A69</f>
        <v>70001</v>
      </c>
      <c r="B68" s="14" t="str">
        <f>VLOOKUP(A68,D_道具表!$A$2:$B$125,2,FALSE)</f>
        <v>低级强化石</v>
      </c>
      <c r="C68" s="14">
        <f>'[6]价值&amp;消耗'!$J171/[6]强化辅助表!$R$32</f>
        <v>4</v>
      </c>
      <c r="E68" s="14">
        <v>4</v>
      </c>
      <c r="F68" s="14">
        <f>'[6]价值&amp;消耗'!J171*E68</f>
        <v>800</v>
      </c>
      <c r="G68" s="14">
        <f>ROUNDUP(F68*'[4]0、经济设定'!$E$19,0)</f>
        <v>2</v>
      </c>
      <c r="H68">
        <v>50</v>
      </c>
      <c r="I68">
        <f>'[6]价值&amp;消耗'!J171*E68</f>
        <v>800</v>
      </c>
      <c r="J68">
        <f>F68*'[4]0、经济设定'!$E$19</f>
        <v>1.6</v>
      </c>
    </row>
    <row r="69" spans="1:12" x14ac:dyDescent="0.15">
      <c r="A69" s="14">
        <f>D_道具表!A70</f>
        <v>70002</v>
      </c>
      <c r="B69" s="14" t="str">
        <f>VLOOKUP(A69,D_道具表!$A$2:$B$125,2,FALSE)</f>
        <v>中级强化石</v>
      </c>
      <c r="C69" s="14">
        <f>'[6]价值&amp;消耗'!$J172/[6]强化辅助表!$R$32</f>
        <v>20</v>
      </c>
      <c r="E69" s="14">
        <v>4</v>
      </c>
      <c r="F69" s="14">
        <f>'[6]价值&amp;消耗'!J172*E69</f>
        <v>4000</v>
      </c>
      <c r="G69" s="14">
        <f>ROUNDUP(F69*'[4]0、经济设定'!$E$19,0)</f>
        <v>8</v>
      </c>
      <c r="H69">
        <v>500</v>
      </c>
      <c r="I69">
        <f>'[6]价值&amp;消耗'!J172*E69</f>
        <v>4000</v>
      </c>
      <c r="J69">
        <f>F69*'[4]0、经济设定'!$E$19</f>
        <v>8</v>
      </c>
    </row>
    <row r="70" spans="1:12" x14ac:dyDescent="0.15">
      <c r="A70" s="14">
        <f>D_道具表!A71</f>
        <v>70003</v>
      </c>
      <c r="B70" s="14" t="str">
        <f>VLOOKUP(A70,D_道具表!$A$2:$B$125,2,FALSE)</f>
        <v>高级强化石</v>
      </c>
      <c r="C70" s="14">
        <f>'[6]价值&amp;消耗'!$J173/[6]强化辅助表!$R$32</f>
        <v>100</v>
      </c>
      <c r="E70" s="14">
        <v>4</v>
      </c>
      <c r="F70" s="14">
        <f>'[6]价值&amp;消耗'!J173*E70</f>
        <v>20000</v>
      </c>
      <c r="G70" s="14">
        <f>ROUNDUP(F70*'[4]0、经济设定'!$E$19,0)</f>
        <v>40</v>
      </c>
      <c r="H70">
        <v>5000</v>
      </c>
      <c r="I70">
        <f>'[6]价值&amp;消耗'!J173*E70</f>
        <v>20000</v>
      </c>
      <c r="J70">
        <f>F70*'[4]0、经济设定'!$E$19</f>
        <v>40</v>
      </c>
    </row>
    <row r="71" spans="1:12" x14ac:dyDescent="0.15">
      <c r="A71" s="14">
        <f>D_道具表!A72</f>
        <v>70101</v>
      </c>
      <c r="B71" s="14" t="str">
        <f>VLOOKUP(A71,D_道具表!$A$2:$B$125,2,FALSE)</f>
        <v>初级升星石</v>
      </c>
      <c r="C71" s="14">
        <f>'[6]价值&amp;消耗'!$X169/[6]升星辅助表!$U$33</f>
        <v>4</v>
      </c>
      <c r="E71" s="14">
        <v>5</v>
      </c>
      <c r="F71" s="14">
        <f>'[6]价值&amp;消耗'!Z169*E71</f>
        <v>1000</v>
      </c>
      <c r="G71" s="14">
        <f>ROUNDUP(F71*'[4]0、经济设定'!$E$19,0)</f>
        <v>2</v>
      </c>
      <c r="H71">
        <f>'[6]价值&amp;消耗'!$X169</f>
        <v>200</v>
      </c>
    </row>
    <row r="72" spans="1:12" x14ac:dyDescent="0.15">
      <c r="A72" s="14">
        <f>D_道具表!A73</f>
        <v>70201</v>
      </c>
      <c r="B72" s="14" t="str">
        <f>VLOOKUP(A72,D_道具表!$A$2:$B$125,2,FALSE)</f>
        <v>中级升星石</v>
      </c>
      <c r="C72" s="14">
        <f>'[6]价值&amp;消耗'!$X170/[6]升星辅助表!$U$33</f>
        <v>20</v>
      </c>
      <c r="E72" s="14">
        <v>5</v>
      </c>
      <c r="F72" s="14">
        <f>'[6]价值&amp;消耗'!Z170*E72</f>
        <v>5000</v>
      </c>
      <c r="G72" s="14">
        <f>ROUNDUP(F72*'[4]0、经济设定'!$E$19,0)</f>
        <v>10</v>
      </c>
      <c r="H72">
        <f>'[6]价值&amp;消耗'!$X170</f>
        <v>1000</v>
      </c>
    </row>
    <row r="73" spans="1:12" x14ac:dyDescent="0.15">
      <c r="A73" s="14">
        <f>D_道具表!A74</f>
        <v>70301</v>
      </c>
      <c r="B73" s="14" t="str">
        <f>VLOOKUP(A73,D_道具表!$A$2:$B$125,2,FALSE)</f>
        <v>高级升星石</v>
      </c>
      <c r="C73" s="14">
        <f>'[6]价值&amp;消耗'!$X171/[6]升星辅助表!$U$33</f>
        <v>100</v>
      </c>
      <c r="E73" s="14">
        <v>5</v>
      </c>
      <c r="F73" s="14">
        <f>'[6]价值&amp;消耗'!Z171*E73</f>
        <v>25000</v>
      </c>
      <c r="G73" s="14">
        <f>ROUNDUP(F73*'[4]0、经济设定'!$E$19,0)</f>
        <v>50</v>
      </c>
      <c r="H73">
        <f>'[6]价值&amp;消耗'!$X171</f>
        <v>5000</v>
      </c>
    </row>
    <row r="74" spans="1:12" x14ac:dyDescent="0.15">
      <c r="A74" s="14">
        <f>D_道具表!A75</f>
        <v>70401</v>
      </c>
      <c r="B74" s="14" t="str">
        <f>VLOOKUP(A74,D_道具表!$A$2:$B$125,2,FALSE)</f>
        <v>4阶升星石(不用）</v>
      </c>
    </row>
    <row r="75" spans="1:12" x14ac:dyDescent="0.15">
      <c r="A75" s="14">
        <f>D_道具表!A76</f>
        <v>70501</v>
      </c>
      <c r="B75" s="14" t="str">
        <f>VLOOKUP(A75,D_道具表!$A$2:$B$125,2,FALSE)</f>
        <v>5阶升星石（不用）</v>
      </c>
    </row>
    <row r="76" spans="1:12" x14ac:dyDescent="0.15">
      <c r="A76" s="14">
        <f>D_道具表!A77</f>
        <v>82100</v>
      </c>
      <c r="B76" s="14" t="str">
        <f>VLOOKUP(A76,D_道具表!$A$2:$B$125,2,FALSE)</f>
        <v>金币卡(1万)</v>
      </c>
      <c r="F76" s="14">
        <v>10000</v>
      </c>
      <c r="G76" s="14">
        <f>F76*'[4]0、经济设定'!$E$19</f>
        <v>20</v>
      </c>
    </row>
    <row r="77" spans="1:12" x14ac:dyDescent="0.15">
      <c r="A77" s="14">
        <f>D_道具表!A78</f>
        <v>82200</v>
      </c>
      <c r="B77" s="14" t="str">
        <f>VLOOKUP(A77,D_道具表!$A$2:$B$125,2,FALSE)</f>
        <v>金币卡(2万)</v>
      </c>
      <c r="F77" s="14">
        <v>20000</v>
      </c>
      <c r="G77" s="14">
        <f>F77*'[4]0、经济设定'!$E$19</f>
        <v>40</v>
      </c>
    </row>
    <row r="78" spans="1:12" x14ac:dyDescent="0.15">
      <c r="A78" s="14">
        <f>D_道具表!A79</f>
        <v>82300</v>
      </c>
      <c r="B78" s="14" t="str">
        <f>VLOOKUP(A78,D_道具表!$A$2:$B$125,2,FALSE)</f>
        <v>金币卡(5万)</v>
      </c>
      <c r="F78" s="14">
        <v>50000</v>
      </c>
      <c r="G78" s="14">
        <f>F78*'[4]0、经济设定'!$E$19</f>
        <v>100</v>
      </c>
    </row>
    <row r="79" spans="1:12" x14ac:dyDescent="0.15">
      <c r="A79" s="14">
        <f>D_道具表!A80</f>
        <v>91100</v>
      </c>
      <c r="B79" s="14" t="str">
        <f>VLOOKUP(A79,D_道具表!$A$2:$B$125,2,FALSE)</f>
        <v>马仔经验药水</v>
      </c>
      <c r="C79" s="14">
        <f>[5]价值评估!$F6</f>
        <v>10</v>
      </c>
      <c r="E79" s="14">
        <v>2</v>
      </c>
      <c r="F79" s="14">
        <f>G79*'[4]0、经济设定'!$C$19</f>
        <v>1000</v>
      </c>
      <c r="G79" s="14">
        <f>ROUNDUP(C79*E79*'[4]0、经济设定'!$C$20,0)</f>
        <v>2</v>
      </c>
      <c r="I79">
        <f>G79*5</f>
        <v>10</v>
      </c>
      <c r="L79">
        <f>E79*2</f>
        <v>4</v>
      </c>
    </row>
    <row r="80" spans="1:12" x14ac:dyDescent="0.15">
      <c r="A80" s="14">
        <f>D_道具表!A81</f>
        <v>91200</v>
      </c>
      <c r="B80" s="14" t="str">
        <f>VLOOKUP(A80,D_道具表!$A$2:$B$125,2,FALSE)</f>
        <v>马仔经验合剂</v>
      </c>
      <c r="C80" s="14">
        <f>[5]价值评估!$F7</f>
        <v>30</v>
      </c>
      <c r="E80" s="14">
        <v>2</v>
      </c>
      <c r="F80" s="14">
        <f>G80*'[4]0、经济设定'!$C$19</f>
        <v>3000</v>
      </c>
      <c r="G80" s="14">
        <f>ROUNDUP(C80*E80*'[4]0、经济设定'!$C$20,0)</f>
        <v>6</v>
      </c>
      <c r="I80">
        <f t="shared" ref="I80" si="2">G80*5</f>
        <v>30</v>
      </c>
      <c r="L80">
        <f t="shared" ref="L80:L81" si="3">E80*2</f>
        <v>4</v>
      </c>
    </row>
    <row r="81" spans="1:12" x14ac:dyDescent="0.15">
      <c r="A81" s="14">
        <f>D_道具表!A82</f>
        <v>91300</v>
      </c>
      <c r="B81" s="14" t="str">
        <f>VLOOKUP(A81,D_道具表!$A$2:$B$125,2,FALSE)</f>
        <v>马仔经验甘露</v>
      </c>
      <c r="C81" s="14">
        <f>[5]价值评估!$F8</f>
        <v>100</v>
      </c>
      <c r="E81" s="14">
        <v>2</v>
      </c>
      <c r="F81" s="14">
        <f>G81*'[4]0、经济设定'!$C$19</f>
        <v>10000</v>
      </c>
      <c r="G81" s="14">
        <f>ROUNDUP(C81*E81*'[4]0、经济设定'!$C$20,0)</f>
        <v>20</v>
      </c>
      <c r="I81">
        <f>G81*5</f>
        <v>100</v>
      </c>
      <c r="K81">
        <v>11.4</v>
      </c>
      <c r="L81">
        <f t="shared" si="3"/>
        <v>4</v>
      </c>
    </row>
    <row r="82" spans="1:12" x14ac:dyDescent="0.15">
      <c r="A82" s="14">
        <f>D_道具表!A83</f>
        <v>87100</v>
      </c>
      <c r="B82" s="14" t="str">
        <f>VLOOKUP(A82,D_道具表!$A$2:$B$125,2,FALSE)</f>
        <v>钻石兑换卡(100)</v>
      </c>
      <c r="G82" s="14">
        <v>100</v>
      </c>
    </row>
    <row r="83" spans="1:12" x14ac:dyDescent="0.15">
      <c r="A83" s="14">
        <f>D_道具表!A84</f>
        <v>87200</v>
      </c>
      <c r="B83" s="14" t="str">
        <f>VLOOKUP(A83,D_道具表!$A$2:$B$125,2,FALSE)</f>
        <v>钻石兑换卡(500)</v>
      </c>
      <c r="G83" s="14">
        <v>500</v>
      </c>
    </row>
    <row r="84" spans="1:12" x14ac:dyDescent="0.15">
      <c r="A84" s="14">
        <f>D_道具表!A85</f>
        <v>87400</v>
      </c>
      <c r="B84" s="14" t="str">
        <f>VLOOKUP(A84,D_道具表!$A$2:$B$125,2,FALSE)</f>
        <v>钻石兑换卡(1000)</v>
      </c>
      <c r="G84" s="14">
        <v>1000</v>
      </c>
    </row>
    <row r="85" spans="1:12" x14ac:dyDescent="0.15">
      <c r="A85" s="14">
        <f>D_道具表!A86</f>
        <v>89100</v>
      </c>
      <c r="B85" s="14" t="str">
        <f>VLOOKUP(A85,D_道具表!$A$2:$B$125,2,FALSE)</f>
        <v>初级体力药水</v>
      </c>
      <c r="C85" s="14">
        <v>20</v>
      </c>
      <c r="F85" s="14">
        <f>G85*'[4]0、经济设定'!$C$19</f>
        <v>5000</v>
      </c>
      <c r="G85" s="14">
        <v>10</v>
      </c>
    </row>
    <row r="86" spans="1:12" x14ac:dyDescent="0.15">
      <c r="A86" s="14">
        <f>D_道具表!A87</f>
        <v>89200</v>
      </c>
      <c r="B86" s="14" t="str">
        <f>VLOOKUP(A86,D_道具表!$A$2:$B$125,2,FALSE)</f>
        <v>中级体力药水</v>
      </c>
      <c r="C86" s="14">
        <v>40</v>
      </c>
      <c r="F86" s="14">
        <f>G86*'[4]0、经济设定'!$C$19</f>
        <v>10000</v>
      </c>
      <c r="G86" s="14">
        <v>20</v>
      </c>
    </row>
    <row r="87" spans="1:12" x14ac:dyDescent="0.15">
      <c r="A87" s="14">
        <f>D_道具表!A88</f>
        <v>89300</v>
      </c>
      <c r="B87" s="14" t="str">
        <f>VLOOKUP(A87,D_道具表!$A$2:$B$125,2,FALSE)</f>
        <v>高级体力药水</v>
      </c>
      <c r="C87" s="14">
        <v>80</v>
      </c>
      <c r="F87" s="14">
        <f>G87*'[4]0、经济设定'!$C$19</f>
        <v>20000</v>
      </c>
      <c r="G87" s="14">
        <v>40</v>
      </c>
    </row>
    <row r="88" spans="1:12" x14ac:dyDescent="0.15">
      <c r="A88" s="14">
        <f>D_道具表!A89</f>
        <v>83100</v>
      </c>
      <c r="B88" s="14" t="str">
        <f>VLOOKUP(A88,D_道具表!$A$2:$B$125,2,FALSE)</f>
        <v>成长礼包</v>
      </c>
    </row>
    <row r="89" spans="1:12" x14ac:dyDescent="0.15">
      <c r="A89" s="14">
        <f>D_道具表!A90</f>
        <v>70010</v>
      </c>
      <c r="B89" s="14" t="str">
        <f>VLOOKUP(A89,D_道具表!$A$2:$B$125,2,FALSE)</f>
        <v>部位材料(武器)</v>
      </c>
      <c r="C89" s="14">
        <v>30</v>
      </c>
      <c r="D89" s="14">
        <v>2530</v>
      </c>
      <c r="E89" s="14">
        <v>1</v>
      </c>
      <c r="F89" s="14">
        <v>1500</v>
      </c>
      <c r="G89" s="14">
        <f>F89*'[4]0、经济设定'!$E$19</f>
        <v>3</v>
      </c>
    </row>
    <row r="90" spans="1:12" x14ac:dyDescent="0.15">
      <c r="A90" s="14">
        <f>D_道具表!A91</f>
        <v>71010</v>
      </c>
      <c r="B90" s="14" t="str">
        <f>VLOOKUP(A90,D_道具表!$A$2:$B$125,2,FALSE)</f>
        <v>部位材料(衣服)</v>
      </c>
      <c r="C90" s="14">
        <v>30</v>
      </c>
      <c r="D90" s="14">
        <v>2035</v>
      </c>
      <c r="E90" s="14">
        <v>1</v>
      </c>
      <c r="F90" s="14">
        <v>1500</v>
      </c>
      <c r="G90" s="14">
        <f>F90*'[4]0、经济设定'!$E$19</f>
        <v>3</v>
      </c>
    </row>
    <row r="91" spans="1:12" x14ac:dyDescent="0.15">
      <c r="A91" s="14">
        <f>D_道具表!A92</f>
        <v>72010</v>
      </c>
      <c r="B91" s="14" t="s">
        <v>318</v>
      </c>
      <c r="C91" s="14">
        <v>30</v>
      </c>
      <c r="D91" s="14">
        <v>935</v>
      </c>
      <c r="E91" s="14">
        <v>1</v>
      </c>
      <c r="F91" s="14">
        <v>1500</v>
      </c>
      <c r="G91" s="14">
        <f>F91*'[4]0、经济设定'!$E$19</f>
        <v>3</v>
      </c>
    </row>
    <row r="92" spans="1:12" x14ac:dyDescent="0.15">
      <c r="A92" s="14">
        <f>D_道具表!A93</f>
        <v>73010</v>
      </c>
      <c r="B92" s="14" t="s">
        <v>319</v>
      </c>
      <c r="C92" s="14">
        <v>30</v>
      </c>
      <c r="D92" s="14">
        <v>880</v>
      </c>
      <c r="E92" s="14">
        <v>1</v>
      </c>
      <c r="F92" s="14">
        <v>1500</v>
      </c>
      <c r="G92" s="14">
        <f>F92*'[4]0、经济设定'!$E$19</f>
        <v>3</v>
      </c>
    </row>
    <row r="93" spans="1:12" x14ac:dyDescent="0.15">
      <c r="A93" s="14">
        <f>D_道具表!A94</f>
        <v>74010</v>
      </c>
      <c r="B93" s="14" t="s">
        <v>320</v>
      </c>
      <c r="C93" s="14">
        <v>30</v>
      </c>
      <c r="D93" s="14">
        <v>2200</v>
      </c>
      <c r="E93" s="14">
        <v>1</v>
      </c>
      <c r="F93" s="14">
        <v>1500</v>
      </c>
      <c r="G93" s="14">
        <f>F93*'[4]0、经济设定'!$E$19</f>
        <v>3</v>
      </c>
    </row>
    <row r="94" spans="1:12" x14ac:dyDescent="0.15">
      <c r="A94" s="14">
        <f>D_道具表!A95</f>
        <v>75010</v>
      </c>
      <c r="B94" s="14" t="str">
        <f>VLOOKUP(A94,D_道具表!$A$2:$B$125,2,FALSE)</f>
        <v>部位材料(鞋子)</v>
      </c>
      <c r="C94" s="14">
        <v>30</v>
      </c>
      <c r="D94" s="14">
        <v>660</v>
      </c>
      <c r="E94" s="14">
        <v>1</v>
      </c>
      <c r="F94" s="14">
        <v>1500</v>
      </c>
      <c r="G94" s="14">
        <f>F94*'[4]0、经济设定'!$E$19</f>
        <v>3</v>
      </c>
    </row>
    <row r="95" spans="1:12" x14ac:dyDescent="0.15">
      <c r="A95" s="14">
        <f>D_道具表!A96</f>
        <v>80110</v>
      </c>
      <c r="B95" s="14" t="s">
        <v>888</v>
      </c>
      <c r="C95" s="14">
        <f>1/[4]龙魂的投放!$C$4*500</f>
        <v>100</v>
      </c>
      <c r="D95" s="14">
        <f>[4]龙魂的投放!$C$6/250</f>
        <v>666.8601232231822</v>
      </c>
      <c r="E95" s="14">
        <v>2</v>
      </c>
      <c r="F95" s="15">
        <f>G95*'[4]0、经济设定'!$C$19</f>
        <v>10000</v>
      </c>
      <c r="G95" s="23">
        <f>ROUND(C95*'[4]0、经济设定'!$E$18*E95,0)</f>
        <v>20</v>
      </c>
    </row>
    <row r="96" spans="1:12" x14ac:dyDescent="0.15">
      <c r="A96" s="14">
        <f>D_道具表!A97</f>
        <v>80210</v>
      </c>
      <c r="B96" s="14" t="s">
        <v>889</v>
      </c>
      <c r="C96" s="14">
        <f>1/[4]龙魂的投放!$C$4*1000</f>
        <v>200</v>
      </c>
      <c r="D96" s="14">
        <f>[4]龙魂的投放!$C$6/500</f>
        <v>333.4300616115911</v>
      </c>
      <c r="E96" s="14">
        <v>2</v>
      </c>
      <c r="F96" s="15">
        <f>G96*'[4]0、经济设定'!$C$19</f>
        <v>20000</v>
      </c>
      <c r="G96" s="23">
        <f>ROUND(C96*'[4]0、经济设定'!$E$18*E96,0)</f>
        <v>40</v>
      </c>
    </row>
    <row r="97" spans="1:8" x14ac:dyDescent="0.15">
      <c r="A97" s="14">
        <f>D_道具表!A98</f>
        <v>80310</v>
      </c>
      <c r="B97" s="14" t="s">
        <v>890</v>
      </c>
      <c r="C97" s="14">
        <f>1/[4]龙魂的投放!$C$4*2000</f>
        <v>400</v>
      </c>
      <c r="D97" s="14">
        <f>[4]龙魂的投放!$C$6/1000</f>
        <v>166.71503080579555</v>
      </c>
      <c r="E97" s="14">
        <v>2</v>
      </c>
      <c r="F97" s="15">
        <f>G97*'[4]0、经济设定'!$C$19</f>
        <v>40000</v>
      </c>
      <c r="G97" s="23">
        <f>ROUND(C97*'[4]0、经济设定'!$E$18*E97,0)</f>
        <v>80</v>
      </c>
    </row>
    <row r="98" spans="1:8" x14ac:dyDescent="0.15">
      <c r="A98" s="14">
        <f>D_道具表!A99</f>
        <v>80410</v>
      </c>
      <c r="B98" s="14" t="s">
        <v>894</v>
      </c>
      <c r="D98" s="14">
        <f>[4]命币的投放!$B$7/5000</f>
        <v>4944.0440536387459</v>
      </c>
      <c r="E98" s="14">
        <v>1</v>
      </c>
      <c r="F98" s="14">
        <f>G98/'[4]0、经济设定'!$E$19</f>
        <v>2500</v>
      </c>
      <c r="G98" s="14">
        <f>INT(1/[4]命币的投放!$B$3*5000)</f>
        <v>5</v>
      </c>
    </row>
    <row r="99" spans="1:8" x14ac:dyDescent="0.15">
      <c r="A99" s="14">
        <f>D_道具表!A100</f>
        <v>80510</v>
      </c>
      <c r="B99" s="14" t="s">
        <v>895</v>
      </c>
      <c r="D99" s="14">
        <f>[4]命币的投放!$B$7/10000</f>
        <v>2472.022026819373</v>
      </c>
      <c r="E99" s="14">
        <v>1</v>
      </c>
      <c r="F99" s="14">
        <f>G99/'[4]0、经济设定'!$E$19</f>
        <v>5000</v>
      </c>
      <c r="G99" s="14">
        <f>G98*2</f>
        <v>10</v>
      </c>
    </row>
    <row r="100" spans="1:8" x14ac:dyDescent="0.15">
      <c r="A100" s="14">
        <f>D_道具表!A101</f>
        <v>80610</v>
      </c>
      <c r="B100" s="14" t="s">
        <v>896</v>
      </c>
      <c r="D100" s="14">
        <f>[4]命币的投放!$B$7/20000</f>
        <v>1236.0110134096865</v>
      </c>
      <c r="E100" s="14">
        <v>1</v>
      </c>
      <c r="F100" s="14">
        <f>G100/'[4]0、经济设定'!$E$19</f>
        <v>10000</v>
      </c>
      <c r="G100" s="14">
        <f>G99*2</f>
        <v>20</v>
      </c>
    </row>
    <row r="101" spans="1:8" x14ac:dyDescent="0.15">
      <c r="A101" s="14">
        <f>D_道具表!A102</f>
        <v>87300</v>
      </c>
      <c r="B101" s="14" t="s">
        <v>321</v>
      </c>
      <c r="F101" s="14">
        <v>500</v>
      </c>
      <c r="G101" s="14">
        <v>1</v>
      </c>
    </row>
    <row r="102" spans="1:8" x14ac:dyDescent="0.15">
      <c r="A102" s="14">
        <f>D_道具表!A103</f>
        <v>83300</v>
      </c>
      <c r="B102" s="14" t="s">
        <v>322</v>
      </c>
      <c r="F102" s="14">
        <v>1</v>
      </c>
      <c r="G102" s="14">
        <v>2E-3</v>
      </c>
    </row>
    <row r="103" spans="1:8" x14ac:dyDescent="0.15">
      <c r="A103" s="14">
        <f>D_道具表!A104</f>
        <v>83301</v>
      </c>
      <c r="B103" s="14" t="s">
        <v>323</v>
      </c>
      <c r="F103" s="14">
        <v>20</v>
      </c>
      <c r="G103" s="14">
        <v>0.04</v>
      </c>
    </row>
    <row r="104" spans="1:8" x14ac:dyDescent="0.15">
      <c r="A104" s="14">
        <f>D_道具表!A105</f>
        <v>83302</v>
      </c>
      <c r="B104" s="14" t="s">
        <v>324</v>
      </c>
      <c r="F104" s="14">
        <v>0.5</v>
      </c>
      <c r="G104" s="14">
        <v>1E-3</v>
      </c>
    </row>
    <row r="105" spans="1:8" x14ac:dyDescent="0.15">
      <c r="A105" s="14">
        <f>D_道具表!A106</f>
        <v>83303</v>
      </c>
      <c r="B105" s="14" t="s">
        <v>325</v>
      </c>
      <c r="F105" s="14">
        <v>50</v>
      </c>
      <c r="G105" s="14">
        <v>0.1</v>
      </c>
    </row>
    <row r="106" spans="1:8" x14ac:dyDescent="0.15">
      <c r="A106" s="14">
        <f>D_道具表!A107</f>
        <v>89101</v>
      </c>
      <c r="B106" s="14" t="str">
        <f>VLOOKUP(A106,D_道具表!$A:$B,2,FALSE)</f>
        <v>双倍经验卡（1天）</v>
      </c>
      <c r="E106" s="14">
        <v>6</v>
      </c>
    </row>
    <row r="107" spans="1:8" x14ac:dyDescent="0.15">
      <c r="A107" s="14">
        <f>D_道具表!A108</f>
        <v>89102</v>
      </c>
      <c r="B107" s="14" t="str">
        <f>VLOOKUP(A107,D_道具表!$A:$B,2,FALSE)</f>
        <v>双倍经验卡（2天）</v>
      </c>
      <c r="E107" s="14">
        <v>6</v>
      </c>
    </row>
    <row r="108" spans="1:8" x14ac:dyDescent="0.15">
      <c r="A108" s="14">
        <f>D_道具表!A109</f>
        <v>89106</v>
      </c>
      <c r="B108" s="14" t="str">
        <f>VLOOKUP(A108,D_道具表!$A:$B,2,FALSE)</f>
        <v>vip经验卡</v>
      </c>
    </row>
    <row r="109" spans="1:8" x14ac:dyDescent="0.15">
      <c r="A109" s="14">
        <f>D_道具表!A110</f>
        <v>89107</v>
      </c>
      <c r="B109" s="14" t="str">
        <f>VLOOKUP(A109,D_道具表!$A:$B,2,FALSE)</f>
        <v>技能升级石</v>
      </c>
      <c r="C109" s="14">
        <f>[7]D_技能表!$AN$15</f>
        <v>2.5</v>
      </c>
      <c r="D109" s="14">
        <f>[7]D_技能表!$AN$16</f>
        <v>7724</v>
      </c>
      <c r="E109" s="14">
        <v>1</v>
      </c>
      <c r="F109" s="15">
        <f>G109*'[4]0、经济设定'!$C$19</f>
        <v>500</v>
      </c>
      <c r="G109" s="23">
        <v>1</v>
      </c>
      <c r="H109">
        <f>C109*'[4]0、经济设定'!$E$18*E109</f>
        <v>0.25</v>
      </c>
    </row>
    <row r="110" spans="1:8" x14ac:dyDescent="0.15">
      <c r="A110" s="14">
        <f>D_道具表!A111</f>
        <v>89108</v>
      </c>
      <c r="B110" s="14" t="str">
        <f>VLOOKUP(A110,D_道具表!$A:$B,2,FALSE)</f>
        <v>蓝色装备碎片（无用）</v>
      </c>
    </row>
    <row r="111" spans="1:8" x14ac:dyDescent="0.15">
      <c r="A111" s="14">
        <f>D_道具表!A112</f>
        <v>89109</v>
      </c>
      <c r="B111" s="14" t="str">
        <f>VLOOKUP(A111,D_道具表!$A:$B,2,FALSE)</f>
        <v>紫色装备碎片（无用）</v>
      </c>
    </row>
    <row r="112" spans="1:8" x14ac:dyDescent="0.15">
      <c r="A112" s="14">
        <f>D_道具表!A113</f>
        <v>89110</v>
      </c>
      <c r="B112" s="14" t="str">
        <f>VLOOKUP(A112,D_道具表!$A:$B,2,FALSE)</f>
        <v>橙色装备碎片（无用）</v>
      </c>
    </row>
    <row r="113" spans="1:8" x14ac:dyDescent="0.15">
      <c r="A113" s="14">
        <f>D_道具表!A114</f>
        <v>89111</v>
      </c>
      <c r="B113" s="14" t="str">
        <f>VLOOKUP(A113,D_道具表!$A:$B,2,FALSE)</f>
        <v>技能冷却石</v>
      </c>
      <c r="C113" s="14">
        <f>[7]D_技能表CD!$T$4</f>
        <v>0.7</v>
      </c>
      <c r="D113" s="14">
        <f>[7]D_技能表CD!$T$5</f>
        <v>30978</v>
      </c>
      <c r="E113" s="14">
        <v>1</v>
      </c>
      <c r="F113" s="15">
        <f>G113*'[4]0、经济设定'!$C$19</f>
        <v>500</v>
      </c>
      <c r="G113" s="23">
        <v>1</v>
      </c>
      <c r="H113">
        <f>C113*'[4]0、经济设定'!$E$18*E113</f>
        <v>6.9999999999999993E-2</v>
      </c>
    </row>
    <row r="114" spans="1:8" x14ac:dyDescent="0.15">
      <c r="A114" s="14">
        <f>D_道具表!A115</f>
        <v>83304</v>
      </c>
      <c r="B114" s="14" t="str">
        <f>VLOOKUP(A114,D_道具表!$A:$B,2,FALSE)</f>
        <v>寻宝券</v>
      </c>
      <c r="F114" s="14">
        <f>G114/'[4]0、经济设定'!$E$19</f>
        <v>15000</v>
      </c>
      <c r="G114" s="14">
        <f>[8]D_十连抽价格表!$K$5</f>
        <v>30</v>
      </c>
    </row>
    <row r="115" spans="1:8" x14ac:dyDescent="0.15">
      <c r="A115" s="14">
        <f>D_道具表!A116</f>
        <v>85200</v>
      </c>
      <c r="B115" s="14" t="str">
        <f>VLOOKUP(A115,D_道具表!$A:$B,2,FALSE)</f>
        <v>高级装备升级石</v>
      </c>
      <c r="D115" s="14">
        <f>[6]D_装备升级表!$V$16</f>
        <v>2019.7074124618819</v>
      </c>
      <c r="F115" s="14">
        <f>G115/'[4]0、经济设定'!$E$19</f>
        <v>5000</v>
      </c>
      <c r="G115" s="14">
        <f>[6]D_装备升级表!Y16</f>
        <v>10</v>
      </c>
    </row>
    <row r="116" spans="1:8" x14ac:dyDescent="0.15">
      <c r="A116" s="14">
        <f>D_道具表!A117</f>
        <v>85300</v>
      </c>
      <c r="B116" s="14" t="str">
        <f>VLOOKUP(A116,D_道具表!$A:$B,2,FALSE)</f>
        <v>稀有装备升级石</v>
      </c>
      <c r="D116" s="14">
        <f>[6]D_装备升级表!$V$16</f>
        <v>2019.7074124618819</v>
      </c>
      <c r="F116" s="14">
        <f>G116/'[4]0、经济设定'!$E$19</f>
        <v>15000</v>
      </c>
      <c r="G116" s="14">
        <f>[6]D_装备升级表!Y17</f>
        <v>30</v>
      </c>
    </row>
    <row r="117" spans="1:8" x14ac:dyDescent="0.15">
      <c r="A117" s="14">
        <f>D_道具表!A118</f>
        <v>85400</v>
      </c>
      <c r="B117" s="14" t="str">
        <f>VLOOKUP(A117,D_道具表!$A:$B,2,FALSE)</f>
        <v>史诗装备升级石</v>
      </c>
      <c r="D117" s="14">
        <f>[6]D_装备升级表!$V$16</f>
        <v>2019.7074124618819</v>
      </c>
      <c r="F117" s="14">
        <f>G117/'[4]0、经济设定'!$E$19</f>
        <v>40000</v>
      </c>
      <c r="G117" s="14">
        <f>[6]D_装备升级表!Y18</f>
        <v>80</v>
      </c>
    </row>
    <row r="118" spans="1:8" x14ac:dyDescent="0.15">
      <c r="A118" s="14">
        <f>D_道具表!A119</f>
        <v>85500</v>
      </c>
      <c r="B118" s="14" t="str">
        <f>VLOOKUP(A118,D_道具表!$A:$B,2,FALSE)</f>
        <v>传说装备升级石</v>
      </c>
      <c r="D118" s="14">
        <f>[6]D_装备升级表!$V$16</f>
        <v>2019.7074124618819</v>
      </c>
      <c r="F118" s="14">
        <f>G118/'[4]0、经济设定'!$E$19</f>
        <v>50000</v>
      </c>
      <c r="G118" s="14">
        <f>[6]D_装备升级表!Y19</f>
        <v>100</v>
      </c>
    </row>
    <row r="119" spans="1:8" x14ac:dyDescent="0.15">
      <c r="A119" s="14">
        <f>D_道具表!A120</f>
        <v>86001</v>
      </c>
      <c r="B119" s="14" t="str">
        <f>VLOOKUP(A119,D_道具表!$A:$B,2,FALSE)</f>
        <v>马仔追债宝箱</v>
      </c>
      <c r="F119" s="14">
        <f>G119/'[4]0、经济设定'!$E$19</f>
        <v>0</v>
      </c>
      <c r="G119" s="14">
        <f>[6]D_装备升级表!Y20</f>
        <v>0</v>
      </c>
    </row>
    <row r="120" spans="1:8" x14ac:dyDescent="0.15">
      <c r="A120" s="14">
        <f>D_道具表!A121</f>
        <v>86002</v>
      </c>
      <c r="B120" s="14" t="str">
        <f>VLOOKUP(A120,D_道具表!$A:$B,2,FALSE)</f>
        <v>马仔追债宝箱</v>
      </c>
      <c r="F120" s="14">
        <f>G120/'[4]0、经济设定'!$E$19</f>
        <v>0</v>
      </c>
      <c r="G120" s="14">
        <f>[6]D_装备升级表!Y21</f>
        <v>0</v>
      </c>
    </row>
    <row r="121" spans="1:8" x14ac:dyDescent="0.15">
      <c r="A121" s="14">
        <f>D_道具表!A122</f>
        <v>86003</v>
      </c>
      <c r="B121" s="14" t="str">
        <f>VLOOKUP(A121,D_道具表!$A:$B,2,FALSE)</f>
        <v>马仔追债宝箱</v>
      </c>
      <c r="F121" s="14">
        <f>G121/'[4]0、经济设定'!$E$19</f>
        <v>0</v>
      </c>
      <c r="G121" s="14">
        <f>[6]D_装备升级表!Y22</f>
        <v>0</v>
      </c>
    </row>
    <row r="122" spans="1:8" x14ac:dyDescent="0.15">
      <c r="A122" s="14">
        <f>D_道具表!A123</f>
        <v>86004</v>
      </c>
      <c r="B122" s="14" t="str">
        <f>VLOOKUP(A122,D_道具表!$A:$B,2,FALSE)</f>
        <v>马仔追债宝箱</v>
      </c>
      <c r="F122" s="14">
        <f>G122/'[4]0、经济设定'!$E$19</f>
        <v>0</v>
      </c>
      <c r="G122" s="14">
        <f>[6]D_装备升级表!Y23</f>
        <v>0</v>
      </c>
    </row>
    <row r="123" spans="1:8" x14ac:dyDescent="0.15">
      <c r="A123" s="14">
        <f>D_道具表!A124</f>
        <v>86005</v>
      </c>
      <c r="B123" s="14" t="str">
        <f>VLOOKUP(A123,D_道具表!$A:$B,2,FALSE)</f>
        <v>马仔追债宝箱</v>
      </c>
      <c r="F123" s="14">
        <f>G123/'[4]0、经济设定'!$E$19</f>
        <v>0</v>
      </c>
      <c r="G123" s="14">
        <f>[6]D_装备升级表!Y24</f>
        <v>0</v>
      </c>
    </row>
    <row r="124" spans="1:8" x14ac:dyDescent="0.15">
      <c r="A124" s="14">
        <f>D_道具表!A125</f>
        <v>86110</v>
      </c>
      <c r="B124" s="14" t="str">
        <f>VLOOKUP(A124,D_道具表!$A:$B,2,FALSE)</f>
        <v>马仔宝物礼包</v>
      </c>
      <c r="E124" s="14">
        <v>3</v>
      </c>
      <c r="F124" s="15">
        <f>G124*'[4]0、经济设定'!$C$19</f>
        <v>2500</v>
      </c>
      <c r="G124" s="14">
        <v>5</v>
      </c>
    </row>
    <row r="125" spans="1:8" x14ac:dyDescent="0.15">
      <c r="A125" s="14">
        <f>D_道具表!A126</f>
        <v>86120</v>
      </c>
      <c r="B125" s="14" t="str">
        <f>VLOOKUP(A125,D_道具表!$A:$B,2,FALSE)</f>
        <v>马仔宝物礼包</v>
      </c>
      <c r="E125" s="14">
        <v>6</v>
      </c>
      <c r="F125" s="15">
        <f>G125*'[4]0、经济设定'!$C$19</f>
        <v>7500</v>
      </c>
      <c r="G125" s="14">
        <v>15</v>
      </c>
    </row>
    <row r="126" spans="1:8" x14ac:dyDescent="0.15">
      <c r="A126" s="14">
        <f>D_道具表!A127</f>
        <v>86130</v>
      </c>
      <c r="B126" s="14" t="str">
        <f>VLOOKUP(A126,D_道具表!$A:$B,2,FALSE)</f>
        <v>马仔宝物礼包</v>
      </c>
      <c r="E126" s="14">
        <v>9</v>
      </c>
      <c r="F126" s="15">
        <f>G126*'[4]0、经济设定'!$C$19</f>
        <v>25000</v>
      </c>
      <c r="G126" s="14">
        <v>50</v>
      </c>
    </row>
    <row r="127" spans="1:8" x14ac:dyDescent="0.15">
      <c r="A127" s="14">
        <f>D_道具表!A128</f>
        <v>86140</v>
      </c>
      <c r="B127" s="14" t="str">
        <f>VLOOKUP(A127,D_道具表!$A:$B,2,FALSE)</f>
        <v>马仔宝物礼包</v>
      </c>
      <c r="E127" s="14">
        <v>12</v>
      </c>
      <c r="F127" s="15">
        <f>G127*'[4]0、经济设定'!$C$19</f>
        <v>75000</v>
      </c>
      <c r="G127" s="14">
        <v>150</v>
      </c>
    </row>
    <row r="128" spans="1:8" x14ac:dyDescent="0.15">
      <c r="A128" s="14">
        <f>D_道具表!A129</f>
        <v>86150</v>
      </c>
      <c r="B128" s="14" t="str">
        <f>VLOOKUP(A128,D_道具表!$A:$B,2,FALSE)</f>
        <v>马仔宝物礼包</v>
      </c>
      <c r="E128" s="14">
        <v>15</v>
      </c>
      <c r="F128" s="15">
        <f>G128*'[4]0、经济设定'!$C$19</f>
        <v>200000</v>
      </c>
      <c r="G128" s="14">
        <v>400</v>
      </c>
    </row>
    <row r="129" spans="1:7" x14ac:dyDescent="0.15">
      <c r="A129" s="14">
        <f>D_道具表!A130</f>
        <v>83305</v>
      </c>
      <c r="B129" s="14" t="str">
        <f>VLOOKUP(A129,D_道具表!$A:$B,2,FALSE)</f>
        <v>金豆</v>
      </c>
      <c r="F129" s="15">
        <f>G129*'[4]0、经济设定'!$C$19</f>
        <v>10000</v>
      </c>
      <c r="G129" s="23">
        <v>20</v>
      </c>
    </row>
    <row r="130" spans="1:7" x14ac:dyDescent="0.15">
      <c r="A130" s="14">
        <f>D_道具表!A131</f>
        <v>83306</v>
      </c>
      <c r="B130" s="14" t="str">
        <f>VLOOKUP(A130,D_道具表!$A:$B,2,FALSE)</f>
        <v>单次扫荡特权</v>
      </c>
      <c r="F130" s="15">
        <f>G130*'[4]0、经济设定'!$C$19</f>
        <v>0</v>
      </c>
      <c r="G130" s="23">
        <f>ROUND(C130*'[4]0、经济设定'!$E$18*E130,0)</f>
        <v>0</v>
      </c>
    </row>
    <row r="131" spans="1:7" x14ac:dyDescent="0.15">
      <c r="A131" s="14">
        <f>D_道具表!A132</f>
        <v>83307</v>
      </c>
      <c r="B131" s="14" t="str">
        <f>VLOOKUP(A131,D_道具表!$A:$B,2,FALSE)</f>
        <v>多次扫荡特权</v>
      </c>
      <c r="F131" s="15">
        <f>G131*'[4]0、经济设定'!$C$19</f>
        <v>0</v>
      </c>
      <c r="G131" s="23">
        <f>ROUND(C131*'[4]0、经济设定'!$E$18*E131,0)</f>
        <v>0</v>
      </c>
    </row>
    <row r="132" spans="1:7" x14ac:dyDescent="0.15">
      <c r="A132" s="14">
        <f>D_道具表!A133</f>
        <v>83308</v>
      </c>
      <c r="B132" s="14" t="str">
        <f>VLOOKUP(A132,D_道具表!$A:$B,2,FALSE)</f>
        <v>扫荡特权</v>
      </c>
      <c r="F132" s="15">
        <f>G132*'[4]0、经济设定'!$C$19</f>
        <v>0</v>
      </c>
      <c r="G132" s="23">
        <f>ROUND(C132*'[4]0、经济设定'!$E$18*E132,0)</f>
        <v>0</v>
      </c>
    </row>
    <row r="133" spans="1:7" x14ac:dyDescent="0.15">
      <c r="A133" s="14">
        <f>D_道具表!A134</f>
        <v>86010</v>
      </c>
      <c r="B133" s="14" t="str">
        <f>VLOOKUP(A133,D_道具表!$A:$B,2,FALSE)</f>
        <v>部位材料宝箱</v>
      </c>
      <c r="F133" s="15">
        <f>G133*'[4]0、经济设定'!$C$19</f>
        <v>10000</v>
      </c>
      <c r="G133" s="23">
        <v>20</v>
      </c>
    </row>
    <row r="134" spans="1:7" x14ac:dyDescent="0.15">
      <c r="A134" s="14">
        <f>D_道具表!A135</f>
        <v>86021</v>
      </c>
      <c r="B134" s="14" t="str">
        <f>VLOOKUP(A134,D_道具表!$A:$B,2,FALSE)</f>
        <v>紫色装备礼包</v>
      </c>
      <c r="F134" s="15">
        <f>G134*500</f>
        <v>99500</v>
      </c>
      <c r="G134" s="23">
        <v>199</v>
      </c>
    </row>
    <row r="135" spans="1:7" x14ac:dyDescent="0.15">
      <c r="A135" s="14">
        <f>D_道具表!A136</f>
        <v>86022</v>
      </c>
      <c r="B135" s="14" t="str">
        <f>VLOOKUP(A135,D_道具表!$A:$B,2,FALSE)</f>
        <v>橙色装备礼包</v>
      </c>
      <c r="F135" s="15">
        <f>G135*500</f>
        <v>500000</v>
      </c>
      <c r="G135" s="23">
        <v>1000</v>
      </c>
    </row>
    <row r="136" spans="1:7" x14ac:dyDescent="0.15">
      <c r="A136" s="14">
        <f>D_道具表!A137</f>
        <v>86023</v>
      </c>
      <c r="B136" s="14" t="str">
        <f>VLOOKUP(A136,D_道具表!$A:$B,2,FALSE)</f>
        <v>红色装备礼包</v>
      </c>
      <c r="F136" s="15">
        <f>G136*500</f>
        <v>2500000</v>
      </c>
      <c r="G136" s="23">
        <v>5000</v>
      </c>
    </row>
    <row r="137" spans="1:7" x14ac:dyDescent="0.15">
      <c r="A137" s="14">
        <f>D_道具表!A138</f>
        <v>78214</v>
      </c>
      <c r="B137" s="14" t="str">
        <f>VLOOKUP(A137,D_道具表!$A:$B,2,FALSE)</f>
        <v>限时碎片(陈浩南)</v>
      </c>
      <c r="F137" s="15"/>
      <c r="G137" s="23"/>
    </row>
    <row r="138" spans="1:7" x14ac:dyDescent="0.15">
      <c r="A138" s="14">
        <f>D_道具表!A139</f>
        <v>78215</v>
      </c>
      <c r="B138" s="14" t="str">
        <f>VLOOKUP(A138,D_道具表!$A:$B,2,FALSE)</f>
        <v>限时碎片(山鸡)</v>
      </c>
      <c r="F138" s="15"/>
      <c r="G138" s="23"/>
    </row>
    <row r="139" spans="1:7" x14ac:dyDescent="0.15">
      <c r="A139" s="14">
        <f>D_道具表!A140</f>
        <v>78216</v>
      </c>
      <c r="B139" s="14" t="str">
        <f>VLOOKUP(A139,D_道具表!$A:$B,2,FALSE)</f>
        <v>限时碎片(大天二)</v>
      </c>
      <c r="F139" s="15"/>
      <c r="G139" s="23"/>
    </row>
    <row r="140" spans="1:7" x14ac:dyDescent="0.15">
      <c r="A140" s="14">
        <f>D_道具表!A141</f>
        <v>83309</v>
      </c>
      <c r="B140" s="14" t="str">
        <f>VLOOKUP(A140,D_道具表!$A:$B,2,FALSE)</f>
        <v>堂口贡献</v>
      </c>
      <c r="F140" s="14">
        <f>G140*500</f>
        <v>16.666666666666668</v>
      </c>
      <c r="G140" s="14">
        <f>1/'[4]0、经济设定'!$E$23</f>
        <v>3.3333333333333333E-2</v>
      </c>
    </row>
    <row r="141" spans="1:7" x14ac:dyDescent="0.15">
      <c r="A141" s="14">
        <f>D_道具表!A142</f>
        <v>86121</v>
      </c>
      <c r="B141" s="14" t="str">
        <f>VLOOKUP(A141,D_道具表!$A:$B,2,FALSE)</f>
        <v>马仔宝物碎片礼包</v>
      </c>
      <c r="F141" s="14">
        <f t="shared" ref="F141:F144" si="4">G141*500</f>
        <v>1250</v>
      </c>
      <c r="G141" s="14">
        <v>2.5</v>
      </c>
    </row>
    <row r="142" spans="1:7" x14ac:dyDescent="0.15">
      <c r="A142" s="14">
        <f>D_道具表!A143</f>
        <v>86131</v>
      </c>
      <c r="B142" s="14" t="str">
        <f>VLOOKUP(A142,D_道具表!$A:$B,2,FALSE)</f>
        <v>马仔宝物碎片礼包</v>
      </c>
      <c r="F142" s="14">
        <f t="shared" si="4"/>
        <v>2500</v>
      </c>
      <c r="G142" s="14">
        <v>5</v>
      </c>
    </row>
    <row r="143" spans="1:7" x14ac:dyDescent="0.15">
      <c r="A143" s="14">
        <f>D_道具表!A144</f>
        <v>86141</v>
      </c>
      <c r="B143" s="14" t="str">
        <f>VLOOKUP(A143,D_道具表!$A:$B,2,FALSE)</f>
        <v>马仔宝物碎片礼包</v>
      </c>
      <c r="F143" s="14">
        <f t="shared" si="4"/>
        <v>3750</v>
      </c>
      <c r="G143" s="14">
        <v>7.5</v>
      </c>
    </row>
    <row r="144" spans="1:7" x14ac:dyDescent="0.15">
      <c r="A144" s="14">
        <f>D_道具表!A145</f>
        <v>86151</v>
      </c>
      <c r="B144" s="14" t="str">
        <f>VLOOKUP(A144,D_道具表!$A:$B,2,FALSE)</f>
        <v>马仔宝物碎片礼包</v>
      </c>
      <c r="F144" s="14">
        <f t="shared" si="4"/>
        <v>5000</v>
      </c>
      <c r="G144" s="14">
        <v>10</v>
      </c>
    </row>
    <row r="145" spans="1:7" x14ac:dyDescent="0.15">
      <c r="A145" s="14">
        <f>D_道具表!A146</f>
        <v>86210</v>
      </c>
      <c r="B145" s="14" t="str">
        <f>VLOOKUP(A145,D_道具表!$A:$B,2,FALSE)</f>
        <v>命格福袋</v>
      </c>
      <c r="F145" s="14">
        <f t="shared" ref="F145:F155" si="5">G145*500</f>
        <v>2500</v>
      </c>
      <c r="G145" s="14">
        <v>5</v>
      </c>
    </row>
    <row r="146" spans="1:7" x14ac:dyDescent="0.15">
      <c r="A146" s="14">
        <f>D_道具表!A147</f>
        <v>86220</v>
      </c>
      <c r="B146" s="14" t="str">
        <f>VLOOKUP(A146,D_道具表!$A:$B,2,FALSE)</f>
        <v>命格福袋</v>
      </c>
      <c r="F146" s="14">
        <f t="shared" si="5"/>
        <v>25000</v>
      </c>
      <c r="G146" s="14">
        <v>50</v>
      </c>
    </row>
    <row r="147" spans="1:7" x14ac:dyDescent="0.15">
      <c r="A147" s="14">
        <f>D_道具表!A148</f>
        <v>86230</v>
      </c>
      <c r="B147" s="14" t="str">
        <f>VLOOKUP(A147,D_道具表!$A:$B,2,FALSE)</f>
        <v>命格福袋</v>
      </c>
      <c r="F147" s="14">
        <f t="shared" si="5"/>
        <v>200000</v>
      </c>
      <c r="G147" s="14">
        <v>400</v>
      </c>
    </row>
    <row r="148" spans="1:7" x14ac:dyDescent="0.15">
      <c r="A148" s="14">
        <f>D_道具表!A149</f>
        <v>86240</v>
      </c>
      <c r="B148" s="14" t="str">
        <f>VLOOKUP(A148,D_道具表!$A:$B,2,FALSE)</f>
        <v>命格福袋</v>
      </c>
      <c r="F148" s="14">
        <f t="shared" si="5"/>
        <v>2000000</v>
      </c>
      <c r="G148" s="14">
        <v>4000</v>
      </c>
    </row>
    <row r="149" spans="1:7" x14ac:dyDescent="0.15">
      <c r="A149" s="14">
        <f>D_道具表!A150</f>
        <v>86250</v>
      </c>
      <c r="B149" s="14" t="str">
        <f>VLOOKUP(A149,D_道具表!$A:$B,2,FALSE)</f>
        <v>命格福袋</v>
      </c>
      <c r="F149" s="14">
        <f t="shared" si="5"/>
        <v>10000000</v>
      </c>
      <c r="G149" s="14">
        <v>20000</v>
      </c>
    </row>
    <row r="150" spans="1:7" x14ac:dyDescent="0.15">
      <c r="A150" s="14">
        <f>D_道具表!A151</f>
        <v>86310</v>
      </c>
      <c r="B150" s="14" t="str">
        <f>VLOOKUP(A150,D_道具表!$A:$B,2,FALSE)</f>
        <v>马仔碎片福袋</v>
      </c>
      <c r="F150" s="14">
        <f t="shared" si="5"/>
        <v>12500</v>
      </c>
      <c r="G150" s="14">
        <v>25</v>
      </c>
    </row>
    <row r="151" spans="1:7" x14ac:dyDescent="0.15">
      <c r="A151" s="14">
        <f>D_道具表!A152</f>
        <v>86320</v>
      </c>
      <c r="B151" s="14" t="str">
        <f>VLOOKUP(A151,D_道具表!$A:$B,2,FALSE)</f>
        <v>马仔碎片福袋</v>
      </c>
      <c r="F151" s="14">
        <f t="shared" si="5"/>
        <v>25000</v>
      </c>
      <c r="G151" s="14">
        <v>50</v>
      </c>
    </row>
    <row r="152" spans="1:7" x14ac:dyDescent="0.15">
      <c r="A152" s="14">
        <f>D_道具表!A153</f>
        <v>86330</v>
      </c>
      <c r="B152" s="14" t="str">
        <f>VLOOKUP(A152,D_道具表!$A:$B,2,FALSE)</f>
        <v>马仔碎片福袋</v>
      </c>
      <c r="F152" s="14">
        <f t="shared" si="5"/>
        <v>50000</v>
      </c>
      <c r="G152" s="14">
        <v>100</v>
      </c>
    </row>
    <row r="153" spans="1:7" x14ac:dyDescent="0.15">
      <c r="A153" s="14">
        <f>D_道具表!A154</f>
        <v>86340</v>
      </c>
      <c r="B153" s="14" t="str">
        <f>VLOOKUP(A153,D_道具表!$A:$B,2,FALSE)</f>
        <v>马仔碎片福袋</v>
      </c>
      <c r="F153" s="14">
        <f t="shared" si="5"/>
        <v>75000</v>
      </c>
      <c r="G153" s="14">
        <v>150</v>
      </c>
    </row>
    <row r="154" spans="1:7" x14ac:dyDescent="0.15">
      <c r="A154" s="14">
        <f>D_道具表!A155</f>
        <v>86350</v>
      </c>
      <c r="B154" s="14" t="str">
        <f>VLOOKUP(A154,D_道具表!$A:$B,2,FALSE)</f>
        <v>马仔碎片福袋</v>
      </c>
      <c r="F154" s="14">
        <f t="shared" si="5"/>
        <v>150000</v>
      </c>
      <c r="G154" s="14">
        <v>300</v>
      </c>
    </row>
    <row r="155" spans="1:7" x14ac:dyDescent="0.15">
      <c r="A155" s="14">
        <f>D_道具表!A156</f>
        <v>86400</v>
      </c>
      <c r="B155" s="14" t="str">
        <f>VLOOKUP(A155,D_道具表!$A:$B,2,FALSE)</f>
        <v>装备升星石福袋</v>
      </c>
      <c r="F155" s="14">
        <f t="shared" si="5"/>
        <v>2800</v>
      </c>
      <c r="G155" s="14">
        <v>5.6</v>
      </c>
    </row>
  </sheetData>
  <phoneticPr fontId="1" type="noConversion"/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D_道具表</vt:lpstr>
      <vt:lpstr>D_合成表</vt:lpstr>
      <vt:lpstr>icon</vt:lpstr>
      <vt:lpstr>道具配置辅助表</vt:lpstr>
      <vt:lpstr>D_获取途径</vt:lpstr>
      <vt:lpstr>道具说明</vt:lpstr>
      <vt:lpstr>道具表价值评估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2015-08-18T13:31:25Z</dcterms:modified>
</cp:coreProperties>
</file>