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firstSheet="2" activeTab="6"/>
  </bookViews>
  <sheets>
    <sheet name="D_每日副本" sheetId="4" r:id="rId1"/>
    <sheet name="每日副本辅助配置" sheetId="5" r:id="rId2"/>
    <sheet name="D_好友援助价格表" sheetId="9" r:id="rId3"/>
    <sheet name="D_好友援助机器人" sheetId="10" r:id="rId4"/>
    <sheet name="D_远征关卡" sheetId="6" r:id="rId5"/>
    <sheet name="D_BOSS副本等级难度系数" sheetId="12" r:id="rId6"/>
    <sheet name="D_BOSS副本难度系数" sheetId="11" r:id="rId7"/>
    <sheet name="D_远征等级难度控制" sheetId="7" r:id="rId8"/>
    <sheet name="D_远征奖励" sheetId="8" r:id="rId9"/>
  </sheets>
  <externalReferences>
    <externalReference r:id="rId10"/>
    <externalReference r:id="rId11"/>
    <externalReference r:id="rId12"/>
  </externalReferences>
  <calcPr calcId="152511"/>
</workbook>
</file>

<file path=xl/calcChain.xml><?xml version="1.0" encoding="utf-8"?>
<calcChain xmlns="http://schemas.openxmlformats.org/spreadsheetml/2006/main">
  <c r="T3" i="8" l="1"/>
  <c r="L2" i="11" l="1"/>
  <c r="L3" i="11" l="1"/>
  <c r="M3" i="11"/>
  <c r="N3" i="11"/>
  <c r="L4" i="11"/>
  <c r="M4" i="11"/>
  <c r="N4" i="11"/>
  <c r="L5" i="11"/>
  <c r="M5" i="11"/>
  <c r="N5" i="11"/>
  <c r="L6" i="11"/>
  <c r="M6" i="11"/>
  <c r="N6" i="11"/>
  <c r="L7" i="11"/>
  <c r="M7" i="11"/>
  <c r="N7" i="11"/>
  <c r="L8" i="11"/>
  <c r="M8" i="11"/>
  <c r="N8" i="11"/>
  <c r="L9" i="11"/>
  <c r="M9" i="11"/>
  <c r="N9" i="11"/>
  <c r="L10" i="11"/>
  <c r="M10" i="11"/>
  <c r="N10" i="11"/>
  <c r="L11" i="11"/>
  <c r="M11" i="11"/>
  <c r="N11" i="11"/>
  <c r="L12" i="11"/>
  <c r="M12" i="11"/>
  <c r="N12" i="11"/>
  <c r="L13" i="11"/>
  <c r="M13" i="11"/>
  <c r="N13" i="11"/>
  <c r="L14" i="11"/>
  <c r="M14" i="11"/>
  <c r="N14" i="11"/>
  <c r="L15" i="11"/>
  <c r="M15" i="11"/>
  <c r="N15" i="11"/>
  <c r="N2" i="11"/>
  <c r="M2" i="11"/>
  <c r="H3" i="11"/>
  <c r="I3" i="11"/>
  <c r="J3" i="11"/>
  <c r="H4" i="11"/>
  <c r="I4" i="11"/>
  <c r="J4" i="11"/>
  <c r="H5" i="11"/>
  <c r="I5" i="11"/>
  <c r="J5" i="11"/>
  <c r="H6" i="11"/>
  <c r="I6" i="11"/>
  <c r="J6" i="11"/>
  <c r="H7" i="11"/>
  <c r="I7" i="11"/>
  <c r="J7" i="11"/>
  <c r="H8" i="11"/>
  <c r="I8" i="11"/>
  <c r="J8" i="11"/>
  <c r="H9" i="11"/>
  <c r="I9" i="11"/>
  <c r="J9" i="11"/>
  <c r="H10" i="11"/>
  <c r="I10" i="11"/>
  <c r="J10" i="11"/>
  <c r="H11" i="11"/>
  <c r="I11" i="11"/>
  <c r="J11" i="11"/>
  <c r="H12" i="11"/>
  <c r="I12" i="11"/>
  <c r="J12" i="11"/>
  <c r="H13" i="11"/>
  <c r="I13" i="11"/>
  <c r="J13" i="11"/>
  <c r="H14" i="11"/>
  <c r="I14" i="11"/>
  <c r="J14" i="11"/>
  <c r="H15" i="11"/>
  <c r="I15" i="11"/>
  <c r="J15" i="11"/>
  <c r="J2" i="11"/>
  <c r="I2" i="11"/>
  <c r="H2" i="11"/>
  <c r="G16" i="6" l="1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2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U16" i="6"/>
  <c r="U15" i="6"/>
  <c r="U14" i="6"/>
  <c r="U13" i="6"/>
  <c r="U12" i="6"/>
  <c r="U11" i="6"/>
  <c r="U10" i="6"/>
  <c r="U9" i="6"/>
  <c r="U8" i="6"/>
  <c r="U7" i="6"/>
  <c r="U6" i="6"/>
  <c r="U5" i="6"/>
  <c r="U4" i="6"/>
  <c r="U3" i="6"/>
  <c r="U2" i="6"/>
  <c r="W16" i="6"/>
  <c r="W15" i="6"/>
  <c r="W14" i="6"/>
  <c r="W13" i="6"/>
  <c r="W12" i="6"/>
  <c r="W11" i="6"/>
  <c r="W10" i="6"/>
  <c r="W9" i="6"/>
  <c r="W8" i="6"/>
  <c r="W7" i="6"/>
  <c r="W6" i="6"/>
  <c r="W5" i="6"/>
  <c r="W4" i="6"/>
  <c r="W3" i="6"/>
  <c r="W2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  <c r="AA3" i="6"/>
  <c r="AA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2" i="6"/>
  <c r="R4" i="8" l="1"/>
  <c r="R6" i="8" l="1"/>
  <c r="R7" i="8" l="1"/>
  <c r="R5" i="8"/>
  <c r="R8" i="8" l="1"/>
  <c r="R9" i="8"/>
  <c r="R10" i="8" l="1"/>
  <c r="N18" i="8"/>
  <c r="R11" i="8" l="1"/>
  <c r="R12" i="8"/>
  <c r="D138" i="8"/>
  <c r="D153" i="8" s="1"/>
  <c r="D139" i="8"/>
  <c r="D154" i="8" s="1"/>
  <c r="D140" i="8"/>
  <c r="D155" i="8" s="1"/>
  <c r="D141" i="8"/>
  <c r="D142" i="8"/>
  <c r="D157" i="8" s="1"/>
  <c r="D143" i="8"/>
  <c r="D144" i="8"/>
  <c r="D159" i="8" s="1"/>
  <c r="D145" i="8"/>
  <c r="D160" i="8" s="1"/>
  <c r="D146" i="8"/>
  <c r="D161" i="8" s="1"/>
  <c r="D147" i="8"/>
  <c r="D162" i="8" s="1"/>
  <c r="D148" i="8"/>
  <c r="D163" i="8" s="1"/>
  <c r="D149" i="8"/>
  <c r="D150" i="8"/>
  <c r="D165" i="8" s="1"/>
  <c r="D151" i="8"/>
  <c r="D152" i="8"/>
  <c r="D156" i="8"/>
  <c r="D158" i="8"/>
  <c r="D164" i="8"/>
  <c r="D166" i="8"/>
  <c r="D137" i="8"/>
  <c r="R13" i="8" l="1"/>
  <c r="R14" i="8" l="1"/>
  <c r="R15" i="8"/>
  <c r="R16" i="8" l="1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B427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R17" i="8" l="1"/>
  <c r="O14" i="8" s="1"/>
  <c r="A52" i="7"/>
  <c r="A28" i="7"/>
  <c r="A12" i="7"/>
  <c r="A423" i="7"/>
  <c r="A415" i="7"/>
  <c r="A407" i="7"/>
  <c r="A399" i="7"/>
  <c r="A391" i="7"/>
  <c r="A383" i="7"/>
  <c r="A375" i="7"/>
  <c r="A367" i="7"/>
  <c r="A359" i="7"/>
  <c r="A351" i="7"/>
  <c r="A343" i="7"/>
  <c r="A335" i="7"/>
  <c r="A327" i="7"/>
  <c r="A319" i="7"/>
  <c r="A311" i="7"/>
  <c r="A303" i="7"/>
  <c r="A295" i="7"/>
  <c r="A287" i="7"/>
  <c r="A271" i="7"/>
  <c r="A263" i="7"/>
  <c r="A255" i="7"/>
  <c r="A239" i="7"/>
  <c r="A231" i="7"/>
  <c r="A207" i="7"/>
  <c r="A199" i="7"/>
  <c r="A175" i="7"/>
  <c r="A167" i="7"/>
  <c r="A159" i="7"/>
  <c r="A143" i="7"/>
  <c r="A135" i="7"/>
  <c r="A119" i="7"/>
  <c r="A111" i="7"/>
  <c r="A103" i="7"/>
  <c r="A79" i="7"/>
  <c r="A68" i="7"/>
  <c r="A44" i="7"/>
  <c r="A20" i="7"/>
  <c r="A70" i="7"/>
  <c r="A62" i="7"/>
  <c r="A54" i="7"/>
  <c r="A46" i="7"/>
  <c r="A38" i="7"/>
  <c r="A30" i="7"/>
  <c r="A22" i="7"/>
  <c r="A14" i="7"/>
  <c r="A6" i="7"/>
  <c r="A258" i="7"/>
  <c r="A194" i="7"/>
  <c r="A60" i="7"/>
  <c r="A36" i="7"/>
  <c r="A4" i="7"/>
  <c r="A345" i="7"/>
  <c r="A247" i="7"/>
  <c r="A67" i="7"/>
  <c r="A59" i="7"/>
  <c r="A51" i="7"/>
  <c r="A43" i="7"/>
  <c r="A35" i="7"/>
  <c r="A27" i="7"/>
  <c r="A19" i="7"/>
  <c r="A11" i="7"/>
  <c r="A3" i="7"/>
  <c r="A66" i="7"/>
  <c r="A425" i="7"/>
  <c r="A417" i="7"/>
  <c r="A409" i="7"/>
  <c r="A401" i="7"/>
  <c r="A393" i="7"/>
  <c r="A385" i="7"/>
  <c r="A377" i="7"/>
  <c r="A369" i="7"/>
  <c r="A361" i="7"/>
  <c r="A353" i="7"/>
  <c r="A337" i="7"/>
  <c r="A329" i="7"/>
  <c r="A321" i="7"/>
  <c r="A313" i="7"/>
  <c r="A305" i="7"/>
  <c r="A297" i="7"/>
  <c r="A289" i="7"/>
  <c r="A273" i="7"/>
  <c r="A69" i="7"/>
  <c r="A61" i="7"/>
  <c r="A53" i="7"/>
  <c r="A45" i="7"/>
  <c r="A37" i="7"/>
  <c r="A29" i="7"/>
  <c r="A21" i="7"/>
  <c r="A13" i="7"/>
  <c r="A5" i="7"/>
  <c r="A87" i="7"/>
  <c r="A418" i="7"/>
  <c r="A354" i="7"/>
  <c r="A146" i="7"/>
  <c r="A82" i="7"/>
  <c r="A34" i="7"/>
  <c r="A281" i="7"/>
  <c r="A265" i="7"/>
  <c r="A257" i="7"/>
  <c r="A249" i="7"/>
  <c r="A241" i="7"/>
  <c r="A233" i="7"/>
  <c r="A225" i="7"/>
  <c r="A217" i="7"/>
  <c r="A209" i="7"/>
  <c r="A201" i="7"/>
  <c r="A193" i="7"/>
  <c r="A185" i="7"/>
  <c r="A177" i="7"/>
  <c r="A169" i="7"/>
  <c r="A161" i="7"/>
  <c r="A153" i="7"/>
  <c r="A145" i="7"/>
  <c r="A137" i="7"/>
  <c r="A129" i="7"/>
  <c r="A121" i="7"/>
  <c r="A113" i="7"/>
  <c r="A105" i="7"/>
  <c r="A97" i="7"/>
  <c r="A89" i="7"/>
  <c r="A81" i="7"/>
  <c r="A73" i="7"/>
  <c r="A402" i="7"/>
  <c r="A370" i="7"/>
  <c r="A338" i="7"/>
  <c r="A306" i="7"/>
  <c r="A242" i="7"/>
  <c r="A178" i="7"/>
  <c r="A114" i="7"/>
  <c r="A420" i="7"/>
  <c r="A412" i="7"/>
  <c r="A404" i="7"/>
  <c r="A396" i="7"/>
  <c r="A388" i="7"/>
  <c r="A380" i="7"/>
  <c r="A372" i="7"/>
  <c r="A364" i="7"/>
  <c r="A356" i="7"/>
  <c r="A348" i="7"/>
  <c r="A340" i="7"/>
  <c r="A332" i="7"/>
  <c r="A324" i="7"/>
  <c r="A316" i="7"/>
  <c r="A308" i="7"/>
  <c r="A300" i="7"/>
  <c r="A292" i="7"/>
  <c r="A284" i="7"/>
  <c r="A276" i="7"/>
  <c r="A268" i="7"/>
  <c r="A260" i="7"/>
  <c r="A252" i="7"/>
  <c r="A244" i="7"/>
  <c r="A236" i="7"/>
  <c r="A228" i="7"/>
  <c r="A220" i="7"/>
  <c r="A212" i="7"/>
  <c r="A204" i="7"/>
  <c r="A196" i="7"/>
  <c r="A188" i="7"/>
  <c r="A180" i="7"/>
  <c r="A172" i="7"/>
  <c r="A164" i="7"/>
  <c r="A156" i="7"/>
  <c r="A148" i="7"/>
  <c r="A140" i="7"/>
  <c r="A132" i="7"/>
  <c r="A124" i="7"/>
  <c r="A116" i="7"/>
  <c r="A108" i="7"/>
  <c r="A100" i="7"/>
  <c r="A92" i="7"/>
  <c r="A84" i="7"/>
  <c r="A76" i="7"/>
  <c r="A386" i="7"/>
  <c r="A322" i="7"/>
  <c r="A290" i="7"/>
  <c r="A210" i="7"/>
  <c r="A162" i="7"/>
  <c r="A63" i="7"/>
  <c r="A31" i="7"/>
  <c r="A419" i="7"/>
  <c r="A411" i="7"/>
  <c r="A403" i="7"/>
  <c r="A395" i="7"/>
  <c r="A387" i="7"/>
  <c r="A379" i="7"/>
  <c r="A371" i="7"/>
  <c r="A363" i="7"/>
  <c r="A355" i="7"/>
  <c r="A347" i="7"/>
  <c r="A339" i="7"/>
  <c r="A331" i="7"/>
  <c r="A323" i="7"/>
  <c r="A315" i="7"/>
  <c r="A307" i="7"/>
  <c r="A299" i="7"/>
  <c r="A291" i="7"/>
  <c r="A283" i="7"/>
  <c r="A275" i="7"/>
  <c r="A267" i="7"/>
  <c r="A259" i="7"/>
  <c r="A251" i="7"/>
  <c r="A243" i="7"/>
  <c r="A235" i="7"/>
  <c r="A227" i="7"/>
  <c r="A219" i="7"/>
  <c r="A211" i="7"/>
  <c r="A203" i="7"/>
  <c r="A195" i="7"/>
  <c r="A187" i="7"/>
  <c r="A179" i="7"/>
  <c r="A171" i="7"/>
  <c r="A163" i="7"/>
  <c r="A155" i="7"/>
  <c r="A147" i="7"/>
  <c r="A139" i="7"/>
  <c r="A131" i="7"/>
  <c r="A123" i="7"/>
  <c r="A115" i="7"/>
  <c r="A107" i="7"/>
  <c r="A99" i="7"/>
  <c r="A91" i="7"/>
  <c r="A83" i="7"/>
  <c r="A75" i="7"/>
  <c r="A56" i="7"/>
  <c r="A32" i="7"/>
  <c r="A8" i="7"/>
  <c r="A71" i="7"/>
  <c r="A55" i="7"/>
  <c r="A47" i="7"/>
  <c r="A39" i="7"/>
  <c r="A23" i="7"/>
  <c r="A15" i="7"/>
  <c r="A7" i="7"/>
  <c r="A426" i="7"/>
  <c r="A410" i="7"/>
  <c r="A394" i="7"/>
  <c r="A378" i="7"/>
  <c r="A362" i="7"/>
  <c r="A346" i="7"/>
  <c r="A330" i="7"/>
  <c r="A226" i="7"/>
  <c r="A130" i="7"/>
  <c r="A98" i="7"/>
  <c r="A72" i="7"/>
  <c r="A48" i="7"/>
  <c r="A24" i="7"/>
  <c r="A427" i="7"/>
  <c r="A279" i="7"/>
  <c r="A223" i="7"/>
  <c r="A215" i="7"/>
  <c r="A191" i="7"/>
  <c r="A183" i="7"/>
  <c r="A151" i="7"/>
  <c r="A127" i="7"/>
  <c r="A95" i="7"/>
  <c r="A64" i="7"/>
  <c r="A40" i="7"/>
  <c r="A16" i="7"/>
  <c r="A422" i="7"/>
  <c r="A414" i="7"/>
  <c r="A406" i="7"/>
  <c r="A398" i="7"/>
  <c r="A390" i="7"/>
  <c r="A382" i="7"/>
  <c r="A374" i="7"/>
  <c r="A366" i="7"/>
  <c r="A358" i="7"/>
  <c r="A350" i="7"/>
  <c r="A342" i="7"/>
  <c r="A334" i="7"/>
  <c r="A326" i="7"/>
  <c r="A318" i="7"/>
  <c r="A310" i="7"/>
  <c r="A302" i="7"/>
  <c r="A294" i="7"/>
  <c r="A286" i="7"/>
  <c r="A278" i="7"/>
  <c r="A270" i="7"/>
  <c r="A262" i="7"/>
  <c r="A254" i="7"/>
  <c r="A246" i="7"/>
  <c r="A238" i="7"/>
  <c r="A230" i="7"/>
  <c r="A222" i="7"/>
  <c r="A214" i="7"/>
  <c r="A206" i="7"/>
  <c r="A198" i="7"/>
  <c r="A190" i="7"/>
  <c r="A182" i="7"/>
  <c r="A174" i="7"/>
  <c r="A166" i="7"/>
  <c r="A158" i="7"/>
  <c r="A150" i="7"/>
  <c r="A142" i="7"/>
  <c r="A134" i="7"/>
  <c r="A126" i="7"/>
  <c r="A118" i="7"/>
  <c r="A110" i="7"/>
  <c r="A102" i="7"/>
  <c r="A94" i="7"/>
  <c r="A86" i="7"/>
  <c r="A78" i="7"/>
  <c r="A58" i="7"/>
  <c r="A50" i="7"/>
  <c r="A42" i="7"/>
  <c r="A26" i="7"/>
  <c r="A18" i="7"/>
  <c r="A10" i="7"/>
  <c r="A65" i="7"/>
  <c r="A57" i="7"/>
  <c r="A49" i="7"/>
  <c r="A41" i="7"/>
  <c r="A33" i="7"/>
  <c r="A25" i="7"/>
  <c r="A17" i="7"/>
  <c r="A9" i="7"/>
  <c r="A421" i="7"/>
  <c r="A413" i="7"/>
  <c r="A405" i="7"/>
  <c r="A397" i="7"/>
  <c r="A389" i="7"/>
  <c r="A381" i="7"/>
  <c r="A373" i="7"/>
  <c r="A365" i="7"/>
  <c r="A357" i="7"/>
  <c r="A349" i="7"/>
  <c r="A341" i="7"/>
  <c r="A333" i="7"/>
  <c r="A325" i="7"/>
  <c r="A317" i="7"/>
  <c r="A309" i="7"/>
  <c r="A301" i="7"/>
  <c r="A293" i="7"/>
  <c r="A285" i="7"/>
  <c r="A277" i="7"/>
  <c r="A269" i="7"/>
  <c r="A261" i="7"/>
  <c r="A253" i="7"/>
  <c r="A245" i="7"/>
  <c r="A237" i="7"/>
  <c r="A229" i="7"/>
  <c r="A221" i="7"/>
  <c r="A213" i="7"/>
  <c r="A205" i="7"/>
  <c r="A197" i="7"/>
  <c r="A189" i="7"/>
  <c r="A181" i="7"/>
  <c r="A173" i="7"/>
  <c r="A165" i="7"/>
  <c r="A157" i="7"/>
  <c r="A149" i="7"/>
  <c r="A141" i="7"/>
  <c r="A133" i="7"/>
  <c r="A125" i="7"/>
  <c r="A117" i="7"/>
  <c r="A109" i="7"/>
  <c r="A101" i="7"/>
  <c r="A93" i="7"/>
  <c r="A85" i="7"/>
  <c r="A77" i="7"/>
  <c r="A314" i="7"/>
  <c r="A298" i="7"/>
  <c r="A274" i="7"/>
  <c r="A234" i="7"/>
  <c r="A218" i="7"/>
  <c r="A170" i="7"/>
  <c r="A138" i="7"/>
  <c r="A106" i="7"/>
  <c r="A282" i="7"/>
  <c r="A266" i="7"/>
  <c r="A250" i="7"/>
  <c r="A202" i="7"/>
  <c r="A186" i="7"/>
  <c r="A154" i="7"/>
  <c r="A122" i="7"/>
  <c r="A90" i="7"/>
  <c r="A74" i="7"/>
  <c r="A424" i="7"/>
  <c r="A416" i="7"/>
  <c r="A408" i="7"/>
  <c r="A400" i="7"/>
  <c r="A392" i="7"/>
  <c r="A384" i="7"/>
  <c r="A376" i="7"/>
  <c r="A368" i="7"/>
  <c r="A360" i="7"/>
  <c r="A352" i="7"/>
  <c r="A344" i="7"/>
  <c r="A336" i="7"/>
  <c r="A328" i="7"/>
  <c r="A320" i="7"/>
  <c r="A312" i="7"/>
  <c r="A304" i="7"/>
  <c r="A296" i="7"/>
  <c r="A288" i="7"/>
  <c r="A280" i="7"/>
  <c r="A272" i="7"/>
  <c r="A264" i="7"/>
  <c r="A256" i="7"/>
  <c r="A248" i="7"/>
  <c r="A240" i="7"/>
  <c r="A232" i="7"/>
  <c r="A224" i="7"/>
  <c r="A216" i="7"/>
  <c r="A208" i="7"/>
  <c r="A200" i="7"/>
  <c r="A192" i="7"/>
  <c r="A184" i="7"/>
  <c r="A176" i="7"/>
  <c r="A168" i="7"/>
  <c r="A160" i="7"/>
  <c r="A152" i="7"/>
  <c r="A144" i="7"/>
  <c r="A136" i="7"/>
  <c r="A128" i="7"/>
  <c r="A120" i="7"/>
  <c r="A112" i="7"/>
  <c r="A104" i="7"/>
  <c r="A96" i="7"/>
  <c r="A88" i="7"/>
  <c r="A80" i="7"/>
  <c r="A8" i="4"/>
  <c r="O17" i="8" l="1"/>
  <c r="O6" i="8"/>
  <c r="O3" i="8"/>
  <c r="G2" i="8" s="1"/>
  <c r="O9" i="8"/>
  <c r="O4" i="8"/>
  <c r="O7" i="8"/>
  <c r="O5" i="8"/>
  <c r="O10" i="8"/>
  <c r="O8" i="8"/>
  <c r="O15" i="8"/>
  <c r="O13" i="8"/>
  <c r="O11" i="8"/>
  <c r="O12" i="8"/>
  <c r="O16" i="8"/>
  <c r="B107" i="8"/>
  <c r="B122" i="8" s="1"/>
  <c r="B137" i="8" s="1"/>
  <c r="B152" i="8" s="1"/>
  <c r="B108" i="8"/>
  <c r="B123" i="8" s="1"/>
  <c r="B138" i="8" s="1"/>
  <c r="B153" i="8" s="1"/>
  <c r="B109" i="8"/>
  <c r="B124" i="8" s="1"/>
  <c r="B139" i="8" s="1"/>
  <c r="B154" i="8" s="1"/>
  <c r="B110" i="8"/>
  <c r="B111" i="8"/>
  <c r="B126" i="8" s="1"/>
  <c r="B141" i="8" s="1"/>
  <c r="B156" i="8" s="1"/>
  <c r="B112" i="8"/>
  <c r="B127" i="8" s="1"/>
  <c r="B142" i="8" s="1"/>
  <c r="B157" i="8" s="1"/>
  <c r="B113" i="8"/>
  <c r="B128" i="8" s="1"/>
  <c r="B143" i="8" s="1"/>
  <c r="B158" i="8" s="1"/>
  <c r="B114" i="8"/>
  <c r="B129" i="8" s="1"/>
  <c r="B144" i="8" s="1"/>
  <c r="B159" i="8" s="1"/>
  <c r="B115" i="8"/>
  <c r="B130" i="8" s="1"/>
  <c r="B145" i="8" s="1"/>
  <c r="B160" i="8" s="1"/>
  <c r="B116" i="8"/>
  <c r="B131" i="8" s="1"/>
  <c r="B146" i="8" s="1"/>
  <c r="B161" i="8" s="1"/>
  <c r="B117" i="8"/>
  <c r="B132" i="8" s="1"/>
  <c r="B147" i="8" s="1"/>
  <c r="B162" i="8" s="1"/>
  <c r="B118" i="8"/>
  <c r="B119" i="8"/>
  <c r="B134" i="8" s="1"/>
  <c r="B149" i="8" s="1"/>
  <c r="B164" i="8" s="1"/>
  <c r="B120" i="8"/>
  <c r="B135" i="8" s="1"/>
  <c r="B150" i="8" s="1"/>
  <c r="B165" i="8" s="1"/>
  <c r="B121" i="8"/>
  <c r="B136" i="8" s="1"/>
  <c r="B151" i="8" s="1"/>
  <c r="B166" i="8" s="1"/>
  <c r="B125" i="8"/>
  <c r="B140" i="8" s="1"/>
  <c r="B155" i="8" s="1"/>
  <c r="B133" i="8"/>
  <c r="B148" i="8" s="1"/>
  <c r="B163" i="8" s="1"/>
  <c r="C166" i="8"/>
  <c r="C159" i="8"/>
  <c r="C160" i="8"/>
  <c r="C161" i="8"/>
  <c r="C162" i="8"/>
  <c r="C163" i="8"/>
  <c r="C164" i="8"/>
  <c r="C165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37" i="8"/>
  <c r="C138" i="8"/>
  <c r="C139" i="8"/>
  <c r="C140" i="8"/>
  <c r="C141" i="8"/>
  <c r="C142" i="8"/>
  <c r="C143" i="8"/>
  <c r="C129" i="8"/>
  <c r="C130" i="8"/>
  <c r="C131" i="8"/>
  <c r="C132" i="8"/>
  <c r="C133" i="8"/>
  <c r="C134" i="8"/>
  <c r="C135" i="8"/>
  <c r="C136" i="8"/>
  <c r="C107" i="8"/>
  <c r="C108" i="8"/>
  <c r="C123" i="8" s="1"/>
  <c r="C109" i="8"/>
  <c r="C124" i="8" s="1"/>
  <c r="C110" i="8"/>
  <c r="C125" i="8" s="1"/>
  <c r="C111" i="8"/>
  <c r="C126" i="8" s="1"/>
  <c r="C112" i="8"/>
  <c r="C127" i="8" s="1"/>
  <c r="C113" i="8"/>
  <c r="C128" i="8" s="1"/>
  <c r="C114" i="8"/>
  <c r="C115" i="8"/>
  <c r="C116" i="8"/>
  <c r="C117" i="8"/>
  <c r="C118" i="8"/>
  <c r="C119" i="8"/>
  <c r="C120" i="8"/>
  <c r="C121" i="8"/>
  <c r="C122" i="8"/>
  <c r="B63" i="8"/>
  <c r="B64" i="8"/>
  <c r="B79" i="8" s="1"/>
  <c r="B94" i="8" s="1"/>
  <c r="B65" i="8"/>
  <c r="B80" i="8" s="1"/>
  <c r="B95" i="8" s="1"/>
  <c r="B66" i="8"/>
  <c r="B81" i="8" s="1"/>
  <c r="B96" i="8" s="1"/>
  <c r="B67" i="8"/>
  <c r="B82" i="8" s="1"/>
  <c r="B97" i="8" s="1"/>
  <c r="B68" i="8"/>
  <c r="B83" i="8" s="1"/>
  <c r="B98" i="8" s="1"/>
  <c r="B69" i="8"/>
  <c r="B84" i="8" s="1"/>
  <c r="B99" i="8" s="1"/>
  <c r="B70" i="8"/>
  <c r="B85" i="8" s="1"/>
  <c r="B100" i="8" s="1"/>
  <c r="B71" i="8"/>
  <c r="B72" i="8"/>
  <c r="B87" i="8" s="1"/>
  <c r="B102" i="8" s="1"/>
  <c r="B73" i="8"/>
  <c r="B88" i="8" s="1"/>
  <c r="B103" i="8" s="1"/>
  <c r="B74" i="8"/>
  <c r="B89" i="8" s="1"/>
  <c r="B104" i="8" s="1"/>
  <c r="B75" i="8"/>
  <c r="B90" i="8" s="1"/>
  <c r="B105" i="8" s="1"/>
  <c r="B76" i="8"/>
  <c r="B91" i="8" s="1"/>
  <c r="B106" i="8" s="1"/>
  <c r="B77" i="8"/>
  <c r="B92" i="8" s="1"/>
  <c r="B78" i="8"/>
  <c r="B93" i="8" s="1"/>
  <c r="B86" i="8"/>
  <c r="B101" i="8" s="1"/>
  <c r="C63" i="8"/>
  <c r="C78" i="8" s="1"/>
  <c r="C93" i="8" s="1"/>
  <c r="C64" i="8"/>
  <c r="C79" i="8" s="1"/>
  <c r="C94" i="8" s="1"/>
  <c r="C65" i="8"/>
  <c r="C80" i="8" s="1"/>
  <c r="C95" i="8" s="1"/>
  <c r="C66" i="8"/>
  <c r="C67" i="8"/>
  <c r="C82" i="8" s="1"/>
  <c r="C97" i="8" s="1"/>
  <c r="C68" i="8"/>
  <c r="C69" i="8"/>
  <c r="C84" i="8" s="1"/>
  <c r="C99" i="8" s="1"/>
  <c r="C70" i="8"/>
  <c r="C85" i="8" s="1"/>
  <c r="C100" i="8" s="1"/>
  <c r="C71" i="8"/>
  <c r="C86" i="8" s="1"/>
  <c r="C101" i="8" s="1"/>
  <c r="C72" i="8"/>
  <c r="C87" i="8" s="1"/>
  <c r="C102" i="8" s="1"/>
  <c r="C73" i="8"/>
  <c r="C88" i="8" s="1"/>
  <c r="C103" i="8" s="1"/>
  <c r="C74" i="8"/>
  <c r="C75" i="8"/>
  <c r="C90" i="8" s="1"/>
  <c r="C105" i="8" s="1"/>
  <c r="C76" i="8"/>
  <c r="C77" i="8"/>
  <c r="C92" i="8" s="1"/>
  <c r="C81" i="8"/>
  <c r="C96" i="8" s="1"/>
  <c r="C83" i="8"/>
  <c r="C98" i="8" s="1"/>
  <c r="C89" i="8"/>
  <c r="C104" i="8" s="1"/>
  <c r="C91" i="8"/>
  <c r="C106" i="8" s="1"/>
  <c r="B62" i="8"/>
  <c r="C62" i="8"/>
  <c r="B49" i="8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48" i="8"/>
  <c r="C49" i="8"/>
  <c r="C50" i="8"/>
  <c r="C51" i="8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48" i="8"/>
  <c r="C2" i="7" l="1"/>
  <c r="A2" i="7" s="1"/>
  <c r="O3" i="4" l="1"/>
  <c r="P3" i="4"/>
  <c r="Q3" i="4"/>
  <c r="R3" i="4"/>
  <c r="S3" i="4"/>
  <c r="T3" i="4"/>
  <c r="U3" i="4"/>
  <c r="V3" i="4"/>
  <c r="W3" i="4"/>
  <c r="X3" i="4"/>
  <c r="Y3" i="4"/>
  <c r="Z3" i="4"/>
  <c r="AA3" i="4"/>
  <c r="AB3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O5" i="4"/>
  <c r="P5" i="4"/>
  <c r="Q5" i="4"/>
  <c r="R5" i="4"/>
  <c r="S5" i="4"/>
  <c r="T5" i="4"/>
  <c r="U5" i="4"/>
  <c r="V5" i="4"/>
  <c r="W5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O2" i="4"/>
  <c r="N3" i="4" l="1"/>
  <c r="N7" i="4"/>
  <c r="N2" i="4"/>
  <c r="N4" i="4"/>
  <c r="N9" i="4"/>
  <c r="N6" i="4"/>
  <c r="N8" i="4"/>
  <c r="A3" i="4"/>
  <c r="B3" i="4"/>
  <c r="A4" i="4"/>
  <c r="B4" i="4"/>
  <c r="A5" i="4"/>
  <c r="B5" i="4"/>
  <c r="A6" i="4"/>
  <c r="B6" i="4"/>
  <c r="A7" i="4"/>
  <c r="B7" i="4"/>
  <c r="B8" i="4"/>
  <c r="A9" i="4"/>
  <c r="B9" i="4"/>
  <c r="B2" i="4"/>
  <c r="A2" i="4"/>
  <c r="AH5" i="4" l="1"/>
  <c r="AH6" i="4" s="1"/>
  <c r="G102" i="8" l="1"/>
  <c r="G132" i="8"/>
  <c r="G162" i="8"/>
  <c r="G87" i="8"/>
  <c r="G42" i="8"/>
  <c r="G147" i="8"/>
  <c r="G72" i="8"/>
  <c r="G12" i="8"/>
  <c r="G57" i="8"/>
  <c r="G117" i="8"/>
  <c r="G27" i="8"/>
  <c r="G93" i="8"/>
  <c r="G63" i="8"/>
  <c r="G48" i="8"/>
  <c r="G78" i="8"/>
  <c r="G108" i="8"/>
  <c r="G18" i="8"/>
  <c r="G3" i="8"/>
  <c r="G33" i="8"/>
  <c r="G123" i="8"/>
  <c r="G153" i="8"/>
  <c r="G138" i="8"/>
  <c r="G28" i="8"/>
  <c r="G13" i="8"/>
  <c r="G103" i="8"/>
  <c r="G73" i="8"/>
  <c r="G88" i="8"/>
  <c r="G148" i="8"/>
  <c r="G118" i="8"/>
  <c r="G163" i="8"/>
  <c r="G43" i="8"/>
  <c r="G58" i="8"/>
  <c r="G133" i="8"/>
  <c r="G100" i="8"/>
  <c r="G115" i="8"/>
  <c r="G40" i="8"/>
  <c r="G70" i="8"/>
  <c r="G10" i="8"/>
  <c r="G85" i="8"/>
  <c r="G145" i="8"/>
  <c r="G160" i="8"/>
  <c r="G55" i="8"/>
  <c r="G25" i="8"/>
  <c r="G130" i="8"/>
  <c r="G161" i="8"/>
  <c r="G131" i="8"/>
  <c r="G26" i="8"/>
  <c r="G41" i="8"/>
  <c r="G146" i="8"/>
  <c r="G101" i="8"/>
  <c r="G71" i="8"/>
  <c r="G11" i="8"/>
  <c r="G86" i="8"/>
  <c r="G56" i="8"/>
  <c r="G116" i="8"/>
  <c r="G141" i="8"/>
  <c r="G156" i="8"/>
  <c r="G6" i="8"/>
  <c r="G36" i="8"/>
  <c r="G126" i="8"/>
  <c r="G111" i="8"/>
  <c r="G66" i="8"/>
  <c r="G51" i="8"/>
  <c r="G81" i="8"/>
  <c r="G96" i="8"/>
  <c r="G21" i="8"/>
  <c r="G135" i="8"/>
  <c r="G90" i="8"/>
  <c r="G165" i="8"/>
  <c r="G120" i="8"/>
  <c r="G75" i="8"/>
  <c r="G60" i="8"/>
  <c r="G15" i="8"/>
  <c r="G30" i="8"/>
  <c r="G45" i="8"/>
  <c r="G105" i="8"/>
  <c r="G150" i="8"/>
  <c r="G49" i="8"/>
  <c r="G79" i="8"/>
  <c r="G34" i="8"/>
  <c r="G139" i="8"/>
  <c r="G4" i="8"/>
  <c r="G94" i="8"/>
  <c r="G64" i="8"/>
  <c r="G124" i="8"/>
  <c r="G154" i="8"/>
  <c r="G19" i="8"/>
  <c r="G109" i="8"/>
  <c r="G119" i="8"/>
  <c r="G164" i="8"/>
  <c r="G149" i="8"/>
  <c r="G29" i="8"/>
  <c r="G104" i="8"/>
  <c r="G59" i="8"/>
  <c r="G74" i="8"/>
  <c r="G14" i="8"/>
  <c r="G44" i="8"/>
  <c r="G134" i="8"/>
  <c r="G89" i="8"/>
  <c r="G129" i="8"/>
  <c r="G114" i="8"/>
  <c r="G39" i="8"/>
  <c r="G24" i="8"/>
  <c r="G9" i="8"/>
  <c r="G69" i="8"/>
  <c r="G54" i="8"/>
  <c r="G84" i="8"/>
  <c r="G159" i="8"/>
  <c r="G144" i="8"/>
  <c r="G99" i="8"/>
  <c r="G112" i="8"/>
  <c r="G82" i="8"/>
  <c r="G157" i="8"/>
  <c r="G22" i="8"/>
  <c r="G67" i="8"/>
  <c r="G97" i="8"/>
  <c r="G37" i="8"/>
  <c r="G142" i="8"/>
  <c r="G7" i="8"/>
  <c r="G52" i="8"/>
  <c r="G127" i="8"/>
  <c r="G76" i="8"/>
  <c r="G91" i="8"/>
  <c r="G136" i="8"/>
  <c r="G16" i="8"/>
  <c r="G166" i="8"/>
  <c r="G31" i="8"/>
  <c r="G121" i="8"/>
  <c r="G61" i="8"/>
  <c r="G106" i="8"/>
  <c r="G46" i="8"/>
  <c r="G151" i="8"/>
  <c r="P3" i="8"/>
  <c r="P10" i="8"/>
  <c r="G122" i="8"/>
  <c r="P14" i="8"/>
  <c r="P17" i="8"/>
  <c r="P19" i="8" s="1"/>
  <c r="G17" i="8"/>
  <c r="G77" i="8"/>
  <c r="P5" i="8"/>
  <c r="G62" i="8"/>
  <c r="P16" i="8"/>
  <c r="P6" i="8"/>
  <c r="G137" i="8"/>
  <c r="P15" i="8"/>
  <c r="P13" i="8"/>
  <c r="P4" i="8"/>
  <c r="G32" i="8"/>
  <c r="P7" i="8"/>
  <c r="P8" i="8"/>
  <c r="P9" i="8"/>
  <c r="G107" i="8"/>
  <c r="P12" i="8"/>
  <c r="G92" i="8"/>
  <c r="G152" i="8"/>
  <c r="G47" i="8"/>
  <c r="P11" i="8"/>
  <c r="O18" i="8"/>
  <c r="G8" i="8"/>
  <c r="G113" i="8"/>
  <c r="G23" i="8"/>
  <c r="G158" i="8"/>
  <c r="G143" i="8"/>
  <c r="G83" i="8"/>
  <c r="G128" i="8"/>
  <c r="G38" i="8"/>
  <c r="G68" i="8"/>
  <c r="G53" i="8"/>
  <c r="G98" i="8"/>
  <c r="G50" i="8"/>
  <c r="G65" i="8"/>
  <c r="G5" i="8"/>
  <c r="G35" i="8"/>
  <c r="G125" i="8"/>
  <c r="G140" i="8"/>
  <c r="G95" i="8"/>
  <c r="G80" i="8"/>
  <c r="G110" i="8"/>
  <c r="G20" i="8"/>
  <c r="G155" i="8"/>
  <c r="H2" i="12" l="1"/>
  <c r="F2" i="12"/>
  <c r="F3" i="12" l="1"/>
  <c r="B3" i="12" s="1"/>
  <c r="H3" i="12"/>
  <c r="D3" i="12" s="1"/>
  <c r="G3" i="12" l="1"/>
  <c r="G2" i="12"/>
  <c r="F4" i="12"/>
  <c r="B4" i="12" s="1"/>
  <c r="H4" i="12"/>
  <c r="D4" i="12" s="1"/>
  <c r="G4" i="12"/>
  <c r="C4" i="12" s="1"/>
  <c r="C3" i="12" l="1"/>
  <c r="F5" i="12"/>
  <c r="B5" i="12" s="1"/>
  <c r="H5" i="12"/>
  <c r="D5" i="12" s="1"/>
  <c r="G5" i="12"/>
  <c r="C5" i="12" s="1"/>
  <c r="G6" i="12" l="1"/>
  <c r="C6" i="12" s="1"/>
  <c r="F6" i="12"/>
  <c r="B6" i="12" s="1"/>
  <c r="H6" i="12"/>
  <c r="D6" i="12" s="1"/>
  <c r="F7" i="12" l="1"/>
  <c r="B7" i="12" s="1"/>
  <c r="H7" i="12"/>
  <c r="D7" i="12" s="1"/>
  <c r="G7" i="12"/>
  <c r="C7" i="12" s="1"/>
  <c r="F8" i="12" l="1"/>
  <c r="B8" i="12" s="1"/>
  <c r="H8" i="12"/>
  <c r="D8" i="12" s="1"/>
  <c r="G8" i="12"/>
  <c r="C8" i="12" s="1"/>
  <c r="F9" i="12" l="1"/>
  <c r="B9" i="12" s="1"/>
  <c r="H9" i="12"/>
  <c r="D9" i="12" s="1"/>
  <c r="G9" i="12"/>
  <c r="C9" i="12" s="1"/>
  <c r="F10" i="12" l="1"/>
  <c r="B10" i="12" s="1"/>
  <c r="H10" i="12"/>
  <c r="D10" i="12" s="1"/>
  <c r="G10" i="12"/>
  <c r="C10" i="12" s="1"/>
  <c r="F11" i="12" l="1"/>
  <c r="B11" i="12" s="1"/>
  <c r="H11" i="12"/>
  <c r="D11" i="12" s="1"/>
  <c r="G11" i="12"/>
  <c r="C11" i="12" s="1"/>
  <c r="H12" i="12" l="1"/>
  <c r="D12" i="12" s="1"/>
  <c r="F12" i="12"/>
  <c r="B12" i="12" s="1"/>
  <c r="G12" i="12"/>
  <c r="C12" i="12" s="1"/>
  <c r="F13" i="12" l="1"/>
  <c r="B13" i="12" s="1"/>
  <c r="H13" i="12"/>
  <c r="D13" i="12" s="1"/>
  <c r="G13" i="12"/>
  <c r="C13" i="12" s="1"/>
  <c r="H14" i="12" l="1"/>
  <c r="D14" i="12" s="1"/>
  <c r="F14" i="12"/>
  <c r="B14" i="12" s="1"/>
  <c r="G14" i="12"/>
  <c r="C14" i="12" s="1"/>
  <c r="F15" i="12" l="1"/>
  <c r="B15" i="12" s="1"/>
  <c r="H15" i="12"/>
  <c r="D15" i="12" s="1"/>
  <c r="G15" i="12"/>
  <c r="C15" i="12" s="1"/>
  <c r="F16" i="12" l="1"/>
  <c r="B16" i="12" s="1"/>
  <c r="H16" i="12"/>
  <c r="D16" i="12" s="1"/>
  <c r="G16" i="12"/>
  <c r="C16" i="12" s="1"/>
  <c r="F17" i="12" l="1"/>
  <c r="B17" i="12" s="1"/>
  <c r="H17" i="12"/>
  <c r="D17" i="12" s="1"/>
  <c r="G17" i="12"/>
  <c r="C17" i="12" s="1"/>
  <c r="H18" i="12" l="1"/>
  <c r="D18" i="12" s="1"/>
  <c r="F18" i="12"/>
  <c r="B18" i="12" s="1"/>
  <c r="G18" i="12"/>
  <c r="C18" i="12" s="1"/>
  <c r="F19" i="12" l="1"/>
  <c r="B19" i="12" s="1"/>
  <c r="H19" i="12"/>
  <c r="D19" i="12" s="1"/>
  <c r="G19" i="12"/>
  <c r="C19" i="12" s="1"/>
  <c r="F20" i="12" l="1"/>
  <c r="B20" i="12" s="1"/>
  <c r="H20" i="12"/>
  <c r="D20" i="12" s="1"/>
  <c r="G20" i="12"/>
  <c r="C20" i="12" s="1"/>
  <c r="F21" i="12" l="1"/>
  <c r="B21" i="12" s="1"/>
  <c r="H21" i="12"/>
  <c r="D21" i="12" s="1"/>
  <c r="D144" i="7"/>
  <c r="D357" i="7"/>
  <c r="D286" i="7"/>
  <c r="D73" i="7"/>
  <c r="D215" i="7"/>
  <c r="D2" i="7"/>
  <c r="F215" i="7"/>
  <c r="F73" i="7"/>
  <c r="F357" i="7"/>
  <c r="F144" i="7"/>
  <c r="F2" i="7"/>
  <c r="F286" i="7"/>
  <c r="G21" i="12"/>
  <c r="C21" i="12" s="1"/>
  <c r="F22" i="12" l="1"/>
  <c r="B22" i="12" s="1"/>
  <c r="H22" i="12"/>
  <c r="D22" i="12" s="1"/>
  <c r="E357" i="7"/>
  <c r="E144" i="7"/>
  <c r="E286" i="7"/>
  <c r="E215" i="7"/>
  <c r="E73" i="7"/>
  <c r="E2" i="7"/>
  <c r="D287" i="7"/>
  <c r="D3" i="7"/>
  <c r="D358" i="7"/>
  <c r="D145" i="7"/>
  <c r="D216" i="7"/>
  <c r="D74" i="7"/>
  <c r="F145" i="7"/>
  <c r="F287" i="7"/>
  <c r="F3" i="7"/>
  <c r="F74" i="7"/>
  <c r="F358" i="7"/>
  <c r="F216" i="7"/>
  <c r="G22" i="12"/>
  <c r="C22" i="12" s="1"/>
  <c r="F23" i="12" l="1"/>
  <c r="B23" i="12" s="1"/>
  <c r="H23" i="12"/>
  <c r="D23" i="12" s="1"/>
  <c r="E358" i="7"/>
  <c r="E145" i="7"/>
  <c r="E74" i="7"/>
  <c r="E287" i="7"/>
  <c r="E3" i="7"/>
  <c r="E216" i="7"/>
  <c r="D217" i="7"/>
  <c r="D359" i="7"/>
  <c r="D146" i="7"/>
  <c r="D4" i="7"/>
  <c r="D75" i="7"/>
  <c r="D288" i="7"/>
  <c r="F217" i="7"/>
  <c r="F75" i="7"/>
  <c r="F288" i="7"/>
  <c r="F359" i="7"/>
  <c r="F4" i="7"/>
  <c r="F146" i="7"/>
  <c r="G23" i="12"/>
  <c r="C23" i="12" s="1"/>
  <c r="F24" i="12" l="1"/>
  <c r="B24" i="12" s="1"/>
  <c r="H24" i="12"/>
  <c r="D24" i="12" s="1"/>
  <c r="E75" i="7"/>
  <c r="E217" i="7"/>
  <c r="E288" i="7"/>
  <c r="E146" i="7"/>
  <c r="E4" i="7"/>
  <c r="E359" i="7"/>
  <c r="F5" i="7"/>
  <c r="F289" i="7"/>
  <c r="F147" i="7"/>
  <c r="F76" i="7"/>
  <c r="F360" i="7"/>
  <c r="F218" i="7"/>
  <c r="D360" i="7"/>
  <c r="D5" i="7"/>
  <c r="D147" i="7"/>
  <c r="D76" i="7"/>
  <c r="D289" i="7"/>
  <c r="D218" i="7"/>
  <c r="G24" i="12" l="1"/>
  <c r="C24" i="12" s="1"/>
  <c r="F25" i="12"/>
  <c r="B25" i="12" s="1"/>
  <c r="H25" i="12"/>
  <c r="D25" i="12" s="1"/>
  <c r="E147" i="7"/>
  <c r="E360" i="7"/>
  <c r="E76" i="7"/>
  <c r="E289" i="7"/>
  <c r="E218" i="7"/>
  <c r="E5" i="7"/>
  <c r="F6" i="7"/>
  <c r="F77" i="7"/>
  <c r="F219" i="7"/>
  <c r="F361" i="7"/>
  <c r="F148" i="7"/>
  <c r="F290" i="7"/>
  <c r="D361" i="7"/>
  <c r="D77" i="7"/>
  <c r="D219" i="7"/>
  <c r="D148" i="7"/>
  <c r="D290" i="7"/>
  <c r="D6" i="7"/>
  <c r="G25" i="12" l="1"/>
  <c r="C25" i="12" s="1"/>
  <c r="F26" i="12"/>
  <c r="B26" i="12" s="1"/>
  <c r="H26" i="12"/>
  <c r="D26" i="12" s="1"/>
  <c r="E77" i="7"/>
  <c r="E148" i="7"/>
  <c r="E361" i="7"/>
  <c r="E6" i="7"/>
  <c r="E290" i="7"/>
  <c r="E219" i="7"/>
  <c r="F149" i="7"/>
  <c r="F362" i="7"/>
  <c r="F220" i="7"/>
  <c r="F291" i="7"/>
  <c r="F78" i="7"/>
  <c r="F7" i="7"/>
  <c r="D291" i="7"/>
  <c r="D78" i="7"/>
  <c r="D362" i="7"/>
  <c r="D149" i="7"/>
  <c r="D220" i="7"/>
  <c r="D7" i="7"/>
  <c r="G26" i="12"/>
  <c r="C26" i="12" s="1"/>
  <c r="F27" i="12" l="1"/>
  <c r="B27" i="12" s="1"/>
  <c r="H27" i="12"/>
  <c r="D27" i="12" s="1"/>
  <c r="D363" i="7"/>
  <c r="D292" i="7"/>
  <c r="D150" i="7"/>
  <c r="D8" i="7"/>
  <c r="D221" i="7"/>
  <c r="D79" i="7"/>
  <c r="E362" i="7"/>
  <c r="E220" i="7"/>
  <c r="E291" i="7"/>
  <c r="E78" i="7"/>
  <c r="E149" i="7"/>
  <c r="E7" i="7"/>
  <c r="F150" i="7"/>
  <c r="F221" i="7"/>
  <c r="F8" i="7"/>
  <c r="F292" i="7"/>
  <c r="F79" i="7"/>
  <c r="F363" i="7"/>
  <c r="G27" i="12"/>
  <c r="C27" i="12" s="1"/>
  <c r="F28" i="12" l="1"/>
  <c r="B28" i="12" s="1"/>
  <c r="H28" i="12"/>
  <c r="D28" i="12" s="1"/>
  <c r="D222" i="7"/>
  <c r="D151" i="7"/>
  <c r="D9" i="7"/>
  <c r="D80" i="7"/>
  <c r="D293" i="7"/>
  <c r="D364" i="7"/>
  <c r="E8" i="7"/>
  <c r="E79" i="7"/>
  <c r="E150" i="7"/>
  <c r="E221" i="7"/>
  <c r="E292" i="7"/>
  <c r="E363" i="7"/>
  <c r="F222" i="7"/>
  <c r="F9" i="7"/>
  <c r="F293" i="7"/>
  <c r="F80" i="7"/>
  <c r="F151" i="7"/>
  <c r="F364" i="7"/>
  <c r="G28" i="12"/>
  <c r="C28" i="12" s="1"/>
  <c r="F29" i="12" l="1"/>
  <c r="B29" i="12" s="1"/>
  <c r="H29" i="12"/>
  <c r="D29" i="12" s="1"/>
  <c r="E364" i="7"/>
  <c r="E293" i="7"/>
  <c r="E222" i="7"/>
  <c r="E80" i="7"/>
  <c r="E151" i="7"/>
  <c r="E9" i="7"/>
  <c r="D152" i="7"/>
  <c r="D81" i="7"/>
  <c r="D294" i="7"/>
  <c r="D10" i="7"/>
  <c r="D365" i="7"/>
  <c r="D223" i="7"/>
  <c r="F294" i="7"/>
  <c r="F81" i="7"/>
  <c r="F365" i="7"/>
  <c r="F10" i="7"/>
  <c r="F223" i="7"/>
  <c r="F152" i="7"/>
  <c r="G29" i="12" l="1"/>
  <c r="C29" i="12" s="1"/>
  <c r="F30" i="12"/>
  <c r="B30" i="12" s="1"/>
  <c r="H30" i="12"/>
  <c r="D30" i="12" s="1"/>
  <c r="F366" i="7"/>
  <c r="F11" i="7"/>
  <c r="F295" i="7"/>
  <c r="F224" i="7"/>
  <c r="F153" i="7"/>
  <c r="F82" i="7"/>
  <c r="E10" i="7"/>
  <c r="E365" i="7"/>
  <c r="E294" i="7"/>
  <c r="E223" i="7"/>
  <c r="E81" i="7"/>
  <c r="E152" i="7"/>
  <c r="D82" i="7"/>
  <c r="D153" i="7"/>
  <c r="D366" i="7"/>
  <c r="D224" i="7"/>
  <c r="D11" i="7"/>
  <c r="D295" i="7"/>
  <c r="F31" i="12" l="1"/>
  <c r="B31" i="12" s="1"/>
  <c r="G30" i="12"/>
  <c r="C30" i="12" s="1"/>
  <c r="H31" i="12"/>
  <c r="D31" i="12" s="1"/>
  <c r="D296" i="7"/>
  <c r="D225" i="7"/>
  <c r="D367" i="7"/>
  <c r="D12" i="7"/>
  <c r="D83" i="7"/>
  <c r="D154" i="7"/>
  <c r="F225" i="7"/>
  <c r="F154" i="7"/>
  <c r="F83" i="7"/>
  <c r="F12" i="7"/>
  <c r="F367" i="7"/>
  <c r="F296" i="7"/>
  <c r="G31" i="12"/>
  <c r="C31" i="12" s="1"/>
  <c r="E366" i="7"/>
  <c r="E295" i="7"/>
  <c r="E153" i="7"/>
  <c r="E82" i="7"/>
  <c r="E11" i="7"/>
  <c r="E224" i="7"/>
  <c r="F32" i="12" l="1"/>
  <c r="B32" i="12" s="1"/>
  <c r="H32" i="12"/>
  <c r="D32" i="12" s="1"/>
  <c r="G32" i="12"/>
  <c r="C32" i="12" s="1"/>
  <c r="E296" i="7"/>
  <c r="E367" i="7"/>
  <c r="E225" i="7"/>
  <c r="E83" i="7"/>
  <c r="E12" i="7"/>
  <c r="E154" i="7"/>
  <c r="F226" i="7"/>
  <c r="F368" i="7"/>
  <c r="F155" i="7"/>
  <c r="F297" i="7"/>
  <c r="F84" i="7"/>
  <c r="F13" i="7"/>
  <c r="D226" i="7"/>
  <c r="D155" i="7"/>
  <c r="D368" i="7"/>
  <c r="D13" i="7"/>
  <c r="D84" i="7"/>
  <c r="D297" i="7"/>
  <c r="F33" i="12" l="1"/>
  <c r="B33" i="12" s="1"/>
  <c r="H33" i="12"/>
  <c r="D33" i="12" s="1"/>
  <c r="E226" i="7"/>
  <c r="E297" i="7"/>
  <c r="E155" i="7"/>
  <c r="E13" i="7"/>
  <c r="E84" i="7"/>
  <c r="E368" i="7"/>
  <c r="F85" i="7"/>
  <c r="F156" i="7"/>
  <c r="F298" i="7"/>
  <c r="F369" i="7"/>
  <c r="F227" i="7"/>
  <c r="F14" i="7"/>
  <c r="D14" i="7"/>
  <c r="D369" i="7"/>
  <c r="D85" i="7"/>
  <c r="D227" i="7"/>
  <c r="D298" i="7"/>
  <c r="D156" i="7"/>
  <c r="G33" i="12"/>
  <c r="C33" i="12" s="1"/>
  <c r="F34" i="12" l="1"/>
  <c r="B34" i="12" s="1"/>
  <c r="H34" i="12"/>
  <c r="D34" i="12" s="1"/>
  <c r="G34" i="12"/>
  <c r="C34" i="12" s="1"/>
  <c r="E85" i="7"/>
  <c r="E14" i="7"/>
  <c r="E298" i="7"/>
  <c r="E156" i="7"/>
  <c r="E369" i="7"/>
  <c r="E227" i="7"/>
  <c r="D15" i="7"/>
  <c r="D86" i="7"/>
  <c r="D299" i="7"/>
  <c r="D370" i="7"/>
  <c r="D228" i="7"/>
  <c r="D157" i="7"/>
  <c r="F86" i="7"/>
  <c r="F15" i="7"/>
  <c r="F157" i="7"/>
  <c r="F370" i="7"/>
  <c r="F228" i="7"/>
  <c r="F299" i="7"/>
  <c r="F35" i="12" l="1"/>
  <c r="B35" i="12" s="1"/>
  <c r="H35" i="12"/>
  <c r="D35" i="12" s="1"/>
  <c r="F16" i="7"/>
  <c r="F87" i="7"/>
  <c r="F371" i="7"/>
  <c r="F158" i="7"/>
  <c r="F300" i="7"/>
  <c r="F229" i="7"/>
  <c r="D371" i="7"/>
  <c r="D87" i="7"/>
  <c r="D158" i="7"/>
  <c r="D229" i="7"/>
  <c r="D300" i="7"/>
  <c r="D16" i="7"/>
  <c r="E370" i="7"/>
  <c r="E86" i="7"/>
  <c r="E157" i="7"/>
  <c r="E228" i="7"/>
  <c r="E299" i="7"/>
  <c r="E15" i="7"/>
  <c r="G35" i="12"/>
  <c r="C35" i="12" s="1"/>
  <c r="F36" i="12" l="1"/>
  <c r="B36" i="12" s="1"/>
  <c r="H36" i="12"/>
  <c r="D36" i="12" s="1"/>
  <c r="D159" i="7"/>
  <c r="D372" i="7"/>
  <c r="D17" i="7"/>
  <c r="D301" i="7"/>
  <c r="D230" i="7"/>
  <c r="D88" i="7"/>
  <c r="F88" i="7"/>
  <c r="F159" i="7"/>
  <c r="F372" i="7"/>
  <c r="F230" i="7"/>
  <c r="F301" i="7"/>
  <c r="F17" i="7"/>
  <c r="E229" i="7"/>
  <c r="E300" i="7"/>
  <c r="E16" i="7"/>
  <c r="E87" i="7"/>
  <c r="E371" i="7"/>
  <c r="E158" i="7"/>
  <c r="G36" i="12"/>
  <c r="C36" i="12" s="1"/>
  <c r="F37" i="12" l="1"/>
  <c r="B37" i="12" s="1"/>
  <c r="H37" i="12"/>
  <c r="D37" i="12" s="1"/>
  <c r="E301" i="7"/>
  <c r="E159" i="7"/>
  <c r="E230" i="7"/>
  <c r="E88" i="7"/>
  <c r="E372" i="7"/>
  <c r="E17" i="7"/>
  <c r="D89" i="7"/>
  <c r="D302" i="7"/>
  <c r="D160" i="7"/>
  <c r="D18" i="7"/>
  <c r="D231" i="7"/>
  <c r="D373" i="7"/>
  <c r="F231" i="7"/>
  <c r="F18" i="7"/>
  <c r="F373" i="7"/>
  <c r="F89" i="7"/>
  <c r="F302" i="7"/>
  <c r="F160" i="7"/>
  <c r="G37" i="12"/>
  <c r="C37" i="12" s="1"/>
  <c r="F38" i="12" l="1"/>
  <c r="B38" i="12" s="1"/>
  <c r="H38" i="12"/>
  <c r="D38" i="12" s="1"/>
  <c r="F303" i="7"/>
  <c r="F374" i="7"/>
  <c r="F161" i="7"/>
  <c r="F90" i="7"/>
  <c r="F232" i="7"/>
  <c r="F19" i="7"/>
  <c r="G38" i="12"/>
  <c r="C38" i="12" s="1"/>
  <c r="D19" i="7"/>
  <c r="D161" i="7"/>
  <c r="D232" i="7"/>
  <c r="D374" i="7"/>
  <c r="D303" i="7"/>
  <c r="D90" i="7"/>
  <c r="E160" i="7"/>
  <c r="E373" i="7"/>
  <c r="E89" i="7"/>
  <c r="E302" i="7"/>
  <c r="E18" i="7"/>
  <c r="E231" i="7"/>
  <c r="H39" i="12" l="1"/>
  <c r="D39" i="12" s="1"/>
  <c r="F39" i="12"/>
  <c r="B39" i="12" s="1"/>
  <c r="E303" i="7"/>
  <c r="E19" i="7"/>
  <c r="E90" i="7"/>
  <c r="E374" i="7"/>
  <c r="E232" i="7"/>
  <c r="E161" i="7"/>
  <c r="D91" i="7"/>
  <c r="D233" i="7"/>
  <c r="D375" i="7"/>
  <c r="D304" i="7"/>
  <c r="D162" i="7"/>
  <c r="D20" i="7"/>
  <c r="F20" i="7"/>
  <c r="F233" i="7"/>
  <c r="F375" i="7"/>
  <c r="F162" i="7"/>
  <c r="F304" i="7"/>
  <c r="F91" i="7"/>
  <c r="F40" i="12" l="1"/>
  <c r="B40" i="12" s="1"/>
  <c r="G39" i="12"/>
  <c r="C39" i="12" s="1"/>
  <c r="H40" i="12"/>
  <c r="D40" i="12" s="1"/>
  <c r="F163" i="7"/>
  <c r="F92" i="7"/>
  <c r="F305" i="7"/>
  <c r="F21" i="7"/>
  <c r="F234" i="7"/>
  <c r="F376" i="7"/>
  <c r="D234" i="7"/>
  <c r="D92" i="7"/>
  <c r="D305" i="7"/>
  <c r="D163" i="7"/>
  <c r="D376" i="7"/>
  <c r="D21" i="7"/>
  <c r="E20" i="7"/>
  <c r="E304" i="7"/>
  <c r="E375" i="7"/>
  <c r="E91" i="7"/>
  <c r="E233" i="7"/>
  <c r="E162" i="7"/>
  <c r="F41" i="12" l="1"/>
  <c r="B41" i="12" s="1"/>
  <c r="G40" i="12"/>
  <c r="C40" i="12" s="1"/>
  <c r="H41" i="12"/>
  <c r="D41" i="12" s="1"/>
  <c r="E163" i="7"/>
  <c r="E21" i="7"/>
  <c r="E234" i="7"/>
  <c r="E376" i="7"/>
  <c r="E305" i="7"/>
  <c r="E92" i="7"/>
  <c r="G41" i="12"/>
  <c r="C41" i="12" s="1"/>
  <c r="D306" i="7"/>
  <c r="D164" i="7"/>
  <c r="D377" i="7"/>
  <c r="D93" i="7"/>
  <c r="D235" i="7"/>
  <c r="D22" i="7"/>
  <c r="F377" i="7"/>
  <c r="F306" i="7"/>
  <c r="F22" i="7"/>
  <c r="F164" i="7"/>
  <c r="F93" i="7"/>
  <c r="F235" i="7"/>
  <c r="F42" i="12" l="1"/>
  <c r="B42" i="12" s="1"/>
  <c r="H42" i="12"/>
  <c r="D42" i="12" s="1"/>
  <c r="F165" i="7"/>
  <c r="F236" i="7"/>
  <c r="F378" i="7"/>
  <c r="F94" i="7"/>
  <c r="F307" i="7"/>
  <c r="F23" i="7"/>
  <c r="D236" i="7"/>
  <c r="D307" i="7"/>
  <c r="D23" i="7"/>
  <c r="D165" i="7"/>
  <c r="D378" i="7"/>
  <c r="D94" i="7"/>
  <c r="G42" i="12"/>
  <c r="C42" i="12" s="1"/>
  <c r="E93" i="7"/>
  <c r="E306" i="7"/>
  <c r="E235" i="7"/>
  <c r="E22" i="7"/>
  <c r="E377" i="7"/>
  <c r="E164" i="7"/>
  <c r="F43" i="12" l="1"/>
  <c r="B43" i="12" s="1"/>
  <c r="H43" i="12"/>
  <c r="D43" i="12" s="1"/>
  <c r="E94" i="7"/>
  <c r="E236" i="7"/>
  <c r="E23" i="7"/>
  <c r="E165" i="7"/>
  <c r="E378" i="7"/>
  <c r="E307" i="7"/>
  <c r="D237" i="7"/>
  <c r="D24" i="7"/>
  <c r="D308" i="7"/>
  <c r="D166" i="7"/>
  <c r="D379" i="7"/>
  <c r="D95" i="7"/>
  <c r="F308" i="7"/>
  <c r="F166" i="7"/>
  <c r="F379" i="7"/>
  <c r="F237" i="7"/>
  <c r="F95" i="7"/>
  <c r="F24" i="7"/>
  <c r="G43" i="12"/>
  <c r="C43" i="12" s="1"/>
  <c r="F44" i="12" l="1"/>
  <c r="B44" i="12" s="1"/>
  <c r="H44" i="12"/>
  <c r="D44" i="12" s="1"/>
  <c r="E95" i="7"/>
  <c r="E166" i="7"/>
  <c r="E308" i="7"/>
  <c r="E379" i="7"/>
  <c r="E237" i="7"/>
  <c r="E24" i="7"/>
  <c r="G44" i="12"/>
  <c r="C44" i="12" s="1"/>
  <c r="F238" i="7"/>
  <c r="F380" i="7"/>
  <c r="F96" i="7"/>
  <c r="F25" i="7"/>
  <c r="F167" i="7"/>
  <c r="F309" i="7"/>
  <c r="D309" i="7"/>
  <c r="D96" i="7"/>
  <c r="D25" i="7"/>
  <c r="D167" i="7"/>
  <c r="D380" i="7"/>
  <c r="D238" i="7"/>
  <c r="F45" i="12" l="1"/>
  <c r="B45" i="12" s="1"/>
  <c r="H45" i="12"/>
  <c r="D45" i="12" s="1"/>
  <c r="E96" i="7"/>
  <c r="E309" i="7"/>
  <c r="E238" i="7"/>
  <c r="E380" i="7"/>
  <c r="E25" i="7"/>
  <c r="E167" i="7"/>
  <c r="G45" i="12"/>
  <c r="C45" i="12" s="1"/>
  <c r="F26" i="7"/>
  <c r="F381" i="7"/>
  <c r="F97" i="7"/>
  <c r="F168" i="7"/>
  <c r="F239" i="7"/>
  <c r="F310" i="7"/>
  <c r="D381" i="7"/>
  <c r="D310" i="7"/>
  <c r="D168" i="7"/>
  <c r="D26" i="7"/>
  <c r="D97" i="7"/>
  <c r="D239" i="7"/>
  <c r="H46" i="12" l="1"/>
  <c r="D46" i="12" s="1"/>
  <c r="F46" i="12"/>
  <c r="B46" i="12" s="1"/>
  <c r="G46" i="12"/>
  <c r="C46" i="12" s="1"/>
  <c r="D240" i="7"/>
  <c r="D169" i="7"/>
  <c r="D311" i="7"/>
  <c r="D98" i="7"/>
  <c r="D382" i="7"/>
  <c r="D27" i="7"/>
  <c r="F311" i="7"/>
  <c r="F169" i="7"/>
  <c r="F240" i="7"/>
  <c r="F98" i="7"/>
  <c r="F27" i="7"/>
  <c r="F382" i="7"/>
  <c r="E310" i="7"/>
  <c r="E239" i="7"/>
  <c r="E26" i="7"/>
  <c r="E97" i="7"/>
  <c r="E381" i="7"/>
  <c r="E168" i="7"/>
  <c r="F47" i="12" l="1"/>
  <c r="B47" i="12" s="1"/>
  <c r="H47" i="12"/>
  <c r="D47" i="12" s="1"/>
  <c r="G47" i="12"/>
  <c r="C47" i="12" s="1"/>
  <c r="E240" i="7"/>
  <c r="E382" i="7"/>
  <c r="E169" i="7"/>
  <c r="E311" i="7"/>
  <c r="E98" i="7"/>
  <c r="E27" i="7"/>
  <c r="D170" i="7"/>
  <c r="D28" i="7"/>
  <c r="D99" i="7"/>
  <c r="D241" i="7"/>
  <c r="D383" i="7"/>
  <c r="D312" i="7"/>
  <c r="F383" i="7"/>
  <c r="F312" i="7"/>
  <c r="F99" i="7"/>
  <c r="F28" i="7"/>
  <c r="F170" i="7"/>
  <c r="F241" i="7"/>
  <c r="F48" i="12" l="1"/>
  <c r="B48" i="12" s="1"/>
  <c r="H48" i="12"/>
  <c r="D48" i="12" s="1"/>
  <c r="G48" i="12"/>
  <c r="C48" i="12" s="1"/>
  <c r="F171" i="7"/>
  <c r="F29" i="7"/>
  <c r="F384" i="7"/>
  <c r="F242" i="7"/>
  <c r="F313" i="7"/>
  <c r="F100" i="7"/>
  <c r="E241" i="7"/>
  <c r="E99" i="7"/>
  <c r="E383" i="7"/>
  <c r="E312" i="7"/>
  <c r="E170" i="7"/>
  <c r="E28" i="7"/>
  <c r="D242" i="7"/>
  <c r="D384" i="7"/>
  <c r="D100" i="7"/>
  <c r="D171" i="7"/>
  <c r="D313" i="7"/>
  <c r="D29" i="7"/>
  <c r="H49" i="12" l="1"/>
  <c r="D49" i="12" s="1"/>
  <c r="F49" i="12"/>
  <c r="B49" i="12" s="1"/>
  <c r="D243" i="7"/>
  <c r="D172" i="7"/>
  <c r="D314" i="7"/>
  <c r="D30" i="7"/>
  <c r="D385" i="7"/>
  <c r="D101" i="7"/>
  <c r="E242" i="7"/>
  <c r="E171" i="7"/>
  <c r="E100" i="7"/>
  <c r="E384" i="7"/>
  <c r="E29" i="7"/>
  <c r="E313" i="7"/>
  <c r="F243" i="7"/>
  <c r="F172" i="7"/>
  <c r="F101" i="7"/>
  <c r="F314" i="7"/>
  <c r="F385" i="7"/>
  <c r="F30" i="7"/>
  <c r="G49" i="12" l="1"/>
  <c r="C49" i="12" s="1"/>
  <c r="F50" i="12"/>
  <c r="B50" i="12" s="1"/>
  <c r="H50" i="12"/>
  <c r="D50" i="12" s="1"/>
  <c r="D386" i="7"/>
  <c r="D173" i="7"/>
  <c r="D244" i="7"/>
  <c r="D31" i="7"/>
  <c r="D102" i="7"/>
  <c r="D315" i="7"/>
  <c r="E101" i="7"/>
  <c r="E172" i="7"/>
  <c r="E385" i="7"/>
  <c r="E314" i="7"/>
  <c r="E30" i="7"/>
  <c r="E243" i="7"/>
  <c r="F244" i="7"/>
  <c r="F102" i="7"/>
  <c r="F173" i="7"/>
  <c r="F386" i="7"/>
  <c r="F31" i="7"/>
  <c r="F315" i="7"/>
  <c r="F51" i="12" l="1"/>
  <c r="B51" i="12" s="1"/>
  <c r="G50" i="12"/>
  <c r="C50" i="12" s="1"/>
  <c r="H51" i="12"/>
  <c r="D51" i="12" s="1"/>
  <c r="G51" i="12"/>
  <c r="C51" i="12" s="1"/>
  <c r="D316" i="7"/>
  <c r="D245" i="7"/>
  <c r="D174" i="7"/>
  <c r="D32" i="7"/>
  <c r="D387" i="7"/>
  <c r="D103" i="7"/>
  <c r="F32" i="7"/>
  <c r="F387" i="7"/>
  <c r="F174" i="7"/>
  <c r="F103" i="7"/>
  <c r="F316" i="7"/>
  <c r="F245" i="7"/>
  <c r="E386" i="7"/>
  <c r="E244" i="7"/>
  <c r="E315" i="7"/>
  <c r="E31" i="7"/>
  <c r="E102" i="7"/>
  <c r="E173" i="7"/>
  <c r="F52" i="12" l="1"/>
  <c r="B52" i="12" s="1"/>
  <c r="H52" i="12"/>
  <c r="D52" i="12" s="1"/>
  <c r="D317" i="7"/>
  <c r="D104" i="7"/>
  <c r="D175" i="7"/>
  <c r="D246" i="7"/>
  <c r="D388" i="7"/>
  <c r="D33" i="7"/>
  <c r="E32" i="7"/>
  <c r="E245" i="7"/>
  <c r="E174" i="7"/>
  <c r="E103" i="7"/>
  <c r="E387" i="7"/>
  <c r="E316" i="7"/>
  <c r="F317" i="7"/>
  <c r="F33" i="7"/>
  <c r="F388" i="7"/>
  <c r="F246" i="7"/>
  <c r="F175" i="7"/>
  <c r="F104" i="7"/>
  <c r="G52" i="12"/>
  <c r="C52" i="12" s="1"/>
  <c r="F53" i="12" l="1"/>
  <c r="B53" i="12" s="1"/>
  <c r="H53" i="12"/>
  <c r="D53" i="12" s="1"/>
  <c r="D105" i="7"/>
  <c r="D176" i="7"/>
  <c r="D318" i="7"/>
  <c r="D247" i="7"/>
  <c r="D34" i="7"/>
  <c r="D389" i="7"/>
  <c r="F247" i="7"/>
  <c r="F34" i="7"/>
  <c r="F318" i="7"/>
  <c r="F389" i="7"/>
  <c r="F176" i="7"/>
  <c r="F105" i="7"/>
  <c r="G53" i="12"/>
  <c r="C53" i="12" s="1"/>
  <c r="E246" i="7"/>
  <c r="E317" i="7"/>
  <c r="E33" i="7"/>
  <c r="E104" i="7"/>
  <c r="E388" i="7"/>
  <c r="E175" i="7"/>
  <c r="F54" i="12" l="1"/>
  <c r="B54" i="12" s="1"/>
  <c r="H54" i="12"/>
  <c r="D54" i="12" s="1"/>
  <c r="E247" i="7"/>
  <c r="E176" i="7"/>
  <c r="E105" i="7"/>
  <c r="E389" i="7"/>
  <c r="E318" i="7"/>
  <c r="E34" i="7"/>
  <c r="D319" i="7"/>
  <c r="D177" i="7"/>
  <c r="D390" i="7"/>
  <c r="D248" i="7"/>
  <c r="D106" i="7"/>
  <c r="D35" i="7"/>
  <c r="F177" i="7"/>
  <c r="F248" i="7"/>
  <c r="F390" i="7"/>
  <c r="F106" i="7"/>
  <c r="F319" i="7"/>
  <c r="F35" i="7"/>
  <c r="F55" i="12" l="1"/>
  <c r="B55" i="12" s="1"/>
  <c r="H55" i="12"/>
  <c r="D55" i="12" s="1"/>
  <c r="G54" i="12"/>
  <c r="C54" i="12" s="1"/>
  <c r="G55" i="12"/>
  <c r="C55" i="12" s="1"/>
  <c r="F178" i="7"/>
  <c r="F107" i="7"/>
  <c r="F36" i="7"/>
  <c r="F320" i="7"/>
  <c r="F249" i="7"/>
  <c r="F391" i="7"/>
  <c r="D249" i="7"/>
  <c r="D107" i="7"/>
  <c r="D320" i="7"/>
  <c r="D36" i="7"/>
  <c r="D391" i="7"/>
  <c r="D178" i="7"/>
  <c r="E106" i="7"/>
  <c r="E390" i="7"/>
  <c r="E319" i="7"/>
  <c r="E248" i="7"/>
  <c r="E35" i="7"/>
  <c r="E177" i="7"/>
  <c r="F56" i="12" l="1"/>
  <c r="B56" i="12" s="1"/>
  <c r="H56" i="12"/>
  <c r="D56" i="12" s="1"/>
  <c r="G56" i="12"/>
  <c r="C56" i="12" s="1"/>
  <c r="D321" i="7"/>
  <c r="D37" i="7"/>
  <c r="D250" i="7"/>
  <c r="D108" i="7"/>
  <c r="D392" i="7"/>
  <c r="D179" i="7"/>
  <c r="F179" i="7"/>
  <c r="F250" i="7"/>
  <c r="F108" i="7"/>
  <c r="F37" i="7"/>
  <c r="F321" i="7"/>
  <c r="F392" i="7"/>
  <c r="E107" i="7"/>
  <c r="E249" i="7"/>
  <c r="E391" i="7"/>
  <c r="E320" i="7"/>
  <c r="E178" i="7"/>
  <c r="E36" i="7"/>
  <c r="F57" i="12" l="1"/>
  <c r="B57" i="12" s="1"/>
  <c r="H57" i="12"/>
  <c r="D57" i="12" s="1"/>
  <c r="F109" i="7"/>
  <c r="F180" i="7"/>
  <c r="F322" i="7"/>
  <c r="F393" i="7"/>
  <c r="F38" i="7"/>
  <c r="F251" i="7"/>
  <c r="E108" i="7"/>
  <c r="E37" i="7"/>
  <c r="E250" i="7"/>
  <c r="E179" i="7"/>
  <c r="E392" i="7"/>
  <c r="E321" i="7"/>
  <c r="D322" i="7"/>
  <c r="D38" i="7"/>
  <c r="D180" i="7"/>
  <c r="D109" i="7"/>
  <c r="D251" i="7"/>
  <c r="D393" i="7"/>
  <c r="G57" i="12"/>
  <c r="C57" i="12" s="1"/>
  <c r="F58" i="12" l="1"/>
  <c r="B58" i="12" s="1"/>
  <c r="H58" i="12"/>
  <c r="D58" i="12" s="1"/>
  <c r="D39" i="7"/>
  <c r="D181" i="7"/>
  <c r="D323" i="7"/>
  <c r="D110" i="7"/>
  <c r="D252" i="7"/>
  <c r="D394" i="7"/>
  <c r="F323" i="7"/>
  <c r="F252" i="7"/>
  <c r="F39" i="7"/>
  <c r="F110" i="7"/>
  <c r="F181" i="7"/>
  <c r="F394" i="7"/>
  <c r="E393" i="7"/>
  <c r="E251" i="7"/>
  <c r="E322" i="7"/>
  <c r="E38" i="7"/>
  <c r="E109" i="7"/>
  <c r="E180" i="7"/>
  <c r="G58" i="12"/>
  <c r="C58" i="12" s="1"/>
  <c r="F59" i="12" l="1"/>
  <c r="B59" i="12" s="1"/>
  <c r="H59" i="12"/>
  <c r="D59" i="12" s="1"/>
  <c r="D253" i="7"/>
  <c r="D395" i="7"/>
  <c r="D324" i="7"/>
  <c r="D40" i="7"/>
  <c r="D182" i="7"/>
  <c r="D111" i="7"/>
  <c r="F182" i="7"/>
  <c r="F395" i="7"/>
  <c r="F324" i="7"/>
  <c r="F253" i="7"/>
  <c r="F40" i="7"/>
  <c r="F111" i="7"/>
  <c r="E110" i="7"/>
  <c r="E252" i="7"/>
  <c r="E39" i="7"/>
  <c r="E394" i="7"/>
  <c r="E181" i="7"/>
  <c r="E323" i="7"/>
  <c r="F60" i="12" l="1"/>
  <c r="B60" i="12" s="1"/>
  <c r="G59" i="12"/>
  <c r="C59" i="12" s="1"/>
  <c r="H60" i="12"/>
  <c r="D60" i="12" s="1"/>
  <c r="F112" i="7"/>
  <c r="F325" i="7"/>
  <c r="F254" i="7"/>
  <c r="F396" i="7"/>
  <c r="F183" i="7"/>
  <c r="F41" i="7"/>
  <c r="E324" i="7"/>
  <c r="E111" i="7"/>
  <c r="E40" i="7"/>
  <c r="E253" i="7"/>
  <c r="E182" i="7"/>
  <c r="E395" i="7"/>
  <c r="D112" i="7"/>
  <c r="D254" i="7"/>
  <c r="D325" i="7"/>
  <c r="D396" i="7"/>
  <c r="D41" i="7"/>
  <c r="D183" i="7"/>
  <c r="F61" i="12" l="1"/>
  <c r="B61" i="12" s="1"/>
  <c r="G60" i="12"/>
  <c r="C60" i="12" s="1"/>
  <c r="H61" i="12"/>
  <c r="D61" i="12" s="1"/>
  <c r="D113" i="7"/>
  <c r="D397" i="7"/>
  <c r="D326" i="7"/>
  <c r="D42" i="7"/>
  <c r="D255" i="7"/>
  <c r="D184" i="7"/>
  <c r="F42" i="7"/>
  <c r="F113" i="7"/>
  <c r="F397" i="7"/>
  <c r="F184" i="7"/>
  <c r="F255" i="7"/>
  <c r="F326" i="7"/>
  <c r="E112" i="7"/>
  <c r="E254" i="7"/>
  <c r="E325" i="7"/>
  <c r="E396" i="7"/>
  <c r="E183" i="7"/>
  <c r="E41" i="7"/>
  <c r="F62" i="12" l="1"/>
  <c r="B62" i="12" s="1"/>
  <c r="G61" i="12"/>
  <c r="C61" i="12" s="1"/>
  <c r="H62" i="12"/>
  <c r="D62" i="12" s="1"/>
  <c r="E397" i="7"/>
  <c r="E326" i="7"/>
  <c r="E42" i="7"/>
  <c r="E113" i="7"/>
  <c r="E255" i="7"/>
  <c r="E184" i="7"/>
  <c r="G62" i="12"/>
  <c r="C62" i="12" s="1"/>
  <c r="D43" i="7"/>
  <c r="D185" i="7"/>
  <c r="D398" i="7"/>
  <c r="D327" i="7"/>
  <c r="D114" i="7"/>
  <c r="D256" i="7"/>
  <c r="F256" i="7"/>
  <c r="F398" i="7"/>
  <c r="F185" i="7"/>
  <c r="F114" i="7"/>
  <c r="F43" i="7"/>
  <c r="F327" i="7"/>
  <c r="F63" i="12" l="1"/>
  <c r="B63" i="12" s="1"/>
  <c r="H63" i="12"/>
  <c r="D63" i="12" s="1"/>
  <c r="D257" i="7"/>
  <c r="D186" i="7"/>
  <c r="D44" i="7"/>
  <c r="D399" i="7"/>
  <c r="D115" i="7"/>
  <c r="D328" i="7"/>
  <c r="E43" i="7"/>
  <c r="E185" i="7"/>
  <c r="E327" i="7"/>
  <c r="E256" i="7"/>
  <c r="E398" i="7"/>
  <c r="E114" i="7"/>
  <c r="G63" i="12"/>
  <c r="C63" i="12" s="1"/>
  <c r="F115" i="7"/>
  <c r="F186" i="7"/>
  <c r="F399" i="7"/>
  <c r="F257" i="7"/>
  <c r="F328" i="7"/>
  <c r="F44" i="7"/>
  <c r="F64" i="12" l="1"/>
  <c r="B64" i="12" s="1"/>
  <c r="H64" i="12"/>
  <c r="D64" i="12" s="1"/>
  <c r="D116" i="7"/>
  <c r="D400" i="7"/>
  <c r="D258" i="7"/>
  <c r="D329" i="7"/>
  <c r="D187" i="7"/>
  <c r="D45" i="7"/>
  <c r="G64" i="12"/>
  <c r="C64" i="12" s="1"/>
  <c r="F258" i="7"/>
  <c r="F329" i="7"/>
  <c r="F400" i="7"/>
  <c r="F187" i="7"/>
  <c r="F45" i="7"/>
  <c r="F116" i="7"/>
  <c r="E399" i="7"/>
  <c r="E115" i="7"/>
  <c r="E257" i="7"/>
  <c r="E44" i="7"/>
  <c r="E328" i="7"/>
  <c r="E186" i="7"/>
  <c r="F65" i="12" l="1"/>
  <c r="B65" i="12" s="1"/>
  <c r="H65" i="12"/>
  <c r="D65" i="12" s="1"/>
  <c r="F188" i="7"/>
  <c r="F401" i="7"/>
  <c r="F117" i="7"/>
  <c r="F330" i="7"/>
  <c r="F259" i="7"/>
  <c r="F46" i="7"/>
  <c r="E45" i="7"/>
  <c r="E116" i="7"/>
  <c r="E187" i="7"/>
  <c r="E329" i="7"/>
  <c r="E400" i="7"/>
  <c r="E258" i="7"/>
  <c r="G65" i="12"/>
  <c r="C65" i="12" s="1"/>
  <c r="D46" i="7"/>
  <c r="D117" i="7"/>
  <c r="D330" i="7"/>
  <c r="D259" i="7"/>
  <c r="D188" i="7"/>
  <c r="D401" i="7"/>
  <c r="H66" i="12" l="1"/>
  <c r="D66" i="12" s="1"/>
  <c r="F66" i="12"/>
  <c r="B66" i="12" s="1"/>
  <c r="G66" i="12"/>
  <c r="C66" i="12" s="1"/>
  <c r="E46" i="7"/>
  <c r="E117" i="7"/>
  <c r="E330" i="7"/>
  <c r="E259" i="7"/>
  <c r="E188" i="7"/>
  <c r="E401" i="7"/>
  <c r="F331" i="7"/>
  <c r="F260" i="7"/>
  <c r="F402" i="7"/>
  <c r="F189" i="7"/>
  <c r="F47" i="7"/>
  <c r="F118" i="7"/>
  <c r="D47" i="7"/>
  <c r="D260" i="7"/>
  <c r="D402" i="7"/>
  <c r="D118" i="7"/>
  <c r="D189" i="7"/>
  <c r="D331" i="7"/>
  <c r="F67" i="12" l="1"/>
  <c r="B67" i="12" s="1"/>
  <c r="H67" i="12"/>
  <c r="D67" i="12" s="1"/>
  <c r="F119" i="7"/>
  <c r="F332" i="7"/>
  <c r="F261" i="7"/>
  <c r="F403" i="7"/>
  <c r="F190" i="7"/>
  <c r="F48" i="7"/>
  <c r="E189" i="7"/>
  <c r="E260" i="7"/>
  <c r="E402" i="7"/>
  <c r="E118" i="7"/>
  <c r="E47" i="7"/>
  <c r="E331" i="7"/>
  <c r="D48" i="7"/>
  <c r="D119" i="7"/>
  <c r="D190" i="7"/>
  <c r="D332" i="7"/>
  <c r="D403" i="7"/>
  <c r="D261" i="7"/>
  <c r="F68" i="12" l="1"/>
  <c r="B68" i="12" s="1"/>
  <c r="G67" i="12"/>
  <c r="C67" i="12" s="1"/>
  <c r="H68" i="12"/>
  <c r="D68" i="12" s="1"/>
  <c r="D120" i="7"/>
  <c r="D333" i="7"/>
  <c r="D191" i="7"/>
  <c r="D262" i="7"/>
  <c r="D49" i="7"/>
  <c r="D404" i="7"/>
  <c r="E190" i="7"/>
  <c r="E403" i="7"/>
  <c r="E261" i="7"/>
  <c r="E332" i="7"/>
  <c r="E48" i="7"/>
  <c r="E119" i="7"/>
  <c r="F120" i="7"/>
  <c r="F404" i="7"/>
  <c r="F49" i="7"/>
  <c r="F262" i="7"/>
  <c r="F333" i="7"/>
  <c r="F191" i="7"/>
  <c r="F69" i="12" l="1"/>
  <c r="B69" i="12" s="1"/>
  <c r="H69" i="12"/>
  <c r="D69" i="12" s="1"/>
  <c r="G68" i="12"/>
  <c r="C68" i="12" s="1"/>
  <c r="E191" i="7"/>
  <c r="E49" i="7"/>
  <c r="E333" i="7"/>
  <c r="E262" i="7"/>
  <c r="E120" i="7"/>
  <c r="E404" i="7"/>
  <c r="F263" i="7"/>
  <c r="F192" i="7"/>
  <c r="F405" i="7"/>
  <c r="F121" i="7"/>
  <c r="F334" i="7"/>
  <c r="F50" i="7"/>
  <c r="D405" i="7"/>
  <c r="D50" i="7"/>
  <c r="D334" i="7"/>
  <c r="D121" i="7"/>
  <c r="D192" i="7"/>
  <c r="D263" i="7"/>
  <c r="H70" i="12" l="1"/>
  <c r="D70" i="12" s="1"/>
  <c r="F70" i="12"/>
  <c r="B70" i="12" s="1"/>
  <c r="G69" i="12"/>
  <c r="C69" i="12" s="1"/>
  <c r="F406" i="7"/>
  <c r="F335" i="7"/>
  <c r="F264" i="7"/>
  <c r="F193" i="7"/>
  <c r="F122" i="7"/>
  <c r="F51" i="7"/>
  <c r="E121" i="7"/>
  <c r="E192" i="7"/>
  <c r="E50" i="7"/>
  <c r="E334" i="7"/>
  <c r="E263" i="7"/>
  <c r="E405" i="7"/>
  <c r="D122" i="7"/>
  <c r="D193" i="7"/>
  <c r="D406" i="7"/>
  <c r="D264" i="7"/>
  <c r="D335" i="7"/>
  <c r="D51" i="7"/>
  <c r="F71" i="12" l="1"/>
  <c r="B71" i="12" s="1"/>
  <c r="H71" i="12"/>
  <c r="D71" i="12" s="1"/>
  <c r="G70" i="12"/>
  <c r="C70" i="12" s="1"/>
  <c r="F265" i="7"/>
  <c r="F407" i="7"/>
  <c r="F52" i="7"/>
  <c r="F194" i="7"/>
  <c r="F123" i="7"/>
  <c r="F336" i="7"/>
  <c r="D194" i="7"/>
  <c r="D407" i="7"/>
  <c r="D265" i="7"/>
  <c r="D336" i="7"/>
  <c r="D52" i="7"/>
  <c r="D123" i="7"/>
  <c r="E51" i="7"/>
  <c r="E335" i="7"/>
  <c r="E193" i="7"/>
  <c r="E264" i="7"/>
  <c r="E122" i="7"/>
  <c r="E406" i="7"/>
  <c r="F72" i="12" l="1"/>
  <c r="B72" i="12" s="1"/>
  <c r="H72" i="12"/>
  <c r="D72" i="12" s="1"/>
  <c r="G71" i="12"/>
  <c r="C71" i="12" s="1"/>
  <c r="E123" i="7"/>
  <c r="E265" i="7"/>
  <c r="E407" i="7"/>
  <c r="E336" i="7"/>
  <c r="E194" i="7"/>
  <c r="E52" i="7"/>
  <c r="F337" i="7"/>
  <c r="F53" i="7"/>
  <c r="F266" i="7"/>
  <c r="F408" i="7"/>
  <c r="F124" i="7"/>
  <c r="F195" i="7"/>
  <c r="D408" i="7"/>
  <c r="D266" i="7"/>
  <c r="D53" i="7"/>
  <c r="D124" i="7"/>
  <c r="D337" i="7"/>
  <c r="D195" i="7"/>
  <c r="F73" i="12" l="1"/>
  <c r="B73" i="12" s="1"/>
  <c r="H73" i="12"/>
  <c r="D73" i="12" s="1"/>
  <c r="G72" i="12"/>
  <c r="C72" i="12" s="1"/>
  <c r="D267" i="7"/>
  <c r="D409" i="7"/>
  <c r="D338" i="7"/>
  <c r="D54" i="7"/>
  <c r="D125" i="7"/>
  <c r="D196" i="7"/>
  <c r="F54" i="7"/>
  <c r="F196" i="7"/>
  <c r="F409" i="7"/>
  <c r="F267" i="7"/>
  <c r="F338" i="7"/>
  <c r="F125" i="7"/>
  <c r="E53" i="7"/>
  <c r="E266" i="7"/>
  <c r="E408" i="7"/>
  <c r="E124" i="7"/>
  <c r="E337" i="7"/>
  <c r="E195" i="7"/>
  <c r="F74" i="12" l="1"/>
  <c r="B74" i="12" s="1"/>
  <c r="H74" i="12"/>
  <c r="D74" i="12" s="1"/>
  <c r="G73" i="12"/>
  <c r="C73" i="12" s="1"/>
  <c r="F55" i="7"/>
  <c r="F197" i="7"/>
  <c r="F339" i="7"/>
  <c r="F410" i="7"/>
  <c r="F268" i="7"/>
  <c r="F126" i="7"/>
  <c r="D268" i="7"/>
  <c r="D55" i="7"/>
  <c r="D410" i="7"/>
  <c r="D197" i="7"/>
  <c r="D339" i="7"/>
  <c r="D126" i="7"/>
  <c r="E409" i="7"/>
  <c r="E54" i="7"/>
  <c r="E338" i="7"/>
  <c r="E267" i="7"/>
  <c r="E196" i="7"/>
  <c r="E125" i="7"/>
  <c r="F75" i="12" l="1"/>
  <c r="B75" i="12" s="1"/>
  <c r="H75" i="12"/>
  <c r="D75" i="12" s="1"/>
  <c r="G74" i="12"/>
  <c r="C74" i="12" s="1"/>
  <c r="E268" i="7"/>
  <c r="E126" i="7"/>
  <c r="E410" i="7"/>
  <c r="E339" i="7"/>
  <c r="E197" i="7"/>
  <c r="E55" i="7"/>
  <c r="D56" i="7"/>
  <c r="D198" i="7"/>
  <c r="D340" i="7"/>
  <c r="D411" i="7"/>
  <c r="D269" i="7"/>
  <c r="D127" i="7"/>
  <c r="F411" i="7"/>
  <c r="F198" i="7"/>
  <c r="F340" i="7"/>
  <c r="F56" i="7"/>
  <c r="F269" i="7"/>
  <c r="F127" i="7"/>
  <c r="F76" i="12" l="1"/>
  <c r="B76" i="12" s="1"/>
  <c r="H76" i="12"/>
  <c r="D76" i="12" s="1"/>
  <c r="G75" i="12"/>
  <c r="C75" i="12" s="1"/>
  <c r="E198" i="7"/>
  <c r="E340" i="7"/>
  <c r="E269" i="7"/>
  <c r="E411" i="7"/>
  <c r="E56" i="7"/>
  <c r="E127" i="7"/>
  <c r="F270" i="7"/>
  <c r="F412" i="7"/>
  <c r="F57" i="7"/>
  <c r="F128" i="7"/>
  <c r="F341" i="7"/>
  <c r="F199" i="7"/>
  <c r="D270" i="7"/>
  <c r="D341" i="7"/>
  <c r="D57" i="7"/>
  <c r="D128" i="7"/>
  <c r="D412" i="7"/>
  <c r="D199" i="7"/>
  <c r="F77" i="12" l="1"/>
  <c r="B77" i="12" s="1"/>
  <c r="H77" i="12"/>
  <c r="D77" i="12" s="1"/>
  <c r="G76" i="12"/>
  <c r="C76" i="12" s="1"/>
  <c r="F129" i="7"/>
  <c r="F413" i="7"/>
  <c r="F342" i="7"/>
  <c r="F200" i="7"/>
  <c r="F58" i="7"/>
  <c r="F271" i="7"/>
  <c r="E341" i="7"/>
  <c r="E412" i="7"/>
  <c r="E57" i="7"/>
  <c r="E270" i="7"/>
  <c r="E199" i="7"/>
  <c r="E128" i="7"/>
  <c r="D271" i="7"/>
  <c r="D413" i="7"/>
  <c r="D200" i="7"/>
  <c r="D342" i="7"/>
  <c r="D58" i="7"/>
  <c r="D129" i="7"/>
  <c r="F78" i="12" l="1"/>
  <c r="B78" i="12" s="1"/>
  <c r="H78" i="12"/>
  <c r="D78" i="12" s="1"/>
  <c r="G77" i="12"/>
  <c r="C77" i="12" s="1"/>
  <c r="D201" i="7"/>
  <c r="D272" i="7"/>
  <c r="D59" i="7"/>
  <c r="D414" i="7"/>
  <c r="D130" i="7"/>
  <c r="D343" i="7"/>
  <c r="F201" i="7"/>
  <c r="F130" i="7"/>
  <c r="F272" i="7"/>
  <c r="F414" i="7"/>
  <c r="F343" i="7"/>
  <c r="F59" i="7"/>
  <c r="E342" i="7"/>
  <c r="E129" i="7"/>
  <c r="E58" i="7"/>
  <c r="E200" i="7"/>
  <c r="E271" i="7"/>
  <c r="E413" i="7"/>
  <c r="F79" i="12" l="1"/>
  <c r="B79" i="12" s="1"/>
  <c r="H79" i="12"/>
  <c r="D79" i="12" s="1"/>
  <c r="G78" i="12"/>
  <c r="C78" i="12" s="1"/>
  <c r="D273" i="7"/>
  <c r="D131" i="7"/>
  <c r="D415" i="7"/>
  <c r="D60" i="7"/>
  <c r="D202" i="7"/>
  <c r="D344" i="7"/>
  <c r="F131" i="7"/>
  <c r="F273" i="7"/>
  <c r="F60" i="7"/>
  <c r="F415" i="7"/>
  <c r="F202" i="7"/>
  <c r="F344" i="7"/>
  <c r="E201" i="7"/>
  <c r="E130" i="7"/>
  <c r="E272" i="7"/>
  <c r="E414" i="7"/>
  <c r="E59" i="7"/>
  <c r="E343" i="7"/>
  <c r="F80" i="12" l="1"/>
  <c r="B80" i="12" s="1"/>
  <c r="H80" i="12"/>
  <c r="D80" i="12" s="1"/>
  <c r="G79" i="12"/>
  <c r="C79" i="12" s="1"/>
  <c r="E60" i="7"/>
  <c r="E344" i="7"/>
  <c r="E415" i="7"/>
  <c r="E131" i="7"/>
  <c r="E273" i="7"/>
  <c r="E202" i="7"/>
  <c r="F274" i="7"/>
  <c r="F203" i="7"/>
  <c r="F61" i="7"/>
  <c r="F345" i="7"/>
  <c r="F416" i="7"/>
  <c r="F132" i="7"/>
  <c r="D345" i="7"/>
  <c r="D132" i="7"/>
  <c r="D61" i="7"/>
  <c r="D203" i="7"/>
  <c r="D274" i="7"/>
  <c r="D416" i="7"/>
  <c r="G80" i="12" l="1"/>
  <c r="C80" i="12" s="1"/>
  <c r="E274" i="7"/>
  <c r="E345" i="7"/>
  <c r="E61" i="7"/>
  <c r="E416" i="7"/>
  <c r="E132" i="7"/>
  <c r="E203" i="7"/>
  <c r="F81" i="12" l="1"/>
  <c r="B81" i="12" s="1"/>
  <c r="H81" i="12"/>
  <c r="D81" i="12" s="1"/>
  <c r="D275" i="7"/>
  <c r="D62" i="7"/>
  <c r="D204" i="7"/>
  <c r="D417" i="7"/>
  <c r="D133" i="7"/>
  <c r="D346" i="7"/>
  <c r="F62" i="7"/>
  <c r="F133" i="7"/>
  <c r="F346" i="7"/>
  <c r="F275" i="7"/>
  <c r="F417" i="7"/>
  <c r="F204" i="7"/>
  <c r="G81" i="12" l="1"/>
  <c r="C81" i="12" s="1"/>
  <c r="E276" i="7"/>
  <c r="E418" i="7"/>
  <c r="E205" i="7"/>
  <c r="E63" i="7"/>
  <c r="E134" i="7"/>
  <c r="E347" i="7"/>
  <c r="E133" i="7"/>
  <c r="E346" i="7"/>
  <c r="E275" i="7"/>
  <c r="E417" i="7"/>
  <c r="E204" i="7"/>
  <c r="E62" i="7"/>
  <c r="F134" i="7"/>
  <c r="F205" i="7"/>
  <c r="F347" i="7"/>
  <c r="F276" i="7"/>
  <c r="F418" i="7"/>
  <c r="F63" i="7"/>
  <c r="D418" i="7"/>
  <c r="D63" i="7"/>
  <c r="D134" i="7"/>
  <c r="D347" i="7"/>
  <c r="D205" i="7"/>
  <c r="D276" i="7"/>
  <c r="E135" i="7" l="1"/>
  <c r="E419" i="7"/>
  <c r="E348" i="7"/>
  <c r="E206" i="7"/>
  <c r="E277" i="7"/>
  <c r="E64" i="7"/>
  <c r="F135" i="7"/>
  <c r="F64" i="7"/>
  <c r="F419" i="7"/>
  <c r="F348" i="7"/>
  <c r="F206" i="7"/>
  <c r="F277" i="7"/>
  <c r="D64" i="7"/>
  <c r="D277" i="7"/>
  <c r="D419" i="7"/>
  <c r="D206" i="7"/>
  <c r="D348" i="7"/>
  <c r="D135" i="7"/>
  <c r="D349" i="7" l="1"/>
  <c r="D65" i="7"/>
  <c r="D420" i="7"/>
  <c r="D278" i="7"/>
  <c r="D207" i="7"/>
  <c r="D136" i="7"/>
  <c r="F278" i="7"/>
  <c r="F136" i="7"/>
  <c r="F65" i="7"/>
  <c r="F420" i="7"/>
  <c r="F207" i="7"/>
  <c r="F349" i="7"/>
  <c r="E207" i="7"/>
  <c r="E136" i="7"/>
  <c r="E278" i="7"/>
  <c r="E349" i="7"/>
  <c r="E420" i="7"/>
  <c r="E65" i="7"/>
  <c r="E350" i="7" l="1"/>
  <c r="E208" i="7"/>
  <c r="E137" i="7"/>
  <c r="E421" i="7"/>
  <c r="E279" i="7"/>
  <c r="E66" i="7"/>
  <c r="D137" i="7"/>
  <c r="D350" i="7"/>
  <c r="D421" i="7"/>
  <c r="D66" i="7"/>
  <c r="D279" i="7"/>
  <c r="D208" i="7"/>
  <c r="F279" i="7"/>
  <c r="F66" i="7"/>
  <c r="F421" i="7"/>
  <c r="F137" i="7"/>
  <c r="F350" i="7"/>
  <c r="F208" i="7"/>
  <c r="D280" i="7" l="1"/>
  <c r="D67" i="7"/>
  <c r="D422" i="7"/>
  <c r="D351" i="7"/>
  <c r="D209" i="7"/>
  <c r="D138" i="7"/>
  <c r="F138" i="7"/>
  <c r="F280" i="7"/>
  <c r="F67" i="7"/>
  <c r="F351" i="7"/>
  <c r="F422" i="7"/>
  <c r="F209" i="7"/>
  <c r="E351" i="7"/>
  <c r="E209" i="7"/>
  <c r="E422" i="7"/>
  <c r="E67" i="7"/>
  <c r="E280" i="7"/>
  <c r="E138" i="7"/>
  <c r="D423" i="7" l="1"/>
  <c r="D139" i="7"/>
  <c r="D68" i="7"/>
  <c r="D210" i="7"/>
  <c r="D352" i="7"/>
  <c r="D281" i="7"/>
  <c r="F210" i="7"/>
  <c r="F281" i="7"/>
  <c r="F352" i="7"/>
  <c r="F139" i="7"/>
  <c r="F423" i="7"/>
  <c r="F68" i="7"/>
  <c r="E352" i="7"/>
  <c r="E68" i="7"/>
  <c r="E210" i="7"/>
  <c r="E139" i="7"/>
  <c r="E281" i="7"/>
  <c r="E423" i="7"/>
  <c r="F424" i="7" l="1"/>
  <c r="F140" i="7"/>
  <c r="F282" i="7"/>
  <c r="F353" i="7"/>
  <c r="F69" i="7"/>
  <c r="F211" i="7"/>
  <c r="E353" i="7"/>
  <c r="E140" i="7"/>
  <c r="E211" i="7"/>
  <c r="E69" i="7"/>
  <c r="E424" i="7"/>
  <c r="E282" i="7"/>
  <c r="D353" i="7"/>
  <c r="D282" i="7"/>
  <c r="D211" i="7"/>
  <c r="D69" i="7"/>
  <c r="D424" i="7"/>
  <c r="D140" i="7"/>
  <c r="E283" i="7" l="1"/>
  <c r="E354" i="7"/>
  <c r="E70" i="7"/>
  <c r="E212" i="7"/>
  <c r="E141" i="7"/>
  <c r="E425" i="7"/>
  <c r="F141" i="7"/>
  <c r="F283" i="7"/>
  <c r="F425" i="7"/>
  <c r="F212" i="7"/>
  <c r="F354" i="7"/>
  <c r="F70" i="7"/>
  <c r="D212" i="7"/>
  <c r="D425" i="7"/>
  <c r="D354" i="7"/>
  <c r="D141" i="7"/>
  <c r="D70" i="7"/>
  <c r="D283" i="7"/>
  <c r="D71" i="7" l="1"/>
  <c r="D284" i="7"/>
  <c r="D426" i="7"/>
  <c r="D355" i="7"/>
  <c r="D213" i="7"/>
  <c r="D142" i="7"/>
  <c r="F71" i="7"/>
  <c r="F284" i="7"/>
  <c r="F142" i="7"/>
  <c r="F355" i="7"/>
  <c r="F426" i="7"/>
  <c r="F213" i="7"/>
  <c r="E71" i="7"/>
  <c r="E426" i="7"/>
  <c r="E213" i="7"/>
  <c r="E142" i="7"/>
  <c r="E284" i="7"/>
  <c r="E355" i="7"/>
  <c r="E143" i="7" l="1"/>
  <c r="E72" i="7"/>
  <c r="E427" i="7"/>
  <c r="E356" i="7"/>
  <c r="E214" i="7"/>
  <c r="E285" i="7"/>
  <c r="F72" i="7"/>
  <c r="F427" i="7"/>
  <c r="F356" i="7"/>
  <c r="F214" i="7"/>
  <c r="F285" i="7"/>
  <c r="F143" i="7"/>
  <c r="D285" i="7"/>
  <c r="D214" i="7"/>
  <c r="D356" i="7"/>
  <c r="D143" i="7"/>
  <c r="D72" i="7"/>
  <c r="D427" i="7"/>
</calcChain>
</file>

<file path=xl/comments1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1:</t>
        </r>
        <r>
          <rPr>
            <sz val="9"/>
            <color indexed="81"/>
            <rFont val="宋体"/>
            <family val="3"/>
            <charset val="134"/>
          </rPr>
          <t xml:space="preserve">单人活动
</t>
        </r>
        <r>
          <rPr>
            <sz val="9"/>
            <color indexed="81"/>
            <rFont val="Tahoma"/>
            <family val="2"/>
          </rPr>
          <t>2:</t>
        </r>
        <r>
          <rPr>
            <sz val="9"/>
            <color indexed="81"/>
            <rFont val="宋体"/>
            <family val="3"/>
            <charset val="134"/>
          </rPr>
          <t xml:space="preserve">多人活动
</t>
        </r>
        <r>
          <rPr>
            <sz val="9"/>
            <color indexed="81"/>
            <rFont val="Tahoma"/>
            <family val="2"/>
          </rPr>
          <t>3:</t>
        </r>
        <r>
          <rPr>
            <sz val="9"/>
            <color indexed="81"/>
            <rFont val="宋体"/>
            <family val="3"/>
            <charset val="134"/>
          </rPr>
          <t>限时活动</t>
        </r>
      </text>
    </comment>
  </commentList>
</comments>
</file>

<file path=xl/comments2.xml><?xml version="1.0" encoding="utf-8"?>
<comments xmlns="http://schemas.openxmlformats.org/spreadsheetml/2006/main">
  <authors>
    <author>林峻Tyler</author>
  </authors>
  <commentLis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1普通
2精英(小BOSS)
3普通BOSS
4白银BOSS(世界BOSS)
5战斗npc（头顶无血条，没有头像）
6副本npc（头顶无血条，没有头像）</t>
        </r>
      </text>
    </comment>
  </commentList>
</comments>
</file>

<file path=xl/comments3.xml><?xml version="1.0" encoding="utf-8"?>
<comments xmlns="http://schemas.openxmlformats.org/spreadsheetml/2006/main">
  <authors>
    <author>bobuchen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给奖励表读取</t>
        </r>
      </text>
    </comment>
  </commentList>
</comments>
</file>

<file path=xl/sharedStrings.xml><?xml version="1.0" encoding="utf-8"?>
<sst xmlns="http://schemas.openxmlformats.org/spreadsheetml/2006/main" count="291" uniqueCount="271">
  <si>
    <t>活动ID</t>
    <phoneticPr fontId="1" type="noConversion"/>
  </si>
  <si>
    <t>活动名称</t>
    <phoneticPr fontId="1" type="noConversion"/>
  </si>
  <si>
    <t>排序序号</t>
    <phoneticPr fontId="1" type="noConversion"/>
  </si>
  <si>
    <t>IconID</t>
    <phoneticPr fontId="1" type="noConversion"/>
  </si>
  <si>
    <t>活动类型</t>
    <phoneticPr fontId="1" type="noConversion"/>
  </si>
  <si>
    <t>消耗体力</t>
    <phoneticPr fontId="1" type="noConversion"/>
  </si>
  <si>
    <t>开启等级</t>
    <phoneticPr fontId="1" type="noConversion"/>
  </si>
  <si>
    <t>活动描述</t>
    <phoneticPr fontId="1" type="noConversion"/>
  </si>
  <si>
    <t>奖励描述</t>
    <phoneticPr fontId="1" type="noConversion"/>
  </si>
  <si>
    <t>开启日描述</t>
    <phoneticPr fontId="1" type="noConversion"/>
  </si>
  <si>
    <t>开启时间描述</t>
    <phoneticPr fontId="1" type="noConversion"/>
  </si>
  <si>
    <t>通关次数</t>
    <phoneticPr fontId="1" type="noConversion"/>
  </si>
  <si>
    <t>副本组数量</t>
    <phoneticPr fontId="1" type="noConversion"/>
  </si>
  <si>
    <t>副本组1ID</t>
    <phoneticPr fontId="1" type="noConversion"/>
  </si>
  <si>
    <t>副本组2ID</t>
    <phoneticPr fontId="1" type="noConversion"/>
  </si>
  <si>
    <t>副本组3ID</t>
    <phoneticPr fontId="1" type="noConversion"/>
  </si>
  <si>
    <t>副本组4ID</t>
    <phoneticPr fontId="1" type="noConversion"/>
  </si>
  <si>
    <t>副本组5ID</t>
    <phoneticPr fontId="1" type="noConversion"/>
  </si>
  <si>
    <t>副本组6ID</t>
    <phoneticPr fontId="1" type="noConversion"/>
  </si>
  <si>
    <t>副本组7ID</t>
    <phoneticPr fontId="1" type="noConversion"/>
  </si>
  <si>
    <t>副本组8ID</t>
    <phoneticPr fontId="1" type="noConversion"/>
  </si>
  <si>
    <t>副本组9ID</t>
    <phoneticPr fontId="1" type="noConversion"/>
  </si>
  <si>
    <t>副本组10ID</t>
    <phoneticPr fontId="1" type="noConversion"/>
  </si>
  <si>
    <t>副本组11ID</t>
    <phoneticPr fontId="1" type="noConversion"/>
  </si>
  <si>
    <t>副本组12ID</t>
    <phoneticPr fontId="1" type="noConversion"/>
  </si>
  <si>
    <t>副本组13ID</t>
    <phoneticPr fontId="1" type="noConversion"/>
  </si>
  <si>
    <t>副本组14ID</t>
    <phoneticPr fontId="1" type="noConversion"/>
  </si>
  <si>
    <t>副本组15ID</t>
    <phoneticPr fontId="1" type="noConversion"/>
  </si>
  <si>
    <t>开启时间组数量</t>
    <phoneticPr fontId="1" type="noConversion"/>
  </si>
  <si>
    <t>周ID1ID</t>
    <phoneticPr fontId="1" type="noConversion"/>
  </si>
  <si>
    <t>周ID1开启时间小时</t>
    <phoneticPr fontId="1" type="noConversion"/>
  </si>
  <si>
    <t>周ID1开启时间分钟</t>
    <phoneticPr fontId="1" type="noConversion"/>
  </si>
  <si>
    <t>周ID1结束时间小时</t>
    <phoneticPr fontId="1" type="noConversion"/>
  </si>
  <si>
    <t>周ID1结束时间分钟</t>
    <phoneticPr fontId="1" type="noConversion"/>
  </si>
  <si>
    <t>周ID2ID</t>
  </si>
  <si>
    <t>周ID2开启时间小时</t>
    <phoneticPr fontId="1" type="noConversion"/>
  </si>
  <si>
    <t>周ID2开启时间分钟</t>
    <phoneticPr fontId="1" type="noConversion"/>
  </si>
  <si>
    <t>周ID2结束时间小时</t>
    <phoneticPr fontId="1" type="noConversion"/>
  </si>
  <si>
    <t>周ID2结束时间分钟</t>
    <phoneticPr fontId="1" type="noConversion"/>
  </si>
  <si>
    <t>周ID3ID</t>
  </si>
  <si>
    <t>周ID3开启时间小时</t>
    <phoneticPr fontId="1" type="noConversion"/>
  </si>
  <si>
    <t>周ID3开启时间分钟</t>
    <phoneticPr fontId="1" type="noConversion"/>
  </si>
  <si>
    <t>周ID3结束时间小时</t>
    <phoneticPr fontId="1" type="noConversion"/>
  </si>
  <si>
    <t>周ID3结束时间分钟</t>
    <phoneticPr fontId="1" type="noConversion"/>
  </si>
  <si>
    <t>周ID4ID</t>
  </si>
  <si>
    <t>周ID4开启时间小时</t>
    <phoneticPr fontId="1" type="noConversion"/>
  </si>
  <si>
    <t>周ID4开启时间分钟</t>
    <phoneticPr fontId="1" type="noConversion"/>
  </si>
  <si>
    <t>周ID4结束时间小时</t>
    <phoneticPr fontId="1" type="noConversion"/>
  </si>
  <si>
    <t>周ID4结束时间分钟</t>
    <phoneticPr fontId="1" type="noConversion"/>
  </si>
  <si>
    <t>周ID5ID</t>
  </si>
  <si>
    <t>周ID5开启时间小时</t>
    <phoneticPr fontId="1" type="noConversion"/>
  </si>
  <si>
    <t>周ID5开启时间分钟</t>
    <phoneticPr fontId="1" type="noConversion"/>
  </si>
  <si>
    <t>周ID5结束时间小时</t>
    <phoneticPr fontId="1" type="noConversion"/>
  </si>
  <si>
    <t>周ID5结束时间分钟</t>
    <phoneticPr fontId="1" type="noConversion"/>
  </si>
  <si>
    <t>周ID6ID</t>
  </si>
  <si>
    <t>周ID6开启时间小时</t>
    <phoneticPr fontId="1" type="noConversion"/>
  </si>
  <si>
    <t>周ID6开启时间分钟</t>
    <phoneticPr fontId="1" type="noConversion"/>
  </si>
  <si>
    <t>周ID6结束时间小时</t>
    <phoneticPr fontId="1" type="noConversion"/>
  </si>
  <si>
    <t>周ID6结束时间分钟</t>
    <phoneticPr fontId="1" type="noConversion"/>
  </si>
  <si>
    <t>周ID7ID</t>
  </si>
  <si>
    <t>周ID7开启时间小时</t>
    <phoneticPr fontId="1" type="noConversion"/>
  </si>
  <si>
    <t>周ID7开启时间分钟</t>
    <phoneticPr fontId="1" type="noConversion"/>
  </si>
  <si>
    <t>周ID7结束时间小时</t>
    <phoneticPr fontId="1" type="noConversion"/>
  </si>
  <si>
    <t>周ID7结束时间分钟</t>
    <phoneticPr fontId="1" type="noConversion"/>
  </si>
  <si>
    <t>周ID8ID</t>
  </si>
  <si>
    <t>周ID8开启时间小时</t>
    <phoneticPr fontId="1" type="noConversion"/>
  </si>
  <si>
    <t>周ID8开启时间分钟</t>
    <phoneticPr fontId="1" type="noConversion"/>
  </si>
  <si>
    <t>周ID8结束时间小时</t>
    <phoneticPr fontId="1" type="noConversion"/>
  </si>
  <si>
    <t>周ID8结束时间分钟</t>
    <phoneticPr fontId="1" type="noConversion"/>
  </si>
  <si>
    <t>周ID9ID</t>
  </si>
  <si>
    <t>周ID9开启时间小时</t>
    <phoneticPr fontId="1" type="noConversion"/>
  </si>
  <si>
    <t>周ID9开启时间分钟</t>
    <phoneticPr fontId="1" type="noConversion"/>
  </si>
  <si>
    <t>周ID9结束时间小时</t>
    <phoneticPr fontId="1" type="noConversion"/>
  </si>
  <si>
    <t>周ID9结束时间分钟</t>
    <phoneticPr fontId="1" type="noConversion"/>
  </si>
  <si>
    <t>周ID10ID</t>
  </si>
  <si>
    <t>周ID10开启时间小时</t>
    <phoneticPr fontId="1" type="noConversion"/>
  </si>
  <si>
    <t>周ID10开启时间分钟</t>
    <phoneticPr fontId="1" type="noConversion"/>
  </si>
  <si>
    <t>周ID10结束时间小时</t>
    <phoneticPr fontId="1" type="noConversion"/>
  </si>
  <si>
    <t>周ID10结束时间分钟</t>
    <phoneticPr fontId="1" type="noConversion"/>
  </si>
  <si>
    <t>周ID11ID</t>
  </si>
  <si>
    <t>周ID11开启时间小时</t>
    <phoneticPr fontId="1" type="noConversion"/>
  </si>
  <si>
    <t>周ID11开启时间分钟</t>
    <phoneticPr fontId="1" type="noConversion"/>
  </si>
  <si>
    <t>周ID11结束时间小时</t>
    <phoneticPr fontId="1" type="noConversion"/>
  </si>
  <si>
    <t>周ID11结束时间分钟</t>
    <phoneticPr fontId="1" type="noConversion"/>
  </si>
  <si>
    <t>周ID12ID</t>
  </si>
  <si>
    <t>周ID12开启时间小时</t>
    <phoneticPr fontId="1" type="noConversion"/>
  </si>
  <si>
    <t>周ID12开启时间分钟</t>
    <phoneticPr fontId="1" type="noConversion"/>
  </si>
  <si>
    <t>周ID12结束时间小时</t>
    <phoneticPr fontId="1" type="noConversion"/>
  </si>
  <si>
    <t>周ID12结束时间分钟</t>
    <phoneticPr fontId="1" type="noConversion"/>
  </si>
  <si>
    <t>周ID13ID</t>
  </si>
  <si>
    <t>周ID13开启时间小时</t>
    <phoneticPr fontId="1" type="noConversion"/>
  </si>
  <si>
    <t>周ID13开启时间分钟</t>
    <phoneticPr fontId="1" type="noConversion"/>
  </si>
  <si>
    <t>周ID13结束时间小时</t>
    <phoneticPr fontId="1" type="noConversion"/>
  </si>
  <si>
    <t>周ID13结束时间分钟</t>
    <phoneticPr fontId="1" type="noConversion"/>
  </si>
  <si>
    <t>周ID14ID</t>
  </si>
  <si>
    <t>周ID14开启时间小时</t>
    <phoneticPr fontId="1" type="noConversion"/>
  </si>
  <si>
    <t>周ID14开启时间分钟</t>
    <phoneticPr fontId="1" type="noConversion"/>
  </si>
  <si>
    <t>周ID14结束时间小时</t>
    <phoneticPr fontId="1" type="noConversion"/>
  </si>
  <si>
    <t>周ID14结束时间分钟</t>
    <phoneticPr fontId="1" type="noConversion"/>
  </si>
  <si>
    <t>Goldcopy.png</t>
    <phoneticPr fontId="1" type="noConversion"/>
  </si>
  <si>
    <t>每天</t>
    <phoneticPr fontId="1" type="noConversion"/>
  </si>
  <si>
    <t>材料副本</t>
    <phoneticPr fontId="1" type="noConversion"/>
  </si>
  <si>
    <t>Materialcopy.png</t>
    <phoneticPr fontId="1" type="noConversion"/>
  </si>
  <si>
    <t>Teamcopy.png</t>
    <phoneticPr fontId="1" type="noConversion"/>
  </si>
  <si>
    <t>Bosscopy.png</t>
    <phoneticPr fontId="1" type="noConversion"/>
  </si>
  <si>
    <t>Towerscopy.png</t>
    <phoneticPr fontId="1" type="noConversion"/>
  </si>
  <si>
    <t>Hero.png</t>
    <phoneticPr fontId="1" type="noConversion"/>
  </si>
  <si>
    <t>Dragoncopy.png</t>
    <phoneticPr fontId="1" type="noConversion"/>
  </si>
  <si>
    <t>Expcopy.png</t>
    <phoneticPr fontId="1" type="noConversion"/>
  </si>
  <si>
    <t>副本1</t>
    <phoneticPr fontId="1" type="noConversion"/>
  </si>
  <si>
    <t>副本2</t>
    <phoneticPr fontId="1" type="noConversion"/>
  </si>
  <si>
    <t>副本3</t>
  </si>
  <si>
    <t>副本4</t>
  </si>
  <si>
    <t>副本5</t>
  </si>
  <si>
    <t>副本6</t>
  </si>
  <si>
    <t>副本7</t>
  </si>
  <si>
    <t>副本8</t>
  </si>
  <si>
    <t>副本9</t>
  </si>
  <si>
    <t>副本10</t>
  </si>
  <si>
    <t>副本11</t>
  </si>
  <si>
    <t>副本12</t>
  </si>
  <si>
    <t>副本13</t>
  </si>
  <si>
    <t>副本14</t>
  </si>
  <si>
    <t>副本15</t>
  </si>
  <si>
    <t>序号</t>
  </si>
  <si>
    <t>奖励序号</t>
  </si>
  <si>
    <t>关卡ID组</t>
  </si>
  <si>
    <t>关卡1ID</t>
  </si>
  <si>
    <t>关卡2ID</t>
  </si>
  <si>
    <t>关卡3ID</t>
  </si>
  <si>
    <t>关卡4ID</t>
  </si>
  <si>
    <t>关卡5ID</t>
  </si>
  <si>
    <t>关卡6ID</t>
  </si>
  <si>
    <t>关卡7ID</t>
  </si>
  <si>
    <t>关卡8ID</t>
  </si>
  <si>
    <t>关卡9ID</t>
  </si>
  <si>
    <t>关卡10ID</t>
  </si>
  <si>
    <t>关卡11ID</t>
  </si>
  <si>
    <t>关卡12ID</t>
  </si>
  <si>
    <t>等级</t>
  </si>
  <si>
    <t>物品奖励序号</t>
  </si>
  <si>
    <t>等级上限</t>
  </si>
  <si>
    <t>等级下限</t>
  </si>
  <si>
    <t>奖励1</t>
  </si>
  <si>
    <t>奖励2</t>
  </si>
  <si>
    <t>副本组16ID</t>
  </si>
  <si>
    <t>副本组17ID</t>
  </si>
  <si>
    <t>副本组18ID</t>
  </si>
  <si>
    <t>关卡1名字</t>
    <phoneticPr fontId="1" type="noConversion"/>
  </si>
  <si>
    <t>关卡2名字</t>
  </si>
  <si>
    <t>关卡3名字</t>
  </si>
  <si>
    <t>关卡4名字</t>
  </si>
  <si>
    <t>关卡5名字</t>
  </si>
  <si>
    <t>关卡6名字</t>
  </si>
  <si>
    <t>关卡7名字</t>
  </si>
  <si>
    <t>关卡8名字</t>
  </si>
  <si>
    <t>关卡9名字</t>
  </si>
  <si>
    <t>关卡10名字</t>
  </si>
  <si>
    <t>关卡11名字</t>
  </si>
  <si>
    <t>关卡12名字</t>
  </si>
  <si>
    <t>生命系数</t>
    <phoneticPr fontId="1" type="noConversion"/>
  </si>
  <si>
    <t>攻击系数</t>
    <phoneticPr fontId="1" type="noConversion"/>
  </si>
  <si>
    <t>防御系数</t>
    <phoneticPr fontId="1" type="noConversion"/>
  </si>
  <si>
    <t>匹配玩家等级</t>
    <phoneticPr fontId="1" type="noConversion"/>
  </si>
  <si>
    <t>江湖路</t>
    <phoneticPr fontId="1" type="noConversion"/>
  </si>
  <si>
    <t>需要钻石</t>
    <phoneticPr fontId="1" type="noConversion"/>
  </si>
  <si>
    <t>援助次数</t>
    <phoneticPr fontId="1" type="noConversion"/>
  </si>
  <si>
    <t>关卡类型</t>
    <phoneticPr fontId="1" type="noConversion"/>
  </si>
  <si>
    <t>ID</t>
    <phoneticPr fontId="1" type="noConversion"/>
  </si>
  <si>
    <t>参考系</t>
    <phoneticPr fontId="1" type="noConversion"/>
  </si>
  <si>
    <t>金币辅助系数</t>
    <phoneticPr fontId="1" type="noConversion"/>
  </si>
  <si>
    <t>关卡怪等级系数</t>
    <phoneticPr fontId="1" type="noConversion"/>
  </si>
  <si>
    <t>掉落表金币奖励</t>
    <phoneticPr fontId="1" type="noConversion"/>
  </si>
  <si>
    <t>金币奖励</t>
    <phoneticPr fontId="1" type="noConversion"/>
  </si>
  <si>
    <t>序号ID</t>
    <phoneticPr fontId="1" type="noConversion"/>
  </si>
  <si>
    <t>名称</t>
    <phoneticPr fontId="1" type="noConversion"/>
  </si>
  <si>
    <t>模型倍率</t>
    <phoneticPr fontId="1" type="noConversion"/>
  </si>
  <si>
    <t>怪物类型</t>
    <phoneticPr fontId="1" type="noConversion"/>
  </si>
  <si>
    <t>等级</t>
    <phoneticPr fontId="1" type="noConversion"/>
  </si>
  <si>
    <t>avata类型</t>
    <phoneticPr fontId="1" type="noConversion"/>
  </si>
  <si>
    <t>生命值</t>
  </si>
  <si>
    <t>攻击力</t>
  </si>
  <si>
    <t>防御力</t>
  </si>
  <si>
    <t>暴击倍数</t>
  </si>
  <si>
    <t>暴击</t>
  </si>
  <si>
    <t>韧性</t>
  </si>
  <si>
    <t>命中</t>
  </si>
  <si>
    <t>闪避</t>
  </si>
  <si>
    <t>减伤百分比</t>
  </si>
  <si>
    <t>加伤百分比</t>
  </si>
  <si>
    <t>活跃度</t>
  </si>
  <si>
    <t>AI索引</t>
  </si>
  <si>
    <t>对话ID</t>
  </si>
  <si>
    <t>战斗力</t>
  </si>
  <si>
    <t>金币副本</t>
    <phoneticPr fontId="1" type="noConversion"/>
  </si>
  <si>
    <t>组队副本</t>
    <phoneticPr fontId="1" type="noConversion"/>
  </si>
  <si>
    <t>挑战BOSS</t>
    <phoneticPr fontId="1" type="noConversion"/>
  </si>
  <si>
    <t>推塔活动</t>
    <phoneticPr fontId="1" type="noConversion"/>
  </si>
  <si>
    <t>命运副本</t>
    <phoneticPr fontId="1" type="noConversion"/>
  </si>
  <si>
    <t>经验副本</t>
    <phoneticPr fontId="1" type="noConversion"/>
  </si>
  <si>
    <t>可获得大量金币</t>
    <phoneticPr fontId="1" type="noConversion"/>
  </si>
  <si>
    <t>可获得大量金币</t>
    <phoneticPr fontId="1" type="noConversion"/>
  </si>
  <si>
    <t>可获得大量装备材料</t>
    <phoneticPr fontId="1" type="noConversion"/>
  </si>
  <si>
    <t>可获得大量装备材料</t>
    <phoneticPr fontId="1" type="noConversion"/>
  </si>
  <si>
    <t>有惊喜</t>
    <phoneticPr fontId="1" type="noConversion"/>
  </si>
  <si>
    <t>有惊喜</t>
    <phoneticPr fontId="1" type="noConversion"/>
  </si>
  <si>
    <t>12:00--13:00 21:30--22:30 开放</t>
    <phoneticPr fontId="1" type="noConversion"/>
  </si>
  <si>
    <t>每通过一关都可开启宝箱获得大量奖励</t>
    <phoneticPr fontId="1" type="noConversion"/>
  </si>
  <si>
    <t>每通过一关都可开启宝箱获得大量奖励</t>
    <phoneticPr fontId="1" type="noConversion"/>
  </si>
  <si>
    <t>可获得大量命运石</t>
    <phoneticPr fontId="1" type="noConversion"/>
  </si>
  <si>
    <t>可获得大量命运石</t>
    <phoneticPr fontId="1" type="noConversion"/>
  </si>
  <si>
    <t>可获得大量马仔经验药水</t>
    <phoneticPr fontId="1" type="noConversion"/>
  </si>
  <si>
    <t>拳手</t>
    <phoneticPr fontId="1" type="noConversion"/>
  </si>
  <si>
    <t>刀仔</t>
    <phoneticPr fontId="1" type="noConversion"/>
  </si>
  <si>
    <t>十四妹</t>
    <phoneticPr fontId="1" type="noConversion"/>
  </si>
  <si>
    <t>chenhaonan</t>
  </si>
  <si>
    <t>shanji</t>
  </si>
  <si>
    <t>xixili</t>
  </si>
  <si>
    <t>chenhaonan_PVE</t>
  </si>
  <si>
    <t>shanji_PVE</t>
  </si>
  <si>
    <t>xixili_PVE</t>
  </si>
  <si>
    <t>职业</t>
  </si>
  <si>
    <t>时装id</t>
  </si>
  <si>
    <t>技能数目</t>
  </si>
  <si>
    <t>技能1ID</t>
  </si>
  <si>
    <t>技能2ID</t>
  </si>
  <si>
    <t>技能3ID</t>
  </si>
  <si>
    <t>技能4ID</t>
  </si>
  <si>
    <t>技能5ID</t>
  </si>
  <si>
    <t>技能6ID</t>
  </si>
  <si>
    <t>技能7ID</t>
  </si>
  <si>
    <t>技能8ID</t>
  </si>
  <si>
    <t>技能9ID</t>
  </si>
  <si>
    <t>技能10ID</t>
  </si>
  <si>
    <t>技能11ID</t>
  </si>
  <si>
    <t>技能12ID</t>
  </si>
  <si>
    <t>开启任务</t>
    <phoneticPr fontId="1" type="noConversion"/>
  </si>
  <si>
    <t>05:00 重置</t>
    <phoneticPr fontId="1" type="noConversion"/>
  </si>
  <si>
    <t>可获得马仔灵魂石</t>
    <phoneticPr fontId="1" type="noConversion"/>
  </si>
  <si>
    <t>血量难度系数</t>
    <phoneticPr fontId="1" type="noConversion"/>
  </si>
  <si>
    <t>攻击难度系数</t>
    <phoneticPr fontId="1" type="noConversion"/>
  </si>
  <si>
    <t>防御难度系数</t>
    <phoneticPr fontId="1" type="noConversion"/>
  </si>
  <si>
    <t>地图ID</t>
    <phoneticPr fontId="1" type="noConversion"/>
  </si>
  <si>
    <t>辅助列</t>
    <phoneticPr fontId="1" type="noConversion"/>
  </si>
  <si>
    <t>挑战Boss-亚芝</t>
  </si>
  <si>
    <t>挑战Boss-比利</t>
  </si>
  <si>
    <t>挑战Boss-靓坤</t>
  </si>
  <si>
    <t>挑战Boss-雷复轰</t>
  </si>
  <si>
    <t>挑战Boss-肥仔</t>
  </si>
  <si>
    <t>挑战Boss-赌王</t>
  </si>
  <si>
    <t>挑战Boss-乌鸦</t>
  </si>
  <si>
    <t>挑战Boss-山下忠秀</t>
  </si>
  <si>
    <t>挑战Boss-宫本一</t>
  </si>
  <si>
    <t>挑战Boss-耀阳</t>
  </si>
  <si>
    <t>挑战Boss-笑面虎</t>
  </si>
  <si>
    <t>挑战Boss-陈浩南</t>
  </si>
  <si>
    <t>挑战Boss-山鸡</t>
  </si>
  <si>
    <t>挑战Boss-大天二</t>
  </si>
  <si>
    <t>血</t>
    <phoneticPr fontId="1" type="noConversion"/>
  </si>
  <si>
    <t>攻</t>
    <phoneticPr fontId="1" type="noConversion"/>
  </si>
  <si>
    <t>防</t>
    <phoneticPr fontId="1" type="noConversion"/>
  </si>
  <si>
    <t>血量系数</t>
    <phoneticPr fontId="1" type="noConversion"/>
  </si>
  <si>
    <t>攻击系数</t>
    <phoneticPr fontId="1" type="noConversion"/>
  </si>
  <si>
    <t>防御系数</t>
    <phoneticPr fontId="1" type="noConversion"/>
  </si>
  <si>
    <t>开始血量</t>
    <phoneticPr fontId="1" type="noConversion"/>
  </si>
  <si>
    <t>开始攻击</t>
    <phoneticPr fontId="1" type="noConversion"/>
  </si>
  <si>
    <t>开始防御</t>
    <phoneticPr fontId="1" type="noConversion"/>
  </si>
  <si>
    <t>结束血量</t>
    <phoneticPr fontId="1" type="noConversion"/>
  </si>
  <si>
    <t>结束攻击</t>
    <phoneticPr fontId="1" type="noConversion"/>
  </si>
  <si>
    <t>结束防御</t>
    <phoneticPr fontId="1" type="noConversion"/>
  </si>
  <si>
    <t>参考值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</si>
</sst>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0.0%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0" borderId="1" xfId="0" applyBorder="1"/>
    <xf numFmtId="0" fontId="0" fillId="7" borderId="1" xfId="0" applyFill="1" applyBorder="1"/>
    <xf numFmtId="0" fontId="0" fillId="0" borderId="0" xfId="0" applyAlignment="1">
      <alignment horizontal="center" vertical="center"/>
    </xf>
    <xf numFmtId="0" fontId="0" fillId="0" borderId="2" xfId="0" applyFill="1" applyBorder="1"/>
    <xf numFmtId="10" fontId="0" fillId="0" borderId="1" xfId="0" applyNumberFormat="1" applyBorder="1"/>
    <xf numFmtId="176" fontId="0" fillId="0" borderId="0" xfId="0" applyNumberFormat="1"/>
    <xf numFmtId="10" fontId="0" fillId="0" borderId="0" xfId="0" applyNumberFormat="1"/>
    <xf numFmtId="177" fontId="0" fillId="0" borderId="0" xfId="0" applyNumberFormat="1"/>
    <xf numFmtId="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320;&#2227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地图数据"/>
      <sheetName val="D_关卡BOSS血条判断"/>
      <sheetName val="D_关卡怪物类型血条判断"/>
      <sheetName val="D_关卡评星奖励"/>
      <sheetName val="D_关卡占领奖励"/>
      <sheetName val="地图配置说明"/>
      <sheetName val="地图配置辅助表"/>
      <sheetName val="血条计算评估"/>
    </sheetNames>
    <sheetDataSet>
      <sheetData sheetId="0">
        <row r="1">
          <cell r="A1" t="str">
            <v>地图id</v>
          </cell>
        </row>
        <row r="2">
          <cell r="A2">
            <v>1</v>
          </cell>
          <cell r="B2">
            <v>0</v>
          </cell>
          <cell r="C2">
            <v>1</v>
          </cell>
          <cell r="D2" t="str">
            <v>油尖旺</v>
          </cell>
        </row>
        <row r="3">
          <cell r="A3">
            <v>2</v>
          </cell>
          <cell r="B3">
            <v>0</v>
          </cell>
          <cell r="C3">
            <v>2</v>
          </cell>
          <cell r="D3" t="str">
            <v>铜锣湾</v>
          </cell>
        </row>
        <row r="4">
          <cell r="A4">
            <v>3</v>
          </cell>
          <cell r="B4">
            <v>0</v>
          </cell>
          <cell r="C4">
            <v>3</v>
          </cell>
          <cell r="D4" t="str">
            <v>维多利亚港</v>
          </cell>
        </row>
        <row r="5">
          <cell r="A5">
            <v>4</v>
          </cell>
          <cell r="B5">
            <v>0</v>
          </cell>
          <cell r="C5">
            <v>4</v>
          </cell>
          <cell r="D5" t="str">
            <v>澳门</v>
          </cell>
        </row>
        <row r="6">
          <cell r="A6">
            <v>5</v>
          </cell>
          <cell r="B6">
            <v>0</v>
          </cell>
          <cell r="C6">
            <v>5</v>
          </cell>
          <cell r="D6" t="str">
            <v>日月潭</v>
          </cell>
        </row>
        <row r="7">
          <cell r="A7">
            <v>6</v>
          </cell>
          <cell r="B7">
            <v>0</v>
          </cell>
          <cell r="C7">
            <v>6</v>
          </cell>
          <cell r="D7" t="str">
            <v>富士山</v>
          </cell>
        </row>
        <row r="8">
          <cell r="A8">
            <v>7</v>
          </cell>
          <cell r="B8">
            <v>0</v>
          </cell>
          <cell r="C8">
            <v>7</v>
          </cell>
          <cell r="D8" t="str">
            <v>东京</v>
          </cell>
        </row>
        <row r="9">
          <cell r="A9">
            <v>8</v>
          </cell>
          <cell r="B9">
            <v>0</v>
          </cell>
          <cell r="C9">
            <v>8</v>
          </cell>
          <cell r="D9" t="str">
            <v>台北</v>
          </cell>
        </row>
        <row r="10">
          <cell r="A10">
            <v>1001</v>
          </cell>
          <cell r="B10">
            <v>1</v>
          </cell>
          <cell r="C10">
            <v>1</v>
          </cell>
          <cell r="D10" t="str">
            <v>浴室砍巴闭</v>
          </cell>
          <cell r="E10" t="str">
            <v>被巴闭霸占的娱乐街</v>
          </cell>
        </row>
        <row r="11">
          <cell r="A11">
            <v>1002</v>
          </cell>
          <cell r="B11">
            <v>1</v>
          </cell>
          <cell r="C11">
            <v>1</v>
          </cell>
          <cell r="D11" t="str">
            <v>西贡打大傻</v>
          </cell>
          <cell r="E11" t="str">
            <v>西贡头目大傻的领地</v>
          </cell>
        </row>
        <row r="12">
          <cell r="A12">
            <v>1003</v>
          </cell>
          <cell r="B12">
            <v>1</v>
          </cell>
          <cell r="C12">
            <v>1</v>
          </cell>
          <cell r="D12" t="str">
            <v>戏逗小结巴</v>
          </cell>
          <cell r="E12" t="str">
            <v>偷车贼盘踞之地</v>
          </cell>
        </row>
        <row r="13">
          <cell r="A13">
            <v>1004</v>
          </cell>
          <cell r="B13">
            <v>1</v>
          </cell>
          <cell r="C13">
            <v>1</v>
          </cell>
          <cell r="D13" t="str">
            <v>秘密任务</v>
          </cell>
          <cell r="E13" t="str">
            <v>丧彪藏身之地。</v>
          </cell>
        </row>
        <row r="14">
          <cell r="A14">
            <v>1005</v>
          </cell>
          <cell r="B14">
            <v>1</v>
          </cell>
          <cell r="C14">
            <v>1</v>
          </cell>
          <cell r="D14" t="str">
            <v>遭遇埋伏</v>
          </cell>
          <cell r="E14" t="str">
            <v>劫持B哥家人的劫匪所在地点。</v>
          </cell>
        </row>
        <row r="15">
          <cell r="A15">
            <v>1006</v>
          </cell>
          <cell r="B15">
            <v>1</v>
          </cell>
          <cell r="C15">
            <v>1</v>
          </cell>
          <cell r="D15" t="str">
            <v>逃出生天</v>
          </cell>
          <cell r="E15" t="str">
            <v>靓坤现身之地。</v>
          </cell>
        </row>
        <row r="16">
          <cell r="A16">
            <v>1007</v>
          </cell>
          <cell r="B16">
            <v>1</v>
          </cell>
          <cell r="C16">
            <v>1</v>
          </cell>
          <cell r="D16" t="str">
            <v>B哥遇害</v>
          </cell>
          <cell r="E16" t="str">
            <v>丧彪藏身之地。</v>
          </cell>
        </row>
        <row r="17">
          <cell r="A17">
            <v>1008</v>
          </cell>
          <cell r="B17">
            <v>1</v>
          </cell>
          <cell r="C17">
            <v>1</v>
          </cell>
          <cell r="D17" t="str">
            <v>同仇敌忾</v>
          </cell>
          <cell r="E17" t="str">
            <v>劫持B哥家人的劫匪所在地点。</v>
          </cell>
        </row>
        <row r="18">
          <cell r="A18">
            <v>1009</v>
          </cell>
          <cell r="B18">
            <v>1</v>
          </cell>
          <cell r="C18">
            <v>1</v>
          </cell>
          <cell r="D18" t="str">
            <v>合力毙靓坤</v>
          </cell>
          <cell r="E18" t="str">
            <v>靓坤现身之地。</v>
          </cell>
        </row>
        <row r="19">
          <cell r="A19">
            <v>1010</v>
          </cell>
          <cell r="B19">
            <v>1</v>
          </cell>
          <cell r="C19">
            <v>0</v>
          </cell>
          <cell r="D19" t="str">
            <v>新手关卡</v>
          </cell>
          <cell r="E19" t="str">
            <v>指导基础操作的教学关</v>
          </cell>
        </row>
        <row r="20">
          <cell r="A20">
            <v>2001</v>
          </cell>
          <cell r="B20">
            <v>1</v>
          </cell>
          <cell r="C20">
            <v>2</v>
          </cell>
          <cell r="D20" t="str">
            <v>协助山鸡</v>
          </cell>
          <cell r="E20" t="str">
            <v>繁华的商业中心，同时也是强者云集之地</v>
          </cell>
        </row>
        <row r="21">
          <cell r="A21">
            <v>2002</v>
          </cell>
          <cell r="B21">
            <v>1</v>
          </cell>
          <cell r="C21">
            <v>2</v>
          </cell>
          <cell r="D21" t="str">
            <v>伏击张议员</v>
          </cell>
          <cell r="E21" t="str">
            <v>灯红酒绿之地，伏击张议员的地点。</v>
          </cell>
        </row>
        <row r="22">
          <cell r="A22">
            <v>2003</v>
          </cell>
          <cell r="B22">
            <v>1</v>
          </cell>
          <cell r="C22">
            <v>2</v>
          </cell>
          <cell r="D22" t="str">
            <v>蒋生遇雷功</v>
          </cell>
          <cell r="E22" t="str">
            <v>蒋生与雷功的会谈之地</v>
          </cell>
        </row>
        <row r="23">
          <cell r="A23">
            <v>2004</v>
          </cell>
          <cell r="B23">
            <v>1</v>
          </cell>
          <cell r="C23">
            <v>2</v>
          </cell>
          <cell r="D23" t="str">
            <v>争夺扛把子</v>
          </cell>
          <cell r="E23" t="str">
            <v>与大飞的约战之地</v>
          </cell>
        </row>
        <row r="24">
          <cell r="A24">
            <v>2005</v>
          </cell>
          <cell r="B24">
            <v>1</v>
          </cell>
          <cell r="C24">
            <v>2</v>
          </cell>
          <cell r="D24" t="str">
            <v>约战大飞</v>
          </cell>
          <cell r="E24" t="str">
            <v>雷功别墅所在之地</v>
          </cell>
        </row>
        <row r="25">
          <cell r="A25">
            <v>2006</v>
          </cell>
          <cell r="B25">
            <v>1</v>
          </cell>
          <cell r="C25">
            <v>2</v>
          </cell>
          <cell r="D25" t="str">
            <v>缓和契机</v>
          </cell>
          <cell r="E25" t="str">
            <v>丁瑶赌场所在之地</v>
          </cell>
        </row>
        <row r="26">
          <cell r="A26">
            <v>2007</v>
          </cell>
          <cell r="B26">
            <v>1</v>
          </cell>
          <cell r="C26">
            <v>2</v>
          </cell>
          <cell r="D26" t="str">
            <v>落入陷阱</v>
          </cell>
          <cell r="E26" t="str">
            <v>与大飞的约战之地</v>
          </cell>
        </row>
        <row r="27">
          <cell r="A27">
            <v>2008</v>
          </cell>
          <cell r="B27">
            <v>1</v>
          </cell>
          <cell r="C27">
            <v>2</v>
          </cell>
          <cell r="D27" t="str">
            <v>突出重围</v>
          </cell>
          <cell r="E27" t="str">
            <v>雷功别墅所在之地</v>
          </cell>
        </row>
        <row r="28">
          <cell r="A28">
            <v>2009</v>
          </cell>
          <cell r="B28">
            <v>1</v>
          </cell>
          <cell r="C28">
            <v>2</v>
          </cell>
          <cell r="D28" t="str">
            <v>赌场除丁瑶</v>
          </cell>
          <cell r="E28" t="str">
            <v>丁瑶赌场所在之地</v>
          </cell>
        </row>
        <row r="29">
          <cell r="A29">
            <v>3001</v>
          </cell>
          <cell r="B29">
            <v>1</v>
          </cell>
          <cell r="C29">
            <v>3</v>
          </cell>
          <cell r="D29" t="str">
            <v>东星鸿门宴</v>
          </cell>
          <cell r="E29" t="str">
            <v>骆驼的寿宴举办地</v>
          </cell>
        </row>
        <row r="30">
          <cell r="A30">
            <v>3002</v>
          </cell>
          <cell r="B30">
            <v>1</v>
          </cell>
          <cell r="C30">
            <v>3</v>
          </cell>
          <cell r="D30" t="str">
            <v>怒打笑面虎</v>
          </cell>
          <cell r="E30" t="str">
            <v>笑面虎的酒吧所在地</v>
          </cell>
        </row>
        <row r="31">
          <cell r="A31">
            <v>3003</v>
          </cell>
          <cell r="B31">
            <v>1</v>
          </cell>
          <cell r="C31">
            <v>3</v>
          </cell>
          <cell r="D31" t="str">
            <v>蒋生遇袭</v>
          </cell>
          <cell r="E31" t="str">
            <v>蒋生与旧友八指叔的会面地点</v>
          </cell>
        </row>
        <row r="32">
          <cell r="A32">
            <v>3004</v>
          </cell>
          <cell r="B32">
            <v>1</v>
          </cell>
          <cell r="C32">
            <v>3</v>
          </cell>
          <cell r="D32" t="str">
            <v>遭遇诬陷</v>
          </cell>
          <cell r="E32" t="str">
            <v>掩护浩南撤退的地点</v>
          </cell>
        </row>
        <row r="33">
          <cell r="A33">
            <v>3005</v>
          </cell>
          <cell r="B33">
            <v>1</v>
          </cell>
          <cell r="C33">
            <v>3</v>
          </cell>
          <cell r="D33" t="str">
            <v>掩护浩南</v>
          </cell>
          <cell r="E33" t="str">
            <v>小结巴被关押的场所</v>
          </cell>
        </row>
        <row r="34">
          <cell r="A34">
            <v>3006</v>
          </cell>
          <cell r="B34">
            <v>1</v>
          </cell>
          <cell r="C34">
            <v>3</v>
          </cell>
          <cell r="D34" t="str">
            <v>获取弹药</v>
          </cell>
          <cell r="E34" t="str">
            <v>乌鸦与笑面虎的出没地</v>
          </cell>
        </row>
        <row r="35">
          <cell r="A35">
            <v>3007</v>
          </cell>
          <cell r="B35">
            <v>1</v>
          </cell>
          <cell r="C35">
            <v>3</v>
          </cell>
          <cell r="D35" t="str">
            <v>小结巴之死</v>
          </cell>
          <cell r="E35" t="str">
            <v>掩护浩南撤退的地点</v>
          </cell>
        </row>
        <row r="36">
          <cell r="A36">
            <v>3008</v>
          </cell>
          <cell r="B36">
            <v>1</v>
          </cell>
          <cell r="C36">
            <v>3</v>
          </cell>
          <cell r="D36" t="str">
            <v>复仇之路</v>
          </cell>
          <cell r="E36" t="str">
            <v>小结巴被关押的场所</v>
          </cell>
        </row>
        <row r="37">
          <cell r="A37">
            <v>3009</v>
          </cell>
          <cell r="B37">
            <v>1</v>
          </cell>
          <cell r="C37">
            <v>3</v>
          </cell>
          <cell r="D37" t="str">
            <v>双虎覆灭</v>
          </cell>
          <cell r="E37" t="str">
            <v>乌鸦与笑面虎的出没地</v>
          </cell>
        </row>
        <row r="38">
          <cell r="A38">
            <v>4001</v>
          </cell>
          <cell r="B38">
            <v>1</v>
          </cell>
          <cell r="C38">
            <v>4</v>
          </cell>
          <cell r="D38" t="str">
            <v>驱除袭击者</v>
          </cell>
          <cell r="E38" t="str">
            <v>袭击者可能潜伏的地点</v>
          </cell>
        </row>
        <row r="39">
          <cell r="A39">
            <v>4002</v>
          </cell>
          <cell r="B39">
            <v>1</v>
          </cell>
          <cell r="C39">
            <v>4</v>
          </cell>
          <cell r="D39" t="str">
            <v>屯门之争</v>
          </cell>
          <cell r="E39" t="str">
            <v>生番手下闹事的地点</v>
          </cell>
        </row>
        <row r="40">
          <cell r="A40">
            <v>4003</v>
          </cell>
          <cell r="B40">
            <v>1</v>
          </cell>
          <cell r="C40">
            <v>4</v>
          </cell>
          <cell r="D40" t="str">
            <v>教会解围</v>
          </cell>
          <cell r="E40" t="str">
            <v>被混混袭击的教会所在地</v>
          </cell>
        </row>
        <row r="41">
          <cell r="A41">
            <v>4004</v>
          </cell>
          <cell r="B41">
            <v>1</v>
          </cell>
          <cell r="C41">
            <v>4</v>
          </cell>
          <cell r="D41" t="str">
            <v>地盘纷争</v>
          </cell>
          <cell r="E41" t="str">
            <v>生番所在的地盘</v>
          </cell>
        </row>
        <row r="42">
          <cell r="A42">
            <v>4005</v>
          </cell>
          <cell r="B42">
            <v>1</v>
          </cell>
          <cell r="C42">
            <v>4</v>
          </cell>
          <cell r="D42" t="str">
            <v>营救大天二</v>
          </cell>
          <cell r="E42" t="str">
            <v>大天二养伤的地点</v>
          </cell>
        </row>
        <row r="43">
          <cell r="A43">
            <v>4006</v>
          </cell>
          <cell r="B43">
            <v>1</v>
          </cell>
          <cell r="C43">
            <v>4</v>
          </cell>
          <cell r="D43" t="str">
            <v>调虎离山</v>
          </cell>
          <cell r="E43" t="str">
            <v>选举大会的举办地</v>
          </cell>
        </row>
        <row r="44">
          <cell r="A44">
            <v>4007</v>
          </cell>
          <cell r="B44">
            <v>1</v>
          </cell>
          <cell r="C44">
            <v>4</v>
          </cell>
          <cell r="D44" t="str">
            <v>痛失战友</v>
          </cell>
          <cell r="E44" t="str">
            <v>生番所在的地盘</v>
          </cell>
        </row>
        <row r="45">
          <cell r="A45">
            <v>4008</v>
          </cell>
          <cell r="B45">
            <v>1</v>
          </cell>
          <cell r="C45">
            <v>4</v>
          </cell>
          <cell r="D45" t="str">
            <v>追击真凶</v>
          </cell>
          <cell r="E45" t="str">
            <v>大天二养伤的地点</v>
          </cell>
        </row>
        <row r="46">
          <cell r="A46">
            <v>4009</v>
          </cell>
          <cell r="B46">
            <v>1</v>
          </cell>
          <cell r="C46">
            <v>4</v>
          </cell>
          <cell r="D46" t="str">
            <v>一决雌雄</v>
          </cell>
          <cell r="E46" t="str">
            <v>选举大会的举办地</v>
          </cell>
        </row>
        <row r="47">
          <cell r="A47">
            <v>5001</v>
          </cell>
          <cell r="B47">
            <v>1</v>
          </cell>
          <cell r="C47">
            <v>5</v>
          </cell>
          <cell r="D47" t="str">
            <v>双雄之争</v>
          </cell>
          <cell r="E47" t="str">
            <v>浩南经营的酒吧所在地</v>
          </cell>
        </row>
        <row r="48">
          <cell r="A48">
            <v>5002</v>
          </cell>
          <cell r="B48">
            <v>1</v>
          </cell>
          <cell r="C48">
            <v>5</v>
          </cell>
          <cell r="D48" t="str">
            <v>守卫赌船</v>
          </cell>
          <cell r="E48" t="str">
            <v>会谈现场所在地</v>
          </cell>
        </row>
        <row r="49">
          <cell r="A49">
            <v>5003</v>
          </cell>
          <cell r="B49">
            <v>1</v>
          </cell>
          <cell r="C49">
            <v>5</v>
          </cell>
          <cell r="D49" t="str">
            <v>正面冲突</v>
          </cell>
          <cell r="E49" t="str">
            <v>东星地痞活动的场所</v>
          </cell>
        </row>
        <row r="50">
          <cell r="A50">
            <v>5004</v>
          </cell>
          <cell r="B50">
            <v>1</v>
          </cell>
          <cell r="C50">
            <v>5</v>
          </cell>
          <cell r="D50" t="str">
            <v>冲突升级</v>
          </cell>
          <cell r="E50" t="str">
            <v>长毛潜逃后藏匿的地点</v>
          </cell>
        </row>
        <row r="51">
          <cell r="A51">
            <v>5005</v>
          </cell>
          <cell r="B51">
            <v>1</v>
          </cell>
          <cell r="C51">
            <v>5</v>
          </cell>
          <cell r="D51" t="str">
            <v>缉拿长毛</v>
          </cell>
          <cell r="E51" t="str">
            <v>与东星拳赛的第一会场</v>
          </cell>
        </row>
        <row r="52">
          <cell r="A52">
            <v>5006</v>
          </cell>
          <cell r="B52">
            <v>1</v>
          </cell>
          <cell r="C52">
            <v>5</v>
          </cell>
          <cell r="D52" t="str">
            <v>备战拳赛</v>
          </cell>
          <cell r="E52" t="str">
            <v>与东星拳赛的第二会场</v>
          </cell>
        </row>
        <row r="53">
          <cell r="A53">
            <v>5007</v>
          </cell>
          <cell r="B53">
            <v>1</v>
          </cell>
          <cell r="C53">
            <v>5</v>
          </cell>
          <cell r="D53" t="str">
            <v>金牌打手</v>
          </cell>
          <cell r="E53" t="str">
            <v>长毛潜逃后藏匿的地点</v>
          </cell>
        </row>
        <row r="54">
          <cell r="A54">
            <v>5008</v>
          </cell>
          <cell r="B54">
            <v>1</v>
          </cell>
          <cell r="C54">
            <v>5</v>
          </cell>
          <cell r="D54" t="str">
            <v>螳臂当车</v>
          </cell>
          <cell r="E54" t="str">
            <v>与东星拳赛的第一会场</v>
          </cell>
        </row>
        <row r="55">
          <cell r="A55">
            <v>5009</v>
          </cell>
          <cell r="B55">
            <v>1</v>
          </cell>
          <cell r="C55">
            <v>5</v>
          </cell>
          <cell r="D55" t="str">
            <v>龙争虎斗</v>
          </cell>
          <cell r="E55" t="str">
            <v>与东星拳赛的第二会场</v>
          </cell>
        </row>
        <row r="56">
          <cell r="A56">
            <v>6001</v>
          </cell>
          <cell r="B56">
            <v>1</v>
          </cell>
          <cell r="C56">
            <v>6</v>
          </cell>
          <cell r="D56" t="str">
            <v>婚礼遭袭</v>
          </cell>
          <cell r="E56" t="str">
            <v>由鬼冢镇守的第一重试炼地</v>
          </cell>
        </row>
        <row r="57">
          <cell r="A57">
            <v>6002</v>
          </cell>
          <cell r="B57">
            <v>1</v>
          </cell>
          <cell r="C57">
            <v>6</v>
          </cell>
          <cell r="D57" t="str">
            <v>纠缠不休</v>
          </cell>
          <cell r="E57" t="str">
            <v>由暗魔镇守的第二重试炼地</v>
          </cell>
        </row>
        <row r="58">
          <cell r="A58">
            <v>6003</v>
          </cell>
          <cell r="B58">
            <v>1</v>
          </cell>
          <cell r="C58">
            <v>6</v>
          </cell>
          <cell r="D58" t="str">
            <v>试炼之战</v>
          </cell>
          <cell r="E58" t="str">
            <v>“剑痴”血狂的隐居地</v>
          </cell>
        </row>
        <row r="59">
          <cell r="A59">
            <v>6004</v>
          </cell>
          <cell r="B59">
            <v>1</v>
          </cell>
          <cell r="C59">
            <v>6</v>
          </cell>
          <cell r="D59" t="str">
            <v>反守为攻</v>
          </cell>
          <cell r="E59" t="str">
            <v>獠牙所在的交易地点</v>
          </cell>
        </row>
        <row r="60">
          <cell r="A60">
            <v>6005</v>
          </cell>
          <cell r="B60">
            <v>1</v>
          </cell>
          <cell r="C60">
            <v>6</v>
          </cell>
          <cell r="D60" t="str">
            <v>突破重围</v>
          </cell>
          <cell r="E60" t="str">
            <v>突围的目的地</v>
          </cell>
        </row>
        <row r="61">
          <cell r="A61">
            <v>6006</v>
          </cell>
          <cell r="B61">
            <v>1</v>
          </cell>
          <cell r="C61">
            <v>6</v>
          </cell>
          <cell r="D61" t="str">
            <v>力克强敌</v>
          </cell>
          <cell r="E61" t="str">
            <v>太乙的秘密据点</v>
          </cell>
        </row>
        <row r="62">
          <cell r="A62">
            <v>6007</v>
          </cell>
          <cell r="B62">
            <v>1</v>
          </cell>
          <cell r="C62">
            <v>6</v>
          </cell>
          <cell r="D62" t="str">
            <v>正面交锋</v>
          </cell>
          <cell r="E62" t="str">
            <v>獠牙所在的交易地点</v>
          </cell>
        </row>
        <row r="63">
          <cell r="A63">
            <v>6008</v>
          </cell>
          <cell r="B63">
            <v>1</v>
          </cell>
          <cell r="C63">
            <v>6</v>
          </cell>
          <cell r="D63" t="str">
            <v>愈战愈勇</v>
          </cell>
          <cell r="E63" t="str">
            <v>突围的目的地</v>
          </cell>
        </row>
        <row r="64">
          <cell r="A64">
            <v>6009</v>
          </cell>
          <cell r="B64">
            <v>1</v>
          </cell>
          <cell r="C64">
            <v>6</v>
          </cell>
          <cell r="D64" t="str">
            <v>决战太乙</v>
          </cell>
          <cell r="E64" t="str">
            <v>太乙的秘密据点</v>
          </cell>
        </row>
        <row r="65">
          <cell r="A65">
            <v>7001</v>
          </cell>
          <cell r="B65">
            <v>1</v>
          </cell>
          <cell r="C65">
            <v>7</v>
          </cell>
          <cell r="D65" t="str">
            <v>突袭白虎堂</v>
          </cell>
          <cell r="E65" t="str">
            <v>白虎堂的秘密基地所在地</v>
          </cell>
        </row>
        <row r="66">
          <cell r="A66">
            <v>7002</v>
          </cell>
          <cell r="B66">
            <v>1</v>
          </cell>
          <cell r="C66">
            <v>7</v>
          </cell>
          <cell r="D66" t="str">
            <v>勇闯玄武堂</v>
          </cell>
          <cell r="E66" t="str">
            <v>玄武堂的秘密基地所在地</v>
          </cell>
        </row>
        <row r="67">
          <cell r="A67">
            <v>7003</v>
          </cell>
          <cell r="B67">
            <v>1</v>
          </cell>
          <cell r="C67">
            <v>7</v>
          </cell>
          <cell r="D67" t="str">
            <v>激战朱雀堂</v>
          </cell>
          <cell r="E67" t="str">
            <v>朱雀堂的秘密基地所在地</v>
          </cell>
        </row>
        <row r="68">
          <cell r="A68">
            <v>7004</v>
          </cell>
          <cell r="B68">
            <v>1</v>
          </cell>
          <cell r="C68">
            <v>7</v>
          </cell>
          <cell r="D68" t="str">
            <v>恶战青龙堂</v>
          </cell>
          <cell r="E68" t="str">
            <v>青龙堂的秘密基地所在地</v>
          </cell>
        </row>
        <row r="69">
          <cell r="A69">
            <v>7005</v>
          </cell>
          <cell r="B69">
            <v>1</v>
          </cell>
          <cell r="C69">
            <v>7</v>
          </cell>
          <cell r="D69" t="str">
            <v>挑战佐维</v>
          </cell>
          <cell r="E69" t="str">
            <v>佐维发出邀请的秘密地点</v>
          </cell>
        </row>
        <row r="70">
          <cell r="A70">
            <v>7006</v>
          </cell>
          <cell r="B70">
            <v>1</v>
          </cell>
          <cell r="C70">
            <v>7</v>
          </cell>
          <cell r="D70" t="str">
            <v>恶虎下山</v>
          </cell>
          <cell r="E70" t="str">
            <v>杀手首领潜藏的据点</v>
          </cell>
        </row>
        <row r="71">
          <cell r="A71">
            <v>7007</v>
          </cell>
          <cell r="B71">
            <v>1</v>
          </cell>
          <cell r="C71">
            <v>7</v>
          </cell>
          <cell r="D71" t="str">
            <v>狂龙出海</v>
          </cell>
          <cell r="E71" t="str">
            <v>青龙堂的秘密基地所在地</v>
          </cell>
        </row>
        <row r="72">
          <cell r="A72">
            <v>7008</v>
          </cell>
          <cell r="B72">
            <v>1</v>
          </cell>
          <cell r="C72">
            <v>7</v>
          </cell>
          <cell r="D72" t="str">
            <v>兵临城下</v>
          </cell>
          <cell r="E72" t="str">
            <v>佐维发出邀请的秘密地点</v>
          </cell>
        </row>
        <row r="73">
          <cell r="A73">
            <v>7009</v>
          </cell>
          <cell r="B73">
            <v>1</v>
          </cell>
          <cell r="C73">
            <v>7</v>
          </cell>
          <cell r="D73" t="str">
            <v>决战东京</v>
          </cell>
          <cell r="E73" t="str">
            <v>杀手首领潜藏的据点</v>
          </cell>
        </row>
        <row r="74">
          <cell r="A74">
            <v>8001</v>
          </cell>
          <cell r="B74">
            <v>1</v>
          </cell>
          <cell r="C74">
            <v>8</v>
          </cell>
          <cell r="D74" t="str">
            <v>再战靓坤</v>
          </cell>
          <cell r="E74" t="str">
            <v>由靓坤把守的毒龙据点</v>
          </cell>
        </row>
        <row r="75">
          <cell r="A75">
            <v>8002</v>
          </cell>
          <cell r="B75">
            <v>1</v>
          </cell>
          <cell r="C75">
            <v>8</v>
          </cell>
          <cell r="D75" t="str">
            <v>噩梦再临</v>
          </cell>
          <cell r="E75" t="str">
            <v>由乌鸦把守的毒龙据点</v>
          </cell>
        </row>
        <row r="76">
          <cell r="A76">
            <v>8003</v>
          </cell>
          <cell r="B76">
            <v>1</v>
          </cell>
          <cell r="C76">
            <v>8</v>
          </cell>
          <cell r="D76" t="str">
            <v>死性不改</v>
          </cell>
          <cell r="E76" t="str">
            <v>由司徒浩南把守的毒龙据点</v>
          </cell>
        </row>
        <row r="77">
          <cell r="A77">
            <v>8004</v>
          </cell>
          <cell r="B77">
            <v>1</v>
          </cell>
          <cell r="C77">
            <v>8</v>
          </cell>
          <cell r="D77" t="str">
            <v>阴魂不散</v>
          </cell>
          <cell r="E77" t="str">
            <v>地中海与其手下来袭来之地</v>
          </cell>
        </row>
        <row r="78">
          <cell r="A78">
            <v>8005</v>
          </cell>
          <cell r="B78">
            <v>1</v>
          </cell>
          <cell r="C78">
            <v>8</v>
          </cell>
          <cell r="D78" t="str">
            <v>意外强敌</v>
          </cell>
          <cell r="E78" t="str">
            <v>与山鸡约战之地</v>
          </cell>
        </row>
        <row r="79">
          <cell r="A79">
            <v>8006</v>
          </cell>
          <cell r="B79">
            <v>1</v>
          </cell>
          <cell r="C79">
            <v>8</v>
          </cell>
          <cell r="D79" t="str">
            <v>复仇之战</v>
          </cell>
          <cell r="E79" t="str">
            <v>雷功可能出现的秘密地点</v>
          </cell>
        </row>
        <row r="80">
          <cell r="A80">
            <v>8007</v>
          </cell>
          <cell r="B80">
            <v>1</v>
          </cell>
          <cell r="C80">
            <v>8</v>
          </cell>
          <cell r="D80" t="str">
            <v>劲敌出现</v>
          </cell>
          <cell r="E80" t="str">
            <v>地中海与其手下来袭来之地</v>
          </cell>
        </row>
        <row r="81">
          <cell r="A81">
            <v>8008</v>
          </cell>
          <cell r="B81">
            <v>1</v>
          </cell>
          <cell r="C81">
            <v>8</v>
          </cell>
          <cell r="D81" t="str">
            <v>约战山鸡</v>
          </cell>
          <cell r="E81" t="str">
            <v>与山鸡约战之地</v>
          </cell>
        </row>
        <row r="82">
          <cell r="A82">
            <v>8009</v>
          </cell>
          <cell r="B82">
            <v>1</v>
          </cell>
          <cell r="C82">
            <v>8</v>
          </cell>
          <cell r="D82" t="str">
            <v>揭穿雷复轰</v>
          </cell>
          <cell r="E82" t="str">
            <v>雷功可能出现的秘密地点</v>
          </cell>
        </row>
        <row r="83">
          <cell r="A83">
            <v>1201</v>
          </cell>
          <cell r="B83">
            <v>2</v>
          </cell>
          <cell r="C83">
            <v>1</v>
          </cell>
          <cell r="D83" t="str">
            <v>精英巴闭</v>
          </cell>
          <cell r="E83" t="str">
            <v>挑战精英巴闭</v>
          </cell>
        </row>
        <row r="84">
          <cell r="A84">
            <v>1202</v>
          </cell>
          <cell r="B84">
            <v>2</v>
          </cell>
          <cell r="C84">
            <v>1</v>
          </cell>
          <cell r="D84" t="str">
            <v>精英大傻保镖</v>
          </cell>
          <cell r="E84" t="str">
            <v>挑战精英大傻保镖</v>
          </cell>
        </row>
        <row r="85">
          <cell r="A85">
            <v>1203</v>
          </cell>
          <cell r="B85">
            <v>2</v>
          </cell>
          <cell r="C85">
            <v>1</v>
          </cell>
          <cell r="D85" t="str">
            <v>精英偷车贼</v>
          </cell>
          <cell r="E85" t="str">
            <v>挑战精英偷车贼</v>
          </cell>
        </row>
        <row r="86">
          <cell r="A86">
            <v>1204</v>
          </cell>
          <cell r="B86">
            <v>2</v>
          </cell>
          <cell r="C86">
            <v>1</v>
          </cell>
          <cell r="D86" t="str">
            <v>精英丧彪手下</v>
          </cell>
          <cell r="E86" t="str">
            <v>挑战精英丧彪手下</v>
          </cell>
        </row>
        <row r="87">
          <cell r="A87">
            <v>1205</v>
          </cell>
          <cell r="B87">
            <v>2</v>
          </cell>
          <cell r="C87">
            <v>1</v>
          </cell>
          <cell r="D87" t="str">
            <v>精英丧彪</v>
          </cell>
          <cell r="E87" t="str">
            <v>挑战精英丧彪</v>
          </cell>
        </row>
        <row r="88">
          <cell r="A88">
            <v>1206</v>
          </cell>
          <cell r="B88">
            <v>2</v>
          </cell>
          <cell r="C88">
            <v>1</v>
          </cell>
          <cell r="D88" t="str">
            <v>精英拦截者</v>
          </cell>
          <cell r="E88" t="str">
            <v>挑战精英拦截者</v>
          </cell>
        </row>
        <row r="89">
          <cell r="A89">
            <v>1207</v>
          </cell>
          <cell r="B89">
            <v>2</v>
          </cell>
          <cell r="C89">
            <v>1</v>
          </cell>
          <cell r="D89" t="str">
            <v>精英靓坤手下</v>
          </cell>
          <cell r="E89" t="str">
            <v>挑战精英靓坤手下</v>
          </cell>
        </row>
        <row r="90">
          <cell r="A90">
            <v>1208</v>
          </cell>
          <cell r="B90">
            <v>2</v>
          </cell>
          <cell r="C90">
            <v>1</v>
          </cell>
          <cell r="D90" t="str">
            <v>精英阿强</v>
          </cell>
          <cell r="E90" t="str">
            <v>挑战精英阿强</v>
          </cell>
        </row>
        <row r="91">
          <cell r="A91">
            <v>1209</v>
          </cell>
          <cell r="B91">
            <v>2</v>
          </cell>
          <cell r="C91">
            <v>1</v>
          </cell>
          <cell r="D91" t="str">
            <v>精英靓坤</v>
          </cell>
          <cell r="E91" t="str">
            <v>挑战精英靓坤</v>
          </cell>
        </row>
        <row r="92">
          <cell r="A92">
            <v>2201</v>
          </cell>
          <cell r="B92">
            <v>2</v>
          </cell>
          <cell r="C92">
            <v>2</v>
          </cell>
          <cell r="D92" t="str">
            <v>精英议员保镖</v>
          </cell>
          <cell r="E92" t="str">
            <v>挑战精英议员保镖</v>
          </cell>
        </row>
        <row r="93">
          <cell r="A93">
            <v>2202</v>
          </cell>
          <cell r="B93">
            <v>2</v>
          </cell>
          <cell r="C93">
            <v>2</v>
          </cell>
          <cell r="D93" t="str">
            <v>精英张议员</v>
          </cell>
          <cell r="E93" t="str">
            <v>挑战精英张议员</v>
          </cell>
        </row>
        <row r="94">
          <cell r="A94">
            <v>2203</v>
          </cell>
          <cell r="B94">
            <v>2</v>
          </cell>
          <cell r="C94">
            <v>2</v>
          </cell>
          <cell r="D94" t="str">
            <v>精英枪手</v>
          </cell>
          <cell r="E94" t="str">
            <v>挑战精英枪手</v>
          </cell>
        </row>
        <row r="95">
          <cell r="A95">
            <v>2204</v>
          </cell>
          <cell r="B95">
            <v>2</v>
          </cell>
          <cell r="C95">
            <v>2</v>
          </cell>
          <cell r="D95" t="str">
            <v>精英大飞手下</v>
          </cell>
          <cell r="E95" t="str">
            <v>挑战精英大飞手下</v>
          </cell>
        </row>
        <row r="96">
          <cell r="A96">
            <v>2205</v>
          </cell>
          <cell r="B96">
            <v>2</v>
          </cell>
          <cell r="C96">
            <v>2</v>
          </cell>
          <cell r="D96" t="str">
            <v>精英大飞弟子</v>
          </cell>
          <cell r="E96" t="str">
            <v>挑战精英大飞弟子</v>
          </cell>
        </row>
        <row r="97">
          <cell r="A97">
            <v>2206</v>
          </cell>
          <cell r="B97">
            <v>2</v>
          </cell>
          <cell r="C97">
            <v>2</v>
          </cell>
          <cell r="D97" t="str">
            <v>精英追踪者</v>
          </cell>
          <cell r="E97" t="str">
            <v>挑战精英追踪者</v>
          </cell>
        </row>
        <row r="98">
          <cell r="A98">
            <v>2207</v>
          </cell>
          <cell r="B98">
            <v>2</v>
          </cell>
          <cell r="C98">
            <v>2</v>
          </cell>
          <cell r="D98" t="str">
            <v>精英雷公保镖</v>
          </cell>
          <cell r="E98" t="str">
            <v>挑战精英雷公保镖</v>
          </cell>
        </row>
        <row r="99">
          <cell r="A99">
            <v>2208</v>
          </cell>
          <cell r="B99">
            <v>2</v>
          </cell>
          <cell r="C99">
            <v>2</v>
          </cell>
          <cell r="D99" t="str">
            <v>精英赌场警卫</v>
          </cell>
          <cell r="E99" t="str">
            <v>挑战精英赌场警卫</v>
          </cell>
        </row>
        <row r="100">
          <cell r="A100">
            <v>2209</v>
          </cell>
          <cell r="B100">
            <v>2</v>
          </cell>
          <cell r="C100">
            <v>2</v>
          </cell>
          <cell r="D100" t="str">
            <v>精英丁瑶护卫</v>
          </cell>
          <cell r="E100" t="str">
            <v>挑战精英丁瑶护卫</v>
          </cell>
        </row>
        <row r="101">
          <cell r="A101">
            <v>3201</v>
          </cell>
          <cell r="B101">
            <v>2</v>
          </cell>
          <cell r="C101">
            <v>3</v>
          </cell>
          <cell r="D101" t="str">
            <v>精英乌鸦手下</v>
          </cell>
          <cell r="E101" t="str">
            <v>挑战精英乌鸦手下</v>
          </cell>
        </row>
        <row r="102">
          <cell r="A102">
            <v>3202</v>
          </cell>
          <cell r="B102">
            <v>2</v>
          </cell>
          <cell r="C102">
            <v>3</v>
          </cell>
          <cell r="D102" t="str">
            <v>精英笑面虎</v>
          </cell>
          <cell r="E102" t="str">
            <v>挑战精英笑面虎</v>
          </cell>
        </row>
        <row r="103">
          <cell r="A103">
            <v>3203</v>
          </cell>
          <cell r="B103">
            <v>2</v>
          </cell>
          <cell r="C103">
            <v>3</v>
          </cell>
          <cell r="D103" t="str">
            <v>精英东星杀手</v>
          </cell>
          <cell r="E103" t="str">
            <v>挑战精英东星杀手</v>
          </cell>
        </row>
        <row r="104">
          <cell r="A104">
            <v>3204</v>
          </cell>
          <cell r="B104">
            <v>2</v>
          </cell>
          <cell r="C104">
            <v>3</v>
          </cell>
          <cell r="D104" t="str">
            <v>精英赏金猎手</v>
          </cell>
          <cell r="E104" t="str">
            <v>挑战精英赏金猎手</v>
          </cell>
        </row>
        <row r="105">
          <cell r="A105">
            <v>3205</v>
          </cell>
          <cell r="B105">
            <v>2</v>
          </cell>
          <cell r="C105">
            <v>3</v>
          </cell>
          <cell r="D105" t="str">
            <v>精英追杀者</v>
          </cell>
          <cell r="E105" t="str">
            <v>挑战精英追杀者</v>
          </cell>
        </row>
        <row r="106">
          <cell r="A106">
            <v>3206</v>
          </cell>
          <cell r="B106">
            <v>2</v>
          </cell>
          <cell r="C106">
            <v>3</v>
          </cell>
          <cell r="D106" t="str">
            <v>精英弹药守卫</v>
          </cell>
          <cell r="E106" t="str">
            <v>挑战精英弹药守卫</v>
          </cell>
        </row>
        <row r="107">
          <cell r="A107">
            <v>3207</v>
          </cell>
          <cell r="B107">
            <v>2</v>
          </cell>
          <cell r="C107">
            <v>3</v>
          </cell>
          <cell r="D107" t="str">
            <v>精英人质看守</v>
          </cell>
          <cell r="E107" t="str">
            <v>挑战精英人质看守</v>
          </cell>
        </row>
        <row r="108">
          <cell r="A108">
            <v>3208</v>
          </cell>
          <cell r="B108">
            <v>2</v>
          </cell>
          <cell r="C108">
            <v>3</v>
          </cell>
          <cell r="D108" t="str">
            <v>精英乌鸦心腹</v>
          </cell>
          <cell r="E108" t="str">
            <v>挑战精英乌鸦心腹</v>
          </cell>
        </row>
        <row r="109">
          <cell r="A109">
            <v>3209</v>
          </cell>
          <cell r="B109">
            <v>2</v>
          </cell>
          <cell r="C109">
            <v>3</v>
          </cell>
          <cell r="D109" t="str">
            <v>精英乌鸦</v>
          </cell>
          <cell r="E109" t="str">
            <v>挑战精英乌鸦</v>
          </cell>
        </row>
        <row r="110">
          <cell r="A110">
            <v>4201</v>
          </cell>
          <cell r="B110">
            <v>2</v>
          </cell>
          <cell r="C110">
            <v>4</v>
          </cell>
          <cell r="D110" t="str">
            <v>精英袭击者</v>
          </cell>
          <cell r="E110" t="str">
            <v>挑战精英袭击者</v>
          </cell>
        </row>
        <row r="111">
          <cell r="A111">
            <v>4202</v>
          </cell>
          <cell r="B111">
            <v>2</v>
          </cell>
          <cell r="C111">
            <v>4</v>
          </cell>
          <cell r="D111" t="str">
            <v>精英生番手下</v>
          </cell>
          <cell r="E111" t="str">
            <v>挑战精英生番手下</v>
          </cell>
        </row>
        <row r="112">
          <cell r="A112">
            <v>4203</v>
          </cell>
          <cell r="B112">
            <v>2</v>
          </cell>
          <cell r="C112">
            <v>4</v>
          </cell>
          <cell r="D112" t="str">
            <v>精英混混头目</v>
          </cell>
          <cell r="E112" t="str">
            <v>挑战精英混混头目</v>
          </cell>
        </row>
        <row r="113">
          <cell r="A113">
            <v>4204</v>
          </cell>
          <cell r="B113">
            <v>2</v>
          </cell>
          <cell r="C113">
            <v>4</v>
          </cell>
          <cell r="D113" t="str">
            <v>精英黑星</v>
          </cell>
          <cell r="E113" t="str">
            <v>挑战精英黑星</v>
          </cell>
        </row>
        <row r="114">
          <cell r="A114">
            <v>4205</v>
          </cell>
          <cell r="B114">
            <v>2</v>
          </cell>
          <cell r="C114">
            <v>4</v>
          </cell>
          <cell r="D114" t="str">
            <v>精英生番</v>
          </cell>
          <cell r="E114" t="str">
            <v>挑战精英生番</v>
          </cell>
        </row>
        <row r="115">
          <cell r="A115">
            <v>4206</v>
          </cell>
          <cell r="B115">
            <v>2</v>
          </cell>
          <cell r="C115">
            <v>4</v>
          </cell>
          <cell r="D115" t="str">
            <v>精英毒贩头目</v>
          </cell>
          <cell r="E115" t="str">
            <v>挑战精英毒贩头目</v>
          </cell>
        </row>
        <row r="116">
          <cell r="A116">
            <v>4207</v>
          </cell>
          <cell r="B116">
            <v>2</v>
          </cell>
          <cell r="C116">
            <v>4</v>
          </cell>
          <cell r="D116" t="str">
            <v>精英耀阳手下</v>
          </cell>
          <cell r="E116" t="str">
            <v>挑战精英耀阳手下</v>
          </cell>
        </row>
        <row r="117">
          <cell r="A117">
            <v>4208</v>
          </cell>
          <cell r="B117">
            <v>2</v>
          </cell>
          <cell r="C117">
            <v>4</v>
          </cell>
          <cell r="D117" t="str">
            <v>精英东星拳师</v>
          </cell>
          <cell r="E117" t="str">
            <v>挑战精英东星拳师</v>
          </cell>
        </row>
        <row r="118">
          <cell r="A118">
            <v>4209</v>
          </cell>
          <cell r="B118">
            <v>2</v>
          </cell>
          <cell r="C118">
            <v>4</v>
          </cell>
          <cell r="D118" t="str">
            <v>精英耀阳</v>
          </cell>
          <cell r="E118" t="str">
            <v>挑战精英耀阳</v>
          </cell>
        </row>
        <row r="119">
          <cell r="A119">
            <v>5201</v>
          </cell>
          <cell r="B119">
            <v>2</v>
          </cell>
          <cell r="C119">
            <v>5</v>
          </cell>
          <cell r="D119" t="str">
            <v>精英司徒手下</v>
          </cell>
          <cell r="E119" t="str">
            <v>挑战精英司徒手下</v>
          </cell>
        </row>
        <row r="120">
          <cell r="A120">
            <v>5202</v>
          </cell>
          <cell r="B120">
            <v>2</v>
          </cell>
          <cell r="C120">
            <v>5</v>
          </cell>
          <cell r="D120" t="str">
            <v>精英破坏分子</v>
          </cell>
          <cell r="E120" t="str">
            <v>挑战精英破坏分子</v>
          </cell>
        </row>
        <row r="121">
          <cell r="A121">
            <v>5203</v>
          </cell>
          <cell r="B121">
            <v>2</v>
          </cell>
          <cell r="C121">
            <v>5</v>
          </cell>
          <cell r="D121" t="str">
            <v>精英地痞头目</v>
          </cell>
          <cell r="E121" t="str">
            <v>挑战精英地痞头目</v>
          </cell>
        </row>
        <row r="122">
          <cell r="A122">
            <v>5204</v>
          </cell>
          <cell r="B122">
            <v>2</v>
          </cell>
          <cell r="C122">
            <v>5</v>
          </cell>
          <cell r="D122" t="str">
            <v>精英外籍打手</v>
          </cell>
          <cell r="E122" t="str">
            <v>挑战精英外籍打手</v>
          </cell>
        </row>
        <row r="123">
          <cell r="A123">
            <v>5205</v>
          </cell>
          <cell r="B123">
            <v>2</v>
          </cell>
          <cell r="C123">
            <v>5</v>
          </cell>
          <cell r="D123" t="str">
            <v>精英长毛</v>
          </cell>
          <cell r="E123" t="str">
            <v>挑战精英长毛</v>
          </cell>
        </row>
        <row r="124">
          <cell r="A124">
            <v>5206</v>
          </cell>
          <cell r="B124">
            <v>2</v>
          </cell>
          <cell r="C124">
            <v>5</v>
          </cell>
          <cell r="D124" t="str">
            <v>精英大头仔</v>
          </cell>
          <cell r="E124" t="str">
            <v>挑战精英大头仔</v>
          </cell>
        </row>
        <row r="125">
          <cell r="A125">
            <v>5207</v>
          </cell>
          <cell r="B125">
            <v>2</v>
          </cell>
          <cell r="C125">
            <v>5</v>
          </cell>
          <cell r="D125" t="str">
            <v>精英阿勇</v>
          </cell>
          <cell r="E125" t="str">
            <v>挑战精英阿勇</v>
          </cell>
        </row>
        <row r="126">
          <cell r="A126">
            <v>5208</v>
          </cell>
          <cell r="B126">
            <v>2</v>
          </cell>
          <cell r="C126">
            <v>5</v>
          </cell>
          <cell r="D126" t="str">
            <v>精英非法裁判</v>
          </cell>
          <cell r="E126" t="str">
            <v>挑战精英非法裁判</v>
          </cell>
        </row>
        <row r="127">
          <cell r="A127">
            <v>5209</v>
          </cell>
          <cell r="B127">
            <v>2</v>
          </cell>
          <cell r="C127">
            <v>5</v>
          </cell>
          <cell r="D127" t="str">
            <v>精英司徒浩南</v>
          </cell>
          <cell r="E127" t="str">
            <v>挑战精英司徒浩南</v>
          </cell>
        </row>
        <row r="128">
          <cell r="A128">
            <v>6201</v>
          </cell>
          <cell r="B128">
            <v>2</v>
          </cell>
          <cell r="C128">
            <v>6</v>
          </cell>
          <cell r="D128" t="str">
            <v>精英鬼冢</v>
          </cell>
          <cell r="E128" t="str">
            <v>挑战精英鬼冢</v>
          </cell>
        </row>
        <row r="129">
          <cell r="A129">
            <v>6202</v>
          </cell>
          <cell r="B129">
            <v>2</v>
          </cell>
          <cell r="C129">
            <v>6</v>
          </cell>
          <cell r="D129" t="str">
            <v>精英暗魔</v>
          </cell>
          <cell r="E129" t="str">
            <v>挑战精英暗魔</v>
          </cell>
        </row>
        <row r="130">
          <cell r="A130">
            <v>6203</v>
          </cell>
          <cell r="B130">
            <v>2</v>
          </cell>
          <cell r="C130">
            <v>6</v>
          </cell>
          <cell r="D130" t="str">
            <v>精英血狂</v>
          </cell>
          <cell r="E130" t="str">
            <v>挑战精英血狂</v>
          </cell>
        </row>
        <row r="131">
          <cell r="A131">
            <v>6204</v>
          </cell>
          <cell r="B131">
            <v>2</v>
          </cell>
          <cell r="C131">
            <v>6</v>
          </cell>
          <cell r="D131" t="str">
            <v>精英獠牙</v>
          </cell>
          <cell r="E131" t="str">
            <v>挑战精英獠牙</v>
          </cell>
        </row>
        <row r="132">
          <cell r="A132">
            <v>6205</v>
          </cell>
          <cell r="B132">
            <v>2</v>
          </cell>
          <cell r="C132">
            <v>6</v>
          </cell>
          <cell r="D132" t="str">
            <v>精英陈浩南</v>
          </cell>
          <cell r="E132" t="str">
            <v>挑战精英陈浩南</v>
          </cell>
        </row>
        <row r="133">
          <cell r="A133">
            <v>6206</v>
          </cell>
          <cell r="B133">
            <v>2</v>
          </cell>
          <cell r="C133">
            <v>6</v>
          </cell>
          <cell r="D133" t="str">
            <v>精英毒牙</v>
          </cell>
          <cell r="E133" t="str">
            <v>挑战精英毒牙</v>
          </cell>
        </row>
        <row r="134">
          <cell r="A134">
            <v>6207</v>
          </cell>
          <cell r="B134">
            <v>2</v>
          </cell>
          <cell r="C134">
            <v>6</v>
          </cell>
          <cell r="D134" t="str">
            <v>精英织田</v>
          </cell>
          <cell r="E134" t="str">
            <v>挑战精英织田</v>
          </cell>
        </row>
        <row r="135">
          <cell r="A135">
            <v>6208</v>
          </cell>
          <cell r="B135">
            <v>2</v>
          </cell>
          <cell r="C135">
            <v>6</v>
          </cell>
          <cell r="D135" t="str">
            <v>精英太乙部下</v>
          </cell>
          <cell r="E135" t="str">
            <v>挑战精英太乙部下</v>
          </cell>
        </row>
        <row r="136">
          <cell r="A136">
            <v>6209</v>
          </cell>
          <cell r="B136">
            <v>2</v>
          </cell>
          <cell r="C136">
            <v>6</v>
          </cell>
          <cell r="D136" t="str">
            <v>精英太乙</v>
          </cell>
          <cell r="E136" t="str">
            <v>挑战精英太乙</v>
          </cell>
        </row>
        <row r="137">
          <cell r="A137">
            <v>7201</v>
          </cell>
          <cell r="B137">
            <v>2</v>
          </cell>
          <cell r="C137">
            <v>7</v>
          </cell>
          <cell r="D137" t="str">
            <v>精英白虎堂</v>
          </cell>
          <cell r="E137" t="str">
            <v>挑战精英白虎堂</v>
          </cell>
        </row>
        <row r="138">
          <cell r="A138">
            <v>7202</v>
          </cell>
          <cell r="B138">
            <v>2</v>
          </cell>
          <cell r="C138">
            <v>7</v>
          </cell>
          <cell r="D138" t="str">
            <v>精英玄武堂</v>
          </cell>
          <cell r="E138" t="str">
            <v>挑战精英玄武堂</v>
          </cell>
        </row>
        <row r="139">
          <cell r="A139">
            <v>7203</v>
          </cell>
          <cell r="B139">
            <v>2</v>
          </cell>
          <cell r="C139">
            <v>7</v>
          </cell>
          <cell r="D139" t="str">
            <v>精英朱雀堂</v>
          </cell>
          <cell r="E139" t="str">
            <v>挑战精英朱雀堂</v>
          </cell>
        </row>
        <row r="140">
          <cell r="A140">
            <v>7204</v>
          </cell>
          <cell r="B140">
            <v>2</v>
          </cell>
          <cell r="C140">
            <v>7</v>
          </cell>
          <cell r="D140" t="str">
            <v>精英青龙堂</v>
          </cell>
          <cell r="E140" t="str">
            <v>挑战精英青龙堂</v>
          </cell>
        </row>
        <row r="141">
          <cell r="A141">
            <v>7205</v>
          </cell>
          <cell r="B141">
            <v>2</v>
          </cell>
          <cell r="C141">
            <v>7</v>
          </cell>
          <cell r="D141" t="str">
            <v>精英佐维</v>
          </cell>
          <cell r="E141" t="str">
            <v>挑战精英佐维</v>
          </cell>
        </row>
        <row r="142">
          <cell r="A142">
            <v>7206</v>
          </cell>
          <cell r="B142">
            <v>2</v>
          </cell>
          <cell r="C142">
            <v>7</v>
          </cell>
          <cell r="D142" t="str">
            <v>精英傲虎</v>
          </cell>
          <cell r="E142" t="str">
            <v>挑战精英傲虎</v>
          </cell>
        </row>
        <row r="143">
          <cell r="A143">
            <v>7207</v>
          </cell>
          <cell r="B143">
            <v>2</v>
          </cell>
          <cell r="C143">
            <v>7</v>
          </cell>
          <cell r="D143" t="str">
            <v>精英狂龙</v>
          </cell>
          <cell r="E143" t="str">
            <v>挑战精英狂龙</v>
          </cell>
        </row>
        <row r="144">
          <cell r="A144">
            <v>7208</v>
          </cell>
          <cell r="B144">
            <v>2</v>
          </cell>
          <cell r="C144">
            <v>7</v>
          </cell>
          <cell r="D144" t="str">
            <v>精英山崎</v>
          </cell>
          <cell r="E144" t="str">
            <v>挑战精英山崎</v>
          </cell>
        </row>
        <row r="145">
          <cell r="A145">
            <v>7209</v>
          </cell>
          <cell r="B145">
            <v>2</v>
          </cell>
          <cell r="C145">
            <v>7</v>
          </cell>
          <cell r="D145" t="str">
            <v>精英杀手首领</v>
          </cell>
          <cell r="E145" t="str">
            <v>挑战精英杀手首领</v>
          </cell>
        </row>
        <row r="146">
          <cell r="A146">
            <v>8201</v>
          </cell>
          <cell r="B146">
            <v>2</v>
          </cell>
          <cell r="C146">
            <v>8</v>
          </cell>
          <cell r="D146" t="str">
            <v>精英复仇靓坤</v>
          </cell>
          <cell r="E146" t="str">
            <v>挑战精英复仇靓坤</v>
          </cell>
        </row>
        <row r="147">
          <cell r="A147">
            <v>8202</v>
          </cell>
          <cell r="B147">
            <v>2</v>
          </cell>
          <cell r="C147">
            <v>8</v>
          </cell>
          <cell r="D147" t="str">
            <v>精英复仇乌鸦</v>
          </cell>
          <cell r="E147" t="str">
            <v>挑战精英复仇乌鸦</v>
          </cell>
        </row>
        <row r="148">
          <cell r="A148">
            <v>8203</v>
          </cell>
          <cell r="B148">
            <v>2</v>
          </cell>
          <cell r="C148">
            <v>8</v>
          </cell>
          <cell r="D148" t="str">
            <v>精英复仇司徒</v>
          </cell>
          <cell r="E148" t="str">
            <v>挑战精英复仇司徒</v>
          </cell>
        </row>
        <row r="149">
          <cell r="A149">
            <v>8204</v>
          </cell>
          <cell r="B149">
            <v>2</v>
          </cell>
          <cell r="C149">
            <v>8</v>
          </cell>
          <cell r="D149" t="str">
            <v>精英生番</v>
          </cell>
          <cell r="E149" t="str">
            <v>挑战精英生番</v>
          </cell>
        </row>
        <row r="150">
          <cell r="A150">
            <v>8205</v>
          </cell>
          <cell r="B150">
            <v>2</v>
          </cell>
          <cell r="C150">
            <v>8</v>
          </cell>
          <cell r="D150" t="str">
            <v>精英耀阳</v>
          </cell>
          <cell r="E150" t="str">
            <v>挑战精英耀阳</v>
          </cell>
        </row>
        <row r="151">
          <cell r="A151">
            <v>8206</v>
          </cell>
          <cell r="B151">
            <v>2</v>
          </cell>
          <cell r="C151">
            <v>8</v>
          </cell>
          <cell r="D151" t="str">
            <v>精英赌王</v>
          </cell>
          <cell r="E151" t="str">
            <v>挑战精英赌王</v>
          </cell>
        </row>
        <row r="152">
          <cell r="A152">
            <v>8207</v>
          </cell>
          <cell r="B152">
            <v>2</v>
          </cell>
          <cell r="C152">
            <v>8</v>
          </cell>
          <cell r="D152" t="str">
            <v>精英地中海</v>
          </cell>
          <cell r="E152" t="str">
            <v>挑战精英地中海</v>
          </cell>
        </row>
        <row r="153">
          <cell r="A153">
            <v>8208</v>
          </cell>
          <cell r="B153">
            <v>2</v>
          </cell>
          <cell r="C153">
            <v>8</v>
          </cell>
          <cell r="D153" t="str">
            <v>精英山鸡</v>
          </cell>
          <cell r="E153" t="str">
            <v>挑战精英山鸡</v>
          </cell>
        </row>
        <row r="154">
          <cell r="A154">
            <v>8209</v>
          </cell>
          <cell r="B154">
            <v>2</v>
          </cell>
          <cell r="C154">
            <v>8</v>
          </cell>
          <cell r="D154" t="str">
            <v>精英雷复轰</v>
          </cell>
          <cell r="E154" t="str">
            <v>挑战精英雷复轰</v>
          </cell>
        </row>
        <row r="155">
          <cell r="A155">
            <v>1301</v>
          </cell>
          <cell r="B155">
            <v>3</v>
          </cell>
          <cell r="C155">
            <v>1</v>
          </cell>
          <cell r="D155" t="str">
            <v>金币副本1</v>
          </cell>
          <cell r="E155" t="str">
            <v>大量金币</v>
          </cell>
        </row>
        <row r="156">
          <cell r="A156">
            <v>1302</v>
          </cell>
          <cell r="B156">
            <v>3</v>
          </cell>
          <cell r="C156">
            <v>2</v>
          </cell>
          <cell r="D156" t="str">
            <v>金币副本2</v>
          </cell>
          <cell r="E156" t="str">
            <v>大量金币</v>
          </cell>
        </row>
        <row r="157">
          <cell r="A157">
            <v>1303</v>
          </cell>
          <cell r="B157">
            <v>3</v>
          </cell>
          <cell r="C157">
            <v>3</v>
          </cell>
          <cell r="D157" t="str">
            <v>金币副本3</v>
          </cell>
          <cell r="E157" t="str">
            <v>大量金币</v>
          </cell>
        </row>
        <row r="158">
          <cell r="A158">
            <v>1304</v>
          </cell>
          <cell r="B158">
            <v>3</v>
          </cell>
          <cell r="C158">
            <v>4</v>
          </cell>
          <cell r="D158" t="str">
            <v>金币副本4</v>
          </cell>
          <cell r="E158" t="str">
            <v>大量金币</v>
          </cell>
        </row>
        <row r="159">
          <cell r="A159">
            <v>1305</v>
          </cell>
          <cell r="B159">
            <v>3</v>
          </cell>
          <cell r="C159">
            <v>5</v>
          </cell>
          <cell r="D159" t="str">
            <v>金币副本5</v>
          </cell>
          <cell r="E159" t="str">
            <v>大量金币</v>
          </cell>
        </row>
        <row r="160">
          <cell r="A160">
            <v>1306</v>
          </cell>
          <cell r="B160">
            <v>3</v>
          </cell>
          <cell r="C160">
            <v>6</v>
          </cell>
          <cell r="D160" t="str">
            <v>金币副本6</v>
          </cell>
          <cell r="E160" t="str">
            <v>大量金币</v>
          </cell>
        </row>
        <row r="161">
          <cell r="A161">
            <v>1401</v>
          </cell>
          <cell r="B161">
            <v>3</v>
          </cell>
          <cell r="C161">
            <v>1</v>
          </cell>
          <cell r="D161" t="str">
            <v>材料副本1</v>
          </cell>
          <cell r="E161" t="str">
            <v>可获得大量装备材料</v>
          </cell>
        </row>
        <row r="162">
          <cell r="A162">
            <v>1402</v>
          </cell>
          <cell r="B162">
            <v>3</v>
          </cell>
          <cell r="C162">
            <v>2</v>
          </cell>
          <cell r="D162" t="str">
            <v>材料副本2</v>
          </cell>
          <cell r="E162" t="str">
            <v>可获得大量装备材料</v>
          </cell>
        </row>
        <row r="163">
          <cell r="A163">
            <v>1403</v>
          </cell>
          <cell r="B163">
            <v>3</v>
          </cell>
          <cell r="C163">
            <v>3</v>
          </cell>
          <cell r="D163" t="str">
            <v>材料副本3</v>
          </cell>
          <cell r="E163" t="str">
            <v>可获得大量装备材料</v>
          </cell>
        </row>
        <row r="164">
          <cell r="A164">
            <v>1404</v>
          </cell>
          <cell r="B164">
            <v>3</v>
          </cell>
          <cell r="C164">
            <v>4</v>
          </cell>
          <cell r="D164" t="str">
            <v>材料副本4</v>
          </cell>
          <cell r="E164" t="str">
            <v>可获得大量装备材料</v>
          </cell>
        </row>
        <row r="165">
          <cell r="A165">
            <v>1405</v>
          </cell>
          <cell r="B165">
            <v>3</v>
          </cell>
          <cell r="C165">
            <v>5</v>
          </cell>
          <cell r="D165" t="str">
            <v>材料副本5</v>
          </cell>
          <cell r="E165" t="str">
            <v>可获得大量装备材料</v>
          </cell>
        </row>
        <row r="166">
          <cell r="A166">
            <v>1406</v>
          </cell>
          <cell r="B166">
            <v>3</v>
          </cell>
          <cell r="C166">
            <v>6</v>
          </cell>
          <cell r="D166" t="str">
            <v>材料副本6</v>
          </cell>
          <cell r="E166" t="str">
            <v>可获得大量装备材料</v>
          </cell>
        </row>
        <row r="167">
          <cell r="A167">
            <v>1501</v>
          </cell>
          <cell r="B167">
            <v>3</v>
          </cell>
          <cell r="C167">
            <v>1</v>
          </cell>
          <cell r="D167" t="str">
            <v>挑战Boss-制服太妹</v>
          </cell>
          <cell r="E167" t="str">
            <v>可获得马仔碎片(亚芝)</v>
          </cell>
        </row>
        <row r="168">
          <cell r="A168">
            <v>1502</v>
          </cell>
          <cell r="B168">
            <v>3</v>
          </cell>
          <cell r="C168">
            <v>1</v>
          </cell>
          <cell r="D168" t="str">
            <v>挑战Boss-比利</v>
          </cell>
          <cell r="E168" t="str">
            <v>可获得马仔碎片(比利)</v>
          </cell>
        </row>
        <row r="169">
          <cell r="A169">
            <v>1503</v>
          </cell>
          <cell r="B169">
            <v>3</v>
          </cell>
          <cell r="C169">
            <v>2</v>
          </cell>
          <cell r="D169" t="str">
            <v>挑战Boss-靓坤</v>
          </cell>
          <cell r="E169" t="str">
            <v>可获得马仔碎片(靓坤)</v>
          </cell>
        </row>
        <row r="170">
          <cell r="A170">
            <v>1504</v>
          </cell>
          <cell r="B170">
            <v>3</v>
          </cell>
          <cell r="C170">
            <v>2</v>
          </cell>
          <cell r="D170" t="str">
            <v>挑战Boss-雷复轰</v>
          </cell>
          <cell r="E170" t="str">
            <v>较高几率获得灵魂石(雷复轰)</v>
          </cell>
        </row>
        <row r="171">
          <cell r="A171">
            <v>1505</v>
          </cell>
          <cell r="B171">
            <v>3</v>
          </cell>
          <cell r="C171">
            <v>2</v>
          </cell>
          <cell r="D171" t="str">
            <v>挑战Boss-肥仔</v>
          </cell>
          <cell r="E171" t="str">
            <v>较高几率获得灵魂石(肥仔)</v>
          </cell>
        </row>
        <row r="172">
          <cell r="A172">
            <v>1506</v>
          </cell>
          <cell r="B172">
            <v>3</v>
          </cell>
          <cell r="C172">
            <v>2</v>
          </cell>
          <cell r="D172" t="str">
            <v>挑战Boss-巴闭</v>
          </cell>
          <cell r="E172" t="str">
            <v>较高几率获得灵魂石(巴闭)</v>
          </cell>
        </row>
        <row r="173">
          <cell r="A173">
            <v>1507</v>
          </cell>
          <cell r="B173">
            <v>3</v>
          </cell>
          <cell r="C173">
            <v>3</v>
          </cell>
          <cell r="D173" t="str">
            <v>挑战Boss-赌王</v>
          </cell>
          <cell r="E173" t="str">
            <v>可获得灵魂石(赌王)</v>
          </cell>
        </row>
        <row r="174">
          <cell r="A174">
            <v>1508</v>
          </cell>
          <cell r="B174">
            <v>3</v>
          </cell>
          <cell r="C174">
            <v>3</v>
          </cell>
          <cell r="D174" t="str">
            <v>挑战Boss-乌鸦</v>
          </cell>
          <cell r="E174" t="str">
            <v>可获得灵魂石(乌鸦)</v>
          </cell>
        </row>
        <row r="175">
          <cell r="A175">
            <v>1509</v>
          </cell>
          <cell r="B175">
            <v>3</v>
          </cell>
          <cell r="C175">
            <v>3</v>
          </cell>
          <cell r="D175" t="str">
            <v>挑战Boss-山下忠秀</v>
          </cell>
          <cell r="E175" t="str">
            <v>可获得灵魂石(山下忠秀)</v>
          </cell>
        </row>
        <row r="176">
          <cell r="A176">
            <v>1510</v>
          </cell>
          <cell r="B176">
            <v>3</v>
          </cell>
          <cell r="C176">
            <v>3</v>
          </cell>
          <cell r="D176" t="str">
            <v>挑战Boss-宫本一</v>
          </cell>
          <cell r="E176" t="str">
            <v>较高几率获得灵魂石(宫本一)</v>
          </cell>
        </row>
        <row r="177">
          <cell r="A177">
            <v>1511</v>
          </cell>
          <cell r="B177">
            <v>3</v>
          </cell>
          <cell r="C177">
            <v>3</v>
          </cell>
          <cell r="D177" t="str">
            <v>挑战Boss-笑面虎</v>
          </cell>
          <cell r="E177" t="str">
            <v>较高几率获得灵魂石(笑面虎)</v>
          </cell>
        </row>
        <row r="178">
          <cell r="A178">
            <v>1512</v>
          </cell>
          <cell r="B178">
            <v>3</v>
          </cell>
          <cell r="C178">
            <v>4</v>
          </cell>
          <cell r="D178" t="str">
            <v>挑战Boss-陈浩南</v>
          </cell>
          <cell r="E178" t="str">
            <v>较高几率获得灵魂石(陈浩南)</v>
          </cell>
        </row>
        <row r="179">
          <cell r="A179">
            <v>1513</v>
          </cell>
          <cell r="B179">
            <v>3</v>
          </cell>
          <cell r="C179">
            <v>4</v>
          </cell>
          <cell r="D179" t="str">
            <v>挑战Boss-山鸡</v>
          </cell>
          <cell r="E179" t="str">
            <v>可获得灵魂石(山鸡)</v>
          </cell>
        </row>
        <row r="180">
          <cell r="A180">
            <v>1514</v>
          </cell>
          <cell r="B180">
            <v>3</v>
          </cell>
          <cell r="C180">
            <v>4</v>
          </cell>
          <cell r="D180" t="str">
            <v>挑战Boss-大天二</v>
          </cell>
          <cell r="E180" t="str">
            <v>可获得灵魂石(大天二)</v>
          </cell>
        </row>
        <row r="181">
          <cell r="A181">
            <v>1601</v>
          </cell>
          <cell r="B181">
            <v>3</v>
          </cell>
          <cell r="C181">
            <v>1</v>
          </cell>
          <cell r="D181" t="str">
            <v>组队1</v>
          </cell>
        </row>
        <row r="182">
          <cell r="A182">
            <v>1602</v>
          </cell>
          <cell r="B182">
            <v>3</v>
          </cell>
          <cell r="C182">
            <v>1</v>
          </cell>
          <cell r="D182" t="str">
            <v>组队2</v>
          </cell>
        </row>
        <row r="183">
          <cell r="A183">
            <v>1603</v>
          </cell>
          <cell r="B183">
            <v>3</v>
          </cell>
          <cell r="C183">
            <v>1</v>
          </cell>
          <cell r="D183" t="str">
            <v>组队3</v>
          </cell>
        </row>
        <row r="184">
          <cell r="A184">
            <v>2401</v>
          </cell>
          <cell r="B184">
            <v>4</v>
          </cell>
          <cell r="C184">
            <v>1</v>
          </cell>
          <cell r="D184" t="str">
            <v>竞技场1</v>
          </cell>
          <cell r="E184" t="str">
            <v>强者云集的战斗天堂</v>
          </cell>
        </row>
        <row r="185">
          <cell r="A185">
            <v>2402</v>
          </cell>
          <cell r="B185">
            <v>4</v>
          </cell>
          <cell r="C185">
            <v>1</v>
          </cell>
          <cell r="D185" t="str">
            <v>竞技场2</v>
          </cell>
          <cell r="E185" t="str">
            <v>强者云集的战斗天堂</v>
          </cell>
        </row>
        <row r="186">
          <cell r="A186">
            <v>2403</v>
          </cell>
          <cell r="B186">
            <v>4</v>
          </cell>
          <cell r="C186">
            <v>1</v>
          </cell>
          <cell r="D186" t="str">
            <v>竞技场3</v>
          </cell>
          <cell r="E186" t="str">
            <v>强者云集的战斗天堂</v>
          </cell>
        </row>
        <row r="187">
          <cell r="A187">
            <v>999</v>
          </cell>
          <cell r="B187">
            <v>1</v>
          </cell>
          <cell r="C187">
            <v>9</v>
          </cell>
          <cell r="D187" t="str">
            <v>打豆豆</v>
          </cell>
          <cell r="E187" t="str">
            <v>测试用副本</v>
          </cell>
        </row>
        <row r="188">
          <cell r="A188">
            <v>1901</v>
          </cell>
          <cell r="B188">
            <v>6</v>
          </cell>
          <cell r="C188">
            <v>1</v>
          </cell>
          <cell r="D188" t="str">
            <v>英雄之路1</v>
          </cell>
          <cell r="E188" t="str">
            <v>百人斩！</v>
          </cell>
        </row>
        <row r="189">
          <cell r="A189">
            <v>1902</v>
          </cell>
          <cell r="B189">
            <v>6</v>
          </cell>
          <cell r="C189">
            <v>1</v>
          </cell>
          <cell r="D189" t="str">
            <v>英雄之路2</v>
          </cell>
          <cell r="E189" t="str">
            <v>护送小结巴！</v>
          </cell>
        </row>
        <row r="190">
          <cell r="A190">
            <v>1903</v>
          </cell>
          <cell r="B190">
            <v>6</v>
          </cell>
          <cell r="C190">
            <v>1</v>
          </cell>
          <cell r="D190" t="str">
            <v>英雄之路3</v>
          </cell>
          <cell r="E190" t="str">
            <v>挑战：靓坤！</v>
          </cell>
        </row>
        <row r="191">
          <cell r="A191">
            <v>1904</v>
          </cell>
          <cell r="B191">
            <v>6</v>
          </cell>
          <cell r="C191">
            <v>1</v>
          </cell>
          <cell r="D191" t="str">
            <v>英雄之路4</v>
          </cell>
          <cell r="E191" t="str">
            <v>挑战：乌鸦！</v>
          </cell>
        </row>
        <row r="192">
          <cell r="A192">
            <v>1905</v>
          </cell>
          <cell r="B192">
            <v>6</v>
          </cell>
          <cell r="C192">
            <v>1</v>
          </cell>
          <cell r="D192" t="str">
            <v>英雄之路5</v>
          </cell>
          <cell r="E192" t="str">
            <v>挑战：司徒浩南！</v>
          </cell>
        </row>
        <row r="193">
          <cell r="A193">
            <v>1906</v>
          </cell>
          <cell r="B193">
            <v>6</v>
          </cell>
          <cell r="C193">
            <v>1</v>
          </cell>
          <cell r="D193" t="str">
            <v>英雄之路6</v>
          </cell>
          <cell r="E193" t="str">
            <v>挑战：赌王！</v>
          </cell>
        </row>
        <row r="194">
          <cell r="A194">
            <v>1907</v>
          </cell>
          <cell r="B194">
            <v>6</v>
          </cell>
          <cell r="C194">
            <v>1</v>
          </cell>
          <cell r="D194" t="str">
            <v>英雄之路7</v>
          </cell>
          <cell r="E194" t="str">
            <v>挑战：雷复轰！</v>
          </cell>
        </row>
        <row r="195">
          <cell r="A195">
            <v>1908</v>
          </cell>
          <cell r="B195">
            <v>6</v>
          </cell>
          <cell r="C195">
            <v>1</v>
          </cell>
          <cell r="D195" t="str">
            <v>英雄之路8</v>
          </cell>
          <cell r="E195" t="str">
            <v>挑战：杀手首领！</v>
          </cell>
        </row>
        <row r="196">
          <cell r="A196">
            <v>1909</v>
          </cell>
          <cell r="B196">
            <v>6</v>
          </cell>
          <cell r="C196">
            <v>1</v>
          </cell>
          <cell r="D196" t="str">
            <v>英雄之路9</v>
          </cell>
          <cell r="E196" t="str">
            <v>逃亡！</v>
          </cell>
        </row>
        <row r="197">
          <cell r="A197">
            <v>1910</v>
          </cell>
          <cell r="B197">
            <v>6</v>
          </cell>
          <cell r="C197">
            <v>1</v>
          </cell>
          <cell r="D197" t="str">
            <v>英雄之路10</v>
          </cell>
          <cell r="E197" t="str">
            <v>英雄救美！</v>
          </cell>
        </row>
        <row r="198">
          <cell r="A198">
            <v>1911</v>
          </cell>
          <cell r="B198">
            <v>6</v>
          </cell>
          <cell r="C198">
            <v>1</v>
          </cell>
          <cell r="D198" t="str">
            <v>英雄之路11</v>
          </cell>
          <cell r="E198" t="str">
            <v>百人斩！</v>
          </cell>
        </row>
        <row r="199">
          <cell r="A199">
            <v>1912</v>
          </cell>
          <cell r="B199">
            <v>6</v>
          </cell>
          <cell r="C199">
            <v>1</v>
          </cell>
          <cell r="D199" t="str">
            <v>英雄之路12</v>
          </cell>
          <cell r="E199" t="str">
            <v>护送小结巴！</v>
          </cell>
        </row>
        <row r="200">
          <cell r="A200">
            <v>1913</v>
          </cell>
          <cell r="B200">
            <v>6</v>
          </cell>
          <cell r="C200">
            <v>1</v>
          </cell>
          <cell r="D200" t="str">
            <v>英雄之路13</v>
          </cell>
          <cell r="E200" t="str">
            <v>地下擂台！</v>
          </cell>
        </row>
        <row r="201">
          <cell r="A201">
            <v>1914</v>
          </cell>
          <cell r="B201">
            <v>6</v>
          </cell>
          <cell r="C201">
            <v>1</v>
          </cell>
          <cell r="D201" t="str">
            <v>英雄之路14</v>
          </cell>
          <cell r="E201" t="str">
            <v>挑战：乌鸦！</v>
          </cell>
        </row>
        <row r="202">
          <cell r="A202">
            <v>1915</v>
          </cell>
          <cell r="B202">
            <v>6</v>
          </cell>
          <cell r="C202">
            <v>1</v>
          </cell>
          <cell r="D202" t="str">
            <v>英雄之路15</v>
          </cell>
          <cell r="E202" t="str">
            <v>挑战：司徒浩南！</v>
          </cell>
        </row>
        <row r="203">
          <cell r="A203">
            <v>1916</v>
          </cell>
          <cell r="B203">
            <v>6</v>
          </cell>
          <cell r="C203">
            <v>1</v>
          </cell>
          <cell r="D203" t="str">
            <v>英雄之路16</v>
          </cell>
          <cell r="E203" t="str">
            <v>挑战：赌王！</v>
          </cell>
        </row>
        <row r="204">
          <cell r="A204">
            <v>1917</v>
          </cell>
          <cell r="B204">
            <v>6</v>
          </cell>
          <cell r="C204">
            <v>1</v>
          </cell>
          <cell r="D204" t="str">
            <v>英雄之路17</v>
          </cell>
          <cell r="E204" t="str">
            <v>挑战：雷复轰！</v>
          </cell>
        </row>
        <row r="205">
          <cell r="A205">
            <v>1918</v>
          </cell>
          <cell r="B205">
            <v>6</v>
          </cell>
          <cell r="C205">
            <v>1</v>
          </cell>
          <cell r="D205" t="str">
            <v>英雄之路18</v>
          </cell>
          <cell r="E205" t="str">
            <v>挑战：杀手首领！</v>
          </cell>
        </row>
        <row r="206">
          <cell r="A206">
            <v>1919</v>
          </cell>
          <cell r="B206">
            <v>6</v>
          </cell>
          <cell r="C206">
            <v>1</v>
          </cell>
          <cell r="D206" t="str">
            <v>英雄之路19</v>
          </cell>
          <cell r="E206" t="str">
            <v>逃亡！</v>
          </cell>
        </row>
        <row r="207">
          <cell r="A207">
            <v>1920</v>
          </cell>
          <cell r="B207">
            <v>6</v>
          </cell>
          <cell r="C207">
            <v>1</v>
          </cell>
          <cell r="D207" t="str">
            <v>英雄之路20</v>
          </cell>
          <cell r="E207" t="str">
            <v>陷阱！</v>
          </cell>
        </row>
        <row r="208">
          <cell r="A208">
            <v>1701</v>
          </cell>
          <cell r="B208">
            <v>3</v>
          </cell>
          <cell r="C208">
            <v>1</v>
          </cell>
          <cell r="D208" t="str">
            <v>命运副本1</v>
          </cell>
          <cell r="E208" t="str">
            <v>大量命运石</v>
          </cell>
        </row>
        <row r="209">
          <cell r="A209">
            <v>1702</v>
          </cell>
          <cell r="B209">
            <v>3</v>
          </cell>
          <cell r="C209">
            <v>2</v>
          </cell>
          <cell r="D209" t="str">
            <v>命运副本2</v>
          </cell>
          <cell r="E209" t="str">
            <v>大量命运石</v>
          </cell>
        </row>
        <row r="210">
          <cell r="A210">
            <v>1703</v>
          </cell>
          <cell r="B210">
            <v>3</v>
          </cell>
          <cell r="C210">
            <v>3</v>
          </cell>
          <cell r="D210" t="str">
            <v>命运副本3</v>
          </cell>
          <cell r="E210" t="str">
            <v>大量命运石</v>
          </cell>
        </row>
        <row r="211">
          <cell r="A211">
            <v>1704</v>
          </cell>
          <cell r="B211">
            <v>3</v>
          </cell>
          <cell r="C211">
            <v>4</v>
          </cell>
          <cell r="D211" t="str">
            <v>命运副本4</v>
          </cell>
          <cell r="E211" t="str">
            <v>大量命运石</v>
          </cell>
        </row>
        <row r="212">
          <cell r="A212">
            <v>1705</v>
          </cell>
          <cell r="B212">
            <v>3</v>
          </cell>
          <cell r="C212">
            <v>5</v>
          </cell>
          <cell r="D212" t="str">
            <v>命运副本5</v>
          </cell>
          <cell r="E212" t="str">
            <v>大量命运石</v>
          </cell>
        </row>
        <row r="213">
          <cell r="A213">
            <v>1706</v>
          </cell>
          <cell r="B213">
            <v>3</v>
          </cell>
          <cell r="C213">
            <v>6</v>
          </cell>
          <cell r="D213" t="str">
            <v>命运副本6</v>
          </cell>
          <cell r="E213" t="str">
            <v>大量命运石</v>
          </cell>
        </row>
        <row r="214">
          <cell r="A214">
            <v>1801</v>
          </cell>
          <cell r="B214">
            <v>3</v>
          </cell>
          <cell r="C214">
            <v>1</v>
          </cell>
          <cell r="D214" t="str">
            <v>经验副本1</v>
          </cell>
          <cell r="E214" t="str">
            <v>可获得大量马仔经验药水</v>
          </cell>
        </row>
        <row r="215">
          <cell r="A215">
            <v>1802</v>
          </cell>
          <cell r="B215">
            <v>3</v>
          </cell>
          <cell r="C215">
            <v>2</v>
          </cell>
          <cell r="D215" t="str">
            <v>经验副本2</v>
          </cell>
          <cell r="E215" t="str">
            <v>可获得大量马仔经验药水</v>
          </cell>
        </row>
        <row r="216">
          <cell r="A216">
            <v>1803</v>
          </cell>
          <cell r="B216">
            <v>3</v>
          </cell>
          <cell r="C216">
            <v>3</v>
          </cell>
          <cell r="D216" t="str">
            <v>经验副本3</v>
          </cell>
          <cell r="E216" t="str">
            <v>可获得大量马仔经验药水</v>
          </cell>
        </row>
        <row r="217">
          <cell r="A217">
            <v>1804</v>
          </cell>
          <cell r="B217">
            <v>3</v>
          </cell>
          <cell r="C217">
            <v>4</v>
          </cell>
          <cell r="D217" t="str">
            <v>经验副本4</v>
          </cell>
          <cell r="E217" t="str">
            <v>可获得大量马仔经验药水</v>
          </cell>
        </row>
        <row r="218">
          <cell r="A218">
            <v>1805</v>
          </cell>
          <cell r="B218">
            <v>3</v>
          </cell>
          <cell r="C218">
            <v>5</v>
          </cell>
          <cell r="D218" t="str">
            <v>经验副本5</v>
          </cell>
          <cell r="E218" t="str">
            <v>可获得大量马仔经验药水</v>
          </cell>
        </row>
        <row r="219">
          <cell r="A219">
            <v>1806</v>
          </cell>
          <cell r="B219">
            <v>3</v>
          </cell>
          <cell r="C219">
            <v>6</v>
          </cell>
          <cell r="D219" t="str">
            <v>经验副本6</v>
          </cell>
          <cell r="E219" t="str">
            <v>可获得大量马仔经验药水</v>
          </cell>
        </row>
        <row r="220">
          <cell r="A220">
            <v>2501</v>
          </cell>
          <cell r="B220">
            <v>3</v>
          </cell>
          <cell r="C220">
            <v>1</v>
          </cell>
          <cell r="D220" t="str">
            <v>追债</v>
          </cell>
          <cell r="E220" t="str">
            <v>追债地图</v>
          </cell>
        </row>
        <row r="221">
          <cell r="A221">
            <v>2601</v>
          </cell>
          <cell r="B221">
            <v>7</v>
          </cell>
          <cell r="C221">
            <v>1</v>
          </cell>
          <cell r="D221" t="str">
            <v>练功房</v>
          </cell>
          <cell r="E221" t="str">
            <v>练功房</v>
          </cell>
        </row>
        <row r="222">
          <cell r="A222">
            <v>2701</v>
          </cell>
          <cell r="B222">
            <v>8</v>
          </cell>
          <cell r="C222">
            <v>1</v>
          </cell>
          <cell r="D222" t="str">
            <v>组队副本</v>
          </cell>
          <cell r="E222" t="str">
            <v>组队副本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P1">
            <v>42</v>
          </cell>
        </row>
      </sheetData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怪物表"/>
      <sheetName val="怪物信息配置表"/>
      <sheetName val="远征副本等级难度系数控制"/>
      <sheetName val="英雄之路怪物"/>
      <sheetName val="配置说明"/>
      <sheetName val="怪物信息表"/>
      <sheetName val="人物成长模拟表"/>
      <sheetName val="人物&amp;怪物成长分析"/>
      <sheetName val="副本难度推算"/>
      <sheetName val="怪物并表"/>
      <sheetName val="普通副本怪物"/>
      <sheetName val="精英副本怪物"/>
      <sheetName val="金币副本怪物"/>
      <sheetName val="材料副本怪物"/>
      <sheetName val="马仔经验副本怪物"/>
      <sheetName val="命运副本怪物"/>
      <sheetName val="BOSS副本怪物"/>
      <sheetName val="BOSS副本数值"/>
    </sheetNames>
    <sheetDataSet>
      <sheetData sheetId="0"/>
      <sheetData sheetId="1"/>
      <sheetData sheetId="2">
        <row r="2">
          <cell r="A2">
            <v>20</v>
          </cell>
          <cell r="B2">
            <v>1</v>
          </cell>
          <cell r="C2">
            <v>1</v>
          </cell>
          <cell r="D2">
            <v>1</v>
          </cell>
          <cell r="E2">
            <v>1</v>
          </cell>
        </row>
        <row r="3">
          <cell r="A3">
            <v>21</v>
          </cell>
          <cell r="B3">
            <v>1</v>
          </cell>
          <cell r="C3">
            <v>1.1175968387549777</v>
          </cell>
          <cell r="D3">
            <v>1.1146010935804289</v>
          </cell>
          <cell r="E3">
            <v>1.0931717687074833</v>
          </cell>
        </row>
        <row r="4">
          <cell r="A4">
            <v>22</v>
          </cell>
          <cell r="B4">
            <v>1</v>
          </cell>
          <cell r="C4">
            <v>1.2431201966962262</v>
          </cell>
          <cell r="D4">
            <v>1.2371895131535811</v>
          </cell>
          <cell r="E4">
            <v>1.1902040816326529</v>
          </cell>
        </row>
        <row r="5">
          <cell r="A5">
            <v>23</v>
          </cell>
          <cell r="B5">
            <v>1</v>
          </cell>
          <cell r="C5">
            <v>1.4024517884049481</v>
          </cell>
          <cell r="D5">
            <v>1.3935880936402831</v>
          </cell>
          <cell r="E5">
            <v>1.31516810570382</v>
          </cell>
        </row>
        <row r="6">
          <cell r="A6">
            <v>24</v>
          </cell>
          <cell r="B6">
            <v>1</v>
          </cell>
          <cell r="C6">
            <v>1.5727679083562143</v>
          </cell>
          <cell r="D6">
            <v>1.5611749565056994</v>
          </cell>
          <cell r="E6">
            <v>1.4454515325943895</v>
          </cell>
        </row>
        <row r="7">
          <cell r="A7">
            <v>25</v>
          </cell>
          <cell r="B7">
            <v>1</v>
          </cell>
          <cell r="C7">
            <v>1.7543614190545793</v>
          </cell>
          <cell r="D7">
            <v>1.7403960436567891</v>
          </cell>
          <cell r="E7">
            <v>1.5810543623043625</v>
          </cell>
        </row>
        <row r="8">
          <cell r="A8">
            <v>26</v>
          </cell>
          <cell r="B8">
            <v>1</v>
          </cell>
          <cell r="C8">
            <v>1.972233786607722</v>
          </cell>
          <cell r="D8">
            <v>1.9562188716520619</v>
          </cell>
          <cell r="E8">
            <v>1.7438244612530327</v>
          </cell>
        </row>
        <row r="9">
          <cell r="A9">
            <v>27</v>
          </cell>
          <cell r="B9">
            <v>1</v>
          </cell>
          <cell r="C9">
            <v>2.2042918205274931</v>
          </cell>
          <cell r="D9">
            <v>2.1869252488502013</v>
          </cell>
          <cell r="E9">
            <v>1.9131277333777335</v>
          </cell>
        </row>
        <row r="10">
          <cell r="A10">
            <v>28</v>
          </cell>
          <cell r="B10">
            <v>1</v>
          </cell>
          <cell r="C10">
            <v>2.4508928136691668</v>
          </cell>
          <cell r="D10">
            <v>2.4330994347065364</v>
          </cell>
          <cell r="E10">
            <v>2.0889641786784643</v>
          </cell>
        </row>
        <row r="11">
          <cell r="A11">
            <v>29</v>
          </cell>
          <cell r="B11">
            <v>1</v>
          </cell>
          <cell r="C11">
            <v>2.712393023610018</v>
          </cell>
          <cell r="D11">
            <v>2.6953426647380621</v>
          </cell>
          <cell r="E11">
            <v>2.2713337971552265</v>
          </cell>
        </row>
        <row r="12">
          <cell r="A12">
            <v>30</v>
          </cell>
          <cell r="B12">
            <v>1</v>
          </cell>
          <cell r="C12">
            <v>3.0265120612034337</v>
          </cell>
          <cell r="D12">
            <v>3.0114521937438314</v>
          </cell>
          <cell r="E12">
            <v>2.4909895461681182</v>
          </cell>
        </row>
        <row r="13">
          <cell r="A13">
            <v>31</v>
          </cell>
          <cell r="B13">
            <v>1</v>
          </cell>
          <cell r="C13">
            <v>3.3695317344270128</v>
          </cell>
          <cell r="D13">
            <v>3.3453287902100226</v>
          </cell>
          <cell r="E13">
            <v>2.7213972107142856</v>
          </cell>
        </row>
        <row r="14">
          <cell r="A14">
            <v>32</v>
          </cell>
          <cell r="B14">
            <v>1</v>
          </cell>
          <cell r="C14">
            <v>3.7361344036775015</v>
          </cell>
          <cell r="D14">
            <v>3.7019684271163458</v>
          </cell>
          <cell r="E14">
            <v>2.9619607008325004</v>
          </cell>
        </row>
        <row r="15">
          <cell r="A15">
            <v>33</v>
          </cell>
          <cell r="B15">
            <v>1</v>
          </cell>
          <cell r="C15">
            <v>4.1255219053527243</v>
          </cell>
          <cell r="D15">
            <v>4.0806737103725679</v>
          </cell>
          <cell r="E15">
            <v>3.2114633441290867</v>
          </cell>
        </row>
        <row r="16">
          <cell r="A16">
            <v>34</v>
          </cell>
          <cell r="B16">
            <v>1</v>
          </cell>
          <cell r="C16">
            <v>4.538082335892768</v>
          </cell>
          <cell r="D16">
            <v>4.481947978834933</v>
          </cell>
          <cell r="E16">
            <v>3.4696725503496499</v>
          </cell>
        </row>
        <row r="17">
          <cell r="A17">
            <v>35</v>
          </cell>
          <cell r="B17">
            <v>1</v>
          </cell>
          <cell r="C17">
            <v>4.9741715657997156</v>
          </cell>
          <cell r="D17">
            <v>4.906283726505464</v>
          </cell>
          <cell r="E17">
            <v>3.7363379560915271</v>
          </cell>
        </row>
        <row r="18">
          <cell r="A18">
            <v>36</v>
          </cell>
          <cell r="B18">
            <v>1</v>
          </cell>
          <cell r="C18">
            <v>5.4341119881686364</v>
          </cell>
          <cell r="D18">
            <v>5.3541621875502718</v>
          </cell>
          <cell r="E18">
            <v>4.0111914248037674</v>
          </cell>
        </row>
        <row r="19">
          <cell r="A19">
            <v>37</v>
          </cell>
          <cell r="B19">
            <v>1</v>
          </cell>
          <cell r="C19">
            <v>5.9181912644716714</v>
          </cell>
          <cell r="D19">
            <v>5.898870580690045</v>
          </cell>
          <cell r="E19">
            <v>4.2939470467871415</v>
          </cell>
        </row>
        <row r="20">
          <cell r="A20">
            <v>38</v>
          </cell>
          <cell r="B20">
            <v>1</v>
          </cell>
          <cell r="C20">
            <v>6.4266610681996923</v>
          </cell>
          <cell r="D20">
            <v>6.4807539182214366</v>
          </cell>
          <cell r="E20">
            <v>4.5843011391941397</v>
          </cell>
        </row>
        <row r="21">
          <cell r="A21">
            <v>39</v>
          </cell>
          <cell r="B21">
            <v>1</v>
          </cell>
          <cell r="C21">
            <v>6.9597358268613378</v>
          </cell>
          <cell r="D21">
            <v>7.1012351304717276</v>
          </cell>
          <cell r="E21">
            <v>4.8819322460289714</v>
          </cell>
        </row>
        <row r="22">
          <cell r="A22">
            <v>40</v>
          </cell>
          <cell r="B22">
            <v>1</v>
          </cell>
          <cell r="C22">
            <v>7.5853175119679284</v>
          </cell>
          <cell r="D22">
            <v>7.8316703769661906</v>
          </cell>
          <cell r="E22">
            <v>5.2332263736263753</v>
          </cell>
        </row>
        <row r="23">
          <cell r="A23">
            <v>41</v>
          </cell>
          <cell r="B23">
            <v>1</v>
          </cell>
          <cell r="C23">
            <v>8.2424757843042009</v>
          </cell>
          <cell r="D23">
            <v>8.6122053165747889</v>
          </cell>
          <cell r="E23">
            <v>5.5941008275252537</v>
          </cell>
        </row>
        <row r="24">
          <cell r="A24">
            <v>42</v>
          </cell>
          <cell r="B24">
            <v>1</v>
          </cell>
          <cell r="C24">
            <v>8.9314348390676503</v>
          </cell>
          <cell r="D24">
            <v>9.4447158163870402</v>
          </cell>
          <cell r="E24">
            <v>5.9641092265829432</v>
          </cell>
        </row>
        <row r="25">
          <cell r="A25">
            <v>43</v>
          </cell>
          <cell r="B25">
            <v>1</v>
          </cell>
          <cell r="C25">
            <v>9.6523654393896958</v>
          </cell>
          <cell r="D25">
            <v>10.33108387341016</v>
          </cell>
          <cell r="E25">
            <v>6.3427814921257317</v>
          </cell>
        </row>
        <row r="26">
          <cell r="A26">
            <v>44</v>
          </cell>
          <cell r="B26">
            <v>1</v>
          </cell>
          <cell r="C26">
            <v>10.405383243994164</v>
          </cell>
          <cell r="D26">
            <v>11.273194874373914</v>
          </cell>
          <cell r="E26">
            <v>6.7296238479488766</v>
          </cell>
        </row>
        <row r="27">
          <cell r="A27">
            <v>45</v>
          </cell>
          <cell r="B27">
            <v>1</v>
          </cell>
          <cell r="C27">
            <v>11.190547133536286</v>
          </cell>
          <cell r="D27">
            <v>12.272934720402517</v>
          </cell>
          <cell r="E27">
            <v>7.1241188203165882</v>
          </cell>
        </row>
        <row r="28">
          <cell r="A28">
            <v>46</v>
          </cell>
          <cell r="B28">
            <v>1</v>
          </cell>
          <cell r="C28">
            <v>12.007857535984908</v>
          </cell>
          <cell r="D28">
            <v>13.332186808714512</v>
          </cell>
          <cell r="E28">
            <v>7.5257252379620398</v>
          </cell>
        </row>
        <row r="29">
          <cell r="A29">
            <v>47</v>
          </cell>
          <cell r="B29">
            <v>1</v>
          </cell>
          <cell r="C29">
            <v>12.857254751353809</v>
          </cell>
          <cell r="D29">
            <v>14.452828862987152</v>
          </cell>
          <cell r="E29">
            <v>7.9338782320873582</v>
          </cell>
        </row>
        <row r="30">
          <cell r="A30">
            <v>48</v>
          </cell>
          <cell r="B30">
            <v>1</v>
          </cell>
          <cell r="C30">
            <v>13.738617276040397</v>
          </cell>
          <cell r="D30">
            <v>15.636729603458384</v>
          </cell>
          <cell r="E30">
            <v>8.3479892363636381</v>
          </cell>
        </row>
        <row r="31">
          <cell r="A31">
            <v>49</v>
          </cell>
          <cell r="B31">
            <v>1</v>
          </cell>
          <cell r="C31">
            <v>14.651760126989577</v>
          </cell>
          <cell r="D31">
            <v>16.885745247232332</v>
          </cell>
          <cell r="E31">
            <v>8.7674459869309285</v>
          </cell>
        </row>
        <row r="32">
          <cell r="A32">
            <v>50</v>
          </cell>
          <cell r="B32">
            <v>1</v>
          </cell>
          <cell r="C32">
            <v>15.699041278800445</v>
          </cell>
          <cell r="D32">
            <v>18.321463959051741</v>
          </cell>
          <cell r="E32">
            <v>9.2520836574140137</v>
          </cell>
        </row>
        <row r="33">
          <cell r="A33">
            <v>51</v>
          </cell>
          <cell r="B33">
            <v>1</v>
          </cell>
          <cell r="C33">
            <v>16.694329391226663</v>
          </cell>
          <cell r="D33">
            <v>20.01181924226125</v>
          </cell>
          <cell r="E33">
            <v>9.9087532993784002</v>
          </cell>
        </row>
        <row r="34">
          <cell r="A34">
            <v>52</v>
          </cell>
          <cell r="B34">
            <v>1</v>
          </cell>
          <cell r="C34">
            <v>18.367836205844611</v>
          </cell>
          <cell r="D34">
            <v>21.819666107067498</v>
          </cell>
          <cell r="E34">
            <v>10.573785620950479</v>
          </cell>
        </row>
        <row r="35">
          <cell r="A35">
            <v>53</v>
          </cell>
          <cell r="B35">
            <v>1</v>
          </cell>
          <cell r="C35">
            <v>19.813164889564217</v>
          </cell>
          <cell r="D35">
            <v>23.75123245684405</v>
          </cell>
          <cell r="E35">
            <v>11.275506397435898</v>
          </cell>
        </row>
        <row r="36">
          <cell r="A36">
            <v>54</v>
          </cell>
          <cell r="B36">
            <v>1</v>
          </cell>
          <cell r="C36">
            <v>21.335637090425063</v>
          </cell>
          <cell r="D36">
            <v>25.81302219970777</v>
          </cell>
          <cell r="E36">
            <v>12.005099055246342</v>
          </cell>
        </row>
        <row r="37">
          <cell r="A37">
            <v>55</v>
          </cell>
          <cell r="B37">
            <v>1</v>
          </cell>
          <cell r="C37">
            <v>22.937686428827639</v>
          </cell>
          <cell r="D37">
            <v>28.011827606940177</v>
          </cell>
          <cell r="E37">
            <v>12.76303260801698</v>
          </cell>
        </row>
        <row r="38">
          <cell r="A38">
            <v>56</v>
          </cell>
          <cell r="B38">
            <v>1</v>
          </cell>
          <cell r="C38">
            <v>24.621779784981591</v>
          </cell>
          <cell r="D38">
            <v>30.354742341443714</v>
          </cell>
          <cell r="E38">
            <v>13.549776069383</v>
          </cell>
        </row>
        <row r="39">
          <cell r="A39">
            <v>57</v>
          </cell>
          <cell r="B39">
            <v>1</v>
          </cell>
          <cell r="C39">
            <v>26.390417286583428</v>
          </cell>
          <cell r="D39">
            <v>32.849175199000975</v>
          </cell>
          <cell r="E39">
            <v>14.365798452979561</v>
          </cell>
        </row>
        <row r="40">
          <cell r="A40">
            <v>58</v>
          </cell>
          <cell r="B40">
            <v>1</v>
          </cell>
          <cell r="C40">
            <v>28.246132296226449</v>
          </cell>
          <cell r="D40">
            <v>35.50286460825393</v>
          </cell>
          <cell r="E40">
            <v>15.211568772441845</v>
          </cell>
        </row>
        <row r="41">
          <cell r="A41">
            <v>59</v>
          </cell>
          <cell r="B41">
            <v>1</v>
          </cell>
          <cell r="C41">
            <v>30.19149139859968</v>
          </cell>
          <cell r="D41">
            <v>38.323893938731445</v>
          </cell>
          <cell r="E41">
            <v>16.087556041405026</v>
          </cell>
        </row>
        <row r="42">
          <cell r="A42">
            <v>60</v>
          </cell>
          <cell r="B42">
            <v>1</v>
          </cell>
          <cell r="C42">
            <v>32.387858399286493</v>
          </cell>
          <cell r="D42">
            <v>41.524257954041779</v>
          </cell>
          <cell r="E42">
            <v>17.077944688644696</v>
          </cell>
        </row>
        <row r="43">
          <cell r="A43">
            <v>61</v>
          </cell>
          <cell r="B43">
            <v>1</v>
          </cell>
          <cell r="C43">
            <v>34.691974005309049</v>
          </cell>
          <cell r="D43">
            <v>44.930033560179403</v>
          </cell>
          <cell r="E43">
            <v>18.104481112012987</v>
          </cell>
        </row>
        <row r="44">
          <cell r="A44">
            <v>62</v>
          </cell>
          <cell r="B44">
            <v>1</v>
          </cell>
          <cell r="C44">
            <v>37.106971775412397</v>
          </cell>
          <cell r="D44">
            <v>48.551704535183134</v>
          </cell>
          <cell r="E44">
            <v>19.167728127872131</v>
          </cell>
        </row>
        <row r="45">
          <cell r="A45">
            <v>63</v>
          </cell>
          <cell r="B45">
            <v>1</v>
          </cell>
          <cell r="C45">
            <v>39.636025087792028</v>
          </cell>
          <cell r="D45">
            <v>52.400230769798462</v>
          </cell>
          <cell r="E45">
            <v>20.268248552584321</v>
          </cell>
        </row>
        <row r="46">
          <cell r="A46">
            <v>64</v>
          </cell>
          <cell r="B46">
            <v>1</v>
          </cell>
          <cell r="C46">
            <v>42.282347124790761</v>
          </cell>
          <cell r="D46">
            <v>56.48707145478464</v>
          </cell>
          <cell r="E46">
            <v>21.406605202511781</v>
          </cell>
        </row>
        <row r="47">
          <cell r="A47">
            <v>65</v>
          </cell>
          <cell r="B47">
            <v>1</v>
          </cell>
          <cell r="C47">
            <v>45.04919085752465</v>
          </cell>
          <cell r="D47">
            <v>60.824209636653165</v>
          </cell>
          <cell r="E47">
            <v>22.5833608940167</v>
          </cell>
        </row>
        <row r="48">
          <cell r="A48">
            <v>66</v>
          </cell>
          <cell r="B48">
            <v>1</v>
          </cell>
          <cell r="C48">
            <v>47.939849030470945</v>
          </cell>
          <cell r="D48">
            <v>65.424178236993228</v>
          </cell>
          <cell r="E48">
            <v>23.799078443461312</v>
          </cell>
        </row>
        <row r="49">
          <cell r="A49">
            <v>67</v>
          </cell>
          <cell r="B49">
            <v>1</v>
          </cell>
          <cell r="C49">
            <v>50.95765414604741</v>
          </cell>
          <cell r="D49">
            <v>69.621903014775256</v>
          </cell>
          <cell r="E49">
            <v>25.054320667207801</v>
          </cell>
        </row>
        <row r="50">
          <cell r="A50">
            <v>68</v>
          </cell>
          <cell r="B50">
            <v>1</v>
          </cell>
          <cell r="C50">
            <v>54.105978449208756</v>
          </cell>
          <cell r="D50">
            <v>74.019215240869471</v>
          </cell>
          <cell r="E50">
            <v>26.3496503816184</v>
          </cell>
        </row>
        <row r="51">
          <cell r="A51">
            <v>69</v>
          </cell>
          <cell r="B51">
            <v>1</v>
          </cell>
          <cell r="C51">
            <v>57.388233912081922</v>
          </cell>
          <cell r="D51">
            <v>78.62363814271923</v>
          </cell>
          <cell r="E51">
            <v>27.685630403055296</v>
          </cell>
        </row>
        <row r="52">
          <cell r="A52">
            <v>70</v>
          </cell>
          <cell r="B52">
            <v>1</v>
          </cell>
          <cell r="C52">
            <v>61.038205067972612</v>
          </cell>
          <cell r="D52">
            <v>83.759063908668764</v>
          </cell>
          <cell r="E52">
            <v>29.172910000713586</v>
          </cell>
        </row>
        <row r="53">
          <cell r="A53">
            <v>71</v>
          </cell>
          <cell r="B53">
            <v>1</v>
          </cell>
          <cell r="C53">
            <v>64.845187599564952</v>
          </cell>
          <cell r="D53">
            <v>89.140856993243105</v>
          </cell>
          <cell r="E53">
            <v>30.707583688993559</v>
          </cell>
        </row>
        <row r="54">
          <cell r="A54">
            <v>72</v>
          </cell>
          <cell r="B54">
            <v>1</v>
          </cell>
          <cell r="C54">
            <v>68.813229768740968</v>
          </cell>
          <cell r="D54">
            <v>94.77847602628205</v>
          </cell>
          <cell r="E54">
            <v>32.290308086984453</v>
          </cell>
        </row>
        <row r="55">
          <cell r="A55">
            <v>73</v>
          </cell>
          <cell r="B55">
            <v>1</v>
          </cell>
          <cell r="C55">
            <v>72.946426135465188</v>
          </cell>
          <cell r="D55">
            <v>100.68176636605827</v>
          </cell>
          <cell r="E55">
            <v>33.921739813775524</v>
          </cell>
        </row>
        <row r="56">
          <cell r="A56">
            <v>74</v>
          </cell>
          <cell r="B56">
            <v>1</v>
          </cell>
          <cell r="C56">
            <v>77.248917540456915</v>
          </cell>
          <cell r="D56">
            <v>106.86098096591948</v>
          </cell>
          <cell r="E56">
            <v>35.602535488455999</v>
          </cell>
        </row>
        <row r="57">
          <cell r="A57">
            <v>75</v>
          </cell>
          <cell r="B57">
            <v>1</v>
          </cell>
          <cell r="C57">
            <v>81.724891087975308</v>
          </cell>
          <cell r="D57">
            <v>113.32680260674687</v>
          </cell>
          <cell r="E57">
            <v>37.333351730115147</v>
          </cell>
        </row>
        <row r="58">
          <cell r="A58">
            <v>76</v>
          </cell>
          <cell r="B58">
            <v>1</v>
          </cell>
          <cell r="C58">
            <v>86.378580128730732</v>
          </cell>
          <cell r="D58">
            <v>120.09036760067941</v>
          </cell>
          <cell r="E58">
            <v>39.114845157842169</v>
          </cell>
        </row>
        <row r="59">
          <cell r="A59">
            <v>77</v>
          </cell>
          <cell r="B59">
            <v>1</v>
          </cell>
          <cell r="C59">
            <v>91.21426424293125</v>
          </cell>
          <cell r="D59">
            <v>127.16329108096124</v>
          </cell>
          <cell r="E59">
            <v>40.947672390726339</v>
          </cell>
        </row>
        <row r="60">
          <cell r="A60">
            <v>78</v>
          </cell>
          <cell r="B60">
            <v>1</v>
          </cell>
          <cell r="C60">
            <v>96.236269223474252</v>
          </cell>
          <cell r="D60">
            <v>134.55769400313136</v>
          </cell>
          <cell r="E60">
            <v>42.832490047856901</v>
          </cell>
        </row>
        <row r="61">
          <cell r="A61">
            <v>79</v>
          </cell>
          <cell r="B61">
            <v>1</v>
          </cell>
          <cell r="C61">
            <v>101.44896705929042</v>
          </cell>
          <cell r="D61">
            <v>142.28623199420423</v>
          </cell>
          <cell r="E61">
            <v>44.769954748323123</v>
          </cell>
        </row>
        <row r="62">
          <cell r="A62">
            <v>80</v>
          </cell>
          <cell r="B62">
            <v>1</v>
          </cell>
          <cell r="C62">
            <v>107.17575136934926</v>
          </cell>
          <cell r="D62">
            <v>150.8109683668595</v>
          </cell>
          <cell r="E62">
            <v>46.900307359307348</v>
          </cell>
        </row>
        <row r="63">
          <cell r="A63">
            <v>81</v>
          </cell>
          <cell r="B63">
            <v>1</v>
          </cell>
          <cell r="C63">
            <v>113.12184528078673</v>
          </cell>
          <cell r="D63">
            <v>184.03119096106693</v>
          </cell>
          <cell r="E63">
            <v>49.090863754190266</v>
          </cell>
        </row>
        <row r="64">
          <cell r="A64">
            <v>82</v>
          </cell>
          <cell r="B64">
            <v>1</v>
          </cell>
          <cell r="C64">
            <v>119.29232614432996</v>
          </cell>
          <cell r="D64">
            <v>196.56502694990868</v>
          </cell>
          <cell r="E64">
            <v>51.34237435478807</v>
          </cell>
        </row>
        <row r="65">
          <cell r="A65">
            <v>83</v>
          </cell>
          <cell r="B65">
            <v>1</v>
          </cell>
          <cell r="C65">
            <v>125.69232405416851</v>
          </cell>
          <cell r="D65">
            <v>209.80414100880995</v>
          </cell>
          <cell r="E65">
            <v>53.655589582917088</v>
          </cell>
        </row>
        <row r="66">
          <cell r="A66">
            <v>84</v>
          </cell>
          <cell r="B66">
            <v>1</v>
          </cell>
          <cell r="C66">
            <v>132.32702182976914</v>
          </cell>
          <cell r="D66">
            <v>223.78416151169819</v>
          </cell>
          <cell r="E66">
            <v>56.031259860393583</v>
          </cell>
        </row>
        <row r="67">
          <cell r="A67">
            <v>85</v>
          </cell>
          <cell r="B67">
            <v>1</v>
          </cell>
          <cell r="C67">
            <v>139.20165499788169</v>
          </cell>
          <cell r="D67">
            <v>238.54258306967441</v>
          </cell>
          <cell r="E67">
            <v>58.470135609033811</v>
          </cell>
        </row>
        <row r="68">
          <cell r="A68">
            <v>86</v>
          </cell>
          <cell r="B68">
            <v>1</v>
          </cell>
          <cell r="C68">
            <v>146.32151177473924</v>
          </cell>
          <cell r="D68">
            <v>254.11888220687177</v>
          </cell>
          <cell r="E68">
            <v>60.972967250654101</v>
          </cell>
        </row>
        <row r="69">
          <cell r="A69">
            <v>87</v>
          </cell>
          <cell r="B69">
            <v>1</v>
          </cell>
          <cell r="C69">
            <v>153.69193304845504</v>
          </cell>
          <cell r="D69">
            <v>270.55464174830115</v>
          </cell>
          <cell r="E69">
            <v>63.540505207070694</v>
          </cell>
        </row>
        <row r="70">
          <cell r="A70">
            <v>88</v>
          </cell>
          <cell r="B70">
            <v>1</v>
          </cell>
          <cell r="C70">
            <v>161.31831236161824</v>
          </cell>
          <cell r="D70">
            <v>287.89368469490881</v>
          </cell>
          <cell r="E70">
            <v>66.17349990009987</v>
          </cell>
        </row>
        <row r="71">
          <cell r="A71">
            <v>89</v>
          </cell>
          <cell r="B71">
            <v>1</v>
          </cell>
          <cell r="C71">
            <v>169.20609589408824</v>
          </cell>
          <cell r="D71">
            <v>306.18221844090988</v>
          </cell>
          <cell r="E71">
            <v>68.872701751557926</v>
          </cell>
        </row>
        <row r="72">
          <cell r="A72">
            <v>90</v>
          </cell>
          <cell r="B72">
            <v>1</v>
          </cell>
          <cell r="C72">
            <v>177.36078244598949</v>
          </cell>
          <cell r="D72">
            <v>325.46899027769791</v>
          </cell>
          <cell r="E72">
            <v>71.638861183261142</v>
          </cell>
        </row>
        <row r="73">
          <cell r="A73">
            <v>20</v>
          </cell>
          <cell r="B73">
            <v>2</v>
          </cell>
          <cell r="C73">
            <v>1</v>
          </cell>
          <cell r="D73">
            <v>1</v>
          </cell>
          <cell r="E73">
            <v>1</v>
          </cell>
        </row>
        <row r="74">
          <cell r="A74">
            <v>21</v>
          </cell>
          <cell r="B74">
            <v>2</v>
          </cell>
          <cell r="C74">
            <v>1.117596838754978</v>
          </cell>
          <cell r="D74">
            <v>1.1071528203298275</v>
          </cell>
          <cell r="E74">
            <v>1.0931717687074829</v>
          </cell>
        </row>
        <row r="75">
          <cell r="A75">
            <v>22</v>
          </cell>
          <cell r="B75">
            <v>2</v>
          </cell>
          <cell r="C75">
            <v>1.2431201966962262</v>
          </cell>
          <cell r="D75">
            <v>1.220858605164636</v>
          </cell>
          <cell r="E75">
            <v>1.1902040816326529</v>
          </cell>
        </row>
        <row r="76">
          <cell r="A76">
            <v>23</v>
          </cell>
          <cell r="B76">
            <v>2</v>
          </cell>
          <cell r="C76">
            <v>1.4024517884049481</v>
          </cell>
          <cell r="D76">
            <v>1.3663313554125172</v>
          </cell>
          <cell r="E76">
            <v>1.3151681057038203</v>
          </cell>
        </row>
        <row r="77">
          <cell r="A77">
            <v>24</v>
          </cell>
          <cell r="B77">
            <v>2</v>
          </cell>
          <cell r="C77">
            <v>1.5727679083562147</v>
          </cell>
          <cell r="D77">
            <v>1.5209525188928936</v>
          </cell>
          <cell r="E77">
            <v>1.4454515325943891</v>
          </cell>
        </row>
        <row r="78">
          <cell r="A78">
            <v>25</v>
          </cell>
          <cell r="B78">
            <v>2</v>
          </cell>
          <cell r="C78">
            <v>1.7543614190545793</v>
          </cell>
          <cell r="D78">
            <v>1.6850130397609708</v>
          </cell>
          <cell r="E78">
            <v>1.5810543623043618</v>
          </cell>
        </row>
        <row r="79">
          <cell r="A79">
            <v>26</v>
          </cell>
          <cell r="B79">
            <v>2</v>
          </cell>
          <cell r="C79">
            <v>1.972233786607722</v>
          </cell>
          <cell r="D79">
            <v>1.8823961257218091</v>
          </cell>
          <cell r="E79">
            <v>1.7438244612530323</v>
          </cell>
        </row>
        <row r="80">
          <cell r="A80">
            <v>27</v>
          </cell>
          <cell r="B80">
            <v>2</v>
          </cell>
          <cell r="C80">
            <v>2.2042918205274931</v>
          </cell>
          <cell r="D80">
            <v>2.0917603884233902</v>
          </cell>
          <cell r="E80">
            <v>1.9131277333777335</v>
          </cell>
        </row>
        <row r="81">
          <cell r="A81">
            <v>28</v>
          </cell>
          <cell r="B81">
            <v>2</v>
          </cell>
          <cell r="C81">
            <v>2.4508928136691668</v>
          </cell>
          <cell r="D81">
            <v>2.313487014004532</v>
          </cell>
          <cell r="E81">
            <v>2.0889641786784638</v>
          </cell>
        </row>
        <row r="82">
          <cell r="A82">
            <v>29</v>
          </cell>
          <cell r="B82">
            <v>2</v>
          </cell>
          <cell r="C82">
            <v>2.712393023610018</v>
          </cell>
          <cell r="D82">
            <v>2.5479682642303687</v>
          </cell>
          <cell r="E82">
            <v>2.2713337971552265</v>
          </cell>
        </row>
        <row r="83">
          <cell r="A83">
            <v>30</v>
          </cell>
          <cell r="B83">
            <v>2</v>
          </cell>
          <cell r="C83">
            <v>3.0265120612034346</v>
          </cell>
          <cell r="D83">
            <v>2.8305529802194052</v>
          </cell>
          <cell r="E83">
            <v>2.4909895461681182</v>
          </cell>
        </row>
        <row r="84">
          <cell r="A84">
            <v>31</v>
          </cell>
          <cell r="B84">
            <v>2</v>
          </cell>
          <cell r="C84">
            <v>3.3695317344270133</v>
          </cell>
          <cell r="D84">
            <v>3.1399549807434379</v>
          </cell>
          <cell r="E84">
            <v>2.7177246098901091</v>
          </cell>
        </row>
        <row r="85">
          <cell r="A85">
            <v>32</v>
          </cell>
          <cell r="B85">
            <v>2</v>
          </cell>
          <cell r="C85">
            <v>3.736134403677501</v>
          </cell>
          <cell r="D85">
            <v>3.47007665911624</v>
          </cell>
          <cell r="E85">
            <v>2.9538679120324112</v>
          </cell>
        </row>
        <row r="86">
          <cell r="A86">
            <v>33</v>
          </cell>
          <cell r="B86">
            <v>2</v>
          </cell>
          <cell r="C86">
            <v>4.1255219053527243</v>
          </cell>
          <cell r="D86">
            <v>3.8202434960307703</v>
          </cell>
          <cell r="E86">
            <v>3.1981377700870568</v>
          </cell>
        </row>
        <row r="87">
          <cell r="A87">
            <v>34</v>
          </cell>
          <cell r="B87">
            <v>2</v>
          </cell>
          <cell r="C87">
            <v>4.538082335892768</v>
          </cell>
          <cell r="D87">
            <v>4.19091258045008</v>
          </cell>
          <cell r="E87">
            <v>3.4502346088911082</v>
          </cell>
        </row>
        <row r="88">
          <cell r="A88">
            <v>35</v>
          </cell>
          <cell r="B88">
            <v>2</v>
          </cell>
          <cell r="C88">
            <v>4.9741715657997156</v>
          </cell>
          <cell r="D88">
            <v>4.5825339258708881</v>
          </cell>
          <cell r="E88">
            <v>3.7098391053391055</v>
          </cell>
        </row>
        <row r="89">
          <cell r="A89">
            <v>36</v>
          </cell>
          <cell r="B89">
            <v>2</v>
          </cell>
          <cell r="C89">
            <v>5.4341119881686373</v>
          </cell>
          <cell r="D89">
            <v>4.9955501995786742</v>
          </cell>
          <cell r="E89">
            <v>3.9766121883830445</v>
          </cell>
        </row>
        <row r="90">
          <cell r="A90">
            <v>37</v>
          </cell>
          <cell r="B90">
            <v>2</v>
          </cell>
          <cell r="C90">
            <v>5.9181912644716714</v>
          </cell>
          <cell r="D90">
            <v>5.4779045960341088</v>
          </cell>
          <cell r="E90">
            <v>4.2501950390323975</v>
          </cell>
        </row>
        <row r="91">
          <cell r="A91">
            <v>38</v>
          </cell>
          <cell r="B91">
            <v>2</v>
          </cell>
          <cell r="C91">
            <v>6.4266610681996932</v>
          </cell>
          <cell r="D91">
            <v>5.9908053396592296</v>
          </cell>
          <cell r="E91">
            <v>4.5302090903540924</v>
          </cell>
        </row>
        <row r="92">
          <cell r="A92">
            <v>39</v>
          </cell>
          <cell r="B92">
            <v>2</v>
          </cell>
          <cell r="C92">
            <v>6.9597358268613378</v>
          </cell>
          <cell r="D92">
            <v>6.535309484927172</v>
          </cell>
          <cell r="E92">
            <v>4.8162560274725283</v>
          </cell>
        </row>
        <row r="93">
          <cell r="A93">
            <v>40</v>
          </cell>
          <cell r="B93">
            <v>2</v>
          </cell>
          <cell r="C93">
            <v>7.5853175119679292</v>
          </cell>
          <cell r="D93">
            <v>7.1765554330880885</v>
          </cell>
          <cell r="E93">
            <v>5.1539350649350668</v>
          </cell>
        </row>
        <row r="94">
          <cell r="A94">
            <v>41</v>
          </cell>
          <cell r="B94">
            <v>2</v>
          </cell>
          <cell r="C94">
            <v>8.2424757843042009</v>
          </cell>
          <cell r="D94">
            <v>7.8588776529012065</v>
          </cell>
          <cell r="E94">
            <v>5.499576850408852</v>
          </cell>
        </row>
        <row r="95">
          <cell r="A95">
            <v>42</v>
          </cell>
          <cell r="B95">
            <v>2</v>
          </cell>
          <cell r="C95">
            <v>8.9314348390676503</v>
          </cell>
          <cell r="D95">
            <v>8.5836716058005997</v>
          </cell>
          <cell r="E95">
            <v>5.8526305494505548</v>
          </cell>
        </row>
        <row r="96">
          <cell r="A96">
            <v>43</v>
          </cell>
          <cell r="B96">
            <v>2</v>
          </cell>
          <cell r="C96">
            <v>9.6523654393896958</v>
          </cell>
          <cell r="D96">
            <v>9.3523367525388572</v>
          </cell>
          <cell r="E96">
            <v>6.2125189970267849</v>
          </cell>
        </row>
        <row r="97">
          <cell r="A97">
            <v>44</v>
          </cell>
          <cell r="B97">
            <v>2</v>
          </cell>
          <cell r="C97">
            <v>10.405383243994166</v>
          </cell>
          <cell r="D97">
            <v>10.166274765412147</v>
          </cell>
          <cell r="E97">
            <v>6.5786386975141289</v>
          </cell>
        </row>
        <row r="98">
          <cell r="A98">
            <v>45</v>
          </cell>
          <cell r="B98">
            <v>2</v>
          </cell>
          <cell r="C98">
            <v>11.190547133536286</v>
          </cell>
          <cell r="D98">
            <v>11.02688765232104</v>
          </cell>
          <cell r="E98">
            <v>6.9503598246991114</v>
          </cell>
        </row>
        <row r="99">
          <cell r="A99">
            <v>46</v>
          </cell>
          <cell r="B99">
            <v>2</v>
          </cell>
          <cell r="C99">
            <v>12.007857535984908</v>
          </cell>
          <cell r="D99">
            <v>11.93557578755258</v>
          </cell>
          <cell r="E99">
            <v>7.3270262217782278</v>
          </cell>
        </row>
        <row r="100">
          <cell r="A100">
            <v>47</v>
          </cell>
          <cell r="B100">
            <v>2</v>
          </cell>
          <cell r="C100">
            <v>12.857254751353812</v>
          </cell>
          <cell r="D100">
            <v>12.893735843827203</v>
          </cell>
          <cell r="E100">
            <v>7.707955401357907</v>
          </cell>
        </row>
        <row r="101">
          <cell r="A101">
            <v>48</v>
          </cell>
          <cell r="B101">
            <v>2</v>
          </cell>
          <cell r="C101">
            <v>13.738617276040401</v>
          </cell>
          <cell r="D101">
            <v>13.902758619786233</v>
          </cell>
          <cell r="E101">
            <v>8.0924385454545487</v>
          </cell>
        </row>
        <row r="102">
          <cell r="A102">
            <v>49</v>
          </cell>
          <cell r="B102">
            <v>2</v>
          </cell>
          <cell r="C102">
            <v>14.651760126989579</v>
          </cell>
          <cell r="D102">
            <v>14.964026756699697</v>
          </cell>
          <cell r="E102">
            <v>8.4797405054945099</v>
          </cell>
        </row>
        <row r="103">
          <cell r="A103">
            <v>50</v>
          </cell>
          <cell r="B103">
            <v>2</v>
          </cell>
          <cell r="C103">
            <v>15.699041278800451</v>
          </cell>
          <cell r="D103">
            <v>16.184694655759159</v>
          </cell>
          <cell r="E103">
            <v>8.9274491431187908</v>
          </cell>
        </row>
        <row r="104">
          <cell r="A104">
            <v>51</v>
          </cell>
          <cell r="B104">
            <v>2</v>
          </cell>
          <cell r="C104">
            <v>16.694329391226663</v>
          </cell>
          <cell r="D104">
            <v>17.583597381322683</v>
          </cell>
          <cell r="E104">
            <v>9.6914017762211362</v>
          </cell>
        </row>
        <row r="105">
          <cell r="A105">
            <v>52</v>
          </cell>
          <cell r="B105">
            <v>2</v>
          </cell>
          <cell r="C105">
            <v>18.367836205844618</v>
          </cell>
          <cell r="D105">
            <v>19.071472453534557</v>
          </cell>
          <cell r="E105">
            <v>10.202775599162742</v>
          </cell>
        </row>
        <row r="106">
          <cell r="A106">
            <v>53</v>
          </cell>
          <cell r="B106">
            <v>2</v>
          </cell>
          <cell r="C106">
            <v>19.81316488956422</v>
          </cell>
          <cell r="D106">
            <v>20.652597615224398</v>
          </cell>
          <cell r="E106">
            <v>10.879874594017098</v>
          </cell>
        </row>
        <row r="107">
          <cell r="A107">
            <v>54</v>
          </cell>
          <cell r="B107">
            <v>2</v>
          </cell>
          <cell r="C107">
            <v>21.335637090425067</v>
          </cell>
          <cell r="D107">
            <v>22.33143068192998</v>
          </cell>
          <cell r="E107">
            <v>11.583867509448227</v>
          </cell>
        </row>
        <row r="108">
          <cell r="A108">
            <v>55</v>
          </cell>
          <cell r="B108">
            <v>2</v>
          </cell>
          <cell r="C108">
            <v>22.937686428827643</v>
          </cell>
          <cell r="D108">
            <v>24.112617604854353</v>
          </cell>
          <cell r="E108">
            <v>12.315206902472523</v>
          </cell>
        </row>
        <row r="109">
          <cell r="A109">
            <v>56</v>
          </cell>
          <cell r="B109">
            <v>2</v>
          </cell>
          <cell r="C109">
            <v>24.621779784981594</v>
          </cell>
          <cell r="D109">
            <v>26.001000970971202</v>
          </cell>
          <cell r="E109">
            <v>13.074345330106402</v>
          </cell>
        </row>
        <row r="110">
          <cell r="A110">
            <v>57</v>
          </cell>
          <cell r="B110">
            <v>2</v>
          </cell>
          <cell r="C110">
            <v>26.390417286583435</v>
          </cell>
          <cell r="D110">
            <v>28.001628968181514</v>
          </cell>
          <cell r="E110">
            <v>13.861735349366249</v>
          </cell>
        </row>
        <row r="111">
          <cell r="A111">
            <v>58</v>
          </cell>
          <cell r="B111">
            <v>2</v>
          </cell>
          <cell r="C111">
            <v>28.246132296226452</v>
          </cell>
          <cell r="D111">
            <v>30.119764845478986</v>
          </cell>
          <cell r="E111">
            <v>14.677829517268446</v>
          </cell>
        </row>
        <row r="112">
          <cell r="A112">
            <v>59</v>
          </cell>
          <cell r="B112">
            <v>2</v>
          </cell>
          <cell r="C112">
            <v>30.191491398599684</v>
          </cell>
          <cell r="D112">
            <v>32.360896900307267</v>
          </cell>
          <cell r="E112">
            <v>15.523080390829415</v>
          </cell>
        </row>
        <row r="113">
          <cell r="A113">
            <v>60</v>
          </cell>
          <cell r="B113">
            <v>2</v>
          </cell>
          <cell r="C113">
            <v>32.3878583992865</v>
          </cell>
          <cell r="D113">
            <v>34.901836461340096</v>
          </cell>
          <cell r="E113">
            <v>16.478718559218564</v>
          </cell>
        </row>
        <row r="114">
          <cell r="A114">
            <v>61</v>
          </cell>
          <cell r="B114">
            <v>2</v>
          </cell>
          <cell r="C114">
            <v>34.691974005309056</v>
          </cell>
          <cell r="D114">
            <v>37.593323521043729</v>
          </cell>
          <cell r="E114">
            <v>17.469236160714289</v>
          </cell>
        </row>
        <row r="115">
          <cell r="A115">
            <v>62</v>
          </cell>
          <cell r="B115">
            <v>2</v>
          </cell>
          <cell r="C115">
            <v>37.106971775412404</v>
          </cell>
          <cell r="D115">
            <v>40.442455365289938</v>
          </cell>
          <cell r="E115">
            <v>18.495176263736273</v>
          </cell>
        </row>
        <row r="116">
          <cell r="A116">
            <v>63</v>
          </cell>
          <cell r="B116">
            <v>2</v>
          </cell>
          <cell r="C116">
            <v>39.636025087792042</v>
          </cell>
          <cell r="D116">
            <v>43.456639908323979</v>
          </cell>
          <cell r="E116">
            <v>19.557081936704165</v>
          </cell>
        </row>
        <row r="117">
          <cell r="A117">
            <v>64</v>
          </cell>
          <cell r="B117">
            <v>2</v>
          </cell>
          <cell r="C117">
            <v>42.282347124790775</v>
          </cell>
          <cell r="D117">
            <v>46.643610820769815</v>
          </cell>
          <cell r="E117">
            <v>20.6554962480377</v>
          </cell>
        </row>
        <row r="118">
          <cell r="A118">
            <v>65</v>
          </cell>
          <cell r="B118">
            <v>2</v>
          </cell>
          <cell r="C118">
            <v>45.049190857524657</v>
          </cell>
          <cell r="D118">
            <v>50.011443550435523</v>
          </cell>
          <cell r="E118">
            <v>21.790962266156473</v>
          </cell>
        </row>
        <row r="119">
          <cell r="A119">
            <v>66</v>
          </cell>
          <cell r="B119">
            <v>2</v>
          </cell>
          <cell r="C119">
            <v>47.93984903047096</v>
          </cell>
          <cell r="D119">
            <v>53.568572298001449</v>
          </cell>
          <cell r="E119">
            <v>22.964023059480223</v>
          </cell>
        </row>
        <row r="120">
          <cell r="A120">
            <v>67</v>
          </cell>
          <cell r="B120">
            <v>2</v>
          </cell>
          <cell r="C120">
            <v>50.957654146047425</v>
          </cell>
          <cell r="D120">
            <v>56.881342641365215</v>
          </cell>
          <cell r="E120">
            <v>24.175221696428579</v>
          </cell>
        </row>
        <row r="121">
          <cell r="A121">
            <v>68</v>
          </cell>
          <cell r="B121">
            <v>2</v>
          </cell>
          <cell r="C121">
            <v>54.10597844920877</v>
          </cell>
          <cell r="D121">
            <v>60.342662426135732</v>
          </cell>
          <cell r="E121">
            <v>25.42510124542126</v>
          </cell>
        </row>
        <row r="122">
          <cell r="A122">
            <v>69</v>
          </cell>
          <cell r="B122">
            <v>2</v>
          </cell>
          <cell r="C122">
            <v>57.388233912081937</v>
          </cell>
          <cell r="D122">
            <v>63.957697397599581</v>
          </cell>
          <cell r="E122">
            <v>26.714204774877924</v>
          </cell>
        </row>
        <row r="123">
          <cell r="A123">
            <v>70</v>
          </cell>
          <cell r="B123">
            <v>2</v>
          </cell>
          <cell r="C123">
            <v>61.038205067972633</v>
          </cell>
          <cell r="D123">
            <v>67.988366961037698</v>
          </cell>
          <cell r="E123">
            <v>28.149299123495577</v>
          </cell>
        </row>
        <row r="124">
          <cell r="A124">
            <v>71</v>
          </cell>
          <cell r="B124">
            <v>2</v>
          </cell>
          <cell r="C124">
            <v>64.845187599564966</v>
          </cell>
          <cell r="D124">
            <v>72.201447932726182</v>
          </cell>
          <cell r="E124">
            <v>29.630124612186769</v>
          </cell>
        </row>
        <row r="125">
          <cell r="A125">
            <v>72</v>
          </cell>
          <cell r="B125">
            <v>2</v>
          </cell>
          <cell r="C125">
            <v>68.813229768740982</v>
          </cell>
          <cell r="D125">
            <v>76.603411664237896</v>
          </cell>
          <cell r="E125">
            <v>31.157314820774477</v>
          </cell>
        </row>
        <row r="126">
          <cell r="A126">
            <v>73</v>
          </cell>
          <cell r="B126">
            <v>2</v>
          </cell>
          <cell r="C126">
            <v>72.946426135465202</v>
          </cell>
          <cell r="D126">
            <v>81.20098181888288</v>
          </cell>
          <cell r="E126">
            <v>32.731503329081654</v>
          </cell>
        </row>
        <row r="127">
          <cell r="A127">
            <v>74</v>
          </cell>
          <cell r="B127">
            <v>2</v>
          </cell>
          <cell r="C127">
            <v>77.248917540456929</v>
          </cell>
          <cell r="D127">
            <v>86.001147985650903</v>
          </cell>
          <cell r="E127">
            <v>34.353323716931236</v>
          </cell>
        </row>
        <row r="128">
          <cell r="A128">
            <v>75</v>
          </cell>
          <cell r="B128">
            <v>2</v>
          </cell>
          <cell r="C128">
            <v>81.724891087975323</v>
          </cell>
          <cell r="D128">
            <v>91.011180184248616</v>
          </cell>
          <cell r="E128">
            <v>36.023409564146213</v>
          </cell>
        </row>
        <row r="129">
          <cell r="A129">
            <v>76</v>
          </cell>
          <cell r="B129">
            <v>2</v>
          </cell>
          <cell r="C129">
            <v>86.378580128730761</v>
          </cell>
          <cell r="D129">
            <v>96.238644330028677</v>
          </cell>
          <cell r="E129">
            <v>37.742394450549462</v>
          </cell>
        </row>
        <row r="130">
          <cell r="A130">
            <v>77</v>
          </cell>
          <cell r="B130">
            <v>2</v>
          </cell>
          <cell r="C130">
            <v>91.214264242931264</v>
          </cell>
          <cell r="D130">
            <v>101.69141873374714</v>
          </cell>
          <cell r="E130">
            <v>39.510911955964012</v>
          </cell>
        </row>
        <row r="131">
          <cell r="A131">
            <v>78</v>
          </cell>
          <cell r="B131">
            <v>2</v>
          </cell>
          <cell r="C131">
            <v>96.236269223474267</v>
          </cell>
          <cell r="D131">
            <v>107.37771171784541</v>
          </cell>
          <cell r="E131">
            <v>41.32959566021281</v>
          </cell>
        </row>
        <row r="132">
          <cell r="A132">
            <v>79</v>
          </cell>
          <cell r="B132">
            <v>2</v>
          </cell>
          <cell r="C132">
            <v>101.44896705929045</v>
          </cell>
          <cell r="D132">
            <v>113.30608043840967</v>
          </cell>
          <cell r="E132">
            <v>43.199079143118823</v>
          </cell>
        </row>
        <row r="133">
          <cell r="A133">
            <v>80</v>
          </cell>
          <cell r="B133">
            <v>2</v>
          </cell>
          <cell r="C133">
            <v>107.17575136934927</v>
          </cell>
          <cell r="D133">
            <v>119.84212399827869</v>
          </cell>
          <cell r="E133">
            <v>45.254682539682527</v>
          </cell>
        </row>
        <row r="134">
          <cell r="A134">
            <v>81</v>
          </cell>
          <cell r="B134">
            <v>2</v>
          </cell>
          <cell r="C134">
            <v>113.12184528078674</v>
          </cell>
          <cell r="D134">
            <v>142.51768144768471</v>
          </cell>
          <cell r="E134">
            <v>47.368377306674844</v>
          </cell>
        </row>
        <row r="135">
          <cell r="A135">
            <v>82</v>
          </cell>
          <cell r="B135">
            <v>2</v>
          </cell>
          <cell r="C135">
            <v>119.29232614432999</v>
          </cell>
          <cell r="D135">
            <v>151.72477605054186</v>
          </cell>
          <cell r="E135">
            <v>49.540887535321829</v>
          </cell>
        </row>
        <row r="136">
          <cell r="A136">
            <v>83</v>
          </cell>
          <cell r="B136">
            <v>2</v>
          </cell>
          <cell r="C136">
            <v>125.69232405416854</v>
          </cell>
          <cell r="D136">
            <v>161.42023212548281</v>
          </cell>
          <cell r="E136">
            <v>51.772937316849827</v>
          </cell>
        </row>
        <row r="137">
          <cell r="A137">
            <v>84</v>
          </cell>
          <cell r="B137">
            <v>2</v>
          </cell>
          <cell r="C137">
            <v>132.32702182976917</v>
          </cell>
          <cell r="D137">
            <v>171.62763774827306</v>
          </cell>
          <cell r="E137">
            <v>54.065250742485041</v>
          </cell>
        </row>
        <row r="138">
          <cell r="A138">
            <v>85</v>
          </cell>
          <cell r="B138">
            <v>2</v>
          </cell>
          <cell r="C138">
            <v>139.20165499788169</v>
          </cell>
          <cell r="D138">
            <v>182.37179857658589</v>
          </cell>
          <cell r="E138">
            <v>56.418551903453668</v>
          </cell>
        </row>
        <row r="139">
          <cell r="A139">
            <v>86</v>
          </cell>
          <cell r="B139">
            <v>2</v>
          </cell>
          <cell r="C139">
            <v>146.32151177473926</v>
          </cell>
          <cell r="D139">
            <v>193.67881331995602</v>
          </cell>
          <cell r="E139">
            <v>58.833564890982032</v>
          </cell>
        </row>
        <row r="140">
          <cell r="A140">
            <v>87</v>
          </cell>
          <cell r="B140">
            <v>2</v>
          </cell>
          <cell r="C140">
            <v>153.69193304845507</v>
          </cell>
          <cell r="D140">
            <v>205.57615489366086</v>
          </cell>
          <cell r="E140">
            <v>61.311013796296315</v>
          </cell>
        </row>
        <row r="141">
          <cell r="A141">
            <v>88</v>
          </cell>
          <cell r="B141">
            <v>2</v>
          </cell>
          <cell r="C141">
            <v>161.31831236161827</v>
          </cell>
          <cell r="D141">
            <v>218.09275776230709</v>
          </cell>
          <cell r="E141">
            <v>63.851622710622685</v>
          </cell>
        </row>
        <row r="142">
          <cell r="A142">
            <v>89</v>
          </cell>
          <cell r="B142">
            <v>2</v>
          </cell>
          <cell r="C142">
            <v>169.20609589408824</v>
          </cell>
          <cell r="D142">
            <v>231.25911203098838</v>
          </cell>
          <cell r="E142">
            <v>66.456115725187473</v>
          </cell>
        </row>
        <row r="143">
          <cell r="A143">
            <v>90</v>
          </cell>
          <cell r="B143">
            <v>2</v>
          </cell>
          <cell r="C143">
            <v>177.36078244598954</v>
          </cell>
          <cell r="D143">
            <v>245.10736490010015</v>
          </cell>
          <cell r="E143">
            <v>69.12521693121694</v>
          </cell>
        </row>
        <row r="144">
          <cell r="A144">
            <v>20</v>
          </cell>
          <cell r="B144">
            <v>3</v>
          </cell>
          <cell r="C144">
            <v>1</v>
          </cell>
          <cell r="D144">
            <v>1</v>
          </cell>
          <cell r="E144">
            <v>1</v>
          </cell>
        </row>
        <row r="145">
          <cell r="A145">
            <v>21</v>
          </cell>
          <cell r="B145">
            <v>3</v>
          </cell>
          <cell r="C145">
            <v>1.1175968387549777</v>
          </cell>
          <cell r="D145">
            <v>1.1114951305698277</v>
          </cell>
          <cell r="E145">
            <v>1.0931717687074829</v>
          </cell>
        </row>
        <row r="146">
          <cell r="A146">
            <v>22</v>
          </cell>
          <cell r="B146">
            <v>3</v>
          </cell>
          <cell r="C146">
            <v>1.2431201966962262</v>
          </cell>
          <cell r="D146">
            <v>1.2303794520244331</v>
          </cell>
          <cell r="E146">
            <v>1.1902040816326529</v>
          </cell>
        </row>
        <row r="147">
          <cell r="A147">
            <v>23</v>
          </cell>
          <cell r="B147">
            <v>3</v>
          </cell>
          <cell r="C147">
            <v>1.4024517884049481</v>
          </cell>
          <cell r="D147">
            <v>1.3822219127985367</v>
          </cell>
          <cell r="E147">
            <v>1.3151681057038203</v>
          </cell>
        </row>
        <row r="148">
          <cell r="A148">
            <v>24</v>
          </cell>
          <cell r="B148">
            <v>3</v>
          </cell>
          <cell r="C148">
            <v>1.5727679083562143</v>
          </cell>
          <cell r="D148">
            <v>1.5444020214617953</v>
          </cell>
          <cell r="E148">
            <v>1.4454515325943891</v>
          </cell>
        </row>
        <row r="149">
          <cell r="A149">
            <v>25</v>
          </cell>
          <cell r="B149">
            <v>3</v>
          </cell>
          <cell r="C149">
            <v>1.7543614190545793</v>
          </cell>
          <cell r="D149">
            <v>1.7173010851706059</v>
          </cell>
          <cell r="E149">
            <v>1.5810543623043618</v>
          </cell>
        </row>
        <row r="150">
          <cell r="A150">
            <v>26</v>
          </cell>
          <cell r="B150">
            <v>3</v>
          </cell>
          <cell r="C150">
            <v>1.9722337866077218</v>
          </cell>
          <cell r="D150">
            <v>1.9254344588780203</v>
          </cell>
          <cell r="E150">
            <v>1.7438244612530323</v>
          </cell>
        </row>
        <row r="151">
          <cell r="A151">
            <v>27</v>
          </cell>
          <cell r="B151">
            <v>3</v>
          </cell>
          <cell r="C151">
            <v>2.2042918205274926</v>
          </cell>
          <cell r="D151">
            <v>2.1472410795871002</v>
          </cell>
          <cell r="E151">
            <v>1.9131277333777335</v>
          </cell>
        </row>
        <row r="152">
          <cell r="A152">
            <v>28</v>
          </cell>
          <cell r="B152">
            <v>3</v>
          </cell>
          <cell r="C152">
            <v>2.4508928136691663</v>
          </cell>
          <cell r="D152">
            <v>2.3832205242786886</v>
          </cell>
          <cell r="E152">
            <v>2.0889641786784638</v>
          </cell>
        </row>
        <row r="153">
          <cell r="A153">
            <v>29</v>
          </cell>
          <cell r="B153">
            <v>3</v>
          </cell>
          <cell r="C153">
            <v>2.7123930236100176</v>
          </cell>
          <cell r="D153">
            <v>2.6338868854875566</v>
          </cell>
          <cell r="E153">
            <v>2.2713337971552265</v>
          </cell>
        </row>
        <row r="154">
          <cell r="A154">
            <v>30</v>
          </cell>
          <cell r="B154">
            <v>3</v>
          </cell>
          <cell r="C154">
            <v>3.0265120612034337</v>
          </cell>
          <cell r="D154">
            <v>2.9360164186387312</v>
          </cell>
          <cell r="E154">
            <v>2.4909895461681182</v>
          </cell>
        </row>
        <row r="155">
          <cell r="A155">
            <v>31</v>
          </cell>
          <cell r="B155">
            <v>3</v>
          </cell>
          <cell r="C155">
            <v>3.3695317344270124</v>
          </cell>
          <cell r="D155">
            <v>3.2596869999470317</v>
          </cell>
          <cell r="E155">
            <v>2.7177246098901091</v>
          </cell>
        </row>
        <row r="156">
          <cell r="A156">
            <v>32</v>
          </cell>
          <cell r="B156">
            <v>3</v>
          </cell>
          <cell r="C156">
            <v>3.7361344036775006</v>
          </cell>
          <cell r="D156">
            <v>3.6052685304237717</v>
          </cell>
          <cell r="E156">
            <v>2.9538679120324112</v>
          </cell>
        </row>
        <row r="157">
          <cell r="A157">
            <v>33</v>
          </cell>
          <cell r="B157">
            <v>3</v>
          </cell>
          <cell r="C157">
            <v>4.1255219053527243</v>
          </cell>
          <cell r="D157">
            <v>3.9720731548648569</v>
          </cell>
          <cell r="E157">
            <v>3.1981377700870568</v>
          </cell>
        </row>
        <row r="158">
          <cell r="A158">
            <v>34</v>
          </cell>
          <cell r="B158">
            <v>3</v>
          </cell>
          <cell r="C158">
            <v>4.538082335892768</v>
          </cell>
          <cell r="D158">
            <v>4.3605849257157523</v>
          </cell>
          <cell r="E158">
            <v>3.4502346088911082</v>
          </cell>
        </row>
        <row r="159">
          <cell r="A159">
            <v>35</v>
          </cell>
          <cell r="B159">
            <v>3</v>
          </cell>
          <cell r="C159">
            <v>4.9741715657997156</v>
          </cell>
          <cell r="D159">
            <v>4.7712786224191879</v>
          </cell>
          <cell r="E159">
            <v>3.7098391053391055</v>
          </cell>
        </row>
        <row r="160">
          <cell r="A160">
            <v>36</v>
          </cell>
          <cell r="B160">
            <v>3</v>
          </cell>
          <cell r="C160">
            <v>5.4341119881686373</v>
          </cell>
          <cell r="D160">
            <v>5.2046193965808394</v>
          </cell>
          <cell r="E160">
            <v>3.9766121883830445</v>
          </cell>
        </row>
        <row r="161">
          <cell r="A161">
            <v>37</v>
          </cell>
          <cell r="B161">
            <v>3</v>
          </cell>
          <cell r="C161">
            <v>5.9181912644716714</v>
          </cell>
          <cell r="D161">
            <v>5.7233258962953055</v>
          </cell>
          <cell r="E161">
            <v>4.2501950390323975</v>
          </cell>
        </row>
        <row r="162">
          <cell r="A162">
            <v>38</v>
          </cell>
          <cell r="B162">
            <v>3</v>
          </cell>
          <cell r="C162">
            <v>6.4266610681996923</v>
          </cell>
          <cell r="D162">
            <v>6.2764431859335303</v>
          </cell>
          <cell r="E162">
            <v>4.5302090903540924</v>
          </cell>
        </row>
        <row r="163">
          <cell r="A163">
            <v>39</v>
          </cell>
          <cell r="B163">
            <v>3</v>
          </cell>
          <cell r="C163">
            <v>6.9597358268613387</v>
          </cell>
          <cell r="D163">
            <v>6.8652416239673837</v>
          </cell>
          <cell r="E163">
            <v>4.8162560274725283</v>
          </cell>
        </row>
        <row r="164">
          <cell r="A164">
            <v>40</v>
          </cell>
          <cell r="B164">
            <v>3</v>
          </cell>
          <cell r="C164">
            <v>7.5853175119679292</v>
          </cell>
          <cell r="D164">
            <v>7.5584845371189333</v>
          </cell>
          <cell r="E164">
            <v>5.1539350649350668</v>
          </cell>
        </row>
        <row r="165">
          <cell r="A165">
            <v>41</v>
          </cell>
          <cell r="B165">
            <v>3</v>
          </cell>
          <cell r="C165">
            <v>8.2424757843042009</v>
          </cell>
          <cell r="D165">
            <v>8.2980643365773421</v>
          </cell>
          <cell r="E165">
            <v>5.499576850408852</v>
          </cell>
        </row>
        <row r="166">
          <cell r="A166">
            <v>42</v>
          </cell>
          <cell r="B166">
            <v>3</v>
          </cell>
          <cell r="C166">
            <v>8.9314348390676503</v>
          </cell>
          <cell r="D166">
            <v>9.0856565581411424</v>
          </cell>
          <cell r="E166">
            <v>5.8526305494505548</v>
          </cell>
        </row>
        <row r="167">
          <cell r="A167">
            <v>43</v>
          </cell>
          <cell r="B167">
            <v>3</v>
          </cell>
          <cell r="C167">
            <v>9.6523654393896958</v>
          </cell>
          <cell r="D167">
            <v>9.9229419790572457</v>
          </cell>
          <cell r="E167">
            <v>6.2125189970267849</v>
          </cell>
        </row>
        <row r="168">
          <cell r="A168">
            <v>44</v>
          </cell>
          <cell r="B168">
            <v>3</v>
          </cell>
          <cell r="C168">
            <v>10.405383243994164</v>
          </cell>
          <cell r="D168">
            <v>10.811604274989259</v>
          </cell>
          <cell r="E168">
            <v>6.5786386975141289</v>
          </cell>
        </row>
        <row r="169">
          <cell r="A169">
            <v>45</v>
          </cell>
          <cell r="B169">
            <v>3</v>
          </cell>
          <cell r="C169">
            <v>11.190547133536288</v>
          </cell>
          <cell r="D169">
            <v>11.753327561438994</v>
          </cell>
          <cell r="E169">
            <v>6.9503598246991114</v>
          </cell>
        </row>
        <row r="170">
          <cell r="A170">
            <v>46</v>
          </cell>
          <cell r="B170">
            <v>3</v>
          </cell>
          <cell r="C170">
            <v>12.007857535984908</v>
          </cell>
          <cell r="D170">
            <v>12.749793812918266</v>
          </cell>
          <cell r="E170">
            <v>7.3270262217782278</v>
          </cell>
        </row>
        <row r="171">
          <cell r="A171">
            <v>47</v>
          </cell>
          <cell r="B171">
            <v>3</v>
          </cell>
          <cell r="C171">
            <v>12.857254751353809</v>
          </cell>
          <cell r="D171">
            <v>13.802680152719818</v>
          </cell>
          <cell r="E171">
            <v>7.707955401357907</v>
          </cell>
        </row>
        <row r="172">
          <cell r="A172">
            <v>48</v>
          </cell>
          <cell r="B172">
            <v>3</v>
          </cell>
          <cell r="C172">
            <v>13.738617276040399</v>
          </cell>
          <cell r="D172">
            <v>14.913656005654163</v>
          </cell>
          <cell r="E172">
            <v>8.0924385454545487</v>
          </cell>
        </row>
        <row r="173">
          <cell r="A173">
            <v>49</v>
          </cell>
          <cell r="B173">
            <v>3</v>
          </cell>
          <cell r="C173">
            <v>14.651760126989576</v>
          </cell>
          <cell r="D173">
            <v>16.084380105600264</v>
          </cell>
          <cell r="E173">
            <v>8.4797405054945099</v>
          </cell>
        </row>
        <row r="174">
          <cell r="A174">
            <v>50</v>
          </cell>
          <cell r="B174">
            <v>3</v>
          </cell>
          <cell r="C174">
            <v>15.699041278800443</v>
          </cell>
          <cell r="D174">
            <v>17.430421673824252</v>
          </cell>
          <cell r="E174">
            <v>8.9274491431187908</v>
          </cell>
        </row>
        <row r="175">
          <cell r="A175">
            <v>51</v>
          </cell>
          <cell r="B175">
            <v>3</v>
          </cell>
          <cell r="C175">
            <v>16.69432939122666</v>
          </cell>
          <cell r="D175">
            <v>18.999239946650796</v>
          </cell>
          <cell r="E175">
            <v>9.6914017762211362</v>
          </cell>
        </row>
        <row r="176">
          <cell r="A176">
            <v>52</v>
          </cell>
          <cell r="B176">
            <v>3</v>
          </cell>
          <cell r="C176">
            <v>18.367836205844611</v>
          </cell>
          <cell r="D176">
            <v>20.673657153495231</v>
          </cell>
          <cell r="E176">
            <v>10.202775599162742</v>
          </cell>
        </row>
        <row r="177">
          <cell r="A177">
            <v>53</v>
          </cell>
          <cell r="B177">
            <v>3</v>
          </cell>
          <cell r="C177">
            <v>19.813164889564213</v>
          </cell>
          <cell r="D177">
            <v>22.459087972126959</v>
          </cell>
          <cell r="E177">
            <v>10.879874594017098</v>
          </cell>
        </row>
        <row r="178">
          <cell r="A178">
            <v>54</v>
          </cell>
          <cell r="B178">
            <v>3</v>
          </cell>
          <cell r="C178">
            <v>21.33563709042506</v>
          </cell>
          <cell r="D178">
            <v>24.361183080974143</v>
          </cell>
          <cell r="E178">
            <v>11.583867509448227</v>
          </cell>
        </row>
        <row r="179">
          <cell r="A179">
            <v>55</v>
          </cell>
          <cell r="B179">
            <v>3</v>
          </cell>
          <cell r="C179">
            <v>22.937686428827636</v>
          </cell>
          <cell r="D179">
            <v>26.385839726317432</v>
          </cell>
          <cell r="E179">
            <v>12.315206902472523</v>
          </cell>
        </row>
        <row r="180">
          <cell r="A180">
            <v>56</v>
          </cell>
          <cell r="B180">
            <v>3</v>
          </cell>
          <cell r="C180">
            <v>24.621779784981591</v>
          </cell>
          <cell r="D180">
            <v>28.53921286240379</v>
          </cell>
          <cell r="E180">
            <v>13.074345330106402</v>
          </cell>
        </row>
        <row r="181">
          <cell r="A181">
            <v>57</v>
          </cell>
          <cell r="B181">
            <v>3</v>
          </cell>
          <cell r="C181">
            <v>26.390417286583425</v>
          </cell>
          <cell r="D181">
            <v>30.827726901049719</v>
          </cell>
          <cell r="E181">
            <v>13.861735349366249</v>
          </cell>
        </row>
        <row r="182">
          <cell r="A182">
            <v>58</v>
          </cell>
          <cell r="B182">
            <v>3</v>
          </cell>
          <cell r="C182">
            <v>28.246132296226445</v>
          </cell>
          <cell r="D182">
            <v>33.258088109995818</v>
          </cell>
          <cell r="E182">
            <v>14.677829517268446</v>
          </cell>
        </row>
        <row r="183">
          <cell r="A183">
            <v>59</v>
          </cell>
          <cell r="B183">
            <v>3</v>
          </cell>
          <cell r="C183">
            <v>30.191491398599677</v>
          </cell>
          <cell r="D183">
            <v>35.837297702191123</v>
          </cell>
          <cell r="E183">
            <v>15.523080390829415</v>
          </cell>
        </row>
        <row r="184">
          <cell r="A184">
            <v>60</v>
          </cell>
          <cell r="B184">
            <v>3</v>
          </cell>
          <cell r="C184">
            <v>32.387858399286493</v>
          </cell>
          <cell r="D184">
            <v>38.762678792686444</v>
          </cell>
          <cell r="E184">
            <v>16.478718559218564</v>
          </cell>
        </row>
        <row r="185">
          <cell r="A185">
            <v>61</v>
          </cell>
          <cell r="B185">
            <v>3</v>
          </cell>
          <cell r="C185">
            <v>34.691974005309049</v>
          </cell>
          <cell r="D185">
            <v>41.870592904021784</v>
          </cell>
          <cell r="E185">
            <v>17.469236160714289</v>
          </cell>
        </row>
        <row r="186">
          <cell r="A186">
            <v>62</v>
          </cell>
          <cell r="B186">
            <v>3</v>
          </cell>
          <cell r="C186">
            <v>37.10697177541239</v>
          </cell>
          <cell r="D186">
            <v>45.170111631968652</v>
          </cell>
          <cell r="E186">
            <v>18.495176263736273</v>
          </cell>
        </row>
        <row r="187">
          <cell r="A187">
            <v>63</v>
          </cell>
          <cell r="B187">
            <v>3</v>
          </cell>
          <cell r="C187">
            <v>39.636025087792028</v>
          </cell>
          <cell r="D187">
            <v>48.670713677303659</v>
          </cell>
          <cell r="E187">
            <v>19.557081936704165</v>
          </cell>
        </row>
        <row r="188">
          <cell r="A188">
            <v>64</v>
          </cell>
          <cell r="B188">
            <v>3</v>
          </cell>
          <cell r="C188">
            <v>42.282347124790761</v>
          </cell>
          <cell r="D188">
            <v>52.382304672350941</v>
          </cell>
          <cell r="E188">
            <v>20.6554962480377</v>
          </cell>
        </row>
        <row r="189">
          <cell r="A189">
            <v>65</v>
          </cell>
          <cell r="B189">
            <v>3</v>
          </cell>
          <cell r="C189">
            <v>45.04919085752465</v>
          </cell>
          <cell r="D189">
            <v>56.315238177615683</v>
          </cell>
          <cell r="E189">
            <v>21.790962266156473</v>
          </cell>
        </row>
        <row r="190">
          <cell r="A190">
            <v>66</v>
          </cell>
          <cell r="B190">
            <v>3</v>
          </cell>
          <cell r="C190">
            <v>47.939849030470938</v>
          </cell>
          <cell r="D190">
            <v>60.480337929872647</v>
          </cell>
          <cell r="E190">
            <v>22.964023059480223</v>
          </cell>
        </row>
        <row r="191">
          <cell r="A191">
            <v>67</v>
          </cell>
          <cell r="B191">
            <v>3</v>
          </cell>
          <cell r="C191">
            <v>50.957654146047417</v>
          </cell>
          <cell r="D191">
            <v>64.309032779926312</v>
          </cell>
          <cell r="E191">
            <v>24.175221696428579</v>
          </cell>
        </row>
        <row r="192">
          <cell r="A192">
            <v>68</v>
          </cell>
          <cell r="B192">
            <v>3</v>
          </cell>
          <cell r="C192">
            <v>54.105978449208756</v>
          </cell>
          <cell r="D192">
            <v>68.316032002839705</v>
          </cell>
          <cell r="E192">
            <v>25.42510124542126</v>
          </cell>
        </row>
        <row r="193">
          <cell r="A193">
            <v>69</v>
          </cell>
          <cell r="B193">
            <v>3</v>
          </cell>
          <cell r="C193">
            <v>57.38823391208193</v>
          </cell>
          <cell r="D193">
            <v>72.507875745531237</v>
          </cell>
          <cell r="E193">
            <v>26.714204774877924</v>
          </cell>
        </row>
        <row r="194">
          <cell r="A194">
            <v>70</v>
          </cell>
          <cell r="B194">
            <v>3</v>
          </cell>
          <cell r="C194">
            <v>61.038205067972612</v>
          </cell>
          <cell r="D194">
            <v>77.182613270692144</v>
          </cell>
          <cell r="E194">
            <v>28.149299123495577</v>
          </cell>
        </row>
        <row r="195">
          <cell r="A195">
            <v>71</v>
          </cell>
          <cell r="B195">
            <v>3</v>
          </cell>
          <cell r="C195">
            <v>64.845187599564952</v>
          </cell>
          <cell r="D195">
            <v>82.077048215932393</v>
          </cell>
          <cell r="E195">
            <v>29.630124612186769</v>
          </cell>
        </row>
        <row r="196">
          <cell r="A196">
            <v>72</v>
          </cell>
          <cell r="B196">
            <v>3</v>
          </cell>
          <cell r="C196">
            <v>68.813229768740968</v>
          </cell>
          <cell r="D196">
            <v>87.199393502793072</v>
          </cell>
          <cell r="E196">
            <v>31.157314820774477</v>
          </cell>
        </row>
        <row r="197">
          <cell r="A197">
            <v>73</v>
          </cell>
          <cell r="B197">
            <v>3</v>
          </cell>
          <cell r="C197">
            <v>72.946426135465174</v>
          </cell>
          <cell r="D197">
            <v>92.55819272888931</v>
          </cell>
          <cell r="E197">
            <v>32.731503329081654</v>
          </cell>
        </row>
        <row r="198">
          <cell r="A198">
            <v>74</v>
          </cell>
          <cell r="B198">
            <v>3</v>
          </cell>
          <cell r="C198">
            <v>77.248917540456915</v>
          </cell>
          <cell r="D198">
            <v>98.162338010144495</v>
          </cell>
          <cell r="E198">
            <v>34.353323716931236</v>
          </cell>
        </row>
        <row r="199">
          <cell r="A199">
            <v>75</v>
          </cell>
          <cell r="B199">
            <v>3</v>
          </cell>
          <cell r="C199">
            <v>81.724891087975308</v>
          </cell>
          <cell r="D199">
            <v>104.02108899087978</v>
          </cell>
          <cell r="E199">
            <v>36.023409564146213</v>
          </cell>
        </row>
        <row r="200">
          <cell r="A200">
            <v>76</v>
          </cell>
          <cell r="B200">
            <v>3</v>
          </cell>
          <cell r="C200">
            <v>86.378580128730718</v>
          </cell>
          <cell r="D200">
            <v>110.14409311192419</v>
          </cell>
          <cell r="E200">
            <v>37.742394450549462</v>
          </cell>
        </row>
        <row r="201">
          <cell r="A201">
            <v>77</v>
          </cell>
          <cell r="B201">
            <v>3</v>
          </cell>
          <cell r="C201">
            <v>91.21426424293125</v>
          </cell>
          <cell r="D201">
            <v>116.54140723495543</v>
          </cell>
          <cell r="E201">
            <v>39.510911955964012</v>
          </cell>
        </row>
        <row r="202">
          <cell r="A202">
            <v>78</v>
          </cell>
          <cell r="B202">
            <v>3</v>
          </cell>
          <cell r="C202">
            <v>96.236269223474252</v>
          </cell>
          <cell r="D202">
            <v>123.22352073014153</v>
          </cell>
          <cell r="E202">
            <v>41.32959566021281</v>
          </cell>
        </row>
        <row r="203">
          <cell r="A203">
            <v>79</v>
          </cell>
          <cell r="B203">
            <v>3</v>
          </cell>
          <cell r="C203">
            <v>101.44896705929042</v>
          </cell>
          <cell r="D203">
            <v>130.20138014392552</v>
          </cell>
          <cell r="E203">
            <v>43.199079143118823</v>
          </cell>
        </row>
        <row r="204">
          <cell r="A204">
            <v>80</v>
          </cell>
          <cell r="B204">
            <v>3</v>
          </cell>
          <cell r="C204">
            <v>107.17575136934924</v>
          </cell>
          <cell r="D204">
            <v>137.89682278524998</v>
          </cell>
          <cell r="E204">
            <v>45.254682539682527</v>
          </cell>
        </row>
        <row r="205">
          <cell r="A205">
            <v>81</v>
          </cell>
          <cell r="B205">
            <v>3</v>
          </cell>
          <cell r="C205">
            <v>113.12184528078673</v>
          </cell>
          <cell r="D205">
            <v>166.71987320317032</v>
          </cell>
          <cell r="E205">
            <v>47.368377306674844</v>
          </cell>
        </row>
        <row r="206">
          <cell r="A206">
            <v>82</v>
          </cell>
          <cell r="B206">
            <v>3</v>
          </cell>
          <cell r="C206">
            <v>119.29232614432996</v>
          </cell>
          <cell r="D206">
            <v>177.86644326566204</v>
          </cell>
          <cell r="E206">
            <v>49.540887535321829</v>
          </cell>
        </row>
        <row r="207">
          <cell r="A207">
            <v>83</v>
          </cell>
          <cell r="B207">
            <v>3</v>
          </cell>
          <cell r="C207">
            <v>125.69232405416849</v>
          </cell>
          <cell r="D207">
            <v>189.62783621390005</v>
          </cell>
          <cell r="E207">
            <v>51.772937316849827</v>
          </cell>
        </row>
        <row r="208">
          <cell r="A208">
            <v>84</v>
          </cell>
          <cell r="B208">
            <v>3</v>
          </cell>
          <cell r="C208">
            <v>132.32702182976914</v>
          </cell>
          <cell r="D208">
            <v>202.03465956402786</v>
          </cell>
          <cell r="E208">
            <v>54.065250742485041</v>
          </cell>
        </row>
        <row r="209">
          <cell r="A209">
            <v>85</v>
          </cell>
          <cell r="B209">
            <v>3</v>
          </cell>
          <cell r="C209">
            <v>139.20165499788166</v>
          </cell>
          <cell r="D209">
            <v>215.11911657723712</v>
          </cell>
          <cell r="E209">
            <v>56.418551903453668</v>
          </cell>
        </row>
        <row r="210">
          <cell r="A210">
            <v>86</v>
          </cell>
          <cell r="B210">
            <v>3</v>
          </cell>
          <cell r="C210">
            <v>146.32151177473921</v>
          </cell>
          <cell r="D210">
            <v>228.91510516958525</v>
          </cell>
          <cell r="E210">
            <v>58.833564890982032</v>
          </cell>
        </row>
        <row r="211">
          <cell r="A211">
            <v>87</v>
          </cell>
          <cell r="B211">
            <v>3</v>
          </cell>
          <cell r="C211">
            <v>153.69193304845501</v>
          </cell>
          <cell r="D211">
            <v>243.4583242710863</v>
          </cell>
          <cell r="E211">
            <v>61.311013796296315</v>
          </cell>
        </row>
        <row r="212">
          <cell r="A212">
            <v>88</v>
          </cell>
          <cell r="B212">
            <v>3</v>
          </cell>
          <cell r="C212">
            <v>161.31831236161824</v>
          </cell>
          <cell r="D212">
            <v>258.78638829693813</v>
          </cell>
          <cell r="E212">
            <v>63.851622710622685</v>
          </cell>
        </row>
        <row r="213">
          <cell r="A213">
            <v>89</v>
          </cell>
          <cell r="B213">
            <v>3</v>
          </cell>
          <cell r="C213">
            <v>169.20609589408824</v>
          </cell>
          <cell r="D213">
            <v>274.93895046201868</v>
          </cell>
          <cell r="E213">
            <v>66.456115725187473</v>
          </cell>
        </row>
        <row r="214">
          <cell r="A214">
            <v>90</v>
          </cell>
          <cell r="B214">
            <v>3</v>
          </cell>
          <cell r="C214">
            <v>177.36078244598949</v>
          </cell>
          <cell r="D214">
            <v>291.95783574608242</v>
          </cell>
          <cell r="E214">
            <v>69.12521693121694</v>
          </cell>
        </row>
        <row r="215">
          <cell r="A215">
            <v>20</v>
          </cell>
          <cell r="B215">
            <v>4</v>
          </cell>
          <cell r="C215">
            <v>1</v>
          </cell>
          <cell r="D215">
            <v>1</v>
          </cell>
          <cell r="E215">
            <v>1</v>
          </cell>
        </row>
        <row r="216">
          <cell r="A216">
            <v>21</v>
          </cell>
          <cell r="B216">
            <v>4</v>
          </cell>
          <cell r="C216">
            <v>1.117596838754978</v>
          </cell>
          <cell r="D216">
            <v>1.1095204807543111</v>
          </cell>
          <cell r="E216">
            <v>1.0931717687074829</v>
          </cell>
        </row>
        <row r="217">
          <cell r="A217">
            <v>22</v>
          </cell>
          <cell r="B217">
            <v>4</v>
          </cell>
          <cell r="C217">
            <v>1.243120196696226</v>
          </cell>
          <cell r="D217">
            <v>1.22604988148337</v>
          </cell>
          <cell r="E217">
            <v>1.1902040816326529</v>
          </cell>
        </row>
        <row r="218">
          <cell r="A218">
            <v>23</v>
          </cell>
          <cell r="B218">
            <v>4</v>
          </cell>
          <cell r="C218">
            <v>1.4024517884049481</v>
          </cell>
          <cell r="D218">
            <v>1.374995739522912</v>
          </cell>
          <cell r="E218">
            <v>1.3151681057038203</v>
          </cell>
        </row>
        <row r="219">
          <cell r="A219">
            <v>24</v>
          </cell>
          <cell r="B219">
            <v>4</v>
          </cell>
          <cell r="C219">
            <v>1.5727679083562145</v>
          </cell>
          <cell r="D219">
            <v>1.533738445309383</v>
          </cell>
          <cell r="E219">
            <v>1.4454515325943891</v>
          </cell>
        </row>
        <row r="220">
          <cell r="A220">
            <v>25</v>
          </cell>
          <cell r="B220">
            <v>4</v>
          </cell>
          <cell r="C220">
            <v>1.7543614190545791</v>
          </cell>
          <cell r="D220">
            <v>1.7026182137524801</v>
          </cell>
          <cell r="E220">
            <v>1.5810543623043618</v>
          </cell>
        </row>
        <row r="221">
          <cell r="A221">
            <v>26</v>
          </cell>
          <cell r="B221">
            <v>4</v>
          </cell>
          <cell r="C221">
            <v>1.9722337866077222</v>
          </cell>
          <cell r="D221">
            <v>1.9058629331394403</v>
          </cell>
          <cell r="E221">
            <v>1.7438244612530323</v>
          </cell>
        </row>
        <row r="222">
          <cell r="A222">
            <v>27</v>
          </cell>
          <cell r="B222">
            <v>4</v>
          </cell>
          <cell r="C222">
            <v>2.2042918205274931</v>
          </cell>
          <cell r="D222">
            <v>2.1220114367205052</v>
          </cell>
          <cell r="E222">
            <v>1.9131277333777335</v>
          </cell>
        </row>
        <row r="223">
          <cell r="A223">
            <v>28</v>
          </cell>
          <cell r="B223">
            <v>4</v>
          </cell>
          <cell r="C223">
            <v>2.4508928136691668</v>
          </cell>
          <cell r="D223">
            <v>2.3515094636709608</v>
          </cell>
          <cell r="E223">
            <v>2.0889641786784638</v>
          </cell>
        </row>
        <row r="224">
          <cell r="A224">
            <v>29</v>
          </cell>
          <cell r="B224">
            <v>4</v>
          </cell>
          <cell r="C224">
            <v>2.712393023610018</v>
          </cell>
          <cell r="D224">
            <v>2.5948157044254323</v>
          </cell>
          <cell r="E224">
            <v>2.2713337971552265</v>
          </cell>
        </row>
        <row r="225">
          <cell r="A225">
            <v>30</v>
          </cell>
          <cell r="B225">
            <v>4</v>
          </cell>
          <cell r="C225">
            <v>3.0265120612034342</v>
          </cell>
          <cell r="D225">
            <v>2.8880573029357315</v>
          </cell>
          <cell r="E225">
            <v>2.4909895461681182</v>
          </cell>
        </row>
        <row r="226">
          <cell r="A226">
            <v>31</v>
          </cell>
          <cell r="B226">
            <v>4</v>
          </cell>
          <cell r="C226">
            <v>3.3695317344270128</v>
          </cell>
          <cell r="D226">
            <v>3.2052392989389573</v>
          </cell>
          <cell r="E226">
            <v>2.7177246098901091</v>
          </cell>
        </row>
        <row r="227">
          <cell r="A227">
            <v>32</v>
          </cell>
          <cell r="B227">
            <v>4</v>
          </cell>
          <cell r="C227">
            <v>3.736134403677501</v>
          </cell>
          <cell r="D227">
            <v>3.5437905178032878</v>
          </cell>
          <cell r="E227">
            <v>2.9538679120324112</v>
          </cell>
        </row>
        <row r="228">
          <cell r="A228">
            <v>33</v>
          </cell>
          <cell r="B228">
            <v>4</v>
          </cell>
          <cell r="C228">
            <v>4.1255219053527235</v>
          </cell>
          <cell r="D228">
            <v>3.9030291687753933</v>
          </cell>
          <cell r="E228">
            <v>3.1981377700870568</v>
          </cell>
        </row>
        <row r="229">
          <cell r="A229">
            <v>34</v>
          </cell>
          <cell r="B229">
            <v>4</v>
          </cell>
          <cell r="C229">
            <v>4.538082335892768</v>
          </cell>
          <cell r="D229">
            <v>4.2834270427550107</v>
          </cell>
          <cell r="E229">
            <v>3.4502346088911082</v>
          </cell>
        </row>
        <row r="230">
          <cell r="A230">
            <v>35</v>
          </cell>
          <cell r="B230">
            <v>4</v>
          </cell>
          <cell r="C230">
            <v>4.9741715657997156</v>
          </cell>
          <cell r="D230">
            <v>4.6854476569608421</v>
          </cell>
          <cell r="E230">
            <v>3.7098391053391055</v>
          </cell>
        </row>
        <row r="231">
          <cell r="A231">
            <v>36</v>
          </cell>
          <cell r="B231">
            <v>4</v>
          </cell>
          <cell r="C231">
            <v>5.4341119881686373</v>
          </cell>
          <cell r="D231">
            <v>5.1095459383355912</v>
          </cell>
          <cell r="E231">
            <v>3.9766121883830445</v>
          </cell>
        </row>
        <row r="232">
          <cell r="A232">
            <v>37</v>
          </cell>
          <cell r="B232">
            <v>4</v>
          </cell>
          <cell r="C232">
            <v>5.9181912644716714</v>
          </cell>
          <cell r="D232">
            <v>5.6117214510807587</v>
          </cell>
          <cell r="E232">
            <v>4.2501950390323975</v>
          </cell>
        </row>
        <row r="233">
          <cell r="A233">
            <v>38</v>
          </cell>
          <cell r="B233">
            <v>4</v>
          </cell>
          <cell r="C233">
            <v>6.4266610681996923</v>
          </cell>
          <cell r="D233">
            <v>6.1465504124383461</v>
          </cell>
          <cell r="E233">
            <v>4.5302090903540924</v>
          </cell>
        </row>
        <row r="234">
          <cell r="A234">
            <v>39</v>
          </cell>
          <cell r="B234">
            <v>4</v>
          </cell>
          <cell r="C234">
            <v>6.9597358268613378</v>
          </cell>
          <cell r="D234">
            <v>6.715206181661264</v>
          </cell>
          <cell r="E234">
            <v>4.8162560274725283</v>
          </cell>
        </row>
        <row r="235">
          <cell r="A235">
            <v>40</v>
          </cell>
          <cell r="B235">
            <v>4</v>
          </cell>
          <cell r="C235">
            <v>7.5853175119679292</v>
          </cell>
          <cell r="D235">
            <v>7.3848036637746608</v>
          </cell>
          <cell r="E235">
            <v>5.1539350649350668</v>
          </cell>
        </row>
        <row r="236">
          <cell r="A236">
            <v>41</v>
          </cell>
          <cell r="B236">
            <v>4</v>
          </cell>
          <cell r="C236">
            <v>8.2424757843042009</v>
          </cell>
          <cell r="D236">
            <v>8.0983457867810298</v>
          </cell>
          <cell r="E236">
            <v>5.499576850408852</v>
          </cell>
        </row>
        <row r="237">
          <cell r="A237">
            <v>42</v>
          </cell>
          <cell r="B237">
            <v>4</v>
          </cell>
          <cell r="C237">
            <v>8.9314348390676503</v>
          </cell>
          <cell r="D237">
            <v>8.857380723678558</v>
          </cell>
          <cell r="E237">
            <v>5.8526305494505548</v>
          </cell>
        </row>
        <row r="238">
          <cell r="A238">
            <v>43</v>
          </cell>
          <cell r="B238">
            <v>4</v>
          </cell>
          <cell r="C238">
            <v>9.6523654393896958</v>
          </cell>
          <cell r="D238">
            <v>9.663461324059778</v>
          </cell>
          <cell r="E238">
            <v>6.2125189970267849</v>
          </cell>
        </row>
        <row r="239">
          <cell r="A239">
            <v>44</v>
          </cell>
          <cell r="B239">
            <v>4</v>
          </cell>
          <cell r="C239">
            <v>10.405383243994166</v>
          </cell>
          <cell r="D239">
            <v>10.518143023580853</v>
          </cell>
          <cell r="E239">
            <v>6.5786386975141289</v>
          </cell>
        </row>
        <row r="240">
          <cell r="A240">
            <v>45</v>
          </cell>
          <cell r="B240">
            <v>4</v>
          </cell>
          <cell r="C240">
            <v>11.190547133536286</v>
          </cell>
          <cell r="D240">
            <v>11.42298165033621</v>
          </cell>
          <cell r="E240">
            <v>6.9503598246991114</v>
          </cell>
        </row>
        <row r="241">
          <cell r="A241">
            <v>46</v>
          </cell>
          <cell r="B241">
            <v>4</v>
          </cell>
          <cell r="C241">
            <v>12.007857535984909</v>
          </cell>
          <cell r="D241">
            <v>12.379531122157887</v>
          </cell>
          <cell r="E241">
            <v>7.3270262217782278</v>
          </cell>
        </row>
        <row r="242">
          <cell r="A242">
            <v>47</v>
          </cell>
          <cell r="B242">
            <v>4</v>
          </cell>
          <cell r="C242">
            <v>12.857254751353809</v>
          </cell>
          <cell r="D242">
            <v>13.389341028459137</v>
          </cell>
          <cell r="E242">
            <v>7.707955401357907</v>
          </cell>
        </row>
        <row r="243">
          <cell r="A243">
            <v>48</v>
          </cell>
          <cell r="B243">
            <v>4</v>
          </cell>
          <cell r="C243">
            <v>13.738617276040401</v>
          </cell>
          <cell r="D243">
            <v>14.453954089811678</v>
          </cell>
          <cell r="E243">
            <v>8.0924385454545487</v>
          </cell>
        </row>
        <row r="244">
          <cell r="A244">
            <v>49</v>
          </cell>
          <cell r="B244">
            <v>4</v>
          </cell>
          <cell r="C244">
            <v>14.651760126989577</v>
          </cell>
          <cell r="D244">
            <v>15.57490348798299</v>
          </cell>
          <cell r="E244">
            <v>8.4797405054945099</v>
          </cell>
        </row>
        <row r="245">
          <cell r="A245">
            <v>50</v>
          </cell>
          <cell r="B245">
            <v>4</v>
          </cell>
          <cell r="C245">
            <v>15.699041278800447</v>
          </cell>
          <cell r="D245">
            <v>16.863931835362955</v>
          </cell>
          <cell r="E245">
            <v>8.9274491431187908</v>
          </cell>
        </row>
        <row r="246">
          <cell r="A246">
            <v>51</v>
          </cell>
          <cell r="B246">
            <v>4</v>
          </cell>
          <cell r="C246">
            <v>16.694329391226663</v>
          </cell>
          <cell r="D246">
            <v>18.355481630003489</v>
          </cell>
          <cell r="E246">
            <v>9.6914017762211362</v>
          </cell>
        </row>
        <row r="247">
          <cell r="A247">
            <v>52</v>
          </cell>
          <cell r="B247">
            <v>4</v>
          </cell>
          <cell r="C247">
            <v>18.367836205844615</v>
          </cell>
          <cell r="D247">
            <v>19.945069478423662</v>
          </cell>
          <cell r="E247">
            <v>10.202775599162742</v>
          </cell>
        </row>
        <row r="248">
          <cell r="A248">
            <v>53</v>
          </cell>
          <cell r="B248">
            <v>4</v>
          </cell>
          <cell r="C248">
            <v>19.813164889564217</v>
          </cell>
          <cell r="D248">
            <v>21.637593041357022</v>
          </cell>
          <cell r="E248">
            <v>10.879874594017098</v>
          </cell>
        </row>
        <row r="249">
          <cell r="A249">
            <v>54</v>
          </cell>
          <cell r="B249">
            <v>4</v>
          </cell>
          <cell r="C249">
            <v>21.335637090425063</v>
          </cell>
          <cell r="D249">
            <v>23.438160547163392</v>
          </cell>
          <cell r="E249">
            <v>11.583867509448227</v>
          </cell>
        </row>
        <row r="250">
          <cell r="A250">
            <v>55</v>
          </cell>
          <cell r="B250">
            <v>4</v>
          </cell>
          <cell r="C250">
            <v>22.937686428827639</v>
          </cell>
          <cell r="D250">
            <v>25.352100220230088</v>
          </cell>
          <cell r="E250">
            <v>12.315206902472523</v>
          </cell>
        </row>
        <row r="251">
          <cell r="A251">
            <v>56</v>
          </cell>
          <cell r="B251">
            <v>4</v>
          </cell>
          <cell r="C251">
            <v>24.621779784981591</v>
          </cell>
          <cell r="D251">
            <v>27.384970220551534</v>
          </cell>
          <cell r="E251">
            <v>13.074345330106402</v>
          </cell>
        </row>
        <row r="252">
          <cell r="A252">
            <v>57</v>
          </cell>
          <cell r="B252">
            <v>4</v>
          </cell>
          <cell r="C252">
            <v>26.390417286583428</v>
          </cell>
          <cell r="D252">
            <v>29.542569127115442</v>
          </cell>
          <cell r="E252">
            <v>13.861735349366249</v>
          </cell>
        </row>
        <row r="253">
          <cell r="A253">
            <v>58</v>
          </cell>
          <cell r="B253">
            <v>4</v>
          </cell>
          <cell r="C253">
            <v>28.246132296226452</v>
          </cell>
          <cell r="D253">
            <v>31.830947000126613</v>
          </cell>
          <cell r="E253">
            <v>14.677829517268446</v>
          </cell>
        </row>
        <row r="254">
          <cell r="A254">
            <v>59</v>
          </cell>
          <cell r="B254">
            <v>4</v>
          </cell>
          <cell r="C254">
            <v>30.19149139859968</v>
          </cell>
          <cell r="D254">
            <v>34.256417059701107</v>
          </cell>
          <cell r="E254">
            <v>15.523080390829415</v>
          </cell>
        </row>
        <row r="255">
          <cell r="A255">
            <v>60</v>
          </cell>
          <cell r="B255">
            <v>4</v>
          </cell>
          <cell r="C255">
            <v>32.3878583992865</v>
          </cell>
          <cell r="D255">
            <v>37.006974760509266</v>
          </cell>
          <cell r="E255">
            <v>16.478718559218564</v>
          </cell>
        </row>
        <row r="256">
          <cell r="A256">
            <v>61</v>
          </cell>
          <cell r="B256">
            <v>4</v>
          </cell>
          <cell r="C256">
            <v>34.691974005309049</v>
          </cell>
          <cell r="D256">
            <v>39.925520182084497</v>
          </cell>
          <cell r="E256">
            <v>17.469236160714289</v>
          </cell>
        </row>
        <row r="257">
          <cell r="A257">
            <v>62</v>
          </cell>
          <cell r="B257">
            <v>4</v>
          </cell>
          <cell r="C257">
            <v>37.106971775412397</v>
          </cell>
          <cell r="D257">
            <v>43.020227109939746</v>
          </cell>
          <cell r="E257">
            <v>18.495176263736273</v>
          </cell>
        </row>
        <row r="258">
          <cell r="A258">
            <v>63</v>
          </cell>
          <cell r="B258">
            <v>4</v>
          </cell>
          <cell r="C258">
            <v>39.636025087792028</v>
          </cell>
          <cell r="D258">
            <v>46.299632562195143</v>
          </cell>
          <cell r="E258">
            <v>19.557081936704165</v>
          </cell>
        </row>
        <row r="259">
          <cell r="A259">
            <v>64</v>
          </cell>
          <cell r="B259">
            <v>4</v>
          </cell>
          <cell r="C259">
            <v>42.282347124790761</v>
          </cell>
          <cell r="D259">
            <v>49.772654479477652</v>
          </cell>
          <cell r="E259">
            <v>20.6554962480377</v>
          </cell>
        </row>
        <row r="260">
          <cell r="A260">
            <v>65</v>
          </cell>
          <cell r="B260">
            <v>4</v>
          </cell>
          <cell r="C260">
            <v>45.049190857524657</v>
          </cell>
          <cell r="D260">
            <v>53.448610458814869</v>
          </cell>
          <cell r="E260">
            <v>21.790962266156473</v>
          </cell>
        </row>
        <row r="261">
          <cell r="A261">
            <v>66</v>
          </cell>
          <cell r="B261">
            <v>4</v>
          </cell>
          <cell r="C261">
            <v>47.939849030470945</v>
          </cell>
          <cell r="D261">
            <v>57.337237604118563</v>
          </cell>
          <cell r="E261">
            <v>22.964023059480223</v>
          </cell>
        </row>
        <row r="262">
          <cell r="A262">
            <v>67</v>
          </cell>
          <cell r="B262">
            <v>4</v>
          </cell>
          <cell r="C262">
            <v>50.957654146047417</v>
          </cell>
          <cell r="D262">
            <v>60.931317657981204</v>
          </cell>
          <cell r="E262">
            <v>24.175221696428579</v>
          </cell>
        </row>
        <row r="263">
          <cell r="A263">
            <v>68</v>
          </cell>
          <cell r="B263">
            <v>4</v>
          </cell>
          <cell r="C263">
            <v>54.105978449208756</v>
          </cell>
          <cell r="D263">
            <v>64.690171137659974</v>
          </cell>
          <cell r="E263">
            <v>25.42510124542126</v>
          </cell>
        </row>
        <row r="264">
          <cell r="A264">
            <v>69</v>
          </cell>
          <cell r="B264">
            <v>4</v>
          </cell>
          <cell r="C264">
            <v>57.388233912081922</v>
          </cell>
          <cell r="D264">
            <v>68.619713185921412</v>
          </cell>
          <cell r="E264">
            <v>26.714204774877924</v>
          </cell>
        </row>
        <row r="265">
          <cell r="A265">
            <v>70</v>
          </cell>
          <cell r="B265">
            <v>4</v>
          </cell>
          <cell r="C265">
            <v>61.038205067972619</v>
          </cell>
          <cell r="D265">
            <v>73.001563143980221</v>
          </cell>
          <cell r="E265">
            <v>28.149299123495577</v>
          </cell>
        </row>
        <row r="266">
          <cell r="A266">
            <v>71</v>
          </cell>
          <cell r="B266">
            <v>4</v>
          </cell>
          <cell r="C266">
            <v>64.845187599564952</v>
          </cell>
          <cell r="D266">
            <v>77.58615484361772</v>
          </cell>
          <cell r="E266">
            <v>29.630124612186769</v>
          </cell>
        </row>
        <row r="267">
          <cell r="A267">
            <v>72</v>
          </cell>
          <cell r="B267">
            <v>4</v>
          </cell>
          <cell r="C267">
            <v>68.813229768740968</v>
          </cell>
          <cell r="D267">
            <v>82.380909233755332</v>
          </cell>
          <cell r="E267">
            <v>31.157314820774477</v>
          </cell>
        </row>
        <row r="268">
          <cell r="A268">
            <v>73</v>
          </cell>
          <cell r="B268">
            <v>4</v>
          </cell>
          <cell r="C268">
            <v>72.946426135465188</v>
          </cell>
          <cell r="D268">
            <v>87.39354230349069</v>
          </cell>
          <cell r="E268">
            <v>32.731503329081654</v>
          </cell>
        </row>
        <row r="269">
          <cell r="A269">
            <v>74</v>
          </cell>
          <cell r="B269">
            <v>4</v>
          </cell>
          <cell r="C269">
            <v>77.248917540456901</v>
          </cell>
          <cell r="D269">
            <v>92.632081001531915</v>
          </cell>
          <cell r="E269">
            <v>34.353323716931236</v>
          </cell>
        </row>
        <row r="270">
          <cell r="A270">
            <v>75</v>
          </cell>
          <cell r="B270">
            <v>4</v>
          </cell>
          <cell r="C270">
            <v>81.724891087975308</v>
          </cell>
          <cell r="D270">
            <v>98.104880197630649</v>
          </cell>
          <cell r="E270">
            <v>36.023409564146213</v>
          </cell>
        </row>
        <row r="271">
          <cell r="A271">
            <v>76</v>
          </cell>
          <cell r="B271">
            <v>4</v>
          </cell>
          <cell r="C271">
            <v>86.378580128730732</v>
          </cell>
          <cell r="D271">
            <v>103.8206407664632</v>
          </cell>
          <cell r="E271">
            <v>37.742394450549462</v>
          </cell>
        </row>
        <row r="272">
          <cell r="A272">
            <v>77</v>
          </cell>
          <cell r="B272">
            <v>4</v>
          </cell>
          <cell r="C272">
            <v>91.214264242931264</v>
          </cell>
          <cell r="D272">
            <v>109.78842888158552</v>
          </cell>
          <cell r="E272">
            <v>39.510911955964012</v>
          </cell>
        </row>
        <row r="273">
          <cell r="A273">
            <v>78</v>
          </cell>
          <cell r="B273">
            <v>4</v>
          </cell>
          <cell r="C273">
            <v>96.236269223474267</v>
          </cell>
          <cell r="D273">
            <v>116.01769661499407</v>
          </cell>
          <cell r="E273">
            <v>41.32959566021281</v>
          </cell>
        </row>
        <row r="274">
          <cell r="A274">
            <v>79</v>
          </cell>
          <cell r="B274">
            <v>4</v>
          </cell>
          <cell r="C274">
            <v>101.44896705929044</v>
          </cell>
          <cell r="D274">
            <v>122.51830394654247</v>
          </cell>
          <cell r="E274">
            <v>43.199079143118823</v>
          </cell>
        </row>
        <row r="275">
          <cell r="A275">
            <v>80</v>
          </cell>
          <cell r="B275">
            <v>4</v>
          </cell>
          <cell r="C275">
            <v>107.17575136934924</v>
          </cell>
          <cell r="D275">
            <v>129.68651406513814</v>
          </cell>
          <cell r="E275">
            <v>45.254682539682527</v>
          </cell>
        </row>
        <row r="276">
          <cell r="A276">
            <v>81</v>
          </cell>
          <cell r="B276">
            <v>4</v>
          </cell>
          <cell r="C276">
            <v>113.12184528078674</v>
          </cell>
          <cell r="D276">
            <v>155.71401437603362</v>
          </cell>
          <cell r="E276">
            <v>47.368377306674844</v>
          </cell>
        </row>
        <row r="277">
          <cell r="A277">
            <v>82</v>
          </cell>
          <cell r="B277">
            <v>4</v>
          </cell>
          <cell r="C277">
            <v>119.29232614432996</v>
          </cell>
          <cell r="D277">
            <v>165.97861501513222</v>
          </cell>
          <cell r="E277">
            <v>49.540887535321829</v>
          </cell>
        </row>
        <row r="278">
          <cell r="A278">
            <v>83</v>
          </cell>
          <cell r="B278">
            <v>4</v>
          </cell>
          <cell r="C278">
            <v>125.69232405416851</v>
          </cell>
          <cell r="D278">
            <v>176.80053067127213</v>
          </cell>
          <cell r="E278">
            <v>51.772937316849827</v>
          </cell>
        </row>
        <row r="279">
          <cell r="A279">
            <v>84</v>
          </cell>
          <cell r="B279">
            <v>4</v>
          </cell>
          <cell r="C279">
            <v>132.32702182976914</v>
          </cell>
          <cell r="D279">
            <v>188.20717679557109</v>
          </cell>
          <cell r="E279">
            <v>54.065250742485041</v>
          </cell>
        </row>
        <row r="280">
          <cell r="A280">
            <v>85</v>
          </cell>
          <cell r="B280">
            <v>4</v>
          </cell>
          <cell r="C280">
            <v>139.20165499788169</v>
          </cell>
          <cell r="D280">
            <v>200.22739261588021</v>
          </cell>
          <cell r="E280">
            <v>56.418551903453668</v>
          </cell>
        </row>
        <row r="281">
          <cell r="A281">
            <v>86</v>
          </cell>
          <cell r="B281">
            <v>4</v>
          </cell>
          <cell r="C281">
            <v>146.32151177473924</v>
          </cell>
          <cell r="D281">
            <v>212.89152938740807</v>
          </cell>
          <cell r="E281">
            <v>58.833564890982032</v>
          </cell>
        </row>
        <row r="282">
          <cell r="A282">
            <v>87</v>
          </cell>
          <cell r="B282">
            <v>4</v>
          </cell>
          <cell r="C282">
            <v>153.69193304845504</v>
          </cell>
          <cell r="D282">
            <v>226.23154528983446</v>
          </cell>
          <cell r="E282">
            <v>61.311013796296315</v>
          </cell>
        </row>
        <row r="283">
          <cell r="A283">
            <v>88</v>
          </cell>
          <cell r="B283">
            <v>4</v>
          </cell>
          <cell r="C283">
            <v>161.31831236161824</v>
          </cell>
          <cell r="D283">
            <v>240.28110756234122</v>
          </cell>
          <cell r="E283">
            <v>63.851622710622685</v>
          </cell>
        </row>
        <row r="284">
          <cell r="A284">
            <v>89</v>
          </cell>
          <cell r="B284">
            <v>4</v>
          </cell>
          <cell r="C284">
            <v>169.20609589408824</v>
          </cell>
          <cell r="D284">
            <v>255.07570252890127</v>
          </cell>
          <cell r="E284">
            <v>66.456115725187473</v>
          </cell>
        </row>
        <row r="285">
          <cell r="A285">
            <v>90</v>
          </cell>
          <cell r="B285">
            <v>4</v>
          </cell>
          <cell r="C285">
            <v>177.36078244598949</v>
          </cell>
          <cell r="D285">
            <v>270.65275423424396</v>
          </cell>
          <cell r="E285">
            <v>69.12521693121694</v>
          </cell>
        </row>
        <row r="286">
          <cell r="A286">
            <v>20</v>
          </cell>
          <cell r="B286">
            <v>5</v>
          </cell>
          <cell r="C286">
            <v>1</v>
          </cell>
          <cell r="D286">
            <v>1</v>
          </cell>
          <cell r="E286">
            <v>1</v>
          </cell>
        </row>
        <row r="287">
          <cell r="A287">
            <v>21</v>
          </cell>
          <cell r="B287">
            <v>5</v>
          </cell>
          <cell r="C287">
            <v>1.117596838754978</v>
          </cell>
          <cell r="D287">
            <v>1.1095204807543111</v>
          </cell>
          <cell r="E287">
            <v>1.0931717687074833</v>
          </cell>
        </row>
        <row r="288">
          <cell r="A288">
            <v>22</v>
          </cell>
          <cell r="B288">
            <v>5</v>
          </cell>
          <cell r="C288">
            <v>1.2431201966962262</v>
          </cell>
          <cell r="D288">
            <v>1.22604988148337</v>
          </cell>
          <cell r="E288">
            <v>1.1902040816326529</v>
          </cell>
        </row>
        <row r="289">
          <cell r="A289">
            <v>23</v>
          </cell>
          <cell r="B289">
            <v>5</v>
          </cell>
          <cell r="C289">
            <v>1.4024517884049481</v>
          </cell>
          <cell r="D289">
            <v>1.374995739522912</v>
          </cell>
          <cell r="E289">
            <v>1.31516810570382</v>
          </cell>
        </row>
        <row r="290">
          <cell r="A290">
            <v>24</v>
          </cell>
          <cell r="B290">
            <v>5</v>
          </cell>
          <cell r="C290">
            <v>1.5727679083562147</v>
          </cell>
          <cell r="D290">
            <v>1.533738445309383</v>
          </cell>
          <cell r="E290">
            <v>1.4454515325943895</v>
          </cell>
        </row>
        <row r="291">
          <cell r="A291">
            <v>25</v>
          </cell>
          <cell r="B291">
            <v>5</v>
          </cell>
          <cell r="C291">
            <v>1.7543614190545793</v>
          </cell>
          <cell r="D291">
            <v>1.7026182137524801</v>
          </cell>
          <cell r="E291">
            <v>1.5810543623043625</v>
          </cell>
        </row>
        <row r="292">
          <cell r="A292">
            <v>26</v>
          </cell>
          <cell r="B292">
            <v>5</v>
          </cell>
          <cell r="C292">
            <v>1.972233786607722</v>
          </cell>
          <cell r="D292">
            <v>1.9058629331394403</v>
          </cell>
          <cell r="E292">
            <v>1.7438244612530327</v>
          </cell>
        </row>
        <row r="293">
          <cell r="A293">
            <v>27</v>
          </cell>
          <cell r="B293">
            <v>5</v>
          </cell>
          <cell r="C293">
            <v>2.2042918205274931</v>
          </cell>
          <cell r="D293">
            <v>2.1220114367205052</v>
          </cell>
          <cell r="E293">
            <v>1.9131277333777335</v>
          </cell>
        </row>
        <row r="294">
          <cell r="A294">
            <v>28</v>
          </cell>
          <cell r="B294">
            <v>5</v>
          </cell>
          <cell r="C294">
            <v>2.4508928136691663</v>
          </cell>
          <cell r="D294">
            <v>2.3515094636709608</v>
          </cell>
          <cell r="E294">
            <v>2.0889641786784643</v>
          </cell>
        </row>
        <row r="295">
          <cell r="A295">
            <v>29</v>
          </cell>
          <cell r="B295">
            <v>5</v>
          </cell>
          <cell r="C295">
            <v>2.7123930236100176</v>
          </cell>
          <cell r="D295">
            <v>2.5948157044254323</v>
          </cell>
          <cell r="E295">
            <v>2.2713337971552265</v>
          </cell>
        </row>
        <row r="296">
          <cell r="A296">
            <v>30</v>
          </cell>
          <cell r="B296">
            <v>5</v>
          </cell>
          <cell r="C296">
            <v>3.0265120612034342</v>
          </cell>
          <cell r="D296">
            <v>2.8880573029357315</v>
          </cell>
          <cell r="E296">
            <v>2.4909895461681182</v>
          </cell>
        </row>
        <row r="297">
          <cell r="A297">
            <v>31</v>
          </cell>
          <cell r="B297">
            <v>5</v>
          </cell>
          <cell r="C297">
            <v>3.3695317344270128</v>
          </cell>
          <cell r="D297">
            <v>3.2052392989389573</v>
          </cell>
          <cell r="E297">
            <v>2.7213972107142856</v>
          </cell>
        </row>
        <row r="298">
          <cell r="A298">
            <v>32</v>
          </cell>
          <cell r="B298">
            <v>5</v>
          </cell>
          <cell r="C298">
            <v>3.736134403677501</v>
          </cell>
          <cell r="D298">
            <v>3.5437905178032878</v>
          </cell>
          <cell r="E298">
            <v>2.9619607008325004</v>
          </cell>
        </row>
        <row r="299">
          <cell r="A299">
            <v>33</v>
          </cell>
          <cell r="B299">
            <v>5</v>
          </cell>
          <cell r="C299">
            <v>4.1255219053527252</v>
          </cell>
          <cell r="D299">
            <v>3.9030291687753933</v>
          </cell>
          <cell r="E299">
            <v>3.2114633441290867</v>
          </cell>
        </row>
        <row r="300">
          <cell r="A300">
            <v>34</v>
          </cell>
          <cell r="B300">
            <v>5</v>
          </cell>
          <cell r="C300">
            <v>4.538082335892768</v>
          </cell>
          <cell r="D300">
            <v>4.2834270427550107</v>
          </cell>
          <cell r="E300">
            <v>3.4696725503496499</v>
          </cell>
        </row>
        <row r="301">
          <cell r="A301">
            <v>35</v>
          </cell>
          <cell r="B301">
            <v>5</v>
          </cell>
          <cell r="C301">
            <v>4.9741715657997148</v>
          </cell>
          <cell r="D301">
            <v>4.6854476569608421</v>
          </cell>
          <cell r="E301">
            <v>3.7363379560915271</v>
          </cell>
        </row>
        <row r="302">
          <cell r="A302">
            <v>36</v>
          </cell>
          <cell r="B302">
            <v>5</v>
          </cell>
          <cell r="C302">
            <v>5.4341119881686373</v>
          </cell>
          <cell r="D302">
            <v>5.1095459383355912</v>
          </cell>
          <cell r="E302">
            <v>4.0111914248037674</v>
          </cell>
        </row>
        <row r="303">
          <cell r="A303">
            <v>37</v>
          </cell>
          <cell r="B303">
            <v>5</v>
          </cell>
          <cell r="C303">
            <v>5.9181912644716714</v>
          </cell>
          <cell r="D303">
            <v>5.6117214510807587</v>
          </cell>
          <cell r="E303">
            <v>4.2939470467871415</v>
          </cell>
        </row>
        <row r="304">
          <cell r="A304">
            <v>38</v>
          </cell>
          <cell r="B304">
            <v>5</v>
          </cell>
          <cell r="C304">
            <v>6.4266610681996923</v>
          </cell>
          <cell r="D304">
            <v>6.1465504124383461</v>
          </cell>
          <cell r="E304">
            <v>4.5843011391941397</v>
          </cell>
        </row>
        <row r="305">
          <cell r="A305">
            <v>39</v>
          </cell>
          <cell r="B305">
            <v>5</v>
          </cell>
          <cell r="C305">
            <v>6.9597358268613378</v>
          </cell>
          <cell r="D305">
            <v>6.715206181661264</v>
          </cell>
          <cell r="E305">
            <v>4.8819322460289714</v>
          </cell>
        </row>
        <row r="306">
          <cell r="A306">
            <v>40</v>
          </cell>
          <cell r="B306">
            <v>5</v>
          </cell>
          <cell r="C306">
            <v>7.5853175119679284</v>
          </cell>
          <cell r="D306">
            <v>7.3848036637746608</v>
          </cell>
          <cell r="E306">
            <v>5.2332263736263753</v>
          </cell>
        </row>
        <row r="307">
          <cell r="A307">
            <v>41</v>
          </cell>
          <cell r="B307">
            <v>5</v>
          </cell>
          <cell r="C307">
            <v>8.2424757843041991</v>
          </cell>
          <cell r="D307">
            <v>8.0983457867810298</v>
          </cell>
          <cell r="E307">
            <v>5.5941008275252537</v>
          </cell>
        </row>
        <row r="308">
          <cell r="A308">
            <v>42</v>
          </cell>
          <cell r="B308">
            <v>5</v>
          </cell>
          <cell r="C308">
            <v>8.9314348390676503</v>
          </cell>
          <cell r="D308">
            <v>8.857380723678558</v>
          </cell>
          <cell r="E308">
            <v>5.9641092265829432</v>
          </cell>
        </row>
        <row r="309">
          <cell r="A309">
            <v>43</v>
          </cell>
          <cell r="B309">
            <v>5</v>
          </cell>
          <cell r="C309">
            <v>9.652365439389694</v>
          </cell>
          <cell r="D309">
            <v>9.663461324059778</v>
          </cell>
          <cell r="E309">
            <v>6.3427814921257317</v>
          </cell>
        </row>
        <row r="310">
          <cell r="A310">
            <v>44</v>
          </cell>
          <cell r="B310">
            <v>5</v>
          </cell>
          <cell r="C310">
            <v>10.405383243994164</v>
          </cell>
          <cell r="D310">
            <v>10.518143023580853</v>
          </cell>
          <cell r="E310">
            <v>6.7296238479488766</v>
          </cell>
        </row>
        <row r="311">
          <cell r="A311">
            <v>45</v>
          </cell>
          <cell r="B311">
            <v>5</v>
          </cell>
          <cell r="C311">
            <v>11.190547133536286</v>
          </cell>
          <cell r="D311">
            <v>11.42298165033621</v>
          </cell>
          <cell r="E311">
            <v>7.1241188203165882</v>
          </cell>
        </row>
        <row r="312">
          <cell r="A312">
            <v>46</v>
          </cell>
          <cell r="B312">
            <v>5</v>
          </cell>
          <cell r="C312">
            <v>12.007857535984908</v>
          </cell>
          <cell r="D312">
            <v>12.379531122157887</v>
          </cell>
          <cell r="E312">
            <v>7.5257252379620398</v>
          </cell>
        </row>
        <row r="313">
          <cell r="A313">
            <v>47</v>
          </cell>
          <cell r="B313">
            <v>5</v>
          </cell>
          <cell r="C313">
            <v>12.857254751353809</v>
          </cell>
          <cell r="D313">
            <v>13.389341028459137</v>
          </cell>
          <cell r="E313">
            <v>7.9338782320873582</v>
          </cell>
        </row>
        <row r="314">
          <cell r="A314">
            <v>48</v>
          </cell>
          <cell r="B314">
            <v>5</v>
          </cell>
          <cell r="C314">
            <v>13.738617276040399</v>
          </cell>
          <cell r="D314">
            <v>14.453954089811678</v>
          </cell>
          <cell r="E314">
            <v>8.3479892363636381</v>
          </cell>
        </row>
        <row r="315">
          <cell r="A315">
            <v>49</v>
          </cell>
          <cell r="B315">
            <v>5</v>
          </cell>
          <cell r="C315">
            <v>14.651760126989576</v>
          </cell>
          <cell r="D315">
            <v>15.57490348798299</v>
          </cell>
          <cell r="E315">
            <v>8.7674459869309285</v>
          </cell>
        </row>
        <row r="316">
          <cell r="A316">
            <v>50</v>
          </cell>
          <cell r="B316">
            <v>5</v>
          </cell>
          <cell r="C316">
            <v>15.699041278800449</v>
          </cell>
          <cell r="D316">
            <v>16.863931835362955</v>
          </cell>
          <cell r="E316">
            <v>9.2520836574140137</v>
          </cell>
        </row>
        <row r="317">
          <cell r="A317">
            <v>51</v>
          </cell>
          <cell r="B317">
            <v>5</v>
          </cell>
          <cell r="C317">
            <v>16.694329391226663</v>
          </cell>
          <cell r="D317">
            <v>18.355481630003489</v>
          </cell>
          <cell r="E317">
            <v>9.9087532993784002</v>
          </cell>
        </row>
        <row r="318">
          <cell r="A318">
            <v>52</v>
          </cell>
          <cell r="B318">
            <v>5</v>
          </cell>
          <cell r="C318">
            <v>18.367836205844615</v>
          </cell>
          <cell r="D318">
            <v>19.945069478423662</v>
          </cell>
          <cell r="E318">
            <v>10.573785620950479</v>
          </cell>
        </row>
        <row r="319">
          <cell r="A319">
            <v>53</v>
          </cell>
          <cell r="B319">
            <v>5</v>
          </cell>
          <cell r="C319">
            <v>19.81316488956422</v>
          </cell>
          <cell r="D319">
            <v>21.637593041357022</v>
          </cell>
          <cell r="E319">
            <v>11.275506397435898</v>
          </cell>
        </row>
        <row r="320">
          <cell r="A320">
            <v>54</v>
          </cell>
          <cell r="B320">
            <v>5</v>
          </cell>
          <cell r="C320">
            <v>21.335637090425067</v>
          </cell>
          <cell r="D320">
            <v>23.438160547163392</v>
          </cell>
          <cell r="E320">
            <v>12.005099055246342</v>
          </cell>
        </row>
        <row r="321">
          <cell r="A321">
            <v>55</v>
          </cell>
          <cell r="B321">
            <v>5</v>
          </cell>
          <cell r="C321">
            <v>22.937686428827643</v>
          </cell>
          <cell r="D321">
            <v>25.352100220230088</v>
          </cell>
          <cell r="E321">
            <v>12.76303260801698</v>
          </cell>
        </row>
        <row r="322">
          <cell r="A322">
            <v>56</v>
          </cell>
          <cell r="B322">
            <v>5</v>
          </cell>
          <cell r="C322">
            <v>24.621779784981594</v>
          </cell>
          <cell r="D322">
            <v>27.384970220551534</v>
          </cell>
          <cell r="E322">
            <v>13.549776069383</v>
          </cell>
        </row>
        <row r="323">
          <cell r="A323">
            <v>57</v>
          </cell>
          <cell r="B323">
            <v>5</v>
          </cell>
          <cell r="C323">
            <v>26.390417286583432</v>
          </cell>
          <cell r="D323">
            <v>29.542569127115442</v>
          </cell>
          <cell r="E323">
            <v>14.365798452979561</v>
          </cell>
        </row>
        <row r="324">
          <cell r="A324">
            <v>58</v>
          </cell>
          <cell r="B324">
            <v>5</v>
          </cell>
          <cell r="C324">
            <v>28.246132296226452</v>
          </cell>
          <cell r="D324">
            <v>31.830947000126613</v>
          </cell>
          <cell r="E324">
            <v>15.211568772441845</v>
          </cell>
        </row>
        <row r="325">
          <cell r="A325">
            <v>59</v>
          </cell>
          <cell r="B325">
            <v>5</v>
          </cell>
          <cell r="C325">
            <v>30.191491398599684</v>
          </cell>
          <cell r="D325">
            <v>34.256417059701107</v>
          </cell>
          <cell r="E325">
            <v>16.087556041405026</v>
          </cell>
        </row>
        <row r="326">
          <cell r="A326">
            <v>60</v>
          </cell>
          <cell r="B326">
            <v>5</v>
          </cell>
          <cell r="C326">
            <v>32.3878583992865</v>
          </cell>
          <cell r="D326">
            <v>37.006974760509266</v>
          </cell>
          <cell r="E326">
            <v>17.077944688644696</v>
          </cell>
        </row>
        <row r="327">
          <cell r="A327">
            <v>61</v>
          </cell>
          <cell r="B327">
            <v>5</v>
          </cell>
          <cell r="C327">
            <v>34.691974005309056</v>
          </cell>
          <cell r="D327">
            <v>39.925520182084497</v>
          </cell>
          <cell r="E327">
            <v>18.104481112012987</v>
          </cell>
        </row>
        <row r="328">
          <cell r="A328">
            <v>62</v>
          </cell>
          <cell r="B328">
            <v>5</v>
          </cell>
          <cell r="C328">
            <v>37.106971775412404</v>
          </cell>
          <cell r="D328">
            <v>43.020227109939746</v>
          </cell>
          <cell r="E328">
            <v>19.167728127872131</v>
          </cell>
        </row>
        <row r="329">
          <cell r="A329">
            <v>63</v>
          </cell>
          <cell r="B329">
            <v>5</v>
          </cell>
          <cell r="C329">
            <v>39.636025087792035</v>
          </cell>
          <cell r="D329">
            <v>46.299632562195143</v>
          </cell>
          <cell r="E329">
            <v>20.268248552584321</v>
          </cell>
        </row>
        <row r="330">
          <cell r="A330">
            <v>64</v>
          </cell>
          <cell r="B330">
            <v>5</v>
          </cell>
          <cell r="C330">
            <v>42.282347124790768</v>
          </cell>
          <cell r="D330">
            <v>49.772654479477652</v>
          </cell>
          <cell r="E330">
            <v>21.406605202511781</v>
          </cell>
        </row>
        <row r="331">
          <cell r="A331">
            <v>65</v>
          </cell>
          <cell r="B331">
            <v>5</v>
          </cell>
          <cell r="C331">
            <v>45.049190857524657</v>
          </cell>
          <cell r="D331">
            <v>53.448610458814869</v>
          </cell>
          <cell r="E331">
            <v>22.5833608940167</v>
          </cell>
        </row>
        <row r="332">
          <cell r="A332">
            <v>66</v>
          </cell>
          <cell r="B332">
            <v>5</v>
          </cell>
          <cell r="C332">
            <v>47.939849030470953</v>
          </cell>
          <cell r="D332">
            <v>57.337237604118563</v>
          </cell>
          <cell r="E332">
            <v>23.799078443461312</v>
          </cell>
        </row>
        <row r="333">
          <cell r="A333">
            <v>67</v>
          </cell>
          <cell r="B333">
            <v>5</v>
          </cell>
          <cell r="C333">
            <v>50.957654146047425</v>
          </cell>
          <cell r="D333">
            <v>60.931317657981204</v>
          </cell>
          <cell r="E333">
            <v>25.054320667207801</v>
          </cell>
        </row>
        <row r="334">
          <cell r="A334">
            <v>68</v>
          </cell>
          <cell r="B334">
            <v>5</v>
          </cell>
          <cell r="C334">
            <v>54.105978449208763</v>
          </cell>
          <cell r="D334">
            <v>64.690171137659974</v>
          </cell>
          <cell r="E334">
            <v>26.3496503816184</v>
          </cell>
        </row>
        <row r="335">
          <cell r="A335">
            <v>69</v>
          </cell>
          <cell r="B335">
            <v>5</v>
          </cell>
          <cell r="C335">
            <v>57.388233912081937</v>
          </cell>
          <cell r="D335">
            <v>68.619713185921412</v>
          </cell>
          <cell r="E335">
            <v>27.685630403055296</v>
          </cell>
        </row>
        <row r="336">
          <cell r="A336">
            <v>70</v>
          </cell>
          <cell r="B336">
            <v>5</v>
          </cell>
          <cell r="C336">
            <v>61.038205067972626</v>
          </cell>
          <cell r="D336">
            <v>73.001563143980221</v>
          </cell>
          <cell r="E336">
            <v>29.172910000713586</v>
          </cell>
        </row>
        <row r="337">
          <cell r="A337">
            <v>71</v>
          </cell>
          <cell r="B337">
            <v>5</v>
          </cell>
          <cell r="C337">
            <v>64.845187599564966</v>
          </cell>
          <cell r="D337">
            <v>77.58615484361772</v>
          </cell>
          <cell r="E337">
            <v>30.707583688993559</v>
          </cell>
        </row>
        <row r="338">
          <cell r="A338">
            <v>72</v>
          </cell>
          <cell r="B338">
            <v>5</v>
          </cell>
          <cell r="C338">
            <v>68.813229768740968</v>
          </cell>
          <cell r="D338">
            <v>82.380909233755332</v>
          </cell>
          <cell r="E338">
            <v>32.290308086984453</v>
          </cell>
        </row>
        <row r="339">
          <cell r="A339">
            <v>73</v>
          </cell>
          <cell r="B339">
            <v>5</v>
          </cell>
          <cell r="C339">
            <v>72.946426135465202</v>
          </cell>
          <cell r="D339">
            <v>87.39354230349069</v>
          </cell>
          <cell r="E339">
            <v>33.921739813775524</v>
          </cell>
        </row>
        <row r="340">
          <cell r="A340">
            <v>74</v>
          </cell>
          <cell r="B340">
            <v>5</v>
          </cell>
          <cell r="C340">
            <v>77.248917540456929</v>
          </cell>
          <cell r="D340">
            <v>92.632081001531915</v>
          </cell>
          <cell r="E340">
            <v>35.602535488455999</v>
          </cell>
        </row>
        <row r="341">
          <cell r="A341">
            <v>75</v>
          </cell>
          <cell r="B341">
            <v>5</v>
          </cell>
          <cell r="C341">
            <v>81.724891087975323</v>
          </cell>
          <cell r="D341">
            <v>98.104880197630649</v>
          </cell>
          <cell r="E341">
            <v>37.333351730115147</v>
          </cell>
        </row>
        <row r="342">
          <cell r="A342">
            <v>76</v>
          </cell>
          <cell r="B342">
            <v>5</v>
          </cell>
          <cell r="C342">
            <v>86.378580128730746</v>
          </cell>
          <cell r="D342">
            <v>103.8206407664632</v>
          </cell>
          <cell r="E342">
            <v>39.114845157842169</v>
          </cell>
        </row>
        <row r="343">
          <cell r="A343">
            <v>77</v>
          </cell>
          <cell r="B343">
            <v>5</v>
          </cell>
          <cell r="C343">
            <v>91.214264242931264</v>
          </cell>
          <cell r="D343">
            <v>109.78842888158552</v>
          </cell>
          <cell r="E343">
            <v>40.947672390726339</v>
          </cell>
        </row>
        <row r="344">
          <cell r="A344">
            <v>78</v>
          </cell>
          <cell r="B344">
            <v>5</v>
          </cell>
          <cell r="C344">
            <v>96.236269223474281</v>
          </cell>
          <cell r="D344">
            <v>116.01769661499407</v>
          </cell>
          <cell r="E344">
            <v>42.832490047856901</v>
          </cell>
        </row>
        <row r="345">
          <cell r="A345">
            <v>79</v>
          </cell>
          <cell r="B345">
            <v>5</v>
          </cell>
          <cell r="C345">
            <v>101.44896705929044</v>
          </cell>
          <cell r="D345">
            <v>122.51830394654247</v>
          </cell>
          <cell r="E345">
            <v>44.769954748323123</v>
          </cell>
        </row>
        <row r="346">
          <cell r="A346">
            <v>80</v>
          </cell>
          <cell r="B346">
            <v>5</v>
          </cell>
          <cell r="C346">
            <v>107.17575136934927</v>
          </cell>
          <cell r="D346">
            <v>129.68651406513814</v>
          </cell>
          <cell r="E346">
            <v>46.900307359307348</v>
          </cell>
        </row>
        <row r="347">
          <cell r="A347">
            <v>81</v>
          </cell>
          <cell r="B347">
            <v>5</v>
          </cell>
          <cell r="C347">
            <v>113.12184528078676</v>
          </cell>
          <cell r="D347">
            <v>155.71401437603362</v>
          </cell>
          <cell r="E347">
            <v>49.090863754190266</v>
          </cell>
        </row>
        <row r="348">
          <cell r="A348">
            <v>82</v>
          </cell>
          <cell r="B348">
            <v>5</v>
          </cell>
          <cell r="C348">
            <v>119.29232614432998</v>
          </cell>
          <cell r="D348">
            <v>165.97861501513222</v>
          </cell>
          <cell r="E348">
            <v>51.34237435478807</v>
          </cell>
        </row>
        <row r="349">
          <cell r="A349">
            <v>83</v>
          </cell>
          <cell r="B349">
            <v>5</v>
          </cell>
          <cell r="C349">
            <v>125.69232405416852</v>
          </cell>
          <cell r="D349">
            <v>176.80053067127213</v>
          </cell>
          <cell r="E349">
            <v>53.655589582917088</v>
          </cell>
        </row>
        <row r="350">
          <cell r="A350">
            <v>84</v>
          </cell>
          <cell r="B350">
            <v>5</v>
          </cell>
          <cell r="C350">
            <v>132.32702182976914</v>
          </cell>
          <cell r="D350">
            <v>188.20717679557109</v>
          </cell>
          <cell r="E350">
            <v>56.031259860393583</v>
          </cell>
        </row>
        <row r="351">
          <cell r="A351">
            <v>85</v>
          </cell>
          <cell r="B351">
            <v>5</v>
          </cell>
          <cell r="C351">
            <v>139.20165499788169</v>
          </cell>
          <cell r="D351">
            <v>200.22739261588021</v>
          </cell>
          <cell r="E351">
            <v>58.470135609033811</v>
          </cell>
        </row>
        <row r="352">
          <cell r="A352">
            <v>86</v>
          </cell>
          <cell r="B352">
            <v>5</v>
          </cell>
          <cell r="C352">
            <v>146.32151177473926</v>
          </cell>
          <cell r="D352">
            <v>212.89152938740807</v>
          </cell>
          <cell r="E352">
            <v>60.972967250654101</v>
          </cell>
        </row>
        <row r="353">
          <cell r="A353">
            <v>87</v>
          </cell>
          <cell r="B353">
            <v>5</v>
          </cell>
          <cell r="C353">
            <v>153.69193304845504</v>
          </cell>
          <cell r="D353">
            <v>226.23154528983446</v>
          </cell>
          <cell r="E353">
            <v>63.540505207070694</v>
          </cell>
        </row>
        <row r="354">
          <cell r="A354">
            <v>88</v>
          </cell>
          <cell r="B354">
            <v>5</v>
          </cell>
          <cell r="C354">
            <v>161.31831236161827</v>
          </cell>
          <cell r="D354">
            <v>240.28110756234122</v>
          </cell>
          <cell r="E354">
            <v>66.17349990009987</v>
          </cell>
        </row>
        <row r="355">
          <cell r="A355">
            <v>89</v>
          </cell>
          <cell r="B355">
            <v>5</v>
          </cell>
          <cell r="C355">
            <v>169.20609589408826</v>
          </cell>
          <cell r="D355">
            <v>255.07570252890127</v>
          </cell>
          <cell r="E355">
            <v>68.872701751557926</v>
          </cell>
        </row>
        <row r="356">
          <cell r="A356">
            <v>90</v>
          </cell>
          <cell r="B356">
            <v>5</v>
          </cell>
          <cell r="C356">
            <v>177.36078244598954</v>
          </cell>
          <cell r="D356">
            <v>270.65275423424396</v>
          </cell>
          <cell r="E356">
            <v>71.638861183261142</v>
          </cell>
        </row>
        <row r="357">
          <cell r="A357">
            <v>20</v>
          </cell>
          <cell r="B357">
            <v>6</v>
          </cell>
          <cell r="C357">
            <v>1</v>
          </cell>
          <cell r="D357">
            <v>1</v>
          </cell>
          <cell r="E357">
            <v>1</v>
          </cell>
        </row>
        <row r="358">
          <cell r="A358">
            <v>21</v>
          </cell>
          <cell r="B358">
            <v>6</v>
          </cell>
          <cell r="C358">
            <v>1.117596838754978</v>
          </cell>
          <cell r="D358">
            <v>1.1095204807543111</v>
          </cell>
          <cell r="E358">
            <v>1.0931717687074829</v>
          </cell>
        </row>
        <row r="359">
          <cell r="A359">
            <v>22</v>
          </cell>
          <cell r="B359">
            <v>6</v>
          </cell>
          <cell r="C359">
            <v>1.2431201966962262</v>
          </cell>
          <cell r="D359">
            <v>1.22604988148337</v>
          </cell>
          <cell r="E359">
            <v>1.1902040816326529</v>
          </cell>
        </row>
        <row r="360">
          <cell r="A360">
            <v>23</v>
          </cell>
          <cell r="B360">
            <v>6</v>
          </cell>
          <cell r="C360">
            <v>1.4024517884049481</v>
          </cell>
          <cell r="D360">
            <v>1.374995739522912</v>
          </cell>
          <cell r="E360">
            <v>1.31516810570382</v>
          </cell>
        </row>
        <row r="361">
          <cell r="A361">
            <v>24</v>
          </cell>
          <cell r="B361">
            <v>6</v>
          </cell>
          <cell r="C361">
            <v>1.5727679083562145</v>
          </cell>
          <cell r="D361">
            <v>1.533738445309383</v>
          </cell>
          <cell r="E361">
            <v>1.4454515325943891</v>
          </cell>
        </row>
        <row r="362">
          <cell r="A362">
            <v>25</v>
          </cell>
          <cell r="B362">
            <v>6</v>
          </cell>
          <cell r="C362">
            <v>1.7543614190545793</v>
          </cell>
          <cell r="D362">
            <v>1.7026182137524801</v>
          </cell>
          <cell r="E362">
            <v>1.5810543623043622</v>
          </cell>
        </row>
        <row r="363">
          <cell r="A363">
            <v>26</v>
          </cell>
          <cell r="B363">
            <v>6</v>
          </cell>
          <cell r="C363">
            <v>1.9722337866077222</v>
          </cell>
          <cell r="D363">
            <v>1.9058629331394403</v>
          </cell>
          <cell r="E363">
            <v>1.7438244612530325</v>
          </cell>
        </row>
        <row r="364">
          <cell r="A364">
            <v>27</v>
          </cell>
          <cell r="B364">
            <v>6</v>
          </cell>
          <cell r="C364">
            <v>2.2042918205274931</v>
          </cell>
          <cell r="D364">
            <v>2.1220114367205052</v>
          </cell>
          <cell r="E364">
            <v>1.9131277333777335</v>
          </cell>
        </row>
        <row r="365">
          <cell r="A365">
            <v>28</v>
          </cell>
          <cell r="B365">
            <v>6</v>
          </cell>
          <cell r="C365">
            <v>2.4508928136691668</v>
          </cell>
          <cell r="D365">
            <v>2.3515094636709608</v>
          </cell>
          <cell r="E365">
            <v>2.0889641786784638</v>
          </cell>
        </row>
        <row r="366">
          <cell r="A366">
            <v>29</v>
          </cell>
          <cell r="B366">
            <v>6</v>
          </cell>
          <cell r="C366">
            <v>2.712393023610018</v>
          </cell>
          <cell r="D366">
            <v>2.5948157044254323</v>
          </cell>
          <cell r="E366">
            <v>2.2713337971552265</v>
          </cell>
        </row>
        <row r="367">
          <cell r="A367">
            <v>30</v>
          </cell>
          <cell r="B367">
            <v>6</v>
          </cell>
          <cell r="C367">
            <v>3.0265120612034346</v>
          </cell>
          <cell r="D367">
            <v>2.8880573029357315</v>
          </cell>
          <cell r="E367">
            <v>2.4909895461681177</v>
          </cell>
        </row>
        <row r="368">
          <cell r="A368">
            <v>31</v>
          </cell>
          <cell r="B368">
            <v>6</v>
          </cell>
          <cell r="C368">
            <v>3.3695317344270128</v>
          </cell>
          <cell r="D368">
            <v>3.2052392989389573</v>
          </cell>
          <cell r="E368">
            <v>2.7190362530416015</v>
          </cell>
        </row>
        <row r="369">
          <cell r="A369">
            <v>32</v>
          </cell>
          <cell r="B369">
            <v>6</v>
          </cell>
          <cell r="C369">
            <v>3.736134403677501</v>
          </cell>
          <cell r="D369">
            <v>3.5437905178032878</v>
          </cell>
          <cell r="E369">
            <v>2.9567581937467291</v>
          </cell>
        </row>
        <row r="370">
          <cell r="A370">
            <v>33</v>
          </cell>
          <cell r="B370">
            <v>6</v>
          </cell>
          <cell r="C370">
            <v>4.1255219053527243</v>
          </cell>
          <cell r="D370">
            <v>3.9030291687753933</v>
          </cell>
          <cell r="E370">
            <v>3.2028969036734964</v>
          </cell>
        </row>
        <row r="371">
          <cell r="A371">
            <v>34</v>
          </cell>
          <cell r="B371">
            <v>6</v>
          </cell>
          <cell r="C371">
            <v>4.538082335892768</v>
          </cell>
          <cell r="D371">
            <v>4.2834270427550107</v>
          </cell>
          <cell r="E371">
            <v>3.4571767308405881</v>
          </cell>
        </row>
        <row r="372">
          <cell r="A372">
            <v>35</v>
          </cell>
          <cell r="B372">
            <v>6</v>
          </cell>
          <cell r="C372">
            <v>4.9741715657997156</v>
          </cell>
          <cell r="D372">
            <v>4.6854476569608421</v>
          </cell>
          <cell r="E372">
            <v>3.7193029806078282</v>
          </cell>
        </row>
        <row r="373">
          <cell r="A373">
            <v>36</v>
          </cell>
          <cell r="B373">
            <v>6</v>
          </cell>
          <cell r="C373">
            <v>5.4341119881686373</v>
          </cell>
          <cell r="D373">
            <v>5.1095459383355912</v>
          </cell>
          <cell r="E373">
            <v>3.9889619156761613</v>
          </cell>
        </row>
        <row r="374">
          <cell r="A374">
            <v>37</v>
          </cell>
          <cell r="B374">
            <v>6</v>
          </cell>
          <cell r="C374">
            <v>5.9181912644716723</v>
          </cell>
          <cell r="D374">
            <v>5.6117214510807587</v>
          </cell>
          <cell r="E374">
            <v>4.2658207560876633</v>
          </cell>
        </row>
        <row r="375">
          <cell r="A375">
            <v>38</v>
          </cell>
          <cell r="B375">
            <v>6</v>
          </cell>
          <cell r="C375">
            <v>6.4266610681996932</v>
          </cell>
          <cell r="D375">
            <v>6.1465504124383461</v>
          </cell>
          <cell r="E375">
            <v>4.5495276792255375</v>
          </cell>
        </row>
        <row r="376">
          <cell r="A376">
            <v>39</v>
          </cell>
          <cell r="B376">
            <v>6</v>
          </cell>
          <cell r="C376">
            <v>6.9597358268613387</v>
          </cell>
          <cell r="D376">
            <v>6.715206181661264</v>
          </cell>
          <cell r="E376">
            <v>4.8397118198141129</v>
          </cell>
        </row>
        <row r="377">
          <cell r="A377">
            <v>40</v>
          </cell>
          <cell r="B377">
            <v>6</v>
          </cell>
          <cell r="C377">
            <v>7.5853175119679284</v>
          </cell>
          <cell r="D377">
            <v>7.3848036637746608</v>
          </cell>
          <cell r="E377">
            <v>5.1822533894676779</v>
          </cell>
        </row>
        <row r="378">
          <cell r="A378">
            <v>41</v>
          </cell>
          <cell r="B378">
            <v>6</v>
          </cell>
          <cell r="C378">
            <v>8.2424757843042009</v>
          </cell>
          <cell r="D378">
            <v>8.0983457867810298</v>
          </cell>
          <cell r="E378">
            <v>5.5333354136647097</v>
          </cell>
        </row>
        <row r="379">
          <cell r="A379">
            <v>42</v>
          </cell>
          <cell r="B379">
            <v>6</v>
          </cell>
          <cell r="C379">
            <v>8.9314348390676503</v>
          </cell>
          <cell r="D379">
            <v>8.857380723678558</v>
          </cell>
          <cell r="E379">
            <v>5.8924443627121219</v>
          </cell>
        </row>
        <row r="380">
          <cell r="A380">
            <v>43</v>
          </cell>
          <cell r="B380">
            <v>6</v>
          </cell>
          <cell r="C380">
            <v>9.6523654393896976</v>
          </cell>
          <cell r="D380">
            <v>9.663461324059778</v>
          </cell>
          <cell r="E380">
            <v>6.2590413167049785</v>
          </cell>
        </row>
        <row r="381">
          <cell r="A381">
            <v>44</v>
          </cell>
          <cell r="B381">
            <v>6</v>
          </cell>
          <cell r="C381">
            <v>10.405383243994166</v>
          </cell>
          <cell r="D381">
            <v>10.518143023580853</v>
          </cell>
          <cell r="E381">
            <v>6.6325619655265378</v>
          </cell>
        </row>
        <row r="382">
          <cell r="A382">
            <v>45</v>
          </cell>
          <cell r="B382">
            <v>6</v>
          </cell>
          <cell r="C382">
            <v>11.190547133536288</v>
          </cell>
          <cell r="D382">
            <v>11.42298165033621</v>
          </cell>
          <cell r="E382">
            <v>7.0124166088482127</v>
          </cell>
        </row>
        <row r="383">
          <cell r="A383">
            <v>46</v>
          </cell>
          <cell r="B383">
            <v>6</v>
          </cell>
          <cell r="C383">
            <v>12.007857535984908</v>
          </cell>
          <cell r="D383">
            <v>12.379531122157887</v>
          </cell>
          <cell r="E383">
            <v>7.3979901561295867</v>
          </cell>
        </row>
        <row r="384">
          <cell r="A384">
            <v>47</v>
          </cell>
          <cell r="B384">
            <v>6</v>
          </cell>
          <cell r="C384">
            <v>12.85725475135381</v>
          </cell>
          <cell r="D384">
            <v>13.389341028459137</v>
          </cell>
          <cell r="E384">
            <v>7.7886421266184218</v>
          </cell>
        </row>
        <row r="385">
          <cell r="A385">
            <v>48</v>
          </cell>
          <cell r="B385">
            <v>6</v>
          </cell>
          <cell r="C385">
            <v>13.738617276040401</v>
          </cell>
          <cell r="D385">
            <v>14.453954089811678</v>
          </cell>
          <cell r="E385">
            <v>8.1837066493506505</v>
          </cell>
        </row>
        <row r="386">
          <cell r="A386">
            <v>49</v>
          </cell>
          <cell r="B386">
            <v>6</v>
          </cell>
          <cell r="C386">
            <v>14.651760126989577</v>
          </cell>
          <cell r="D386">
            <v>15.57490348798299</v>
          </cell>
          <cell r="E386">
            <v>8.5824924631503752</v>
          </cell>
        </row>
        <row r="387">
          <cell r="A387">
            <v>50</v>
          </cell>
          <cell r="B387">
            <v>6</v>
          </cell>
          <cell r="C387">
            <v>15.699041278800449</v>
          </cell>
          <cell r="D387">
            <v>16.863931835362955</v>
          </cell>
          <cell r="E387">
            <v>9.0433900410813735</v>
          </cell>
        </row>
        <row r="388">
          <cell r="A388">
            <v>51</v>
          </cell>
          <cell r="B388">
            <v>6</v>
          </cell>
          <cell r="C388">
            <v>16.694329391226663</v>
          </cell>
          <cell r="D388">
            <v>18.355481630003489</v>
          </cell>
          <cell r="E388">
            <v>9.7690273202058773</v>
          </cell>
        </row>
        <row r="389">
          <cell r="A389">
            <v>52</v>
          </cell>
          <cell r="B389">
            <v>6</v>
          </cell>
          <cell r="C389">
            <v>18.367836205844618</v>
          </cell>
          <cell r="D389">
            <v>19.945069478423662</v>
          </cell>
          <cell r="E389">
            <v>10.33527917837265</v>
          </cell>
        </row>
        <row r="390">
          <cell r="A390">
            <v>53</v>
          </cell>
          <cell r="B390">
            <v>6</v>
          </cell>
          <cell r="C390">
            <v>19.813164889564217</v>
          </cell>
          <cell r="D390">
            <v>21.637593041357022</v>
          </cell>
          <cell r="E390">
            <v>11.021171666666675</v>
          </cell>
        </row>
        <row r="391">
          <cell r="A391">
            <v>54</v>
          </cell>
          <cell r="B391">
            <v>6</v>
          </cell>
          <cell r="C391">
            <v>21.335637090425067</v>
          </cell>
          <cell r="D391">
            <v>23.438160547163392</v>
          </cell>
          <cell r="E391">
            <v>11.734307347233273</v>
          </cell>
        </row>
        <row r="392">
          <cell r="A392">
            <v>55</v>
          </cell>
          <cell r="B392">
            <v>6</v>
          </cell>
          <cell r="C392">
            <v>22.937686428827639</v>
          </cell>
          <cell r="D392">
            <v>25.352100220230088</v>
          </cell>
          <cell r="E392">
            <v>12.475144654452691</v>
          </cell>
        </row>
        <row r="393">
          <cell r="A393">
            <v>56</v>
          </cell>
          <cell r="B393">
            <v>6</v>
          </cell>
          <cell r="C393">
            <v>24.621779784981594</v>
          </cell>
          <cell r="D393">
            <v>27.384970220551534</v>
          </cell>
          <cell r="E393">
            <v>13.244142022705194</v>
          </cell>
        </row>
        <row r="394">
          <cell r="A394">
            <v>57</v>
          </cell>
          <cell r="B394">
            <v>6</v>
          </cell>
          <cell r="C394">
            <v>26.390417286583432</v>
          </cell>
          <cell r="D394">
            <v>29.542569127115442</v>
          </cell>
          <cell r="E394">
            <v>14.041757886371006</v>
          </cell>
        </row>
        <row r="395">
          <cell r="A395">
            <v>58</v>
          </cell>
          <cell r="B395">
            <v>6</v>
          </cell>
          <cell r="C395">
            <v>28.246132296226456</v>
          </cell>
          <cell r="D395">
            <v>31.830947000126613</v>
          </cell>
          <cell r="E395">
            <v>14.86845067983038</v>
          </cell>
        </row>
        <row r="396">
          <cell r="A396">
            <v>59</v>
          </cell>
          <cell r="B396">
            <v>6</v>
          </cell>
          <cell r="C396">
            <v>30.19149139859968</v>
          </cell>
          <cell r="D396">
            <v>34.256417059701107</v>
          </cell>
          <cell r="E396">
            <v>15.724678837463568</v>
          </cell>
        </row>
        <row r="397">
          <cell r="A397">
            <v>60</v>
          </cell>
          <cell r="B397">
            <v>6</v>
          </cell>
          <cell r="C397">
            <v>32.3878583992865</v>
          </cell>
          <cell r="D397">
            <v>37.006974760509266</v>
          </cell>
          <cell r="E397">
            <v>16.692727891156473</v>
          </cell>
        </row>
        <row r="398">
          <cell r="A398">
            <v>61</v>
          </cell>
          <cell r="B398">
            <v>6</v>
          </cell>
          <cell r="C398">
            <v>34.691974005309056</v>
          </cell>
          <cell r="D398">
            <v>39.925520182084497</v>
          </cell>
          <cell r="E398">
            <v>17.696109357606684</v>
          </cell>
        </row>
        <row r="399">
          <cell r="A399">
            <v>62</v>
          </cell>
          <cell r="B399">
            <v>6</v>
          </cell>
          <cell r="C399">
            <v>37.106971775412404</v>
          </cell>
          <cell r="D399">
            <v>43.020227109939746</v>
          </cell>
          <cell r="E399">
            <v>18.735373358070518</v>
          </cell>
        </row>
        <row r="400">
          <cell r="A400">
            <v>63</v>
          </cell>
          <cell r="B400">
            <v>6</v>
          </cell>
          <cell r="C400">
            <v>39.636025087792035</v>
          </cell>
          <cell r="D400">
            <v>46.299632562195143</v>
          </cell>
          <cell r="E400">
            <v>19.811070013804226</v>
          </cell>
        </row>
        <row r="401">
          <cell r="A401">
            <v>64</v>
          </cell>
          <cell r="B401">
            <v>6</v>
          </cell>
          <cell r="C401">
            <v>42.282347124790768</v>
          </cell>
          <cell r="D401">
            <v>49.772654479477652</v>
          </cell>
          <cell r="E401">
            <v>20.923749446064164</v>
          </cell>
        </row>
        <row r="402">
          <cell r="A402">
            <v>65</v>
          </cell>
          <cell r="B402">
            <v>6</v>
          </cell>
          <cell r="C402">
            <v>45.049190857524657</v>
          </cell>
          <cell r="D402">
            <v>53.448610458814869</v>
          </cell>
          <cell r="E402">
            <v>22.073961776106561</v>
          </cell>
        </row>
        <row r="403">
          <cell r="A403">
            <v>66</v>
          </cell>
          <cell r="B403">
            <v>6</v>
          </cell>
          <cell r="C403">
            <v>47.939849030470953</v>
          </cell>
          <cell r="D403">
            <v>57.337237604118563</v>
          </cell>
          <cell r="E403">
            <v>23.262257125187762</v>
          </cell>
        </row>
        <row r="404">
          <cell r="A404">
            <v>67</v>
          </cell>
          <cell r="B404">
            <v>6</v>
          </cell>
          <cell r="C404">
            <v>50.957654146047425</v>
          </cell>
          <cell r="D404">
            <v>60.931317657981204</v>
          </cell>
          <cell r="E404">
            <v>24.489185614564025</v>
          </cell>
        </row>
        <row r="405">
          <cell r="A405">
            <v>68</v>
          </cell>
          <cell r="B405">
            <v>6</v>
          </cell>
          <cell r="C405">
            <v>54.10597844920877</v>
          </cell>
          <cell r="D405">
            <v>64.690171137659974</v>
          </cell>
          <cell r="E405">
            <v>25.755297365491675</v>
          </cell>
        </row>
        <row r="406">
          <cell r="A406">
            <v>69</v>
          </cell>
          <cell r="B406">
            <v>6</v>
          </cell>
          <cell r="C406">
            <v>57.38823391208193</v>
          </cell>
          <cell r="D406">
            <v>68.619713185921412</v>
          </cell>
          <cell r="E406">
            <v>27.061142499226996</v>
          </cell>
        </row>
        <row r="407">
          <cell r="A407">
            <v>70</v>
          </cell>
          <cell r="B407">
            <v>6</v>
          </cell>
          <cell r="C407">
            <v>61.038205067972626</v>
          </cell>
          <cell r="D407">
            <v>73.001563143980221</v>
          </cell>
          <cell r="E407">
            <v>28.514874436787725</v>
          </cell>
        </row>
        <row r="408">
          <cell r="A408">
            <v>71</v>
          </cell>
          <cell r="B408">
            <v>6</v>
          </cell>
          <cell r="C408">
            <v>64.845187599564966</v>
          </cell>
          <cell r="D408">
            <v>77.58615484361772</v>
          </cell>
          <cell r="E408">
            <v>30.014931425332055</v>
          </cell>
        </row>
        <row r="409">
          <cell r="A409">
            <v>72</v>
          </cell>
          <cell r="B409">
            <v>6</v>
          </cell>
          <cell r="C409">
            <v>68.813229768740968</v>
          </cell>
          <cell r="D409">
            <v>82.380909233755332</v>
          </cell>
          <cell r="E409">
            <v>31.561955272992336</v>
          </cell>
        </row>
        <row r="410">
          <cell r="A410">
            <v>73</v>
          </cell>
          <cell r="B410">
            <v>6</v>
          </cell>
          <cell r="C410">
            <v>72.946426135465188</v>
          </cell>
          <cell r="D410">
            <v>87.39354230349069</v>
          </cell>
          <cell r="E410">
            <v>33.156587787900904</v>
          </cell>
        </row>
        <row r="411">
          <cell r="A411">
            <v>74</v>
          </cell>
          <cell r="B411">
            <v>6</v>
          </cell>
          <cell r="C411">
            <v>77.248917540456915</v>
          </cell>
          <cell r="D411">
            <v>92.632081001531915</v>
          </cell>
          <cell r="E411">
            <v>34.799470778190091</v>
          </cell>
        </row>
        <row r="412">
          <cell r="A412">
            <v>75</v>
          </cell>
          <cell r="B412">
            <v>6</v>
          </cell>
          <cell r="C412">
            <v>81.724891087975323</v>
          </cell>
          <cell r="D412">
            <v>98.104880197630649</v>
          </cell>
          <cell r="E412">
            <v>36.49124605199227</v>
          </cell>
        </row>
        <row r="413">
          <cell r="A413">
            <v>76</v>
          </cell>
          <cell r="B413">
            <v>6</v>
          </cell>
          <cell r="C413">
            <v>86.378580128730732</v>
          </cell>
          <cell r="D413">
            <v>103.8206407664632</v>
          </cell>
          <cell r="E413">
            <v>38.232555417439727</v>
          </cell>
        </row>
        <row r="414">
          <cell r="A414">
            <v>77</v>
          </cell>
          <cell r="B414">
            <v>6</v>
          </cell>
          <cell r="C414">
            <v>91.214264242931264</v>
          </cell>
          <cell r="D414">
            <v>109.78842888158552</v>
          </cell>
          <cell r="E414">
            <v>40.024040682664861</v>
          </cell>
        </row>
        <row r="415">
          <cell r="A415">
            <v>78</v>
          </cell>
          <cell r="B415">
            <v>6</v>
          </cell>
          <cell r="C415">
            <v>96.236269223474267</v>
          </cell>
          <cell r="D415">
            <v>116.01769661499407</v>
          </cell>
          <cell r="E415">
            <v>41.866343655800001</v>
          </cell>
        </row>
        <row r="416">
          <cell r="A416">
            <v>79</v>
          </cell>
          <cell r="B416">
            <v>6</v>
          </cell>
          <cell r="C416">
            <v>101.44896705929044</v>
          </cell>
          <cell r="D416">
            <v>122.51830394654247</v>
          </cell>
          <cell r="E416">
            <v>43.76010614497752</v>
          </cell>
        </row>
        <row r="417">
          <cell r="A417">
            <v>80</v>
          </cell>
          <cell r="B417">
            <v>6</v>
          </cell>
          <cell r="C417">
            <v>107.17575136934926</v>
          </cell>
          <cell r="D417">
            <v>129.68651406513814</v>
          </cell>
          <cell r="E417">
            <v>45.842405689548549</v>
          </cell>
        </row>
        <row r="418">
          <cell r="A418">
            <v>81</v>
          </cell>
          <cell r="B418">
            <v>6</v>
          </cell>
          <cell r="C418">
            <v>113.12184528078676</v>
          </cell>
          <cell r="D418">
            <v>155.71401437603362</v>
          </cell>
          <cell r="E418">
            <v>47.983551037930376</v>
          </cell>
        </row>
        <row r="419">
          <cell r="A419">
            <v>82</v>
          </cell>
          <cell r="B419">
            <v>6</v>
          </cell>
          <cell r="C419">
            <v>119.29232614432998</v>
          </cell>
          <cell r="D419">
            <v>165.97861501513222</v>
          </cell>
          <cell r="E419">
            <v>50.184275685131219</v>
          </cell>
        </row>
        <row r="420">
          <cell r="A420">
            <v>83</v>
          </cell>
          <cell r="B420">
            <v>6</v>
          </cell>
          <cell r="C420">
            <v>125.69232405416851</v>
          </cell>
          <cell r="D420">
            <v>176.80053067127213</v>
          </cell>
          <cell r="E420">
            <v>52.445313126159583</v>
          </cell>
        </row>
        <row r="421">
          <cell r="A421">
            <v>84</v>
          </cell>
          <cell r="B421">
            <v>6</v>
          </cell>
          <cell r="C421">
            <v>132.32702182976917</v>
          </cell>
          <cell r="D421">
            <v>188.20717679557109</v>
          </cell>
          <cell r="E421">
            <v>54.767396856023829</v>
          </cell>
        </row>
        <row r="422">
          <cell r="A422">
            <v>85</v>
          </cell>
          <cell r="B422">
            <v>6</v>
          </cell>
          <cell r="C422">
            <v>139.20165499788169</v>
          </cell>
          <cell r="D422">
            <v>200.22739261588021</v>
          </cell>
          <cell r="E422">
            <v>57.151260369732299</v>
          </cell>
        </row>
        <row r="423">
          <cell r="A423">
            <v>86</v>
          </cell>
          <cell r="B423">
            <v>6</v>
          </cell>
          <cell r="C423">
            <v>146.32151177473924</v>
          </cell>
          <cell r="D423">
            <v>212.89152938740807</v>
          </cell>
          <cell r="E423">
            <v>59.597637162293509</v>
          </cell>
        </row>
        <row r="424">
          <cell r="A424">
            <v>87</v>
          </cell>
          <cell r="B424">
            <v>6</v>
          </cell>
          <cell r="C424">
            <v>153.69193304845504</v>
          </cell>
          <cell r="D424">
            <v>226.23154528983446</v>
          </cell>
          <cell r="E424">
            <v>62.107260728715751</v>
          </cell>
        </row>
        <row r="425">
          <cell r="A425">
            <v>88</v>
          </cell>
          <cell r="B425">
            <v>6</v>
          </cell>
          <cell r="C425">
            <v>161.31831236161827</v>
          </cell>
          <cell r="D425">
            <v>240.28110756234122</v>
          </cell>
          <cell r="E425">
            <v>64.680864564007408</v>
          </cell>
        </row>
        <row r="426">
          <cell r="A426">
            <v>89</v>
          </cell>
          <cell r="B426">
            <v>6</v>
          </cell>
          <cell r="C426">
            <v>169.20609589408824</v>
          </cell>
          <cell r="D426">
            <v>255.07570252890127</v>
          </cell>
          <cell r="E426">
            <v>67.319182163176947</v>
          </cell>
        </row>
        <row r="427">
          <cell r="A427">
            <v>90</v>
          </cell>
          <cell r="B427">
            <v>6</v>
          </cell>
          <cell r="C427">
            <v>177.36078244598951</v>
          </cell>
          <cell r="D427">
            <v>270.65275423424396</v>
          </cell>
          <cell r="E427">
            <v>70.022947021232739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>
            <v>668.74500000000012</v>
          </cell>
          <cell r="C2">
            <v>27.103822937625758</v>
          </cell>
          <cell r="D2">
            <v>26.400000000000006</v>
          </cell>
          <cell r="H2">
            <v>10</v>
          </cell>
          <cell r="I2">
            <v>2.12</v>
          </cell>
          <cell r="J2">
            <v>1.2</v>
          </cell>
        </row>
        <row r="3">
          <cell r="B3">
            <v>3321.7171957774553</v>
          </cell>
          <cell r="C3">
            <v>35.31352226720648</v>
          </cell>
          <cell r="D3">
            <v>28.8</v>
          </cell>
        </row>
        <row r="4">
          <cell r="B4">
            <v>3911.8763412021244</v>
          </cell>
          <cell r="C4">
            <v>39.052741344195525</v>
          </cell>
          <cell r="D4">
            <v>31.200000000000003</v>
          </cell>
        </row>
        <row r="5">
          <cell r="B5">
            <v>3589.1044043934667</v>
          </cell>
          <cell r="C5">
            <v>37.531475409836077</v>
          </cell>
          <cell r="D5">
            <v>26.880000000000003</v>
          </cell>
        </row>
        <row r="6">
          <cell r="B6">
            <v>4046.1721861922579</v>
          </cell>
          <cell r="C6">
            <v>41.116082474226815</v>
          </cell>
          <cell r="D6">
            <v>28.8</v>
          </cell>
        </row>
        <row r="7">
          <cell r="B7">
            <v>6954.1283141475469</v>
          </cell>
          <cell r="C7">
            <v>69.179882987551863</v>
          </cell>
          <cell r="D7">
            <v>47.424000000000007</v>
          </cell>
        </row>
        <row r="8">
          <cell r="B8">
            <v>8272.1901913239672</v>
          </cell>
          <cell r="C8">
            <v>80.982923956158672</v>
          </cell>
          <cell r="D8">
            <v>54.366</v>
          </cell>
        </row>
        <row r="9">
          <cell r="B9">
            <v>9709.7688194764232</v>
          </cell>
          <cell r="C9">
            <v>93.908280252100866</v>
          </cell>
          <cell r="D9">
            <v>61.77600000000001</v>
          </cell>
        </row>
        <row r="10">
          <cell r="B10">
            <v>12551.625731183574</v>
          </cell>
          <cell r="C10">
            <v>120.28765400657232</v>
          </cell>
          <cell r="D10">
            <v>77.584434782608696</v>
          </cell>
        </row>
        <row r="11">
          <cell r="B11">
            <v>15721.992978545079</v>
          </cell>
          <cell r="C11">
            <v>149.65564870490292</v>
          </cell>
          <cell r="D11">
            <v>94.695652173913061</v>
          </cell>
        </row>
        <row r="12">
          <cell r="B12">
            <v>19224.134070812692</v>
          </cell>
          <cell r="C12">
            <v>182.11380614467924</v>
          </cell>
          <cell r="D12">
            <v>113.10965217391305</v>
          </cell>
        </row>
        <row r="13">
          <cell r="B13">
            <v>23060.608205020442</v>
          </cell>
          <cell r="C13">
            <v>217.76092443778114</v>
          </cell>
          <cell r="D13">
            <v>132.82643478260871</v>
          </cell>
        </row>
        <row r="14">
          <cell r="B14">
            <v>27233.229241777644</v>
          </cell>
          <cell r="C14">
            <v>256.69296873644248</v>
          </cell>
          <cell r="D14">
            <v>153.846</v>
          </cell>
        </row>
        <row r="15">
          <cell r="B15">
            <v>31743.045458297307</v>
          </cell>
          <cell r="C15">
            <v>299.00297845073106</v>
          </cell>
          <cell r="D15">
            <v>176.168347826087</v>
          </cell>
        </row>
        <row r="16">
          <cell r="B16">
            <v>36590.330857745008</v>
          </cell>
          <cell r="C16">
            <v>344.78097079550889</v>
          </cell>
          <cell r="D16">
            <v>199.79347826086959</v>
          </cell>
        </row>
        <row r="17">
          <cell r="B17">
            <v>41774.583036521806</v>
          </cell>
          <cell r="C17">
            <v>394.11384049634478</v>
          </cell>
          <cell r="D17">
            <v>224.72139130434786</v>
          </cell>
        </row>
        <row r="18">
          <cell r="B18">
            <v>47294.524795652018</v>
          </cell>
          <cell r="C18">
            <v>447.08525547472647</v>
          </cell>
          <cell r="D18">
            <v>250.95208695652175</v>
          </cell>
        </row>
        <row r="19">
          <cell r="B19">
            <v>53148.107865423786</v>
          </cell>
          <cell r="C19">
            <v>538.50429054396591</v>
          </cell>
          <cell r="D19">
            <v>278.48556521739141</v>
          </cell>
        </row>
        <row r="20">
          <cell r="B20">
            <v>59332.517777486173</v>
          </cell>
          <cell r="C20">
            <v>605.87123563003001</v>
          </cell>
          <cell r="D20">
            <v>307.32182608695666</v>
          </cell>
        </row>
        <row r="21">
          <cell r="B21">
            <v>65844.179304206118</v>
          </cell>
          <cell r="C21">
            <v>678.08543478260879</v>
          </cell>
          <cell r="D21">
            <v>337.46086956521748</v>
          </cell>
        </row>
        <row r="22">
          <cell r="B22">
            <v>72678.762114367288</v>
          </cell>
          <cell r="C22">
            <v>755.31006691218568</v>
          </cell>
          <cell r="D22">
            <v>365.2136686956523</v>
          </cell>
        </row>
        <row r="23">
          <cell r="B23">
            <v>79831.186433429422</v>
          </cell>
          <cell r="C23">
            <v>837.70995231416578</v>
          </cell>
          <cell r="D23">
            <v>369.51552000000015</v>
          </cell>
        </row>
        <row r="24">
          <cell r="B24">
            <v>88923.165279713023</v>
          </cell>
          <cell r="C24">
            <v>942.70569778222011</v>
          </cell>
          <cell r="D24">
            <v>403.87417304347844</v>
          </cell>
        </row>
        <row r="25">
          <cell r="B25">
            <v>98443.656005574754</v>
          </cell>
          <cell r="C25">
            <v>1054.9026835542152</v>
          </cell>
          <cell r="D25">
            <v>439.00499799331112</v>
          </cell>
        </row>
        <row r="26">
          <cell r="B26">
            <v>108383.96389983363</v>
          </cell>
          <cell r="C26">
            <v>1174.5323403840011</v>
          </cell>
          <cell r="D26">
            <v>474.85414214046841</v>
          </cell>
        </row>
        <row r="27">
          <cell r="B27">
            <v>120240.84729186437</v>
          </cell>
          <cell r="C27">
            <v>1318.3457808594212</v>
          </cell>
          <cell r="D27">
            <v>517.85581677591995</v>
          </cell>
        </row>
        <row r="28">
          <cell r="B28">
            <v>132596.84141174139</v>
          </cell>
          <cell r="C28">
            <v>1471.5723063892128</v>
          </cell>
          <cell r="D28">
            <v>561.67700119063568</v>
          </cell>
        </row>
        <row r="29">
          <cell r="B29">
            <v>145438.55418690891</v>
          </cell>
          <cell r="C29">
            <v>1713.3859205402623</v>
          </cell>
          <cell r="D29">
            <v>606.25155467558545</v>
          </cell>
        </row>
        <row r="30">
          <cell r="B30">
            <v>158751.37119116305</v>
          </cell>
          <cell r="C30">
            <v>1889.5777456215137</v>
          </cell>
          <cell r="D30">
            <v>651.51333652173957</v>
          </cell>
        </row>
        <row r="31">
          <cell r="B31">
            <v>174675.95556197493</v>
          </cell>
          <cell r="C31">
            <v>2101.2724618260063</v>
          </cell>
          <cell r="D31">
            <v>706.11365859531816</v>
          </cell>
        </row>
        <row r="32">
          <cell r="B32">
            <v>193671.07642471688</v>
          </cell>
          <cell r="C32">
            <v>2343.4215781387738</v>
          </cell>
          <cell r="D32">
            <v>771.5010196384618</v>
          </cell>
        </row>
        <row r="33">
          <cell r="B33">
            <v>215384.07531915518</v>
          </cell>
          <cell r="C33">
            <v>2603.5733722747618</v>
          </cell>
          <cell r="D33">
            <v>839.78236029832794</v>
          </cell>
        </row>
        <row r="34">
          <cell r="B34">
            <v>238555.05511140591</v>
          </cell>
          <cell r="C34">
            <v>2881.4793163085251</v>
          </cell>
          <cell r="D34">
            <v>910.61411024498398</v>
          </cell>
        </row>
        <row r="35">
          <cell r="B35">
            <v>263223.14854668616</v>
          </cell>
          <cell r="C35">
            <v>3177.7429644391605</v>
          </cell>
          <cell r="D35">
            <v>983.93169407357891</v>
          </cell>
        </row>
        <row r="36">
          <cell r="B36">
            <v>289426.5968011606</v>
          </cell>
          <cell r="C36">
            <v>3492.975103274629</v>
          </cell>
          <cell r="D36">
            <v>1073.0790260869569</v>
          </cell>
        </row>
        <row r="37">
          <cell r="B37">
            <v>317202.69867736823</v>
          </cell>
          <cell r="C37">
            <v>3827.7940285820773</v>
          </cell>
          <cell r="D37">
            <v>1166.913919143813</v>
          </cell>
        </row>
        <row r="38">
          <cell r="B38">
            <v>346587.7596427066</v>
          </cell>
          <cell r="C38">
            <v>4241.1716248287576</v>
          </cell>
          <cell r="D38">
            <v>1265.5363356120404</v>
          </cell>
        </row>
        <row r="39">
          <cell r="B39">
            <v>377617.04074304481</v>
          </cell>
          <cell r="C39">
            <v>4686.2910575360356</v>
          </cell>
          <cell r="D39">
            <v>1369.0462378595321</v>
          </cell>
        </row>
        <row r="40">
          <cell r="B40">
            <v>410324.7074180239</v>
          </cell>
          <cell r="C40">
            <v>5164.7850767009522</v>
          </cell>
          <cell r="D40">
            <v>1477.5435882541808</v>
          </cell>
        </row>
        <row r="41">
          <cell r="B41">
            <v>448750.47894498066</v>
          </cell>
          <cell r="C41">
            <v>5729.4955059531794</v>
          </cell>
          <cell r="D41">
            <v>1605.4628387959874</v>
          </cell>
        </row>
        <row r="42">
          <cell r="B42">
            <v>489343.02225538448</v>
          </cell>
          <cell r="C42">
            <v>6337.9687750498806</v>
          </cell>
          <cell r="D42">
            <v>1739.8987370434788</v>
          </cell>
        </row>
        <row r="43">
          <cell r="B43">
            <v>536270.97087782656</v>
          </cell>
          <cell r="C43">
            <v>6992.4540705599084</v>
          </cell>
          <cell r="D43">
            <v>1880.9845661538475</v>
          </cell>
        </row>
        <row r="44">
          <cell r="B44">
            <v>586219.45857170119</v>
          </cell>
          <cell r="C44">
            <v>7695.2737346717313</v>
          </cell>
          <cell r="D44">
            <v>2028.8536092842814</v>
          </cell>
        </row>
        <row r="45">
          <cell r="B45">
            <v>639300.95898669702</v>
          </cell>
          <cell r="C45">
            <v>8448.8250926234141</v>
          </cell>
          <cell r="D45">
            <v>2183.6391495919738</v>
          </cell>
        </row>
        <row r="46">
          <cell r="B46">
            <v>695629.70919702866</v>
          </cell>
          <cell r="C46">
            <v>9255.5823702524158</v>
          </cell>
          <cell r="D46">
            <v>2345.4744702341145</v>
          </cell>
        </row>
        <row r="47">
          <cell r="B47">
            <v>755321.70932989148</v>
          </cell>
          <cell r="C47">
            <v>10118.098706893183</v>
          </cell>
          <cell r="D47">
            <v>2514.4928543678943</v>
          </cell>
        </row>
        <row r="48">
          <cell r="B48">
            <v>818494.72212562407</v>
          </cell>
          <cell r="C48">
            <v>11039.008269199981</v>
          </cell>
          <cell r="D48">
            <v>2690.8275851505027</v>
          </cell>
        </row>
        <row r="49">
          <cell r="B49">
            <v>885268.27244038542</v>
          </cell>
          <cell r="C49">
            <v>12021.028471848369</v>
          </cell>
          <cell r="D49">
            <v>2874.6119457391319</v>
          </cell>
        </row>
        <row r="50">
          <cell r="B50">
            <v>955763.6467005905</v>
          </cell>
          <cell r="C50">
            <v>13066.962311473624</v>
          </cell>
          <cell r="D50">
            <v>3065.9792192909717</v>
          </cell>
        </row>
        <row r="51">
          <cell r="B51">
            <v>1036880.891608617</v>
          </cell>
          <cell r="C51">
            <v>14272.988326039183</v>
          </cell>
          <cell r="D51">
            <v>3286.5433645484964</v>
          </cell>
        </row>
        <row r="52">
          <cell r="B52">
            <v>1102617.0857552958</v>
          </cell>
          <cell r="C52">
            <v>15559.177259992701</v>
          </cell>
          <cell r="D52">
            <v>3516.5084025016731</v>
          </cell>
        </row>
        <row r="53">
          <cell r="B53">
            <v>1213147.8632236857</v>
          </cell>
          <cell r="C53">
            <v>16929.192001034429</v>
          </cell>
          <cell r="D53">
            <v>3756.040937096991</v>
          </cell>
        </row>
        <row r="54">
          <cell r="B54">
            <v>1308608.0679348106</v>
          </cell>
          <cell r="C54">
            <v>18386.81161934499</v>
          </cell>
          <cell r="D54">
            <v>4005.3075722809381</v>
          </cell>
        </row>
        <row r="55">
          <cell r="B55">
            <v>1409163.4015404147</v>
          </cell>
          <cell r="C55">
            <v>19935.93495245845</v>
          </cell>
          <cell r="D55">
            <v>4264.4749120000015</v>
          </cell>
        </row>
        <row r="56">
          <cell r="B56">
            <v>1514974.5983455984</v>
          </cell>
          <cell r="C56">
            <v>21580.584382755562</v>
          </cell>
          <cell r="D56">
            <v>4533.7095602006693</v>
          </cell>
        </row>
        <row r="57">
          <cell r="B57">
            <v>1626204.5893794512</v>
          </cell>
          <cell r="C57">
            <v>23324.90981976084</v>
          </cell>
          <cell r="D57">
            <v>4813.1781208294333</v>
          </cell>
        </row>
        <row r="58">
          <cell r="B58">
            <v>1743018.5015811953</v>
          </cell>
          <cell r="C58">
            <v>25173.19290031596</v>
          </cell>
          <cell r="D58">
            <v>5103.0471978327778</v>
          </cell>
        </row>
        <row r="59">
          <cell r="B59">
            <v>1865583.6569686441</v>
          </cell>
          <cell r="C59">
            <v>27129.851420664745</v>
          </cell>
          <cell r="D59">
            <v>5403.4833951571927</v>
          </cell>
        </row>
        <row r="60">
          <cell r="B60">
            <v>1994069.5717927255</v>
          </cell>
          <cell r="C60">
            <v>29199.444015527304</v>
          </cell>
          <cell r="D60">
            <v>5714.6533167491662</v>
          </cell>
        </row>
        <row r="61">
          <cell r="B61">
            <v>2139133.9062019349</v>
          </cell>
          <cell r="C61">
            <v>31541.289263428105</v>
          </cell>
          <cell r="D61">
            <v>6066.4611210702378</v>
          </cell>
        </row>
        <row r="62">
          <cell r="B62">
            <v>2291314.7560712937</v>
          </cell>
          <cell r="C62">
            <v>34020.403941382494</v>
          </cell>
          <cell r="D62">
            <v>6431.1094095652197</v>
          </cell>
        </row>
        <row r="63">
          <cell r="B63">
            <v>2450819.0848151767</v>
          </cell>
          <cell r="C63">
            <v>36642.555321932334</v>
          </cell>
          <cell r="D63">
            <v>6808.7981069699035</v>
          </cell>
        </row>
        <row r="64">
          <cell r="B64">
            <v>2617856.485819214</v>
          </cell>
          <cell r="C64">
            <v>39413.69869093439</v>
          </cell>
          <cell r="D64">
            <v>7199.7271380200691</v>
          </cell>
        </row>
        <row r="65">
          <cell r="B65">
            <v>2792639.1814295561</v>
          </cell>
          <cell r="C65">
            <v>42339.984435026679</v>
          </cell>
          <cell r="D65">
            <v>7604.09642745151</v>
          </cell>
        </row>
        <row r="66">
          <cell r="B66">
            <v>2975382.0219374602</v>
          </cell>
          <cell r="C66">
            <v>45427.765547371491</v>
          </cell>
          <cell r="D66">
            <v>8022.1059000000023</v>
          </cell>
        </row>
        <row r="67">
          <cell r="B67">
            <v>3166302.4845613604</v>
          </cell>
          <cell r="C67">
            <v>48683.605580760624</v>
          </cell>
          <cell r="D67">
            <v>8453.9554804013442</v>
          </cell>
        </row>
        <row r="68">
          <cell r="B68">
            <v>3365620.6724283756</v>
          </cell>
          <cell r="C68">
            <v>51580.775450044552</v>
          </cell>
          <cell r="D68">
            <v>8899.84509339131</v>
          </cell>
        </row>
        <row r="69">
          <cell r="B69">
            <v>3573559.3135569403</v>
          </cell>
          <cell r="C69">
            <v>54595.92184453988</v>
          </cell>
          <cell r="D69">
            <v>9359.9746637056942</v>
          </cell>
        </row>
        <row r="70">
          <cell r="B70">
            <v>3790343.7598420088</v>
          </cell>
          <cell r="C70">
            <v>57732.288414016541</v>
          </cell>
          <cell r="D70">
            <v>9834.5441160802766</v>
          </cell>
        </row>
        <row r="71">
          <cell r="B71">
            <v>4031414.8723548646</v>
          </cell>
          <cell r="C71">
            <v>61224.244481144095</v>
          </cell>
          <cell r="D71">
            <v>10362.85850167225</v>
          </cell>
        </row>
        <row r="72">
          <cell r="B72">
            <v>4282856.1783297928</v>
          </cell>
          <cell r="C72">
            <v>64859.019920579638</v>
          </cell>
          <cell r="D72">
            <v>10908.008309404689</v>
          </cell>
        </row>
        <row r="73">
          <cell r="B73">
            <v>4544935.05494704</v>
          </cell>
          <cell r="C73">
            <v>68640.607308201288</v>
          </cell>
          <cell r="D73">
            <v>11470.226784802682</v>
          </cell>
        </row>
        <row r="74">
          <cell r="B74">
            <v>4817921.9372549243</v>
          </cell>
          <cell r="C74">
            <v>72573.11742786743</v>
          </cell>
          <cell r="D74">
            <v>12049.747173391313</v>
          </cell>
        </row>
        <row r="75">
          <cell r="B75">
            <v>5102090.3170253802</v>
          </cell>
          <cell r="C75">
            <v>76660.785649545243</v>
          </cell>
          <cell r="D75">
            <v>12646.802720695659</v>
          </cell>
        </row>
        <row r="76">
          <cell r="B76">
            <v>5397716.7416169643</v>
          </cell>
          <cell r="C76">
            <v>80907.978724916451</v>
          </cell>
          <cell r="D76">
            <v>13261.626672240815</v>
          </cell>
        </row>
        <row r="77">
          <cell r="B77">
            <v>5705080.8128461866</v>
          </cell>
          <cell r="C77">
            <v>85319.202032692556</v>
          </cell>
          <cell r="D77">
            <v>13894.452273551848</v>
          </cell>
        </row>
        <row r="78">
          <cell r="B78">
            <v>6024465.1858677845</v>
          </cell>
          <cell r="C78">
            <v>89899.107308746694</v>
          </cell>
          <cell r="D78">
            <v>14545.512770153851</v>
          </cell>
        </row>
        <row r="79">
          <cell r="B79">
            <v>6356155.5680645648</v>
          </cell>
          <cell r="C79">
            <v>94652.500899336883</v>
          </cell>
          <cell r="D79">
            <v>15215.041407571909</v>
          </cell>
        </row>
        <row r="80">
          <cell r="B80">
            <v>6700440.7179473201</v>
          </cell>
          <cell r="C80">
            <v>99584.352579188926</v>
          </cell>
          <cell r="D80">
            <v>15903.271431331115</v>
          </cell>
        </row>
        <row r="81">
          <cell r="B81">
            <v>7078679.9438981777</v>
          </cell>
          <cell r="C81">
            <v>105012.34171134551</v>
          </cell>
          <cell r="D81">
            <v>16660.019478260871</v>
          </cell>
          <cell r="H81">
            <v>6.49999999999838</v>
          </cell>
          <cell r="I81">
            <v>1.5</v>
          </cell>
          <cell r="J81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sheetDataSet>
      <sheetData sheetId="0">
        <row r="18">
          <cell r="C18">
            <v>50</v>
          </cell>
        </row>
      </sheetData>
      <sheetData sheetId="1">
        <row r="3">
          <cell r="F3">
            <v>198.13663151891618</v>
          </cell>
        </row>
      </sheetData>
      <sheetData sheetId="2">
        <row r="3">
          <cell r="K3">
            <v>20</v>
          </cell>
        </row>
      </sheetData>
      <sheetData sheetId="3">
        <row r="2">
          <cell r="M2">
            <v>50</v>
          </cell>
        </row>
      </sheetData>
      <sheetData sheetId="4"/>
      <sheetData sheetId="5"/>
      <sheetData sheetId="6"/>
      <sheetData sheetId="7">
        <row r="4">
          <cell r="E4">
            <v>200</v>
          </cell>
        </row>
      </sheetData>
      <sheetData sheetId="8">
        <row r="6">
          <cell r="E6">
            <v>1</v>
          </cell>
        </row>
      </sheetData>
      <sheetData sheetId="9">
        <row r="3">
          <cell r="L3">
            <v>684299</v>
          </cell>
        </row>
        <row r="4">
          <cell r="M4">
            <v>147161.12903225806</v>
          </cell>
        </row>
      </sheetData>
      <sheetData sheetId="10"/>
      <sheetData sheetId="11">
        <row r="4">
          <cell r="N4">
            <v>2048022.8</v>
          </cell>
        </row>
      </sheetData>
      <sheetData sheetId="12">
        <row r="10">
          <cell r="E10">
            <v>1</v>
          </cell>
        </row>
      </sheetData>
      <sheetData sheetId="13">
        <row r="4">
          <cell r="C4">
            <v>5</v>
          </cell>
        </row>
      </sheetData>
      <sheetData sheetId="14">
        <row r="3">
          <cell r="B3">
            <v>1000</v>
          </cell>
        </row>
      </sheetData>
      <sheetData sheetId="15">
        <row r="13">
          <cell r="C13">
            <v>10000</v>
          </cell>
        </row>
      </sheetData>
      <sheetData sheetId="16">
        <row r="7">
          <cell r="L7">
            <v>2029.2631578947369</v>
          </cell>
        </row>
      </sheetData>
      <sheetData sheetId="17">
        <row r="23">
          <cell r="K23" t="str">
            <v/>
          </cell>
        </row>
      </sheetData>
      <sheetData sheetId="18"/>
      <sheetData sheetId="19">
        <row r="1">
          <cell r="A1" t="str">
            <v>ID</v>
          </cell>
        </row>
      </sheetData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Y9"/>
  <sheetViews>
    <sheetView workbookViewId="0">
      <selection activeCell="I11" sqref="I11"/>
    </sheetView>
  </sheetViews>
  <sheetFormatPr defaultRowHeight="13.5" x14ac:dyDescent="0.15"/>
  <cols>
    <col min="4" max="4" width="12.5" customWidth="1"/>
    <col min="9" max="10" width="38" bestFit="1" customWidth="1"/>
    <col min="12" max="12" width="33.625" bestFit="1" customWidth="1"/>
    <col min="15" max="15" width="12.125" customWidth="1"/>
    <col min="16" max="20" width="10.5" bestFit="1" customWidth="1"/>
  </cols>
  <sheetData>
    <row r="1" spans="1:10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236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145</v>
      </c>
      <c r="AE1" t="s">
        <v>146</v>
      </c>
      <c r="AF1" t="s">
        <v>147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 t="s">
        <v>93</v>
      </c>
      <c r="CU1" t="s">
        <v>94</v>
      </c>
      <c r="CV1" t="s">
        <v>95</v>
      </c>
      <c r="CW1" t="s">
        <v>96</v>
      </c>
      <c r="CX1" t="s">
        <v>97</v>
      </c>
      <c r="CY1" t="s">
        <v>98</v>
      </c>
    </row>
    <row r="2" spans="1:103" x14ac:dyDescent="0.15">
      <c r="A2">
        <f>每日副本辅助配置!C10</f>
        <v>1</v>
      </c>
      <c r="B2" t="str">
        <f>每日副本辅助配置!D10</f>
        <v>金币副本</v>
      </c>
      <c r="C2">
        <v>2</v>
      </c>
      <c r="D2" t="s">
        <v>99</v>
      </c>
      <c r="E2">
        <v>1</v>
      </c>
      <c r="F2">
        <v>12</v>
      </c>
      <c r="G2" s="1">
        <v>17</v>
      </c>
      <c r="H2" s="1"/>
      <c r="I2" t="s">
        <v>200</v>
      </c>
      <c r="J2" t="s">
        <v>201</v>
      </c>
      <c r="K2" t="s">
        <v>100</v>
      </c>
      <c r="L2" t="s">
        <v>237</v>
      </c>
      <c r="M2">
        <v>2</v>
      </c>
      <c r="N2">
        <f>COUNTIF(O2:AC2,"&gt;0")</f>
        <v>6</v>
      </c>
      <c r="O2">
        <f>每日副本辅助配置!E10</f>
        <v>1301</v>
      </c>
      <c r="P2">
        <f>每日副本辅助配置!F10</f>
        <v>1302</v>
      </c>
      <c r="Q2">
        <f>每日副本辅助配置!G10</f>
        <v>1303</v>
      </c>
      <c r="R2">
        <f>每日副本辅助配置!H10</f>
        <v>1304</v>
      </c>
      <c r="S2">
        <f>每日副本辅助配置!I10</f>
        <v>1305</v>
      </c>
      <c r="T2">
        <f>每日副本辅助配置!J10</f>
        <v>1306</v>
      </c>
      <c r="U2">
        <f>每日副本辅助配置!K10</f>
        <v>0</v>
      </c>
      <c r="V2">
        <f>每日副本辅助配置!L10</f>
        <v>0</v>
      </c>
      <c r="W2">
        <f>每日副本辅助配置!M10</f>
        <v>0</v>
      </c>
      <c r="X2">
        <f>每日副本辅助配置!N10</f>
        <v>0</v>
      </c>
      <c r="Y2">
        <f>每日副本辅助配置!O10</f>
        <v>0</v>
      </c>
      <c r="Z2">
        <f>每日副本辅助配置!P10</f>
        <v>0</v>
      </c>
      <c r="AA2">
        <f>每日副本辅助配置!Q10</f>
        <v>0</v>
      </c>
      <c r="AB2">
        <f>每日副本辅助配置!R10</f>
        <v>0</v>
      </c>
      <c r="AG2">
        <v>1</v>
      </c>
      <c r="AH2">
        <v>0</v>
      </c>
      <c r="AI2">
        <v>0</v>
      </c>
      <c r="AJ2">
        <v>0</v>
      </c>
      <c r="AK2">
        <v>23</v>
      </c>
      <c r="AL2">
        <v>59</v>
      </c>
    </row>
    <row r="3" spans="1:103" x14ac:dyDescent="0.15">
      <c r="A3">
        <f>每日副本辅助配置!C11</f>
        <v>2</v>
      </c>
      <c r="B3" t="str">
        <f>每日副本辅助配置!D11</f>
        <v>材料副本</v>
      </c>
      <c r="C3">
        <v>4</v>
      </c>
      <c r="D3" t="s">
        <v>102</v>
      </c>
      <c r="E3">
        <v>1</v>
      </c>
      <c r="F3">
        <v>12</v>
      </c>
      <c r="G3" s="1">
        <v>35</v>
      </c>
      <c r="H3" s="1"/>
      <c r="I3" t="s">
        <v>202</v>
      </c>
      <c r="J3" t="s">
        <v>203</v>
      </c>
      <c r="K3" t="s">
        <v>100</v>
      </c>
      <c r="L3" t="s">
        <v>237</v>
      </c>
      <c r="M3">
        <v>2</v>
      </c>
      <c r="N3">
        <f t="shared" ref="N3:N9" si="0">COUNTIF(O3:AC3,"&gt;0")</f>
        <v>6</v>
      </c>
      <c r="O3">
        <f>每日副本辅助配置!E11</f>
        <v>1401</v>
      </c>
      <c r="P3">
        <f>每日副本辅助配置!F11</f>
        <v>1402</v>
      </c>
      <c r="Q3">
        <f>每日副本辅助配置!G11</f>
        <v>1403</v>
      </c>
      <c r="R3">
        <f>每日副本辅助配置!H11</f>
        <v>1404</v>
      </c>
      <c r="S3">
        <f>每日副本辅助配置!I11</f>
        <v>1405</v>
      </c>
      <c r="T3">
        <f>每日副本辅助配置!J11</f>
        <v>1406</v>
      </c>
      <c r="U3">
        <f>每日副本辅助配置!K11</f>
        <v>0</v>
      </c>
      <c r="V3">
        <f>每日副本辅助配置!L11</f>
        <v>0</v>
      </c>
      <c r="W3">
        <f>每日副本辅助配置!M11</f>
        <v>0</v>
      </c>
      <c r="X3">
        <f>每日副本辅助配置!N11</f>
        <v>0</v>
      </c>
      <c r="Y3">
        <f>每日副本辅助配置!O11</f>
        <v>0</v>
      </c>
      <c r="Z3">
        <f>每日副本辅助配置!P11</f>
        <v>0</v>
      </c>
      <c r="AA3">
        <f>每日副本辅助配置!Q11</f>
        <v>0</v>
      </c>
      <c r="AB3">
        <f>每日副本辅助配置!R11</f>
        <v>0</v>
      </c>
      <c r="AG3">
        <v>1</v>
      </c>
      <c r="AH3">
        <v>0</v>
      </c>
      <c r="AI3">
        <v>0</v>
      </c>
      <c r="AJ3">
        <v>0</v>
      </c>
      <c r="AK3">
        <v>23</v>
      </c>
      <c r="AL3">
        <v>59</v>
      </c>
    </row>
    <row r="4" spans="1:103" x14ac:dyDescent="0.15">
      <c r="A4">
        <f>每日副本辅助配置!C12</f>
        <v>3</v>
      </c>
      <c r="B4" t="str">
        <f>每日副本辅助配置!D12</f>
        <v>组队副本</v>
      </c>
      <c r="C4">
        <v>7</v>
      </c>
      <c r="D4" t="s">
        <v>103</v>
      </c>
      <c r="E4">
        <v>2</v>
      </c>
      <c r="F4">
        <v>12</v>
      </c>
      <c r="G4">
        <v>90</v>
      </c>
      <c r="I4" t="s">
        <v>204</v>
      </c>
      <c r="J4" t="s">
        <v>205</v>
      </c>
      <c r="K4" t="s">
        <v>100</v>
      </c>
      <c r="L4" t="s">
        <v>206</v>
      </c>
      <c r="M4">
        <v>2</v>
      </c>
      <c r="N4">
        <f t="shared" si="0"/>
        <v>1</v>
      </c>
      <c r="O4">
        <v>2701</v>
      </c>
      <c r="P4">
        <f>每日副本辅助配置!F12</f>
        <v>0</v>
      </c>
      <c r="Q4">
        <f>每日副本辅助配置!G12</f>
        <v>0</v>
      </c>
      <c r="R4">
        <f>每日副本辅助配置!H12</f>
        <v>0</v>
      </c>
      <c r="S4">
        <f>每日副本辅助配置!I12</f>
        <v>0</v>
      </c>
      <c r="T4">
        <f>每日副本辅助配置!J12</f>
        <v>0</v>
      </c>
      <c r="U4">
        <f>每日副本辅助配置!K12</f>
        <v>0</v>
      </c>
      <c r="V4">
        <f>每日副本辅助配置!L12</f>
        <v>0</v>
      </c>
      <c r="W4">
        <f>每日副本辅助配置!M12</f>
        <v>0</v>
      </c>
      <c r="X4">
        <f>每日副本辅助配置!N12</f>
        <v>0</v>
      </c>
      <c r="Y4">
        <f>每日副本辅助配置!O12</f>
        <v>0</v>
      </c>
      <c r="Z4">
        <f>每日副本辅助配置!P12</f>
        <v>0</v>
      </c>
      <c r="AA4">
        <f>每日副本辅助配置!Q12</f>
        <v>0</v>
      </c>
      <c r="AB4">
        <f>每日副本辅助配置!R12</f>
        <v>0</v>
      </c>
      <c r="AG4">
        <v>2</v>
      </c>
    </row>
    <row r="5" spans="1:103" x14ac:dyDescent="0.15">
      <c r="A5">
        <f>每日副本辅助配置!C13</f>
        <v>4</v>
      </c>
      <c r="B5" t="str">
        <f>每日副本辅助配置!D13</f>
        <v>挑战BOSS</v>
      </c>
      <c r="C5">
        <v>5</v>
      </c>
      <c r="D5" t="s">
        <v>104</v>
      </c>
      <c r="E5">
        <v>1</v>
      </c>
      <c r="F5">
        <v>12</v>
      </c>
      <c r="G5" s="1">
        <v>13</v>
      </c>
      <c r="H5" s="1"/>
      <c r="I5" t="s">
        <v>238</v>
      </c>
      <c r="J5" t="s">
        <v>238</v>
      </c>
      <c r="K5" t="s">
        <v>100</v>
      </c>
      <c r="L5" t="s">
        <v>237</v>
      </c>
      <c r="M5">
        <v>3</v>
      </c>
      <c r="N5">
        <v>14</v>
      </c>
      <c r="O5">
        <f>每日副本辅助配置!E13</f>
        <v>1501</v>
      </c>
      <c r="P5">
        <f>每日副本辅助配置!F13</f>
        <v>1502</v>
      </c>
      <c r="Q5">
        <f>每日副本辅助配置!G13</f>
        <v>1503</v>
      </c>
      <c r="R5">
        <f>每日副本辅助配置!H13</f>
        <v>1504</v>
      </c>
      <c r="S5">
        <f>每日副本辅助配置!I13</f>
        <v>1505</v>
      </c>
      <c r="T5">
        <f>每日副本辅助配置!J13</f>
        <v>1506</v>
      </c>
      <c r="U5">
        <f>每日副本辅助配置!K13</f>
        <v>1507</v>
      </c>
      <c r="V5">
        <f>每日副本辅助配置!L13</f>
        <v>1508</v>
      </c>
      <c r="W5">
        <f>每日副本辅助配置!M13</f>
        <v>1509</v>
      </c>
      <c r="X5">
        <v>1510</v>
      </c>
      <c r="Y5">
        <v>1511</v>
      </c>
      <c r="Z5">
        <v>1512</v>
      </c>
      <c r="AA5">
        <v>1513</v>
      </c>
      <c r="AB5">
        <v>1514</v>
      </c>
      <c r="AG5">
        <v>1</v>
      </c>
      <c r="AH5">
        <f>AH4</f>
        <v>0</v>
      </c>
      <c r="AI5">
        <v>0</v>
      </c>
      <c r="AJ5">
        <v>0</v>
      </c>
      <c r="AK5">
        <v>23</v>
      </c>
      <c r="AL5">
        <v>59</v>
      </c>
    </row>
    <row r="6" spans="1:103" x14ac:dyDescent="0.15">
      <c r="A6">
        <f>每日副本辅助配置!C14</f>
        <v>5</v>
      </c>
      <c r="B6" t="str">
        <f>每日副本辅助配置!D14</f>
        <v>推塔活动</v>
      </c>
      <c r="C6">
        <v>8</v>
      </c>
      <c r="D6" t="s">
        <v>105</v>
      </c>
      <c r="E6">
        <v>2</v>
      </c>
      <c r="F6">
        <v>12</v>
      </c>
      <c r="G6" s="2">
        <v>90</v>
      </c>
      <c r="H6" s="2"/>
      <c r="I6" t="s">
        <v>204</v>
      </c>
      <c r="J6" t="s">
        <v>205</v>
      </c>
      <c r="K6" t="s">
        <v>100</v>
      </c>
      <c r="L6" t="s">
        <v>206</v>
      </c>
      <c r="M6">
        <v>2</v>
      </c>
      <c r="N6">
        <f t="shared" si="0"/>
        <v>0</v>
      </c>
      <c r="O6">
        <f>每日副本辅助配置!E14</f>
        <v>0</v>
      </c>
      <c r="P6">
        <f>每日副本辅助配置!F14</f>
        <v>0</v>
      </c>
      <c r="Q6">
        <f>每日副本辅助配置!G14</f>
        <v>0</v>
      </c>
      <c r="R6">
        <f>每日副本辅助配置!H14</f>
        <v>0</v>
      </c>
      <c r="S6">
        <f>每日副本辅助配置!I14</f>
        <v>0</v>
      </c>
      <c r="T6">
        <f>每日副本辅助配置!J14</f>
        <v>0</v>
      </c>
      <c r="U6">
        <f>每日副本辅助配置!K14</f>
        <v>0</v>
      </c>
      <c r="V6">
        <f>每日副本辅助配置!L14</f>
        <v>0</v>
      </c>
      <c r="W6">
        <f>每日副本辅助配置!M14</f>
        <v>0</v>
      </c>
      <c r="X6">
        <f>每日副本辅助配置!N14</f>
        <v>0</v>
      </c>
      <c r="Y6">
        <f>每日副本辅助配置!O14</f>
        <v>0</v>
      </c>
      <c r="Z6">
        <f>每日副本辅助配置!P14</f>
        <v>0</v>
      </c>
      <c r="AA6">
        <f>每日副本辅助配置!Q14</f>
        <v>0</v>
      </c>
      <c r="AB6">
        <f>每日副本辅助配置!R14</f>
        <v>0</v>
      </c>
      <c r="AG6">
        <v>2</v>
      </c>
      <c r="AH6">
        <f>AH5</f>
        <v>0</v>
      </c>
      <c r="AI6">
        <v>21</v>
      </c>
      <c r="AJ6">
        <v>30</v>
      </c>
      <c r="AK6">
        <v>22</v>
      </c>
      <c r="AL6">
        <v>30</v>
      </c>
      <c r="AM6">
        <v>0</v>
      </c>
      <c r="AN6">
        <v>12</v>
      </c>
      <c r="AO6">
        <v>0</v>
      </c>
      <c r="AP6">
        <v>13</v>
      </c>
      <c r="AQ6">
        <v>0</v>
      </c>
    </row>
    <row r="7" spans="1:103" x14ac:dyDescent="0.15">
      <c r="A7">
        <f>每日副本辅助配置!C15</f>
        <v>9</v>
      </c>
      <c r="B7" t="str">
        <f>每日副本辅助配置!D15</f>
        <v>江湖路</v>
      </c>
      <c r="C7">
        <v>6</v>
      </c>
      <c r="D7" t="s">
        <v>106</v>
      </c>
      <c r="E7">
        <v>1</v>
      </c>
      <c r="F7">
        <v>0</v>
      </c>
      <c r="G7" s="1">
        <v>24</v>
      </c>
      <c r="H7" s="1"/>
      <c r="I7" t="s">
        <v>207</v>
      </c>
      <c r="J7" t="s">
        <v>208</v>
      </c>
      <c r="K7" t="s">
        <v>100</v>
      </c>
      <c r="L7" t="s">
        <v>237</v>
      </c>
      <c r="M7">
        <v>1</v>
      </c>
      <c r="N7">
        <f t="shared" si="0"/>
        <v>0</v>
      </c>
      <c r="O7">
        <f>每日副本辅助配置!E15</f>
        <v>0</v>
      </c>
      <c r="P7">
        <f>每日副本辅助配置!F15</f>
        <v>0</v>
      </c>
      <c r="Q7">
        <f>每日副本辅助配置!G15</f>
        <v>0</v>
      </c>
      <c r="R7">
        <f>每日副本辅助配置!H15</f>
        <v>0</v>
      </c>
      <c r="S7">
        <f>每日副本辅助配置!I15</f>
        <v>0</v>
      </c>
      <c r="T7">
        <f>每日副本辅助配置!J15</f>
        <v>0</v>
      </c>
      <c r="U7">
        <f>每日副本辅助配置!K15</f>
        <v>0</v>
      </c>
      <c r="V7">
        <f>每日副本辅助配置!L15</f>
        <v>0</v>
      </c>
      <c r="W7">
        <f>每日副本辅助配置!M15</f>
        <v>0</v>
      </c>
      <c r="X7">
        <f>每日副本辅助配置!N15</f>
        <v>0</v>
      </c>
      <c r="Y7">
        <f>每日副本辅助配置!O15</f>
        <v>0</v>
      </c>
      <c r="Z7">
        <f>每日副本辅助配置!P15</f>
        <v>0</v>
      </c>
      <c r="AA7">
        <f>每日副本辅助配置!Q15</f>
        <v>0</v>
      </c>
      <c r="AB7">
        <f>每日副本辅助配置!R15</f>
        <v>0</v>
      </c>
      <c r="AG7">
        <v>1</v>
      </c>
      <c r="AH7">
        <v>0</v>
      </c>
      <c r="AI7">
        <v>0</v>
      </c>
      <c r="AJ7">
        <v>0</v>
      </c>
      <c r="AK7">
        <v>23</v>
      </c>
      <c r="AL7">
        <v>59</v>
      </c>
    </row>
    <row r="8" spans="1:103" x14ac:dyDescent="0.15">
      <c r="A8">
        <f>每日副本辅助配置!C16</f>
        <v>6</v>
      </c>
      <c r="B8" t="str">
        <f>每日副本辅助配置!D16</f>
        <v>命运副本</v>
      </c>
      <c r="C8">
        <v>3</v>
      </c>
      <c r="D8" t="s">
        <v>107</v>
      </c>
      <c r="E8">
        <v>1</v>
      </c>
      <c r="F8">
        <v>12</v>
      </c>
      <c r="G8" s="1">
        <v>23</v>
      </c>
      <c r="H8" s="1">
        <v>1030</v>
      </c>
      <c r="I8" t="s">
        <v>209</v>
      </c>
      <c r="J8" t="s">
        <v>210</v>
      </c>
      <c r="K8" t="s">
        <v>100</v>
      </c>
      <c r="L8" t="s">
        <v>237</v>
      </c>
      <c r="M8">
        <v>2</v>
      </c>
      <c r="N8">
        <f t="shared" si="0"/>
        <v>6</v>
      </c>
      <c r="O8">
        <f>每日副本辅助配置!E16</f>
        <v>1701</v>
      </c>
      <c r="P8">
        <f>每日副本辅助配置!F16</f>
        <v>1702</v>
      </c>
      <c r="Q8">
        <f>每日副本辅助配置!G16</f>
        <v>1703</v>
      </c>
      <c r="R8">
        <f>每日副本辅助配置!H16</f>
        <v>1704</v>
      </c>
      <c r="S8">
        <f>每日副本辅助配置!I16</f>
        <v>1705</v>
      </c>
      <c r="T8">
        <f>每日副本辅助配置!J16</f>
        <v>1706</v>
      </c>
      <c r="U8">
        <f>每日副本辅助配置!K16</f>
        <v>0</v>
      </c>
      <c r="V8">
        <f>每日副本辅助配置!L16</f>
        <v>0</v>
      </c>
      <c r="W8">
        <f>每日副本辅助配置!M16</f>
        <v>0</v>
      </c>
      <c r="X8">
        <f>每日副本辅助配置!N16</f>
        <v>0</v>
      </c>
      <c r="Y8">
        <f>每日副本辅助配置!O16</f>
        <v>0</v>
      </c>
      <c r="Z8">
        <f>每日副本辅助配置!P16</f>
        <v>0</v>
      </c>
      <c r="AA8">
        <f>每日副本辅助配置!Q16</f>
        <v>0</v>
      </c>
      <c r="AB8">
        <f>每日副本辅助配置!R16</f>
        <v>0</v>
      </c>
      <c r="AG8">
        <v>1</v>
      </c>
      <c r="AH8">
        <v>0</v>
      </c>
      <c r="AI8">
        <v>0</v>
      </c>
      <c r="AJ8">
        <v>0</v>
      </c>
      <c r="AK8">
        <v>23</v>
      </c>
      <c r="AL8">
        <v>59</v>
      </c>
    </row>
    <row r="9" spans="1:103" x14ac:dyDescent="0.15">
      <c r="A9">
        <f>每日副本辅助配置!C17</f>
        <v>7</v>
      </c>
      <c r="B9" t="str">
        <f>每日副本辅助配置!D17</f>
        <v>经验副本</v>
      </c>
      <c r="C9">
        <v>1</v>
      </c>
      <c r="D9" t="s">
        <v>108</v>
      </c>
      <c r="E9">
        <v>1</v>
      </c>
      <c r="F9">
        <v>12</v>
      </c>
      <c r="G9" s="1">
        <v>11</v>
      </c>
      <c r="H9" s="1">
        <v>1013</v>
      </c>
      <c r="I9" t="s">
        <v>211</v>
      </c>
      <c r="J9" t="s">
        <v>211</v>
      </c>
      <c r="K9" t="s">
        <v>100</v>
      </c>
      <c r="L9" t="s">
        <v>237</v>
      </c>
      <c r="M9">
        <v>2</v>
      </c>
      <c r="N9">
        <f t="shared" si="0"/>
        <v>6</v>
      </c>
      <c r="O9">
        <f>每日副本辅助配置!E17</f>
        <v>1801</v>
      </c>
      <c r="P9">
        <f>每日副本辅助配置!F17</f>
        <v>1802</v>
      </c>
      <c r="Q9">
        <f>每日副本辅助配置!G17</f>
        <v>1803</v>
      </c>
      <c r="R9">
        <f>每日副本辅助配置!H17</f>
        <v>1804</v>
      </c>
      <c r="S9">
        <f>每日副本辅助配置!I17</f>
        <v>1805</v>
      </c>
      <c r="T9">
        <f>每日副本辅助配置!J17</f>
        <v>1806</v>
      </c>
      <c r="U9">
        <f>每日副本辅助配置!K17</f>
        <v>0</v>
      </c>
      <c r="V9">
        <f>每日副本辅助配置!L17</f>
        <v>0</v>
      </c>
      <c r="W9">
        <f>每日副本辅助配置!M17</f>
        <v>0</v>
      </c>
      <c r="X9">
        <f>每日副本辅助配置!N17</f>
        <v>0</v>
      </c>
      <c r="Y9">
        <f>每日副本辅助配置!O17</f>
        <v>0</v>
      </c>
      <c r="Z9">
        <f>每日副本辅助配置!P17</f>
        <v>0</v>
      </c>
      <c r="AA9">
        <f>每日副本辅助配置!Q17</f>
        <v>0</v>
      </c>
      <c r="AB9">
        <f>每日副本辅助配置!R17</f>
        <v>0</v>
      </c>
      <c r="AG9">
        <v>1</v>
      </c>
      <c r="AH9">
        <v>0</v>
      </c>
      <c r="AI9">
        <v>0</v>
      </c>
      <c r="AJ9">
        <v>0</v>
      </c>
      <c r="AK9">
        <v>23</v>
      </c>
      <c r="AL9">
        <v>59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G80"/>
  <sheetViews>
    <sheetView workbookViewId="0">
      <selection activeCell="E29" sqref="E29"/>
    </sheetView>
  </sheetViews>
  <sheetFormatPr defaultRowHeight="13.5" x14ac:dyDescent="0.15"/>
  <cols>
    <col min="5" max="5" width="10.5" customWidth="1"/>
    <col min="21" max="21" width="8.875" style="3"/>
    <col min="22" max="22" width="13.5" style="3" customWidth="1"/>
    <col min="23" max="23" width="8.875" style="3"/>
    <col min="24" max="24" width="22" style="3" customWidth="1"/>
    <col min="25" max="28" width="8.875" style="4"/>
    <col min="29" max="32" width="8.875" style="5"/>
  </cols>
  <sheetData>
    <row r="1" spans="3:33" x14ac:dyDescent="0.15"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3:33" x14ac:dyDescent="0.15"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3:33" x14ac:dyDescent="0.15"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3:33" x14ac:dyDescent="0.15"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3:33" x14ac:dyDescent="0.15"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3:33" x14ac:dyDescent="0.15"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3:33" x14ac:dyDescent="0.15"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3:33" x14ac:dyDescent="0.15"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3:33" x14ac:dyDescent="0.15">
      <c r="C9" t="s">
        <v>0</v>
      </c>
      <c r="D9" t="s">
        <v>1</v>
      </c>
      <c r="E9" t="s">
        <v>109</v>
      </c>
      <c r="F9" t="s">
        <v>110</v>
      </c>
      <c r="G9" t="s">
        <v>111</v>
      </c>
      <c r="H9" t="s">
        <v>112</v>
      </c>
      <c r="I9" t="s">
        <v>113</v>
      </c>
      <c r="J9" t="s">
        <v>114</v>
      </c>
      <c r="K9" t="s">
        <v>115</v>
      </c>
      <c r="L9" t="s">
        <v>116</v>
      </c>
      <c r="M9" t="s">
        <v>117</v>
      </c>
      <c r="N9" t="s">
        <v>118</v>
      </c>
      <c r="O9" t="s">
        <v>119</v>
      </c>
      <c r="P9" t="s">
        <v>120</v>
      </c>
      <c r="Q9" t="s">
        <v>121</v>
      </c>
      <c r="R9" t="s">
        <v>122</v>
      </c>
      <c r="S9" t="s">
        <v>123</v>
      </c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3:33" x14ac:dyDescent="0.15">
      <c r="C10">
        <v>1</v>
      </c>
      <c r="D10" t="s">
        <v>194</v>
      </c>
      <c r="E10">
        <v>1301</v>
      </c>
      <c r="F10">
        <v>1302</v>
      </c>
      <c r="G10">
        <v>1303</v>
      </c>
      <c r="H10">
        <v>1304</v>
      </c>
      <c r="I10">
        <v>1305</v>
      </c>
      <c r="J10">
        <v>1306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3:33" x14ac:dyDescent="0.15">
      <c r="C11">
        <v>2</v>
      </c>
      <c r="D11" t="s">
        <v>101</v>
      </c>
      <c r="E11">
        <v>1401</v>
      </c>
      <c r="F11">
        <v>1402</v>
      </c>
      <c r="G11">
        <v>1403</v>
      </c>
      <c r="H11">
        <v>1404</v>
      </c>
      <c r="I11">
        <v>1405</v>
      </c>
      <c r="J11">
        <v>1406</v>
      </c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3:33" x14ac:dyDescent="0.15">
      <c r="C12">
        <v>3</v>
      </c>
      <c r="D12" t="s">
        <v>195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3:33" x14ac:dyDescent="0.15">
      <c r="C13">
        <v>4</v>
      </c>
      <c r="D13" t="s">
        <v>196</v>
      </c>
      <c r="E13">
        <v>1501</v>
      </c>
      <c r="F13">
        <v>1502</v>
      </c>
      <c r="G13">
        <v>1503</v>
      </c>
      <c r="H13">
        <v>1504</v>
      </c>
      <c r="I13">
        <v>1505</v>
      </c>
      <c r="J13">
        <v>1506</v>
      </c>
      <c r="K13">
        <v>1507</v>
      </c>
      <c r="L13">
        <v>1508</v>
      </c>
      <c r="M13">
        <v>1509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3:33" x14ac:dyDescent="0.15">
      <c r="C14">
        <v>5</v>
      </c>
      <c r="D14" t="s">
        <v>197</v>
      </c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3:33" x14ac:dyDescent="0.15">
      <c r="C15">
        <v>9</v>
      </c>
      <c r="D15" t="s">
        <v>164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3:33" x14ac:dyDescent="0.15">
      <c r="C16">
        <v>6</v>
      </c>
      <c r="D16" t="s">
        <v>198</v>
      </c>
      <c r="E16">
        <v>1701</v>
      </c>
      <c r="F16">
        <v>1702</v>
      </c>
      <c r="G16">
        <v>1703</v>
      </c>
      <c r="H16">
        <v>1704</v>
      </c>
      <c r="I16">
        <v>1705</v>
      </c>
      <c r="J16">
        <v>1706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3:33" x14ac:dyDescent="0.15">
      <c r="C17">
        <v>7</v>
      </c>
      <c r="D17" t="s">
        <v>199</v>
      </c>
      <c r="E17">
        <v>1801</v>
      </c>
      <c r="F17">
        <v>1802</v>
      </c>
      <c r="G17">
        <v>1803</v>
      </c>
      <c r="H17">
        <v>1804</v>
      </c>
      <c r="I17">
        <v>1805</v>
      </c>
      <c r="J17">
        <v>1806</v>
      </c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3:33" x14ac:dyDescent="0.15"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3:33" x14ac:dyDescent="0.15"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3:33" x14ac:dyDescent="0.15">
      <c r="U20"/>
      <c r="V20"/>
      <c r="W20"/>
      <c r="X20"/>
      <c r="Y20"/>
      <c r="Z20"/>
      <c r="AA20"/>
      <c r="AB20"/>
      <c r="AC20"/>
      <c r="AD20"/>
      <c r="AE20"/>
      <c r="AF20"/>
    </row>
    <row r="21" spans="3:33" x14ac:dyDescent="0.15">
      <c r="U21"/>
      <c r="V21"/>
      <c r="W21"/>
      <c r="X21"/>
      <c r="Y21"/>
      <c r="Z21"/>
      <c r="AA21"/>
      <c r="AB21"/>
      <c r="AC21"/>
      <c r="AD21"/>
      <c r="AE21"/>
      <c r="AF21"/>
    </row>
    <row r="22" spans="3:33" x14ac:dyDescent="0.15">
      <c r="U22"/>
      <c r="V22"/>
      <c r="W22"/>
      <c r="X22"/>
      <c r="Y22"/>
      <c r="Z22"/>
      <c r="AA22"/>
      <c r="AB22"/>
      <c r="AC22"/>
      <c r="AD22"/>
      <c r="AE22"/>
      <c r="AF22"/>
    </row>
    <row r="23" spans="3:33" x14ac:dyDescent="0.15">
      <c r="U23"/>
      <c r="V23"/>
      <c r="W23"/>
      <c r="X23"/>
      <c r="Y23"/>
      <c r="Z23"/>
      <c r="AA23"/>
      <c r="AB23"/>
      <c r="AC23"/>
      <c r="AD23"/>
      <c r="AE23"/>
      <c r="AF23"/>
    </row>
    <row r="24" spans="3:33" x14ac:dyDescent="0.15">
      <c r="U24"/>
      <c r="V24"/>
      <c r="W24"/>
      <c r="X24"/>
      <c r="Y24"/>
      <c r="Z24"/>
      <c r="AA24"/>
      <c r="AB24"/>
      <c r="AC24"/>
      <c r="AD24"/>
      <c r="AE24"/>
      <c r="AF24"/>
    </row>
    <row r="25" spans="3:33" x14ac:dyDescent="0.15">
      <c r="U25"/>
      <c r="V25"/>
      <c r="W25"/>
      <c r="X25"/>
      <c r="Y25"/>
      <c r="Z25"/>
      <c r="AA25"/>
      <c r="AB25"/>
      <c r="AC25"/>
      <c r="AD25"/>
      <c r="AE25"/>
      <c r="AF25"/>
    </row>
    <row r="26" spans="3:33" x14ac:dyDescent="0.15">
      <c r="U26"/>
      <c r="V26"/>
      <c r="W26"/>
      <c r="X26"/>
      <c r="Y26"/>
      <c r="Z26"/>
      <c r="AA26"/>
      <c r="AB26"/>
      <c r="AC26"/>
      <c r="AD26"/>
      <c r="AE26"/>
      <c r="AF26"/>
    </row>
    <row r="27" spans="3:33" x14ac:dyDescent="0.15">
      <c r="U27"/>
      <c r="V27"/>
      <c r="W27"/>
      <c r="X27"/>
      <c r="Y27"/>
      <c r="Z27"/>
      <c r="AA27"/>
      <c r="AB27"/>
      <c r="AC27"/>
      <c r="AD27"/>
      <c r="AE27"/>
      <c r="AF27"/>
    </row>
    <row r="28" spans="3:33" x14ac:dyDescent="0.15">
      <c r="U28"/>
      <c r="V28"/>
      <c r="W28"/>
      <c r="X28"/>
      <c r="Y28"/>
      <c r="Z28"/>
      <c r="AA28"/>
      <c r="AB28"/>
      <c r="AC28"/>
      <c r="AD28"/>
      <c r="AE28"/>
      <c r="AF28"/>
    </row>
    <row r="29" spans="3:33" x14ac:dyDescent="0.15">
      <c r="U29"/>
      <c r="V29"/>
      <c r="W29"/>
      <c r="X29"/>
      <c r="Y29"/>
      <c r="Z29"/>
      <c r="AA29"/>
      <c r="AB29"/>
      <c r="AC29"/>
      <c r="AD29"/>
      <c r="AE29"/>
      <c r="AF29"/>
    </row>
    <row r="30" spans="3:33" x14ac:dyDescent="0.15">
      <c r="U30"/>
      <c r="V30"/>
      <c r="W30"/>
      <c r="X30"/>
      <c r="Y30"/>
      <c r="Z30"/>
      <c r="AA30"/>
      <c r="AB30"/>
      <c r="AC30"/>
      <c r="AD30"/>
      <c r="AE30"/>
      <c r="AF30"/>
    </row>
    <row r="31" spans="3:33" x14ac:dyDescent="0.15">
      <c r="U31"/>
      <c r="V31"/>
      <c r="W31"/>
      <c r="X31"/>
      <c r="Y31"/>
      <c r="Z31"/>
      <c r="AA31"/>
      <c r="AB31"/>
      <c r="AC31"/>
      <c r="AD31"/>
      <c r="AE31"/>
      <c r="AF31"/>
    </row>
    <row r="32" spans="3:33" x14ac:dyDescent="0.15">
      <c r="U32"/>
      <c r="V32"/>
      <c r="W32"/>
      <c r="X32"/>
      <c r="Y32"/>
      <c r="Z32"/>
      <c r="AA32"/>
      <c r="AB32"/>
      <c r="AC32"/>
      <c r="AD32"/>
      <c r="AE32"/>
      <c r="AF32"/>
    </row>
    <row r="33" spans="21:32" x14ac:dyDescent="0.15">
      <c r="U33"/>
      <c r="V33"/>
      <c r="W33"/>
      <c r="X33"/>
      <c r="Y33"/>
      <c r="Z33"/>
      <c r="AA33"/>
      <c r="AB33"/>
      <c r="AC33"/>
      <c r="AD33"/>
      <c r="AE33"/>
      <c r="AF33"/>
    </row>
    <row r="34" spans="21:32" x14ac:dyDescent="0.15">
      <c r="U34"/>
      <c r="V34"/>
      <c r="W34"/>
      <c r="X34"/>
      <c r="Y34"/>
      <c r="Z34"/>
      <c r="AA34"/>
      <c r="AB34"/>
      <c r="AC34"/>
      <c r="AD34"/>
      <c r="AE34"/>
      <c r="AF34"/>
    </row>
    <row r="35" spans="21:32" x14ac:dyDescent="0.15">
      <c r="U35"/>
      <c r="V35"/>
      <c r="W35"/>
      <c r="X35"/>
      <c r="Y35"/>
      <c r="Z35"/>
      <c r="AA35"/>
      <c r="AB35"/>
      <c r="AC35"/>
      <c r="AD35"/>
      <c r="AE35"/>
      <c r="AF35"/>
    </row>
    <row r="36" spans="21:32" x14ac:dyDescent="0.15">
      <c r="U36"/>
      <c r="V36"/>
      <c r="W36"/>
      <c r="X36"/>
      <c r="Y36"/>
      <c r="Z36"/>
      <c r="AA36"/>
      <c r="AB36"/>
      <c r="AC36"/>
      <c r="AD36"/>
      <c r="AE36"/>
      <c r="AF36"/>
    </row>
    <row r="37" spans="21:32" x14ac:dyDescent="0.15">
      <c r="U37"/>
      <c r="V37"/>
      <c r="W37"/>
      <c r="X37"/>
      <c r="Y37"/>
      <c r="Z37"/>
      <c r="AA37"/>
      <c r="AB37"/>
      <c r="AC37"/>
      <c r="AD37"/>
      <c r="AE37"/>
      <c r="AF37"/>
    </row>
    <row r="38" spans="21:32" x14ac:dyDescent="0.15">
      <c r="U38"/>
      <c r="V38"/>
      <c r="W38"/>
      <c r="X38"/>
      <c r="Y38"/>
      <c r="Z38"/>
      <c r="AA38"/>
      <c r="AB38"/>
      <c r="AC38"/>
      <c r="AD38"/>
      <c r="AE38"/>
      <c r="AF38"/>
    </row>
    <row r="39" spans="21:32" x14ac:dyDescent="0.15">
      <c r="U39"/>
      <c r="V39"/>
      <c r="W39"/>
      <c r="X39"/>
      <c r="Y39"/>
      <c r="Z39"/>
      <c r="AA39"/>
      <c r="AB39"/>
      <c r="AC39"/>
      <c r="AD39"/>
      <c r="AE39"/>
      <c r="AF39"/>
    </row>
    <row r="40" spans="21:32" x14ac:dyDescent="0.15">
      <c r="U40"/>
      <c r="V40"/>
      <c r="W40"/>
      <c r="X40"/>
      <c r="Y40"/>
      <c r="Z40"/>
      <c r="AA40"/>
      <c r="AB40"/>
      <c r="AC40"/>
      <c r="AD40"/>
      <c r="AE40"/>
      <c r="AF40"/>
    </row>
    <row r="41" spans="21:32" x14ac:dyDescent="0.15">
      <c r="U41"/>
      <c r="V41"/>
      <c r="W41"/>
      <c r="X41"/>
      <c r="Y41"/>
      <c r="Z41"/>
      <c r="AA41"/>
      <c r="AB41"/>
      <c r="AC41"/>
      <c r="AD41"/>
      <c r="AE41"/>
      <c r="AF41"/>
    </row>
    <row r="42" spans="21:32" x14ac:dyDescent="0.15">
      <c r="U42"/>
      <c r="V42"/>
      <c r="W42"/>
      <c r="X42"/>
      <c r="Y42"/>
      <c r="Z42"/>
      <c r="AA42"/>
      <c r="AB42"/>
      <c r="AC42"/>
      <c r="AD42"/>
      <c r="AE42"/>
      <c r="AF42"/>
    </row>
    <row r="43" spans="21:32" x14ac:dyDescent="0.15">
      <c r="U43"/>
      <c r="V43"/>
      <c r="W43"/>
      <c r="X43"/>
      <c r="Y43"/>
      <c r="Z43"/>
      <c r="AA43"/>
      <c r="AB43"/>
      <c r="AC43"/>
      <c r="AD43"/>
      <c r="AE43"/>
      <c r="AF43"/>
    </row>
    <row r="44" spans="21:32" x14ac:dyDescent="0.15">
      <c r="U44"/>
      <c r="V44"/>
      <c r="W44"/>
      <c r="X44"/>
      <c r="Y44"/>
      <c r="Z44"/>
      <c r="AA44"/>
      <c r="AB44"/>
      <c r="AC44"/>
      <c r="AD44"/>
      <c r="AE44"/>
      <c r="AF44"/>
    </row>
    <row r="45" spans="21:32" x14ac:dyDescent="0.15">
      <c r="U45"/>
      <c r="V45"/>
      <c r="W45"/>
      <c r="X45"/>
      <c r="Y45"/>
      <c r="Z45"/>
      <c r="AA45"/>
      <c r="AB45"/>
      <c r="AC45"/>
      <c r="AD45"/>
      <c r="AE45"/>
      <c r="AF45"/>
    </row>
    <row r="46" spans="21:32" x14ac:dyDescent="0.15">
      <c r="U46"/>
      <c r="V46"/>
      <c r="W46"/>
      <c r="X46"/>
      <c r="Y46"/>
      <c r="Z46"/>
      <c r="AA46"/>
      <c r="AB46"/>
      <c r="AC46"/>
      <c r="AD46"/>
      <c r="AE46"/>
      <c r="AF46"/>
    </row>
    <row r="47" spans="21:32" x14ac:dyDescent="0.15">
      <c r="U47"/>
      <c r="V47"/>
      <c r="W47"/>
      <c r="X47"/>
      <c r="Y47"/>
      <c r="Z47"/>
      <c r="AA47"/>
      <c r="AB47"/>
      <c r="AC47"/>
      <c r="AD47"/>
      <c r="AE47"/>
      <c r="AF47"/>
    </row>
    <row r="48" spans="21:32" x14ac:dyDescent="0.15">
      <c r="U48"/>
      <c r="V48"/>
      <c r="W48"/>
      <c r="X48"/>
      <c r="Y48"/>
      <c r="Z48"/>
      <c r="AA48"/>
      <c r="AB48"/>
      <c r="AC48"/>
      <c r="AD48"/>
      <c r="AE48"/>
      <c r="AF48"/>
    </row>
    <row r="49" spans="21:32" x14ac:dyDescent="0.15">
      <c r="U49"/>
      <c r="V49"/>
      <c r="W49"/>
      <c r="X49"/>
      <c r="Y49"/>
      <c r="Z49"/>
      <c r="AA49"/>
      <c r="AB49"/>
      <c r="AC49"/>
      <c r="AD49"/>
      <c r="AE49"/>
      <c r="AF49"/>
    </row>
    <row r="50" spans="21:32" x14ac:dyDescent="0.15">
      <c r="U50"/>
      <c r="V50"/>
      <c r="W50"/>
      <c r="X50"/>
      <c r="Y50"/>
      <c r="Z50"/>
      <c r="AA50"/>
      <c r="AB50"/>
      <c r="AC50"/>
      <c r="AD50"/>
      <c r="AE50"/>
      <c r="AF50"/>
    </row>
    <row r="51" spans="21:32" x14ac:dyDescent="0.15">
      <c r="U51"/>
      <c r="V51"/>
      <c r="W51"/>
      <c r="X51"/>
      <c r="Y51"/>
      <c r="Z51"/>
      <c r="AA51"/>
      <c r="AB51"/>
      <c r="AC51"/>
      <c r="AD51"/>
      <c r="AE51"/>
      <c r="AF51"/>
    </row>
    <row r="52" spans="21:32" x14ac:dyDescent="0.15">
      <c r="U52"/>
      <c r="V52"/>
      <c r="W52"/>
      <c r="X52"/>
      <c r="Y52"/>
      <c r="Z52"/>
      <c r="AA52"/>
      <c r="AB52"/>
      <c r="AC52"/>
      <c r="AD52"/>
      <c r="AE52"/>
      <c r="AF52"/>
    </row>
    <row r="53" spans="21:32" x14ac:dyDescent="0.15">
      <c r="U53"/>
      <c r="V53"/>
      <c r="W53"/>
      <c r="X53"/>
      <c r="Y53"/>
      <c r="Z53"/>
      <c r="AA53"/>
      <c r="AB53"/>
      <c r="AC53"/>
      <c r="AD53"/>
      <c r="AE53"/>
      <c r="AF53"/>
    </row>
    <row r="54" spans="21:32" x14ac:dyDescent="0.15">
      <c r="U54"/>
      <c r="V54"/>
      <c r="W54"/>
      <c r="X54"/>
      <c r="Y54"/>
      <c r="Z54"/>
      <c r="AA54"/>
      <c r="AB54"/>
      <c r="AC54"/>
      <c r="AD54"/>
      <c r="AE54"/>
      <c r="AF54"/>
    </row>
    <row r="55" spans="21:32" x14ac:dyDescent="0.15">
      <c r="U55"/>
      <c r="V55"/>
      <c r="W55"/>
      <c r="X55"/>
      <c r="Y55"/>
      <c r="Z55"/>
      <c r="AA55"/>
      <c r="AB55"/>
      <c r="AC55"/>
      <c r="AD55"/>
      <c r="AE55"/>
      <c r="AF55"/>
    </row>
    <row r="56" spans="21:32" x14ac:dyDescent="0.15">
      <c r="U56"/>
      <c r="V56"/>
      <c r="W56"/>
      <c r="X56"/>
      <c r="Y56"/>
      <c r="Z56"/>
      <c r="AA56"/>
      <c r="AB56"/>
      <c r="AC56"/>
      <c r="AD56"/>
      <c r="AE56"/>
      <c r="AF56"/>
    </row>
    <row r="57" spans="21:32" x14ac:dyDescent="0.15">
      <c r="U57"/>
      <c r="V57"/>
      <c r="W57"/>
      <c r="X57"/>
      <c r="Y57"/>
      <c r="Z57"/>
      <c r="AA57"/>
      <c r="AB57"/>
      <c r="AC57"/>
      <c r="AD57"/>
      <c r="AE57"/>
      <c r="AF57"/>
    </row>
    <row r="58" spans="21:32" x14ac:dyDescent="0.15">
      <c r="U58"/>
      <c r="V58"/>
      <c r="W58"/>
      <c r="X58"/>
      <c r="Y58"/>
      <c r="Z58"/>
      <c r="AA58"/>
      <c r="AB58"/>
      <c r="AC58"/>
      <c r="AD58"/>
      <c r="AE58"/>
      <c r="AF58"/>
    </row>
    <row r="59" spans="21:32" x14ac:dyDescent="0.15">
      <c r="U59"/>
      <c r="V59"/>
      <c r="W59"/>
      <c r="X59"/>
      <c r="Y59"/>
      <c r="Z59"/>
      <c r="AA59"/>
      <c r="AB59"/>
      <c r="AC59"/>
      <c r="AD59"/>
      <c r="AE59"/>
      <c r="AF59"/>
    </row>
    <row r="60" spans="21:32" x14ac:dyDescent="0.15">
      <c r="U60"/>
      <c r="V60"/>
      <c r="W60"/>
      <c r="X60"/>
      <c r="Y60"/>
      <c r="Z60"/>
      <c r="AA60"/>
      <c r="AB60"/>
      <c r="AC60"/>
      <c r="AD60"/>
      <c r="AE60"/>
      <c r="AF60"/>
    </row>
    <row r="61" spans="21:32" x14ac:dyDescent="0.15">
      <c r="U61"/>
      <c r="V61"/>
      <c r="W61"/>
      <c r="X61"/>
      <c r="Y61"/>
      <c r="Z61"/>
      <c r="AA61"/>
      <c r="AB61"/>
      <c r="AC61"/>
      <c r="AD61"/>
      <c r="AE61"/>
      <c r="AF61"/>
    </row>
    <row r="62" spans="21:32" x14ac:dyDescent="0.15">
      <c r="U62"/>
      <c r="V62"/>
      <c r="W62"/>
      <c r="X62"/>
      <c r="Y62"/>
      <c r="Z62"/>
      <c r="AA62"/>
      <c r="AB62"/>
      <c r="AC62"/>
      <c r="AD62"/>
      <c r="AE62"/>
      <c r="AF62"/>
    </row>
    <row r="63" spans="21:32" x14ac:dyDescent="0.15">
      <c r="U63"/>
      <c r="V63"/>
      <c r="W63"/>
      <c r="X63"/>
      <c r="Y63"/>
      <c r="Z63"/>
      <c r="AA63"/>
      <c r="AB63"/>
      <c r="AC63"/>
      <c r="AD63"/>
      <c r="AE63"/>
      <c r="AF63"/>
    </row>
    <row r="64" spans="21:32" x14ac:dyDescent="0.15">
      <c r="U64"/>
      <c r="V64"/>
      <c r="W64"/>
      <c r="X64"/>
      <c r="Y64"/>
      <c r="Z64"/>
      <c r="AA64"/>
      <c r="AB64"/>
      <c r="AC64"/>
      <c r="AD64"/>
      <c r="AE64"/>
      <c r="AF64"/>
    </row>
    <row r="65" spans="21:32" x14ac:dyDescent="0.15">
      <c r="U65"/>
      <c r="V65"/>
      <c r="W65"/>
      <c r="X65"/>
      <c r="Y65"/>
      <c r="Z65"/>
      <c r="AA65"/>
      <c r="AB65"/>
      <c r="AC65"/>
      <c r="AD65"/>
      <c r="AE65"/>
      <c r="AF65"/>
    </row>
    <row r="66" spans="21:32" x14ac:dyDescent="0.15">
      <c r="U66"/>
      <c r="V66"/>
      <c r="W66"/>
      <c r="X66"/>
      <c r="Y66"/>
      <c r="Z66"/>
      <c r="AA66"/>
      <c r="AB66"/>
      <c r="AC66"/>
      <c r="AD66"/>
      <c r="AE66"/>
      <c r="AF66"/>
    </row>
    <row r="67" spans="21:32" x14ac:dyDescent="0.15">
      <c r="U67"/>
      <c r="V67"/>
      <c r="W67"/>
      <c r="X67"/>
      <c r="Y67"/>
      <c r="Z67"/>
      <c r="AA67"/>
      <c r="AB67"/>
      <c r="AC67"/>
      <c r="AD67"/>
      <c r="AE67"/>
      <c r="AF67"/>
    </row>
    <row r="68" spans="21:32" x14ac:dyDescent="0.15">
      <c r="U68"/>
      <c r="V68"/>
      <c r="W68"/>
      <c r="X68"/>
      <c r="Y68"/>
      <c r="Z68"/>
      <c r="AA68"/>
      <c r="AB68"/>
      <c r="AC68"/>
      <c r="AD68"/>
      <c r="AE68"/>
      <c r="AF68"/>
    </row>
    <row r="69" spans="21:32" x14ac:dyDescent="0.15">
      <c r="U69"/>
      <c r="V69"/>
      <c r="W69"/>
      <c r="X69"/>
      <c r="Y69"/>
      <c r="Z69"/>
      <c r="AA69"/>
      <c r="AB69"/>
      <c r="AC69"/>
      <c r="AD69"/>
      <c r="AE69"/>
      <c r="AF69"/>
    </row>
    <row r="70" spans="21:32" x14ac:dyDescent="0.15">
      <c r="U70"/>
      <c r="V70"/>
      <c r="W70"/>
      <c r="X70"/>
      <c r="Y70"/>
      <c r="Z70"/>
      <c r="AA70"/>
      <c r="AB70"/>
      <c r="AC70"/>
      <c r="AD70"/>
      <c r="AE70"/>
      <c r="AF70"/>
    </row>
    <row r="71" spans="21:32" x14ac:dyDescent="0.15">
      <c r="U71"/>
      <c r="V71"/>
      <c r="W71"/>
      <c r="X71"/>
      <c r="Y71"/>
      <c r="Z71"/>
      <c r="AA71"/>
      <c r="AB71"/>
      <c r="AC71"/>
      <c r="AD71"/>
      <c r="AE71"/>
      <c r="AF71"/>
    </row>
    <row r="72" spans="21:32" x14ac:dyDescent="0.15">
      <c r="U72"/>
      <c r="V72"/>
      <c r="W72"/>
      <c r="X72"/>
      <c r="Y72"/>
      <c r="Z72"/>
      <c r="AA72"/>
      <c r="AB72"/>
      <c r="AC72"/>
      <c r="AD72"/>
      <c r="AE72"/>
      <c r="AF72"/>
    </row>
    <row r="73" spans="21:32" x14ac:dyDescent="0.15">
      <c r="U73"/>
      <c r="V73"/>
      <c r="W73"/>
      <c r="X73"/>
      <c r="Y73"/>
      <c r="Z73"/>
      <c r="AA73"/>
      <c r="AB73"/>
      <c r="AC73"/>
      <c r="AD73"/>
      <c r="AE73"/>
      <c r="AF73"/>
    </row>
    <row r="74" spans="21:32" x14ac:dyDescent="0.15">
      <c r="U74"/>
      <c r="V74"/>
      <c r="W74"/>
      <c r="X74"/>
      <c r="Y74"/>
      <c r="Z74"/>
      <c r="AA74"/>
      <c r="AB74"/>
      <c r="AC74"/>
      <c r="AD74"/>
      <c r="AE74"/>
      <c r="AF74"/>
    </row>
    <row r="75" spans="21:32" x14ac:dyDescent="0.15">
      <c r="U75"/>
      <c r="V75"/>
      <c r="W75"/>
      <c r="X75"/>
      <c r="Y75"/>
      <c r="Z75"/>
      <c r="AA75"/>
      <c r="AB75"/>
      <c r="AC75"/>
      <c r="AD75"/>
      <c r="AE75"/>
      <c r="AF75"/>
    </row>
    <row r="76" spans="21:32" x14ac:dyDescent="0.15">
      <c r="U76"/>
      <c r="V76"/>
      <c r="W76"/>
      <c r="X76"/>
      <c r="Y76"/>
      <c r="Z76"/>
      <c r="AA76"/>
      <c r="AB76"/>
      <c r="AC76"/>
      <c r="AD76"/>
      <c r="AE76"/>
      <c r="AF76"/>
    </row>
    <row r="77" spans="21:32" x14ac:dyDescent="0.15">
      <c r="U77"/>
      <c r="V77"/>
      <c r="W77"/>
      <c r="X77"/>
      <c r="Y77"/>
      <c r="Z77"/>
      <c r="AA77"/>
      <c r="AB77"/>
      <c r="AC77"/>
      <c r="AD77"/>
      <c r="AE77"/>
      <c r="AF77"/>
    </row>
    <row r="78" spans="21:32" x14ac:dyDescent="0.15">
      <c r="U78"/>
      <c r="V78"/>
      <c r="W78"/>
      <c r="X78"/>
      <c r="Y78"/>
      <c r="Z78"/>
      <c r="AA78"/>
      <c r="AB78"/>
      <c r="AC78"/>
      <c r="AD78"/>
      <c r="AE78"/>
      <c r="AF78"/>
    </row>
    <row r="79" spans="21:32" x14ac:dyDescent="0.15">
      <c r="U79"/>
      <c r="V79"/>
      <c r="W79"/>
      <c r="X79"/>
      <c r="Y79"/>
      <c r="Z79"/>
      <c r="AA79"/>
      <c r="AB79"/>
      <c r="AC79"/>
      <c r="AD79"/>
      <c r="AE79"/>
      <c r="AF79"/>
    </row>
    <row r="80" spans="21:32" x14ac:dyDescent="0.15">
      <c r="U80"/>
      <c r="V80"/>
      <c r="W80"/>
      <c r="X80"/>
      <c r="Y80"/>
      <c r="Z80"/>
      <c r="AA80"/>
      <c r="AB80"/>
      <c r="AC80"/>
      <c r="AD80"/>
      <c r="AE80"/>
      <c r="AF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5" sqref="B5"/>
    </sheetView>
  </sheetViews>
  <sheetFormatPr defaultRowHeight="13.5" x14ac:dyDescent="0.15"/>
  <sheetData>
    <row r="1" spans="1:2" x14ac:dyDescent="0.15">
      <c r="A1" t="s">
        <v>166</v>
      </c>
      <c r="B1" t="s">
        <v>165</v>
      </c>
    </row>
    <row r="2" spans="1:2" x14ac:dyDescent="0.15">
      <c r="A2">
        <v>1</v>
      </c>
      <c r="B2">
        <v>20</v>
      </c>
    </row>
    <row r="3" spans="1:2" x14ac:dyDescent="0.15">
      <c r="A3">
        <v>2</v>
      </c>
      <c r="B3">
        <v>50</v>
      </c>
    </row>
    <row r="4" spans="1:2" x14ac:dyDescent="0.15">
      <c r="A4">
        <v>3</v>
      </c>
      <c r="B4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I4"/>
  <sheetViews>
    <sheetView workbookViewId="0">
      <selection activeCell="K5" sqref="K5"/>
    </sheetView>
  </sheetViews>
  <sheetFormatPr defaultColWidth="8.875" defaultRowHeight="13.5" x14ac:dyDescent="0.15"/>
  <cols>
    <col min="1" max="2" width="7.5" style="9" bestFit="1" customWidth="1"/>
    <col min="3" max="4" width="9.5" style="9" bestFit="1" customWidth="1"/>
    <col min="5" max="5" width="5.5" style="9" bestFit="1" customWidth="1"/>
    <col min="6" max="6" width="5.5" style="9" customWidth="1"/>
    <col min="7" max="7" width="7.5" style="9" bestFit="1" customWidth="1"/>
    <col min="8" max="8" width="10.5" style="9" bestFit="1" customWidth="1"/>
    <col min="9" max="11" width="12.75" style="9" bestFit="1" customWidth="1"/>
    <col min="12" max="12" width="9.5" style="9" bestFit="1" customWidth="1"/>
    <col min="13" max="13" width="6.5" style="9" bestFit="1" customWidth="1"/>
    <col min="14" max="14" width="5.5" style="9" bestFit="1" customWidth="1"/>
    <col min="15" max="15" width="8.5" style="9" bestFit="1" customWidth="1"/>
    <col min="16" max="16" width="5.5" style="9" bestFit="1" customWidth="1"/>
    <col min="17" max="18" width="11.625" style="9" bestFit="1" customWidth="1"/>
    <col min="19" max="19" width="7.5" style="9" bestFit="1" customWidth="1"/>
    <col min="20" max="20" width="15" style="9" bestFit="1" customWidth="1"/>
    <col min="21" max="22" width="7.5" style="9" bestFit="1" customWidth="1"/>
    <col min="23" max="23" width="9.5" style="9" bestFit="1" customWidth="1"/>
    <col min="24" max="16384" width="8.875" style="9"/>
  </cols>
  <sheetData>
    <row r="1" spans="1:35" x14ac:dyDescent="0.15">
      <c r="A1" s="9" t="s">
        <v>174</v>
      </c>
      <c r="B1" s="9" t="s">
        <v>175</v>
      </c>
      <c r="C1" s="9" t="s">
        <v>176</v>
      </c>
      <c r="D1" s="9" t="s">
        <v>177</v>
      </c>
      <c r="E1" s="9" t="s">
        <v>178</v>
      </c>
      <c r="F1" s="9" t="s">
        <v>221</v>
      </c>
      <c r="G1" s="9" t="s">
        <v>222</v>
      </c>
      <c r="H1" s="9" t="s">
        <v>179</v>
      </c>
      <c r="I1" s="9" t="s">
        <v>180</v>
      </c>
      <c r="J1" s="9" t="s">
        <v>181</v>
      </c>
      <c r="K1" s="9" t="s">
        <v>182</v>
      </c>
      <c r="L1" s="9" t="s">
        <v>183</v>
      </c>
      <c r="M1" s="9" t="s">
        <v>184</v>
      </c>
      <c r="N1" s="9" t="s">
        <v>185</v>
      </c>
      <c r="O1" s="9" t="s">
        <v>186</v>
      </c>
      <c r="P1" s="9" t="s">
        <v>187</v>
      </c>
      <c r="Q1" s="9" t="s">
        <v>188</v>
      </c>
      <c r="R1" s="9" t="s">
        <v>189</v>
      </c>
      <c r="S1" s="9" t="s">
        <v>190</v>
      </c>
      <c r="T1" s="9" t="s">
        <v>191</v>
      </c>
      <c r="U1" s="9" t="s">
        <v>192</v>
      </c>
      <c r="V1" s="9" t="s">
        <v>193</v>
      </c>
      <c r="W1" t="s">
        <v>223</v>
      </c>
      <c r="X1" t="s">
        <v>224</v>
      </c>
      <c r="Y1" t="s">
        <v>225</v>
      </c>
      <c r="Z1" t="s">
        <v>226</v>
      </c>
      <c r="AA1" t="s">
        <v>227</v>
      </c>
      <c r="AB1" t="s">
        <v>228</v>
      </c>
      <c r="AC1" t="s">
        <v>229</v>
      </c>
      <c r="AD1" t="s">
        <v>230</v>
      </c>
      <c r="AE1" t="s">
        <v>231</v>
      </c>
      <c r="AF1" t="s">
        <v>232</v>
      </c>
      <c r="AG1" t="s">
        <v>233</v>
      </c>
      <c r="AH1" t="s">
        <v>234</v>
      </c>
      <c r="AI1" t="s">
        <v>235</v>
      </c>
    </row>
    <row r="2" spans="1:35" x14ac:dyDescent="0.15">
      <c r="A2" s="9">
        <v>1</v>
      </c>
      <c r="B2" s="9" t="s">
        <v>213</v>
      </c>
      <c r="C2" s="9">
        <v>1</v>
      </c>
      <c r="D2" s="9">
        <v>5</v>
      </c>
      <c r="E2" s="9">
        <v>15</v>
      </c>
      <c r="F2" s="9">
        <v>1</v>
      </c>
      <c r="G2" s="9">
        <v>58004</v>
      </c>
      <c r="H2" s="9" t="s">
        <v>215</v>
      </c>
      <c r="I2" s="9">
        <v>6000</v>
      </c>
      <c r="J2" s="9">
        <v>400</v>
      </c>
      <c r="K2" s="9">
        <v>200</v>
      </c>
      <c r="N2" s="9">
        <v>0</v>
      </c>
      <c r="O2" s="9">
        <v>10151.06</v>
      </c>
      <c r="S2" s="9">
        <v>200</v>
      </c>
      <c r="T2" s="9" t="s">
        <v>218</v>
      </c>
      <c r="V2" s="9">
        <v>1000</v>
      </c>
      <c r="W2" s="9">
        <v>11</v>
      </c>
      <c r="X2" s="9">
        <v>9113103</v>
      </c>
      <c r="Y2" s="9">
        <v>9121104</v>
      </c>
      <c r="Z2" s="9">
        <v>9121203</v>
      </c>
      <c r="AA2" s="9">
        <v>9121304</v>
      </c>
      <c r="AB2" s="9">
        <v>9121403</v>
      </c>
      <c r="AC2" s="9">
        <v>9114104</v>
      </c>
      <c r="AD2" s="9">
        <v>9122103</v>
      </c>
      <c r="AE2" s="9">
        <v>9122203</v>
      </c>
      <c r="AF2" s="9">
        <v>9122303</v>
      </c>
      <c r="AG2" s="9">
        <v>9122403</v>
      </c>
      <c r="AH2" s="9">
        <v>9115104</v>
      </c>
    </row>
    <row r="3" spans="1:35" x14ac:dyDescent="0.15">
      <c r="A3" s="9">
        <v>2</v>
      </c>
      <c r="B3" s="9" t="s">
        <v>212</v>
      </c>
      <c r="C3" s="9">
        <v>1</v>
      </c>
      <c r="D3" s="9">
        <v>5</v>
      </c>
      <c r="E3" s="9">
        <v>15</v>
      </c>
      <c r="F3" s="9">
        <v>2</v>
      </c>
      <c r="G3" s="9">
        <v>58104</v>
      </c>
      <c r="H3" s="9" t="s">
        <v>216</v>
      </c>
      <c r="I3" s="9">
        <v>6000</v>
      </c>
      <c r="J3" s="9">
        <v>400</v>
      </c>
      <c r="K3" s="9">
        <v>200</v>
      </c>
      <c r="N3" s="9">
        <v>0</v>
      </c>
      <c r="O3" s="9">
        <v>10151.06</v>
      </c>
      <c r="S3" s="9">
        <v>200</v>
      </c>
      <c r="T3" s="9" t="s">
        <v>219</v>
      </c>
      <c r="V3" s="9">
        <v>1000</v>
      </c>
      <c r="W3" s="9">
        <v>11</v>
      </c>
      <c r="X3" s="9">
        <v>9211102</v>
      </c>
      <c r="Y3" s="9">
        <v>9214103</v>
      </c>
      <c r="Z3" s="9">
        <v>9214204</v>
      </c>
      <c r="AA3" s="9">
        <v>9214303</v>
      </c>
      <c r="AB3" s="9">
        <v>9214402</v>
      </c>
      <c r="AC3" s="9">
        <v>9222102</v>
      </c>
      <c r="AD3" s="9">
        <v>9223104</v>
      </c>
      <c r="AE3" s="9">
        <v>9223202</v>
      </c>
      <c r="AF3" s="9">
        <v>9223304</v>
      </c>
      <c r="AG3" s="9">
        <v>9223404</v>
      </c>
      <c r="AH3" s="9">
        <v>9215102</v>
      </c>
    </row>
    <row r="4" spans="1:35" x14ac:dyDescent="0.15">
      <c r="A4" s="9">
        <v>3</v>
      </c>
      <c r="B4" s="9" t="s">
        <v>214</v>
      </c>
      <c r="C4" s="9">
        <v>1</v>
      </c>
      <c r="D4" s="9">
        <v>5</v>
      </c>
      <c r="E4" s="9">
        <v>15</v>
      </c>
      <c r="F4" s="9">
        <v>3</v>
      </c>
      <c r="G4" s="9">
        <v>58204</v>
      </c>
      <c r="H4" s="9" t="s">
        <v>217</v>
      </c>
      <c r="I4" s="9">
        <v>6000</v>
      </c>
      <c r="J4" s="9">
        <v>400</v>
      </c>
      <c r="K4" s="9">
        <v>200</v>
      </c>
      <c r="N4" s="9">
        <v>0</v>
      </c>
      <c r="O4" s="9">
        <v>10151.06</v>
      </c>
      <c r="S4" s="9">
        <v>200</v>
      </c>
      <c r="T4" s="9" t="s">
        <v>220</v>
      </c>
      <c r="V4" s="9">
        <v>1000</v>
      </c>
      <c r="W4" s="9">
        <v>8</v>
      </c>
      <c r="X4" s="9">
        <v>9323103</v>
      </c>
      <c r="Y4" s="9">
        <v>9324102</v>
      </c>
      <c r="Z4" s="9">
        <v>9324204</v>
      </c>
      <c r="AA4" s="9">
        <v>9324304</v>
      </c>
      <c r="AB4" s="9">
        <v>9324404</v>
      </c>
      <c r="AC4" s="9">
        <v>9312103</v>
      </c>
      <c r="AD4" s="9">
        <v>9311103</v>
      </c>
      <c r="AE4" s="9">
        <v>9315104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6"/>
  <sheetViews>
    <sheetView workbookViewId="0">
      <selection activeCell="B16" sqref="B16"/>
    </sheetView>
  </sheetViews>
  <sheetFormatPr defaultRowHeight="13.5" x14ac:dyDescent="0.15"/>
  <cols>
    <col min="2" max="2" width="16.375" customWidth="1"/>
    <col min="3" max="3" width="13.875" bestFit="1" customWidth="1"/>
    <col min="6" max="6" width="8.5" bestFit="1" customWidth="1"/>
    <col min="7" max="7" width="18.375" bestFit="1" customWidth="1"/>
    <col min="8" max="8" width="8.5" bestFit="1" customWidth="1"/>
    <col min="9" max="9" width="11.625" bestFit="1" customWidth="1"/>
    <col min="10" max="10" width="8.5" bestFit="1" customWidth="1"/>
    <col min="11" max="11" width="10.5" bestFit="1" customWidth="1"/>
    <col min="12" max="12" width="8.5" bestFit="1" customWidth="1"/>
    <col min="13" max="13" width="11.625" bestFit="1" customWidth="1"/>
    <col min="14" max="14" width="8.5" bestFit="1" customWidth="1"/>
    <col min="15" max="15" width="18.375" bestFit="1" customWidth="1"/>
    <col min="16" max="16" width="8.5" bestFit="1" customWidth="1"/>
    <col min="17" max="17" width="18.375" bestFit="1" customWidth="1"/>
    <col min="18" max="18" width="8.5" bestFit="1" customWidth="1"/>
    <col min="19" max="19" width="18.375" bestFit="1" customWidth="1"/>
    <col min="20" max="20" width="8.5" bestFit="1" customWidth="1"/>
    <col min="21" max="21" width="18.375" bestFit="1" customWidth="1"/>
    <col min="22" max="22" width="8.5" bestFit="1" customWidth="1"/>
    <col min="23" max="23" width="18.375" bestFit="1" customWidth="1"/>
    <col min="24" max="24" width="9.5" bestFit="1" customWidth="1"/>
    <col min="25" max="25" width="18.375" bestFit="1" customWidth="1"/>
    <col min="26" max="26" width="9.5" bestFit="1" customWidth="1"/>
    <col min="27" max="27" width="11.625" bestFit="1" customWidth="1"/>
    <col min="28" max="28" width="9.5" bestFit="1" customWidth="1"/>
    <col min="29" max="29" width="13.875" bestFit="1" customWidth="1"/>
  </cols>
  <sheetData>
    <row r="1" spans="1:29" x14ac:dyDescent="0.15">
      <c r="A1" s="7" t="s">
        <v>124</v>
      </c>
      <c r="B1" s="7" t="s">
        <v>171</v>
      </c>
      <c r="C1" s="7" t="s">
        <v>163</v>
      </c>
      <c r="D1" s="7" t="s">
        <v>125</v>
      </c>
      <c r="E1" s="8" t="s">
        <v>126</v>
      </c>
      <c r="F1" s="8" t="s">
        <v>127</v>
      </c>
      <c r="G1" s="8" t="s">
        <v>148</v>
      </c>
      <c r="H1" s="8" t="s">
        <v>128</v>
      </c>
      <c r="I1" s="8" t="s">
        <v>149</v>
      </c>
      <c r="J1" s="8" t="s">
        <v>129</v>
      </c>
      <c r="K1" s="8" t="s">
        <v>150</v>
      </c>
      <c r="L1" s="8" t="s">
        <v>130</v>
      </c>
      <c r="M1" s="8" t="s">
        <v>151</v>
      </c>
      <c r="N1" s="8" t="s">
        <v>131</v>
      </c>
      <c r="O1" s="8" t="s">
        <v>152</v>
      </c>
      <c r="P1" s="8" t="s">
        <v>132</v>
      </c>
      <c r="Q1" s="8" t="s">
        <v>153</v>
      </c>
      <c r="R1" s="8" t="s">
        <v>133</v>
      </c>
      <c r="S1" s="8" t="s">
        <v>154</v>
      </c>
      <c r="T1" s="8" t="s">
        <v>134</v>
      </c>
      <c r="U1" s="8" t="s">
        <v>155</v>
      </c>
      <c r="V1" s="8" t="s">
        <v>135</v>
      </c>
      <c r="W1" s="8" t="s">
        <v>156</v>
      </c>
      <c r="X1" s="8" t="s">
        <v>136</v>
      </c>
      <c r="Y1" s="8" t="s">
        <v>157</v>
      </c>
      <c r="Z1" s="8" t="s">
        <v>137</v>
      </c>
      <c r="AA1" s="8" t="s">
        <v>158</v>
      </c>
      <c r="AB1" s="8" t="s">
        <v>138</v>
      </c>
      <c r="AC1" s="8" t="s">
        <v>159</v>
      </c>
    </row>
    <row r="2" spans="1:29" x14ac:dyDescent="0.15">
      <c r="A2" s="7">
        <v>1</v>
      </c>
      <c r="B2" s="7">
        <v>-5</v>
      </c>
      <c r="C2" s="7">
        <v>-2</v>
      </c>
      <c r="D2" s="7">
        <v>1</v>
      </c>
      <c r="E2" s="7">
        <v>12</v>
      </c>
      <c r="F2" s="7">
        <v>1910</v>
      </c>
      <c r="G2" s="7" t="str">
        <f>VLOOKUP(F2,[1]D_地图数据!$A$2:$E$300,5,FALSE)</f>
        <v>英雄救美！</v>
      </c>
      <c r="H2" s="7">
        <v>1901</v>
      </c>
      <c r="I2" s="7" t="str">
        <f>VLOOKUP(H2,[1]D_地图数据!$A$2:$E$300,5,FALSE)</f>
        <v>百人斩！</v>
      </c>
      <c r="J2" s="7">
        <v>1911</v>
      </c>
      <c r="K2" s="7" t="str">
        <f>VLOOKUP(J2,[1]D_地图数据!$A$2:$E$300,5,FALSE)</f>
        <v>百人斩！</v>
      </c>
      <c r="L2" s="7">
        <v>1901</v>
      </c>
      <c r="M2" s="7" t="str">
        <f>VLOOKUP(L2,[1]D_地图数据!$A$2:$E$300,5,FALSE)</f>
        <v>百人斩！</v>
      </c>
      <c r="N2" s="7">
        <v>1909</v>
      </c>
      <c r="O2" s="7" t="str">
        <f>VLOOKUP(N2,[1]D_地图数据!$A$2:$E$300,5,FALSE)</f>
        <v>逃亡！</v>
      </c>
      <c r="P2" s="7">
        <v>1901</v>
      </c>
      <c r="Q2" s="7" t="str">
        <f>VLOOKUP(P2,[1]D_地图数据!$A$2:$E$300,5,FALSE)</f>
        <v>百人斩！</v>
      </c>
      <c r="R2" s="7">
        <v>1920</v>
      </c>
      <c r="S2" s="7" t="str">
        <f>VLOOKUP(R2,[1]D_地图数据!$A$2:$E$300,5,FALSE)</f>
        <v>陷阱！</v>
      </c>
      <c r="T2" s="7">
        <v>1912</v>
      </c>
      <c r="U2" s="7" t="str">
        <f>VLOOKUP(T2,[1]D_地图数据!$A$2:$E$300,5,FALSE)</f>
        <v>护送小结巴！</v>
      </c>
      <c r="V2" s="7">
        <v>1912</v>
      </c>
      <c r="W2" s="7" t="str">
        <f>VLOOKUP(V2,[1]D_地图数据!$A$2:$E$300,5,FALSE)</f>
        <v>护送小结巴！</v>
      </c>
      <c r="X2" s="7">
        <v>1901</v>
      </c>
      <c r="Y2" s="7" t="str">
        <f>VLOOKUP(X2,[1]D_地图数据!$A$2:$E$300,5,FALSE)</f>
        <v>百人斩！</v>
      </c>
      <c r="Z2" s="7">
        <v>1920</v>
      </c>
      <c r="AA2" s="7" t="str">
        <f>VLOOKUP(Z2,[1]D_地图数据!$A$2:$E$300,5,FALSE)</f>
        <v>陷阱！</v>
      </c>
      <c r="AB2" s="7">
        <v>1920</v>
      </c>
      <c r="AC2" s="7" t="str">
        <f>VLOOKUP(AB2,[1]D_地图数据!$A$2:$E$300,5,FALSE)</f>
        <v>陷阱！</v>
      </c>
    </row>
    <row r="3" spans="1:29" x14ac:dyDescent="0.15">
      <c r="A3" s="7">
        <v>2</v>
      </c>
      <c r="B3" s="7">
        <v>-4</v>
      </c>
      <c r="C3" s="7">
        <v>-1</v>
      </c>
      <c r="D3" s="7">
        <v>2</v>
      </c>
      <c r="E3" s="7">
        <v>12</v>
      </c>
      <c r="F3" s="7">
        <v>1902</v>
      </c>
      <c r="G3" s="7" t="str">
        <f>VLOOKUP(F3,[1]D_地图数据!$A$2:$E$300,5,FALSE)</f>
        <v>护送小结巴！</v>
      </c>
      <c r="H3" s="7">
        <v>1910</v>
      </c>
      <c r="I3" s="7" t="str">
        <f>VLOOKUP(H3,[1]D_地图数据!$A$2:$E$300,5,FALSE)</f>
        <v>英雄救美！</v>
      </c>
      <c r="J3" s="7">
        <v>1911</v>
      </c>
      <c r="K3" s="7" t="str">
        <f>VLOOKUP(J3,[1]D_地图数据!$A$2:$E$300,5,FALSE)</f>
        <v>百人斩！</v>
      </c>
      <c r="L3" s="7">
        <v>1912</v>
      </c>
      <c r="M3" s="7" t="str">
        <f>VLOOKUP(L3,[1]D_地图数据!$A$2:$E$300,5,FALSE)</f>
        <v>护送小结巴！</v>
      </c>
      <c r="N3" s="7">
        <v>1920</v>
      </c>
      <c r="O3" s="7" t="str">
        <f>VLOOKUP(N3,[1]D_地图数据!$A$2:$E$300,5,FALSE)</f>
        <v>陷阱！</v>
      </c>
      <c r="P3" s="7">
        <v>1919</v>
      </c>
      <c r="Q3" s="7" t="str">
        <f>VLOOKUP(P3,[1]D_地图数据!$A$2:$E$300,5,FALSE)</f>
        <v>逃亡！</v>
      </c>
      <c r="R3" s="7">
        <v>1920</v>
      </c>
      <c r="S3" s="7" t="str">
        <f>VLOOKUP(R3,[1]D_地图数据!$A$2:$E$300,5,FALSE)</f>
        <v>陷阱！</v>
      </c>
      <c r="T3" s="7">
        <v>1901</v>
      </c>
      <c r="U3" s="7" t="str">
        <f>VLOOKUP(T3,[1]D_地图数据!$A$2:$E$300,5,FALSE)</f>
        <v>百人斩！</v>
      </c>
      <c r="V3" s="7">
        <v>1902</v>
      </c>
      <c r="W3" s="7" t="str">
        <f>VLOOKUP(V3,[1]D_地图数据!$A$2:$E$300,5,FALSE)</f>
        <v>护送小结巴！</v>
      </c>
      <c r="X3" s="7">
        <v>1919</v>
      </c>
      <c r="Y3" s="7" t="str">
        <f>VLOOKUP(X3,[1]D_地图数据!$A$2:$E$300,5,FALSE)</f>
        <v>逃亡！</v>
      </c>
      <c r="Z3" s="7">
        <v>1920</v>
      </c>
      <c r="AA3" s="7" t="str">
        <f>VLOOKUP(Z3,[1]D_地图数据!$A$2:$E$300,5,FALSE)</f>
        <v>陷阱！</v>
      </c>
      <c r="AB3" s="7">
        <v>1920</v>
      </c>
      <c r="AC3" s="7" t="str">
        <f>VLOOKUP(AB3,[1]D_地图数据!$A$2:$E$300,5,FALSE)</f>
        <v>陷阱！</v>
      </c>
    </row>
    <row r="4" spans="1:29" x14ac:dyDescent="0.15">
      <c r="A4" s="7">
        <v>3</v>
      </c>
      <c r="B4" s="7">
        <v>-3</v>
      </c>
      <c r="C4" s="7">
        <v>0</v>
      </c>
      <c r="D4" s="7">
        <v>3</v>
      </c>
      <c r="E4" s="7">
        <v>12</v>
      </c>
      <c r="F4" s="7">
        <v>1903</v>
      </c>
      <c r="G4" s="7" t="str">
        <f>VLOOKUP(F4,[1]D_地图数据!$A$2:$E$300,5,FALSE)</f>
        <v>挑战：靓坤！</v>
      </c>
      <c r="H4" s="7">
        <v>1904</v>
      </c>
      <c r="I4" s="7" t="str">
        <f>VLOOKUP(H4,[1]D_地图数据!$A$2:$E$300,5,FALSE)</f>
        <v>挑战：乌鸦！</v>
      </c>
      <c r="J4" s="7">
        <v>1905</v>
      </c>
      <c r="K4" s="7" t="str">
        <f>VLOOKUP(J4,[1]D_地图数据!$A$2:$E$300,5,FALSE)</f>
        <v>挑战：司徒浩南！</v>
      </c>
      <c r="L4" s="7">
        <v>1906</v>
      </c>
      <c r="M4" s="7" t="str">
        <f>VLOOKUP(L4,[1]D_地图数据!$A$2:$E$300,5,FALSE)</f>
        <v>挑战：赌王！</v>
      </c>
      <c r="N4" s="7">
        <v>1907</v>
      </c>
      <c r="O4" s="7" t="str">
        <f>VLOOKUP(N4,[1]D_地图数据!$A$2:$E$300,5,FALSE)</f>
        <v>挑战：雷复轰！</v>
      </c>
      <c r="P4" s="7">
        <v>1908</v>
      </c>
      <c r="Q4" s="7" t="str">
        <f>VLOOKUP(P4,[1]D_地图数据!$A$2:$E$300,5,FALSE)</f>
        <v>挑战：杀手首领！</v>
      </c>
      <c r="R4" s="7">
        <v>1903</v>
      </c>
      <c r="S4" s="7" t="str">
        <f>VLOOKUP(R4,[1]D_地图数据!$A$2:$E$300,5,FALSE)</f>
        <v>挑战：靓坤！</v>
      </c>
      <c r="T4" s="7">
        <v>1905</v>
      </c>
      <c r="U4" s="7" t="str">
        <f>VLOOKUP(T4,[1]D_地图数据!$A$2:$E$300,5,FALSE)</f>
        <v>挑战：司徒浩南！</v>
      </c>
      <c r="V4" s="7">
        <v>1904</v>
      </c>
      <c r="W4" s="7" t="str">
        <f>VLOOKUP(V4,[1]D_地图数据!$A$2:$E$300,5,FALSE)</f>
        <v>挑战：乌鸦！</v>
      </c>
      <c r="X4" s="7">
        <v>1905</v>
      </c>
      <c r="Y4" s="7" t="str">
        <f>VLOOKUP(X4,[1]D_地图数据!$A$2:$E$300,5,FALSE)</f>
        <v>挑战：司徒浩南！</v>
      </c>
      <c r="Z4" s="7">
        <v>1906</v>
      </c>
      <c r="AA4" s="7" t="str">
        <f>VLOOKUP(Z4,[1]D_地图数据!$A$2:$E$300,5,FALSE)</f>
        <v>挑战：赌王！</v>
      </c>
      <c r="AB4" s="7">
        <v>1907</v>
      </c>
      <c r="AC4" s="7" t="str">
        <f>VLOOKUP(AB4,[1]D_地图数据!$A$2:$E$300,5,FALSE)</f>
        <v>挑战：雷复轰！</v>
      </c>
    </row>
    <row r="5" spans="1:29" x14ac:dyDescent="0.15">
      <c r="A5" s="7">
        <v>4</v>
      </c>
      <c r="B5" s="7">
        <v>-2</v>
      </c>
      <c r="C5" s="7">
        <v>1</v>
      </c>
      <c r="D5" s="7">
        <v>4</v>
      </c>
      <c r="E5" s="7">
        <v>12</v>
      </c>
      <c r="F5" s="7">
        <v>1901</v>
      </c>
      <c r="G5" s="7" t="str">
        <f>VLOOKUP(F5,[1]D_地图数据!$A$2:$E$300,5,FALSE)</f>
        <v>百人斩！</v>
      </c>
      <c r="H5" s="7">
        <v>1910</v>
      </c>
      <c r="I5" s="7" t="str">
        <f>VLOOKUP(H5,[1]D_地图数据!$A$2:$E$300,5,FALSE)</f>
        <v>英雄救美！</v>
      </c>
      <c r="J5" s="7">
        <v>1911</v>
      </c>
      <c r="K5" s="7" t="str">
        <f>VLOOKUP(J5,[1]D_地图数据!$A$2:$E$300,5,FALSE)</f>
        <v>百人斩！</v>
      </c>
      <c r="L5" s="7">
        <v>1901</v>
      </c>
      <c r="M5" s="7" t="str">
        <f>VLOOKUP(L5,[1]D_地图数据!$A$2:$E$300,5,FALSE)</f>
        <v>百人斩！</v>
      </c>
      <c r="N5" s="7">
        <v>1909</v>
      </c>
      <c r="O5" s="7" t="str">
        <f>VLOOKUP(N5,[1]D_地图数据!$A$2:$E$300,5,FALSE)</f>
        <v>逃亡！</v>
      </c>
      <c r="P5" s="7">
        <v>1901</v>
      </c>
      <c r="Q5" s="7" t="str">
        <f>VLOOKUP(P5,[1]D_地图数据!$A$2:$E$300,5,FALSE)</f>
        <v>百人斩！</v>
      </c>
      <c r="R5" s="7">
        <v>1920</v>
      </c>
      <c r="S5" s="7" t="str">
        <f>VLOOKUP(R5,[1]D_地图数据!$A$2:$E$300,5,FALSE)</f>
        <v>陷阱！</v>
      </c>
      <c r="T5" s="7">
        <v>1912</v>
      </c>
      <c r="U5" s="7" t="str">
        <f>VLOOKUP(T5,[1]D_地图数据!$A$2:$E$300,5,FALSE)</f>
        <v>护送小结巴！</v>
      </c>
      <c r="V5" s="7">
        <v>1912</v>
      </c>
      <c r="W5" s="7" t="str">
        <f>VLOOKUP(V5,[1]D_地图数据!$A$2:$E$300,5,FALSE)</f>
        <v>护送小结巴！</v>
      </c>
      <c r="X5" s="7">
        <v>1901</v>
      </c>
      <c r="Y5" s="7" t="str">
        <f>VLOOKUP(X5,[1]D_地图数据!$A$2:$E$300,5,FALSE)</f>
        <v>百人斩！</v>
      </c>
      <c r="Z5" s="7">
        <v>1920</v>
      </c>
      <c r="AA5" s="7" t="str">
        <f>VLOOKUP(Z5,[1]D_地图数据!$A$2:$E$300,5,FALSE)</f>
        <v>陷阱！</v>
      </c>
      <c r="AB5" s="7">
        <v>1920</v>
      </c>
      <c r="AC5" s="7" t="str">
        <f>VLOOKUP(AB5,[1]D_地图数据!$A$2:$E$300,5,FALSE)</f>
        <v>陷阱！</v>
      </c>
    </row>
    <row r="6" spans="1:29" x14ac:dyDescent="0.15">
      <c r="A6" s="7">
        <v>5</v>
      </c>
      <c r="B6" s="7">
        <v>-1</v>
      </c>
      <c r="C6" s="7">
        <v>2</v>
      </c>
      <c r="D6" s="7">
        <v>5</v>
      </c>
      <c r="E6" s="7">
        <v>12</v>
      </c>
      <c r="F6" s="7">
        <v>1902</v>
      </c>
      <c r="G6" s="7" t="str">
        <f>VLOOKUP(F6,[1]D_地图数据!$A$2:$E$300,5,FALSE)</f>
        <v>护送小结巴！</v>
      </c>
      <c r="H6" s="7">
        <v>1910</v>
      </c>
      <c r="I6" s="7" t="str">
        <f>VLOOKUP(H6,[1]D_地图数据!$A$2:$E$300,5,FALSE)</f>
        <v>英雄救美！</v>
      </c>
      <c r="J6" s="7">
        <v>1911</v>
      </c>
      <c r="K6" s="7" t="str">
        <f>VLOOKUP(J6,[1]D_地图数据!$A$2:$E$300,5,FALSE)</f>
        <v>百人斩！</v>
      </c>
      <c r="L6" s="7">
        <v>1912</v>
      </c>
      <c r="M6" s="7" t="str">
        <f>VLOOKUP(L6,[1]D_地图数据!$A$2:$E$300,5,FALSE)</f>
        <v>护送小结巴！</v>
      </c>
      <c r="N6" s="7">
        <v>1920</v>
      </c>
      <c r="O6" s="7" t="str">
        <f>VLOOKUP(N6,[1]D_地图数据!$A$2:$E$300,5,FALSE)</f>
        <v>陷阱！</v>
      </c>
      <c r="P6" s="7">
        <v>1919</v>
      </c>
      <c r="Q6" s="7" t="str">
        <f>VLOOKUP(P6,[1]D_地图数据!$A$2:$E$300,5,FALSE)</f>
        <v>逃亡！</v>
      </c>
      <c r="R6" s="7">
        <v>1920</v>
      </c>
      <c r="S6" s="7" t="str">
        <f>VLOOKUP(R6,[1]D_地图数据!$A$2:$E$300,5,FALSE)</f>
        <v>陷阱！</v>
      </c>
      <c r="T6" s="7">
        <v>1901</v>
      </c>
      <c r="U6" s="7" t="str">
        <f>VLOOKUP(T6,[1]D_地图数据!$A$2:$E$300,5,FALSE)</f>
        <v>百人斩！</v>
      </c>
      <c r="V6" s="7">
        <v>1902</v>
      </c>
      <c r="W6" s="7" t="str">
        <f>VLOOKUP(V6,[1]D_地图数据!$A$2:$E$300,5,FALSE)</f>
        <v>护送小结巴！</v>
      </c>
      <c r="X6" s="7">
        <v>1919</v>
      </c>
      <c r="Y6" s="7" t="str">
        <f>VLOOKUP(X6,[1]D_地图数据!$A$2:$E$300,5,FALSE)</f>
        <v>逃亡！</v>
      </c>
      <c r="Z6" s="7">
        <v>1920</v>
      </c>
      <c r="AA6" s="7" t="str">
        <f>VLOOKUP(Z6,[1]D_地图数据!$A$2:$E$300,5,FALSE)</f>
        <v>陷阱！</v>
      </c>
      <c r="AB6" s="7">
        <v>1920</v>
      </c>
      <c r="AC6" s="7" t="str">
        <f>VLOOKUP(AB6,[1]D_地图数据!$A$2:$E$300,5,FALSE)</f>
        <v>陷阱！</v>
      </c>
    </row>
    <row r="7" spans="1:29" x14ac:dyDescent="0.15">
      <c r="A7" s="7">
        <v>6</v>
      </c>
      <c r="B7" s="7">
        <v>0</v>
      </c>
      <c r="C7" s="7">
        <v>3</v>
      </c>
      <c r="D7" s="7">
        <v>6</v>
      </c>
      <c r="E7" s="7">
        <v>12</v>
      </c>
      <c r="F7" s="7">
        <v>1903</v>
      </c>
      <c r="G7" s="7" t="str">
        <f>VLOOKUP(F7,[1]D_地图数据!$A$2:$E$300,5,FALSE)</f>
        <v>挑战：靓坤！</v>
      </c>
      <c r="H7" s="7">
        <v>1904</v>
      </c>
      <c r="I7" s="7" t="str">
        <f>VLOOKUP(H7,[1]D_地图数据!$A$2:$E$300,5,FALSE)</f>
        <v>挑战：乌鸦！</v>
      </c>
      <c r="J7" s="7">
        <v>1905</v>
      </c>
      <c r="K7" s="7" t="str">
        <f>VLOOKUP(J7,[1]D_地图数据!$A$2:$E$300,5,FALSE)</f>
        <v>挑战：司徒浩南！</v>
      </c>
      <c r="L7" s="7">
        <v>1906</v>
      </c>
      <c r="M7" s="7" t="str">
        <f>VLOOKUP(L7,[1]D_地图数据!$A$2:$E$300,5,FALSE)</f>
        <v>挑战：赌王！</v>
      </c>
      <c r="N7" s="7">
        <v>1907</v>
      </c>
      <c r="O7" s="7" t="str">
        <f>VLOOKUP(N7,[1]D_地图数据!$A$2:$E$300,5,FALSE)</f>
        <v>挑战：雷复轰！</v>
      </c>
      <c r="P7" s="7">
        <v>1908</v>
      </c>
      <c r="Q7" s="7" t="str">
        <f>VLOOKUP(P7,[1]D_地图数据!$A$2:$E$300,5,FALSE)</f>
        <v>挑战：杀手首领！</v>
      </c>
      <c r="R7" s="7">
        <v>1903</v>
      </c>
      <c r="S7" s="7" t="str">
        <f>VLOOKUP(R7,[1]D_地图数据!$A$2:$E$300,5,FALSE)</f>
        <v>挑战：靓坤！</v>
      </c>
      <c r="T7" s="7">
        <v>1905</v>
      </c>
      <c r="U7" s="7" t="str">
        <f>VLOOKUP(T7,[1]D_地图数据!$A$2:$E$300,5,FALSE)</f>
        <v>挑战：司徒浩南！</v>
      </c>
      <c r="V7" s="7">
        <v>1904</v>
      </c>
      <c r="W7" s="7" t="str">
        <f>VLOOKUP(V7,[1]D_地图数据!$A$2:$E$300,5,FALSE)</f>
        <v>挑战：乌鸦！</v>
      </c>
      <c r="X7" s="7">
        <v>1905</v>
      </c>
      <c r="Y7" s="7" t="str">
        <f>VLOOKUP(X7,[1]D_地图数据!$A$2:$E$300,5,FALSE)</f>
        <v>挑战：司徒浩南！</v>
      </c>
      <c r="Z7" s="7">
        <v>1906</v>
      </c>
      <c r="AA7" s="7" t="str">
        <f>VLOOKUP(Z7,[1]D_地图数据!$A$2:$E$300,5,FALSE)</f>
        <v>挑战：赌王！</v>
      </c>
      <c r="AB7" s="7">
        <v>1907</v>
      </c>
      <c r="AC7" s="7" t="str">
        <f>VLOOKUP(AB7,[1]D_地图数据!$A$2:$E$300,5,FALSE)</f>
        <v>挑战：雷复轰！</v>
      </c>
    </row>
    <row r="8" spans="1:29" x14ac:dyDescent="0.15">
      <c r="A8" s="7">
        <v>7</v>
      </c>
      <c r="B8" s="7">
        <v>1</v>
      </c>
      <c r="C8" s="7">
        <v>3</v>
      </c>
      <c r="D8" s="7">
        <v>7</v>
      </c>
      <c r="E8" s="7">
        <v>12</v>
      </c>
      <c r="F8" s="7">
        <v>1901</v>
      </c>
      <c r="G8" s="7" t="str">
        <f>VLOOKUP(F8,[1]D_地图数据!$A$2:$E$300,5,FALSE)</f>
        <v>百人斩！</v>
      </c>
      <c r="H8" s="7">
        <v>1910</v>
      </c>
      <c r="I8" s="7" t="str">
        <f>VLOOKUP(H8,[1]D_地图数据!$A$2:$E$300,5,FALSE)</f>
        <v>英雄救美！</v>
      </c>
      <c r="J8" s="7">
        <v>1911</v>
      </c>
      <c r="K8" s="7" t="str">
        <f>VLOOKUP(J8,[1]D_地图数据!$A$2:$E$300,5,FALSE)</f>
        <v>百人斩！</v>
      </c>
      <c r="L8" s="7">
        <v>1901</v>
      </c>
      <c r="M8" s="7" t="str">
        <f>VLOOKUP(L8,[1]D_地图数据!$A$2:$E$300,5,FALSE)</f>
        <v>百人斩！</v>
      </c>
      <c r="N8" s="7">
        <v>1909</v>
      </c>
      <c r="O8" s="7" t="str">
        <f>VLOOKUP(N8,[1]D_地图数据!$A$2:$E$300,5,FALSE)</f>
        <v>逃亡！</v>
      </c>
      <c r="P8" s="7">
        <v>1901</v>
      </c>
      <c r="Q8" s="7" t="str">
        <f>VLOOKUP(P8,[1]D_地图数据!$A$2:$E$300,5,FALSE)</f>
        <v>百人斩！</v>
      </c>
      <c r="R8" s="7">
        <v>1920</v>
      </c>
      <c r="S8" s="7" t="str">
        <f>VLOOKUP(R8,[1]D_地图数据!$A$2:$E$300,5,FALSE)</f>
        <v>陷阱！</v>
      </c>
      <c r="T8" s="7">
        <v>1912</v>
      </c>
      <c r="U8" s="7" t="str">
        <f>VLOOKUP(T8,[1]D_地图数据!$A$2:$E$300,5,FALSE)</f>
        <v>护送小结巴！</v>
      </c>
      <c r="V8" s="7">
        <v>1912</v>
      </c>
      <c r="W8" s="7" t="str">
        <f>VLOOKUP(V8,[1]D_地图数据!$A$2:$E$300,5,FALSE)</f>
        <v>护送小结巴！</v>
      </c>
      <c r="X8" s="7">
        <v>1901</v>
      </c>
      <c r="Y8" s="7" t="str">
        <f>VLOOKUP(X8,[1]D_地图数据!$A$2:$E$300,5,FALSE)</f>
        <v>百人斩！</v>
      </c>
      <c r="Z8" s="7">
        <v>1920</v>
      </c>
      <c r="AA8" s="7" t="str">
        <f>VLOOKUP(Z8,[1]D_地图数据!$A$2:$E$300,5,FALSE)</f>
        <v>陷阱！</v>
      </c>
      <c r="AB8" s="7">
        <v>1920</v>
      </c>
      <c r="AC8" s="7" t="str">
        <f>VLOOKUP(AB8,[1]D_地图数据!$A$2:$E$300,5,FALSE)</f>
        <v>陷阱！</v>
      </c>
    </row>
    <row r="9" spans="1:29" x14ac:dyDescent="0.15">
      <c r="A9" s="7">
        <v>8</v>
      </c>
      <c r="B9" s="7">
        <v>2</v>
      </c>
      <c r="C9" s="7">
        <v>4</v>
      </c>
      <c r="D9" s="7">
        <v>8</v>
      </c>
      <c r="E9" s="7">
        <v>12</v>
      </c>
      <c r="F9" s="7">
        <v>1902</v>
      </c>
      <c r="G9" s="7" t="str">
        <f>VLOOKUP(F9,[1]D_地图数据!$A$2:$E$300,5,FALSE)</f>
        <v>护送小结巴！</v>
      </c>
      <c r="H9" s="7">
        <v>1910</v>
      </c>
      <c r="I9" s="7" t="str">
        <f>VLOOKUP(H9,[1]D_地图数据!$A$2:$E$300,5,FALSE)</f>
        <v>英雄救美！</v>
      </c>
      <c r="J9" s="7">
        <v>1911</v>
      </c>
      <c r="K9" s="7" t="str">
        <f>VLOOKUP(J9,[1]D_地图数据!$A$2:$E$300,5,FALSE)</f>
        <v>百人斩！</v>
      </c>
      <c r="L9" s="7">
        <v>1912</v>
      </c>
      <c r="M9" s="7" t="str">
        <f>VLOOKUP(L9,[1]D_地图数据!$A$2:$E$300,5,FALSE)</f>
        <v>护送小结巴！</v>
      </c>
      <c r="N9" s="7">
        <v>1920</v>
      </c>
      <c r="O9" s="7" t="str">
        <f>VLOOKUP(N9,[1]D_地图数据!$A$2:$E$300,5,FALSE)</f>
        <v>陷阱！</v>
      </c>
      <c r="P9" s="7">
        <v>1919</v>
      </c>
      <c r="Q9" s="7" t="str">
        <f>VLOOKUP(P9,[1]D_地图数据!$A$2:$E$300,5,FALSE)</f>
        <v>逃亡！</v>
      </c>
      <c r="R9" s="7">
        <v>1920</v>
      </c>
      <c r="S9" s="7" t="str">
        <f>VLOOKUP(R9,[1]D_地图数据!$A$2:$E$300,5,FALSE)</f>
        <v>陷阱！</v>
      </c>
      <c r="T9" s="7">
        <v>1901</v>
      </c>
      <c r="U9" s="7" t="str">
        <f>VLOOKUP(T9,[1]D_地图数据!$A$2:$E$300,5,FALSE)</f>
        <v>百人斩！</v>
      </c>
      <c r="V9" s="7">
        <v>1902</v>
      </c>
      <c r="W9" s="7" t="str">
        <f>VLOOKUP(V9,[1]D_地图数据!$A$2:$E$300,5,FALSE)</f>
        <v>护送小结巴！</v>
      </c>
      <c r="X9" s="7">
        <v>1919</v>
      </c>
      <c r="Y9" s="7" t="str">
        <f>VLOOKUP(X9,[1]D_地图数据!$A$2:$E$300,5,FALSE)</f>
        <v>逃亡！</v>
      </c>
      <c r="Z9" s="7">
        <v>1920</v>
      </c>
      <c r="AA9" s="7" t="str">
        <f>VLOOKUP(Z9,[1]D_地图数据!$A$2:$E$300,5,FALSE)</f>
        <v>陷阱！</v>
      </c>
      <c r="AB9" s="7">
        <v>1920</v>
      </c>
      <c r="AC9" s="7" t="str">
        <f>VLOOKUP(AB9,[1]D_地图数据!$A$2:$E$300,5,FALSE)</f>
        <v>陷阱！</v>
      </c>
    </row>
    <row r="10" spans="1:29" x14ac:dyDescent="0.15">
      <c r="A10" s="7">
        <v>9</v>
      </c>
      <c r="B10" s="7">
        <v>4</v>
      </c>
      <c r="C10" s="7">
        <v>4</v>
      </c>
      <c r="D10" s="7">
        <v>9</v>
      </c>
      <c r="E10" s="7">
        <v>12</v>
      </c>
      <c r="F10" s="7">
        <v>1903</v>
      </c>
      <c r="G10" s="7" t="str">
        <f>VLOOKUP(F10,[1]D_地图数据!$A$2:$E$300,5,FALSE)</f>
        <v>挑战：靓坤！</v>
      </c>
      <c r="H10" s="7">
        <v>1904</v>
      </c>
      <c r="I10" s="7" t="str">
        <f>VLOOKUP(H10,[1]D_地图数据!$A$2:$E$300,5,FALSE)</f>
        <v>挑战：乌鸦！</v>
      </c>
      <c r="J10" s="7">
        <v>1905</v>
      </c>
      <c r="K10" s="7" t="str">
        <f>VLOOKUP(J10,[1]D_地图数据!$A$2:$E$300,5,FALSE)</f>
        <v>挑战：司徒浩南！</v>
      </c>
      <c r="L10" s="7">
        <v>1906</v>
      </c>
      <c r="M10" s="7" t="str">
        <f>VLOOKUP(L10,[1]D_地图数据!$A$2:$E$300,5,FALSE)</f>
        <v>挑战：赌王！</v>
      </c>
      <c r="N10" s="7">
        <v>1907</v>
      </c>
      <c r="O10" s="7" t="str">
        <f>VLOOKUP(N10,[1]D_地图数据!$A$2:$E$300,5,FALSE)</f>
        <v>挑战：雷复轰！</v>
      </c>
      <c r="P10" s="7">
        <v>1908</v>
      </c>
      <c r="Q10" s="7" t="str">
        <f>VLOOKUP(P10,[1]D_地图数据!$A$2:$E$300,5,FALSE)</f>
        <v>挑战：杀手首领！</v>
      </c>
      <c r="R10" s="7">
        <v>1903</v>
      </c>
      <c r="S10" s="7" t="str">
        <f>VLOOKUP(R10,[1]D_地图数据!$A$2:$E$300,5,FALSE)</f>
        <v>挑战：靓坤！</v>
      </c>
      <c r="T10" s="7">
        <v>1905</v>
      </c>
      <c r="U10" s="7" t="str">
        <f>VLOOKUP(T10,[1]D_地图数据!$A$2:$E$300,5,FALSE)</f>
        <v>挑战：司徒浩南！</v>
      </c>
      <c r="V10" s="7">
        <v>1904</v>
      </c>
      <c r="W10" s="7" t="str">
        <f>VLOOKUP(V10,[1]D_地图数据!$A$2:$E$300,5,FALSE)</f>
        <v>挑战：乌鸦！</v>
      </c>
      <c r="X10" s="7">
        <v>1905</v>
      </c>
      <c r="Y10" s="7" t="str">
        <f>VLOOKUP(X10,[1]D_地图数据!$A$2:$E$300,5,FALSE)</f>
        <v>挑战：司徒浩南！</v>
      </c>
      <c r="Z10" s="7">
        <v>1906</v>
      </c>
      <c r="AA10" s="7" t="str">
        <f>VLOOKUP(Z10,[1]D_地图数据!$A$2:$E$300,5,FALSE)</f>
        <v>挑战：赌王！</v>
      </c>
      <c r="AB10" s="7">
        <v>1907</v>
      </c>
      <c r="AC10" s="7" t="str">
        <f>VLOOKUP(AB10,[1]D_地图数据!$A$2:$E$300,5,FALSE)</f>
        <v>挑战：雷复轰！</v>
      </c>
    </row>
    <row r="11" spans="1:29" x14ac:dyDescent="0.15">
      <c r="A11" s="7">
        <v>10</v>
      </c>
      <c r="B11" s="7">
        <v>5</v>
      </c>
      <c r="C11" s="7">
        <v>5</v>
      </c>
      <c r="D11" s="7">
        <v>10</v>
      </c>
      <c r="E11" s="7">
        <v>12</v>
      </c>
      <c r="F11" s="7">
        <v>1901</v>
      </c>
      <c r="G11" s="7" t="str">
        <f>VLOOKUP(F11,[1]D_地图数据!$A$2:$E$300,5,FALSE)</f>
        <v>百人斩！</v>
      </c>
      <c r="H11" s="7">
        <v>1910</v>
      </c>
      <c r="I11" s="7" t="str">
        <f>VLOOKUP(H11,[1]D_地图数据!$A$2:$E$300,5,FALSE)</f>
        <v>英雄救美！</v>
      </c>
      <c r="J11" s="7">
        <v>1911</v>
      </c>
      <c r="K11" s="7" t="str">
        <f>VLOOKUP(J11,[1]D_地图数据!$A$2:$E$300,5,FALSE)</f>
        <v>百人斩！</v>
      </c>
      <c r="L11" s="7">
        <v>1901</v>
      </c>
      <c r="M11" s="7" t="str">
        <f>VLOOKUP(L11,[1]D_地图数据!$A$2:$E$300,5,FALSE)</f>
        <v>百人斩！</v>
      </c>
      <c r="N11" s="7">
        <v>1909</v>
      </c>
      <c r="O11" s="7" t="str">
        <f>VLOOKUP(N11,[1]D_地图数据!$A$2:$E$300,5,FALSE)</f>
        <v>逃亡！</v>
      </c>
      <c r="P11" s="7">
        <v>1901</v>
      </c>
      <c r="Q11" s="7" t="str">
        <f>VLOOKUP(P11,[1]D_地图数据!$A$2:$E$300,5,FALSE)</f>
        <v>百人斩！</v>
      </c>
      <c r="R11" s="7">
        <v>1920</v>
      </c>
      <c r="S11" s="7" t="str">
        <f>VLOOKUP(R11,[1]D_地图数据!$A$2:$E$300,5,FALSE)</f>
        <v>陷阱！</v>
      </c>
      <c r="T11" s="7">
        <v>1912</v>
      </c>
      <c r="U11" s="7" t="str">
        <f>VLOOKUP(T11,[1]D_地图数据!$A$2:$E$300,5,FALSE)</f>
        <v>护送小结巴！</v>
      </c>
      <c r="V11" s="7">
        <v>1912</v>
      </c>
      <c r="W11" s="7" t="str">
        <f>VLOOKUP(V11,[1]D_地图数据!$A$2:$E$300,5,FALSE)</f>
        <v>护送小结巴！</v>
      </c>
      <c r="X11" s="7">
        <v>1901</v>
      </c>
      <c r="Y11" s="7" t="str">
        <f>VLOOKUP(X11,[1]D_地图数据!$A$2:$E$300,5,FALSE)</f>
        <v>百人斩！</v>
      </c>
      <c r="Z11" s="7">
        <v>1920</v>
      </c>
      <c r="AA11" s="7" t="str">
        <f>VLOOKUP(Z11,[1]D_地图数据!$A$2:$E$300,5,FALSE)</f>
        <v>陷阱！</v>
      </c>
      <c r="AB11" s="7">
        <v>1920</v>
      </c>
      <c r="AC11" s="7" t="str">
        <f>VLOOKUP(AB11,[1]D_地图数据!$A$2:$E$300,5,FALSE)</f>
        <v>陷阱！</v>
      </c>
    </row>
    <row r="12" spans="1:29" x14ac:dyDescent="0.15">
      <c r="A12" s="7">
        <v>11</v>
      </c>
      <c r="B12" s="7">
        <v>6</v>
      </c>
      <c r="C12" s="7">
        <v>5</v>
      </c>
      <c r="D12" s="7">
        <v>11</v>
      </c>
      <c r="E12" s="7">
        <v>12</v>
      </c>
      <c r="F12" s="7">
        <v>1902</v>
      </c>
      <c r="G12" s="7" t="str">
        <f>VLOOKUP(F12,[1]D_地图数据!$A$2:$E$300,5,FALSE)</f>
        <v>护送小结巴！</v>
      </c>
      <c r="H12" s="7">
        <v>1910</v>
      </c>
      <c r="I12" s="7" t="str">
        <f>VLOOKUP(H12,[1]D_地图数据!$A$2:$E$300,5,FALSE)</f>
        <v>英雄救美！</v>
      </c>
      <c r="J12" s="7">
        <v>1911</v>
      </c>
      <c r="K12" s="7" t="str">
        <f>VLOOKUP(J12,[1]D_地图数据!$A$2:$E$300,5,FALSE)</f>
        <v>百人斩！</v>
      </c>
      <c r="L12" s="7">
        <v>1912</v>
      </c>
      <c r="M12" s="7" t="str">
        <f>VLOOKUP(L12,[1]D_地图数据!$A$2:$E$300,5,FALSE)</f>
        <v>护送小结巴！</v>
      </c>
      <c r="N12" s="7">
        <v>1920</v>
      </c>
      <c r="O12" s="7" t="str">
        <f>VLOOKUP(N12,[1]D_地图数据!$A$2:$E$300,5,FALSE)</f>
        <v>陷阱！</v>
      </c>
      <c r="P12" s="7">
        <v>1919</v>
      </c>
      <c r="Q12" s="7" t="str">
        <f>VLOOKUP(P12,[1]D_地图数据!$A$2:$E$300,5,FALSE)</f>
        <v>逃亡！</v>
      </c>
      <c r="R12" s="7">
        <v>1920</v>
      </c>
      <c r="S12" s="7" t="str">
        <f>VLOOKUP(R12,[1]D_地图数据!$A$2:$E$300,5,FALSE)</f>
        <v>陷阱！</v>
      </c>
      <c r="T12" s="7">
        <v>1901</v>
      </c>
      <c r="U12" s="7" t="str">
        <f>VLOOKUP(T12,[1]D_地图数据!$A$2:$E$300,5,FALSE)</f>
        <v>百人斩！</v>
      </c>
      <c r="V12" s="7">
        <v>1902</v>
      </c>
      <c r="W12" s="7" t="str">
        <f>VLOOKUP(V12,[1]D_地图数据!$A$2:$E$300,5,FALSE)</f>
        <v>护送小结巴！</v>
      </c>
      <c r="X12" s="7">
        <v>1919</v>
      </c>
      <c r="Y12" s="7" t="str">
        <f>VLOOKUP(X12,[1]D_地图数据!$A$2:$E$300,5,FALSE)</f>
        <v>逃亡！</v>
      </c>
      <c r="Z12" s="7">
        <v>1920</v>
      </c>
      <c r="AA12" s="7" t="str">
        <f>VLOOKUP(Z12,[1]D_地图数据!$A$2:$E$300,5,FALSE)</f>
        <v>陷阱！</v>
      </c>
      <c r="AB12" s="7">
        <v>1920</v>
      </c>
      <c r="AC12" s="7" t="str">
        <f>VLOOKUP(AB12,[1]D_地图数据!$A$2:$E$300,5,FALSE)</f>
        <v>陷阱！</v>
      </c>
    </row>
    <row r="13" spans="1:29" x14ac:dyDescent="0.15">
      <c r="A13" s="7">
        <v>12</v>
      </c>
      <c r="B13" s="7">
        <v>9</v>
      </c>
      <c r="C13" s="7">
        <v>6</v>
      </c>
      <c r="D13" s="7">
        <v>12</v>
      </c>
      <c r="E13" s="7">
        <v>12</v>
      </c>
      <c r="F13" s="7">
        <v>1905</v>
      </c>
      <c r="G13" s="7" t="str">
        <f>VLOOKUP(F13,[1]D_地图数据!$A$2:$E$300,5,FALSE)</f>
        <v>挑战：司徒浩南！</v>
      </c>
      <c r="H13" s="7">
        <v>1906</v>
      </c>
      <c r="I13" s="7" t="str">
        <f>VLOOKUP(H13,[1]D_地图数据!$A$2:$E$300,5,FALSE)</f>
        <v>挑战：赌王！</v>
      </c>
      <c r="J13" s="7">
        <v>1905</v>
      </c>
      <c r="K13" s="7" t="str">
        <f>VLOOKUP(J13,[1]D_地图数据!$A$2:$E$300,5,FALSE)</f>
        <v>挑战：司徒浩南！</v>
      </c>
      <c r="L13" s="7">
        <v>1906</v>
      </c>
      <c r="M13" s="7" t="str">
        <f>VLOOKUP(L13,[1]D_地图数据!$A$2:$E$300,5,FALSE)</f>
        <v>挑战：赌王！</v>
      </c>
      <c r="N13" s="7">
        <v>1907</v>
      </c>
      <c r="O13" s="7" t="str">
        <f>VLOOKUP(N13,[1]D_地图数据!$A$2:$E$300,5,FALSE)</f>
        <v>挑战：雷复轰！</v>
      </c>
      <c r="P13" s="7">
        <v>1908</v>
      </c>
      <c r="Q13" s="7" t="str">
        <f>VLOOKUP(P13,[1]D_地图数据!$A$2:$E$300,5,FALSE)</f>
        <v>挑战：杀手首领！</v>
      </c>
      <c r="R13" s="7">
        <v>1903</v>
      </c>
      <c r="S13" s="7" t="str">
        <f>VLOOKUP(R13,[1]D_地图数据!$A$2:$E$300,5,FALSE)</f>
        <v>挑战：靓坤！</v>
      </c>
      <c r="T13" s="7">
        <v>1905</v>
      </c>
      <c r="U13" s="7" t="str">
        <f>VLOOKUP(T13,[1]D_地图数据!$A$2:$E$300,5,FALSE)</f>
        <v>挑战：司徒浩南！</v>
      </c>
      <c r="V13" s="7">
        <v>1904</v>
      </c>
      <c r="W13" s="7" t="str">
        <f>VLOOKUP(V13,[1]D_地图数据!$A$2:$E$300,5,FALSE)</f>
        <v>挑战：乌鸦！</v>
      </c>
      <c r="X13" s="7">
        <v>1905</v>
      </c>
      <c r="Y13" s="7" t="str">
        <f>VLOOKUP(X13,[1]D_地图数据!$A$2:$E$300,5,FALSE)</f>
        <v>挑战：司徒浩南！</v>
      </c>
      <c r="Z13" s="7">
        <v>1906</v>
      </c>
      <c r="AA13" s="7" t="str">
        <f>VLOOKUP(Z13,[1]D_地图数据!$A$2:$E$300,5,FALSE)</f>
        <v>挑战：赌王！</v>
      </c>
      <c r="AB13" s="7">
        <v>1907</v>
      </c>
      <c r="AC13" s="7" t="str">
        <f>VLOOKUP(AB13,[1]D_地图数据!$A$2:$E$300,5,FALSE)</f>
        <v>挑战：雷复轰！</v>
      </c>
    </row>
    <row r="14" spans="1:29" x14ac:dyDescent="0.15">
      <c r="A14" s="7">
        <v>13</v>
      </c>
      <c r="B14" s="7">
        <v>10</v>
      </c>
      <c r="C14" s="7">
        <v>6</v>
      </c>
      <c r="D14" s="7">
        <v>13</v>
      </c>
      <c r="E14" s="7">
        <v>12</v>
      </c>
      <c r="F14" s="7">
        <v>1920</v>
      </c>
      <c r="G14" s="7" t="str">
        <f>VLOOKUP(F14,[1]D_地图数据!$A$2:$E$300,5,FALSE)</f>
        <v>陷阱！</v>
      </c>
      <c r="H14" s="7">
        <v>1910</v>
      </c>
      <c r="I14" s="7" t="str">
        <f>VLOOKUP(H14,[1]D_地图数据!$A$2:$E$300,5,FALSE)</f>
        <v>英雄救美！</v>
      </c>
      <c r="J14" s="7">
        <v>1911</v>
      </c>
      <c r="K14" s="7" t="str">
        <f>VLOOKUP(J14,[1]D_地图数据!$A$2:$E$300,5,FALSE)</f>
        <v>百人斩！</v>
      </c>
      <c r="L14" s="7">
        <v>1901</v>
      </c>
      <c r="M14" s="7" t="str">
        <f>VLOOKUP(L14,[1]D_地图数据!$A$2:$E$300,5,FALSE)</f>
        <v>百人斩！</v>
      </c>
      <c r="N14" s="7">
        <v>1909</v>
      </c>
      <c r="O14" s="7" t="str">
        <f>VLOOKUP(N14,[1]D_地图数据!$A$2:$E$300,5,FALSE)</f>
        <v>逃亡！</v>
      </c>
      <c r="P14" s="7">
        <v>1901</v>
      </c>
      <c r="Q14" s="7" t="str">
        <f>VLOOKUP(P14,[1]D_地图数据!$A$2:$E$300,5,FALSE)</f>
        <v>百人斩！</v>
      </c>
      <c r="R14" s="7">
        <v>1920</v>
      </c>
      <c r="S14" s="7" t="str">
        <f>VLOOKUP(R14,[1]D_地图数据!$A$2:$E$300,5,FALSE)</f>
        <v>陷阱！</v>
      </c>
      <c r="T14" s="7">
        <v>1912</v>
      </c>
      <c r="U14" s="7" t="str">
        <f>VLOOKUP(T14,[1]D_地图数据!$A$2:$E$300,5,FALSE)</f>
        <v>护送小结巴！</v>
      </c>
      <c r="V14" s="7">
        <v>1912</v>
      </c>
      <c r="W14" s="7" t="str">
        <f>VLOOKUP(V14,[1]D_地图数据!$A$2:$E$300,5,FALSE)</f>
        <v>护送小结巴！</v>
      </c>
      <c r="X14" s="7">
        <v>1901</v>
      </c>
      <c r="Y14" s="7" t="str">
        <f>VLOOKUP(X14,[1]D_地图数据!$A$2:$E$300,5,FALSE)</f>
        <v>百人斩！</v>
      </c>
      <c r="Z14" s="7">
        <v>1920</v>
      </c>
      <c r="AA14" s="7" t="str">
        <f>VLOOKUP(Z14,[1]D_地图数据!$A$2:$E$300,5,FALSE)</f>
        <v>陷阱！</v>
      </c>
      <c r="AB14" s="7">
        <v>1920</v>
      </c>
      <c r="AC14" s="7" t="str">
        <f>VLOOKUP(AB14,[1]D_地图数据!$A$2:$E$300,5,FALSE)</f>
        <v>陷阱！</v>
      </c>
    </row>
    <row r="15" spans="1:29" x14ac:dyDescent="0.15">
      <c r="A15" s="7">
        <v>14</v>
      </c>
      <c r="B15" s="7">
        <v>11</v>
      </c>
      <c r="C15" s="7">
        <v>7</v>
      </c>
      <c r="D15" s="7">
        <v>14</v>
      </c>
      <c r="E15" s="7">
        <v>12</v>
      </c>
      <c r="F15" s="7">
        <v>1901</v>
      </c>
      <c r="G15" s="7" t="str">
        <f>VLOOKUP(F15,[1]D_地图数据!$A$2:$E$300,5,FALSE)</f>
        <v>百人斩！</v>
      </c>
      <c r="H15" s="7">
        <v>1910</v>
      </c>
      <c r="I15" s="7" t="str">
        <f>VLOOKUP(H15,[1]D_地图数据!$A$2:$E$300,5,FALSE)</f>
        <v>英雄救美！</v>
      </c>
      <c r="J15" s="7">
        <v>1911</v>
      </c>
      <c r="K15" s="7" t="str">
        <f>VLOOKUP(J15,[1]D_地图数据!$A$2:$E$300,5,FALSE)</f>
        <v>百人斩！</v>
      </c>
      <c r="L15" s="7">
        <v>1912</v>
      </c>
      <c r="M15" s="7" t="str">
        <f>VLOOKUP(L15,[1]D_地图数据!$A$2:$E$300,5,FALSE)</f>
        <v>护送小结巴！</v>
      </c>
      <c r="N15" s="7">
        <v>1920</v>
      </c>
      <c r="O15" s="7" t="str">
        <f>VLOOKUP(N15,[1]D_地图数据!$A$2:$E$300,5,FALSE)</f>
        <v>陷阱！</v>
      </c>
      <c r="P15" s="7">
        <v>1919</v>
      </c>
      <c r="Q15" s="7" t="str">
        <f>VLOOKUP(P15,[1]D_地图数据!$A$2:$E$300,5,FALSE)</f>
        <v>逃亡！</v>
      </c>
      <c r="R15" s="7">
        <v>1920</v>
      </c>
      <c r="S15" s="7" t="str">
        <f>VLOOKUP(R15,[1]D_地图数据!$A$2:$E$300,5,FALSE)</f>
        <v>陷阱！</v>
      </c>
      <c r="T15" s="7">
        <v>1901</v>
      </c>
      <c r="U15" s="7" t="str">
        <f>VLOOKUP(T15,[1]D_地图数据!$A$2:$E$300,5,FALSE)</f>
        <v>百人斩！</v>
      </c>
      <c r="V15" s="7">
        <v>1902</v>
      </c>
      <c r="W15" s="7" t="str">
        <f>VLOOKUP(V15,[1]D_地图数据!$A$2:$E$300,5,FALSE)</f>
        <v>护送小结巴！</v>
      </c>
      <c r="X15" s="7">
        <v>1919</v>
      </c>
      <c r="Y15" s="7" t="str">
        <f>VLOOKUP(X15,[1]D_地图数据!$A$2:$E$300,5,FALSE)</f>
        <v>逃亡！</v>
      </c>
      <c r="Z15" s="7">
        <v>1920</v>
      </c>
      <c r="AA15" s="7" t="str">
        <f>VLOOKUP(Z15,[1]D_地图数据!$A$2:$E$300,5,FALSE)</f>
        <v>陷阱！</v>
      </c>
      <c r="AB15" s="7">
        <v>1920</v>
      </c>
      <c r="AC15" s="7" t="str">
        <f>VLOOKUP(AB15,[1]D_地图数据!$A$2:$E$300,5,FALSE)</f>
        <v>陷阱！</v>
      </c>
    </row>
    <row r="16" spans="1:29" x14ac:dyDescent="0.15">
      <c r="A16" s="7">
        <v>15</v>
      </c>
      <c r="B16" s="7">
        <v>12</v>
      </c>
      <c r="C16" s="7">
        <v>8</v>
      </c>
      <c r="D16" s="7">
        <v>15</v>
      </c>
      <c r="E16" s="7">
        <v>12</v>
      </c>
      <c r="F16" s="7">
        <v>1908</v>
      </c>
      <c r="G16" s="7" t="str">
        <f>VLOOKUP(F16,[1]D_地图数据!$A$2:$E$300,5,FALSE)</f>
        <v>挑战：杀手首领！</v>
      </c>
      <c r="H16" s="7">
        <v>1904</v>
      </c>
      <c r="I16" s="7" t="str">
        <f>VLOOKUP(H16,[1]D_地图数据!$A$2:$E$300,5,FALSE)</f>
        <v>挑战：乌鸦！</v>
      </c>
      <c r="J16" s="7">
        <v>1905</v>
      </c>
      <c r="K16" s="7" t="str">
        <f>VLOOKUP(J16,[1]D_地图数据!$A$2:$E$300,5,FALSE)</f>
        <v>挑战：司徒浩南！</v>
      </c>
      <c r="L16" s="7">
        <v>1906</v>
      </c>
      <c r="M16" s="7" t="str">
        <f>VLOOKUP(L16,[1]D_地图数据!$A$2:$E$300,5,FALSE)</f>
        <v>挑战：赌王！</v>
      </c>
      <c r="N16" s="7">
        <v>1907</v>
      </c>
      <c r="O16" s="7" t="str">
        <f>VLOOKUP(N16,[1]D_地图数据!$A$2:$E$300,5,FALSE)</f>
        <v>挑战：雷复轰！</v>
      </c>
      <c r="P16" s="7">
        <v>1908</v>
      </c>
      <c r="Q16" s="7" t="str">
        <f>VLOOKUP(P16,[1]D_地图数据!$A$2:$E$300,5,FALSE)</f>
        <v>挑战：杀手首领！</v>
      </c>
      <c r="R16" s="7">
        <v>1907</v>
      </c>
      <c r="S16" s="7" t="str">
        <f>VLOOKUP(R16,[1]D_地图数据!$A$2:$E$300,5,FALSE)</f>
        <v>挑战：雷复轰！</v>
      </c>
      <c r="T16" s="7">
        <v>1905</v>
      </c>
      <c r="U16" s="7" t="str">
        <f>VLOOKUP(T16,[1]D_地图数据!$A$2:$E$300,5,FALSE)</f>
        <v>挑战：司徒浩南！</v>
      </c>
      <c r="V16" s="7">
        <v>1904</v>
      </c>
      <c r="W16" s="7" t="str">
        <f>VLOOKUP(V16,[1]D_地图数据!$A$2:$E$300,5,FALSE)</f>
        <v>挑战：乌鸦！</v>
      </c>
      <c r="X16" s="7">
        <v>1905</v>
      </c>
      <c r="Y16" s="7" t="str">
        <f>VLOOKUP(X16,[1]D_地图数据!$A$2:$E$300,5,FALSE)</f>
        <v>挑战：司徒浩南！</v>
      </c>
      <c r="Z16" s="7">
        <v>1906</v>
      </c>
      <c r="AA16" s="7" t="str">
        <f>VLOOKUP(Z16,[1]D_地图数据!$A$2:$E$300,5,FALSE)</f>
        <v>挑战：赌王！</v>
      </c>
      <c r="AB16" s="7">
        <v>1907</v>
      </c>
      <c r="AC16" s="7" t="str">
        <f>VLOOKUP(AB16,[1]D_地图数据!$A$2:$E$300,5,FALSE)</f>
        <v>挑战：雷复轰！</v>
      </c>
    </row>
  </sheetData>
  <phoneticPr fontId="1" type="noConversion"/>
  <conditionalFormatting sqref="A1:XFD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81"/>
  <sheetViews>
    <sheetView workbookViewId="0">
      <selection activeCell="F27" sqref="F27"/>
    </sheetView>
  </sheetViews>
  <sheetFormatPr defaultRowHeight="13.5" x14ac:dyDescent="0.15"/>
  <cols>
    <col min="6" max="6" width="15" bestFit="1" customWidth="1"/>
    <col min="7" max="7" width="11.625" bestFit="1" customWidth="1"/>
    <col min="8" max="8" width="12.5" customWidth="1"/>
  </cols>
  <sheetData>
    <row r="1" spans="1:8" x14ac:dyDescent="0.15">
      <c r="A1" s="7" t="s">
        <v>178</v>
      </c>
      <c r="B1" s="7" t="s">
        <v>261</v>
      </c>
      <c r="C1" s="7" t="s">
        <v>262</v>
      </c>
      <c r="D1" s="7" t="s">
        <v>263</v>
      </c>
      <c r="F1" t="s">
        <v>258</v>
      </c>
      <c r="G1" t="s">
        <v>259</v>
      </c>
      <c r="H1" t="s">
        <v>260</v>
      </c>
    </row>
    <row r="2" spans="1:8" x14ac:dyDescent="0.15">
      <c r="A2" s="7">
        <v>1</v>
      </c>
      <c r="B2" s="7">
        <v>1</v>
      </c>
      <c r="C2" s="7">
        <v>1</v>
      </c>
      <c r="D2" s="7">
        <v>1</v>
      </c>
      <c r="F2" s="12">
        <f>[2]BOSS副本数值!B2</f>
        <v>668.74500000000012</v>
      </c>
      <c r="G2" s="12">
        <f>[2]BOSS副本数值!C2</f>
        <v>27.103822937625758</v>
      </c>
      <c r="H2" s="12">
        <f>[2]BOSS副本数值!D2</f>
        <v>26.400000000000006</v>
      </c>
    </row>
    <row r="3" spans="1:8" x14ac:dyDescent="0.15">
      <c r="A3" s="7">
        <v>2</v>
      </c>
      <c r="B3" s="7">
        <f>F3/F$2</f>
        <v>4.9670908878233924</v>
      </c>
      <c r="C3" s="7">
        <f t="shared" ref="C3:D3" si="0">G3/G$2</f>
        <v>1.302898205484657</v>
      </c>
      <c r="D3" s="7">
        <f t="shared" si="0"/>
        <v>1.0909090909090906</v>
      </c>
      <c r="F3" s="12">
        <f>[2]BOSS副本数值!B3</f>
        <v>3321.7171957774553</v>
      </c>
      <c r="G3" s="12">
        <f>[2]BOSS副本数值!C3</f>
        <v>35.31352226720648</v>
      </c>
      <c r="H3" s="12">
        <f>[2]BOSS副本数值!D3</f>
        <v>28.8</v>
      </c>
    </row>
    <row r="4" spans="1:8" x14ac:dyDescent="0.15">
      <c r="A4" s="7">
        <v>3</v>
      </c>
      <c r="B4" s="7">
        <f t="shared" ref="B4:B67" si="1">F4/F$2</f>
        <v>5.8495784509822482</v>
      </c>
      <c r="C4" s="7">
        <f t="shared" ref="C4:C67" si="2">G4/G$2</f>
        <v>1.4408573076229101</v>
      </c>
      <c r="D4" s="7">
        <f t="shared" ref="D4:D67" si="3">H4/H$2</f>
        <v>1.1818181818181817</v>
      </c>
      <c r="F4" s="12">
        <f>[2]BOSS副本数值!B4</f>
        <v>3911.8763412021244</v>
      </c>
      <c r="G4" s="12">
        <f>[2]BOSS副本数值!C4</f>
        <v>39.052741344195525</v>
      </c>
      <c r="H4" s="12">
        <f>[2]BOSS副本数值!D4</f>
        <v>31.200000000000003</v>
      </c>
    </row>
    <row r="5" spans="1:8" x14ac:dyDescent="0.15">
      <c r="A5" s="7">
        <v>4</v>
      </c>
      <c r="B5" s="7">
        <f t="shared" si="1"/>
        <v>5.3669252172254982</v>
      </c>
      <c r="C5" s="7">
        <f t="shared" si="2"/>
        <v>1.3847299510555229</v>
      </c>
      <c r="D5" s="7">
        <f t="shared" si="3"/>
        <v>1.0181818181818181</v>
      </c>
      <c r="F5" s="12">
        <f>[2]BOSS副本数值!B5</f>
        <v>3589.1044043934667</v>
      </c>
      <c r="G5" s="12">
        <f>[2]BOSS副本数值!C5</f>
        <v>37.531475409836077</v>
      </c>
      <c r="H5" s="12">
        <f>[2]BOSS副本数值!D5</f>
        <v>26.880000000000003</v>
      </c>
    </row>
    <row r="6" spans="1:8" x14ac:dyDescent="0.15">
      <c r="A6" s="7">
        <v>5</v>
      </c>
      <c r="B6" s="7">
        <f t="shared" si="1"/>
        <v>6.050396169230809</v>
      </c>
      <c r="C6" s="7">
        <f t="shared" si="2"/>
        <v>1.5169846175887285</v>
      </c>
      <c r="D6" s="7">
        <f t="shared" si="3"/>
        <v>1.0909090909090906</v>
      </c>
      <c r="F6" s="12">
        <f>[2]BOSS副本数值!B6</f>
        <v>4046.1721861922579</v>
      </c>
      <c r="G6" s="12">
        <f>[2]BOSS副本数值!C6</f>
        <v>41.116082474226815</v>
      </c>
      <c r="H6" s="12">
        <f>[2]BOSS副本数值!D6</f>
        <v>28.8</v>
      </c>
    </row>
    <row r="7" spans="1:8" x14ac:dyDescent="0.15">
      <c r="A7" s="7">
        <v>6</v>
      </c>
      <c r="B7" s="7">
        <f t="shared" si="1"/>
        <v>10.398774292364871</v>
      </c>
      <c r="C7" s="7">
        <f t="shared" si="2"/>
        <v>2.5524031479528211</v>
      </c>
      <c r="D7" s="7">
        <f t="shared" si="3"/>
        <v>1.7963636363636362</v>
      </c>
      <c r="F7" s="12">
        <f>[2]BOSS副本数值!B7</f>
        <v>6954.1283141475469</v>
      </c>
      <c r="G7" s="12">
        <f>[2]BOSS副本数值!C7</f>
        <v>69.179882987551863</v>
      </c>
      <c r="H7" s="12">
        <f>[2]BOSS副本数值!D7</f>
        <v>47.424000000000007</v>
      </c>
    </row>
    <row r="8" spans="1:8" x14ac:dyDescent="0.15">
      <c r="A8" s="7">
        <v>7</v>
      </c>
      <c r="B8" s="7">
        <f t="shared" si="1"/>
        <v>12.36972267654183</v>
      </c>
      <c r="C8" s="7">
        <f t="shared" si="2"/>
        <v>2.9878782835368027</v>
      </c>
      <c r="D8" s="7">
        <f t="shared" si="3"/>
        <v>2.0593181818181812</v>
      </c>
      <c r="F8" s="12">
        <f>[2]BOSS副本数值!B8</f>
        <v>8272.1901913239672</v>
      </c>
      <c r="G8" s="12">
        <f>[2]BOSS副本数值!C8</f>
        <v>80.982923956158672</v>
      </c>
      <c r="H8" s="12">
        <f>[2]BOSS副本数值!D8</f>
        <v>54.366</v>
      </c>
    </row>
    <row r="9" spans="1:8" x14ac:dyDescent="0.15">
      <c r="A9" s="7">
        <v>8</v>
      </c>
      <c r="B9" s="7">
        <f t="shared" si="1"/>
        <v>14.519389033901444</v>
      </c>
      <c r="C9" s="7">
        <f t="shared" si="2"/>
        <v>3.4647614275009371</v>
      </c>
      <c r="D9" s="7">
        <f t="shared" si="3"/>
        <v>2.34</v>
      </c>
      <c r="F9" s="12">
        <f>[2]BOSS副本数值!B9</f>
        <v>9709.7688194764232</v>
      </c>
      <c r="G9" s="12">
        <f>[2]BOSS副本数值!C9</f>
        <v>93.908280252100866</v>
      </c>
      <c r="H9" s="12">
        <f>[2]BOSS副本数值!D9</f>
        <v>61.77600000000001</v>
      </c>
    </row>
    <row r="10" spans="1:8" x14ac:dyDescent="0.15">
      <c r="A10" s="7">
        <v>9</v>
      </c>
      <c r="B10" s="7">
        <f t="shared" si="1"/>
        <v>18.768926468509779</v>
      </c>
      <c r="C10" s="7">
        <f t="shared" si="2"/>
        <v>4.4380327558732677</v>
      </c>
      <c r="D10" s="7">
        <f t="shared" si="3"/>
        <v>2.9388043478260863</v>
      </c>
      <c r="F10" s="12">
        <f>[2]BOSS副本数值!B10</f>
        <v>12551.625731183574</v>
      </c>
      <c r="G10" s="12">
        <f>[2]BOSS副本数值!C10</f>
        <v>120.28765400657232</v>
      </c>
      <c r="H10" s="12">
        <f>[2]BOSS副本数值!D10</f>
        <v>77.584434782608696</v>
      </c>
    </row>
    <row r="11" spans="1:8" x14ac:dyDescent="0.15">
      <c r="A11" s="7">
        <v>10</v>
      </c>
      <c r="B11" s="7">
        <f t="shared" si="1"/>
        <v>23.509697984351398</v>
      </c>
      <c r="C11" s="7">
        <f t="shared" si="2"/>
        <v>5.5215697449509848</v>
      </c>
      <c r="D11" s="7">
        <f t="shared" si="3"/>
        <v>3.5869565217391304</v>
      </c>
      <c r="F11" s="12">
        <f>[2]BOSS副本数值!B11</f>
        <v>15721.992978545079</v>
      </c>
      <c r="G11" s="12">
        <f>[2]BOSS副本数值!C11</f>
        <v>149.65564870490292</v>
      </c>
      <c r="H11" s="12">
        <f>[2]BOSS副本数值!D11</f>
        <v>94.695652173913061</v>
      </c>
    </row>
    <row r="12" spans="1:8" x14ac:dyDescent="0.15">
      <c r="A12" s="7">
        <v>11</v>
      </c>
      <c r="B12" s="7">
        <f t="shared" si="1"/>
        <v>28.746583631747061</v>
      </c>
      <c r="C12" s="7">
        <f t="shared" si="2"/>
        <v>6.7191187960377095</v>
      </c>
      <c r="D12" s="7">
        <f t="shared" si="3"/>
        <v>4.2844565217391297</v>
      </c>
      <c r="F12" s="12">
        <f>[2]BOSS副本数值!B12</f>
        <v>19224.134070812692</v>
      </c>
      <c r="G12" s="12">
        <f>[2]BOSS副本数值!C12</f>
        <v>182.11380614467924</v>
      </c>
      <c r="H12" s="12">
        <f>[2]BOSS副本数值!D12</f>
        <v>113.10965217391305</v>
      </c>
    </row>
    <row r="13" spans="1:8" x14ac:dyDescent="0.15">
      <c r="A13" s="7">
        <v>12</v>
      </c>
      <c r="B13" s="7">
        <f t="shared" si="1"/>
        <v>34.48341027599524</v>
      </c>
      <c r="C13" s="7">
        <f t="shared" si="2"/>
        <v>8.0343250817021676</v>
      </c>
      <c r="D13" s="7">
        <f t="shared" si="3"/>
        <v>5.0313043478260866</v>
      </c>
      <c r="F13" s="12">
        <f>[2]BOSS副本数值!B13</f>
        <v>23060.608205020442</v>
      </c>
      <c r="G13" s="12">
        <f>[2]BOSS副本数值!C13</f>
        <v>217.76092443778114</v>
      </c>
      <c r="H13" s="12">
        <f>[2]BOSS副本数值!D13</f>
        <v>132.82643478260871</v>
      </c>
    </row>
    <row r="14" spans="1:8" x14ac:dyDescent="0.15">
      <c r="A14" s="7">
        <v>13</v>
      </c>
      <c r="B14" s="7">
        <f t="shared" si="1"/>
        <v>40.7228902523049</v>
      </c>
      <c r="C14" s="7">
        <f t="shared" si="2"/>
        <v>9.4707292520015365</v>
      </c>
      <c r="D14" s="7">
        <f t="shared" si="3"/>
        <v>5.8274999999999988</v>
      </c>
      <c r="F14" s="12">
        <f>[2]BOSS副本数值!B14</f>
        <v>27233.229241777644</v>
      </c>
      <c r="G14" s="12">
        <f>[2]BOSS副本数值!C14</f>
        <v>256.69296873644248</v>
      </c>
      <c r="H14" s="12">
        <f>[2]BOSS副本数值!D14</f>
        <v>153.846</v>
      </c>
    </row>
    <row r="15" spans="1:8" x14ac:dyDescent="0.15">
      <c r="A15" s="7">
        <v>14</v>
      </c>
      <c r="B15" s="7">
        <f t="shared" si="1"/>
        <v>47.466591089723735</v>
      </c>
      <c r="C15" s="7">
        <f t="shared" si="2"/>
        <v>11.031764011255127</v>
      </c>
      <c r="D15" s="7">
        <f t="shared" si="3"/>
        <v>6.6730434782608699</v>
      </c>
      <c r="F15" s="12">
        <f>[2]BOSS副本数值!B15</f>
        <v>31743.045458297307</v>
      </c>
      <c r="G15" s="12">
        <f>[2]BOSS副本数值!C15</f>
        <v>299.00297845073106</v>
      </c>
      <c r="H15" s="12">
        <f>[2]BOSS副本数值!D15</f>
        <v>176.168347826087</v>
      </c>
    </row>
    <row r="16" spans="1:8" x14ac:dyDescent="0.15">
      <c r="A16" s="7">
        <v>15</v>
      </c>
      <c r="B16" s="7">
        <f t="shared" si="1"/>
        <v>54.714922515674886</v>
      </c>
      <c r="C16" s="7">
        <f t="shared" si="2"/>
        <v>12.720750559393634</v>
      </c>
      <c r="D16" s="7">
        <f t="shared" si="3"/>
        <v>7.5679347826086953</v>
      </c>
      <c r="F16" s="12">
        <f>[2]BOSS副本数值!B16</f>
        <v>36590.330857745008</v>
      </c>
      <c r="G16" s="12">
        <f>[2]BOSS副本数值!C16</f>
        <v>344.78097079550889</v>
      </c>
      <c r="H16" s="12">
        <f>[2]BOSS副本数值!D16</f>
        <v>199.79347826086959</v>
      </c>
    </row>
    <row r="17" spans="1:8" x14ac:dyDescent="0.15">
      <c r="A17" s="7">
        <v>16</v>
      </c>
      <c r="B17" s="7">
        <f t="shared" si="1"/>
        <v>62.467133266823375</v>
      </c>
      <c r="C17" s="7">
        <f t="shared" si="2"/>
        <v>14.540894891592307</v>
      </c>
      <c r="D17" s="7">
        <f t="shared" si="3"/>
        <v>8.5121739130434779</v>
      </c>
      <c r="F17" s="12">
        <f>[2]BOSS副本数值!B17</f>
        <v>41774.583036521806</v>
      </c>
      <c r="G17" s="12">
        <f>[2]BOSS副本数值!C17</f>
        <v>394.11384049634478</v>
      </c>
      <c r="H17" s="12">
        <f>[2]BOSS副本数值!D17</f>
        <v>224.72139130434786</v>
      </c>
    </row>
    <row r="18" spans="1:8" x14ac:dyDescent="0.15">
      <c r="A18" s="7">
        <v>17</v>
      </c>
      <c r="B18" s="7">
        <f t="shared" si="1"/>
        <v>70.721313498645983</v>
      </c>
      <c r="C18" s="7">
        <f>G18/G$2</f>
        <v>16.49528394955971</v>
      </c>
      <c r="D18" s="7">
        <f t="shared" si="3"/>
        <v>9.5057608695652167</v>
      </c>
      <c r="F18" s="12">
        <f>[2]BOSS副本数值!B18</f>
        <v>47294.524795652018</v>
      </c>
      <c r="G18" s="12">
        <f>[2]BOSS副本数值!C18</f>
        <v>447.08525547472647</v>
      </c>
      <c r="H18" s="12">
        <f>[2]BOSS副本数值!D18</f>
        <v>250.95208695652175</v>
      </c>
    </row>
    <row r="19" spans="1:8" x14ac:dyDescent="0.15">
      <c r="A19" s="7">
        <v>18</v>
      </c>
      <c r="B19" s="7">
        <f t="shared" si="1"/>
        <v>79.474400355028862</v>
      </c>
      <c r="C19" s="7">
        <f t="shared" si="2"/>
        <v>19.868204267096569</v>
      </c>
      <c r="D19" s="7">
        <f t="shared" si="3"/>
        <v>10.548695652173915</v>
      </c>
      <c r="F19" s="12">
        <f>[2]BOSS副本数值!B19</f>
        <v>53148.107865423786</v>
      </c>
      <c r="G19" s="12">
        <f>[2]BOSS副本数值!C19</f>
        <v>538.50429054396591</v>
      </c>
      <c r="H19" s="12">
        <f>[2]BOSS副本数值!D19</f>
        <v>278.48556521739141</v>
      </c>
    </row>
    <row r="20" spans="1:8" x14ac:dyDescent="0.15">
      <c r="A20" s="7">
        <v>19</v>
      </c>
      <c r="B20" s="7">
        <f t="shared" si="1"/>
        <v>88.722185253700829</v>
      </c>
      <c r="C20" s="7">
        <f t="shared" si="2"/>
        <v>22.353718773337853</v>
      </c>
      <c r="D20" s="7">
        <f t="shared" si="3"/>
        <v>11.640978260869568</v>
      </c>
      <c r="F20" s="12">
        <f>[2]BOSS副本数值!B20</f>
        <v>59332.517777486173</v>
      </c>
      <c r="G20" s="12">
        <f>[2]BOSS副本数值!C20</f>
        <v>605.87123563003001</v>
      </c>
      <c r="H20" s="12">
        <f>[2]BOSS副本数值!D20</f>
        <v>307.32182608695666</v>
      </c>
    </row>
    <row r="21" spans="1:8" x14ac:dyDescent="0.15">
      <c r="A21" s="7">
        <v>20</v>
      </c>
      <c r="B21" s="7">
        <f t="shared" si="1"/>
        <v>98.459322019912079</v>
      </c>
      <c r="C21" s="7">
        <f t="shared" si="2"/>
        <v>25.018073514688027</v>
      </c>
      <c r="D21" s="7">
        <f t="shared" si="3"/>
        <v>12.782608695652174</v>
      </c>
      <c r="F21" s="12">
        <f>[2]BOSS副本数值!B21</f>
        <v>65844.179304206118</v>
      </c>
      <c r="G21" s="12">
        <f>[2]BOSS副本数值!C21</f>
        <v>678.08543478260879</v>
      </c>
      <c r="H21" s="12">
        <f>[2]BOSS副本数值!D21</f>
        <v>337.46086956521748</v>
      </c>
    </row>
    <row r="22" spans="1:8" x14ac:dyDescent="0.15">
      <c r="A22" s="7">
        <v>21</v>
      </c>
      <c r="B22" s="7">
        <f t="shared" si="1"/>
        <v>108.67933534361718</v>
      </c>
      <c r="C22" s="7">
        <f t="shared" si="2"/>
        <v>27.86728900385701</v>
      </c>
      <c r="D22" s="7">
        <f t="shared" si="3"/>
        <v>13.833851086956523</v>
      </c>
      <c r="F22" s="12">
        <f>[2]BOSS副本数值!B22</f>
        <v>72678.762114367288</v>
      </c>
      <c r="G22" s="12">
        <f>[2]BOSS副本数值!C22</f>
        <v>755.31006691218568</v>
      </c>
      <c r="H22" s="12">
        <f>[2]BOSS副本数值!D22</f>
        <v>365.2136686956523</v>
      </c>
    </row>
    <row r="23" spans="1:8" x14ac:dyDescent="0.15">
      <c r="A23" s="7">
        <v>22</v>
      </c>
      <c r="B23" s="7">
        <f t="shared" si="1"/>
        <v>119.37462924347757</v>
      </c>
      <c r="C23" s="7">
        <f t="shared" si="2"/>
        <v>30.907446312721063</v>
      </c>
      <c r="D23" s="7">
        <f t="shared" si="3"/>
        <v>13.996800000000002</v>
      </c>
      <c r="F23" s="12">
        <f>[2]BOSS副本数值!B23</f>
        <v>79831.186433429422</v>
      </c>
      <c r="G23" s="12">
        <f>[2]BOSS副本数值!C23</f>
        <v>837.70995231416578</v>
      </c>
      <c r="H23" s="12">
        <f>[2]BOSS副本数值!D23</f>
        <v>369.51552000000015</v>
      </c>
    </row>
    <row r="24" spans="1:8" x14ac:dyDescent="0.15">
      <c r="A24" s="7">
        <v>23</v>
      </c>
      <c r="B24" s="7">
        <f t="shared" si="1"/>
        <v>132.97021327967013</v>
      </c>
      <c r="C24" s="7">
        <f t="shared" si="2"/>
        <v>34.781281590854405</v>
      </c>
      <c r="D24" s="7">
        <f t="shared" si="3"/>
        <v>15.298264130434786</v>
      </c>
      <c r="F24" s="12">
        <f>[2]BOSS副本数值!B24</f>
        <v>88923.165279713023</v>
      </c>
      <c r="G24" s="12">
        <f>[2]BOSS副本数值!C24</f>
        <v>942.70569778222011</v>
      </c>
      <c r="H24" s="12">
        <f>[2]BOSS副本数值!D24</f>
        <v>403.87417304347844</v>
      </c>
    </row>
    <row r="25" spans="1:8" x14ac:dyDescent="0.15">
      <c r="A25" s="7">
        <v>24</v>
      </c>
      <c r="B25" s="7">
        <f t="shared" si="1"/>
        <v>147.20656753407462</v>
      </c>
      <c r="C25" s="7">
        <f t="shared" si="2"/>
        <v>38.920807813048036</v>
      </c>
      <c r="D25" s="7">
        <f t="shared" si="3"/>
        <v>16.628977196716328</v>
      </c>
      <c r="F25" s="12">
        <f>[2]BOSS副本数值!B25</f>
        <v>98443.656005574754</v>
      </c>
      <c r="G25" s="12">
        <f>[2]BOSS副本数值!C25</f>
        <v>1054.9026835542152</v>
      </c>
      <c r="H25" s="12">
        <f>[2]BOSS副本数值!D25</f>
        <v>439.00499799331112</v>
      </c>
    </row>
    <row r="26" spans="1:8" x14ac:dyDescent="0.15">
      <c r="A26" s="7">
        <v>25</v>
      </c>
      <c r="B26" s="7">
        <f t="shared" si="1"/>
        <v>162.07069047220332</v>
      </c>
      <c r="C26" s="7">
        <f t="shared" si="2"/>
        <v>43.334563654985558</v>
      </c>
      <c r="D26" s="7">
        <f t="shared" si="3"/>
        <v>17.986899323502588</v>
      </c>
      <c r="F26" s="12">
        <f>[2]BOSS副本数值!B26</f>
        <v>108383.96389983363</v>
      </c>
      <c r="G26" s="12">
        <f>[2]BOSS副本数值!C26</f>
        <v>1174.5323403840011</v>
      </c>
      <c r="H26" s="12">
        <f>[2]BOSS副本数值!D26</f>
        <v>474.85414214046841</v>
      </c>
    </row>
    <row r="27" spans="1:8" x14ac:dyDescent="0.15">
      <c r="A27" s="7">
        <v>26</v>
      </c>
      <c r="B27" s="7">
        <f t="shared" si="1"/>
        <v>179.80074212422426</v>
      </c>
      <c r="C27" s="7">
        <f t="shared" si="2"/>
        <v>48.6405841675302</v>
      </c>
      <c r="D27" s="7">
        <f t="shared" si="3"/>
        <v>19.615750635451509</v>
      </c>
      <c r="F27" s="12">
        <f>[2]BOSS副本数值!B27</f>
        <v>120240.84729186437</v>
      </c>
      <c r="G27" s="12">
        <f>[2]BOSS副本数值!C27</f>
        <v>1318.3457808594212</v>
      </c>
      <c r="H27" s="12">
        <f>[2]BOSS副本数值!D27</f>
        <v>517.85581677591995</v>
      </c>
    </row>
    <row r="28" spans="1:8" x14ac:dyDescent="0.15">
      <c r="A28" s="7">
        <v>27</v>
      </c>
      <c r="B28" s="7">
        <f t="shared" si="1"/>
        <v>198.27713315500134</v>
      </c>
      <c r="C28" s="7">
        <f t="shared" si="2"/>
        <v>54.293901999572306</v>
      </c>
      <c r="D28" s="7">
        <f t="shared" si="3"/>
        <v>21.275643984493772</v>
      </c>
      <c r="F28" s="12">
        <f>[2]BOSS副本数值!B28</f>
        <v>132596.84141174139</v>
      </c>
      <c r="G28" s="12">
        <f>[2]BOSS副本数值!C28</f>
        <v>1471.5723063892128</v>
      </c>
      <c r="H28" s="12">
        <f>[2]BOSS副本数值!D28</f>
        <v>561.67700119063568</v>
      </c>
    </row>
    <row r="29" spans="1:8" x14ac:dyDescent="0.15">
      <c r="A29" s="7">
        <v>28</v>
      </c>
      <c r="B29" s="7">
        <f t="shared" si="1"/>
        <v>217.47983788575448</v>
      </c>
      <c r="C29" s="7">
        <f t="shared" si="2"/>
        <v>63.215655019710354</v>
      </c>
      <c r="D29" s="7">
        <f t="shared" si="3"/>
        <v>22.964074040741867</v>
      </c>
      <c r="F29" s="12">
        <f>[2]BOSS副本数值!B29</f>
        <v>145438.55418690891</v>
      </c>
      <c r="G29" s="12">
        <f>[2]BOSS副本数值!C29</f>
        <v>1713.3859205402623</v>
      </c>
      <c r="H29" s="12">
        <f>[2]BOSS副本数值!D29</f>
        <v>606.25155467558545</v>
      </c>
    </row>
    <row r="30" spans="1:8" x14ac:dyDescent="0.15">
      <c r="A30" s="7">
        <v>29</v>
      </c>
      <c r="B30" s="7">
        <f t="shared" si="1"/>
        <v>237.38700280549838</v>
      </c>
      <c r="C30" s="7">
        <f t="shared" si="2"/>
        <v>69.71628135152794</v>
      </c>
      <c r="D30" s="7">
        <f t="shared" si="3"/>
        <v>24.678535474308312</v>
      </c>
      <c r="F30" s="12">
        <f>[2]BOSS副本数值!B30</f>
        <v>158751.37119116305</v>
      </c>
      <c r="G30" s="12">
        <f>[2]BOSS副本数值!C30</f>
        <v>1889.5777456215137</v>
      </c>
      <c r="H30" s="12">
        <f>[2]BOSS副本数值!D30</f>
        <v>651.51333652173957</v>
      </c>
    </row>
    <row r="31" spans="1:8" x14ac:dyDescent="0.15">
      <c r="A31" s="7">
        <v>30</v>
      </c>
      <c r="B31" s="7">
        <f t="shared" si="1"/>
        <v>261.19964345449296</v>
      </c>
      <c r="C31" s="7">
        <f t="shared" si="2"/>
        <v>77.526792683883798</v>
      </c>
      <c r="D31" s="7">
        <f t="shared" si="3"/>
        <v>26.746729492246892</v>
      </c>
      <c r="F31" s="12">
        <f>[2]BOSS副本数值!B31</f>
        <v>174675.95556197493</v>
      </c>
      <c r="G31" s="12">
        <f>[2]BOSS副本数值!C31</f>
        <v>2101.2724618260063</v>
      </c>
      <c r="H31" s="12">
        <f>[2]BOSS副本数值!D31</f>
        <v>706.11365859531816</v>
      </c>
    </row>
    <row r="32" spans="1:8" x14ac:dyDescent="0.15">
      <c r="A32" s="7">
        <v>31</v>
      </c>
      <c r="B32" s="7">
        <f t="shared" si="1"/>
        <v>289.60377486892139</v>
      </c>
      <c r="C32" s="7">
        <f t="shared" si="2"/>
        <v>86.460924111395968</v>
      </c>
      <c r="D32" s="7">
        <f t="shared" si="3"/>
        <v>29.22352347115385</v>
      </c>
      <c r="F32" s="12">
        <f>[2]BOSS副本数值!B32</f>
        <v>193671.07642471688</v>
      </c>
      <c r="G32" s="12">
        <f>[2]BOSS副本数值!C32</f>
        <v>2343.4215781387738</v>
      </c>
      <c r="H32" s="12">
        <f>[2]BOSS副本数值!D32</f>
        <v>771.5010196384618</v>
      </c>
    </row>
    <row r="33" spans="1:8" x14ac:dyDescent="0.15">
      <c r="A33" s="7">
        <v>32</v>
      </c>
      <c r="B33" s="7">
        <f t="shared" si="1"/>
        <v>322.07205335240656</v>
      </c>
      <c r="C33" s="7">
        <f t="shared" si="2"/>
        <v>96.059267294742369</v>
      </c>
      <c r="D33" s="7">
        <f t="shared" si="3"/>
        <v>31.809937890088172</v>
      </c>
      <c r="F33" s="12">
        <f>[2]BOSS副本数值!B33</f>
        <v>215384.07531915518</v>
      </c>
      <c r="G33" s="12">
        <f>[2]BOSS副本数值!C33</f>
        <v>2603.5733722747618</v>
      </c>
      <c r="H33" s="12">
        <f>[2]BOSS副本数值!D33</f>
        <v>839.78236029832794</v>
      </c>
    </row>
    <row r="34" spans="1:8" x14ac:dyDescent="0.15">
      <c r="A34" s="7">
        <v>33</v>
      </c>
      <c r="B34" s="7">
        <f t="shared" si="1"/>
        <v>356.72050648813206</v>
      </c>
      <c r="C34" s="7">
        <f t="shared" si="2"/>
        <v>106.3126527552846</v>
      </c>
      <c r="D34" s="7">
        <f t="shared" si="3"/>
        <v>34.492958721400903</v>
      </c>
      <c r="F34" s="12">
        <f>[2]BOSS副本数值!B34</f>
        <v>238555.05511140591</v>
      </c>
      <c r="G34" s="12">
        <f>[2]BOSS副本数值!C34</f>
        <v>2881.4793163085251</v>
      </c>
      <c r="H34" s="12">
        <f>[2]BOSS副本数值!D34</f>
        <v>910.61411024498398</v>
      </c>
    </row>
    <row r="35" spans="1:8" x14ac:dyDescent="0.15">
      <c r="A35" s="7">
        <v>34</v>
      </c>
      <c r="B35" s="7">
        <f t="shared" si="1"/>
        <v>393.607650968136</v>
      </c>
      <c r="C35" s="7">
        <f t="shared" si="2"/>
        <v>117.24334872435249</v>
      </c>
      <c r="D35" s="7">
        <f t="shared" si="3"/>
        <v>37.270139927029497</v>
      </c>
      <c r="F35" s="12">
        <f>[2]BOSS副本数值!B35</f>
        <v>263223.14854668616</v>
      </c>
      <c r="G35" s="12">
        <f>[2]BOSS副本数值!C35</f>
        <v>3177.7429644391605</v>
      </c>
      <c r="H35" s="12">
        <f>[2]BOSS副本数值!D35</f>
        <v>983.93169407357891</v>
      </c>
    </row>
    <row r="36" spans="1:8" x14ac:dyDescent="0.15">
      <c r="A36" s="7">
        <v>35</v>
      </c>
      <c r="B36" s="7">
        <f t="shared" si="1"/>
        <v>432.79067028712075</v>
      </c>
      <c r="C36" s="7">
        <f t="shared" si="2"/>
        <v>128.87389027418899</v>
      </c>
      <c r="D36" s="7">
        <f t="shared" si="3"/>
        <v>40.646932806324116</v>
      </c>
      <c r="F36" s="12">
        <f>[2]BOSS副本数值!B36</f>
        <v>289426.5968011606</v>
      </c>
      <c r="G36" s="12">
        <f>[2]BOSS副本数值!C36</f>
        <v>3492.975103274629</v>
      </c>
      <c r="H36" s="12">
        <f>[2]BOSS副本数值!D36</f>
        <v>1073.0790260869569</v>
      </c>
    </row>
    <row r="37" spans="1:8" x14ac:dyDescent="0.15">
      <c r="A37" s="7">
        <v>36</v>
      </c>
      <c r="B37" s="7">
        <f t="shared" si="1"/>
        <v>474.32533877242923</v>
      </c>
      <c r="C37" s="7">
        <f t="shared" si="2"/>
        <v>141.22708952869897</v>
      </c>
      <c r="D37" s="7">
        <f t="shared" si="3"/>
        <v>44.201284816053516</v>
      </c>
      <c r="F37" s="12">
        <f>[2]BOSS副本数值!B37</f>
        <v>317202.69867736823</v>
      </c>
      <c r="G37" s="12">
        <f>[2]BOSS副本数值!C37</f>
        <v>3827.7940285820773</v>
      </c>
      <c r="H37" s="12">
        <f>[2]BOSS副本数值!D37</f>
        <v>1166.913919143813</v>
      </c>
    </row>
    <row r="38" spans="1:8" x14ac:dyDescent="0.15">
      <c r="A38" s="7">
        <v>37</v>
      </c>
      <c r="B38" s="7">
        <f t="shared" si="1"/>
        <v>518.26594537933977</v>
      </c>
      <c r="C38" s="7">
        <f t="shared" si="2"/>
        <v>156.47872385342095</v>
      </c>
      <c r="D38" s="7">
        <f t="shared" si="3"/>
        <v>47.936982409546971</v>
      </c>
      <c r="F38" s="12">
        <f>[2]BOSS副本数值!B38</f>
        <v>346587.7596427066</v>
      </c>
      <c r="G38" s="12">
        <f>[2]BOSS副本数值!C38</f>
        <v>4241.1716248287576</v>
      </c>
      <c r="H38" s="12">
        <f>[2]BOSS副本数值!D38</f>
        <v>1265.5363356120404</v>
      </c>
    </row>
    <row r="39" spans="1:8" x14ac:dyDescent="0.15">
      <c r="A39" s="7">
        <v>38</v>
      </c>
      <c r="B39" s="7">
        <f t="shared" si="1"/>
        <v>564.66521729963551</v>
      </c>
      <c r="C39" s="7">
        <f t="shared" si="2"/>
        <v>172.90147844902302</v>
      </c>
      <c r="D39" s="7">
        <f t="shared" si="3"/>
        <v>51.85781204013378</v>
      </c>
      <c r="F39" s="12">
        <f>[2]BOSS副本数值!B39</f>
        <v>377617.04074304481</v>
      </c>
      <c r="G39" s="12">
        <f>[2]BOSS副本数值!C39</f>
        <v>4686.2910575360356</v>
      </c>
      <c r="H39" s="12">
        <f>[2]BOSS副本数值!D39</f>
        <v>1369.0462378595321</v>
      </c>
    </row>
    <row r="40" spans="1:8" x14ac:dyDescent="0.15">
      <c r="A40" s="7">
        <v>39</v>
      </c>
      <c r="B40" s="7">
        <f t="shared" si="1"/>
        <v>613.57424342316403</v>
      </c>
      <c r="C40" s="7">
        <f t="shared" si="2"/>
        <v>190.55559389488019</v>
      </c>
      <c r="D40" s="7">
        <f t="shared" si="3"/>
        <v>55.967560161143197</v>
      </c>
      <c r="F40" s="12">
        <f>[2]BOSS副本数值!B40</f>
        <v>410324.7074180239</v>
      </c>
      <c r="G40" s="12">
        <f>[2]BOSS副本数值!C40</f>
        <v>5164.7850767009522</v>
      </c>
      <c r="H40" s="12">
        <f>[2]BOSS副本数值!D40</f>
        <v>1477.5435882541808</v>
      </c>
    </row>
    <row r="41" spans="1:8" x14ac:dyDescent="0.15">
      <c r="A41" s="7">
        <v>40</v>
      </c>
      <c r="B41" s="7">
        <f t="shared" si="1"/>
        <v>671.03377063750838</v>
      </c>
      <c r="C41" s="7">
        <f t="shared" si="2"/>
        <v>211.39067795485946</v>
      </c>
      <c r="D41" s="7">
        <f t="shared" si="3"/>
        <v>60.812986318029814</v>
      </c>
      <c r="F41" s="12">
        <f>[2]BOSS副本数值!B41</f>
        <v>448750.47894498066</v>
      </c>
      <c r="G41" s="12">
        <f>[2]BOSS副本数值!C41</f>
        <v>5729.4955059531794</v>
      </c>
      <c r="H41" s="12">
        <f>[2]BOSS副本数值!D41</f>
        <v>1605.4628387959874</v>
      </c>
    </row>
    <row r="42" spans="1:8" x14ac:dyDescent="0.15">
      <c r="A42" s="7">
        <v>41</v>
      </c>
      <c r="B42" s="7">
        <f t="shared" si="1"/>
        <v>731.73335464995534</v>
      </c>
      <c r="C42" s="7">
        <f t="shared" si="2"/>
        <v>233.84039918042183</v>
      </c>
      <c r="D42" s="7">
        <f t="shared" si="3"/>
        <v>65.905255191040851</v>
      </c>
      <c r="F42" s="12">
        <f>[2]BOSS副本数值!B42</f>
        <v>489343.02225538448</v>
      </c>
      <c r="G42" s="12">
        <f>[2]BOSS副本数值!C42</f>
        <v>6337.9687750498806</v>
      </c>
      <c r="H42" s="12">
        <f>[2]BOSS副本数值!D42</f>
        <v>1739.8987370434788</v>
      </c>
    </row>
    <row r="43" spans="1:8" x14ac:dyDescent="0.15">
      <c r="A43" s="7">
        <v>42</v>
      </c>
      <c r="B43" s="7">
        <f t="shared" si="1"/>
        <v>801.90651276320045</v>
      </c>
      <c r="C43" s="7">
        <f t="shared" si="2"/>
        <v>257.98774167952979</v>
      </c>
      <c r="D43" s="7">
        <f t="shared" si="3"/>
        <v>71.249415384615418</v>
      </c>
      <c r="F43" s="12">
        <f>[2]BOSS副本数值!B43</f>
        <v>536270.97087782656</v>
      </c>
      <c r="G43" s="12">
        <f>[2]BOSS副本数值!C43</f>
        <v>6992.4540705599084</v>
      </c>
      <c r="H43" s="12">
        <f>[2]BOSS副本数值!D43</f>
        <v>1880.9845661538475</v>
      </c>
    </row>
    <row r="44" spans="1:8" x14ac:dyDescent="0.15">
      <c r="A44" s="7">
        <v>43</v>
      </c>
      <c r="B44" s="7">
        <f t="shared" si="1"/>
        <v>876.59639858496303</v>
      </c>
      <c r="C44" s="7">
        <f t="shared" si="2"/>
        <v>283.9183886487499</v>
      </c>
      <c r="D44" s="7">
        <f t="shared" si="3"/>
        <v>76.850515503192469</v>
      </c>
      <c r="F44" s="12">
        <f>[2]BOSS副本数值!B44</f>
        <v>586219.45857170119</v>
      </c>
      <c r="G44" s="12">
        <f>[2]BOSS副本数值!C44</f>
        <v>7695.2737346717313</v>
      </c>
      <c r="H44" s="12">
        <f>[2]BOSS副本数值!D44</f>
        <v>2028.8536092842814</v>
      </c>
    </row>
    <row r="45" spans="1:8" x14ac:dyDescent="0.15">
      <c r="A45" s="7">
        <v>44</v>
      </c>
      <c r="B45" s="7">
        <f t="shared" si="1"/>
        <v>955.97119826944038</v>
      </c>
      <c r="C45" s="7">
        <f t="shared" si="2"/>
        <v>311.72078979658193</v>
      </c>
      <c r="D45" s="7">
        <f t="shared" si="3"/>
        <v>82.713604151211115</v>
      </c>
      <c r="F45" s="12">
        <f>[2]BOSS副本数值!B45</f>
        <v>639300.95898669702</v>
      </c>
      <c r="G45" s="12">
        <f>[2]BOSS副本数值!C45</f>
        <v>8448.8250926234141</v>
      </c>
      <c r="H45" s="12">
        <f>[2]BOSS副本数值!D45</f>
        <v>2183.6391495919738</v>
      </c>
    </row>
    <row r="46" spans="1:8" x14ac:dyDescent="0.15">
      <c r="A46" s="7">
        <v>45</v>
      </c>
      <c r="B46" s="7">
        <f t="shared" si="1"/>
        <v>1040.2017348870324</v>
      </c>
      <c r="C46" s="7">
        <f t="shared" si="2"/>
        <v>341.48623209177396</v>
      </c>
      <c r="D46" s="7">
        <f t="shared" si="3"/>
        <v>88.843729933110382</v>
      </c>
      <c r="F46" s="12">
        <f>[2]BOSS副本数值!B46</f>
        <v>695629.70919702866</v>
      </c>
      <c r="G46" s="12">
        <f>[2]BOSS副本数值!C46</f>
        <v>9255.5823702524158</v>
      </c>
      <c r="H46" s="12">
        <f>[2]BOSS副本数值!D46</f>
        <v>2345.4744702341145</v>
      </c>
    </row>
    <row r="47" spans="1:8" x14ac:dyDescent="0.15">
      <c r="A47" s="7">
        <v>46</v>
      </c>
      <c r="B47" s="7">
        <f t="shared" si="1"/>
        <v>1129.4614678687562</v>
      </c>
      <c r="C47" s="7">
        <f t="shared" si="2"/>
        <v>373.30891402950954</v>
      </c>
      <c r="D47" s="7">
        <f t="shared" si="3"/>
        <v>95.245941453329309</v>
      </c>
      <c r="F47" s="12">
        <f>[2]BOSS副本数值!B47</f>
        <v>755321.70932989148</v>
      </c>
      <c r="G47" s="12">
        <f>[2]BOSS副本数值!C47</f>
        <v>10118.098706893183</v>
      </c>
      <c r="H47" s="12">
        <f>[2]BOSS副本数值!D47</f>
        <v>2514.4928543678943</v>
      </c>
    </row>
    <row r="48" spans="1:8" x14ac:dyDescent="0.15">
      <c r="A48" s="7">
        <v>47</v>
      </c>
      <c r="B48" s="7">
        <f t="shared" si="1"/>
        <v>1223.9264923485393</v>
      </c>
      <c r="C48" s="7">
        <f t="shared" si="2"/>
        <v>407.28602362124849</v>
      </c>
      <c r="D48" s="7">
        <f t="shared" si="3"/>
        <v>101.92528731630689</v>
      </c>
      <c r="F48" s="12">
        <f>[2]BOSS副本数值!B48</f>
        <v>818494.72212562407</v>
      </c>
      <c r="G48" s="12">
        <f>[2]BOSS副本数值!C48</f>
        <v>11039.008269199981</v>
      </c>
      <c r="H48" s="12">
        <f>[2]BOSS副本数值!D48</f>
        <v>2690.8275851505027</v>
      </c>
    </row>
    <row r="49" spans="1:8" x14ac:dyDescent="0.15">
      <c r="A49" s="7">
        <v>48</v>
      </c>
      <c r="B49" s="7">
        <f t="shared" si="1"/>
        <v>1323.775538419555</v>
      </c>
      <c r="C49" s="7">
        <f t="shared" si="2"/>
        <v>443.51782032787247</v>
      </c>
      <c r="D49" s="7">
        <f t="shared" si="3"/>
        <v>108.88681612648224</v>
      </c>
      <c r="F49" s="12">
        <f>[2]BOSS副本数值!B49</f>
        <v>885268.27244038542</v>
      </c>
      <c r="G49" s="12">
        <f>[2]BOSS副本数值!C49</f>
        <v>12021.028471848369</v>
      </c>
      <c r="H49" s="12">
        <f>[2]BOSS副本数值!D49</f>
        <v>2874.6119457391319</v>
      </c>
    </row>
    <row r="50" spans="1:8" x14ac:dyDescent="0.15">
      <c r="A50" s="7">
        <v>49</v>
      </c>
      <c r="B50" s="7">
        <f t="shared" si="1"/>
        <v>1429.1899703184179</v>
      </c>
      <c r="C50" s="7">
        <f t="shared" si="2"/>
        <v>482.10772117072668</v>
      </c>
      <c r="D50" s="7">
        <f t="shared" si="3"/>
        <v>116.13557648829436</v>
      </c>
      <c r="F50" s="12">
        <f>[2]BOSS副本数值!B50</f>
        <v>955763.6467005905</v>
      </c>
      <c r="G50" s="12">
        <f>[2]BOSS副本数值!C50</f>
        <v>13066.962311473624</v>
      </c>
      <c r="H50" s="12">
        <f>[2]BOSS副本数值!D50</f>
        <v>3065.9792192909717</v>
      </c>
    </row>
    <row r="51" spans="1:8" x14ac:dyDescent="0.15">
      <c r="A51" s="7">
        <v>50</v>
      </c>
      <c r="B51" s="7">
        <f t="shared" si="1"/>
        <v>1550.4876920330123</v>
      </c>
      <c r="C51" s="7">
        <f t="shared" si="2"/>
        <v>526.60424910853806</v>
      </c>
      <c r="D51" s="7">
        <f t="shared" si="3"/>
        <v>124.49027896017029</v>
      </c>
      <c r="F51" s="12">
        <f>[2]BOSS副本数值!B51</f>
        <v>1036880.891608617</v>
      </c>
      <c r="G51" s="12">
        <f>[2]BOSS副本数值!C51</f>
        <v>14272.988326039183</v>
      </c>
      <c r="H51" s="12">
        <f>[2]BOSS副本数值!D51</f>
        <v>3286.5433645484964</v>
      </c>
    </row>
    <row r="52" spans="1:8" x14ac:dyDescent="0.15">
      <c r="A52" s="7">
        <v>51</v>
      </c>
      <c r="B52" s="7">
        <f t="shared" si="1"/>
        <v>1648.7855397128885</v>
      </c>
      <c r="C52" s="7">
        <f t="shared" si="2"/>
        <v>574.05840112662918</v>
      </c>
      <c r="D52" s="7">
        <f t="shared" si="3"/>
        <v>133.20107585233606</v>
      </c>
      <c r="F52" s="12">
        <f>[2]BOSS副本数值!B52</f>
        <v>1102617.0857552958</v>
      </c>
      <c r="G52" s="12">
        <f>[2]BOSS副本数值!C52</f>
        <v>15559.177259992701</v>
      </c>
      <c r="H52" s="12">
        <f>[2]BOSS副本数值!D52</f>
        <v>3516.5084025016731</v>
      </c>
    </row>
    <row r="53" spans="1:8" x14ac:dyDescent="0.15">
      <c r="A53" s="7">
        <v>52</v>
      </c>
      <c r="B53" s="7">
        <f t="shared" si="1"/>
        <v>1814.0664427004097</v>
      </c>
      <c r="C53" s="7">
        <f t="shared" si="2"/>
        <v>624.60532006845358</v>
      </c>
      <c r="D53" s="7">
        <f t="shared" si="3"/>
        <v>142.27427792034052</v>
      </c>
      <c r="F53" s="12">
        <f>[2]BOSS副本数值!B53</f>
        <v>1213147.8632236857</v>
      </c>
      <c r="G53" s="12">
        <f>[2]BOSS副本数值!C53</f>
        <v>16929.192001034429</v>
      </c>
      <c r="H53" s="12">
        <f>[2]BOSS副本数值!D53</f>
        <v>3756.040937096991</v>
      </c>
    </row>
    <row r="54" spans="1:8" x14ac:dyDescent="0.15">
      <c r="A54" s="7">
        <v>53</v>
      </c>
      <c r="B54" s="7">
        <f t="shared" si="1"/>
        <v>1956.8117412987169</v>
      </c>
      <c r="C54" s="7">
        <f t="shared" si="2"/>
        <v>678.38443534916473</v>
      </c>
      <c r="D54" s="7">
        <f t="shared" si="3"/>
        <v>151.71619591973246</v>
      </c>
      <c r="F54" s="12">
        <f>[2]BOSS副本数值!B54</f>
        <v>1308608.0679348106</v>
      </c>
      <c r="G54" s="12">
        <f>[2]BOSS副本数值!C54</f>
        <v>18386.81161934499</v>
      </c>
      <c r="H54" s="12">
        <f>[2]BOSS副本数值!D54</f>
        <v>4005.3075722809381</v>
      </c>
    </row>
    <row r="55" spans="1:8" x14ac:dyDescent="0.15">
      <c r="A55" s="7">
        <v>54</v>
      </c>
      <c r="B55" s="7">
        <f t="shared" si="1"/>
        <v>2107.1759811892639</v>
      </c>
      <c r="C55" s="7">
        <f t="shared" si="2"/>
        <v>735.53959522009779</v>
      </c>
      <c r="D55" s="7">
        <f t="shared" si="3"/>
        <v>161.53314060606064</v>
      </c>
      <c r="F55" s="12">
        <f>[2]BOSS副本数值!B55</f>
        <v>1409163.4015404147</v>
      </c>
      <c r="G55" s="12">
        <f>[2]BOSS副本数值!C55</f>
        <v>19935.93495245845</v>
      </c>
      <c r="H55" s="12">
        <f>[2]BOSS副本数值!D55</f>
        <v>4264.4749120000015</v>
      </c>
    </row>
    <row r="56" spans="1:8" x14ac:dyDescent="0.15">
      <c r="A56" s="7">
        <v>55</v>
      </c>
      <c r="B56" s="7">
        <f t="shared" si="1"/>
        <v>2265.399514531844</v>
      </c>
      <c r="C56" s="7">
        <f t="shared" si="2"/>
        <v>796.21920614000214</v>
      </c>
      <c r="D56" s="7">
        <f t="shared" si="3"/>
        <v>171.7314227348738</v>
      </c>
      <c r="F56" s="12">
        <f>[2]BOSS副本数值!B56</f>
        <v>1514974.5983455984</v>
      </c>
      <c r="G56" s="12">
        <f>[2]BOSS副本数值!C56</f>
        <v>21580.584382755562</v>
      </c>
      <c r="H56" s="12">
        <f>[2]BOSS副本数值!D56</f>
        <v>4533.7095602006693</v>
      </c>
    </row>
    <row r="57" spans="1:8" x14ac:dyDescent="0.15">
      <c r="A57" s="7">
        <v>56</v>
      </c>
      <c r="B57" s="7">
        <f t="shared" si="1"/>
        <v>2431.7259783317272</v>
      </c>
      <c r="C57" s="7">
        <f t="shared" si="2"/>
        <v>860.57637970254746</v>
      </c>
      <c r="D57" s="7">
        <f t="shared" si="3"/>
        <v>182.31735306172092</v>
      </c>
      <c r="F57" s="12">
        <f>[2]BOSS副本数值!B57</f>
        <v>1626204.5893794512</v>
      </c>
      <c r="G57" s="12">
        <f>[2]BOSS副本数值!C57</f>
        <v>23324.90981976084</v>
      </c>
      <c r="H57" s="12">
        <f>[2]BOSS副本数值!D57</f>
        <v>4813.1781208294333</v>
      </c>
    </row>
    <row r="58" spans="1:8" x14ac:dyDescent="0.15">
      <c r="A58" s="7">
        <v>57</v>
      </c>
      <c r="B58" s="7">
        <f t="shared" si="1"/>
        <v>2606.4022932226708</v>
      </c>
      <c r="C58" s="7">
        <f t="shared" si="2"/>
        <v>928.76908760241054</v>
      </c>
      <c r="D58" s="7">
        <f t="shared" si="3"/>
        <v>193.29724234215064</v>
      </c>
      <c r="F58" s="12">
        <f>[2]BOSS副本数值!B58</f>
        <v>1743018.5015811953</v>
      </c>
      <c r="G58" s="12">
        <f>[2]BOSS副本数值!C58</f>
        <v>25173.19290031596</v>
      </c>
      <c r="H58" s="12">
        <f>[2]BOSS副本数值!D58</f>
        <v>5103.0471978327778</v>
      </c>
    </row>
    <row r="59" spans="1:8" x14ac:dyDescent="0.15">
      <c r="A59" s="7">
        <v>58</v>
      </c>
      <c r="B59" s="7">
        <f t="shared" si="1"/>
        <v>2789.678662223484</v>
      </c>
      <c r="C59" s="7">
        <f t="shared" si="2"/>
        <v>1000.9603251577789</v>
      </c>
      <c r="D59" s="7">
        <f t="shared" si="3"/>
        <v>204.67740133171179</v>
      </c>
      <c r="F59" s="12">
        <f>[2]BOSS副本数值!B59</f>
        <v>1865583.6569686441</v>
      </c>
      <c r="G59" s="12">
        <f>[2]BOSS副本数值!C59</f>
        <v>27129.851420664745</v>
      </c>
      <c r="H59" s="12">
        <f>[2]BOSS副本数值!D59</f>
        <v>5403.4833951571927</v>
      </c>
    </row>
    <row r="60" spans="1:8" x14ac:dyDescent="0.15">
      <c r="A60" s="7">
        <v>59</v>
      </c>
      <c r="B60" s="7">
        <f t="shared" si="1"/>
        <v>2981.8085694737533</v>
      </c>
      <c r="C60" s="7">
        <f t="shared" si="2"/>
        <v>1077.3182839455606</v>
      </c>
      <c r="D60" s="7">
        <f t="shared" si="3"/>
        <v>216.46414078595322</v>
      </c>
      <c r="F60" s="12">
        <f>[2]BOSS副本数值!B60</f>
        <v>1994069.5717927255</v>
      </c>
      <c r="G60" s="12">
        <f>[2]BOSS副本数值!C60</f>
        <v>29199.444015527304</v>
      </c>
      <c r="H60" s="12">
        <f>[2]BOSS副本数值!D60</f>
        <v>5714.6533167491662</v>
      </c>
    </row>
    <row r="61" spans="1:8" x14ac:dyDescent="0.15">
      <c r="A61" s="7">
        <v>60</v>
      </c>
      <c r="B61" s="7">
        <f t="shared" si="1"/>
        <v>3198.7288221996942</v>
      </c>
      <c r="C61" s="7">
        <f t="shared" si="2"/>
        <v>1163.7210490938612</v>
      </c>
      <c r="D61" s="7">
        <f t="shared" si="3"/>
        <v>229.79019397993321</v>
      </c>
      <c r="F61" s="12">
        <f>[2]BOSS副本数值!B61</f>
        <v>2139133.9062019349</v>
      </c>
      <c r="G61" s="12">
        <f>[2]BOSS副本数值!C61</f>
        <v>31541.289263428105</v>
      </c>
      <c r="H61" s="12">
        <f>[2]BOSS副本数值!D61</f>
        <v>6066.4611210702378</v>
      </c>
    </row>
    <row r="62" spans="1:8" x14ac:dyDescent="0.15">
      <c r="A62" s="7">
        <v>61</v>
      </c>
      <c r="B62" s="7">
        <f t="shared" si="1"/>
        <v>3426.290672934068</v>
      </c>
      <c r="C62" s="7">
        <f t="shared" si="2"/>
        <v>1255.1883924151186</v>
      </c>
      <c r="D62" s="7">
        <f t="shared" si="3"/>
        <v>243.60262915019766</v>
      </c>
      <c r="F62" s="12">
        <f>[2]BOSS副本数值!B62</f>
        <v>2291314.7560712937</v>
      </c>
      <c r="G62" s="12">
        <f>[2]BOSS副本数值!C62</f>
        <v>34020.403941382494</v>
      </c>
      <c r="H62" s="12">
        <f>[2]BOSS副本数值!D62</f>
        <v>6431.1094095652197</v>
      </c>
    </row>
    <row r="63" spans="1:8" x14ac:dyDescent="0.15">
      <c r="A63" s="7">
        <v>62</v>
      </c>
      <c r="B63" s="7">
        <f t="shared" si="1"/>
        <v>3664.8036019935494</v>
      </c>
      <c r="C63" s="7">
        <f t="shared" si="2"/>
        <v>1351.933098377234</v>
      </c>
      <c r="D63" s="7">
        <f t="shared" si="3"/>
        <v>257.90901920340536</v>
      </c>
      <c r="F63" s="12">
        <f>[2]BOSS副本数值!B63</f>
        <v>2450819.0848151767</v>
      </c>
      <c r="G63" s="12">
        <f>[2]BOSS副本数值!C63</f>
        <v>36642.555321932334</v>
      </c>
      <c r="H63" s="12">
        <f>[2]BOSS副本数值!D63</f>
        <v>6808.7981069699035</v>
      </c>
    </row>
    <row r="64" spans="1:8" x14ac:dyDescent="0.15">
      <c r="A64" s="7">
        <v>63</v>
      </c>
      <c r="B64" s="7">
        <f t="shared" si="1"/>
        <v>3914.5810223915146</v>
      </c>
      <c r="C64" s="7">
        <f t="shared" si="2"/>
        <v>1454.1748882302488</v>
      </c>
      <c r="D64" s="7">
        <f t="shared" si="3"/>
        <v>272.7169370462147</v>
      </c>
      <c r="F64" s="12">
        <f>[2]BOSS副本数值!B64</f>
        <v>2617856.485819214</v>
      </c>
      <c r="G64" s="12">
        <f>[2]BOSS副本数值!C64</f>
        <v>39413.69869093439</v>
      </c>
      <c r="H64" s="12">
        <f>[2]BOSS副本数值!D64</f>
        <v>7199.7271380200691</v>
      </c>
    </row>
    <row r="65" spans="1:8" x14ac:dyDescent="0.15">
      <c r="A65" s="7">
        <v>64</v>
      </c>
      <c r="B65" s="7">
        <f t="shared" si="1"/>
        <v>4175.9402783266505</v>
      </c>
      <c r="C65" s="7">
        <f t="shared" si="2"/>
        <v>1562.1406814995812</v>
      </c>
      <c r="D65" s="7">
        <f t="shared" si="3"/>
        <v>288.03395558528439</v>
      </c>
      <c r="F65" s="12">
        <f>[2]BOSS副本数值!B65</f>
        <v>2792639.1814295561</v>
      </c>
      <c r="G65" s="12">
        <f>[2]BOSS副本数值!C65</f>
        <v>42339.984435026679</v>
      </c>
      <c r="H65" s="12">
        <f>[2]BOSS副本数值!D65</f>
        <v>7604.09642745151</v>
      </c>
    </row>
    <row r="66" spans="1:8" x14ac:dyDescent="0.15">
      <c r="A66" s="7">
        <v>65</v>
      </c>
      <c r="B66" s="7">
        <f t="shared" si="1"/>
        <v>4449.2026436645656</v>
      </c>
      <c r="C66" s="7">
        <f t="shared" si="2"/>
        <v>1676.0648729116467</v>
      </c>
      <c r="D66" s="7">
        <f t="shared" si="3"/>
        <v>303.86764772727275</v>
      </c>
      <c r="F66" s="12">
        <f>[2]BOSS副本数值!B66</f>
        <v>2975382.0219374602</v>
      </c>
      <c r="G66" s="12">
        <f>[2]BOSS副本数值!C66</f>
        <v>45427.765547371491</v>
      </c>
      <c r="H66" s="12">
        <f>[2]BOSS副本数值!D66</f>
        <v>8022.1059000000023</v>
      </c>
    </row>
    <row r="67" spans="1:8" x14ac:dyDescent="0.15">
      <c r="A67" s="7">
        <v>66</v>
      </c>
      <c r="B67" s="7">
        <f t="shared" si="1"/>
        <v>4734.6933204156439</v>
      </c>
      <c r="C67" s="7">
        <f t="shared" si="2"/>
        <v>1796.189625824984</v>
      </c>
      <c r="D67" s="7">
        <f t="shared" si="3"/>
        <v>320.22558637883873</v>
      </c>
      <c r="F67" s="12">
        <f>[2]BOSS副本数值!B67</f>
        <v>3166302.4845613604</v>
      </c>
      <c r="G67" s="12">
        <f>[2]BOSS副本数值!C67</f>
        <v>48683.605580760624</v>
      </c>
      <c r="H67" s="12">
        <f>[2]BOSS副本数值!D67</f>
        <v>8453.9554804013442</v>
      </c>
    </row>
    <row r="68" spans="1:8" x14ac:dyDescent="0.15">
      <c r="A68" s="7">
        <v>67</v>
      </c>
      <c r="B68" s="7">
        <f t="shared" ref="B68:B81" si="4">F68/F$2</f>
        <v>5032.7414372120538</v>
      </c>
      <c r="C68" s="7">
        <f t="shared" ref="C68:C81" si="5">G68/G$2</f>
        <v>1903.081184109998</v>
      </c>
      <c r="D68" s="7">
        <f t="shared" ref="D68:D81" si="6">H68/H$2</f>
        <v>337.11534444664045</v>
      </c>
      <c r="F68" s="12">
        <f>[2]BOSS副本数值!B68</f>
        <v>3365620.6724283756</v>
      </c>
      <c r="G68" s="12">
        <f>[2]BOSS副本数值!C68</f>
        <v>51580.775450044552</v>
      </c>
      <c r="H68" s="12">
        <f>[2]BOSS副本数值!D68</f>
        <v>8899.84509339131</v>
      </c>
    </row>
    <row r="69" spans="1:8" x14ac:dyDescent="0.15">
      <c r="A69" s="7">
        <v>68</v>
      </c>
      <c r="B69" s="7">
        <f t="shared" si="4"/>
        <v>5343.6800477864354</v>
      </c>
      <c r="C69" s="7">
        <f t="shared" si="5"/>
        <v>2014.3255056743069</v>
      </c>
      <c r="D69" s="7">
        <f t="shared" si="6"/>
        <v>354.5444948373368</v>
      </c>
      <c r="F69" s="12">
        <f>[2]BOSS副本数值!B69</f>
        <v>3573559.3135569403</v>
      </c>
      <c r="G69" s="12">
        <f>[2]BOSS副本数值!C69</f>
        <v>54595.92184453988</v>
      </c>
      <c r="H69" s="12">
        <f>[2]BOSS副本数值!D69</f>
        <v>9359.9746637056942</v>
      </c>
    </row>
    <row r="70" spans="1:8" x14ac:dyDescent="0.15">
      <c r="A70" s="7">
        <v>69</v>
      </c>
      <c r="B70" s="7">
        <f t="shared" si="4"/>
        <v>5667.8461294544377</v>
      </c>
      <c r="C70" s="7">
        <f t="shared" si="5"/>
        <v>2130.0422655090506</v>
      </c>
      <c r="D70" s="7">
        <f t="shared" si="6"/>
        <v>372.52061045758614</v>
      </c>
      <c r="F70" s="12">
        <f>[2]BOSS副本数值!B70</f>
        <v>3790343.7598420088</v>
      </c>
      <c r="G70" s="12">
        <f>[2]BOSS副本数值!C70</f>
        <v>57732.288414016541</v>
      </c>
      <c r="H70" s="12">
        <f>[2]BOSS副本数值!D70</f>
        <v>9834.5441160802766</v>
      </c>
    </row>
    <row r="71" spans="1:8" x14ac:dyDescent="0.15">
      <c r="A71" s="7">
        <v>70</v>
      </c>
      <c r="B71" s="7">
        <f t="shared" si="4"/>
        <v>6028.3289928969398</v>
      </c>
      <c r="C71" s="7">
        <f t="shared" si="5"/>
        <v>2258.8785582771825</v>
      </c>
      <c r="D71" s="7">
        <f t="shared" si="6"/>
        <v>392.53251900273665</v>
      </c>
      <c r="F71" s="12">
        <f>[2]BOSS副本数值!B71</f>
        <v>4031414.8723548646</v>
      </c>
      <c r="G71" s="12">
        <f>[2]BOSS副本数值!C71</f>
        <v>61224.244481144095</v>
      </c>
      <c r="H71" s="12">
        <f>[2]BOSS副本数值!D71</f>
        <v>10362.85850167225</v>
      </c>
    </row>
    <row r="72" spans="1:8" x14ac:dyDescent="0.15">
      <c r="A72" s="7">
        <v>71</v>
      </c>
      <c r="B72" s="7">
        <f t="shared" si="4"/>
        <v>6404.3188036243891</v>
      </c>
      <c r="C72" s="7">
        <f t="shared" si="5"/>
        <v>2392.9841952495121</v>
      </c>
      <c r="D72" s="7">
        <f t="shared" si="6"/>
        <v>413.18213293199574</v>
      </c>
      <c r="F72" s="12">
        <f>[2]BOSS副本数值!B72</f>
        <v>4282856.1783297928</v>
      </c>
      <c r="G72" s="12">
        <f>[2]BOSS副本数值!C72</f>
        <v>64859.019920579638</v>
      </c>
      <c r="H72" s="12">
        <f>[2]BOSS副本数值!D72</f>
        <v>10908.008309404689</v>
      </c>
    </row>
    <row r="73" spans="1:8" x14ac:dyDescent="0.15">
      <c r="A73" s="7">
        <v>72</v>
      </c>
      <c r="B73" s="7">
        <f t="shared" si="4"/>
        <v>6796.2153809703841</v>
      </c>
      <c r="C73" s="7">
        <f t="shared" si="5"/>
        <v>2532.5064831689783</v>
      </c>
      <c r="D73" s="7">
        <f t="shared" si="6"/>
        <v>434.47828730313182</v>
      </c>
      <c r="F73" s="12">
        <f>[2]BOSS副本数值!B73</f>
        <v>4544935.05494704</v>
      </c>
      <c r="G73" s="12">
        <f>[2]BOSS副本数值!C73</f>
        <v>68640.607308201288</v>
      </c>
      <c r="H73" s="12">
        <f>[2]BOSS副本数值!D73</f>
        <v>11470.226784802682</v>
      </c>
    </row>
    <row r="74" spans="1:8" x14ac:dyDescent="0.15">
      <c r="A74" s="7">
        <v>73</v>
      </c>
      <c r="B74" s="7">
        <f t="shared" si="4"/>
        <v>7204.4231168157121</v>
      </c>
      <c r="C74" s="7">
        <f t="shared" si="5"/>
        <v>2677.5970900813704</v>
      </c>
      <c r="D74" s="7">
        <f t="shared" si="6"/>
        <v>456.42981717391331</v>
      </c>
      <c r="F74" s="12">
        <f>[2]BOSS副本数值!B74</f>
        <v>4817921.9372549243</v>
      </c>
      <c r="G74" s="12">
        <f>[2]BOSS副本数值!C74</f>
        <v>72573.11742786743</v>
      </c>
      <c r="H74" s="12">
        <f>[2]BOSS副本数值!D74</f>
        <v>12049.747173391313</v>
      </c>
    </row>
    <row r="75" spans="1:8" x14ac:dyDescent="0.15">
      <c r="A75" s="7">
        <v>74</v>
      </c>
      <c r="B75" s="7">
        <f t="shared" si="4"/>
        <v>7629.3509738770072</v>
      </c>
      <c r="C75" s="7">
        <f t="shared" si="5"/>
        <v>2828.4122806574305</v>
      </c>
      <c r="D75" s="7">
        <f t="shared" si="6"/>
        <v>479.0455576021082</v>
      </c>
      <c r="F75" s="12">
        <f>[2]BOSS副本数值!B75</f>
        <v>5102090.3170253802</v>
      </c>
      <c r="G75" s="12">
        <f>[2]BOSS副本数值!C75</f>
        <v>76660.785649545243</v>
      </c>
      <c r="H75" s="12">
        <f>[2]BOSS副本数值!D75</f>
        <v>12646.802720695659</v>
      </c>
    </row>
    <row r="76" spans="1:8" x14ac:dyDescent="0.15">
      <c r="A76" s="7">
        <v>75</v>
      </c>
      <c r="B76" s="7">
        <f t="shared" si="4"/>
        <v>8071.4124840065542</v>
      </c>
      <c r="C76" s="7">
        <f t="shared" si="5"/>
        <v>2985.1131669178412</v>
      </c>
      <c r="D76" s="7">
        <f t="shared" si="6"/>
        <v>502.33434364548526</v>
      </c>
      <c r="F76" s="12">
        <f>[2]BOSS副本数值!B76</f>
        <v>5397716.7416169643</v>
      </c>
      <c r="G76" s="12">
        <f>[2]BOSS副本数值!C76</f>
        <v>80907.978724916451</v>
      </c>
      <c r="H76" s="12">
        <f>[2]BOSS副本数值!D76</f>
        <v>13261.626672240815</v>
      </c>
    </row>
    <row r="77" spans="1:8" x14ac:dyDescent="0.15">
      <c r="A77" s="7">
        <v>76</v>
      </c>
      <c r="B77" s="7">
        <f t="shared" si="4"/>
        <v>8531.0257465045506</v>
      </c>
      <c r="C77" s="7">
        <f t="shared" si="5"/>
        <v>3147.865975550324</v>
      </c>
      <c r="D77" s="7">
        <f t="shared" si="6"/>
        <v>526.30501036181226</v>
      </c>
      <c r="F77" s="12">
        <f>[2]BOSS副本数值!B77</f>
        <v>5705080.8128461866</v>
      </c>
      <c r="G77" s="12">
        <f>[2]BOSS副本数值!C77</f>
        <v>85319.202032692556</v>
      </c>
      <c r="H77" s="12">
        <f>[2]BOSS副本数值!D77</f>
        <v>13894.452273551848</v>
      </c>
    </row>
    <row r="78" spans="1:8" x14ac:dyDescent="0.15">
      <c r="A78" s="7">
        <v>77</v>
      </c>
      <c r="B78" s="7">
        <f t="shared" si="4"/>
        <v>9008.6134264447337</v>
      </c>
      <c r="C78" s="7">
        <f t="shared" si="5"/>
        <v>3316.8423331141225</v>
      </c>
      <c r="D78" s="7">
        <f t="shared" si="6"/>
        <v>550.9663928088579</v>
      </c>
      <c r="F78" s="12">
        <f>[2]BOSS副本数值!B78</f>
        <v>6024465.1858677845</v>
      </c>
      <c r="G78" s="12">
        <f>[2]BOSS副本数值!C78</f>
        <v>89899.107308746694</v>
      </c>
      <c r="H78" s="12">
        <f>[2]BOSS副本数值!D78</f>
        <v>14545.512770153851</v>
      </c>
    </row>
    <row r="79" spans="1:8" x14ac:dyDescent="0.15">
      <c r="A79" s="7">
        <v>78</v>
      </c>
      <c r="B79" s="7">
        <f t="shared" si="4"/>
        <v>9504.6027530143238</v>
      </c>
      <c r="C79" s="7">
        <f t="shared" si="5"/>
        <v>3492.2195705440313</v>
      </c>
      <c r="D79" s="7">
        <f t="shared" si="6"/>
        <v>576.32732604439036</v>
      </c>
      <c r="F79" s="12">
        <f>[2]BOSS副本数值!B79</f>
        <v>6356155.5680645648</v>
      </c>
      <c r="G79" s="12">
        <f>[2]BOSS副本数值!C79</f>
        <v>94652.500899336883</v>
      </c>
      <c r="H79" s="12">
        <f>[2]BOSS副本数值!D79</f>
        <v>15215.041407571909</v>
      </c>
    </row>
    <row r="80" spans="1:8" x14ac:dyDescent="0.15">
      <c r="A80" s="7">
        <v>79</v>
      </c>
      <c r="B80" s="7">
        <f t="shared" si="4"/>
        <v>10019.425517869022</v>
      </c>
      <c r="C80" s="7">
        <f t="shared" si="5"/>
        <v>3674.1810484950106</v>
      </c>
      <c r="D80" s="7">
        <f t="shared" si="6"/>
        <v>602.39664512617844</v>
      </c>
      <c r="F80" s="12">
        <f>[2]BOSS副本数值!B80</f>
        <v>6700440.7179473201</v>
      </c>
      <c r="G80" s="12">
        <f>[2]BOSS副本数值!C80</f>
        <v>99584.352579188926</v>
      </c>
      <c r="H80" s="12">
        <f>[2]BOSS副本数值!D80</f>
        <v>15903.271431331115</v>
      </c>
    </row>
    <row r="81" spans="1:8" x14ac:dyDescent="0.15">
      <c r="A81" s="7">
        <v>80</v>
      </c>
      <c r="B81" s="7">
        <f t="shared" si="4"/>
        <v>10585.021112528955</v>
      </c>
      <c r="C81" s="7">
        <f t="shared" si="5"/>
        <v>3874.4475992560624</v>
      </c>
      <c r="D81" s="7">
        <f t="shared" si="6"/>
        <v>631.06134387351767</v>
      </c>
      <c r="F81" s="12">
        <f>[2]BOSS副本数值!B81</f>
        <v>7078679.9438981777</v>
      </c>
      <c r="G81" s="12">
        <f>[2]BOSS副本数值!C81</f>
        <v>105012.34171134551</v>
      </c>
      <c r="H81" s="12">
        <f>[2]BOSS副本数值!D81</f>
        <v>16660.019478260871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5"/>
  <sheetViews>
    <sheetView tabSelected="1" workbookViewId="0">
      <selection activeCell="C15" sqref="C15"/>
    </sheetView>
  </sheetViews>
  <sheetFormatPr defaultRowHeight="13.5" x14ac:dyDescent="0.15"/>
  <cols>
    <col min="2" max="4" width="13.875" bestFit="1" customWidth="1"/>
    <col min="6" max="6" width="19.375" bestFit="1" customWidth="1"/>
    <col min="12" max="12" width="14.25" customWidth="1"/>
  </cols>
  <sheetData>
    <row r="1" spans="1:14" x14ac:dyDescent="0.15">
      <c r="A1" s="7" t="s">
        <v>242</v>
      </c>
      <c r="B1" s="7" t="s">
        <v>239</v>
      </c>
      <c r="C1" s="7" t="s">
        <v>240</v>
      </c>
      <c r="D1" s="7" t="s">
        <v>241</v>
      </c>
      <c r="E1" s="7"/>
      <c r="F1" s="7" t="s">
        <v>243</v>
      </c>
      <c r="H1" t="s">
        <v>264</v>
      </c>
      <c r="I1" t="s">
        <v>265</v>
      </c>
      <c r="J1" t="s">
        <v>266</v>
      </c>
      <c r="L1" t="s">
        <v>267</v>
      </c>
      <c r="M1" t="s">
        <v>268</v>
      </c>
      <c r="N1" t="s">
        <v>269</v>
      </c>
    </row>
    <row r="2" spans="1:14" x14ac:dyDescent="0.15">
      <c r="A2" s="7">
        <v>1501</v>
      </c>
      <c r="B2" s="11">
        <v>1</v>
      </c>
      <c r="C2" s="11">
        <v>1</v>
      </c>
      <c r="D2" s="11">
        <v>1</v>
      </c>
      <c r="E2" s="7"/>
      <c r="F2" s="7" t="s">
        <v>244</v>
      </c>
      <c r="H2" s="13">
        <f>[2]BOSS副本数值!$H$2*B2</f>
        <v>10</v>
      </c>
      <c r="I2" s="13">
        <f>[2]BOSS副本数值!$I$2*C2</f>
        <v>2.12</v>
      </c>
      <c r="J2" s="14">
        <f>[2]BOSS副本数值!$J$2*D2</f>
        <v>1.2</v>
      </c>
      <c r="L2" s="15">
        <f>[2]BOSS副本数值!$H$81*B2</f>
        <v>6.49999999999838</v>
      </c>
      <c r="M2" s="15">
        <f>[2]BOSS副本数值!$I$81*C2</f>
        <v>1.5</v>
      </c>
      <c r="N2" s="15">
        <f>[2]BOSS副本数值!$J$81*D2</f>
        <v>1</v>
      </c>
    </row>
    <row r="3" spans="1:14" x14ac:dyDescent="0.15">
      <c r="A3" s="7">
        <v>1502</v>
      </c>
      <c r="B3" s="11">
        <v>1</v>
      </c>
      <c r="C3" s="11">
        <v>1</v>
      </c>
      <c r="D3" s="11">
        <v>1</v>
      </c>
      <c r="E3" s="7"/>
      <c r="F3" s="7" t="s">
        <v>245</v>
      </c>
      <c r="H3" s="13">
        <f>[2]BOSS副本数值!$H$2*B3</f>
        <v>10</v>
      </c>
      <c r="I3" s="13">
        <f>[2]BOSS副本数值!$I$2*C3</f>
        <v>2.12</v>
      </c>
      <c r="J3" s="14">
        <f>[2]BOSS副本数值!$J$2*D3</f>
        <v>1.2</v>
      </c>
      <c r="L3" s="15">
        <f>[2]BOSS副本数值!$H$81*B3</f>
        <v>6.49999999999838</v>
      </c>
      <c r="M3" s="15">
        <f>[2]BOSS副本数值!$I$81*C3</f>
        <v>1.5</v>
      </c>
      <c r="N3" s="15">
        <f>[2]BOSS副本数值!$J$81*D3</f>
        <v>1</v>
      </c>
    </row>
    <row r="4" spans="1:14" x14ac:dyDescent="0.15">
      <c r="A4" s="7">
        <v>1503</v>
      </c>
      <c r="B4" s="11">
        <v>1.25</v>
      </c>
      <c r="C4" s="11">
        <v>1.1000000000000001</v>
      </c>
      <c r="D4" s="11">
        <v>1.1000000000000001</v>
      </c>
      <c r="E4" s="7"/>
      <c r="F4" s="7" t="s">
        <v>246</v>
      </c>
      <c r="H4" s="13">
        <f>[2]BOSS副本数值!$H$2*B4</f>
        <v>12.5</v>
      </c>
      <c r="I4" s="13">
        <f>[2]BOSS副本数值!$I$2*C4</f>
        <v>2.3320000000000003</v>
      </c>
      <c r="J4" s="14">
        <f>[2]BOSS副本数值!$J$2*D4</f>
        <v>1.32</v>
      </c>
      <c r="L4" s="15">
        <f>[2]BOSS副本数值!$H$81*B4</f>
        <v>8.124999999997975</v>
      </c>
      <c r="M4" s="15">
        <f>[2]BOSS副本数值!$I$81*C4</f>
        <v>1.6500000000000001</v>
      </c>
      <c r="N4" s="15">
        <f>[2]BOSS副本数值!$J$81*D4</f>
        <v>1.1000000000000001</v>
      </c>
    </row>
    <row r="5" spans="1:14" x14ac:dyDescent="0.15">
      <c r="A5" s="7">
        <v>1504</v>
      </c>
      <c r="B5" s="11">
        <v>1.25</v>
      </c>
      <c r="C5" s="11">
        <v>1.1000000000000001</v>
      </c>
      <c r="D5" s="11">
        <v>1.1000000000000001</v>
      </c>
      <c r="E5" s="7"/>
      <c r="F5" s="7" t="s">
        <v>247</v>
      </c>
      <c r="H5" s="13">
        <f>[2]BOSS副本数值!$H$2*B5</f>
        <v>12.5</v>
      </c>
      <c r="I5" s="13">
        <f>[2]BOSS副本数值!$I$2*C5</f>
        <v>2.3320000000000003</v>
      </c>
      <c r="J5" s="14">
        <f>[2]BOSS副本数值!$J$2*D5</f>
        <v>1.32</v>
      </c>
      <c r="L5" s="15">
        <f>[2]BOSS副本数值!$H$81*B5</f>
        <v>8.124999999997975</v>
      </c>
      <c r="M5" s="15">
        <f>[2]BOSS副本数值!$I$81*C5</f>
        <v>1.6500000000000001</v>
      </c>
      <c r="N5" s="15">
        <f>[2]BOSS副本数值!$J$81*D5</f>
        <v>1.1000000000000001</v>
      </c>
    </row>
    <row r="6" spans="1:14" x14ac:dyDescent="0.15">
      <c r="A6" s="7">
        <v>1505</v>
      </c>
      <c r="B6" s="11">
        <v>1.25</v>
      </c>
      <c r="C6" s="11">
        <v>1.1000000000000001</v>
      </c>
      <c r="D6" s="11">
        <v>1.1000000000000001</v>
      </c>
      <c r="E6" s="7"/>
      <c r="F6" s="7" t="s">
        <v>248</v>
      </c>
      <c r="H6" s="13">
        <f>[2]BOSS副本数值!$H$2*B6</f>
        <v>12.5</v>
      </c>
      <c r="I6" s="13">
        <f>[2]BOSS副本数值!$I$2*C6</f>
        <v>2.3320000000000003</v>
      </c>
      <c r="J6" s="14">
        <f>[2]BOSS副本数值!$J$2*D6</f>
        <v>1.32</v>
      </c>
      <c r="L6" s="15">
        <f>[2]BOSS副本数值!$H$81*B6</f>
        <v>8.124999999997975</v>
      </c>
      <c r="M6" s="15">
        <f>[2]BOSS副本数值!$I$81*C6</f>
        <v>1.6500000000000001</v>
      </c>
      <c r="N6" s="15">
        <f>[2]BOSS副本数值!$J$81*D6</f>
        <v>1.1000000000000001</v>
      </c>
    </row>
    <row r="7" spans="1:14" x14ac:dyDescent="0.15">
      <c r="A7" s="7">
        <v>1506</v>
      </c>
      <c r="B7" s="11">
        <v>1.6</v>
      </c>
      <c r="C7" s="11">
        <v>1.25</v>
      </c>
      <c r="D7" s="11">
        <v>1.25</v>
      </c>
      <c r="E7" s="7"/>
      <c r="F7" s="7" t="s">
        <v>249</v>
      </c>
      <c r="H7" s="13">
        <f>[2]BOSS副本数值!$H$2*B7</f>
        <v>16</v>
      </c>
      <c r="I7" s="13">
        <f>[2]BOSS副本数值!$I$2*C7</f>
        <v>2.6500000000000004</v>
      </c>
      <c r="J7" s="14">
        <f>[2]BOSS副本数值!$J$2*D7</f>
        <v>1.5</v>
      </c>
      <c r="L7" s="15">
        <f>[2]BOSS副本数值!$H$81*B7</f>
        <v>10.399999999997409</v>
      </c>
      <c r="M7" s="15">
        <f>[2]BOSS副本数值!$I$81*C7</f>
        <v>1.875</v>
      </c>
      <c r="N7" s="15">
        <f>[2]BOSS副本数值!$J$81*D7</f>
        <v>1.25</v>
      </c>
    </row>
    <row r="8" spans="1:14" x14ac:dyDescent="0.15">
      <c r="A8" s="7">
        <v>1507</v>
      </c>
      <c r="B8" s="11">
        <v>1.6</v>
      </c>
      <c r="C8" s="11">
        <v>1.25</v>
      </c>
      <c r="D8" s="11">
        <v>1.25</v>
      </c>
      <c r="E8" s="7"/>
      <c r="F8" s="7" t="s">
        <v>250</v>
      </c>
      <c r="H8" s="13">
        <f>[2]BOSS副本数值!$H$2*B8</f>
        <v>16</v>
      </c>
      <c r="I8" s="13">
        <f>[2]BOSS副本数值!$I$2*C8</f>
        <v>2.6500000000000004</v>
      </c>
      <c r="J8" s="14">
        <f>[2]BOSS副本数值!$J$2*D8</f>
        <v>1.5</v>
      </c>
      <c r="L8" s="15">
        <f>[2]BOSS副本数值!$H$81*B8</f>
        <v>10.399999999997409</v>
      </c>
      <c r="M8" s="15">
        <f>[2]BOSS副本数值!$I$81*C8</f>
        <v>1.875</v>
      </c>
      <c r="N8" s="15">
        <f>[2]BOSS副本数值!$J$81*D8</f>
        <v>1.25</v>
      </c>
    </row>
    <row r="9" spans="1:14" x14ac:dyDescent="0.15">
      <c r="A9" s="7">
        <v>1508</v>
      </c>
      <c r="B9" s="11">
        <v>1.6</v>
      </c>
      <c r="C9" s="11">
        <v>1.25</v>
      </c>
      <c r="D9" s="11">
        <v>1.25</v>
      </c>
      <c r="E9" s="7"/>
      <c r="F9" s="7" t="s">
        <v>251</v>
      </c>
      <c r="H9" s="13">
        <f>[2]BOSS副本数值!$H$2*B9</f>
        <v>16</v>
      </c>
      <c r="I9" s="13">
        <f>[2]BOSS副本数值!$I$2*C9</f>
        <v>2.6500000000000004</v>
      </c>
      <c r="J9" s="14">
        <f>[2]BOSS副本数值!$J$2*D9</f>
        <v>1.5</v>
      </c>
      <c r="L9" s="15">
        <f>[2]BOSS副本数值!$H$81*B9</f>
        <v>10.399999999997409</v>
      </c>
      <c r="M9" s="15">
        <f>[2]BOSS副本数值!$I$81*C9</f>
        <v>1.875</v>
      </c>
      <c r="N9" s="15">
        <f>[2]BOSS副本数值!$J$81*D9</f>
        <v>1.25</v>
      </c>
    </row>
    <row r="10" spans="1:14" x14ac:dyDescent="0.15">
      <c r="A10" s="7">
        <v>1509</v>
      </c>
      <c r="B10" s="11">
        <v>1.6</v>
      </c>
      <c r="C10" s="11">
        <v>1.25</v>
      </c>
      <c r="D10" s="11">
        <v>1.25</v>
      </c>
      <c r="E10" s="7"/>
      <c r="F10" s="7" t="s">
        <v>252</v>
      </c>
      <c r="H10" s="13">
        <f>[2]BOSS副本数值!$H$2*B10</f>
        <v>16</v>
      </c>
      <c r="I10" s="13">
        <f>[2]BOSS副本数值!$I$2*C10</f>
        <v>2.6500000000000004</v>
      </c>
      <c r="J10" s="14">
        <f>[2]BOSS副本数值!$J$2*D10</f>
        <v>1.5</v>
      </c>
      <c r="L10" s="15">
        <f>[2]BOSS副本数值!$H$81*B10</f>
        <v>10.399999999997409</v>
      </c>
      <c r="M10" s="15">
        <f>[2]BOSS副本数值!$I$81*C10</f>
        <v>1.875</v>
      </c>
      <c r="N10" s="15">
        <f>[2]BOSS副本数值!$J$81*D10</f>
        <v>1.25</v>
      </c>
    </row>
    <row r="11" spans="1:14" x14ac:dyDescent="0.15">
      <c r="A11" s="7">
        <v>1510</v>
      </c>
      <c r="B11" s="11">
        <v>1.6</v>
      </c>
      <c r="C11" s="11">
        <v>1.25</v>
      </c>
      <c r="D11" s="11">
        <v>1.25</v>
      </c>
      <c r="E11" s="7"/>
      <c r="F11" s="7" t="s">
        <v>253</v>
      </c>
      <c r="H11" s="13">
        <f>[2]BOSS副本数值!$H$2*B11</f>
        <v>16</v>
      </c>
      <c r="I11" s="13">
        <f>[2]BOSS副本数值!$I$2*C11</f>
        <v>2.6500000000000004</v>
      </c>
      <c r="J11" s="14">
        <f>[2]BOSS副本数值!$J$2*D11</f>
        <v>1.5</v>
      </c>
      <c r="L11" s="15">
        <f>[2]BOSS副本数值!$H$81*B11</f>
        <v>10.399999999997409</v>
      </c>
      <c r="M11" s="15">
        <f>[2]BOSS副本数值!$I$81*C11</f>
        <v>1.875</v>
      </c>
      <c r="N11" s="15">
        <f>[2]BOSS副本数值!$J$81*D11</f>
        <v>1.25</v>
      </c>
    </row>
    <row r="12" spans="1:14" x14ac:dyDescent="0.15">
      <c r="A12" s="7">
        <v>1511</v>
      </c>
      <c r="B12" s="11">
        <v>1.6</v>
      </c>
      <c r="C12" s="11">
        <v>1.25</v>
      </c>
      <c r="D12" s="11">
        <v>1.25</v>
      </c>
      <c r="E12" s="7"/>
      <c r="F12" s="7" t="s">
        <v>254</v>
      </c>
      <c r="H12" s="13">
        <f>[2]BOSS副本数值!$H$2*B12</f>
        <v>16</v>
      </c>
      <c r="I12" s="13">
        <f>[2]BOSS副本数值!$I$2*C12</f>
        <v>2.6500000000000004</v>
      </c>
      <c r="J12" s="14">
        <f>[2]BOSS副本数值!$J$2*D12</f>
        <v>1.5</v>
      </c>
      <c r="L12" s="15">
        <f>[2]BOSS副本数值!$H$81*B12</f>
        <v>10.399999999997409</v>
      </c>
      <c r="M12" s="15">
        <f>[2]BOSS副本数值!$I$81*C12</f>
        <v>1.875</v>
      </c>
      <c r="N12" s="15">
        <f>[2]BOSS副本数值!$J$81*D12</f>
        <v>1.25</v>
      </c>
    </row>
    <row r="13" spans="1:14" x14ac:dyDescent="0.15">
      <c r="A13" s="7">
        <v>1512</v>
      </c>
      <c r="B13" s="11">
        <v>2</v>
      </c>
      <c r="C13" s="11">
        <v>1.4</v>
      </c>
      <c r="D13" s="11">
        <v>1.4</v>
      </c>
      <c r="E13" s="7"/>
      <c r="F13" s="7" t="s">
        <v>255</v>
      </c>
      <c r="H13" s="13">
        <f>[2]BOSS副本数值!$H$2*B13</f>
        <v>20</v>
      </c>
      <c r="I13" s="13">
        <f>[2]BOSS副本数值!$I$2*C13</f>
        <v>2.968</v>
      </c>
      <c r="J13" s="14">
        <f>[2]BOSS副本数值!$J$2*D13</f>
        <v>1.68</v>
      </c>
      <c r="L13" s="15">
        <f>[2]BOSS副本数值!$H$81*B13</f>
        <v>12.99999999999676</v>
      </c>
      <c r="M13" s="15">
        <f>[2]BOSS副本数值!$I$81*C13</f>
        <v>2.0999999999999996</v>
      </c>
      <c r="N13" s="15">
        <f>[2]BOSS副本数值!$J$81*D13</f>
        <v>1.4</v>
      </c>
    </row>
    <row r="14" spans="1:14" x14ac:dyDescent="0.15">
      <c r="A14" s="7">
        <v>1513</v>
      </c>
      <c r="B14" s="11">
        <v>2</v>
      </c>
      <c r="C14" s="11">
        <v>1.4</v>
      </c>
      <c r="D14" s="11">
        <v>1.4</v>
      </c>
      <c r="E14" s="7"/>
      <c r="F14" s="7" t="s">
        <v>256</v>
      </c>
      <c r="H14" s="13">
        <f>[2]BOSS副本数值!$H$2*B14</f>
        <v>20</v>
      </c>
      <c r="I14" s="13">
        <f>[2]BOSS副本数值!$I$2*C14</f>
        <v>2.968</v>
      </c>
      <c r="J14" s="14">
        <f>[2]BOSS副本数值!$J$2*D14</f>
        <v>1.68</v>
      </c>
      <c r="L14" s="15">
        <f>[2]BOSS副本数值!$H$81*B14</f>
        <v>12.99999999999676</v>
      </c>
      <c r="M14" s="15">
        <f>[2]BOSS副本数值!$I$81*C14</f>
        <v>2.0999999999999996</v>
      </c>
      <c r="N14" s="15">
        <f>[2]BOSS副本数值!$J$81*D14</f>
        <v>1.4</v>
      </c>
    </row>
    <row r="15" spans="1:14" x14ac:dyDescent="0.15">
      <c r="A15" s="7">
        <v>1514</v>
      </c>
      <c r="B15" s="11">
        <v>2</v>
      </c>
      <c r="C15" s="11">
        <v>1.4</v>
      </c>
      <c r="D15" s="11">
        <v>1.4</v>
      </c>
      <c r="E15" s="7"/>
      <c r="F15" s="7" t="s">
        <v>257</v>
      </c>
      <c r="H15" s="13">
        <f>[2]BOSS副本数值!$H$2*B15</f>
        <v>20</v>
      </c>
      <c r="I15" s="13">
        <f>[2]BOSS副本数值!$I$2*C15</f>
        <v>2.968</v>
      </c>
      <c r="J15" s="14">
        <f>[2]BOSS副本数值!$J$2*D15</f>
        <v>1.68</v>
      </c>
      <c r="L15" s="15">
        <f>[2]BOSS副本数值!$H$81*B15</f>
        <v>12.99999999999676</v>
      </c>
      <c r="M15" s="15">
        <f>[2]BOSS副本数值!$I$81*C15</f>
        <v>2.0999999999999996</v>
      </c>
      <c r="N15" s="15">
        <f>[2]BOSS副本数值!$J$81*D15</f>
        <v>1.4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27"/>
  <sheetViews>
    <sheetView workbookViewId="0">
      <selection activeCell="H130" sqref="H130"/>
    </sheetView>
  </sheetViews>
  <sheetFormatPr defaultRowHeight="13.5" x14ac:dyDescent="0.15"/>
  <sheetData>
    <row r="1" spans="1:6" x14ac:dyDescent="0.15">
      <c r="A1" t="s">
        <v>168</v>
      </c>
      <c r="B1" s="7" t="s">
        <v>139</v>
      </c>
      <c r="C1" s="7" t="s">
        <v>167</v>
      </c>
      <c r="D1" s="7" t="s">
        <v>160</v>
      </c>
      <c r="E1" s="7" t="s">
        <v>161</v>
      </c>
      <c r="F1" s="7" t="s">
        <v>162</v>
      </c>
    </row>
    <row r="2" spans="1:6" x14ac:dyDescent="0.15">
      <c r="A2">
        <f>C2*1000+B2</f>
        <v>1020</v>
      </c>
      <c r="B2" s="7">
        <f>[2]远征副本等级难度系数控制!A2</f>
        <v>20</v>
      </c>
      <c r="C2" s="7">
        <f>[2]远征副本等级难度系数控制!B2</f>
        <v>1</v>
      </c>
      <c r="D2" s="7">
        <f ca="1">[2]远征副本等级难度系数控制!C2</f>
        <v>1</v>
      </c>
      <c r="E2" s="7">
        <f ca="1">[2]远征副本等级难度系数控制!D2</f>
        <v>1</v>
      </c>
      <c r="F2" s="7">
        <f ca="1">[2]远征副本等级难度系数控制!E2</f>
        <v>1</v>
      </c>
    </row>
    <row r="3" spans="1:6" x14ac:dyDescent="0.15">
      <c r="A3">
        <f t="shared" ref="A3:A66" si="0">C3*1000+B3</f>
        <v>1021</v>
      </c>
      <c r="B3" s="7">
        <f>[2]远征副本等级难度系数控制!A3</f>
        <v>21</v>
      </c>
      <c r="C3" s="7">
        <f>[2]远征副本等级难度系数控制!B3</f>
        <v>1</v>
      </c>
      <c r="D3" s="7">
        <f ca="1">[2]远征副本等级难度系数控制!C3</f>
        <v>1.1175968387549777</v>
      </c>
      <c r="E3" s="7">
        <f ca="1">[2]远征副本等级难度系数控制!D3</f>
        <v>1.1146010935804289</v>
      </c>
      <c r="F3" s="7">
        <f ca="1">[2]远征副本等级难度系数控制!E3</f>
        <v>1.0931717687074833</v>
      </c>
    </row>
    <row r="4" spans="1:6" x14ac:dyDescent="0.15">
      <c r="A4">
        <f t="shared" si="0"/>
        <v>1022</v>
      </c>
      <c r="B4" s="7">
        <f>[2]远征副本等级难度系数控制!A4</f>
        <v>22</v>
      </c>
      <c r="C4" s="7">
        <f>[2]远征副本等级难度系数控制!B4</f>
        <v>1</v>
      </c>
      <c r="D4" s="7">
        <f ca="1">[2]远征副本等级难度系数控制!C4</f>
        <v>1.2431201966962262</v>
      </c>
      <c r="E4" s="7">
        <f ca="1">[2]远征副本等级难度系数控制!D4</f>
        <v>1.2371895131535811</v>
      </c>
      <c r="F4" s="7">
        <f ca="1">[2]远征副本等级难度系数控制!E4</f>
        <v>1.1902040816326529</v>
      </c>
    </row>
    <row r="5" spans="1:6" x14ac:dyDescent="0.15">
      <c r="A5">
        <f t="shared" si="0"/>
        <v>1023</v>
      </c>
      <c r="B5" s="7">
        <f>[2]远征副本等级难度系数控制!A5</f>
        <v>23</v>
      </c>
      <c r="C5" s="7">
        <f>[2]远征副本等级难度系数控制!B5</f>
        <v>1</v>
      </c>
      <c r="D5" s="7">
        <f ca="1">[2]远征副本等级难度系数控制!C5</f>
        <v>1.4024517884049481</v>
      </c>
      <c r="E5" s="7">
        <f ca="1">[2]远征副本等级难度系数控制!D5</f>
        <v>1.3935880936402831</v>
      </c>
      <c r="F5" s="7">
        <f ca="1">[2]远征副本等级难度系数控制!E5</f>
        <v>1.31516810570382</v>
      </c>
    </row>
    <row r="6" spans="1:6" x14ac:dyDescent="0.15">
      <c r="A6">
        <f t="shared" si="0"/>
        <v>1024</v>
      </c>
      <c r="B6" s="7">
        <f>[2]远征副本等级难度系数控制!A6</f>
        <v>24</v>
      </c>
      <c r="C6" s="7">
        <f>[2]远征副本等级难度系数控制!B6</f>
        <v>1</v>
      </c>
      <c r="D6" s="7">
        <f ca="1">[2]远征副本等级难度系数控制!C6</f>
        <v>1.5727679083562143</v>
      </c>
      <c r="E6" s="7">
        <f ca="1">[2]远征副本等级难度系数控制!D6</f>
        <v>1.5611749565056994</v>
      </c>
      <c r="F6" s="7">
        <f ca="1">[2]远征副本等级难度系数控制!E6</f>
        <v>1.4454515325943895</v>
      </c>
    </row>
    <row r="7" spans="1:6" x14ac:dyDescent="0.15">
      <c r="A7">
        <f t="shared" si="0"/>
        <v>1025</v>
      </c>
      <c r="B7" s="7">
        <f>[2]远征副本等级难度系数控制!A7</f>
        <v>25</v>
      </c>
      <c r="C7" s="7">
        <f>[2]远征副本等级难度系数控制!B7</f>
        <v>1</v>
      </c>
      <c r="D7" s="7">
        <f ca="1">[2]远征副本等级难度系数控制!C7</f>
        <v>1.7543614190545793</v>
      </c>
      <c r="E7" s="7">
        <f ca="1">[2]远征副本等级难度系数控制!D7</f>
        <v>1.7403960436567891</v>
      </c>
      <c r="F7" s="7">
        <f ca="1">[2]远征副本等级难度系数控制!E7</f>
        <v>1.5810543623043625</v>
      </c>
    </row>
    <row r="8" spans="1:6" x14ac:dyDescent="0.15">
      <c r="A8">
        <f t="shared" si="0"/>
        <v>1026</v>
      </c>
      <c r="B8" s="7">
        <f>[2]远征副本等级难度系数控制!A8</f>
        <v>26</v>
      </c>
      <c r="C8" s="7">
        <f>[2]远征副本等级难度系数控制!B8</f>
        <v>1</v>
      </c>
      <c r="D8" s="7">
        <f ca="1">[2]远征副本等级难度系数控制!C8</f>
        <v>1.972233786607722</v>
      </c>
      <c r="E8" s="7">
        <f ca="1">[2]远征副本等级难度系数控制!D8</f>
        <v>1.9562188716520619</v>
      </c>
      <c r="F8" s="7">
        <f ca="1">[2]远征副本等级难度系数控制!E8</f>
        <v>1.7438244612530327</v>
      </c>
    </row>
    <row r="9" spans="1:6" x14ac:dyDescent="0.15">
      <c r="A9">
        <f t="shared" si="0"/>
        <v>1027</v>
      </c>
      <c r="B9" s="7">
        <f>[2]远征副本等级难度系数控制!A9</f>
        <v>27</v>
      </c>
      <c r="C9" s="7">
        <f>[2]远征副本等级难度系数控制!B9</f>
        <v>1</v>
      </c>
      <c r="D9" s="7">
        <f ca="1">[2]远征副本等级难度系数控制!C9</f>
        <v>2.2042918205274931</v>
      </c>
      <c r="E9" s="7">
        <f ca="1">[2]远征副本等级难度系数控制!D9</f>
        <v>2.1869252488502013</v>
      </c>
      <c r="F9" s="7">
        <f ca="1">[2]远征副本等级难度系数控制!E9</f>
        <v>1.9131277333777335</v>
      </c>
    </row>
    <row r="10" spans="1:6" x14ac:dyDescent="0.15">
      <c r="A10">
        <f t="shared" si="0"/>
        <v>1028</v>
      </c>
      <c r="B10" s="7">
        <f>[2]远征副本等级难度系数控制!A10</f>
        <v>28</v>
      </c>
      <c r="C10" s="7">
        <f>[2]远征副本等级难度系数控制!B10</f>
        <v>1</v>
      </c>
      <c r="D10" s="7">
        <f ca="1">[2]远征副本等级难度系数控制!C10</f>
        <v>2.4508928136691668</v>
      </c>
      <c r="E10" s="7">
        <f ca="1">[2]远征副本等级难度系数控制!D10</f>
        <v>2.4330994347065364</v>
      </c>
      <c r="F10" s="7">
        <f ca="1">[2]远征副本等级难度系数控制!E10</f>
        <v>2.0889641786784643</v>
      </c>
    </row>
    <row r="11" spans="1:6" x14ac:dyDescent="0.15">
      <c r="A11">
        <f t="shared" si="0"/>
        <v>1029</v>
      </c>
      <c r="B11" s="7">
        <f>[2]远征副本等级难度系数控制!A11</f>
        <v>29</v>
      </c>
      <c r="C11" s="7">
        <f>[2]远征副本等级难度系数控制!B11</f>
        <v>1</v>
      </c>
      <c r="D11" s="7">
        <f ca="1">[2]远征副本等级难度系数控制!C11</f>
        <v>2.712393023610018</v>
      </c>
      <c r="E11" s="7">
        <f ca="1">[2]远征副本等级难度系数控制!D11</f>
        <v>2.6953426647380621</v>
      </c>
      <c r="F11" s="7">
        <f ca="1">[2]远征副本等级难度系数控制!E11</f>
        <v>2.2713337971552265</v>
      </c>
    </row>
    <row r="12" spans="1:6" x14ac:dyDescent="0.15">
      <c r="A12">
        <f t="shared" si="0"/>
        <v>1030</v>
      </c>
      <c r="B12" s="7">
        <f>[2]远征副本等级难度系数控制!A12</f>
        <v>30</v>
      </c>
      <c r="C12" s="7">
        <f>[2]远征副本等级难度系数控制!B12</f>
        <v>1</v>
      </c>
      <c r="D12" s="7">
        <f ca="1">[2]远征副本等级难度系数控制!C12</f>
        <v>3.0265120612034337</v>
      </c>
      <c r="E12" s="7">
        <f ca="1">[2]远征副本等级难度系数控制!D12</f>
        <v>3.0114521937438314</v>
      </c>
      <c r="F12" s="7">
        <f ca="1">[2]远征副本等级难度系数控制!E12</f>
        <v>2.4909895461681182</v>
      </c>
    </row>
    <row r="13" spans="1:6" x14ac:dyDescent="0.15">
      <c r="A13">
        <f t="shared" si="0"/>
        <v>1031</v>
      </c>
      <c r="B13" s="7">
        <f>[2]远征副本等级难度系数控制!A13</f>
        <v>31</v>
      </c>
      <c r="C13" s="7">
        <f>[2]远征副本等级难度系数控制!B13</f>
        <v>1</v>
      </c>
      <c r="D13" s="7">
        <f ca="1">[2]远征副本等级难度系数控制!C13</f>
        <v>3.3695317344270128</v>
      </c>
      <c r="E13" s="7">
        <f ca="1">[2]远征副本等级难度系数控制!D13</f>
        <v>3.3453287902100226</v>
      </c>
      <c r="F13" s="7">
        <f ca="1">[2]远征副本等级难度系数控制!E13</f>
        <v>2.7213972107142856</v>
      </c>
    </row>
    <row r="14" spans="1:6" x14ac:dyDescent="0.15">
      <c r="A14">
        <f t="shared" si="0"/>
        <v>1032</v>
      </c>
      <c r="B14" s="7">
        <f>[2]远征副本等级难度系数控制!A14</f>
        <v>32</v>
      </c>
      <c r="C14" s="7">
        <f>[2]远征副本等级难度系数控制!B14</f>
        <v>1</v>
      </c>
      <c r="D14" s="7">
        <f ca="1">[2]远征副本等级难度系数控制!C14</f>
        <v>3.7361344036775015</v>
      </c>
      <c r="E14" s="7">
        <f ca="1">[2]远征副本等级难度系数控制!D14</f>
        <v>3.7019684271163458</v>
      </c>
      <c r="F14" s="7">
        <f ca="1">[2]远征副本等级难度系数控制!E14</f>
        <v>2.9619607008325004</v>
      </c>
    </row>
    <row r="15" spans="1:6" x14ac:dyDescent="0.15">
      <c r="A15">
        <f t="shared" si="0"/>
        <v>1033</v>
      </c>
      <c r="B15" s="7">
        <f>[2]远征副本等级难度系数控制!A15</f>
        <v>33</v>
      </c>
      <c r="C15" s="7">
        <f>[2]远征副本等级难度系数控制!B15</f>
        <v>1</v>
      </c>
      <c r="D15" s="7">
        <f ca="1">[2]远征副本等级难度系数控制!C15</f>
        <v>4.1255219053527243</v>
      </c>
      <c r="E15" s="7">
        <f ca="1">[2]远征副本等级难度系数控制!D15</f>
        <v>4.0806737103725679</v>
      </c>
      <c r="F15" s="7">
        <f ca="1">[2]远征副本等级难度系数控制!E15</f>
        <v>3.2114633441290867</v>
      </c>
    </row>
    <row r="16" spans="1:6" x14ac:dyDescent="0.15">
      <c r="A16">
        <f t="shared" si="0"/>
        <v>1034</v>
      </c>
      <c r="B16" s="7">
        <f>[2]远征副本等级难度系数控制!A16</f>
        <v>34</v>
      </c>
      <c r="C16" s="7">
        <f>[2]远征副本等级难度系数控制!B16</f>
        <v>1</v>
      </c>
      <c r="D16" s="7">
        <f ca="1">[2]远征副本等级难度系数控制!C16</f>
        <v>4.538082335892768</v>
      </c>
      <c r="E16" s="7">
        <f ca="1">[2]远征副本等级难度系数控制!D16</f>
        <v>4.481947978834933</v>
      </c>
      <c r="F16" s="7">
        <f ca="1">[2]远征副本等级难度系数控制!E16</f>
        <v>3.4696725503496499</v>
      </c>
    </row>
    <row r="17" spans="1:6" x14ac:dyDescent="0.15">
      <c r="A17">
        <f t="shared" si="0"/>
        <v>1035</v>
      </c>
      <c r="B17" s="7">
        <f>[2]远征副本等级难度系数控制!A17</f>
        <v>35</v>
      </c>
      <c r="C17" s="7">
        <f>[2]远征副本等级难度系数控制!B17</f>
        <v>1</v>
      </c>
      <c r="D17" s="7">
        <f ca="1">[2]远征副本等级难度系数控制!C17</f>
        <v>4.9741715657997156</v>
      </c>
      <c r="E17" s="7">
        <f ca="1">[2]远征副本等级难度系数控制!D17</f>
        <v>4.906283726505464</v>
      </c>
      <c r="F17" s="7">
        <f ca="1">[2]远征副本等级难度系数控制!E17</f>
        <v>3.7363379560915271</v>
      </c>
    </row>
    <row r="18" spans="1:6" x14ac:dyDescent="0.15">
      <c r="A18">
        <f t="shared" si="0"/>
        <v>1036</v>
      </c>
      <c r="B18" s="7">
        <f>[2]远征副本等级难度系数控制!A18</f>
        <v>36</v>
      </c>
      <c r="C18" s="7">
        <f>[2]远征副本等级难度系数控制!B18</f>
        <v>1</v>
      </c>
      <c r="D18" s="7">
        <f ca="1">[2]远征副本等级难度系数控制!C18</f>
        <v>5.4341119881686364</v>
      </c>
      <c r="E18" s="7">
        <f ca="1">[2]远征副本等级难度系数控制!D18</f>
        <v>5.3541621875502718</v>
      </c>
      <c r="F18" s="7">
        <f ca="1">[2]远征副本等级难度系数控制!E18</f>
        <v>4.0111914248037674</v>
      </c>
    </row>
    <row r="19" spans="1:6" x14ac:dyDescent="0.15">
      <c r="A19">
        <f t="shared" si="0"/>
        <v>1037</v>
      </c>
      <c r="B19" s="7">
        <f>[2]远征副本等级难度系数控制!A19</f>
        <v>37</v>
      </c>
      <c r="C19" s="7">
        <f>[2]远征副本等级难度系数控制!B19</f>
        <v>1</v>
      </c>
      <c r="D19" s="7">
        <f ca="1">[2]远征副本等级难度系数控制!C19</f>
        <v>5.9181912644716714</v>
      </c>
      <c r="E19" s="7">
        <f ca="1">[2]远征副本等级难度系数控制!D19</f>
        <v>5.898870580690045</v>
      </c>
      <c r="F19" s="7">
        <f ca="1">[2]远征副本等级难度系数控制!E19</f>
        <v>4.2939470467871415</v>
      </c>
    </row>
    <row r="20" spans="1:6" x14ac:dyDescent="0.15">
      <c r="A20">
        <f t="shared" si="0"/>
        <v>1038</v>
      </c>
      <c r="B20" s="7">
        <f>[2]远征副本等级难度系数控制!A20</f>
        <v>38</v>
      </c>
      <c r="C20" s="7">
        <f>[2]远征副本等级难度系数控制!B20</f>
        <v>1</v>
      </c>
      <c r="D20" s="7">
        <f ca="1">[2]远征副本等级难度系数控制!C20</f>
        <v>6.4266610681996923</v>
      </c>
      <c r="E20" s="7">
        <f ca="1">[2]远征副本等级难度系数控制!D20</f>
        <v>6.4807539182214366</v>
      </c>
      <c r="F20" s="7">
        <f ca="1">[2]远征副本等级难度系数控制!E20</f>
        <v>4.5843011391941397</v>
      </c>
    </row>
    <row r="21" spans="1:6" x14ac:dyDescent="0.15">
      <c r="A21">
        <f t="shared" si="0"/>
        <v>1039</v>
      </c>
      <c r="B21" s="7">
        <f>[2]远征副本等级难度系数控制!A21</f>
        <v>39</v>
      </c>
      <c r="C21" s="7">
        <f>[2]远征副本等级难度系数控制!B21</f>
        <v>1</v>
      </c>
      <c r="D21" s="7">
        <f ca="1">[2]远征副本等级难度系数控制!C21</f>
        <v>6.9597358268613378</v>
      </c>
      <c r="E21" s="7">
        <f ca="1">[2]远征副本等级难度系数控制!D21</f>
        <v>7.1012351304717276</v>
      </c>
      <c r="F21" s="7">
        <f ca="1">[2]远征副本等级难度系数控制!E21</f>
        <v>4.8819322460289714</v>
      </c>
    </row>
    <row r="22" spans="1:6" x14ac:dyDescent="0.15">
      <c r="A22">
        <f t="shared" si="0"/>
        <v>1040</v>
      </c>
      <c r="B22" s="7">
        <f>[2]远征副本等级难度系数控制!A22</f>
        <v>40</v>
      </c>
      <c r="C22" s="7">
        <f>[2]远征副本等级难度系数控制!B22</f>
        <v>1</v>
      </c>
      <c r="D22" s="7">
        <f ca="1">[2]远征副本等级难度系数控制!C22</f>
        <v>7.5853175119679284</v>
      </c>
      <c r="E22" s="7">
        <f ca="1">[2]远征副本等级难度系数控制!D22</f>
        <v>7.8316703769661906</v>
      </c>
      <c r="F22" s="7">
        <f ca="1">[2]远征副本等级难度系数控制!E22</f>
        <v>5.2332263736263753</v>
      </c>
    </row>
    <row r="23" spans="1:6" x14ac:dyDescent="0.15">
      <c r="A23">
        <f t="shared" si="0"/>
        <v>1041</v>
      </c>
      <c r="B23" s="7">
        <f>[2]远征副本等级难度系数控制!A23</f>
        <v>41</v>
      </c>
      <c r="C23" s="7">
        <f>[2]远征副本等级难度系数控制!B23</f>
        <v>1</v>
      </c>
      <c r="D23" s="7">
        <f ca="1">[2]远征副本等级难度系数控制!C23</f>
        <v>8.2424757843042009</v>
      </c>
      <c r="E23" s="7">
        <f ca="1">[2]远征副本等级难度系数控制!D23</f>
        <v>8.6122053165747889</v>
      </c>
      <c r="F23" s="7">
        <f ca="1">[2]远征副本等级难度系数控制!E23</f>
        <v>5.5941008275252537</v>
      </c>
    </row>
    <row r="24" spans="1:6" x14ac:dyDescent="0.15">
      <c r="A24">
        <f t="shared" si="0"/>
        <v>1042</v>
      </c>
      <c r="B24" s="7">
        <f>[2]远征副本等级难度系数控制!A24</f>
        <v>42</v>
      </c>
      <c r="C24" s="7">
        <f>[2]远征副本等级难度系数控制!B24</f>
        <v>1</v>
      </c>
      <c r="D24" s="7">
        <f ca="1">[2]远征副本等级难度系数控制!C24</f>
        <v>8.9314348390676503</v>
      </c>
      <c r="E24" s="7">
        <f ca="1">[2]远征副本等级难度系数控制!D24</f>
        <v>9.4447158163870402</v>
      </c>
      <c r="F24" s="7">
        <f ca="1">[2]远征副本等级难度系数控制!E24</f>
        <v>5.9641092265829432</v>
      </c>
    </row>
    <row r="25" spans="1:6" x14ac:dyDescent="0.15">
      <c r="A25">
        <f t="shared" si="0"/>
        <v>1043</v>
      </c>
      <c r="B25" s="7">
        <f>[2]远征副本等级难度系数控制!A25</f>
        <v>43</v>
      </c>
      <c r="C25" s="7">
        <f>[2]远征副本等级难度系数控制!B25</f>
        <v>1</v>
      </c>
      <c r="D25" s="7">
        <f ca="1">[2]远征副本等级难度系数控制!C25</f>
        <v>9.6523654393896958</v>
      </c>
      <c r="E25" s="7">
        <f ca="1">[2]远征副本等级难度系数控制!D25</f>
        <v>10.33108387341016</v>
      </c>
      <c r="F25" s="7">
        <f ca="1">[2]远征副本等级难度系数控制!E25</f>
        <v>6.3427814921257317</v>
      </c>
    </row>
    <row r="26" spans="1:6" x14ac:dyDescent="0.15">
      <c r="A26">
        <f t="shared" si="0"/>
        <v>1044</v>
      </c>
      <c r="B26" s="7">
        <f>[2]远征副本等级难度系数控制!A26</f>
        <v>44</v>
      </c>
      <c r="C26" s="7">
        <f>[2]远征副本等级难度系数控制!B26</f>
        <v>1</v>
      </c>
      <c r="D26" s="7">
        <f ca="1">[2]远征副本等级难度系数控制!C26</f>
        <v>10.405383243994164</v>
      </c>
      <c r="E26" s="7">
        <f ca="1">[2]远征副本等级难度系数控制!D26</f>
        <v>11.273194874373914</v>
      </c>
      <c r="F26" s="7">
        <f ca="1">[2]远征副本等级难度系数控制!E26</f>
        <v>6.7296238479488766</v>
      </c>
    </row>
    <row r="27" spans="1:6" x14ac:dyDescent="0.15">
      <c r="A27">
        <f t="shared" si="0"/>
        <v>1045</v>
      </c>
      <c r="B27" s="7">
        <f>[2]远征副本等级难度系数控制!A27</f>
        <v>45</v>
      </c>
      <c r="C27" s="7">
        <f>[2]远征副本等级难度系数控制!B27</f>
        <v>1</v>
      </c>
      <c r="D27" s="7">
        <f ca="1">[2]远征副本等级难度系数控制!C27</f>
        <v>11.190547133536286</v>
      </c>
      <c r="E27" s="7">
        <f ca="1">[2]远征副本等级难度系数控制!D27</f>
        <v>12.272934720402517</v>
      </c>
      <c r="F27" s="7">
        <f ca="1">[2]远征副本等级难度系数控制!E27</f>
        <v>7.1241188203165882</v>
      </c>
    </row>
    <row r="28" spans="1:6" x14ac:dyDescent="0.15">
      <c r="A28">
        <f t="shared" si="0"/>
        <v>1046</v>
      </c>
      <c r="B28" s="7">
        <f>[2]远征副本等级难度系数控制!A28</f>
        <v>46</v>
      </c>
      <c r="C28" s="7">
        <f>[2]远征副本等级难度系数控制!B28</f>
        <v>1</v>
      </c>
      <c r="D28" s="7">
        <f ca="1">[2]远征副本等级难度系数控制!C28</f>
        <v>12.007857535984908</v>
      </c>
      <c r="E28" s="7">
        <f ca="1">[2]远征副本等级难度系数控制!D28</f>
        <v>13.332186808714512</v>
      </c>
      <c r="F28" s="7">
        <f ca="1">[2]远征副本等级难度系数控制!E28</f>
        <v>7.5257252379620398</v>
      </c>
    </row>
    <row r="29" spans="1:6" x14ac:dyDescent="0.15">
      <c r="A29">
        <f t="shared" si="0"/>
        <v>1047</v>
      </c>
      <c r="B29" s="7">
        <f>[2]远征副本等级难度系数控制!A29</f>
        <v>47</v>
      </c>
      <c r="C29" s="7">
        <f>[2]远征副本等级难度系数控制!B29</f>
        <v>1</v>
      </c>
      <c r="D29" s="7">
        <f ca="1">[2]远征副本等级难度系数控制!C29</f>
        <v>12.857254751353809</v>
      </c>
      <c r="E29" s="7">
        <f ca="1">[2]远征副本等级难度系数控制!D29</f>
        <v>14.452828862987152</v>
      </c>
      <c r="F29" s="7">
        <f ca="1">[2]远征副本等级难度系数控制!E29</f>
        <v>7.9338782320873582</v>
      </c>
    </row>
    <row r="30" spans="1:6" x14ac:dyDescent="0.15">
      <c r="A30">
        <f t="shared" si="0"/>
        <v>1048</v>
      </c>
      <c r="B30" s="7">
        <f>[2]远征副本等级难度系数控制!A30</f>
        <v>48</v>
      </c>
      <c r="C30" s="7">
        <f>[2]远征副本等级难度系数控制!B30</f>
        <v>1</v>
      </c>
      <c r="D30" s="7">
        <f ca="1">[2]远征副本等级难度系数控制!C30</f>
        <v>13.738617276040397</v>
      </c>
      <c r="E30" s="7">
        <f ca="1">[2]远征副本等级难度系数控制!D30</f>
        <v>15.636729603458384</v>
      </c>
      <c r="F30" s="7">
        <f ca="1">[2]远征副本等级难度系数控制!E30</f>
        <v>8.3479892363636381</v>
      </c>
    </row>
    <row r="31" spans="1:6" x14ac:dyDescent="0.15">
      <c r="A31">
        <f t="shared" si="0"/>
        <v>1049</v>
      </c>
      <c r="B31" s="7">
        <f>[2]远征副本等级难度系数控制!A31</f>
        <v>49</v>
      </c>
      <c r="C31" s="7">
        <f>[2]远征副本等级难度系数控制!B31</f>
        <v>1</v>
      </c>
      <c r="D31" s="7">
        <f ca="1">[2]远征副本等级难度系数控制!C31</f>
        <v>14.651760126989577</v>
      </c>
      <c r="E31" s="7">
        <f ca="1">[2]远征副本等级难度系数控制!D31</f>
        <v>16.885745247232332</v>
      </c>
      <c r="F31" s="7">
        <f ca="1">[2]远征副本等级难度系数控制!E31</f>
        <v>8.7674459869309285</v>
      </c>
    </row>
    <row r="32" spans="1:6" x14ac:dyDescent="0.15">
      <c r="A32">
        <f t="shared" si="0"/>
        <v>1050</v>
      </c>
      <c r="B32" s="7">
        <f>[2]远征副本等级难度系数控制!A32</f>
        <v>50</v>
      </c>
      <c r="C32" s="7">
        <f>[2]远征副本等级难度系数控制!B32</f>
        <v>1</v>
      </c>
      <c r="D32" s="7">
        <f ca="1">[2]远征副本等级难度系数控制!C32</f>
        <v>15.699041278800445</v>
      </c>
      <c r="E32" s="7">
        <f ca="1">[2]远征副本等级难度系数控制!D32</f>
        <v>18.321463959051741</v>
      </c>
      <c r="F32" s="7">
        <f ca="1">[2]远征副本等级难度系数控制!E32</f>
        <v>9.2520836574140137</v>
      </c>
    </row>
    <row r="33" spans="1:6" x14ac:dyDescent="0.15">
      <c r="A33">
        <f t="shared" si="0"/>
        <v>1051</v>
      </c>
      <c r="B33" s="7">
        <f>[2]远征副本等级难度系数控制!A33</f>
        <v>51</v>
      </c>
      <c r="C33" s="7">
        <f>[2]远征副本等级难度系数控制!B33</f>
        <v>1</v>
      </c>
      <c r="D33" s="7">
        <f ca="1">[2]远征副本等级难度系数控制!C33</f>
        <v>16.694329391226663</v>
      </c>
      <c r="E33" s="7">
        <f ca="1">[2]远征副本等级难度系数控制!D33</f>
        <v>20.01181924226125</v>
      </c>
      <c r="F33" s="7">
        <f ca="1">[2]远征副本等级难度系数控制!E33</f>
        <v>9.9087532993784002</v>
      </c>
    </row>
    <row r="34" spans="1:6" x14ac:dyDescent="0.15">
      <c r="A34">
        <f t="shared" si="0"/>
        <v>1052</v>
      </c>
      <c r="B34" s="7">
        <f>[2]远征副本等级难度系数控制!A34</f>
        <v>52</v>
      </c>
      <c r="C34" s="7">
        <f>[2]远征副本等级难度系数控制!B34</f>
        <v>1</v>
      </c>
      <c r="D34" s="7">
        <f ca="1">[2]远征副本等级难度系数控制!C34</f>
        <v>18.367836205844611</v>
      </c>
      <c r="E34" s="7">
        <f ca="1">[2]远征副本等级难度系数控制!D34</f>
        <v>21.819666107067498</v>
      </c>
      <c r="F34" s="7">
        <f ca="1">[2]远征副本等级难度系数控制!E34</f>
        <v>10.573785620950479</v>
      </c>
    </row>
    <row r="35" spans="1:6" x14ac:dyDescent="0.15">
      <c r="A35">
        <f t="shared" si="0"/>
        <v>1053</v>
      </c>
      <c r="B35" s="7">
        <f>[2]远征副本等级难度系数控制!A35</f>
        <v>53</v>
      </c>
      <c r="C35" s="7">
        <f>[2]远征副本等级难度系数控制!B35</f>
        <v>1</v>
      </c>
      <c r="D35" s="7">
        <f ca="1">[2]远征副本等级难度系数控制!C35</f>
        <v>19.813164889564217</v>
      </c>
      <c r="E35" s="7">
        <f ca="1">[2]远征副本等级难度系数控制!D35</f>
        <v>23.75123245684405</v>
      </c>
      <c r="F35" s="7">
        <f ca="1">[2]远征副本等级难度系数控制!E35</f>
        <v>11.275506397435898</v>
      </c>
    </row>
    <row r="36" spans="1:6" x14ac:dyDescent="0.15">
      <c r="A36">
        <f t="shared" si="0"/>
        <v>1054</v>
      </c>
      <c r="B36" s="7">
        <f>[2]远征副本等级难度系数控制!A36</f>
        <v>54</v>
      </c>
      <c r="C36" s="7">
        <f>[2]远征副本等级难度系数控制!B36</f>
        <v>1</v>
      </c>
      <c r="D36" s="7">
        <f ca="1">[2]远征副本等级难度系数控制!C36</f>
        <v>21.335637090425063</v>
      </c>
      <c r="E36" s="7">
        <f ca="1">[2]远征副本等级难度系数控制!D36</f>
        <v>25.81302219970777</v>
      </c>
      <c r="F36" s="7">
        <f ca="1">[2]远征副本等级难度系数控制!E36</f>
        <v>12.005099055246342</v>
      </c>
    </row>
    <row r="37" spans="1:6" x14ac:dyDescent="0.15">
      <c r="A37">
        <f t="shared" si="0"/>
        <v>1055</v>
      </c>
      <c r="B37" s="7">
        <f>[2]远征副本等级难度系数控制!A37</f>
        <v>55</v>
      </c>
      <c r="C37" s="7">
        <f>[2]远征副本等级难度系数控制!B37</f>
        <v>1</v>
      </c>
      <c r="D37" s="7">
        <f ca="1">[2]远征副本等级难度系数控制!C37</f>
        <v>22.937686428827639</v>
      </c>
      <c r="E37" s="7">
        <f ca="1">[2]远征副本等级难度系数控制!D37</f>
        <v>28.011827606940177</v>
      </c>
      <c r="F37" s="7">
        <f ca="1">[2]远征副本等级难度系数控制!E37</f>
        <v>12.76303260801698</v>
      </c>
    </row>
    <row r="38" spans="1:6" x14ac:dyDescent="0.15">
      <c r="A38">
        <f t="shared" si="0"/>
        <v>1056</v>
      </c>
      <c r="B38" s="7">
        <f>[2]远征副本等级难度系数控制!A38</f>
        <v>56</v>
      </c>
      <c r="C38" s="7">
        <f>[2]远征副本等级难度系数控制!B38</f>
        <v>1</v>
      </c>
      <c r="D38" s="7">
        <f ca="1">[2]远征副本等级难度系数控制!C38</f>
        <v>24.621779784981591</v>
      </c>
      <c r="E38" s="7">
        <f ca="1">[2]远征副本等级难度系数控制!D38</f>
        <v>30.354742341443714</v>
      </c>
      <c r="F38" s="7">
        <f ca="1">[2]远征副本等级难度系数控制!E38</f>
        <v>13.549776069383</v>
      </c>
    </row>
    <row r="39" spans="1:6" x14ac:dyDescent="0.15">
      <c r="A39">
        <f t="shared" si="0"/>
        <v>1057</v>
      </c>
      <c r="B39" s="7">
        <f>[2]远征副本等级难度系数控制!A39</f>
        <v>57</v>
      </c>
      <c r="C39" s="7">
        <f>[2]远征副本等级难度系数控制!B39</f>
        <v>1</v>
      </c>
      <c r="D39" s="7">
        <f ca="1">[2]远征副本等级难度系数控制!C39</f>
        <v>26.390417286583428</v>
      </c>
      <c r="E39" s="7">
        <f ca="1">[2]远征副本等级难度系数控制!D39</f>
        <v>32.849175199000975</v>
      </c>
      <c r="F39" s="7">
        <f ca="1">[2]远征副本等级难度系数控制!E39</f>
        <v>14.365798452979561</v>
      </c>
    </row>
    <row r="40" spans="1:6" x14ac:dyDescent="0.15">
      <c r="A40">
        <f t="shared" si="0"/>
        <v>1058</v>
      </c>
      <c r="B40" s="7">
        <f>[2]远征副本等级难度系数控制!A40</f>
        <v>58</v>
      </c>
      <c r="C40" s="7">
        <f>[2]远征副本等级难度系数控制!B40</f>
        <v>1</v>
      </c>
      <c r="D40" s="7">
        <f ca="1">[2]远征副本等级难度系数控制!C40</f>
        <v>28.246132296226449</v>
      </c>
      <c r="E40" s="7">
        <f ca="1">[2]远征副本等级难度系数控制!D40</f>
        <v>35.50286460825393</v>
      </c>
      <c r="F40" s="7">
        <f ca="1">[2]远征副本等级难度系数控制!E40</f>
        <v>15.211568772441845</v>
      </c>
    </row>
    <row r="41" spans="1:6" x14ac:dyDescent="0.15">
      <c r="A41">
        <f t="shared" si="0"/>
        <v>1059</v>
      </c>
      <c r="B41" s="7">
        <f>[2]远征副本等级难度系数控制!A41</f>
        <v>59</v>
      </c>
      <c r="C41" s="7">
        <f>[2]远征副本等级难度系数控制!B41</f>
        <v>1</v>
      </c>
      <c r="D41" s="7">
        <f ca="1">[2]远征副本等级难度系数控制!C41</f>
        <v>30.19149139859968</v>
      </c>
      <c r="E41" s="7">
        <f ca="1">[2]远征副本等级难度系数控制!D41</f>
        <v>38.323893938731445</v>
      </c>
      <c r="F41" s="7">
        <f ca="1">[2]远征副本等级难度系数控制!E41</f>
        <v>16.087556041405026</v>
      </c>
    </row>
    <row r="42" spans="1:6" x14ac:dyDescent="0.15">
      <c r="A42">
        <f t="shared" si="0"/>
        <v>1060</v>
      </c>
      <c r="B42" s="7">
        <f>[2]远征副本等级难度系数控制!A42</f>
        <v>60</v>
      </c>
      <c r="C42" s="7">
        <f>[2]远征副本等级难度系数控制!B42</f>
        <v>1</v>
      </c>
      <c r="D42" s="7">
        <f ca="1">[2]远征副本等级难度系数控制!C42</f>
        <v>32.387858399286493</v>
      </c>
      <c r="E42" s="7">
        <f ca="1">[2]远征副本等级难度系数控制!D42</f>
        <v>41.524257954041779</v>
      </c>
      <c r="F42" s="7">
        <f ca="1">[2]远征副本等级难度系数控制!E42</f>
        <v>17.077944688644696</v>
      </c>
    </row>
    <row r="43" spans="1:6" x14ac:dyDescent="0.15">
      <c r="A43">
        <f t="shared" si="0"/>
        <v>1061</v>
      </c>
      <c r="B43" s="7">
        <f>[2]远征副本等级难度系数控制!A43</f>
        <v>61</v>
      </c>
      <c r="C43" s="7">
        <f>[2]远征副本等级难度系数控制!B43</f>
        <v>1</v>
      </c>
      <c r="D43" s="7">
        <f ca="1">[2]远征副本等级难度系数控制!C43</f>
        <v>34.691974005309049</v>
      </c>
      <c r="E43" s="7">
        <f ca="1">[2]远征副本等级难度系数控制!D43</f>
        <v>44.930033560179403</v>
      </c>
      <c r="F43" s="7">
        <f ca="1">[2]远征副本等级难度系数控制!E43</f>
        <v>18.104481112012987</v>
      </c>
    </row>
    <row r="44" spans="1:6" x14ac:dyDescent="0.15">
      <c r="A44">
        <f t="shared" si="0"/>
        <v>1062</v>
      </c>
      <c r="B44" s="7">
        <f>[2]远征副本等级难度系数控制!A44</f>
        <v>62</v>
      </c>
      <c r="C44" s="7">
        <f>[2]远征副本等级难度系数控制!B44</f>
        <v>1</v>
      </c>
      <c r="D44" s="7">
        <f ca="1">[2]远征副本等级难度系数控制!C44</f>
        <v>37.106971775412397</v>
      </c>
      <c r="E44" s="7">
        <f ca="1">[2]远征副本等级难度系数控制!D44</f>
        <v>48.551704535183134</v>
      </c>
      <c r="F44" s="7">
        <f ca="1">[2]远征副本等级难度系数控制!E44</f>
        <v>19.167728127872131</v>
      </c>
    </row>
    <row r="45" spans="1:6" x14ac:dyDescent="0.15">
      <c r="A45">
        <f t="shared" si="0"/>
        <v>1063</v>
      </c>
      <c r="B45" s="7">
        <f>[2]远征副本等级难度系数控制!A45</f>
        <v>63</v>
      </c>
      <c r="C45" s="7">
        <f>[2]远征副本等级难度系数控制!B45</f>
        <v>1</v>
      </c>
      <c r="D45" s="7">
        <f ca="1">[2]远征副本等级难度系数控制!C45</f>
        <v>39.636025087792028</v>
      </c>
      <c r="E45" s="7">
        <f ca="1">[2]远征副本等级难度系数控制!D45</f>
        <v>52.400230769798462</v>
      </c>
      <c r="F45" s="7">
        <f ca="1">[2]远征副本等级难度系数控制!E45</f>
        <v>20.268248552584321</v>
      </c>
    </row>
    <row r="46" spans="1:6" x14ac:dyDescent="0.15">
      <c r="A46">
        <f t="shared" si="0"/>
        <v>1064</v>
      </c>
      <c r="B46" s="7">
        <f>[2]远征副本等级难度系数控制!A46</f>
        <v>64</v>
      </c>
      <c r="C46" s="7">
        <f>[2]远征副本等级难度系数控制!B46</f>
        <v>1</v>
      </c>
      <c r="D46" s="7">
        <f ca="1">[2]远征副本等级难度系数控制!C46</f>
        <v>42.282347124790761</v>
      </c>
      <c r="E46" s="7">
        <f ca="1">[2]远征副本等级难度系数控制!D46</f>
        <v>56.48707145478464</v>
      </c>
      <c r="F46" s="7">
        <f ca="1">[2]远征副本等级难度系数控制!E46</f>
        <v>21.406605202511781</v>
      </c>
    </row>
    <row r="47" spans="1:6" x14ac:dyDescent="0.15">
      <c r="A47">
        <f t="shared" si="0"/>
        <v>1065</v>
      </c>
      <c r="B47" s="7">
        <f>[2]远征副本等级难度系数控制!A47</f>
        <v>65</v>
      </c>
      <c r="C47" s="7">
        <f>[2]远征副本等级难度系数控制!B47</f>
        <v>1</v>
      </c>
      <c r="D47" s="7">
        <f ca="1">[2]远征副本等级难度系数控制!C47</f>
        <v>45.04919085752465</v>
      </c>
      <c r="E47" s="7">
        <f ca="1">[2]远征副本等级难度系数控制!D47</f>
        <v>60.824209636653165</v>
      </c>
      <c r="F47" s="7">
        <f ca="1">[2]远征副本等级难度系数控制!E47</f>
        <v>22.5833608940167</v>
      </c>
    </row>
    <row r="48" spans="1:6" x14ac:dyDescent="0.15">
      <c r="A48">
        <f t="shared" si="0"/>
        <v>1066</v>
      </c>
      <c r="B48" s="7">
        <f>[2]远征副本等级难度系数控制!A48</f>
        <v>66</v>
      </c>
      <c r="C48" s="7">
        <f>[2]远征副本等级难度系数控制!B48</f>
        <v>1</v>
      </c>
      <c r="D48" s="7">
        <f ca="1">[2]远征副本等级难度系数控制!C48</f>
        <v>47.939849030470945</v>
      </c>
      <c r="E48" s="7">
        <f ca="1">[2]远征副本等级难度系数控制!D48</f>
        <v>65.424178236993228</v>
      </c>
      <c r="F48" s="7">
        <f ca="1">[2]远征副本等级难度系数控制!E48</f>
        <v>23.799078443461312</v>
      </c>
    </row>
    <row r="49" spans="1:6" x14ac:dyDescent="0.15">
      <c r="A49">
        <f t="shared" si="0"/>
        <v>1067</v>
      </c>
      <c r="B49" s="7">
        <f>[2]远征副本等级难度系数控制!A49</f>
        <v>67</v>
      </c>
      <c r="C49" s="7">
        <f>[2]远征副本等级难度系数控制!B49</f>
        <v>1</v>
      </c>
      <c r="D49" s="7">
        <f ca="1">[2]远征副本等级难度系数控制!C49</f>
        <v>50.95765414604741</v>
      </c>
      <c r="E49" s="7">
        <f ca="1">[2]远征副本等级难度系数控制!D49</f>
        <v>69.621903014775256</v>
      </c>
      <c r="F49" s="7">
        <f ca="1">[2]远征副本等级难度系数控制!E49</f>
        <v>25.054320667207801</v>
      </c>
    </row>
    <row r="50" spans="1:6" x14ac:dyDescent="0.15">
      <c r="A50">
        <f t="shared" si="0"/>
        <v>1068</v>
      </c>
      <c r="B50" s="7">
        <f>[2]远征副本等级难度系数控制!A50</f>
        <v>68</v>
      </c>
      <c r="C50" s="7">
        <f>[2]远征副本等级难度系数控制!B50</f>
        <v>1</v>
      </c>
      <c r="D50" s="7">
        <f ca="1">[2]远征副本等级难度系数控制!C50</f>
        <v>54.105978449208756</v>
      </c>
      <c r="E50" s="7">
        <f ca="1">[2]远征副本等级难度系数控制!D50</f>
        <v>74.019215240869471</v>
      </c>
      <c r="F50" s="7">
        <f ca="1">[2]远征副本等级难度系数控制!E50</f>
        <v>26.3496503816184</v>
      </c>
    </row>
    <row r="51" spans="1:6" x14ac:dyDescent="0.15">
      <c r="A51">
        <f t="shared" si="0"/>
        <v>1069</v>
      </c>
      <c r="B51" s="7">
        <f>[2]远征副本等级难度系数控制!A51</f>
        <v>69</v>
      </c>
      <c r="C51" s="7">
        <f>[2]远征副本等级难度系数控制!B51</f>
        <v>1</v>
      </c>
      <c r="D51" s="7">
        <f ca="1">[2]远征副本等级难度系数控制!C51</f>
        <v>57.388233912081922</v>
      </c>
      <c r="E51" s="7">
        <f ca="1">[2]远征副本等级难度系数控制!D51</f>
        <v>78.62363814271923</v>
      </c>
      <c r="F51" s="7">
        <f ca="1">[2]远征副本等级难度系数控制!E51</f>
        <v>27.685630403055296</v>
      </c>
    </row>
    <row r="52" spans="1:6" x14ac:dyDescent="0.15">
      <c r="A52">
        <f t="shared" si="0"/>
        <v>1070</v>
      </c>
      <c r="B52" s="7">
        <f>[2]远征副本等级难度系数控制!A52</f>
        <v>70</v>
      </c>
      <c r="C52" s="7">
        <f>[2]远征副本等级难度系数控制!B52</f>
        <v>1</v>
      </c>
      <c r="D52" s="7">
        <f ca="1">[2]远征副本等级难度系数控制!C52</f>
        <v>61.038205067972612</v>
      </c>
      <c r="E52" s="7">
        <f ca="1">[2]远征副本等级难度系数控制!D52</f>
        <v>83.759063908668764</v>
      </c>
      <c r="F52" s="7">
        <f ca="1">[2]远征副本等级难度系数控制!E52</f>
        <v>29.172910000713586</v>
      </c>
    </row>
    <row r="53" spans="1:6" x14ac:dyDescent="0.15">
      <c r="A53">
        <f t="shared" si="0"/>
        <v>1071</v>
      </c>
      <c r="B53" s="7">
        <f>[2]远征副本等级难度系数控制!A53</f>
        <v>71</v>
      </c>
      <c r="C53" s="7">
        <f>[2]远征副本等级难度系数控制!B53</f>
        <v>1</v>
      </c>
      <c r="D53" s="7">
        <f ca="1">[2]远征副本等级难度系数控制!C53</f>
        <v>64.845187599564952</v>
      </c>
      <c r="E53" s="7">
        <f ca="1">[2]远征副本等级难度系数控制!D53</f>
        <v>89.140856993243105</v>
      </c>
      <c r="F53" s="7">
        <f ca="1">[2]远征副本等级难度系数控制!E53</f>
        <v>30.707583688993559</v>
      </c>
    </row>
    <row r="54" spans="1:6" x14ac:dyDescent="0.15">
      <c r="A54">
        <f t="shared" si="0"/>
        <v>1072</v>
      </c>
      <c r="B54" s="7">
        <f>[2]远征副本等级难度系数控制!A54</f>
        <v>72</v>
      </c>
      <c r="C54" s="7">
        <f>[2]远征副本等级难度系数控制!B54</f>
        <v>1</v>
      </c>
      <c r="D54" s="7">
        <f ca="1">[2]远征副本等级难度系数控制!C54</f>
        <v>68.813229768740968</v>
      </c>
      <c r="E54" s="7">
        <f ca="1">[2]远征副本等级难度系数控制!D54</f>
        <v>94.77847602628205</v>
      </c>
      <c r="F54" s="7">
        <f ca="1">[2]远征副本等级难度系数控制!E54</f>
        <v>32.290308086984453</v>
      </c>
    </row>
    <row r="55" spans="1:6" x14ac:dyDescent="0.15">
      <c r="A55">
        <f t="shared" si="0"/>
        <v>1073</v>
      </c>
      <c r="B55" s="7">
        <f>[2]远征副本等级难度系数控制!A55</f>
        <v>73</v>
      </c>
      <c r="C55" s="7">
        <f>[2]远征副本等级难度系数控制!B55</f>
        <v>1</v>
      </c>
      <c r="D55" s="7">
        <f ca="1">[2]远征副本等级难度系数控制!C55</f>
        <v>72.946426135465188</v>
      </c>
      <c r="E55" s="7">
        <f ca="1">[2]远征副本等级难度系数控制!D55</f>
        <v>100.68176636605827</v>
      </c>
      <c r="F55" s="7">
        <f ca="1">[2]远征副本等级难度系数控制!E55</f>
        <v>33.921739813775524</v>
      </c>
    </row>
    <row r="56" spans="1:6" x14ac:dyDescent="0.15">
      <c r="A56">
        <f t="shared" si="0"/>
        <v>1074</v>
      </c>
      <c r="B56" s="7">
        <f>[2]远征副本等级难度系数控制!A56</f>
        <v>74</v>
      </c>
      <c r="C56" s="7">
        <f>[2]远征副本等级难度系数控制!B56</f>
        <v>1</v>
      </c>
      <c r="D56" s="7">
        <f ca="1">[2]远征副本等级难度系数控制!C56</f>
        <v>77.248917540456915</v>
      </c>
      <c r="E56" s="7">
        <f ca="1">[2]远征副本等级难度系数控制!D56</f>
        <v>106.86098096591948</v>
      </c>
      <c r="F56" s="7">
        <f ca="1">[2]远征副本等级难度系数控制!E56</f>
        <v>35.602535488455999</v>
      </c>
    </row>
    <row r="57" spans="1:6" x14ac:dyDescent="0.15">
      <c r="A57">
        <f t="shared" si="0"/>
        <v>1075</v>
      </c>
      <c r="B57" s="7">
        <f>[2]远征副本等级难度系数控制!A57</f>
        <v>75</v>
      </c>
      <c r="C57" s="7">
        <f>[2]远征副本等级难度系数控制!B57</f>
        <v>1</v>
      </c>
      <c r="D57" s="7">
        <f ca="1">[2]远征副本等级难度系数控制!C57</f>
        <v>81.724891087975308</v>
      </c>
      <c r="E57" s="7">
        <f ca="1">[2]远征副本等级难度系数控制!D57</f>
        <v>113.32680260674687</v>
      </c>
      <c r="F57" s="7">
        <f ca="1">[2]远征副本等级难度系数控制!E57</f>
        <v>37.333351730115147</v>
      </c>
    </row>
    <row r="58" spans="1:6" x14ac:dyDescent="0.15">
      <c r="A58">
        <f t="shared" si="0"/>
        <v>1076</v>
      </c>
      <c r="B58" s="7">
        <f>[2]远征副本等级难度系数控制!A58</f>
        <v>76</v>
      </c>
      <c r="C58" s="7">
        <f>[2]远征副本等级难度系数控制!B58</f>
        <v>1</v>
      </c>
      <c r="D58" s="7">
        <f ca="1">[2]远征副本等级难度系数控制!C58</f>
        <v>86.378580128730732</v>
      </c>
      <c r="E58" s="7">
        <f ca="1">[2]远征副本等级难度系数控制!D58</f>
        <v>120.09036760067941</v>
      </c>
      <c r="F58" s="7">
        <f ca="1">[2]远征副本等级难度系数控制!E58</f>
        <v>39.114845157842169</v>
      </c>
    </row>
    <row r="59" spans="1:6" x14ac:dyDescent="0.15">
      <c r="A59">
        <f t="shared" si="0"/>
        <v>1077</v>
      </c>
      <c r="B59" s="7">
        <f>[2]远征副本等级难度系数控制!A59</f>
        <v>77</v>
      </c>
      <c r="C59" s="7">
        <f>[2]远征副本等级难度系数控制!B59</f>
        <v>1</v>
      </c>
      <c r="D59" s="7">
        <f ca="1">[2]远征副本等级难度系数控制!C59</f>
        <v>91.21426424293125</v>
      </c>
      <c r="E59" s="7">
        <f ca="1">[2]远征副本等级难度系数控制!D59</f>
        <v>127.16329108096124</v>
      </c>
      <c r="F59" s="7">
        <f ca="1">[2]远征副本等级难度系数控制!E59</f>
        <v>40.947672390726339</v>
      </c>
    </row>
    <row r="60" spans="1:6" x14ac:dyDescent="0.15">
      <c r="A60">
        <f t="shared" si="0"/>
        <v>1078</v>
      </c>
      <c r="B60" s="7">
        <f>[2]远征副本等级难度系数控制!A60</f>
        <v>78</v>
      </c>
      <c r="C60" s="7">
        <f>[2]远征副本等级难度系数控制!B60</f>
        <v>1</v>
      </c>
      <c r="D60" s="7">
        <f ca="1">[2]远征副本等级难度系数控制!C60</f>
        <v>96.236269223474252</v>
      </c>
      <c r="E60" s="7">
        <f ca="1">[2]远征副本等级难度系数控制!D60</f>
        <v>134.55769400313136</v>
      </c>
      <c r="F60" s="7">
        <f ca="1">[2]远征副本等级难度系数控制!E60</f>
        <v>42.832490047856901</v>
      </c>
    </row>
    <row r="61" spans="1:6" x14ac:dyDescent="0.15">
      <c r="A61">
        <f t="shared" si="0"/>
        <v>1079</v>
      </c>
      <c r="B61" s="7">
        <f>[2]远征副本等级难度系数控制!A61</f>
        <v>79</v>
      </c>
      <c r="C61" s="7">
        <f>[2]远征副本等级难度系数控制!B61</f>
        <v>1</v>
      </c>
      <c r="D61" s="7">
        <f ca="1">[2]远征副本等级难度系数控制!C61</f>
        <v>101.44896705929042</v>
      </c>
      <c r="E61" s="7">
        <f ca="1">[2]远征副本等级难度系数控制!D61</f>
        <v>142.28623199420423</v>
      </c>
      <c r="F61" s="7">
        <f ca="1">[2]远征副本等级难度系数控制!E61</f>
        <v>44.769954748323123</v>
      </c>
    </row>
    <row r="62" spans="1:6" x14ac:dyDescent="0.15">
      <c r="A62">
        <f t="shared" si="0"/>
        <v>1080</v>
      </c>
      <c r="B62" s="7">
        <f>[2]远征副本等级难度系数控制!A62</f>
        <v>80</v>
      </c>
      <c r="C62" s="7">
        <f>[2]远征副本等级难度系数控制!B62</f>
        <v>1</v>
      </c>
      <c r="D62" s="7">
        <f ca="1">[2]远征副本等级难度系数控制!C62</f>
        <v>107.17575136934926</v>
      </c>
      <c r="E62" s="7">
        <f ca="1">[2]远征副本等级难度系数控制!D62</f>
        <v>150.8109683668595</v>
      </c>
      <c r="F62" s="7">
        <f ca="1">[2]远征副本等级难度系数控制!E62</f>
        <v>46.900307359307348</v>
      </c>
    </row>
    <row r="63" spans="1:6" x14ac:dyDescent="0.15">
      <c r="A63">
        <f t="shared" si="0"/>
        <v>1081</v>
      </c>
      <c r="B63" s="7">
        <f>[2]远征副本等级难度系数控制!A63</f>
        <v>81</v>
      </c>
      <c r="C63" s="7">
        <f>[2]远征副本等级难度系数控制!B63</f>
        <v>1</v>
      </c>
      <c r="D63" s="7">
        <f ca="1">[2]远征副本等级难度系数控制!C63</f>
        <v>113.12184528078673</v>
      </c>
      <c r="E63" s="7">
        <f ca="1">[2]远征副本等级难度系数控制!D63</f>
        <v>184.03119096106693</v>
      </c>
      <c r="F63" s="7">
        <f ca="1">[2]远征副本等级难度系数控制!E63</f>
        <v>49.090863754190266</v>
      </c>
    </row>
    <row r="64" spans="1:6" x14ac:dyDescent="0.15">
      <c r="A64">
        <f t="shared" si="0"/>
        <v>1082</v>
      </c>
      <c r="B64" s="7">
        <f>[2]远征副本等级难度系数控制!A64</f>
        <v>82</v>
      </c>
      <c r="C64" s="7">
        <f>[2]远征副本等级难度系数控制!B64</f>
        <v>1</v>
      </c>
      <c r="D64" s="7">
        <f ca="1">[2]远征副本等级难度系数控制!C64</f>
        <v>119.29232614432996</v>
      </c>
      <c r="E64" s="7">
        <f ca="1">[2]远征副本等级难度系数控制!D64</f>
        <v>196.56502694990868</v>
      </c>
      <c r="F64" s="7">
        <f ca="1">[2]远征副本等级难度系数控制!E64</f>
        <v>51.34237435478807</v>
      </c>
    </row>
    <row r="65" spans="1:6" x14ac:dyDescent="0.15">
      <c r="A65">
        <f t="shared" si="0"/>
        <v>1083</v>
      </c>
      <c r="B65" s="7">
        <f>[2]远征副本等级难度系数控制!A65</f>
        <v>83</v>
      </c>
      <c r="C65" s="7">
        <f>[2]远征副本等级难度系数控制!B65</f>
        <v>1</v>
      </c>
      <c r="D65" s="7">
        <f ca="1">[2]远征副本等级难度系数控制!C65</f>
        <v>125.69232405416851</v>
      </c>
      <c r="E65" s="7">
        <f ca="1">[2]远征副本等级难度系数控制!D65</f>
        <v>209.80414100880995</v>
      </c>
      <c r="F65" s="7">
        <f ca="1">[2]远征副本等级难度系数控制!E65</f>
        <v>53.655589582917088</v>
      </c>
    </row>
    <row r="66" spans="1:6" x14ac:dyDescent="0.15">
      <c r="A66">
        <f t="shared" si="0"/>
        <v>1084</v>
      </c>
      <c r="B66" s="7">
        <f>[2]远征副本等级难度系数控制!A66</f>
        <v>84</v>
      </c>
      <c r="C66" s="7">
        <f>[2]远征副本等级难度系数控制!B66</f>
        <v>1</v>
      </c>
      <c r="D66" s="7">
        <f ca="1">[2]远征副本等级难度系数控制!C66</f>
        <v>132.32702182976914</v>
      </c>
      <c r="E66" s="7">
        <f ca="1">[2]远征副本等级难度系数控制!D66</f>
        <v>223.78416151169819</v>
      </c>
      <c r="F66" s="7">
        <f ca="1">[2]远征副本等级难度系数控制!E66</f>
        <v>56.031259860393583</v>
      </c>
    </row>
    <row r="67" spans="1:6" x14ac:dyDescent="0.15">
      <c r="A67">
        <f t="shared" ref="A67:A130" si="1">C67*1000+B67</f>
        <v>1085</v>
      </c>
      <c r="B67" s="7">
        <f>[2]远征副本等级难度系数控制!A67</f>
        <v>85</v>
      </c>
      <c r="C67" s="7">
        <f>[2]远征副本等级难度系数控制!B67</f>
        <v>1</v>
      </c>
      <c r="D67" s="7">
        <f ca="1">[2]远征副本等级难度系数控制!C67</f>
        <v>139.20165499788169</v>
      </c>
      <c r="E67" s="7">
        <f ca="1">[2]远征副本等级难度系数控制!D67</f>
        <v>238.54258306967441</v>
      </c>
      <c r="F67" s="7">
        <f ca="1">[2]远征副本等级难度系数控制!E67</f>
        <v>58.470135609033811</v>
      </c>
    </row>
    <row r="68" spans="1:6" x14ac:dyDescent="0.15">
      <c r="A68">
        <f t="shared" si="1"/>
        <v>1086</v>
      </c>
      <c r="B68" s="7">
        <f>[2]远征副本等级难度系数控制!A68</f>
        <v>86</v>
      </c>
      <c r="C68" s="7">
        <f>[2]远征副本等级难度系数控制!B68</f>
        <v>1</v>
      </c>
      <c r="D68" s="7">
        <f ca="1">[2]远征副本等级难度系数控制!C68</f>
        <v>146.32151177473924</v>
      </c>
      <c r="E68" s="7">
        <f ca="1">[2]远征副本等级难度系数控制!D68</f>
        <v>254.11888220687177</v>
      </c>
      <c r="F68" s="7">
        <f ca="1">[2]远征副本等级难度系数控制!E68</f>
        <v>60.972967250654101</v>
      </c>
    </row>
    <row r="69" spans="1:6" x14ac:dyDescent="0.15">
      <c r="A69">
        <f t="shared" si="1"/>
        <v>1087</v>
      </c>
      <c r="B69" s="7">
        <f>[2]远征副本等级难度系数控制!A69</f>
        <v>87</v>
      </c>
      <c r="C69" s="7">
        <f>[2]远征副本等级难度系数控制!B69</f>
        <v>1</v>
      </c>
      <c r="D69" s="7">
        <f ca="1">[2]远征副本等级难度系数控制!C69</f>
        <v>153.69193304845504</v>
      </c>
      <c r="E69" s="7">
        <f ca="1">[2]远征副本等级难度系数控制!D69</f>
        <v>270.55464174830115</v>
      </c>
      <c r="F69" s="7">
        <f ca="1">[2]远征副本等级难度系数控制!E69</f>
        <v>63.540505207070694</v>
      </c>
    </row>
    <row r="70" spans="1:6" x14ac:dyDescent="0.15">
      <c r="A70">
        <f t="shared" si="1"/>
        <v>1088</v>
      </c>
      <c r="B70" s="7">
        <f>[2]远征副本等级难度系数控制!A70</f>
        <v>88</v>
      </c>
      <c r="C70" s="7">
        <f>[2]远征副本等级难度系数控制!B70</f>
        <v>1</v>
      </c>
      <c r="D70" s="7">
        <f ca="1">[2]远征副本等级难度系数控制!C70</f>
        <v>161.31831236161824</v>
      </c>
      <c r="E70" s="7">
        <f ca="1">[2]远征副本等级难度系数控制!D70</f>
        <v>287.89368469490881</v>
      </c>
      <c r="F70" s="7">
        <f ca="1">[2]远征副本等级难度系数控制!E70</f>
        <v>66.17349990009987</v>
      </c>
    </row>
    <row r="71" spans="1:6" x14ac:dyDescent="0.15">
      <c r="A71">
        <f t="shared" si="1"/>
        <v>1089</v>
      </c>
      <c r="B71" s="7">
        <f>[2]远征副本等级难度系数控制!A71</f>
        <v>89</v>
      </c>
      <c r="C71" s="7">
        <f>[2]远征副本等级难度系数控制!B71</f>
        <v>1</v>
      </c>
      <c r="D71" s="7">
        <f ca="1">[2]远征副本等级难度系数控制!C71</f>
        <v>169.20609589408824</v>
      </c>
      <c r="E71" s="7">
        <f ca="1">[2]远征副本等级难度系数控制!D71</f>
        <v>306.18221844090988</v>
      </c>
      <c r="F71" s="7">
        <f ca="1">[2]远征副本等级难度系数控制!E71</f>
        <v>68.872701751557926</v>
      </c>
    </row>
    <row r="72" spans="1:6" x14ac:dyDescent="0.15">
      <c r="A72">
        <f t="shared" si="1"/>
        <v>1090</v>
      </c>
      <c r="B72" s="7">
        <f>[2]远征副本等级难度系数控制!A72</f>
        <v>90</v>
      </c>
      <c r="C72" s="7">
        <f>[2]远征副本等级难度系数控制!B72</f>
        <v>1</v>
      </c>
      <c r="D72" s="7">
        <f ca="1">[2]远征副本等级难度系数控制!C72</f>
        <v>177.36078244598949</v>
      </c>
      <c r="E72" s="7">
        <f ca="1">[2]远征副本等级难度系数控制!D72</f>
        <v>325.46899027769791</v>
      </c>
      <c r="F72" s="7">
        <f ca="1">[2]远征副本等级难度系数控制!E72</f>
        <v>71.638861183261142</v>
      </c>
    </row>
    <row r="73" spans="1:6" x14ac:dyDescent="0.15">
      <c r="A73">
        <f t="shared" si="1"/>
        <v>2020</v>
      </c>
      <c r="B73" s="7">
        <f>[2]远征副本等级难度系数控制!A73</f>
        <v>20</v>
      </c>
      <c r="C73" s="7">
        <f>[2]远征副本等级难度系数控制!B73</f>
        <v>2</v>
      </c>
      <c r="D73" s="7">
        <f ca="1">[2]远征副本等级难度系数控制!C73</f>
        <v>1</v>
      </c>
      <c r="E73" s="7">
        <f ca="1">[2]远征副本等级难度系数控制!D73</f>
        <v>1</v>
      </c>
      <c r="F73" s="7">
        <f ca="1">[2]远征副本等级难度系数控制!E73</f>
        <v>1</v>
      </c>
    </row>
    <row r="74" spans="1:6" x14ac:dyDescent="0.15">
      <c r="A74">
        <f t="shared" si="1"/>
        <v>2021</v>
      </c>
      <c r="B74" s="7">
        <f>[2]远征副本等级难度系数控制!A74</f>
        <v>21</v>
      </c>
      <c r="C74" s="7">
        <f>[2]远征副本等级难度系数控制!B74</f>
        <v>2</v>
      </c>
      <c r="D74" s="7">
        <f ca="1">[2]远征副本等级难度系数控制!C74</f>
        <v>1.117596838754978</v>
      </c>
      <c r="E74" s="7">
        <f ca="1">[2]远征副本等级难度系数控制!D74</f>
        <v>1.1071528203298275</v>
      </c>
      <c r="F74" s="7">
        <f ca="1">[2]远征副本等级难度系数控制!E74</f>
        <v>1.0931717687074829</v>
      </c>
    </row>
    <row r="75" spans="1:6" x14ac:dyDescent="0.15">
      <c r="A75">
        <f t="shared" si="1"/>
        <v>2022</v>
      </c>
      <c r="B75" s="7">
        <f>[2]远征副本等级难度系数控制!A75</f>
        <v>22</v>
      </c>
      <c r="C75" s="7">
        <f>[2]远征副本等级难度系数控制!B75</f>
        <v>2</v>
      </c>
      <c r="D75" s="7">
        <f ca="1">[2]远征副本等级难度系数控制!C75</f>
        <v>1.2431201966962262</v>
      </c>
      <c r="E75" s="7">
        <f ca="1">[2]远征副本等级难度系数控制!D75</f>
        <v>1.220858605164636</v>
      </c>
      <c r="F75" s="7">
        <f ca="1">[2]远征副本等级难度系数控制!E75</f>
        <v>1.1902040816326529</v>
      </c>
    </row>
    <row r="76" spans="1:6" x14ac:dyDescent="0.15">
      <c r="A76">
        <f t="shared" si="1"/>
        <v>2023</v>
      </c>
      <c r="B76" s="7">
        <f>[2]远征副本等级难度系数控制!A76</f>
        <v>23</v>
      </c>
      <c r="C76" s="7">
        <f>[2]远征副本等级难度系数控制!B76</f>
        <v>2</v>
      </c>
      <c r="D76" s="7">
        <f ca="1">[2]远征副本等级难度系数控制!C76</f>
        <v>1.4024517884049481</v>
      </c>
      <c r="E76" s="7">
        <f ca="1">[2]远征副本等级难度系数控制!D76</f>
        <v>1.3663313554125172</v>
      </c>
      <c r="F76" s="7">
        <f ca="1">[2]远征副本等级难度系数控制!E76</f>
        <v>1.3151681057038203</v>
      </c>
    </row>
    <row r="77" spans="1:6" x14ac:dyDescent="0.15">
      <c r="A77">
        <f t="shared" si="1"/>
        <v>2024</v>
      </c>
      <c r="B77" s="7">
        <f>[2]远征副本等级难度系数控制!A77</f>
        <v>24</v>
      </c>
      <c r="C77" s="7">
        <f>[2]远征副本等级难度系数控制!B77</f>
        <v>2</v>
      </c>
      <c r="D77" s="7">
        <f ca="1">[2]远征副本等级难度系数控制!C77</f>
        <v>1.5727679083562147</v>
      </c>
      <c r="E77" s="7">
        <f ca="1">[2]远征副本等级难度系数控制!D77</f>
        <v>1.5209525188928936</v>
      </c>
      <c r="F77" s="7">
        <f ca="1">[2]远征副本等级难度系数控制!E77</f>
        <v>1.4454515325943891</v>
      </c>
    </row>
    <row r="78" spans="1:6" x14ac:dyDescent="0.15">
      <c r="A78">
        <f t="shared" si="1"/>
        <v>2025</v>
      </c>
      <c r="B78" s="7">
        <f>[2]远征副本等级难度系数控制!A78</f>
        <v>25</v>
      </c>
      <c r="C78" s="7">
        <f>[2]远征副本等级难度系数控制!B78</f>
        <v>2</v>
      </c>
      <c r="D78" s="7">
        <f ca="1">[2]远征副本等级难度系数控制!C78</f>
        <v>1.7543614190545793</v>
      </c>
      <c r="E78" s="7">
        <f ca="1">[2]远征副本等级难度系数控制!D78</f>
        <v>1.6850130397609708</v>
      </c>
      <c r="F78" s="7">
        <f ca="1">[2]远征副本等级难度系数控制!E78</f>
        <v>1.5810543623043618</v>
      </c>
    </row>
    <row r="79" spans="1:6" x14ac:dyDescent="0.15">
      <c r="A79">
        <f t="shared" si="1"/>
        <v>2026</v>
      </c>
      <c r="B79" s="7">
        <f>[2]远征副本等级难度系数控制!A79</f>
        <v>26</v>
      </c>
      <c r="C79" s="7">
        <f>[2]远征副本等级难度系数控制!B79</f>
        <v>2</v>
      </c>
      <c r="D79" s="7">
        <f ca="1">[2]远征副本等级难度系数控制!C79</f>
        <v>1.972233786607722</v>
      </c>
      <c r="E79" s="7">
        <f ca="1">[2]远征副本等级难度系数控制!D79</f>
        <v>1.8823961257218091</v>
      </c>
      <c r="F79" s="7">
        <f ca="1">[2]远征副本等级难度系数控制!E79</f>
        <v>1.7438244612530323</v>
      </c>
    </row>
    <row r="80" spans="1:6" x14ac:dyDescent="0.15">
      <c r="A80">
        <f t="shared" si="1"/>
        <v>2027</v>
      </c>
      <c r="B80" s="7">
        <f>[2]远征副本等级难度系数控制!A80</f>
        <v>27</v>
      </c>
      <c r="C80" s="7">
        <f>[2]远征副本等级难度系数控制!B80</f>
        <v>2</v>
      </c>
      <c r="D80" s="7">
        <f ca="1">[2]远征副本等级难度系数控制!C80</f>
        <v>2.2042918205274931</v>
      </c>
      <c r="E80" s="7">
        <f ca="1">[2]远征副本等级难度系数控制!D80</f>
        <v>2.0917603884233902</v>
      </c>
      <c r="F80" s="7">
        <f ca="1">[2]远征副本等级难度系数控制!E80</f>
        <v>1.9131277333777335</v>
      </c>
    </row>
    <row r="81" spans="1:6" x14ac:dyDescent="0.15">
      <c r="A81">
        <f t="shared" si="1"/>
        <v>2028</v>
      </c>
      <c r="B81" s="7">
        <f>[2]远征副本等级难度系数控制!A81</f>
        <v>28</v>
      </c>
      <c r="C81" s="7">
        <f>[2]远征副本等级难度系数控制!B81</f>
        <v>2</v>
      </c>
      <c r="D81" s="7">
        <f ca="1">[2]远征副本等级难度系数控制!C81</f>
        <v>2.4508928136691668</v>
      </c>
      <c r="E81" s="7">
        <f ca="1">[2]远征副本等级难度系数控制!D81</f>
        <v>2.313487014004532</v>
      </c>
      <c r="F81" s="7">
        <f ca="1">[2]远征副本等级难度系数控制!E81</f>
        <v>2.0889641786784638</v>
      </c>
    </row>
    <row r="82" spans="1:6" x14ac:dyDescent="0.15">
      <c r="A82">
        <f t="shared" si="1"/>
        <v>2029</v>
      </c>
      <c r="B82" s="7">
        <f>[2]远征副本等级难度系数控制!A82</f>
        <v>29</v>
      </c>
      <c r="C82" s="7">
        <f>[2]远征副本等级难度系数控制!B82</f>
        <v>2</v>
      </c>
      <c r="D82" s="7">
        <f ca="1">[2]远征副本等级难度系数控制!C82</f>
        <v>2.712393023610018</v>
      </c>
      <c r="E82" s="7">
        <f ca="1">[2]远征副本等级难度系数控制!D82</f>
        <v>2.5479682642303687</v>
      </c>
      <c r="F82" s="7">
        <f ca="1">[2]远征副本等级难度系数控制!E82</f>
        <v>2.2713337971552265</v>
      </c>
    </row>
    <row r="83" spans="1:6" x14ac:dyDescent="0.15">
      <c r="A83">
        <f t="shared" si="1"/>
        <v>2030</v>
      </c>
      <c r="B83" s="7">
        <f>[2]远征副本等级难度系数控制!A83</f>
        <v>30</v>
      </c>
      <c r="C83" s="7">
        <f>[2]远征副本等级难度系数控制!B83</f>
        <v>2</v>
      </c>
      <c r="D83" s="7">
        <f ca="1">[2]远征副本等级难度系数控制!C83</f>
        <v>3.0265120612034346</v>
      </c>
      <c r="E83" s="7">
        <f ca="1">[2]远征副本等级难度系数控制!D83</f>
        <v>2.8305529802194052</v>
      </c>
      <c r="F83" s="7">
        <f ca="1">[2]远征副本等级难度系数控制!E83</f>
        <v>2.4909895461681182</v>
      </c>
    </row>
    <row r="84" spans="1:6" x14ac:dyDescent="0.15">
      <c r="A84">
        <f t="shared" si="1"/>
        <v>2031</v>
      </c>
      <c r="B84" s="7">
        <f>[2]远征副本等级难度系数控制!A84</f>
        <v>31</v>
      </c>
      <c r="C84" s="7">
        <f>[2]远征副本等级难度系数控制!B84</f>
        <v>2</v>
      </c>
      <c r="D84" s="7">
        <f ca="1">[2]远征副本等级难度系数控制!C84</f>
        <v>3.3695317344270133</v>
      </c>
      <c r="E84" s="7">
        <f ca="1">[2]远征副本等级难度系数控制!D84</f>
        <v>3.1399549807434379</v>
      </c>
      <c r="F84" s="7">
        <f ca="1">[2]远征副本等级难度系数控制!E84</f>
        <v>2.7177246098901091</v>
      </c>
    </row>
    <row r="85" spans="1:6" x14ac:dyDescent="0.15">
      <c r="A85">
        <f t="shared" si="1"/>
        <v>2032</v>
      </c>
      <c r="B85" s="7">
        <f>[2]远征副本等级难度系数控制!A85</f>
        <v>32</v>
      </c>
      <c r="C85" s="7">
        <f>[2]远征副本等级难度系数控制!B85</f>
        <v>2</v>
      </c>
      <c r="D85" s="7">
        <f ca="1">[2]远征副本等级难度系数控制!C85</f>
        <v>3.736134403677501</v>
      </c>
      <c r="E85" s="7">
        <f ca="1">[2]远征副本等级难度系数控制!D85</f>
        <v>3.47007665911624</v>
      </c>
      <c r="F85" s="7">
        <f ca="1">[2]远征副本等级难度系数控制!E85</f>
        <v>2.9538679120324112</v>
      </c>
    </row>
    <row r="86" spans="1:6" x14ac:dyDescent="0.15">
      <c r="A86">
        <f t="shared" si="1"/>
        <v>2033</v>
      </c>
      <c r="B86" s="7">
        <f>[2]远征副本等级难度系数控制!A86</f>
        <v>33</v>
      </c>
      <c r="C86" s="7">
        <f>[2]远征副本等级难度系数控制!B86</f>
        <v>2</v>
      </c>
      <c r="D86" s="7">
        <f ca="1">[2]远征副本等级难度系数控制!C86</f>
        <v>4.1255219053527243</v>
      </c>
      <c r="E86" s="7">
        <f ca="1">[2]远征副本等级难度系数控制!D86</f>
        <v>3.8202434960307703</v>
      </c>
      <c r="F86" s="7">
        <f ca="1">[2]远征副本等级难度系数控制!E86</f>
        <v>3.1981377700870568</v>
      </c>
    </row>
    <row r="87" spans="1:6" x14ac:dyDescent="0.15">
      <c r="A87">
        <f t="shared" si="1"/>
        <v>2034</v>
      </c>
      <c r="B87" s="7">
        <f>[2]远征副本等级难度系数控制!A87</f>
        <v>34</v>
      </c>
      <c r="C87" s="7">
        <f>[2]远征副本等级难度系数控制!B87</f>
        <v>2</v>
      </c>
      <c r="D87" s="7">
        <f ca="1">[2]远征副本等级难度系数控制!C87</f>
        <v>4.538082335892768</v>
      </c>
      <c r="E87" s="7">
        <f ca="1">[2]远征副本等级难度系数控制!D87</f>
        <v>4.19091258045008</v>
      </c>
      <c r="F87" s="7">
        <f ca="1">[2]远征副本等级难度系数控制!E87</f>
        <v>3.4502346088911082</v>
      </c>
    </row>
    <row r="88" spans="1:6" x14ac:dyDescent="0.15">
      <c r="A88">
        <f t="shared" si="1"/>
        <v>2035</v>
      </c>
      <c r="B88" s="7">
        <f>[2]远征副本等级难度系数控制!A88</f>
        <v>35</v>
      </c>
      <c r="C88" s="7">
        <f>[2]远征副本等级难度系数控制!B88</f>
        <v>2</v>
      </c>
      <c r="D88" s="7">
        <f ca="1">[2]远征副本等级难度系数控制!C88</f>
        <v>4.9741715657997156</v>
      </c>
      <c r="E88" s="7">
        <f ca="1">[2]远征副本等级难度系数控制!D88</f>
        <v>4.5825339258708881</v>
      </c>
      <c r="F88" s="7">
        <f ca="1">[2]远征副本等级难度系数控制!E88</f>
        <v>3.7098391053391055</v>
      </c>
    </row>
    <row r="89" spans="1:6" x14ac:dyDescent="0.15">
      <c r="A89">
        <f t="shared" si="1"/>
        <v>2036</v>
      </c>
      <c r="B89" s="7">
        <f>[2]远征副本等级难度系数控制!A89</f>
        <v>36</v>
      </c>
      <c r="C89" s="7">
        <f>[2]远征副本等级难度系数控制!B89</f>
        <v>2</v>
      </c>
      <c r="D89" s="7">
        <f ca="1">[2]远征副本等级难度系数控制!C89</f>
        <v>5.4341119881686373</v>
      </c>
      <c r="E89" s="7">
        <f ca="1">[2]远征副本等级难度系数控制!D89</f>
        <v>4.9955501995786742</v>
      </c>
      <c r="F89" s="7">
        <f ca="1">[2]远征副本等级难度系数控制!E89</f>
        <v>3.9766121883830445</v>
      </c>
    </row>
    <row r="90" spans="1:6" x14ac:dyDescent="0.15">
      <c r="A90">
        <f t="shared" si="1"/>
        <v>2037</v>
      </c>
      <c r="B90" s="7">
        <f>[2]远征副本等级难度系数控制!A90</f>
        <v>37</v>
      </c>
      <c r="C90" s="7">
        <f>[2]远征副本等级难度系数控制!B90</f>
        <v>2</v>
      </c>
      <c r="D90" s="7">
        <f ca="1">[2]远征副本等级难度系数控制!C90</f>
        <v>5.9181912644716714</v>
      </c>
      <c r="E90" s="7">
        <f ca="1">[2]远征副本等级难度系数控制!D90</f>
        <v>5.4779045960341088</v>
      </c>
      <c r="F90" s="7">
        <f ca="1">[2]远征副本等级难度系数控制!E90</f>
        <v>4.2501950390323975</v>
      </c>
    </row>
    <row r="91" spans="1:6" x14ac:dyDescent="0.15">
      <c r="A91">
        <f t="shared" si="1"/>
        <v>2038</v>
      </c>
      <c r="B91" s="7">
        <f>[2]远征副本等级难度系数控制!A91</f>
        <v>38</v>
      </c>
      <c r="C91" s="7">
        <f>[2]远征副本等级难度系数控制!B91</f>
        <v>2</v>
      </c>
      <c r="D91" s="7">
        <f ca="1">[2]远征副本等级难度系数控制!C91</f>
        <v>6.4266610681996932</v>
      </c>
      <c r="E91" s="7">
        <f ca="1">[2]远征副本等级难度系数控制!D91</f>
        <v>5.9908053396592296</v>
      </c>
      <c r="F91" s="7">
        <f ca="1">[2]远征副本等级难度系数控制!E91</f>
        <v>4.5302090903540924</v>
      </c>
    </row>
    <row r="92" spans="1:6" x14ac:dyDescent="0.15">
      <c r="A92">
        <f t="shared" si="1"/>
        <v>2039</v>
      </c>
      <c r="B92" s="7">
        <f>[2]远征副本等级难度系数控制!A92</f>
        <v>39</v>
      </c>
      <c r="C92" s="7">
        <f>[2]远征副本等级难度系数控制!B92</f>
        <v>2</v>
      </c>
      <c r="D92" s="7">
        <f ca="1">[2]远征副本等级难度系数控制!C92</f>
        <v>6.9597358268613378</v>
      </c>
      <c r="E92" s="7">
        <f ca="1">[2]远征副本等级难度系数控制!D92</f>
        <v>6.535309484927172</v>
      </c>
      <c r="F92" s="7">
        <f ca="1">[2]远征副本等级难度系数控制!E92</f>
        <v>4.8162560274725283</v>
      </c>
    </row>
    <row r="93" spans="1:6" x14ac:dyDescent="0.15">
      <c r="A93">
        <f t="shared" si="1"/>
        <v>2040</v>
      </c>
      <c r="B93" s="7">
        <f>[2]远征副本等级难度系数控制!A93</f>
        <v>40</v>
      </c>
      <c r="C93" s="7">
        <f>[2]远征副本等级难度系数控制!B93</f>
        <v>2</v>
      </c>
      <c r="D93" s="7">
        <f ca="1">[2]远征副本等级难度系数控制!C93</f>
        <v>7.5853175119679292</v>
      </c>
      <c r="E93" s="7">
        <f ca="1">[2]远征副本等级难度系数控制!D93</f>
        <v>7.1765554330880885</v>
      </c>
      <c r="F93" s="7">
        <f ca="1">[2]远征副本等级难度系数控制!E93</f>
        <v>5.1539350649350668</v>
      </c>
    </row>
    <row r="94" spans="1:6" x14ac:dyDescent="0.15">
      <c r="A94">
        <f t="shared" si="1"/>
        <v>2041</v>
      </c>
      <c r="B94" s="7">
        <f>[2]远征副本等级难度系数控制!A94</f>
        <v>41</v>
      </c>
      <c r="C94" s="7">
        <f>[2]远征副本等级难度系数控制!B94</f>
        <v>2</v>
      </c>
      <c r="D94" s="7">
        <f ca="1">[2]远征副本等级难度系数控制!C94</f>
        <v>8.2424757843042009</v>
      </c>
      <c r="E94" s="7">
        <f ca="1">[2]远征副本等级难度系数控制!D94</f>
        <v>7.8588776529012065</v>
      </c>
      <c r="F94" s="7">
        <f ca="1">[2]远征副本等级难度系数控制!E94</f>
        <v>5.499576850408852</v>
      </c>
    </row>
    <row r="95" spans="1:6" x14ac:dyDescent="0.15">
      <c r="A95">
        <f t="shared" si="1"/>
        <v>2042</v>
      </c>
      <c r="B95" s="7">
        <f>[2]远征副本等级难度系数控制!A95</f>
        <v>42</v>
      </c>
      <c r="C95" s="7">
        <f>[2]远征副本等级难度系数控制!B95</f>
        <v>2</v>
      </c>
      <c r="D95" s="7">
        <f ca="1">[2]远征副本等级难度系数控制!C95</f>
        <v>8.9314348390676503</v>
      </c>
      <c r="E95" s="7">
        <f ca="1">[2]远征副本等级难度系数控制!D95</f>
        <v>8.5836716058005997</v>
      </c>
      <c r="F95" s="7">
        <f ca="1">[2]远征副本等级难度系数控制!E95</f>
        <v>5.8526305494505548</v>
      </c>
    </row>
    <row r="96" spans="1:6" x14ac:dyDescent="0.15">
      <c r="A96">
        <f t="shared" si="1"/>
        <v>2043</v>
      </c>
      <c r="B96" s="7">
        <f>[2]远征副本等级难度系数控制!A96</f>
        <v>43</v>
      </c>
      <c r="C96" s="7">
        <f>[2]远征副本等级难度系数控制!B96</f>
        <v>2</v>
      </c>
      <c r="D96" s="7">
        <f ca="1">[2]远征副本等级难度系数控制!C96</f>
        <v>9.6523654393896958</v>
      </c>
      <c r="E96" s="7">
        <f ca="1">[2]远征副本等级难度系数控制!D96</f>
        <v>9.3523367525388572</v>
      </c>
      <c r="F96" s="7">
        <f ca="1">[2]远征副本等级难度系数控制!E96</f>
        <v>6.2125189970267849</v>
      </c>
    </row>
    <row r="97" spans="1:6" x14ac:dyDescent="0.15">
      <c r="A97">
        <f t="shared" si="1"/>
        <v>2044</v>
      </c>
      <c r="B97" s="7">
        <f>[2]远征副本等级难度系数控制!A97</f>
        <v>44</v>
      </c>
      <c r="C97" s="7">
        <f>[2]远征副本等级难度系数控制!B97</f>
        <v>2</v>
      </c>
      <c r="D97" s="7">
        <f ca="1">[2]远征副本等级难度系数控制!C97</f>
        <v>10.405383243994166</v>
      </c>
      <c r="E97" s="7">
        <f ca="1">[2]远征副本等级难度系数控制!D97</f>
        <v>10.166274765412147</v>
      </c>
      <c r="F97" s="7">
        <f ca="1">[2]远征副本等级难度系数控制!E97</f>
        <v>6.5786386975141289</v>
      </c>
    </row>
    <row r="98" spans="1:6" x14ac:dyDescent="0.15">
      <c r="A98">
        <f t="shared" si="1"/>
        <v>2045</v>
      </c>
      <c r="B98" s="7">
        <f>[2]远征副本等级难度系数控制!A98</f>
        <v>45</v>
      </c>
      <c r="C98" s="7">
        <f>[2]远征副本等级难度系数控制!B98</f>
        <v>2</v>
      </c>
      <c r="D98" s="7">
        <f ca="1">[2]远征副本等级难度系数控制!C98</f>
        <v>11.190547133536286</v>
      </c>
      <c r="E98" s="7">
        <f ca="1">[2]远征副本等级难度系数控制!D98</f>
        <v>11.02688765232104</v>
      </c>
      <c r="F98" s="7">
        <f ca="1">[2]远征副本等级难度系数控制!E98</f>
        <v>6.9503598246991114</v>
      </c>
    </row>
    <row r="99" spans="1:6" x14ac:dyDescent="0.15">
      <c r="A99">
        <f t="shared" si="1"/>
        <v>2046</v>
      </c>
      <c r="B99" s="7">
        <f>[2]远征副本等级难度系数控制!A99</f>
        <v>46</v>
      </c>
      <c r="C99" s="7">
        <f>[2]远征副本等级难度系数控制!B99</f>
        <v>2</v>
      </c>
      <c r="D99" s="7">
        <f ca="1">[2]远征副本等级难度系数控制!C99</f>
        <v>12.007857535984908</v>
      </c>
      <c r="E99" s="7">
        <f ca="1">[2]远征副本等级难度系数控制!D99</f>
        <v>11.93557578755258</v>
      </c>
      <c r="F99" s="7">
        <f ca="1">[2]远征副本等级难度系数控制!E99</f>
        <v>7.3270262217782278</v>
      </c>
    </row>
    <row r="100" spans="1:6" x14ac:dyDescent="0.15">
      <c r="A100">
        <f t="shared" si="1"/>
        <v>2047</v>
      </c>
      <c r="B100" s="7">
        <f>[2]远征副本等级难度系数控制!A100</f>
        <v>47</v>
      </c>
      <c r="C100" s="7">
        <f>[2]远征副本等级难度系数控制!B100</f>
        <v>2</v>
      </c>
      <c r="D100" s="7">
        <f ca="1">[2]远征副本等级难度系数控制!C100</f>
        <v>12.857254751353812</v>
      </c>
      <c r="E100" s="7">
        <f ca="1">[2]远征副本等级难度系数控制!D100</f>
        <v>12.893735843827203</v>
      </c>
      <c r="F100" s="7">
        <f ca="1">[2]远征副本等级难度系数控制!E100</f>
        <v>7.707955401357907</v>
      </c>
    </row>
    <row r="101" spans="1:6" x14ac:dyDescent="0.15">
      <c r="A101">
        <f t="shared" si="1"/>
        <v>2048</v>
      </c>
      <c r="B101" s="7">
        <f>[2]远征副本等级难度系数控制!A101</f>
        <v>48</v>
      </c>
      <c r="C101" s="7">
        <f>[2]远征副本等级难度系数控制!B101</f>
        <v>2</v>
      </c>
      <c r="D101" s="7">
        <f ca="1">[2]远征副本等级难度系数控制!C101</f>
        <v>13.738617276040401</v>
      </c>
      <c r="E101" s="7">
        <f ca="1">[2]远征副本等级难度系数控制!D101</f>
        <v>13.902758619786233</v>
      </c>
      <c r="F101" s="7">
        <f ca="1">[2]远征副本等级难度系数控制!E101</f>
        <v>8.0924385454545487</v>
      </c>
    </row>
    <row r="102" spans="1:6" x14ac:dyDescent="0.15">
      <c r="A102">
        <f t="shared" si="1"/>
        <v>2049</v>
      </c>
      <c r="B102" s="7">
        <f>[2]远征副本等级难度系数控制!A102</f>
        <v>49</v>
      </c>
      <c r="C102" s="7">
        <f>[2]远征副本等级难度系数控制!B102</f>
        <v>2</v>
      </c>
      <c r="D102" s="7">
        <f ca="1">[2]远征副本等级难度系数控制!C102</f>
        <v>14.651760126989579</v>
      </c>
      <c r="E102" s="7">
        <f ca="1">[2]远征副本等级难度系数控制!D102</f>
        <v>14.964026756699697</v>
      </c>
      <c r="F102" s="7">
        <f ca="1">[2]远征副本等级难度系数控制!E102</f>
        <v>8.4797405054945099</v>
      </c>
    </row>
    <row r="103" spans="1:6" x14ac:dyDescent="0.15">
      <c r="A103">
        <f t="shared" si="1"/>
        <v>2050</v>
      </c>
      <c r="B103" s="7">
        <f>[2]远征副本等级难度系数控制!A103</f>
        <v>50</v>
      </c>
      <c r="C103" s="7">
        <f>[2]远征副本等级难度系数控制!B103</f>
        <v>2</v>
      </c>
      <c r="D103" s="7">
        <f ca="1">[2]远征副本等级难度系数控制!C103</f>
        <v>15.699041278800451</v>
      </c>
      <c r="E103" s="7">
        <f ca="1">[2]远征副本等级难度系数控制!D103</f>
        <v>16.184694655759159</v>
      </c>
      <c r="F103" s="7">
        <f ca="1">[2]远征副本等级难度系数控制!E103</f>
        <v>8.9274491431187908</v>
      </c>
    </row>
    <row r="104" spans="1:6" x14ac:dyDescent="0.15">
      <c r="A104">
        <f t="shared" si="1"/>
        <v>2051</v>
      </c>
      <c r="B104" s="7">
        <f>[2]远征副本等级难度系数控制!A104</f>
        <v>51</v>
      </c>
      <c r="C104" s="7">
        <f>[2]远征副本等级难度系数控制!B104</f>
        <v>2</v>
      </c>
      <c r="D104" s="7">
        <f ca="1">[2]远征副本等级难度系数控制!C104</f>
        <v>16.694329391226663</v>
      </c>
      <c r="E104" s="7">
        <f ca="1">[2]远征副本等级难度系数控制!D104</f>
        <v>17.583597381322683</v>
      </c>
      <c r="F104" s="7">
        <f ca="1">[2]远征副本等级难度系数控制!E104</f>
        <v>9.6914017762211362</v>
      </c>
    </row>
    <row r="105" spans="1:6" x14ac:dyDescent="0.15">
      <c r="A105">
        <f t="shared" si="1"/>
        <v>2052</v>
      </c>
      <c r="B105" s="7">
        <f>[2]远征副本等级难度系数控制!A105</f>
        <v>52</v>
      </c>
      <c r="C105" s="7">
        <f>[2]远征副本等级难度系数控制!B105</f>
        <v>2</v>
      </c>
      <c r="D105" s="7">
        <f ca="1">[2]远征副本等级难度系数控制!C105</f>
        <v>18.367836205844618</v>
      </c>
      <c r="E105" s="7">
        <f ca="1">[2]远征副本等级难度系数控制!D105</f>
        <v>19.071472453534557</v>
      </c>
      <c r="F105" s="7">
        <f ca="1">[2]远征副本等级难度系数控制!E105</f>
        <v>10.202775599162742</v>
      </c>
    </row>
    <row r="106" spans="1:6" x14ac:dyDescent="0.15">
      <c r="A106">
        <f t="shared" si="1"/>
        <v>2053</v>
      </c>
      <c r="B106" s="7">
        <f>[2]远征副本等级难度系数控制!A106</f>
        <v>53</v>
      </c>
      <c r="C106" s="7">
        <f>[2]远征副本等级难度系数控制!B106</f>
        <v>2</v>
      </c>
      <c r="D106" s="7">
        <f ca="1">[2]远征副本等级难度系数控制!C106</f>
        <v>19.81316488956422</v>
      </c>
      <c r="E106" s="7">
        <f ca="1">[2]远征副本等级难度系数控制!D106</f>
        <v>20.652597615224398</v>
      </c>
      <c r="F106" s="7">
        <f ca="1">[2]远征副本等级难度系数控制!E106</f>
        <v>10.879874594017098</v>
      </c>
    </row>
    <row r="107" spans="1:6" x14ac:dyDescent="0.15">
      <c r="A107">
        <f t="shared" si="1"/>
        <v>2054</v>
      </c>
      <c r="B107" s="7">
        <f>[2]远征副本等级难度系数控制!A107</f>
        <v>54</v>
      </c>
      <c r="C107" s="7">
        <f>[2]远征副本等级难度系数控制!B107</f>
        <v>2</v>
      </c>
      <c r="D107" s="7">
        <f ca="1">[2]远征副本等级难度系数控制!C107</f>
        <v>21.335637090425067</v>
      </c>
      <c r="E107" s="7">
        <f ca="1">[2]远征副本等级难度系数控制!D107</f>
        <v>22.33143068192998</v>
      </c>
      <c r="F107" s="7">
        <f ca="1">[2]远征副本等级难度系数控制!E107</f>
        <v>11.583867509448227</v>
      </c>
    </row>
    <row r="108" spans="1:6" x14ac:dyDescent="0.15">
      <c r="A108">
        <f t="shared" si="1"/>
        <v>2055</v>
      </c>
      <c r="B108" s="7">
        <f>[2]远征副本等级难度系数控制!A108</f>
        <v>55</v>
      </c>
      <c r="C108" s="7">
        <f>[2]远征副本等级难度系数控制!B108</f>
        <v>2</v>
      </c>
      <c r="D108" s="7">
        <f ca="1">[2]远征副本等级难度系数控制!C108</f>
        <v>22.937686428827643</v>
      </c>
      <c r="E108" s="7">
        <f ca="1">[2]远征副本等级难度系数控制!D108</f>
        <v>24.112617604854353</v>
      </c>
      <c r="F108" s="7">
        <f ca="1">[2]远征副本等级难度系数控制!E108</f>
        <v>12.315206902472523</v>
      </c>
    </row>
    <row r="109" spans="1:6" x14ac:dyDescent="0.15">
      <c r="A109">
        <f t="shared" si="1"/>
        <v>2056</v>
      </c>
      <c r="B109" s="7">
        <f>[2]远征副本等级难度系数控制!A109</f>
        <v>56</v>
      </c>
      <c r="C109" s="7">
        <f>[2]远征副本等级难度系数控制!B109</f>
        <v>2</v>
      </c>
      <c r="D109" s="7">
        <f ca="1">[2]远征副本等级难度系数控制!C109</f>
        <v>24.621779784981594</v>
      </c>
      <c r="E109" s="7">
        <f ca="1">[2]远征副本等级难度系数控制!D109</f>
        <v>26.001000970971202</v>
      </c>
      <c r="F109" s="7">
        <f ca="1">[2]远征副本等级难度系数控制!E109</f>
        <v>13.074345330106402</v>
      </c>
    </row>
    <row r="110" spans="1:6" x14ac:dyDescent="0.15">
      <c r="A110">
        <f t="shared" si="1"/>
        <v>2057</v>
      </c>
      <c r="B110" s="7">
        <f>[2]远征副本等级难度系数控制!A110</f>
        <v>57</v>
      </c>
      <c r="C110" s="7">
        <f>[2]远征副本等级难度系数控制!B110</f>
        <v>2</v>
      </c>
      <c r="D110" s="7">
        <f ca="1">[2]远征副本等级难度系数控制!C110</f>
        <v>26.390417286583435</v>
      </c>
      <c r="E110" s="7">
        <f ca="1">[2]远征副本等级难度系数控制!D110</f>
        <v>28.001628968181514</v>
      </c>
      <c r="F110" s="7">
        <f ca="1">[2]远征副本等级难度系数控制!E110</f>
        <v>13.861735349366249</v>
      </c>
    </row>
    <row r="111" spans="1:6" x14ac:dyDescent="0.15">
      <c r="A111">
        <f t="shared" si="1"/>
        <v>2058</v>
      </c>
      <c r="B111" s="7">
        <f>[2]远征副本等级难度系数控制!A111</f>
        <v>58</v>
      </c>
      <c r="C111" s="7">
        <f>[2]远征副本等级难度系数控制!B111</f>
        <v>2</v>
      </c>
      <c r="D111" s="7">
        <f ca="1">[2]远征副本等级难度系数控制!C111</f>
        <v>28.246132296226452</v>
      </c>
      <c r="E111" s="7">
        <f ca="1">[2]远征副本等级难度系数控制!D111</f>
        <v>30.119764845478986</v>
      </c>
      <c r="F111" s="7">
        <f ca="1">[2]远征副本等级难度系数控制!E111</f>
        <v>14.677829517268446</v>
      </c>
    </row>
    <row r="112" spans="1:6" x14ac:dyDescent="0.15">
      <c r="A112">
        <f t="shared" si="1"/>
        <v>2059</v>
      </c>
      <c r="B112" s="7">
        <f>[2]远征副本等级难度系数控制!A112</f>
        <v>59</v>
      </c>
      <c r="C112" s="7">
        <f>[2]远征副本等级难度系数控制!B112</f>
        <v>2</v>
      </c>
      <c r="D112" s="7">
        <f ca="1">[2]远征副本等级难度系数控制!C112</f>
        <v>30.191491398599684</v>
      </c>
      <c r="E112" s="7">
        <f ca="1">[2]远征副本等级难度系数控制!D112</f>
        <v>32.360896900307267</v>
      </c>
      <c r="F112" s="7">
        <f ca="1">[2]远征副本等级难度系数控制!E112</f>
        <v>15.523080390829415</v>
      </c>
    </row>
    <row r="113" spans="1:6" x14ac:dyDescent="0.15">
      <c r="A113">
        <f t="shared" si="1"/>
        <v>2060</v>
      </c>
      <c r="B113" s="7">
        <f>[2]远征副本等级难度系数控制!A113</f>
        <v>60</v>
      </c>
      <c r="C113" s="7">
        <f>[2]远征副本等级难度系数控制!B113</f>
        <v>2</v>
      </c>
      <c r="D113" s="7">
        <f ca="1">[2]远征副本等级难度系数控制!C113</f>
        <v>32.3878583992865</v>
      </c>
      <c r="E113" s="7">
        <f ca="1">[2]远征副本等级难度系数控制!D113</f>
        <v>34.901836461340096</v>
      </c>
      <c r="F113" s="7">
        <f ca="1">[2]远征副本等级难度系数控制!E113</f>
        <v>16.478718559218564</v>
      </c>
    </row>
    <row r="114" spans="1:6" x14ac:dyDescent="0.15">
      <c r="A114">
        <f t="shared" si="1"/>
        <v>2061</v>
      </c>
      <c r="B114" s="7">
        <f>[2]远征副本等级难度系数控制!A114</f>
        <v>61</v>
      </c>
      <c r="C114" s="7">
        <f>[2]远征副本等级难度系数控制!B114</f>
        <v>2</v>
      </c>
      <c r="D114" s="7">
        <f ca="1">[2]远征副本等级难度系数控制!C114</f>
        <v>34.691974005309056</v>
      </c>
      <c r="E114" s="7">
        <f ca="1">[2]远征副本等级难度系数控制!D114</f>
        <v>37.593323521043729</v>
      </c>
      <c r="F114" s="7">
        <f ca="1">[2]远征副本等级难度系数控制!E114</f>
        <v>17.469236160714289</v>
      </c>
    </row>
    <row r="115" spans="1:6" x14ac:dyDescent="0.15">
      <c r="A115">
        <f t="shared" si="1"/>
        <v>2062</v>
      </c>
      <c r="B115" s="7">
        <f>[2]远征副本等级难度系数控制!A115</f>
        <v>62</v>
      </c>
      <c r="C115" s="7">
        <f>[2]远征副本等级难度系数控制!B115</f>
        <v>2</v>
      </c>
      <c r="D115" s="7">
        <f ca="1">[2]远征副本等级难度系数控制!C115</f>
        <v>37.106971775412404</v>
      </c>
      <c r="E115" s="7">
        <f ca="1">[2]远征副本等级难度系数控制!D115</f>
        <v>40.442455365289938</v>
      </c>
      <c r="F115" s="7">
        <f ca="1">[2]远征副本等级难度系数控制!E115</f>
        <v>18.495176263736273</v>
      </c>
    </row>
    <row r="116" spans="1:6" x14ac:dyDescent="0.15">
      <c r="A116">
        <f t="shared" si="1"/>
        <v>2063</v>
      </c>
      <c r="B116" s="7">
        <f>[2]远征副本等级难度系数控制!A116</f>
        <v>63</v>
      </c>
      <c r="C116" s="7">
        <f>[2]远征副本等级难度系数控制!B116</f>
        <v>2</v>
      </c>
      <c r="D116" s="7">
        <f ca="1">[2]远征副本等级难度系数控制!C116</f>
        <v>39.636025087792042</v>
      </c>
      <c r="E116" s="7">
        <f ca="1">[2]远征副本等级难度系数控制!D116</f>
        <v>43.456639908323979</v>
      </c>
      <c r="F116" s="7">
        <f ca="1">[2]远征副本等级难度系数控制!E116</f>
        <v>19.557081936704165</v>
      </c>
    </row>
    <row r="117" spans="1:6" x14ac:dyDescent="0.15">
      <c r="A117">
        <f t="shared" si="1"/>
        <v>2064</v>
      </c>
      <c r="B117" s="7">
        <f>[2]远征副本等级难度系数控制!A117</f>
        <v>64</v>
      </c>
      <c r="C117" s="7">
        <f>[2]远征副本等级难度系数控制!B117</f>
        <v>2</v>
      </c>
      <c r="D117" s="7">
        <f ca="1">[2]远征副本等级难度系数控制!C117</f>
        <v>42.282347124790775</v>
      </c>
      <c r="E117" s="7">
        <f ca="1">[2]远征副本等级难度系数控制!D117</f>
        <v>46.643610820769815</v>
      </c>
      <c r="F117" s="7">
        <f ca="1">[2]远征副本等级难度系数控制!E117</f>
        <v>20.6554962480377</v>
      </c>
    </row>
    <row r="118" spans="1:6" x14ac:dyDescent="0.15">
      <c r="A118">
        <f t="shared" si="1"/>
        <v>2065</v>
      </c>
      <c r="B118" s="7">
        <f>[2]远征副本等级难度系数控制!A118</f>
        <v>65</v>
      </c>
      <c r="C118" s="7">
        <f>[2]远征副本等级难度系数控制!B118</f>
        <v>2</v>
      </c>
      <c r="D118" s="7">
        <f ca="1">[2]远征副本等级难度系数控制!C118</f>
        <v>45.049190857524657</v>
      </c>
      <c r="E118" s="7">
        <f ca="1">[2]远征副本等级难度系数控制!D118</f>
        <v>50.011443550435523</v>
      </c>
      <c r="F118" s="7">
        <f ca="1">[2]远征副本等级难度系数控制!E118</f>
        <v>21.790962266156473</v>
      </c>
    </row>
    <row r="119" spans="1:6" x14ac:dyDescent="0.15">
      <c r="A119">
        <f t="shared" si="1"/>
        <v>2066</v>
      </c>
      <c r="B119" s="7">
        <f>[2]远征副本等级难度系数控制!A119</f>
        <v>66</v>
      </c>
      <c r="C119" s="7">
        <f>[2]远征副本等级难度系数控制!B119</f>
        <v>2</v>
      </c>
      <c r="D119" s="7">
        <f ca="1">[2]远征副本等级难度系数控制!C119</f>
        <v>47.93984903047096</v>
      </c>
      <c r="E119" s="7">
        <f ca="1">[2]远征副本等级难度系数控制!D119</f>
        <v>53.568572298001449</v>
      </c>
      <c r="F119" s="7">
        <f ca="1">[2]远征副本等级难度系数控制!E119</f>
        <v>22.964023059480223</v>
      </c>
    </row>
    <row r="120" spans="1:6" x14ac:dyDescent="0.15">
      <c r="A120">
        <f t="shared" si="1"/>
        <v>2067</v>
      </c>
      <c r="B120" s="7">
        <f>[2]远征副本等级难度系数控制!A120</f>
        <v>67</v>
      </c>
      <c r="C120" s="7">
        <f>[2]远征副本等级难度系数控制!B120</f>
        <v>2</v>
      </c>
      <c r="D120" s="7">
        <f ca="1">[2]远征副本等级难度系数控制!C120</f>
        <v>50.957654146047425</v>
      </c>
      <c r="E120" s="7">
        <f ca="1">[2]远征副本等级难度系数控制!D120</f>
        <v>56.881342641365215</v>
      </c>
      <c r="F120" s="7">
        <f ca="1">[2]远征副本等级难度系数控制!E120</f>
        <v>24.175221696428579</v>
      </c>
    </row>
    <row r="121" spans="1:6" x14ac:dyDescent="0.15">
      <c r="A121">
        <f t="shared" si="1"/>
        <v>2068</v>
      </c>
      <c r="B121" s="7">
        <f>[2]远征副本等级难度系数控制!A121</f>
        <v>68</v>
      </c>
      <c r="C121" s="7">
        <f>[2]远征副本等级难度系数控制!B121</f>
        <v>2</v>
      </c>
      <c r="D121" s="7">
        <f ca="1">[2]远征副本等级难度系数控制!C121</f>
        <v>54.10597844920877</v>
      </c>
      <c r="E121" s="7">
        <f ca="1">[2]远征副本等级难度系数控制!D121</f>
        <v>60.342662426135732</v>
      </c>
      <c r="F121" s="7">
        <f ca="1">[2]远征副本等级难度系数控制!E121</f>
        <v>25.42510124542126</v>
      </c>
    </row>
    <row r="122" spans="1:6" x14ac:dyDescent="0.15">
      <c r="A122">
        <f t="shared" si="1"/>
        <v>2069</v>
      </c>
      <c r="B122" s="7">
        <f>[2]远征副本等级难度系数控制!A122</f>
        <v>69</v>
      </c>
      <c r="C122" s="7">
        <f>[2]远征副本等级难度系数控制!B122</f>
        <v>2</v>
      </c>
      <c r="D122" s="7">
        <f ca="1">[2]远征副本等级难度系数控制!C122</f>
        <v>57.388233912081937</v>
      </c>
      <c r="E122" s="7">
        <f ca="1">[2]远征副本等级难度系数控制!D122</f>
        <v>63.957697397599581</v>
      </c>
      <c r="F122" s="7">
        <f ca="1">[2]远征副本等级难度系数控制!E122</f>
        <v>26.714204774877924</v>
      </c>
    </row>
    <row r="123" spans="1:6" x14ac:dyDescent="0.15">
      <c r="A123">
        <f t="shared" si="1"/>
        <v>2070</v>
      </c>
      <c r="B123" s="7">
        <f>[2]远征副本等级难度系数控制!A123</f>
        <v>70</v>
      </c>
      <c r="C123" s="7">
        <f>[2]远征副本等级难度系数控制!B123</f>
        <v>2</v>
      </c>
      <c r="D123" s="7">
        <f ca="1">[2]远征副本等级难度系数控制!C123</f>
        <v>61.038205067972633</v>
      </c>
      <c r="E123" s="7">
        <f ca="1">[2]远征副本等级难度系数控制!D123</f>
        <v>67.988366961037698</v>
      </c>
      <c r="F123" s="7">
        <f ca="1">[2]远征副本等级难度系数控制!E123</f>
        <v>28.149299123495577</v>
      </c>
    </row>
    <row r="124" spans="1:6" x14ac:dyDescent="0.15">
      <c r="A124">
        <f t="shared" si="1"/>
        <v>2071</v>
      </c>
      <c r="B124" s="7">
        <f>[2]远征副本等级难度系数控制!A124</f>
        <v>71</v>
      </c>
      <c r="C124" s="7">
        <f>[2]远征副本等级难度系数控制!B124</f>
        <v>2</v>
      </c>
      <c r="D124" s="7">
        <f ca="1">[2]远征副本等级难度系数控制!C124</f>
        <v>64.845187599564966</v>
      </c>
      <c r="E124" s="7">
        <f ca="1">[2]远征副本等级难度系数控制!D124</f>
        <v>72.201447932726182</v>
      </c>
      <c r="F124" s="7">
        <f ca="1">[2]远征副本等级难度系数控制!E124</f>
        <v>29.630124612186769</v>
      </c>
    </row>
    <row r="125" spans="1:6" x14ac:dyDescent="0.15">
      <c r="A125">
        <f t="shared" si="1"/>
        <v>2072</v>
      </c>
      <c r="B125" s="7">
        <f>[2]远征副本等级难度系数控制!A125</f>
        <v>72</v>
      </c>
      <c r="C125" s="7">
        <f>[2]远征副本等级难度系数控制!B125</f>
        <v>2</v>
      </c>
      <c r="D125" s="7">
        <f ca="1">[2]远征副本等级难度系数控制!C125</f>
        <v>68.813229768740982</v>
      </c>
      <c r="E125" s="7">
        <f ca="1">[2]远征副本等级难度系数控制!D125</f>
        <v>76.603411664237896</v>
      </c>
      <c r="F125" s="7">
        <f ca="1">[2]远征副本等级难度系数控制!E125</f>
        <v>31.157314820774477</v>
      </c>
    </row>
    <row r="126" spans="1:6" x14ac:dyDescent="0.15">
      <c r="A126">
        <f t="shared" si="1"/>
        <v>2073</v>
      </c>
      <c r="B126" s="7">
        <f>[2]远征副本等级难度系数控制!A126</f>
        <v>73</v>
      </c>
      <c r="C126" s="7">
        <f>[2]远征副本等级难度系数控制!B126</f>
        <v>2</v>
      </c>
      <c r="D126" s="7">
        <f ca="1">[2]远征副本等级难度系数控制!C126</f>
        <v>72.946426135465202</v>
      </c>
      <c r="E126" s="7">
        <f ca="1">[2]远征副本等级难度系数控制!D126</f>
        <v>81.20098181888288</v>
      </c>
      <c r="F126" s="7">
        <f ca="1">[2]远征副本等级难度系数控制!E126</f>
        <v>32.731503329081654</v>
      </c>
    </row>
    <row r="127" spans="1:6" x14ac:dyDescent="0.15">
      <c r="A127">
        <f t="shared" si="1"/>
        <v>2074</v>
      </c>
      <c r="B127" s="7">
        <f>[2]远征副本等级难度系数控制!A127</f>
        <v>74</v>
      </c>
      <c r="C127" s="7">
        <f>[2]远征副本等级难度系数控制!B127</f>
        <v>2</v>
      </c>
      <c r="D127" s="7">
        <f ca="1">[2]远征副本等级难度系数控制!C127</f>
        <v>77.248917540456929</v>
      </c>
      <c r="E127" s="7">
        <f ca="1">[2]远征副本等级难度系数控制!D127</f>
        <v>86.001147985650903</v>
      </c>
      <c r="F127" s="7">
        <f ca="1">[2]远征副本等级难度系数控制!E127</f>
        <v>34.353323716931236</v>
      </c>
    </row>
    <row r="128" spans="1:6" x14ac:dyDescent="0.15">
      <c r="A128">
        <f t="shared" si="1"/>
        <v>2075</v>
      </c>
      <c r="B128" s="7">
        <f>[2]远征副本等级难度系数控制!A128</f>
        <v>75</v>
      </c>
      <c r="C128" s="7">
        <f>[2]远征副本等级难度系数控制!B128</f>
        <v>2</v>
      </c>
      <c r="D128" s="7">
        <f ca="1">[2]远征副本等级难度系数控制!C128</f>
        <v>81.724891087975323</v>
      </c>
      <c r="E128" s="7">
        <f ca="1">[2]远征副本等级难度系数控制!D128</f>
        <v>91.011180184248616</v>
      </c>
      <c r="F128" s="7">
        <f ca="1">[2]远征副本等级难度系数控制!E128</f>
        <v>36.023409564146213</v>
      </c>
    </row>
    <row r="129" spans="1:6" x14ac:dyDescent="0.15">
      <c r="A129">
        <f t="shared" si="1"/>
        <v>2076</v>
      </c>
      <c r="B129" s="7">
        <f>[2]远征副本等级难度系数控制!A129</f>
        <v>76</v>
      </c>
      <c r="C129" s="7">
        <f>[2]远征副本等级难度系数控制!B129</f>
        <v>2</v>
      </c>
      <c r="D129" s="7">
        <f ca="1">[2]远征副本等级难度系数控制!C129</f>
        <v>86.378580128730761</v>
      </c>
      <c r="E129" s="7">
        <f ca="1">[2]远征副本等级难度系数控制!D129</f>
        <v>96.238644330028677</v>
      </c>
      <c r="F129" s="7">
        <f ca="1">[2]远征副本等级难度系数控制!E129</f>
        <v>37.742394450549462</v>
      </c>
    </row>
    <row r="130" spans="1:6" x14ac:dyDescent="0.15">
      <c r="A130">
        <f t="shared" si="1"/>
        <v>2077</v>
      </c>
      <c r="B130" s="7">
        <f>[2]远征副本等级难度系数控制!A130</f>
        <v>77</v>
      </c>
      <c r="C130" s="7">
        <f>[2]远征副本等级难度系数控制!B130</f>
        <v>2</v>
      </c>
      <c r="D130" s="7">
        <f ca="1">[2]远征副本等级难度系数控制!C130</f>
        <v>91.214264242931264</v>
      </c>
      <c r="E130" s="7">
        <f ca="1">[2]远征副本等级难度系数控制!D130</f>
        <v>101.69141873374714</v>
      </c>
      <c r="F130" s="7">
        <f ca="1">[2]远征副本等级难度系数控制!E130</f>
        <v>39.510911955964012</v>
      </c>
    </row>
    <row r="131" spans="1:6" x14ac:dyDescent="0.15">
      <c r="A131">
        <f t="shared" ref="A131:A194" si="2">C131*1000+B131</f>
        <v>2078</v>
      </c>
      <c r="B131" s="7">
        <f>[2]远征副本等级难度系数控制!A131</f>
        <v>78</v>
      </c>
      <c r="C131" s="7">
        <f>[2]远征副本等级难度系数控制!B131</f>
        <v>2</v>
      </c>
      <c r="D131" s="7">
        <f ca="1">[2]远征副本等级难度系数控制!C131</f>
        <v>96.236269223474267</v>
      </c>
      <c r="E131" s="7">
        <f ca="1">[2]远征副本等级难度系数控制!D131</f>
        <v>107.37771171784541</v>
      </c>
      <c r="F131" s="7">
        <f ca="1">[2]远征副本等级难度系数控制!E131</f>
        <v>41.32959566021281</v>
      </c>
    </row>
    <row r="132" spans="1:6" x14ac:dyDescent="0.15">
      <c r="A132">
        <f t="shared" si="2"/>
        <v>2079</v>
      </c>
      <c r="B132" s="7">
        <f>[2]远征副本等级难度系数控制!A132</f>
        <v>79</v>
      </c>
      <c r="C132" s="7">
        <f>[2]远征副本等级难度系数控制!B132</f>
        <v>2</v>
      </c>
      <c r="D132" s="7">
        <f ca="1">[2]远征副本等级难度系数控制!C132</f>
        <v>101.44896705929045</v>
      </c>
      <c r="E132" s="7">
        <f ca="1">[2]远征副本等级难度系数控制!D132</f>
        <v>113.30608043840967</v>
      </c>
      <c r="F132" s="7">
        <f ca="1">[2]远征副本等级难度系数控制!E132</f>
        <v>43.199079143118823</v>
      </c>
    </row>
    <row r="133" spans="1:6" x14ac:dyDescent="0.15">
      <c r="A133">
        <f t="shared" si="2"/>
        <v>2080</v>
      </c>
      <c r="B133" s="7">
        <f>[2]远征副本等级难度系数控制!A133</f>
        <v>80</v>
      </c>
      <c r="C133" s="7">
        <f>[2]远征副本等级难度系数控制!B133</f>
        <v>2</v>
      </c>
      <c r="D133" s="7">
        <f ca="1">[2]远征副本等级难度系数控制!C133</f>
        <v>107.17575136934927</v>
      </c>
      <c r="E133" s="7">
        <f ca="1">[2]远征副本等级难度系数控制!D133</f>
        <v>119.84212399827869</v>
      </c>
      <c r="F133" s="7">
        <f ca="1">[2]远征副本等级难度系数控制!E133</f>
        <v>45.254682539682527</v>
      </c>
    </row>
    <row r="134" spans="1:6" x14ac:dyDescent="0.15">
      <c r="A134">
        <f t="shared" si="2"/>
        <v>2081</v>
      </c>
      <c r="B134" s="7">
        <f>[2]远征副本等级难度系数控制!A134</f>
        <v>81</v>
      </c>
      <c r="C134" s="7">
        <f>[2]远征副本等级难度系数控制!B134</f>
        <v>2</v>
      </c>
      <c r="D134" s="7">
        <f ca="1">[2]远征副本等级难度系数控制!C134</f>
        <v>113.12184528078674</v>
      </c>
      <c r="E134" s="7">
        <f ca="1">[2]远征副本等级难度系数控制!D134</f>
        <v>142.51768144768471</v>
      </c>
      <c r="F134" s="7">
        <f ca="1">[2]远征副本等级难度系数控制!E134</f>
        <v>47.368377306674844</v>
      </c>
    </row>
    <row r="135" spans="1:6" x14ac:dyDescent="0.15">
      <c r="A135">
        <f t="shared" si="2"/>
        <v>2082</v>
      </c>
      <c r="B135" s="7">
        <f>[2]远征副本等级难度系数控制!A135</f>
        <v>82</v>
      </c>
      <c r="C135" s="7">
        <f>[2]远征副本等级难度系数控制!B135</f>
        <v>2</v>
      </c>
      <c r="D135" s="7">
        <f ca="1">[2]远征副本等级难度系数控制!C135</f>
        <v>119.29232614432999</v>
      </c>
      <c r="E135" s="7">
        <f ca="1">[2]远征副本等级难度系数控制!D135</f>
        <v>151.72477605054186</v>
      </c>
      <c r="F135" s="7">
        <f ca="1">[2]远征副本等级难度系数控制!E135</f>
        <v>49.540887535321829</v>
      </c>
    </row>
    <row r="136" spans="1:6" x14ac:dyDescent="0.15">
      <c r="A136">
        <f t="shared" si="2"/>
        <v>2083</v>
      </c>
      <c r="B136" s="7">
        <f>[2]远征副本等级难度系数控制!A136</f>
        <v>83</v>
      </c>
      <c r="C136" s="7">
        <f>[2]远征副本等级难度系数控制!B136</f>
        <v>2</v>
      </c>
      <c r="D136" s="7">
        <f ca="1">[2]远征副本等级难度系数控制!C136</f>
        <v>125.69232405416854</v>
      </c>
      <c r="E136" s="7">
        <f ca="1">[2]远征副本等级难度系数控制!D136</f>
        <v>161.42023212548281</v>
      </c>
      <c r="F136" s="7">
        <f ca="1">[2]远征副本等级难度系数控制!E136</f>
        <v>51.772937316849827</v>
      </c>
    </row>
    <row r="137" spans="1:6" x14ac:dyDescent="0.15">
      <c r="A137">
        <f t="shared" si="2"/>
        <v>2084</v>
      </c>
      <c r="B137" s="7">
        <f>[2]远征副本等级难度系数控制!A137</f>
        <v>84</v>
      </c>
      <c r="C137" s="7">
        <f>[2]远征副本等级难度系数控制!B137</f>
        <v>2</v>
      </c>
      <c r="D137" s="7">
        <f ca="1">[2]远征副本等级难度系数控制!C137</f>
        <v>132.32702182976917</v>
      </c>
      <c r="E137" s="7">
        <f ca="1">[2]远征副本等级难度系数控制!D137</f>
        <v>171.62763774827306</v>
      </c>
      <c r="F137" s="7">
        <f ca="1">[2]远征副本等级难度系数控制!E137</f>
        <v>54.065250742485041</v>
      </c>
    </row>
    <row r="138" spans="1:6" x14ac:dyDescent="0.15">
      <c r="A138">
        <f t="shared" si="2"/>
        <v>2085</v>
      </c>
      <c r="B138" s="7">
        <f>[2]远征副本等级难度系数控制!A138</f>
        <v>85</v>
      </c>
      <c r="C138" s="7">
        <f>[2]远征副本等级难度系数控制!B138</f>
        <v>2</v>
      </c>
      <c r="D138" s="7">
        <f ca="1">[2]远征副本等级难度系数控制!C138</f>
        <v>139.20165499788169</v>
      </c>
      <c r="E138" s="7">
        <f ca="1">[2]远征副本等级难度系数控制!D138</f>
        <v>182.37179857658589</v>
      </c>
      <c r="F138" s="7">
        <f ca="1">[2]远征副本等级难度系数控制!E138</f>
        <v>56.418551903453668</v>
      </c>
    </row>
    <row r="139" spans="1:6" x14ac:dyDescent="0.15">
      <c r="A139">
        <f t="shared" si="2"/>
        <v>2086</v>
      </c>
      <c r="B139" s="7">
        <f>[2]远征副本等级难度系数控制!A139</f>
        <v>86</v>
      </c>
      <c r="C139" s="7">
        <f>[2]远征副本等级难度系数控制!B139</f>
        <v>2</v>
      </c>
      <c r="D139" s="7">
        <f ca="1">[2]远征副本等级难度系数控制!C139</f>
        <v>146.32151177473926</v>
      </c>
      <c r="E139" s="7">
        <f ca="1">[2]远征副本等级难度系数控制!D139</f>
        <v>193.67881331995602</v>
      </c>
      <c r="F139" s="7">
        <f ca="1">[2]远征副本等级难度系数控制!E139</f>
        <v>58.833564890982032</v>
      </c>
    </row>
    <row r="140" spans="1:6" x14ac:dyDescent="0.15">
      <c r="A140">
        <f t="shared" si="2"/>
        <v>2087</v>
      </c>
      <c r="B140" s="7">
        <f>[2]远征副本等级难度系数控制!A140</f>
        <v>87</v>
      </c>
      <c r="C140" s="7">
        <f>[2]远征副本等级难度系数控制!B140</f>
        <v>2</v>
      </c>
      <c r="D140" s="7">
        <f ca="1">[2]远征副本等级难度系数控制!C140</f>
        <v>153.69193304845507</v>
      </c>
      <c r="E140" s="7">
        <f ca="1">[2]远征副本等级难度系数控制!D140</f>
        <v>205.57615489366086</v>
      </c>
      <c r="F140" s="7">
        <f ca="1">[2]远征副本等级难度系数控制!E140</f>
        <v>61.311013796296315</v>
      </c>
    </row>
    <row r="141" spans="1:6" x14ac:dyDescent="0.15">
      <c r="A141">
        <f t="shared" si="2"/>
        <v>2088</v>
      </c>
      <c r="B141" s="7">
        <f>[2]远征副本等级难度系数控制!A141</f>
        <v>88</v>
      </c>
      <c r="C141" s="7">
        <f>[2]远征副本等级难度系数控制!B141</f>
        <v>2</v>
      </c>
      <c r="D141" s="7">
        <f ca="1">[2]远征副本等级难度系数控制!C141</f>
        <v>161.31831236161827</v>
      </c>
      <c r="E141" s="7">
        <f ca="1">[2]远征副本等级难度系数控制!D141</f>
        <v>218.09275776230709</v>
      </c>
      <c r="F141" s="7">
        <f ca="1">[2]远征副本等级难度系数控制!E141</f>
        <v>63.851622710622685</v>
      </c>
    </row>
    <row r="142" spans="1:6" x14ac:dyDescent="0.15">
      <c r="A142">
        <f t="shared" si="2"/>
        <v>2089</v>
      </c>
      <c r="B142" s="7">
        <f>[2]远征副本等级难度系数控制!A142</f>
        <v>89</v>
      </c>
      <c r="C142" s="7">
        <f>[2]远征副本等级难度系数控制!B142</f>
        <v>2</v>
      </c>
      <c r="D142" s="7">
        <f ca="1">[2]远征副本等级难度系数控制!C142</f>
        <v>169.20609589408824</v>
      </c>
      <c r="E142" s="7">
        <f ca="1">[2]远征副本等级难度系数控制!D142</f>
        <v>231.25911203098838</v>
      </c>
      <c r="F142" s="7">
        <f ca="1">[2]远征副本等级难度系数控制!E142</f>
        <v>66.456115725187473</v>
      </c>
    </row>
    <row r="143" spans="1:6" x14ac:dyDescent="0.15">
      <c r="A143">
        <f t="shared" si="2"/>
        <v>2090</v>
      </c>
      <c r="B143" s="7">
        <f>[2]远征副本等级难度系数控制!A143</f>
        <v>90</v>
      </c>
      <c r="C143" s="7">
        <f>[2]远征副本等级难度系数控制!B143</f>
        <v>2</v>
      </c>
      <c r="D143" s="7">
        <f ca="1">[2]远征副本等级难度系数控制!C143</f>
        <v>177.36078244598954</v>
      </c>
      <c r="E143" s="7">
        <f ca="1">[2]远征副本等级难度系数控制!D143</f>
        <v>245.10736490010015</v>
      </c>
      <c r="F143" s="7">
        <f ca="1">[2]远征副本等级难度系数控制!E143</f>
        <v>69.12521693121694</v>
      </c>
    </row>
    <row r="144" spans="1:6" x14ac:dyDescent="0.15">
      <c r="A144">
        <f t="shared" si="2"/>
        <v>3020</v>
      </c>
      <c r="B144" s="7">
        <f>[2]远征副本等级难度系数控制!A144</f>
        <v>20</v>
      </c>
      <c r="C144" s="7">
        <f>[2]远征副本等级难度系数控制!B144</f>
        <v>3</v>
      </c>
      <c r="D144" s="7">
        <f ca="1">[2]远征副本等级难度系数控制!C144</f>
        <v>1</v>
      </c>
      <c r="E144" s="7">
        <f ca="1">[2]远征副本等级难度系数控制!D144</f>
        <v>1</v>
      </c>
      <c r="F144" s="7">
        <f ca="1">[2]远征副本等级难度系数控制!E144</f>
        <v>1</v>
      </c>
    </row>
    <row r="145" spans="1:6" x14ac:dyDescent="0.15">
      <c r="A145">
        <f t="shared" si="2"/>
        <v>3021</v>
      </c>
      <c r="B145" s="7">
        <f>[2]远征副本等级难度系数控制!A145</f>
        <v>21</v>
      </c>
      <c r="C145" s="7">
        <f>[2]远征副本等级难度系数控制!B145</f>
        <v>3</v>
      </c>
      <c r="D145" s="7">
        <f ca="1">[2]远征副本等级难度系数控制!C145</f>
        <v>1.1175968387549777</v>
      </c>
      <c r="E145" s="7">
        <f ca="1">[2]远征副本等级难度系数控制!D145</f>
        <v>1.1114951305698277</v>
      </c>
      <c r="F145" s="7">
        <f ca="1">[2]远征副本等级难度系数控制!E145</f>
        <v>1.0931717687074829</v>
      </c>
    </row>
    <row r="146" spans="1:6" x14ac:dyDescent="0.15">
      <c r="A146">
        <f t="shared" si="2"/>
        <v>3022</v>
      </c>
      <c r="B146" s="7">
        <f>[2]远征副本等级难度系数控制!A146</f>
        <v>22</v>
      </c>
      <c r="C146" s="7">
        <f>[2]远征副本等级难度系数控制!B146</f>
        <v>3</v>
      </c>
      <c r="D146" s="7">
        <f ca="1">[2]远征副本等级难度系数控制!C146</f>
        <v>1.2431201966962262</v>
      </c>
      <c r="E146" s="7">
        <f ca="1">[2]远征副本等级难度系数控制!D146</f>
        <v>1.2303794520244331</v>
      </c>
      <c r="F146" s="7">
        <f ca="1">[2]远征副本等级难度系数控制!E146</f>
        <v>1.1902040816326529</v>
      </c>
    </row>
    <row r="147" spans="1:6" x14ac:dyDescent="0.15">
      <c r="A147">
        <f t="shared" si="2"/>
        <v>3023</v>
      </c>
      <c r="B147" s="7">
        <f>[2]远征副本等级难度系数控制!A147</f>
        <v>23</v>
      </c>
      <c r="C147" s="7">
        <f>[2]远征副本等级难度系数控制!B147</f>
        <v>3</v>
      </c>
      <c r="D147" s="7">
        <f ca="1">[2]远征副本等级难度系数控制!C147</f>
        <v>1.4024517884049481</v>
      </c>
      <c r="E147" s="7">
        <f ca="1">[2]远征副本等级难度系数控制!D147</f>
        <v>1.3822219127985367</v>
      </c>
      <c r="F147" s="7">
        <f ca="1">[2]远征副本等级难度系数控制!E147</f>
        <v>1.3151681057038203</v>
      </c>
    </row>
    <row r="148" spans="1:6" x14ac:dyDescent="0.15">
      <c r="A148">
        <f t="shared" si="2"/>
        <v>3024</v>
      </c>
      <c r="B148" s="7">
        <f>[2]远征副本等级难度系数控制!A148</f>
        <v>24</v>
      </c>
      <c r="C148" s="7">
        <f>[2]远征副本等级难度系数控制!B148</f>
        <v>3</v>
      </c>
      <c r="D148" s="7">
        <f ca="1">[2]远征副本等级难度系数控制!C148</f>
        <v>1.5727679083562143</v>
      </c>
      <c r="E148" s="7">
        <f ca="1">[2]远征副本等级难度系数控制!D148</f>
        <v>1.5444020214617953</v>
      </c>
      <c r="F148" s="7">
        <f ca="1">[2]远征副本等级难度系数控制!E148</f>
        <v>1.4454515325943891</v>
      </c>
    </row>
    <row r="149" spans="1:6" x14ac:dyDescent="0.15">
      <c r="A149">
        <f t="shared" si="2"/>
        <v>3025</v>
      </c>
      <c r="B149" s="7">
        <f>[2]远征副本等级难度系数控制!A149</f>
        <v>25</v>
      </c>
      <c r="C149" s="7">
        <f>[2]远征副本等级难度系数控制!B149</f>
        <v>3</v>
      </c>
      <c r="D149" s="7">
        <f ca="1">[2]远征副本等级难度系数控制!C149</f>
        <v>1.7543614190545793</v>
      </c>
      <c r="E149" s="7">
        <f ca="1">[2]远征副本等级难度系数控制!D149</f>
        <v>1.7173010851706059</v>
      </c>
      <c r="F149" s="7">
        <f ca="1">[2]远征副本等级难度系数控制!E149</f>
        <v>1.5810543623043618</v>
      </c>
    </row>
    <row r="150" spans="1:6" x14ac:dyDescent="0.15">
      <c r="A150">
        <f t="shared" si="2"/>
        <v>3026</v>
      </c>
      <c r="B150" s="7">
        <f>[2]远征副本等级难度系数控制!A150</f>
        <v>26</v>
      </c>
      <c r="C150" s="7">
        <f>[2]远征副本等级难度系数控制!B150</f>
        <v>3</v>
      </c>
      <c r="D150" s="7">
        <f ca="1">[2]远征副本等级难度系数控制!C150</f>
        <v>1.9722337866077218</v>
      </c>
      <c r="E150" s="7">
        <f ca="1">[2]远征副本等级难度系数控制!D150</f>
        <v>1.9254344588780203</v>
      </c>
      <c r="F150" s="7">
        <f ca="1">[2]远征副本等级难度系数控制!E150</f>
        <v>1.7438244612530323</v>
      </c>
    </row>
    <row r="151" spans="1:6" x14ac:dyDescent="0.15">
      <c r="A151">
        <f t="shared" si="2"/>
        <v>3027</v>
      </c>
      <c r="B151" s="7">
        <f>[2]远征副本等级难度系数控制!A151</f>
        <v>27</v>
      </c>
      <c r="C151" s="7">
        <f>[2]远征副本等级难度系数控制!B151</f>
        <v>3</v>
      </c>
      <c r="D151" s="7">
        <f ca="1">[2]远征副本等级难度系数控制!C151</f>
        <v>2.2042918205274926</v>
      </c>
      <c r="E151" s="7">
        <f ca="1">[2]远征副本等级难度系数控制!D151</f>
        <v>2.1472410795871002</v>
      </c>
      <c r="F151" s="7">
        <f ca="1">[2]远征副本等级难度系数控制!E151</f>
        <v>1.9131277333777335</v>
      </c>
    </row>
    <row r="152" spans="1:6" x14ac:dyDescent="0.15">
      <c r="A152">
        <f t="shared" si="2"/>
        <v>3028</v>
      </c>
      <c r="B152" s="7">
        <f>[2]远征副本等级难度系数控制!A152</f>
        <v>28</v>
      </c>
      <c r="C152" s="7">
        <f>[2]远征副本等级难度系数控制!B152</f>
        <v>3</v>
      </c>
      <c r="D152" s="7">
        <f ca="1">[2]远征副本等级难度系数控制!C152</f>
        <v>2.4508928136691663</v>
      </c>
      <c r="E152" s="7">
        <f ca="1">[2]远征副本等级难度系数控制!D152</f>
        <v>2.3832205242786886</v>
      </c>
      <c r="F152" s="7">
        <f ca="1">[2]远征副本等级难度系数控制!E152</f>
        <v>2.0889641786784638</v>
      </c>
    </row>
    <row r="153" spans="1:6" x14ac:dyDescent="0.15">
      <c r="A153">
        <f t="shared" si="2"/>
        <v>3029</v>
      </c>
      <c r="B153" s="7">
        <f>[2]远征副本等级难度系数控制!A153</f>
        <v>29</v>
      </c>
      <c r="C153" s="7">
        <f>[2]远征副本等级难度系数控制!B153</f>
        <v>3</v>
      </c>
      <c r="D153" s="7">
        <f ca="1">[2]远征副本等级难度系数控制!C153</f>
        <v>2.7123930236100176</v>
      </c>
      <c r="E153" s="7">
        <f ca="1">[2]远征副本等级难度系数控制!D153</f>
        <v>2.6338868854875566</v>
      </c>
      <c r="F153" s="7">
        <f ca="1">[2]远征副本等级难度系数控制!E153</f>
        <v>2.2713337971552265</v>
      </c>
    </row>
    <row r="154" spans="1:6" x14ac:dyDescent="0.15">
      <c r="A154">
        <f t="shared" si="2"/>
        <v>3030</v>
      </c>
      <c r="B154" s="7">
        <f>[2]远征副本等级难度系数控制!A154</f>
        <v>30</v>
      </c>
      <c r="C154" s="7">
        <f>[2]远征副本等级难度系数控制!B154</f>
        <v>3</v>
      </c>
      <c r="D154" s="7">
        <f ca="1">[2]远征副本等级难度系数控制!C154</f>
        <v>3.0265120612034337</v>
      </c>
      <c r="E154" s="7">
        <f ca="1">[2]远征副本等级难度系数控制!D154</f>
        <v>2.9360164186387312</v>
      </c>
      <c r="F154" s="7">
        <f ca="1">[2]远征副本等级难度系数控制!E154</f>
        <v>2.4909895461681182</v>
      </c>
    </row>
    <row r="155" spans="1:6" x14ac:dyDescent="0.15">
      <c r="A155">
        <f t="shared" si="2"/>
        <v>3031</v>
      </c>
      <c r="B155" s="7">
        <f>[2]远征副本等级难度系数控制!A155</f>
        <v>31</v>
      </c>
      <c r="C155" s="7">
        <f>[2]远征副本等级难度系数控制!B155</f>
        <v>3</v>
      </c>
      <c r="D155" s="7">
        <f ca="1">[2]远征副本等级难度系数控制!C155</f>
        <v>3.3695317344270124</v>
      </c>
      <c r="E155" s="7">
        <f ca="1">[2]远征副本等级难度系数控制!D155</f>
        <v>3.2596869999470317</v>
      </c>
      <c r="F155" s="7">
        <f ca="1">[2]远征副本等级难度系数控制!E155</f>
        <v>2.7177246098901091</v>
      </c>
    </row>
    <row r="156" spans="1:6" x14ac:dyDescent="0.15">
      <c r="A156">
        <f t="shared" si="2"/>
        <v>3032</v>
      </c>
      <c r="B156" s="7">
        <f>[2]远征副本等级难度系数控制!A156</f>
        <v>32</v>
      </c>
      <c r="C156" s="7">
        <f>[2]远征副本等级难度系数控制!B156</f>
        <v>3</v>
      </c>
      <c r="D156" s="7">
        <f ca="1">[2]远征副本等级难度系数控制!C156</f>
        <v>3.7361344036775006</v>
      </c>
      <c r="E156" s="7">
        <f ca="1">[2]远征副本等级难度系数控制!D156</f>
        <v>3.6052685304237717</v>
      </c>
      <c r="F156" s="7">
        <f ca="1">[2]远征副本等级难度系数控制!E156</f>
        <v>2.9538679120324112</v>
      </c>
    </row>
    <row r="157" spans="1:6" x14ac:dyDescent="0.15">
      <c r="A157">
        <f t="shared" si="2"/>
        <v>3033</v>
      </c>
      <c r="B157" s="7">
        <f>[2]远征副本等级难度系数控制!A157</f>
        <v>33</v>
      </c>
      <c r="C157" s="7">
        <f>[2]远征副本等级难度系数控制!B157</f>
        <v>3</v>
      </c>
      <c r="D157" s="7">
        <f ca="1">[2]远征副本等级难度系数控制!C157</f>
        <v>4.1255219053527243</v>
      </c>
      <c r="E157" s="7">
        <f ca="1">[2]远征副本等级难度系数控制!D157</f>
        <v>3.9720731548648569</v>
      </c>
      <c r="F157" s="7">
        <f ca="1">[2]远征副本等级难度系数控制!E157</f>
        <v>3.1981377700870568</v>
      </c>
    </row>
    <row r="158" spans="1:6" x14ac:dyDescent="0.15">
      <c r="A158">
        <f t="shared" si="2"/>
        <v>3034</v>
      </c>
      <c r="B158" s="7">
        <f>[2]远征副本等级难度系数控制!A158</f>
        <v>34</v>
      </c>
      <c r="C158" s="7">
        <f>[2]远征副本等级难度系数控制!B158</f>
        <v>3</v>
      </c>
      <c r="D158" s="7">
        <f ca="1">[2]远征副本等级难度系数控制!C158</f>
        <v>4.538082335892768</v>
      </c>
      <c r="E158" s="7">
        <f ca="1">[2]远征副本等级难度系数控制!D158</f>
        <v>4.3605849257157523</v>
      </c>
      <c r="F158" s="7">
        <f ca="1">[2]远征副本等级难度系数控制!E158</f>
        <v>3.4502346088911082</v>
      </c>
    </row>
    <row r="159" spans="1:6" x14ac:dyDescent="0.15">
      <c r="A159">
        <f t="shared" si="2"/>
        <v>3035</v>
      </c>
      <c r="B159" s="7">
        <f>[2]远征副本等级难度系数控制!A159</f>
        <v>35</v>
      </c>
      <c r="C159" s="7">
        <f>[2]远征副本等级难度系数控制!B159</f>
        <v>3</v>
      </c>
      <c r="D159" s="7">
        <f ca="1">[2]远征副本等级难度系数控制!C159</f>
        <v>4.9741715657997156</v>
      </c>
      <c r="E159" s="7">
        <f ca="1">[2]远征副本等级难度系数控制!D159</f>
        <v>4.7712786224191879</v>
      </c>
      <c r="F159" s="7">
        <f ca="1">[2]远征副本等级难度系数控制!E159</f>
        <v>3.7098391053391055</v>
      </c>
    </row>
    <row r="160" spans="1:6" x14ac:dyDescent="0.15">
      <c r="A160">
        <f t="shared" si="2"/>
        <v>3036</v>
      </c>
      <c r="B160" s="7">
        <f>[2]远征副本等级难度系数控制!A160</f>
        <v>36</v>
      </c>
      <c r="C160" s="7">
        <f>[2]远征副本等级难度系数控制!B160</f>
        <v>3</v>
      </c>
      <c r="D160" s="7">
        <f ca="1">[2]远征副本等级难度系数控制!C160</f>
        <v>5.4341119881686373</v>
      </c>
      <c r="E160" s="7">
        <f ca="1">[2]远征副本等级难度系数控制!D160</f>
        <v>5.2046193965808394</v>
      </c>
      <c r="F160" s="7">
        <f ca="1">[2]远征副本等级难度系数控制!E160</f>
        <v>3.9766121883830445</v>
      </c>
    </row>
    <row r="161" spans="1:6" x14ac:dyDescent="0.15">
      <c r="A161">
        <f t="shared" si="2"/>
        <v>3037</v>
      </c>
      <c r="B161" s="7">
        <f>[2]远征副本等级难度系数控制!A161</f>
        <v>37</v>
      </c>
      <c r="C161" s="7">
        <f>[2]远征副本等级难度系数控制!B161</f>
        <v>3</v>
      </c>
      <c r="D161" s="7">
        <f ca="1">[2]远征副本等级难度系数控制!C161</f>
        <v>5.9181912644716714</v>
      </c>
      <c r="E161" s="7">
        <f ca="1">[2]远征副本等级难度系数控制!D161</f>
        <v>5.7233258962953055</v>
      </c>
      <c r="F161" s="7">
        <f ca="1">[2]远征副本等级难度系数控制!E161</f>
        <v>4.2501950390323975</v>
      </c>
    </row>
    <row r="162" spans="1:6" x14ac:dyDescent="0.15">
      <c r="A162">
        <f t="shared" si="2"/>
        <v>3038</v>
      </c>
      <c r="B162" s="7">
        <f>[2]远征副本等级难度系数控制!A162</f>
        <v>38</v>
      </c>
      <c r="C162" s="7">
        <f>[2]远征副本等级难度系数控制!B162</f>
        <v>3</v>
      </c>
      <c r="D162" s="7">
        <f ca="1">[2]远征副本等级难度系数控制!C162</f>
        <v>6.4266610681996923</v>
      </c>
      <c r="E162" s="7">
        <f ca="1">[2]远征副本等级难度系数控制!D162</f>
        <v>6.2764431859335303</v>
      </c>
      <c r="F162" s="7">
        <f ca="1">[2]远征副本等级难度系数控制!E162</f>
        <v>4.5302090903540924</v>
      </c>
    </row>
    <row r="163" spans="1:6" x14ac:dyDescent="0.15">
      <c r="A163">
        <f t="shared" si="2"/>
        <v>3039</v>
      </c>
      <c r="B163" s="7">
        <f>[2]远征副本等级难度系数控制!A163</f>
        <v>39</v>
      </c>
      <c r="C163" s="7">
        <f>[2]远征副本等级难度系数控制!B163</f>
        <v>3</v>
      </c>
      <c r="D163" s="7">
        <f ca="1">[2]远征副本等级难度系数控制!C163</f>
        <v>6.9597358268613387</v>
      </c>
      <c r="E163" s="7">
        <f ca="1">[2]远征副本等级难度系数控制!D163</f>
        <v>6.8652416239673837</v>
      </c>
      <c r="F163" s="7">
        <f ca="1">[2]远征副本等级难度系数控制!E163</f>
        <v>4.8162560274725283</v>
      </c>
    </row>
    <row r="164" spans="1:6" x14ac:dyDescent="0.15">
      <c r="A164">
        <f t="shared" si="2"/>
        <v>3040</v>
      </c>
      <c r="B164" s="7">
        <f>[2]远征副本等级难度系数控制!A164</f>
        <v>40</v>
      </c>
      <c r="C164" s="7">
        <f>[2]远征副本等级难度系数控制!B164</f>
        <v>3</v>
      </c>
      <c r="D164" s="7">
        <f ca="1">[2]远征副本等级难度系数控制!C164</f>
        <v>7.5853175119679292</v>
      </c>
      <c r="E164" s="7">
        <f ca="1">[2]远征副本等级难度系数控制!D164</f>
        <v>7.5584845371189333</v>
      </c>
      <c r="F164" s="7">
        <f ca="1">[2]远征副本等级难度系数控制!E164</f>
        <v>5.1539350649350668</v>
      </c>
    </row>
    <row r="165" spans="1:6" x14ac:dyDescent="0.15">
      <c r="A165">
        <f t="shared" si="2"/>
        <v>3041</v>
      </c>
      <c r="B165" s="7">
        <f>[2]远征副本等级难度系数控制!A165</f>
        <v>41</v>
      </c>
      <c r="C165" s="7">
        <f>[2]远征副本等级难度系数控制!B165</f>
        <v>3</v>
      </c>
      <c r="D165" s="7">
        <f ca="1">[2]远征副本等级难度系数控制!C165</f>
        <v>8.2424757843042009</v>
      </c>
      <c r="E165" s="7">
        <f ca="1">[2]远征副本等级难度系数控制!D165</f>
        <v>8.2980643365773421</v>
      </c>
      <c r="F165" s="7">
        <f ca="1">[2]远征副本等级难度系数控制!E165</f>
        <v>5.499576850408852</v>
      </c>
    </row>
    <row r="166" spans="1:6" x14ac:dyDescent="0.15">
      <c r="A166">
        <f t="shared" si="2"/>
        <v>3042</v>
      </c>
      <c r="B166" s="7">
        <f>[2]远征副本等级难度系数控制!A166</f>
        <v>42</v>
      </c>
      <c r="C166" s="7">
        <f>[2]远征副本等级难度系数控制!B166</f>
        <v>3</v>
      </c>
      <c r="D166" s="7">
        <f ca="1">[2]远征副本等级难度系数控制!C166</f>
        <v>8.9314348390676503</v>
      </c>
      <c r="E166" s="7">
        <f ca="1">[2]远征副本等级难度系数控制!D166</f>
        <v>9.0856565581411424</v>
      </c>
      <c r="F166" s="7">
        <f ca="1">[2]远征副本等级难度系数控制!E166</f>
        <v>5.8526305494505548</v>
      </c>
    </row>
    <row r="167" spans="1:6" x14ac:dyDescent="0.15">
      <c r="A167">
        <f t="shared" si="2"/>
        <v>3043</v>
      </c>
      <c r="B167" s="7">
        <f>[2]远征副本等级难度系数控制!A167</f>
        <v>43</v>
      </c>
      <c r="C167" s="7">
        <f>[2]远征副本等级难度系数控制!B167</f>
        <v>3</v>
      </c>
      <c r="D167" s="7">
        <f ca="1">[2]远征副本等级难度系数控制!C167</f>
        <v>9.6523654393896958</v>
      </c>
      <c r="E167" s="7">
        <f ca="1">[2]远征副本等级难度系数控制!D167</f>
        <v>9.9229419790572457</v>
      </c>
      <c r="F167" s="7">
        <f ca="1">[2]远征副本等级难度系数控制!E167</f>
        <v>6.2125189970267849</v>
      </c>
    </row>
    <row r="168" spans="1:6" x14ac:dyDescent="0.15">
      <c r="A168">
        <f t="shared" si="2"/>
        <v>3044</v>
      </c>
      <c r="B168" s="7">
        <f>[2]远征副本等级难度系数控制!A168</f>
        <v>44</v>
      </c>
      <c r="C168" s="7">
        <f>[2]远征副本等级难度系数控制!B168</f>
        <v>3</v>
      </c>
      <c r="D168" s="7">
        <f ca="1">[2]远征副本等级难度系数控制!C168</f>
        <v>10.405383243994164</v>
      </c>
      <c r="E168" s="7">
        <f ca="1">[2]远征副本等级难度系数控制!D168</f>
        <v>10.811604274989259</v>
      </c>
      <c r="F168" s="7">
        <f ca="1">[2]远征副本等级难度系数控制!E168</f>
        <v>6.5786386975141289</v>
      </c>
    </row>
    <row r="169" spans="1:6" x14ac:dyDescent="0.15">
      <c r="A169">
        <f t="shared" si="2"/>
        <v>3045</v>
      </c>
      <c r="B169" s="7">
        <f>[2]远征副本等级难度系数控制!A169</f>
        <v>45</v>
      </c>
      <c r="C169" s="7">
        <f>[2]远征副本等级难度系数控制!B169</f>
        <v>3</v>
      </c>
      <c r="D169" s="7">
        <f ca="1">[2]远征副本等级难度系数控制!C169</f>
        <v>11.190547133536288</v>
      </c>
      <c r="E169" s="7">
        <f ca="1">[2]远征副本等级难度系数控制!D169</f>
        <v>11.753327561438994</v>
      </c>
      <c r="F169" s="7">
        <f ca="1">[2]远征副本等级难度系数控制!E169</f>
        <v>6.9503598246991114</v>
      </c>
    </row>
    <row r="170" spans="1:6" x14ac:dyDescent="0.15">
      <c r="A170">
        <f t="shared" si="2"/>
        <v>3046</v>
      </c>
      <c r="B170" s="7">
        <f>[2]远征副本等级难度系数控制!A170</f>
        <v>46</v>
      </c>
      <c r="C170" s="7">
        <f>[2]远征副本等级难度系数控制!B170</f>
        <v>3</v>
      </c>
      <c r="D170" s="7">
        <f ca="1">[2]远征副本等级难度系数控制!C170</f>
        <v>12.007857535984908</v>
      </c>
      <c r="E170" s="7">
        <f ca="1">[2]远征副本等级难度系数控制!D170</f>
        <v>12.749793812918266</v>
      </c>
      <c r="F170" s="7">
        <f ca="1">[2]远征副本等级难度系数控制!E170</f>
        <v>7.3270262217782278</v>
      </c>
    </row>
    <row r="171" spans="1:6" x14ac:dyDescent="0.15">
      <c r="A171">
        <f t="shared" si="2"/>
        <v>3047</v>
      </c>
      <c r="B171" s="7">
        <f>[2]远征副本等级难度系数控制!A171</f>
        <v>47</v>
      </c>
      <c r="C171" s="7">
        <f>[2]远征副本等级难度系数控制!B171</f>
        <v>3</v>
      </c>
      <c r="D171" s="7">
        <f ca="1">[2]远征副本等级难度系数控制!C171</f>
        <v>12.857254751353809</v>
      </c>
      <c r="E171" s="7">
        <f ca="1">[2]远征副本等级难度系数控制!D171</f>
        <v>13.802680152719818</v>
      </c>
      <c r="F171" s="7">
        <f ca="1">[2]远征副本等级难度系数控制!E171</f>
        <v>7.707955401357907</v>
      </c>
    </row>
    <row r="172" spans="1:6" x14ac:dyDescent="0.15">
      <c r="A172">
        <f t="shared" si="2"/>
        <v>3048</v>
      </c>
      <c r="B172" s="7">
        <f>[2]远征副本等级难度系数控制!A172</f>
        <v>48</v>
      </c>
      <c r="C172" s="7">
        <f>[2]远征副本等级难度系数控制!B172</f>
        <v>3</v>
      </c>
      <c r="D172" s="7">
        <f ca="1">[2]远征副本等级难度系数控制!C172</f>
        <v>13.738617276040399</v>
      </c>
      <c r="E172" s="7">
        <f ca="1">[2]远征副本等级难度系数控制!D172</f>
        <v>14.913656005654163</v>
      </c>
      <c r="F172" s="7">
        <f ca="1">[2]远征副本等级难度系数控制!E172</f>
        <v>8.0924385454545487</v>
      </c>
    </row>
    <row r="173" spans="1:6" x14ac:dyDescent="0.15">
      <c r="A173">
        <f t="shared" si="2"/>
        <v>3049</v>
      </c>
      <c r="B173" s="7">
        <f>[2]远征副本等级难度系数控制!A173</f>
        <v>49</v>
      </c>
      <c r="C173" s="7">
        <f>[2]远征副本等级难度系数控制!B173</f>
        <v>3</v>
      </c>
      <c r="D173" s="7">
        <f ca="1">[2]远征副本等级难度系数控制!C173</f>
        <v>14.651760126989576</v>
      </c>
      <c r="E173" s="7">
        <f ca="1">[2]远征副本等级难度系数控制!D173</f>
        <v>16.084380105600264</v>
      </c>
      <c r="F173" s="7">
        <f ca="1">[2]远征副本等级难度系数控制!E173</f>
        <v>8.4797405054945099</v>
      </c>
    </row>
    <row r="174" spans="1:6" x14ac:dyDescent="0.15">
      <c r="A174">
        <f t="shared" si="2"/>
        <v>3050</v>
      </c>
      <c r="B174" s="7">
        <f>[2]远征副本等级难度系数控制!A174</f>
        <v>50</v>
      </c>
      <c r="C174" s="7">
        <f>[2]远征副本等级难度系数控制!B174</f>
        <v>3</v>
      </c>
      <c r="D174" s="7">
        <f ca="1">[2]远征副本等级难度系数控制!C174</f>
        <v>15.699041278800443</v>
      </c>
      <c r="E174" s="7">
        <f ca="1">[2]远征副本等级难度系数控制!D174</f>
        <v>17.430421673824252</v>
      </c>
      <c r="F174" s="7">
        <f ca="1">[2]远征副本等级难度系数控制!E174</f>
        <v>8.9274491431187908</v>
      </c>
    </row>
    <row r="175" spans="1:6" x14ac:dyDescent="0.15">
      <c r="A175">
        <f t="shared" si="2"/>
        <v>3051</v>
      </c>
      <c r="B175" s="7">
        <f>[2]远征副本等级难度系数控制!A175</f>
        <v>51</v>
      </c>
      <c r="C175" s="7">
        <f>[2]远征副本等级难度系数控制!B175</f>
        <v>3</v>
      </c>
      <c r="D175" s="7">
        <f ca="1">[2]远征副本等级难度系数控制!C175</f>
        <v>16.69432939122666</v>
      </c>
      <c r="E175" s="7">
        <f ca="1">[2]远征副本等级难度系数控制!D175</f>
        <v>18.999239946650796</v>
      </c>
      <c r="F175" s="7">
        <f ca="1">[2]远征副本等级难度系数控制!E175</f>
        <v>9.6914017762211362</v>
      </c>
    </row>
    <row r="176" spans="1:6" x14ac:dyDescent="0.15">
      <c r="A176">
        <f t="shared" si="2"/>
        <v>3052</v>
      </c>
      <c r="B176" s="7">
        <f>[2]远征副本等级难度系数控制!A176</f>
        <v>52</v>
      </c>
      <c r="C176" s="7">
        <f>[2]远征副本等级难度系数控制!B176</f>
        <v>3</v>
      </c>
      <c r="D176" s="7">
        <f ca="1">[2]远征副本等级难度系数控制!C176</f>
        <v>18.367836205844611</v>
      </c>
      <c r="E176" s="7">
        <f ca="1">[2]远征副本等级难度系数控制!D176</f>
        <v>20.673657153495231</v>
      </c>
      <c r="F176" s="7">
        <f ca="1">[2]远征副本等级难度系数控制!E176</f>
        <v>10.202775599162742</v>
      </c>
    </row>
    <row r="177" spans="1:6" x14ac:dyDescent="0.15">
      <c r="A177">
        <f t="shared" si="2"/>
        <v>3053</v>
      </c>
      <c r="B177" s="7">
        <f>[2]远征副本等级难度系数控制!A177</f>
        <v>53</v>
      </c>
      <c r="C177" s="7">
        <f>[2]远征副本等级难度系数控制!B177</f>
        <v>3</v>
      </c>
      <c r="D177" s="7">
        <f ca="1">[2]远征副本等级难度系数控制!C177</f>
        <v>19.813164889564213</v>
      </c>
      <c r="E177" s="7">
        <f ca="1">[2]远征副本等级难度系数控制!D177</f>
        <v>22.459087972126959</v>
      </c>
      <c r="F177" s="7">
        <f ca="1">[2]远征副本等级难度系数控制!E177</f>
        <v>10.879874594017098</v>
      </c>
    </row>
    <row r="178" spans="1:6" x14ac:dyDescent="0.15">
      <c r="A178">
        <f t="shared" si="2"/>
        <v>3054</v>
      </c>
      <c r="B178" s="7">
        <f>[2]远征副本等级难度系数控制!A178</f>
        <v>54</v>
      </c>
      <c r="C178" s="7">
        <f>[2]远征副本等级难度系数控制!B178</f>
        <v>3</v>
      </c>
      <c r="D178" s="7">
        <f ca="1">[2]远征副本等级难度系数控制!C178</f>
        <v>21.33563709042506</v>
      </c>
      <c r="E178" s="7">
        <f ca="1">[2]远征副本等级难度系数控制!D178</f>
        <v>24.361183080974143</v>
      </c>
      <c r="F178" s="7">
        <f ca="1">[2]远征副本等级难度系数控制!E178</f>
        <v>11.583867509448227</v>
      </c>
    </row>
    <row r="179" spans="1:6" x14ac:dyDescent="0.15">
      <c r="A179">
        <f t="shared" si="2"/>
        <v>3055</v>
      </c>
      <c r="B179" s="7">
        <f>[2]远征副本等级难度系数控制!A179</f>
        <v>55</v>
      </c>
      <c r="C179" s="7">
        <f>[2]远征副本等级难度系数控制!B179</f>
        <v>3</v>
      </c>
      <c r="D179" s="7">
        <f ca="1">[2]远征副本等级难度系数控制!C179</f>
        <v>22.937686428827636</v>
      </c>
      <c r="E179" s="7">
        <f ca="1">[2]远征副本等级难度系数控制!D179</f>
        <v>26.385839726317432</v>
      </c>
      <c r="F179" s="7">
        <f ca="1">[2]远征副本等级难度系数控制!E179</f>
        <v>12.315206902472523</v>
      </c>
    </row>
    <row r="180" spans="1:6" x14ac:dyDescent="0.15">
      <c r="A180">
        <f t="shared" si="2"/>
        <v>3056</v>
      </c>
      <c r="B180" s="7">
        <f>[2]远征副本等级难度系数控制!A180</f>
        <v>56</v>
      </c>
      <c r="C180" s="7">
        <f>[2]远征副本等级难度系数控制!B180</f>
        <v>3</v>
      </c>
      <c r="D180" s="7">
        <f ca="1">[2]远征副本等级难度系数控制!C180</f>
        <v>24.621779784981591</v>
      </c>
      <c r="E180" s="7">
        <f ca="1">[2]远征副本等级难度系数控制!D180</f>
        <v>28.53921286240379</v>
      </c>
      <c r="F180" s="7">
        <f ca="1">[2]远征副本等级难度系数控制!E180</f>
        <v>13.074345330106402</v>
      </c>
    </row>
    <row r="181" spans="1:6" x14ac:dyDescent="0.15">
      <c r="A181">
        <f t="shared" si="2"/>
        <v>3057</v>
      </c>
      <c r="B181" s="7">
        <f>[2]远征副本等级难度系数控制!A181</f>
        <v>57</v>
      </c>
      <c r="C181" s="7">
        <f>[2]远征副本等级难度系数控制!B181</f>
        <v>3</v>
      </c>
      <c r="D181" s="7">
        <f ca="1">[2]远征副本等级难度系数控制!C181</f>
        <v>26.390417286583425</v>
      </c>
      <c r="E181" s="7">
        <f ca="1">[2]远征副本等级难度系数控制!D181</f>
        <v>30.827726901049719</v>
      </c>
      <c r="F181" s="7">
        <f ca="1">[2]远征副本等级难度系数控制!E181</f>
        <v>13.861735349366249</v>
      </c>
    </row>
    <row r="182" spans="1:6" x14ac:dyDescent="0.15">
      <c r="A182">
        <f t="shared" si="2"/>
        <v>3058</v>
      </c>
      <c r="B182" s="7">
        <f>[2]远征副本等级难度系数控制!A182</f>
        <v>58</v>
      </c>
      <c r="C182" s="7">
        <f>[2]远征副本等级难度系数控制!B182</f>
        <v>3</v>
      </c>
      <c r="D182" s="7">
        <f ca="1">[2]远征副本等级难度系数控制!C182</f>
        <v>28.246132296226445</v>
      </c>
      <c r="E182" s="7">
        <f ca="1">[2]远征副本等级难度系数控制!D182</f>
        <v>33.258088109995818</v>
      </c>
      <c r="F182" s="7">
        <f ca="1">[2]远征副本等级难度系数控制!E182</f>
        <v>14.677829517268446</v>
      </c>
    </row>
    <row r="183" spans="1:6" x14ac:dyDescent="0.15">
      <c r="A183">
        <f t="shared" si="2"/>
        <v>3059</v>
      </c>
      <c r="B183" s="7">
        <f>[2]远征副本等级难度系数控制!A183</f>
        <v>59</v>
      </c>
      <c r="C183" s="7">
        <f>[2]远征副本等级难度系数控制!B183</f>
        <v>3</v>
      </c>
      <c r="D183" s="7">
        <f ca="1">[2]远征副本等级难度系数控制!C183</f>
        <v>30.191491398599677</v>
      </c>
      <c r="E183" s="7">
        <f ca="1">[2]远征副本等级难度系数控制!D183</f>
        <v>35.837297702191123</v>
      </c>
      <c r="F183" s="7">
        <f ca="1">[2]远征副本等级难度系数控制!E183</f>
        <v>15.523080390829415</v>
      </c>
    </row>
    <row r="184" spans="1:6" x14ac:dyDescent="0.15">
      <c r="A184">
        <f t="shared" si="2"/>
        <v>3060</v>
      </c>
      <c r="B184" s="7">
        <f>[2]远征副本等级难度系数控制!A184</f>
        <v>60</v>
      </c>
      <c r="C184" s="7">
        <f>[2]远征副本等级难度系数控制!B184</f>
        <v>3</v>
      </c>
      <c r="D184" s="7">
        <f ca="1">[2]远征副本等级难度系数控制!C184</f>
        <v>32.387858399286493</v>
      </c>
      <c r="E184" s="7">
        <f ca="1">[2]远征副本等级难度系数控制!D184</f>
        <v>38.762678792686444</v>
      </c>
      <c r="F184" s="7">
        <f ca="1">[2]远征副本等级难度系数控制!E184</f>
        <v>16.478718559218564</v>
      </c>
    </row>
    <row r="185" spans="1:6" x14ac:dyDescent="0.15">
      <c r="A185">
        <f t="shared" si="2"/>
        <v>3061</v>
      </c>
      <c r="B185" s="7">
        <f>[2]远征副本等级难度系数控制!A185</f>
        <v>61</v>
      </c>
      <c r="C185" s="7">
        <f>[2]远征副本等级难度系数控制!B185</f>
        <v>3</v>
      </c>
      <c r="D185" s="7">
        <f ca="1">[2]远征副本等级难度系数控制!C185</f>
        <v>34.691974005309049</v>
      </c>
      <c r="E185" s="7">
        <f ca="1">[2]远征副本等级难度系数控制!D185</f>
        <v>41.870592904021784</v>
      </c>
      <c r="F185" s="7">
        <f ca="1">[2]远征副本等级难度系数控制!E185</f>
        <v>17.469236160714289</v>
      </c>
    </row>
    <row r="186" spans="1:6" x14ac:dyDescent="0.15">
      <c r="A186">
        <f t="shared" si="2"/>
        <v>3062</v>
      </c>
      <c r="B186" s="7">
        <f>[2]远征副本等级难度系数控制!A186</f>
        <v>62</v>
      </c>
      <c r="C186" s="7">
        <f>[2]远征副本等级难度系数控制!B186</f>
        <v>3</v>
      </c>
      <c r="D186" s="7">
        <f ca="1">[2]远征副本等级难度系数控制!C186</f>
        <v>37.10697177541239</v>
      </c>
      <c r="E186" s="7">
        <f ca="1">[2]远征副本等级难度系数控制!D186</f>
        <v>45.170111631968652</v>
      </c>
      <c r="F186" s="7">
        <f ca="1">[2]远征副本等级难度系数控制!E186</f>
        <v>18.495176263736273</v>
      </c>
    </row>
    <row r="187" spans="1:6" x14ac:dyDescent="0.15">
      <c r="A187">
        <f t="shared" si="2"/>
        <v>3063</v>
      </c>
      <c r="B187" s="7">
        <f>[2]远征副本等级难度系数控制!A187</f>
        <v>63</v>
      </c>
      <c r="C187" s="7">
        <f>[2]远征副本等级难度系数控制!B187</f>
        <v>3</v>
      </c>
      <c r="D187" s="7">
        <f ca="1">[2]远征副本等级难度系数控制!C187</f>
        <v>39.636025087792028</v>
      </c>
      <c r="E187" s="7">
        <f ca="1">[2]远征副本等级难度系数控制!D187</f>
        <v>48.670713677303659</v>
      </c>
      <c r="F187" s="7">
        <f ca="1">[2]远征副本等级难度系数控制!E187</f>
        <v>19.557081936704165</v>
      </c>
    </row>
    <row r="188" spans="1:6" x14ac:dyDescent="0.15">
      <c r="A188">
        <f t="shared" si="2"/>
        <v>3064</v>
      </c>
      <c r="B188" s="7">
        <f>[2]远征副本等级难度系数控制!A188</f>
        <v>64</v>
      </c>
      <c r="C188" s="7">
        <f>[2]远征副本等级难度系数控制!B188</f>
        <v>3</v>
      </c>
      <c r="D188" s="7">
        <f ca="1">[2]远征副本等级难度系数控制!C188</f>
        <v>42.282347124790761</v>
      </c>
      <c r="E188" s="7">
        <f ca="1">[2]远征副本等级难度系数控制!D188</f>
        <v>52.382304672350941</v>
      </c>
      <c r="F188" s="7">
        <f ca="1">[2]远征副本等级难度系数控制!E188</f>
        <v>20.6554962480377</v>
      </c>
    </row>
    <row r="189" spans="1:6" x14ac:dyDescent="0.15">
      <c r="A189">
        <f t="shared" si="2"/>
        <v>3065</v>
      </c>
      <c r="B189" s="7">
        <f>[2]远征副本等级难度系数控制!A189</f>
        <v>65</v>
      </c>
      <c r="C189" s="7">
        <f>[2]远征副本等级难度系数控制!B189</f>
        <v>3</v>
      </c>
      <c r="D189" s="7">
        <f ca="1">[2]远征副本等级难度系数控制!C189</f>
        <v>45.04919085752465</v>
      </c>
      <c r="E189" s="7">
        <f ca="1">[2]远征副本等级难度系数控制!D189</f>
        <v>56.315238177615683</v>
      </c>
      <c r="F189" s="7">
        <f ca="1">[2]远征副本等级难度系数控制!E189</f>
        <v>21.790962266156473</v>
      </c>
    </row>
    <row r="190" spans="1:6" x14ac:dyDescent="0.15">
      <c r="A190">
        <f t="shared" si="2"/>
        <v>3066</v>
      </c>
      <c r="B190" s="7">
        <f>[2]远征副本等级难度系数控制!A190</f>
        <v>66</v>
      </c>
      <c r="C190" s="7">
        <f>[2]远征副本等级难度系数控制!B190</f>
        <v>3</v>
      </c>
      <c r="D190" s="7">
        <f ca="1">[2]远征副本等级难度系数控制!C190</f>
        <v>47.939849030470938</v>
      </c>
      <c r="E190" s="7">
        <f ca="1">[2]远征副本等级难度系数控制!D190</f>
        <v>60.480337929872647</v>
      </c>
      <c r="F190" s="7">
        <f ca="1">[2]远征副本等级难度系数控制!E190</f>
        <v>22.964023059480223</v>
      </c>
    </row>
    <row r="191" spans="1:6" x14ac:dyDescent="0.15">
      <c r="A191">
        <f t="shared" si="2"/>
        <v>3067</v>
      </c>
      <c r="B191" s="7">
        <f>[2]远征副本等级难度系数控制!A191</f>
        <v>67</v>
      </c>
      <c r="C191" s="7">
        <f>[2]远征副本等级难度系数控制!B191</f>
        <v>3</v>
      </c>
      <c r="D191" s="7">
        <f ca="1">[2]远征副本等级难度系数控制!C191</f>
        <v>50.957654146047417</v>
      </c>
      <c r="E191" s="7">
        <f ca="1">[2]远征副本等级难度系数控制!D191</f>
        <v>64.309032779926312</v>
      </c>
      <c r="F191" s="7">
        <f ca="1">[2]远征副本等级难度系数控制!E191</f>
        <v>24.175221696428579</v>
      </c>
    </row>
    <row r="192" spans="1:6" x14ac:dyDescent="0.15">
      <c r="A192">
        <f t="shared" si="2"/>
        <v>3068</v>
      </c>
      <c r="B192" s="7">
        <f>[2]远征副本等级难度系数控制!A192</f>
        <v>68</v>
      </c>
      <c r="C192" s="7">
        <f>[2]远征副本等级难度系数控制!B192</f>
        <v>3</v>
      </c>
      <c r="D192" s="7">
        <f ca="1">[2]远征副本等级难度系数控制!C192</f>
        <v>54.105978449208756</v>
      </c>
      <c r="E192" s="7">
        <f ca="1">[2]远征副本等级难度系数控制!D192</f>
        <v>68.316032002839705</v>
      </c>
      <c r="F192" s="7">
        <f ca="1">[2]远征副本等级难度系数控制!E192</f>
        <v>25.42510124542126</v>
      </c>
    </row>
    <row r="193" spans="1:6" x14ac:dyDescent="0.15">
      <c r="A193">
        <f t="shared" si="2"/>
        <v>3069</v>
      </c>
      <c r="B193" s="7">
        <f>[2]远征副本等级难度系数控制!A193</f>
        <v>69</v>
      </c>
      <c r="C193" s="7">
        <f>[2]远征副本等级难度系数控制!B193</f>
        <v>3</v>
      </c>
      <c r="D193" s="7">
        <f ca="1">[2]远征副本等级难度系数控制!C193</f>
        <v>57.38823391208193</v>
      </c>
      <c r="E193" s="7">
        <f ca="1">[2]远征副本等级难度系数控制!D193</f>
        <v>72.507875745531237</v>
      </c>
      <c r="F193" s="7">
        <f ca="1">[2]远征副本等级难度系数控制!E193</f>
        <v>26.714204774877924</v>
      </c>
    </row>
    <row r="194" spans="1:6" x14ac:dyDescent="0.15">
      <c r="A194">
        <f t="shared" si="2"/>
        <v>3070</v>
      </c>
      <c r="B194" s="7">
        <f>[2]远征副本等级难度系数控制!A194</f>
        <v>70</v>
      </c>
      <c r="C194" s="7">
        <f>[2]远征副本等级难度系数控制!B194</f>
        <v>3</v>
      </c>
      <c r="D194" s="7">
        <f ca="1">[2]远征副本等级难度系数控制!C194</f>
        <v>61.038205067972612</v>
      </c>
      <c r="E194" s="7">
        <f ca="1">[2]远征副本等级难度系数控制!D194</f>
        <v>77.182613270692144</v>
      </c>
      <c r="F194" s="7">
        <f ca="1">[2]远征副本等级难度系数控制!E194</f>
        <v>28.149299123495577</v>
      </c>
    </row>
    <row r="195" spans="1:6" x14ac:dyDescent="0.15">
      <c r="A195">
        <f t="shared" ref="A195:A258" si="3">C195*1000+B195</f>
        <v>3071</v>
      </c>
      <c r="B195" s="7">
        <f>[2]远征副本等级难度系数控制!A195</f>
        <v>71</v>
      </c>
      <c r="C195" s="7">
        <f>[2]远征副本等级难度系数控制!B195</f>
        <v>3</v>
      </c>
      <c r="D195" s="7">
        <f ca="1">[2]远征副本等级难度系数控制!C195</f>
        <v>64.845187599564952</v>
      </c>
      <c r="E195" s="7">
        <f ca="1">[2]远征副本等级难度系数控制!D195</f>
        <v>82.077048215932393</v>
      </c>
      <c r="F195" s="7">
        <f ca="1">[2]远征副本等级难度系数控制!E195</f>
        <v>29.630124612186769</v>
      </c>
    </row>
    <row r="196" spans="1:6" x14ac:dyDescent="0.15">
      <c r="A196">
        <f t="shared" si="3"/>
        <v>3072</v>
      </c>
      <c r="B196" s="7">
        <f>[2]远征副本等级难度系数控制!A196</f>
        <v>72</v>
      </c>
      <c r="C196" s="7">
        <f>[2]远征副本等级难度系数控制!B196</f>
        <v>3</v>
      </c>
      <c r="D196" s="7">
        <f ca="1">[2]远征副本等级难度系数控制!C196</f>
        <v>68.813229768740968</v>
      </c>
      <c r="E196" s="7">
        <f ca="1">[2]远征副本等级难度系数控制!D196</f>
        <v>87.199393502793072</v>
      </c>
      <c r="F196" s="7">
        <f ca="1">[2]远征副本等级难度系数控制!E196</f>
        <v>31.157314820774477</v>
      </c>
    </row>
    <row r="197" spans="1:6" x14ac:dyDescent="0.15">
      <c r="A197">
        <f t="shared" si="3"/>
        <v>3073</v>
      </c>
      <c r="B197" s="7">
        <f>[2]远征副本等级难度系数控制!A197</f>
        <v>73</v>
      </c>
      <c r="C197" s="7">
        <f>[2]远征副本等级难度系数控制!B197</f>
        <v>3</v>
      </c>
      <c r="D197" s="7">
        <f ca="1">[2]远征副本等级难度系数控制!C197</f>
        <v>72.946426135465174</v>
      </c>
      <c r="E197" s="7">
        <f ca="1">[2]远征副本等级难度系数控制!D197</f>
        <v>92.55819272888931</v>
      </c>
      <c r="F197" s="7">
        <f ca="1">[2]远征副本等级难度系数控制!E197</f>
        <v>32.731503329081654</v>
      </c>
    </row>
    <row r="198" spans="1:6" x14ac:dyDescent="0.15">
      <c r="A198">
        <f t="shared" si="3"/>
        <v>3074</v>
      </c>
      <c r="B198" s="7">
        <f>[2]远征副本等级难度系数控制!A198</f>
        <v>74</v>
      </c>
      <c r="C198" s="7">
        <f>[2]远征副本等级难度系数控制!B198</f>
        <v>3</v>
      </c>
      <c r="D198" s="7">
        <f ca="1">[2]远征副本等级难度系数控制!C198</f>
        <v>77.248917540456915</v>
      </c>
      <c r="E198" s="7">
        <f ca="1">[2]远征副本等级难度系数控制!D198</f>
        <v>98.162338010144495</v>
      </c>
      <c r="F198" s="7">
        <f ca="1">[2]远征副本等级难度系数控制!E198</f>
        <v>34.353323716931236</v>
      </c>
    </row>
    <row r="199" spans="1:6" x14ac:dyDescent="0.15">
      <c r="A199">
        <f t="shared" si="3"/>
        <v>3075</v>
      </c>
      <c r="B199" s="7">
        <f>[2]远征副本等级难度系数控制!A199</f>
        <v>75</v>
      </c>
      <c r="C199" s="7">
        <f>[2]远征副本等级难度系数控制!B199</f>
        <v>3</v>
      </c>
      <c r="D199" s="7">
        <f ca="1">[2]远征副本等级难度系数控制!C199</f>
        <v>81.724891087975308</v>
      </c>
      <c r="E199" s="7">
        <f ca="1">[2]远征副本等级难度系数控制!D199</f>
        <v>104.02108899087978</v>
      </c>
      <c r="F199" s="7">
        <f ca="1">[2]远征副本等级难度系数控制!E199</f>
        <v>36.023409564146213</v>
      </c>
    </row>
    <row r="200" spans="1:6" x14ac:dyDescent="0.15">
      <c r="A200">
        <f t="shared" si="3"/>
        <v>3076</v>
      </c>
      <c r="B200" s="7">
        <f>[2]远征副本等级难度系数控制!A200</f>
        <v>76</v>
      </c>
      <c r="C200" s="7">
        <f>[2]远征副本等级难度系数控制!B200</f>
        <v>3</v>
      </c>
      <c r="D200" s="7">
        <f ca="1">[2]远征副本等级难度系数控制!C200</f>
        <v>86.378580128730718</v>
      </c>
      <c r="E200" s="7">
        <f ca="1">[2]远征副本等级难度系数控制!D200</f>
        <v>110.14409311192419</v>
      </c>
      <c r="F200" s="7">
        <f ca="1">[2]远征副本等级难度系数控制!E200</f>
        <v>37.742394450549462</v>
      </c>
    </row>
    <row r="201" spans="1:6" x14ac:dyDescent="0.15">
      <c r="A201">
        <f t="shared" si="3"/>
        <v>3077</v>
      </c>
      <c r="B201" s="7">
        <f>[2]远征副本等级难度系数控制!A201</f>
        <v>77</v>
      </c>
      <c r="C201" s="7">
        <f>[2]远征副本等级难度系数控制!B201</f>
        <v>3</v>
      </c>
      <c r="D201" s="7">
        <f ca="1">[2]远征副本等级难度系数控制!C201</f>
        <v>91.21426424293125</v>
      </c>
      <c r="E201" s="7">
        <f ca="1">[2]远征副本等级难度系数控制!D201</f>
        <v>116.54140723495543</v>
      </c>
      <c r="F201" s="7">
        <f ca="1">[2]远征副本等级难度系数控制!E201</f>
        <v>39.510911955964012</v>
      </c>
    </row>
    <row r="202" spans="1:6" x14ac:dyDescent="0.15">
      <c r="A202">
        <f t="shared" si="3"/>
        <v>3078</v>
      </c>
      <c r="B202" s="7">
        <f>[2]远征副本等级难度系数控制!A202</f>
        <v>78</v>
      </c>
      <c r="C202" s="7">
        <f>[2]远征副本等级难度系数控制!B202</f>
        <v>3</v>
      </c>
      <c r="D202" s="7">
        <f ca="1">[2]远征副本等级难度系数控制!C202</f>
        <v>96.236269223474252</v>
      </c>
      <c r="E202" s="7">
        <f ca="1">[2]远征副本等级难度系数控制!D202</f>
        <v>123.22352073014153</v>
      </c>
      <c r="F202" s="7">
        <f ca="1">[2]远征副本等级难度系数控制!E202</f>
        <v>41.32959566021281</v>
      </c>
    </row>
    <row r="203" spans="1:6" x14ac:dyDescent="0.15">
      <c r="A203">
        <f t="shared" si="3"/>
        <v>3079</v>
      </c>
      <c r="B203" s="7">
        <f>[2]远征副本等级难度系数控制!A203</f>
        <v>79</v>
      </c>
      <c r="C203" s="7">
        <f>[2]远征副本等级难度系数控制!B203</f>
        <v>3</v>
      </c>
      <c r="D203" s="7">
        <f ca="1">[2]远征副本等级难度系数控制!C203</f>
        <v>101.44896705929042</v>
      </c>
      <c r="E203" s="7">
        <f ca="1">[2]远征副本等级难度系数控制!D203</f>
        <v>130.20138014392552</v>
      </c>
      <c r="F203" s="7">
        <f ca="1">[2]远征副本等级难度系数控制!E203</f>
        <v>43.199079143118823</v>
      </c>
    </row>
    <row r="204" spans="1:6" x14ac:dyDescent="0.15">
      <c r="A204">
        <f t="shared" si="3"/>
        <v>3080</v>
      </c>
      <c r="B204" s="7">
        <f>[2]远征副本等级难度系数控制!A204</f>
        <v>80</v>
      </c>
      <c r="C204" s="7">
        <f>[2]远征副本等级难度系数控制!B204</f>
        <v>3</v>
      </c>
      <c r="D204" s="7">
        <f ca="1">[2]远征副本等级难度系数控制!C204</f>
        <v>107.17575136934924</v>
      </c>
      <c r="E204" s="7">
        <f ca="1">[2]远征副本等级难度系数控制!D204</f>
        <v>137.89682278524998</v>
      </c>
      <c r="F204" s="7">
        <f ca="1">[2]远征副本等级难度系数控制!E204</f>
        <v>45.254682539682527</v>
      </c>
    </row>
    <row r="205" spans="1:6" x14ac:dyDescent="0.15">
      <c r="A205">
        <f t="shared" si="3"/>
        <v>3081</v>
      </c>
      <c r="B205" s="7">
        <f>[2]远征副本等级难度系数控制!A205</f>
        <v>81</v>
      </c>
      <c r="C205" s="7">
        <f>[2]远征副本等级难度系数控制!B205</f>
        <v>3</v>
      </c>
      <c r="D205" s="7">
        <f ca="1">[2]远征副本等级难度系数控制!C205</f>
        <v>113.12184528078673</v>
      </c>
      <c r="E205" s="7">
        <f ca="1">[2]远征副本等级难度系数控制!D205</f>
        <v>166.71987320317032</v>
      </c>
      <c r="F205" s="7">
        <f ca="1">[2]远征副本等级难度系数控制!E205</f>
        <v>47.368377306674844</v>
      </c>
    </row>
    <row r="206" spans="1:6" x14ac:dyDescent="0.15">
      <c r="A206">
        <f t="shared" si="3"/>
        <v>3082</v>
      </c>
      <c r="B206" s="7">
        <f>[2]远征副本等级难度系数控制!A206</f>
        <v>82</v>
      </c>
      <c r="C206" s="7">
        <f>[2]远征副本等级难度系数控制!B206</f>
        <v>3</v>
      </c>
      <c r="D206" s="7">
        <f ca="1">[2]远征副本等级难度系数控制!C206</f>
        <v>119.29232614432996</v>
      </c>
      <c r="E206" s="7">
        <f ca="1">[2]远征副本等级难度系数控制!D206</f>
        <v>177.86644326566204</v>
      </c>
      <c r="F206" s="7">
        <f ca="1">[2]远征副本等级难度系数控制!E206</f>
        <v>49.540887535321829</v>
      </c>
    </row>
    <row r="207" spans="1:6" x14ac:dyDescent="0.15">
      <c r="A207">
        <f t="shared" si="3"/>
        <v>3083</v>
      </c>
      <c r="B207" s="7">
        <f>[2]远征副本等级难度系数控制!A207</f>
        <v>83</v>
      </c>
      <c r="C207" s="7">
        <f>[2]远征副本等级难度系数控制!B207</f>
        <v>3</v>
      </c>
      <c r="D207" s="7">
        <f ca="1">[2]远征副本等级难度系数控制!C207</f>
        <v>125.69232405416849</v>
      </c>
      <c r="E207" s="7">
        <f ca="1">[2]远征副本等级难度系数控制!D207</f>
        <v>189.62783621390005</v>
      </c>
      <c r="F207" s="7">
        <f ca="1">[2]远征副本等级难度系数控制!E207</f>
        <v>51.772937316849827</v>
      </c>
    </row>
    <row r="208" spans="1:6" x14ac:dyDescent="0.15">
      <c r="A208">
        <f t="shared" si="3"/>
        <v>3084</v>
      </c>
      <c r="B208" s="7">
        <f>[2]远征副本等级难度系数控制!A208</f>
        <v>84</v>
      </c>
      <c r="C208" s="7">
        <f>[2]远征副本等级难度系数控制!B208</f>
        <v>3</v>
      </c>
      <c r="D208" s="7">
        <f ca="1">[2]远征副本等级难度系数控制!C208</f>
        <v>132.32702182976914</v>
      </c>
      <c r="E208" s="7">
        <f ca="1">[2]远征副本等级难度系数控制!D208</f>
        <v>202.03465956402786</v>
      </c>
      <c r="F208" s="7">
        <f ca="1">[2]远征副本等级难度系数控制!E208</f>
        <v>54.065250742485041</v>
      </c>
    </row>
    <row r="209" spans="1:6" x14ac:dyDescent="0.15">
      <c r="A209">
        <f t="shared" si="3"/>
        <v>3085</v>
      </c>
      <c r="B209" s="7">
        <f>[2]远征副本等级难度系数控制!A209</f>
        <v>85</v>
      </c>
      <c r="C209" s="7">
        <f>[2]远征副本等级难度系数控制!B209</f>
        <v>3</v>
      </c>
      <c r="D209" s="7">
        <f ca="1">[2]远征副本等级难度系数控制!C209</f>
        <v>139.20165499788166</v>
      </c>
      <c r="E209" s="7">
        <f ca="1">[2]远征副本等级难度系数控制!D209</f>
        <v>215.11911657723712</v>
      </c>
      <c r="F209" s="7">
        <f ca="1">[2]远征副本等级难度系数控制!E209</f>
        <v>56.418551903453668</v>
      </c>
    </row>
    <row r="210" spans="1:6" x14ac:dyDescent="0.15">
      <c r="A210">
        <f t="shared" si="3"/>
        <v>3086</v>
      </c>
      <c r="B210" s="7">
        <f>[2]远征副本等级难度系数控制!A210</f>
        <v>86</v>
      </c>
      <c r="C210" s="7">
        <f>[2]远征副本等级难度系数控制!B210</f>
        <v>3</v>
      </c>
      <c r="D210" s="7">
        <f ca="1">[2]远征副本等级难度系数控制!C210</f>
        <v>146.32151177473921</v>
      </c>
      <c r="E210" s="7">
        <f ca="1">[2]远征副本等级难度系数控制!D210</f>
        <v>228.91510516958525</v>
      </c>
      <c r="F210" s="7">
        <f ca="1">[2]远征副本等级难度系数控制!E210</f>
        <v>58.833564890982032</v>
      </c>
    </row>
    <row r="211" spans="1:6" x14ac:dyDescent="0.15">
      <c r="A211">
        <f t="shared" si="3"/>
        <v>3087</v>
      </c>
      <c r="B211" s="7">
        <f>[2]远征副本等级难度系数控制!A211</f>
        <v>87</v>
      </c>
      <c r="C211" s="7">
        <f>[2]远征副本等级难度系数控制!B211</f>
        <v>3</v>
      </c>
      <c r="D211" s="7">
        <f ca="1">[2]远征副本等级难度系数控制!C211</f>
        <v>153.69193304845501</v>
      </c>
      <c r="E211" s="7">
        <f ca="1">[2]远征副本等级难度系数控制!D211</f>
        <v>243.4583242710863</v>
      </c>
      <c r="F211" s="7">
        <f ca="1">[2]远征副本等级难度系数控制!E211</f>
        <v>61.311013796296315</v>
      </c>
    </row>
    <row r="212" spans="1:6" x14ac:dyDescent="0.15">
      <c r="A212">
        <f t="shared" si="3"/>
        <v>3088</v>
      </c>
      <c r="B212" s="7">
        <f>[2]远征副本等级难度系数控制!A212</f>
        <v>88</v>
      </c>
      <c r="C212" s="7">
        <f>[2]远征副本等级难度系数控制!B212</f>
        <v>3</v>
      </c>
      <c r="D212" s="7">
        <f ca="1">[2]远征副本等级难度系数控制!C212</f>
        <v>161.31831236161824</v>
      </c>
      <c r="E212" s="7">
        <f ca="1">[2]远征副本等级难度系数控制!D212</f>
        <v>258.78638829693813</v>
      </c>
      <c r="F212" s="7">
        <f ca="1">[2]远征副本等级难度系数控制!E212</f>
        <v>63.851622710622685</v>
      </c>
    </row>
    <row r="213" spans="1:6" x14ac:dyDescent="0.15">
      <c r="A213">
        <f t="shared" si="3"/>
        <v>3089</v>
      </c>
      <c r="B213" s="7">
        <f>[2]远征副本等级难度系数控制!A213</f>
        <v>89</v>
      </c>
      <c r="C213" s="7">
        <f>[2]远征副本等级难度系数控制!B213</f>
        <v>3</v>
      </c>
      <c r="D213" s="7">
        <f ca="1">[2]远征副本等级难度系数控制!C213</f>
        <v>169.20609589408824</v>
      </c>
      <c r="E213" s="7">
        <f ca="1">[2]远征副本等级难度系数控制!D213</f>
        <v>274.93895046201868</v>
      </c>
      <c r="F213" s="7">
        <f ca="1">[2]远征副本等级难度系数控制!E213</f>
        <v>66.456115725187473</v>
      </c>
    </row>
    <row r="214" spans="1:6" x14ac:dyDescent="0.15">
      <c r="A214">
        <f t="shared" si="3"/>
        <v>3090</v>
      </c>
      <c r="B214" s="7">
        <f>[2]远征副本等级难度系数控制!A214</f>
        <v>90</v>
      </c>
      <c r="C214" s="7">
        <f>[2]远征副本等级难度系数控制!B214</f>
        <v>3</v>
      </c>
      <c r="D214" s="7">
        <f ca="1">[2]远征副本等级难度系数控制!C214</f>
        <v>177.36078244598949</v>
      </c>
      <c r="E214" s="7">
        <f ca="1">[2]远征副本等级难度系数控制!D214</f>
        <v>291.95783574608242</v>
      </c>
      <c r="F214" s="7">
        <f ca="1">[2]远征副本等级难度系数控制!E214</f>
        <v>69.12521693121694</v>
      </c>
    </row>
    <row r="215" spans="1:6" x14ac:dyDescent="0.15">
      <c r="A215">
        <f t="shared" si="3"/>
        <v>4020</v>
      </c>
      <c r="B215" s="7">
        <f>[2]远征副本等级难度系数控制!A215</f>
        <v>20</v>
      </c>
      <c r="C215" s="7">
        <f>[2]远征副本等级难度系数控制!B215</f>
        <v>4</v>
      </c>
      <c r="D215" s="7">
        <f ca="1">[2]远征副本等级难度系数控制!C215</f>
        <v>1</v>
      </c>
      <c r="E215" s="7">
        <f ca="1">[2]远征副本等级难度系数控制!D215</f>
        <v>1</v>
      </c>
      <c r="F215" s="7">
        <f ca="1">[2]远征副本等级难度系数控制!E215</f>
        <v>1</v>
      </c>
    </row>
    <row r="216" spans="1:6" x14ac:dyDescent="0.15">
      <c r="A216">
        <f t="shared" si="3"/>
        <v>4021</v>
      </c>
      <c r="B216" s="7">
        <f>[2]远征副本等级难度系数控制!A216</f>
        <v>21</v>
      </c>
      <c r="C216" s="7">
        <f>[2]远征副本等级难度系数控制!B216</f>
        <v>4</v>
      </c>
      <c r="D216" s="7">
        <f ca="1">[2]远征副本等级难度系数控制!C216</f>
        <v>1.117596838754978</v>
      </c>
      <c r="E216" s="7">
        <f ca="1">[2]远征副本等级难度系数控制!D216</f>
        <v>1.1095204807543111</v>
      </c>
      <c r="F216" s="7">
        <f ca="1">[2]远征副本等级难度系数控制!E216</f>
        <v>1.0931717687074829</v>
      </c>
    </row>
    <row r="217" spans="1:6" x14ac:dyDescent="0.15">
      <c r="A217">
        <f t="shared" si="3"/>
        <v>4022</v>
      </c>
      <c r="B217" s="7">
        <f>[2]远征副本等级难度系数控制!A217</f>
        <v>22</v>
      </c>
      <c r="C217" s="7">
        <f>[2]远征副本等级难度系数控制!B217</f>
        <v>4</v>
      </c>
      <c r="D217" s="7">
        <f ca="1">[2]远征副本等级难度系数控制!C217</f>
        <v>1.243120196696226</v>
      </c>
      <c r="E217" s="7">
        <f ca="1">[2]远征副本等级难度系数控制!D217</f>
        <v>1.22604988148337</v>
      </c>
      <c r="F217" s="7">
        <f ca="1">[2]远征副本等级难度系数控制!E217</f>
        <v>1.1902040816326529</v>
      </c>
    </row>
    <row r="218" spans="1:6" x14ac:dyDescent="0.15">
      <c r="A218">
        <f t="shared" si="3"/>
        <v>4023</v>
      </c>
      <c r="B218" s="7">
        <f>[2]远征副本等级难度系数控制!A218</f>
        <v>23</v>
      </c>
      <c r="C218" s="7">
        <f>[2]远征副本等级难度系数控制!B218</f>
        <v>4</v>
      </c>
      <c r="D218" s="7">
        <f ca="1">[2]远征副本等级难度系数控制!C218</f>
        <v>1.4024517884049481</v>
      </c>
      <c r="E218" s="7">
        <f ca="1">[2]远征副本等级难度系数控制!D218</f>
        <v>1.374995739522912</v>
      </c>
      <c r="F218" s="7">
        <f ca="1">[2]远征副本等级难度系数控制!E218</f>
        <v>1.3151681057038203</v>
      </c>
    </row>
    <row r="219" spans="1:6" x14ac:dyDescent="0.15">
      <c r="A219">
        <f t="shared" si="3"/>
        <v>4024</v>
      </c>
      <c r="B219" s="7">
        <f>[2]远征副本等级难度系数控制!A219</f>
        <v>24</v>
      </c>
      <c r="C219" s="7">
        <f>[2]远征副本等级难度系数控制!B219</f>
        <v>4</v>
      </c>
      <c r="D219" s="7">
        <f ca="1">[2]远征副本等级难度系数控制!C219</f>
        <v>1.5727679083562145</v>
      </c>
      <c r="E219" s="7">
        <f ca="1">[2]远征副本等级难度系数控制!D219</f>
        <v>1.533738445309383</v>
      </c>
      <c r="F219" s="7">
        <f ca="1">[2]远征副本等级难度系数控制!E219</f>
        <v>1.4454515325943891</v>
      </c>
    </row>
    <row r="220" spans="1:6" x14ac:dyDescent="0.15">
      <c r="A220">
        <f t="shared" si="3"/>
        <v>4025</v>
      </c>
      <c r="B220" s="7">
        <f>[2]远征副本等级难度系数控制!A220</f>
        <v>25</v>
      </c>
      <c r="C220" s="7">
        <f>[2]远征副本等级难度系数控制!B220</f>
        <v>4</v>
      </c>
      <c r="D220" s="7">
        <f ca="1">[2]远征副本等级难度系数控制!C220</f>
        <v>1.7543614190545791</v>
      </c>
      <c r="E220" s="7">
        <f ca="1">[2]远征副本等级难度系数控制!D220</f>
        <v>1.7026182137524801</v>
      </c>
      <c r="F220" s="7">
        <f ca="1">[2]远征副本等级难度系数控制!E220</f>
        <v>1.5810543623043618</v>
      </c>
    </row>
    <row r="221" spans="1:6" x14ac:dyDescent="0.15">
      <c r="A221">
        <f t="shared" si="3"/>
        <v>4026</v>
      </c>
      <c r="B221" s="7">
        <f>[2]远征副本等级难度系数控制!A221</f>
        <v>26</v>
      </c>
      <c r="C221" s="7">
        <f>[2]远征副本等级难度系数控制!B221</f>
        <v>4</v>
      </c>
      <c r="D221" s="7">
        <f ca="1">[2]远征副本等级难度系数控制!C221</f>
        <v>1.9722337866077222</v>
      </c>
      <c r="E221" s="7">
        <f ca="1">[2]远征副本等级难度系数控制!D221</f>
        <v>1.9058629331394403</v>
      </c>
      <c r="F221" s="7">
        <f ca="1">[2]远征副本等级难度系数控制!E221</f>
        <v>1.7438244612530323</v>
      </c>
    </row>
    <row r="222" spans="1:6" x14ac:dyDescent="0.15">
      <c r="A222">
        <f t="shared" si="3"/>
        <v>4027</v>
      </c>
      <c r="B222" s="7">
        <f>[2]远征副本等级难度系数控制!A222</f>
        <v>27</v>
      </c>
      <c r="C222" s="7">
        <f>[2]远征副本等级难度系数控制!B222</f>
        <v>4</v>
      </c>
      <c r="D222" s="7">
        <f ca="1">[2]远征副本等级难度系数控制!C222</f>
        <v>2.2042918205274931</v>
      </c>
      <c r="E222" s="7">
        <f ca="1">[2]远征副本等级难度系数控制!D222</f>
        <v>2.1220114367205052</v>
      </c>
      <c r="F222" s="7">
        <f ca="1">[2]远征副本等级难度系数控制!E222</f>
        <v>1.9131277333777335</v>
      </c>
    </row>
    <row r="223" spans="1:6" x14ac:dyDescent="0.15">
      <c r="A223">
        <f t="shared" si="3"/>
        <v>4028</v>
      </c>
      <c r="B223" s="7">
        <f>[2]远征副本等级难度系数控制!A223</f>
        <v>28</v>
      </c>
      <c r="C223" s="7">
        <f>[2]远征副本等级难度系数控制!B223</f>
        <v>4</v>
      </c>
      <c r="D223" s="7">
        <f ca="1">[2]远征副本等级难度系数控制!C223</f>
        <v>2.4508928136691668</v>
      </c>
      <c r="E223" s="7">
        <f ca="1">[2]远征副本等级难度系数控制!D223</f>
        <v>2.3515094636709608</v>
      </c>
      <c r="F223" s="7">
        <f ca="1">[2]远征副本等级难度系数控制!E223</f>
        <v>2.0889641786784638</v>
      </c>
    </row>
    <row r="224" spans="1:6" x14ac:dyDescent="0.15">
      <c r="A224">
        <f t="shared" si="3"/>
        <v>4029</v>
      </c>
      <c r="B224" s="7">
        <f>[2]远征副本等级难度系数控制!A224</f>
        <v>29</v>
      </c>
      <c r="C224" s="7">
        <f>[2]远征副本等级难度系数控制!B224</f>
        <v>4</v>
      </c>
      <c r="D224" s="7">
        <f ca="1">[2]远征副本等级难度系数控制!C224</f>
        <v>2.712393023610018</v>
      </c>
      <c r="E224" s="7">
        <f ca="1">[2]远征副本等级难度系数控制!D224</f>
        <v>2.5948157044254323</v>
      </c>
      <c r="F224" s="7">
        <f ca="1">[2]远征副本等级难度系数控制!E224</f>
        <v>2.2713337971552265</v>
      </c>
    </row>
    <row r="225" spans="1:6" x14ac:dyDescent="0.15">
      <c r="A225">
        <f t="shared" si="3"/>
        <v>4030</v>
      </c>
      <c r="B225" s="7">
        <f>[2]远征副本等级难度系数控制!A225</f>
        <v>30</v>
      </c>
      <c r="C225" s="7">
        <f>[2]远征副本等级难度系数控制!B225</f>
        <v>4</v>
      </c>
      <c r="D225" s="7">
        <f ca="1">[2]远征副本等级难度系数控制!C225</f>
        <v>3.0265120612034342</v>
      </c>
      <c r="E225" s="7">
        <f ca="1">[2]远征副本等级难度系数控制!D225</f>
        <v>2.8880573029357315</v>
      </c>
      <c r="F225" s="7">
        <f ca="1">[2]远征副本等级难度系数控制!E225</f>
        <v>2.4909895461681182</v>
      </c>
    </row>
    <row r="226" spans="1:6" x14ac:dyDescent="0.15">
      <c r="A226">
        <f t="shared" si="3"/>
        <v>4031</v>
      </c>
      <c r="B226" s="7">
        <f>[2]远征副本等级难度系数控制!A226</f>
        <v>31</v>
      </c>
      <c r="C226" s="7">
        <f>[2]远征副本等级难度系数控制!B226</f>
        <v>4</v>
      </c>
      <c r="D226" s="7">
        <f ca="1">[2]远征副本等级难度系数控制!C226</f>
        <v>3.3695317344270128</v>
      </c>
      <c r="E226" s="7">
        <f ca="1">[2]远征副本等级难度系数控制!D226</f>
        <v>3.2052392989389573</v>
      </c>
      <c r="F226" s="7">
        <f ca="1">[2]远征副本等级难度系数控制!E226</f>
        <v>2.7177246098901091</v>
      </c>
    </row>
    <row r="227" spans="1:6" x14ac:dyDescent="0.15">
      <c r="A227">
        <f t="shared" si="3"/>
        <v>4032</v>
      </c>
      <c r="B227" s="7">
        <f>[2]远征副本等级难度系数控制!A227</f>
        <v>32</v>
      </c>
      <c r="C227" s="7">
        <f>[2]远征副本等级难度系数控制!B227</f>
        <v>4</v>
      </c>
      <c r="D227" s="7">
        <f ca="1">[2]远征副本等级难度系数控制!C227</f>
        <v>3.736134403677501</v>
      </c>
      <c r="E227" s="7">
        <f ca="1">[2]远征副本等级难度系数控制!D227</f>
        <v>3.5437905178032878</v>
      </c>
      <c r="F227" s="7">
        <f ca="1">[2]远征副本等级难度系数控制!E227</f>
        <v>2.9538679120324112</v>
      </c>
    </row>
    <row r="228" spans="1:6" x14ac:dyDescent="0.15">
      <c r="A228">
        <f t="shared" si="3"/>
        <v>4033</v>
      </c>
      <c r="B228" s="7">
        <f>[2]远征副本等级难度系数控制!A228</f>
        <v>33</v>
      </c>
      <c r="C228" s="7">
        <f>[2]远征副本等级难度系数控制!B228</f>
        <v>4</v>
      </c>
      <c r="D228" s="7">
        <f ca="1">[2]远征副本等级难度系数控制!C228</f>
        <v>4.1255219053527235</v>
      </c>
      <c r="E228" s="7">
        <f ca="1">[2]远征副本等级难度系数控制!D228</f>
        <v>3.9030291687753933</v>
      </c>
      <c r="F228" s="7">
        <f ca="1">[2]远征副本等级难度系数控制!E228</f>
        <v>3.1981377700870568</v>
      </c>
    </row>
    <row r="229" spans="1:6" x14ac:dyDescent="0.15">
      <c r="A229">
        <f t="shared" si="3"/>
        <v>4034</v>
      </c>
      <c r="B229" s="7">
        <f>[2]远征副本等级难度系数控制!A229</f>
        <v>34</v>
      </c>
      <c r="C229" s="7">
        <f>[2]远征副本等级难度系数控制!B229</f>
        <v>4</v>
      </c>
      <c r="D229" s="7">
        <f ca="1">[2]远征副本等级难度系数控制!C229</f>
        <v>4.538082335892768</v>
      </c>
      <c r="E229" s="7">
        <f ca="1">[2]远征副本等级难度系数控制!D229</f>
        <v>4.2834270427550107</v>
      </c>
      <c r="F229" s="7">
        <f ca="1">[2]远征副本等级难度系数控制!E229</f>
        <v>3.4502346088911082</v>
      </c>
    </row>
    <row r="230" spans="1:6" x14ac:dyDescent="0.15">
      <c r="A230">
        <f t="shared" si="3"/>
        <v>4035</v>
      </c>
      <c r="B230" s="7">
        <f>[2]远征副本等级难度系数控制!A230</f>
        <v>35</v>
      </c>
      <c r="C230" s="7">
        <f>[2]远征副本等级难度系数控制!B230</f>
        <v>4</v>
      </c>
      <c r="D230" s="7">
        <f ca="1">[2]远征副本等级难度系数控制!C230</f>
        <v>4.9741715657997156</v>
      </c>
      <c r="E230" s="7">
        <f ca="1">[2]远征副本等级难度系数控制!D230</f>
        <v>4.6854476569608421</v>
      </c>
      <c r="F230" s="7">
        <f ca="1">[2]远征副本等级难度系数控制!E230</f>
        <v>3.7098391053391055</v>
      </c>
    </row>
    <row r="231" spans="1:6" x14ac:dyDescent="0.15">
      <c r="A231">
        <f t="shared" si="3"/>
        <v>4036</v>
      </c>
      <c r="B231" s="7">
        <f>[2]远征副本等级难度系数控制!A231</f>
        <v>36</v>
      </c>
      <c r="C231" s="7">
        <f>[2]远征副本等级难度系数控制!B231</f>
        <v>4</v>
      </c>
      <c r="D231" s="7">
        <f ca="1">[2]远征副本等级难度系数控制!C231</f>
        <v>5.4341119881686373</v>
      </c>
      <c r="E231" s="7">
        <f ca="1">[2]远征副本等级难度系数控制!D231</f>
        <v>5.1095459383355912</v>
      </c>
      <c r="F231" s="7">
        <f ca="1">[2]远征副本等级难度系数控制!E231</f>
        <v>3.9766121883830445</v>
      </c>
    </row>
    <row r="232" spans="1:6" x14ac:dyDescent="0.15">
      <c r="A232">
        <f t="shared" si="3"/>
        <v>4037</v>
      </c>
      <c r="B232" s="7">
        <f>[2]远征副本等级难度系数控制!A232</f>
        <v>37</v>
      </c>
      <c r="C232" s="7">
        <f>[2]远征副本等级难度系数控制!B232</f>
        <v>4</v>
      </c>
      <c r="D232" s="7">
        <f ca="1">[2]远征副本等级难度系数控制!C232</f>
        <v>5.9181912644716714</v>
      </c>
      <c r="E232" s="7">
        <f ca="1">[2]远征副本等级难度系数控制!D232</f>
        <v>5.6117214510807587</v>
      </c>
      <c r="F232" s="7">
        <f ca="1">[2]远征副本等级难度系数控制!E232</f>
        <v>4.2501950390323975</v>
      </c>
    </row>
    <row r="233" spans="1:6" x14ac:dyDescent="0.15">
      <c r="A233">
        <f t="shared" si="3"/>
        <v>4038</v>
      </c>
      <c r="B233" s="7">
        <f>[2]远征副本等级难度系数控制!A233</f>
        <v>38</v>
      </c>
      <c r="C233" s="7">
        <f>[2]远征副本等级难度系数控制!B233</f>
        <v>4</v>
      </c>
      <c r="D233" s="7">
        <f ca="1">[2]远征副本等级难度系数控制!C233</f>
        <v>6.4266610681996923</v>
      </c>
      <c r="E233" s="7">
        <f ca="1">[2]远征副本等级难度系数控制!D233</f>
        <v>6.1465504124383461</v>
      </c>
      <c r="F233" s="7">
        <f ca="1">[2]远征副本等级难度系数控制!E233</f>
        <v>4.5302090903540924</v>
      </c>
    </row>
    <row r="234" spans="1:6" x14ac:dyDescent="0.15">
      <c r="A234">
        <f t="shared" si="3"/>
        <v>4039</v>
      </c>
      <c r="B234" s="7">
        <f>[2]远征副本等级难度系数控制!A234</f>
        <v>39</v>
      </c>
      <c r="C234" s="7">
        <f>[2]远征副本等级难度系数控制!B234</f>
        <v>4</v>
      </c>
      <c r="D234" s="7">
        <f ca="1">[2]远征副本等级难度系数控制!C234</f>
        <v>6.9597358268613378</v>
      </c>
      <c r="E234" s="7">
        <f ca="1">[2]远征副本等级难度系数控制!D234</f>
        <v>6.715206181661264</v>
      </c>
      <c r="F234" s="7">
        <f ca="1">[2]远征副本等级难度系数控制!E234</f>
        <v>4.8162560274725283</v>
      </c>
    </row>
    <row r="235" spans="1:6" x14ac:dyDescent="0.15">
      <c r="A235">
        <f t="shared" si="3"/>
        <v>4040</v>
      </c>
      <c r="B235" s="7">
        <f>[2]远征副本等级难度系数控制!A235</f>
        <v>40</v>
      </c>
      <c r="C235" s="7">
        <f>[2]远征副本等级难度系数控制!B235</f>
        <v>4</v>
      </c>
      <c r="D235" s="7">
        <f ca="1">[2]远征副本等级难度系数控制!C235</f>
        <v>7.5853175119679292</v>
      </c>
      <c r="E235" s="7">
        <f ca="1">[2]远征副本等级难度系数控制!D235</f>
        <v>7.3848036637746608</v>
      </c>
      <c r="F235" s="7">
        <f ca="1">[2]远征副本等级难度系数控制!E235</f>
        <v>5.1539350649350668</v>
      </c>
    </row>
    <row r="236" spans="1:6" x14ac:dyDescent="0.15">
      <c r="A236">
        <f t="shared" si="3"/>
        <v>4041</v>
      </c>
      <c r="B236" s="7">
        <f>[2]远征副本等级难度系数控制!A236</f>
        <v>41</v>
      </c>
      <c r="C236" s="7">
        <f>[2]远征副本等级难度系数控制!B236</f>
        <v>4</v>
      </c>
      <c r="D236" s="7">
        <f ca="1">[2]远征副本等级难度系数控制!C236</f>
        <v>8.2424757843042009</v>
      </c>
      <c r="E236" s="7">
        <f ca="1">[2]远征副本等级难度系数控制!D236</f>
        <v>8.0983457867810298</v>
      </c>
      <c r="F236" s="7">
        <f ca="1">[2]远征副本等级难度系数控制!E236</f>
        <v>5.499576850408852</v>
      </c>
    </row>
    <row r="237" spans="1:6" x14ac:dyDescent="0.15">
      <c r="A237">
        <f t="shared" si="3"/>
        <v>4042</v>
      </c>
      <c r="B237" s="7">
        <f>[2]远征副本等级难度系数控制!A237</f>
        <v>42</v>
      </c>
      <c r="C237" s="7">
        <f>[2]远征副本等级难度系数控制!B237</f>
        <v>4</v>
      </c>
      <c r="D237" s="7">
        <f ca="1">[2]远征副本等级难度系数控制!C237</f>
        <v>8.9314348390676503</v>
      </c>
      <c r="E237" s="7">
        <f ca="1">[2]远征副本等级难度系数控制!D237</f>
        <v>8.857380723678558</v>
      </c>
      <c r="F237" s="7">
        <f ca="1">[2]远征副本等级难度系数控制!E237</f>
        <v>5.8526305494505548</v>
      </c>
    </row>
    <row r="238" spans="1:6" x14ac:dyDescent="0.15">
      <c r="A238">
        <f t="shared" si="3"/>
        <v>4043</v>
      </c>
      <c r="B238" s="7">
        <f>[2]远征副本等级难度系数控制!A238</f>
        <v>43</v>
      </c>
      <c r="C238" s="7">
        <f>[2]远征副本等级难度系数控制!B238</f>
        <v>4</v>
      </c>
      <c r="D238" s="7">
        <f ca="1">[2]远征副本等级难度系数控制!C238</f>
        <v>9.6523654393896958</v>
      </c>
      <c r="E238" s="7">
        <f ca="1">[2]远征副本等级难度系数控制!D238</f>
        <v>9.663461324059778</v>
      </c>
      <c r="F238" s="7">
        <f ca="1">[2]远征副本等级难度系数控制!E238</f>
        <v>6.2125189970267849</v>
      </c>
    </row>
    <row r="239" spans="1:6" x14ac:dyDescent="0.15">
      <c r="A239">
        <f t="shared" si="3"/>
        <v>4044</v>
      </c>
      <c r="B239" s="7">
        <f>[2]远征副本等级难度系数控制!A239</f>
        <v>44</v>
      </c>
      <c r="C239" s="7">
        <f>[2]远征副本等级难度系数控制!B239</f>
        <v>4</v>
      </c>
      <c r="D239" s="7">
        <f ca="1">[2]远征副本等级难度系数控制!C239</f>
        <v>10.405383243994166</v>
      </c>
      <c r="E239" s="7">
        <f ca="1">[2]远征副本等级难度系数控制!D239</f>
        <v>10.518143023580853</v>
      </c>
      <c r="F239" s="7">
        <f ca="1">[2]远征副本等级难度系数控制!E239</f>
        <v>6.5786386975141289</v>
      </c>
    </row>
    <row r="240" spans="1:6" x14ac:dyDescent="0.15">
      <c r="A240">
        <f t="shared" si="3"/>
        <v>4045</v>
      </c>
      <c r="B240" s="7">
        <f>[2]远征副本等级难度系数控制!A240</f>
        <v>45</v>
      </c>
      <c r="C240" s="7">
        <f>[2]远征副本等级难度系数控制!B240</f>
        <v>4</v>
      </c>
      <c r="D240" s="7">
        <f ca="1">[2]远征副本等级难度系数控制!C240</f>
        <v>11.190547133536286</v>
      </c>
      <c r="E240" s="7">
        <f ca="1">[2]远征副本等级难度系数控制!D240</f>
        <v>11.42298165033621</v>
      </c>
      <c r="F240" s="7">
        <f ca="1">[2]远征副本等级难度系数控制!E240</f>
        <v>6.9503598246991114</v>
      </c>
    </row>
    <row r="241" spans="1:6" x14ac:dyDescent="0.15">
      <c r="A241">
        <f t="shared" si="3"/>
        <v>4046</v>
      </c>
      <c r="B241" s="7">
        <f>[2]远征副本等级难度系数控制!A241</f>
        <v>46</v>
      </c>
      <c r="C241" s="7">
        <f>[2]远征副本等级难度系数控制!B241</f>
        <v>4</v>
      </c>
      <c r="D241" s="7">
        <f ca="1">[2]远征副本等级难度系数控制!C241</f>
        <v>12.007857535984909</v>
      </c>
      <c r="E241" s="7">
        <f ca="1">[2]远征副本等级难度系数控制!D241</f>
        <v>12.379531122157887</v>
      </c>
      <c r="F241" s="7">
        <f ca="1">[2]远征副本等级难度系数控制!E241</f>
        <v>7.3270262217782278</v>
      </c>
    </row>
    <row r="242" spans="1:6" x14ac:dyDescent="0.15">
      <c r="A242">
        <f t="shared" si="3"/>
        <v>4047</v>
      </c>
      <c r="B242" s="7">
        <f>[2]远征副本等级难度系数控制!A242</f>
        <v>47</v>
      </c>
      <c r="C242" s="7">
        <f>[2]远征副本等级难度系数控制!B242</f>
        <v>4</v>
      </c>
      <c r="D242" s="7">
        <f ca="1">[2]远征副本等级难度系数控制!C242</f>
        <v>12.857254751353809</v>
      </c>
      <c r="E242" s="7">
        <f ca="1">[2]远征副本等级难度系数控制!D242</f>
        <v>13.389341028459137</v>
      </c>
      <c r="F242" s="7">
        <f ca="1">[2]远征副本等级难度系数控制!E242</f>
        <v>7.707955401357907</v>
      </c>
    </row>
    <row r="243" spans="1:6" x14ac:dyDescent="0.15">
      <c r="A243">
        <f t="shared" si="3"/>
        <v>4048</v>
      </c>
      <c r="B243" s="7">
        <f>[2]远征副本等级难度系数控制!A243</f>
        <v>48</v>
      </c>
      <c r="C243" s="7">
        <f>[2]远征副本等级难度系数控制!B243</f>
        <v>4</v>
      </c>
      <c r="D243" s="7">
        <f ca="1">[2]远征副本等级难度系数控制!C243</f>
        <v>13.738617276040401</v>
      </c>
      <c r="E243" s="7">
        <f ca="1">[2]远征副本等级难度系数控制!D243</f>
        <v>14.453954089811678</v>
      </c>
      <c r="F243" s="7">
        <f ca="1">[2]远征副本等级难度系数控制!E243</f>
        <v>8.0924385454545487</v>
      </c>
    </row>
    <row r="244" spans="1:6" x14ac:dyDescent="0.15">
      <c r="A244">
        <f t="shared" si="3"/>
        <v>4049</v>
      </c>
      <c r="B244" s="7">
        <f>[2]远征副本等级难度系数控制!A244</f>
        <v>49</v>
      </c>
      <c r="C244" s="7">
        <f>[2]远征副本等级难度系数控制!B244</f>
        <v>4</v>
      </c>
      <c r="D244" s="7">
        <f ca="1">[2]远征副本等级难度系数控制!C244</f>
        <v>14.651760126989577</v>
      </c>
      <c r="E244" s="7">
        <f ca="1">[2]远征副本等级难度系数控制!D244</f>
        <v>15.57490348798299</v>
      </c>
      <c r="F244" s="7">
        <f ca="1">[2]远征副本等级难度系数控制!E244</f>
        <v>8.4797405054945099</v>
      </c>
    </row>
    <row r="245" spans="1:6" x14ac:dyDescent="0.15">
      <c r="A245">
        <f t="shared" si="3"/>
        <v>4050</v>
      </c>
      <c r="B245" s="7">
        <f>[2]远征副本等级难度系数控制!A245</f>
        <v>50</v>
      </c>
      <c r="C245" s="7">
        <f>[2]远征副本等级难度系数控制!B245</f>
        <v>4</v>
      </c>
      <c r="D245" s="7">
        <f ca="1">[2]远征副本等级难度系数控制!C245</f>
        <v>15.699041278800447</v>
      </c>
      <c r="E245" s="7">
        <f ca="1">[2]远征副本等级难度系数控制!D245</f>
        <v>16.863931835362955</v>
      </c>
      <c r="F245" s="7">
        <f ca="1">[2]远征副本等级难度系数控制!E245</f>
        <v>8.9274491431187908</v>
      </c>
    </row>
    <row r="246" spans="1:6" x14ac:dyDescent="0.15">
      <c r="A246">
        <f t="shared" si="3"/>
        <v>4051</v>
      </c>
      <c r="B246" s="7">
        <f>[2]远征副本等级难度系数控制!A246</f>
        <v>51</v>
      </c>
      <c r="C246" s="7">
        <f>[2]远征副本等级难度系数控制!B246</f>
        <v>4</v>
      </c>
      <c r="D246" s="7">
        <f ca="1">[2]远征副本等级难度系数控制!C246</f>
        <v>16.694329391226663</v>
      </c>
      <c r="E246" s="7">
        <f ca="1">[2]远征副本等级难度系数控制!D246</f>
        <v>18.355481630003489</v>
      </c>
      <c r="F246" s="7">
        <f ca="1">[2]远征副本等级难度系数控制!E246</f>
        <v>9.6914017762211362</v>
      </c>
    </row>
    <row r="247" spans="1:6" x14ac:dyDescent="0.15">
      <c r="A247">
        <f t="shared" si="3"/>
        <v>4052</v>
      </c>
      <c r="B247" s="7">
        <f>[2]远征副本等级难度系数控制!A247</f>
        <v>52</v>
      </c>
      <c r="C247" s="7">
        <f>[2]远征副本等级难度系数控制!B247</f>
        <v>4</v>
      </c>
      <c r="D247" s="7">
        <f ca="1">[2]远征副本等级难度系数控制!C247</f>
        <v>18.367836205844615</v>
      </c>
      <c r="E247" s="7">
        <f ca="1">[2]远征副本等级难度系数控制!D247</f>
        <v>19.945069478423662</v>
      </c>
      <c r="F247" s="7">
        <f ca="1">[2]远征副本等级难度系数控制!E247</f>
        <v>10.202775599162742</v>
      </c>
    </row>
    <row r="248" spans="1:6" x14ac:dyDescent="0.15">
      <c r="A248">
        <f t="shared" si="3"/>
        <v>4053</v>
      </c>
      <c r="B248" s="7">
        <f>[2]远征副本等级难度系数控制!A248</f>
        <v>53</v>
      </c>
      <c r="C248" s="7">
        <f>[2]远征副本等级难度系数控制!B248</f>
        <v>4</v>
      </c>
      <c r="D248" s="7">
        <f ca="1">[2]远征副本等级难度系数控制!C248</f>
        <v>19.813164889564217</v>
      </c>
      <c r="E248" s="7">
        <f ca="1">[2]远征副本等级难度系数控制!D248</f>
        <v>21.637593041357022</v>
      </c>
      <c r="F248" s="7">
        <f ca="1">[2]远征副本等级难度系数控制!E248</f>
        <v>10.879874594017098</v>
      </c>
    </row>
    <row r="249" spans="1:6" x14ac:dyDescent="0.15">
      <c r="A249">
        <f t="shared" si="3"/>
        <v>4054</v>
      </c>
      <c r="B249" s="7">
        <f>[2]远征副本等级难度系数控制!A249</f>
        <v>54</v>
      </c>
      <c r="C249" s="7">
        <f>[2]远征副本等级难度系数控制!B249</f>
        <v>4</v>
      </c>
      <c r="D249" s="7">
        <f ca="1">[2]远征副本等级难度系数控制!C249</f>
        <v>21.335637090425063</v>
      </c>
      <c r="E249" s="7">
        <f ca="1">[2]远征副本等级难度系数控制!D249</f>
        <v>23.438160547163392</v>
      </c>
      <c r="F249" s="7">
        <f ca="1">[2]远征副本等级难度系数控制!E249</f>
        <v>11.583867509448227</v>
      </c>
    </row>
    <row r="250" spans="1:6" x14ac:dyDescent="0.15">
      <c r="A250">
        <f t="shared" si="3"/>
        <v>4055</v>
      </c>
      <c r="B250" s="7">
        <f>[2]远征副本等级难度系数控制!A250</f>
        <v>55</v>
      </c>
      <c r="C250" s="7">
        <f>[2]远征副本等级难度系数控制!B250</f>
        <v>4</v>
      </c>
      <c r="D250" s="7">
        <f ca="1">[2]远征副本等级难度系数控制!C250</f>
        <v>22.937686428827639</v>
      </c>
      <c r="E250" s="7">
        <f ca="1">[2]远征副本等级难度系数控制!D250</f>
        <v>25.352100220230088</v>
      </c>
      <c r="F250" s="7">
        <f ca="1">[2]远征副本等级难度系数控制!E250</f>
        <v>12.315206902472523</v>
      </c>
    </row>
    <row r="251" spans="1:6" x14ac:dyDescent="0.15">
      <c r="A251">
        <f t="shared" si="3"/>
        <v>4056</v>
      </c>
      <c r="B251" s="7">
        <f>[2]远征副本等级难度系数控制!A251</f>
        <v>56</v>
      </c>
      <c r="C251" s="7">
        <f>[2]远征副本等级难度系数控制!B251</f>
        <v>4</v>
      </c>
      <c r="D251" s="7">
        <f ca="1">[2]远征副本等级难度系数控制!C251</f>
        <v>24.621779784981591</v>
      </c>
      <c r="E251" s="7">
        <f ca="1">[2]远征副本等级难度系数控制!D251</f>
        <v>27.384970220551534</v>
      </c>
      <c r="F251" s="7">
        <f ca="1">[2]远征副本等级难度系数控制!E251</f>
        <v>13.074345330106402</v>
      </c>
    </row>
    <row r="252" spans="1:6" x14ac:dyDescent="0.15">
      <c r="A252">
        <f t="shared" si="3"/>
        <v>4057</v>
      </c>
      <c r="B252" s="7">
        <f>[2]远征副本等级难度系数控制!A252</f>
        <v>57</v>
      </c>
      <c r="C252" s="7">
        <f>[2]远征副本等级难度系数控制!B252</f>
        <v>4</v>
      </c>
      <c r="D252" s="7">
        <f ca="1">[2]远征副本等级难度系数控制!C252</f>
        <v>26.390417286583428</v>
      </c>
      <c r="E252" s="7">
        <f ca="1">[2]远征副本等级难度系数控制!D252</f>
        <v>29.542569127115442</v>
      </c>
      <c r="F252" s="7">
        <f ca="1">[2]远征副本等级难度系数控制!E252</f>
        <v>13.861735349366249</v>
      </c>
    </row>
    <row r="253" spans="1:6" x14ac:dyDescent="0.15">
      <c r="A253">
        <f t="shared" si="3"/>
        <v>4058</v>
      </c>
      <c r="B253" s="7">
        <f>[2]远征副本等级难度系数控制!A253</f>
        <v>58</v>
      </c>
      <c r="C253" s="7">
        <f>[2]远征副本等级难度系数控制!B253</f>
        <v>4</v>
      </c>
      <c r="D253" s="7">
        <f ca="1">[2]远征副本等级难度系数控制!C253</f>
        <v>28.246132296226452</v>
      </c>
      <c r="E253" s="7">
        <f ca="1">[2]远征副本等级难度系数控制!D253</f>
        <v>31.830947000126613</v>
      </c>
      <c r="F253" s="7">
        <f ca="1">[2]远征副本等级难度系数控制!E253</f>
        <v>14.677829517268446</v>
      </c>
    </row>
    <row r="254" spans="1:6" x14ac:dyDescent="0.15">
      <c r="A254">
        <f t="shared" si="3"/>
        <v>4059</v>
      </c>
      <c r="B254" s="7">
        <f>[2]远征副本等级难度系数控制!A254</f>
        <v>59</v>
      </c>
      <c r="C254" s="7">
        <f>[2]远征副本等级难度系数控制!B254</f>
        <v>4</v>
      </c>
      <c r="D254" s="7">
        <f ca="1">[2]远征副本等级难度系数控制!C254</f>
        <v>30.19149139859968</v>
      </c>
      <c r="E254" s="7">
        <f ca="1">[2]远征副本等级难度系数控制!D254</f>
        <v>34.256417059701107</v>
      </c>
      <c r="F254" s="7">
        <f ca="1">[2]远征副本等级难度系数控制!E254</f>
        <v>15.523080390829415</v>
      </c>
    </row>
    <row r="255" spans="1:6" x14ac:dyDescent="0.15">
      <c r="A255">
        <f t="shared" si="3"/>
        <v>4060</v>
      </c>
      <c r="B255" s="7">
        <f>[2]远征副本等级难度系数控制!A255</f>
        <v>60</v>
      </c>
      <c r="C255" s="7">
        <f>[2]远征副本等级难度系数控制!B255</f>
        <v>4</v>
      </c>
      <c r="D255" s="7">
        <f ca="1">[2]远征副本等级难度系数控制!C255</f>
        <v>32.3878583992865</v>
      </c>
      <c r="E255" s="7">
        <f ca="1">[2]远征副本等级难度系数控制!D255</f>
        <v>37.006974760509266</v>
      </c>
      <c r="F255" s="7">
        <f ca="1">[2]远征副本等级难度系数控制!E255</f>
        <v>16.478718559218564</v>
      </c>
    </row>
    <row r="256" spans="1:6" x14ac:dyDescent="0.15">
      <c r="A256">
        <f t="shared" si="3"/>
        <v>4061</v>
      </c>
      <c r="B256" s="7">
        <f>[2]远征副本等级难度系数控制!A256</f>
        <v>61</v>
      </c>
      <c r="C256" s="7">
        <f>[2]远征副本等级难度系数控制!B256</f>
        <v>4</v>
      </c>
      <c r="D256" s="7">
        <f ca="1">[2]远征副本等级难度系数控制!C256</f>
        <v>34.691974005309049</v>
      </c>
      <c r="E256" s="7">
        <f ca="1">[2]远征副本等级难度系数控制!D256</f>
        <v>39.925520182084497</v>
      </c>
      <c r="F256" s="7">
        <f ca="1">[2]远征副本等级难度系数控制!E256</f>
        <v>17.469236160714289</v>
      </c>
    </row>
    <row r="257" spans="1:6" x14ac:dyDescent="0.15">
      <c r="A257">
        <f t="shared" si="3"/>
        <v>4062</v>
      </c>
      <c r="B257" s="7">
        <f>[2]远征副本等级难度系数控制!A257</f>
        <v>62</v>
      </c>
      <c r="C257" s="7">
        <f>[2]远征副本等级难度系数控制!B257</f>
        <v>4</v>
      </c>
      <c r="D257" s="7">
        <f ca="1">[2]远征副本等级难度系数控制!C257</f>
        <v>37.106971775412397</v>
      </c>
      <c r="E257" s="7">
        <f ca="1">[2]远征副本等级难度系数控制!D257</f>
        <v>43.020227109939746</v>
      </c>
      <c r="F257" s="7">
        <f ca="1">[2]远征副本等级难度系数控制!E257</f>
        <v>18.495176263736273</v>
      </c>
    </row>
    <row r="258" spans="1:6" x14ac:dyDescent="0.15">
      <c r="A258">
        <f t="shared" si="3"/>
        <v>4063</v>
      </c>
      <c r="B258" s="7">
        <f>[2]远征副本等级难度系数控制!A258</f>
        <v>63</v>
      </c>
      <c r="C258" s="7">
        <f>[2]远征副本等级难度系数控制!B258</f>
        <v>4</v>
      </c>
      <c r="D258" s="7">
        <f ca="1">[2]远征副本等级难度系数控制!C258</f>
        <v>39.636025087792028</v>
      </c>
      <c r="E258" s="7">
        <f ca="1">[2]远征副本等级难度系数控制!D258</f>
        <v>46.299632562195143</v>
      </c>
      <c r="F258" s="7">
        <f ca="1">[2]远征副本等级难度系数控制!E258</f>
        <v>19.557081936704165</v>
      </c>
    </row>
    <row r="259" spans="1:6" x14ac:dyDescent="0.15">
      <c r="A259">
        <f t="shared" ref="A259:A322" si="4">C259*1000+B259</f>
        <v>4064</v>
      </c>
      <c r="B259" s="7">
        <f>[2]远征副本等级难度系数控制!A259</f>
        <v>64</v>
      </c>
      <c r="C259" s="7">
        <f>[2]远征副本等级难度系数控制!B259</f>
        <v>4</v>
      </c>
      <c r="D259" s="7">
        <f ca="1">[2]远征副本等级难度系数控制!C259</f>
        <v>42.282347124790761</v>
      </c>
      <c r="E259" s="7">
        <f ca="1">[2]远征副本等级难度系数控制!D259</f>
        <v>49.772654479477652</v>
      </c>
      <c r="F259" s="7">
        <f ca="1">[2]远征副本等级难度系数控制!E259</f>
        <v>20.6554962480377</v>
      </c>
    </row>
    <row r="260" spans="1:6" x14ac:dyDescent="0.15">
      <c r="A260">
        <f t="shared" si="4"/>
        <v>4065</v>
      </c>
      <c r="B260" s="7">
        <f>[2]远征副本等级难度系数控制!A260</f>
        <v>65</v>
      </c>
      <c r="C260" s="7">
        <f>[2]远征副本等级难度系数控制!B260</f>
        <v>4</v>
      </c>
      <c r="D260" s="7">
        <f ca="1">[2]远征副本等级难度系数控制!C260</f>
        <v>45.049190857524657</v>
      </c>
      <c r="E260" s="7">
        <f ca="1">[2]远征副本等级难度系数控制!D260</f>
        <v>53.448610458814869</v>
      </c>
      <c r="F260" s="7">
        <f ca="1">[2]远征副本等级难度系数控制!E260</f>
        <v>21.790962266156473</v>
      </c>
    </row>
    <row r="261" spans="1:6" x14ac:dyDescent="0.15">
      <c r="A261">
        <f t="shared" si="4"/>
        <v>4066</v>
      </c>
      <c r="B261" s="7">
        <f>[2]远征副本等级难度系数控制!A261</f>
        <v>66</v>
      </c>
      <c r="C261" s="7">
        <f>[2]远征副本等级难度系数控制!B261</f>
        <v>4</v>
      </c>
      <c r="D261" s="7">
        <f ca="1">[2]远征副本等级难度系数控制!C261</f>
        <v>47.939849030470945</v>
      </c>
      <c r="E261" s="7">
        <f ca="1">[2]远征副本等级难度系数控制!D261</f>
        <v>57.337237604118563</v>
      </c>
      <c r="F261" s="7">
        <f ca="1">[2]远征副本等级难度系数控制!E261</f>
        <v>22.964023059480223</v>
      </c>
    </row>
    <row r="262" spans="1:6" x14ac:dyDescent="0.15">
      <c r="A262">
        <f t="shared" si="4"/>
        <v>4067</v>
      </c>
      <c r="B262" s="7">
        <f>[2]远征副本等级难度系数控制!A262</f>
        <v>67</v>
      </c>
      <c r="C262" s="7">
        <f>[2]远征副本等级难度系数控制!B262</f>
        <v>4</v>
      </c>
      <c r="D262" s="7">
        <f ca="1">[2]远征副本等级难度系数控制!C262</f>
        <v>50.957654146047417</v>
      </c>
      <c r="E262" s="7">
        <f ca="1">[2]远征副本等级难度系数控制!D262</f>
        <v>60.931317657981204</v>
      </c>
      <c r="F262" s="7">
        <f ca="1">[2]远征副本等级难度系数控制!E262</f>
        <v>24.175221696428579</v>
      </c>
    </row>
    <row r="263" spans="1:6" x14ac:dyDescent="0.15">
      <c r="A263">
        <f t="shared" si="4"/>
        <v>4068</v>
      </c>
      <c r="B263" s="7">
        <f>[2]远征副本等级难度系数控制!A263</f>
        <v>68</v>
      </c>
      <c r="C263" s="7">
        <f>[2]远征副本等级难度系数控制!B263</f>
        <v>4</v>
      </c>
      <c r="D263" s="7">
        <f ca="1">[2]远征副本等级难度系数控制!C263</f>
        <v>54.105978449208756</v>
      </c>
      <c r="E263" s="7">
        <f ca="1">[2]远征副本等级难度系数控制!D263</f>
        <v>64.690171137659974</v>
      </c>
      <c r="F263" s="7">
        <f ca="1">[2]远征副本等级难度系数控制!E263</f>
        <v>25.42510124542126</v>
      </c>
    </row>
    <row r="264" spans="1:6" x14ac:dyDescent="0.15">
      <c r="A264">
        <f t="shared" si="4"/>
        <v>4069</v>
      </c>
      <c r="B264" s="7">
        <f>[2]远征副本等级难度系数控制!A264</f>
        <v>69</v>
      </c>
      <c r="C264" s="7">
        <f>[2]远征副本等级难度系数控制!B264</f>
        <v>4</v>
      </c>
      <c r="D264" s="7">
        <f ca="1">[2]远征副本等级难度系数控制!C264</f>
        <v>57.388233912081922</v>
      </c>
      <c r="E264" s="7">
        <f ca="1">[2]远征副本等级难度系数控制!D264</f>
        <v>68.619713185921412</v>
      </c>
      <c r="F264" s="7">
        <f ca="1">[2]远征副本等级难度系数控制!E264</f>
        <v>26.714204774877924</v>
      </c>
    </row>
    <row r="265" spans="1:6" x14ac:dyDescent="0.15">
      <c r="A265">
        <f t="shared" si="4"/>
        <v>4070</v>
      </c>
      <c r="B265" s="7">
        <f>[2]远征副本等级难度系数控制!A265</f>
        <v>70</v>
      </c>
      <c r="C265" s="7">
        <f>[2]远征副本等级难度系数控制!B265</f>
        <v>4</v>
      </c>
      <c r="D265" s="7">
        <f ca="1">[2]远征副本等级难度系数控制!C265</f>
        <v>61.038205067972619</v>
      </c>
      <c r="E265" s="7">
        <f ca="1">[2]远征副本等级难度系数控制!D265</f>
        <v>73.001563143980221</v>
      </c>
      <c r="F265" s="7">
        <f ca="1">[2]远征副本等级难度系数控制!E265</f>
        <v>28.149299123495577</v>
      </c>
    </row>
    <row r="266" spans="1:6" x14ac:dyDescent="0.15">
      <c r="A266">
        <f t="shared" si="4"/>
        <v>4071</v>
      </c>
      <c r="B266" s="7">
        <f>[2]远征副本等级难度系数控制!A266</f>
        <v>71</v>
      </c>
      <c r="C266" s="7">
        <f>[2]远征副本等级难度系数控制!B266</f>
        <v>4</v>
      </c>
      <c r="D266" s="7">
        <f ca="1">[2]远征副本等级难度系数控制!C266</f>
        <v>64.845187599564952</v>
      </c>
      <c r="E266" s="7">
        <f ca="1">[2]远征副本等级难度系数控制!D266</f>
        <v>77.58615484361772</v>
      </c>
      <c r="F266" s="7">
        <f ca="1">[2]远征副本等级难度系数控制!E266</f>
        <v>29.630124612186769</v>
      </c>
    </row>
    <row r="267" spans="1:6" x14ac:dyDescent="0.15">
      <c r="A267">
        <f t="shared" si="4"/>
        <v>4072</v>
      </c>
      <c r="B267" s="7">
        <f>[2]远征副本等级难度系数控制!A267</f>
        <v>72</v>
      </c>
      <c r="C267" s="7">
        <f>[2]远征副本等级难度系数控制!B267</f>
        <v>4</v>
      </c>
      <c r="D267" s="7">
        <f ca="1">[2]远征副本等级难度系数控制!C267</f>
        <v>68.813229768740968</v>
      </c>
      <c r="E267" s="7">
        <f ca="1">[2]远征副本等级难度系数控制!D267</f>
        <v>82.380909233755332</v>
      </c>
      <c r="F267" s="7">
        <f ca="1">[2]远征副本等级难度系数控制!E267</f>
        <v>31.157314820774477</v>
      </c>
    </row>
    <row r="268" spans="1:6" x14ac:dyDescent="0.15">
      <c r="A268">
        <f t="shared" si="4"/>
        <v>4073</v>
      </c>
      <c r="B268" s="7">
        <f>[2]远征副本等级难度系数控制!A268</f>
        <v>73</v>
      </c>
      <c r="C268" s="7">
        <f>[2]远征副本等级难度系数控制!B268</f>
        <v>4</v>
      </c>
      <c r="D268" s="7">
        <f ca="1">[2]远征副本等级难度系数控制!C268</f>
        <v>72.946426135465188</v>
      </c>
      <c r="E268" s="7">
        <f ca="1">[2]远征副本等级难度系数控制!D268</f>
        <v>87.39354230349069</v>
      </c>
      <c r="F268" s="7">
        <f ca="1">[2]远征副本等级难度系数控制!E268</f>
        <v>32.731503329081654</v>
      </c>
    </row>
    <row r="269" spans="1:6" x14ac:dyDescent="0.15">
      <c r="A269">
        <f t="shared" si="4"/>
        <v>4074</v>
      </c>
      <c r="B269" s="7">
        <f>[2]远征副本等级难度系数控制!A269</f>
        <v>74</v>
      </c>
      <c r="C269" s="7">
        <f>[2]远征副本等级难度系数控制!B269</f>
        <v>4</v>
      </c>
      <c r="D269" s="7">
        <f ca="1">[2]远征副本等级难度系数控制!C269</f>
        <v>77.248917540456901</v>
      </c>
      <c r="E269" s="7">
        <f ca="1">[2]远征副本等级难度系数控制!D269</f>
        <v>92.632081001531915</v>
      </c>
      <c r="F269" s="7">
        <f ca="1">[2]远征副本等级难度系数控制!E269</f>
        <v>34.353323716931236</v>
      </c>
    </row>
    <row r="270" spans="1:6" x14ac:dyDescent="0.15">
      <c r="A270">
        <f t="shared" si="4"/>
        <v>4075</v>
      </c>
      <c r="B270" s="7">
        <f>[2]远征副本等级难度系数控制!A270</f>
        <v>75</v>
      </c>
      <c r="C270" s="7">
        <f>[2]远征副本等级难度系数控制!B270</f>
        <v>4</v>
      </c>
      <c r="D270" s="7">
        <f ca="1">[2]远征副本等级难度系数控制!C270</f>
        <v>81.724891087975308</v>
      </c>
      <c r="E270" s="7">
        <f ca="1">[2]远征副本等级难度系数控制!D270</f>
        <v>98.104880197630649</v>
      </c>
      <c r="F270" s="7">
        <f ca="1">[2]远征副本等级难度系数控制!E270</f>
        <v>36.023409564146213</v>
      </c>
    </row>
    <row r="271" spans="1:6" x14ac:dyDescent="0.15">
      <c r="A271">
        <f t="shared" si="4"/>
        <v>4076</v>
      </c>
      <c r="B271" s="7">
        <f>[2]远征副本等级难度系数控制!A271</f>
        <v>76</v>
      </c>
      <c r="C271" s="7">
        <f>[2]远征副本等级难度系数控制!B271</f>
        <v>4</v>
      </c>
      <c r="D271" s="7">
        <f ca="1">[2]远征副本等级难度系数控制!C271</f>
        <v>86.378580128730732</v>
      </c>
      <c r="E271" s="7">
        <f ca="1">[2]远征副本等级难度系数控制!D271</f>
        <v>103.8206407664632</v>
      </c>
      <c r="F271" s="7">
        <f ca="1">[2]远征副本等级难度系数控制!E271</f>
        <v>37.742394450549462</v>
      </c>
    </row>
    <row r="272" spans="1:6" x14ac:dyDescent="0.15">
      <c r="A272">
        <f t="shared" si="4"/>
        <v>4077</v>
      </c>
      <c r="B272" s="7">
        <f>[2]远征副本等级难度系数控制!A272</f>
        <v>77</v>
      </c>
      <c r="C272" s="7">
        <f>[2]远征副本等级难度系数控制!B272</f>
        <v>4</v>
      </c>
      <c r="D272" s="7">
        <f ca="1">[2]远征副本等级难度系数控制!C272</f>
        <v>91.214264242931264</v>
      </c>
      <c r="E272" s="7">
        <f ca="1">[2]远征副本等级难度系数控制!D272</f>
        <v>109.78842888158552</v>
      </c>
      <c r="F272" s="7">
        <f ca="1">[2]远征副本等级难度系数控制!E272</f>
        <v>39.510911955964012</v>
      </c>
    </row>
    <row r="273" spans="1:6" x14ac:dyDescent="0.15">
      <c r="A273">
        <f t="shared" si="4"/>
        <v>4078</v>
      </c>
      <c r="B273" s="7">
        <f>[2]远征副本等级难度系数控制!A273</f>
        <v>78</v>
      </c>
      <c r="C273" s="7">
        <f>[2]远征副本等级难度系数控制!B273</f>
        <v>4</v>
      </c>
      <c r="D273" s="7">
        <f ca="1">[2]远征副本等级难度系数控制!C273</f>
        <v>96.236269223474267</v>
      </c>
      <c r="E273" s="7">
        <f ca="1">[2]远征副本等级难度系数控制!D273</f>
        <v>116.01769661499407</v>
      </c>
      <c r="F273" s="7">
        <f ca="1">[2]远征副本等级难度系数控制!E273</f>
        <v>41.32959566021281</v>
      </c>
    </row>
    <row r="274" spans="1:6" x14ac:dyDescent="0.15">
      <c r="A274">
        <f t="shared" si="4"/>
        <v>4079</v>
      </c>
      <c r="B274" s="7">
        <f>[2]远征副本等级难度系数控制!A274</f>
        <v>79</v>
      </c>
      <c r="C274" s="7">
        <f>[2]远征副本等级难度系数控制!B274</f>
        <v>4</v>
      </c>
      <c r="D274" s="7">
        <f ca="1">[2]远征副本等级难度系数控制!C274</f>
        <v>101.44896705929044</v>
      </c>
      <c r="E274" s="7">
        <f ca="1">[2]远征副本等级难度系数控制!D274</f>
        <v>122.51830394654247</v>
      </c>
      <c r="F274" s="7">
        <f ca="1">[2]远征副本等级难度系数控制!E274</f>
        <v>43.199079143118823</v>
      </c>
    </row>
    <row r="275" spans="1:6" x14ac:dyDescent="0.15">
      <c r="A275">
        <f t="shared" si="4"/>
        <v>4080</v>
      </c>
      <c r="B275" s="7">
        <f>[2]远征副本等级难度系数控制!A275</f>
        <v>80</v>
      </c>
      <c r="C275" s="7">
        <f>[2]远征副本等级难度系数控制!B275</f>
        <v>4</v>
      </c>
      <c r="D275" s="7">
        <f ca="1">[2]远征副本等级难度系数控制!C275</f>
        <v>107.17575136934924</v>
      </c>
      <c r="E275" s="7">
        <f ca="1">[2]远征副本等级难度系数控制!D275</f>
        <v>129.68651406513814</v>
      </c>
      <c r="F275" s="7">
        <f ca="1">[2]远征副本等级难度系数控制!E275</f>
        <v>45.254682539682527</v>
      </c>
    </row>
    <row r="276" spans="1:6" x14ac:dyDescent="0.15">
      <c r="A276">
        <f t="shared" si="4"/>
        <v>4081</v>
      </c>
      <c r="B276" s="7">
        <f>[2]远征副本等级难度系数控制!A276</f>
        <v>81</v>
      </c>
      <c r="C276" s="7">
        <f>[2]远征副本等级难度系数控制!B276</f>
        <v>4</v>
      </c>
      <c r="D276" s="7">
        <f ca="1">[2]远征副本等级难度系数控制!C276</f>
        <v>113.12184528078674</v>
      </c>
      <c r="E276" s="7">
        <f ca="1">[2]远征副本等级难度系数控制!D276</f>
        <v>155.71401437603362</v>
      </c>
      <c r="F276" s="7">
        <f ca="1">[2]远征副本等级难度系数控制!E276</f>
        <v>47.368377306674844</v>
      </c>
    </row>
    <row r="277" spans="1:6" x14ac:dyDescent="0.15">
      <c r="A277">
        <f t="shared" si="4"/>
        <v>4082</v>
      </c>
      <c r="B277" s="7">
        <f>[2]远征副本等级难度系数控制!A277</f>
        <v>82</v>
      </c>
      <c r="C277" s="7">
        <f>[2]远征副本等级难度系数控制!B277</f>
        <v>4</v>
      </c>
      <c r="D277" s="7">
        <f ca="1">[2]远征副本等级难度系数控制!C277</f>
        <v>119.29232614432996</v>
      </c>
      <c r="E277" s="7">
        <f ca="1">[2]远征副本等级难度系数控制!D277</f>
        <v>165.97861501513222</v>
      </c>
      <c r="F277" s="7">
        <f ca="1">[2]远征副本等级难度系数控制!E277</f>
        <v>49.540887535321829</v>
      </c>
    </row>
    <row r="278" spans="1:6" x14ac:dyDescent="0.15">
      <c r="A278">
        <f t="shared" si="4"/>
        <v>4083</v>
      </c>
      <c r="B278" s="7">
        <f>[2]远征副本等级难度系数控制!A278</f>
        <v>83</v>
      </c>
      <c r="C278" s="7">
        <f>[2]远征副本等级难度系数控制!B278</f>
        <v>4</v>
      </c>
      <c r="D278" s="7">
        <f ca="1">[2]远征副本等级难度系数控制!C278</f>
        <v>125.69232405416851</v>
      </c>
      <c r="E278" s="7">
        <f ca="1">[2]远征副本等级难度系数控制!D278</f>
        <v>176.80053067127213</v>
      </c>
      <c r="F278" s="7">
        <f ca="1">[2]远征副本等级难度系数控制!E278</f>
        <v>51.772937316849827</v>
      </c>
    </row>
    <row r="279" spans="1:6" x14ac:dyDescent="0.15">
      <c r="A279">
        <f t="shared" si="4"/>
        <v>4084</v>
      </c>
      <c r="B279" s="7">
        <f>[2]远征副本等级难度系数控制!A279</f>
        <v>84</v>
      </c>
      <c r="C279" s="7">
        <f>[2]远征副本等级难度系数控制!B279</f>
        <v>4</v>
      </c>
      <c r="D279" s="7">
        <f ca="1">[2]远征副本等级难度系数控制!C279</f>
        <v>132.32702182976914</v>
      </c>
      <c r="E279" s="7">
        <f ca="1">[2]远征副本等级难度系数控制!D279</f>
        <v>188.20717679557109</v>
      </c>
      <c r="F279" s="7">
        <f ca="1">[2]远征副本等级难度系数控制!E279</f>
        <v>54.065250742485041</v>
      </c>
    </row>
    <row r="280" spans="1:6" x14ac:dyDescent="0.15">
      <c r="A280">
        <f t="shared" si="4"/>
        <v>4085</v>
      </c>
      <c r="B280" s="7">
        <f>[2]远征副本等级难度系数控制!A280</f>
        <v>85</v>
      </c>
      <c r="C280" s="7">
        <f>[2]远征副本等级难度系数控制!B280</f>
        <v>4</v>
      </c>
      <c r="D280" s="7">
        <f ca="1">[2]远征副本等级难度系数控制!C280</f>
        <v>139.20165499788169</v>
      </c>
      <c r="E280" s="7">
        <f ca="1">[2]远征副本等级难度系数控制!D280</f>
        <v>200.22739261588021</v>
      </c>
      <c r="F280" s="7">
        <f ca="1">[2]远征副本等级难度系数控制!E280</f>
        <v>56.418551903453668</v>
      </c>
    </row>
    <row r="281" spans="1:6" x14ac:dyDescent="0.15">
      <c r="A281">
        <f t="shared" si="4"/>
        <v>4086</v>
      </c>
      <c r="B281" s="7">
        <f>[2]远征副本等级难度系数控制!A281</f>
        <v>86</v>
      </c>
      <c r="C281" s="7">
        <f>[2]远征副本等级难度系数控制!B281</f>
        <v>4</v>
      </c>
      <c r="D281" s="7">
        <f ca="1">[2]远征副本等级难度系数控制!C281</f>
        <v>146.32151177473924</v>
      </c>
      <c r="E281" s="7">
        <f ca="1">[2]远征副本等级难度系数控制!D281</f>
        <v>212.89152938740807</v>
      </c>
      <c r="F281" s="7">
        <f ca="1">[2]远征副本等级难度系数控制!E281</f>
        <v>58.833564890982032</v>
      </c>
    </row>
    <row r="282" spans="1:6" x14ac:dyDescent="0.15">
      <c r="A282">
        <f t="shared" si="4"/>
        <v>4087</v>
      </c>
      <c r="B282" s="7">
        <f>[2]远征副本等级难度系数控制!A282</f>
        <v>87</v>
      </c>
      <c r="C282" s="7">
        <f>[2]远征副本等级难度系数控制!B282</f>
        <v>4</v>
      </c>
      <c r="D282" s="7">
        <f ca="1">[2]远征副本等级难度系数控制!C282</f>
        <v>153.69193304845504</v>
      </c>
      <c r="E282" s="7">
        <f ca="1">[2]远征副本等级难度系数控制!D282</f>
        <v>226.23154528983446</v>
      </c>
      <c r="F282" s="7">
        <f ca="1">[2]远征副本等级难度系数控制!E282</f>
        <v>61.311013796296315</v>
      </c>
    </row>
    <row r="283" spans="1:6" x14ac:dyDescent="0.15">
      <c r="A283">
        <f t="shared" si="4"/>
        <v>4088</v>
      </c>
      <c r="B283" s="7">
        <f>[2]远征副本等级难度系数控制!A283</f>
        <v>88</v>
      </c>
      <c r="C283" s="7">
        <f>[2]远征副本等级难度系数控制!B283</f>
        <v>4</v>
      </c>
      <c r="D283" s="7">
        <f ca="1">[2]远征副本等级难度系数控制!C283</f>
        <v>161.31831236161824</v>
      </c>
      <c r="E283" s="7">
        <f ca="1">[2]远征副本等级难度系数控制!D283</f>
        <v>240.28110756234122</v>
      </c>
      <c r="F283" s="7">
        <f ca="1">[2]远征副本等级难度系数控制!E283</f>
        <v>63.851622710622685</v>
      </c>
    </row>
    <row r="284" spans="1:6" x14ac:dyDescent="0.15">
      <c r="A284">
        <f t="shared" si="4"/>
        <v>4089</v>
      </c>
      <c r="B284" s="7">
        <f>[2]远征副本等级难度系数控制!A284</f>
        <v>89</v>
      </c>
      <c r="C284" s="7">
        <f>[2]远征副本等级难度系数控制!B284</f>
        <v>4</v>
      </c>
      <c r="D284" s="7">
        <f ca="1">[2]远征副本等级难度系数控制!C284</f>
        <v>169.20609589408824</v>
      </c>
      <c r="E284" s="7">
        <f ca="1">[2]远征副本等级难度系数控制!D284</f>
        <v>255.07570252890127</v>
      </c>
      <c r="F284" s="7">
        <f ca="1">[2]远征副本等级难度系数控制!E284</f>
        <v>66.456115725187473</v>
      </c>
    </row>
    <row r="285" spans="1:6" x14ac:dyDescent="0.15">
      <c r="A285">
        <f t="shared" si="4"/>
        <v>4090</v>
      </c>
      <c r="B285" s="7">
        <f>[2]远征副本等级难度系数控制!A285</f>
        <v>90</v>
      </c>
      <c r="C285" s="7">
        <f>[2]远征副本等级难度系数控制!B285</f>
        <v>4</v>
      </c>
      <c r="D285" s="7">
        <f ca="1">[2]远征副本等级难度系数控制!C285</f>
        <v>177.36078244598949</v>
      </c>
      <c r="E285" s="7">
        <f ca="1">[2]远征副本等级难度系数控制!D285</f>
        <v>270.65275423424396</v>
      </c>
      <c r="F285" s="7">
        <f ca="1">[2]远征副本等级难度系数控制!E285</f>
        <v>69.12521693121694</v>
      </c>
    </row>
    <row r="286" spans="1:6" x14ac:dyDescent="0.15">
      <c r="A286">
        <f t="shared" si="4"/>
        <v>5020</v>
      </c>
      <c r="B286" s="7">
        <f>[2]远征副本等级难度系数控制!A286</f>
        <v>20</v>
      </c>
      <c r="C286" s="7">
        <f>[2]远征副本等级难度系数控制!B286</f>
        <v>5</v>
      </c>
      <c r="D286" s="7">
        <f ca="1">[2]远征副本等级难度系数控制!C286</f>
        <v>1</v>
      </c>
      <c r="E286" s="7">
        <f ca="1">[2]远征副本等级难度系数控制!D286</f>
        <v>1</v>
      </c>
      <c r="F286" s="7">
        <f ca="1">[2]远征副本等级难度系数控制!E286</f>
        <v>1</v>
      </c>
    </row>
    <row r="287" spans="1:6" x14ac:dyDescent="0.15">
      <c r="A287">
        <f t="shared" si="4"/>
        <v>5021</v>
      </c>
      <c r="B287" s="7">
        <f>[2]远征副本等级难度系数控制!A287</f>
        <v>21</v>
      </c>
      <c r="C287" s="7">
        <f>[2]远征副本等级难度系数控制!B287</f>
        <v>5</v>
      </c>
      <c r="D287" s="7">
        <f ca="1">[2]远征副本等级难度系数控制!C287</f>
        <v>1.117596838754978</v>
      </c>
      <c r="E287" s="7">
        <f ca="1">[2]远征副本等级难度系数控制!D287</f>
        <v>1.1095204807543111</v>
      </c>
      <c r="F287" s="7">
        <f ca="1">[2]远征副本等级难度系数控制!E287</f>
        <v>1.0931717687074833</v>
      </c>
    </row>
    <row r="288" spans="1:6" x14ac:dyDescent="0.15">
      <c r="A288">
        <f t="shared" si="4"/>
        <v>5022</v>
      </c>
      <c r="B288" s="7">
        <f>[2]远征副本等级难度系数控制!A288</f>
        <v>22</v>
      </c>
      <c r="C288" s="7">
        <f>[2]远征副本等级难度系数控制!B288</f>
        <v>5</v>
      </c>
      <c r="D288" s="7">
        <f ca="1">[2]远征副本等级难度系数控制!C288</f>
        <v>1.2431201966962262</v>
      </c>
      <c r="E288" s="7">
        <f ca="1">[2]远征副本等级难度系数控制!D288</f>
        <v>1.22604988148337</v>
      </c>
      <c r="F288" s="7">
        <f ca="1">[2]远征副本等级难度系数控制!E288</f>
        <v>1.1902040816326529</v>
      </c>
    </row>
    <row r="289" spans="1:6" x14ac:dyDescent="0.15">
      <c r="A289">
        <f t="shared" si="4"/>
        <v>5023</v>
      </c>
      <c r="B289" s="7">
        <f>[2]远征副本等级难度系数控制!A289</f>
        <v>23</v>
      </c>
      <c r="C289" s="7">
        <f>[2]远征副本等级难度系数控制!B289</f>
        <v>5</v>
      </c>
      <c r="D289" s="7">
        <f ca="1">[2]远征副本等级难度系数控制!C289</f>
        <v>1.4024517884049481</v>
      </c>
      <c r="E289" s="7">
        <f ca="1">[2]远征副本等级难度系数控制!D289</f>
        <v>1.374995739522912</v>
      </c>
      <c r="F289" s="7">
        <f ca="1">[2]远征副本等级难度系数控制!E289</f>
        <v>1.31516810570382</v>
      </c>
    </row>
    <row r="290" spans="1:6" x14ac:dyDescent="0.15">
      <c r="A290">
        <f t="shared" si="4"/>
        <v>5024</v>
      </c>
      <c r="B290" s="7">
        <f>[2]远征副本等级难度系数控制!A290</f>
        <v>24</v>
      </c>
      <c r="C290" s="7">
        <f>[2]远征副本等级难度系数控制!B290</f>
        <v>5</v>
      </c>
      <c r="D290" s="7">
        <f ca="1">[2]远征副本等级难度系数控制!C290</f>
        <v>1.5727679083562147</v>
      </c>
      <c r="E290" s="7">
        <f ca="1">[2]远征副本等级难度系数控制!D290</f>
        <v>1.533738445309383</v>
      </c>
      <c r="F290" s="7">
        <f ca="1">[2]远征副本等级难度系数控制!E290</f>
        <v>1.4454515325943895</v>
      </c>
    </row>
    <row r="291" spans="1:6" x14ac:dyDescent="0.15">
      <c r="A291">
        <f t="shared" si="4"/>
        <v>5025</v>
      </c>
      <c r="B291" s="7">
        <f>[2]远征副本等级难度系数控制!A291</f>
        <v>25</v>
      </c>
      <c r="C291" s="7">
        <f>[2]远征副本等级难度系数控制!B291</f>
        <v>5</v>
      </c>
      <c r="D291" s="7">
        <f ca="1">[2]远征副本等级难度系数控制!C291</f>
        <v>1.7543614190545793</v>
      </c>
      <c r="E291" s="7">
        <f ca="1">[2]远征副本等级难度系数控制!D291</f>
        <v>1.7026182137524801</v>
      </c>
      <c r="F291" s="7">
        <f ca="1">[2]远征副本等级难度系数控制!E291</f>
        <v>1.5810543623043625</v>
      </c>
    </row>
    <row r="292" spans="1:6" x14ac:dyDescent="0.15">
      <c r="A292">
        <f t="shared" si="4"/>
        <v>5026</v>
      </c>
      <c r="B292" s="7">
        <f>[2]远征副本等级难度系数控制!A292</f>
        <v>26</v>
      </c>
      <c r="C292" s="7">
        <f>[2]远征副本等级难度系数控制!B292</f>
        <v>5</v>
      </c>
      <c r="D292" s="7">
        <f ca="1">[2]远征副本等级难度系数控制!C292</f>
        <v>1.972233786607722</v>
      </c>
      <c r="E292" s="7">
        <f ca="1">[2]远征副本等级难度系数控制!D292</f>
        <v>1.9058629331394403</v>
      </c>
      <c r="F292" s="7">
        <f ca="1">[2]远征副本等级难度系数控制!E292</f>
        <v>1.7438244612530327</v>
      </c>
    </row>
    <row r="293" spans="1:6" x14ac:dyDescent="0.15">
      <c r="A293">
        <f t="shared" si="4"/>
        <v>5027</v>
      </c>
      <c r="B293" s="7">
        <f>[2]远征副本等级难度系数控制!A293</f>
        <v>27</v>
      </c>
      <c r="C293" s="7">
        <f>[2]远征副本等级难度系数控制!B293</f>
        <v>5</v>
      </c>
      <c r="D293" s="7">
        <f ca="1">[2]远征副本等级难度系数控制!C293</f>
        <v>2.2042918205274931</v>
      </c>
      <c r="E293" s="7">
        <f ca="1">[2]远征副本等级难度系数控制!D293</f>
        <v>2.1220114367205052</v>
      </c>
      <c r="F293" s="7">
        <f ca="1">[2]远征副本等级难度系数控制!E293</f>
        <v>1.9131277333777335</v>
      </c>
    </row>
    <row r="294" spans="1:6" x14ac:dyDescent="0.15">
      <c r="A294">
        <f t="shared" si="4"/>
        <v>5028</v>
      </c>
      <c r="B294" s="7">
        <f>[2]远征副本等级难度系数控制!A294</f>
        <v>28</v>
      </c>
      <c r="C294" s="7">
        <f>[2]远征副本等级难度系数控制!B294</f>
        <v>5</v>
      </c>
      <c r="D294" s="7">
        <f ca="1">[2]远征副本等级难度系数控制!C294</f>
        <v>2.4508928136691663</v>
      </c>
      <c r="E294" s="7">
        <f ca="1">[2]远征副本等级难度系数控制!D294</f>
        <v>2.3515094636709608</v>
      </c>
      <c r="F294" s="7">
        <f ca="1">[2]远征副本等级难度系数控制!E294</f>
        <v>2.0889641786784643</v>
      </c>
    </row>
    <row r="295" spans="1:6" x14ac:dyDescent="0.15">
      <c r="A295">
        <f t="shared" si="4"/>
        <v>5029</v>
      </c>
      <c r="B295" s="7">
        <f>[2]远征副本等级难度系数控制!A295</f>
        <v>29</v>
      </c>
      <c r="C295" s="7">
        <f>[2]远征副本等级难度系数控制!B295</f>
        <v>5</v>
      </c>
      <c r="D295" s="7">
        <f ca="1">[2]远征副本等级难度系数控制!C295</f>
        <v>2.7123930236100176</v>
      </c>
      <c r="E295" s="7">
        <f ca="1">[2]远征副本等级难度系数控制!D295</f>
        <v>2.5948157044254323</v>
      </c>
      <c r="F295" s="7">
        <f ca="1">[2]远征副本等级难度系数控制!E295</f>
        <v>2.2713337971552265</v>
      </c>
    </row>
    <row r="296" spans="1:6" x14ac:dyDescent="0.15">
      <c r="A296">
        <f t="shared" si="4"/>
        <v>5030</v>
      </c>
      <c r="B296" s="7">
        <f>[2]远征副本等级难度系数控制!A296</f>
        <v>30</v>
      </c>
      <c r="C296" s="7">
        <f>[2]远征副本等级难度系数控制!B296</f>
        <v>5</v>
      </c>
      <c r="D296" s="7">
        <f ca="1">[2]远征副本等级难度系数控制!C296</f>
        <v>3.0265120612034342</v>
      </c>
      <c r="E296" s="7">
        <f ca="1">[2]远征副本等级难度系数控制!D296</f>
        <v>2.8880573029357315</v>
      </c>
      <c r="F296" s="7">
        <f ca="1">[2]远征副本等级难度系数控制!E296</f>
        <v>2.4909895461681182</v>
      </c>
    </row>
    <row r="297" spans="1:6" x14ac:dyDescent="0.15">
      <c r="A297">
        <f t="shared" si="4"/>
        <v>5031</v>
      </c>
      <c r="B297" s="7">
        <f>[2]远征副本等级难度系数控制!A297</f>
        <v>31</v>
      </c>
      <c r="C297" s="7">
        <f>[2]远征副本等级难度系数控制!B297</f>
        <v>5</v>
      </c>
      <c r="D297" s="7">
        <f ca="1">[2]远征副本等级难度系数控制!C297</f>
        <v>3.3695317344270128</v>
      </c>
      <c r="E297" s="7">
        <f ca="1">[2]远征副本等级难度系数控制!D297</f>
        <v>3.2052392989389573</v>
      </c>
      <c r="F297" s="7">
        <f ca="1">[2]远征副本等级难度系数控制!E297</f>
        <v>2.7213972107142856</v>
      </c>
    </row>
    <row r="298" spans="1:6" x14ac:dyDescent="0.15">
      <c r="A298">
        <f t="shared" si="4"/>
        <v>5032</v>
      </c>
      <c r="B298" s="7">
        <f>[2]远征副本等级难度系数控制!A298</f>
        <v>32</v>
      </c>
      <c r="C298" s="7">
        <f>[2]远征副本等级难度系数控制!B298</f>
        <v>5</v>
      </c>
      <c r="D298" s="7">
        <f ca="1">[2]远征副本等级难度系数控制!C298</f>
        <v>3.736134403677501</v>
      </c>
      <c r="E298" s="7">
        <f ca="1">[2]远征副本等级难度系数控制!D298</f>
        <v>3.5437905178032878</v>
      </c>
      <c r="F298" s="7">
        <f ca="1">[2]远征副本等级难度系数控制!E298</f>
        <v>2.9619607008325004</v>
      </c>
    </row>
    <row r="299" spans="1:6" x14ac:dyDescent="0.15">
      <c r="A299">
        <f t="shared" si="4"/>
        <v>5033</v>
      </c>
      <c r="B299" s="7">
        <f>[2]远征副本等级难度系数控制!A299</f>
        <v>33</v>
      </c>
      <c r="C299" s="7">
        <f>[2]远征副本等级难度系数控制!B299</f>
        <v>5</v>
      </c>
      <c r="D299" s="7">
        <f ca="1">[2]远征副本等级难度系数控制!C299</f>
        <v>4.1255219053527252</v>
      </c>
      <c r="E299" s="7">
        <f ca="1">[2]远征副本等级难度系数控制!D299</f>
        <v>3.9030291687753933</v>
      </c>
      <c r="F299" s="7">
        <f ca="1">[2]远征副本等级难度系数控制!E299</f>
        <v>3.2114633441290867</v>
      </c>
    </row>
    <row r="300" spans="1:6" x14ac:dyDescent="0.15">
      <c r="A300">
        <f t="shared" si="4"/>
        <v>5034</v>
      </c>
      <c r="B300" s="7">
        <f>[2]远征副本等级难度系数控制!A300</f>
        <v>34</v>
      </c>
      <c r="C300" s="7">
        <f>[2]远征副本等级难度系数控制!B300</f>
        <v>5</v>
      </c>
      <c r="D300" s="7">
        <f ca="1">[2]远征副本等级难度系数控制!C300</f>
        <v>4.538082335892768</v>
      </c>
      <c r="E300" s="7">
        <f ca="1">[2]远征副本等级难度系数控制!D300</f>
        <v>4.2834270427550107</v>
      </c>
      <c r="F300" s="7">
        <f ca="1">[2]远征副本等级难度系数控制!E300</f>
        <v>3.4696725503496499</v>
      </c>
    </row>
    <row r="301" spans="1:6" x14ac:dyDescent="0.15">
      <c r="A301">
        <f t="shared" si="4"/>
        <v>5035</v>
      </c>
      <c r="B301" s="7">
        <f>[2]远征副本等级难度系数控制!A301</f>
        <v>35</v>
      </c>
      <c r="C301" s="7">
        <f>[2]远征副本等级难度系数控制!B301</f>
        <v>5</v>
      </c>
      <c r="D301" s="7">
        <f ca="1">[2]远征副本等级难度系数控制!C301</f>
        <v>4.9741715657997148</v>
      </c>
      <c r="E301" s="7">
        <f ca="1">[2]远征副本等级难度系数控制!D301</f>
        <v>4.6854476569608421</v>
      </c>
      <c r="F301" s="7">
        <f ca="1">[2]远征副本等级难度系数控制!E301</f>
        <v>3.7363379560915271</v>
      </c>
    </row>
    <row r="302" spans="1:6" x14ac:dyDescent="0.15">
      <c r="A302">
        <f t="shared" si="4"/>
        <v>5036</v>
      </c>
      <c r="B302" s="7">
        <f>[2]远征副本等级难度系数控制!A302</f>
        <v>36</v>
      </c>
      <c r="C302" s="7">
        <f>[2]远征副本等级难度系数控制!B302</f>
        <v>5</v>
      </c>
      <c r="D302" s="7">
        <f ca="1">[2]远征副本等级难度系数控制!C302</f>
        <v>5.4341119881686373</v>
      </c>
      <c r="E302" s="7">
        <f ca="1">[2]远征副本等级难度系数控制!D302</f>
        <v>5.1095459383355912</v>
      </c>
      <c r="F302" s="7">
        <f ca="1">[2]远征副本等级难度系数控制!E302</f>
        <v>4.0111914248037674</v>
      </c>
    </row>
    <row r="303" spans="1:6" x14ac:dyDescent="0.15">
      <c r="A303">
        <f t="shared" si="4"/>
        <v>5037</v>
      </c>
      <c r="B303" s="7">
        <f>[2]远征副本等级难度系数控制!A303</f>
        <v>37</v>
      </c>
      <c r="C303" s="7">
        <f>[2]远征副本等级难度系数控制!B303</f>
        <v>5</v>
      </c>
      <c r="D303" s="7">
        <f ca="1">[2]远征副本等级难度系数控制!C303</f>
        <v>5.9181912644716714</v>
      </c>
      <c r="E303" s="7">
        <f ca="1">[2]远征副本等级难度系数控制!D303</f>
        <v>5.6117214510807587</v>
      </c>
      <c r="F303" s="7">
        <f ca="1">[2]远征副本等级难度系数控制!E303</f>
        <v>4.2939470467871415</v>
      </c>
    </row>
    <row r="304" spans="1:6" x14ac:dyDescent="0.15">
      <c r="A304">
        <f t="shared" si="4"/>
        <v>5038</v>
      </c>
      <c r="B304" s="7">
        <f>[2]远征副本等级难度系数控制!A304</f>
        <v>38</v>
      </c>
      <c r="C304" s="7">
        <f>[2]远征副本等级难度系数控制!B304</f>
        <v>5</v>
      </c>
      <c r="D304" s="7">
        <f ca="1">[2]远征副本等级难度系数控制!C304</f>
        <v>6.4266610681996923</v>
      </c>
      <c r="E304" s="7">
        <f ca="1">[2]远征副本等级难度系数控制!D304</f>
        <v>6.1465504124383461</v>
      </c>
      <c r="F304" s="7">
        <f ca="1">[2]远征副本等级难度系数控制!E304</f>
        <v>4.5843011391941397</v>
      </c>
    </row>
    <row r="305" spans="1:6" x14ac:dyDescent="0.15">
      <c r="A305">
        <f t="shared" si="4"/>
        <v>5039</v>
      </c>
      <c r="B305" s="7">
        <f>[2]远征副本等级难度系数控制!A305</f>
        <v>39</v>
      </c>
      <c r="C305" s="7">
        <f>[2]远征副本等级难度系数控制!B305</f>
        <v>5</v>
      </c>
      <c r="D305" s="7">
        <f ca="1">[2]远征副本等级难度系数控制!C305</f>
        <v>6.9597358268613378</v>
      </c>
      <c r="E305" s="7">
        <f ca="1">[2]远征副本等级难度系数控制!D305</f>
        <v>6.715206181661264</v>
      </c>
      <c r="F305" s="7">
        <f ca="1">[2]远征副本等级难度系数控制!E305</f>
        <v>4.8819322460289714</v>
      </c>
    </row>
    <row r="306" spans="1:6" x14ac:dyDescent="0.15">
      <c r="A306">
        <f t="shared" si="4"/>
        <v>5040</v>
      </c>
      <c r="B306" s="7">
        <f>[2]远征副本等级难度系数控制!A306</f>
        <v>40</v>
      </c>
      <c r="C306" s="7">
        <f>[2]远征副本等级难度系数控制!B306</f>
        <v>5</v>
      </c>
      <c r="D306" s="7">
        <f ca="1">[2]远征副本等级难度系数控制!C306</f>
        <v>7.5853175119679284</v>
      </c>
      <c r="E306" s="7">
        <f ca="1">[2]远征副本等级难度系数控制!D306</f>
        <v>7.3848036637746608</v>
      </c>
      <c r="F306" s="7">
        <f ca="1">[2]远征副本等级难度系数控制!E306</f>
        <v>5.2332263736263753</v>
      </c>
    </row>
    <row r="307" spans="1:6" x14ac:dyDescent="0.15">
      <c r="A307">
        <f t="shared" si="4"/>
        <v>5041</v>
      </c>
      <c r="B307" s="7">
        <f>[2]远征副本等级难度系数控制!A307</f>
        <v>41</v>
      </c>
      <c r="C307" s="7">
        <f>[2]远征副本等级难度系数控制!B307</f>
        <v>5</v>
      </c>
      <c r="D307" s="7">
        <f ca="1">[2]远征副本等级难度系数控制!C307</f>
        <v>8.2424757843041991</v>
      </c>
      <c r="E307" s="7">
        <f ca="1">[2]远征副本等级难度系数控制!D307</f>
        <v>8.0983457867810298</v>
      </c>
      <c r="F307" s="7">
        <f ca="1">[2]远征副本等级难度系数控制!E307</f>
        <v>5.5941008275252537</v>
      </c>
    </row>
    <row r="308" spans="1:6" x14ac:dyDescent="0.15">
      <c r="A308">
        <f t="shared" si="4"/>
        <v>5042</v>
      </c>
      <c r="B308" s="7">
        <f>[2]远征副本等级难度系数控制!A308</f>
        <v>42</v>
      </c>
      <c r="C308" s="7">
        <f>[2]远征副本等级难度系数控制!B308</f>
        <v>5</v>
      </c>
      <c r="D308" s="7">
        <f ca="1">[2]远征副本等级难度系数控制!C308</f>
        <v>8.9314348390676503</v>
      </c>
      <c r="E308" s="7">
        <f ca="1">[2]远征副本等级难度系数控制!D308</f>
        <v>8.857380723678558</v>
      </c>
      <c r="F308" s="7">
        <f ca="1">[2]远征副本等级难度系数控制!E308</f>
        <v>5.9641092265829432</v>
      </c>
    </row>
    <row r="309" spans="1:6" x14ac:dyDescent="0.15">
      <c r="A309">
        <f t="shared" si="4"/>
        <v>5043</v>
      </c>
      <c r="B309" s="7">
        <f>[2]远征副本等级难度系数控制!A309</f>
        <v>43</v>
      </c>
      <c r="C309" s="7">
        <f>[2]远征副本等级难度系数控制!B309</f>
        <v>5</v>
      </c>
      <c r="D309" s="7">
        <f ca="1">[2]远征副本等级难度系数控制!C309</f>
        <v>9.652365439389694</v>
      </c>
      <c r="E309" s="7">
        <f ca="1">[2]远征副本等级难度系数控制!D309</f>
        <v>9.663461324059778</v>
      </c>
      <c r="F309" s="7">
        <f ca="1">[2]远征副本等级难度系数控制!E309</f>
        <v>6.3427814921257317</v>
      </c>
    </row>
    <row r="310" spans="1:6" x14ac:dyDescent="0.15">
      <c r="A310">
        <f t="shared" si="4"/>
        <v>5044</v>
      </c>
      <c r="B310" s="7">
        <f>[2]远征副本等级难度系数控制!A310</f>
        <v>44</v>
      </c>
      <c r="C310" s="7">
        <f>[2]远征副本等级难度系数控制!B310</f>
        <v>5</v>
      </c>
      <c r="D310" s="7">
        <f ca="1">[2]远征副本等级难度系数控制!C310</f>
        <v>10.405383243994164</v>
      </c>
      <c r="E310" s="7">
        <f ca="1">[2]远征副本等级难度系数控制!D310</f>
        <v>10.518143023580853</v>
      </c>
      <c r="F310" s="7">
        <f ca="1">[2]远征副本等级难度系数控制!E310</f>
        <v>6.7296238479488766</v>
      </c>
    </row>
    <row r="311" spans="1:6" x14ac:dyDescent="0.15">
      <c r="A311">
        <f t="shared" si="4"/>
        <v>5045</v>
      </c>
      <c r="B311" s="7">
        <f>[2]远征副本等级难度系数控制!A311</f>
        <v>45</v>
      </c>
      <c r="C311" s="7">
        <f>[2]远征副本等级难度系数控制!B311</f>
        <v>5</v>
      </c>
      <c r="D311" s="7">
        <f ca="1">[2]远征副本等级难度系数控制!C311</f>
        <v>11.190547133536286</v>
      </c>
      <c r="E311" s="7">
        <f ca="1">[2]远征副本等级难度系数控制!D311</f>
        <v>11.42298165033621</v>
      </c>
      <c r="F311" s="7">
        <f ca="1">[2]远征副本等级难度系数控制!E311</f>
        <v>7.1241188203165882</v>
      </c>
    </row>
    <row r="312" spans="1:6" x14ac:dyDescent="0.15">
      <c r="A312">
        <f t="shared" si="4"/>
        <v>5046</v>
      </c>
      <c r="B312" s="7">
        <f>[2]远征副本等级难度系数控制!A312</f>
        <v>46</v>
      </c>
      <c r="C312" s="7">
        <f>[2]远征副本等级难度系数控制!B312</f>
        <v>5</v>
      </c>
      <c r="D312" s="7">
        <f ca="1">[2]远征副本等级难度系数控制!C312</f>
        <v>12.007857535984908</v>
      </c>
      <c r="E312" s="7">
        <f ca="1">[2]远征副本等级难度系数控制!D312</f>
        <v>12.379531122157887</v>
      </c>
      <c r="F312" s="7">
        <f ca="1">[2]远征副本等级难度系数控制!E312</f>
        <v>7.5257252379620398</v>
      </c>
    </row>
    <row r="313" spans="1:6" x14ac:dyDescent="0.15">
      <c r="A313">
        <f t="shared" si="4"/>
        <v>5047</v>
      </c>
      <c r="B313" s="7">
        <f>[2]远征副本等级难度系数控制!A313</f>
        <v>47</v>
      </c>
      <c r="C313" s="7">
        <f>[2]远征副本等级难度系数控制!B313</f>
        <v>5</v>
      </c>
      <c r="D313" s="7">
        <f ca="1">[2]远征副本等级难度系数控制!C313</f>
        <v>12.857254751353809</v>
      </c>
      <c r="E313" s="7">
        <f ca="1">[2]远征副本等级难度系数控制!D313</f>
        <v>13.389341028459137</v>
      </c>
      <c r="F313" s="7">
        <f ca="1">[2]远征副本等级难度系数控制!E313</f>
        <v>7.9338782320873582</v>
      </c>
    </row>
    <row r="314" spans="1:6" x14ac:dyDescent="0.15">
      <c r="A314">
        <f t="shared" si="4"/>
        <v>5048</v>
      </c>
      <c r="B314" s="7">
        <f>[2]远征副本等级难度系数控制!A314</f>
        <v>48</v>
      </c>
      <c r="C314" s="7">
        <f>[2]远征副本等级难度系数控制!B314</f>
        <v>5</v>
      </c>
      <c r="D314" s="7">
        <f ca="1">[2]远征副本等级难度系数控制!C314</f>
        <v>13.738617276040399</v>
      </c>
      <c r="E314" s="7">
        <f ca="1">[2]远征副本等级难度系数控制!D314</f>
        <v>14.453954089811678</v>
      </c>
      <c r="F314" s="7">
        <f ca="1">[2]远征副本等级难度系数控制!E314</f>
        <v>8.3479892363636381</v>
      </c>
    </row>
    <row r="315" spans="1:6" x14ac:dyDescent="0.15">
      <c r="A315">
        <f t="shared" si="4"/>
        <v>5049</v>
      </c>
      <c r="B315" s="7">
        <f>[2]远征副本等级难度系数控制!A315</f>
        <v>49</v>
      </c>
      <c r="C315" s="7">
        <f>[2]远征副本等级难度系数控制!B315</f>
        <v>5</v>
      </c>
      <c r="D315" s="7">
        <f ca="1">[2]远征副本等级难度系数控制!C315</f>
        <v>14.651760126989576</v>
      </c>
      <c r="E315" s="7">
        <f ca="1">[2]远征副本等级难度系数控制!D315</f>
        <v>15.57490348798299</v>
      </c>
      <c r="F315" s="7">
        <f ca="1">[2]远征副本等级难度系数控制!E315</f>
        <v>8.7674459869309285</v>
      </c>
    </row>
    <row r="316" spans="1:6" x14ac:dyDescent="0.15">
      <c r="A316">
        <f t="shared" si="4"/>
        <v>5050</v>
      </c>
      <c r="B316" s="7">
        <f>[2]远征副本等级难度系数控制!A316</f>
        <v>50</v>
      </c>
      <c r="C316" s="7">
        <f>[2]远征副本等级难度系数控制!B316</f>
        <v>5</v>
      </c>
      <c r="D316" s="7">
        <f ca="1">[2]远征副本等级难度系数控制!C316</f>
        <v>15.699041278800449</v>
      </c>
      <c r="E316" s="7">
        <f ca="1">[2]远征副本等级难度系数控制!D316</f>
        <v>16.863931835362955</v>
      </c>
      <c r="F316" s="7">
        <f ca="1">[2]远征副本等级难度系数控制!E316</f>
        <v>9.2520836574140137</v>
      </c>
    </row>
    <row r="317" spans="1:6" x14ac:dyDescent="0.15">
      <c r="A317">
        <f t="shared" si="4"/>
        <v>5051</v>
      </c>
      <c r="B317" s="7">
        <f>[2]远征副本等级难度系数控制!A317</f>
        <v>51</v>
      </c>
      <c r="C317" s="7">
        <f>[2]远征副本等级难度系数控制!B317</f>
        <v>5</v>
      </c>
      <c r="D317" s="7">
        <f ca="1">[2]远征副本等级难度系数控制!C317</f>
        <v>16.694329391226663</v>
      </c>
      <c r="E317" s="7">
        <f ca="1">[2]远征副本等级难度系数控制!D317</f>
        <v>18.355481630003489</v>
      </c>
      <c r="F317" s="7">
        <f ca="1">[2]远征副本等级难度系数控制!E317</f>
        <v>9.9087532993784002</v>
      </c>
    </row>
    <row r="318" spans="1:6" x14ac:dyDescent="0.15">
      <c r="A318">
        <f t="shared" si="4"/>
        <v>5052</v>
      </c>
      <c r="B318" s="7">
        <f>[2]远征副本等级难度系数控制!A318</f>
        <v>52</v>
      </c>
      <c r="C318" s="7">
        <f>[2]远征副本等级难度系数控制!B318</f>
        <v>5</v>
      </c>
      <c r="D318" s="7">
        <f ca="1">[2]远征副本等级难度系数控制!C318</f>
        <v>18.367836205844615</v>
      </c>
      <c r="E318" s="7">
        <f ca="1">[2]远征副本等级难度系数控制!D318</f>
        <v>19.945069478423662</v>
      </c>
      <c r="F318" s="7">
        <f ca="1">[2]远征副本等级难度系数控制!E318</f>
        <v>10.573785620950479</v>
      </c>
    </row>
    <row r="319" spans="1:6" x14ac:dyDescent="0.15">
      <c r="A319">
        <f t="shared" si="4"/>
        <v>5053</v>
      </c>
      <c r="B319" s="7">
        <f>[2]远征副本等级难度系数控制!A319</f>
        <v>53</v>
      </c>
      <c r="C319" s="7">
        <f>[2]远征副本等级难度系数控制!B319</f>
        <v>5</v>
      </c>
      <c r="D319" s="7">
        <f ca="1">[2]远征副本等级难度系数控制!C319</f>
        <v>19.81316488956422</v>
      </c>
      <c r="E319" s="7">
        <f ca="1">[2]远征副本等级难度系数控制!D319</f>
        <v>21.637593041357022</v>
      </c>
      <c r="F319" s="7">
        <f ca="1">[2]远征副本等级难度系数控制!E319</f>
        <v>11.275506397435898</v>
      </c>
    </row>
    <row r="320" spans="1:6" x14ac:dyDescent="0.15">
      <c r="A320">
        <f t="shared" si="4"/>
        <v>5054</v>
      </c>
      <c r="B320" s="7">
        <f>[2]远征副本等级难度系数控制!A320</f>
        <v>54</v>
      </c>
      <c r="C320" s="7">
        <f>[2]远征副本等级难度系数控制!B320</f>
        <v>5</v>
      </c>
      <c r="D320" s="7">
        <f ca="1">[2]远征副本等级难度系数控制!C320</f>
        <v>21.335637090425067</v>
      </c>
      <c r="E320" s="7">
        <f ca="1">[2]远征副本等级难度系数控制!D320</f>
        <v>23.438160547163392</v>
      </c>
      <c r="F320" s="7">
        <f ca="1">[2]远征副本等级难度系数控制!E320</f>
        <v>12.005099055246342</v>
      </c>
    </row>
    <row r="321" spans="1:6" x14ac:dyDescent="0.15">
      <c r="A321">
        <f t="shared" si="4"/>
        <v>5055</v>
      </c>
      <c r="B321" s="7">
        <f>[2]远征副本等级难度系数控制!A321</f>
        <v>55</v>
      </c>
      <c r="C321" s="7">
        <f>[2]远征副本等级难度系数控制!B321</f>
        <v>5</v>
      </c>
      <c r="D321" s="7">
        <f ca="1">[2]远征副本等级难度系数控制!C321</f>
        <v>22.937686428827643</v>
      </c>
      <c r="E321" s="7">
        <f ca="1">[2]远征副本等级难度系数控制!D321</f>
        <v>25.352100220230088</v>
      </c>
      <c r="F321" s="7">
        <f ca="1">[2]远征副本等级难度系数控制!E321</f>
        <v>12.76303260801698</v>
      </c>
    </row>
    <row r="322" spans="1:6" x14ac:dyDescent="0.15">
      <c r="A322">
        <f t="shared" si="4"/>
        <v>5056</v>
      </c>
      <c r="B322" s="7">
        <f>[2]远征副本等级难度系数控制!A322</f>
        <v>56</v>
      </c>
      <c r="C322" s="7">
        <f>[2]远征副本等级难度系数控制!B322</f>
        <v>5</v>
      </c>
      <c r="D322" s="7">
        <f ca="1">[2]远征副本等级难度系数控制!C322</f>
        <v>24.621779784981594</v>
      </c>
      <c r="E322" s="7">
        <f ca="1">[2]远征副本等级难度系数控制!D322</f>
        <v>27.384970220551534</v>
      </c>
      <c r="F322" s="7">
        <f ca="1">[2]远征副本等级难度系数控制!E322</f>
        <v>13.549776069383</v>
      </c>
    </row>
    <row r="323" spans="1:6" x14ac:dyDescent="0.15">
      <c r="A323">
        <f t="shared" ref="A323:A386" si="5">C323*1000+B323</f>
        <v>5057</v>
      </c>
      <c r="B323" s="7">
        <f>[2]远征副本等级难度系数控制!A323</f>
        <v>57</v>
      </c>
      <c r="C323" s="7">
        <f>[2]远征副本等级难度系数控制!B323</f>
        <v>5</v>
      </c>
      <c r="D323" s="7">
        <f ca="1">[2]远征副本等级难度系数控制!C323</f>
        <v>26.390417286583432</v>
      </c>
      <c r="E323" s="7">
        <f ca="1">[2]远征副本等级难度系数控制!D323</f>
        <v>29.542569127115442</v>
      </c>
      <c r="F323" s="7">
        <f ca="1">[2]远征副本等级难度系数控制!E323</f>
        <v>14.365798452979561</v>
      </c>
    </row>
    <row r="324" spans="1:6" x14ac:dyDescent="0.15">
      <c r="A324">
        <f t="shared" si="5"/>
        <v>5058</v>
      </c>
      <c r="B324" s="7">
        <f>[2]远征副本等级难度系数控制!A324</f>
        <v>58</v>
      </c>
      <c r="C324" s="7">
        <f>[2]远征副本等级难度系数控制!B324</f>
        <v>5</v>
      </c>
      <c r="D324" s="7">
        <f ca="1">[2]远征副本等级难度系数控制!C324</f>
        <v>28.246132296226452</v>
      </c>
      <c r="E324" s="7">
        <f ca="1">[2]远征副本等级难度系数控制!D324</f>
        <v>31.830947000126613</v>
      </c>
      <c r="F324" s="7">
        <f ca="1">[2]远征副本等级难度系数控制!E324</f>
        <v>15.211568772441845</v>
      </c>
    </row>
    <row r="325" spans="1:6" x14ac:dyDescent="0.15">
      <c r="A325">
        <f t="shared" si="5"/>
        <v>5059</v>
      </c>
      <c r="B325" s="7">
        <f>[2]远征副本等级难度系数控制!A325</f>
        <v>59</v>
      </c>
      <c r="C325" s="7">
        <f>[2]远征副本等级难度系数控制!B325</f>
        <v>5</v>
      </c>
      <c r="D325" s="7">
        <f ca="1">[2]远征副本等级难度系数控制!C325</f>
        <v>30.191491398599684</v>
      </c>
      <c r="E325" s="7">
        <f ca="1">[2]远征副本等级难度系数控制!D325</f>
        <v>34.256417059701107</v>
      </c>
      <c r="F325" s="7">
        <f ca="1">[2]远征副本等级难度系数控制!E325</f>
        <v>16.087556041405026</v>
      </c>
    </row>
    <row r="326" spans="1:6" x14ac:dyDescent="0.15">
      <c r="A326">
        <f t="shared" si="5"/>
        <v>5060</v>
      </c>
      <c r="B326" s="7">
        <f>[2]远征副本等级难度系数控制!A326</f>
        <v>60</v>
      </c>
      <c r="C326" s="7">
        <f>[2]远征副本等级难度系数控制!B326</f>
        <v>5</v>
      </c>
      <c r="D326" s="7">
        <f ca="1">[2]远征副本等级难度系数控制!C326</f>
        <v>32.3878583992865</v>
      </c>
      <c r="E326" s="7">
        <f ca="1">[2]远征副本等级难度系数控制!D326</f>
        <v>37.006974760509266</v>
      </c>
      <c r="F326" s="7">
        <f ca="1">[2]远征副本等级难度系数控制!E326</f>
        <v>17.077944688644696</v>
      </c>
    </row>
    <row r="327" spans="1:6" x14ac:dyDescent="0.15">
      <c r="A327">
        <f t="shared" si="5"/>
        <v>5061</v>
      </c>
      <c r="B327" s="7">
        <f>[2]远征副本等级难度系数控制!A327</f>
        <v>61</v>
      </c>
      <c r="C327" s="7">
        <f>[2]远征副本等级难度系数控制!B327</f>
        <v>5</v>
      </c>
      <c r="D327" s="7">
        <f ca="1">[2]远征副本等级难度系数控制!C327</f>
        <v>34.691974005309056</v>
      </c>
      <c r="E327" s="7">
        <f ca="1">[2]远征副本等级难度系数控制!D327</f>
        <v>39.925520182084497</v>
      </c>
      <c r="F327" s="7">
        <f ca="1">[2]远征副本等级难度系数控制!E327</f>
        <v>18.104481112012987</v>
      </c>
    </row>
    <row r="328" spans="1:6" x14ac:dyDescent="0.15">
      <c r="A328">
        <f t="shared" si="5"/>
        <v>5062</v>
      </c>
      <c r="B328" s="7">
        <f>[2]远征副本等级难度系数控制!A328</f>
        <v>62</v>
      </c>
      <c r="C328" s="7">
        <f>[2]远征副本等级难度系数控制!B328</f>
        <v>5</v>
      </c>
      <c r="D328" s="7">
        <f ca="1">[2]远征副本等级难度系数控制!C328</f>
        <v>37.106971775412404</v>
      </c>
      <c r="E328" s="7">
        <f ca="1">[2]远征副本等级难度系数控制!D328</f>
        <v>43.020227109939746</v>
      </c>
      <c r="F328" s="7">
        <f ca="1">[2]远征副本等级难度系数控制!E328</f>
        <v>19.167728127872131</v>
      </c>
    </row>
    <row r="329" spans="1:6" x14ac:dyDescent="0.15">
      <c r="A329">
        <f t="shared" si="5"/>
        <v>5063</v>
      </c>
      <c r="B329" s="7">
        <f>[2]远征副本等级难度系数控制!A329</f>
        <v>63</v>
      </c>
      <c r="C329" s="7">
        <f>[2]远征副本等级难度系数控制!B329</f>
        <v>5</v>
      </c>
      <c r="D329" s="7">
        <f ca="1">[2]远征副本等级难度系数控制!C329</f>
        <v>39.636025087792035</v>
      </c>
      <c r="E329" s="7">
        <f ca="1">[2]远征副本等级难度系数控制!D329</f>
        <v>46.299632562195143</v>
      </c>
      <c r="F329" s="7">
        <f ca="1">[2]远征副本等级难度系数控制!E329</f>
        <v>20.268248552584321</v>
      </c>
    </row>
    <row r="330" spans="1:6" x14ac:dyDescent="0.15">
      <c r="A330">
        <f t="shared" si="5"/>
        <v>5064</v>
      </c>
      <c r="B330" s="7">
        <f>[2]远征副本等级难度系数控制!A330</f>
        <v>64</v>
      </c>
      <c r="C330" s="7">
        <f>[2]远征副本等级难度系数控制!B330</f>
        <v>5</v>
      </c>
      <c r="D330" s="7">
        <f ca="1">[2]远征副本等级难度系数控制!C330</f>
        <v>42.282347124790768</v>
      </c>
      <c r="E330" s="7">
        <f ca="1">[2]远征副本等级难度系数控制!D330</f>
        <v>49.772654479477652</v>
      </c>
      <c r="F330" s="7">
        <f ca="1">[2]远征副本等级难度系数控制!E330</f>
        <v>21.406605202511781</v>
      </c>
    </row>
    <row r="331" spans="1:6" x14ac:dyDescent="0.15">
      <c r="A331">
        <f t="shared" si="5"/>
        <v>5065</v>
      </c>
      <c r="B331" s="7">
        <f>[2]远征副本等级难度系数控制!A331</f>
        <v>65</v>
      </c>
      <c r="C331" s="7">
        <f>[2]远征副本等级难度系数控制!B331</f>
        <v>5</v>
      </c>
      <c r="D331" s="7">
        <f ca="1">[2]远征副本等级难度系数控制!C331</f>
        <v>45.049190857524657</v>
      </c>
      <c r="E331" s="7">
        <f ca="1">[2]远征副本等级难度系数控制!D331</f>
        <v>53.448610458814869</v>
      </c>
      <c r="F331" s="7">
        <f ca="1">[2]远征副本等级难度系数控制!E331</f>
        <v>22.5833608940167</v>
      </c>
    </row>
    <row r="332" spans="1:6" x14ac:dyDescent="0.15">
      <c r="A332">
        <f t="shared" si="5"/>
        <v>5066</v>
      </c>
      <c r="B332" s="7">
        <f>[2]远征副本等级难度系数控制!A332</f>
        <v>66</v>
      </c>
      <c r="C332" s="7">
        <f>[2]远征副本等级难度系数控制!B332</f>
        <v>5</v>
      </c>
      <c r="D332" s="7">
        <f ca="1">[2]远征副本等级难度系数控制!C332</f>
        <v>47.939849030470953</v>
      </c>
      <c r="E332" s="7">
        <f ca="1">[2]远征副本等级难度系数控制!D332</f>
        <v>57.337237604118563</v>
      </c>
      <c r="F332" s="7">
        <f ca="1">[2]远征副本等级难度系数控制!E332</f>
        <v>23.799078443461312</v>
      </c>
    </row>
    <row r="333" spans="1:6" x14ac:dyDescent="0.15">
      <c r="A333">
        <f t="shared" si="5"/>
        <v>5067</v>
      </c>
      <c r="B333" s="7">
        <f>[2]远征副本等级难度系数控制!A333</f>
        <v>67</v>
      </c>
      <c r="C333" s="7">
        <f>[2]远征副本等级难度系数控制!B333</f>
        <v>5</v>
      </c>
      <c r="D333" s="7">
        <f ca="1">[2]远征副本等级难度系数控制!C333</f>
        <v>50.957654146047425</v>
      </c>
      <c r="E333" s="7">
        <f ca="1">[2]远征副本等级难度系数控制!D333</f>
        <v>60.931317657981204</v>
      </c>
      <c r="F333" s="7">
        <f ca="1">[2]远征副本等级难度系数控制!E333</f>
        <v>25.054320667207801</v>
      </c>
    </row>
    <row r="334" spans="1:6" x14ac:dyDescent="0.15">
      <c r="A334">
        <f t="shared" si="5"/>
        <v>5068</v>
      </c>
      <c r="B334" s="7">
        <f>[2]远征副本等级难度系数控制!A334</f>
        <v>68</v>
      </c>
      <c r="C334" s="7">
        <f>[2]远征副本等级难度系数控制!B334</f>
        <v>5</v>
      </c>
      <c r="D334" s="7">
        <f ca="1">[2]远征副本等级难度系数控制!C334</f>
        <v>54.105978449208763</v>
      </c>
      <c r="E334" s="7">
        <f ca="1">[2]远征副本等级难度系数控制!D334</f>
        <v>64.690171137659974</v>
      </c>
      <c r="F334" s="7">
        <f ca="1">[2]远征副本等级难度系数控制!E334</f>
        <v>26.3496503816184</v>
      </c>
    </row>
    <row r="335" spans="1:6" x14ac:dyDescent="0.15">
      <c r="A335">
        <f t="shared" si="5"/>
        <v>5069</v>
      </c>
      <c r="B335" s="7">
        <f>[2]远征副本等级难度系数控制!A335</f>
        <v>69</v>
      </c>
      <c r="C335" s="7">
        <f>[2]远征副本等级难度系数控制!B335</f>
        <v>5</v>
      </c>
      <c r="D335" s="7">
        <f ca="1">[2]远征副本等级难度系数控制!C335</f>
        <v>57.388233912081937</v>
      </c>
      <c r="E335" s="7">
        <f ca="1">[2]远征副本等级难度系数控制!D335</f>
        <v>68.619713185921412</v>
      </c>
      <c r="F335" s="7">
        <f ca="1">[2]远征副本等级难度系数控制!E335</f>
        <v>27.685630403055296</v>
      </c>
    </row>
    <row r="336" spans="1:6" x14ac:dyDescent="0.15">
      <c r="A336">
        <f t="shared" si="5"/>
        <v>5070</v>
      </c>
      <c r="B336" s="7">
        <f>[2]远征副本等级难度系数控制!A336</f>
        <v>70</v>
      </c>
      <c r="C336" s="7">
        <f>[2]远征副本等级难度系数控制!B336</f>
        <v>5</v>
      </c>
      <c r="D336" s="7">
        <f ca="1">[2]远征副本等级难度系数控制!C336</f>
        <v>61.038205067972626</v>
      </c>
      <c r="E336" s="7">
        <f ca="1">[2]远征副本等级难度系数控制!D336</f>
        <v>73.001563143980221</v>
      </c>
      <c r="F336" s="7">
        <f ca="1">[2]远征副本等级难度系数控制!E336</f>
        <v>29.172910000713586</v>
      </c>
    </row>
    <row r="337" spans="1:6" x14ac:dyDescent="0.15">
      <c r="A337">
        <f t="shared" si="5"/>
        <v>5071</v>
      </c>
      <c r="B337" s="7">
        <f>[2]远征副本等级难度系数控制!A337</f>
        <v>71</v>
      </c>
      <c r="C337" s="7">
        <f>[2]远征副本等级难度系数控制!B337</f>
        <v>5</v>
      </c>
      <c r="D337" s="7">
        <f ca="1">[2]远征副本等级难度系数控制!C337</f>
        <v>64.845187599564966</v>
      </c>
      <c r="E337" s="7">
        <f ca="1">[2]远征副本等级难度系数控制!D337</f>
        <v>77.58615484361772</v>
      </c>
      <c r="F337" s="7">
        <f ca="1">[2]远征副本等级难度系数控制!E337</f>
        <v>30.707583688993559</v>
      </c>
    </row>
    <row r="338" spans="1:6" x14ac:dyDescent="0.15">
      <c r="A338">
        <f t="shared" si="5"/>
        <v>5072</v>
      </c>
      <c r="B338" s="7">
        <f>[2]远征副本等级难度系数控制!A338</f>
        <v>72</v>
      </c>
      <c r="C338" s="7">
        <f>[2]远征副本等级难度系数控制!B338</f>
        <v>5</v>
      </c>
      <c r="D338" s="7">
        <f ca="1">[2]远征副本等级难度系数控制!C338</f>
        <v>68.813229768740968</v>
      </c>
      <c r="E338" s="7">
        <f ca="1">[2]远征副本等级难度系数控制!D338</f>
        <v>82.380909233755332</v>
      </c>
      <c r="F338" s="7">
        <f ca="1">[2]远征副本等级难度系数控制!E338</f>
        <v>32.290308086984453</v>
      </c>
    </row>
    <row r="339" spans="1:6" x14ac:dyDescent="0.15">
      <c r="A339">
        <f t="shared" si="5"/>
        <v>5073</v>
      </c>
      <c r="B339" s="7">
        <f>[2]远征副本等级难度系数控制!A339</f>
        <v>73</v>
      </c>
      <c r="C339" s="7">
        <f>[2]远征副本等级难度系数控制!B339</f>
        <v>5</v>
      </c>
      <c r="D339" s="7">
        <f ca="1">[2]远征副本等级难度系数控制!C339</f>
        <v>72.946426135465202</v>
      </c>
      <c r="E339" s="7">
        <f ca="1">[2]远征副本等级难度系数控制!D339</f>
        <v>87.39354230349069</v>
      </c>
      <c r="F339" s="7">
        <f ca="1">[2]远征副本等级难度系数控制!E339</f>
        <v>33.921739813775524</v>
      </c>
    </row>
    <row r="340" spans="1:6" x14ac:dyDescent="0.15">
      <c r="A340">
        <f t="shared" si="5"/>
        <v>5074</v>
      </c>
      <c r="B340" s="7">
        <f>[2]远征副本等级难度系数控制!A340</f>
        <v>74</v>
      </c>
      <c r="C340" s="7">
        <f>[2]远征副本等级难度系数控制!B340</f>
        <v>5</v>
      </c>
      <c r="D340" s="7">
        <f ca="1">[2]远征副本等级难度系数控制!C340</f>
        <v>77.248917540456929</v>
      </c>
      <c r="E340" s="7">
        <f ca="1">[2]远征副本等级难度系数控制!D340</f>
        <v>92.632081001531915</v>
      </c>
      <c r="F340" s="7">
        <f ca="1">[2]远征副本等级难度系数控制!E340</f>
        <v>35.602535488455999</v>
      </c>
    </row>
    <row r="341" spans="1:6" x14ac:dyDescent="0.15">
      <c r="A341">
        <f t="shared" si="5"/>
        <v>5075</v>
      </c>
      <c r="B341" s="7">
        <f>[2]远征副本等级难度系数控制!A341</f>
        <v>75</v>
      </c>
      <c r="C341" s="7">
        <f>[2]远征副本等级难度系数控制!B341</f>
        <v>5</v>
      </c>
      <c r="D341" s="7">
        <f ca="1">[2]远征副本等级难度系数控制!C341</f>
        <v>81.724891087975323</v>
      </c>
      <c r="E341" s="7">
        <f ca="1">[2]远征副本等级难度系数控制!D341</f>
        <v>98.104880197630649</v>
      </c>
      <c r="F341" s="7">
        <f ca="1">[2]远征副本等级难度系数控制!E341</f>
        <v>37.333351730115147</v>
      </c>
    </row>
    <row r="342" spans="1:6" x14ac:dyDescent="0.15">
      <c r="A342">
        <f t="shared" si="5"/>
        <v>5076</v>
      </c>
      <c r="B342" s="7">
        <f>[2]远征副本等级难度系数控制!A342</f>
        <v>76</v>
      </c>
      <c r="C342" s="7">
        <f>[2]远征副本等级难度系数控制!B342</f>
        <v>5</v>
      </c>
      <c r="D342" s="7">
        <f ca="1">[2]远征副本等级难度系数控制!C342</f>
        <v>86.378580128730746</v>
      </c>
      <c r="E342" s="7">
        <f ca="1">[2]远征副本等级难度系数控制!D342</f>
        <v>103.8206407664632</v>
      </c>
      <c r="F342" s="7">
        <f ca="1">[2]远征副本等级难度系数控制!E342</f>
        <v>39.114845157842169</v>
      </c>
    </row>
    <row r="343" spans="1:6" x14ac:dyDescent="0.15">
      <c r="A343">
        <f t="shared" si="5"/>
        <v>5077</v>
      </c>
      <c r="B343" s="7">
        <f>[2]远征副本等级难度系数控制!A343</f>
        <v>77</v>
      </c>
      <c r="C343" s="7">
        <f>[2]远征副本等级难度系数控制!B343</f>
        <v>5</v>
      </c>
      <c r="D343" s="7">
        <f ca="1">[2]远征副本等级难度系数控制!C343</f>
        <v>91.214264242931264</v>
      </c>
      <c r="E343" s="7">
        <f ca="1">[2]远征副本等级难度系数控制!D343</f>
        <v>109.78842888158552</v>
      </c>
      <c r="F343" s="7">
        <f ca="1">[2]远征副本等级难度系数控制!E343</f>
        <v>40.947672390726339</v>
      </c>
    </row>
    <row r="344" spans="1:6" x14ac:dyDescent="0.15">
      <c r="A344">
        <f t="shared" si="5"/>
        <v>5078</v>
      </c>
      <c r="B344" s="7">
        <f>[2]远征副本等级难度系数控制!A344</f>
        <v>78</v>
      </c>
      <c r="C344" s="7">
        <f>[2]远征副本等级难度系数控制!B344</f>
        <v>5</v>
      </c>
      <c r="D344" s="7">
        <f ca="1">[2]远征副本等级难度系数控制!C344</f>
        <v>96.236269223474281</v>
      </c>
      <c r="E344" s="7">
        <f ca="1">[2]远征副本等级难度系数控制!D344</f>
        <v>116.01769661499407</v>
      </c>
      <c r="F344" s="7">
        <f ca="1">[2]远征副本等级难度系数控制!E344</f>
        <v>42.832490047856901</v>
      </c>
    </row>
    <row r="345" spans="1:6" x14ac:dyDescent="0.15">
      <c r="A345">
        <f t="shared" si="5"/>
        <v>5079</v>
      </c>
      <c r="B345" s="7">
        <f>[2]远征副本等级难度系数控制!A345</f>
        <v>79</v>
      </c>
      <c r="C345" s="7">
        <f>[2]远征副本等级难度系数控制!B345</f>
        <v>5</v>
      </c>
      <c r="D345" s="7">
        <f ca="1">[2]远征副本等级难度系数控制!C345</f>
        <v>101.44896705929044</v>
      </c>
      <c r="E345" s="7">
        <f ca="1">[2]远征副本等级难度系数控制!D345</f>
        <v>122.51830394654247</v>
      </c>
      <c r="F345" s="7">
        <f ca="1">[2]远征副本等级难度系数控制!E345</f>
        <v>44.769954748323123</v>
      </c>
    </row>
    <row r="346" spans="1:6" x14ac:dyDescent="0.15">
      <c r="A346">
        <f t="shared" si="5"/>
        <v>5080</v>
      </c>
      <c r="B346" s="7">
        <f>[2]远征副本等级难度系数控制!A346</f>
        <v>80</v>
      </c>
      <c r="C346" s="7">
        <f>[2]远征副本等级难度系数控制!B346</f>
        <v>5</v>
      </c>
      <c r="D346" s="7">
        <f ca="1">[2]远征副本等级难度系数控制!C346</f>
        <v>107.17575136934927</v>
      </c>
      <c r="E346" s="7">
        <f ca="1">[2]远征副本等级难度系数控制!D346</f>
        <v>129.68651406513814</v>
      </c>
      <c r="F346" s="7">
        <f ca="1">[2]远征副本等级难度系数控制!E346</f>
        <v>46.900307359307348</v>
      </c>
    </row>
    <row r="347" spans="1:6" x14ac:dyDescent="0.15">
      <c r="A347">
        <f t="shared" si="5"/>
        <v>5081</v>
      </c>
      <c r="B347" s="7">
        <f>[2]远征副本等级难度系数控制!A347</f>
        <v>81</v>
      </c>
      <c r="C347" s="7">
        <f>[2]远征副本等级难度系数控制!B347</f>
        <v>5</v>
      </c>
      <c r="D347" s="7">
        <f ca="1">[2]远征副本等级难度系数控制!C347</f>
        <v>113.12184528078676</v>
      </c>
      <c r="E347" s="7">
        <f ca="1">[2]远征副本等级难度系数控制!D347</f>
        <v>155.71401437603362</v>
      </c>
      <c r="F347" s="7">
        <f ca="1">[2]远征副本等级难度系数控制!E347</f>
        <v>49.090863754190266</v>
      </c>
    </row>
    <row r="348" spans="1:6" x14ac:dyDescent="0.15">
      <c r="A348">
        <f t="shared" si="5"/>
        <v>5082</v>
      </c>
      <c r="B348" s="7">
        <f>[2]远征副本等级难度系数控制!A348</f>
        <v>82</v>
      </c>
      <c r="C348" s="7">
        <f>[2]远征副本等级难度系数控制!B348</f>
        <v>5</v>
      </c>
      <c r="D348" s="7">
        <f ca="1">[2]远征副本等级难度系数控制!C348</f>
        <v>119.29232614432998</v>
      </c>
      <c r="E348" s="7">
        <f ca="1">[2]远征副本等级难度系数控制!D348</f>
        <v>165.97861501513222</v>
      </c>
      <c r="F348" s="7">
        <f ca="1">[2]远征副本等级难度系数控制!E348</f>
        <v>51.34237435478807</v>
      </c>
    </row>
    <row r="349" spans="1:6" x14ac:dyDescent="0.15">
      <c r="A349">
        <f t="shared" si="5"/>
        <v>5083</v>
      </c>
      <c r="B349" s="7">
        <f>[2]远征副本等级难度系数控制!A349</f>
        <v>83</v>
      </c>
      <c r="C349" s="7">
        <f>[2]远征副本等级难度系数控制!B349</f>
        <v>5</v>
      </c>
      <c r="D349" s="7">
        <f ca="1">[2]远征副本等级难度系数控制!C349</f>
        <v>125.69232405416852</v>
      </c>
      <c r="E349" s="7">
        <f ca="1">[2]远征副本等级难度系数控制!D349</f>
        <v>176.80053067127213</v>
      </c>
      <c r="F349" s="7">
        <f ca="1">[2]远征副本等级难度系数控制!E349</f>
        <v>53.655589582917088</v>
      </c>
    </row>
    <row r="350" spans="1:6" x14ac:dyDescent="0.15">
      <c r="A350">
        <f t="shared" si="5"/>
        <v>5084</v>
      </c>
      <c r="B350" s="7">
        <f>[2]远征副本等级难度系数控制!A350</f>
        <v>84</v>
      </c>
      <c r="C350" s="7">
        <f>[2]远征副本等级难度系数控制!B350</f>
        <v>5</v>
      </c>
      <c r="D350" s="7">
        <f ca="1">[2]远征副本等级难度系数控制!C350</f>
        <v>132.32702182976914</v>
      </c>
      <c r="E350" s="7">
        <f ca="1">[2]远征副本等级难度系数控制!D350</f>
        <v>188.20717679557109</v>
      </c>
      <c r="F350" s="7">
        <f ca="1">[2]远征副本等级难度系数控制!E350</f>
        <v>56.031259860393583</v>
      </c>
    </row>
    <row r="351" spans="1:6" x14ac:dyDescent="0.15">
      <c r="A351">
        <f t="shared" si="5"/>
        <v>5085</v>
      </c>
      <c r="B351" s="7">
        <f>[2]远征副本等级难度系数控制!A351</f>
        <v>85</v>
      </c>
      <c r="C351" s="7">
        <f>[2]远征副本等级难度系数控制!B351</f>
        <v>5</v>
      </c>
      <c r="D351" s="7">
        <f ca="1">[2]远征副本等级难度系数控制!C351</f>
        <v>139.20165499788169</v>
      </c>
      <c r="E351" s="7">
        <f ca="1">[2]远征副本等级难度系数控制!D351</f>
        <v>200.22739261588021</v>
      </c>
      <c r="F351" s="7">
        <f ca="1">[2]远征副本等级难度系数控制!E351</f>
        <v>58.470135609033811</v>
      </c>
    </row>
    <row r="352" spans="1:6" x14ac:dyDescent="0.15">
      <c r="A352">
        <f t="shared" si="5"/>
        <v>5086</v>
      </c>
      <c r="B352" s="7">
        <f>[2]远征副本等级难度系数控制!A352</f>
        <v>86</v>
      </c>
      <c r="C352" s="7">
        <f>[2]远征副本等级难度系数控制!B352</f>
        <v>5</v>
      </c>
      <c r="D352" s="7">
        <f ca="1">[2]远征副本等级难度系数控制!C352</f>
        <v>146.32151177473926</v>
      </c>
      <c r="E352" s="7">
        <f ca="1">[2]远征副本等级难度系数控制!D352</f>
        <v>212.89152938740807</v>
      </c>
      <c r="F352" s="7">
        <f ca="1">[2]远征副本等级难度系数控制!E352</f>
        <v>60.972967250654101</v>
      </c>
    </row>
    <row r="353" spans="1:6" x14ac:dyDescent="0.15">
      <c r="A353">
        <f t="shared" si="5"/>
        <v>5087</v>
      </c>
      <c r="B353" s="7">
        <f>[2]远征副本等级难度系数控制!A353</f>
        <v>87</v>
      </c>
      <c r="C353" s="7">
        <f>[2]远征副本等级难度系数控制!B353</f>
        <v>5</v>
      </c>
      <c r="D353" s="7">
        <f ca="1">[2]远征副本等级难度系数控制!C353</f>
        <v>153.69193304845504</v>
      </c>
      <c r="E353" s="7">
        <f ca="1">[2]远征副本等级难度系数控制!D353</f>
        <v>226.23154528983446</v>
      </c>
      <c r="F353" s="7">
        <f ca="1">[2]远征副本等级难度系数控制!E353</f>
        <v>63.540505207070694</v>
      </c>
    </row>
    <row r="354" spans="1:6" x14ac:dyDescent="0.15">
      <c r="A354">
        <f t="shared" si="5"/>
        <v>5088</v>
      </c>
      <c r="B354" s="7">
        <f>[2]远征副本等级难度系数控制!A354</f>
        <v>88</v>
      </c>
      <c r="C354" s="7">
        <f>[2]远征副本等级难度系数控制!B354</f>
        <v>5</v>
      </c>
      <c r="D354" s="7">
        <f ca="1">[2]远征副本等级难度系数控制!C354</f>
        <v>161.31831236161827</v>
      </c>
      <c r="E354" s="7">
        <f ca="1">[2]远征副本等级难度系数控制!D354</f>
        <v>240.28110756234122</v>
      </c>
      <c r="F354" s="7">
        <f ca="1">[2]远征副本等级难度系数控制!E354</f>
        <v>66.17349990009987</v>
      </c>
    </row>
    <row r="355" spans="1:6" x14ac:dyDescent="0.15">
      <c r="A355">
        <f t="shared" si="5"/>
        <v>5089</v>
      </c>
      <c r="B355" s="7">
        <f>[2]远征副本等级难度系数控制!A355</f>
        <v>89</v>
      </c>
      <c r="C355" s="7">
        <f>[2]远征副本等级难度系数控制!B355</f>
        <v>5</v>
      </c>
      <c r="D355" s="7">
        <f ca="1">[2]远征副本等级难度系数控制!C355</f>
        <v>169.20609589408826</v>
      </c>
      <c r="E355" s="7">
        <f ca="1">[2]远征副本等级难度系数控制!D355</f>
        <v>255.07570252890127</v>
      </c>
      <c r="F355" s="7">
        <f ca="1">[2]远征副本等级难度系数控制!E355</f>
        <v>68.872701751557926</v>
      </c>
    </row>
    <row r="356" spans="1:6" x14ac:dyDescent="0.15">
      <c r="A356">
        <f t="shared" si="5"/>
        <v>5090</v>
      </c>
      <c r="B356" s="7">
        <f>[2]远征副本等级难度系数控制!A356</f>
        <v>90</v>
      </c>
      <c r="C356" s="7">
        <f>[2]远征副本等级难度系数控制!B356</f>
        <v>5</v>
      </c>
      <c r="D356" s="7">
        <f ca="1">[2]远征副本等级难度系数控制!C356</f>
        <v>177.36078244598954</v>
      </c>
      <c r="E356" s="7">
        <f ca="1">[2]远征副本等级难度系数控制!D356</f>
        <v>270.65275423424396</v>
      </c>
      <c r="F356" s="7">
        <f ca="1">[2]远征副本等级难度系数控制!E356</f>
        <v>71.638861183261142</v>
      </c>
    </row>
    <row r="357" spans="1:6" x14ac:dyDescent="0.15">
      <c r="A357">
        <f t="shared" si="5"/>
        <v>6020</v>
      </c>
      <c r="B357" s="7">
        <f>[2]远征副本等级难度系数控制!A357</f>
        <v>20</v>
      </c>
      <c r="C357" s="7">
        <f>[2]远征副本等级难度系数控制!B357</f>
        <v>6</v>
      </c>
      <c r="D357" s="7">
        <f ca="1">[2]远征副本等级难度系数控制!C357</f>
        <v>1</v>
      </c>
      <c r="E357" s="7">
        <f ca="1">[2]远征副本等级难度系数控制!D357</f>
        <v>1</v>
      </c>
      <c r="F357" s="7">
        <f ca="1">[2]远征副本等级难度系数控制!E357</f>
        <v>1</v>
      </c>
    </row>
    <row r="358" spans="1:6" x14ac:dyDescent="0.15">
      <c r="A358">
        <f t="shared" si="5"/>
        <v>6021</v>
      </c>
      <c r="B358" s="7">
        <f>[2]远征副本等级难度系数控制!A358</f>
        <v>21</v>
      </c>
      <c r="C358" s="7">
        <f>[2]远征副本等级难度系数控制!B358</f>
        <v>6</v>
      </c>
      <c r="D358" s="7">
        <f ca="1">[2]远征副本等级难度系数控制!C358</f>
        <v>1.117596838754978</v>
      </c>
      <c r="E358" s="7">
        <f ca="1">[2]远征副本等级难度系数控制!D358</f>
        <v>1.1095204807543111</v>
      </c>
      <c r="F358" s="7">
        <f ca="1">[2]远征副本等级难度系数控制!E358</f>
        <v>1.0931717687074829</v>
      </c>
    </row>
    <row r="359" spans="1:6" x14ac:dyDescent="0.15">
      <c r="A359">
        <f t="shared" si="5"/>
        <v>6022</v>
      </c>
      <c r="B359" s="7">
        <f>[2]远征副本等级难度系数控制!A359</f>
        <v>22</v>
      </c>
      <c r="C359" s="7">
        <f>[2]远征副本等级难度系数控制!B359</f>
        <v>6</v>
      </c>
      <c r="D359" s="7">
        <f ca="1">[2]远征副本等级难度系数控制!C359</f>
        <v>1.2431201966962262</v>
      </c>
      <c r="E359" s="7">
        <f ca="1">[2]远征副本等级难度系数控制!D359</f>
        <v>1.22604988148337</v>
      </c>
      <c r="F359" s="7">
        <f ca="1">[2]远征副本等级难度系数控制!E359</f>
        <v>1.1902040816326529</v>
      </c>
    </row>
    <row r="360" spans="1:6" x14ac:dyDescent="0.15">
      <c r="A360">
        <f t="shared" si="5"/>
        <v>6023</v>
      </c>
      <c r="B360" s="7">
        <f>[2]远征副本等级难度系数控制!A360</f>
        <v>23</v>
      </c>
      <c r="C360" s="7">
        <f>[2]远征副本等级难度系数控制!B360</f>
        <v>6</v>
      </c>
      <c r="D360" s="7">
        <f ca="1">[2]远征副本等级难度系数控制!C360</f>
        <v>1.4024517884049481</v>
      </c>
      <c r="E360" s="7">
        <f ca="1">[2]远征副本等级难度系数控制!D360</f>
        <v>1.374995739522912</v>
      </c>
      <c r="F360" s="7">
        <f ca="1">[2]远征副本等级难度系数控制!E360</f>
        <v>1.31516810570382</v>
      </c>
    </row>
    <row r="361" spans="1:6" x14ac:dyDescent="0.15">
      <c r="A361">
        <f t="shared" si="5"/>
        <v>6024</v>
      </c>
      <c r="B361" s="7">
        <f>[2]远征副本等级难度系数控制!A361</f>
        <v>24</v>
      </c>
      <c r="C361" s="7">
        <f>[2]远征副本等级难度系数控制!B361</f>
        <v>6</v>
      </c>
      <c r="D361" s="7">
        <f ca="1">[2]远征副本等级难度系数控制!C361</f>
        <v>1.5727679083562145</v>
      </c>
      <c r="E361" s="7">
        <f ca="1">[2]远征副本等级难度系数控制!D361</f>
        <v>1.533738445309383</v>
      </c>
      <c r="F361" s="7">
        <f ca="1">[2]远征副本等级难度系数控制!E361</f>
        <v>1.4454515325943891</v>
      </c>
    </row>
    <row r="362" spans="1:6" x14ac:dyDescent="0.15">
      <c r="A362">
        <f t="shared" si="5"/>
        <v>6025</v>
      </c>
      <c r="B362" s="7">
        <f>[2]远征副本等级难度系数控制!A362</f>
        <v>25</v>
      </c>
      <c r="C362" s="7">
        <f>[2]远征副本等级难度系数控制!B362</f>
        <v>6</v>
      </c>
      <c r="D362" s="7">
        <f ca="1">[2]远征副本等级难度系数控制!C362</f>
        <v>1.7543614190545793</v>
      </c>
      <c r="E362" s="7">
        <f ca="1">[2]远征副本等级难度系数控制!D362</f>
        <v>1.7026182137524801</v>
      </c>
      <c r="F362" s="7">
        <f ca="1">[2]远征副本等级难度系数控制!E362</f>
        <v>1.5810543623043622</v>
      </c>
    </row>
    <row r="363" spans="1:6" x14ac:dyDescent="0.15">
      <c r="A363">
        <f t="shared" si="5"/>
        <v>6026</v>
      </c>
      <c r="B363" s="7">
        <f>[2]远征副本等级难度系数控制!A363</f>
        <v>26</v>
      </c>
      <c r="C363" s="7">
        <f>[2]远征副本等级难度系数控制!B363</f>
        <v>6</v>
      </c>
      <c r="D363" s="7">
        <f ca="1">[2]远征副本等级难度系数控制!C363</f>
        <v>1.9722337866077222</v>
      </c>
      <c r="E363" s="7">
        <f ca="1">[2]远征副本等级难度系数控制!D363</f>
        <v>1.9058629331394403</v>
      </c>
      <c r="F363" s="7">
        <f ca="1">[2]远征副本等级难度系数控制!E363</f>
        <v>1.7438244612530325</v>
      </c>
    </row>
    <row r="364" spans="1:6" x14ac:dyDescent="0.15">
      <c r="A364">
        <f t="shared" si="5"/>
        <v>6027</v>
      </c>
      <c r="B364" s="7">
        <f>[2]远征副本等级难度系数控制!A364</f>
        <v>27</v>
      </c>
      <c r="C364" s="7">
        <f>[2]远征副本等级难度系数控制!B364</f>
        <v>6</v>
      </c>
      <c r="D364" s="7">
        <f ca="1">[2]远征副本等级难度系数控制!C364</f>
        <v>2.2042918205274931</v>
      </c>
      <c r="E364" s="7">
        <f ca="1">[2]远征副本等级难度系数控制!D364</f>
        <v>2.1220114367205052</v>
      </c>
      <c r="F364" s="7">
        <f ca="1">[2]远征副本等级难度系数控制!E364</f>
        <v>1.9131277333777335</v>
      </c>
    </row>
    <row r="365" spans="1:6" x14ac:dyDescent="0.15">
      <c r="A365">
        <f t="shared" si="5"/>
        <v>6028</v>
      </c>
      <c r="B365" s="7">
        <f>[2]远征副本等级难度系数控制!A365</f>
        <v>28</v>
      </c>
      <c r="C365" s="7">
        <f>[2]远征副本等级难度系数控制!B365</f>
        <v>6</v>
      </c>
      <c r="D365" s="7">
        <f ca="1">[2]远征副本等级难度系数控制!C365</f>
        <v>2.4508928136691668</v>
      </c>
      <c r="E365" s="7">
        <f ca="1">[2]远征副本等级难度系数控制!D365</f>
        <v>2.3515094636709608</v>
      </c>
      <c r="F365" s="7">
        <f ca="1">[2]远征副本等级难度系数控制!E365</f>
        <v>2.0889641786784638</v>
      </c>
    </row>
    <row r="366" spans="1:6" x14ac:dyDescent="0.15">
      <c r="A366">
        <f t="shared" si="5"/>
        <v>6029</v>
      </c>
      <c r="B366" s="7">
        <f>[2]远征副本等级难度系数控制!A366</f>
        <v>29</v>
      </c>
      <c r="C366" s="7">
        <f>[2]远征副本等级难度系数控制!B366</f>
        <v>6</v>
      </c>
      <c r="D366" s="7">
        <f ca="1">[2]远征副本等级难度系数控制!C366</f>
        <v>2.712393023610018</v>
      </c>
      <c r="E366" s="7">
        <f ca="1">[2]远征副本等级难度系数控制!D366</f>
        <v>2.5948157044254323</v>
      </c>
      <c r="F366" s="7">
        <f ca="1">[2]远征副本等级难度系数控制!E366</f>
        <v>2.2713337971552265</v>
      </c>
    </row>
    <row r="367" spans="1:6" x14ac:dyDescent="0.15">
      <c r="A367">
        <f t="shared" si="5"/>
        <v>6030</v>
      </c>
      <c r="B367" s="7">
        <f>[2]远征副本等级难度系数控制!A367</f>
        <v>30</v>
      </c>
      <c r="C367" s="7">
        <f>[2]远征副本等级难度系数控制!B367</f>
        <v>6</v>
      </c>
      <c r="D367" s="7">
        <f ca="1">[2]远征副本等级难度系数控制!C367</f>
        <v>3.0265120612034346</v>
      </c>
      <c r="E367" s="7">
        <f ca="1">[2]远征副本等级难度系数控制!D367</f>
        <v>2.8880573029357315</v>
      </c>
      <c r="F367" s="7">
        <f ca="1">[2]远征副本等级难度系数控制!E367</f>
        <v>2.4909895461681177</v>
      </c>
    </row>
    <row r="368" spans="1:6" x14ac:dyDescent="0.15">
      <c r="A368">
        <f t="shared" si="5"/>
        <v>6031</v>
      </c>
      <c r="B368" s="7">
        <f>[2]远征副本等级难度系数控制!A368</f>
        <v>31</v>
      </c>
      <c r="C368" s="7">
        <f>[2]远征副本等级难度系数控制!B368</f>
        <v>6</v>
      </c>
      <c r="D368" s="7">
        <f ca="1">[2]远征副本等级难度系数控制!C368</f>
        <v>3.3695317344270128</v>
      </c>
      <c r="E368" s="7">
        <f ca="1">[2]远征副本等级难度系数控制!D368</f>
        <v>3.2052392989389573</v>
      </c>
      <c r="F368" s="7">
        <f ca="1">[2]远征副本等级难度系数控制!E368</f>
        <v>2.7190362530416015</v>
      </c>
    </row>
    <row r="369" spans="1:6" x14ac:dyDescent="0.15">
      <c r="A369">
        <f t="shared" si="5"/>
        <v>6032</v>
      </c>
      <c r="B369" s="7">
        <f>[2]远征副本等级难度系数控制!A369</f>
        <v>32</v>
      </c>
      <c r="C369" s="7">
        <f>[2]远征副本等级难度系数控制!B369</f>
        <v>6</v>
      </c>
      <c r="D369" s="7">
        <f ca="1">[2]远征副本等级难度系数控制!C369</f>
        <v>3.736134403677501</v>
      </c>
      <c r="E369" s="7">
        <f ca="1">[2]远征副本等级难度系数控制!D369</f>
        <v>3.5437905178032878</v>
      </c>
      <c r="F369" s="7">
        <f ca="1">[2]远征副本等级难度系数控制!E369</f>
        <v>2.9567581937467291</v>
      </c>
    </row>
    <row r="370" spans="1:6" x14ac:dyDescent="0.15">
      <c r="A370">
        <f t="shared" si="5"/>
        <v>6033</v>
      </c>
      <c r="B370" s="7">
        <f>[2]远征副本等级难度系数控制!A370</f>
        <v>33</v>
      </c>
      <c r="C370" s="7">
        <f>[2]远征副本等级难度系数控制!B370</f>
        <v>6</v>
      </c>
      <c r="D370" s="7">
        <f ca="1">[2]远征副本等级难度系数控制!C370</f>
        <v>4.1255219053527243</v>
      </c>
      <c r="E370" s="7">
        <f ca="1">[2]远征副本等级难度系数控制!D370</f>
        <v>3.9030291687753933</v>
      </c>
      <c r="F370" s="7">
        <f ca="1">[2]远征副本等级难度系数控制!E370</f>
        <v>3.2028969036734964</v>
      </c>
    </row>
    <row r="371" spans="1:6" x14ac:dyDescent="0.15">
      <c r="A371">
        <f t="shared" si="5"/>
        <v>6034</v>
      </c>
      <c r="B371" s="7">
        <f>[2]远征副本等级难度系数控制!A371</f>
        <v>34</v>
      </c>
      <c r="C371" s="7">
        <f>[2]远征副本等级难度系数控制!B371</f>
        <v>6</v>
      </c>
      <c r="D371" s="7">
        <f ca="1">[2]远征副本等级难度系数控制!C371</f>
        <v>4.538082335892768</v>
      </c>
      <c r="E371" s="7">
        <f ca="1">[2]远征副本等级难度系数控制!D371</f>
        <v>4.2834270427550107</v>
      </c>
      <c r="F371" s="7">
        <f ca="1">[2]远征副本等级难度系数控制!E371</f>
        <v>3.4571767308405881</v>
      </c>
    </row>
    <row r="372" spans="1:6" x14ac:dyDescent="0.15">
      <c r="A372">
        <f t="shared" si="5"/>
        <v>6035</v>
      </c>
      <c r="B372" s="7">
        <f>[2]远征副本等级难度系数控制!A372</f>
        <v>35</v>
      </c>
      <c r="C372" s="7">
        <f>[2]远征副本等级难度系数控制!B372</f>
        <v>6</v>
      </c>
      <c r="D372" s="7">
        <f ca="1">[2]远征副本等级难度系数控制!C372</f>
        <v>4.9741715657997156</v>
      </c>
      <c r="E372" s="7">
        <f ca="1">[2]远征副本等级难度系数控制!D372</f>
        <v>4.6854476569608421</v>
      </c>
      <c r="F372" s="7">
        <f ca="1">[2]远征副本等级难度系数控制!E372</f>
        <v>3.7193029806078282</v>
      </c>
    </row>
    <row r="373" spans="1:6" x14ac:dyDescent="0.15">
      <c r="A373">
        <f t="shared" si="5"/>
        <v>6036</v>
      </c>
      <c r="B373" s="7">
        <f>[2]远征副本等级难度系数控制!A373</f>
        <v>36</v>
      </c>
      <c r="C373" s="7">
        <f>[2]远征副本等级难度系数控制!B373</f>
        <v>6</v>
      </c>
      <c r="D373" s="7">
        <f ca="1">[2]远征副本等级难度系数控制!C373</f>
        <v>5.4341119881686373</v>
      </c>
      <c r="E373" s="7">
        <f ca="1">[2]远征副本等级难度系数控制!D373</f>
        <v>5.1095459383355912</v>
      </c>
      <c r="F373" s="7">
        <f ca="1">[2]远征副本等级难度系数控制!E373</f>
        <v>3.9889619156761613</v>
      </c>
    </row>
    <row r="374" spans="1:6" x14ac:dyDescent="0.15">
      <c r="A374">
        <f t="shared" si="5"/>
        <v>6037</v>
      </c>
      <c r="B374" s="7">
        <f>[2]远征副本等级难度系数控制!A374</f>
        <v>37</v>
      </c>
      <c r="C374" s="7">
        <f>[2]远征副本等级难度系数控制!B374</f>
        <v>6</v>
      </c>
      <c r="D374" s="7">
        <f ca="1">[2]远征副本等级难度系数控制!C374</f>
        <v>5.9181912644716723</v>
      </c>
      <c r="E374" s="7">
        <f ca="1">[2]远征副本等级难度系数控制!D374</f>
        <v>5.6117214510807587</v>
      </c>
      <c r="F374" s="7">
        <f ca="1">[2]远征副本等级难度系数控制!E374</f>
        <v>4.2658207560876633</v>
      </c>
    </row>
    <row r="375" spans="1:6" x14ac:dyDescent="0.15">
      <c r="A375">
        <f t="shared" si="5"/>
        <v>6038</v>
      </c>
      <c r="B375" s="7">
        <f>[2]远征副本等级难度系数控制!A375</f>
        <v>38</v>
      </c>
      <c r="C375" s="7">
        <f>[2]远征副本等级难度系数控制!B375</f>
        <v>6</v>
      </c>
      <c r="D375" s="7">
        <f ca="1">[2]远征副本等级难度系数控制!C375</f>
        <v>6.4266610681996932</v>
      </c>
      <c r="E375" s="7">
        <f ca="1">[2]远征副本等级难度系数控制!D375</f>
        <v>6.1465504124383461</v>
      </c>
      <c r="F375" s="7">
        <f ca="1">[2]远征副本等级难度系数控制!E375</f>
        <v>4.5495276792255375</v>
      </c>
    </row>
    <row r="376" spans="1:6" x14ac:dyDescent="0.15">
      <c r="A376">
        <f t="shared" si="5"/>
        <v>6039</v>
      </c>
      <c r="B376" s="7">
        <f>[2]远征副本等级难度系数控制!A376</f>
        <v>39</v>
      </c>
      <c r="C376" s="7">
        <f>[2]远征副本等级难度系数控制!B376</f>
        <v>6</v>
      </c>
      <c r="D376" s="7">
        <f ca="1">[2]远征副本等级难度系数控制!C376</f>
        <v>6.9597358268613387</v>
      </c>
      <c r="E376" s="7">
        <f ca="1">[2]远征副本等级难度系数控制!D376</f>
        <v>6.715206181661264</v>
      </c>
      <c r="F376" s="7">
        <f ca="1">[2]远征副本等级难度系数控制!E376</f>
        <v>4.8397118198141129</v>
      </c>
    </row>
    <row r="377" spans="1:6" x14ac:dyDescent="0.15">
      <c r="A377">
        <f t="shared" si="5"/>
        <v>6040</v>
      </c>
      <c r="B377" s="7">
        <f>[2]远征副本等级难度系数控制!A377</f>
        <v>40</v>
      </c>
      <c r="C377" s="7">
        <f>[2]远征副本等级难度系数控制!B377</f>
        <v>6</v>
      </c>
      <c r="D377" s="7">
        <f ca="1">[2]远征副本等级难度系数控制!C377</f>
        <v>7.5853175119679284</v>
      </c>
      <c r="E377" s="7">
        <f ca="1">[2]远征副本等级难度系数控制!D377</f>
        <v>7.3848036637746608</v>
      </c>
      <c r="F377" s="7">
        <f ca="1">[2]远征副本等级难度系数控制!E377</f>
        <v>5.1822533894676779</v>
      </c>
    </row>
    <row r="378" spans="1:6" x14ac:dyDescent="0.15">
      <c r="A378">
        <f t="shared" si="5"/>
        <v>6041</v>
      </c>
      <c r="B378" s="7">
        <f>[2]远征副本等级难度系数控制!A378</f>
        <v>41</v>
      </c>
      <c r="C378" s="7">
        <f>[2]远征副本等级难度系数控制!B378</f>
        <v>6</v>
      </c>
      <c r="D378" s="7">
        <f ca="1">[2]远征副本等级难度系数控制!C378</f>
        <v>8.2424757843042009</v>
      </c>
      <c r="E378" s="7">
        <f ca="1">[2]远征副本等级难度系数控制!D378</f>
        <v>8.0983457867810298</v>
      </c>
      <c r="F378" s="7">
        <f ca="1">[2]远征副本等级难度系数控制!E378</f>
        <v>5.5333354136647097</v>
      </c>
    </row>
    <row r="379" spans="1:6" x14ac:dyDescent="0.15">
      <c r="A379">
        <f t="shared" si="5"/>
        <v>6042</v>
      </c>
      <c r="B379" s="7">
        <f>[2]远征副本等级难度系数控制!A379</f>
        <v>42</v>
      </c>
      <c r="C379" s="7">
        <f>[2]远征副本等级难度系数控制!B379</f>
        <v>6</v>
      </c>
      <c r="D379" s="7">
        <f ca="1">[2]远征副本等级难度系数控制!C379</f>
        <v>8.9314348390676503</v>
      </c>
      <c r="E379" s="7">
        <f ca="1">[2]远征副本等级难度系数控制!D379</f>
        <v>8.857380723678558</v>
      </c>
      <c r="F379" s="7">
        <f ca="1">[2]远征副本等级难度系数控制!E379</f>
        <v>5.8924443627121219</v>
      </c>
    </row>
    <row r="380" spans="1:6" x14ac:dyDescent="0.15">
      <c r="A380">
        <f t="shared" si="5"/>
        <v>6043</v>
      </c>
      <c r="B380" s="7">
        <f>[2]远征副本等级难度系数控制!A380</f>
        <v>43</v>
      </c>
      <c r="C380" s="7">
        <f>[2]远征副本等级难度系数控制!B380</f>
        <v>6</v>
      </c>
      <c r="D380" s="7">
        <f ca="1">[2]远征副本等级难度系数控制!C380</f>
        <v>9.6523654393896976</v>
      </c>
      <c r="E380" s="7">
        <f ca="1">[2]远征副本等级难度系数控制!D380</f>
        <v>9.663461324059778</v>
      </c>
      <c r="F380" s="7">
        <f ca="1">[2]远征副本等级难度系数控制!E380</f>
        <v>6.2590413167049785</v>
      </c>
    </row>
    <row r="381" spans="1:6" x14ac:dyDescent="0.15">
      <c r="A381">
        <f t="shared" si="5"/>
        <v>6044</v>
      </c>
      <c r="B381" s="7">
        <f>[2]远征副本等级难度系数控制!A381</f>
        <v>44</v>
      </c>
      <c r="C381" s="7">
        <f>[2]远征副本等级难度系数控制!B381</f>
        <v>6</v>
      </c>
      <c r="D381" s="7">
        <f ca="1">[2]远征副本等级难度系数控制!C381</f>
        <v>10.405383243994166</v>
      </c>
      <c r="E381" s="7">
        <f ca="1">[2]远征副本等级难度系数控制!D381</f>
        <v>10.518143023580853</v>
      </c>
      <c r="F381" s="7">
        <f ca="1">[2]远征副本等级难度系数控制!E381</f>
        <v>6.6325619655265378</v>
      </c>
    </row>
    <row r="382" spans="1:6" x14ac:dyDescent="0.15">
      <c r="A382">
        <f t="shared" si="5"/>
        <v>6045</v>
      </c>
      <c r="B382" s="7">
        <f>[2]远征副本等级难度系数控制!A382</f>
        <v>45</v>
      </c>
      <c r="C382" s="7">
        <f>[2]远征副本等级难度系数控制!B382</f>
        <v>6</v>
      </c>
      <c r="D382" s="7">
        <f ca="1">[2]远征副本等级难度系数控制!C382</f>
        <v>11.190547133536288</v>
      </c>
      <c r="E382" s="7">
        <f ca="1">[2]远征副本等级难度系数控制!D382</f>
        <v>11.42298165033621</v>
      </c>
      <c r="F382" s="7">
        <f ca="1">[2]远征副本等级难度系数控制!E382</f>
        <v>7.0124166088482127</v>
      </c>
    </row>
    <row r="383" spans="1:6" x14ac:dyDescent="0.15">
      <c r="A383">
        <f t="shared" si="5"/>
        <v>6046</v>
      </c>
      <c r="B383" s="7">
        <f>[2]远征副本等级难度系数控制!A383</f>
        <v>46</v>
      </c>
      <c r="C383" s="7">
        <f>[2]远征副本等级难度系数控制!B383</f>
        <v>6</v>
      </c>
      <c r="D383" s="7">
        <f ca="1">[2]远征副本等级难度系数控制!C383</f>
        <v>12.007857535984908</v>
      </c>
      <c r="E383" s="7">
        <f ca="1">[2]远征副本等级难度系数控制!D383</f>
        <v>12.379531122157887</v>
      </c>
      <c r="F383" s="7">
        <f ca="1">[2]远征副本等级难度系数控制!E383</f>
        <v>7.3979901561295867</v>
      </c>
    </row>
    <row r="384" spans="1:6" x14ac:dyDescent="0.15">
      <c r="A384">
        <f t="shared" si="5"/>
        <v>6047</v>
      </c>
      <c r="B384" s="7">
        <f>[2]远征副本等级难度系数控制!A384</f>
        <v>47</v>
      </c>
      <c r="C384" s="7">
        <f>[2]远征副本等级难度系数控制!B384</f>
        <v>6</v>
      </c>
      <c r="D384" s="7">
        <f ca="1">[2]远征副本等级难度系数控制!C384</f>
        <v>12.85725475135381</v>
      </c>
      <c r="E384" s="7">
        <f ca="1">[2]远征副本等级难度系数控制!D384</f>
        <v>13.389341028459137</v>
      </c>
      <c r="F384" s="7">
        <f ca="1">[2]远征副本等级难度系数控制!E384</f>
        <v>7.7886421266184218</v>
      </c>
    </row>
    <row r="385" spans="1:6" x14ac:dyDescent="0.15">
      <c r="A385">
        <f t="shared" si="5"/>
        <v>6048</v>
      </c>
      <c r="B385" s="7">
        <f>[2]远征副本等级难度系数控制!A385</f>
        <v>48</v>
      </c>
      <c r="C385" s="7">
        <f>[2]远征副本等级难度系数控制!B385</f>
        <v>6</v>
      </c>
      <c r="D385" s="7">
        <f ca="1">[2]远征副本等级难度系数控制!C385</f>
        <v>13.738617276040401</v>
      </c>
      <c r="E385" s="7">
        <f ca="1">[2]远征副本等级难度系数控制!D385</f>
        <v>14.453954089811678</v>
      </c>
      <c r="F385" s="7">
        <f ca="1">[2]远征副本等级难度系数控制!E385</f>
        <v>8.1837066493506505</v>
      </c>
    </row>
    <row r="386" spans="1:6" x14ac:dyDescent="0.15">
      <c r="A386">
        <f t="shared" si="5"/>
        <v>6049</v>
      </c>
      <c r="B386" s="7">
        <f>[2]远征副本等级难度系数控制!A386</f>
        <v>49</v>
      </c>
      <c r="C386" s="7">
        <f>[2]远征副本等级难度系数控制!B386</f>
        <v>6</v>
      </c>
      <c r="D386" s="7">
        <f ca="1">[2]远征副本等级难度系数控制!C386</f>
        <v>14.651760126989577</v>
      </c>
      <c r="E386" s="7">
        <f ca="1">[2]远征副本等级难度系数控制!D386</f>
        <v>15.57490348798299</v>
      </c>
      <c r="F386" s="7">
        <f ca="1">[2]远征副本等级难度系数控制!E386</f>
        <v>8.5824924631503752</v>
      </c>
    </row>
    <row r="387" spans="1:6" x14ac:dyDescent="0.15">
      <c r="A387">
        <f t="shared" ref="A387:A427" si="6">C387*1000+B387</f>
        <v>6050</v>
      </c>
      <c r="B387" s="7">
        <f>[2]远征副本等级难度系数控制!A387</f>
        <v>50</v>
      </c>
      <c r="C387" s="7">
        <f>[2]远征副本等级难度系数控制!B387</f>
        <v>6</v>
      </c>
      <c r="D387" s="7">
        <f ca="1">[2]远征副本等级难度系数控制!C387</f>
        <v>15.699041278800449</v>
      </c>
      <c r="E387" s="7">
        <f ca="1">[2]远征副本等级难度系数控制!D387</f>
        <v>16.863931835362955</v>
      </c>
      <c r="F387" s="7">
        <f ca="1">[2]远征副本等级难度系数控制!E387</f>
        <v>9.0433900410813735</v>
      </c>
    </row>
    <row r="388" spans="1:6" x14ac:dyDescent="0.15">
      <c r="A388">
        <f t="shared" si="6"/>
        <v>6051</v>
      </c>
      <c r="B388" s="7">
        <f>[2]远征副本等级难度系数控制!A388</f>
        <v>51</v>
      </c>
      <c r="C388" s="7">
        <f>[2]远征副本等级难度系数控制!B388</f>
        <v>6</v>
      </c>
      <c r="D388" s="7">
        <f ca="1">[2]远征副本等级难度系数控制!C388</f>
        <v>16.694329391226663</v>
      </c>
      <c r="E388" s="7">
        <f ca="1">[2]远征副本等级难度系数控制!D388</f>
        <v>18.355481630003489</v>
      </c>
      <c r="F388" s="7">
        <f ca="1">[2]远征副本等级难度系数控制!E388</f>
        <v>9.7690273202058773</v>
      </c>
    </row>
    <row r="389" spans="1:6" x14ac:dyDescent="0.15">
      <c r="A389">
        <f t="shared" si="6"/>
        <v>6052</v>
      </c>
      <c r="B389" s="7">
        <f>[2]远征副本等级难度系数控制!A389</f>
        <v>52</v>
      </c>
      <c r="C389" s="7">
        <f>[2]远征副本等级难度系数控制!B389</f>
        <v>6</v>
      </c>
      <c r="D389" s="7">
        <f ca="1">[2]远征副本等级难度系数控制!C389</f>
        <v>18.367836205844618</v>
      </c>
      <c r="E389" s="7">
        <f ca="1">[2]远征副本等级难度系数控制!D389</f>
        <v>19.945069478423662</v>
      </c>
      <c r="F389" s="7">
        <f ca="1">[2]远征副本等级难度系数控制!E389</f>
        <v>10.33527917837265</v>
      </c>
    </row>
    <row r="390" spans="1:6" x14ac:dyDescent="0.15">
      <c r="A390">
        <f t="shared" si="6"/>
        <v>6053</v>
      </c>
      <c r="B390" s="7">
        <f>[2]远征副本等级难度系数控制!A390</f>
        <v>53</v>
      </c>
      <c r="C390" s="7">
        <f>[2]远征副本等级难度系数控制!B390</f>
        <v>6</v>
      </c>
      <c r="D390" s="7">
        <f ca="1">[2]远征副本等级难度系数控制!C390</f>
        <v>19.813164889564217</v>
      </c>
      <c r="E390" s="7">
        <f ca="1">[2]远征副本等级难度系数控制!D390</f>
        <v>21.637593041357022</v>
      </c>
      <c r="F390" s="7">
        <f ca="1">[2]远征副本等级难度系数控制!E390</f>
        <v>11.021171666666675</v>
      </c>
    </row>
    <row r="391" spans="1:6" x14ac:dyDescent="0.15">
      <c r="A391">
        <f t="shared" si="6"/>
        <v>6054</v>
      </c>
      <c r="B391" s="7">
        <f>[2]远征副本等级难度系数控制!A391</f>
        <v>54</v>
      </c>
      <c r="C391" s="7">
        <f>[2]远征副本等级难度系数控制!B391</f>
        <v>6</v>
      </c>
      <c r="D391" s="7">
        <f ca="1">[2]远征副本等级难度系数控制!C391</f>
        <v>21.335637090425067</v>
      </c>
      <c r="E391" s="7">
        <f ca="1">[2]远征副本等级难度系数控制!D391</f>
        <v>23.438160547163392</v>
      </c>
      <c r="F391" s="7">
        <f ca="1">[2]远征副本等级难度系数控制!E391</f>
        <v>11.734307347233273</v>
      </c>
    </row>
    <row r="392" spans="1:6" x14ac:dyDescent="0.15">
      <c r="A392">
        <f t="shared" si="6"/>
        <v>6055</v>
      </c>
      <c r="B392" s="7">
        <f>[2]远征副本等级难度系数控制!A392</f>
        <v>55</v>
      </c>
      <c r="C392" s="7">
        <f>[2]远征副本等级难度系数控制!B392</f>
        <v>6</v>
      </c>
      <c r="D392" s="7">
        <f ca="1">[2]远征副本等级难度系数控制!C392</f>
        <v>22.937686428827639</v>
      </c>
      <c r="E392" s="7">
        <f ca="1">[2]远征副本等级难度系数控制!D392</f>
        <v>25.352100220230088</v>
      </c>
      <c r="F392" s="7">
        <f ca="1">[2]远征副本等级难度系数控制!E392</f>
        <v>12.475144654452691</v>
      </c>
    </row>
    <row r="393" spans="1:6" x14ac:dyDescent="0.15">
      <c r="A393">
        <f t="shared" si="6"/>
        <v>6056</v>
      </c>
      <c r="B393" s="7">
        <f>[2]远征副本等级难度系数控制!A393</f>
        <v>56</v>
      </c>
      <c r="C393" s="7">
        <f>[2]远征副本等级难度系数控制!B393</f>
        <v>6</v>
      </c>
      <c r="D393" s="7">
        <f ca="1">[2]远征副本等级难度系数控制!C393</f>
        <v>24.621779784981594</v>
      </c>
      <c r="E393" s="7">
        <f ca="1">[2]远征副本等级难度系数控制!D393</f>
        <v>27.384970220551534</v>
      </c>
      <c r="F393" s="7">
        <f ca="1">[2]远征副本等级难度系数控制!E393</f>
        <v>13.244142022705194</v>
      </c>
    </row>
    <row r="394" spans="1:6" x14ac:dyDescent="0.15">
      <c r="A394">
        <f t="shared" si="6"/>
        <v>6057</v>
      </c>
      <c r="B394" s="7">
        <f>[2]远征副本等级难度系数控制!A394</f>
        <v>57</v>
      </c>
      <c r="C394" s="7">
        <f>[2]远征副本等级难度系数控制!B394</f>
        <v>6</v>
      </c>
      <c r="D394" s="7">
        <f ca="1">[2]远征副本等级难度系数控制!C394</f>
        <v>26.390417286583432</v>
      </c>
      <c r="E394" s="7">
        <f ca="1">[2]远征副本等级难度系数控制!D394</f>
        <v>29.542569127115442</v>
      </c>
      <c r="F394" s="7">
        <f ca="1">[2]远征副本等级难度系数控制!E394</f>
        <v>14.041757886371006</v>
      </c>
    </row>
    <row r="395" spans="1:6" x14ac:dyDescent="0.15">
      <c r="A395">
        <f t="shared" si="6"/>
        <v>6058</v>
      </c>
      <c r="B395" s="7">
        <f>[2]远征副本等级难度系数控制!A395</f>
        <v>58</v>
      </c>
      <c r="C395" s="7">
        <f>[2]远征副本等级难度系数控制!B395</f>
        <v>6</v>
      </c>
      <c r="D395" s="7">
        <f ca="1">[2]远征副本等级难度系数控制!C395</f>
        <v>28.246132296226456</v>
      </c>
      <c r="E395" s="7">
        <f ca="1">[2]远征副本等级难度系数控制!D395</f>
        <v>31.830947000126613</v>
      </c>
      <c r="F395" s="7">
        <f ca="1">[2]远征副本等级难度系数控制!E395</f>
        <v>14.86845067983038</v>
      </c>
    </row>
    <row r="396" spans="1:6" x14ac:dyDescent="0.15">
      <c r="A396">
        <f t="shared" si="6"/>
        <v>6059</v>
      </c>
      <c r="B396" s="7">
        <f>[2]远征副本等级难度系数控制!A396</f>
        <v>59</v>
      </c>
      <c r="C396" s="7">
        <f>[2]远征副本等级难度系数控制!B396</f>
        <v>6</v>
      </c>
      <c r="D396" s="7">
        <f ca="1">[2]远征副本等级难度系数控制!C396</f>
        <v>30.19149139859968</v>
      </c>
      <c r="E396" s="7">
        <f ca="1">[2]远征副本等级难度系数控制!D396</f>
        <v>34.256417059701107</v>
      </c>
      <c r="F396" s="7">
        <f ca="1">[2]远征副本等级难度系数控制!E396</f>
        <v>15.724678837463568</v>
      </c>
    </row>
    <row r="397" spans="1:6" x14ac:dyDescent="0.15">
      <c r="A397">
        <f t="shared" si="6"/>
        <v>6060</v>
      </c>
      <c r="B397" s="7">
        <f>[2]远征副本等级难度系数控制!A397</f>
        <v>60</v>
      </c>
      <c r="C397" s="7">
        <f>[2]远征副本等级难度系数控制!B397</f>
        <v>6</v>
      </c>
      <c r="D397" s="7">
        <f ca="1">[2]远征副本等级难度系数控制!C397</f>
        <v>32.3878583992865</v>
      </c>
      <c r="E397" s="7">
        <f ca="1">[2]远征副本等级难度系数控制!D397</f>
        <v>37.006974760509266</v>
      </c>
      <c r="F397" s="7">
        <f ca="1">[2]远征副本等级难度系数控制!E397</f>
        <v>16.692727891156473</v>
      </c>
    </row>
    <row r="398" spans="1:6" x14ac:dyDescent="0.15">
      <c r="A398">
        <f t="shared" si="6"/>
        <v>6061</v>
      </c>
      <c r="B398" s="7">
        <f>[2]远征副本等级难度系数控制!A398</f>
        <v>61</v>
      </c>
      <c r="C398" s="7">
        <f>[2]远征副本等级难度系数控制!B398</f>
        <v>6</v>
      </c>
      <c r="D398" s="7">
        <f ca="1">[2]远征副本等级难度系数控制!C398</f>
        <v>34.691974005309056</v>
      </c>
      <c r="E398" s="7">
        <f ca="1">[2]远征副本等级难度系数控制!D398</f>
        <v>39.925520182084497</v>
      </c>
      <c r="F398" s="7">
        <f ca="1">[2]远征副本等级难度系数控制!E398</f>
        <v>17.696109357606684</v>
      </c>
    </row>
    <row r="399" spans="1:6" x14ac:dyDescent="0.15">
      <c r="A399">
        <f t="shared" si="6"/>
        <v>6062</v>
      </c>
      <c r="B399" s="7">
        <f>[2]远征副本等级难度系数控制!A399</f>
        <v>62</v>
      </c>
      <c r="C399" s="7">
        <f>[2]远征副本等级难度系数控制!B399</f>
        <v>6</v>
      </c>
      <c r="D399" s="7">
        <f ca="1">[2]远征副本等级难度系数控制!C399</f>
        <v>37.106971775412404</v>
      </c>
      <c r="E399" s="7">
        <f ca="1">[2]远征副本等级难度系数控制!D399</f>
        <v>43.020227109939746</v>
      </c>
      <c r="F399" s="7">
        <f ca="1">[2]远征副本等级难度系数控制!E399</f>
        <v>18.735373358070518</v>
      </c>
    </row>
    <row r="400" spans="1:6" x14ac:dyDescent="0.15">
      <c r="A400">
        <f t="shared" si="6"/>
        <v>6063</v>
      </c>
      <c r="B400" s="7">
        <f>[2]远征副本等级难度系数控制!A400</f>
        <v>63</v>
      </c>
      <c r="C400" s="7">
        <f>[2]远征副本等级难度系数控制!B400</f>
        <v>6</v>
      </c>
      <c r="D400" s="7">
        <f ca="1">[2]远征副本等级难度系数控制!C400</f>
        <v>39.636025087792035</v>
      </c>
      <c r="E400" s="7">
        <f ca="1">[2]远征副本等级难度系数控制!D400</f>
        <v>46.299632562195143</v>
      </c>
      <c r="F400" s="7">
        <f ca="1">[2]远征副本等级难度系数控制!E400</f>
        <v>19.811070013804226</v>
      </c>
    </row>
    <row r="401" spans="1:6" x14ac:dyDescent="0.15">
      <c r="A401">
        <f t="shared" si="6"/>
        <v>6064</v>
      </c>
      <c r="B401" s="7">
        <f>[2]远征副本等级难度系数控制!A401</f>
        <v>64</v>
      </c>
      <c r="C401" s="7">
        <f>[2]远征副本等级难度系数控制!B401</f>
        <v>6</v>
      </c>
      <c r="D401" s="7">
        <f ca="1">[2]远征副本等级难度系数控制!C401</f>
        <v>42.282347124790768</v>
      </c>
      <c r="E401" s="7">
        <f ca="1">[2]远征副本等级难度系数控制!D401</f>
        <v>49.772654479477652</v>
      </c>
      <c r="F401" s="7">
        <f ca="1">[2]远征副本等级难度系数控制!E401</f>
        <v>20.923749446064164</v>
      </c>
    </row>
    <row r="402" spans="1:6" x14ac:dyDescent="0.15">
      <c r="A402">
        <f t="shared" si="6"/>
        <v>6065</v>
      </c>
      <c r="B402" s="7">
        <f>[2]远征副本等级难度系数控制!A402</f>
        <v>65</v>
      </c>
      <c r="C402" s="7">
        <f>[2]远征副本等级难度系数控制!B402</f>
        <v>6</v>
      </c>
      <c r="D402" s="7">
        <f ca="1">[2]远征副本等级难度系数控制!C402</f>
        <v>45.049190857524657</v>
      </c>
      <c r="E402" s="7">
        <f ca="1">[2]远征副本等级难度系数控制!D402</f>
        <v>53.448610458814869</v>
      </c>
      <c r="F402" s="7">
        <f ca="1">[2]远征副本等级难度系数控制!E402</f>
        <v>22.073961776106561</v>
      </c>
    </row>
    <row r="403" spans="1:6" x14ac:dyDescent="0.15">
      <c r="A403">
        <f t="shared" si="6"/>
        <v>6066</v>
      </c>
      <c r="B403" s="7">
        <f>[2]远征副本等级难度系数控制!A403</f>
        <v>66</v>
      </c>
      <c r="C403" s="7">
        <f>[2]远征副本等级难度系数控制!B403</f>
        <v>6</v>
      </c>
      <c r="D403" s="7">
        <f ca="1">[2]远征副本等级难度系数控制!C403</f>
        <v>47.939849030470953</v>
      </c>
      <c r="E403" s="7">
        <f ca="1">[2]远征副本等级难度系数控制!D403</f>
        <v>57.337237604118563</v>
      </c>
      <c r="F403" s="7">
        <f ca="1">[2]远征副本等级难度系数控制!E403</f>
        <v>23.262257125187762</v>
      </c>
    </row>
    <row r="404" spans="1:6" x14ac:dyDescent="0.15">
      <c r="A404">
        <f t="shared" si="6"/>
        <v>6067</v>
      </c>
      <c r="B404" s="7">
        <f>[2]远征副本等级难度系数控制!A404</f>
        <v>67</v>
      </c>
      <c r="C404" s="7">
        <f>[2]远征副本等级难度系数控制!B404</f>
        <v>6</v>
      </c>
      <c r="D404" s="7">
        <f ca="1">[2]远征副本等级难度系数控制!C404</f>
        <v>50.957654146047425</v>
      </c>
      <c r="E404" s="7">
        <f ca="1">[2]远征副本等级难度系数控制!D404</f>
        <v>60.931317657981204</v>
      </c>
      <c r="F404" s="7">
        <f ca="1">[2]远征副本等级难度系数控制!E404</f>
        <v>24.489185614564025</v>
      </c>
    </row>
    <row r="405" spans="1:6" x14ac:dyDescent="0.15">
      <c r="A405">
        <f t="shared" si="6"/>
        <v>6068</v>
      </c>
      <c r="B405" s="7">
        <f>[2]远征副本等级难度系数控制!A405</f>
        <v>68</v>
      </c>
      <c r="C405" s="7">
        <f>[2]远征副本等级难度系数控制!B405</f>
        <v>6</v>
      </c>
      <c r="D405" s="7">
        <f ca="1">[2]远征副本等级难度系数控制!C405</f>
        <v>54.10597844920877</v>
      </c>
      <c r="E405" s="7">
        <f ca="1">[2]远征副本等级难度系数控制!D405</f>
        <v>64.690171137659974</v>
      </c>
      <c r="F405" s="7">
        <f ca="1">[2]远征副本等级难度系数控制!E405</f>
        <v>25.755297365491675</v>
      </c>
    </row>
    <row r="406" spans="1:6" x14ac:dyDescent="0.15">
      <c r="A406">
        <f t="shared" si="6"/>
        <v>6069</v>
      </c>
      <c r="B406" s="7">
        <f>[2]远征副本等级难度系数控制!A406</f>
        <v>69</v>
      </c>
      <c r="C406" s="7">
        <f>[2]远征副本等级难度系数控制!B406</f>
        <v>6</v>
      </c>
      <c r="D406" s="7">
        <f ca="1">[2]远征副本等级难度系数控制!C406</f>
        <v>57.38823391208193</v>
      </c>
      <c r="E406" s="7">
        <f ca="1">[2]远征副本等级难度系数控制!D406</f>
        <v>68.619713185921412</v>
      </c>
      <c r="F406" s="7">
        <f ca="1">[2]远征副本等级难度系数控制!E406</f>
        <v>27.061142499226996</v>
      </c>
    </row>
    <row r="407" spans="1:6" x14ac:dyDescent="0.15">
      <c r="A407">
        <f t="shared" si="6"/>
        <v>6070</v>
      </c>
      <c r="B407" s="7">
        <f>[2]远征副本等级难度系数控制!A407</f>
        <v>70</v>
      </c>
      <c r="C407" s="7">
        <f>[2]远征副本等级难度系数控制!B407</f>
        <v>6</v>
      </c>
      <c r="D407" s="7">
        <f ca="1">[2]远征副本等级难度系数控制!C407</f>
        <v>61.038205067972626</v>
      </c>
      <c r="E407" s="7">
        <f ca="1">[2]远征副本等级难度系数控制!D407</f>
        <v>73.001563143980221</v>
      </c>
      <c r="F407" s="7">
        <f ca="1">[2]远征副本等级难度系数控制!E407</f>
        <v>28.514874436787725</v>
      </c>
    </row>
    <row r="408" spans="1:6" x14ac:dyDescent="0.15">
      <c r="A408">
        <f t="shared" si="6"/>
        <v>6071</v>
      </c>
      <c r="B408" s="7">
        <f>[2]远征副本等级难度系数控制!A408</f>
        <v>71</v>
      </c>
      <c r="C408" s="7">
        <f>[2]远征副本等级难度系数控制!B408</f>
        <v>6</v>
      </c>
      <c r="D408" s="7">
        <f ca="1">[2]远征副本等级难度系数控制!C408</f>
        <v>64.845187599564966</v>
      </c>
      <c r="E408" s="7">
        <f ca="1">[2]远征副本等级难度系数控制!D408</f>
        <v>77.58615484361772</v>
      </c>
      <c r="F408" s="7">
        <f ca="1">[2]远征副本等级难度系数控制!E408</f>
        <v>30.014931425332055</v>
      </c>
    </row>
    <row r="409" spans="1:6" x14ac:dyDescent="0.15">
      <c r="A409">
        <f t="shared" si="6"/>
        <v>6072</v>
      </c>
      <c r="B409" s="7">
        <f>[2]远征副本等级难度系数控制!A409</f>
        <v>72</v>
      </c>
      <c r="C409" s="7">
        <f>[2]远征副本等级难度系数控制!B409</f>
        <v>6</v>
      </c>
      <c r="D409" s="7">
        <f ca="1">[2]远征副本等级难度系数控制!C409</f>
        <v>68.813229768740968</v>
      </c>
      <c r="E409" s="7">
        <f ca="1">[2]远征副本等级难度系数控制!D409</f>
        <v>82.380909233755332</v>
      </c>
      <c r="F409" s="7">
        <f ca="1">[2]远征副本等级难度系数控制!E409</f>
        <v>31.561955272992336</v>
      </c>
    </row>
    <row r="410" spans="1:6" x14ac:dyDescent="0.15">
      <c r="A410">
        <f t="shared" si="6"/>
        <v>6073</v>
      </c>
      <c r="B410" s="7">
        <f>[2]远征副本等级难度系数控制!A410</f>
        <v>73</v>
      </c>
      <c r="C410" s="7">
        <f>[2]远征副本等级难度系数控制!B410</f>
        <v>6</v>
      </c>
      <c r="D410" s="7">
        <f ca="1">[2]远征副本等级难度系数控制!C410</f>
        <v>72.946426135465188</v>
      </c>
      <c r="E410" s="7">
        <f ca="1">[2]远征副本等级难度系数控制!D410</f>
        <v>87.39354230349069</v>
      </c>
      <c r="F410" s="7">
        <f ca="1">[2]远征副本等级难度系数控制!E410</f>
        <v>33.156587787900904</v>
      </c>
    </row>
    <row r="411" spans="1:6" x14ac:dyDescent="0.15">
      <c r="A411">
        <f t="shared" si="6"/>
        <v>6074</v>
      </c>
      <c r="B411" s="7">
        <f>[2]远征副本等级难度系数控制!A411</f>
        <v>74</v>
      </c>
      <c r="C411" s="7">
        <f>[2]远征副本等级难度系数控制!B411</f>
        <v>6</v>
      </c>
      <c r="D411" s="7">
        <f ca="1">[2]远征副本等级难度系数控制!C411</f>
        <v>77.248917540456915</v>
      </c>
      <c r="E411" s="7">
        <f ca="1">[2]远征副本等级难度系数控制!D411</f>
        <v>92.632081001531915</v>
      </c>
      <c r="F411" s="7">
        <f ca="1">[2]远征副本等级难度系数控制!E411</f>
        <v>34.799470778190091</v>
      </c>
    </row>
    <row r="412" spans="1:6" x14ac:dyDescent="0.15">
      <c r="A412">
        <f t="shared" si="6"/>
        <v>6075</v>
      </c>
      <c r="B412" s="7">
        <f>[2]远征副本等级难度系数控制!A412</f>
        <v>75</v>
      </c>
      <c r="C412" s="7">
        <f>[2]远征副本等级难度系数控制!B412</f>
        <v>6</v>
      </c>
      <c r="D412" s="7">
        <f ca="1">[2]远征副本等级难度系数控制!C412</f>
        <v>81.724891087975323</v>
      </c>
      <c r="E412" s="7">
        <f ca="1">[2]远征副本等级难度系数控制!D412</f>
        <v>98.104880197630649</v>
      </c>
      <c r="F412" s="7">
        <f ca="1">[2]远征副本等级难度系数控制!E412</f>
        <v>36.49124605199227</v>
      </c>
    </row>
    <row r="413" spans="1:6" x14ac:dyDescent="0.15">
      <c r="A413">
        <f t="shared" si="6"/>
        <v>6076</v>
      </c>
      <c r="B413" s="7">
        <f>[2]远征副本等级难度系数控制!A413</f>
        <v>76</v>
      </c>
      <c r="C413" s="7">
        <f>[2]远征副本等级难度系数控制!B413</f>
        <v>6</v>
      </c>
      <c r="D413" s="7">
        <f ca="1">[2]远征副本等级难度系数控制!C413</f>
        <v>86.378580128730732</v>
      </c>
      <c r="E413" s="7">
        <f ca="1">[2]远征副本等级难度系数控制!D413</f>
        <v>103.8206407664632</v>
      </c>
      <c r="F413" s="7">
        <f ca="1">[2]远征副本等级难度系数控制!E413</f>
        <v>38.232555417439727</v>
      </c>
    </row>
    <row r="414" spans="1:6" x14ac:dyDescent="0.15">
      <c r="A414">
        <f t="shared" si="6"/>
        <v>6077</v>
      </c>
      <c r="B414" s="7">
        <f>[2]远征副本等级难度系数控制!A414</f>
        <v>77</v>
      </c>
      <c r="C414" s="7">
        <f>[2]远征副本等级难度系数控制!B414</f>
        <v>6</v>
      </c>
      <c r="D414" s="7">
        <f ca="1">[2]远征副本等级难度系数控制!C414</f>
        <v>91.214264242931264</v>
      </c>
      <c r="E414" s="7">
        <f ca="1">[2]远征副本等级难度系数控制!D414</f>
        <v>109.78842888158552</v>
      </c>
      <c r="F414" s="7">
        <f ca="1">[2]远征副本等级难度系数控制!E414</f>
        <v>40.024040682664861</v>
      </c>
    </row>
    <row r="415" spans="1:6" x14ac:dyDescent="0.15">
      <c r="A415">
        <f t="shared" si="6"/>
        <v>6078</v>
      </c>
      <c r="B415" s="7">
        <f>[2]远征副本等级难度系数控制!A415</f>
        <v>78</v>
      </c>
      <c r="C415" s="7">
        <f>[2]远征副本等级难度系数控制!B415</f>
        <v>6</v>
      </c>
      <c r="D415" s="7">
        <f ca="1">[2]远征副本等级难度系数控制!C415</f>
        <v>96.236269223474267</v>
      </c>
      <c r="E415" s="7">
        <f ca="1">[2]远征副本等级难度系数控制!D415</f>
        <v>116.01769661499407</v>
      </c>
      <c r="F415" s="7">
        <f ca="1">[2]远征副本等级难度系数控制!E415</f>
        <v>41.866343655800001</v>
      </c>
    </row>
    <row r="416" spans="1:6" x14ac:dyDescent="0.15">
      <c r="A416">
        <f t="shared" si="6"/>
        <v>6079</v>
      </c>
      <c r="B416" s="7">
        <f>[2]远征副本等级难度系数控制!A416</f>
        <v>79</v>
      </c>
      <c r="C416" s="7">
        <f>[2]远征副本等级难度系数控制!B416</f>
        <v>6</v>
      </c>
      <c r="D416" s="7">
        <f ca="1">[2]远征副本等级难度系数控制!C416</f>
        <v>101.44896705929044</v>
      </c>
      <c r="E416" s="7">
        <f ca="1">[2]远征副本等级难度系数控制!D416</f>
        <v>122.51830394654247</v>
      </c>
      <c r="F416" s="7">
        <f ca="1">[2]远征副本等级难度系数控制!E416</f>
        <v>43.76010614497752</v>
      </c>
    </row>
    <row r="417" spans="1:6" x14ac:dyDescent="0.15">
      <c r="A417">
        <f t="shared" si="6"/>
        <v>6080</v>
      </c>
      <c r="B417" s="7">
        <f>[2]远征副本等级难度系数控制!A417</f>
        <v>80</v>
      </c>
      <c r="C417" s="7">
        <f>[2]远征副本等级难度系数控制!B417</f>
        <v>6</v>
      </c>
      <c r="D417" s="7">
        <f ca="1">[2]远征副本等级难度系数控制!C417</f>
        <v>107.17575136934926</v>
      </c>
      <c r="E417" s="7">
        <f ca="1">[2]远征副本等级难度系数控制!D417</f>
        <v>129.68651406513814</v>
      </c>
      <c r="F417" s="7">
        <f ca="1">[2]远征副本等级难度系数控制!E417</f>
        <v>45.842405689548549</v>
      </c>
    </row>
    <row r="418" spans="1:6" x14ac:dyDescent="0.15">
      <c r="A418">
        <f t="shared" si="6"/>
        <v>6081</v>
      </c>
      <c r="B418" s="7">
        <f>[2]远征副本等级难度系数控制!A418</f>
        <v>81</v>
      </c>
      <c r="C418" s="7">
        <f>[2]远征副本等级难度系数控制!B418</f>
        <v>6</v>
      </c>
      <c r="D418" s="7">
        <f ca="1">[2]远征副本等级难度系数控制!C418</f>
        <v>113.12184528078676</v>
      </c>
      <c r="E418" s="7">
        <f ca="1">[2]远征副本等级难度系数控制!D418</f>
        <v>155.71401437603362</v>
      </c>
      <c r="F418" s="7">
        <f ca="1">[2]远征副本等级难度系数控制!E418</f>
        <v>47.983551037930376</v>
      </c>
    </row>
    <row r="419" spans="1:6" x14ac:dyDescent="0.15">
      <c r="A419">
        <f t="shared" si="6"/>
        <v>6082</v>
      </c>
      <c r="B419" s="7">
        <f>[2]远征副本等级难度系数控制!A419</f>
        <v>82</v>
      </c>
      <c r="C419" s="7">
        <f>[2]远征副本等级难度系数控制!B419</f>
        <v>6</v>
      </c>
      <c r="D419" s="7">
        <f ca="1">[2]远征副本等级难度系数控制!C419</f>
        <v>119.29232614432998</v>
      </c>
      <c r="E419" s="7">
        <f ca="1">[2]远征副本等级难度系数控制!D419</f>
        <v>165.97861501513222</v>
      </c>
      <c r="F419" s="7">
        <f ca="1">[2]远征副本等级难度系数控制!E419</f>
        <v>50.184275685131219</v>
      </c>
    </row>
    <row r="420" spans="1:6" x14ac:dyDescent="0.15">
      <c r="A420">
        <f t="shared" si="6"/>
        <v>6083</v>
      </c>
      <c r="B420" s="7">
        <f>[2]远征副本等级难度系数控制!A420</f>
        <v>83</v>
      </c>
      <c r="C420" s="7">
        <f>[2]远征副本等级难度系数控制!B420</f>
        <v>6</v>
      </c>
      <c r="D420" s="7">
        <f ca="1">[2]远征副本等级难度系数控制!C420</f>
        <v>125.69232405416851</v>
      </c>
      <c r="E420" s="7">
        <f ca="1">[2]远征副本等级难度系数控制!D420</f>
        <v>176.80053067127213</v>
      </c>
      <c r="F420" s="7">
        <f ca="1">[2]远征副本等级难度系数控制!E420</f>
        <v>52.445313126159583</v>
      </c>
    </row>
    <row r="421" spans="1:6" x14ac:dyDescent="0.15">
      <c r="A421">
        <f t="shared" si="6"/>
        <v>6084</v>
      </c>
      <c r="B421" s="7">
        <f>[2]远征副本等级难度系数控制!A421</f>
        <v>84</v>
      </c>
      <c r="C421" s="7">
        <f>[2]远征副本等级难度系数控制!B421</f>
        <v>6</v>
      </c>
      <c r="D421" s="7">
        <f ca="1">[2]远征副本等级难度系数控制!C421</f>
        <v>132.32702182976917</v>
      </c>
      <c r="E421" s="7">
        <f ca="1">[2]远征副本等级难度系数控制!D421</f>
        <v>188.20717679557109</v>
      </c>
      <c r="F421" s="7">
        <f ca="1">[2]远征副本等级难度系数控制!E421</f>
        <v>54.767396856023829</v>
      </c>
    </row>
    <row r="422" spans="1:6" x14ac:dyDescent="0.15">
      <c r="A422">
        <f t="shared" si="6"/>
        <v>6085</v>
      </c>
      <c r="B422" s="7">
        <f>[2]远征副本等级难度系数控制!A422</f>
        <v>85</v>
      </c>
      <c r="C422" s="7">
        <f>[2]远征副本等级难度系数控制!B422</f>
        <v>6</v>
      </c>
      <c r="D422" s="7">
        <f ca="1">[2]远征副本等级难度系数控制!C422</f>
        <v>139.20165499788169</v>
      </c>
      <c r="E422" s="7">
        <f ca="1">[2]远征副本等级难度系数控制!D422</f>
        <v>200.22739261588021</v>
      </c>
      <c r="F422" s="7">
        <f ca="1">[2]远征副本等级难度系数控制!E422</f>
        <v>57.151260369732299</v>
      </c>
    </row>
    <row r="423" spans="1:6" x14ac:dyDescent="0.15">
      <c r="A423">
        <f t="shared" si="6"/>
        <v>6086</v>
      </c>
      <c r="B423" s="7">
        <f>[2]远征副本等级难度系数控制!A423</f>
        <v>86</v>
      </c>
      <c r="C423" s="7">
        <f>[2]远征副本等级难度系数控制!B423</f>
        <v>6</v>
      </c>
      <c r="D423" s="7">
        <f ca="1">[2]远征副本等级难度系数控制!C423</f>
        <v>146.32151177473924</v>
      </c>
      <c r="E423" s="7">
        <f ca="1">[2]远征副本等级难度系数控制!D423</f>
        <v>212.89152938740807</v>
      </c>
      <c r="F423" s="7">
        <f ca="1">[2]远征副本等级难度系数控制!E423</f>
        <v>59.597637162293509</v>
      </c>
    </row>
    <row r="424" spans="1:6" x14ac:dyDescent="0.15">
      <c r="A424">
        <f t="shared" si="6"/>
        <v>6087</v>
      </c>
      <c r="B424" s="7">
        <f>[2]远征副本等级难度系数控制!A424</f>
        <v>87</v>
      </c>
      <c r="C424" s="7">
        <f>[2]远征副本等级难度系数控制!B424</f>
        <v>6</v>
      </c>
      <c r="D424" s="7">
        <f ca="1">[2]远征副本等级难度系数控制!C424</f>
        <v>153.69193304845504</v>
      </c>
      <c r="E424" s="7">
        <f ca="1">[2]远征副本等级难度系数控制!D424</f>
        <v>226.23154528983446</v>
      </c>
      <c r="F424" s="7">
        <f ca="1">[2]远征副本等级难度系数控制!E424</f>
        <v>62.107260728715751</v>
      </c>
    </row>
    <row r="425" spans="1:6" x14ac:dyDescent="0.15">
      <c r="A425">
        <f t="shared" si="6"/>
        <v>6088</v>
      </c>
      <c r="B425" s="7">
        <f>[2]远征副本等级难度系数控制!A425</f>
        <v>88</v>
      </c>
      <c r="C425" s="7">
        <f>[2]远征副本等级难度系数控制!B425</f>
        <v>6</v>
      </c>
      <c r="D425" s="7">
        <f ca="1">[2]远征副本等级难度系数控制!C425</f>
        <v>161.31831236161827</v>
      </c>
      <c r="E425" s="7">
        <f ca="1">[2]远征副本等级难度系数控制!D425</f>
        <v>240.28110756234122</v>
      </c>
      <c r="F425" s="7">
        <f ca="1">[2]远征副本等级难度系数控制!E425</f>
        <v>64.680864564007408</v>
      </c>
    </row>
    <row r="426" spans="1:6" x14ac:dyDescent="0.15">
      <c r="A426">
        <f t="shared" si="6"/>
        <v>6089</v>
      </c>
      <c r="B426" s="7">
        <f>[2]远征副本等级难度系数控制!A426</f>
        <v>89</v>
      </c>
      <c r="C426" s="7">
        <f>[2]远征副本等级难度系数控制!B426</f>
        <v>6</v>
      </c>
      <c r="D426" s="7">
        <f ca="1">[2]远征副本等级难度系数控制!C426</f>
        <v>169.20609589408824</v>
      </c>
      <c r="E426" s="7">
        <f ca="1">[2]远征副本等级难度系数控制!D426</f>
        <v>255.07570252890127</v>
      </c>
      <c r="F426" s="7">
        <f ca="1">[2]远征副本等级难度系数控制!E426</f>
        <v>67.319182163176947</v>
      </c>
    </row>
    <row r="427" spans="1:6" x14ac:dyDescent="0.15">
      <c r="A427">
        <f t="shared" si="6"/>
        <v>6090</v>
      </c>
      <c r="B427" s="7">
        <f>[2]远征副本等级难度系数控制!A427</f>
        <v>90</v>
      </c>
      <c r="C427" s="7">
        <f>[2]远征副本等级难度系数控制!B427</f>
        <v>6</v>
      </c>
      <c r="D427" s="7">
        <f ca="1">[2]远征副本等级难度系数控制!C427</f>
        <v>177.36078244598951</v>
      </c>
      <c r="E427" s="7">
        <f ca="1">[2]远征副本等级难度系数控制!D427</f>
        <v>270.65275423424396</v>
      </c>
      <c r="F427" s="7">
        <f ca="1">[2]远征副本等级难度系数控制!E427</f>
        <v>70.022947021232739</v>
      </c>
    </row>
  </sheetData>
  <phoneticPr fontId="1" type="noConversion"/>
  <conditionalFormatting sqref="B1:F42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166"/>
  <sheetViews>
    <sheetView workbookViewId="0">
      <selection activeCell="J38" sqref="J38"/>
    </sheetView>
  </sheetViews>
  <sheetFormatPr defaultRowHeight="13.5" x14ac:dyDescent="0.15"/>
  <cols>
    <col min="1" max="1" width="13.875" bestFit="1" customWidth="1"/>
    <col min="6" max="6" width="14.875" customWidth="1"/>
    <col min="7" max="7" width="16.125" bestFit="1" customWidth="1"/>
    <col min="8" max="8" width="13.875" bestFit="1" customWidth="1"/>
  </cols>
  <sheetData>
    <row r="1" spans="1:20" x14ac:dyDescent="0.15">
      <c r="A1" s="4" t="s">
        <v>140</v>
      </c>
      <c r="B1" s="4" t="s">
        <v>141</v>
      </c>
      <c r="C1" s="4" t="s">
        <v>142</v>
      </c>
      <c r="D1" s="4" t="s">
        <v>143</v>
      </c>
      <c r="E1" s="4" t="s">
        <v>144</v>
      </c>
      <c r="F1" s="4" t="s">
        <v>173</v>
      </c>
      <c r="G1" s="4" t="s">
        <v>172</v>
      </c>
      <c r="H1" t="s">
        <v>170</v>
      </c>
      <c r="O1" s="1">
        <v>143698.54838709679</v>
      </c>
    </row>
    <row r="2" spans="1:20" x14ac:dyDescent="0.15">
      <c r="A2">
        <v>1</v>
      </c>
      <c r="B2">
        <v>30</v>
      </c>
      <c r="C2">
        <v>1</v>
      </c>
      <c r="D2">
        <v>510101</v>
      </c>
      <c r="E2">
        <v>0</v>
      </c>
      <c r="F2">
        <v>0</v>
      </c>
      <c r="G2">
        <f>ROUND(VLOOKUP(A2,$M$3:$O$17,3,FALSE)*H2,0)</f>
        <v>7926</v>
      </c>
      <c r="H2">
        <v>0.6</v>
      </c>
      <c r="M2" t="s">
        <v>169</v>
      </c>
      <c r="O2">
        <v>1</v>
      </c>
      <c r="R2">
        <v>1.125</v>
      </c>
      <c r="T2" t="s">
        <v>270</v>
      </c>
    </row>
    <row r="3" spans="1:20" x14ac:dyDescent="0.15">
      <c r="A3">
        <v>2</v>
      </c>
      <c r="B3">
        <v>30</v>
      </c>
      <c r="C3">
        <v>1</v>
      </c>
      <c r="D3">
        <v>510102</v>
      </c>
      <c r="E3">
        <v>0</v>
      </c>
      <c r="F3">
        <v>0</v>
      </c>
      <c r="G3">
        <f t="shared" ref="G3:G66" si="0">ROUND(VLOOKUP(A3,$M$3:$O$17,3,FALSE)*H3,0)</f>
        <v>8917</v>
      </c>
      <c r="H3">
        <v>0.6</v>
      </c>
      <c r="M3" s="7">
        <v>1</v>
      </c>
      <c r="N3" s="7">
        <v>5000</v>
      </c>
      <c r="O3" s="7">
        <f t="shared" ref="O3:O17" si="1">$O$1*R3/SUM($R$3:$R$17)*2*$O$2</f>
        <v>13210.543289368728</v>
      </c>
      <c r="P3">
        <f>SUM($O$3:O3)</f>
        <v>13210.543289368728</v>
      </c>
      <c r="R3">
        <v>1</v>
      </c>
      <c r="T3">
        <f>[3]金币投放!$M$4</f>
        <v>147161.12903225806</v>
      </c>
    </row>
    <row r="4" spans="1:20" x14ac:dyDescent="0.15">
      <c r="A4">
        <v>3</v>
      </c>
      <c r="B4">
        <v>30</v>
      </c>
      <c r="C4">
        <v>1</v>
      </c>
      <c r="D4">
        <v>510103</v>
      </c>
      <c r="E4">
        <v>0</v>
      </c>
      <c r="F4">
        <v>0</v>
      </c>
      <c r="G4">
        <f t="shared" si="0"/>
        <v>10032</v>
      </c>
      <c r="H4">
        <v>0.6</v>
      </c>
      <c r="M4" s="7">
        <v>2</v>
      </c>
      <c r="N4" s="7">
        <v>6000</v>
      </c>
      <c r="O4" s="7">
        <f t="shared" si="1"/>
        <v>14861.861200539819</v>
      </c>
      <c r="P4">
        <f>SUM($O$3:O4)</f>
        <v>28072.404489908549</v>
      </c>
      <c r="R4">
        <f>R3*$R$2</f>
        <v>1.125</v>
      </c>
    </row>
    <row r="5" spans="1:20" x14ac:dyDescent="0.15">
      <c r="A5">
        <v>4</v>
      </c>
      <c r="B5">
        <v>30</v>
      </c>
      <c r="C5">
        <v>1</v>
      </c>
      <c r="D5">
        <v>510104</v>
      </c>
      <c r="E5">
        <v>0</v>
      </c>
      <c r="F5">
        <v>0</v>
      </c>
      <c r="G5">
        <f t="shared" si="0"/>
        <v>8917</v>
      </c>
      <c r="H5">
        <v>0.6</v>
      </c>
      <c r="M5" s="7">
        <v>3</v>
      </c>
      <c r="N5" s="7">
        <v>9000</v>
      </c>
      <c r="O5" s="7">
        <f t="shared" si="1"/>
        <v>16719.593850607296</v>
      </c>
      <c r="P5">
        <f>SUM($O$3:O5)</f>
        <v>44791.998340515842</v>
      </c>
      <c r="R5">
        <f t="shared" ref="R5:R17" si="2">R4*$R$2</f>
        <v>1.265625</v>
      </c>
    </row>
    <row r="6" spans="1:20" x14ac:dyDescent="0.15">
      <c r="A6">
        <v>5</v>
      </c>
      <c r="B6">
        <v>30</v>
      </c>
      <c r="C6">
        <v>1</v>
      </c>
      <c r="D6">
        <v>510105</v>
      </c>
      <c r="E6">
        <v>0</v>
      </c>
      <c r="F6">
        <v>0</v>
      </c>
      <c r="G6">
        <f t="shared" si="0"/>
        <v>10032</v>
      </c>
      <c r="H6">
        <v>0.6</v>
      </c>
      <c r="M6" s="7">
        <v>4</v>
      </c>
      <c r="N6" s="7">
        <v>7000</v>
      </c>
      <c r="O6" s="7">
        <f t="shared" si="1"/>
        <v>14861.861200539819</v>
      </c>
      <c r="P6">
        <f>SUM($O$3:O6)</f>
        <v>59653.859541055659</v>
      </c>
      <c r="R6">
        <f>R4</f>
        <v>1.125</v>
      </c>
    </row>
    <row r="7" spans="1:20" x14ac:dyDescent="0.15">
      <c r="A7">
        <v>6</v>
      </c>
      <c r="B7">
        <v>30</v>
      </c>
      <c r="C7">
        <v>1</v>
      </c>
      <c r="D7">
        <v>510106</v>
      </c>
      <c r="E7">
        <v>0</v>
      </c>
      <c r="F7">
        <v>0</v>
      </c>
      <c r="G7">
        <f t="shared" si="0"/>
        <v>11286</v>
      </c>
      <c r="H7">
        <v>0.6</v>
      </c>
      <c r="M7" s="7">
        <v>5</v>
      </c>
      <c r="N7" s="7">
        <v>8000</v>
      </c>
      <c r="O7" s="7">
        <f t="shared" si="1"/>
        <v>16719.593850607296</v>
      </c>
      <c r="P7">
        <f>SUM($O$3:O7)</f>
        <v>76373.453391662959</v>
      </c>
      <c r="R7">
        <f t="shared" si="2"/>
        <v>1.265625</v>
      </c>
    </row>
    <row r="8" spans="1:20" x14ac:dyDescent="0.15">
      <c r="A8">
        <v>7</v>
      </c>
      <c r="B8">
        <v>30</v>
      </c>
      <c r="C8">
        <v>1</v>
      </c>
      <c r="D8">
        <v>510107</v>
      </c>
      <c r="E8">
        <v>0</v>
      </c>
      <c r="F8">
        <v>0</v>
      </c>
      <c r="G8">
        <f t="shared" si="0"/>
        <v>10032</v>
      </c>
      <c r="H8">
        <v>0.6</v>
      </c>
      <c r="M8" s="7">
        <v>6</v>
      </c>
      <c r="N8" s="7">
        <v>18000</v>
      </c>
      <c r="O8" s="7">
        <f t="shared" si="1"/>
        <v>18809.543081933207</v>
      </c>
      <c r="P8">
        <f>SUM($O$3:O8)</f>
        <v>95182.996473596169</v>
      </c>
      <c r="R8">
        <f t="shared" si="2"/>
        <v>1.423828125</v>
      </c>
    </row>
    <row r="9" spans="1:20" x14ac:dyDescent="0.15">
      <c r="A9">
        <v>8</v>
      </c>
      <c r="B9">
        <v>30</v>
      </c>
      <c r="C9">
        <v>1</v>
      </c>
      <c r="D9">
        <v>510108</v>
      </c>
      <c r="E9">
        <v>0</v>
      </c>
      <c r="F9">
        <v>0</v>
      </c>
      <c r="G9">
        <f t="shared" si="0"/>
        <v>11286</v>
      </c>
      <c r="H9">
        <v>0.6</v>
      </c>
      <c r="M9" s="7">
        <v>7</v>
      </c>
      <c r="N9" s="7">
        <v>11000</v>
      </c>
      <c r="O9" s="7">
        <f t="shared" si="1"/>
        <v>16719.593850607296</v>
      </c>
      <c r="P9">
        <f>SUM($O$3:O9)</f>
        <v>111902.59032420347</v>
      </c>
      <c r="R9">
        <f>R7</f>
        <v>1.265625</v>
      </c>
    </row>
    <row r="10" spans="1:20" x14ac:dyDescent="0.15">
      <c r="A10">
        <v>9</v>
      </c>
      <c r="B10">
        <v>30</v>
      </c>
      <c r="C10">
        <v>1</v>
      </c>
      <c r="D10">
        <v>510109</v>
      </c>
      <c r="E10">
        <v>0</v>
      </c>
      <c r="F10">
        <v>0</v>
      </c>
      <c r="G10">
        <f t="shared" si="0"/>
        <v>12696</v>
      </c>
      <c r="H10">
        <v>0.6</v>
      </c>
      <c r="M10" s="7">
        <v>8</v>
      </c>
      <c r="N10" s="7">
        <v>13000</v>
      </c>
      <c r="O10" s="7">
        <f t="shared" si="1"/>
        <v>18809.543081933207</v>
      </c>
      <c r="P10">
        <f>SUM($O$3:O10)</f>
        <v>130712.13340613668</v>
      </c>
      <c r="R10">
        <f t="shared" si="2"/>
        <v>1.423828125</v>
      </c>
    </row>
    <row r="11" spans="1:20" x14ac:dyDescent="0.15">
      <c r="A11">
        <v>10</v>
      </c>
      <c r="B11">
        <v>30</v>
      </c>
      <c r="C11">
        <v>1</v>
      </c>
      <c r="D11">
        <v>510110</v>
      </c>
      <c r="E11">
        <v>0</v>
      </c>
      <c r="F11">
        <v>0</v>
      </c>
      <c r="G11">
        <f t="shared" si="0"/>
        <v>11286</v>
      </c>
      <c r="H11">
        <v>0.6</v>
      </c>
      <c r="M11" s="7">
        <v>9</v>
      </c>
      <c r="N11" s="7">
        <v>23000</v>
      </c>
      <c r="O11" s="7">
        <f t="shared" si="1"/>
        <v>21160.73596717486</v>
      </c>
      <c r="P11">
        <f>SUM($O$3:O11)</f>
        <v>151872.86937331155</v>
      </c>
      <c r="R11">
        <f t="shared" si="2"/>
        <v>1.601806640625</v>
      </c>
    </row>
    <row r="12" spans="1:20" x14ac:dyDescent="0.15">
      <c r="A12">
        <v>11</v>
      </c>
      <c r="B12">
        <v>30</v>
      </c>
      <c r="C12">
        <v>1</v>
      </c>
      <c r="D12">
        <v>510111</v>
      </c>
      <c r="E12">
        <v>0</v>
      </c>
      <c r="F12">
        <v>0</v>
      </c>
      <c r="G12">
        <f t="shared" si="0"/>
        <v>12696</v>
      </c>
      <c r="H12">
        <v>0.6</v>
      </c>
      <c r="M12" s="7">
        <v>10</v>
      </c>
      <c r="N12" s="7">
        <v>17000</v>
      </c>
      <c r="O12" s="7">
        <f t="shared" si="1"/>
        <v>18809.543081933207</v>
      </c>
      <c r="P12">
        <f>SUM($O$3:O12)</f>
        <v>170682.41245524475</v>
      </c>
      <c r="R12">
        <f>R10</f>
        <v>1.423828125</v>
      </c>
    </row>
    <row r="13" spans="1:20" x14ac:dyDescent="0.15">
      <c r="A13">
        <v>12</v>
      </c>
      <c r="B13">
        <v>30</v>
      </c>
      <c r="C13">
        <v>1</v>
      </c>
      <c r="D13">
        <v>510112</v>
      </c>
      <c r="E13">
        <v>0</v>
      </c>
      <c r="F13">
        <v>0</v>
      </c>
      <c r="G13">
        <f t="shared" si="0"/>
        <v>14283</v>
      </c>
      <c r="H13">
        <v>0.6</v>
      </c>
      <c r="M13" s="7">
        <v>11</v>
      </c>
      <c r="N13" s="7">
        <v>19000</v>
      </c>
      <c r="O13" s="7">
        <f t="shared" si="1"/>
        <v>21160.73596717486</v>
      </c>
      <c r="P13">
        <f>SUM($O$3:O13)</f>
        <v>191843.14842241962</v>
      </c>
      <c r="R13">
        <f t="shared" si="2"/>
        <v>1.601806640625</v>
      </c>
    </row>
    <row r="14" spans="1:20" x14ac:dyDescent="0.15">
      <c r="A14">
        <v>13</v>
      </c>
      <c r="B14">
        <v>30</v>
      </c>
      <c r="C14">
        <v>1</v>
      </c>
      <c r="D14">
        <v>510113</v>
      </c>
      <c r="E14">
        <v>0</v>
      </c>
      <c r="F14">
        <v>0</v>
      </c>
      <c r="G14">
        <f t="shared" si="0"/>
        <v>12696</v>
      </c>
      <c r="H14">
        <v>0.6</v>
      </c>
      <c r="M14" s="7">
        <v>12</v>
      </c>
      <c r="N14" s="7">
        <v>32000</v>
      </c>
      <c r="O14" s="7">
        <f t="shared" si="1"/>
        <v>23805.827963071719</v>
      </c>
      <c r="P14">
        <f>SUM($O$3:O14)</f>
        <v>215648.97638549135</v>
      </c>
      <c r="R14">
        <f t="shared" si="2"/>
        <v>1.802032470703125</v>
      </c>
    </row>
    <row r="15" spans="1:20" x14ac:dyDescent="0.15">
      <c r="A15">
        <v>14</v>
      </c>
      <c r="B15">
        <v>30</v>
      </c>
      <c r="C15">
        <v>1</v>
      </c>
      <c r="D15">
        <v>510114</v>
      </c>
      <c r="E15">
        <v>0</v>
      </c>
      <c r="F15">
        <v>0</v>
      </c>
      <c r="G15">
        <f t="shared" si="0"/>
        <v>14283</v>
      </c>
      <c r="H15">
        <v>0.6</v>
      </c>
      <c r="M15" s="7">
        <v>13</v>
      </c>
      <c r="N15" s="7">
        <v>26000</v>
      </c>
      <c r="O15" s="7">
        <f t="shared" si="1"/>
        <v>21160.73596717486</v>
      </c>
      <c r="P15">
        <f>SUM($O$3:O15)</f>
        <v>236809.71235266622</v>
      </c>
      <c r="R15">
        <f>R13</f>
        <v>1.601806640625</v>
      </c>
    </row>
    <row r="16" spans="1:20" x14ac:dyDescent="0.15">
      <c r="A16">
        <v>15</v>
      </c>
      <c r="B16">
        <v>30</v>
      </c>
      <c r="C16">
        <v>1</v>
      </c>
      <c r="D16">
        <v>510115</v>
      </c>
      <c r="E16">
        <v>0</v>
      </c>
      <c r="F16">
        <v>0</v>
      </c>
      <c r="G16">
        <f t="shared" si="0"/>
        <v>16069</v>
      </c>
      <c r="H16">
        <v>0.6</v>
      </c>
      <c r="M16" s="7">
        <v>14</v>
      </c>
      <c r="N16" s="7">
        <v>29000</v>
      </c>
      <c r="O16" s="7">
        <f t="shared" si="1"/>
        <v>23805.827963071719</v>
      </c>
      <c r="P16">
        <f>SUM($O$3:O16)</f>
        <v>260615.54031573795</v>
      </c>
      <c r="R16">
        <f t="shared" si="2"/>
        <v>1.802032470703125</v>
      </c>
    </row>
    <row r="17" spans="1:18" x14ac:dyDescent="0.15">
      <c r="A17">
        <v>1</v>
      </c>
      <c r="B17">
        <v>35</v>
      </c>
      <c r="C17">
        <v>31</v>
      </c>
      <c r="D17">
        <v>510201</v>
      </c>
      <c r="E17">
        <v>0</v>
      </c>
      <c r="F17">
        <v>0</v>
      </c>
      <c r="G17">
        <f t="shared" si="0"/>
        <v>9247</v>
      </c>
      <c r="H17">
        <v>0.7</v>
      </c>
      <c r="M17" s="7">
        <v>15</v>
      </c>
      <c r="N17" s="7">
        <v>35000</v>
      </c>
      <c r="O17" s="7">
        <f t="shared" si="1"/>
        <v>26781.556458455681</v>
      </c>
      <c r="P17">
        <f>SUM($O$3:O17)</f>
        <v>287397.09677419363</v>
      </c>
      <c r="R17">
        <f t="shared" si="2"/>
        <v>2.0272865295410156</v>
      </c>
    </row>
    <row r="18" spans="1:18" x14ac:dyDescent="0.15">
      <c r="A18">
        <v>2</v>
      </c>
      <c r="B18">
        <v>35</v>
      </c>
      <c r="C18">
        <v>31</v>
      </c>
      <c r="D18">
        <v>510202</v>
      </c>
      <c r="E18">
        <v>0</v>
      </c>
      <c r="F18">
        <v>0</v>
      </c>
      <c r="G18">
        <f t="shared" si="0"/>
        <v>10403</v>
      </c>
      <c r="H18">
        <v>0.7</v>
      </c>
      <c r="N18">
        <f>SUM(N3:N17)</f>
        <v>258000</v>
      </c>
      <c r="O18" s="10">
        <f>SUM(O3:O17)</f>
        <v>287397.09677419363</v>
      </c>
    </row>
    <row r="19" spans="1:18" x14ac:dyDescent="0.15">
      <c r="A19">
        <v>3</v>
      </c>
      <c r="B19">
        <v>35</v>
      </c>
      <c r="C19">
        <v>31</v>
      </c>
      <c r="D19">
        <v>510203</v>
      </c>
      <c r="E19">
        <v>0</v>
      </c>
      <c r="F19">
        <v>0</v>
      </c>
      <c r="G19">
        <f t="shared" si="0"/>
        <v>11704</v>
      </c>
      <c r="H19">
        <v>0.7</v>
      </c>
      <c r="P19">
        <f>P17/O1</f>
        <v>2.0000000000000004</v>
      </c>
    </row>
    <row r="20" spans="1:18" x14ac:dyDescent="0.15">
      <c r="A20">
        <v>4</v>
      </c>
      <c r="B20">
        <v>35</v>
      </c>
      <c r="C20">
        <v>31</v>
      </c>
      <c r="D20">
        <v>510204</v>
      </c>
      <c r="E20">
        <v>0</v>
      </c>
      <c r="F20">
        <v>0</v>
      </c>
      <c r="G20">
        <f t="shared" si="0"/>
        <v>10403</v>
      </c>
      <c r="H20">
        <v>0.7</v>
      </c>
    </row>
    <row r="21" spans="1:18" x14ac:dyDescent="0.15">
      <c r="A21">
        <v>5</v>
      </c>
      <c r="B21">
        <v>35</v>
      </c>
      <c r="C21">
        <v>31</v>
      </c>
      <c r="D21">
        <v>510205</v>
      </c>
      <c r="E21">
        <v>0</v>
      </c>
      <c r="F21">
        <v>0</v>
      </c>
      <c r="G21">
        <f t="shared" si="0"/>
        <v>11704</v>
      </c>
      <c r="H21">
        <v>0.7</v>
      </c>
    </row>
    <row r="22" spans="1:18" x14ac:dyDescent="0.15">
      <c r="A22">
        <v>6</v>
      </c>
      <c r="B22">
        <v>35</v>
      </c>
      <c r="C22">
        <v>31</v>
      </c>
      <c r="D22">
        <v>510206</v>
      </c>
      <c r="E22">
        <v>0</v>
      </c>
      <c r="F22">
        <v>0</v>
      </c>
      <c r="G22">
        <f t="shared" si="0"/>
        <v>13167</v>
      </c>
      <c r="H22">
        <v>0.7</v>
      </c>
    </row>
    <row r="23" spans="1:18" x14ac:dyDescent="0.15">
      <c r="A23">
        <v>7</v>
      </c>
      <c r="B23">
        <v>35</v>
      </c>
      <c r="C23">
        <v>31</v>
      </c>
      <c r="D23">
        <v>510207</v>
      </c>
      <c r="E23">
        <v>0</v>
      </c>
      <c r="F23">
        <v>0</v>
      </c>
      <c r="G23">
        <f t="shared" si="0"/>
        <v>11704</v>
      </c>
      <c r="H23">
        <v>0.7</v>
      </c>
    </row>
    <row r="24" spans="1:18" x14ac:dyDescent="0.15">
      <c r="A24">
        <v>8</v>
      </c>
      <c r="B24">
        <v>35</v>
      </c>
      <c r="C24">
        <v>31</v>
      </c>
      <c r="D24">
        <v>510208</v>
      </c>
      <c r="E24">
        <v>0</v>
      </c>
      <c r="F24">
        <v>0</v>
      </c>
      <c r="G24">
        <f t="shared" si="0"/>
        <v>13167</v>
      </c>
      <c r="H24">
        <v>0.7</v>
      </c>
    </row>
    <row r="25" spans="1:18" x14ac:dyDescent="0.15">
      <c r="A25">
        <v>9</v>
      </c>
      <c r="B25">
        <v>35</v>
      </c>
      <c r="C25">
        <v>31</v>
      </c>
      <c r="D25">
        <v>510209</v>
      </c>
      <c r="E25">
        <v>0</v>
      </c>
      <c r="F25">
        <v>0</v>
      </c>
      <c r="G25">
        <f t="shared" si="0"/>
        <v>14813</v>
      </c>
      <c r="H25">
        <v>0.7</v>
      </c>
    </row>
    <row r="26" spans="1:18" x14ac:dyDescent="0.15">
      <c r="A26">
        <v>10</v>
      </c>
      <c r="B26">
        <v>35</v>
      </c>
      <c r="C26">
        <v>31</v>
      </c>
      <c r="D26">
        <v>510210</v>
      </c>
      <c r="E26">
        <v>0</v>
      </c>
      <c r="F26">
        <v>0</v>
      </c>
      <c r="G26">
        <f t="shared" si="0"/>
        <v>13167</v>
      </c>
      <c r="H26">
        <v>0.7</v>
      </c>
    </row>
    <row r="27" spans="1:18" x14ac:dyDescent="0.15">
      <c r="A27">
        <v>11</v>
      </c>
      <c r="B27">
        <v>35</v>
      </c>
      <c r="C27">
        <v>31</v>
      </c>
      <c r="D27">
        <v>510211</v>
      </c>
      <c r="E27">
        <v>0</v>
      </c>
      <c r="F27">
        <v>0</v>
      </c>
      <c r="G27">
        <f t="shared" si="0"/>
        <v>14813</v>
      </c>
      <c r="H27">
        <v>0.7</v>
      </c>
    </row>
    <row r="28" spans="1:18" x14ac:dyDescent="0.15">
      <c r="A28">
        <v>12</v>
      </c>
      <c r="B28">
        <v>35</v>
      </c>
      <c r="C28">
        <v>31</v>
      </c>
      <c r="D28">
        <v>510212</v>
      </c>
      <c r="E28">
        <v>0</v>
      </c>
      <c r="F28">
        <v>0</v>
      </c>
      <c r="G28">
        <f t="shared" si="0"/>
        <v>16664</v>
      </c>
      <c r="H28">
        <v>0.7</v>
      </c>
    </row>
    <row r="29" spans="1:18" x14ac:dyDescent="0.15">
      <c r="A29">
        <v>13</v>
      </c>
      <c r="B29">
        <v>35</v>
      </c>
      <c r="C29">
        <v>31</v>
      </c>
      <c r="D29">
        <v>510213</v>
      </c>
      <c r="E29">
        <v>0</v>
      </c>
      <c r="F29">
        <v>0</v>
      </c>
      <c r="G29">
        <f t="shared" si="0"/>
        <v>14813</v>
      </c>
      <c r="H29">
        <v>0.7</v>
      </c>
    </row>
    <row r="30" spans="1:18" x14ac:dyDescent="0.15">
      <c r="A30">
        <v>14</v>
      </c>
      <c r="B30">
        <v>35</v>
      </c>
      <c r="C30">
        <v>31</v>
      </c>
      <c r="D30">
        <v>510214</v>
      </c>
      <c r="E30">
        <v>0</v>
      </c>
      <c r="F30">
        <v>0</v>
      </c>
      <c r="G30">
        <f t="shared" si="0"/>
        <v>16664</v>
      </c>
      <c r="H30">
        <v>0.7</v>
      </c>
    </row>
    <row r="31" spans="1:18" x14ac:dyDescent="0.15">
      <c r="A31">
        <v>15</v>
      </c>
      <c r="B31">
        <v>35</v>
      </c>
      <c r="C31">
        <v>31</v>
      </c>
      <c r="D31">
        <v>510215</v>
      </c>
      <c r="E31">
        <v>0</v>
      </c>
      <c r="F31">
        <v>0</v>
      </c>
      <c r="G31">
        <f t="shared" si="0"/>
        <v>18747</v>
      </c>
      <c r="H31">
        <v>0.7</v>
      </c>
    </row>
    <row r="32" spans="1:18" x14ac:dyDescent="0.15">
      <c r="A32">
        <v>1</v>
      </c>
      <c r="B32">
        <v>40</v>
      </c>
      <c r="C32">
        <v>36</v>
      </c>
      <c r="D32">
        <v>510301</v>
      </c>
      <c r="E32">
        <v>0</v>
      </c>
      <c r="F32">
        <v>0</v>
      </c>
      <c r="G32">
        <f t="shared" si="0"/>
        <v>10568</v>
      </c>
      <c r="H32">
        <v>0.8</v>
      </c>
    </row>
    <row r="33" spans="1:8" x14ac:dyDescent="0.15">
      <c r="A33">
        <v>2</v>
      </c>
      <c r="B33">
        <v>40</v>
      </c>
      <c r="C33">
        <v>36</v>
      </c>
      <c r="D33">
        <v>510302</v>
      </c>
      <c r="E33">
        <v>0</v>
      </c>
      <c r="F33">
        <v>0</v>
      </c>
      <c r="G33">
        <f t="shared" si="0"/>
        <v>11889</v>
      </c>
      <c r="H33">
        <v>0.8</v>
      </c>
    </row>
    <row r="34" spans="1:8" x14ac:dyDescent="0.15">
      <c r="A34">
        <v>3</v>
      </c>
      <c r="B34">
        <v>40</v>
      </c>
      <c r="C34">
        <v>36</v>
      </c>
      <c r="D34">
        <v>510303</v>
      </c>
      <c r="E34">
        <v>0</v>
      </c>
      <c r="F34">
        <v>0</v>
      </c>
      <c r="G34">
        <f t="shared" si="0"/>
        <v>13376</v>
      </c>
      <c r="H34">
        <v>0.8</v>
      </c>
    </row>
    <row r="35" spans="1:8" x14ac:dyDescent="0.15">
      <c r="A35">
        <v>4</v>
      </c>
      <c r="B35">
        <v>40</v>
      </c>
      <c r="C35">
        <v>36</v>
      </c>
      <c r="D35">
        <v>510304</v>
      </c>
      <c r="E35">
        <v>0</v>
      </c>
      <c r="F35">
        <v>0</v>
      </c>
      <c r="G35">
        <f t="shared" si="0"/>
        <v>11889</v>
      </c>
      <c r="H35">
        <v>0.8</v>
      </c>
    </row>
    <row r="36" spans="1:8" x14ac:dyDescent="0.15">
      <c r="A36">
        <v>5</v>
      </c>
      <c r="B36">
        <v>40</v>
      </c>
      <c r="C36">
        <v>36</v>
      </c>
      <c r="D36">
        <v>510305</v>
      </c>
      <c r="E36">
        <v>0</v>
      </c>
      <c r="F36">
        <v>0</v>
      </c>
      <c r="G36">
        <f t="shared" si="0"/>
        <v>13376</v>
      </c>
      <c r="H36">
        <v>0.8</v>
      </c>
    </row>
    <row r="37" spans="1:8" x14ac:dyDescent="0.15">
      <c r="A37">
        <v>6</v>
      </c>
      <c r="B37">
        <v>40</v>
      </c>
      <c r="C37">
        <v>36</v>
      </c>
      <c r="D37">
        <v>510306</v>
      </c>
      <c r="E37">
        <v>0</v>
      </c>
      <c r="F37">
        <v>0</v>
      </c>
      <c r="G37">
        <f t="shared" si="0"/>
        <v>15048</v>
      </c>
      <c r="H37">
        <v>0.8</v>
      </c>
    </row>
    <row r="38" spans="1:8" x14ac:dyDescent="0.15">
      <c r="A38">
        <v>7</v>
      </c>
      <c r="B38">
        <v>40</v>
      </c>
      <c r="C38">
        <v>36</v>
      </c>
      <c r="D38">
        <v>510307</v>
      </c>
      <c r="E38">
        <v>0</v>
      </c>
      <c r="F38">
        <v>0</v>
      </c>
      <c r="G38">
        <f t="shared" si="0"/>
        <v>13376</v>
      </c>
      <c r="H38">
        <v>0.8</v>
      </c>
    </row>
    <row r="39" spans="1:8" x14ac:dyDescent="0.15">
      <c r="A39">
        <v>8</v>
      </c>
      <c r="B39">
        <v>40</v>
      </c>
      <c r="C39">
        <v>36</v>
      </c>
      <c r="D39">
        <v>510308</v>
      </c>
      <c r="E39">
        <v>0</v>
      </c>
      <c r="F39">
        <v>0</v>
      </c>
      <c r="G39">
        <f t="shared" si="0"/>
        <v>15048</v>
      </c>
      <c r="H39">
        <v>0.8</v>
      </c>
    </row>
    <row r="40" spans="1:8" x14ac:dyDescent="0.15">
      <c r="A40">
        <v>9</v>
      </c>
      <c r="B40">
        <v>40</v>
      </c>
      <c r="C40">
        <v>36</v>
      </c>
      <c r="D40">
        <v>510309</v>
      </c>
      <c r="E40">
        <v>0</v>
      </c>
      <c r="F40">
        <v>0</v>
      </c>
      <c r="G40">
        <f t="shared" si="0"/>
        <v>16929</v>
      </c>
      <c r="H40">
        <v>0.8</v>
      </c>
    </row>
    <row r="41" spans="1:8" x14ac:dyDescent="0.15">
      <c r="A41">
        <v>10</v>
      </c>
      <c r="B41">
        <v>40</v>
      </c>
      <c r="C41">
        <v>36</v>
      </c>
      <c r="D41">
        <v>510310</v>
      </c>
      <c r="E41">
        <v>0</v>
      </c>
      <c r="F41">
        <v>0</v>
      </c>
      <c r="G41">
        <f t="shared" si="0"/>
        <v>15048</v>
      </c>
      <c r="H41">
        <v>0.8</v>
      </c>
    </row>
    <row r="42" spans="1:8" x14ac:dyDescent="0.15">
      <c r="A42">
        <v>11</v>
      </c>
      <c r="B42">
        <v>40</v>
      </c>
      <c r="C42">
        <v>36</v>
      </c>
      <c r="D42">
        <v>510311</v>
      </c>
      <c r="E42">
        <v>0</v>
      </c>
      <c r="F42">
        <v>0</v>
      </c>
      <c r="G42">
        <f t="shared" si="0"/>
        <v>16929</v>
      </c>
      <c r="H42">
        <v>0.8</v>
      </c>
    </row>
    <row r="43" spans="1:8" x14ac:dyDescent="0.15">
      <c r="A43">
        <v>12</v>
      </c>
      <c r="B43">
        <v>40</v>
      </c>
      <c r="C43">
        <v>36</v>
      </c>
      <c r="D43">
        <v>510312</v>
      </c>
      <c r="E43">
        <v>0</v>
      </c>
      <c r="F43">
        <v>0</v>
      </c>
      <c r="G43">
        <f t="shared" si="0"/>
        <v>19045</v>
      </c>
      <c r="H43">
        <v>0.8</v>
      </c>
    </row>
    <row r="44" spans="1:8" x14ac:dyDescent="0.15">
      <c r="A44">
        <v>13</v>
      </c>
      <c r="B44">
        <v>40</v>
      </c>
      <c r="C44">
        <v>36</v>
      </c>
      <c r="D44">
        <v>510313</v>
      </c>
      <c r="E44">
        <v>0</v>
      </c>
      <c r="F44">
        <v>0</v>
      </c>
      <c r="G44">
        <f t="shared" si="0"/>
        <v>16929</v>
      </c>
      <c r="H44">
        <v>0.8</v>
      </c>
    </row>
    <row r="45" spans="1:8" x14ac:dyDescent="0.15">
      <c r="A45">
        <v>14</v>
      </c>
      <c r="B45">
        <v>40</v>
      </c>
      <c r="C45">
        <v>36</v>
      </c>
      <c r="D45">
        <v>510314</v>
      </c>
      <c r="E45">
        <v>0</v>
      </c>
      <c r="F45">
        <v>0</v>
      </c>
      <c r="G45">
        <f t="shared" si="0"/>
        <v>19045</v>
      </c>
      <c r="H45">
        <v>0.8</v>
      </c>
    </row>
    <row r="46" spans="1:8" x14ac:dyDescent="0.15">
      <c r="A46">
        <v>15</v>
      </c>
      <c r="B46">
        <v>40</v>
      </c>
      <c r="C46">
        <v>36</v>
      </c>
      <c r="D46">
        <v>510315</v>
      </c>
      <c r="E46">
        <v>0</v>
      </c>
      <c r="F46">
        <v>0</v>
      </c>
      <c r="G46">
        <f t="shared" si="0"/>
        <v>21425</v>
      </c>
      <c r="H46">
        <v>0.8</v>
      </c>
    </row>
    <row r="47" spans="1:8" x14ac:dyDescent="0.15">
      <c r="A47">
        <v>1</v>
      </c>
      <c r="B47">
        <v>45</v>
      </c>
      <c r="C47">
        <v>41</v>
      </c>
      <c r="D47">
        <v>510401</v>
      </c>
      <c r="E47">
        <v>0</v>
      </c>
      <c r="F47">
        <v>0</v>
      </c>
      <c r="G47">
        <f t="shared" si="0"/>
        <v>11889</v>
      </c>
      <c r="H47">
        <v>0.9</v>
      </c>
    </row>
    <row r="48" spans="1:8" x14ac:dyDescent="0.15">
      <c r="A48">
        <v>2</v>
      </c>
      <c r="B48">
        <f>B47</f>
        <v>45</v>
      </c>
      <c r="C48">
        <f>C47</f>
        <v>41</v>
      </c>
      <c r="D48">
        <v>510402</v>
      </c>
      <c r="E48">
        <v>0</v>
      </c>
      <c r="F48">
        <v>0</v>
      </c>
      <c r="G48">
        <f t="shared" si="0"/>
        <v>13376</v>
      </c>
      <c r="H48">
        <v>0.9</v>
      </c>
    </row>
    <row r="49" spans="1:8" x14ac:dyDescent="0.15">
      <c r="A49">
        <v>3</v>
      </c>
      <c r="B49">
        <f t="shared" ref="B49:B61" si="3">B48</f>
        <v>45</v>
      </c>
      <c r="C49">
        <f t="shared" ref="C49:C61" si="4">C48</f>
        <v>41</v>
      </c>
      <c r="D49">
        <v>510403</v>
      </c>
      <c r="E49">
        <v>0</v>
      </c>
      <c r="F49">
        <v>0</v>
      </c>
      <c r="G49">
        <f t="shared" si="0"/>
        <v>15048</v>
      </c>
      <c r="H49">
        <v>0.9</v>
      </c>
    </row>
    <row r="50" spans="1:8" x14ac:dyDescent="0.15">
      <c r="A50">
        <v>4</v>
      </c>
      <c r="B50">
        <f t="shared" si="3"/>
        <v>45</v>
      </c>
      <c r="C50">
        <f t="shared" si="4"/>
        <v>41</v>
      </c>
      <c r="D50">
        <v>510404</v>
      </c>
      <c r="E50">
        <v>0</v>
      </c>
      <c r="F50">
        <v>0</v>
      </c>
      <c r="G50">
        <f t="shared" si="0"/>
        <v>13376</v>
      </c>
      <c r="H50">
        <v>0.9</v>
      </c>
    </row>
    <row r="51" spans="1:8" x14ac:dyDescent="0.15">
      <c r="A51">
        <v>5</v>
      </c>
      <c r="B51">
        <f t="shared" si="3"/>
        <v>45</v>
      </c>
      <c r="C51">
        <f t="shared" si="4"/>
        <v>41</v>
      </c>
      <c r="D51">
        <v>510405</v>
      </c>
      <c r="E51">
        <v>0</v>
      </c>
      <c r="F51">
        <v>0</v>
      </c>
      <c r="G51">
        <f t="shared" si="0"/>
        <v>15048</v>
      </c>
      <c r="H51">
        <v>0.9</v>
      </c>
    </row>
    <row r="52" spans="1:8" x14ac:dyDescent="0.15">
      <c r="A52">
        <v>6</v>
      </c>
      <c r="B52">
        <f t="shared" si="3"/>
        <v>45</v>
      </c>
      <c r="C52">
        <f t="shared" si="4"/>
        <v>41</v>
      </c>
      <c r="D52">
        <v>510406</v>
      </c>
      <c r="E52">
        <v>0</v>
      </c>
      <c r="F52">
        <v>0</v>
      </c>
      <c r="G52">
        <f t="shared" si="0"/>
        <v>16929</v>
      </c>
      <c r="H52">
        <v>0.9</v>
      </c>
    </row>
    <row r="53" spans="1:8" x14ac:dyDescent="0.15">
      <c r="A53">
        <v>7</v>
      </c>
      <c r="B53">
        <f t="shared" si="3"/>
        <v>45</v>
      </c>
      <c r="C53">
        <f t="shared" si="4"/>
        <v>41</v>
      </c>
      <c r="D53">
        <v>510407</v>
      </c>
      <c r="E53">
        <v>0</v>
      </c>
      <c r="F53">
        <v>0</v>
      </c>
      <c r="G53">
        <f t="shared" si="0"/>
        <v>15048</v>
      </c>
      <c r="H53">
        <v>0.9</v>
      </c>
    </row>
    <row r="54" spans="1:8" x14ac:dyDescent="0.15">
      <c r="A54">
        <v>8</v>
      </c>
      <c r="B54">
        <f t="shared" si="3"/>
        <v>45</v>
      </c>
      <c r="C54">
        <f t="shared" si="4"/>
        <v>41</v>
      </c>
      <c r="D54">
        <v>510408</v>
      </c>
      <c r="E54">
        <v>0</v>
      </c>
      <c r="F54">
        <v>0</v>
      </c>
      <c r="G54">
        <f t="shared" si="0"/>
        <v>16929</v>
      </c>
      <c r="H54">
        <v>0.9</v>
      </c>
    </row>
    <row r="55" spans="1:8" x14ac:dyDescent="0.15">
      <c r="A55">
        <v>9</v>
      </c>
      <c r="B55">
        <f t="shared" si="3"/>
        <v>45</v>
      </c>
      <c r="C55">
        <f t="shared" si="4"/>
        <v>41</v>
      </c>
      <c r="D55">
        <v>510409</v>
      </c>
      <c r="E55">
        <v>0</v>
      </c>
      <c r="F55">
        <v>0</v>
      </c>
      <c r="G55">
        <f t="shared" si="0"/>
        <v>19045</v>
      </c>
      <c r="H55">
        <v>0.9</v>
      </c>
    </row>
    <row r="56" spans="1:8" x14ac:dyDescent="0.15">
      <c r="A56">
        <v>10</v>
      </c>
      <c r="B56">
        <f t="shared" si="3"/>
        <v>45</v>
      </c>
      <c r="C56">
        <f t="shared" si="4"/>
        <v>41</v>
      </c>
      <c r="D56">
        <v>510410</v>
      </c>
      <c r="E56">
        <v>0</v>
      </c>
      <c r="F56">
        <v>0</v>
      </c>
      <c r="G56">
        <f t="shared" si="0"/>
        <v>16929</v>
      </c>
      <c r="H56">
        <v>0.9</v>
      </c>
    </row>
    <row r="57" spans="1:8" x14ac:dyDescent="0.15">
      <c r="A57">
        <v>11</v>
      </c>
      <c r="B57">
        <f t="shared" si="3"/>
        <v>45</v>
      </c>
      <c r="C57">
        <f t="shared" si="4"/>
        <v>41</v>
      </c>
      <c r="D57">
        <v>510411</v>
      </c>
      <c r="E57">
        <v>0</v>
      </c>
      <c r="F57">
        <v>0</v>
      </c>
      <c r="G57">
        <f t="shared" si="0"/>
        <v>19045</v>
      </c>
      <c r="H57">
        <v>0.9</v>
      </c>
    </row>
    <row r="58" spans="1:8" x14ac:dyDescent="0.15">
      <c r="A58">
        <v>12</v>
      </c>
      <c r="B58">
        <f t="shared" si="3"/>
        <v>45</v>
      </c>
      <c r="C58">
        <f t="shared" si="4"/>
        <v>41</v>
      </c>
      <c r="D58">
        <v>510412</v>
      </c>
      <c r="E58">
        <v>0</v>
      </c>
      <c r="F58">
        <v>0</v>
      </c>
      <c r="G58">
        <f t="shared" si="0"/>
        <v>21425</v>
      </c>
      <c r="H58">
        <v>0.9</v>
      </c>
    </row>
    <row r="59" spans="1:8" x14ac:dyDescent="0.15">
      <c r="A59">
        <v>13</v>
      </c>
      <c r="B59">
        <f t="shared" si="3"/>
        <v>45</v>
      </c>
      <c r="C59">
        <f t="shared" si="4"/>
        <v>41</v>
      </c>
      <c r="D59">
        <v>510413</v>
      </c>
      <c r="E59">
        <v>0</v>
      </c>
      <c r="F59">
        <v>0</v>
      </c>
      <c r="G59">
        <f t="shared" si="0"/>
        <v>19045</v>
      </c>
      <c r="H59">
        <v>0.9</v>
      </c>
    </row>
    <row r="60" spans="1:8" x14ac:dyDescent="0.15">
      <c r="A60">
        <v>14</v>
      </c>
      <c r="B60">
        <f t="shared" si="3"/>
        <v>45</v>
      </c>
      <c r="C60">
        <f t="shared" si="4"/>
        <v>41</v>
      </c>
      <c r="D60">
        <v>510414</v>
      </c>
      <c r="E60">
        <v>0</v>
      </c>
      <c r="F60">
        <v>0</v>
      </c>
      <c r="G60">
        <f t="shared" si="0"/>
        <v>21425</v>
      </c>
      <c r="H60">
        <v>0.9</v>
      </c>
    </row>
    <row r="61" spans="1:8" x14ac:dyDescent="0.15">
      <c r="A61">
        <v>15</v>
      </c>
      <c r="B61">
        <f t="shared" si="3"/>
        <v>45</v>
      </c>
      <c r="C61">
        <f t="shared" si="4"/>
        <v>41</v>
      </c>
      <c r="D61">
        <v>510415</v>
      </c>
      <c r="E61">
        <v>0</v>
      </c>
      <c r="F61">
        <v>0</v>
      </c>
      <c r="G61">
        <f t="shared" si="0"/>
        <v>24103</v>
      </c>
      <c r="H61">
        <v>0.9</v>
      </c>
    </row>
    <row r="62" spans="1:8" x14ac:dyDescent="0.15">
      <c r="A62">
        <v>1</v>
      </c>
      <c r="B62">
        <f>B47+5</f>
        <v>50</v>
      </c>
      <c r="C62">
        <f>C47+5</f>
        <v>46</v>
      </c>
      <c r="D62">
        <v>510501</v>
      </c>
      <c r="E62">
        <v>0</v>
      </c>
      <c r="F62">
        <v>0</v>
      </c>
      <c r="G62">
        <f t="shared" si="0"/>
        <v>13211</v>
      </c>
      <c r="H62">
        <v>1</v>
      </c>
    </row>
    <row r="63" spans="1:8" x14ac:dyDescent="0.15">
      <c r="A63">
        <v>2</v>
      </c>
      <c r="B63">
        <f t="shared" ref="B63:B126" si="5">B48+5</f>
        <v>50</v>
      </c>
      <c r="C63">
        <f t="shared" ref="C63:C126" si="6">C48+5</f>
        <v>46</v>
      </c>
      <c r="D63">
        <v>510502</v>
      </c>
      <c r="E63">
        <v>0</v>
      </c>
      <c r="F63">
        <v>0</v>
      </c>
      <c r="G63">
        <f t="shared" si="0"/>
        <v>14862</v>
      </c>
      <c r="H63">
        <v>1</v>
      </c>
    </row>
    <row r="64" spans="1:8" x14ac:dyDescent="0.15">
      <c r="A64">
        <v>3</v>
      </c>
      <c r="B64">
        <f t="shared" si="5"/>
        <v>50</v>
      </c>
      <c r="C64">
        <f t="shared" si="6"/>
        <v>46</v>
      </c>
      <c r="D64">
        <v>510503</v>
      </c>
      <c r="E64">
        <v>0</v>
      </c>
      <c r="F64">
        <v>0</v>
      </c>
      <c r="G64">
        <f t="shared" si="0"/>
        <v>16720</v>
      </c>
      <c r="H64">
        <v>1</v>
      </c>
    </row>
    <row r="65" spans="1:8" x14ac:dyDescent="0.15">
      <c r="A65">
        <v>4</v>
      </c>
      <c r="B65">
        <f t="shared" si="5"/>
        <v>50</v>
      </c>
      <c r="C65">
        <f t="shared" si="6"/>
        <v>46</v>
      </c>
      <c r="D65">
        <v>510504</v>
      </c>
      <c r="E65">
        <v>0</v>
      </c>
      <c r="F65">
        <v>0</v>
      </c>
      <c r="G65">
        <f t="shared" si="0"/>
        <v>14862</v>
      </c>
      <c r="H65">
        <v>1</v>
      </c>
    </row>
    <row r="66" spans="1:8" x14ac:dyDescent="0.15">
      <c r="A66">
        <v>5</v>
      </c>
      <c r="B66">
        <f t="shared" si="5"/>
        <v>50</v>
      </c>
      <c r="C66">
        <f t="shared" si="6"/>
        <v>46</v>
      </c>
      <c r="D66">
        <v>510505</v>
      </c>
      <c r="E66">
        <v>0</v>
      </c>
      <c r="F66">
        <v>0</v>
      </c>
      <c r="G66">
        <f t="shared" si="0"/>
        <v>16720</v>
      </c>
      <c r="H66">
        <v>1</v>
      </c>
    </row>
    <row r="67" spans="1:8" x14ac:dyDescent="0.15">
      <c r="A67">
        <v>6</v>
      </c>
      <c r="B67">
        <f t="shared" si="5"/>
        <v>50</v>
      </c>
      <c r="C67">
        <f t="shared" si="6"/>
        <v>46</v>
      </c>
      <c r="D67">
        <v>510506</v>
      </c>
      <c r="E67">
        <v>0</v>
      </c>
      <c r="F67">
        <v>0</v>
      </c>
      <c r="G67">
        <f t="shared" ref="G67:G130" si="7">ROUND(VLOOKUP(A67,$M$3:$O$17,3,FALSE)*H67,0)</f>
        <v>18810</v>
      </c>
      <c r="H67">
        <v>1</v>
      </c>
    </row>
    <row r="68" spans="1:8" x14ac:dyDescent="0.15">
      <c r="A68">
        <v>7</v>
      </c>
      <c r="B68">
        <f t="shared" si="5"/>
        <v>50</v>
      </c>
      <c r="C68">
        <f t="shared" si="6"/>
        <v>46</v>
      </c>
      <c r="D68">
        <v>510507</v>
      </c>
      <c r="E68">
        <v>0</v>
      </c>
      <c r="F68">
        <v>0</v>
      </c>
      <c r="G68">
        <f t="shared" si="7"/>
        <v>16720</v>
      </c>
      <c r="H68">
        <v>1</v>
      </c>
    </row>
    <row r="69" spans="1:8" x14ac:dyDescent="0.15">
      <c r="A69">
        <v>8</v>
      </c>
      <c r="B69">
        <f t="shared" si="5"/>
        <v>50</v>
      </c>
      <c r="C69">
        <f t="shared" si="6"/>
        <v>46</v>
      </c>
      <c r="D69">
        <v>510508</v>
      </c>
      <c r="E69">
        <v>0</v>
      </c>
      <c r="F69">
        <v>0</v>
      </c>
      <c r="G69">
        <f t="shared" si="7"/>
        <v>18810</v>
      </c>
      <c r="H69">
        <v>1</v>
      </c>
    </row>
    <row r="70" spans="1:8" x14ac:dyDescent="0.15">
      <c r="A70">
        <v>9</v>
      </c>
      <c r="B70">
        <f t="shared" si="5"/>
        <v>50</v>
      </c>
      <c r="C70">
        <f t="shared" si="6"/>
        <v>46</v>
      </c>
      <c r="D70">
        <v>510509</v>
      </c>
      <c r="E70">
        <v>0</v>
      </c>
      <c r="F70">
        <v>0</v>
      </c>
      <c r="G70">
        <f t="shared" si="7"/>
        <v>21161</v>
      </c>
      <c r="H70">
        <v>1</v>
      </c>
    </row>
    <row r="71" spans="1:8" x14ac:dyDescent="0.15">
      <c r="A71">
        <v>10</v>
      </c>
      <c r="B71">
        <f t="shared" si="5"/>
        <v>50</v>
      </c>
      <c r="C71">
        <f t="shared" si="6"/>
        <v>46</v>
      </c>
      <c r="D71">
        <v>510510</v>
      </c>
      <c r="E71">
        <v>0</v>
      </c>
      <c r="F71">
        <v>0</v>
      </c>
      <c r="G71">
        <f t="shared" si="7"/>
        <v>18810</v>
      </c>
      <c r="H71">
        <v>1</v>
      </c>
    </row>
    <row r="72" spans="1:8" x14ac:dyDescent="0.15">
      <c r="A72">
        <v>11</v>
      </c>
      <c r="B72">
        <f t="shared" si="5"/>
        <v>50</v>
      </c>
      <c r="C72">
        <f t="shared" si="6"/>
        <v>46</v>
      </c>
      <c r="D72">
        <v>510511</v>
      </c>
      <c r="E72">
        <v>0</v>
      </c>
      <c r="F72">
        <v>0</v>
      </c>
      <c r="G72">
        <f t="shared" si="7"/>
        <v>21161</v>
      </c>
      <c r="H72">
        <v>1</v>
      </c>
    </row>
    <row r="73" spans="1:8" x14ac:dyDescent="0.15">
      <c r="A73">
        <v>12</v>
      </c>
      <c r="B73">
        <f t="shared" si="5"/>
        <v>50</v>
      </c>
      <c r="C73">
        <f t="shared" si="6"/>
        <v>46</v>
      </c>
      <c r="D73">
        <v>510512</v>
      </c>
      <c r="E73">
        <v>0</v>
      </c>
      <c r="F73">
        <v>0</v>
      </c>
      <c r="G73">
        <f t="shared" si="7"/>
        <v>23806</v>
      </c>
      <c r="H73">
        <v>1</v>
      </c>
    </row>
    <row r="74" spans="1:8" x14ac:dyDescent="0.15">
      <c r="A74">
        <v>13</v>
      </c>
      <c r="B74">
        <f t="shared" si="5"/>
        <v>50</v>
      </c>
      <c r="C74">
        <f t="shared" si="6"/>
        <v>46</v>
      </c>
      <c r="D74">
        <v>510513</v>
      </c>
      <c r="E74">
        <v>0</v>
      </c>
      <c r="F74">
        <v>0</v>
      </c>
      <c r="G74">
        <f t="shared" si="7"/>
        <v>21161</v>
      </c>
      <c r="H74">
        <v>1</v>
      </c>
    </row>
    <row r="75" spans="1:8" x14ac:dyDescent="0.15">
      <c r="A75">
        <v>14</v>
      </c>
      <c r="B75">
        <f t="shared" si="5"/>
        <v>50</v>
      </c>
      <c r="C75">
        <f t="shared" si="6"/>
        <v>46</v>
      </c>
      <c r="D75">
        <v>510514</v>
      </c>
      <c r="E75">
        <v>0</v>
      </c>
      <c r="F75">
        <v>0</v>
      </c>
      <c r="G75">
        <f t="shared" si="7"/>
        <v>23806</v>
      </c>
      <c r="H75">
        <v>1</v>
      </c>
    </row>
    <row r="76" spans="1:8" x14ac:dyDescent="0.15">
      <c r="A76">
        <v>15</v>
      </c>
      <c r="B76">
        <f t="shared" si="5"/>
        <v>50</v>
      </c>
      <c r="C76">
        <f t="shared" si="6"/>
        <v>46</v>
      </c>
      <c r="D76">
        <v>510515</v>
      </c>
      <c r="E76">
        <v>0</v>
      </c>
      <c r="F76">
        <v>0</v>
      </c>
      <c r="G76">
        <f t="shared" si="7"/>
        <v>26782</v>
      </c>
      <c r="H76">
        <v>1</v>
      </c>
    </row>
    <row r="77" spans="1:8" x14ac:dyDescent="0.15">
      <c r="A77">
        <v>1</v>
      </c>
      <c r="B77">
        <f t="shared" si="5"/>
        <v>55</v>
      </c>
      <c r="C77">
        <f t="shared" si="6"/>
        <v>51</v>
      </c>
      <c r="D77">
        <v>510601</v>
      </c>
      <c r="E77">
        <v>0</v>
      </c>
      <c r="F77">
        <v>0</v>
      </c>
      <c r="G77">
        <f t="shared" si="7"/>
        <v>13871</v>
      </c>
      <c r="H77">
        <v>1.05</v>
      </c>
    </row>
    <row r="78" spans="1:8" x14ac:dyDescent="0.15">
      <c r="A78">
        <v>2</v>
      </c>
      <c r="B78">
        <f t="shared" si="5"/>
        <v>55</v>
      </c>
      <c r="C78">
        <f t="shared" si="6"/>
        <v>51</v>
      </c>
      <c r="D78">
        <v>510602</v>
      </c>
      <c r="E78">
        <v>0</v>
      </c>
      <c r="F78">
        <v>0</v>
      </c>
      <c r="G78">
        <f t="shared" si="7"/>
        <v>15605</v>
      </c>
      <c r="H78">
        <v>1.05</v>
      </c>
    </row>
    <row r="79" spans="1:8" x14ac:dyDescent="0.15">
      <c r="A79">
        <v>3</v>
      </c>
      <c r="B79">
        <f t="shared" si="5"/>
        <v>55</v>
      </c>
      <c r="C79">
        <f t="shared" si="6"/>
        <v>51</v>
      </c>
      <c r="D79">
        <v>510603</v>
      </c>
      <c r="E79">
        <v>0</v>
      </c>
      <c r="F79">
        <v>0</v>
      </c>
      <c r="G79">
        <f t="shared" si="7"/>
        <v>17556</v>
      </c>
      <c r="H79">
        <v>1.05</v>
      </c>
    </row>
    <row r="80" spans="1:8" x14ac:dyDescent="0.15">
      <c r="A80">
        <v>4</v>
      </c>
      <c r="B80">
        <f t="shared" si="5"/>
        <v>55</v>
      </c>
      <c r="C80">
        <f t="shared" si="6"/>
        <v>51</v>
      </c>
      <c r="D80">
        <v>510604</v>
      </c>
      <c r="E80">
        <v>0</v>
      </c>
      <c r="F80">
        <v>0</v>
      </c>
      <c r="G80">
        <f t="shared" si="7"/>
        <v>15605</v>
      </c>
      <c r="H80">
        <v>1.05</v>
      </c>
    </row>
    <row r="81" spans="1:8" x14ac:dyDescent="0.15">
      <c r="A81">
        <v>5</v>
      </c>
      <c r="B81">
        <f t="shared" si="5"/>
        <v>55</v>
      </c>
      <c r="C81">
        <f t="shared" si="6"/>
        <v>51</v>
      </c>
      <c r="D81">
        <v>510605</v>
      </c>
      <c r="E81">
        <v>0</v>
      </c>
      <c r="F81">
        <v>0</v>
      </c>
      <c r="G81">
        <f t="shared" si="7"/>
        <v>17556</v>
      </c>
      <c r="H81">
        <v>1.05</v>
      </c>
    </row>
    <row r="82" spans="1:8" x14ac:dyDescent="0.15">
      <c r="A82">
        <v>6</v>
      </c>
      <c r="B82">
        <f t="shared" si="5"/>
        <v>55</v>
      </c>
      <c r="C82">
        <f t="shared" si="6"/>
        <v>51</v>
      </c>
      <c r="D82">
        <v>510606</v>
      </c>
      <c r="E82">
        <v>0</v>
      </c>
      <c r="F82">
        <v>0</v>
      </c>
      <c r="G82">
        <f t="shared" si="7"/>
        <v>19750</v>
      </c>
      <c r="H82">
        <v>1.05</v>
      </c>
    </row>
    <row r="83" spans="1:8" x14ac:dyDescent="0.15">
      <c r="A83">
        <v>7</v>
      </c>
      <c r="B83">
        <f t="shared" si="5"/>
        <v>55</v>
      </c>
      <c r="C83">
        <f t="shared" si="6"/>
        <v>51</v>
      </c>
      <c r="D83">
        <v>510607</v>
      </c>
      <c r="E83">
        <v>0</v>
      </c>
      <c r="F83">
        <v>0</v>
      </c>
      <c r="G83">
        <f t="shared" si="7"/>
        <v>17556</v>
      </c>
      <c r="H83">
        <v>1.05</v>
      </c>
    </row>
    <row r="84" spans="1:8" x14ac:dyDescent="0.15">
      <c r="A84">
        <v>8</v>
      </c>
      <c r="B84">
        <f t="shared" si="5"/>
        <v>55</v>
      </c>
      <c r="C84">
        <f t="shared" si="6"/>
        <v>51</v>
      </c>
      <c r="D84">
        <v>510608</v>
      </c>
      <c r="E84">
        <v>0</v>
      </c>
      <c r="F84">
        <v>0</v>
      </c>
      <c r="G84">
        <f t="shared" si="7"/>
        <v>19750</v>
      </c>
      <c r="H84">
        <v>1.05</v>
      </c>
    </row>
    <row r="85" spans="1:8" x14ac:dyDescent="0.15">
      <c r="A85">
        <v>9</v>
      </c>
      <c r="B85">
        <f t="shared" si="5"/>
        <v>55</v>
      </c>
      <c r="C85">
        <f t="shared" si="6"/>
        <v>51</v>
      </c>
      <c r="D85">
        <v>510609</v>
      </c>
      <c r="E85">
        <v>0</v>
      </c>
      <c r="F85">
        <v>0</v>
      </c>
      <c r="G85">
        <f t="shared" si="7"/>
        <v>22219</v>
      </c>
      <c r="H85">
        <v>1.05</v>
      </c>
    </row>
    <row r="86" spans="1:8" x14ac:dyDescent="0.15">
      <c r="A86">
        <v>10</v>
      </c>
      <c r="B86">
        <f t="shared" si="5"/>
        <v>55</v>
      </c>
      <c r="C86">
        <f t="shared" si="6"/>
        <v>51</v>
      </c>
      <c r="D86">
        <v>510610</v>
      </c>
      <c r="E86">
        <v>0</v>
      </c>
      <c r="F86">
        <v>0</v>
      </c>
      <c r="G86">
        <f t="shared" si="7"/>
        <v>19750</v>
      </c>
      <c r="H86">
        <v>1.05</v>
      </c>
    </row>
    <row r="87" spans="1:8" x14ac:dyDescent="0.15">
      <c r="A87">
        <v>11</v>
      </c>
      <c r="B87">
        <f t="shared" si="5"/>
        <v>55</v>
      </c>
      <c r="C87">
        <f t="shared" si="6"/>
        <v>51</v>
      </c>
      <c r="D87">
        <v>510611</v>
      </c>
      <c r="E87">
        <v>0</v>
      </c>
      <c r="F87">
        <v>0</v>
      </c>
      <c r="G87">
        <f t="shared" si="7"/>
        <v>22219</v>
      </c>
      <c r="H87">
        <v>1.05</v>
      </c>
    </row>
    <row r="88" spans="1:8" x14ac:dyDescent="0.15">
      <c r="A88">
        <v>12</v>
      </c>
      <c r="B88">
        <f t="shared" si="5"/>
        <v>55</v>
      </c>
      <c r="C88">
        <f t="shared" si="6"/>
        <v>51</v>
      </c>
      <c r="D88">
        <v>510612</v>
      </c>
      <c r="E88">
        <v>0</v>
      </c>
      <c r="F88">
        <v>0</v>
      </c>
      <c r="G88">
        <f t="shared" si="7"/>
        <v>24996</v>
      </c>
      <c r="H88">
        <v>1.05</v>
      </c>
    </row>
    <row r="89" spans="1:8" x14ac:dyDescent="0.15">
      <c r="A89">
        <v>13</v>
      </c>
      <c r="B89">
        <f t="shared" si="5"/>
        <v>55</v>
      </c>
      <c r="C89">
        <f t="shared" si="6"/>
        <v>51</v>
      </c>
      <c r="D89">
        <v>510613</v>
      </c>
      <c r="E89">
        <v>0</v>
      </c>
      <c r="F89">
        <v>0</v>
      </c>
      <c r="G89">
        <f t="shared" si="7"/>
        <v>22219</v>
      </c>
      <c r="H89">
        <v>1.05</v>
      </c>
    </row>
    <row r="90" spans="1:8" x14ac:dyDescent="0.15">
      <c r="A90">
        <v>14</v>
      </c>
      <c r="B90">
        <f t="shared" si="5"/>
        <v>55</v>
      </c>
      <c r="C90">
        <f t="shared" si="6"/>
        <v>51</v>
      </c>
      <c r="D90">
        <v>510614</v>
      </c>
      <c r="E90">
        <v>0</v>
      </c>
      <c r="F90">
        <v>0</v>
      </c>
      <c r="G90">
        <f t="shared" si="7"/>
        <v>24996</v>
      </c>
      <c r="H90">
        <v>1.05</v>
      </c>
    </row>
    <row r="91" spans="1:8" x14ac:dyDescent="0.15">
      <c r="A91">
        <v>15</v>
      </c>
      <c r="B91">
        <f t="shared" si="5"/>
        <v>55</v>
      </c>
      <c r="C91">
        <f t="shared" si="6"/>
        <v>51</v>
      </c>
      <c r="D91">
        <v>510615</v>
      </c>
      <c r="E91">
        <v>0</v>
      </c>
      <c r="F91">
        <v>0</v>
      </c>
      <c r="G91">
        <f t="shared" si="7"/>
        <v>28121</v>
      </c>
      <c r="H91">
        <v>1.05</v>
      </c>
    </row>
    <row r="92" spans="1:8" x14ac:dyDescent="0.15">
      <c r="A92">
        <v>1</v>
      </c>
      <c r="B92">
        <f t="shared" si="5"/>
        <v>60</v>
      </c>
      <c r="C92">
        <f t="shared" si="6"/>
        <v>56</v>
      </c>
      <c r="D92">
        <v>510701</v>
      </c>
      <c r="E92">
        <v>0</v>
      </c>
      <c r="F92">
        <v>0</v>
      </c>
      <c r="G92">
        <f t="shared" si="7"/>
        <v>14532</v>
      </c>
      <c r="H92">
        <v>1.1000000000000001</v>
      </c>
    </row>
    <row r="93" spans="1:8" x14ac:dyDescent="0.15">
      <c r="A93">
        <v>2</v>
      </c>
      <c r="B93">
        <f t="shared" si="5"/>
        <v>60</v>
      </c>
      <c r="C93">
        <f t="shared" si="6"/>
        <v>56</v>
      </c>
      <c r="D93">
        <v>510702</v>
      </c>
      <c r="E93">
        <v>0</v>
      </c>
      <c r="F93">
        <v>0</v>
      </c>
      <c r="G93">
        <f t="shared" si="7"/>
        <v>16348</v>
      </c>
      <c r="H93">
        <v>1.1000000000000001</v>
      </c>
    </row>
    <row r="94" spans="1:8" x14ac:dyDescent="0.15">
      <c r="A94">
        <v>3</v>
      </c>
      <c r="B94">
        <f t="shared" si="5"/>
        <v>60</v>
      </c>
      <c r="C94">
        <f t="shared" si="6"/>
        <v>56</v>
      </c>
      <c r="D94">
        <v>510703</v>
      </c>
      <c r="E94">
        <v>0</v>
      </c>
      <c r="F94">
        <v>0</v>
      </c>
      <c r="G94">
        <f t="shared" si="7"/>
        <v>18392</v>
      </c>
      <c r="H94">
        <v>1.1000000000000001</v>
      </c>
    </row>
    <row r="95" spans="1:8" x14ac:dyDescent="0.15">
      <c r="A95">
        <v>4</v>
      </c>
      <c r="B95">
        <f t="shared" si="5"/>
        <v>60</v>
      </c>
      <c r="C95">
        <f t="shared" si="6"/>
        <v>56</v>
      </c>
      <c r="D95">
        <v>510704</v>
      </c>
      <c r="E95">
        <v>0</v>
      </c>
      <c r="F95">
        <v>0</v>
      </c>
      <c r="G95">
        <f t="shared" si="7"/>
        <v>16348</v>
      </c>
      <c r="H95">
        <v>1.1000000000000001</v>
      </c>
    </row>
    <row r="96" spans="1:8" x14ac:dyDescent="0.15">
      <c r="A96">
        <v>5</v>
      </c>
      <c r="B96">
        <f t="shared" si="5"/>
        <v>60</v>
      </c>
      <c r="C96">
        <f t="shared" si="6"/>
        <v>56</v>
      </c>
      <c r="D96">
        <v>510705</v>
      </c>
      <c r="E96">
        <v>0</v>
      </c>
      <c r="F96">
        <v>0</v>
      </c>
      <c r="G96">
        <f t="shared" si="7"/>
        <v>18392</v>
      </c>
      <c r="H96">
        <v>1.1000000000000001</v>
      </c>
    </row>
    <row r="97" spans="1:8" x14ac:dyDescent="0.15">
      <c r="A97">
        <v>6</v>
      </c>
      <c r="B97">
        <f t="shared" si="5"/>
        <v>60</v>
      </c>
      <c r="C97">
        <f t="shared" si="6"/>
        <v>56</v>
      </c>
      <c r="D97">
        <v>510706</v>
      </c>
      <c r="E97">
        <v>0</v>
      </c>
      <c r="F97">
        <v>0</v>
      </c>
      <c r="G97">
        <f t="shared" si="7"/>
        <v>20690</v>
      </c>
      <c r="H97">
        <v>1.1000000000000001</v>
      </c>
    </row>
    <row r="98" spans="1:8" x14ac:dyDescent="0.15">
      <c r="A98">
        <v>7</v>
      </c>
      <c r="B98">
        <f t="shared" si="5"/>
        <v>60</v>
      </c>
      <c r="C98">
        <f t="shared" si="6"/>
        <v>56</v>
      </c>
      <c r="D98">
        <v>510707</v>
      </c>
      <c r="E98">
        <v>0</v>
      </c>
      <c r="F98">
        <v>0</v>
      </c>
      <c r="G98">
        <f t="shared" si="7"/>
        <v>18392</v>
      </c>
      <c r="H98">
        <v>1.1000000000000001</v>
      </c>
    </row>
    <row r="99" spans="1:8" x14ac:dyDescent="0.15">
      <c r="A99">
        <v>8</v>
      </c>
      <c r="B99">
        <f t="shared" si="5"/>
        <v>60</v>
      </c>
      <c r="C99">
        <f t="shared" si="6"/>
        <v>56</v>
      </c>
      <c r="D99">
        <v>510708</v>
      </c>
      <c r="E99">
        <v>0</v>
      </c>
      <c r="F99">
        <v>0</v>
      </c>
      <c r="G99">
        <f t="shared" si="7"/>
        <v>20690</v>
      </c>
      <c r="H99">
        <v>1.1000000000000001</v>
      </c>
    </row>
    <row r="100" spans="1:8" x14ac:dyDescent="0.15">
      <c r="A100">
        <v>9</v>
      </c>
      <c r="B100">
        <f t="shared" si="5"/>
        <v>60</v>
      </c>
      <c r="C100">
        <f t="shared" si="6"/>
        <v>56</v>
      </c>
      <c r="D100">
        <v>510709</v>
      </c>
      <c r="E100">
        <v>0</v>
      </c>
      <c r="F100">
        <v>0</v>
      </c>
      <c r="G100">
        <f t="shared" si="7"/>
        <v>23277</v>
      </c>
      <c r="H100">
        <v>1.1000000000000001</v>
      </c>
    </row>
    <row r="101" spans="1:8" x14ac:dyDescent="0.15">
      <c r="A101">
        <v>10</v>
      </c>
      <c r="B101">
        <f t="shared" si="5"/>
        <v>60</v>
      </c>
      <c r="C101">
        <f t="shared" si="6"/>
        <v>56</v>
      </c>
      <c r="D101">
        <v>510710</v>
      </c>
      <c r="E101">
        <v>0</v>
      </c>
      <c r="F101">
        <v>0</v>
      </c>
      <c r="G101">
        <f t="shared" si="7"/>
        <v>20690</v>
      </c>
      <c r="H101">
        <v>1.1000000000000001</v>
      </c>
    </row>
    <row r="102" spans="1:8" x14ac:dyDescent="0.15">
      <c r="A102">
        <v>11</v>
      </c>
      <c r="B102">
        <f t="shared" si="5"/>
        <v>60</v>
      </c>
      <c r="C102">
        <f t="shared" si="6"/>
        <v>56</v>
      </c>
      <c r="D102">
        <v>510711</v>
      </c>
      <c r="E102">
        <v>0</v>
      </c>
      <c r="F102">
        <v>0</v>
      </c>
      <c r="G102">
        <f t="shared" si="7"/>
        <v>23277</v>
      </c>
      <c r="H102">
        <v>1.1000000000000001</v>
      </c>
    </row>
    <row r="103" spans="1:8" x14ac:dyDescent="0.15">
      <c r="A103">
        <v>12</v>
      </c>
      <c r="B103">
        <f t="shared" si="5"/>
        <v>60</v>
      </c>
      <c r="C103">
        <f t="shared" si="6"/>
        <v>56</v>
      </c>
      <c r="D103">
        <v>510712</v>
      </c>
      <c r="E103">
        <v>0</v>
      </c>
      <c r="F103">
        <v>0</v>
      </c>
      <c r="G103">
        <f t="shared" si="7"/>
        <v>26186</v>
      </c>
      <c r="H103">
        <v>1.1000000000000001</v>
      </c>
    </row>
    <row r="104" spans="1:8" x14ac:dyDescent="0.15">
      <c r="A104">
        <v>13</v>
      </c>
      <c r="B104">
        <f t="shared" si="5"/>
        <v>60</v>
      </c>
      <c r="C104">
        <f t="shared" si="6"/>
        <v>56</v>
      </c>
      <c r="D104">
        <v>510713</v>
      </c>
      <c r="E104">
        <v>0</v>
      </c>
      <c r="F104">
        <v>0</v>
      </c>
      <c r="G104">
        <f t="shared" si="7"/>
        <v>23277</v>
      </c>
      <c r="H104">
        <v>1.1000000000000001</v>
      </c>
    </row>
    <row r="105" spans="1:8" x14ac:dyDescent="0.15">
      <c r="A105">
        <v>14</v>
      </c>
      <c r="B105">
        <f t="shared" si="5"/>
        <v>60</v>
      </c>
      <c r="C105">
        <f t="shared" si="6"/>
        <v>56</v>
      </c>
      <c r="D105">
        <v>510714</v>
      </c>
      <c r="E105">
        <v>0</v>
      </c>
      <c r="F105">
        <v>0</v>
      </c>
      <c r="G105">
        <f t="shared" si="7"/>
        <v>26186</v>
      </c>
      <c r="H105">
        <v>1.1000000000000001</v>
      </c>
    </row>
    <row r="106" spans="1:8" x14ac:dyDescent="0.15">
      <c r="A106">
        <v>15</v>
      </c>
      <c r="B106">
        <f t="shared" si="5"/>
        <v>60</v>
      </c>
      <c r="C106">
        <f t="shared" si="6"/>
        <v>56</v>
      </c>
      <c r="D106">
        <v>510715</v>
      </c>
      <c r="E106">
        <v>0</v>
      </c>
      <c r="F106">
        <v>0</v>
      </c>
      <c r="G106">
        <f t="shared" si="7"/>
        <v>29460</v>
      </c>
      <c r="H106">
        <v>1.1000000000000001</v>
      </c>
    </row>
    <row r="107" spans="1:8" x14ac:dyDescent="0.15">
      <c r="A107">
        <v>1</v>
      </c>
      <c r="B107">
        <f t="shared" si="5"/>
        <v>65</v>
      </c>
      <c r="C107">
        <f t="shared" si="6"/>
        <v>61</v>
      </c>
      <c r="D107">
        <v>510801</v>
      </c>
      <c r="E107">
        <v>0</v>
      </c>
      <c r="F107">
        <v>0</v>
      </c>
      <c r="G107">
        <f t="shared" si="7"/>
        <v>15192</v>
      </c>
      <c r="H107">
        <v>1.1499999999999999</v>
      </c>
    </row>
    <row r="108" spans="1:8" x14ac:dyDescent="0.15">
      <c r="A108">
        <v>2</v>
      </c>
      <c r="B108">
        <f t="shared" si="5"/>
        <v>65</v>
      </c>
      <c r="C108">
        <f t="shared" si="6"/>
        <v>61</v>
      </c>
      <c r="D108">
        <v>510802</v>
      </c>
      <c r="E108">
        <v>0</v>
      </c>
      <c r="F108">
        <v>0</v>
      </c>
      <c r="G108">
        <f t="shared" si="7"/>
        <v>17091</v>
      </c>
      <c r="H108">
        <v>1.1499999999999999</v>
      </c>
    </row>
    <row r="109" spans="1:8" x14ac:dyDescent="0.15">
      <c r="A109">
        <v>3</v>
      </c>
      <c r="B109">
        <f t="shared" si="5"/>
        <v>65</v>
      </c>
      <c r="C109">
        <f t="shared" si="6"/>
        <v>61</v>
      </c>
      <c r="D109">
        <v>510803</v>
      </c>
      <c r="E109">
        <v>0</v>
      </c>
      <c r="F109">
        <v>0</v>
      </c>
      <c r="G109">
        <f t="shared" si="7"/>
        <v>19228</v>
      </c>
      <c r="H109">
        <v>1.1499999999999999</v>
      </c>
    </row>
    <row r="110" spans="1:8" x14ac:dyDescent="0.15">
      <c r="A110">
        <v>4</v>
      </c>
      <c r="B110">
        <f t="shared" si="5"/>
        <v>65</v>
      </c>
      <c r="C110">
        <f t="shared" si="6"/>
        <v>61</v>
      </c>
      <c r="D110">
        <v>510804</v>
      </c>
      <c r="E110">
        <v>0</v>
      </c>
      <c r="F110">
        <v>0</v>
      </c>
      <c r="G110">
        <f t="shared" si="7"/>
        <v>17091</v>
      </c>
      <c r="H110">
        <v>1.1499999999999999</v>
      </c>
    </row>
    <row r="111" spans="1:8" x14ac:dyDescent="0.15">
      <c r="A111">
        <v>5</v>
      </c>
      <c r="B111">
        <f t="shared" si="5"/>
        <v>65</v>
      </c>
      <c r="C111">
        <f t="shared" si="6"/>
        <v>61</v>
      </c>
      <c r="D111">
        <v>510805</v>
      </c>
      <c r="E111">
        <v>0</v>
      </c>
      <c r="F111">
        <v>0</v>
      </c>
      <c r="G111">
        <f t="shared" si="7"/>
        <v>19228</v>
      </c>
      <c r="H111">
        <v>1.1499999999999999</v>
      </c>
    </row>
    <row r="112" spans="1:8" x14ac:dyDescent="0.15">
      <c r="A112">
        <v>6</v>
      </c>
      <c r="B112">
        <f t="shared" si="5"/>
        <v>65</v>
      </c>
      <c r="C112">
        <f t="shared" si="6"/>
        <v>61</v>
      </c>
      <c r="D112">
        <v>510806</v>
      </c>
      <c r="E112">
        <v>0</v>
      </c>
      <c r="F112">
        <v>0</v>
      </c>
      <c r="G112">
        <f t="shared" si="7"/>
        <v>21631</v>
      </c>
      <c r="H112">
        <v>1.1499999999999999</v>
      </c>
    </row>
    <row r="113" spans="1:8" x14ac:dyDescent="0.15">
      <c r="A113">
        <v>7</v>
      </c>
      <c r="B113">
        <f t="shared" si="5"/>
        <v>65</v>
      </c>
      <c r="C113">
        <f t="shared" si="6"/>
        <v>61</v>
      </c>
      <c r="D113">
        <v>510807</v>
      </c>
      <c r="E113">
        <v>0</v>
      </c>
      <c r="F113">
        <v>0</v>
      </c>
      <c r="G113">
        <f t="shared" si="7"/>
        <v>19228</v>
      </c>
      <c r="H113">
        <v>1.1499999999999999</v>
      </c>
    </row>
    <row r="114" spans="1:8" x14ac:dyDescent="0.15">
      <c r="A114">
        <v>8</v>
      </c>
      <c r="B114">
        <f t="shared" si="5"/>
        <v>65</v>
      </c>
      <c r="C114">
        <f t="shared" si="6"/>
        <v>61</v>
      </c>
      <c r="D114">
        <v>510808</v>
      </c>
      <c r="E114">
        <v>0</v>
      </c>
      <c r="F114">
        <v>0</v>
      </c>
      <c r="G114">
        <f t="shared" si="7"/>
        <v>21631</v>
      </c>
      <c r="H114">
        <v>1.1499999999999999</v>
      </c>
    </row>
    <row r="115" spans="1:8" x14ac:dyDescent="0.15">
      <c r="A115">
        <v>9</v>
      </c>
      <c r="B115">
        <f t="shared" si="5"/>
        <v>65</v>
      </c>
      <c r="C115">
        <f t="shared" si="6"/>
        <v>61</v>
      </c>
      <c r="D115">
        <v>510809</v>
      </c>
      <c r="E115">
        <v>0</v>
      </c>
      <c r="F115">
        <v>0</v>
      </c>
      <c r="G115">
        <f t="shared" si="7"/>
        <v>24335</v>
      </c>
      <c r="H115">
        <v>1.1499999999999999</v>
      </c>
    </row>
    <row r="116" spans="1:8" x14ac:dyDescent="0.15">
      <c r="A116">
        <v>10</v>
      </c>
      <c r="B116">
        <f t="shared" si="5"/>
        <v>65</v>
      </c>
      <c r="C116">
        <f t="shared" si="6"/>
        <v>61</v>
      </c>
      <c r="D116">
        <v>510810</v>
      </c>
      <c r="E116">
        <v>0</v>
      </c>
      <c r="F116">
        <v>0</v>
      </c>
      <c r="G116">
        <f t="shared" si="7"/>
        <v>21631</v>
      </c>
      <c r="H116">
        <v>1.1499999999999999</v>
      </c>
    </row>
    <row r="117" spans="1:8" x14ac:dyDescent="0.15">
      <c r="A117">
        <v>11</v>
      </c>
      <c r="B117">
        <f t="shared" si="5"/>
        <v>65</v>
      </c>
      <c r="C117">
        <f t="shared" si="6"/>
        <v>61</v>
      </c>
      <c r="D117">
        <v>510811</v>
      </c>
      <c r="E117">
        <v>0</v>
      </c>
      <c r="F117">
        <v>0</v>
      </c>
      <c r="G117">
        <f t="shared" si="7"/>
        <v>24335</v>
      </c>
      <c r="H117">
        <v>1.1499999999999999</v>
      </c>
    </row>
    <row r="118" spans="1:8" x14ac:dyDescent="0.15">
      <c r="A118">
        <v>12</v>
      </c>
      <c r="B118">
        <f t="shared" si="5"/>
        <v>65</v>
      </c>
      <c r="C118">
        <f t="shared" si="6"/>
        <v>61</v>
      </c>
      <c r="D118">
        <v>510812</v>
      </c>
      <c r="E118">
        <v>0</v>
      </c>
      <c r="F118">
        <v>0</v>
      </c>
      <c r="G118">
        <f t="shared" si="7"/>
        <v>27377</v>
      </c>
      <c r="H118">
        <v>1.1499999999999999</v>
      </c>
    </row>
    <row r="119" spans="1:8" x14ac:dyDescent="0.15">
      <c r="A119">
        <v>13</v>
      </c>
      <c r="B119">
        <f t="shared" si="5"/>
        <v>65</v>
      </c>
      <c r="C119">
        <f t="shared" si="6"/>
        <v>61</v>
      </c>
      <c r="D119">
        <v>510813</v>
      </c>
      <c r="E119">
        <v>0</v>
      </c>
      <c r="F119">
        <v>0</v>
      </c>
      <c r="G119">
        <f t="shared" si="7"/>
        <v>24335</v>
      </c>
      <c r="H119">
        <v>1.1499999999999999</v>
      </c>
    </row>
    <row r="120" spans="1:8" x14ac:dyDescent="0.15">
      <c r="A120">
        <v>14</v>
      </c>
      <c r="B120">
        <f t="shared" si="5"/>
        <v>65</v>
      </c>
      <c r="C120">
        <f t="shared" si="6"/>
        <v>61</v>
      </c>
      <c r="D120">
        <v>510814</v>
      </c>
      <c r="E120">
        <v>0</v>
      </c>
      <c r="F120">
        <v>0</v>
      </c>
      <c r="G120">
        <f t="shared" si="7"/>
        <v>27377</v>
      </c>
      <c r="H120">
        <v>1.1499999999999999</v>
      </c>
    </row>
    <row r="121" spans="1:8" x14ac:dyDescent="0.15">
      <c r="A121">
        <v>15</v>
      </c>
      <c r="B121">
        <f t="shared" si="5"/>
        <v>65</v>
      </c>
      <c r="C121">
        <f t="shared" si="6"/>
        <v>61</v>
      </c>
      <c r="D121">
        <v>510815</v>
      </c>
      <c r="E121">
        <v>0</v>
      </c>
      <c r="F121">
        <v>0</v>
      </c>
      <c r="G121">
        <f t="shared" si="7"/>
        <v>30799</v>
      </c>
      <c r="H121">
        <v>1.1499999999999999</v>
      </c>
    </row>
    <row r="122" spans="1:8" x14ac:dyDescent="0.15">
      <c r="A122">
        <v>1</v>
      </c>
      <c r="B122">
        <f t="shared" si="5"/>
        <v>70</v>
      </c>
      <c r="C122">
        <f t="shared" si="6"/>
        <v>66</v>
      </c>
      <c r="D122">
        <v>510901</v>
      </c>
      <c r="E122">
        <v>0</v>
      </c>
      <c r="F122">
        <v>0</v>
      </c>
      <c r="G122">
        <f t="shared" si="7"/>
        <v>15853</v>
      </c>
      <c r="H122">
        <v>1.2</v>
      </c>
    </row>
    <row r="123" spans="1:8" x14ac:dyDescent="0.15">
      <c r="A123">
        <v>2</v>
      </c>
      <c r="B123">
        <f t="shared" si="5"/>
        <v>70</v>
      </c>
      <c r="C123">
        <f t="shared" si="6"/>
        <v>66</v>
      </c>
      <c r="D123">
        <v>510902</v>
      </c>
      <c r="E123">
        <v>0</v>
      </c>
      <c r="F123">
        <v>0</v>
      </c>
      <c r="G123">
        <f t="shared" si="7"/>
        <v>17834</v>
      </c>
      <c r="H123">
        <v>1.2</v>
      </c>
    </row>
    <row r="124" spans="1:8" x14ac:dyDescent="0.15">
      <c r="A124">
        <v>3</v>
      </c>
      <c r="B124">
        <f t="shared" si="5"/>
        <v>70</v>
      </c>
      <c r="C124">
        <f t="shared" si="6"/>
        <v>66</v>
      </c>
      <c r="D124">
        <v>510903</v>
      </c>
      <c r="E124">
        <v>0</v>
      </c>
      <c r="F124">
        <v>0</v>
      </c>
      <c r="G124">
        <f t="shared" si="7"/>
        <v>20064</v>
      </c>
      <c r="H124">
        <v>1.2</v>
      </c>
    </row>
    <row r="125" spans="1:8" x14ac:dyDescent="0.15">
      <c r="A125">
        <v>4</v>
      </c>
      <c r="B125">
        <f t="shared" si="5"/>
        <v>70</v>
      </c>
      <c r="C125">
        <f t="shared" si="6"/>
        <v>66</v>
      </c>
      <c r="D125">
        <v>510904</v>
      </c>
      <c r="E125">
        <v>0</v>
      </c>
      <c r="F125">
        <v>0</v>
      </c>
      <c r="G125">
        <f t="shared" si="7"/>
        <v>17834</v>
      </c>
      <c r="H125">
        <v>1.2</v>
      </c>
    </row>
    <row r="126" spans="1:8" x14ac:dyDescent="0.15">
      <c r="A126">
        <v>5</v>
      </c>
      <c r="B126">
        <f t="shared" si="5"/>
        <v>70</v>
      </c>
      <c r="C126">
        <f t="shared" si="6"/>
        <v>66</v>
      </c>
      <c r="D126">
        <v>510905</v>
      </c>
      <c r="E126">
        <v>0</v>
      </c>
      <c r="F126">
        <v>0</v>
      </c>
      <c r="G126">
        <f t="shared" si="7"/>
        <v>20064</v>
      </c>
      <c r="H126">
        <v>1.2</v>
      </c>
    </row>
    <row r="127" spans="1:8" x14ac:dyDescent="0.15">
      <c r="A127">
        <v>6</v>
      </c>
      <c r="B127">
        <f t="shared" ref="B127:B166" si="8">B112+5</f>
        <v>70</v>
      </c>
      <c r="C127">
        <f t="shared" ref="C127:C166" si="9">C112+5</f>
        <v>66</v>
      </c>
      <c r="D127">
        <v>510906</v>
      </c>
      <c r="E127">
        <v>0</v>
      </c>
      <c r="F127">
        <v>0</v>
      </c>
      <c r="G127">
        <f t="shared" si="7"/>
        <v>22571</v>
      </c>
      <c r="H127">
        <v>1.2</v>
      </c>
    </row>
    <row r="128" spans="1:8" x14ac:dyDescent="0.15">
      <c r="A128">
        <v>7</v>
      </c>
      <c r="B128">
        <f t="shared" si="8"/>
        <v>70</v>
      </c>
      <c r="C128">
        <f t="shared" si="9"/>
        <v>66</v>
      </c>
      <c r="D128">
        <v>510907</v>
      </c>
      <c r="E128">
        <v>0</v>
      </c>
      <c r="F128">
        <v>0</v>
      </c>
      <c r="G128">
        <f t="shared" si="7"/>
        <v>20064</v>
      </c>
      <c r="H128">
        <v>1.2</v>
      </c>
    </row>
    <row r="129" spans="1:8" x14ac:dyDescent="0.15">
      <c r="A129">
        <v>8</v>
      </c>
      <c r="B129">
        <f t="shared" si="8"/>
        <v>70</v>
      </c>
      <c r="C129">
        <f t="shared" si="9"/>
        <v>66</v>
      </c>
      <c r="D129">
        <v>510908</v>
      </c>
      <c r="E129">
        <v>0</v>
      </c>
      <c r="F129">
        <v>0</v>
      </c>
      <c r="G129">
        <f t="shared" si="7"/>
        <v>22571</v>
      </c>
      <c r="H129">
        <v>1.2</v>
      </c>
    </row>
    <row r="130" spans="1:8" x14ac:dyDescent="0.15">
      <c r="A130">
        <v>9</v>
      </c>
      <c r="B130">
        <f t="shared" si="8"/>
        <v>70</v>
      </c>
      <c r="C130">
        <f t="shared" si="9"/>
        <v>66</v>
      </c>
      <c r="D130">
        <v>510909</v>
      </c>
      <c r="E130">
        <v>0</v>
      </c>
      <c r="F130">
        <v>0</v>
      </c>
      <c r="G130">
        <f t="shared" si="7"/>
        <v>25393</v>
      </c>
      <c r="H130">
        <v>1.2</v>
      </c>
    </row>
    <row r="131" spans="1:8" x14ac:dyDescent="0.15">
      <c r="A131">
        <v>10</v>
      </c>
      <c r="B131">
        <f t="shared" si="8"/>
        <v>70</v>
      </c>
      <c r="C131">
        <f t="shared" si="9"/>
        <v>66</v>
      </c>
      <c r="D131">
        <v>510910</v>
      </c>
      <c r="E131">
        <v>0</v>
      </c>
      <c r="F131">
        <v>0</v>
      </c>
      <c r="G131">
        <f t="shared" ref="G131:G166" si="10">ROUND(VLOOKUP(A131,$M$3:$O$17,3,FALSE)*H131,0)</f>
        <v>22571</v>
      </c>
      <c r="H131">
        <v>1.2</v>
      </c>
    </row>
    <row r="132" spans="1:8" x14ac:dyDescent="0.15">
      <c r="A132">
        <v>11</v>
      </c>
      <c r="B132">
        <f t="shared" si="8"/>
        <v>70</v>
      </c>
      <c r="C132">
        <f t="shared" si="9"/>
        <v>66</v>
      </c>
      <c r="D132">
        <v>510911</v>
      </c>
      <c r="E132">
        <v>0</v>
      </c>
      <c r="F132">
        <v>0</v>
      </c>
      <c r="G132">
        <f t="shared" si="10"/>
        <v>25393</v>
      </c>
      <c r="H132">
        <v>1.2</v>
      </c>
    </row>
    <row r="133" spans="1:8" x14ac:dyDescent="0.15">
      <c r="A133">
        <v>12</v>
      </c>
      <c r="B133">
        <f t="shared" si="8"/>
        <v>70</v>
      </c>
      <c r="C133">
        <f t="shared" si="9"/>
        <v>66</v>
      </c>
      <c r="D133">
        <v>510912</v>
      </c>
      <c r="E133">
        <v>0</v>
      </c>
      <c r="F133">
        <v>0</v>
      </c>
      <c r="G133">
        <f t="shared" si="10"/>
        <v>28567</v>
      </c>
      <c r="H133">
        <v>1.2</v>
      </c>
    </row>
    <row r="134" spans="1:8" x14ac:dyDescent="0.15">
      <c r="A134">
        <v>13</v>
      </c>
      <c r="B134">
        <f t="shared" si="8"/>
        <v>70</v>
      </c>
      <c r="C134">
        <f t="shared" si="9"/>
        <v>66</v>
      </c>
      <c r="D134">
        <v>510913</v>
      </c>
      <c r="E134">
        <v>0</v>
      </c>
      <c r="F134">
        <v>0</v>
      </c>
      <c r="G134">
        <f t="shared" si="10"/>
        <v>25393</v>
      </c>
      <c r="H134">
        <v>1.2</v>
      </c>
    </row>
    <row r="135" spans="1:8" x14ac:dyDescent="0.15">
      <c r="A135">
        <v>14</v>
      </c>
      <c r="B135">
        <f t="shared" si="8"/>
        <v>70</v>
      </c>
      <c r="C135">
        <f t="shared" si="9"/>
        <v>66</v>
      </c>
      <c r="D135">
        <v>510914</v>
      </c>
      <c r="E135">
        <v>0</v>
      </c>
      <c r="F135">
        <v>0</v>
      </c>
      <c r="G135">
        <f t="shared" si="10"/>
        <v>28567</v>
      </c>
      <c r="H135">
        <v>1.2</v>
      </c>
    </row>
    <row r="136" spans="1:8" x14ac:dyDescent="0.15">
      <c r="A136">
        <v>15</v>
      </c>
      <c r="B136">
        <f t="shared" si="8"/>
        <v>70</v>
      </c>
      <c r="C136">
        <f t="shared" si="9"/>
        <v>66</v>
      </c>
      <c r="D136">
        <v>510915</v>
      </c>
      <c r="E136">
        <v>0</v>
      </c>
      <c r="F136">
        <v>0</v>
      </c>
      <c r="G136">
        <f t="shared" si="10"/>
        <v>32138</v>
      </c>
      <c r="H136">
        <v>1.2</v>
      </c>
    </row>
    <row r="137" spans="1:8" x14ac:dyDescent="0.15">
      <c r="A137">
        <v>1</v>
      </c>
      <c r="B137">
        <f t="shared" si="8"/>
        <v>75</v>
      </c>
      <c r="C137">
        <f t="shared" si="9"/>
        <v>71</v>
      </c>
      <c r="D137">
        <f>D122+100</f>
        <v>511001</v>
      </c>
      <c r="E137">
        <v>0</v>
      </c>
      <c r="F137">
        <v>0</v>
      </c>
      <c r="G137">
        <f t="shared" si="10"/>
        <v>16513</v>
      </c>
      <c r="H137">
        <v>1.25</v>
      </c>
    </row>
    <row r="138" spans="1:8" x14ac:dyDescent="0.15">
      <c r="A138">
        <v>2</v>
      </c>
      <c r="B138">
        <f t="shared" si="8"/>
        <v>75</v>
      </c>
      <c r="C138">
        <f t="shared" si="9"/>
        <v>71</v>
      </c>
      <c r="D138">
        <f t="shared" ref="D138:D166" si="11">D123+100</f>
        <v>511002</v>
      </c>
      <c r="E138">
        <v>0</v>
      </c>
      <c r="F138">
        <v>0</v>
      </c>
      <c r="G138">
        <f t="shared" si="10"/>
        <v>18577</v>
      </c>
      <c r="H138">
        <v>1.25</v>
      </c>
    </row>
    <row r="139" spans="1:8" x14ac:dyDescent="0.15">
      <c r="A139">
        <v>3</v>
      </c>
      <c r="B139">
        <f t="shared" si="8"/>
        <v>75</v>
      </c>
      <c r="C139">
        <f t="shared" si="9"/>
        <v>71</v>
      </c>
      <c r="D139">
        <f t="shared" si="11"/>
        <v>511003</v>
      </c>
      <c r="E139">
        <v>0</v>
      </c>
      <c r="F139">
        <v>0</v>
      </c>
      <c r="G139">
        <f t="shared" si="10"/>
        <v>20899</v>
      </c>
      <c r="H139">
        <v>1.25</v>
      </c>
    </row>
    <row r="140" spans="1:8" x14ac:dyDescent="0.15">
      <c r="A140">
        <v>4</v>
      </c>
      <c r="B140">
        <f t="shared" si="8"/>
        <v>75</v>
      </c>
      <c r="C140">
        <f t="shared" si="9"/>
        <v>71</v>
      </c>
      <c r="D140">
        <f t="shared" si="11"/>
        <v>511004</v>
      </c>
      <c r="E140">
        <v>0</v>
      </c>
      <c r="F140">
        <v>0</v>
      </c>
      <c r="G140">
        <f t="shared" si="10"/>
        <v>18577</v>
      </c>
      <c r="H140">
        <v>1.25</v>
      </c>
    </row>
    <row r="141" spans="1:8" x14ac:dyDescent="0.15">
      <c r="A141">
        <v>5</v>
      </c>
      <c r="B141">
        <f t="shared" si="8"/>
        <v>75</v>
      </c>
      <c r="C141">
        <f t="shared" si="9"/>
        <v>71</v>
      </c>
      <c r="D141">
        <f t="shared" si="11"/>
        <v>511005</v>
      </c>
      <c r="E141">
        <v>0</v>
      </c>
      <c r="F141">
        <v>0</v>
      </c>
      <c r="G141">
        <f t="shared" si="10"/>
        <v>20899</v>
      </c>
      <c r="H141">
        <v>1.25</v>
      </c>
    </row>
    <row r="142" spans="1:8" x14ac:dyDescent="0.15">
      <c r="A142">
        <v>6</v>
      </c>
      <c r="B142">
        <f t="shared" si="8"/>
        <v>75</v>
      </c>
      <c r="C142">
        <f t="shared" si="9"/>
        <v>71</v>
      </c>
      <c r="D142">
        <f t="shared" si="11"/>
        <v>511006</v>
      </c>
      <c r="E142">
        <v>0</v>
      </c>
      <c r="F142">
        <v>0</v>
      </c>
      <c r="G142">
        <f t="shared" si="10"/>
        <v>23512</v>
      </c>
      <c r="H142">
        <v>1.25</v>
      </c>
    </row>
    <row r="143" spans="1:8" x14ac:dyDescent="0.15">
      <c r="A143">
        <v>7</v>
      </c>
      <c r="B143">
        <f t="shared" si="8"/>
        <v>75</v>
      </c>
      <c r="C143">
        <f t="shared" si="9"/>
        <v>71</v>
      </c>
      <c r="D143">
        <f t="shared" si="11"/>
        <v>511007</v>
      </c>
      <c r="E143">
        <v>0</v>
      </c>
      <c r="F143">
        <v>0</v>
      </c>
      <c r="G143">
        <f t="shared" si="10"/>
        <v>20899</v>
      </c>
      <c r="H143">
        <v>1.25</v>
      </c>
    </row>
    <row r="144" spans="1:8" x14ac:dyDescent="0.15">
      <c r="A144">
        <v>8</v>
      </c>
      <c r="B144">
        <f t="shared" si="8"/>
        <v>75</v>
      </c>
      <c r="C144">
        <f t="shared" si="9"/>
        <v>71</v>
      </c>
      <c r="D144">
        <f t="shared" si="11"/>
        <v>511008</v>
      </c>
      <c r="E144">
        <v>0</v>
      </c>
      <c r="F144">
        <v>0</v>
      </c>
      <c r="G144">
        <f t="shared" si="10"/>
        <v>23512</v>
      </c>
      <c r="H144">
        <v>1.25</v>
      </c>
    </row>
    <row r="145" spans="1:8" x14ac:dyDescent="0.15">
      <c r="A145">
        <v>9</v>
      </c>
      <c r="B145">
        <f t="shared" si="8"/>
        <v>75</v>
      </c>
      <c r="C145">
        <f t="shared" si="9"/>
        <v>71</v>
      </c>
      <c r="D145">
        <f t="shared" si="11"/>
        <v>511009</v>
      </c>
      <c r="E145">
        <v>0</v>
      </c>
      <c r="F145">
        <v>0</v>
      </c>
      <c r="G145">
        <f t="shared" si="10"/>
        <v>26451</v>
      </c>
      <c r="H145">
        <v>1.25</v>
      </c>
    </row>
    <row r="146" spans="1:8" x14ac:dyDescent="0.15">
      <c r="A146">
        <v>10</v>
      </c>
      <c r="B146">
        <f t="shared" si="8"/>
        <v>75</v>
      </c>
      <c r="C146">
        <f t="shared" si="9"/>
        <v>71</v>
      </c>
      <c r="D146">
        <f t="shared" si="11"/>
        <v>511010</v>
      </c>
      <c r="E146">
        <v>0</v>
      </c>
      <c r="F146">
        <v>0</v>
      </c>
      <c r="G146">
        <f t="shared" si="10"/>
        <v>23512</v>
      </c>
      <c r="H146">
        <v>1.25</v>
      </c>
    </row>
    <row r="147" spans="1:8" x14ac:dyDescent="0.15">
      <c r="A147">
        <v>11</v>
      </c>
      <c r="B147">
        <f t="shared" si="8"/>
        <v>75</v>
      </c>
      <c r="C147">
        <f t="shared" si="9"/>
        <v>71</v>
      </c>
      <c r="D147">
        <f t="shared" si="11"/>
        <v>511011</v>
      </c>
      <c r="E147">
        <v>0</v>
      </c>
      <c r="F147">
        <v>0</v>
      </c>
      <c r="G147">
        <f t="shared" si="10"/>
        <v>26451</v>
      </c>
      <c r="H147">
        <v>1.25</v>
      </c>
    </row>
    <row r="148" spans="1:8" x14ac:dyDescent="0.15">
      <c r="A148">
        <v>12</v>
      </c>
      <c r="B148">
        <f t="shared" si="8"/>
        <v>75</v>
      </c>
      <c r="C148">
        <f t="shared" si="9"/>
        <v>71</v>
      </c>
      <c r="D148">
        <f t="shared" si="11"/>
        <v>511012</v>
      </c>
      <c r="E148">
        <v>0</v>
      </c>
      <c r="F148">
        <v>0</v>
      </c>
      <c r="G148">
        <f t="shared" si="10"/>
        <v>29757</v>
      </c>
      <c r="H148">
        <v>1.25</v>
      </c>
    </row>
    <row r="149" spans="1:8" x14ac:dyDescent="0.15">
      <c r="A149">
        <v>13</v>
      </c>
      <c r="B149">
        <f t="shared" si="8"/>
        <v>75</v>
      </c>
      <c r="C149">
        <f t="shared" si="9"/>
        <v>71</v>
      </c>
      <c r="D149">
        <f t="shared" si="11"/>
        <v>511013</v>
      </c>
      <c r="E149">
        <v>0</v>
      </c>
      <c r="F149">
        <v>0</v>
      </c>
      <c r="G149">
        <f t="shared" si="10"/>
        <v>26451</v>
      </c>
      <c r="H149">
        <v>1.25</v>
      </c>
    </row>
    <row r="150" spans="1:8" x14ac:dyDescent="0.15">
      <c r="A150">
        <v>14</v>
      </c>
      <c r="B150">
        <f t="shared" si="8"/>
        <v>75</v>
      </c>
      <c r="C150">
        <f t="shared" si="9"/>
        <v>71</v>
      </c>
      <c r="D150">
        <f t="shared" si="11"/>
        <v>511014</v>
      </c>
      <c r="E150">
        <v>0</v>
      </c>
      <c r="F150">
        <v>0</v>
      </c>
      <c r="G150">
        <f t="shared" si="10"/>
        <v>29757</v>
      </c>
      <c r="H150">
        <v>1.25</v>
      </c>
    </row>
    <row r="151" spans="1:8" x14ac:dyDescent="0.15">
      <c r="A151">
        <v>15</v>
      </c>
      <c r="B151">
        <f t="shared" si="8"/>
        <v>75</v>
      </c>
      <c r="C151">
        <f t="shared" si="9"/>
        <v>71</v>
      </c>
      <c r="D151">
        <f t="shared" si="11"/>
        <v>511015</v>
      </c>
      <c r="E151">
        <v>0</v>
      </c>
      <c r="F151">
        <v>0</v>
      </c>
      <c r="G151">
        <f t="shared" si="10"/>
        <v>33477</v>
      </c>
      <c r="H151">
        <v>1.25</v>
      </c>
    </row>
    <row r="152" spans="1:8" x14ac:dyDescent="0.15">
      <c r="A152">
        <v>1</v>
      </c>
      <c r="B152">
        <f t="shared" si="8"/>
        <v>80</v>
      </c>
      <c r="C152">
        <f t="shared" si="9"/>
        <v>76</v>
      </c>
      <c r="D152">
        <f t="shared" si="11"/>
        <v>511101</v>
      </c>
      <c r="E152">
        <v>0</v>
      </c>
      <c r="F152">
        <v>0</v>
      </c>
      <c r="G152">
        <f t="shared" si="10"/>
        <v>17174</v>
      </c>
      <c r="H152">
        <v>1.3</v>
      </c>
    </row>
    <row r="153" spans="1:8" x14ac:dyDescent="0.15">
      <c r="A153">
        <v>2</v>
      </c>
      <c r="B153">
        <f t="shared" si="8"/>
        <v>80</v>
      </c>
      <c r="C153">
        <f t="shared" si="9"/>
        <v>76</v>
      </c>
      <c r="D153">
        <f t="shared" si="11"/>
        <v>511102</v>
      </c>
      <c r="E153">
        <v>0</v>
      </c>
      <c r="F153">
        <v>0</v>
      </c>
      <c r="G153">
        <f t="shared" si="10"/>
        <v>19320</v>
      </c>
      <c r="H153">
        <v>1.3</v>
      </c>
    </row>
    <row r="154" spans="1:8" x14ac:dyDescent="0.15">
      <c r="A154">
        <v>3</v>
      </c>
      <c r="B154">
        <f t="shared" si="8"/>
        <v>80</v>
      </c>
      <c r="C154">
        <f t="shared" si="9"/>
        <v>76</v>
      </c>
      <c r="D154">
        <f t="shared" si="11"/>
        <v>511103</v>
      </c>
      <c r="E154">
        <v>0</v>
      </c>
      <c r="F154">
        <v>0</v>
      </c>
      <c r="G154">
        <f t="shared" si="10"/>
        <v>21735</v>
      </c>
      <c r="H154">
        <v>1.3</v>
      </c>
    </row>
    <row r="155" spans="1:8" x14ac:dyDescent="0.15">
      <c r="A155">
        <v>4</v>
      </c>
      <c r="B155">
        <f t="shared" si="8"/>
        <v>80</v>
      </c>
      <c r="C155">
        <f t="shared" si="9"/>
        <v>76</v>
      </c>
      <c r="D155">
        <f t="shared" si="11"/>
        <v>511104</v>
      </c>
      <c r="E155">
        <v>0</v>
      </c>
      <c r="F155">
        <v>0</v>
      </c>
      <c r="G155">
        <f t="shared" si="10"/>
        <v>19320</v>
      </c>
      <c r="H155">
        <v>1.3</v>
      </c>
    </row>
    <row r="156" spans="1:8" x14ac:dyDescent="0.15">
      <c r="A156">
        <v>5</v>
      </c>
      <c r="B156">
        <f t="shared" si="8"/>
        <v>80</v>
      </c>
      <c r="C156">
        <f t="shared" si="9"/>
        <v>76</v>
      </c>
      <c r="D156">
        <f t="shared" si="11"/>
        <v>511105</v>
      </c>
      <c r="E156">
        <v>0</v>
      </c>
      <c r="F156">
        <v>0</v>
      </c>
      <c r="G156">
        <f t="shared" si="10"/>
        <v>21735</v>
      </c>
      <c r="H156">
        <v>1.3</v>
      </c>
    </row>
    <row r="157" spans="1:8" x14ac:dyDescent="0.15">
      <c r="A157">
        <v>6</v>
      </c>
      <c r="B157">
        <f t="shared" si="8"/>
        <v>80</v>
      </c>
      <c r="C157">
        <f t="shared" si="9"/>
        <v>76</v>
      </c>
      <c r="D157">
        <f t="shared" si="11"/>
        <v>511106</v>
      </c>
      <c r="E157">
        <v>0</v>
      </c>
      <c r="F157">
        <v>0</v>
      </c>
      <c r="G157">
        <f t="shared" si="10"/>
        <v>24452</v>
      </c>
      <c r="H157">
        <v>1.3</v>
      </c>
    </row>
    <row r="158" spans="1:8" x14ac:dyDescent="0.15">
      <c r="A158">
        <v>7</v>
      </c>
      <c r="B158">
        <f t="shared" si="8"/>
        <v>80</v>
      </c>
      <c r="C158">
        <f t="shared" si="9"/>
        <v>76</v>
      </c>
      <c r="D158">
        <f t="shared" si="11"/>
        <v>511107</v>
      </c>
      <c r="E158">
        <v>0</v>
      </c>
      <c r="F158">
        <v>0</v>
      </c>
      <c r="G158">
        <f t="shared" si="10"/>
        <v>21735</v>
      </c>
      <c r="H158">
        <v>1.3</v>
      </c>
    </row>
    <row r="159" spans="1:8" x14ac:dyDescent="0.15">
      <c r="A159">
        <v>8</v>
      </c>
      <c r="B159">
        <f t="shared" si="8"/>
        <v>80</v>
      </c>
      <c r="C159">
        <f t="shared" si="9"/>
        <v>76</v>
      </c>
      <c r="D159">
        <f t="shared" si="11"/>
        <v>511108</v>
      </c>
      <c r="E159">
        <v>0</v>
      </c>
      <c r="F159">
        <v>0</v>
      </c>
      <c r="G159">
        <f t="shared" si="10"/>
        <v>24452</v>
      </c>
      <c r="H159">
        <v>1.3</v>
      </c>
    </row>
    <row r="160" spans="1:8" x14ac:dyDescent="0.15">
      <c r="A160">
        <v>9</v>
      </c>
      <c r="B160">
        <f t="shared" si="8"/>
        <v>80</v>
      </c>
      <c r="C160">
        <f t="shared" si="9"/>
        <v>76</v>
      </c>
      <c r="D160">
        <f t="shared" si="11"/>
        <v>511109</v>
      </c>
      <c r="E160">
        <v>0</v>
      </c>
      <c r="F160">
        <v>0</v>
      </c>
      <c r="G160">
        <f t="shared" si="10"/>
        <v>27509</v>
      </c>
      <c r="H160">
        <v>1.3</v>
      </c>
    </row>
    <row r="161" spans="1:8" x14ac:dyDescent="0.15">
      <c r="A161">
        <v>10</v>
      </c>
      <c r="B161">
        <f t="shared" si="8"/>
        <v>80</v>
      </c>
      <c r="C161">
        <f t="shared" si="9"/>
        <v>76</v>
      </c>
      <c r="D161">
        <f t="shared" si="11"/>
        <v>511110</v>
      </c>
      <c r="E161">
        <v>0</v>
      </c>
      <c r="F161">
        <v>0</v>
      </c>
      <c r="G161">
        <f t="shared" si="10"/>
        <v>24452</v>
      </c>
      <c r="H161">
        <v>1.3</v>
      </c>
    </row>
    <row r="162" spans="1:8" x14ac:dyDescent="0.15">
      <c r="A162">
        <v>11</v>
      </c>
      <c r="B162">
        <f t="shared" si="8"/>
        <v>80</v>
      </c>
      <c r="C162">
        <f t="shared" si="9"/>
        <v>76</v>
      </c>
      <c r="D162">
        <f t="shared" si="11"/>
        <v>511111</v>
      </c>
      <c r="E162">
        <v>0</v>
      </c>
      <c r="F162">
        <v>0</v>
      </c>
      <c r="G162">
        <f t="shared" si="10"/>
        <v>27509</v>
      </c>
      <c r="H162">
        <v>1.3</v>
      </c>
    </row>
    <row r="163" spans="1:8" x14ac:dyDescent="0.15">
      <c r="A163">
        <v>12</v>
      </c>
      <c r="B163">
        <f t="shared" si="8"/>
        <v>80</v>
      </c>
      <c r="C163">
        <f t="shared" si="9"/>
        <v>76</v>
      </c>
      <c r="D163">
        <f t="shared" si="11"/>
        <v>511112</v>
      </c>
      <c r="E163">
        <v>0</v>
      </c>
      <c r="F163">
        <v>0</v>
      </c>
      <c r="G163">
        <f t="shared" si="10"/>
        <v>30948</v>
      </c>
      <c r="H163">
        <v>1.3</v>
      </c>
    </row>
    <row r="164" spans="1:8" x14ac:dyDescent="0.15">
      <c r="A164">
        <v>13</v>
      </c>
      <c r="B164">
        <f t="shared" si="8"/>
        <v>80</v>
      </c>
      <c r="C164">
        <f t="shared" si="9"/>
        <v>76</v>
      </c>
      <c r="D164">
        <f t="shared" si="11"/>
        <v>511113</v>
      </c>
      <c r="E164">
        <v>0</v>
      </c>
      <c r="F164">
        <v>0</v>
      </c>
      <c r="G164">
        <f t="shared" si="10"/>
        <v>27509</v>
      </c>
      <c r="H164">
        <v>1.3</v>
      </c>
    </row>
    <row r="165" spans="1:8" x14ac:dyDescent="0.15">
      <c r="A165">
        <v>14</v>
      </c>
      <c r="B165">
        <f t="shared" si="8"/>
        <v>80</v>
      </c>
      <c r="C165">
        <f t="shared" si="9"/>
        <v>76</v>
      </c>
      <c r="D165">
        <f t="shared" si="11"/>
        <v>511114</v>
      </c>
      <c r="E165">
        <v>0</v>
      </c>
      <c r="F165">
        <v>0</v>
      </c>
      <c r="G165">
        <f t="shared" si="10"/>
        <v>30948</v>
      </c>
      <c r="H165">
        <v>1.3</v>
      </c>
    </row>
    <row r="166" spans="1:8" x14ac:dyDescent="0.15">
      <c r="A166">
        <v>15</v>
      </c>
      <c r="B166">
        <f t="shared" si="8"/>
        <v>80</v>
      </c>
      <c r="C166">
        <f t="shared" si="9"/>
        <v>76</v>
      </c>
      <c r="D166">
        <f t="shared" si="11"/>
        <v>511115</v>
      </c>
      <c r="E166">
        <v>0</v>
      </c>
      <c r="F166">
        <v>0</v>
      </c>
      <c r="G166">
        <f t="shared" si="10"/>
        <v>34816</v>
      </c>
      <c r="H166">
        <v>1.3</v>
      </c>
    </row>
  </sheetData>
  <phoneticPr fontId="1" type="noConversion"/>
  <conditionalFormatting sqref="N3:N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{A45991AD-3755-4632-A494-6A9B01F2B50A}</x14:id>
        </ext>
      </extLst>
    </cfRule>
  </conditionalFormatting>
  <conditionalFormatting sqref="R3:R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{55A9E389-1010-4FBA-B45A-2715572CCF2A}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5991AD-3755-4632-A494-6A9B01F2B5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N3:N17</xm:sqref>
        </x14:conditionalFormatting>
        <x14:conditionalFormatting xmlns:xm="http://schemas.microsoft.com/office/excel/2006/main">
          <x14:cfRule type="dataBar" id="{55A9E389-1010-4FBA-B45A-2715572CC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R3:R17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D_每日副本</vt:lpstr>
      <vt:lpstr>每日副本辅助配置</vt:lpstr>
      <vt:lpstr>D_好友援助价格表</vt:lpstr>
      <vt:lpstr>D_好友援助机器人</vt:lpstr>
      <vt:lpstr>D_远征关卡</vt:lpstr>
      <vt:lpstr>D_BOSS副本等级难度系数</vt:lpstr>
      <vt:lpstr>D_BOSS副本难度系数</vt:lpstr>
      <vt:lpstr>D_远征等级难度控制</vt:lpstr>
      <vt:lpstr>D_远征奖励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Javy</dc:creator>
  <cp:lastModifiedBy>Javy</cp:lastModifiedBy>
  <dcterms:created xsi:type="dcterms:W3CDTF">2006-09-16T00:00:00Z</dcterms:created>
  <dcterms:modified xsi:type="dcterms:W3CDTF">2015-08-17T14:56:24Z</dcterms:modified>
</cp:coreProperties>
</file>