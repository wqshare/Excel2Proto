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firstSheet="2" activeTab="9"/>
  </bookViews>
  <sheets>
    <sheet name="D_怪物表" sheetId="17" r:id="rId1"/>
    <sheet name="怪物信息配置表" sheetId="22" r:id="rId2"/>
    <sheet name="远征副本等级难度系数控制" sheetId="21" r:id="rId3"/>
    <sheet name="英雄之路怪物" sheetId="19" r:id="rId4"/>
    <sheet name="配置说明" sheetId="16" r:id="rId5"/>
    <sheet name="怪物信息表" sheetId="6" r:id="rId6"/>
    <sheet name="人物成长模拟表" sheetId="23" r:id="rId7"/>
    <sheet name="人物&amp;怪物成长分析" sheetId="20" r:id="rId8"/>
    <sheet name="副本难度推算" sheetId="7" r:id="rId9"/>
    <sheet name="怪物并表" sheetId="18" r:id="rId10"/>
    <sheet name="普通副本怪物" sheetId="12" r:id="rId11"/>
    <sheet name="精英副本怪物" sheetId="8" r:id="rId12"/>
    <sheet name="金币副本怪物" sheetId="9" r:id="rId13"/>
    <sheet name="材料副本怪物" sheetId="10" r:id="rId14"/>
    <sheet name="马仔经验副本怪物" sheetId="11" r:id="rId15"/>
    <sheet name="命运副本怪物" sheetId="13" r:id="rId16"/>
    <sheet name="BOSS副本怪物" sheetId="14" r:id="rId17"/>
    <sheet name="BOSS副本数值" sheetId="24" r:id="rId18"/>
  </sheets>
  <externalReferences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0" hidden="1">D_怪物表!$Q$1:$Q$794</definedName>
    <definedName name="怪物难度系数查询">D_怪物表!$I$1:$AH$746</definedName>
    <definedName name="怪物信息配置表">怪物信息配置表!$A$2:$E$53</definedName>
    <definedName name="难度推算表">副本难度推算!$E$5:$R$104</definedName>
  </definedNames>
  <calcPr calcId="152511"/>
</workbook>
</file>

<file path=xl/calcChain.xml><?xml version="1.0" encoding="utf-8"?>
<calcChain xmlns="http://schemas.openxmlformats.org/spreadsheetml/2006/main">
  <c r="S5" i="19" l="1"/>
  <c r="T725" i="17" l="1"/>
  <c r="T15" i="17" l="1"/>
  <c r="Z3" i="17" l="1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27" i="17"/>
  <c r="Z28" i="17"/>
  <c r="Z29" i="17"/>
  <c r="Z30" i="17"/>
  <c r="Z31" i="17"/>
  <c r="Z32" i="17"/>
  <c r="Z33" i="17"/>
  <c r="Z34" i="17"/>
  <c r="Z35" i="17"/>
  <c r="Z36" i="17"/>
  <c r="Z37" i="17"/>
  <c r="Z38" i="17"/>
  <c r="Z39" i="17"/>
  <c r="Z40" i="17"/>
  <c r="Z41" i="17"/>
  <c r="Z42" i="17"/>
  <c r="Z43" i="17"/>
  <c r="Z44" i="17"/>
  <c r="Z45" i="17"/>
  <c r="Z46" i="17"/>
  <c r="Z47" i="17"/>
  <c r="Z48" i="17"/>
  <c r="Z49" i="17"/>
  <c r="Z50" i="17"/>
  <c r="Z51" i="17"/>
  <c r="Z52" i="17"/>
  <c r="Z53" i="17"/>
  <c r="Z54" i="17"/>
  <c r="Z55" i="17"/>
  <c r="Z56" i="17"/>
  <c r="Z57" i="17"/>
  <c r="Z58" i="17"/>
  <c r="Z59" i="17"/>
  <c r="Z60" i="17"/>
  <c r="Z61" i="17"/>
  <c r="Z62" i="17"/>
  <c r="Z63" i="17"/>
  <c r="Z64" i="17"/>
  <c r="Z65" i="17"/>
  <c r="Z66" i="17"/>
  <c r="Z67" i="17"/>
  <c r="Z68" i="17"/>
  <c r="Z69" i="17"/>
  <c r="Z70" i="17"/>
  <c r="Z71" i="17"/>
  <c r="Z72" i="17"/>
  <c r="Z73" i="17"/>
  <c r="Z74" i="17"/>
  <c r="Z75" i="17"/>
  <c r="Z76" i="17"/>
  <c r="Z77" i="17"/>
  <c r="Z78" i="17"/>
  <c r="Z79" i="17"/>
  <c r="Z80" i="17"/>
  <c r="Z81" i="17"/>
  <c r="Z82" i="17"/>
  <c r="Z83" i="17"/>
  <c r="Z84" i="17"/>
  <c r="Z85" i="17"/>
  <c r="Z86" i="17"/>
  <c r="Z87" i="17"/>
  <c r="Z88" i="17"/>
  <c r="Z89" i="17"/>
  <c r="Z90" i="17"/>
  <c r="Z91" i="17"/>
  <c r="Z92" i="17"/>
  <c r="Z93" i="17"/>
  <c r="Z94" i="17"/>
  <c r="Z95" i="17"/>
  <c r="Z96" i="17"/>
  <c r="Z97" i="17"/>
  <c r="Z98" i="17"/>
  <c r="Z99" i="17"/>
  <c r="Z100" i="17"/>
  <c r="Z101" i="17"/>
  <c r="Z102" i="17"/>
  <c r="Z103" i="17"/>
  <c r="Z104" i="17"/>
  <c r="Z105" i="17"/>
  <c r="Z106" i="17"/>
  <c r="Z107" i="17"/>
  <c r="Z108" i="17"/>
  <c r="Z109" i="17"/>
  <c r="Z110" i="17"/>
  <c r="Z111" i="17"/>
  <c r="Z112" i="17"/>
  <c r="Z113" i="17"/>
  <c r="Z114" i="17"/>
  <c r="Z115" i="17"/>
  <c r="Z116" i="17"/>
  <c r="Z117" i="17"/>
  <c r="Z118" i="17"/>
  <c r="Z119" i="17"/>
  <c r="Z120" i="17"/>
  <c r="Z121" i="17"/>
  <c r="Z122" i="17"/>
  <c r="Z123" i="17"/>
  <c r="Z124" i="17"/>
  <c r="Z125" i="17"/>
  <c r="Z126" i="17"/>
  <c r="Z127" i="17"/>
  <c r="Z128" i="17"/>
  <c r="Z129" i="17"/>
  <c r="Z130" i="17"/>
  <c r="Z131" i="17"/>
  <c r="Z132" i="17"/>
  <c r="Z133" i="17"/>
  <c r="Z134" i="17"/>
  <c r="Z135" i="17"/>
  <c r="Z136" i="17"/>
  <c r="Z137" i="17"/>
  <c r="Z138" i="17"/>
  <c r="Z139" i="17"/>
  <c r="Z140" i="17"/>
  <c r="Z141" i="17"/>
  <c r="Z142" i="17"/>
  <c r="Z143" i="17"/>
  <c r="Z144" i="17"/>
  <c r="Z145" i="17"/>
  <c r="Z146" i="17"/>
  <c r="Z147" i="17"/>
  <c r="Z148" i="17"/>
  <c r="Z149" i="17"/>
  <c r="Z150" i="17"/>
  <c r="Z151" i="17"/>
  <c r="Z152" i="17"/>
  <c r="Z153" i="17"/>
  <c r="Z154" i="17"/>
  <c r="Z155" i="17"/>
  <c r="Z156" i="17"/>
  <c r="Z157" i="17"/>
  <c r="Z158" i="17"/>
  <c r="Z159" i="17"/>
  <c r="Z160" i="17"/>
  <c r="Z161" i="17"/>
  <c r="Z162" i="17"/>
  <c r="Z163" i="17"/>
  <c r="Z164" i="17"/>
  <c r="Z165" i="17"/>
  <c r="Z166" i="17"/>
  <c r="Z167" i="17"/>
  <c r="Z168" i="17"/>
  <c r="Z169" i="17"/>
  <c r="Z170" i="17"/>
  <c r="Z171" i="17"/>
  <c r="Z172" i="17"/>
  <c r="Z173" i="17"/>
  <c r="Z174" i="17"/>
  <c r="Z175" i="17"/>
  <c r="Z176" i="17"/>
  <c r="Z177" i="17"/>
  <c r="Z178" i="17"/>
  <c r="Z179" i="17"/>
  <c r="Z180" i="17"/>
  <c r="Z181" i="17"/>
  <c r="Z182" i="17"/>
  <c r="Z183" i="17"/>
  <c r="Z184" i="17"/>
  <c r="Z185" i="17"/>
  <c r="Z186" i="17"/>
  <c r="Z187" i="17"/>
  <c r="Z188" i="17"/>
  <c r="Z189" i="17"/>
  <c r="Z190" i="17"/>
  <c r="Z191" i="17"/>
  <c r="Z192" i="17"/>
  <c r="Z193" i="17"/>
  <c r="Z194" i="17"/>
  <c r="Z195" i="17"/>
  <c r="Z196" i="17"/>
  <c r="Z197" i="17"/>
  <c r="Z198" i="17"/>
  <c r="Z199" i="17"/>
  <c r="Z200" i="17"/>
  <c r="Z201" i="17"/>
  <c r="Z202" i="17"/>
  <c r="Z203" i="17"/>
  <c r="Z204" i="17"/>
  <c r="Z205" i="17"/>
  <c r="Z206" i="17"/>
  <c r="Z207" i="17"/>
  <c r="Z208" i="17"/>
  <c r="Z209" i="17"/>
  <c r="Z210" i="17"/>
  <c r="Z211" i="17"/>
  <c r="Z212" i="17"/>
  <c r="Z213" i="17"/>
  <c r="Z214" i="17"/>
  <c r="Z215" i="17"/>
  <c r="Z216" i="17"/>
  <c r="Z217" i="17"/>
  <c r="Z218" i="17"/>
  <c r="Z219" i="17"/>
  <c r="Z220" i="17"/>
  <c r="Z221" i="17"/>
  <c r="Z222" i="17"/>
  <c r="Z223" i="17"/>
  <c r="Z224" i="17"/>
  <c r="Z225" i="17"/>
  <c r="Z226" i="17"/>
  <c r="Z227" i="17"/>
  <c r="Z228" i="17"/>
  <c r="Z229" i="17"/>
  <c r="Z230" i="17"/>
  <c r="Z231" i="17"/>
  <c r="Z232" i="17"/>
  <c r="Z233" i="17"/>
  <c r="Z234" i="17"/>
  <c r="Z235" i="17"/>
  <c r="Z236" i="17"/>
  <c r="Z237" i="17"/>
  <c r="Z238" i="17"/>
  <c r="Z239" i="17"/>
  <c r="Z240" i="17"/>
  <c r="Z241" i="17"/>
  <c r="Z242" i="17"/>
  <c r="Z243" i="17"/>
  <c r="Z244" i="17"/>
  <c r="Z245" i="17"/>
  <c r="Z246" i="17"/>
  <c r="Z247" i="17"/>
  <c r="Z248" i="17"/>
  <c r="Z249" i="17"/>
  <c r="Z250" i="17"/>
  <c r="Z251" i="17"/>
  <c r="Z252" i="17"/>
  <c r="Z253" i="17"/>
  <c r="Z254" i="17"/>
  <c r="Z255" i="17"/>
  <c r="Z256" i="17"/>
  <c r="Z257" i="17"/>
  <c r="Z258" i="17"/>
  <c r="Z259" i="17"/>
  <c r="Z260" i="17"/>
  <c r="Z261" i="17"/>
  <c r="Z262" i="17"/>
  <c r="Z263" i="17"/>
  <c r="Z264" i="17"/>
  <c r="Z265" i="17"/>
  <c r="Z266" i="17"/>
  <c r="Z267" i="17"/>
  <c r="Z268" i="17"/>
  <c r="Z269" i="17"/>
  <c r="Z270" i="17"/>
  <c r="Z271" i="17"/>
  <c r="Z272" i="17"/>
  <c r="Z273" i="17"/>
  <c r="Z274" i="17"/>
  <c r="Z275" i="17"/>
  <c r="Z276" i="17"/>
  <c r="Z277" i="17"/>
  <c r="Z278" i="17"/>
  <c r="Z279" i="17"/>
  <c r="Z280" i="17"/>
  <c r="Z281" i="17"/>
  <c r="Z282" i="17"/>
  <c r="Z283" i="17"/>
  <c r="Z284" i="17"/>
  <c r="Z285" i="17"/>
  <c r="Z286" i="17"/>
  <c r="Z287" i="17"/>
  <c r="Z288" i="17"/>
  <c r="Z289" i="17"/>
  <c r="Z290" i="17"/>
  <c r="Z291" i="17"/>
  <c r="Z292" i="17"/>
  <c r="Z293" i="17"/>
  <c r="Z294" i="17"/>
  <c r="Z295" i="17"/>
  <c r="Z296" i="17"/>
  <c r="Z297" i="17"/>
  <c r="Z298" i="17"/>
  <c r="Z299" i="17"/>
  <c r="Z300" i="17"/>
  <c r="Z301" i="17"/>
  <c r="Z302" i="17"/>
  <c r="Z303" i="17"/>
  <c r="Z304" i="17"/>
  <c r="Z305" i="17"/>
  <c r="Z306" i="17"/>
  <c r="Z307" i="17"/>
  <c r="Z308" i="17"/>
  <c r="Z309" i="17"/>
  <c r="Z310" i="17"/>
  <c r="Z311" i="17"/>
  <c r="Z312" i="17"/>
  <c r="Z313" i="17"/>
  <c r="Z314" i="17"/>
  <c r="Z315" i="17"/>
  <c r="Z316" i="17"/>
  <c r="Z317" i="17"/>
  <c r="Z318" i="17"/>
  <c r="Z319" i="17"/>
  <c r="Z320" i="17"/>
  <c r="Z321" i="17"/>
  <c r="Z322" i="17"/>
  <c r="Z323" i="17"/>
  <c r="Z324" i="17"/>
  <c r="Z325" i="17"/>
  <c r="Z326" i="17"/>
  <c r="Z327" i="17"/>
  <c r="Z328" i="17"/>
  <c r="Z329" i="17"/>
  <c r="Z330" i="17"/>
  <c r="Z331" i="17"/>
  <c r="Z332" i="17"/>
  <c r="Z333" i="17"/>
  <c r="Z334" i="17"/>
  <c r="Z335" i="17"/>
  <c r="Z336" i="17"/>
  <c r="Z337" i="17"/>
  <c r="Z338" i="17"/>
  <c r="Z339" i="17"/>
  <c r="Z340" i="17"/>
  <c r="Z341" i="17"/>
  <c r="Z342" i="17"/>
  <c r="Z343" i="17"/>
  <c r="Z344" i="17"/>
  <c r="Z345" i="17"/>
  <c r="Z346" i="17"/>
  <c r="Z347" i="17"/>
  <c r="Z348" i="17"/>
  <c r="Z349" i="17"/>
  <c r="Z350" i="17"/>
  <c r="Z351" i="17"/>
  <c r="Z352" i="17"/>
  <c r="Z353" i="17"/>
  <c r="Z354" i="17"/>
  <c r="Z355" i="17"/>
  <c r="Z356" i="17"/>
  <c r="Z357" i="17"/>
  <c r="Z358" i="17"/>
  <c r="Z359" i="17"/>
  <c r="Z360" i="17"/>
  <c r="Z361" i="17"/>
  <c r="Z362" i="17"/>
  <c r="Z363" i="17"/>
  <c r="Z364" i="17"/>
  <c r="Z365" i="17"/>
  <c r="Z366" i="17"/>
  <c r="Z367" i="17"/>
  <c r="Z368" i="17"/>
  <c r="Z369" i="17"/>
  <c r="Z370" i="17"/>
  <c r="Z371" i="17"/>
  <c r="Z372" i="17"/>
  <c r="Z373" i="17"/>
  <c r="Z374" i="17"/>
  <c r="Z375" i="17"/>
  <c r="Z376" i="17"/>
  <c r="Z377" i="17"/>
  <c r="Z378" i="17"/>
  <c r="Z379" i="17"/>
  <c r="Z380" i="17"/>
  <c r="Z381" i="17"/>
  <c r="Z382" i="17"/>
  <c r="Z383" i="17"/>
  <c r="Z384" i="17"/>
  <c r="Z385" i="17"/>
  <c r="Z386" i="17"/>
  <c r="Z387" i="17"/>
  <c r="Z388" i="17"/>
  <c r="Z389" i="17"/>
  <c r="Z390" i="17"/>
  <c r="Z391" i="17"/>
  <c r="Z392" i="17"/>
  <c r="Z393" i="17"/>
  <c r="Z394" i="17"/>
  <c r="Z395" i="17"/>
  <c r="Z396" i="17"/>
  <c r="Z397" i="17"/>
  <c r="Z398" i="17"/>
  <c r="Z399" i="17"/>
  <c r="Z400" i="17"/>
  <c r="Z401" i="17"/>
  <c r="Z402" i="17"/>
  <c r="Z403" i="17"/>
  <c r="Z404" i="17"/>
  <c r="Z405" i="17"/>
  <c r="Z406" i="17"/>
  <c r="Z407" i="17"/>
  <c r="Z408" i="17"/>
  <c r="Z409" i="17"/>
  <c r="Z410" i="17"/>
  <c r="Z411" i="17"/>
  <c r="Z412" i="17"/>
  <c r="Z413" i="17"/>
  <c r="Z414" i="17"/>
  <c r="Z415" i="17"/>
  <c r="Z416" i="17"/>
  <c r="Z417" i="17"/>
  <c r="Z418" i="17"/>
  <c r="Z419" i="17"/>
  <c r="Z420" i="17"/>
  <c r="Z421" i="17"/>
  <c r="Z422" i="17"/>
  <c r="Z423" i="17"/>
  <c r="Z424" i="17"/>
  <c r="Z425" i="17"/>
  <c r="Z426" i="17"/>
  <c r="Z427" i="17"/>
  <c r="Z428" i="17"/>
  <c r="Z429" i="17"/>
  <c r="Z430" i="17"/>
  <c r="Z431" i="17"/>
  <c r="Z432" i="17"/>
  <c r="Z433" i="17"/>
  <c r="Z434" i="17"/>
  <c r="Z435" i="17"/>
  <c r="Z436" i="17"/>
  <c r="Z437" i="17"/>
  <c r="Z438" i="17"/>
  <c r="Z439" i="17"/>
  <c r="Z440" i="17"/>
  <c r="Z441" i="17"/>
  <c r="Z442" i="17"/>
  <c r="Z443" i="17"/>
  <c r="Z444" i="17"/>
  <c r="Z445" i="17"/>
  <c r="Z446" i="17"/>
  <c r="Z447" i="17"/>
  <c r="Z448" i="17"/>
  <c r="Z449" i="17"/>
  <c r="Z450" i="17"/>
  <c r="Z451" i="17"/>
  <c r="Z452" i="17"/>
  <c r="Z453" i="17"/>
  <c r="Z454" i="17"/>
  <c r="Z455" i="17"/>
  <c r="Z456" i="17"/>
  <c r="Z457" i="17"/>
  <c r="Z458" i="17"/>
  <c r="Z459" i="17"/>
  <c r="Z460" i="17"/>
  <c r="Z461" i="17"/>
  <c r="Z462" i="17"/>
  <c r="Z463" i="17"/>
  <c r="Z464" i="17"/>
  <c r="Z465" i="17"/>
  <c r="Z466" i="17"/>
  <c r="Z467" i="17"/>
  <c r="Z468" i="17"/>
  <c r="Z469" i="17"/>
  <c r="Z470" i="17"/>
  <c r="Z471" i="17"/>
  <c r="Z472" i="17"/>
  <c r="Z473" i="17"/>
  <c r="Z474" i="17"/>
  <c r="Z475" i="17"/>
  <c r="Z476" i="17"/>
  <c r="Z477" i="17"/>
  <c r="Z478" i="17"/>
  <c r="Z479" i="17"/>
  <c r="Z480" i="17"/>
  <c r="Z481" i="17"/>
  <c r="Z482" i="17"/>
  <c r="Z483" i="17"/>
  <c r="Z484" i="17"/>
  <c r="Z485" i="17"/>
  <c r="Z486" i="17"/>
  <c r="Z487" i="17"/>
  <c r="Z488" i="17"/>
  <c r="Z489" i="17"/>
  <c r="Z490" i="17"/>
  <c r="Z491" i="17"/>
  <c r="Z492" i="17"/>
  <c r="Z493" i="17"/>
  <c r="Z494" i="17"/>
  <c r="Z495" i="17"/>
  <c r="Z496" i="17"/>
  <c r="Z497" i="17"/>
  <c r="Z498" i="17"/>
  <c r="Z499" i="17"/>
  <c r="Z500" i="17"/>
  <c r="Z501" i="17"/>
  <c r="Z502" i="17"/>
  <c r="Z503" i="17"/>
  <c r="Z504" i="17"/>
  <c r="Z505" i="17"/>
  <c r="Z506" i="17"/>
  <c r="Z507" i="17"/>
  <c r="Z508" i="17"/>
  <c r="Z509" i="17"/>
  <c r="Z510" i="17"/>
  <c r="Z511" i="17"/>
  <c r="Z512" i="17"/>
  <c r="Z513" i="17"/>
  <c r="Z514" i="17"/>
  <c r="Z515" i="17"/>
  <c r="Z516" i="17"/>
  <c r="Z517" i="17"/>
  <c r="Z518" i="17"/>
  <c r="Z519" i="17"/>
  <c r="Z520" i="17"/>
  <c r="Z521" i="17"/>
  <c r="Z522" i="17"/>
  <c r="Z523" i="17"/>
  <c r="Z524" i="17"/>
  <c r="Z525" i="17"/>
  <c r="Z526" i="17"/>
  <c r="Z527" i="17"/>
  <c r="Z528" i="17"/>
  <c r="Z529" i="17"/>
  <c r="Z530" i="17"/>
  <c r="Z531" i="17"/>
  <c r="Z532" i="17"/>
  <c r="Z533" i="17"/>
  <c r="Z534" i="17"/>
  <c r="Z535" i="17"/>
  <c r="Z536" i="17"/>
  <c r="Z537" i="17"/>
  <c r="Z538" i="17"/>
  <c r="Z539" i="17"/>
  <c r="Z540" i="17"/>
  <c r="Z541" i="17"/>
  <c r="Z542" i="17"/>
  <c r="Z543" i="17"/>
  <c r="Z544" i="17"/>
  <c r="Z545" i="17"/>
  <c r="Z546" i="17"/>
  <c r="Z547" i="17"/>
  <c r="Z548" i="17"/>
  <c r="Z549" i="17"/>
  <c r="Z550" i="17"/>
  <c r="Z551" i="17"/>
  <c r="Z552" i="17"/>
  <c r="Z553" i="17"/>
  <c r="Z554" i="17"/>
  <c r="Z555" i="17"/>
  <c r="Z556" i="17"/>
  <c r="Z557" i="17"/>
  <c r="Z558" i="17"/>
  <c r="Z559" i="17"/>
  <c r="Z560" i="17"/>
  <c r="Z561" i="17"/>
  <c r="Z562" i="17"/>
  <c r="Z563" i="17"/>
  <c r="Z564" i="17"/>
  <c r="Z565" i="17"/>
  <c r="Z566" i="17"/>
  <c r="Z567" i="17"/>
  <c r="Z568" i="17"/>
  <c r="Z569" i="17"/>
  <c r="Z570" i="17"/>
  <c r="Z571" i="17"/>
  <c r="Z572" i="17"/>
  <c r="Z573" i="17"/>
  <c r="Z574" i="17"/>
  <c r="Z575" i="17"/>
  <c r="Z576" i="17"/>
  <c r="Z577" i="17"/>
  <c r="Z578" i="17"/>
  <c r="Z579" i="17"/>
  <c r="Z580" i="17"/>
  <c r="Z581" i="17"/>
  <c r="Z582" i="17"/>
  <c r="Z583" i="17"/>
  <c r="Z584" i="17"/>
  <c r="Z585" i="17"/>
  <c r="Z586" i="17"/>
  <c r="Z587" i="17"/>
  <c r="Z588" i="17"/>
  <c r="Z589" i="17"/>
  <c r="Z590" i="17"/>
  <c r="Z591" i="17"/>
  <c r="Z592" i="17"/>
  <c r="Z593" i="17"/>
  <c r="Z594" i="17"/>
  <c r="Z595" i="17"/>
  <c r="Z596" i="17"/>
  <c r="Z597" i="17"/>
  <c r="Z598" i="17"/>
  <c r="Z599" i="17"/>
  <c r="Z600" i="17"/>
  <c r="Z601" i="17"/>
  <c r="Z602" i="17"/>
  <c r="Z603" i="17"/>
  <c r="Z604" i="17"/>
  <c r="Z605" i="17"/>
  <c r="Z606" i="17"/>
  <c r="Z607" i="17"/>
  <c r="Z608" i="17"/>
  <c r="Z609" i="17"/>
  <c r="Z610" i="17"/>
  <c r="Z611" i="17"/>
  <c r="Z612" i="17"/>
  <c r="Z613" i="17"/>
  <c r="Z614" i="17"/>
  <c r="Z615" i="17"/>
  <c r="Z616" i="17"/>
  <c r="Z617" i="17"/>
  <c r="Z618" i="17"/>
  <c r="Z619" i="17"/>
  <c r="Z620" i="17"/>
  <c r="Z621" i="17"/>
  <c r="Z622" i="17"/>
  <c r="Z623" i="17"/>
  <c r="Z624" i="17"/>
  <c r="Z625" i="17"/>
  <c r="Z626" i="17"/>
  <c r="Z627" i="17"/>
  <c r="Z628" i="17"/>
  <c r="Z629" i="17"/>
  <c r="Z630" i="17"/>
  <c r="Z631" i="17"/>
  <c r="Z632" i="17"/>
  <c r="Z633" i="17"/>
  <c r="Z634" i="17"/>
  <c r="Z635" i="17"/>
  <c r="Z636" i="17"/>
  <c r="Z637" i="17"/>
  <c r="Z638" i="17"/>
  <c r="Z639" i="17"/>
  <c r="Z640" i="17"/>
  <c r="Z641" i="17"/>
  <c r="Z642" i="17"/>
  <c r="Z643" i="17"/>
  <c r="Z644" i="17"/>
  <c r="Z645" i="17"/>
  <c r="Z646" i="17"/>
  <c r="Z647" i="17"/>
  <c r="Z648" i="17"/>
  <c r="Z649" i="17"/>
  <c r="Z650" i="17"/>
  <c r="Z651" i="17"/>
  <c r="Z652" i="17"/>
  <c r="Z653" i="17"/>
  <c r="Z654" i="17"/>
  <c r="Z655" i="17"/>
  <c r="Z656" i="17"/>
  <c r="Z657" i="17"/>
  <c r="Z658" i="17"/>
  <c r="Z659" i="17"/>
  <c r="Z660" i="17"/>
  <c r="Z661" i="17"/>
  <c r="Z662" i="17"/>
  <c r="Z663" i="17"/>
  <c r="Z664" i="17"/>
  <c r="Z665" i="17"/>
  <c r="Z666" i="17"/>
  <c r="Z667" i="17"/>
  <c r="Z668" i="17"/>
  <c r="Z669" i="17"/>
  <c r="Z670" i="17"/>
  <c r="Z671" i="17"/>
  <c r="Z672" i="17"/>
  <c r="Z673" i="17"/>
  <c r="Z674" i="17"/>
  <c r="Z675" i="17"/>
  <c r="Z676" i="17"/>
  <c r="Z677" i="17"/>
  <c r="Z678" i="17"/>
  <c r="Z679" i="17"/>
  <c r="Z680" i="17"/>
  <c r="Z681" i="17"/>
  <c r="Z682" i="17"/>
  <c r="Z683" i="17"/>
  <c r="Z684" i="17"/>
  <c r="Z685" i="17"/>
  <c r="Z686" i="17"/>
  <c r="Z687" i="17"/>
  <c r="Z688" i="17"/>
  <c r="Z689" i="17"/>
  <c r="Z690" i="17"/>
  <c r="Z691" i="17"/>
  <c r="Z692" i="17"/>
  <c r="Z693" i="17"/>
  <c r="Z694" i="17"/>
  <c r="Z695" i="17"/>
  <c r="Z696" i="17"/>
  <c r="Z697" i="17"/>
  <c r="Z698" i="17"/>
  <c r="Z699" i="17"/>
  <c r="Z700" i="17"/>
  <c r="Z701" i="17"/>
  <c r="Z702" i="17"/>
  <c r="Z703" i="17"/>
  <c r="Z704" i="17"/>
  <c r="Z705" i="17"/>
  <c r="Z706" i="17"/>
  <c r="Z707" i="17"/>
  <c r="Z708" i="17"/>
  <c r="Z709" i="17"/>
  <c r="Z710" i="17"/>
  <c r="Z711" i="17"/>
  <c r="Z712" i="17"/>
  <c r="Z713" i="17"/>
  <c r="Z714" i="17"/>
  <c r="Z715" i="17"/>
  <c r="Z716" i="17"/>
  <c r="Z717" i="17"/>
  <c r="Z718" i="17"/>
  <c r="Z719" i="17"/>
  <c r="Z720" i="17"/>
  <c r="Z721" i="17"/>
  <c r="Z722" i="17"/>
  <c r="Z723" i="17"/>
  <c r="Z724" i="17"/>
  <c r="Z725" i="17"/>
  <c r="Z726" i="17"/>
  <c r="Z727" i="17"/>
  <c r="Z728" i="17"/>
  <c r="Z729" i="17"/>
  <c r="Z730" i="17"/>
  <c r="Z731" i="17"/>
  <c r="Z732" i="17"/>
  <c r="Z733" i="17"/>
  <c r="Z734" i="17"/>
  <c r="Z735" i="17"/>
  <c r="Z736" i="17"/>
  <c r="Z737" i="17"/>
  <c r="Z738" i="17"/>
  <c r="Z739" i="17"/>
  <c r="Z740" i="17"/>
  <c r="Z741" i="17"/>
  <c r="Z742" i="17"/>
  <c r="Z743" i="17"/>
  <c r="Z744" i="17"/>
  <c r="Z745" i="17"/>
  <c r="Z746" i="17"/>
  <c r="Z2" i="17"/>
  <c r="T90" i="17" l="1"/>
  <c r="Q6" i="19" l="1"/>
  <c r="R6" i="19"/>
  <c r="S6" i="19"/>
  <c r="Q7" i="19"/>
  <c r="R7" i="19"/>
  <c r="S7" i="19"/>
  <c r="Q8" i="19"/>
  <c r="R8" i="19"/>
  <c r="S8" i="19"/>
  <c r="Q9" i="19"/>
  <c r="R9" i="19"/>
  <c r="S9" i="19"/>
  <c r="Q10" i="19"/>
  <c r="R10" i="19"/>
  <c r="S10" i="19"/>
  <c r="Q11" i="19"/>
  <c r="R11" i="19"/>
  <c r="S11" i="19"/>
  <c r="Q12" i="19"/>
  <c r="R12" i="19"/>
  <c r="S12" i="19"/>
  <c r="Q13" i="19"/>
  <c r="R13" i="19"/>
  <c r="S13" i="19"/>
  <c r="Q14" i="19"/>
  <c r="R14" i="19"/>
  <c r="S14" i="19"/>
  <c r="Q15" i="19"/>
  <c r="R15" i="19"/>
  <c r="S15" i="19"/>
  <c r="Q16" i="19"/>
  <c r="R16" i="19"/>
  <c r="S16" i="19"/>
  <c r="Q17" i="19"/>
  <c r="R17" i="19"/>
  <c r="S17" i="19"/>
  <c r="Q18" i="19"/>
  <c r="R18" i="19"/>
  <c r="S18" i="19"/>
  <c r="Q19" i="19"/>
  <c r="R19" i="19"/>
  <c r="S19" i="19"/>
  <c r="Q20" i="19"/>
  <c r="R20" i="19"/>
  <c r="S20" i="19"/>
  <c r="Q21" i="19"/>
  <c r="R21" i="19"/>
  <c r="S21" i="19"/>
  <c r="Q22" i="19"/>
  <c r="R22" i="19"/>
  <c r="S22" i="19"/>
  <c r="Q23" i="19"/>
  <c r="R23" i="19"/>
  <c r="S23" i="19"/>
  <c r="Q24" i="19"/>
  <c r="R24" i="19"/>
  <c r="S24" i="19"/>
  <c r="Q25" i="19"/>
  <c r="R25" i="19"/>
  <c r="S25" i="19"/>
  <c r="Q26" i="19"/>
  <c r="R26" i="19"/>
  <c r="S26" i="19"/>
  <c r="Q27" i="19"/>
  <c r="R27" i="19"/>
  <c r="S27" i="19"/>
  <c r="Q28" i="19"/>
  <c r="R28" i="19"/>
  <c r="S28" i="19"/>
  <c r="Q29" i="19"/>
  <c r="R29" i="19"/>
  <c r="S29" i="19"/>
  <c r="Q30" i="19"/>
  <c r="R30" i="19"/>
  <c r="S30" i="19"/>
  <c r="Q31" i="19"/>
  <c r="R31" i="19"/>
  <c r="S31" i="19"/>
  <c r="Q32" i="19"/>
  <c r="R32" i="19"/>
  <c r="S32" i="19"/>
  <c r="Q33" i="19"/>
  <c r="R33" i="19"/>
  <c r="S33" i="19"/>
  <c r="Q34" i="19"/>
  <c r="R34" i="19"/>
  <c r="S34" i="19"/>
  <c r="Q35" i="19"/>
  <c r="R35" i="19"/>
  <c r="S35" i="19"/>
  <c r="Q36" i="19"/>
  <c r="R36" i="19"/>
  <c r="S36" i="19"/>
  <c r="Q37" i="19"/>
  <c r="R37" i="19"/>
  <c r="S37" i="19"/>
  <c r="Q38" i="19"/>
  <c r="R38" i="19"/>
  <c r="S38" i="19"/>
  <c r="Q39" i="19"/>
  <c r="R39" i="19"/>
  <c r="S39" i="19"/>
  <c r="Q40" i="19"/>
  <c r="R40" i="19"/>
  <c r="S40" i="19"/>
  <c r="Q41" i="19"/>
  <c r="R41" i="19"/>
  <c r="S41" i="19"/>
  <c r="Q42" i="19"/>
  <c r="R42" i="19"/>
  <c r="S42" i="19"/>
  <c r="Q43" i="19"/>
  <c r="R43" i="19"/>
  <c r="S43" i="19"/>
  <c r="Q44" i="19"/>
  <c r="R44" i="19"/>
  <c r="S44" i="19"/>
  <c r="Q45" i="19"/>
  <c r="R45" i="19"/>
  <c r="S45" i="19"/>
  <c r="Q46" i="19"/>
  <c r="R46" i="19"/>
  <c r="S46" i="19"/>
  <c r="Q47" i="19"/>
  <c r="R47" i="19"/>
  <c r="S47" i="19"/>
  <c r="Q48" i="19"/>
  <c r="R48" i="19"/>
  <c r="S48" i="19"/>
  <c r="Q49" i="19"/>
  <c r="R49" i="19"/>
  <c r="S49" i="19"/>
  <c r="Q50" i="19"/>
  <c r="R50" i="19"/>
  <c r="S50" i="19"/>
  <c r="Q51" i="19"/>
  <c r="R51" i="19"/>
  <c r="S51" i="19"/>
  <c r="Q52" i="19"/>
  <c r="R52" i="19"/>
  <c r="S52" i="19"/>
  <c r="Q53" i="19"/>
  <c r="R53" i="19"/>
  <c r="S53" i="19"/>
  <c r="Q54" i="19"/>
  <c r="R54" i="19"/>
  <c r="S54" i="19"/>
  <c r="Q55" i="19"/>
  <c r="R55" i="19"/>
  <c r="S55" i="19"/>
  <c r="Q56" i="19"/>
  <c r="R56" i="19"/>
  <c r="S56" i="19"/>
  <c r="Q57" i="19"/>
  <c r="R57" i="19"/>
  <c r="S57" i="19"/>
  <c r="Q58" i="19"/>
  <c r="R58" i="19"/>
  <c r="S58" i="19"/>
  <c r="Q59" i="19"/>
  <c r="R59" i="19"/>
  <c r="S59" i="19"/>
  <c r="Q60" i="19"/>
  <c r="R60" i="19"/>
  <c r="S60" i="19"/>
  <c r="Q61" i="19"/>
  <c r="R61" i="19"/>
  <c r="S61" i="19"/>
  <c r="Q62" i="19"/>
  <c r="R62" i="19"/>
  <c r="S62" i="19"/>
  <c r="Q63" i="19"/>
  <c r="R63" i="19"/>
  <c r="S63" i="19"/>
  <c r="Q64" i="19"/>
  <c r="R64" i="19"/>
  <c r="S64" i="19"/>
  <c r="Q65" i="19"/>
  <c r="R65" i="19"/>
  <c r="S65" i="19"/>
  <c r="Q66" i="19"/>
  <c r="R66" i="19"/>
  <c r="S66" i="19"/>
  <c r="Q67" i="19"/>
  <c r="R67" i="19"/>
  <c r="S67" i="19"/>
  <c r="Q68" i="19"/>
  <c r="R68" i="19"/>
  <c r="S68" i="19"/>
  <c r="Q69" i="19"/>
  <c r="R69" i="19"/>
  <c r="S69" i="19"/>
  <c r="Q70" i="19"/>
  <c r="R70" i="19"/>
  <c r="S70" i="19"/>
  <c r="Q71" i="19"/>
  <c r="R71" i="19"/>
  <c r="S71" i="19"/>
  <c r="Q72" i="19"/>
  <c r="R72" i="19"/>
  <c r="S72" i="19"/>
  <c r="Q73" i="19"/>
  <c r="R73" i="19"/>
  <c r="S73" i="19"/>
  <c r="Q74" i="19"/>
  <c r="R74" i="19"/>
  <c r="S74" i="19"/>
  <c r="Q75" i="19"/>
  <c r="R75" i="19"/>
  <c r="S75" i="19"/>
  <c r="Q76" i="19"/>
  <c r="R76" i="19"/>
  <c r="S76" i="19"/>
  <c r="Q77" i="19"/>
  <c r="R77" i="19"/>
  <c r="S77" i="19"/>
  <c r="Q78" i="19"/>
  <c r="R78" i="19"/>
  <c r="S78" i="19"/>
  <c r="Q79" i="19"/>
  <c r="R79" i="19"/>
  <c r="S79" i="19"/>
  <c r="Q80" i="19"/>
  <c r="R80" i="19"/>
  <c r="S80" i="19"/>
  <c r="Q81" i="19"/>
  <c r="R81" i="19"/>
  <c r="S81" i="19"/>
  <c r="Q82" i="19"/>
  <c r="R82" i="19"/>
  <c r="S82" i="19"/>
  <c r="Q83" i="19"/>
  <c r="R83" i="19"/>
  <c r="S83" i="19"/>
  <c r="Q84" i="19"/>
  <c r="R84" i="19"/>
  <c r="S84" i="19"/>
  <c r="Q85" i="19"/>
  <c r="R85" i="19"/>
  <c r="S85" i="19"/>
  <c r="Q86" i="19"/>
  <c r="R86" i="19"/>
  <c r="S86" i="19"/>
  <c r="Q87" i="19"/>
  <c r="R87" i="19"/>
  <c r="S87" i="19"/>
  <c r="Q88" i="19"/>
  <c r="R88" i="19"/>
  <c r="S88" i="19"/>
  <c r="Q89" i="19"/>
  <c r="R89" i="19"/>
  <c r="S89" i="19"/>
  <c r="Q90" i="19"/>
  <c r="R90" i="19"/>
  <c r="S90" i="19"/>
  <c r="Q91" i="19"/>
  <c r="R91" i="19"/>
  <c r="S91" i="19"/>
  <c r="Q92" i="19"/>
  <c r="R92" i="19"/>
  <c r="S92" i="19"/>
  <c r="Q93" i="19"/>
  <c r="R93" i="19"/>
  <c r="S93" i="19"/>
  <c r="Q94" i="19"/>
  <c r="R94" i="19"/>
  <c r="S94" i="19"/>
  <c r="Q95" i="19"/>
  <c r="R95" i="19"/>
  <c r="S95" i="19"/>
  <c r="Q96" i="19"/>
  <c r="R96" i="19"/>
  <c r="S96" i="19"/>
  <c r="Q97" i="19"/>
  <c r="R97" i="19"/>
  <c r="S97" i="19"/>
  <c r="Q98" i="19"/>
  <c r="R98" i="19"/>
  <c r="S98" i="19"/>
  <c r="Q99" i="19"/>
  <c r="R99" i="19"/>
  <c r="S99" i="19"/>
  <c r="Q100" i="19"/>
  <c r="R100" i="19"/>
  <c r="S100" i="19"/>
  <c r="Q101" i="19"/>
  <c r="R101" i="19"/>
  <c r="S101" i="19"/>
  <c r="Q102" i="19"/>
  <c r="R102" i="19"/>
  <c r="S102" i="19"/>
  <c r="Q103" i="19"/>
  <c r="R103" i="19"/>
  <c r="S103" i="19"/>
  <c r="Q104" i="19"/>
  <c r="R104" i="19"/>
  <c r="S104" i="19"/>
  <c r="Q105" i="19"/>
  <c r="R105" i="19"/>
  <c r="S105" i="19"/>
  <c r="Q106" i="19"/>
  <c r="R106" i="19"/>
  <c r="S106" i="19"/>
  <c r="Q107" i="19"/>
  <c r="R107" i="19"/>
  <c r="S107" i="19"/>
  <c r="Q108" i="19"/>
  <c r="R108" i="19"/>
  <c r="S108" i="19"/>
  <c r="Q109" i="19"/>
  <c r="R109" i="19"/>
  <c r="S109" i="19"/>
  <c r="Q110" i="19"/>
  <c r="R110" i="19"/>
  <c r="S110" i="19"/>
  <c r="Q111" i="19"/>
  <c r="R111" i="19"/>
  <c r="S111" i="19"/>
  <c r="Q112" i="19"/>
  <c r="R112" i="19"/>
  <c r="S112" i="19"/>
  <c r="Q113" i="19"/>
  <c r="R113" i="19"/>
  <c r="S113" i="19"/>
  <c r="Q114" i="19"/>
  <c r="R114" i="19"/>
  <c r="S114" i="19"/>
  <c r="Q115" i="19"/>
  <c r="R115" i="19"/>
  <c r="S115" i="19"/>
  <c r="Q116" i="19"/>
  <c r="R116" i="19"/>
  <c r="S116" i="19"/>
  <c r="Q117" i="19"/>
  <c r="R117" i="19"/>
  <c r="S117" i="19"/>
  <c r="Q118" i="19"/>
  <c r="R118" i="19"/>
  <c r="S118" i="19"/>
  <c r="Q119" i="19"/>
  <c r="R119" i="19"/>
  <c r="S119" i="19"/>
  <c r="Q120" i="19"/>
  <c r="R120" i="19"/>
  <c r="S120" i="19"/>
  <c r="Q121" i="19"/>
  <c r="R121" i="19"/>
  <c r="S121" i="19"/>
  <c r="Q122" i="19"/>
  <c r="R122" i="19"/>
  <c r="S122" i="19"/>
  <c r="Q123" i="19"/>
  <c r="R123" i="19"/>
  <c r="S123" i="19"/>
  <c r="Q124" i="19"/>
  <c r="R124" i="19"/>
  <c r="S124" i="19"/>
  <c r="Q125" i="19"/>
  <c r="R125" i="19"/>
  <c r="S125" i="19"/>
  <c r="Q126" i="19"/>
  <c r="R126" i="19"/>
  <c r="S126" i="19"/>
  <c r="Q127" i="19"/>
  <c r="R127" i="19"/>
  <c r="S127" i="19"/>
  <c r="Q128" i="19"/>
  <c r="R128" i="19"/>
  <c r="S128" i="19"/>
  <c r="Q129" i="19"/>
  <c r="R129" i="19"/>
  <c r="S129" i="19"/>
  <c r="Q130" i="19"/>
  <c r="R130" i="19"/>
  <c r="S130" i="19"/>
  <c r="Q131" i="19"/>
  <c r="R131" i="19"/>
  <c r="S131" i="19"/>
  <c r="Q132" i="19"/>
  <c r="R132" i="19"/>
  <c r="S132" i="19"/>
  <c r="Q133" i="19"/>
  <c r="R133" i="19"/>
  <c r="S133" i="19"/>
  <c r="Q134" i="19"/>
  <c r="R134" i="19"/>
  <c r="S134" i="19"/>
  <c r="Q135" i="19"/>
  <c r="R135" i="19"/>
  <c r="S135" i="19"/>
  <c r="Q136" i="19"/>
  <c r="R136" i="19"/>
  <c r="S136" i="19"/>
  <c r="Q137" i="19"/>
  <c r="R137" i="19"/>
  <c r="S137" i="19"/>
  <c r="Q138" i="19"/>
  <c r="R138" i="19"/>
  <c r="S138" i="19"/>
  <c r="Q139" i="19"/>
  <c r="R139" i="19"/>
  <c r="S139" i="19"/>
  <c r="Q140" i="19"/>
  <c r="R140" i="19"/>
  <c r="S140" i="19"/>
  <c r="Q141" i="19"/>
  <c r="R141" i="19"/>
  <c r="S141" i="19"/>
  <c r="Q142" i="19"/>
  <c r="R142" i="19"/>
  <c r="S142" i="19"/>
  <c r="Q143" i="19"/>
  <c r="R143" i="19"/>
  <c r="S143" i="19"/>
  <c r="Q144" i="19"/>
  <c r="R144" i="19"/>
  <c r="S144" i="19"/>
  <c r="Q145" i="19"/>
  <c r="R145" i="19"/>
  <c r="S145" i="19"/>
  <c r="Q146" i="19"/>
  <c r="R146" i="19"/>
  <c r="S146" i="19"/>
  <c r="Q147" i="19"/>
  <c r="R147" i="19"/>
  <c r="S147" i="19"/>
  <c r="Q148" i="19"/>
  <c r="R148" i="19"/>
  <c r="S148" i="19"/>
  <c r="Q149" i="19"/>
  <c r="R149" i="19"/>
  <c r="S149" i="19"/>
  <c r="Q150" i="19"/>
  <c r="R150" i="19"/>
  <c r="S150" i="19"/>
  <c r="Q151" i="19"/>
  <c r="R151" i="19"/>
  <c r="S151" i="19"/>
  <c r="Q152" i="19"/>
  <c r="R152" i="19"/>
  <c r="S152" i="19"/>
  <c r="Q153" i="19"/>
  <c r="R153" i="19"/>
  <c r="S153" i="19"/>
  <c r="Q154" i="19"/>
  <c r="R154" i="19"/>
  <c r="S154" i="19"/>
  <c r="Q155" i="19"/>
  <c r="R155" i="19"/>
  <c r="S155" i="19"/>
  <c r="Q156" i="19"/>
  <c r="R156" i="19"/>
  <c r="S156" i="19"/>
  <c r="Q157" i="19"/>
  <c r="R157" i="19"/>
  <c r="S157" i="19"/>
  <c r="Q158" i="19"/>
  <c r="R158" i="19"/>
  <c r="S158" i="19"/>
  <c r="Q159" i="19"/>
  <c r="R159" i="19"/>
  <c r="S159" i="19"/>
  <c r="Q160" i="19"/>
  <c r="R160" i="19"/>
  <c r="S160" i="19"/>
  <c r="Q161" i="19"/>
  <c r="R161" i="19"/>
  <c r="S161" i="19"/>
  <c r="Q162" i="19"/>
  <c r="R162" i="19"/>
  <c r="S162" i="19"/>
  <c r="Q163" i="19"/>
  <c r="R163" i="19"/>
  <c r="S163" i="19"/>
  <c r="Q164" i="19"/>
  <c r="R164" i="19"/>
  <c r="S164" i="19"/>
  <c r="Q165" i="19"/>
  <c r="R165" i="19"/>
  <c r="S165" i="19"/>
  <c r="Q166" i="19"/>
  <c r="R166" i="19"/>
  <c r="S166" i="19"/>
  <c r="Q167" i="19"/>
  <c r="R167" i="19"/>
  <c r="S167" i="19"/>
  <c r="Q168" i="19"/>
  <c r="R168" i="19"/>
  <c r="S168" i="19"/>
  <c r="Q169" i="19"/>
  <c r="R169" i="19"/>
  <c r="S169" i="19"/>
  <c r="Q170" i="19"/>
  <c r="R170" i="19"/>
  <c r="S170" i="19"/>
  <c r="Q171" i="19"/>
  <c r="R171" i="19"/>
  <c r="S171" i="19"/>
  <c r="Q172" i="19"/>
  <c r="R172" i="19"/>
  <c r="S172" i="19"/>
  <c r="Q173" i="19"/>
  <c r="R173" i="19"/>
  <c r="S173" i="19"/>
  <c r="Q174" i="19"/>
  <c r="R174" i="19"/>
  <c r="S174" i="19"/>
  <c r="Q175" i="19"/>
  <c r="R175" i="19"/>
  <c r="S175" i="19"/>
  <c r="Q176" i="19"/>
  <c r="R176" i="19"/>
  <c r="S176" i="19"/>
  <c r="Q177" i="19"/>
  <c r="R177" i="19"/>
  <c r="S177" i="19"/>
  <c r="Q178" i="19"/>
  <c r="R178" i="19"/>
  <c r="S178" i="19"/>
  <c r="Q179" i="19"/>
  <c r="R179" i="19"/>
  <c r="S179" i="19"/>
  <c r="Q180" i="19"/>
  <c r="R180" i="19"/>
  <c r="S180" i="19"/>
  <c r="Q181" i="19"/>
  <c r="R181" i="19"/>
  <c r="S181" i="19"/>
  <c r="Q182" i="19"/>
  <c r="R182" i="19"/>
  <c r="S182" i="19"/>
  <c r="Q183" i="19"/>
  <c r="R183" i="19"/>
  <c r="S183" i="19"/>
  <c r="Q184" i="19"/>
  <c r="R184" i="19"/>
  <c r="S184" i="19"/>
  <c r="Q185" i="19"/>
  <c r="R185" i="19"/>
  <c r="S185" i="19"/>
  <c r="Q186" i="19"/>
  <c r="R186" i="19"/>
  <c r="S186" i="19"/>
  <c r="Q187" i="19"/>
  <c r="R187" i="19"/>
  <c r="S187" i="19"/>
  <c r="Q188" i="19"/>
  <c r="R188" i="19"/>
  <c r="S188" i="19"/>
  <c r="Q189" i="19"/>
  <c r="R189" i="19"/>
  <c r="S189" i="19"/>
  <c r="Q190" i="19"/>
  <c r="R190" i="19"/>
  <c r="S190" i="19"/>
  <c r="Q191" i="19"/>
  <c r="R191" i="19"/>
  <c r="S191" i="19"/>
  <c r="Q192" i="19"/>
  <c r="R192" i="19"/>
  <c r="S192" i="19"/>
  <c r="Q193" i="19"/>
  <c r="R193" i="19"/>
  <c r="S193" i="19"/>
  <c r="Q194" i="19"/>
  <c r="R194" i="19"/>
  <c r="S194" i="19"/>
  <c r="Q195" i="19"/>
  <c r="R195" i="19"/>
  <c r="S195" i="19"/>
  <c r="Q196" i="19"/>
  <c r="R196" i="19"/>
  <c r="S196" i="19"/>
  <c r="Q197" i="19"/>
  <c r="R197" i="19"/>
  <c r="S197" i="19"/>
  <c r="Q198" i="19"/>
  <c r="R198" i="19"/>
  <c r="S198" i="19"/>
  <c r="Q199" i="19"/>
  <c r="R199" i="19"/>
  <c r="S199" i="19"/>
  <c r="Q200" i="19"/>
  <c r="R200" i="19"/>
  <c r="S200" i="19"/>
  <c r="Q201" i="19"/>
  <c r="R201" i="19"/>
  <c r="S201" i="19"/>
  <c r="Q202" i="19"/>
  <c r="R202" i="19"/>
  <c r="S202" i="19"/>
  <c r="Q203" i="19"/>
  <c r="R203" i="19"/>
  <c r="S203" i="19"/>
  <c r="Q204" i="19"/>
  <c r="R204" i="19"/>
  <c r="S204" i="19"/>
  <c r="Q205" i="19"/>
  <c r="R205" i="19"/>
  <c r="S205" i="19"/>
  <c r="Q206" i="19"/>
  <c r="R206" i="19"/>
  <c r="S206" i="19"/>
  <c r="Q207" i="19"/>
  <c r="R207" i="19"/>
  <c r="S207" i="19"/>
  <c r="Q208" i="19"/>
  <c r="R208" i="19"/>
  <c r="S208" i="19"/>
  <c r="Q209" i="19"/>
  <c r="R209" i="19"/>
  <c r="S209" i="19"/>
  <c r="Q210" i="19"/>
  <c r="R210" i="19"/>
  <c r="S210" i="19"/>
  <c r="Q211" i="19"/>
  <c r="R211" i="19"/>
  <c r="S211" i="19"/>
  <c r="Q212" i="19"/>
  <c r="R212" i="19"/>
  <c r="S212" i="19"/>
  <c r="Q213" i="19"/>
  <c r="R213" i="19"/>
  <c r="S213" i="19"/>
  <c r="Q214" i="19"/>
  <c r="R214" i="19"/>
  <c r="S214" i="19"/>
  <c r="Q215" i="19"/>
  <c r="R215" i="19"/>
  <c r="S215" i="19"/>
  <c r="Q216" i="19"/>
  <c r="R216" i="19"/>
  <c r="S216" i="19"/>
  <c r="Q217" i="19"/>
  <c r="R217" i="19"/>
  <c r="S217" i="19"/>
  <c r="Q218" i="19"/>
  <c r="R218" i="19"/>
  <c r="S218" i="19"/>
  <c r="Q219" i="19"/>
  <c r="R219" i="19"/>
  <c r="S219" i="19"/>
  <c r="Q220" i="19"/>
  <c r="R220" i="19"/>
  <c r="S220" i="19"/>
  <c r="Q221" i="19"/>
  <c r="R221" i="19"/>
  <c r="S221" i="19"/>
  <c r="Q222" i="19"/>
  <c r="R222" i="19"/>
  <c r="S222" i="19"/>
  <c r="Q223" i="19"/>
  <c r="R223" i="19"/>
  <c r="S223" i="19"/>
  <c r="Q224" i="19"/>
  <c r="R224" i="19"/>
  <c r="S224" i="19"/>
  <c r="Q225" i="19"/>
  <c r="R225" i="19"/>
  <c r="S225" i="19"/>
  <c r="Q226" i="19"/>
  <c r="R226" i="19"/>
  <c r="S226" i="19"/>
  <c r="Q227" i="19"/>
  <c r="R227" i="19"/>
  <c r="S227" i="19"/>
  <c r="Q228" i="19"/>
  <c r="R228" i="19"/>
  <c r="S228" i="19"/>
  <c r="Q229" i="19"/>
  <c r="R229" i="19"/>
  <c r="S229" i="19"/>
  <c r="Q230" i="19"/>
  <c r="R230" i="19"/>
  <c r="S230" i="19"/>
  <c r="Q231" i="19"/>
  <c r="R231" i="19"/>
  <c r="S231" i="19"/>
  <c r="Q232" i="19"/>
  <c r="R232" i="19"/>
  <c r="S232" i="19"/>
  <c r="Q233" i="19"/>
  <c r="R233" i="19"/>
  <c r="S233" i="19"/>
  <c r="Q234" i="19"/>
  <c r="R234" i="19"/>
  <c r="S234" i="19"/>
  <c r="Q235" i="19"/>
  <c r="R235" i="19"/>
  <c r="S235" i="19"/>
  <c r="Q236" i="19"/>
  <c r="R236" i="19"/>
  <c r="S236" i="19"/>
  <c r="Q237" i="19"/>
  <c r="R237" i="19"/>
  <c r="S237" i="19"/>
  <c r="Q238" i="19"/>
  <c r="R238" i="19"/>
  <c r="S238" i="19"/>
  <c r="Q239" i="19"/>
  <c r="R239" i="19"/>
  <c r="S239" i="19"/>
  <c r="Q240" i="19"/>
  <c r="R240" i="19"/>
  <c r="S240" i="19"/>
  <c r="Q241" i="19"/>
  <c r="R241" i="19"/>
  <c r="S241" i="19"/>
  <c r="Q242" i="19"/>
  <c r="R242" i="19"/>
  <c r="S242" i="19"/>
  <c r="Q243" i="19"/>
  <c r="R243" i="19"/>
  <c r="S243" i="19"/>
  <c r="Q244" i="19"/>
  <c r="R244" i="19"/>
  <c r="S244" i="19"/>
  <c r="Q245" i="19"/>
  <c r="R245" i="19"/>
  <c r="S245" i="19"/>
  <c r="Q246" i="19"/>
  <c r="R246" i="19"/>
  <c r="S246" i="19"/>
  <c r="Q247" i="19"/>
  <c r="R247" i="19"/>
  <c r="S247" i="19"/>
  <c r="Q248" i="19"/>
  <c r="R248" i="19"/>
  <c r="S248" i="19"/>
  <c r="Q249" i="19"/>
  <c r="R249" i="19"/>
  <c r="S249" i="19"/>
  <c r="Q250" i="19"/>
  <c r="R250" i="19"/>
  <c r="S250" i="19"/>
  <c r="Q251" i="19"/>
  <c r="R251" i="19"/>
  <c r="S251" i="19"/>
  <c r="Q252" i="19"/>
  <c r="R252" i="19"/>
  <c r="S252" i="19"/>
  <c r="Q253" i="19"/>
  <c r="R253" i="19"/>
  <c r="S253" i="19"/>
  <c r="Q254" i="19"/>
  <c r="R254" i="19"/>
  <c r="S254" i="19"/>
  <c r="Q255" i="19"/>
  <c r="R255" i="19"/>
  <c r="S255" i="19"/>
  <c r="Q256" i="19"/>
  <c r="R256" i="19"/>
  <c r="S256" i="19"/>
  <c r="Q257" i="19"/>
  <c r="R257" i="19"/>
  <c r="S257" i="19"/>
  <c r="Q258" i="19"/>
  <c r="R258" i="19"/>
  <c r="S258" i="19"/>
  <c r="Q259" i="19"/>
  <c r="R259" i="19"/>
  <c r="S259" i="19"/>
  <c r="Q260" i="19"/>
  <c r="R260" i="19"/>
  <c r="S260" i="19"/>
  <c r="Q261" i="19"/>
  <c r="R261" i="19"/>
  <c r="S261" i="19"/>
  <c r="Q262" i="19"/>
  <c r="R262" i="19"/>
  <c r="S262" i="19"/>
  <c r="Q263" i="19"/>
  <c r="R263" i="19"/>
  <c r="S263" i="19"/>
  <c r="Q264" i="19"/>
  <c r="R264" i="19"/>
  <c r="S264" i="19"/>
  <c r="Q265" i="19"/>
  <c r="R265" i="19"/>
  <c r="S265" i="19"/>
  <c r="Q266" i="19"/>
  <c r="R266" i="19"/>
  <c r="S266" i="19"/>
  <c r="Q267" i="19"/>
  <c r="R267" i="19"/>
  <c r="S267" i="19"/>
  <c r="Q268" i="19"/>
  <c r="R268" i="19"/>
  <c r="S268" i="19"/>
  <c r="Q269" i="19"/>
  <c r="R269" i="19"/>
  <c r="S269" i="19"/>
  <c r="Q270" i="19"/>
  <c r="R270" i="19"/>
  <c r="S270" i="19"/>
  <c r="Q271" i="19"/>
  <c r="R271" i="19"/>
  <c r="S271" i="19"/>
  <c r="Q272" i="19"/>
  <c r="R272" i="19"/>
  <c r="S272" i="19"/>
  <c r="Q273" i="19"/>
  <c r="R273" i="19"/>
  <c r="S273" i="19"/>
  <c r="Q274" i="19"/>
  <c r="R274" i="19"/>
  <c r="S274" i="19"/>
  <c r="Q275" i="19"/>
  <c r="R275" i="19"/>
  <c r="S275" i="19"/>
  <c r="Q276" i="19"/>
  <c r="R276" i="19"/>
  <c r="S276" i="19"/>
  <c r="Q277" i="19"/>
  <c r="R277" i="19"/>
  <c r="S277" i="19"/>
  <c r="Q278" i="19"/>
  <c r="R278" i="19"/>
  <c r="S278" i="19"/>
  <c r="Q279" i="19"/>
  <c r="R279" i="19"/>
  <c r="S279" i="19"/>
  <c r="Q280" i="19"/>
  <c r="R280" i="19"/>
  <c r="S280" i="19"/>
  <c r="Q281" i="19"/>
  <c r="R281" i="19"/>
  <c r="S281" i="19"/>
  <c r="Q282" i="19"/>
  <c r="R282" i="19"/>
  <c r="S282" i="19"/>
  <c r="Q283" i="19"/>
  <c r="R283" i="19"/>
  <c r="S283" i="19"/>
  <c r="Q284" i="19"/>
  <c r="R284" i="19"/>
  <c r="S284" i="19"/>
  <c r="Q285" i="19"/>
  <c r="R285" i="19"/>
  <c r="S285" i="19"/>
  <c r="Q286" i="19"/>
  <c r="R286" i="19"/>
  <c r="S286" i="19"/>
  <c r="Q287" i="19"/>
  <c r="R287" i="19"/>
  <c r="S287" i="19"/>
  <c r="Q288" i="19"/>
  <c r="R288" i="19"/>
  <c r="S288" i="19"/>
  <c r="Q289" i="19"/>
  <c r="R289" i="19"/>
  <c r="S289" i="19"/>
  <c r="Q290" i="19"/>
  <c r="R290" i="19"/>
  <c r="S290" i="19"/>
  <c r="Q291" i="19"/>
  <c r="R291" i="19"/>
  <c r="S291" i="19"/>
  <c r="Q292" i="19"/>
  <c r="R292" i="19"/>
  <c r="S292" i="19"/>
  <c r="Q293" i="19"/>
  <c r="R293" i="19"/>
  <c r="S293" i="19"/>
  <c r="Q294" i="19"/>
  <c r="R294" i="19"/>
  <c r="S294" i="19"/>
  <c r="Q295" i="19"/>
  <c r="R295" i="19"/>
  <c r="S295" i="19"/>
  <c r="Q296" i="19"/>
  <c r="R296" i="19"/>
  <c r="S296" i="19"/>
  <c r="Q297" i="19"/>
  <c r="R297" i="19"/>
  <c r="S297" i="19"/>
  <c r="Q298" i="19"/>
  <c r="R298" i="19"/>
  <c r="S298" i="19"/>
  <c r="Q299" i="19"/>
  <c r="R299" i="19"/>
  <c r="S299" i="19"/>
  <c r="Q300" i="19"/>
  <c r="R300" i="19"/>
  <c r="S300" i="19"/>
  <c r="Q301" i="19"/>
  <c r="R301" i="19"/>
  <c r="S301" i="19"/>
  <c r="Q302" i="19"/>
  <c r="R302" i="19"/>
  <c r="S302" i="19"/>
  <c r="Q303" i="19"/>
  <c r="R303" i="19"/>
  <c r="S303" i="19"/>
  <c r="Q304" i="19"/>
  <c r="R304" i="19"/>
  <c r="S304" i="19"/>
  <c r="Q305" i="19"/>
  <c r="R305" i="19"/>
  <c r="S305" i="19"/>
  <c r="Q306" i="19"/>
  <c r="R306" i="19"/>
  <c r="S306" i="19"/>
  <c r="Q307" i="19"/>
  <c r="R307" i="19"/>
  <c r="S307" i="19"/>
  <c r="Q308" i="19"/>
  <c r="R308" i="19"/>
  <c r="S308" i="19"/>
  <c r="Q309" i="19"/>
  <c r="R309" i="19"/>
  <c r="S309" i="19"/>
  <c r="Q310" i="19"/>
  <c r="R310" i="19"/>
  <c r="S310" i="19"/>
  <c r="Q311" i="19"/>
  <c r="R311" i="19"/>
  <c r="S311" i="19"/>
  <c r="Q312" i="19"/>
  <c r="R312" i="19"/>
  <c r="S312" i="19"/>
  <c r="Q313" i="19"/>
  <c r="R313" i="19"/>
  <c r="S313" i="19"/>
  <c r="Q314" i="19"/>
  <c r="R314" i="19"/>
  <c r="S314" i="19"/>
  <c r="Q315" i="19"/>
  <c r="R315" i="19"/>
  <c r="S315" i="19"/>
  <c r="Q316" i="19"/>
  <c r="R316" i="19"/>
  <c r="S316" i="19"/>
  <c r="Q317" i="19"/>
  <c r="R317" i="19"/>
  <c r="S317" i="19"/>
  <c r="Q318" i="19"/>
  <c r="R318" i="19"/>
  <c r="S318" i="19"/>
  <c r="Q319" i="19"/>
  <c r="R319" i="19"/>
  <c r="S319" i="19"/>
  <c r="Q320" i="19"/>
  <c r="R320" i="19"/>
  <c r="S320" i="19"/>
  <c r="Q321" i="19"/>
  <c r="R321" i="19"/>
  <c r="S321" i="19"/>
  <c r="Q322" i="19"/>
  <c r="R322" i="19"/>
  <c r="S322" i="19"/>
  <c r="Q323" i="19"/>
  <c r="R323" i="19"/>
  <c r="S323" i="19"/>
  <c r="Q324" i="19"/>
  <c r="R324" i="19"/>
  <c r="S324" i="19"/>
  <c r="Q325" i="19"/>
  <c r="R325" i="19"/>
  <c r="S325" i="19"/>
  <c r="Q326" i="19"/>
  <c r="R326" i="19"/>
  <c r="S326" i="19"/>
  <c r="Q327" i="19"/>
  <c r="R327" i="19"/>
  <c r="S327" i="19"/>
  <c r="Q328" i="19"/>
  <c r="R328" i="19"/>
  <c r="S328" i="19"/>
  <c r="Q329" i="19"/>
  <c r="R329" i="19"/>
  <c r="S329" i="19"/>
  <c r="Q330" i="19"/>
  <c r="R330" i="19"/>
  <c r="S330" i="19"/>
  <c r="Q331" i="19"/>
  <c r="R331" i="19"/>
  <c r="S331" i="19"/>
  <c r="Q332" i="19"/>
  <c r="R332" i="19"/>
  <c r="S332" i="19"/>
  <c r="Q333" i="19"/>
  <c r="R333" i="19"/>
  <c r="S333" i="19"/>
  <c r="Q334" i="19"/>
  <c r="R334" i="19"/>
  <c r="S334" i="19"/>
  <c r="Q335" i="19"/>
  <c r="R335" i="19"/>
  <c r="S335" i="19"/>
  <c r="Q336" i="19"/>
  <c r="R336" i="19"/>
  <c r="S336" i="19"/>
  <c r="Q337" i="19"/>
  <c r="R337" i="19"/>
  <c r="S337" i="19"/>
  <c r="Q338" i="19"/>
  <c r="R338" i="19"/>
  <c r="S338" i="19"/>
  <c r="Q339" i="19"/>
  <c r="R339" i="19"/>
  <c r="S339" i="19"/>
  <c r="Q340" i="19"/>
  <c r="R340" i="19"/>
  <c r="S340" i="19"/>
  <c r="Q341" i="19"/>
  <c r="R341" i="19"/>
  <c r="S341" i="19"/>
  <c r="Q342" i="19"/>
  <c r="R342" i="19"/>
  <c r="S342" i="19"/>
  <c r="Q343" i="19"/>
  <c r="R343" i="19"/>
  <c r="S343" i="19"/>
  <c r="Q344" i="19"/>
  <c r="R344" i="19"/>
  <c r="S344" i="19"/>
  <c r="Q345" i="19"/>
  <c r="R345" i="19"/>
  <c r="S345" i="19"/>
  <c r="Q346" i="19"/>
  <c r="R346" i="19"/>
  <c r="S346" i="19"/>
  <c r="Q347" i="19"/>
  <c r="R347" i="19"/>
  <c r="S347" i="19"/>
  <c r="Q348" i="19"/>
  <c r="R348" i="19"/>
  <c r="S348" i="19"/>
  <c r="Q349" i="19"/>
  <c r="R349" i="19"/>
  <c r="S349" i="19"/>
  <c r="Q350" i="19"/>
  <c r="R350" i="19"/>
  <c r="S350" i="19"/>
  <c r="Q351" i="19"/>
  <c r="R351" i="19"/>
  <c r="S351" i="19"/>
  <c r="Q352" i="19"/>
  <c r="R352" i="19"/>
  <c r="S352" i="19"/>
  <c r="Q353" i="19"/>
  <c r="R353" i="19"/>
  <c r="S353" i="19"/>
  <c r="Q354" i="19"/>
  <c r="R354" i="19"/>
  <c r="S354" i="19"/>
  <c r="Q355" i="19"/>
  <c r="R355" i="19"/>
  <c r="S355" i="19"/>
  <c r="Q356" i="19"/>
  <c r="R356" i="19"/>
  <c r="S356" i="19"/>
  <c r="Q357" i="19"/>
  <c r="R357" i="19"/>
  <c r="S357" i="19"/>
  <c r="Q358" i="19"/>
  <c r="R358" i="19"/>
  <c r="S358" i="19"/>
  <c r="Q359" i="19"/>
  <c r="R359" i="19"/>
  <c r="S359" i="19"/>
  <c r="Q360" i="19"/>
  <c r="R360" i="19"/>
  <c r="S360" i="19"/>
  <c r="Q361" i="19"/>
  <c r="R361" i="19"/>
  <c r="S361" i="19"/>
  <c r="Q362" i="19"/>
  <c r="R362" i="19"/>
  <c r="S362" i="19"/>
  <c r="Q363" i="19"/>
  <c r="R363" i="19"/>
  <c r="S363" i="19"/>
  <c r="Q364" i="19"/>
  <c r="R364" i="19"/>
  <c r="S364" i="19"/>
  <c r="Q365" i="19"/>
  <c r="R365" i="19"/>
  <c r="S365" i="19"/>
  <c r="Q366" i="19"/>
  <c r="R366" i="19"/>
  <c r="S366" i="19"/>
  <c r="Q367" i="19"/>
  <c r="R367" i="19"/>
  <c r="S367" i="19"/>
  <c r="Q368" i="19"/>
  <c r="R368" i="19"/>
  <c r="S368" i="19"/>
  <c r="Q369" i="19"/>
  <c r="R369" i="19"/>
  <c r="S369" i="19"/>
  <c r="Q370" i="19"/>
  <c r="R370" i="19"/>
  <c r="S370" i="19"/>
  <c r="Q371" i="19"/>
  <c r="R371" i="19"/>
  <c r="S371" i="19"/>
  <c r="Q372" i="19"/>
  <c r="R372" i="19"/>
  <c r="S372" i="19"/>
  <c r="Q373" i="19"/>
  <c r="R373" i="19"/>
  <c r="S373" i="19"/>
  <c r="Q374" i="19"/>
  <c r="R374" i="19"/>
  <c r="S374" i="19"/>
  <c r="Q375" i="19"/>
  <c r="R375" i="19"/>
  <c r="S375" i="19"/>
  <c r="Q376" i="19"/>
  <c r="R376" i="19"/>
  <c r="S376" i="19"/>
  <c r="Q377" i="19"/>
  <c r="R377" i="19"/>
  <c r="S377" i="19"/>
  <c r="Q378" i="19"/>
  <c r="R378" i="19"/>
  <c r="S378" i="19"/>
  <c r="Q379" i="19"/>
  <c r="R379" i="19"/>
  <c r="S379" i="19"/>
  <c r="Q380" i="19"/>
  <c r="R380" i="19"/>
  <c r="S380" i="19"/>
  <c r="Q381" i="19"/>
  <c r="R381" i="19"/>
  <c r="S381" i="19"/>
  <c r="Q382" i="19"/>
  <c r="R382" i="19"/>
  <c r="S382" i="19"/>
  <c r="Q383" i="19"/>
  <c r="R383" i="19"/>
  <c r="S383" i="19"/>
  <c r="Q384" i="19"/>
  <c r="R384" i="19"/>
  <c r="S384" i="19"/>
  <c r="Q385" i="19"/>
  <c r="R385" i="19"/>
  <c r="S385" i="19"/>
  <c r="Q386" i="19"/>
  <c r="R386" i="19"/>
  <c r="S386" i="19"/>
  <c r="Q387" i="19"/>
  <c r="R387" i="19"/>
  <c r="S387" i="19"/>
  <c r="Q388" i="19"/>
  <c r="R388" i="19"/>
  <c r="S388" i="19"/>
  <c r="Q389" i="19"/>
  <c r="R389" i="19"/>
  <c r="S389" i="19"/>
  <c r="Q390" i="19"/>
  <c r="R390" i="19"/>
  <c r="S390" i="19"/>
  <c r="Q391" i="19"/>
  <c r="R391" i="19"/>
  <c r="S391" i="19"/>
  <c r="Q392" i="19"/>
  <c r="R392" i="19"/>
  <c r="S392" i="19"/>
  <c r="Q393" i="19"/>
  <c r="R393" i="19"/>
  <c r="S393" i="19"/>
  <c r="Q394" i="19"/>
  <c r="R394" i="19"/>
  <c r="S394" i="19"/>
  <c r="Q395" i="19"/>
  <c r="R395" i="19"/>
  <c r="S395" i="19"/>
  <c r="Q396" i="19"/>
  <c r="R396" i="19"/>
  <c r="S396" i="19"/>
  <c r="Q397" i="19"/>
  <c r="R397" i="19"/>
  <c r="S397" i="19"/>
  <c r="Q398" i="19"/>
  <c r="R398" i="19"/>
  <c r="S398" i="19"/>
  <c r="Q399" i="19"/>
  <c r="R399" i="19"/>
  <c r="S399" i="19"/>
  <c r="Q400" i="19"/>
  <c r="R400" i="19"/>
  <c r="S400" i="19"/>
  <c r="Q401" i="19"/>
  <c r="R401" i="19"/>
  <c r="S401" i="19"/>
  <c r="Q402" i="19"/>
  <c r="R402" i="19"/>
  <c r="S402" i="19"/>
  <c r="Q403" i="19"/>
  <c r="R403" i="19"/>
  <c r="S403" i="19"/>
  <c r="Q404" i="19"/>
  <c r="R404" i="19"/>
  <c r="S404" i="19"/>
  <c r="Q405" i="19"/>
  <c r="R405" i="19"/>
  <c r="S405" i="19"/>
  <c r="Q406" i="19"/>
  <c r="R406" i="19"/>
  <c r="S406" i="19"/>
  <c r="Q407" i="19"/>
  <c r="R407" i="19"/>
  <c r="S407" i="19"/>
  <c r="Q408" i="19"/>
  <c r="R408" i="19"/>
  <c r="S408" i="19"/>
  <c r="Q409" i="19"/>
  <c r="R409" i="19"/>
  <c r="S409" i="19"/>
  <c r="Q410" i="19"/>
  <c r="R410" i="19"/>
  <c r="S410" i="19"/>
  <c r="Q411" i="19"/>
  <c r="R411" i="19"/>
  <c r="S411" i="19"/>
  <c r="Q412" i="19"/>
  <c r="R412" i="19"/>
  <c r="S412" i="19"/>
  <c r="Q413" i="19"/>
  <c r="R413" i="19"/>
  <c r="S413" i="19"/>
  <c r="Q414" i="19"/>
  <c r="R414" i="19"/>
  <c r="S414" i="19"/>
  <c r="Q415" i="19"/>
  <c r="R415" i="19"/>
  <c r="S415" i="19"/>
  <c r="Q416" i="19"/>
  <c r="R416" i="19"/>
  <c r="S416" i="19"/>
  <c r="Q417" i="19"/>
  <c r="R417" i="19"/>
  <c r="S417" i="19"/>
  <c r="Q418" i="19"/>
  <c r="R418" i="19"/>
  <c r="S418" i="19"/>
  <c r="Q419" i="19"/>
  <c r="R419" i="19"/>
  <c r="S419" i="19"/>
  <c r="Q420" i="19"/>
  <c r="R420" i="19"/>
  <c r="S420" i="19"/>
  <c r="Q421" i="19"/>
  <c r="R421" i="19"/>
  <c r="S421" i="19"/>
  <c r="Q422" i="19"/>
  <c r="R422" i="19"/>
  <c r="S422" i="19"/>
  <c r="Q423" i="19"/>
  <c r="R423" i="19"/>
  <c r="S423" i="19"/>
  <c r="Q424" i="19"/>
  <c r="R424" i="19"/>
  <c r="S424" i="19"/>
  <c r="Q425" i="19"/>
  <c r="R425" i="19"/>
  <c r="S425" i="19"/>
  <c r="Q426" i="19"/>
  <c r="R426" i="19"/>
  <c r="S426" i="19"/>
  <c r="Q427" i="19"/>
  <c r="R427" i="19"/>
  <c r="S427" i="19"/>
  <c r="Q428" i="19"/>
  <c r="R428" i="19"/>
  <c r="S428" i="19"/>
  <c r="Q429" i="19"/>
  <c r="R429" i="19"/>
  <c r="S429" i="19"/>
  <c r="Q430" i="19"/>
  <c r="R430" i="19"/>
  <c r="S430" i="19"/>
  <c r="R5" i="19"/>
  <c r="Q5" i="19"/>
  <c r="T694" i="17" l="1"/>
  <c r="A315" i="17" l="1"/>
  <c r="T691" i="17" l="1"/>
  <c r="U691" i="17"/>
  <c r="V691" i="17"/>
  <c r="T692" i="17"/>
  <c r="U692" i="17"/>
  <c r="V692" i="17"/>
  <c r="T693" i="17"/>
  <c r="U693" i="17"/>
  <c r="V693" i="17"/>
  <c r="T664" i="17"/>
  <c r="U664" i="17"/>
  <c r="V664" i="17"/>
  <c r="T665" i="17"/>
  <c r="U665" i="17"/>
  <c r="V665" i="17"/>
  <c r="T666" i="17"/>
  <c r="U666" i="17"/>
  <c r="V666" i="17"/>
  <c r="T667" i="17"/>
  <c r="U667" i="17"/>
  <c r="V667" i="17"/>
  <c r="T668" i="17"/>
  <c r="U668" i="17"/>
  <c r="V668" i="17"/>
  <c r="T669" i="17"/>
  <c r="U669" i="17"/>
  <c r="V669" i="17"/>
  <c r="T670" i="17"/>
  <c r="U670" i="17"/>
  <c r="V670" i="17"/>
  <c r="T671" i="17"/>
  <c r="U671" i="17"/>
  <c r="V671" i="17"/>
  <c r="T672" i="17"/>
  <c r="U672" i="17"/>
  <c r="V672" i="17"/>
  <c r="T673" i="17"/>
  <c r="U673" i="17"/>
  <c r="V673" i="17"/>
  <c r="T674" i="17"/>
  <c r="U674" i="17"/>
  <c r="V674" i="17"/>
  <c r="T675" i="17"/>
  <c r="U675" i="17"/>
  <c r="V675" i="17"/>
  <c r="T676" i="17"/>
  <c r="U676" i="17"/>
  <c r="V676" i="17"/>
  <c r="T677" i="17"/>
  <c r="U677" i="17"/>
  <c r="V677" i="17"/>
  <c r="T678" i="17"/>
  <c r="U678" i="17"/>
  <c r="V678" i="17"/>
  <c r="T679" i="17"/>
  <c r="U679" i="17"/>
  <c r="V679" i="17"/>
  <c r="T680" i="17"/>
  <c r="U680" i="17"/>
  <c r="V680" i="17"/>
  <c r="T681" i="17"/>
  <c r="U681" i="17"/>
  <c r="V681" i="17"/>
  <c r="T682" i="17"/>
  <c r="U682" i="17"/>
  <c r="V682" i="17"/>
  <c r="T683" i="17"/>
  <c r="U683" i="17"/>
  <c r="V683" i="17"/>
  <c r="T684" i="17"/>
  <c r="U684" i="17"/>
  <c r="V684" i="17"/>
  <c r="T685" i="17"/>
  <c r="U685" i="17"/>
  <c r="V685" i="17"/>
  <c r="T686" i="17"/>
  <c r="U686" i="17"/>
  <c r="V686" i="17"/>
  <c r="T687" i="17"/>
  <c r="U687" i="17"/>
  <c r="V687" i="17"/>
  <c r="T688" i="17"/>
  <c r="U688" i="17"/>
  <c r="V688" i="17"/>
  <c r="T689" i="17"/>
  <c r="U689" i="17"/>
  <c r="V689" i="17"/>
  <c r="T690" i="17"/>
  <c r="U690" i="17"/>
  <c r="V690" i="17"/>
  <c r="T623" i="17"/>
  <c r="U623" i="17"/>
  <c r="V623" i="17"/>
  <c r="T624" i="17"/>
  <c r="U624" i="17"/>
  <c r="V624" i="17"/>
  <c r="T625" i="17"/>
  <c r="U625" i="17"/>
  <c r="V625" i="17"/>
  <c r="T626" i="17"/>
  <c r="U626" i="17"/>
  <c r="V626" i="17"/>
  <c r="T627" i="17"/>
  <c r="U627" i="17"/>
  <c r="V627" i="17"/>
  <c r="T610" i="17"/>
  <c r="U610" i="17"/>
  <c r="V610" i="17"/>
  <c r="T611" i="17"/>
  <c r="U611" i="17"/>
  <c r="V611" i="17"/>
  <c r="T612" i="17"/>
  <c r="U612" i="17"/>
  <c r="V612" i="17"/>
  <c r="T613" i="17"/>
  <c r="U613" i="17"/>
  <c r="V613" i="17"/>
  <c r="T614" i="17"/>
  <c r="U614" i="17"/>
  <c r="V614" i="17"/>
  <c r="T615" i="17"/>
  <c r="U615" i="17"/>
  <c r="V615" i="17"/>
  <c r="T616" i="17"/>
  <c r="U616" i="17"/>
  <c r="V616" i="17"/>
  <c r="T617" i="17"/>
  <c r="U617" i="17"/>
  <c r="V617" i="17"/>
  <c r="T618" i="17"/>
  <c r="U618" i="17"/>
  <c r="V618" i="17"/>
  <c r="T619" i="17"/>
  <c r="U619" i="17"/>
  <c r="V619" i="17"/>
  <c r="T620" i="17"/>
  <c r="U620" i="17"/>
  <c r="V620" i="17"/>
  <c r="T621" i="17"/>
  <c r="U621" i="17"/>
  <c r="V621" i="17"/>
  <c r="T622" i="17"/>
  <c r="U622" i="17"/>
  <c r="V622" i="17"/>
  <c r="U15" i="17"/>
  <c r="V15" i="17"/>
  <c r="T16" i="17"/>
  <c r="U16" i="17"/>
  <c r="V16" i="17"/>
  <c r="E30" i="22" l="1"/>
  <c r="P693" i="17" l="1"/>
  <c r="P692" i="17"/>
  <c r="P691" i="17"/>
  <c r="P690" i="17"/>
  <c r="P689" i="17"/>
  <c r="P688" i="17"/>
  <c r="P687" i="17"/>
  <c r="P686" i="17"/>
  <c r="P685" i="17"/>
  <c r="P684" i="17"/>
  <c r="P683" i="17"/>
  <c r="P682" i="17"/>
  <c r="P681" i="17"/>
  <c r="P680" i="17"/>
  <c r="P679" i="17"/>
  <c r="P678" i="17"/>
  <c r="P677" i="17"/>
  <c r="P676" i="17"/>
  <c r="P675" i="17"/>
  <c r="P674" i="17"/>
  <c r="P673" i="17"/>
  <c r="P672" i="17"/>
  <c r="P671" i="17"/>
  <c r="P670" i="17"/>
  <c r="P669" i="17"/>
  <c r="P668" i="17"/>
  <c r="P667" i="17"/>
  <c r="P666" i="17"/>
  <c r="P665" i="17"/>
  <c r="P664" i="17"/>
  <c r="P627" i="17"/>
  <c r="P626" i="17"/>
  <c r="P625" i="17"/>
  <c r="P624" i="17"/>
  <c r="P623" i="17"/>
  <c r="P622" i="17"/>
  <c r="P621" i="17"/>
  <c r="P620" i="17"/>
  <c r="P619" i="17"/>
  <c r="P618" i="17"/>
  <c r="P617" i="17"/>
  <c r="P616" i="17"/>
  <c r="P615" i="17"/>
  <c r="P614" i="17"/>
  <c r="P613" i="17"/>
  <c r="P612" i="17"/>
  <c r="P611" i="17"/>
  <c r="P610" i="17"/>
  <c r="P16" i="17"/>
  <c r="P15" i="17"/>
  <c r="Y15" i="17"/>
  <c r="Y16" i="17"/>
  <c r="Y610" i="17"/>
  <c r="Y611" i="17"/>
  <c r="Y612" i="17"/>
  <c r="Y613" i="17"/>
  <c r="Y614" i="17"/>
  <c r="Y615" i="17"/>
  <c r="Y616" i="17"/>
  <c r="Y617" i="17"/>
  <c r="Y618" i="17"/>
  <c r="Y619" i="17"/>
  <c r="Y620" i="17"/>
  <c r="Y621" i="17"/>
  <c r="Y622" i="17"/>
  <c r="Y623" i="17"/>
  <c r="Y624" i="17"/>
  <c r="Y625" i="17"/>
  <c r="Y626" i="17"/>
  <c r="Y627" i="17"/>
  <c r="Y664" i="17"/>
  <c r="Y665" i="17"/>
  <c r="Y666" i="17"/>
  <c r="Y667" i="17"/>
  <c r="Y668" i="17"/>
  <c r="Y669" i="17"/>
  <c r="Y670" i="17"/>
  <c r="Y671" i="17"/>
  <c r="Y672" i="17"/>
  <c r="Y673" i="17"/>
  <c r="Y674" i="17"/>
  <c r="Y675" i="17"/>
  <c r="Y676" i="17"/>
  <c r="Y677" i="17"/>
  <c r="Y678" i="17"/>
  <c r="Y679" i="17"/>
  <c r="Y680" i="17"/>
  <c r="Y681" i="17"/>
  <c r="Y682" i="17"/>
  <c r="Y683" i="17"/>
  <c r="Y684" i="17"/>
  <c r="Y685" i="17"/>
  <c r="Y686" i="17"/>
  <c r="Y687" i="17"/>
  <c r="Y688" i="17"/>
  <c r="Y689" i="17"/>
  <c r="Y690" i="17"/>
  <c r="Y691" i="17"/>
  <c r="Y692" i="17"/>
  <c r="Y693" i="17"/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P83" i="6" l="1"/>
  <c r="C695" i="17"/>
  <c r="C696" i="17"/>
  <c r="C697" i="17"/>
  <c r="C698" i="17"/>
  <c r="C699" i="17"/>
  <c r="C700" i="17"/>
  <c r="C701" i="17"/>
  <c r="C702" i="17"/>
  <c r="C703" i="17"/>
  <c r="C704" i="17"/>
  <c r="C705" i="17"/>
  <c r="C706" i="17"/>
  <c r="C707" i="17"/>
  <c r="B11" i="14"/>
  <c r="B12" i="14"/>
  <c r="B13" i="14"/>
  <c r="B14" i="14"/>
  <c r="B15" i="14"/>
  <c r="B16" i="14"/>
  <c r="B17" i="14"/>
  <c r="B18" i="14"/>
  <c r="T704" i="17" l="1"/>
  <c r="U704" i="17"/>
  <c r="V704" i="17"/>
  <c r="P704" i="17"/>
  <c r="Y704" i="17"/>
  <c r="T700" i="17"/>
  <c r="U700" i="17"/>
  <c r="V700" i="17"/>
  <c r="P700" i="17"/>
  <c r="Y700" i="17"/>
  <c r="T696" i="17"/>
  <c r="U696" i="17"/>
  <c r="V696" i="17"/>
  <c r="P696" i="17"/>
  <c r="Y696" i="17"/>
  <c r="V707" i="17"/>
  <c r="T707" i="17"/>
  <c r="U707" i="17"/>
  <c r="P707" i="17"/>
  <c r="Y707" i="17"/>
  <c r="V703" i="17"/>
  <c r="T703" i="17"/>
  <c r="U703" i="17"/>
  <c r="P703" i="17"/>
  <c r="Y703" i="17"/>
  <c r="V699" i="17"/>
  <c r="T699" i="17"/>
  <c r="U699" i="17"/>
  <c r="P699" i="17"/>
  <c r="Y699" i="17"/>
  <c r="V695" i="17"/>
  <c r="T695" i="17"/>
  <c r="U695" i="17"/>
  <c r="P695" i="17"/>
  <c r="Y695" i="17"/>
  <c r="U706" i="17"/>
  <c r="V706" i="17"/>
  <c r="T706" i="17"/>
  <c r="P706" i="17"/>
  <c r="Y706" i="17"/>
  <c r="U702" i="17"/>
  <c r="V702" i="17"/>
  <c r="T702" i="17"/>
  <c r="P702" i="17"/>
  <c r="Y702" i="17"/>
  <c r="U698" i="17"/>
  <c r="V698" i="17"/>
  <c r="T698" i="17"/>
  <c r="P698" i="17"/>
  <c r="Y698" i="17"/>
  <c r="T705" i="17"/>
  <c r="U705" i="17"/>
  <c r="V705" i="17"/>
  <c r="P705" i="17"/>
  <c r="Y705" i="17"/>
  <c r="T701" i="17"/>
  <c r="U701" i="17"/>
  <c r="V701" i="17"/>
  <c r="P701" i="17"/>
  <c r="Y701" i="17"/>
  <c r="T697" i="17"/>
  <c r="U697" i="17"/>
  <c r="V697" i="17"/>
  <c r="P697" i="17"/>
  <c r="Y697" i="17"/>
  <c r="AA82" i="23"/>
  <c r="AB82" i="23"/>
  <c r="AC82" i="23"/>
  <c r="AA83" i="23"/>
  <c r="AB83" i="23"/>
  <c r="AC83" i="23"/>
  <c r="AA84" i="23"/>
  <c r="AB84" i="23"/>
  <c r="AC84" i="23"/>
  <c r="AA85" i="23"/>
  <c r="AB85" i="23"/>
  <c r="AC85" i="23"/>
  <c r="AA86" i="23"/>
  <c r="AB86" i="23"/>
  <c r="AC86" i="23"/>
  <c r="AA87" i="23"/>
  <c r="AB87" i="23"/>
  <c r="AC87" i="23"/>
  <c r="AA88" i="23"/>
  <c r="AB88" i="23"/>
  <c r="AC88" i="23"/>
  <c r="AA89" i="23"/>
  <c r="AB89" i="23"/>
  <c r="AC89" i="23"/>
  <c r="AA90" i="23"/>
  <c r="AB90" i="23"/>
  <c r="AC90" i="23"/>
  <c r="AA91" i="23"/>
  <c r="AB91" i="23"/>
  <c r="AC91" i="23"/>
  <c r="AA92" i="23"/>
  <c r="AB92" i="23"/>
  <c r="AC92" i="23"/>
  <c r="AA93" i="23"/>
  <c r="AB93" i="23"/>
  <c r="AC93" i="23"/>
  <c r="AA94" i="23"/>
  <c r="AB94" i="23"/>
  <c r="AC94" i="23"/>
  <c r="AA95" i="23"/>
  <c r="AB95" i="23"/>
  <c r="AC95" i="23"/>
  <c r="AA96" i="23"/>
  <c r="AB96" i="23"/>
  <c r="AC96" i="23"/>
  <c r="AA97" i="23"/>
  <c r="AB97" i="23"/>
  <c r="AC97" i="23"/>
  <c r="AA98" i="23"/>
  <c r="AB98" i="23"/>
  <c r="AC98" i="23"/>
  <c r="AA99" i="23"/>
  <c r="AB99" i="23"/>
  <c r="AC99" i="23"/>
  <c r="AA100" i="23"/>
  <c r="AB100" i="23"/>
  <c r="AC100" i="23"/>
  <c r="AA101" i="23"/>
  <c r="AB101" i="23"/>
  <c r="AC101" i="23"/>
  <c r="S82" i="23"/>
  <c r="T82" i="23"/>
  <c r="U82" i="23"/>
  <c r="S83" i="23"/>
  <c r="T83" i="23"/>
  <c r="U83" i="23"/>
  <c r="S84" i="23"/>
  <c r="T84" i="23"/>
  <c r="U84" i="23"/>
  <c r="S85" i="23"/>
  <c r="T85" i="23"/>
  <c r="U85" i="23"/>
  <c r="S86" i="23"/>
  <c r="T86" i="23"/>
  <c r="U86" i="23"/>
  <c r="S87" i="23"/>
  <c r="T87" i="23"/>
  <c r="U87" i="23"/>
  <c r="S88" i="23"/>
  <c r="T88" i="23"/>
  <c r="U88" i="23"/>
  <c r="S89" i="23"/>
  <c r="T89" i="23"/>
  <c r="U89" i="23"/>
  <c r="S90" i="23"/>
  <c r="T90" i="23"/>
  <c r="U90" i="23"/>
  <c r="S91" i="23"/>
  <c r="T91" i="23"/>
  <c r="U91" i="23"/>
  <c r="S92" i="23"/>
  <c r="T92" i="23"/>
  <c r="U92" i="23"/>
  <c r="S93" i="23"/>
  <c r="T93" i="23"/>
  <c r="U93" i="23"/>
  <c r="S94" i="23"/>
  <c r="T94" i="23"/>
  <c r="U94" i="23"/>
  <c r="S95" i="23"/>
  <c r="T95" i="23"/>
  <c r="U95" i="23"/>
  <c r="S96" i="23"/>
  <c r="T96" i="23"/>
  <c r="U96" i="23"/>
  <c r="S97" i="23"/>
  <c r="T97" i="23"/>
  <c r="U97" i="23"/>
  <c r="S98" i="23"/>
  <c r="T98" i="23"/>
  <c r="U98" i="23"/>
  <c r="S99" i="23"/>
  <c r="T99" i="23"/>
  <c r="U99" i="23"/>
  <c r="S100" i="23"/>
  <c r="T100" i="23"/>
  <c r="U100" i="23"/>
  <c r="S101" i="23"/>
  <c r="T101" i="23"/>
  <c r="U101" i="23"/>
  <c r="AD725" i="17" l="1"/>
  <c r="AF6" i="17" l="1"/>
  <c r="AF7" i="17"/>
  <c r="AF8" i="17"/>
  <c r="AF9" i="17"/>
  <c r="AF10" i="17"/>
  <c r="AF11" i="17"/>
  <c r="AF28" i="17"/>
  <c r="AF29" i="17"/>
  <c r="AF86" i="17"/>
  <c r="AF189" i="17"/>
  <c r="AF202" i="17"/>
  <c r="AF315" i="17"/>
  <c r="AF726" i="17"/>
  <c r="AF727" i="17"/>
  <c r="AF728" i="17"/>
  <c r="AF729" i="17"/>
  <c r="AF746" i="17"/>
  <c r="E51" i="22"/>
  <c r="E52" i="22"/>
  <c r="E53" i="22"/>
  <c r="I604" i="17" l="1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C19" i="17"/>
  <c r="A19" i="17"/>
  <c r="E19" i="17" s="1"/>
  <c r="I19" i="17" s="1"/>
  <c r="AE18" i="17"/>
  <c r="C18" i="17"/>
  <c r="A18" i="17"/>
  <c r="E18" i="17" s="1"/>
  <c r="I18" i="17" s="1"/>
  <c r="C17" i="17"/>
  <c r="A17" i="17"/>
  <c r="E17" i="17" s="1"/>
  <c r="I17" i="17" s="1"/>
  <c r="T17" i="17" l="1"/>
  <c r="U17" i="17"/>
  <c r="V17" i="17"/>
  <c r="Y17" i="17"/>
  <c r="U19" i="17"/>
  <c r="V19" i="17"/>
  <c r="T19" i="17"/>
  <c r="Y19" i="17"/>
  <c r="T18" i="17"/>
  <c r="U18" i="17"/>
  <c r="V18" i="17"/>
  <c r="Y18" i="17"/>
  <c r="AE17" i="17"/>
  <c r="AE19" i="17"/>
  <c r="C1" i="7"/>
  <c r="Y101" i="23" l="1"/>
  <c r="X101" i="23"/>
  <c r="D101" i="23" s="1"/>
  <c r="W101" i="23"/>
  <c r="C101" i="23" s="1"/>
  <c r="Y100" i="23"/>
  <c r="E100" i="23" s="1"/>
  <c r="X100" i="23"/>
  <c r="D100" i="23" s="1"/>
  <c r="W100" i="23"/>
  <c r="C100" i="23" s="1"/>
  <c r="Y99" i="23"/>
  <c r="E99" i="23" s="1"/>
  <c r="X99" i="23"/>
  <c r="D99" i="23" s="1"/>
  <c r="W99" i="23"/>
  <c r="C99" i="23" s="1"/>
  <c r="Y98" i="23"/>
  <c r="E98" i="23" s="1"/>
  <c r="X98" i="23"/>
  <c r="D98" i="23" s="1"/>
  <c r="W98" i="23"/>
  <c r="C98" i="23" s="1"/>
  <c r="Y97" i="23"/>
  <c r="E97" i="23" s="1"/>
  <c r="X97" i="23"/>
  <c r="D97" i="23" s="1"/>
  <c r="W97" i="23"/>
  <c r="C97" i="23" s="1"/>
  <c r="Y96" i="23"/>
  <c r="E96" i="23" s="1"/>
  <c r="X96" i="23"/>
  <c r="D96" i="23" s="1"/>
  <c r="W96" i="23"/>
  <c r="C96" i="23" s="1"/>
  <c r="Y95" i="23"/>
  <c r="E95" i="23" s="1"/>
  <c r="X95" i="23"/>
  <c r="D95" i="23" s="1"/>
  <c r="W95" i="23"/>
  <c r="Y94" i="23"/>
  <c r="E94" i="23" s="1"/>
  <c r="X94" i="23"/>
  <c r="D94" i="23" s="1"/>
  <c r="W94" i="23"/>
  <c r="C94" i="23" s="1"/>
  <c r="Y93" i="23"/>
  <c r="E93" i="23" s="1"/>
  <c r="X93" i="23"/>
  <c r="D93" i="23" s="1"/>
  <c r="W93" i="23"/>
  <c r="C93" i="23" s="1"/>
  <c r="Y92" i="23"/>
  <c r="E92" i="23" s="1"/>
  <c r="X92" i="23"/>
  <c r="D92" i="23" s="1"/>
  <c r="W92" i="23"/>
  <c r="C92" i="23" s="1"/>
  <c r="Y91" i="23"/>
  <c r="E91" i="23" s="1"/>
  <c r="X91" i="23"/>
  <c r="D91" i="23" s="1"/>
  <c r="W91" i="23"/>
  <c r="C91" i="23" s="1"/>
  <c r="Y90" i="23"/>
  <c r="E90" i="23" s="1"/>
  <c r="X90" i="23"/>
  <c r="D90" i="23" s="1"/>
  <c r="W90" i="23"/>
  <c r="C90" i="23" s="1"/>
  <c r="Y89" i="23"/>
  <c r="X89" i="23"/>
  <c r="D89" i="23" s="1"/>
  <c r="W89" i="23"/>
  <c r="C89" i="23" s="1"/>
  <c r="Y88" i="23"/>
  <c r="E88" i="23" s="1"/>
  <c r="X88" i="23"/>
  <c r="D88" i="23" s="1"/>
  <c r="W88" i="23"/>
  <c r="C88" i="23" s="1"/>
  <c r="Y87" i="23"/>
  <c r="E87" i="23" s="1"/>
  <c r="X87" i="23"/>
  <c r="D87" i="23" s="1"/>
  <c r="W87" i="23"/>
  <c r="Y86" i="23"/>
  <c r="E86" i="23" s="1"/>
  <c r="X86" i="23"/>
  <c r="D86" i="23" s="1"/>
  <c r="W86" i="23"/>
  <c r="C86" i="23" s="1"/>
  <c r="Y85" i="23"/>
  <c r="E85" i="23" s="1"/>
  <c r="X85" i="23"/>
  <c r="D85" i="23" s="1"/>
  <c r="W85" i="23"/>
  <c r="C85" i="23" s="1"/>
  <c r="Y84" i="23"/>
  <c r="E84" i="23" s="1"/>
  <c r="X84" i="23"/>
  <c r="W84" i="23"/>
  <c r="C84" i="23" s="1"/>
  <c r="Y83" i="23"/>
  <c r="E83" i="23" s="1"/>
  <c r="X83" i="23"/>
  <c r="D83" i="23" s="1"/>
  <c r="W83" i="23"/>
  <c r="C83" i="23" s="1"/>
  <c r="Y82" i="23"/>
  <c r="E82" i="23" s="1"/>
  <c r="X82" i="23"/>
  <c r="D82" i="23" s="1"/>
  <c r="W82" i="23"/>
  <c r="C82" i="23" s="1"/>
  <c r="P100" i="23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P92" i="23" l="1"/>
  <c r="Q97" i="23"/>
  <c r="O87" i="23"/>
  <c r="C87" i="23"/>
  <c r="Q89" i="23"/>
  <c r="E89" i="23"/>
  <c r="O95" i="23"/>
  <c r="C95" i="23"/>
  <c r="P84" i="23"/>
  <c r="D84" i="23"/>
  <c r="Q101" i="23"/>
  <c r="E101" i="23"/>
  <c r="O96" i="23"/>
  <c r="Q95" i="23"/>
  <c r="Q83" i="23"/>
  <c r="O89" i="23"/>
  <c r="Q91" i="23"/>
  <c r="Q90" i="23"/>
  <c r="P83" i="23"/>
  <c r="P85" i="23"/>
  <c r="O83" i="23"/>
  <c r="Q85" i="23"/>
  <c r="P88" i="23"/>
  <c r="O91" i="23"/>
  <c r="Q93" i="23"/>
  <c r="P96" i="23"/>
  <c r="P86" i="23"/>
  <c r="Q92" i="23"/>
  <c r="P95" i="23"/>
  <c r="Q100" i="23"/>
  <c r="Q88" i="23"/>
  <c r="P91" i="23"/>
  <c r="Q98" i="23"/>
  <c r="P101" i="23"/>
  <c r="O98" i="23"/>
  <c r="O86" i="23"/>
  <c r="O99" i="23"/>
  <c r="P94" i="23"/>
  <c r="Q99" i="23"/>
  <c r="Q82" i="23"/>
  <c r="O101" i="23"/>
  <c r="O88" i="23"/>
  <c r="P93" i="23"/>
  <c r="O93" i="23"/>
  <c r="P98" i="23"/>
  <c r="O94" i="23"/>
  <c r="Q96" i="23"/>
  <c r="P99" i="23"/>
  <c r="O92" i="23"/>
  <c r="Q94" i="23"/>
  <c r="P97" i="23"/>
  <c r="O100" i="23"/>
  <c r="O82" i="23"/>
  <c r="Q84" i="23"/>
  <c r="P87" i="23"/>
  <c r="O90" i="23"/>
  <c r="P82" i="23"/>
  <c r="O85" i="23"/>
  <c r="Q87" i="23"/>
  <c r="P90" i="23"/>
  <c r="O97" i="23"/>
  <c r="O84" i="23"/>
  <c r="Q86" i="23"/>
  <c r="P89" i="23"/>
  <c r="E40" i="22"/>
  <c r="AD86" i="17"/>
  <c r="C86" i="17"/>
  <c r="A86" i="17"/>
  <c r="E86" i="17" s="1"/>
  <c r="I86" i="17" s="1"/>
  <c r="U86" i="17" l="1"/>
  <c r="V86" i="17"/>
  <c r="T86" i="17"/>
  <c r="P86" i="17"/>
  <c r="AE86" i="17" s="1"/>
  <c r="Y86" i="17"/>
  <c r="AD495" i="17"/>
  <c r="C495" i="17"/>
  <c r="A495" i="17"/>
  <c r="E495" i="17" s="1"/>
  <c r="I495" i="17" s="1"/>
  <c r="AD494" i="17"/>
  <c r="C494" i="17"/>
  <c r="A494" i="17"/>
  <c r="E494" i="17" s="1"/>
  <c r="I494" i="17" s="1"/>
  <c r="AD493" i="17"/>
  <c r="C493" i="17"/>
  <c r="A493" i="17"/>
  <c r="E493" i="17" s="1"/>
  <c r="I493" i="17" s="1"/>
  <c r="AD492" i="17"/>
  <c r="C492" i="17"/>
  <c r="A492" i="17"/>
  <c r="E492" i="17" s="1"/>
  <c r="I492" i="17" s="1"/>
  <c r="AD491" i="17"/>
  <c r="C491" i="17"/>
  <c r="A491" i="17"/>
  <c r="E491" i="17" s="1"/>
  <c r="I491" i="17" s="1"/>
  <c r="AD490" i="17"/>
  <c r="C490" i="17"/>
  <c r="A490" i="17"/>
  <c r="E490" i="17" s="1"/>
  <c r="I490" i="17" s="1"/>
  <c r="AD489" i="17"/>
  <c r="C489" i="17"/>
  <c r="A489" i="17"/>
  <c r="E489" i="17" s="1"/>
  <c r="I489" i="17" s="1"/>
  <c r="AD488" i="17"/>
  <c r="C488" i="17"/>
  <c r="A488" i="17"/>
  <c r="E488" i="17" s="1"/>
  <c r="I488" i="17" s="1"/>
  <c r="AD487" i="17"/>
  <c r="C487" i="17"/>
  <c r="A487" i="17"/>
  <c r="E487" i="17" s="1"/>
  <c r="I487" i="17" s="1"/>
  <c r="AD486" i="17"/>
  <c r="C486" i="17"/>
  <c r="A486" i="17"/>
  <c r="E486" i="17" s="1"/>
  <c r="I486" i="17" s="1"/>
  <c r="AD485" i="17"/>
  <c r="C485" i="17"/>
  <c r="A485" i="17"/>
  <c r="E485" i="17" s="1"/>
  <c r="I485" i="17" s="1"/>
  <c r="AD484" i="17"/>
  <c r="C484" i="17"/>
  <c r="A484" i="17"/>
  <c r="E484" i="17" s="1"/>
  <c r="I484" i="17" s="1"/>
  <c r="AD459" i="17"/>
  <c r="R459" i="17"/>
  <c r="C459" i="17"/>
  <c r="A459" i="17"/>
  <c r="E459" i="17" s="1"/>
  <c r="I459" i="17" s="1"/>
  <c r="AD458" i="17"/>
  <c r="C458" i="17"/>
  <c r="A458" i="17"/>
  <c r="E458" i="17" s="1"/>
  <c r="I458" i="17" s="1"/>
  <c r="AD457" i="17"/>
  <c r="C457" i="17"/>
  <c r="A457" i="17"/>
  <c r="E457" i="17" s="1"/>
  <c r="I457" i="17" s="1"/>
  <c r="AD456" i="17"/>
  <c r="C456" i="17"/>
  <c r="A456" i="17"/>
  <c r="E456" i="17" s="1"/>
  <c r="I456" i="17" s="1"/>
  <c r="AD455" i="17"/>
  <c r="C455" i="17"/>
  <c r="A455" i="17"/>
  <c r="E455" i="17" s="1"/>
  <c r="I455" i="17" s="1"/>
  <c r="AD454" i="17"/>
  <c r="C454" i="17"/>
  <c r="A454" i="17"/>
  <c r="E454" i="17" s="1"/>
  <c r="I454" i="17" s="1"/>
  <c r="AD453" i="17"/>
  <c r="C453" i="17"/>
  <c r="A453" i="17"/>
  <c r="E453" i="17" s="1"/>
  <c r="I453" i="17" s="1"/>
  <c r="AD452" i="17"/>
  <c r="C452" i="17"/>
  <c r="A452" i="17"/>
  <c r="E452" i="17" s="1"/>
  <c r="I452" i="17" s="1"/>
  <c r="AD451" i="17"/>
  <c r="C451" i="17"/>
  <c r="A451" i="17"/>
  <c r="E451" i="17" s="1"/>
  <c r="I451" i="17" s="1"/>
  <c r="AD450" i="17"/>
  <c r="C450" i="17"/>
  <c r="A450" i="17"/>
  <c r="E450" i="17" s="1"/>
  <c r="I450" i="17" s="1"/>
  <c r="AD449" i="17"/>
  <c r="C449" i="17"/>
  <c r="A449" i="17"/>
  <c r="E449" i="17" s="1"/>
  <c r="I449" i="17" s="1"/>
  <c r="AD448" i="17"/>
  <c r="C448" i="17"/>
  <c r="A448" i="17"/>
  <c r="E448" i="17" s="1"/>
  <c r="I448" i="17" s="1"/>
  <c r="AD423" i="17"/>
  <c r="C423" i="17"/>
  <c r="A423" i="17"/>
  <c r="E423" i="17" s="1"/>
  <c r="I423" i="17" s="1"/>
  <c r="AD422" i="17"/>
  <c r="C422" i="17"/>
  <c r="A422" i="17"/>
  <c r="E422" i="17" s="1"/>
  <c r="I422" i="17" s="1"/>
  <c r="AD421" i="17"/>
  <c r="C421" i="17"/>
  <c r="A421" i="17"/>
  <c r="E421" i="17" s="1"/>
  <c r="I421" i="17" s="1"/>
  <c r="AD420" i="17"/>
  <c r="C420" i="17"/>
  <c r="A420" i="17"/>
  <c r="E420" i="17" s="1"/>
  <c r="I420" i="17" s="1"/>
  <c r="AD419" i="17"/>
  <c r="C419" i="17"/>
  <c r="A419" i="17"/>
  <c r="E419" i="17" s="1"/>
  <c r="I419" i="17" s="1"/>
  <c r="AD418" i="17"/>
  <c r="C418" i="17"/>
  <c r="A418" i="17"/>
  <c r="E418" i="17" s="1"/>
  <c r="I418" i="17" s="1"/>
  <c r="AD417" i="17"/>
  <c r="C417" i="17"/>
  <c r="A417" i="17"/>
  <c r="E417" i="17" s="1"/>
  <c r="I417" i="17" s="1"/>
  <c r="AD416" i="17"/>
  <c r="C416" i="17"/>
  <c r="A416" i="17"/>
  <c r="E416" i="17" s="1"/>
  <c r="I416" i="17" s="1"/>
  <c r="AD415" i="17"/>
  <c r="C415" i="17"/>
  <c r="A415" i="17"/>
  <c r="E415" i="17" s="1"/>
  <c r="I415" i="17" s="1"/>
  <c r="AD414" i="17"/>
  <c r="C414" i="17"/>
  <c r="A414" i="17"/>
  <c r="E414" i="17" s="1"/>
  <c r="I414" i="17" s="1"/>
  <c r="AD413" i="17"/>
  <c r="C413" i="17"/>
  <c r="A413" i="17"/>
  <c r="E413" i="17" s="1"/>
  <c r="I413" i="17" s="1"/>
  <c r="AD412" i="17"/>
  <c r="C412" i="17"/>
  <c r="A412" i="17"/>
  <c r="E412" i="17" s="1"/>
  <c r="I412" i="17" s="1"/>
  <c r="AD387" i="17"/>
  <c r="C387" i="17"/>
  <c r="A387" i="17"/>
  <c r="E387" i="17" s="1"/>
  <c r="I387" i="17" s="1"/>
  <c r="AD386" i="17"/>
  <c r="C386" i="17"/>
  <c r="A386" i="17"/>
  <c r="E386" i="17" s="1"/>
  <c r="I386" i="17" s="1"/>
  <c r="AD385" i="17"/>
  <c r="C385" i="17"/>
  <c r="A385" i="17"/>
  <c r="E385" i="17" s="1"/>
  <c r="I385" i="17" s="1"/>
  <c r="AD384" i="17"/>
  <c r="C384" i="17"/>
  <c r="A384" i="17"/>
  <c r="E384" i="17" s="1"/>
  <c r="I384" i="17" s="1"/>
  <c r="AD383" i="17"/>
  <c r="C383" i="17"/>
  <c r="A383" i="17"/>
  <c r="E383" i="17" s="1"/>
  <c r="I383" i="17" s="1"/>
  <c r="AD382" i="17"/>
  <c r="C382" i="17"/>
  <c r="A382" i="17"/>
  <c r="E382" i="17" s="1"/>
  <c r="I382" i="17" s="1"/>
  <c r="AD381" i="17"/>
  <c r="C381" i="17"/>
  <c r="A381" i="17"/>
  <c r="E381" i="17" s="1"/>
  <c r="I381" i="17" s="1"/>
  <c r="AD380" i="17"/>
  <c r="C380" i="17"/>
  <c r="A380" i="17"/>
  <c r="E380" i="17" s="1"/>
  <c r="I380" i="17" s="1"/>
  <c r="AD379" i="17"/>
  <c r="C379" i="17"/>
  <c r="A379" i="17"/>
  <c r="E379" i="17" s="1"/>
  <c r="I379" i="17" s="1"/>
  <c r="AD378" i="17"/>
  <c r="C378" i="17"/>
  <c r="A378" i="17"/>
  <c r="E378" i="17" s="1"/>
  <c r="I378" i="17" s="1"/>
  <c r="AD377" i="17"/>
  <c r="C377" i="17"/>
  <c r="A377" i="17"/>
  <c r="E377" i="17" s="1"/>
  <c r="I377" i="17" s="1"/>
  <c r="AD376" i="17"/>
  <c r="C376" i="17"/>
  <c r="A376" i="17"/>
  <c r="E376" i="17" s="1"/>
  <c r="I376" i="17" s="1"/>
  <c r="AD351" i="17"/>
  <c r="C351" i="17"/>
  <c r="A351" i="17"/>
  <c r="E351" i="17" s="1"/>
  <c r="I351" i="17" s="1"/>
  <c r="AD350" i="17"/>
  <c r="C350" i="17"/>
  <c r="A350" i="17"/>
  <c r="E350" i="17" s="1"/>
  <c r="I350" i="17" s="1"/>
  <c r="AD349" i="17"/>
  <c r="C349" i="17"/>
  <c r="A349" i="17"/>
  <c r="E349" i="17" s="1"/>
  <c r="I349" i="17" s="1"/>
  <c r="AD348" i="17"/>
  <c r="C348" i="17"/>
  <c r="A348" i="17"/>
  <c r="E348" i="17" s="1"/>
  <c r="I348" i="17" s="1"/>
  <c r="AD347" i="17"/>
  <c r="C347" i="17"/>
  <c r="A347" i="17"/>
  <c r="E347" i="17" s="1"/>
  <c r="I347" i="17" s="1"/>
  <c r="AD346" i="17"/>
  <c r="C346" i="17"/>
  <c r="A346" i="17"/>
  <c r="E346" i="17" s="1"/>
  <c r="I346" i="17" s="1"/>
  <c r="AD345" i="17"/>
  <c r="C345" i="17"/>
  <c r="A345" i="17"/>
  <c r="E345" i="17" s="1"/>
  <c r="I345" i="17" s="1"/>
  <c r="AD344" i="17"/>
  <c r="C344" i="17"/>
  <c r="A344" i="17"/>
  <c r="E344" i="17" s="1"/>
  <c r="I344" i="17" s="1"/>
  <c r="AD343" i="17"/>
  <c r="C343" i="17"/>
  <c r="A343" i="17"/>
  <c r="E343" i="17" s="1"/>
  <c r="I343" i="17" s="1"/>
  <c r="AD342" i="17"/>
  <c r="C342" i="17"/>
  <c r="A342" i="17"/>
  <c r="E342" i="17" s="1"/>
  <c r="I342" i="17" s="1"/>
  <c r="AD341" i="17"/>
  <c r="C341" i="17"/>
  <c r="A341" i="17"/>
  <c r="E341" i="17" s="1"/>
  <c r="I341" i="17" s="1"/>
  <c r="AD340" i="17"/>
  <c r="C340" i="17"/>
  <c r="A340" i="17"/>
  <c r="E340" i="17" s="1"/>
  <c r="I340" i="17" s="1"/>
  <c r="AD206" i="17"/>
  <c r="C206" i="17"/>
  <c r="A206" i="17"/>
  <c r="E206" i="17" s="1"/>
  <c r="I206" i="17" s="1"/>
  <c r="AD205" i="17"/>
  <c r="C205" i="17"/>
  <c r="A205" i="17"/>
  <c r="E205" i="17" s="1"/>
  <c r="I205" i="17" s="1"/>
  <c r="AD204" i="17"/>
  <c r="C204" i="17"/>
  <c r="A204" i="17"/>
  <c r="E204" i="17" s="1"/>
  <c r="I204" i="17" s="1"/>
  <c r="AD203" i="17"/>
  <c r="C203" i="17"/>
  <c r="A203" i="17"/>
  <c r="E203" i="17" s="1"/>
  <c r="I203" i="17" s="1"/>
  <c r="AD202" i="17"/>
  <c r="C202" i="17"/>
  <c r="A202" i="17"/>
  <c r="E202" i="17" s="1"/>
  <c r="I202" i="17" s="1"/>
  <c r="AD201" i="17"/>
  <c r="C201" i="17"/>
  <c r="A201" i="17"/>
  <c r="E201" i="17" s="1"/>
  <c r="I201" i="17" s="1"/>
  <c r="AD200" i="17"/>
  <c r="C200" i="17"/>
  <c r="A200" i="17"/>
  <c r="E200" i="17" s="1"/>
  <c r="I200" i="17" s="1"/>
  <c r="AD199" i="17"/>
  <c r="C199" i="17"/>
  <c r="A199" i="17"/>
  <c r="E199" i="17" s="1"/>
  <c r="I199" i="17" s="1"/>
  <c r="AD198" i="17"/>
  <c r="C198" i="17"/>
  <c r="A198" i="17"/>
  <c r="E198" i="17" s="1"/>
  <c r="I198" i="17" s="1"/>
  <c r="AD197" i="17"/>
  <c r="C197" i="17"/>
  <c r="A197" i="17"/>
  <c r="E197" i="17" s="1"/>
  <c r="I197" i="17" s="1"/>
  <c r="AD196" i="17"/>
  <c r="C196" i="17"/>
  <c r="A196" i="17"/>
  <c r="E196" i="17" s="1"/>
  <c r="I196" i="17" s="1"/>
  <c r="AD195" i="17"/>
  <c r="C195" i="17"/>
  <c r="A195" i="17"/>
  <c r="E195" i="17" s="1"/>
  <c r="I195" i="17" s="1"/>
  <c r="AD194" i="17"/>
  <c r="C194" i="17"/>
  <c r="A194" i="17"/>
  <c r="E194" i="17" s="1"/>
  <c r="I194" i="17" s="1"/>
  <c r="AD168" i="17"/>
  <c r="R168" i="17"/>
  <c r="C168" i="17"/>
  <c r="A168" i="17"/>
  <c r="E168" i="17" s="1"/>
  <c r="I168" i="17" s="1"/>
  <c r="AD167" i="17"/>
  <c r="C167" i="17"/>
  <c r="A167" i="17"/>
  <c r="E167" i="17" s="1"/>
  <c r="I167" i="17" s="1"/>
  <c r="AD166" i="17"/>
  <c r="C166" i="17"/>
  <c r="A166" i="17"/>
  <c r="E166" i="17" s="1"/>
  <c r="I166" i="17" s="1"/>
  <c r="AD165" i="17"/>
  <c r="C165" i="17"/>
  <c r="A165" i="17"/>
  <c r="E165" i="17" s="1"/>
  <c r="I165" i="17" s="1"/>
  <c r="AD164" i="17"/>
  <c r="C164" i="17"/>
  <c r="A164" i="17"/>
  <c r="E164" i="17" s="1"/>
  <c r="I164" i="17" s="1"/>
  <c r="AD163" i="17"/>
  <c r="C163" i="17"/>
  <c r="A163" i="17"/>
  <c r="E163" i="17" s="1"/>
  <c r="I163" i="17" s="1"/>
  <c r="AD162" i="17"/>
  <c r="C162" i="17"/>
  <c r="A162" i="17"/>
  <c r="E162" i="17" s="1"/>
  <c r="I162" i="17" s="1"/>
  <c r="AD161" i="17"/>
  <c r="C161" i="17"/>
  <c r="A161" i="17"/>
  <c r="E161" i="17" s="1"/>
  <c r="I161" i="17" s="1"/>
  <c r="AD160" i="17"/>
  <c r="C160" i="17"/>
  <c r="A160" i="17"/>
  <c r="E160" i="17" s="1"/>
  <c r="I160" i="17" s="1"/>
  <c r="AD159" i="17"/>
  <c r="C159" i="17"/>
  <c r="A159" i="17"/>
  <c r="E159" i="17" s="1"/>
  <c r="I159" i="17" s="1"/>
  <c r="AD158" i="17"/>
  <c r="C158" i="17"/>
  <c r="A158" i="17"/>
  <c r="E158" i="17" s="1"/>
  <c r="I158" i="17" s="1"/>
  <c r="AD157" i="17"/>
  <c r="C157" i="17"/>
  <c r="A157" i="17"/>
  <c r="E157" i="17" s="1"/>
  <c r="I157" i="17" s="1"/>
  <c r="AD132" i="17"/>
  <c r="C132" i="17"/>
  <c r="A132" i="17"/>
  <c r="E132" i="17" s="1"/>
  <c r="I132" i="17" s="1"/>
  <c r="AD131" i="17"/>
  <c r="C131" i="17"/>
  <c r="A131" i="17"/>
  <c r="E131" i="17" s="1"/>
  <c r="I131" i="17" s="1"/>
  <c r="AD130" i="17"/>
  <c r="C130" i="17"/>
  <c r="A130" i="17"/>
  <c r="E130" i="17" s="1"/>
  <c r="I130" i="17" s="1"/>
  <c r="AD129" i="17"/>
  <c r="C129" i="17"/>
  <c r="A129" i="17"/>
  <c r="E129" i="17" s="1"/>
  <c r="I129" i="17" s="1"/>
  <c r="AD128" i="17"/>
  <c r="C128" i="17"/>
  <c r="A128" i="17"/>
  <c r="E128" i="17" s="1"/>
  <c r="I128" i="17" s="1"/>
  <c r="AD127" i="17"/>
  <c r="C127" i="17"/>
  <c r="A127" i="17"/>
  <c r="E127" i="17" s="1"/>
  <c r="I127" i="17" s="1"/>
  <c r="AD126" i="17"/>
  <c r="C126" i="17"/>
  <c r="A126" i="17"/>
  <c r="E126" i="17" s="1"/>
  <c r="I126" i="17" s="1"/>
  <c r="AD125" i="17"/>
  <c r="C125" i="17"/>
  <c r="A125" i="17"/>
  <c r="E125" i="17" s="1"/>
  <c r="I125" i="17" s="1"/>
  <c r="AD124" i="17"/>
  <c r="C124" i="17"/>
  <c r="A124" i="17"/>
  <c r="E124" i="17" s="1"/>
  <c r="I124" i="17" s="1"/>
  <c r="AD123" i="17"/>
  <c r="C123" i="17"/>
  <c r="A123" i="17"/>
  <c r="E123" i="17" s="1"/>
  <c r="I123" i="17" s="1"/>
  <c r="AD122" i="17"/>
  <c r="C122" i="17"/>
  <c r="A122" i="17"/>
  <c r="E122" i="17" s="1"/>
  <c r="I122" i="17" s="1"/>
  <c r="AD121" i="17"/>
  <c r="C121" i="17"/>
  <c r="A121" i="17"/>
  <c r="E121" i="17" s="1"/>
  <c r="I121" i="17" s="1"/>
  <c r="AD120" i="17"/>
  <c r="C120" i="17"/>
  <c r="A120" i="17"/>
  <c r="E120" i="17" s="1"/>
  <c r="I120" i="17" s="1"/>
  <c r="AD94" i="17"/>
  <c r="C94" i="17"/>
  <c r="A94" i="17"/>
  <c r="E94" i="17" s="1"/>
  <c r="I94" i="17" s="1"/>
  <c r="AD93" i="17"/>
  <c r="C93" i="17"/>
  <c r="A93" i="17"/>
  <c r="E93" i="17" s="1"/>
  <c r="I93" i="17" s="1"/>
  <c r="AD92" i="17"/>
  <c r="C92" i="17"/>
  <c r="A92" i="17"/>
  <c r="E92" i="17" s="1"/>
  <c r="I92" i="17" s="1"/>
  <c r="AD91" i="17"/>
  <c r="C91" i="17"/>
  <c r="A91" i="17"/>
  <c r="E91" i="17" s="1"/>
  <c r="I91" i="17" s="1"/>
  <c r="AD90" i="17"/>
  <c r="C90" i="17"/>
  <c r="A90" i="17"/>
  <c r="E90" i="17" s="1"/>
  <c r="I90" i="17" s="1"/>
  <c r="AD89" i="17"/>
  <c r="C89" i="17"/>
  <c r="A89" i="17"/>
  <c r="E89" i="17" s="1"/>
  <c r="I89" i="17" s="1"/>
  <c r="AD88" i="17"/>
  <c r="C88" i="17"/>
  <c r="A88" i="17"/>
  <c r="E88" i="17" s="1"/>
  <c r="I88" i="17" s="1"/>
  <c r="AD87" i="17"/>
  <c r="C87" i="17"/>
  <c r="A87" i="17"/>
  <c r="E87" i="17" s="1"/>
  <c r="I87" i="17" s="1"/>
  <c r="AD85" i="17"/>
  <c r="C85" i="17"/>
  <c r="A85" i="17"/>
  <c r="E85" i="17" s="1"/>
  <c r="I85" i="17" s="1"/>
  <c r="AD84" i="17"/>
  <c r="C84" i="17"/>
  <c r="A84" i="17"/>
  <c r="E84" i="17" s="1"/>
  <c r="I84" i="17" s="1"/>
  <c r="AD83" i="17"/>
  <c r="C83" i="17"/>
  <c r="A83" i="17"/>
  <c r="E83" i="17" s="1"/>
  <c r="I83" i="17" s="1"/>
  <c r="AD82" i="17"/>
  <c r="C82" i="17"/>
  <c r="A82" i="17"/>
  <c r="E82" i="17" s="1"/>
  <c r="I82" i="17" s="1"/>
  <c r="C57" i="17"/>
  <c r="A57" i="17"/>
  <c r="E57" i="17" s="1"/>
  <c r="I57" i="17" s="1"/>
  <c r="C56" i="17"/>
  <c r="A56" i="17"/>
  <c r="E56" i="17" s="1"/>
  <c r="I56" i="17" s="1"/>
  <c r="AD55" i="17"/>
  <c r="C55" i="17"/>
  <c r="A55" i="17"/>
  <c r="E55" i="17" s="1"/>
  <c r="I55" i="17" s="1"/>
  <c r="AD54" i="17"/>
  <c r="C54" i="17"/>
  <c r="A54" i="17"/>
  <c r="E54" i="17" s="1"/>
  <c r="I54" i="17" s="1"/>
  <c r="AD53" i="17"/>
  <c r="C53" i="17"/>
  <c r="A53" i="17"/>
  <c r="E53" i="17" s="1"/>
  <c r="I53" i="17" s="1"/>
  <c r="AD52" i="17"/>
  <c r="C52" i="17"/>
  <c r="A52" i="17"/>
  <c r="E52" i="17" s="1"/>
  <c r="I52" i="17" s="1"/>
  <c r="AD51" i="17"/>
  <c r="C51" i="17"/>
  <c r="A51" i="17"/>
  <c r="E51" i="17" s="1"/>
  <c r="I51" i="17" s="1"/>
  <c r="AD50" i="17"/>
  <c r="C50" i="17"/>
  <c r="A50" i="17"/>
  <c r="E50" i="17" s="1"/>
  <c r="I50" i="17" s="1"/>
  <c r="AD49" i="17"/>
  <c r="C49" i="17"/>
  <c r="A49" i="17"/>
  <c r="E49" i="17" s="1"/>
  <c r="I49" i="17" s="1"/>
  <c r="AD48" i="17"/>
  <c r="C48" i="17"/>
  <c r="A48" i="17"/>
  <c r="E48" i="17" s="1"/>
  <c r="I48" i="17" s="1"/>
  <c r="AD47" i="17"/>
  <c r="C47" i="17"/>
  <c r="A47" i="17"/>
  <c r="E47" i="17" s="1"/>
  <c r="I47" i="17" s="1"/>
  <c r="AD46" i="17"/>
  <c r="C46" i="17"/>
  <c r="A46" i="17"/>
  <c r="E46" i="17" s="1"/>
  <c r="I46" i="17" s="1"/>
  <c r="AD45" i="17"/>
  <c r="C45" i="17"/>
  <c r="A45" i="17"/>
  <c r="E45" i="17" s="1"/>
  <c r="I45" i="17" s="1"/>
  <c r="AD44" i="17"/>
  <c r="C44" i="17"/>
  <c r="A44" i="17"/>
  <c r="E44" i="17" s="1"/>
  <c r="I44" i="17" s="1"/>
  <c r="T57" i="17" l="1"/>
  <c r="U57" i="17"/>
  <c r="V57" i="17"/>
  <c r="P57" i="17"/>
  <c r="AE57" i="17" s="1"/>
  <c r="Y57" i="17"/>
  <c r="T84" i="17"/>
  <c r="U84" i="17"/>
  <c r="V84" i="17"/>
  <c r="P84" i="17"/>
  <c r="AE84" i="17" s="1"/>
  <c r="Y84" i="17"/>
  <c r="T89" i="17"/>
  <c r="U89" i="17"/>
  <c r="V89" i="17"/>
  <c r="P89" i="17"/>
  <c r="AE89" i="17" s="1"/>
  <c r="Y89" i="17"/>
  <c r="V122" i="17"/>
  <c r="T122" i="17"/>
  <c r="U122" i="17"/>
  <c r="P122" i="17"/>
  <c r="AE122" i="17" s="1"/>
  <c r="Y122" i="17"/>
  <c r="V126" i="17"/>
  <c r="T126" i="17"/>
  <c r="U126" i="17"/>
  <c r="P126" i="17"/>
  <c r="AE126" i="17" s="1"/>
  <c r="Y126" i="17"/>
  <c r="V158" i="17"/>
  <c r="U158" i="17"/>
  <c r="T158" i="17"/>
  <c r="P158" i="17"/>
  <c r="AE158" i="17" s="1"/>
  <c r="Y158" i="17"/>
  <c r="U196" i="17"/>
  <c r="V196" i="17"/>
  <c r="T196" i="17"/>
  <c r="P196" i="17"/>
  <c r="AE196" i="17" s="1"/>
  <c r="Y196" i="17"/>
  <c r="U204" i="17"/>
  <c r="V204" i="17"/>
  <c r="T204" i="17"/>
  <c r="P204" i="17"/>
  <c r="AE204" i="17" s="1"/>
  <c r="Y204" i="17"/>
  <c r="U341" i="17"/>
  <c r="V341" i="17"/>
  <c r="T341" i="17"/>
  <c r="P341" i="17"/>
  <c r="AE341" i="17" s="1"/>
  <c r="Y341" i="17"/>
  <c r="U349" i="17"/>
  <c r="V349" i="17"/>
  <c r="T349" i="17"/>
  <c r="P349" i="17"/>
  <c r="AE349" i="17" s="1"/>
  <c r="Y349" i="17"/>
  <c r="U377" i="17"/>
  <c r="T377" i="17"/>
  <c r="V377" i="17"/>
  <c r="P377" i="17"/>
  <c r="AE377" i="17" s="1"/>
  <c r="Y377" i="17"/>
  <c r="U381" i="17"/>
  <c r="V381" i="17"/>
  <c r="T381" i="17"/>
  <c r="P381" i="17"/>
  <c r="AE381" i="17" s="1"/>
  <c r="Y381" i="17"/>
  <c r="U417" i="17"/>
  <c r="T417" i="17"/>
  <c r="V417" i="17"/>
  <c r="P417" i="17"/>
  <c r="AE417" i="17" s="1"/>
  <c r="Y417" i="17"/>
  <c r="T453" i="17"/>
  <c r="U453" i="17"/>
  <c r="V453" i="17"/>
  <c r="P453" i="17"/>
  <c r="AE453" i="17" s="1"/>
  <c r="Y453" i="17"/>
  <c r="T45" i="17"/>
  <c r="U45" i="17"/>
  <c r="V45" i="17"/>
  <c r="P45" i="17"/>
  <c r="AE45" i="17" s="1"/>
  <c r="Y45" i="17"/>
  <c r="T53" i="17"/>
  <c r="U53" i="17"/>
  <c r="V53" i="17"/>
  <c r="P53" i="17"/>
  <c r="AE53" i="17" s="1"/>
  <c r="Y53" i="17"/>
  <c r="V83" i="17"/>
  <c r="U83" i="17"/>
  <c r="T83" i="17"/>
  <c r="P83" i="17"/>
  <c r="AE83" i="17" s="1"/>
  <c r="Y83" i="17"/>
  <c r="T88" i="17"/>
  <c r="U88" i="17"/>
  <c r="V88" i="17"/>
  <c r="P88" i="17"/>
  <c r="AE88" i="17" s="1"/>
  <c r="Y88" i="17"/>
  <c r="T92" i="17"/>
  <c r="U92" i="17"/>
  <c r="V92" i="17"/>
  <c r="P92" i="17"/>
  <c r="AE92" i="17" s="1"/>
  <c r="Y92" i="17"/>
  <c r="U121" i="17"/>
  <c r="V121" i="17"/>
  <c r="T121" i="17"/>
  <c r="P121" i="17"/>
  <c r="AE121" i="17" s="1"/>
  <c r="Y121" i="17"/>
  <c r="U125" i="17"/>
  <c r="V125" i="17"/>
  <c r="T125" i="17"/>
  <c r="P125" i="17"/>
  <c r="AE125" i="17" s="1"/>
  <c r="Y125" i="17"/>
  <c r="U129" i="17"/>
  <c r="V129" i="17"/>
  <c r="T129" i="17"/>
  <c r="P129" i="17"/>
  <c r="AE129" i="17" s="1"/>
  <c r="Y129" i="17"/>
  <c r="U157" i="17"/>
  <c r="V157" i="17"/>
  <c r="T157" i="17"/>
  <c r="P157" i="17"/>
  <c r="AE157" i="17" s="1"/>
  <c r="Y157" i="17"/>
  <c r="U161" i="17"/>
  <c r="T161" i="17"/>
  <c r="V161" i="17"/>
  <c r="P161" i="17"/>
  <c r="AE161" i="17" s="1"/>
  <c r="Y161" i="17"/>
  <c r="U165" i="17"/>
  <c r="T165" i="17"/>
  <c r="V165" i="17"/>
  <c r="P165" i="17"/>
  <c r="AE165" i="17" s="1"/>
  <c r="Y165" i="17"/>
  <c r="T195" i="17"/>
  <c r="U195" i="17"/>
  <c r="V195" i="17"/>
  <c r="P195" i="17"/>
  <c r="AE195" i="17" s="1"/>
  <c r="Y195" i="17"/>
  <c r="T199" i="17"/>
  <c r="U199" i="17"/>
  <c r="V199" i="17"/>
  <c r="P199" i="17"/>
  <c r="AE199" i="17" s="1"/>
  <c r="Y199" i="17"/>
  <c r="T203" i="17"/>
  <c r="U203" i="17"/>
  <c r="V203" i="17"/>
  <c r="P203" i="17"/>
  <c r="AE203" i="17" s="1"/>
  <c r="Y203" i="17"/>
  <c r="T340" i="17"/>
  <c r="U340" i="17"/>
  <c r="V340" i="17"/>
  <c r="P340" i="17"/>
  <c r="AE340" i="17" s="1"/>
  <c r="Y340" i="17"/>
  <c r="T344" i="17"/>
  <c r="U344" i="17"/>
  <c r="V344" i="17"/>
  <c r="P344" i="17"/>
  <c r="AE344" i="17" s="1"/>
  <c r="Y344" i="17"/>
  <c r="T348" i="17"/>
  <c r="U348" i="17"/>
  <c r="V348" i="17"/>
  <c r="P348" i="17"/>
  <c r="AE348" i="17" s="1"/>
  <c r="Y348" i="17"/>
  <c r="T376" i="17"/>
  <c r="V376" i="17"/>
  <c r="U376" i="17"/>
  <c r="P376" i="17"/>
  <c r="AE376" i="17" s="1"/>
  <c r="Y376" i="17"/>
  <c r="T380" i="17"/>
  <c r="V380" i="17"/>
  <c r="U380" i="17"/>
  <c r="P380" i="17"/>
  <c r="AE380" i="17" s="1"/>
  <c r="Y380" i="17"/>
  <c r="T384" i="17"/>
  <c r="U384" i="17"/>
  <c r="V384" i="17"/>
  <c r="P384" i="17"/>
  <c r="AE384" i="17" s="1"/>
  <c r="Y384" i="17"/>
  <c r="T412" i="17"/>
  <c r="V412" i="17"/>
  <c r="U412" i="17"/>
  <c r="P412" i="17"/>
  <c r="AE412" i="17" s="1"/>
  <c r="Y412" i="17"/>
  <c r="T416" i="17"/>
  <c r="U416" i="17"/>
  <c r="V416" i="17"/>
  <c r="P416" i="17"/>
  <c r="AE416" i="17" s="1"/>
  <c r="Y416" i="17"/>
  <c r="V420" i="17"/>
  <c r="T420" i="17"/>
  <c r="U420" i="17"/>
  <c r="P420" i="17"/>
  <c r="AE420" i="17" s="1"/>
  <c r="Y420" i="17"/>
  <c r="V448" i="17"/>
  <c r="T448" i="17"/>
  <c r="U448" i="17"/>
  <c r="P448" i="17"/>
  <c r="AE448" i="17" s="1"/>
  <c r="Y448" i="17"/>
  <c r="V452" i="17"/>
  <c r="T452" i="17"/>
  <c r="U452" i="17"/>
  <c r="P452" i="17"/>
  <c r="AE452" i="17" s="1"/>
  <c r="Y452" i="17"/>
  <c r="V456" i="17"/>
  <c r="U456" i="17"/>
  <c r="T456" i="17"/>
  <c r="P456" i="17"/>
  <c r="AE456" i="17" s="1"/>
  <c r="Y456" i="17"/>
  <c r="U485" i="17"/>
  <c r="V485" i="17"/>
  <c r="T485" i="17"/>
  <c r="P485" i="17"/>
  <c r="AE485" i="17" s="1"/>
  <c r="Y485" i="17"/>
  <c r="U489" i="17"/>
  <c r="V489" i="17"/>
  <c r="T489" i="17"/>
  <c r="P489" i="17"/>
  <c r="AE489" i="17" s="1"/>
  <c r="Y489" i="17"/>
  <c r="U493" i="17"/>
  <c r="V493" i="17"/>
  <c r="T493" i="17"/>
  <c r="P493" i="17"/>
  <c r="AE493" i="17" s="1"/>
  <c r="Y493" i="17"/>
  <c r="V130" i="17"/>
  <c r="T130" i="17"/>
  <c r="U130" i="17"/>
  <c r="P130" i="17"/>
  <c r="AE130" i="17" s="1"/>
  <c r="Y130" i="17"/>
  <c r="V162" i="17"/>
  <c r="U162" i="17"/>
  <c r="T162" i="17"/>
  <c r="P162" i="17"/>
  <c r="AE162" i="17" s="1"/>
  <c r="Y162" i="17"/>
  <c r="V166" i="17"/>
  <c r="T166" i="17"/>
  <c r="U166" i="17"/>
  <c r="P166" i="17"/>
  <c r="AE166" i="17" s="1"/>
  <c r="Y166" i="17"/>
  <c r="U200" i="17"/>
  <c r="V200" i="17"/>
  <c r="T200" i="17"/>
  <c r="P200" i="17"/>
  <c r="AE200" i="17" s="1"/>
  <c r="Y200" i="17"/>
  <c r="U385" i="17"/>
  <c r="T385" i="17"/>
  <c r="V385" i="17"/>
  <c r="P385" i="17"/>
  <c r="AE385" i="17" s="1"/>
  <c r="Y385" i="17"/>
  <c r="T421" i="17"/>
  <c r="U421" i="17"/>
  <c r="V421" i="17"/>
  <c r="P421" i="17"/>
  <c r="AE421" i="17" s="1"/>
  <c r="Y421" i="17"/>
  <c r="T457" i="17"/>
  <c r="U457" i="17"/>
  <c r="V457" i="17"/>
  <c r="P457" i="17"/>
  <c r="AE457" i="17" s="1"/>
  <c r="Y457" i="17"/>
  <c r="V490" i="17"/>
  <c r="T490" i="17"/>
  <c r="U490" i="17"/>
  <c r="P490" i="17"/>
  <c r="AE490" i="17" s="1"/>
  <c r="Y490" i="17"/>
  <c r="V494" i="17"/>
  <c r="T494" i="17"/>
  <c r="U494" i="17"/>
  <c r="P494" i="17"/>
  <c r="AE494" i="17" s="1"/>
  <c r="Y494" i="17"/>
  <c r="T49" i="17"/>
  <c r="U49" i="17"/>
  <c r="V49" i="17"/>
  <c r="P49" i="17"/>
  <c r="AE49" i="17" s="1"/>
  <c r="Y49" i="17"/>
  <c r="V44" i="17"/>
  <c r="T44" i="17"/>
  <c r="U44" i="17"/>
  <c r="P44" i="17"/>
  <c r="AE44" i="17" s="1"/>
  <c r="Y44" i="17"/>
  <c r="T48" i="17"/>
  <c r="U48" i="17"/>
  <c r="V48" i="17"/>
  <c r="P48" i="17"/>
  <c r="AE48" i="17" s="1"/>
  <c r="Y48" i="17"/>
  <c r="T52" i="17"/>
  <c r="U52" i="17"/>
  <c r="V52" i="17"/>
  <c r="P52" i="17"/>
  <c r="AE52" i="17" s="1"/>
  <c r="Y52" i="17"/>
  <c r="T56" i="17"/>
  <c r="U56" i="17"/>
  <c r="V56" i="17"/>
  <c r="P56" i="17"/>
  <c r="AE56" i="17" s="1"/>
  <c r="Y56" i="17"/>
  <c r="U82" i="17"/>
  <c r="V82" i="17"/>
  <c r="T82" i="17"/>
  <c r="P82" i="17"/>
  <c r="AE82" i="17" s="1"/>
  <c r="Y82" i="17"/>
  <c r="V87" i="17"/>
  <c r="U87" i="17"/>
  <c r="T87" i="17"/>
  <c r="Y87" i="17"/>
  <c r="P87" i="17"/>
  <c r="AE87" i="17" s="1"/>
  <c r="V91" i="17"/>
  <c r="U91" i="17"/>
  <c r="T91" i="17"/>
  <c r="P91" i="17"/>
  <c r="AE91" i="17" s="1"/>
  <c r="Y91" i="17"/>
  <c r="T120" i="17"/>
  <c r="U120" i="17"/>
  <c r="V120" i="17"/>
  <c r="P120" i="17"/>
  <c r="AE120" i="17" s="1"/>
  <c r="Y120" i="17"/>
  <c r="T124" i="17"/>
  <c r="U124" i="17"/>
  <c r="V124" i="17"/>
  <c r="P124" i="17"/>
  <c r="AE124" i="17" s="1"/>
  <c r="Y124" i="17"/>
  <c r="T128" i="17"/>
  <c r="U128" i="17"/>
  <c r="V128" i="17"/>
  <c r="P128" i="17"/>
  <c r="AE128" i="17" s="1"/>
  <c r="Y128" i="17"/>
  <c r="T132" i="17"/>
  <c r="U132" i="17"/>
  <c r="V132" i="17"/>
  <c r="P132" i="17"/>
  <c r="AE132" i="17" s="1"/>
  <c r="Y132" i="17"/>
  <c r="T160" i="17"/>
  <c r="U160" i="17"/>
  <c r="V160" i="17"/>
  <c r="P160" i="17"/>
  <c r="AE160" i="17" s="1"/>
  <c r="Y160" i="17"/>
  <c r="T164" i="17"/>
  <c r="U164" i="17"/>
  <c r="V164" i="17"/>
  <c r="P164" i="17"/>
  <c r="AE164" i="17" s="1"/>
  <c r="Y164" i="17"/>
  <c r="V168" i="17"/>
  <c r="T168" i="17"/>
  <c r="U168" i="17"/>
  <c r="P168" i="17"/>
  <c r="AE168" i="17" s="1"/>
  <c r="Y168" i="17"/>
  <c r="T194" i="17"/>
  <c r="U194" i="17"/>
  <c r="V194" i="17"/>
  <c r="P194" i="17"/>
  <c r="AE194" i="17" s="1"/>
  <c r="Y194" i="17"/>
  <c r="T198" i="17"/>
  <c r="U198" i="17"/>
  <c r="V198" i="17"/>
  <c r="P198" i="17"/>
  <c r="AE198" i="17" s="1"/>
  <c r="Y198" i="17"/>
  <c r="T202" i="17"/>
  <c r="U202" i="17"/>
  <c r="V202" i="17"/>
  <c r="P202" i="17"/>
  <c r="AE202" i="17" s="1"/>
  <c r="Y202" i="17"/>
  <c r="T206" i="17"/>
  <c r="U206" i="17"/>
  <c r="V206" i="17"/>
  <c r="P206" i="17"/>
  <c r="AE206" i="17" s="1"/>
  <c r="Y206" i="17"/>
  <c r="T343" i="17"/>
  <c r="U343" i="17"/>
  <c r="V343" i="17"/>
  <c r="P343" i="17"/>
  <c r="AE343" i="17" s="1"/>
  <c r="Y343" i="17"/>
  <c r="T347" i="17"/>
  <c r="U347" i="17"/>
  <c r="V347" i="17"/>
  <c r="P347" i="17"/>
  <c r="AE347" i="17" s="1"/>
  <c r="Y347" i="17"/>
  <c r="T351" i="17"/>
  <c r="U351" i="17"/>
  <c r="V351" i="17"/>
  <c r="P351" i="17"/>
  <c r="AE351" i="17" s="1"/>
  <c r="Y351" i="17"/>
  <c r="T379" i="17"/>
  <c r="U379" i="17"/>
  <c r="V379" i="17"/>
  <c r="P379" i="17"/>
  <c r="AE379" i="17" s="1"/>
  <c r="Y379" i="17"/>
  <c r="V383" i="17"/>
  <c r="T383" i="17"/>
  <c r="U383" i="17"/>
  <c r="P383" i="17"/>
  <c r="AE383" i="17" s="1"/>
  <c r="Y383" i="17"/>
  <c r="V387" i="17"/>
  <c r="T387" i="17"/>
  <c r="U387" i="17"/>
  <c r="P387" i="17"/>
  <c r="AE387" i="17" s="1"/>
  <c r="Y387" i="17"/>
  <c r="T415" i="17"/>
  <c r="U415" i="17"/>
  <c r="V415" i="17"/>
  <c r="P415" i="17"/>
  <c r="AE415" i="17" s="1"/>
  <c r="Y415" i="17"/>
  <c r="U419" i="17"/>
  <c r="T419" i="17"/>
  <c r="V419" i="17"/>
  <c r="P419" i="17"/>
  <c r="AE419" i="17" s="1"/>
  <c r="Y419" i="17"/>
  <c r="U423" i="17"/>
  <c r="T423" i="17"/>
  <c r="V423" i="17"/>
  <c r="P423" i="17"/>
  <c r="AE423" i="17" s="1"/>
  <c r="Y423" i="17"/>
  <c r="U451" i="17"/>
  <c r="T451" i="17"/>
  <c r="V451" i="17"/>
  <c r="P451" i="17"/>
  <c r="AE451" i="17" s="1"/>
  <c r="Y451" i="17"/>
  <c r="U455" i="17"/>
  <c r="T455" i="17"/>
  <c r="V455" i="17"/>
  <c r="P455" i="17"/>
  <c r="AE455" i="17" s="1"/>
  <c r="Y455" i="17"/>
  <c r="U459" i="17"/>
  <c r="T459" i="17"/>
  <c r="V459" i="17"/>
  <c r="P459" i="17"/>
  <c r="AE459" i="17" s="1"/>
  <c r="Y459" i="17"/>
  <c r="T484" i="17"/>
  <c r="U484" i="17"/>
  <c r="V484" i="17"/>
  <c r="P484" i="17"/>
  <c r="AE484" i="17" s="1"/>
  <c r="Y484" i="17"/>
  <c r="T488" i="17"/>
  <c r="U488" i="17"/>
  <c r="V488" i="17"/>
  <c r="P488" i="17"/>
  <c r="AE488" i="17" s="1"/>
  <c r="Y488" i="17"/>
  <c r="T492" i="17"/>
  <c r="U492" i="17"/>
  <c r="V492" i="17"/>
  <c r="P492" i="17"/>
  <c r="AE492" i="17" s="1"/>
  <c r="Y492" i="17"/>
  <c r="U46" i="17"/>
  <c r="V46" i="17"/>
  <c r="T46" i="17"/>
  <c r="P46" i="17"/>
  <c r="AE46" i="17" s="1"/>
  <c r="Y46" i="17"/>
  <c r="U50" i="17"/>
  <c r="V50" i="17"/>
  <c r="T50" i="17"/>
  <c r="P50" i="17"/>
  <c r="AE50" i="17" s="1"/>
  <c r="Y50" i="17"/>
  <c r="U54" i="17"/>
  <c r="V54" i="17"/>
  <c r="T54" i="17"/>
  <c r="P54" i="17"/>
  <c r="AE54" i="17" s="1"/>
  <c r="Y54" i="17"/>
  <c r="U93" i="17"/>
  <c r="V93" i="17"/>
  <c r="T93" i="17"/>
  <c r="P93" i="17"/>
  <c r="AE93" i="17" s="1"/>
  <c r="Y93" i="17"/>
  <c r="U345" i="17"/>
  <c r="V345" i="17"/>
  <c r="T345" i="17"/>
  <c r="P345" i="17"/>
  <c r="AE345" i="17" s="1"/>
  <c r="Y345" i="17"/>
  <c r="U413" i="17"/>
  <c r="T413" i="17"/>
  <c r="V413" i="17"/>
  <c r="P413" i="17"/>
  <c r="AE413" i="17" s="1"/>
  <c r="Y413" i="17"/>
  <c r="U449" i="17"/>
  <c r="V449" i="17"/>
  <c r="T449" i="17"/>
  <c r="P449" i="17"/>
  <c r="AE449" i="17" s="1"/>
  <c r="Y449" i="17"/>
  <c r="V486" i="17"/>
  <c r="T486" i="17"/>
  <c r="U486" i="17"/>
  <c r="P486" i="17"/>
  <c r="AE486" i="17" s="1"/>
  <c r="Y486" i="17"/>
  <c r="V47" i="17"/>
  <c r="T47" i="17"/>
  <c r="U47" i="17"/>
  <c r="P47" i="17"/>
  <c r="AE47" i="17" s="1"/>
  <c r="Y47" i="17"/>
  <c r="V51" i="17"/>
  <c r="T51" i="17"/>
  <c r="U51" i="17"/>
  <c r="P51" i="17"/>
  <c r="AE51" i="17" s="1"/>
  <c r="Y51" i="17"/>
  <c r="V55" i="17"/>
  <c r="T55" i="17"/>
  <c r="U55" i="17"/>
  <c r="Y55" i="17"/>
  <c r="P55" i="17"/>
  <c r="AE55" i="17" s="1"/>
  <c r="T85" i="17"/>
  <c r="U85" i="17"/>
  <c r="V85" i="17"/>
  <c r="P85" i="17"/>
  <c r="AE85" i="17" s="1"/>
  <c r="Y85" i="17"/>
  <c r="U90" i="17"/>
  <c r="V90" i="17"/>
  <c r="P90" i="17"/>
  <c r="AE90" i="17" s="1"/>
  <c r="Y90" i="17"/>
  <c r="V94" i="17"/>
  <c r="T94" i="17"/>
  <c r="U94" i="17"/>
  <c r="P94" i="17"/>
  <c r="AE94" i="17" s="1"/>
  <c r="Y94" i="17"/>
  <c r="T123" i="17"/>
  <c r="U123" i="17"/>
  <c r="V123" i="17"/>
  <c r="P123" i="17"/>
  <c r="AE123" i="17" s="1"/>
  <c r="Y123" i="17"/>
  <c r="T127" i="17"/>
  <c r="U127" i="17"/>
  <c r="V127" i="17"/>
  <c r="P127" i="17"/>
  <c r="AE127" i="17" s="1"/>
  <c r="Y127" i="17"/>
  <c r="T131" i="17"/>
  <c r="V131" i="17"/>
  <c r="U131" i="17"/>
  <c r="P131" i="17"/>
  <c r="AE131" i="17" s="1"/>
  <c r="Y131" i="17"/>
  <c r="T159" i="17"/>
  <c r="U159" i="17"/>
  <c r="V159" i="17"/>
  <c r="P159" i="17"/>
  <c r="AE159" i="17" s="1"/>
  <c r="Y159" i="17"/>
  <c r="T163" i="17"/>
  <c r="U163" i="17"/>
  <c r="V163" i="17"/>
  <c r="P163" i="17"/>
  <c r="AE163" i="17" s="1"/>
  <c r="Y163" i="17"/>
  <c r="U167" i="17"/>
  <c r="V167" i="17"/>
  <c r="T167" i="17"/>
  <c r="P167" i="17"/>
  <c r="AE167" i="17" s="1"/>
  <c r="Y167" i="17"/>
  <c r="V197" i="17"/>
  <c r="T197" i="17"/>
  <c r="U197" i="17"/>
  <c r="P197" i="17"/>
  <c r="AE197" i="17" s="1"/>
  <c r="Y197" i="17"/>
  <c r="V201" i="17"/>
  <c r="T201" i="17"/>
  <c r="U201" i="17"/>
  <c r="P201" i="17"/>
  <c r="AE201" i="17" s="1"/>
  <c r="Y201" i="17"/>
  <c r="V205" i="17"/>
  <c r="T205" i="17"/>
  <c r="U205" i="17"/>
  <c r="P205" i="17"/>
  <c r="AE205" i="17" s="1"/>
  <c r="Y205" i="17"/>
  <c r="V342" i="17"/>
  <c r="T342" i="17"/>
  <c r="U342" i="17"/>
  <c r="P342" i="17"/>
  <c r="AE342" i="17" s="1"/>
  <c r="Y342" i="17"/>
  <c r="V346" i="17"/>
  <c r="T346" i="17"/>
  <c r="U346" i="17"/>
  <c r="P346" i="17"/>
  <c r="AE346" i="17" s="1"/>
  <c r="Y346" i="17"/>
  <c r="V350" i="17"/>
  <c r="T350" i="17"/>
  <c r="U350" i="17"/>
  <c r="P350" i="17"/>
  <c r="AE350" i="17" s="1"/>
  <c r="Y350" i="17"/>
  <c r="V378" i="17"/>
  <c r="T378" i="17"/>
  <c r="U378" i="17"/>
  <c r="P378" i="17"/>
  <c r="AE378" i="17" s="1"/>
  <c r="Y378" i="17"/>
  <c r="V382" i="17"/>
  <c r="U382" i="17"/>
  <c r="T382" i="17"/>
  <c r="P382" i="17"/>
  <c r="AE382" i="17" s="1"/>
  <c r="Y382" i="17"/>
  <c r="V386" i="17"/>
  <c r="T386" i="17"/>
  <c r="U386" i="17"/>
  <c r="P386" i="17"/>
  <c r="AE386" i="17" s="1"/>
  <c r="Y386" i="17"/>
  <c r="V414" i="17"/>
  <c r="U414" i="17"/>
  <c r="T414" i="17"/>
  <c r="P414" i="17"/>
  <c r="AE414" i="17" s="1"/>
  <c r="Y414" i="17"/>
  <c r="T418" i="17"/>
  <c r="U418" i="17"/>
  <c r="V418" i="17"/>
  <c r="P418" i="17"/>
  <c r="AE418" i="17" s="1"/>
  <c r="Y418" i="17"/>
  <c r="T422" i="17"/>
  <c r="V422" i="17"/>
  <c r="U422" i="17"/>
  <c r="P422" i="17"/>
  <c r="AE422" i="17" s="1"/>
  <c r="Y422" i="17"/>
  <c r="T450" i="17"/>
  <c r="U450" i="17"/>
  <c r="V450" i="17"/>
  <c r="P450" i="17"/>
  <c r="AE450" i="17" s="1"/>
  <c r="Y450" i="17"/>
  <c r="T454" i="17"/>
  <c r="V454" i="17"/>
  <c r="U454" i="17"/>
  <c r="P454" i="17"/>
  <c r="AE454" i="17" s="1"/>
  <c r="Y454" i="17"/>
  <c r="T458" i="17"/>
  <c r="U458" i="17"/>
  <c r="V458" i="17"/>
  <c r="P458" i="17"/>
  <c r="AE458" i="17" s="1"/>
  <c r="Y458" i="17"/>
  <c r="T487" i="17"/>
  <c r="U487" i="17"/>
  <c r="V487" i="17"/>
  <c r="P487" i="17"/>
  <c r="AE487" i="17" s="1"/>
  <c r="Y487" i="17"/>
  <c r="T491" i="17"/>
  <c r="U491" i="17"/>
  <c r="V491" i="17"/>
  <c r="P491" i="17"/>
  <c r="AE491" i="17" s="1"/>
  <c r="Y491" i="17"/>
  <c r="T495" i="17"/>
  <c r="U495" i="17"/>
  <c r="V495" i="17"/>
  <c r="P495" i="17"/>
  <c r="AE495" i="17" s="1"/>
  <c r="Y495" i="17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C32" i="8"/>
  <c r="C33" i="8"/>
  <c r="C34" i="8"/>
  <c r="C35" i="8"/>
  <c r="C36" i="8"/>
  <c r="C37" i="8"/>
  <c r="C41" i="8"/>
  <c r="C42" i="8"/>
  <c r="C43" i="8"/>
  <c r="C44" i="8"/>
  <c r="C45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" i="8"/>
  <c r="C8" i="8"/>
  <c r="C9" i="8"/>
  <c r="C10" i="8"/>
  <c r="C14" i="8"/>
  <c r="C15" i="8"/>
  <c r="C16" i="8"/>
  <c r="C17" i="8"/>
  <c r="C18" i="8"/>
  <c r="C22" i="8"/>
  <c r="C23" i="8"/>
  <c r="C24" i="8"/>
  <c r="C25" i="8"/>
  <c r="C26" i="8"/>
  <c r="C27" i="8"/>
  <c r="C31" i="8"/>
  <c r="B7" i="6"/>
  <c r="C7" i="12" s="1"/>
  <c r="B8" i="6"/>
  <c r="C8" i="12" s="1"/>
  <c r="B9" i="6"/>
  <c r="C9" i="12" s="1"/>
  <c r="B10" i="6"/>
  <c r="C10" i="12" s="1"/>
  <c r="B11" i="6"/>
  <c r="B12" i="6" s="1"/>
  <c r="B15" i="6"/>
  <c r="C15" i="12" s="1"/>
  <c r="B16" i="6"/>
  <c r="C16" i="12" s="1"/>
  <c r="B17" i="6"/>
  <c r="C17" i="12" s="1"/>
  <c r="B18" i="6"/>
  <c r="C18" i="12" s="1"/>
  <c r="B19" i="6"/>
  <c r="C19" i="12" s="1"/>
  <c r="B20" i="6"/>
  <c r="C20" i="12" s="1"/>
  <c r="B24" i="6"/>
  <c r="C24" i="12" s="1"/>
  <c r="B25" i="6"/>
  <c r="C25" i="12" s="1"/>
  <c r="B26" i="6"/>
  <c r="C26" i="12" s="1"/>
  <c r="B27" i="6"/>
  <c r="C27" i="12" s="1"/>
  <c r="B28" i="6"/>
  <c r="C28" i="12" s="1"/>
  <c r="B29" i="6"/>
  <c r="C29" i="12" s="1"/>
  <c r="B33" i="6"/>
  <c r="C33" i="12" s="1"/>
  <c r="B34" i="6"/>
  <c r="C34" i="12" s="1"/>
  <c r="B35" i="6"/>
  <c r="C35" i="12" s="1"/>
  <c r="B36" i="6"/>
  <c r="C36" i="12" s="1"/>
  <c r="B37" i="6"/>
  <c r="C37" i="12" s="1"/>
  <c r="B38" i="6"/>
  <c r="B39" i="6" s="1"/>
  <c r="B40" i="6" s="1"/>
  <c r="B41" i="6" s="1"/>
  <c r="C41" i="12" s="1"/>
  <c r="B42" i="6"/>
  <c r="C42" i="12" s="1"/>
  <c r="B43" i="6"/>
  <c r="C43" i="12" s="1"/>
  <c r="B44" i="6"/>
  <c r="C44" i="12" s="1"/>
  <c r="B45" i="6"/>
  <c r="C45" i="12" s="1"/>
  <c r="B46" i="6"/>
  <c r="C46" i="12" s="1"/>
  <c r="B47" i="6"/>
  <c r="C47" i="12" s="1"/>
  <c r="B51" i="6"/>
  <c r="C51" i="12" s="1"/>
  <c r="B52" i="6"/>
  <c r="C52" i="12" s="1"/>
  <c r="B53" i="6"/>
  <c r="C53" i="12" s="1"/>
  <c r="B54" i="6"/>
  <c r="C54" i="12" s="1"/>
  <c r="B55" i="6"/>
  <c r="C55" i="12" s="1"/>
  <c r="B56" i="6"/>
  <c r="C56" i="12" s="1"/>
  <c r="B57" i="6"/>
  <c r="C57" i="12" s="1"/>
  <c r="B58" i="6"/>
  <c r="C58" i="12" s="1"/>
  <c r="B59" i="6"/>
  <c r="C59" i="12" s="1"/>
  <c r="B60" i="6"/>
  <c r="C60" i="12" s="1"/>
  <c r="B61" i="6"/>
  <c r="C61" i="12" s="1"/>
  <c r="B62" i="6"/>
  <c r="C62" i="12" s="1"/>
  <c r="B63" i="6"/>
  <c r="C63" i="12" s="1"/>
  <c r="B64" i="6"/>
  <c r="C64" i="12" s="1"/>
  <c r="B65" i="6"/>
  <c r="C65" i="12" s="1"/>
  <c r="B66" i="6"/>
  <c r="C66" i="12" s="1"/>
  <c r="B67" i="6"/>
  <c r="C67" i="12" s="1"/>
  <c r="B68" i="6"/>
  <c r="C68" i="12" s="1"/>
  <c r="B69" i="6"/>
  <c r="C69" i="12" s="1"/>
  <c r="B70" i="6"/>
  <c r="C70" i="12" s="1"/>
  <c r="B71" i="6"/>
  <c r="C71" i="12" s="1"/>
  <c r="B72" i="6"/>
  <c r="C72" i="12" s="1"/>
  <c r="B73" i="6"/>
  <c r="C73" i="12" s="1"/>
  <c r="B74" i="6"/>
  <c r="C74" i="12" s="1"/>
  <c r="B75" i="6"/>
  <c r="C75" i="12" s="1"/>
  <c r="B76" i="6"/>
  <c r="C76" i="12" s="1"/>
  <c r="B77" i="6"/>
  <c r="C77" i="12" s="1"/>
  <c r="B6" i="6"/>
  <c r="C13" i="8" l="1"/>
  <c r="B48" i="6"/>
  <c r="C48" i="12" s="1"/>
  <c r="B30" i="6"/>
  <c r="B31" i="6" s="1"/>
  <c r="B32" i="6" s="1"/>
  <c r="C32" i="12" s="1"/>
  <c r="B21" i="6"/>
  <c r="C12" i="12"/>
  <c r="B13" i="6"/>
  <c r="C47" i="8"/>
  <c r="C38" i="12"/>
  <c r="C28" i="8"/>
  <c r="C20" i="8"/>
  <c r="C11" i="12"/>
  <c r="C19" i="8"/>
  <c r="C40" i="12"/>
  <c r="C30" i="8"/>
  <c r="C46" i="8"/>
  <c r="C39" i="12"/>
  <c r="C29" i="8"/>
  <c r="C21" i="8"/>
  <c r="C11" i="8" l="1"/>
  <c r="C12" i="8"/>
  <c r="C30" i="12"/>
  <c r="B49" i="6"/>
  <c r="C31" i="12"/>
  <c r="C21" i="12"/>
  <c r="B22" i="6"/>
  <c r="C38" i="8"/>
  <c r="C49" i="8"/>
  <c r="C48" i="8"/>
  <c r="C13" i="12"/>
  <c r="B14" i="6"/>
  <c r="C14" i="12" l="1"/>
  <c r="B50" i="6"/>
  <c r="C50" i="12" s="1"/>
  <c r="C49" i="12"/>
  <c r="B23" i="6"/>
  <c r="C22" i="12"/>
  <c r="C40" i="8"/>
  <c r="C39" i="8"/>
  <c r="C23" i="12" l="1"/>
  <c r="AD665" i="17"/>
  <c r="AD666" i="17"/>
  <c r="AE666" i="17" s="1"/>
  <c r="AD667" i="17"/>
  <c r="AD668" i="17"/>
  <c r="AD669" i="17"/>
  <c r="AD670" i="17"/>
  <c r="AD671" i="17"/>
  <c r="AD672" i="17"/>
  <c r="AD673" i="17"/>
  <c r="AD674" i="17"/>
  <c r="AD675" i="17"/>
  <c r="AD676" i="17"/>
  <c r="AD677" i="17"/>
  <c r="AD678" i="17"/>
  <c r="AD679" i="17"/>
  <c r="AD680" i="17"/>
  <c r="AD681" i="17"/>
  <c r="AD682" i="17"/>
  <c r="AE682" i="17" s="1"/>
  <c r="AD683" i="17"/>
  <c r="AD684" i="17"/>
  <c r="AD685" i="17"/>
  <c r="AD686" i="17"/>
  <c r="AD687" i="17"/>
  <c r="AD688" i="17"/>
  <c r="AD689" i="17"/>
  <c r="AD690" i="17"/>
  <c r="AE690" i="17" s="1"/>
  <c r="AD691" i="17"/>
  <c r="AD692" i="17"/>
  <c r="AD693" i="17"/>
  <c r="AD694" i="17"/>
  <c r="AD695" i="17"/>
  <c r="AD696" i="17"/>
  <c r="AD697" i="17"/>
  <c r="AD698" i="17"/>
  <c r="AD699" i="17"/>
  <c r="AD700" i="17"/>
  <c r="AD701" i="17"/>
  <c r="AD702" i="17"/>
  <c r="AD703" i="17"/>
  <c r="AD704" i="17"/>
  <c r="AD705" i="17"/>
  <c r="AD706" i="17"/>
  <c r="AD707" i="17"/>
  <c r="AD708" i="17"/>
  <c r="AD709" i="17"/>
  <c r="AD710" i="17"/>
  <c r="AD711" i="17"/>
  <c r="AD712" i="17"/>
  <c r="AD713" i="17"/>
  <c r="AD714" i="17"/>
  <c r="AD715" i="17"/>
  <c r="AD716" i="17"/>
  <c r="AD717" i="17"/>
  <c r="AD718" i="17"/>
  <c r="AD719" i="17"/>
  <c r="AE665" i="17"/>
  <c r="AE673" i="17"/>
  <c r="AE674" i="17"/>
  <c r="AE681" i="17"/>
  <c r="AE686" i="17"/>
  <c r="AE689" i="17"/>
  <c r="A665" i="17"/>
  <c r="E665" i="17" s="1"/>
  <c r="I665" i="17" s="1"/>
  <c r="A666" i="17"/>
  <c r="E666" i="17" s="1"/>
  <c r="I666" i="17" s="1"/>
  <c r="A667" i="17"/>
  <c r="E667" i="17" s="1"/>
  <c r="I667" i="17" s="1"/>
  <c r="A668" i="17"/>
  <c r="E668" i="17" s="1"/>
  <c r="I668" i="17" s="1"/>
  <c r="A669" i="17"/>
  <c r="E669" i="17" s="1"/>
  <c r="I669" i="17" s="1"/>
  <c r="A670" i="17"/>
  <c r="E670" i="17" s="1"/>
  <c r="I670" i="17" s="1"/>
  <c r="A671" i="17"/>
  <c r="E671" i="17" s="1"/>
  <c r="I671" i="17" s="1"/>
  <c r="A672" i="17"/>
  <c r="E672" i="17" s="1"/>
  <c r="I672" i="17" s="1"/>
  <c r="A673" i="17"/>
  <c r="E673" i="17" s="1"/>
  <c r="I673" i="17" s="1"/>
  <c r="A674" i="17"/>
  <c r="E674" i="17" s="1"/>
  <c r="I674" i="17" s="1"/>
  <c r="A675" i="17"/>
  <c r="E675" i="17" s="1"/>
  <c r="I675" i="17" s="1"/>
  <c r="A676" i="17"/>
  <c r="E676" i="17" s="1"/>
  <c r="I676" i="17" s="1"/>
  <c r="A677" i="17"/>
  <c r="E677" i="17" s="1"/>
  <c r="I677" i="17" s="1"/>
  <c r="A678" i="17"/>
  <c r="E678" i="17" s="1"/>
  <c r="I678" i="17" s="1"/>
  <c r="A679" i="17"/>
  <c r="E679" i="17" s="1"/>
  <c r="I679" i="17" s="1"/>
  <c r="A680" i="17"/>
  <c r="E680" i="17" s="1"/>
  <c r="I680" i="17" s="1"/>
  <c r="A681" i="17"/>
  <c r="E681" i="17" s="1"/>
  <c r="I681" i="17" s="1"/>
  <c r="A682" i="17"/>
  <c r="E682" i="17" s="1"/>
  <c r="I682" i="17" s="1"/>
  <c r="A683" i="17"/>
  <c r="E683" i="17" s="1"/>
  <c r="I683" i="17" s="1"/>
  <c r="A684" i="17"/>
  <c r="E684" i="17" s="1"/>
  <c r="I684" i="17" s="1"/>
  <c r="A685" i="17"/>
  <c r="E685" i="17" s="1"/>
  <c r="I685" i="17" s="1"/>
  <c r="A686" i="17"/>
  <c r="E686" i="17" s="1"/>
  <c r="I686" i="17" s="1"/>
  <c r="A687" i="17"/>
  <c r="E687" i="17" s="1"/>
  <c r="I687" i="17" s="1"/>
  <c r="A688" i="17"/>
  <c r="E688" i="17" s="1"/>
  <c r="I688" i="17" s="1"/>
  <c r="A689" i="17"/>
  <c r="E689" i="17" s="1"/>
  <c r="I689" i="17" s="1"/>
  <c r="A690" i="17"/>
  <c r="E690" i="17" s="1"/>
  <c r="I690" i="17" s="1"/>
  <c r="A691" i="17"/>
  <c r="E691" i="17" s="1"/>
  <c r="I691" i="17" s="1"/>
  <c r="A692" i="17"/>
  <c r="E692" i="17" s="1"/>
  <c r="I692" i="17" s="1"/>
  <c r="A693" i="17"/>
  <c r="E693" i="17" s="1"/>
  <c r="I693" i="17" s="1"/>
  <c r="AE684" i="17" l="1"/>
  <c r="AE676" i="17"/>
  <c r="AE668" i="17"/>
  <c r="AE691" i="17"/>
  <c r="AE683" i="17"/>
  <c r="AE675" i="17"/>
  <c r="AE667" i="17"/>
  <c r="AE692" i="17"/>
  <c r="AE680" i="17"/>
  <c r="AE678" i="17"/>
  <c r="AE670" i="17"/>
  <c r="AE693" i="17"/>
  <c r="AE685" i="17"/>
  <c r="AE677" i="17"/>
  <c r="AE669" i="17"/>
  <c r="AE687" i="17"/>
  <c r="AE679" i="17"/>
  <c r="AE671" i="17"/>
  <c r="AE672" i="17"/>
  <c r="AE688" i="17"/>
  <c r="AD663" i="17"/>
  <c r="AD664" i="17"/>
  <c r="AD720" i="17"/>
  <c r="AD721" i="17"/>
  <c r="AD722" i="17"/>
  <c r="AD723" i="17"/>
  <c r="AD724" i="17"/>
  <c r="AD726" i="17"/>
  <c r="AD727" i="17"/>
  <c r="AD728" i="17"/>
  <c r="AD729" i="17"/>
  <c r="AD629" i="17"/>
  <c r="AD630" i="17"/>
  <c r="AD631" i="17"/>
  <c r="AD632" i="17"/>
  <c r="AD633" i="17"/>
  <c r="AD634" i="17"/>
  <c r="AD635" i="17"/>
  <c r="AD636" i="17"/>
  <c r="AD637" i="17"/>
  <c r="AD638" i="17"/>
  <c r="AD639" i="17"/>
  <c r="AD640" i="17"/>
  <c r="AD641" i="17"/>
  <c r="AD642" i="17"/>
  <c r="AD643" i="17"/>
  <c r="AD644" i="17"/>
  <c r="AD645" i="17"/>
  <c r="AD646" i="17"/>
  <c r="AD647" i="17"/>
  <c r="AD648" i="17"/>
  <c r="AD649" i="17"/>
  <c r="AD650" i="17"/>
  <c r="AD651" i="17"/>
  <c r="AD652" i="17"/>
  <c r="AD653" i="17"/>
  <c r="AD654" i="17"/>
  <c r="AD655" i="17"/>
  <c r="AD656" i="17"/>
  <c r="AD657" i="17"/>
  <c r="AD658" i="17"/>
  <c r="AD659" i="17"/>
  <c r="AD660" i="17"/>
  <c r="AD661" i="17"/>
  <c r="AD662" i="17"/>
  <c r="C635" i="17" l="1"/>
  <c r="C636" i="17"/>
  <c r="C637" i="17"/>
  <c r="C638" i="17"/>
  <c r="C639" i="17"/>
  <c r="C640" i="17"/>
  <c r="C641" i="17"/>
  <c r="C642" i="17"/>
  <c r="C643" i="17"/>
  <c r="C644" i="17"/>
  <c r="C645" i="17"/>
  <c r="C646" i="17"/>
  <c r="C647" i="17"/>
  <c r="C648" i="17"/>
  <c r="C649" i="17"/>
  <c r="C650" i="17"/>
  <c r="C651" i="17"/>
  <c r="C652" i="17"/>
  <c r="C653" i="17"/>
  <c r="C654" i="17"/>
  <c r="C655" i="17"/>
  <c r="C656" i="17"/>
  <c r="C657" i="17"/>
  <c r="C658" i="17"/>
  <c r="C659" i="17"/>
  <c r="C660" i="17"/>
  <c r="C661" i="17"/>
  <c r="C662" i="17"/>
  <c r="C663" i="17"/>
  <c r="C631" i="17"/>
  <c r="C632" i="17"/>
  <c r="C633" i="17"/>
  <c r="C629" i="17"/>
  <c r="C630" i="17"/>
  <c r="A629" i="17"/>
  <c r="E629" i="17" s="1"/>
  <c r="I629" i="17" s="1"/>
  <c r="A630" i="17"/>
  <c r="E630" i="17" s="1"/>
  <c r="I630" i="17" s="1"/>
  <c r="A631" i="17"/>
  <c r="E631" i="17" s="1"/>
  <c r="I631" i="17" s="1"/>
  <c r="A632" i="17"/>
  <c r="E632" i="17" s="1"/>
  <c r="I632" i="17" s="1"/>
  <c r="A633" i="17"/>
  <c r="E633" i="17" s="1"/>
  <c r="I633" i="17" s="1"/>
  <c r="A634" i="17"/>
  <c r="E634" i="17" s="1"/>
  <c r="I634" i="17" s="1"/>
  <c r="A635" i="17"/>
  <c r="E635" i="17" s="1"/>
  <c r="I635" i="17" s="1"/>
  <c r="A636" i="17"/>
  <c r="E636" i="17" s="1"/>
  <c r="I636" i="17" s="1"/>
  <c r="A637" i="17"/>
  <c r="E637" i="17" s="1"/>
  <c r="I637" i="17" s="1"/>
  <c r="A638" i="17"/>
  <c r="E638" i="17" s="1"/>
  <c r="I638" i="17" s="1"/>
  <c r="A639" i="17"/>
  <c r="E639" i="17" s="1"/>
  <c r="I639" i="17" s="1"/>
  <c r="A640" i="17"/>
  <c r="E640" i="17" s="1"/>
  <c r="I640" i="17" s="1"/>
  <c r="A641" i="17"/>
  <c r="E641" i="17" s="1"/>
  <c r="I641" i="17" s="1"/>
  <c r="A642" i="17"/>
  <c r="E642" i="17" s="1"/>
  <c r="I642" i="17" s="1"/>
  <c r="A643" i="17"/>
  <c r="E643" i="17" s="1"/>
  <c r="I643" i="17" s="1"/>
  <c r="A644" i="17"/>
  <c r="E644" i="17" s="1"/>
  <c r="I644" i="17" s="1"/>
  <c r="A645" i="17"/>
  <c r="E645" i="17" s="1"/>
  <c r="I645" i="17" s="1"/>
  <c r="A646" i="17"/>
  <c r="E646" i="17" s="1"/>
  <c r="I646" i="17" s="1"/>
  <c r="A647" i="17"/>
  <c r="E647" i="17" s="1"/>
  <c r="I647" i="17" s="1"/>
  <c r="A648" i="17"/>
  <c r="E648" i="17" s="1"/>
  <c r="I648" i="17" s="1"/>
  <c r="A649" i="17"/>
  <c r="E649" i="17" s="1"/>
  <c r="I649" i="17" s="1"/>
  <c r="A650" i="17"/>
  <c r="E650" i="17" s="1"/>
  <c r="I650" i="17" s="1"/>
  <c r="A651" i="17"/>
  <c r="E651" i="17" s="1"/>
  <c r="I651" i="17" s="1"/>
  <c r="A652" i="17"/>
  <c r="E652" i="17" s="1"/>
  <c r="I652" i="17" s="1"/>
  <c r="A653" i="17"/>
  <c r="E653" i="17" s="1"/>
  <c r="I653" i="17" s="1"/>
  <c r="A654" i="17"/>
  <c r="E654" i="17" s="1"/>
  <c r="I654" i="17" s="1"/>
  <c r="A655" i="17"/>
  <c r="E655" i="17" s="1"/>
  <c r="I655" i="17" s="1"/>
  <c r="A656" i="17"/>
  <c r="E656" i="17" s="1"/>
  <c r="I656" i="17" s="1"/>
  <c r="A657" i="17"/>
  <c r="E657" i="17" s="1"/>
  <c r="I657" i="17" s="1"/>
  <c r="A658" i="17"/>
  <c r="E658" i="17" s="1"/>
  <c r="I658" i="17" s="1"/>
  <c r="A659" i="17"/>
  <c r="E659" i="17" s="1"/>
  <c r="I659" i="17" s="1"/>
  <c r="A660" i="17"/>
  <c r="E660" i="17" s="1"/>
  <c r="I660" i="17" s="1"/>
  <c r="A661" i="17"/>
  <c r="E661" i="17" s="1"/>
  <c r="I661" i="17" s="1"/>
  <c r="A662" i="17"/>
  <c r="E662" i="17" s="1"/>
  <c r="I662" i="17" s="1"/>
  <c r="A663" i="17"/>
  <c r="E663" i="17" s="1"/>
  <c r="I663" i="17" s="1"/>
  <c r="U633" i="17" l="1"/>
  <c r="V633" i="17"/>
  <c r="T633" i="17"/>
  <c r="P633" i="17"/>
  <c r="AE633" i="17" s="1"/>
  <c r="Y633" i="17"/>
  <c r="V662" i="17"/>
  <c r="T662" i="17"/>
  <c r="U662" i="17"/>
  <c r="P662" i="17"/>
  <c r="AE662" i="17" s="1"/>
  <c r="Y662" i="17"/>
  <c r="V658" i="17"/>
  <c r="T658" i="17"/>
  <c r="U658" i="17"/>
  <c r="P658" i="17"/>
  <c r="AE658" i="17" s="1"/>
  <c r="Y658" i="17"/>
  <c r="V654" i="17"/>
  <c r="T654" i="17"/>
  <c r="U654" i="17"/>
  <c r="P654" i="17"/>
  <c r="AE654" i="17" s="1"/>
  <c r="Y654" i="17"/>
  <c r="V650" i="17"/>
  <c r="T650" i="17"/>
  <c r="U650" i="17"/>
  <c r="P650" i="17"/>
  <c r="AE650" i="17" s="1"/>
  <c r="Y650" i="17"/>
  <c r="V646" i="17"/>
  <c r="T646" i="17"/>
  <c r="U646" i="17"/>
  <c r="P646" i="17"/>
  <c r="AE646" i="17" s="1"/>
  <c r="Y646" i="17"/>
  <c r="V642" i="17"/>
  <c r="T642" i="17"/>
  <c r="U642" i="17"/>
  <c r="P642" i="17"/>
  <c r="AE642" i="17" s="1"/>
  <c r="Y642" i="17"/>
  <c r="V638" i="17"/>
  <c r="T638" i="17"/>
  <c r="U638" i="17"/>
  <c r="P638" i="17"/>
  <c r="AE638" i="17" s="1"/>
  <c r="Y638" i="17"/>
  <c r="T632" i="17"/>
  <c r="U632" i="17"/>
  <c r="V632" i="17"/>
  <c r="P632" i="17"/>
  <c r="AE632" i="17" s="1"/>
  <c r="Y632" i="17"/>
  <c r="U661" i="17"/>
  <c r="V661" i="17"/>
  <c r="T661" i="17"/>
  <c r="P661" i="17"/>
  <c r="AE661" i="17" s="1"/>
  <c r="Y661" i="17"/>
  <c r="U657" i="17"/>
  <c r="V657" i="17"/>
  <c r="T657" i="17"/>
  <c r="P657" i="17"/>
  <c r="AE657" i="17" s="1"/>
  <c r="Y657" i="17"/>
  <c r="U653" i="17"/>
  <c r="V653" i="17"/>
  <c r="T653" i="17"/>
  <c r="P653" i="17"/>
  <c r="AE653" i="17" s="1"/>
  <c r="Y653" i="17"/>
  <c r="U649" i="17"/>
  <c r="V649" i="17"/>
  <c r="T649" i="17"/>
  <c r="P649" i="17"/>
  <c r="AE649" i="17" s="1"/>
  <c r="Y649" i="17"/>
  <c r="U645" i="17"/>
  <c r="V645" i="17"/>
  <c r="T645" i="17"/>
  <c r="P645" i="17"/>
  <c r="AE645" i="17" s="1"/>
  <c r="Y645" i="17"/>
  <c r="U641" i="17"/>
  <c r="V641" i="17"/>
  <c r="T641" i="17"/>
  <c r="P641" i="17"/>
  <c r="AE641" i="17" s="1"/>
  <c r="Y641" i="17"/>
  <c r="U637" i="17"/>
  <c r="V637" i="17"/>
  <c r="T637" i="17"/>
  <c r="P637" i="17"/>
  <c r="AE637" i="17" s="1"/>
  <c r="Y637" i="17"/>
  <c r="V630" i="17"/>
  <c r="T630" i="17"/>
  <c r="U630" i="17"/>
  <c r="P630" i="17"/>
  <c r="AE630" i="17" s="1"/>
  <c r="Y630" i="17"/>
  <c r="T631" i="17"/>
  <c r="U631" i="17"/>
  <c r="V631" i="17"/>
  <c r="P631" i="17"/>
  <c r="AE631" i="17" s="1"/>
  <c r="Y631" i="17"/>
  <c r="T660" i="17"/>
  <c r="U660" i="17"/>
  <c r="V660" i="17"/>
  <c r="P660" i="17"/>
  <c r="AE660" i="17" s="1"/>
  <c r="Y660" i="17"/>
  <c r="T656" i="17"/>
  <c r="U656" i="17"/>
  <c r="V656" i="17"/>
  <c r="P656" i="17"/>
  <c r="AE656" i="17" s="1"/>
  <c r="Y656" i="17"/>
  <c r="T652" i="17"/>
  <c r="U652" i="17"/>
  <c r="V652" i="17"/>
  <c r="P652" i="17"/>
  <c r="AE652" i="17" s="1"/>
  <c r="Y652" i="17"/>
  <c r="T648" i="17"/>
  <c r="U648" i="17"/>
  <c r="V648" i="17"/>
  <c r="P648" i="17"/>
  <c r="AE648" i="17" s="1"/>
  <c r="Y648" i="17"/>
  <c r="T644" i="17"/>
  <c r="U644" i="17"/>
  <c r="V644" i="17"/>
  <c r="P644" i="17"/>
  <c r="AE644" i="17" s="1"/>
  <c r="Y644" i="17"/>
  <c r="T640" i="17"/>
  <c r="U640" i="17"/>
  <c r="V640" i="17"/>
  <c r="P640" i="17"/>
  <c r="AE640" i="17" s="1"/>
  <c r="Y640" i="17"/>
  <c r="T636" i="17"/>
  <c r="U636" i="17"/>
  <c r="V636" i="17"/>
  <c r="P636" i="17"/>
  <c r="AE636" i="17" s="1"/>
  <c r="Y636" i="17"/>
  <c r="U629" i="17"/>
  <c r="V629" i="17"/>
  <c r="T629" i="17"/>
  <c r="P629" i="17"/>
  <c r="AE629" i="17" s="1"/>
  <c r="Y629" i="17"/>
  <c r="T663" i="17"/>
  <c r="U663" i="17"/>
  <c r="V663" i="17"/>
  <c r="P663" i="17"/>
  <c r="AE663" i="17" s="1"/>
  <c r="Y663" i="17"/>
  <c r="T659" i="17"/>
  <c r="U659" i="17"/>
  <c r="V659" i="17"/>
  <c r="Y659" i="17"/>
  <c r="P659" i="17"/>
  <c r="AE659" i="17" s="1"/>
  <c r="T655" i="17"/>
  <c r="U655" i="17"/>
  <c r="V655" i="17"/>
  <c r="P655" i="17"/>
  <c r="AE655" i="17" s="1"/>
  <c r="Y655" i="17"/>
  <c r="T651" i="17"/>
  <c r="U651" i="17"/>
  <c r="V651" i="17"/>
  <c r="P651" i="17"/>
  <c r="AE651" i="17" s="1"/>
  <c r="Y651" i="17"/>
  <c r="T647" i="17"/>
  <c r="U647" i="17"/>
  <c r="V647" i="17"/>
  <c r="P647" i="17"/>
  <c r="AE647" i="17" s="1"/>
  <c r="Y647" i="17"/>
  <c r="T643" i="17"/>
  <c r="U643" i="17"/>
  <c r="V643" i="17"/>
  <c r="Y643" i="17"/>
  <c r="P643" i="17"/>
  <c r="AE643" i="17" s="1"/>
  <c r="T639" i="17"/>
  <c r="U639" i="17"/>
  <c r="V639" i="17"/>
  <c r="P639" i="17"/>
  <c r="AE639" i="17" s="1"/>
  <c r="Y639" i="17"/>
  <c r="T635" i="17"/>
  <c r="U635" i="17"/>
  <c r="V635" i="17"/>
  <c r="P635" i="17"/>
  <c r="AE635" i="17" s="1"/>
  <c r="Y635" i="17"/>
  <c r="X10" i="20"/>
  <c r="X14" i="20"/>
  <c r="X20" i="20"/>
  <c r="X21" i="20"/>
  <c r="X22" i="20"/>
  <c r="X36" i="20"/>
  <c r="X37" i="20"/>
  <c r="X38" i="20"/>
  <c r="X44" i="20"/>
  <c r="X45" i="20"/>
  <c r="X52" i="20"/>
  <c r="X54" i="20"/>
  <c r="X60" i="20"/>
  <c r="X61" i="20"/>
  <c r="X62" i="20"/>
  <c r="X68" i="20"/>
  <c r="X70" i="20"/>
  <c r="X78" i="20"/>
  <c r="X84" i="20"/>
  <c r="X85" i="20"/>
  <c r="X86" i="20"/>
  <c r="X87" i="20"/>
  <c r="X88" i="20"/>
  <c r="X89" i="20"/>
  <c r="X90" i="20"/>
  <c r="X91" i="20"/>
  <c r="X92" i="20"/>
  <c r="X93" i="20"/>
  <c r="X94" i="20"/>
  <c r="X95" i="20"/>
  <c r="X96" i="20"/>
  <c r="X97" i="20"/>
  <c r="X98" i="20"/>
  <c r="X99" i="20"/>
  <c r="X100" i="20"/>
  <c r="X101" i="20"/>
  <c r="X102" i="20"/>
  <c r="X103" i="20"/>
  <c r="X104" i="20"/>
  <c r="W5" i="20"/>
  <c r="X5" i="20" s="1"/>
  <c r="W6" i="20"/>
  <c r="X6" i="20" s="1"/>
  <c r="W7" i="20"/>
  <c r="X7" i="20" s="1"/>
  <c r="W8" i="20"/>
  <c r="X8" i="20" s="1"/>
  <c r="W9" i="20"/>
  <c r="X9" i="20" s="1"/>
  <c r="W11" i="20"/>
  <c r="X11" i="20" s="1"/>
  <c r="W12" i="20"/>
  <c r="X12" i="20" s="1"/>
  <c r="W13" i="20"/>
  <c r="X13" i="20" s="1"/>
  <c r="W14" i="20"/>
  <c r="W15" i="20"/>
  <c r="X15" i="20" s="1"/>
  <c r="W16" i="20"/>
  <c r="X16" i="20" s="1"/>
  <c r="W17" i="20"/>
  <c r="X17" i="20" s="1"/>
  <c r="W18" i="20"/>
  <c r="X18" i="20" s="1"/>
  <c r="W19" i="20"/>
  <c r="X19" i="20" s="1"/>
  <c r="W20" i="20"/>
  <c r="W21" i="20"/>
  <c r="W22" i="20"/>
  <c r="W23" i="20"/>
  <c r="X23" i="20" s="1"/>
  <c r="W24" i="20"/>
  <c r="X24" i="20" s="1"/>
  <c r="W25" i="20"/>
  <c r="X25" i="20" s="1"/>
  <c r="W26" i="20"/>
  <c r="X26" i="20" s="1"/>
  <c r="W27" i="20"/>
  <c r="X27" i="20" s="1"/>
  <c r="W28" i="20"/>
  <c r="X28" i="20" s="1"/>
  <c r="W29" i="20"/>
  <c r="X29" i="20" s="1"/>
  <c r="W30" i="20"/>
  <c r="X30" i="20" s="1"/>
  <c r="W31" i="20"/>
  <c r="X31" i="20" s="1"/>
  <c r="W32" i="20"/>
  <c r="X32" i="20" s="1"/>
  <c r="W33" i="20"/>
  <c r="X33" i="20" s="1"/>
  <c r="W34" i="20"/>
  <c r="X34" i="20" s="1"/>
  <c r="W35" i="20"/>
  <c r="X35" i="20" s="1"/>
  <c r="W36" i="20"/>
  <c r="W37" i="20"/>
  <c r="W38" i="20"/>
  <c r="W39" i="20"/>
  <c r="X39" i="20" s="1"/>
  <c r="W40" i="20"/>
  <c r="X40" i="20" s="1"/>
  <c r="W41" i="20"/>
  <c r="X41" i="20" s="1"/>
  <c r="W42" i="20"/>
  <c r="X42" i="20" s="1"/>
  <c r="W43" i="20"/>
  <c r="X43" i="20" s="1"/>
  <c r="W44" i="20"/>
  <c r="W45" i="20"/>
  <c r="W46" i="20"/>
  <c r="X46" i="20" s="1"/>
  <c r="W47" i="20"/>
  <c r="X47" i="20" s="1"/>
  <c r="W48" i="20"/>
  <c r="X48" i="20" s="1"/>
  <c r="W49" i="20"/>
  <c r="X49" i="20" s="1"/>
  <c r="W50" i="20"/>
  <c r="X50" i="20" s="1"/>
  <c r="W51" i="20"/>
  <c r="X51" i="20" s="1"/>
  <c r="W52" i="20"/>
  <c r="W53" i="20"/>
  <c r="X53" i="20" s="1"/>
  <c r="W54" i="20"/>
  <c r="W55" i="20"/>
  <c r="X55" i="20" s="1"/>
  <c r="W56" i="20"/>
  <c r="X56" i="20" s="1"/>
  <c r="W57" i="20"/>
  <c r="X57" i="20" s="1"/>
  <c r="W58" i="20"/>
  <c r="X58" i="20" s="1"/>
  <c r="W59" i="20"/>
  <c r="X59" i="20" s="1"/>
  <c r="W60" i="20"/>
  <c r="W61" i="20"/>
  <c r="W62" i="20"/>
  <c r="W63" i="20"/>
  <c r="X63" i="20" s="1"/>
  <c r="W64" i="20"/>
  <c r="X64" i="20" s="1"/>
  <c r="W65" i="20"/>
  <c r="X65" i="20" s="1"/>
  <c r="W66" i="20"/>
  <c r="X66" i="20" s="1"/>
  <c r="W67" i="20"/>
  <c r="X67" i="20" s="1"/>
  <c r="W68" i="20"/>
  <c r="W69" i="20"/>
  <c r="X69" i="20" s="1"/>
  <c r="W70" i="20"/>
  <c r="W71" i="20"/>
  <c r="X71" i="20" s="1"/>
  <c r="W72" i="20"/>
  <c r="X72" i="20" s="1"/>
  <c r="W73" i="20"/>
  <c r="X73" i="20" s="1"/>
  <c r="W74" i="20"/>
  <c r="X74" i="20" s="1"/>
  <c r="W75" i="20"/>
  <c r="X75" i="20" s="1"/>
  <c r="W76" i="20"/>
  <c r="X76" i="20" s="1"/>
  <c r="W77" i="20"/>
  <c r="X77" i="20" s="1"/>
  <c r="W78" i="20"/>
  <c r="W79" i="20"/>
  <c r="X79" i="20" s="1"/>
  <c r="W80" i="20"/>
  <c r="X80" i="20" s="1"/>
  <c r="W81" i="20"/>
  <c r="X81" i="20" s="1"/>
  <c r="W82" i="20"/>
  <c r="X82" i="20" s="1"/>
  <c r="W83" i="20"/>
  <c r="X83" i="20" s="1"/>
  <c r="W10" i="20"/>
  <c r="W3" i="23" l="1"/>
  <c r="C3" i="23" s="1"/>
  <c r="X3" i="23"/>
  <c r="D3" i="23" s="1"/>
  <c r="Y3" i="23"/>
  <c r="E3" i="23" s="1"/>
  <c r="W4" i="23"/>
  <c r="C4" i="23" s="1"/>
  <c r="X4" i="23"/>
  <c r="D4" i="23" s="1"/>
  <c r="Y4" i="23"/>
  <c r="E4" i="23" s="1"/>
  <c r="W5" i="23"/>
  <c r="C5" i="23" s="1"/>
  <c r="X5" i="23"/>
  <c r="D5" i="23" s="1"/>
  <c r="Y5" i="23"/>
  <c r="E5" i="23" s="1"/>
  <c r="W6" i="23"/>
  <c r="C6" i="23" s="1"/>
  <c r="X6" i="23"/>
  <c r="D6" i="23" s="1"/>
  <c r="Y6" i="23"/>
  <c r="E6" i="23" s="1"/>
  <c r="W7" i="23"/>
  <c r="C7" i="23" s="1"/>
  <c r="X7" i="23"/>
  <c r="D7" i="23" s="1"/>
  <c r="Y7" i="23"/>
  <c r="E7" i="23" s="1"/>
  <c r="W8" i="23"/>
  <c r="C8" i="23" s="1"/>
  <c r="X8" i="23"/>
  <c r="D8" i="23" s="1"/>
  <c r="Y8" i="23"/>
  <c r="E8" i="23" s="1"/>
  <c r="W9" i="23"/>
  <c r="C9" i="23" s="1"/>
  <c r="X9" i="23"/>
  <c r="D9" i="23" s="1"/>
  <c r="Y9" i="23"/>
  <c r="E9" i="23" s="1"/>
  <c r="W10" i="23"/>
  <c r="C10" i="23" s="1"/>
  <c r="X10" i="23"/>
  <c r="D10" i="23" s="1"/>
  <c r="Y10" i="23"/>
  <c r="E10" i="23" s="1"/>
  <c r="W11" i="23"/>
  <c r="C11" i="23" s="1"/>
  <c r="X11" i="23"/>
  <c r="D11" i="23" s="1"/>
  <c r="Y11" i="23"/>
  <c r="E11" i="23" s="1"/>
  <c r="W12" i="23"/>
  <c r="C12" i="23" s="1"/>
  <c r="X12" i="23"/>
  <c r="D12" i="23" s="1"/>
  <c r="Y12" i="23"/>
  <c r="E12" i="23" s="1"/>
  <c r="W13" i="23"/>
  <c r="C13" i="23" s="1"/>
  <c r="X13" i="23"/>
  <c r="D13" i="23" s="1"/>
  <c r="Y13" i="23"/>
  <c r="E13" i="23" s="1"/>
  <c r="W14" i="23"/>
  <c r="C14" i="23" s="1"/>
  <c r="X14" i="23"/>
  <c r="D14" i="23" s="1"/>
  <c r="Y14" i="23"/>
  <c r="E14" i="23" s="1"/>
  <c r="W15" i="23"/>
  <c r="C15" i="23" s="1"/>
  <c r="X15" i="23"/>
  <c r="D15" i="23" s="1"/>
  <c r="Y15" i="23"/>
  <c r="E15" i="23" s="1"/>
  <c r="W16" i="23"/>
  <c r="C16" i="23" s="1"/>
  <c r="X16" i="23"/>
  <c r="D16" i="23" s="1"/>
  <c r="Y16" i="23"/>
  <c r="E16" i="23" s="1"/>
  <c r="W17" i="23"/>
  <c r="C17" i="23" s="1"/>
  <c r="X17" i="23"/>
  <c r="D17" i="23" s="1"/>
  <c r="Y17" i="23"/>
  <c r="E17" i="23" s="1"/>
  <c r="W18" i="23"/>
  <c r="C18" i="23" s="1"/>
  <c r="X18" i="23"/>
  <c r="D18" i="23" s="1"/>
  <c r="Y18" i="23"/>
  <c r="E18" i="23" s="1"/>
  <c r="W19" i="23"/>
  <c r="C19" i="23" s="1"/>
  <c r="X19" i="23"/>
  <c r="D19" i="23" s="1"/>
  <c r="Y19" i="23"/>
  <c r="E19" i="23" s="1"/>
  <c r="W20" i="23"/>
  <c r="C20" i="23" s="1"/>
  <c r="X20" i="23"/>
  <c r="D20" i="23" s="1"/>
  <c r="Y20" i="23"/>
  <c r="E20" i="23" s="1"/>
  <c r="W21" i="23"/>
  <c r="C21" i="23" s="1"/>
  <c r="X21" i="23"/>
  <c r="D21" i="23" s="1"/>
  <c r="Y21" i="23"/>
  <c r="E21" i="23" s="1"/>
  <c r="W22" i="23"/>
  <c r="C22" i="23" s="1"/>
  <c r="X22" i="23"/>
  <c r="D22" i="23" s="1"/>
  <c r="Y22" i="23"/>
  <c r="E22" i="23" s="1"/>
  <c r="W23" i="23"/>
  <c r="C23" i="23" s="1"/>
  <c r="X23" i="23"/>
  <c r="D23" i="23" s="1"/>
  <c r="Y23" i="23"/>
  <c r="E23" i="23" s="1"/>
  <c r="W24" i="23"/>
  <c r="C24" i="23" s="1"/>
  <c r="X24" i="23"/>
  <c r="D24" i="23" s="1"/>
  <c r="Y24" i="23"/>
  <c r="E24" i="23" s="1"/>
  <c r="W25" i="23"/>
  <c r="C25" i="23" s="1"/>
  <c r="X25" i="23"/>
  <c r="D25" i="23" s="1"/>
  <c r="Y25" i="23"/>
  <c r="E25" i="23" s="1"/>
  <c r="W26" i="23"/>
  <c r="C26" i="23" s="1"/>
  <c r="X26" i="23"/>
  <c r="D26" i="23" s="1"/>
  <c r="Y26" i="23"/>
  <c r="E26" i="23" s="1"/>
  <c r="W27" i="23"/>
  <c r="C27" i="23" s="1"/>
  <c r="X27" i="23"/>
  <c r="D27" i="23" s="1"/>
  <c r="Y27" i="23"/>
  <c r="E27" i="23" s="1"/>
  <c r="W28" i="23"/>
  <c r="C28" i="23" s="1"/>
  <c r="X28" i="23"/>
  <c r="D28" i="23" s="1"/>
  <c r="Y28" i="23"/>
  <c r="E28" i="23" s="1"/>
  <c r="W29" i="23"/>
  <c r="C29" i="23" s="1"/>
  <c r="X29" i="23"/>
  <c r="D29" i="23" s="1"/>
  <c r="Y29" i="23"/>
  <c r="E29" i="23" s="1"/>
  <c r="W30" i="23"/>
  <c r="C30" i="23" s="1"/>
  <c r="X30" i="23"/>
  <c r="D30" i="23" s="1"/>
  <c r="Y30" i="23"/>
  <c r="E30" i="23" s="1"/>
  <c r="W31" i="23"/>
  <c r="C31" i="23" s="1"/>
  <c r="X31" i="23"/>
  <c r="D31" i="23" s="1"/>
  <c r="Y31" i="23"/>
  <c r="E31" i="23" s="1"/>
  <c r="W32" i="23"/>
  <c r="C32" i="23" s="1"/>
  <c r="X32" i="23"/>
  <c r="D32" i="23" s="1"/>
  <c r="Y32" i="23"/>
  <c r="E32" i="23" s="1"/>
  <c r="W33" i="23"/>
  <c r="C33" i="23" s="1"/>
  <c r="X33" i="23"/>
  <c r="D33" i="23" s="1"/>
  <c r="Y33" i="23"/>
  <c r="E33" i="23" s="1"/>
  <c r="W34" i="23"/>
  <c r="C34" i="23" s="1"/>
  <c r="X34" i="23"/>
  <c r="D34" i="23" s="1"/>
  <c r="Y34" i="23"/>
  <c r="E34" i="23" s="1"/>
  <c r="W35" i="23"/>
  <c r="C35" i="23" s="1"/>
  <c r="X35" i="23"/>
  <c r="D35" i="23" s="1"/>
  <c r="Y35" i="23"/>
  <c r="E35" i="23" s="1"/>
  <c r="W36" i="23"/>
  <c r="C36" i="23" s="1"/>
  <c r="X36" i="23"/>
  <c r="D36" i="23" s="1"/>
  <c r="Y36" i="23"/>
  <c r="E36" i="23" s="1"/>
  <c r="W37" i="23"/>
  <c r="C37" i="23" s="1"/>
  <c r="X37" i="23"/>
  <c r="D37" i="23" s="1"/>
  <c r="Y37" i="23"/>
  <c r="E37" i="23" s="1"/>
  <c r="W38" i="23"/>
  <c r="C38" i="23" s="1"/>
  <c r="X38" i="23"/>
  <c r="D38" i="23" s="1"/>
  <c r="Y38" i="23"/>
  <c r="E38" i="23" s="1"/>
  <c r="W39" i="23"/>
  <c r="C39" i="23" s="1"/>
  <c r="X39" i="23"/>
  <c r="D39" i="23" s="1"/>
  <c r="Y39" i="23"/>
  <c r="E39" i="23" s="1"/>
  <c r="W40" i="23"/>
  <c r="C40" i="23" s="1"/>
  <c r="X40" i="23"/>
  <c r="D40" i="23" s="1"/>
  <c r="Y40" i="23"/>
  <c r="E40" i="23" s="1"/>
  <c r="W41" i="23"/>
  <c r="C41" i="23" s="1"/>
  <c r="X41" i="23"/>
  <c r="D41" i="23" s="1"/>
  <c r="Y41" i="23"/>
  <c r="E41" i="23" s="1"/>
  <c r="W42" i="23"/>
  <c r="C42" i="23" s="1"/>
  <c r="X42" i="23"/>
  <c r="D42" i="23" s="1"/>
  <c r="Y42" i="23"/>
  <c r="E42" i="23" s="1"/>
  <c r="W43" i="23"/>
  <c r="C43" i="23" s="1"/>
  <c r="X43" i="23"/>
  <c r="D43" i="23" s="1"/>
  <c r="Y43" i="23"/>
  <c r="E43" i="23" s="1"/>
  <c r="W44" i="23"/>
  <c r="C44" i="23" s="1"/>
  <c r="X44" i="23"/>
  <c r="D44" i="23" s="1"/>
  <c r="Y44" i="23"/>
  <c r="E44" i="23" s="1"/>
  <c r="W45" i="23"/>
  <c r="C45" i="23" s="1"/>
  <c r="X45" i="23"/>
  <c r="D45" i="23" s="1"/>
  <c r="Y45" i="23"/>
  <c r="E45" i="23" s="1"/>
  <c r="W46" i="23"/>
  <c r="C46" i="23" s="1"/>
  <c r="X46" i="23"/>
  <c r="D46" i="23" s="1"/>
  <c r="Y46" i="23"/>
  <c r="E46" i="23" s="1"/>
  <c r="W47" i="23"/>
  <c r="C47" i="23" s="1"/>
  <c r="X47" i="23"/>
  <c r="D47" i="23" s="1"/>
  <c r="Y47" i="23"/>
  <c r="E47" i="23" s="1"/>
  <c r="W48" i="23"/>
  <c r="C48" i="23" s="1"/>
  <c r="X48" i="23"/>
  <c r="D48" i="23" s="1"/>
  <c r="Y48" i="23"/>
  <c r="E48" i="23" s="1"/>
  <c r="W49" i="23"/>
  <c r="C49" i="23" s="1"/>
  <c r="X49" i="23"/>
  <c r="D49" i="23" s="1"/>
  <c r="Y49" i="23"/>
  <c r="E49" i="23" s="1"/>
  <c r="W50" i="23"/>
  <c r="C50" i="23" s="1"/>
  <c r="X50" i="23"/>
  <c r="D50" i="23" s="1"/>
  <c r="Y50" i="23"/>
  <c r="E50" i="23" s="1"/>
  <c r="W51" i="23"/>
  <c r="C51" i="23" s="1"/>
  <c r="X51" i="23"/>
  <c r="D51" i="23" s="1"/>
  <c r="Y51" i="23"/>
  <c r="E51" i="23" s="1"/>
  <c r="W52" i="23"/>
  <c r="C52" i="23" s="1"/>
  <c r="X52" i="23"/>
  <c r="D52" i="23" s="1"/>
  <c r="Y52" i="23"/>
  <c r="E52" i="23" s="1"/>
  <c r="W53" i="23"/>
  <c r="C53" i="23" s="1"/>
  <c r="X53" i="23"/>
  <c r="D53" i="23" s="1"/>
  <c r="Y53" i="23"/>
  <c r="E53" i="23" s="1"/>
  <c r="W54" i="23"/>
  <c r="C54" i="23" s="1"/>
  <c r="X54" i="23"/>
  <c r="D54" i="23" s="1"/>
  <c r="Y54" i="23"/>
  <c r="E54" i="23" s="1"/>
  <c r="W55" i="23"/>
  <c r="C55" i="23" s="1"/>
  <c r="X55" i="23"/>
  <c r="D55" i="23" s="1"/>
  <c r="Y55" i="23"/>
  <c r="E55" i="23" s="1"/>
  <c r="W56" i="23"/>
  <c r="C56" i="23" s="1"/>
  <c r="X56" i="23"/>
  <c r="D56" i="23" s="1"/>
  <c r="Y56" i="23"/>
  <c r="E56" i="23" s="1"/>
  <c r="W57" i="23"/>
  <c r="C57" i="23" s="1"/>
  <c r="X57" i="23"/>
  <c r="D57" i="23" s="1"/>
  <c r="Y57" i="23"/>
  <c r="E57" i="23" s="1"/>
  <c r="W58" i="23"/>
  <c r="C58" i="23" s="1"/>
  <c r="X58" i="23"/>
  <c r="D58" i="23" s="1"/>
  <c r="Y58" i="23"/>
  <c r="E58" i="23" s="1"/>
  <c r="W59" i="23"/>
  <c r="C59" i="23" s="1"/>
  <c r="X59" i="23"/>
  <c r="D59" i="23" s="1"/>
  <c r="Y59" i="23"/>
  <c r="E59" i="23" s="1"/>
  <c r="W60" i="23"/>
  <c r="C60" i="23" s="1"/>
  <c r="X60" i="23"/>
  <c r="D60" i="23" s="1"/>
  <c r="Y60" i="23"/>
  <c r="E60" i="23" s="1"/>
  <c r="W61" i="23"/>
  <c r="C61" i="23" s="1"/>
  <c r="X61" i="23"/>
  <c r="D61" i="23" s="1"/>
  <c r="Y61" i="23"/>
  <c r="E61" i="23" s="1"/>
  <c r="W62" i="23"/>
  <c r="C62" i="23" s="1"/>
  <c r="X62" i="23"/>
  <c r="D62" i="23" s="1"/>
  <c r="Y62" i="23"/>
  <c r="E62" i="23" s="1"/>
  <c r="W63" i="23"/>
  <c r="C63" i="23" s="1"/>
  <c r="X63" i="23"/>
  <c r="D63" i="23" s="1"/>
  <c r="Y63" i="23"/>
  <c r="E63" i="23" s="1"/>
  <c r="W64" i="23"/>
  <c r="C64" i="23" s="1"/>
  <c r="X64" i="23"/>
  <c r="D64" i="23" s="1"/>
  <c r="Y64" i="23"/>
  <c r="E64" i="23" s="1"/>
  <c r="W65" i="23"/>
  <c r="C65" i="23" s="1"/>
  <c r="X65" i="23"/>
  <c r="D65" i="23" s="1"/>
  <c r="Y65" i="23"/>
  <c r="E65" i="23" s="1"/>
  <c r="W66" i="23"/>
  <c r="C66" i="23" s="1"/>
  <c r="X66" i="23"/>
  <c r="D66" i="23" s="1"/>
  <c r="Y66" i="23"/>
  <c r="E66" i="23" s="1"/>
  <c r="W67" i="23"/>
  <c r="C67" i="23" s="1"/>
  <c r="X67" i="23"/>
  <c r="D67" i="23" s="1"/>
  <c r="Y67" i="23"/>
  <c r="E67" i="23" s="1"/>
  <c r="W68" i="23"/>
  <c r="C68" i="23" s="1"/>
  <c r="X68" i="23"/>
  <c r="D68" i="23" s="1"/>
  <c r="Y68" i="23"/>
  <c r="E68" i="23" s="1"/>
  <c r="W69" i="23"/>
  <c r="C69" i="23" s="1"/>
  <c r="X69" i="23"/>
  <c r="D69" i="23" s="1"/>
  <c r="Y69" i="23"/>
  <c r="E69" i="23" s="1"/>
  <c r="W70" i="23"/>
  <c r="C70" i="23" s="1"/>
  <c r="X70" i="23"/>
  <c r="D70" i="23" s="1"/>
  <c r="Y70" i="23"/>
  <c r="E70" i="23" s="1"/>
  <c r="W71" i="23"/>
  <c r="C71" i="23" s="1"/>
  <c r="X71" i="23"/>
  <c r="D71" i="23" s="1"/>
  <c r="Y71" i="23"/>
  <c r="E71" i="23" s="1"/>
  <c r="W72" i="23"/>
  <c r="C72" i="23" s="1"/>
  <c r="X72" i="23"/>
  <c r="D72" i="23" s="1"/>
  <c r="Y72" i="23"/>
  <c r="E72" i="23" s="1"/>
  <c r="W73" i="23"/>
  <c r="C73" i="23" s="1"/>
  <c r="X73" i="23"/>
  <c r="D73" i="23" s="1"/>
  <c r="Y73" i="23"/>
  <c r="E73" i="23" s="1"/>
  <c r="W74" i="23"/>
  <c r="C74" i="23" s="1"/>
  <c r="X74" i="23"/>
  <c r="D74" i="23" s="1"/>
  <c r="Y74" i="23"/>
  <c r="E74" i="23" s="1"/>
  <c r="W75" i="23"/>
  <c r="C75" i="23" s="1"/>
  <c r="X75" i="23"/>
  <c r="D75" i="23" s="1"/>
  <c r="Y75" i="23"/>
  <c r="E75" i="23" s="1"/>
  <c r="W76" i="23"/>
  <c r="C76" i="23" s="1"/>
  <c r="X76" i="23"/>
  <c r="D76" i="23" s="1"/>
  <c r="Y76" i="23"/>
  <c r="E76" i="23" s="1"/>
  <c r="W77" i="23"/>
  <c r="C77" i="23" s="1"/>
  <c r="X77" i="23"/>
  <c r="D77" i="23" s="1"/>
  <c r="Y77" i="23"/>
  <c r="E77" i="23" s="1"/>
  <c r="W78" i="23"/>
  <c r="C78" i="23" s="1"/>
  <c r="X78" i="23"/>
  <c r="D78" i="23" s="1"/>
  <c r="Y78" i="23"/>
  <c r="E78" i="23" s="1"/>
  <c r="W79" i="23"/>
  <c r="C79" i="23" s="1"/>
  <c r="X79" i="23"/>
  <c r="D79" i="23" s="1"/>
  <c r="Y79" i="23"/>
  <c r="E79" i="23" s="1"/>
  <c r="W80" i="23"/>
  <c r="C80" i="23" s="1"/>
  <c r="X80" i="23"/>
  <c r="D80" i="23" s="1"/>
  <c r="Y80" i="23"/>
  <c r="E80" i="23" s="1"/>
  <c r="W81" i="23"/>
  <c r="C81" i="23" s="1"/>
  <c r="X81" i="23"/>
  <c r="D81" i="23" s="1"/>
  <c r="Y81" i="23"/>
  <c r="E81" i="23" s="1"/>
  <c r="X2" i="23"/>
  <c r="D2" i="23" s="1"/>
  <c r="Y2" i="23"/>
  <c r="E2" i="23" s="1"/>
  <c r="W2" i="23"/>
  <c r="C2" i="23" s="1"/>
  <c r="I5" i="20" l="1"/>
  <c r="AD603" i="17" l="1"/>
  <c r="C603" i="17"/>
  <c r="A603" i="17"/>
  <c r="E603" i="17" s="1"/>
  <c r="I603" i="17" s="1"/>
  <c r="AD602" i="17"/>
  <c r="C602" i="17"/>
  <c r="A602" i="17"/>
  <c r="E602" i="17" s="1"/>
  <c r="I602" i="17" s="1"/>
  <c r="AD601" i="17"/>
  <c r="C601" i="17"/>
  <c r="A601" i="17"/>
  <c r="E601" i="17" s="1"/>
  <c r="I601" i="17" s="1"/>
  <c r="AD600" i="17"/>
  <c r="C600" i="17"/>
  <c r="A600" i="17"/>
  <c r="E600" i="17" s="1"/>
  <c r="I600" i="17" s="1"/>
  <c r="AD599" i="17"/>
  <c r="C599" i="17"/>
  <c r="A599" i="17"/>
  <c r="E599" i="17" s="1"/>
  <c r="I599" i="17" s="1"/>
  <c r="AD598" i="17"/>
  <c r="C598" i="17"/>
  <c r="A598" i="17"/>
  <c r="E598" i="17" s="1"/>
  <c r="I598" i="17" s="1"/>
  <c r="AD597" i="17"/>
  <c r="C597" i="17"/>
  <c r="A597" i="17"/>
  <c r="E597" i="17" s="1"/>
  <c r="I597" i="17" s="1"/>
  <c r="AD596" i="17"/>
  <c r="C596" i="17"/>
  <c r="A596" i="17"/>
  <c r="E596" i="17" s="1"/>
  <c r="I596" i="17" s="1"/>
  <c r="AD595" i="17"/>
  <c r="C595" i="17"/>
  <c r="A595" i="17"/>
  <c r="E595" i="17" s="1"/>
  <c r="I595" i="17" s="1"/>
  <c r="AD594" i="17"/>
  <c r="C594" i="17"/>
  <c r="A594" i="17"/>
  <c r="E594" i="17" s="1"/>
  <c r="I594" i="17" s="1"/>
  <c r="AD593" i="17"/>
  <c r="C593" i="17"/>
  <c r="A593" i="17"/>
  <c r="E593" i="17" s="1"/>
  <c r="I593" i="17" s="1"/>
  <c r="AD592" i="17"/>
  <c r="C592" i="17"/>
  <c r="A592" i="17"/>
  <c r="E592" i="17" s="1"/>
  <c r="I592" i="17" s="1"/>
  <c r="AD567" i="17"/>
  <c r="C567" i="17"/>
  <c r="A567" i="17"/>
  <c r="E567" i="17" s="1"/>
  <c r="I567" i="17" s="1"/>
  <c r="AD566" i="17"/>
  <c r="C566" i="17"/>
  <c r="A566" i="17"/>
  <c r="E566" i="17" s="1"/>
  <c r="I566" i="17" s="1"/>
  <c r="AD565" i="17"/>
  <c r="C565" i="17"/>
  <c r="A565" i="17"/>
  <c r="E565" i="17" s="1"/>
  <c r="I565" i="17" s="1"/>
  <c r="AD564" i="17"/>
  <c r="C564" i="17"/>
  <c r="A564" i="17"/>
  <c r="E564" i="17" s="1"/>
  <c r="I564" i="17" s="1"/>
  <c r="AD563" i="17"/>
  <c r="C563" i="17"/>
  <c r="A563" i="17"/>
  <c r="E563" i="17" s="1"/>
  <c r="I563" i="17" s="1"/>
  <c r="AD562" i="17"/>
  <c r="C562" i="17"/>
  <c r="A562" i="17"/>
  <c r="E562" i="17" s="1"/>
  <c r="I562" i="17" s="1"/>
  <c r="AD561" i="17"/>
  <c r="C561" i="17"/>
  <c r="A561" i="17"/>
  <c r="E561" i="17" s="1"/>
  <c r="I561" i="17" s="1"/>
  <c r="AD560" i="17"/>
  <c r="C560" i="17"/>
  <c r="A560" i="17"/>
  <c r="E560" i="17" s="1"/>
  <c r="I560" i="17" s="1"/>
  <c r="AD559" i="17"/>
  <c r="C559" i="17"/>
  <c r="A559" i="17"/>
  <c r="E559" i="17" s="1"/>
  <c r="I559" i="17" s="1"/>
  <c r="AD558" i="17"/>
  <c r="C558" i="17"/>
  <c r="A558" i="17"/>
  <c r="E558" i="17" s="1"/>
  <c r="I558" i="17" s="1"/>
  <c r="AD557" i="17"/>
  <c r="C557" i="17"/>
  <c r="A557" i="17"/>
  <c r="E557" i="17" s="1"/>
  <c r="I557" i="17" s="1"/>
  <c r="AD556" i="17"/>
  <c r="C556" i="17"/>
  <c r="A556" i="17"/>
  <c r="E556" i="17" s="1"/>
  <c r="I556" i="17" s="1"/>
  <c r="AD531" i="17"/>
  <c r="C531" i="17"/>
  <c r="A531" i="17"/>
  <c r="E531" i="17" s="1"/>
  <c r="I531" i="17" s="1"/>
  <c r="AD530" i="17"/>
  <c r="C530" i="17"/>
  <c r="A530" i="17"/>
  <c r="E530" i="17" s="1"/>
  <c r="I530" i="17" s="1"/>
  <c r="AD529" i="17"/>
  <c r="C529" i="17"/>
  <c r="A529" i="17"/>
  <c r="E529" i="17" s="1"/>
  <c r="I529" i="17" s="1"/>
  <c r="AD528" i="17"/>
  <c r="C528" i="17"/>
  <c r="A528" i="17"/>
  <c r="E528" i="17" s="1"/>
  <c r="I528" i="17" s="1"/>
  <c r="AD527" i="17"/>
  <c r="C527" i="17"/>
  <c r="A527" i="17"/>
  <c r="E527" i="17" s="1"/>
  <c r="I527" i="17" s="1"/>
  <c r="AD526" i="17"/>
  <c r="C526" i="17"/>
  <c r="A526" i="17"/>
  <c r="E526" i="17" s="1"/>
  <c r="I526" i="17" s="1"/>
  <c r="AD525" i="17"/>
  <c r="C525" i="17"/>
  <c r="A525" i="17"/>
  <c r="E525" i="17" s="1"/>
  <c r="I525" i="17" s="1"/>
  <c r="AD524" i="17"/>
  <c r="C524" i="17"/>
  <c r="A524" i="17"/>
  <c r="E524" i="17" s="1"/>
  <c r="I524" i="17" s="1"/>
  <c r="AD523" i="17"/>
  <c r="C523" i="17"/>
  <c r="A523" i="17"/>
  <c r="E523" i="17" s="1"/>
  <c r="I523" i="17" s="1"/>
  <c r="AD522" i="17"/>
  <c r="C522" i="17"/>
  <c r="A522" i="17"/>
  <c r="E522" i="17" s="1"/>
  <c r="I522" i="17" s="1"/>
  <c r="AD521" i="17"/>
  <c r="C521" i="17"/>
  <c r="A521" i="17"/>
  <c r="E521" i="17" s="1"/>
  <c r="I521" i="17" s="1"/>
  <c r="AD520" i="17"/>
  <c r="C520" i="17"/>
  <c r="A520" i="17"/>
  <c r="E520" i="17" s="1"/>
  <c r="I520" i="17" s="1"/>
  <c r="AD314" i="17"/>
  <c r="C314" i="17"/>
  <c r="A314" i="17"/>
  <c r="E314" i="17" s="1"/>
  <c r="I314" i="17" s="1"/>
  <c r="AD313" i="17"/>
  <c r="C313" i="17"/>
  <c r="A313" i="17"/>
  <c r="E313" i="17" s="1"/>
  <c r="I313" i="17" s="1"/>
  <c r="AD312" i="17"/>
  <c r="C312" i="17"/>
  <c r="A312" i="17"/>
  <c r="E312" i="17" s="1"/>
  <c r="I312" i="17" s="1"/>
  <c r="AD311" i="17"/>
  <c r="C311" i="17"/>
  <c r="A311" i="17"/>
  <c r="E311" i="17" s="1"/>
  <c r="I311" i="17" s="1"/>
  <c r="AD310" i="17"/>
  <c r="C310" i="17"/>
  <c r="A310" i="17"/>
  <c r="E310" i="17" s="1"/>
  <c r="I310" i="17" s="1"/>
  <c r="AD309" i="17"/>
  <c r="C309" i="17"/>
  <c r="A309" i="17"/>
  <c r="E309" i="17" s="1"/>
  <c r="I309" i="17" s="1"/>
  <c r="AD308" i="17"/>
  <c r="C308" i="17"/>
  <c r="A308" i="17"/>
  <c r="E308" i="17" s="1"/>
  <c r="I308" i="17" s="1"/>
  <c r="AD307" i="17"/>
  <c r="C307" i="17"/>
  <c r="A307" i="17"/>
  <c r="E307" i="17" s="1"/>
  <c r="I307" i="17" s="1"/>
  <c r="AD306" i="17"/>
  <c r="C306" i="17"/>
  <c r="A306" i="17"/>
  <c r="E306" i="17" s="1"/>
  <c r="I306" i="17" s="1"/>
  <c r="AD305" i="17"/>
  <c r="C305" i="17"/>
  <c r="A305" i="17"/>
  <c r="E305" i="17" s="1"/>
  <c r="I305" i="17" s="1"/>
  <c r="AD304" i="17"/>
  <c r="C304" i="17"/>
  <c r="A304" i="17"/>
  <c r="E304" i="17" s="1"/>
  <c r="I304" i="17" s="1"/>
  <c r="AD303" i="17"/>
  <c r="C303" i="17"/>
  <c r="A303" i="17"/>
  <c r="E303" i="17" s="1"/>
  <c r="I303" i="17" s="1"/>
  <c r="AD278" i="17"/>
  <c r="C278" i="17"/>
  <c r="A278" i="17"/>
  <c r="E278" i="17" s="1"/>
  <c r="I278" i="17" s="1"/>
  <c r="AD277" i="17"/>
  <c r="C277" i="17"/>
  <c r="A277" i="17"/>
  <c r="E277" i="17" s="1"/>
  <c r="I277" i="17" s="1"/>
  <c r="AD276" i="17"/>
  <c r="C276" i="17"/>
  <c r="A276" i="17"/>
  <c r="E276" i="17" s="1"/>
  <c r="I276" i="17" s="1"/>
  <c r="AD275" i="17"/>
  <c r="C275" i="17"/>
  <c r="A275" i="17"/>
  <c r="E275" i="17" s="1"/>
  <c r="I275" i="17" s="1"/>
  <c r="AD274" i="17"/>
  <c r="C274" i="17"/>
  <c r="A274" i="17"/>
  <c r="E274" i="17" s="1"/>
  <c r="I274" i="17" s="1"/>
  <c r="AD273" i="17"/>
  <c r="C273" i="17"/>
  <c r="A273" i="17"/>
  <c r="E273" i="17" s="1"/>
  <c r="I273" i="17" s="1"/>
  <c r="AD272" i="17"/>
  <c r="C272" i="17"/>
  <c r="A272" i="17"/>
  <c r="E272" i="17" s="1"/>
  <c r="I272" i="17" s="1"/>
  <c r="AD271" i="17"/>
  <c r="C271" i="17"/>
  <c r="A271" i="17"/>
  <c r="E271" i="17" s="1"/>
  <c r="I271" i="17" s="1"/>
  <c r="AD270" i="17"/>
  <c r="C270" i="17"/>
  <c r="A270" i="17"/>
  <c r="E270" i="17" s="1"/>
  <c r="I270" i="17" s="1"/>
  <c r="AD269" i="17"/>
  <c r="C269" i="17"/>
  <c r="A269" i="17"/>
  <c r="E269" i="17" s="1"/>
  <c r="I269" i="17" s="1"/>
  <c r="AD268" i="17"/>
  <c r="C268" i="17"/>
  <c r="A268" i="17"/>
  <c r="E268" i="17" s="1"/>
  <c r="I268" i="17" s="1"/>
  <c r="AD267" i="17"/>
  <c r="C267" i="17"/>
  <c r="A267" i="17"/>
  <c r="E267" i="17" s="1"/>
  <c r="I267" i="17" s="1"/>
  <c r="AD242" i="17"/>
  <c r="C242" i="17"/>
  <c r="A242" i="17"/>
  <c r="E242" i="17" s="1"/>
  <c r="I242" i="17" s="1"/>
  <c r="AD241" i="17"/>
  <c r="C241" i="17"/>
  <c r="A241" i="17"/>
  <c r="E241" i="17" s="1"/>
  <c r="I241" i="17" s="1"/>
  <c r="AD240" i="17"/>
  <c r="C240" i="17"/>
  <c r="A240" i="17"/>
  <c r="E240" i="17" s="1"/>
  <c r="I240" i="17" s="1"/>
  <c r="AD239" i="17"/>
  <c r="C239" i="17"/>
  <c r="A239" i="17"/>
  <c r="E239" i="17" s="1"/>
  <c r="I239" i="17" s="1"/>
  <c r="AD238" i="17"/>
  <c r="C238" i="17"/>
  <c r="A238" i="17"/>
  <c r="E238" i="17" s="1"/>
  <c r="I238" i="17" s="1"/>
  <c r="AD237" i="17"/>
  <c r="C237" i="17"/>
  <c r="A237" i="17"/>
  <c r="E237" i="17" s="1"/>
  <c r="I237" i="17" s="1"/>
  <c r="AD236" i="17"/>
  <c r="C236" i="17"/>
  <c r="A236" i="17"/>
  <c r="E236" i="17" s="1"/>
  <c r="I236" i="17" s="1"/>
  <c r="AD235" i="17"/>
  <c r="C235" i="17"/>
  <c r="A235" i="17"/>
  <c r="E235" i="17" s="1"/>
  <c r="I235" i="17" s="1"/>
  <c r="AD234" i="17"/>
  <c r="C234" i="17"/>
  <c r="A234" i="17"/>
  <c r="E234" i="17" s="1"/>
  <c r="I234" i="17" s="1"/>
  <c r="AD233" i="17"/>
  <c r="C233" i="17"/>
  <c r="A233" i="17"/>
  <c r="E233" i="17" s="1"/>
  <c r="I233" i="17" s="1"/>
  <c r="AD232" i="17"/>
  <c r="C232" i="17"/>
  <c r="A232" i="17"/>
  <c r="E232" i="17" s="1"/>
  <c r="I232" i="17" s="1"/>
  <c r="AD231" i="17"/>
  <c r="C231" i="17"/>
  <c r="A231" i="17"/>
  <c r="E231" i="17" s="1"/>
  <c r="I231" i="17" s="1"/>
  <c r="C249" i="17"/>
  <c r="U232" i="17" l="1"/>
  <c r="V232" i="17"/>
  <c r="T232" i="17"/>
  <c r="P232" i="17"/>
  <c r="AE232" i="17" s="1"/>
  <c r="Y232" i="17"/>
  <c r="U236" i="17"/>
  <c r="V236" i="17"/>
  <c r="T236" i="17"/>
  <c r="P236" i="17"/>
  <c r="AE236" i="17" s="1"/>
  <c r="Y236" i="17"/>
  <c r="U240" i="17"/>
  <c r="V240" i="17"/>
  <c r="T240" i="17"/>
  <c r="P240" i="17"/>
  <c r="AE240" i="17" s="1"/>
  <c r="Y240" i="17"/>
  <c r="U268" i="17"/>
  <c r="V268" i="17"/>
  <c r="T268" i="17"/>
  <c r="P268" i="17"/>
  <c r="AE268" i="17" s="1"/>
  <c r="Y268" i="17"/>
  <c r="U272" i="17"/>
  <c r="V272" i="17"/>
  <c r="T272" i="17"/>
  <c r="P272" i="17"/>
  <c r="AE272" i="17" s="1"/>
  <c r="Y272" i="17"/>
  <c r="U276" i="17"/>
  <c r="V276" i="17"/>
  <c r="T276" i="17"/>
  <c r="P276" i="17"/>
  <c r="AE276" i="17" s="1"/>
  <c r="Y276" i="17"/>
  <c r="U304" i="17"/>
  <c r="V304" i="17"/>
  <c r="T304" i="17"/>
  <c r="P304" i="17"/>
  <c r="AE304" i="17" s="1"/>
  <c r="Y304" i="17"/>
  <c r="U308" i="17"/>
  <c r="V308" i="17"/>
  <c r="T308" i="17"/>
  <c r="P308" i="17"/>
  <c r="AE308" i="17" s="1"/>
  <c r="Y308" i="17"/>
  <c r="U312" i="17"/>
  <c r="V312" i="17"/>
  <c r="T312" i="17"/>
  <c r="P312" i="17"/>
  <c r="AE312" i="17" s="1"/>
  <c r="Y312" i="17"/>
  <c r="U521" i="17"/>
  <c r="V521" i="17"/>
  <c r="T521" i="17"/>
  <c r="P521" i="17"/>
  <c r="AE521" i="17" s="1"/>
  <c r="Y521" i="17"/>
  <c r="U525" i="17"/>
  <c r="V525" i="17"/>
  <c r="T525" i="17"/>
  <c r="P525" i="17"/>
  <c r="AE525" i="17" s="1"/>
  <c r="Y525" i="17"/>
  <c r="U529" i="17"/>
  <c r="V529" i="17"/>
  <c r="T529" i="17"/>
  <c r="P529" i="17"/>
  <c r="AE529" i="17" s="1"/>
  <c r="Y529" i="17"/>
  <c r="U557" i="17"/>
  <c r="V557" i="17"/>
  <c r="T557" i="17"/>
  <c r="P557" i="17"/>
  <c r="AE557" i="17" s="1"/>
  <c r="Y557" i="17"/>
  <c r="U561" i="17"/>
  <c r="V561" i="17"/>
  <c r="T561" i="17"/>
  <c r="P561" i="17"/>
  <c r="AE561" i="17" s="1"/>
  <c r="Y561" i="17"/>
  <c r="U565" i="17"/>
  <c r="V565" i="17"/>
  <c r="T565" i="17"/>
  <c r="P565" i="17"/>
  <c r="AE565" i="17" s="1"/>
  <c r="Y565" i="17"/>
  <c r="U593" i="17"/>
  <c r="V593" i="17"/>
  <c r="T593" i="17"/>
  <c r="P593" i="17"/>
  <c r="AE593" i="17" s="1"/>
  <c r="Y593" i="17"/>
  <c r="U597" i="17"/>
  <c r="V597" i="17"/>
  <c r="T597" i="17"/>
  <c r="P597" i="17"/>
  <c r="AE597" i="17" s="1"/>
  <c r="Y597" i="17"/>
  <c r="U601" i="17"/>
  <c r="V601" i="17"/>
  <c r="T601" i="17"/>
  <c r="P601" i="17"/>
  <c r="AE601" i="17" s="1"/>
  <c r="Y601" i="17"/>
  <c r="V249" i="17"/>
  <c r="T249" i="17"/>
  <c r="U249" i="17"/>
  <c r="P249" i="17"/>
  <c r="Y249" i="17"/>
  <c r="T231" i="17"/>
  <c r="U231" i="17"/>
  <c r="V231" i="17"/>
  <c r="P231" i="17"/>
  <c r="AE231" i="17" s="1"/>
  <c r="Y231" i="17"/>
  <c r="T235" i="17"/>
  <c r="U235" i="17"/>
  <c r="V235" i="17"/>
  <c r="P235" i="17"/>
  <c r="AE235" i="17" s="1"/>
  <c r="Y235" i="17"/>
  <c r="T239" i="17"/>
  <c r="U239" i="17"/>
  <c r="V239" i="17"/>
  <c r="P239" i="17"/>
  <c r="AE239" i="17" s="1"/>
  <c r="Y239" i="17"/>
  <c r="T267" i="17"/>
  <c r="U267" i="17"/>
  <c r="V267" i="17"/>
  <c r="P267" i="17"/>
  <c r="AE267" i="17" s="1"/>
  <c r="Y267" i="17"/>
  <c r="T271" i="17"/>
  <c r="U271" i="17"/>
  <c r="V271" i="17"/>
  <c r="P271" i="17"/>
  <c r="AE271" i="17" s="1"/>
  <c r="Y271" i="17"/>
  <c r="T275" i="17"/>
  <c r="U275" i="17"/>
  <c r="V275" i="17"/>
  <c r="P275" i="17"/>
  <c r="AE275" i="17" s="1"/>
  <c r="Y275" i="17"/>
  <c r="T303" i="17"/>
  <c r="U303" i="17"/>
  <c r="V303" i="17"/>
  <c r="P303" i="17"/>
  <c r="AE303" i="17" s="1"/>
  <c r="Y303" i="17"/>
  <c r="T307" i="17"/>
  <c r="U307" i="17"/>
  <c r="V307" i="17"/>
  <c r="P307" i="17"/>
  <c r="AE307" i="17" s="1"/>
  <c r="Y307" i="17"/>
  <c r="T311" i="17"/>
  <c r="U311" i="17"/>
  <c r="V311" i="17"/>
  <c r="P311" i="17"/>
  <c r="AE311" i="17" s="1"/>
  <c r="Y311" i="17"/>
  <c r="T520" i="17"/>
  <c r="U520" i="17"/>
  <c r="V520" i="17"/>
  <c r="P520" i="17"/>
  <c r="AE520" i="17" s="1"/>
  <c r="Y520" i="17"/>
  <c r="T524" i="17"/>
  <c r="U524" i="17"/>
  <c r="V524" i="17"/>
  <c r="P524" i="17"/>
  <c r="AE524" i="17" s="1"/>
  <c r="Y524" i="17"/>
  <c r="T528" i="17"/>
  <c r="U528" i="17"/>
  <c r="V528" i="17"/>
  <c r="P528" i="17"/>
  <c r="AE528" i="17" s="1"/>
  <c r="Y528" i="17"/>
  <c r="T556" i="17"/>
  <c r="U556" i="17"/>
  <c r="V556" i="17"/>
  <c r="P556" i="17"/>
  <c r="AE556" i="17" s="1"/>
  <c r="Y556" i="17"/>
  <c r="T560" i="17"/>
  <c r="U560" i="17"/>
  <c r="V560" i="17"/>
  <c r="P560" i="17"/>
  <c r="AE560" i="17" s="1"/>
  <c r="Y560" i="17"/>
  <c r="T564" i="17"/>
  <c r="U564" i="17"/>
  <c r="V564" i="17"/>
  <c r="P564" i="17"/>
  <c r="AE564" i="17" s="1"/>
  <c r="Y564" i="17"/>
  <c r="T592" i="17"/>
  <c r="U592" i="17"/>
  <c r="V592" i="17"/>
  <c r="P592" i="17"/>
  <c r="AE592" i="17" s="1"/>
  <c r="Y592" i="17"/>
  <c r="T596" i="17"/>
  <c r="U596" i="17"/>
  <c r="V596" i="17"/>
  <c r="P596" i="17"/>
  <c r="AE596" i="17" s="1"/>
  <c r="Y596" i="17"/>
  <c r="T600" i="17"/>
  <c r="U600" i="17"/>
  <c r="V600" i="17"/>
  <c r="P600" i="17"/>
  <c r="AE600" i="17" s="1"/>
  <c r="Y600" i="17"/>
  <c r="T234" i="17"/>
  <c r="U234" i="17"/>
  <c r="V234" i="17"/>
  <c r="P234" i="17"/>
  <c r="AE234" i="17" s="1"/>
  <c r="Y234" i="17"/>
  <c r="T238" i="17"/>
  <c r="U238" i="17"/>
  <c r="V238" i="17"/>
  <c r="P238" i="17"/>
  <c r="AE238" i="17" s="1"/>
  <c r="Y238" i="17"/>
  <c r="T242" i="17"/>
  <c r="U242" i="17"/>
  <c r="V242" i="17"/>
  <c r="P242" i="17"/>
  <c r="AE242" i="17" s="1"/>
  <c r="Y242" i="17"/>
  <c r="T270" i="17"/>
  <c r="U270" i="17"/>
  <c r="V270" i="17"/>
  <c r="P270" i="17"/>
  <c r="AE270" i="17" s="1"/>
  <c r="Y270" i="17"/>
  <c r="T274" i="17"/>
  <c r="U274" i="17"/>
  <c r="V274" i="17"/>
  <c r="P274" i="17"/>
  <c r="AE274" i="17" s="1"/>
  <c r="Y274" i="17"/>
  <c r="T278" i="17"/>
  <c r="U278" i="17"/>
  <c r="V278" i="17"/>
  <c r="P278" i="17"/>
  <c r="AE278" i="17" s="1"/>
  <c r="Y278" i="17"/>
  <c r="T306" i="17"/>
  <c r="U306" i="17"/>
  <c r="V306" i="17"/>
  <c r="P306" i="17"/>
  <c r="AE306" i="17" s="1"/>
  <c r="Y306" i="17"/>
  <c r="T310" i="17"/>
  <c r="U310" i="17"/>
  <c r="V310" i="17"/>
  <c r="P310" i="17"/>
  <c r="AE310" i="17" s="1"/>
  <c r="Y310" i="17"/>
  <c r="T314" i="17"/>
  <c r="U314" i="17"/>
  <c r="V314" i="17"/>
  <c r="P314" i="17"/>
  <c r="AE314" i="17" s="1"/>
  <c r="Y314" i="17"/>
  <c r="T523" i="17"/>
  <c r="U523" i="17"/>
  <c r="V523" i="17"/>
  <c r="P523" i="17"/>
  <c r="AE523" i="17" s="1"/>
  <c r="Y523" i="17"/>
  <c r="T527" i="17"/>
  <c r="U527" i="17"/>
  <c r="V527" i="17"/>
  <c r="P527" i="17"/>
  <c r="AE527" i="17" s="1"/>
  <c r="Y527" i="17"/>
  <c r="T531" i="17"/>
  <c r="U531" i="17"/>
  <c r="V531" i="17"/>
  <c r="P531" i="17"/>
  <c r="AE531" i="17" s="1"/>
  <c r="Y531" i="17"/>
  <c r="T559" i="17"/>
  <c r="U559" i="17"/>
  <c r="V559" i="17"/>
  <c r="P559" i="17"/>
  <c r="AE559" i="17" s="1"/>
  <c r="Y559" i="17"/>
  <c r="T563" i="17"/>
  <c r="U563" i="17"/>
  <c r="V563" i="17"/>
  <c r="P563" i="17"/>
  <c r="AE563" i="17" s="1"/>
  <c r="Y563" i="17"/>
  <c r="T567" i="17"/>
  <c r="U567" i="17"/>
  <c r="V567" i="17"/>
  <c r="P567" i="17"/>
  <c r="AE567" i="17" s="1"/>
  <c r="Y567" i="17"/>
  <c r="T595" i="17"/>
  <c r="U595" i="17"/>
  <c r="V595" i="17"/>
  <c r="P595" i="17"/>
  <c r="AE595" i="17" s="1"/>
  <c r="Y595" i="17"/>
  <c r="T599" i="17"/>
  <c r="U599" i="17"/>
  <c r="V599" i="17"/>
  <c r="P599" i="17"/>
  <c r="AE599" i="17" s="1"/>
  <c r="Y599" i="17"/>
  <c r="T603" i="17"/>
  <c r="U603" i="17"/>
  <c r="V603" i="17"/>
  <c r="P603" i="17"/>
  <c r="AE603" i="17" s="1"/>
  <c r="Y603" i="17"/>
  <c r="V233" i="17"/>
  <c r="T233" i="17"/>
  <c r="U233" i="17"/>
  <c r="P233" i="17"/>
  <c r="AE233" i="17" s="1"/>
  <c r="Y233" i="17"/>
  <c r="V237" i="17"/>
  <c r="T237" i="17"/>
  <c r="U237" i="17"/>
  <c r="P237" i="17"/>
  <c r="AE237" i="17" s="1"/>
  <c r="Y237" i="17"/>
  <c r="V241" i="17"/>
  <c r="T241" i="17"/>
  <c r="U241" i="17"/>
  <c r="P241" i="17"/>
  <c r="AE241" i="17" s="1"/>
  <c r="Y241" i="17"/>
  <c r="V269" i="17"/>
  <c r="T269" i="17"/>
  <c r="U269" i="17"/>
  <c r="P269" i="17"/>
  <c r="AE269" i="17" s="1"/>
  <c r="Y269" i="17"/>
  <c r="V273" i="17"/>
  <c r="T273" i="17"/>
  <c r="U273" i="17"/>
  <c r="P273" i="17"/>
  <c r="AE273" i="17" s="1"/>
  <c r="Y273" i="17"/>
  <c r="V277" i="17"/>
  <c r="T277" i="17"/>
  <c r="U277" i="17"/>
  <c r="P277" i="17"/>
  <c r="AE277" i="17" s="1"/>
  <c r="Y277" i="17"/>
  <c r="V305" i="17"/>
  <c r="T305" i="17"/>
  <c r="U305" i="17"/>
  <c r="P305" i="17"/>
  <c r="AE305" i="17" s="1"/>
  <c r="Y305" i="17"/>
  <c r="V309" i="17"/>
  <c r="T309" i="17"/>
  <c r="U309" i="17"/>
  <c r="P309" i="17"/>
  <c r="AE309" i="17" s="1"/>
  <c r="Y309" i="17"/>
  <c r="V313" i="17"/>
  <c r="T313" i="17"/>
  <c r="U313" i="17"/>
  <c r="P313" i="17"/>
  <c r="AE313" i="17" s="1"/>
  <c r="Y313" i="17"/>
  <c r="V522" i="17"/>
  <c r="T522" i="17"/>
  <c r="U522" i="17"/>
  <c r="P522" i="17"/>
  <c r="AE522" i="17" s="1"/>
  <c r="Y522" i="17"/>
  <c r="V526" i="17"/>
  <c r="T526" i="17"/>
  <c r="U526" i="17"/>
  <c r="P526" i="17"/>
  <c r="AE526" i="17" s="1"/>
  <c r="Y526" i="17"/>
  <c r="V530" i="17"/>
  <c r="T530" i="17"/>
  <c r="U530" i="17"/>
  <c r="P530" i="17"/>
  <c r="AE530" i="17" s="1"/>
  <c r="Y530" i="17"/>
  <c r="V558" i="17"/>
  <c r="T558" i="17"/>
  <c r="U558" i="17"/>
  <c r="P558" i="17"/>
  <c r="AE558" i="17" s="1"/>
  <c r="Y558" i="17"/>
  <c r="V562" i="17"/>
  <c r="T562" i="17"/>
  <c r="U562" i="17"/>
  <c r="P562" i="17"/>
  <c r="AE562" i="17" s="1"/>
  <c r="Y562" i="17"/>
  <c r="V566" i="17"/>
  <c r="T566" i="17"/>
  <c r="U566" i="17"/>
  <c r="P566" i="17"/>
  <c r="AE566" i="17" s="1"/>
  <c r="Y566" i="17"/>
  <c r="V594" i="17"/>
  <c r="T594" i="17"/>
  <c r="U594" i="17"/>
  <c r="P594" i="17"/>
  <c r="AE594" i="17" s="1"/>
  <c r="Y594" i="17"/>
  <c r="V598" i="17"/>
  <c r="T598" i="17"/>
  <c r="U598" i="17"/>
  <c r="P598" i="17"/>
  <c r="AE598" i="17" s="1"/>
  <c r="Y598" i="17"/>
  <c r="V602" i="17"/>
  <c r="T602" i="17"/>
  <c r="U602" i="17"/>
  <c r="P602" i="17"/>
  <c r="AE602" i="17" s="1"/>
  <c r="Y602" i="17"/>
  <c r="C293" i="17" l="1"/>
  <c r="B53" i="8"/>
  <c r="B54" i="8"/>
  <c r="B55" i="8"/>
  <c r="B56" i="8"/>
  <c r="B57" i="8"/>
  <c r="B58" i="8"/>
  <c r="B59" i="8"/>
  <c r="B60" i="8"/>
  <c r="B61" i="8"/>
  <c r="B54" i="12"/>
  <c r="B55" i="12"/>
  <c r="B56" i="12"/>
  <c r="B57" i="12"/>
  <c r="B58" i="12"/>
  <c r="B59" i="12"/>
  <c r="B60" i="12"/>
  <c r="B61" i="12"/>
  <c r="B62" i="12"/>
  <c r="B55" i="18"/>
  <c r="V293" i="17" l="1"/>
  <c r="T293" i="17"/>
  <c r="U293" i="17"/>
  <c r="P293" i="17"/>
  <c r="Y293" i="17"/>
  <c r="AE664" i="17"/>
  <c r="E29" i="22" l="1"/>
  <c r="E28" i="22" l="1"/>
  <c r="E27" i="22"/>
  <c r="E26" i="22"/>
  <c r="B26" i="22"/>
  <c r="B27" i="22"/>
  <c r="R132" i="17" s="1"/>
  <c r="B28" i="22"/>
  <c r="C709" i="17" l="1"/>
  <c r="C710" i="17"/>
  <c r="C711" i="17"/>
  <c r="C712" i="17"/>
  <c r="C713" i="17"/>
  <c r="C714" i="17"/>
  <c r="C715" i="17"/>
  <c r="C716" i="17"/>
  <c r="C717" i="17"/>
  <c r="C718" i="17"/>
  <c r="C719" i="17"/>
  <c r="C720" i="17"/>
  <c r="C721" i="17"/>
  <c r="C722" i="17"/>
  <c r="C723" i="17"/>
  <c r="C724" i="17"/>
  <c r="C725" i="17"/>
  <c r="C726" i="17"/>
  <c r="C727" i="17"/>
  <c r="C728" i="17"/>
  <c r="C729" i="17"/>
  <c r="C730" i="17"/>
  <c r="C731" i="17"/>
  <c r="C732" i="17"/>
  <c r="C733" i="17"/>
  <c r="C734" i="17"/>
  <c r="C735" i="17"/>
  <c r="C736" i="17"/>
  <c r="C737" i="17"/>
  <c r="C738" i="17"/>
  <c r="C739" i="17"/>
  <c r="C740" i="17"/>
  <c r="C741" i="17"/>
  <c r="C742" i="17"/>
  <c r="C743" i="17"/>
  <c r="C744" i="17"/>
  <c r="C745" i="17"/>
  <c r="C746" i="17"/>
  <c r="C708" i="17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2" i="21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B201" i="19"/>
  <c r="B202" i="19"/>
  <c r="B203" i="19"/>
  <c r="B204" i="19"/>
  <c r="B205" i="19"/>
  <c r="B206" i="19"/>
  <c r="B207" i="19"/>
  <c r="B208" i="19"/>
  <c r="B209" i="19"/>
  <c r="B210" i="19"/>
  <c r="B211" i="19"/>
  <c r="B212" i="19"/>
  <c r="B213" i="19"/>
  <c r="B214" i="19"/>
  <c r="B215" i="19"/>
  <c r="B216" i="19"/>
  <c r="B217" i="19"/>
  <c r="B218" i="19"/>
  <c r="B219" i="19"/>
  <c r="B220" i="19"/>
  <c r="B221" i="19"/>
  <c r="B222" i="19"/>
  <c r="B223" i="19"/>
  <c r="B224" i="19"/>
  <c r="B225" i="19"/>
  <c r="B226" i="19"/>
  <c r="B227" i="19"/>
  <c r="B228" i="19"/>
  <c r="B229" i="19"/>
  <c r="B230" i="19"/>
  <c r="B231" i="19"/>
  <c r="B232" i="19"/>
  <c r="B233" i="19"/>
  <c r="B234" i="19"/>
  <c r="B235" i="19"/>
  <c r="B236" i="19"/>
  <c r="B237" i="19"/>
  <c r="B238" i="19"/>
  <c r="B239" i="19"/>
  <c r="B240" i="19"/>
  <c r="B241" i="19"/>
  <c r="B242" i="19"/>
  <c r="B243" i="19"/>
  <c r="B244" i="19"/>
  <c r="B245" i="19"/>
  <c r="B246" i="19"/>
  <c r="B247" i="19"/>
  <c r="B248" i="19"/>
  <c r="B249" i="19"/>
  <c r="B250" i="19"/>
  <c r="B251" i="19"/>
  <c r="B252" i="19"/>
  <c r="B253" i="19"/>
  <c r="B254" i="19"/>
  <c r="B255" i="19"/>
  <c r="B256" i="19"/>
  <c r="B257" i="19"/>
  <c r="B258" i="19"/>
  <c r="B259" i="19"/>
  <c r="B260" i="19"/>
  <c r="B261" i="19"/>
  <c r="B262" i="19"/>
  <c r="B263" i="19"/>
  <c r="B264" i="19"/>
  <c r="B265" i="19"/>
  <c r="B266" i="19"/>
  <c r="B267" i="19"/>
  <c r="B268" i="19"/>
  <c r="B269" i="19"/>
  <c r="B270" i="19"/>
  <c r="B271" i="19"/>
  <c r="B272" i="19"/>
  <c r="B273" i="19"/>
  <c r="B274" i="19"/>
  <c r="B275" i="19"/>
  <c r="B276" i="19"/>
  <c r="B277" i="19"/>
  <c r="B278" i="19"/>
  <c r="B279" i="19"/>
  <c r="B280" i="19"/>
  <c r="B281" i="19"/>
  <c r="B282" i="19"/>
  <c r="B283" i="19"/>
  <c r="B284" i="19"/>
  <c r="B285" i="19"/>
  <c r="B286" i="19"/>
  <c r="B287" i="19"/>
  <c r="B288" i="19"/>
  <c r="B289" i="19"/>
  <c r="B290" i="19"/>
  <c r="B291" i="19"/>
  <c r="B292" i="19"/>
  <c r="B293" i="19"/>
  <c r="B294" i="19"/>
  <c r="B295" i="19"/>
  <c r="B296" i="19"/>
  <c r="B297" i="19"/>
  <c r="B298" i="19"/>
  <c r="B299" i="19"/>
  <c r="B300" i="19"/>
  <c r="B301" i="19"/>
  <c r="B302" i="19"/>
  <c r="B303" i="19"/>
  <c r="B304" i="19"/>
  <c r="B305" i="19"/>
  <c r="B306" i="19"/>
  <c r="B307" i="19"/>
  <c r="B308" i="19"/>
  <c r="B309" i="19"/>
  <c r="B310" i="19"/>
  <c r="B311" i="19"/>
  <c r="B312" i="19"/>
  <c r="B313" i="19"/>
  <c r="B314" i="19"/>
  <c r="B315" i="19"/>
  <c r="B316" i="19"/>
  <c r="B317" i="19"/>
  <c r="B318" i="19"/>
  <c r="B319" i="19"/>
  <c r="B320" i="19"/>
  <c r="B321" i="19"/>
  <c r="B322" i="19"/>
  <c r="B323" i="19"/>
  <c r="B324" i="19"/>
  <c r="B325" i="19"/>
  <c r="B326" i="19"/>
  <c r="B327" i="19"/>
  <c r="B328" i="19"/>
  <c r="B329" i="19"/>
  <c r="B330" i="19"/>
  <c r="B331" i="19"/>
  <c r="B332" i="19"/>
  <c r="B333" i="19"/>
  <c r="B334" i="19"/>
  <c r="B335" i="19"/>
  <c r="B336" i="19"/>
  <c r="B337" i="19"/>
  <c r="B338" i="19"/>
  <c r="B339" i="19"/>
  <c r="B340" i="19"/>
  <c r="B341" i="19"/>
  <c r="B342" i="19"/>
  <c r="B343" i="19"/>
  <c r="B344" i="19"/>
  <c r="B345" i="19"/>
  <c r="B346" i="19"/>
  <c r="B347" i="19"/>
  <c r="B348" i="19"/>
  <c r="B349" i="19"/>
  <c r="B350" i="19"/>
  <c r="B351" i="19"/>
  <c r="B352" i="19"/>
  <c r="B353" i="19"/>
  <c r="B354" i="19"/>
  <c r="B355" i="19"/>
  <c r="B356" i="19"/>
  <c r="B357" i="19"/>
  <c r="B358" i="19"/>
  <c r="B359" i="19"/>
  <c r="B360" i="19"/>
  <c r="B361" i="19"/>
  <c r="B362" i="19"/>
  <c r="B363" i="19"/>
  <c r="B364" i="19"/>
  <c r="B365" i="19"/>
  <c r="B366" i="19"/>
  <c r="B367" i="19"/>
  <c r="B368" i="19"/>
  <c r="B369" i="19"/>
  <c r="B370" i="19"/>
  <c r="B371" i="19"/>
  <c r="B372" i="19"/>
  <c r="B373" i="19"/>
  <c r="B374" i="19"/>
  <c r="B375" i="19"/>
  <c r="B376" i="19"/>
  <c r="B377" i="19"/>
  <c r="B378" i="19"/>
  <c r="B379" i="19"/>
  <c r="B380" i="19"/>
  <c r="B381" i="19"/>
  <c r="B382" i="19"/>
  <c r="B383" i="19"/>
  <c r="B384" i="19"/>
  <c r="B385" i="19"/>
  <c r="B386" i="19"/>
  <c r="B387" i="19"/>
  <c r="B388" i="19"/>
  <c r="B389" i="19"/>
  <c r="B390" i="19"/>
  <c r="B391" i="19"/>
  <c r="B392" i="19"/>
  <c r="B393" i="19"/>
  <c r="B394" i="19"/>
  <c r="B395" i="19"/>
  <c r="B396" i="19"/>
  <c r="B397" i="19"/>
  <c r="B398" i="19"/>
  <c r="B399" i="19"/>
  <c r="B400" i="19"/>
  <c r="B401" i="19"/>
  <c r="B402" i="19"/>
  <c r="B403" i="19"/>
  <c r="B404" i="19"/>
  <c r="B405" i="19"/>
  <c r="B406" i="19"/>
  <c r="B407" i="19"/>
  <c r="B408" i="19"/>
  <c r="B409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T736" i="17" l="1"/>
  <c r="U736" i="17"/>
  <c r="V736" i="17"/>
  <c r="P736" i="17"/>
  <c r="Y736" i="17"/>
  <c r="T712" i="17"/>
  <c r="U712" i="17"/>
  <c r="V712" i="17"/>
  <c r="P712" i="17"/>
  <c r="AE712" i="17" s="1"/>
  <c r="Y712" i="17"/>
  <c r="T708" i="17"/>
  <c r="U708" i="17"/>
  <c r="V708" i="17"/>
  <c r="P708" i="17"/>
  <c r="AE708" i="17" s="1"/>
  <c r="Y708" i="17"/>
  <c r="V743" i="17"/>
  <c r="T743" i="17"/>
  <c r="U743" i="17"/>
  <c r="P743" i="17"/>
  <c r="Y743" i="17"/>
  <c r="V739" i="17"/>
  <c r="T739" i="17"/>
  <c r="U739" i="17"/>
  <c r="P739" i="17"/>
  <c r="Y739" i="17"/>
  <c r="V735" i="17"/>
  <c r="T735" i="17"/>
  <c r="U735" i="17"/>
  <c r="P735" i="17"/>
  <c r="Y735" i="17"/>
  <c r="V731" i="17"/>
  <c r="T731" i="17"/>
  <c r="U731" i="17"/>
  <c r="P731" i="17"/>
  <c r="Y731" i="17"/>
  <c r="V727" i="17"/>
  <c r="T727" i="17"/>
  <c r="U727" i="17"/>
  <c r="P727" i="17"/>
  <c r="AE727" i="17" s="1"/>
  <c r="Y727" i="17"/>
  <c r="V723" i="17"/>
  <c r="T723" i="17"/>
  <c r="U723" i="17"/>
  <c r="P723" i="17"/>
  <c r="AE723" i="17" s="1"/>
  <c r="Y723" i="17"/>
  <c r="V719" i="17"/>
  <c r="T719" i="17"/>
  <c r="U719" i="17"/>
  <c r="P719" i="17"/>
  <c r="AE719" i="17" s="1"/>
  <c r="Y719" i="17"/>
  <c r="V715" i="17"/>
  <c r="T715" i="17"/>
  <c r="U715" i="17"/>
  <c r="P715" i="17"/>
  <c r="AE715" i="17" s="1"/>
  <c r="Y715" i="17"/>
  <c r="V711" i="17"/>
  <c r="T711" i="17"/>
  <c r="U711" i="17"/>
  <c r="P711" i="17"/>
  <c r="AE711" i="17" s="1"/>
  <c r="Y711" i="17"/>
  <c r="T740" i="17"/>
  <c r="U740" i="17"/>
  <c r="V740" i="17"/>
  <c r="P740" i="17"/>
  <c r="Y740" i="17"/>
  <c r="T728" i="17"/>
  <c r="U728" i="17"/>
  <c r="V728" i="17"/>
  <c r="P728" i="17"/>
  <c r="AE728" i="17" s="1"/>
  <c r="Y728" i="17"/>
  <c r="T716" i="17"/>
  <c r="U716" i="17"/>
  <c r="V716" i="17"/>
  <c r="P716" i="17"/>
  <c r="AE716" i="17" s="1"/>
  <c r="Y716" i="17"/>
  <c r="U746" i="17"/>
  <c r="V746" i="17"/>
  <c r="T746" i="17"/>
  <c r="P746" i="17"/>
  <c r="Y746" i="17"/>
  <c r="U742" i="17"/>
  <c r="V742" i="17"/>
  <c r="T742" i="17"/>
  <c r="P742" i="17"/>
  <c r="Y742" i="17"/>
  <c r="U738" i="17"/>
  <c r="V738" i="17"/>
  <c r="T738" i="17"/>
  <c r="P738" i="17"/>
  <c r="Y738" i="17"/>
  <c r="U734" i="17"/>
  <c r="V734" i="17"/>
  <c r="T734" i="17"/>
  <c r="P734" i="17"/>
  <c r="Y734" i="17"/>
  <c r="U730" i="17"/>
  <c r="V730" i="17"/>
  <c r="T730" i="17"/>
  <c r="P730" i="17"/>
  <c r="Y730" i="17"/>
  <c r="U726" i="17"/>
  <c r="V726" i="17"/>
  <c r="T726" i="17"/>
  <c r="P726" i="17"/>
  <c r="AE726" i="17" s="1"/>
  <c r="Y726" i="17"/>
  <c r="U722" i="17"/>
  <c r="V722" i="17"/>
  <c r="T722" i="17"/>
  <c r="P722" i="17"/>
  <c r="AE722" i="17" s="1"/>
  <c r="Y722" i="17"/>
  <c r="U718" i="17"/>
  <c r="V718" i="17"/>
  <c r="T718" i="17"/>
  <c r="P718" i="17"/>
  <c r="AE718" i="17" s="1"/>
  <c r="Y718" i="17"/>
  <c r="U714" i="17"/>
  <c r="V714" i="17"/>
  <c r="T714" i="17"/>
  <c r="P714" i="17"/>
  <c r="AE714" i="17" s="1"/>
  <c r="Y714" i="17"/>
  <c r="U710" i="17"/>
  <c r="V710" i="17"/>
  <c r="T710" i="17"/>
  <c r="P710" i="17"/>
  <c r="AE710" i="17" s="1"/>
  <c r="Y710" i="17"/>
  <c r="T744" i="17"/>
  <c r="U744" i="17"/>
  <c r="V744" i="17"/>
  <c r="P744" i="17"/>
  <c r="Y744" i="17"/>
  <c r="T732" i="17"/>
  <c r="U732" i="17"/>
  <c r="V732" i="17"/>
  <c r="P732" i="17"/>
  <c r="Y732" i="17"/>
  <c r="T724" i="17"/>
  <c r="U724" i="17"/>
  <c r="V724" i="17"/>
  <c r="P724" i="17"/>
  <c r="AE724" i="17" s="1"/>
  <c r="Y724" i="17"/>
  <c r="T720" i="17"/>
  <c r="U720" i="17"/>
  <c r="V720" i="17"/>
  <c r="P720" i="17"/>
  <c r="AE720" i="17" s="1"/>
  <c r="Y720" i="17"/>
  <c r="T745" i="17"/>
  <c r="U745" i="17"/>
  <c r="V745" i="17"/>
  <c r="P745" i="17"/>
  <c r="Y745" i="17"/>
  <c r="T741" i="17"/>
  <c r="U741" i="17"/>
  <c r="V741" i="17"/>
  <c r="P741" i="17"/>
  <c r="Y741" i="17"/>
  <c r="T737" i="17"/>
  <c r="U737" i="17"/>
  <c r="V737" i="17"/>
  <c r="P737" i="17"/>
  <c r="Y737" i="17"/>
  <c r="T733" i="17"/>
  <c r="U733" i="17"/>
  <c r="V733" i="17"/>
  <c r="P733" i="17"/>
  <c r="Y733" i="17"/>
  <c r="T729" i="17"/>
  <c r="U729" i="17"/>
  <c r="V729" i="17"/>
  <c r="P729" i="17"/>
  <c r="AE729" i="17" s="1"/>
  <c r="Y729" i="17"/>
  <c r="U725" i="17"/>
  <c r="V725" i="17"/>
  <c r="P725" i="17"/>
  <c r="AE725" i="17" s="1"/>
  <c r="Y725" i="17"/>
  <c r="T721" i="17"/>
  <c r="U721" i="17"/>
  <c r="V721" i="17"/>
  <c r="P721" i="17"/>
  <c r="AE721" i="17" s="1"/>
  <c r="Y721" i="17"/>
  <c r="T717" i="17"/>
  <c r="U717" i="17"/>
  <c r="V717" i="17"/>
  <c r="P717" i="17"/>
  <c r="AE717" i="17" s="1"/>
  <c r="Y717" i="17"/>
  <c r="T713" i="17"/>
  <c r="U713" i="17"/>
  <c r="V713" i="17"/>
  <c r="P713" i="17"/>
  <c r="AE713" i="17" s="1"/>
  <c r="Y713" i="17"/>
  <c r="T709" i="17"/>
  <c r="U709" i="17"/>
  <c r="V709" i="17"/>
  <c r="P709" i="17"/>
  <c r="AE709" i="17" s="1"/>
  <c r="Y709" i="17"/>
  <c r="B3" i="22" l="1"/>
  <c r="R86" i="17" s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R94" i="17" s="1"/>
  <c r="B22" i="22"/>
  <c r="B23" i="22"/>
  <c r="B24" i="22"/>
  <c r="B25" i="22"/>
  <c r="R19" i="17" s="1"/>
  <c r="B31" i="22"/>
  <c r="B32" i="22"/>
  <c r="B33" i="22"/>
  <c r="B34" i="22"/>
  <c r="B35" i="22"/>
  <c r="B36" i="22"/>
  <c r="B37" i="22"/>
  <c r="B38" i="22"/>
  <c r="B39" i="22"/>
  <c r="B41" i="22"/>
  <c r="B42" i="22"/>
  <c r="B43" i="22"/>
  <c r="B44" i="22"/>
  <c r="B45" i="22"/>
  <c r="B46" i="22"/>
  <c r="B47" i="22"/>
  <c r="B48" i="22"/>
  <c r="B49" i="22"/>
  <c r="B50" i="22"/>
  <c r="B2" i="22"/>
  <c r="AF168" i="17" l="1"/>
  <c r="AF459" i="17"/>
  <c r="AF132" i="17"/>
  <c r="AF19" i="17"/>
  <c r="AF94" i="17"/>
  <c r="R57" i="17"/>
  <c r="AF57" i="17" s="1"/>
  <c r="R18" i="17"/>
  <c r="AF18" i="17" s="1"/>
  <c r="R56" i="17"/>
  <c r="AF56" i="17" s="1"/>
  <c r="R17" i="17"/>
  <c r="AF17" i="17" s="1"/>
  <c r="R160" i="17"/>
  <c r="AF160" i="17" s="1"/>
  <c r="R451" i="17"/>
  <c r="AF451" i="17" s="1"/>
  <c r="R491" i="17"/>
  <c r="AF491" i="17" s="1"/>
  <c r="R379" i="17"/>
  <c r="AF379" i="17" s="1"/>
  <c r="R349" i="17"/>
  <c r="AF349" i="17" s="1"/>
  <c r="R345" i="17"/>
  <c r="AF345" i="17" s="1"/>
  <c r="R85" i="17"/>
  <c r="AF85" i="17" s="1"/>
  <c r="R83" i="17"/>
  <c r="AF83" i="17" s="1"/>
  <c r="R342" i="17"/>
  <c r="AF342" i="17" s="1"/>
  <c r="R124" i="17"/>
  <c r="AF124" i="17" s="1"/>
  <c r="R48" i="17"/>
  <c r="AF48" i="17" s="1"/>
  <c r="R416" i="17"/>
  <c r="AF416" i="17" s="1"/>
  <c r="R161" i="17"/>
  <c r="AF161" i="17" s="1"/>
  <c r="R54" i="17"/>
  <c r="AF54" i="17" s="1"/>
  <c r="R53" i="17"/>
  <c r="AF53" i="17" s="1"/>
  <c r="R46" i="17"/>
  <c r="AF46" i="17" s="1"/>
  <c r="R45" i="17"/>
  <c r="AF45" i="17" s="1"/>
  <c r="R130" i="17"/>
  <c r="AF130" i="17" s="1"/>
  <c r="R93" i="17"/>
  <c r="AF93" i="17" s="1"/>
  <c r="R452" i="17"/>
  <c r="AF452" i="17" s="1"/>
  <c r="R386" i="17"/>
  <c r="AF386" i="17" s="1"/>
  <c r="R377" i="17"/>
  <c r="AF377" i="17" s="1"/>
  <c r="R341" i="17"/>
  <c r="AF341" i="17" s="1"/>
  <c r="R202" i="17"/>
  <c r="R201" i="17"/>
  <c r="AF201" i="17" s="1"/>
  <c r="R50" i="17"/>
  <c r="AF50" i="17" s="1"/>
  <c r="R423" i="17"/>
  <c r="AF423" i="17" s="1"/>
  <c r="R131" i="17"/>
  <c r="AF131" i="17" s="1"/>
  <c r="R415" i="17"/>
  <c r="AF415" i="17" s="1"/>
  <c r="R387" i="17"/>
  <c r="AF387" i="17" s="1"/>
  <c r="R159" i="17"/>
  <c r="AF159" i="17" s="1"/>
  <c r="R123" i="17"/>
  <c r="AF123" i="17" s="1"/>
  <c r="R450" i="17"/>
  <c r="AF450" i="17" s="1"/>
  <c r="R205" i="17"/>
  <c r="AF205" i="17" s="1"/>
  <c r="R422" i="17"/>
  <c r="AF422" i="17" s="1"/>
  <c r="R494" i="17"/>
  <c r="AF494" i="17" s="1"/>
  <c r="R488" i="17"/>
  <c r="AF488" i="17" s="1"/>
  <c r="R91" i="17"/>
  <c r="AF91" i="17" s="1"/>
  <c r="R384" i="17"/>
  <c r="AF384" i="17" s="1"/>
  <c r="R164" i="17"/>
  <c r="AF164" i="17" s="1"/>
  <c r="R52" i="17"/>
  <c r="AF52" i="17" s="1"/>
  <c r="R348" i="17"/>
  <c r="AF348" i="17" s="1"/>
  <c r="R455" i="17"/>
  <c r="AF455" i="17" s="1"/>
  <c r="R419" i="17"/>
  <c r="AF419" i="17" s="1"/>
  <c r="R198" i="17"/>
  <c r="AF198" i="17" s="1"/>
  <c r="R127" i="17"/>
  <c r="AF127" i="17" s="1"/>
  <c r="R413" i="17"/>
  <c r="AF413" i="17" s="1"/>
  <c r="R165" i="17"/>
  <c r="AF165" i="17" s="1"/>
  <c r="R449" i="17"/>
  <c r="AF449" i="17" s="1"/>
  <c r="R204" i="17"/>
  <c r="AF204" i="17" s="1"/>
  <c r="R121" i="17"/>
  <c r="AF121" i="17" s="1"/>
  <c r="R493" i="17"/>
  <c r="AF493" i="17" s="1"/>
  <c r="R486" i="17"/>
  <c r="AF486" i="17" s="1"/>
  <c r="R456" i="17"/>
  <c r="AF456" i="17" s="1"/>
  <c r="R196" i="17"/>
  <c r="AF196" i="17" s="1"/>
  <c r="R158" i="17"/>
  <c r="AF158" i="17" s="1"/>
  <c r="R351" i="17"/>
  <c r="AF351" i="17" s="1"/>
  <c r="R55" i="17"/>
  <c r="AF55" i="17" s="1"/>
  <c r="R92" i="17"/>
  <c r="AF92" i="17" s="1"/>
  <c r="R420" i="17"/>
  <c r="AF420" i="17" s="1"/>
  <c r="R120" i="17"/>
  <c r="AF120" i="17" s="1"/>
  <c r="R385" i="17"/>
  <c r="AF385" i="17" s="1"/>
  <c r="R128" i="17"/>
  <c r="AF128" i="17" s="1"/>
  <c r="R412" i="17"/>
  <c r="AF412" i="17" s="1"/>
  <c r="R453" i="17"/>
  <c r="AF453" i="17" s="1"/>
  <c r="R203" i="17"/>
  <c r="AF203" i="17" s="1"/>
  <c r="R87" i="17"/>
  <c r="AF87" i="17" s="1"/>
  <c r="R492" i="17"/>
  <c r="AF492" i="17" s="1"/>
  <c r="R347" i="17"/>
  <c r="AF347" i="17" s="1"/>
  <c r="R162" i="17"/>
  <c r="AF162" i="17" s="1"/>
  <c r="R51" i="17"/>
  <c r="AF51" i="17" s="1"/>
  <c r="R421" i="17"/>
  <c r="AF421" i="17" s="1"/>
  <c r="R380" i="17"/>
  <c r="AF380" i="17" s="1"/>
  <c r="R346" i="17"/>
  <c r="AF346" i="17" s="1"/>
  <c r="R129" i="17"/>
  <c r="AF129" i="17" s="1"/>
  <c r="R484" i="17"/>
  <c r="AF484" i="17" s="1"/>
  <c r="R194" i="17"/>
  <c r="AF194" i="17" s="1"/>
  <c r="R195" i="17"/>
  <c r="AF195" i="17" s="1"/>
  <c r="R485" i="17"/>
  <c r="AF485" i="17" s="1"/>
  <c r="R122" i="17"/>
  <c r="AF122" i="17" s="1"/>
  <c r="R84" i="17"/>
  <c r="AF84" i="17" s="1"/>
  <c r="R448" i="17"/>
  <c r="AF448" i="17" s="1"/>
  <c r="R378" i="17"/>
  <c r="AF378" i="17" s="1"/>
  <c r="R340" i="17"/>
  <c r="AF340" i="17" s="1"/>
  <c r="R44" i="17"/>
  <c r="AF44" i="17" s="1"/>
  <c r="R199" i="17"/>
  <c r="AF199" i="17" s="1"/>
  <c r="R414" i="17"/>
  <c r="AF414" i="17" s="1"/>
  <c r="R157" i="17"/>
  <c r="AF157" i="17" s="1"/>
  <c r="R489" i="17"/>
  <c r="AF489" i="17" s="1"/>
  <c r="R487" i="17"/>
  <c r="AF487" i="17" s="1"/>
  <c r="R89" i="17"/>
  <c r="AF89" i="17" s="1"/>
  <c r="R125" i="17"/>
  <c r="AF125" i="17" s="1"/>
  <c r="R417" i="17"/>
  <c r="AF417" i="17" s="1"/>
  <c r="R382" i="17"/>
  <c r="AF382" i="17" s="1"/>
  <c r="R197" i="17"/>
  <c r="AF197" i="17" s="1"/>
  <c r="R49" i="17"/>
  <c r="AF49" i="17" s="1"/>
  <c r="R495" i="17"/>
  <c r="AF495" i="17" s="1"/>
  <c r="R206" i="17"/>
  <c r="AF206" i="17" s="1"/>
  <c r="R454" i="17"/>
  <c r="AF454" i="17" s="1"/>
  <c r="R418" i="17"/>
  <c r="AF418" i="17" s="1"/>
  <c r="R343" i="17"/>
  <c r="AF343" i="17" s="1"/>
  <c r="R163" i="17"/>
  <c r="AF163" i="17" s="1"/>
  <c r="R88" i="17"/>
  <c r="AF88" i="17" s="1"/>
  <c r="R47" i="17"/>
  <c r="AF47" i="17" s="1"/>
  <c r="R82" i="17"/>
  <c r="AF82" i="17" s="1"/>
  <c r="R376" i="17"/>
  <c r="AF376" i="17" s="1"/>
  <c r="R126" i="17"/>
  <c r="AF126" i="17" s="1"/>
  <c r="R490" i="17"/>
  <c r="AF490" i="17" s="1"/>
  <c r="R381" i="17"/>
  <c r="AF381" i="17" s="1"/>
  <c r="R200" i="17"/>
  <c r="AF200" i="17" s="1"/>
  <c r="R458" i="17"/>
  <c r="AF458" i="17" s="1"/>
  <c r="R167" i="17"/>
  <c r="AF167" i="17" s="1"/>
  <c r="R457" i="17"/>
  <c r="AF457" i="17" s="1"/>
  <c r="R344" i="17"/>
  <c r="AF344" i="17" s="1"/>
  <c r="R166" i="17"/>
  <c r="AF166" i="17" s="1"/>
  <c r="R90" i="17"/>
  <c r="AF90" i="17" s="1"/>
  <c r="R383" i="17"/>
  <c r="AF383" i="17" s="1"/>
  <c r="R350" i="17"/>
  <c r="AF350" i="17" s="1"/>
  <c r="R682" i="17"/>
  <c r="AF682" i="17" s="1"/>
  <c r="R687" i="17"/>
  <c r="AF687" i="17" s="1"/>
  <c r="R667" i="17"/>
  <c r="AF667" i="17" s="1"/>
  <c r="R692" i="17"/>
  <c r="AF692" i="17" s="1"/>
  <c r="R677" i="17"/>
  <c r="AF677" i="17" s="1"/>
  <c r="R672" i="17"/>
  <c r="AF672" i="17" s="1"/>
  <c r="R666" i="17"/>
  <c r="AF666" i="17" s="1"/>
  <c r="R676" i="17"/>
  <c r="AF676" i="17" s="1"/>
  <c r="R691" i="17"/>
  <c r="AF691" i="17" s="1"/>
  <c r="R681" i="17"/>
  <c r="AF681" i="17" s="1"/>
  <c r="R686" i="17"/>
  <c r="AF686" i="17" s="1"/>
  <c r="R671" i="17"/>
  <c r="AF671" i="17" s="1"/>
  <c r="R683" i="17"/>
  <c r="AF683" i="17" s="1"/>
  <c r="R668" i="17"/>
  <c r="AF668" i="17" s="1"/>
  <c r="R693" i="17"/>
  <c r="AF693" i="17" s="1"/>
  <c r="R678" i="17"/>
  <c r="AF678" i="17" s="1"/>
  <c r="R688" i="17"/>
  <c r="AF688" i="17" s="1"/>
  <c r="R673" i="17"/>
  <c r="AF673" i="17" s="1"/>
  <c r="R690" i="17"/>
  <c r="AF690" i="17" s="1"/>
  <c r="R685" i="17"/>
  <c r="AF685" i="17" s="1"/>
  <c r="R670" i="17"/>
  <c r="AF670" i="17" s="1"/>
  <c r="R675" i="17"/>
  <c r="AF675" i="17" s="1"/>
  <c r="R680" i="17"/>
  <c r="AF680" i="17" s="1"/>
  <c r="R665" i="17"/>
  <c r="AF665" i="17" s="1"/>
  <c r="R674" i="17"/>
  <c r="AF674" i="17" s="1"/>
  <c r="R669" i="17"/>
  <c r="AF669" i="17" s="1"/>
  <c r="R679" i="17"/>
  <c r="AF679" i="17" s="1"/>
  <c r="R684" i="17"/>
  <c r="AF684" i="17" s="1"/>
  <c r="R689" i="17"/>
  <c r="AF689" i="17" s="1"/>
  <c r="R632" i="17"/>
  <c r="AF632" i="17" s="1"/>
  <c r="R656" i="17"/>
  <c r="AF656" i="17" s="1"/>
  <c r="R650" i="17"/>
  <c r="AF650" i="17" s="1"/>
  <c r="R644" i="17"/>
  <c r="AF644" i="17" s="1"/>
  <c r="R638" i="17"/>
  <c r="AF638" i="17" s="1"/>
  <c r="R662" i="17"/>
  <c r="AF662" i="17" s="1"/>
  <c r="R648" i="17"/>
  <c r="AF648" i="17" s="1"/>
  <c r="R642" i="17"/>
  <c r="AF642" i="17" s="1"/>
  <c r="R636" i="17"/>
  <c r="AF636" i="17" s="1"/>
  <c r="R660" i="17"/>
  <c r="AF660" i="17" s="1"/>
  <c r="R630" i="17"/>
  <c r="AF630" i="17" s="1"/>
  <c r="R654" i="17"/>
  <c r="AF654" i="17" s="1"/>
  <c r="R649" i="17"/>
  <c r="AF649" i="17" s="1"/>
  <c r="R637" i="17"/>
  <c r="AF637" i="17" s="1"/>
  <c r="R661" i="17"/>
  <c r="AF661" i="17" s="1"/>
  <c r="R631" i="17"/>
  <c r="AF631" i="17" s="1"/>
  <c r="R655" i="17"/>
  <c r="AF655" i="17" s="1"/>
  <c r="R643" i="17"/>
  <c r="AF643" i="17" s="1"/>
  <c r="R641" i="17"/>
  <c r="AF641" i="17" s="1"/>
  <c r="R659" i="17"/>
  <c r="AF659" i="17" s="1"/>
  <c r="R629" i="17"/>
  <c r="AF629" i="17" s="1"/>
  <c r="R653" i="17"/>
  <c r="AF653" i="17" s="1"/>
  <c r="R647" i="17"/>
  <c r="AF647" i="17" s="1"/>
  <c r="R635" i="17"/>
  <c r="AF635" i="17" s="1"/>
  <c r="R633" i="17"/>
  <c r="AF633" i="17" s="1"/>
  <c r="R657" i="17"/>
  <c r="AF657" i="17" s="1"/>
  <c r="R645" i="17"/>
  <c r="AF645" i="17" s="1"/>
  <c r="R639" i="17"/>
  <c r="AF639" i="17" s="1"/>
  <c r="R663" i="17"/>
  <c r="AF663" i="17" s="1"/>
  <c r="R651" i="17"/>
  <c r="AF651" i="17" s="1"/>
  <c r="R640" i="17"/>
  <c r="AF640" i="17" s="1"/>
  <c r="R634" i="17"/>
  <c r="AF634" i="17" s="1"/>
  <c r="R652" i="17"/>
  <c r="AF652" i="17" s="1"/>
  <c r="R646" i="17"/>
  <c r="AF646" i="17" s="1"/>
  <c r="R658" i="17"/>
  <c r="AF658" i="17" s="1"/>
  <c r="R558" i="17"/>
  <c r="AF558" i="17" s="1"/>
  <c r="R563" i="17"/>
  <c r="AF563" i="17" s="1"/>
  <c r="R274" i="17"/>
  <c r="AF274" i="17" s="1"/>
  <c r="R269" i="17"/>
  <c r="AF269" i="17" s="1"/>
  <c r="R310" i="17"/>
  <c r="AF310" i="17" s="1"/>
  <c r="R599" i="17"/>
  <c r="AF599" i="17" s="1"/>
  <c r="R237" i="17"/>
  <c r="AF237" i="17" s="1"/>
  <c r="R565" i="17"/>
  <c r="AF565" i="17" s="1"/>
  <c r="R526" i="17"/>
  <c r="AF526" i="17" s="1"/>
  <c r="R276" i="17"/>
  <c r="AF276" i="17" s="1"/>
  <c r="R527" i="17"/>
  <c r="AF527" i="17" s="1"/>
  <c r="R238" i="17"/>
  <c r="AF238" i="17" s="1"/>
  <c r="R272" i="17"/>
  <c r="AF272" i="17" s="1"/>
  <c r="R561" i="17"/>
  <c r="AF561" i="17" s="1"/>
  <c r="R241" i="17"/>
  <c r="AF241" i="17" s="1"/>
  <c r="R530" i="17"/>
  <c r="AF530" i="17" s="1"/>
  <c r="R595" i="17"/>
  <c r="AF595" i="17" s="1"/>
  <c r="R306" i="17"/>
  <c r="AF306" i="17" s="1"/>
  <c r="R598" i="17"/>
  <c r="AF598" i="17" s="1"/>
  <c r="R529" i="17"/>
  <c r="AF529" i="17" s="1"/>
  <c r="R240" i="17"/>
  <c r="AF240" i="17" s="1"/>
  <c r="R309" i="17"/>
  <c r="AF309" i="17" s="1"/>
  <c r="R523" i="17"/>
  <c r="AF523" i="17" s="1"/>
  <c r="R234" i="17"/>
  <c r="AF234" i="17" s="1"/>
  <c r="R314" i="17"/>
  <c r="AF314" i="17" s="1"/>
  <c r="R520" i="17"/>
  <c r="AF520" i="17" s="1"/>
  <c r="R603" i="17"/>
  <c r="AF603" i="17" s="1"/>
  <c r="R231" i="17"/>
  <c r="AF231" i="17" s="1"/>
  <c r="R593" i="17"/>
  <c r="AF593" i="17" s="1"/>
  <c r="R304" i="17"/>
  <c r="AF304" i="17" s="1"/>
  <c r="R525" i="17"/>
  <c r="AF525" i="17" s="1"/>
  <c r="R273" i="17"/>
  <c r="AF273" i="17" s="1"/>
  <c r="R236" i="17"/>
  <c r="AF236" i="17" s="1"/>
  <c r="R277" i="17"/>
  <c r="AF277" i="17" s="1"/>
  <c r="R559" i="17"/>
  <c r="AF559" i="17" s="1"/>
  <c r="R242" i="17"/>
  <c r="AF242" i="17" s="1"/>
  <c r="R562" i="17"/>
  <c r="AF562" i="17" s="1"/>
  <c r="R566" i="17"/>
  <c r="AF566" i="17" s="1"/>
  <c r="R270" i="17"/>
  <c r="AF270" i="17" s="1"/>
  <c r="R275" i="17"/>
  <c r="AF275" i="17" s="1"/>
  <c r="R564" i="17"/>
  <c r="AF564" i="17" s="1"/>
  <c r="R268" i="17"/>
  <c r="AF268" i="17" s="1"/>
  <c r="R600" i="17"/>
  <c r="AF600" i="17" s="1"/>
  <c r="R311" i="17"/>
  <c r="AF311" i="17" s="1"/>
  <c r="R557" i="17"/>
  <c r="AF557" i="17" s="1"/>
  <c r="R522" i="17"/>
  <c r="AF522" i="17" s="1"/>
  <c r="R233" i="17"/>
  <c r="AF233" i="17" s="1"/>
  <c r="R567" i="17"/>
  <c r="AF567" i="17" s="1"/>
  <c r="R278" i="17"/>
  <c r="AF278" i="17" s="1"/>
  <c r="R531" i="17"/>
  <c r="AF531" i="17" s="1"/>
  <c r="R312" i="17"/>
  <c r="AF312" i="17" s="1"/>
  <c r="R232" i="17"/>
  <c r="AF232" i="17" s="1"/>
  <c r="R305" i="17"/>
  <c r="AF305" i="17" s="1"/>
  <c r="R601" i="17"/>
  <c r="AF601" i="17" s="1"/>
  <c r="R594" i="17"/>
  <c r="AF594" i="17" s="1"/>
  <c r="R521" i="17"/>
  <c r="AF521" i="17" s="1"/>
  <c r="R307" i="17"/>
  <c r="AF307" i="17" s="1"/>
  <c r="R596" i="17"/>
  <c r="AF596" i="17" s="1"/>
  <c r="R528" i="17"/>
  <c r="AF528" i="17" s="1"/>
  <c r="R267" i="17"/>
  <c r="AF267" i="17" s="1"/>
  <c r="R239" i="17"/>
  <c r="AF239" i="17" s="1"/>
  <c r="R556" i="17"/>
  <c r="AF556" i="17" s="1"/>
  <c r="R271" i="17"/>
  <c r="AF271" i="17" s="1"/>
  <c r="R560" i="17"/>
  <c r="AF560" i="17" s="1"/>
  <c r="R597" i="17"/>
  <c r="AF597" i="17" s="1"/>
  <c r="R308" i="17"/>
  <c r="AF308" i="17" s="1"/>
  <c r="R303" i="17"/>
  <c r="AF303" i="17" s="1"/>
  <c r="R235" i="17"/>
  <c r="AF235" i="17" s="1"/>
  <c r="R602" i="17"/>
  <c r="AF602" i="17" s="1"/>
  <c r="R313" i="17"/>
  <c r="AF313" i="17" s="1"/>
  <c r="R524" i="17"/>
  <c r="AF524" i="17" s="1"/>
  <c r="R592" i="17"/>
  <c r="AF592" i="17" s="1"/>
  <c r="B140" i="18" l="1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N2" i="20" l="1"/>
  <c r="O2" i="20"/>
  <c r="M2" i="20"/>
  <c r="AD119" i="17" l="1"/>
  <c r="C119" i="17"/>
  <c r="A119" i="17"/>
  <c r="E119" i="17" s="1"/>
  <c r="I119" i="17" s="1"/>
  <c r="T119" i="17" l="1"/>
  <c r="U119" i="17"/>
  <c r="V119" i="17"/>
  <c r="Y119" i="17"/>
  <c r="P119" i="17"/>
  <c r="AE119" i="17" s="1"/>
  <c r="C42" i="17" l="1"/>
  <c r="C43" i="17"/>
  <c r="A43" i="17"/>
  <c r="E43" i="17" s="1"/>
  <c r="I43" i="17" s="1"/>
  <c r="A42" i="17"/>
  <c r="E42" i="17" s="1"/>
  <c r="I42" i="17" s="1"/>
  <c r="V43" i="17" l="1"/>
  <c r="U43" i="17"/>
  <c r="T43" i="17"/>
  <c r="P43" i="17"/>
  <c r="AE43" i="17" s="1"/>
  <c r="Y43" i="17"/>
  <c r="U42" i="17"/>
  <c r="V42" i="17"/>
  <c r="T42" i="17"/>
  <c r="P42" i="17"/>
  <c r="AE42" i="17" s="1"/>
  <c r="Y42" i="17"/>
  <c r="AD29" i="17"/>
  <c r="C29" i="17"/>
  <c r="A29" i="17"/>
  <c r="E29" i="17" s="1"/>
  <c r="I29" i="17" s="1"/>
  <c r="AD28" i="17"/>
  <c r="C28" i="17"/>
  <c r="A28" i="17"/>
  <c r="E28" i="17" s="1"/>
  <c r="I28" i="17" s="1"/>
  <c r="V28" i="17" l="1"/>
  <c r="T28" i="17"/>
  <c r="U28" i="17"/>
  <c r="P28" i="17"/>
  <c r="AE28" i="17" s="1"/>
  <c r="Y28" i="17"/>
  <c r="T29" i="17"/>
  <c r="U29" i="17"/>
  <c r="V29" i="17"/>
  <c r="P29" i="17"/>
  <c r="AE29" i="17" s="1"/>
  <c r="Y29" i="17"/>
  <c r="AD3" i="17"/>
  <c r="AD4" i="17"/>
  <c r="AD5" i="17"/>
  <c r="AD6" i="17"/>
  <c r="AD7" i="17"/>
  <c r="AD11" i="17"/>
  <c r="AD12" i="17"/>
  <c r="AD13" i="17"/>
  <c r="AD14" i="17"/>
  <c r="AD15" i="17"/>
  <c r="AE15" i="17" s="1"/>
  <c r="AD16" i="17"/>
  <c r="AE16" i="17" s="1"/>
  <c r="AD20" i="17"/>
  <c r="AD21" i="17"/>
  <c r="AD22" i="17"/>
  <c r="AD23" i="17"/>
  <c r="AD24" i="17"/>
  <c r="AD25" i="17"/>
  <c r="AD26" i="17"/>
  <c r="AD27" i="17"/>
  <c r="AD30" i="17"/>
  <c r="AD31" i="17"/>
  <c r="AD32" i="17"/>
  <c r="AD33" i="17"/>
  <c r="AD34" i="17"/>
  <c r="AD35" i="17"/>
  <c r="AD36" i="17"/>
  <c r="AD37" i="17"/>
  <c r="AD38" i="17"/>
  <c r="AD39" i="17"/>
  <c r="AD40" i="17"/>
  <c r="AD41" i="17"/>
  <c r="AD58" i="17"/>
  <c r="AD59" i="17"/>
  <c r="AD60" i="17"/>
  <c r="AD61" i="17"/>
  <c r="AD62" i="17"/>
  <c r="AD63" i="17"/>
  <c r="AD64" i="17"/>
  <c r="AD65" i="17"/>
  <c r="AD66" i="17"/>
  <c r="AD67" i="17"/>
  <c r="AD68" i="17"/>
  <c r="AD69" i="17"/>
  <c r="AD70" i="17"/>
  <c r="AD71" i="17"/>
  <c r="AD72" i="17"/>
  <c r="AD73" i="17"/>
  <c r="AD74" i="17"/>
  <c r="AD75" i="17"/>
  <c r="AD76" i="17"/>
  <c r="AD77" i="17"/>
  <c r="AD78" i="17"/>
  <c r="AD79" i="17"/>
  <c r="AD80" i="17"/>
  <c r="AD81" i="17"/>
  <c r="AD95" i="17"/>
  <c r="AD96" i="17"/>
  <c r="AD97" i="17"/>
  <c r="AD98" i="17"/>
  <c r="AD99" i="17"/>
  <c r="AD100" i="17"/>
  <c r="AD101" i="17"/>
  <c r="AD102" i="17"/>
  <c r="AD103" i="17"/>
  <c r="AD104" i="17"/>
  <c r="AD105" i="17"/>
  <c r="AD106" i="17"/>
  <c r="AD107" i="17"/>
  <c r="AD108" i="17"/>
  <c r="AD109" i="17"/>
  <c r="AD110" i="17"/>
  <c r="AD111" i="17"/>
  <c r="AD112" i="17"/>
  <c r="AD113" i="17"/>
  <c r="AD114" i="17"/>
  <c r="AD115" i="17"/>
  <c r="AD116" i="17"/>
  <c r="AD117" i="17"/>
  <c r="AD118" i="17"/>
  <c r="AD133" i="17"/>
  <c r="AD134" i="17"/>
  <c r="AD135" i="17"/>
  <c r="AD136" i="17"/>
  <c r="AD137" i="17"/>
  <c r="AD138" i="17"/>
  <c r="AD139" i="17"/>
  <c r="AD140" i="17"/>
  <c r="AD141" i="17"/>
  <c r="AD142" i="17"/>
  <c r="AD143" i="17"/>
  <c r="AD144" i="17"/>
  <c r="AD145" i="17"/>
  <c r="AD146" i="17"/>
  <c r="AD147" i="17"/>
  <c r="AD148" i="17"/>
  <c r="AD149" i="17"/>
  <c r="AD150" i="17"/>
  <c r="AD151" i="17"/>
  <c r="AD152" i="17"/>
  <c r="AD153" i="17"/>
  <c r="AD154" i="17"/>
  <c r="AD155" i="17"/>
  <c r="AD156" i="17"/>
  <c r="AD169" i="17"/>
  <c r="AD170" i="17"/>
  <c r="AD171" i="17"/>
  <c r="AD172" i="17"/>
  <c r="AD173" i="17"/>
  <c r="AD174" i="17"/>
  <c r="AD175" i="17"/>
  <c r="AD176" i="17"/>
  <c r="AD177" i="17"/>
  <c r="AD178" i="17"/>
  <c r="AD179" i="17"/>
  <c r="AD180" i="17"/>
  <c r="AD181" i="17"/>
  <c r="AD182" i="17"/>
  <c r="AD183" i="17"/>
  <c r="AD184" i="17"/>
  <c r="AD185" i="17"/>
  <c r="AD186" i="17"/>
  <c r="AD187" i="17"/>
  <c r="AD188" i="17"/>
  <c r="AD189" i="17"/>
  <c r="AD190" i="17"/>
  <c r="AD191" i="17"/>
  <c r="AD192" i="17"/>
  <c r="AD193" i="17"/>
  <c r="AD207" i="17"/>
  <c r="AD208" i="17"/>
  <c r="AD209" i="17"/>
  <c r="AD210" i="17"/>
  <c r="AD211" i="17"/>
  <c r="AD212" i="17"/>
  <c r="AD213" i="17"/>
  <c r="AD214" i="17"/>
  <c r="AD215" i="17"/>
  <c r="AD216" i="17"/>
  <c r="AD217" i="17"/>
  <c r="AD218" i="17"/>
  <c r="AD219" i="17"/>
  <c r="AD220" i="17"/>
  <c r="AD221" i="17"/>
  <c r="AD222" i="17"/>
  <c r="AD223" i="17"/>
  <c r="AD224" i="17"/>
  <c r="AD225" i="17"/>
  <c r="AD226" i="17"/>
  <c r="AD227" i="17"/>
  <c r="AD228" i="17"/>
  <c r="AD229" i="17"/>
  <c r="AD230" i="17"/>
  <c r="AD243" i="17"/>
  <c r="AD244" i="17"/>
  <c r="AD245" i="17"/>
  <c r="AD246" i="17"/>
  <c r="AD247" i="17"/>
  <c r="AD248" i="17"/>
  <c r="AD249" i="17"/>
  <c r="AE249" i="17" s="1"/>
  <c r="AD250" i="17"/>
  <c r="AD251" i="17"/>
  <c r="AD252" i="17"/>
  <c r="AD253" i="17"/>
  <c r="AD254" i="17"/>
  <c r="AD255" i="17"/>
  <c r="AD256" i="17"/>
  <c r="AD257" i="17"/>
  <c r="AD258" i="17"/>
  <c r="AD259" i="17"/>
  <c r="AD260" i="17"/>
  <c r="AD261" i="17"/>
  <c r="AD262" i="17"/>
  <c r="AD263" i="17"/>
  <c r="AD264" i="17"/>
  <c r="AD265" i="17"/>
  <c r="AD266" i="17"/>
  <c r="AD279" i="17"/>
  <c r="AD280" i="17"/>
  <c r="AD281" i="17"/>
  <c r="AD282" i="17"/>
  <c r="AD283" i="17"/>
  <c r="AD284" i="17"/>
  <c r="AD285" i="17"/>
  <c r="AD286" i="17"/>
  <c r="AD287" i="17"/>
  <c r="AD288" i="17"/>
  <c r="AD289" i="17"/>
  <c r="AD290" i="17"/>
  <c r="AD291" i="17"/>
  <c r="AD292" i="17"/>
  <c r="AD293" i="17"/>
  <c r="AE293" i="17" s="1"/>
  <c r="AD294" i="17"/>
  <c r="AD295" i="17"/>
  <c r="AD296" i="17"/>
  <c r="AD297" i="17"/>
  <c r="AD298" i="17"/>
  <c r="AD299" i="17"/>
  <c r="AD300" i="17"/>
  <c r="AD301" i="17"/>
  <c r="AD302" i="17"/>
  <c r="AD315" i="17"/>
  <c r="AD316" i="17"/>
  <c r="AD317" i="17"/>
  <c r="AD318" i="17"/>
  <c r="AD319" i="17"/>
  <c r="AD320" i="17"/>
  <c r="AD321" i="17"/>
  <c r="AD322" i="17"/>
  <c r="AD323" i="17"/>
  <c r="AD324" i="17"/>
  <c r="AD325" i="17"/>
  <c r="AD326" i="17"/>
  <c r="AD327" i="17"/>
  <c r="AD328" i="17"/>
  <c r="AD329" i="17"/>
  <c r="AD330" i="17"/>
  <c r="AD331" i="17"/>
  <c r="AD332" i="17"/>
  <c r="AD333" i="17"/>
  <c r="AD334" i="17"/>
  <c r="AD335" i="17"/>
  <c r="AD336" i="17"/>
  <c r="AD337" i="17"/>
  <c r="AD338" i="17"/>
  <c r="AD339" i="17"/>
  <c r="AD352" i="17"/>
  <c r="AD353" i="17"/>
  <c r="AD354" i="17"/>
  <c r="AD355" i="17"/>
  <c r="AD356" i="17"/>
  <c r="AD357" i="17"/>
  <c r="AD358" i="17"/>
  <c r="AD359" i="17"/>
  <c r="AD360" i="17"/>
  <c r="AD361" i="17"/>
  <c r="AD362" i="17"/>
  <c r="AD363" i="17"/>
  <c r="AD364" i="17"/>
  <c r="AD365" i="17"/>
  <c r="AD366" i="17"/>
  <c r="AD367" i="17"/>
  <c r="AD368" i="17"/>
  <c r="AD369" i="17"/>
  <c r="AD370" i="17"/>
  <c r="AD371" i="17"/>
  <c r="AD372" i="17"/>
  <c r="AD373" i="17"/>
  <c r="AD374" i="17"/>
  <c r="AD375" i="17"/>
  <c r="AD388" i="17"/>
  <c r="AD389" i="17"/>
  <c r="AD390" i="17"/>
  <c r="AD391" i="17"/>
  <c r="AD392" i="17"/>
  <c r="AD393" i="17"/>
  <c r="AD394" i="17"/>
  <c r="AD395" i="17"/>
  <c r="AD396" i="17"/>
  <c r="AD397" i="17"/>
  <c r="AD398" i="17"/>
  <c r="AD399" i="17"/>
  <c r="AD400" i="17"/>
  <c r="AD401" i="17"/>
  <c r="AD402" i="17"/>
  <c r="AD403" i="17"/>
  <c r="AD404" i="17"/>
  <c r="AD405" i="17"/>
  <c r="AD406" i="17"/>
  <c r="AD407" i="17"/>
  <c r="AD408" i="17"/>
  <c r="AD409" i="17"/>
  <c r="AD410" i="17"/>
  <c r="AD411" i="17"/>
  <c r="AD424" i="17"/>
  <c r="AD425" i="17"/>
  <c r="AD426" i="17"/>
  <c r="AD427" i="17"/>
  <c r="AD428" i="17"/>
  <c r="AD429" i="17"/>
  <c r="AD430" i="17"/>
  <c r="AD431" i="17"/>
  <c r="AD432" i="17"/>
  <c r="AD433" i="17"/>
  <c r="AD434" i="17"/>
  <c r="AD435" i="17"/>
  <c r="AD436" i="17"/>
  <c r="AD437" i="17"/>
  <c r="AD438" i="17"/>
  <c r="AD439" i="17"/>
  <c r="AD440" i="17"/>
  <c r="AD441" i="17"/>
  <c r="AD442" i="17"/>
  <c r="AD443" i="17"/>
  <c r="AD444" i="17"/>
  <c r="AD445" i="17"/>
  <c r="AD446" i="17"/>
  <c r="AD447" i="17"/>
  <c r="AD460" i="17"/>
  <c r="AD461" i="17"/>
  <c r="AD462" i="17"/>
  <c r="AD463" i="17"/>
  <c r="AD464" i="17"/>
  <c r="AD465" i="17"/>
  <c r="AD466" i="17"/>
  <c r="AD467" i="17"/>
  <c r="AD468" i="17"/>
  <c r="AD469" i="17"/>
  <c r="AD470" i="17"/>
  <c r="AD471" i="17"/>
  <c r="AD472" i="17"/>
  <c r="AD473" i="17"/>
  <c r="AD474" i="17"/>
  <c r="AD475" i="17"/>
  <c r="AD476" i="17"/>
  <c r="AD477" i="17"/>
  <c r="AD478" i="17"/>
  <c r="AD479" i="17"/>
  <c r="AD480" i="17"/>
  <c r="AD481" i="17"/>
  <c r="AD482" i="17"/>
  <c r="AD483" i="17"/>
  <c r="AD496" i="17"/>
  <c r="AD497" i="17"/>
  <c r="AD498" i="17"/>
  <c r="AD499" i="17"/>
  <c r="AD500" i="17"/>
  <c r="AD501" i="17"/>
  <c r="AD502" i="17"/>
  <c r="AD503" i="17"/>
  <c r="AD504" i="17"/>
  <c r="AD505" i="17"/>
  <c r="AD506" i="17"/>
  <c r="AD507" i="17"/>
  <c r="AD508" i="17"/>
  <c r="AD509" i="17"/>
  <c r="AD510" i="17"/>
  <c r="AD511" i="17"/>
  <c r="AD512" i="17"/>
  <c r="AD513" i="17"/>
  <c r="AD514" i="17"/>
  <c r="AD515" i="17"/>
  <c r="AD516" i="17"/>
  <c r="AD517" i="17"/>
  <c r="AD518" i="17"/>
  <c r="AD519" i="17"/>
  <c r="AD532" i="17"/>
  <c r="AD533" i="17"/>
  <c r="AD534" i="17"/>
  <c r="AD535" i="17"/>
  <c r="AD536" i="17"/>
  <c r="AD537" i="17"/>
  <c r="AD538" i="17"/>
  <c r="AD539" i="17"/>
  <c r="AD540" i="17"/>
  <c r="AD541" i="17"/>
  <c r="AD542" i="17"/>
  <c r="AD543" i="17"/>
  <c r="AD544" i="17"/>
  <c r="AD545" i="17"/>
  <c r="AD546" i="17"/>
  <c r="AD547" i="17"/>
  <c r="AD548" i="17"/>
  <c r="AD549" i="17"/>
  <c r="AD550" i="17"/>
  <c r="AD551" i="17"/>
  <c r="AD552" i="17"/>
  <c r="AD553" i="17"/>
  <c r="AD554" i="17"/>
  <c r="AD555" i="17"/>
  <c r="AD568" i="17"/>
  <c r="AD569" i="17"/>
  <c r="AD570" i="17"/>
  <c r="AD571" i="17"/>
  <c r="AD572" i="17"/>
  <c r="AD573" i="17"/>
  <c r="AD574" i="17"/>
  <c r="AD575" i="17"/>
  <c r="AD576" i="17"/>
  <c r="AD577" i="17"/>
  <c r="AD578" i="17"/>
  <c r="AD579" i="17"/>
  <c r="AD580" i="17"/>
  <c r="AD581" i="17"/>
  <c r="AD582" i="17"/>
  <c r="AD583" i="17"/>
  <c r="AD584" i="17"/>
  <c r="AD585" i="17"/>
  <c r="AD586" i="17"/>
  <c r="AD587" i="17"/>
  <c r="AD588" i="17"/>
  <c r="AD589" i="17"/>
  <c r="AD590" i="17"/>
  <c r="AD591" i="17"/>
  <c r="AD604" i="17"/>
  <c r="AD605" i="17"/>
  <c r="AD606" i="17"/>
  <c r="AD607" i="17"/>
  <c r="AD608" i="17"/>
  <c r="AD609" i="17"/>
  <c r="AD610" i="17"/>
  <c r="AE610" i="17" s="1"/>
  <c r="AD611" i="17"/>
  <c r="AE611" i="17" s="1"/>
  <c r="AD612" i="17"/>
  <c r="AE612" i="17" s="1"/>
  <c r="AD613" i="17"/>
  <c r="AE613" i="17" s="1"/>
  <c r="AD614" i="17"/>
  <c r="AE614" i="17" s="1"/>
  <c r="AD615" i="17"/>
  <c r="AE615" i="17" s="1"/>
  <c r="AD616" i="17"/>
  <c r="AE616" i="17" s="1"/>
  <c r="AD617" i="17"/>
  <c r="AE617" i="17" s="1"/>
  <c r="AD618" i="17"/>
  <c r="AE618" i="17" s="1"/>
  <c r="AD619" i="17"/>
  <c r="AE619" i="17" s="1"/>
  <c r="AD620" i="17"/>
  <c r="AE620" i="17" s="1"/>
  <c r="AD621" i="17"/>
  <c r="AE621" i="17" s="1"/>
  <c r="AD622" i="17"/>
  <c r="AE622" i="17" s="1"/>
  <c r="AD623" i="17"/>
  <c r="AE623" i="17" s="1"/>
  <c r="AD624" i="17"/>
  <c r="AE624" i="17" s="1"/>
  <c r="AD625" i="17"/>
  <c r="AE625" i="17" s="1"/>
  <c r="AD626" i="17"/>
  <c r="AE626" i="17" s="1"/>
  <c r="AD627" i="17"/>
  <c r="AE627" i="17" s="1"/>
  <c r="AD628" i="17"/>
  <c r="AD730" i="17"/>
  <c r="AE730" i="17" s="1"/>
  <c r="AD731" i="17"/>
  <c r="AE731" i="17" s="1"/>
  <c r="AD732" i="17"/>
  <c r="AE732" i="17" s="1"/>
  <c r="AD733" i="17"/>
  <c r="AE733" i="17" s="1"/>
  <c r="AD734" i="17"/>
  <c r="AE734" i="17" s="1"/>
  <c r="AD735" i="17"/>
  <c r="AE735" i="17" s="1"/>
  <c r="AD736" i="17"/>
  <c r="AE736" i="17" s="1"/>
  <c r="AD737" i="17"/>
  <c r="AE737" i="17" s="1"/>
  <c r="AD738" i="17"/>
  <c r="AE738" i="17" s="1"/>
  <c r="AD739" i="17"/>
  <c r="AE739" i="17" s="1"/>
  <c r="AD740" i="17"/>
  <c r="AE740" i="17" s="1"/>
  <c r="AD741" i="17"/>
  <c r="AE741" i="17" s="1"/>
  <c r="AD742" i="17"/>
  <c r="AE742" i="17" s="1"/>
  <c r="AD743" i="17"/>
  <c r="AE743" i="17" s="1"/>
  <c r="AD744" i="17"/>
  <c r="AE744" i="17" s="1"/>
  <c r="AD745" i="17"/>
  <c r="AE745" i="17" s="1"/>
  <c r="AD746" i="17"/>
  <c r="AE746" i="17" s="1"/>
  <c r="AD2" i="17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31" i="22"/>
  <c r="E32" i="22"/>
  <c r="E33" i="22"/>
  <c r="E34" i="22"/>
  <c r="E35" i="22"/>
  <c r="E36" i="22"/>
  <c r="E37" i="22"/>
  <c r="E38" i="22"/>
  <c r="E39" i="22"/>
  <c r="E41" i="22"/>
  <c r="E42" i="22"/>
  <c r="E43" i="22"/>
  <c r="E44" i="22"/>
  <c r="E45" i="22"/>
  <c r="E46" i="22"/>
  <c r="E47" i="22"/>
  <c r="E48" i="22"/>
  <c r="E49" i="22"/>
  <c r="E50" i="22"/>
  <c r="E2" i="22"/>
  <c r="R745" i="17"/>
  <c r="AF745" i="17" s="1"/>
  <c r="R735" i="17"/>
  <c r="AF735" i="17" s="1"/>
  <c r="R746" i="17"/>
  <c r="R734" i="17"/>
  <c r="AF734" i="17" s="1"/>
  <c r="R736" i="17"/>
  <c r="AF736" i="17" s="1"/>
  <c r="R6" i="17"/>
  <c r="R725" i="17"/>
  <c r="AF725" i="17" s="1"/>
  <c r="R605" i="17" l="1"/>
  <c r="AF605" i="17" s="1"/>
  <c r="R604" i="17"/>
  <c r="AF604" i="17" s="1"/>
  <c r="R607" i="17"/>
  <c r="AF607" i="17" s="1"/>
  <c r="R29" i="17"/>
  <c r="R28" i="17"/>
  <c r="R7" i="17"/>
  <c r="R608" i="17"/>
  <c r="AF608" i="17" s="1"/>
  <c r="R606" i="17"/>
  <c r="AF606" i="17" s="1"/>
  <c r="R609" i="17"/>
  <c r="AF609" i="17" s="1"/>
  <c r="R119" i="17"/>
  <c r="AF119" i="17" s="1"/>
  <c r="R23" i="17"/>
  <c r="AF23" i="17" s="1"/>
  <c r="R42" i="17"/>
  <c r="AF42" i="17" s="1"/>
  <c r="R43" i="17"/>
  <c r="AF43" i="17" s="1"/>
  <c r="R266" i="17" l="1"/>
  <c r="AF266" i="17" s="1"/>
  <c r="R519" i="17"/>
  <c r="AF519" i="17" s="1"/>
  <c r="R555" i="17"/>
  <c r="AF555" i="17" s="1"/>
  <c r="R718" i="17"/>
  <c r="AF718" i="17" s="1"/>
  <c r="R627" i="17"/>
  <c r="AF627" i="17" s="1"/>
  <c r="R27" i="17"/>
  <c r="AF27" i="17" s="1"/>
  <c r="R61" i="17"/>
  <c r="AF61" i="17" s="1"/>
  <c r="R114" i="17"/>
  <c r="AF114" i="17" s="1"/>
  <c r="R152" i="17"/>
  <c r="AF152" i="17" s="1"/>
  <c r="R221" i="17"/>
  <c r="AF221" i="17" s="1"/>
  <c r="R497" i="17"/>
  <c r="AF497" i="17" s="1"/>
  <c r="R38" i="17"/>
  <c r="AF38" i="17" s="1"/>
  <c r="R78" i="17"/>
  <c r="AF78" i="17" s="1"/>
  <c r="R185" i="17"/>
  <c r="AF185" i="17" s="1"/>
  <c r="R208" i="17"/>
  <c r="AF208" i="17" s="1"/>
  <c r="R256" i="17"/>
  <c r="AF256" i="17" s="1"/>
  <c r="R336" i="17"/>
  <c r="AF336" i="17" s="1"/>
  <c r="R372" i="17"/>
  <c r="AF372" i="17" s="1"/>
  <c r="R476" i="17"/>
  <c r="AF476" i="17" s="1"/>
  <c r="R299" i="17"/>
  <c r="AF299" i="17" s="1"/>
  <c r="R327" i="17"/>
  <c r="AF327" i="17" s="1"/>
  <c r="R355" i="17"/>
  <c r="AF355" i="17" s="1"/>
  <c r="R443" i="17"/>
  <c r="AF443" i="17" s="1"/>
  <c r="R545" i="17"/>
  <c r="AF545" i="17" s="1"/>
  <c r="R407" i="17"/>
  <c r="AF407" i="17" s="1"/>
  <c r="R510" i="17"/>
  <c r="AF510" i="17" s="1"/>
  <c r="R552" i="17"/>
  <c r="AF552" i="17" s="1"/>
  <c r="R588" i="17"/>
  <c r="AF588" i="17" s="1"/>
  <c r="R616" i="17"/>
  <c r="AF616" i="17" s="1"/>
  <c r="R742" i="17"/>
  <c r="AF742" i="17" s="1"/>
  <c r="R263" i="17"/>
  <c r="AF263" i="17" s="1"/>
  <c r="R717" i="17"/>
  <c r="AF717" i="17" s="1"/>
  <c r="R156" i="17"/>
  <c r="AF156" i="17" s="1"/>
  <c r="R172" i="17"/>
  <c r="AF172" i="17" s="1"/>
  <c r="R621" i="17"/>
  <c r="AF621" i="17" s="1"/>
  <c r="R447" i="17"/>
  <c r="AF447" i="17" s="1"/>
  <c r="R463" i="17"/>
  <c r="AF463" i="17" s="1"/>
  <c r="R705" i="17"/>
  <c r="AF705" i="17" s="1"/>
  <c r="R714" i="17"/>
  <c r="AF714" i="17" s="1"/>
  <c r="R8" i="17"/>
  <c r="R226" i="17"/>
  <c r="AF226" i="17" s="1"/>
  <c r="R515" i="17"/>
  <c r="AF515" i="17" s="1"/>
  <c r="R118" i="17"/>
  <c r="AF118" i="17" s="1"/>
  <c r="R180" i="17"/>
  <c r="AF180" i="17" s="1"/>
  <c r="R249" i="17"/>
  <c r="AF249" i="17" s="1"/>
  <c r="R290" i="17"/>
  <c r="AF290" i="17" s="1"/>
  <c r="R471" i="17"/>
  <c r="AF471" i="17" s="1"/>
  <c r="R538" i="17"/>
  <c r="AF538" i="17" s="1"/>
  <c r="R618" i="17"/>
  <c r="AF618" i="17" s="1"/>
  <c r="R712" i="17"/>
  <c r="AF712" i="17" s="1"/>
  <c r="R411" i="17"/>
  <c r="AF411" i="17" s="1"/>
  <c r="R579" i="17"/>
  <c r="AF579" i="17" s="1"/>
  <c r="R229" i="17"/>
  <c r="AF229" i="17" s="1"/>
  <c r="R469" i="17"/>
  <c r="AF469" i="17" s="1"/>
  <c r="R505" i="17"/>
  <c r="AF505" i="17" s="1"/>
  <c r="R210" i="17"/>
  <c r="AF210" i="17" s="1"/>
  <c r="R250" i="17"/>
  <c r="AF250" i="17" s="1"/>
  <c r="R216" i="17"/>
  <c r="AF216" i="17" s="1"/>
  <c r="R260" i="17"/>
  <c r="AF260" i="17" s="1"/>
  <c r="R499" i="17"/>
  <c r="AF499" i="17" s="1"/>
  <c r="R549" i="17"/>
  <c r="AF549" i="17" s="1"/>
  <c r="R625" i="17"/>
  <c r="AF625" i="17" s="1"/>
  <c r="R719" i="17"/>
  <c r="AF719" i="17" s="1"/>
  <c r="R518" i="17"/>
  <c r="AF518" i="17" s="1"/>
  <c r="R539" i="17"/>
  <c r="AF539" i="17" s="1"/>
  <c r="R178" i="17"/>
  <c r="AF178" i="17" s="1"/>
  <c r="R33" i="17"/>
  <c r="AF33" i="17" s="1"/>
  <c r="R69" i="17"/>
  <c r="AF69" i="17" s="1"/>
  <c r="R144" i="17"/>
  <c r="AF144" i="17" s="1"/>
  <c r="R209" i="17"/>
  <c r="AF209" i="17" s="1"/>
  <c r="R369" i="17"/>
  <c r="AF369" i="17" s="1"/>
  <c r="R70" i="17"/>
  <c r="AF70" i="17" s="1"/>
  <c r="R103" i="17"/>
  <c r="AF103" i="17" s="1"/>
  <c r="R173" i="17"/>
  <c r="AF173" i="17" s="1"/>
  <c r="R354" i="17"/>
  <c r="AF354" i="17" s="1"/>
  <c r="R406" i="17"/>
  <c r="AF406" i="17" s="1"/>
  <c r="R442" i="17"/>
  <c r="AF442" i="17" s="1"/>
  <c r="R478" i="17"/>
  <c r="AF478" i="17" s="1"/>
  <c r="R498" i="17"/>
  <c r="AF498" i="17" s="1"/>
  <c r="R60" i="17"/>
  <c r="AF60" i="17" s="1"/>
  <c r="R113" i="17"/>
  <c r="AF113" i="17" s="1"/>
  <c r="R151" i="17"/>
  <c r="AF151" i="17" s="1"/>
  <c r="R187" i="17"/>
  <c r="AF187" i="17" s="1"/>
  <c r="R252" i="17"/>
  <c r="AF252" i="17" s="1"/>
  <c r="R296" i="17"/>
  <c r="AF296" i="17" s="1"/>
  <c r="R364" i="17"/>
  <c r="AF364" i="17" s="1"/>
  <c r="R396" i="17"/>
  <c r="AF396" i="17" s="1"/>
  <c r="R464" i="17"/>
  <c r="AF464" i="17" s="1"/>
  <c r="R283" i="17"/>
  <c r="AF283" i="17" s="1"/>
  <c r="R541" i="17"/>
  <c r="AF541" i="17" s="1"/>
  <c r="R585" i="17"/>
  <c r="AF585" i="17" s="1"/>
  <c r="R698" i="17"/>
  <c r="AF698" i="17" s="1"/>
  <c r="R743" i="17"/>
  <c r="AF743" i="17" s="1"/>
  <c r="R331" i="17"/>
  <c r="AF331" i="17" s="1"/>
  <c r="R707" i="17"/>
  <c r="AF707" i="17" s="1"/>
  <c r="R363" i="17"/>
  <c r="AF363" i="17" s="1"/>
  <c r="R75" i="17"/>
  <c r="AF75" i="17" s="1"/>
  <c r="R572" i="17"/>
  <c r="AF572" i="17" s="1"/>
  <c r="R722" i="17"/>
  <c r="AF722" i="17" s="1"/>
  <c r="R435" i="17"/>
  <c r="AF435" i="17" s="1"/>
  <c r="R73" i="17"/>
  <c r="AF73" i="17" s="1"/>
  <c r="R102" i="17"/>
  <c r="AF102" i="17" s="1"/>
  <c r="R148" i="17"/>
  <c r="AF148" i="17" s="1"/>
  <c r="R188" i="17"/>
  <c r="AF188" i="17" s="1"/>
  <c r="R141" i="17"/>
  <c r="AF141" i="17" s="1"/>
  <c r="R294" i="17"/>
  <c r="AF294" i="17" s="1"/>
  <c r="R446" i="17"/>
  <c r="AF446" i="17" s="1"/>
  <c r="R155" i="17"/>
  <c r="AF155" i="17" s="1"/>
  <c r="R432" i="17"/>
  <c r="AF432" i="17" s="1"/>
  <c r="R715" i="17"/>
  <c r="AF715" i="17" s="1"/>
  <c r="R479" i="17"/>
  <c r="AF479" i="17" s="1"/>
  <c r="R583" i="17"/>
  <c r="AF583" i="17" s="1"/>
  <c r="R367" i="17"/>
  <c r="AF367" i="17" s="1"/>
  <c r="R395" i="17"/>
  <c r="AF395" i="17" s="1"/>
  <c r="R439" i="17"/>
  <c r="AF439" i="17" s="1"/>
  <c r="R12" i="17"/>
  <c r="AF12" i="17" s="1"/>
  <c r="R16" i="17"/>
  <c r="AF16" i="17" s="1"/>
  <c r="R77" i="17"/>
  <c r="AF77" i="17" s="1"/>
  <c r="R301" i="17"/>
  <c r="AF301" i="17" s="1"/>
  <c r="R317" i="17"/>
  <c r="AF317" i="17" s="1"/>
  <c r="R353" i="17"/>
  <c r="AF353" i="17" s="1"/>
  <c r="R393" i="17"/>
  <c r="AF393" i="17" s="1"/>
  <c r="R433" i="17"/>
  <c r="AF433" i="17" s="1"/>
  <c r="R445" i="17"/>
  <c r="AF445" i="17" s="1"/>
  <c r="R13" i="17"/>
  <c r="AF13" i="17" s="1"/>
  <c r="R133" i="17"/>
  <c r="AF133" i="17" s="1"/>
  <c r="R322" i="17"/>
  <c r="AF322" i="17" s="1"/>
  <c r="R326" i="17"/>
  <c r="AF326" i="17" s="1"/>
  <c r="R338" i="17"/>
  <c r="AF338" i="17" s="1"/>
  <c r="R362" i="17"/>
  <c r="AF362" i="17" s="1"/>
  <c r="R466" i="17"/>
  <c r="AF466" i="17" s="1"/>
  <c r="R3" i="17"/>
  <c r="AF3" i="17" s="1"/>
  <c r="R68" i="17"/>
  <c r="AF68" i="17" s="1"/>
  <c r="R175" i="17"/>
  <c r="AF175" i="17" s="1"/>
  <c r="R332" i="17"/>
  <c r="AF332" i="17" s="1"/>
  <c r="R424" i="17"/>
  <c r="AF424" i="17" s="1"/>
  <c r="R154" i="17"/>
  <c r="AF154" i="17" s="1"/>
  <c r="R371" i="17"/>
  <c r="AF371" i="17" s="1"/>
  <c r="R291" i="17"/>
  <c r="AF291" i="17" s="1"/>
  <c r="R14" i="17"/>
  <c r="AF14" i="17" s="1"/>
  <c r="R142" i="17"/>
  <c r="AF142" i="17" s="1"/>
  <c r="R590" i="17"/>
  <c r="AF590" i="17" s="1"/>
  <c r="R614" i="17"/>
  <c r="AF614" i="17" s="1"/>
  <c r="R100" i="17"/>
  <c r="AF100" i="17" s="1"/>
  <c r="R59" i="17"/>
  <c r="AF59" i="17" s="1"/>
  <c r="R223" i="17"/>
  <c r="AF223" i="17" s="1"/>
  <c r="R251" i="17"/>
  <c r="AF251" i="17" s="1"/>
  <c r="R512" i="17"/>
  <c r="AF512" i="17" s="1"/>
  <c r="R540" i="17"/>
  <c r="AF540" i="17" s="1"/>
  <c r="R580" i="17"/>
  <c r="AF580" i="17" s="1"/>
  <c r="R694" i="17"/>
  <c r="AF694" i="17" s="1"/>
  <c r="R696" i="17"/>
  <c r="AF696" i="17" s="1"/>
  <c r="R81" i="17"/>
  <c r="AF81" i="17" s="1"/>
  <c r="R110" i="17"/>
  <c r="AF110" i="17" s="1"/>
  <c r="R136" i="17"/>
  <c r="AF136" i="17" s="1"/>
  <c r="R257" i="17"/>
  <c r="AF257" i="17" s="1"/>
  <c r="R262" i="17"/>
  <c r="AF262" i="17" s="1"/>
  <c r="R286" i="17"/>
  <c r="AF286" i="17" s="1"/>
  <c r="R427" i="17"/>
  <c r="AF427" i="17" s="1"/>
  <c r="R375" i="17"/>
  <c r="AF375" i="17" s="1"/>
  <c r="R403" i="17"/>
  <c r="AF403" i="17" s="1"/>
  <c r="R546" i="17"/>
  <c r="AF546" i="17" s="1"/>
  <c r="R703" i="17"/>
  <c r="AF703" i="17" s="1"/>
  <c r="R575" i="17"/>
  <c r="AF575" i="17" s="1"/>
  <c r="R615" i="17"/>
  <c r="AF615" i="17" s="1"/>
  <c r="R700" i="17"/>
  <c r="AF700" i="17" s="1"/>
  <c r="R710" i="17"/>
  <c r="AF710" i="17" s="1"/>
  <c r="R551" i="17"/>
  <c r="AF551" i="17" s="1"/>
  <c r="R289" i="17"/>
  <c r="AF289" i="17" s="1"/>
  <c r="R293" i="17"/>
  <c r="AF293" i="17" s="1"/>
  <c r="R401" i="17"/>
  <c r="AF401" i="17" s="1"/>
  <c r="R425" i="17"/>
  <c r="AF425" i="17" s="1"/>
  <c r="R437" i="17"/>
  <c r="AF437" i="17" s="1"/>
  <c r="R465" i="17"/>
  <c r="AF465" i="17" s="1"/>
  <c r="R481" i="17"/>
  <c r="AF481" i="17" s="1"/>
  <c r="R66" i="17"/>
  <c r="AF66" i="17" s="1"/>
  <c r="R95" i="17"/>
  <c r="AF95" i="17" s="1"/>
  <c r="R153" i="17"/>
  <c r="AF153" i="17" s="1"/>
  <c r="R398" i="17"/>
  <c r="AF398" i="17" s="1"/>
  <c r="R474" i="17"/>
  <c r="AF474" i="17" s="1"/>
  <c r="R105" i="17"/>
  <c r="AF105" i="17" s="1"/>
  <c r="R183" i="17"/>
  <c r="AF183" i="17" s="1"/>
  <c r="R191" i="17"/>
  <c r="AF191" i="17" s="1"/>
  <c r="R220" i="17"/>
  <c r="AF220" i="17" s="1"/>
  <c r="R300" i="17"/>
  <c r="AF300" i="17" s="1"/>
  <c r="R360" i="17"/>
  <c r="AF360" i="17" s="1"/>
  <c r="R388" i="17"/>
  <c r="AF388" i="17" s="1"/>
  <c r="R444" i="17"/>
  <c r="AF444" i="17" s="1"/>
  <c r="R108" i="17"/>
  <c r="AF108" i="17" s="1"/>
  <c r="R509" i="17"/>
  <c r="AF509" i="17" s="1"/>
  <c r="R589" i="17"/>
  <c r="AF589" i="17" s="1"/>
  <c r="R695" i="17"/>
  <c r="AF695" i="17" s="1"/>
  <c r="R711" i="17"/>
  <c r="AF711" i="17" s="1"/>
  <c r="R731" i="17"/>
  <c r="AF731" i="17" s="1"/>
  <c r="R739" i="17"/>
  <c r="AF739" i="17" s="1"/>
  <c r="R146" i="17"/>
  <c r="AF146" i="17" s="1"/>
  <c r="R578" i="17"/>
  <c r="AF578" i="17" s="1"/>
  <c r="R582" i="17"/>
  <c r="AF582" i="17" s="1"/>
  <c r="R728" i="17"/>
  <c r="R174" i="17"/>
  <c r="AF174" i="17" s="1"/>
  <c r="R134" i="17"/>
  <c r="AF134" i="17" s="1"/>
  <c r="R697" i="17"/>
  <c r="AF697" i="17" s="1"/>
  <c r="R5" i="17"/>
  <c r="AF5" i="17" s="1"/>
  <c r="R10" i="17"/>
  <c r="R319" i="17"/>
  <c r="AF319" i="17" s="1"/>
  <c r="R193" i="17"/>
  <c r="AF193" i="17" s="1"/>
  <c r="R302" i="17"/>
  <c r="AF302" i="17" s="1"/>
  <c r="R508" i="17"/>
  <c r="AF508" i="17" s="1"/>
  <c r="R706" i="17"/>
  <c r="AF706" i="17" s="1"/>
  <c r="R716" i="17"/>
  <c r="AF716" i="17" s="1"/>
  <c r="R219" i="17"/>
  <c r="AF219" i="17" s="1"/>
  <c r="R591" i="17"/>
  <c r="AF591" i="17" s="1"/>
  <c r="R483" i="17"/>
  <c r="AF483" i="17" s="1"/>
  <c r="R624" i="17"/>
  <c r="AF624" i="17" s="1"/>
  <c r="R41" i="17"/>
  <c r="AF41" i="17" s="1"/>
  <c r="R140" i="17"/>
  <c r="AF140" i="17" s="1"/>
  <c r="R176" i="17"/>
  <c r="AF176" i="17" s="1"/>
  <c r="R282" i="17"/>
  <c r="AF282" i="17" s="1"/>
  <c r="R11" i="17"/>
  <c r="R702" i="17"/>
  <c r="AF702" i="17" s="1"/>
  <c r="R571" i="17"/>
  <c r="AF571" i="17" s="1"/>
  <c r="R431" i="17"/>
  <c r="AF431" i="17" s="1"/>
  <c r="R699" i="17"/>
  <c r="AF699" i="17" s="1"/>
  <c r="R708" i="17"/>
  <c r="AF708" i="17" s="1"/>
  <c r="R339" i="17"/>
  <c r="AF339" i="17" s="1"/>
  <c r="R467" i="17"/>
  <c r="AF467" i="17" s="1"/>
  <c r="R612" i="17"/>
  <c r="AF612" i="17" s="1"/>
  <c r="R177" i="17"/>
  <c r="AF177" i="17" s="1"/>
  <c r="R214" i="17"/>
  <c r="AF214" i="17" s="1"/>
  <c r="R254" i="17"/>
  <c r="AF254" i="17" s="1"/>
  <c r="R468" i="17"/>
  <c r="AF468" i="17" s="1"/>
  <c r="R504" i="17"/>
  <c r="AF504" i="17" s="1"/>
  <c r="R227" i="17"/>
  <c r="AF227" i="17" s="1"/>
  <c r="R255" i="17"/>
  <c r="AF255" i="17" s="1"/>
  <c r="R623" i="17"/>
  <c r="AF623" i="17" s="1"/>
  <c r="R215" i="17"/>
  <c r="AF215" i="17" s="1"/>
  <c r="R259" i="17"/>
  <c r="AF259" i="17" s="1"/>
  <c r="R287" i="17"/>
  <c r="AF287" i="17" s="1"/>
  <c r="R503" i="17"/>
  <c r="AF503" i="17" s="1"/>
  <c r="R744" i="17"/>
  <c r="AF744" i="17" s="1"/>
  <c r="R516" i="17"/>
  <c r="AF516" i="17" s="1"/>
  <c r="R544" i="17"/>
  <c r="AF544" i="17" s="1"/>
  <c r="R548" i="17"/>
  <c r="AF548" i="17" s="1"/>
  <c r="R576" i="17"/>
  <c r="AF576" i="17" s="1"/>
  <c r="R543" i="17"/>
  <c r="AF543" i="17" s="1"/>
  <c r="R4" i="17"/>
  <c r="AF4" i="17" s="1"/>
  <c r="R361" i="17"/>
  <c r="AF361" i="17" s="1"/>
  <c r="R373" i="17"/>
  <c r="AF373" i="17" s="1"/>
  <c r="R24" i="17"/>
  <c r="AF24" i="17" s="1"/>
  <c r="R58" i="17"/>
  <c r="AF58" i="17" s="1"/>
  <c r="R107" i="17"/>
  <c r="AF107" i="17" s="1"/>
  <c r="R115" i="17"/>
  <c r="AF115" i="17" s="1"/>
  <c r="R394" i="17"/>
  <c r="AF394" i="17" s="1"/>
  <c r="R15" i="17"/>
  <c r="AF15" i="17" s="1"/>
  <c r="R101" i="17"/>
  <c r="AF101" i="17" s="1"/>
  <c r="R280" i="17"/>
  <c r="AF280" i="17" s="1"/>
  <c r="R316" i="17"/>
  <c r="AF316" i="17" s="1"/>
  <c r="R324" i="17"/>
  <c r="AF324" i="17" s="1"/>
  <c r="R352" i="17"/>
  <c r="AF352" i="17" s="1"/>
  <c r="R400" i="17"/>
  <c r="AF400" i="17" s="1"/>
  <c r="R408" i="17"/>
  <c r="AF408" i="17" s="1"/>
  <c r="R79" i="17"/>
  <c r="AF79" i="17" s="1"/>
  <c r="R569" i="17"/>
  <c r="AF569" i="17" s="1"/>
  <c r="R727" i="17"/>
  <c r="R2" i="17"/>
  <c r="AF2" i="17" s="1"/>
  <c r="R611" i="17"/>
  <c r="AF611" i="17" s="1"/>
  <c r="R67" i="17"/>
  <c r="AF67" i="17" s="1"/>
  <c r="R243" i="17"/>
  <c r="AF243" i="17" s="1"/>
  <c r="R315" i="17"/>
  <c r="R532" i="17"/>
  <c r="AF532" i="17" s="1"/>
  <c r="R738" i="17"/>
  <c r="AF738" i="17" s="1"/>
  <c r="R733" i="17"/>
  <c r="AF733" i="17" s="1"/>
  <c r="R721" i="17"/>
  <c r="AF721" i="17" s="1"/>
  <c r="R37" i="17"/>
  <c r="AF37" i="17" s="1"/>
  <c r="R106" i="17"/>
  <c r="AF106" i="17" s="1"/>
  <c r="R184" i="17"/>
  <c r="AF184" i="17" s="1"/>
  <c r="R389" i="17"/>
  <c r="AF389" i="17" s="1"/>
  <c r="R409" i="17"/>
  <c r="AF409" i="17" s="1"/>
  <c r="R429" i="17"/>
  <c r="AF429" i="17" s="1"/>
  <c r="R441" i="17"/>
  <c r="AF441" i="17" s="1"/>
  <c r="R74" i="17"/>
  <c r="AF74" i="17" s="1"/>
  <c r="R334" i="17"/>
  <c r="AF334" i="17" s="1"/>
  <c r="R462" i="17"/>
  <c r="AF462" i="17" s="1"/>
  <c r="R171" i="17"/>
  <c r="AF171" i="17" s="1"/>
  <c r="R284" i="17"/>
  <c r="AF284" i="17" s="1"/>
  <c r="R292" i="17"/>
  <c r="AF292" i="17" s="1"/>
  <c r="R368" i="17"/>
  <c r="AF368" i="17" s="1"/>
  <c r="R480" i="17"/>
  <c r="AF480" i="17" s="1"/>
  <c r="R138" i="17"/>
  <c r="AF138" i="17" s="1"/>
  <c r="R399" i="17"/>
  <c r="AF399" i="17" s="1"/>
  <c r="R573" i="17"/>
  <c r="AF573" i="17" s="1"/>
  <c r="R581" i="17"/>
  <c r="AF581" i="17" s="1"/>
  <c r="R617" i="17"/>
  <c r="AF617" i="17" s="1"/>
  <c r="R247" i="17"/>
  <c r="AF247" i="17" s="1"/>
  <c r="R704" i="17"/>
  <c r="AF704" i="17" s="1"/>
  <c r="R96" i="17"/>
  <c r="AF96" i="17" s="1"/>
  <c r="R475" i="17"/>
  <c r="AF475" i="17" s="1"/>
  <c r="R724" i="17"/>
  <c r="AF724" i="17" s="1"/>
  <c r="R150" i="17"/>
  <c r="AF150" i="17" s="1"/>
  <c r="R536" i="17"/>
  <c r="AF536" i="17" s="1"/>
  <c r="R701" i="17"/>
  <c r="AF701" i="17" s="1"/>
  <c r="R116" i="17"/>
  <c r="AF116" i="17" s="1"/>
  <c r="R190" i="17"/>
  <c r="AF190" i="17" s="1"/>
  <c r="R335" i="17"/>
  <c r="AF335" i="17" s="1"/>
  <c r="R65" i="17"/>
  <c r="AF65" i="17" s="1"/>
  <c r="R217" i="17"/>
  <c r="AF217" i="17" s="1"/>
  <c r="R321" i="17"/>
  <c r="AF321" i="17" s="1"/>
  <c r="R329" i="17"/>
  <c r="AF329" i="17" s="1"/>
  <c r="R333" i="17"/>
  <c r="AF333" i="17" s="1"/>
  <c r="R337" i="17"/>
  <c r="AF337" i="17" s="1"/>
  <c r="R357" i="17"/>
  <c r="AF357" i="17" s="1"/>
  <c r="R365" i="17"/>
  <c r="AF365" i="17" s="1"/>
  <c r="R34" i="17"/>
  <c r="AF34" i="17" s="1"/>
  <c r="R111" i="17"/>
  <c r="AF111" i="17" s="1"/>
  <c r="R149" i="17"/>
  <c r="AF149" i="17" s="1"/>
  <c r="R169" i="17"/>
  <c r="AF169" i="17" s="1"/>
  <c r="R189" i="17"/>
  <c r="R246" i="17"/>
  <c r="AF246" i="17" s="1"/>
  <c r="R330" i="17"/>
  <c r="AF330" i="17" s="1"/>
  <c r="R374" i="17"/>
  <c r="AF374" i="17" s="1"/>
  <c r="R390" i="17"/>
  <c r="AF390" i="17" s="1"/>
  <c r="R434" i="17"/>
  <c r="AF434" i="17" s="1"/>
  <c r="R22" i="17"/>
  <c r="AF22" i="17" s="1"/>
  <c r="R26" i="17"/>
  <c r="AF26" i="17" s="1"/>
  <c r="R32" i="17"/>
  <c r="AF32" i="17" s="1"/>
  <c r="R36" i="17"/>
  <c r="AF36" i="17" s="1"/>
  <c r="R40" i="17"/>
  <c r="AF40" i="17" s="1"/>
  <c r="R80" i="17"/>
  <c r="AF80" i="17" s="1"/>
  <c r="R97" i="17"/>
  <c r="AF97" i="17" s="1"/>
  <c r="R143" i="17"/>
  <c r="AF143" i="17" s="1"/>
  <c r="R248" i="17"/>
  <c r="AF248" i="17" s="1"/>
  <c r="R404" i="17"/>
  <c r="AF404" i="17" s="1"/>
  <c r="R440" i="17"/>
  <c r="AF440" i="17" s="1"/>
  <c r="R460" i="17"/>
  <c r="AF460" i="17" s="1"/>
  <c r="R31" i="17"/>
  <c r="AF31" i="17" s="1"/>
  <c r="R63" i="17"/>
  <c r="AF63" i="17" s="1"/>
  <c r="R537" i="17"/>
  <c r="AF537" i="17" s="1"/>
  <c r="R613" i="17"/>
  <c r="AF613" i="17" s="1"/>
  <c r="R359" i="17"/>
  <c r="AF359" i="17" s="1"/>
  <c r="R720" i="17"/>
  <c r="AF720" i="17" s="1"/>
  <c r="R732" i="17"/>
  <c r="AF732" i="17" s="1"/>
  <c r="R39" i="17"/>
  <c r="AF39" i="17" s="1"/>
  <c r="R279" i="17"/>
  <c r="AF279" i="17" s="1"/>
  <c r="R295" i="17"/>
  <c r="AF295" i="17" s="1"/>
  <c r="R568" i="17"/>
  <c r="AF568" i="17" s="1"/>
  <c r="R584" i="17"/>
  <c r="AF584" i="17" s="1"/>
  <c r="R620" i="17"/>
  <c r="AF620" i="17" s="1"/>
  <c r="R726" i="17"/>
  <c r="R21" i="17"/>
  <c r="AF21" i="17" s="1"/>
  <c r="R71" i="17"/>
  <c r="AF71" i="17" s="1"/>
  <c r="R506" i="17"/>
  <c r="AF506" i="17" s="1"/>
  <c r="R535" i="17"/>
  <c r="AF535" i="17" s="1"/>
  <c r="R737" i="17"/>
  <c r="AF737" i="17" s="1"/>
  <c r="R98" i="17"/>
  <c r="AF98" i="17" s="1"/>
  <c r="R192" i="17"/>
  <c r="AF192" i="17" s="1"/>
  <c r="R213" i="17"/>
  <c r="AF213" i="17" s="1"/>
  <c r="R253" i="17"/>
  <c r="AF253" i="17" s="1"/>
  <c r="R297" i="17"/>
  <c r="AF297" i="17" s="1"/>
  <c r="R222" i="17"/>
  <c r="AF222" i="17" s="1"/>
  <c r="R358" i="17"/>
  <c r="AF358" i="17" s="1"/>
  <c r="R410" i="17"/>
  <c r="AF410" i="17" s="1"/>
  <c r="R438" i="17"/>
  <c r="AF438" i="17" s="1"/>
  <c r="R470" i="17"/>
  <c r="AF470" i="17" s="1"/>
  <c r="R482" i="17"/>
  <c r="AF482" i="17" s="1"/>
  <c r="R502" i="17"/>
  <c r="AF502" i="17" s="1"/>
  <c r="R64" i="17"/>
  <c r="AF64" i="17" s="1"/>
  <c r="R117" i="17"/>
  <c r="AF117" i="17" s="1"/>
  <c r="R147" i="17"/>
  <c r="AF147" i="17" s="1"/>
  <c r="R179" i="17"/>
  <c r="AF179" i="17" s="1"/>
  <c r="R228" i="17"/>
  <c r="AF228" i="17" s="1"/>
  <c r="R288" i="17"/>
  <c r="AF288" i="17" s="1"/>
  <c r="R517" i="17"/>
  <c r="AF517" i="17" s="1"/>
  <c r="R577" i="17"/>
  <c r="AF577" i="17" s="1"/>
  <c r="R542" i="17"/>
  <c r="AF542" i="17" s="1"/>
  <c r="R586" i="17"/>
  <c r="AF586" i="17" s="1"/>
  <c r="R391" i="17"/>
  <c r="AF391" i="17" s="1"/>
  <c r="R511" i="17"/>
  <c r="AF511" i="17" s="1"/>
  <c r="R619" i="17"/>
  <c r="AF619" i="17" s="1"/>
  <c r="R713" i="17"/>
  <c r="AF713" i="17" s="1"/>
  <c r="R9" i="17"/>
  <c r="R298" i="17"/>
  <c r="AF298" i="17" s="1"/>
  <c r="R323" i="17"/>
  <c r="AF323" i="17" s="1"/>
  <c r="R587" i="17"/>
  <c r="AF587" i="17" s="1"/>
  <c r="R225" i="17"/>
  <c r="AF225" i="17" s="1"/>
  <c r="R245" i="17"/>
  <c r="AF245" i="17" s="1"/>
  <c r="R181" i="17"/>
  <c r="AF181" i="17" s="1"/>
  <c r="R264" i="17"/>
  <c r="AF264" i="17" s="1"/>
  <c r="R472" i="17"/>
  <c r="AF472" i="17" s="1"/>
  <c r="R496" i="17"/>
  <c r="AF496" i="17" s="1"/>
  <c r="R553" i="17"/>
  <c r="AF553" i="17" s="1"/>
  <c r="R514" i="17"/>
  <c r="AF514" i="17" s="1"/>
  <c r="R534" i="17"/>
  <c r="AF534" i="17" s="1"/>
  <c r="R626" i="17"/>
  <c r="AF626" i="17" s="1"/>
  <c r="R207" i="17"/>
  <c r="AF207" i="17" s="1"/>
  <c r="R261" i="17"/>
  <c r="AF261" i="17" s="1"/>
  <c r="R265" i="17"/>
  <c r="AF265" i="17" s="1"/>
  <c r="R473" i="17"/>
  <c r="AF473" i="17" s="1"/>
  <c r="R218" i="17"/>
  <c r="AF218" i="17" s="1"/>
  <c r="R230" i="17"/>
  <c r="AF230" i="17" s="1"/>
  <c r="R258" i="17"/>
  <c r="AF258" i="17" s="1"/>
  <c r="R224" i="17"/>
  <c r="AF224" i="17" s="1"/>
  <c r="R500" i="17"/>
  <c r="AF500" i="17" s="1"/>
  <c r="R182" i="17"/>
  <c r="AF182" i="17" s="1"/>
  <c r="R211" i="17"/>
  <c r="AF211" i="17" s="1"/>
  <c r="R513" i="17"/>
  <c r="AF513" i="17" s="1"/>
  <c r="R547" i="17"/>
  <c r="AF547" i="17" s="1"/>
  <c r="R550" i="17"/>
  <c r="AF550" i="17" s="1"/>
  <c r="R554" i="17"/>
  <c r="AF554" i="17" s="1"/>
  <c r="R622" i="17"/>
  <c r="AF622" i="17" s="1"/>
  <c r="R507" i="17"/>
  <c r="AF507" i="17" s="1"/>
  <c r="R477" i="17"/>
  <c r="AF477" i="17" s="1"/>
  <c r="R30" i="17"/>
  <c r="AF30" i="17" s="1"/>
  <c r="R99" i="17"/>
  <c r="AF99" i="17" s="1"/>
  <c r="R137" i="17"/>
  <c r="AF137" i="17" s="1"/>
  <c r="R145" i="17"/>
  <c r="AF145" i="17" s="1"/>
  <c r="R366" i="17"/>
  <c r="AF366" i="17" s="1"/>
  <c r="R402" i="17"/>
  <c r="AF402" i="17" s="1"/>
  <c r="R426" i="17"/>
  <c r="AF426" i="17" s="1"/>
  <c r="R72" i="17"/>
  <c r="AF72" i="17" s="1"/>
  <c r="R109" i="17"/>
  <c r="AF109" i="17" s="1"/>
  <c r="R135" i="17"/>
  <c r="AF135" i="17" s="1"/>
  <c r="R328" i="17"/>
  <c r="AF328" i="17" s="1"/>
  <c r="R392" i="17"/>
  <c r="AF392" i="17" s="1"/>
  <c r="R428" i="17"/>
  <c r="AF428" i="17" s="1"/>
  <c r="R436" i="17"/>
  <c r="AF436" i="17" s="1"/>
  <c r="R186" i="17"/>
  <c r="AF186" i="17" s="1"/>
  <c r="R281" i="17"/>
  <c r="AF281" i="17" s="1"/>
  <c r="R285" i="17"/>
  <c r="AF285" i="17" s="1"/>
  <c r="R325" i="17"/>
  <c r="AF325" i="17" s="1"/>
  <c r="R397" i="17"/>
  <c r="AF397" i="17" s="1"/>
  <c r="R405" i="17"/>
  <c r="AF405" i="17" s="1"/>
  <c r="R461" i="17"/>
  <c r="AF461" i="17" s="1"/>
  <c r="R501" i="17"/>
  <c r="AF501" i="17" s="1"/>
  <c r="R20" i="17"/>
  <c r="AF20" i="17" s="1"/>
  <c r="R62" i="17"/>
  <c r="AF62" i="17" s="1"/>
  <c r="R318" i="17"/>
  <c r="AF318" i="17" s="1"/>
  <c r="R370" i="17"/>
  <c r="AF370" i="17" s="1"/>
  <c r="R430" i="17"/>
  <c r="AF430" i="17" s="1"/>
  <c r="R76" i="17"/>
  <c r="AF76" i="17" s="1"/>
  <c r="R139" i="17"/>
  <c r="AF139" i="17" s="1"/>
  <c r="R212" i="17"/>
  <c r="AF212" i="17" s="1"/>
  <c r="R244" i="17"/>
  <c r="AF244" i="17" s="1"/>
  <c r="R320" i="17"/>
  <c r="AF320" i="17" s="1"/>
  <c r="R356" i="17"/>
  <c r="AF356" i="17" s="1"/>
  <c r="R533" i="17"/>
  <c r="AF533" i="17" s="1"/>
  <c r="R723" i="17"/>
  <c r="AF723" i="17" s="1"/>
  <c r="R709" i="17"/>
  <c r="AF709" i="17" s="1"/>
  <c r="R35" i="17"/>
  <c r="AF35" i="17" s="1"/>
  <c r="R112" i="17"/>
  <c r="AF112" i="17" s="1"/>
  <c r="R170" i="17"/>
  <c r="AF170" i="17" s="1"/>
  <c r="R570" i="17"/>
  <c r="AF570" i="17" s="1"/>
  <c r="R574" i="17"/>
  <c r="AF574" i="17" s="1"/>
  <c r="R610" i="17"/>
  <c r="AF610" i="17" s="1"/>
  <c r="R664" i="17"/>
  <c r="AF664" i="17" s="1"/>
  <c r="R740" i="17"/>
  <c r="AF740" i="17" s="1"/>
  <c r="R25" i="17"/>
  <c r="AF25" i="17" s="1"/>
  <c r="R104" i="17"/>
  <c r="AF104" i="17" s="1"/>
  <c r="R628" i="17"/>
  <c r="AF628" i="17" s="1"/>
  <c r="R730" i="17"/>
  <c r="AF730" i="17" s="1"/>
  <c r="R729" i="17"/>
  <c r="R741" i="17"/>
  <c r="AF741" i="17" s="1"/>
  <c r="G78" i="16"/>
  <c r="X13" i="7" l="1"/>
  <c r="Y13" i="7"/>
  <c r="W13" i="7"/>
  <c r="A15" i="17" l="1"/>
  <c r="E15" i="17" s="1"/>
  <c r="I15" i="17" s="1"/>
  <c r="A16" i="17"/>
  <c r="E16" i="17" s="1"/>
  <c r="I16" i="17" s="1"/>
  <c r="B73" i="19" l="1"/>
  <c r="B74" i="19"/>
  <c r="B75" i="19"/>
  <c r="B71" i="19"/>
  <c r="B72" i="19"/>
  <c r="B63" i="19"/>
  <c r="B64" i="19"/>
  <c r="B65" i="19"/>
  <c r="B66" i="19"/>
  <c r="B67" i="19"/>
  <c r="B68" i="19"/>
  <c r="B69" i="19"/>
  <c r="B70" i="19"/>
  <c r="B56" i="19"/>
  <c r="B57" i="19"/>
  <c r="B58" i="19"/>
  <c r="B59" i="19"/>
  <c r="B60" i="19"/>
  <c r="B61" i="19"/>
  <c r="B62" i="19"/>
  <c r="B55" i="19" l="1"/>
  <c r="Z12" i="19" l="1"/>
  <c r="Z13" i="19"/>
  <c r="Z14" i="19"/>
  <c r="Z15" i="19"/>
  <c r="Z16" i="19"/>
  <c r="Z11" i="19"/>
  <c r="A364" i="19" l="1"/>
  <c r="A372" i="19"/>
  <c r="A380" i="19"/>
  <c r="A388" i="19"/>
  <c r="A396" i="19"/>
  <c r="A404" i="19"/>
  <c r="A412" i="19"/>
  <c r="A420" i="19"/>
  <c r="A428" i="19"/>
  <c r="A365" i="19"/>
  <c r="A373" i="19"/>
  <c r="A381" i="19"/>
  <c r="A389" i="19"/>
  <c r="A397" i="19"/>
  <c r="A405" i="19"/>
  <c r="A413" i="19"/>
  <c r="A421" i="19"/>
  <c r="A429" i="19"/>
  <c r="A362" i="19"/>
  <c r="A374" i="19"/>
  <c r="A384" i="19"/>
  <c r="A394" i="19"/>
  <c r="A406" i="19"/>
  <c r="A416" i="19"/>
  <c r="A426" i="19"/>
  <c r="A369" i="19"/>
  <c r="A379" i="19"/>
  <c r="A391" i="19"/>
  <c r="A401" i="19"/>
  <c r="A411" i="19"/>
  <c r="A423" i="19"/>
  <c r="A366" i="19"/>
  <c r="A378" i="19"/>
  <c r="A393" i="19"/>
  <c r="A408" i="19"/>
  <c r="A422" i="19"/>
  <c r="A368" i="19"/>
  <c r="A383" i="19"/>
  <c r="A398" i="19"/>
  <c r="A410" i="19"/>
  <c r="A425" i="19"/>
  <c r="A375" i="19"/>
  <c r="A387" i="19"/>
  <c r="A402" i="19"/>
  <c r="A417" i="19"/>
  <c r="A360" i="19"/>
  <c r="A371" i="19"/>
  <c r="A395" i="19"/>
  <c r="A418" i="19"/>
  <c r="A376" i="19"/>
  <c r="A399" i="19"/>
  <c r="A419" i="19"/>
  <c r="A377" i="19"/>
  <c r="A400" i="19"/>
  <c r="A424" i="19"/>
  <c r="A382" i="19"/>
  <c r="A403" i="19"/>
  <c r="A427" i="19"/>
  <c r="A363" i="19"/>
  <c r="A409" i="19"/>
  <c r="A367" i="19"/>
  <c r="A414" i="19"/>
  <c r="A370" i="19"/>
  <c r="A415" i="19"/>
  <c r="A385" i="19"/>
  <c r="A430" i="19"/>
  <c r="A386" i="19"/>
  <c r="A390" i="19"/>
  <c r="A392" i="19"/>
  <c r="A407" i="19"/>
  <c r="A361" i="19"/>
  <c r="A223" i="19"/>
  <c r="A231" i="19"/>
  <c r="A239" i="19"/>
  <c r="A247" i="19"/>
  <c r="A255" i="19"/>
  <c r="A263" i="19"/>
  <c r="A271" i="19"/>
  <c r="A279" i="19"/>
  <c r="A287" i="19"/>
  <c r="A224" i="19"/>
  <c r="A232" i="19"/>
  <c r="A240" i="19"/>
  <c r="A248" i="19"/>
  <c r="A256" i="19"/>
  <c r="A264" i="19"/>
  <c r="A272" i="19"/>
  <c r="A280" i="19"/>
  <c r="A288" i="19"/>
  <c r="A227" i="19"/>
  <c r="A237" i="19"/>
  <c r="A249" i="19"/>
  <c r="A259" i="19"/>
  <c r="A269" i="19"/>
  <c r="A281" i="19"/>
  <c r="A222" i="19"/>
  <c r="A234" i="19"/>
  <c r="A244" i="19"/>
  <c r="A254" i="19"/>
  <c r="A266" i="19"/>
  <c r="A276" i="19"/>
  <c r="A286" i="19"/>
  <c r="A221" i="19"/>
  <c r="A236" i="19"/>
  <c r="A251" i="19"/>
  <c r="A265" i="19"/>
  <c r="A278" i="19"/>
  <c r="A226" i="19"/>
  <c r="A241" i="19"/>
  <c r="A253" i="19"/>
  <c r="A268" i="19"/>
  <c r="A283" i="19"/>
  <c r="A218" i="19"/>
  <c r="A230" i="19"/>
  <c r="A245" i="19"/>
  <c r="A260" i="19"/>
  <c r="A274" i="19"/>
  <c r="A225" i="19"/>
  <c r="A246" i="19"/>
  <c r="A270" i="19"/>
  <c r="A228" i="19"/>
  <c r="A250" i="19"/>
  <c r="A273" i="19"/>
  <c r="A229" i="19"/>
  <c r="A252" i="19"/>
  <c r="A275" i="19"/>
  <c r="A233" i="19"/>
  <c r="A257" i="19"/>
  <c r="A277" i="19"/>
  <c r="A261" i="19"/>
  <c r="A219" i="19"/>
  <c r="A262" i="19"/>
  <c r="A220" i="19"/>
  <c r="A267" i="19"/>
  <c r="A235" i="19"/>
  <c r="A282" i="19"/>
  <c r="A238" i="19"/>
  <c r="A284" i="19"/>
  <c r="A242" i="19"/>
  <c r="A285" i="19"/>
  <c r="A243" i="19"/>
  <c r="A258" i="19"/>
  <c r="A146" i="19"/>
  <c r="A85" i="19"/>
  <c r="A93" i="19"/>
  <c r="A101" i="19"/>
  <c r="A109" i="19"/>
  <c r="A117" i="19"/>
  <c r="A125" i="19"/>
  <c r="A133" i="19"/>
  <c r="A141" i="19"/>
  <c r="A78" i="19"/>
  <c r="A86" i="19"/>
  <c r="A94" i="19"/>
  <c r="A102" i="19"/>
  <c r="A110" i="19"/>
  <c r="A118" i="19"/>
  <c r="A126" i="19"/>
  <c r="A134" i="19"/>
  <c r="A142" i="19"/>
  <c r="A83" i="19"/>
  <c r="A95" i="19"/>
  <c r="A105" i="19"/>
  <c r="A115" i="19"/>
  <c r="A127" i="19"/>
  <c r="A137" i="19"/>
  <c r="A80" i="19"/>
  <c r="A90" i="19"/>
  <c r="A100" i="19"/>
  <c r="A112" i="19"/>
  <c r="A122" i="19"/>
  <c r="A132" i="19"/>
  <c r="A144" i="19"/>
  <c r="A82" i="19"/>
  <c r="A97" i="19"/>
  <c r="A111" i="19"/>
  <c r="A124" i="19"/>
  <c r="A139" i="19"/>
  <c r="A87" i="19"/>
  <c r="A99" i="19"/>
  <c r="A114" i="19"/>
  <c r="A129" i="19"/>
  <c r="A143" i="19"/>
  <c r="A91" i="19"/>
  <c r="A106" i="19"/>
  <c r="A120" i="19"/>
  <c r="A135" i="19"/>
  <c r="A79" i="19"/>
  <c r="A103" i="19"/>
  <c r="A123" i="19"/>
  <c r="A77" i="19"/>
  <c r="A81" i="19"/>
  <c r="A104" i="19"/>
  <c r="A128" i="19"/>
  <c r="A84" i="19"/>
  <c r="A107" i="19"/>
  <c r="A130" i="19"/>
  <c r="A76" i="19"/>
  <c r="A88" i="19"/>
  <c r="A108" i="19"/>
  <c r="A131" i="19"/>
  <c r="A116" i="19"/>
  <c r="A119" i="19"/>
  <c r="A121" i="19"/>
  <c r="A89" i="19"/>
  <c r="A136" i="19"/>
  <c r="A92" i="19"/>
  <c r="A138" i="19"/>
  <c r="A96" i="19"/>
  <c r="A140" i="19"/>
  <c r="A98" i="19"/>
  <c r="A145" i="19"/>
  <c r="A113" i="19"/>
  <c r="A12" i="19"/>
  <c r="A20" i="19"/>
  <c r="A28" i="19"/>
  <c r="A36" i="19"/>
  <c r="A44" i="19"/>
  <c r="A52" i="19"/>
  <c r="A60" i="19"/>
  <c r="A13" i="19"/>
  <c r="A21" i="19"/>
  <c r="A29" i="19"/>
  <c r="A37" i="19"/>
  <c r="A45" i="19"/>
  <c r="A53" i="19"/>
  <c r="A6" i="19"/>
  <c r="A16" i="19"/>
  <c r="A26" i="19"/>
  <c r="A38" i="19"/>
  <c r="A48" i="19"/>
  <c r="A58" i="19"/>
  <c r="A67" i="19"/>
  <c r="A75" i="19"/>
  <c r="A11" i="19"/>
  <c r="A23" i="19"/>
  <c r="A33" i="19"/>
  <c r="A43" i="19"/>
  <c r="A55" i="19"/>
  <c r="A64" i="19"/>
  <c r="A72" i="19"/>
  <c r="A18" i="19"/>
  <c r="A32" i="19"/>
  <c r="A47" i="19"/>
  <c r="A61" i="19"/>
  <c r="A71" i="19"/>
  <c r="A8" i="19"/>
  <c r="A22" i="19"/>
  <c r="A35" i="19"/>
  <c r="A50" i="19"/>
  <c r="A63" i="19"/>
  <c r="A74" i="19"/>
  <c r="A14" i="19"/>
  <c r="A27" i="19"/>
  <c r="A41" i="19"/>
  <c r="A56" i="19"/>
  <c r="A68" i="19"/>
  <c r="A10" i="19"/>
  <c r="A34" i="19"/>
  <c r="A57" i="19"/>
  <c r="A5" i="19"/>
  <c r="A15" i="19"/>
  <c r="A39" i="19"/>
  <c r="A59" i="19"/>
  <c r="A17" i="19"/>
  <c r="A40" i="19"/>
  <c r="A62" i="19"/>
  <c r="A19" i="19"/>
  <c r="A42" i="19"/>
  <c r="A65" i="19"/>
  <c r="A49" i="19"/>
  <c r="A7" i="19"/>
  <c r="A51" i="19"/>
  <c r="A9" i="19"/>
  <c r="A54" i="19"/>
  <c r="A24" i="19"/>
  <c r="A66" i="19"/>
  <c r="A25" i="19"/>
  <c r="A69" i="19"/>
  <c r="A30" i="19"/>
  <c r="A70" i="19"/>
  <c r="A31" i="19"/>
  <c r="A73" i="19"/>
  <c r="A46" i="19"/>
  <c r="A294" i="19"/>
  <c r="A302" i="19"/>
  <c r="A310" i="19"/>
  <c r="A318" i="19"/>
  <c r="A326" i="19"/>
  <c r="A334" i="19"/>
  <c r="A342" i="19"/>
  <c r="A350" i="19"/>
  <c r="A358" i="19"/>
  <c r="A295" i="19"/>
  <c r="A303" i="19"/>
  <c r="A311" i="19"/>
  <c r="A319" i="19"/>
  <c r="A327" i="19"/>
  <c r="A335" i="19"/>
  <c r="A343" i="19"/>
  <c r="A351" i="19"/>
  <c r="A359" i="19"/>
  <c r="A296" i="19"/>
  <c r="A306" i="19"/>
  <c r="A316" i="19"/>
  <c r="A328" i="19"/>
  <c r="A338" i="19"/>
  <c r="A348" i="19"/>
  <c r="A289" i="19"/>
  <c r="A291" i="19"/>
  <c r="A301" i="19"/>
  <c r="A313" i="19"/>
  <c r="A323" i="19"/>
  <c r="A333" i="19"/>
  <c r="A345" i="19"/>
  <c r="A355" i="19"/>
  <c r="A293" i="19"/>
  <c r="A308" i="19"/>
  <c r="A322" i="19"/>
  <c r="A337" i="19"/>
  <c r="A352" i="19"/>
  <c r="A298" i="19"/>
  <c r="A312" i="19"/>
  <c r="A325" i="19"/>
  <c r="A340" i="19"/>
  <c r="A354" i="19"/>
  <c r="A304" i="19"/>
  <c r="A317" i="19"/>
  <c r="A331" i="19"/>
  <c r="A346" i="19"/>
  <c r="A299" i="19"/>
  <c r="A321" i="19"/>
  <c r="A344" i="19"/>
  <c r="A300" i="19"/>
  <c r="A324" i="19"/>
  <c r="A347" i="19"/>
  <c r="A305" i="19"/>
  <c r="A329" i="19"/>
  <c r="A349" i="19"/>
  <c r="A307" i="19"/>
  <c r="A330" i="19"/>
  <c r="A353" i="19"/>
  <c r="A314" i="19"/>
  <c r="A357" i="19"/>
  <c r="A315" i="19"/>
  <c r="A320" i="19"/>
  <c r="A332" i="19"/>
  <c r="A290" i="19"/>
  <c r="A336" i="19"/>
  <c r="A292" i="19"/>
  <c r="A339" i="19"/>
  <c r="A297" i="19"/>
  <c r="A341" i="19"/>
  <c r="A356" i="19"/>
  <c r="A309" i="19"/>
  <c r="A154" i="19"/>
  <c r="A162" i="19"/>
  <c r="A170" i="19"/>
  <c r="A178" i="19"/>
  <c r="A186" i="19"/>
  <c r="A194" i="19"/>
  <c r="A202" i="19"/>
  <c r="A210" i="19"/>
  <c r="A217" i="19"/>
  <c r="A155" i="19"/>
  <c r="A163" i="19"/>
  <c r="A171" i="19"/>
  <c r="A179" i="19"/>
  <c r="A187" i="19"/>
  <c r="A195" i="19"/>
  <c r="A203" i="19"/>
  <c r="A211" i="19"/>
  <c r="A150" i="19"/>
  <c r="A160" i="19"/>
  <c r="A172" i="19"/>
  <c r="A182" i="19"/>
  <c r="A192" i="19"/>
  <c r="A204" i="19"/>
  <c r="A214" i="19"/>
  <c r="A157" i="19"/>
  <c r="A167" i="19"/>
  <c r="A177" i="19"/>
  <c r="A189" i="19"/>
  <c r="A199" i="19"/>
  <c r="A209" i="19"/>
  <c r="A152" i="19"/>
  <c r="A166" i="19"/>
  <c r="A181" i="19"/>
  <c r="A196" i="19"/>
  <c r="A208" i="19"/>
  <c r="A156" i="19"/>
  <c r="A169" i="19"/>
  <c r="A184" i="19"/>
  <c r="A198" i="19"/>
  <c r="A213" i="19"/>
  <c r="A148" i="19"/>
  <c r="A161" i="19"/>
  <c r="A175" i="19"/>
  <c r="A190" i="19"/>
  <c r="A205" i="19"/>
  <c r="A147" i="19"/>
  <c r="A151" i="19"/>
  <c r="A174" i="19"/>
  <c r="A197" i="19"/>
  <c r="A153" i="19"/>
  <c r="A176" i="19"/>
  <c r="A200" i="19"/>
  <c r="A158" i="19"/>
  <c r="A180" i="19"/>
  <c r="A201" i="19"/>
  <c r="A159" i="19"/>
  <c r="A183" i="19"/>
  <c r="A206" i="19"/>
  <c r="A165" i="19"/>
  <c r="A212" i="19"/>
  <c r="A168" i="19"/>
  <c r="A215" i="19"/>
  <c r="A173" i="19"/>
  <c r="A216" i="19"/>
  <c r="A185" i="19"/>
  <c r="A188" i="19"/>
  <c r="A191" i="19"/>
  <c r="A149" i="19"/>
  <c r="A193" i="19"/>
  <c r="A207" i="19"/>
  <c r="A16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D207" i="19" l="1"/>
  <c r="B204" i="21" s="1"/>
  <c r="D209" i="19"/>
  <c r="B206" i="21" s="1"/>
  <c r="D331" i="19"/>
  <c r="B328" i="21" s="1"/>
  <c r="D323" i="19"/>
  <c r="B320" i="21" s="1"/>
  <c r="D319" i="19"/>
  <c r="B316" i="21" s="1"/>
  <c r="D326" i="19"/>
  <c r="B323" i="21" s="1"/>
  <c r="D51" i="19"/>
  <c r="B48" i="21" s="1"/>
  <c r="D68" i="19"/>
  <c r="B65" i="21" s="1"/>
  <c r="D72" i="19"/>
  <c r="B69" i="21" s="1"/>
  <c r="D67" i="19"/>
  <c r="B64" i="21" s="1"/>
  <c r="D45" i="19"/>
  <c r="B42" i="21" s="1"/>
  <c r="D96" i="19"/>
  <c r="B93" i="21" s="1"/>
  <c r="D131" i="19"/>
  <c r="B128" i="21" s="1"/>
  <c r="D104" i="19"/>
  <c r="B101" i="21" s="1"/>
  <c r="D106" i="19"/>
  <c r="B103" i="21" s="1"/>
  <c r="D124" i="19"/>
  <c r="B121" i="21" s="1"/>
  <c r="D100" i="19"/>
  <c r="B97" i="21" s="1"/>
  <c r="D83" i="19"/>
  <c r="B80" i="21" s="1"/>
  <c r="D93" i="19"/>
  <c r="B90" i="21" s="1"/>
  <c r="D228" i="19"/>
  <c r="B225" i="21" s="1"/>
  <c r="D251" i="19"/>
  <c r="B248" i="21" s="1"/>
  <c r="D288" i="19"/>
  <c r="B285" i="21" s="1"/>
  <c r="D231" i="19"/>
  <c r="B228" i="21" s="1"/>
  <c r="D403" i="19"/>
  <c r="B400" i="21" s="1"/>
  <c r="D425" i="19"/>
  <c r="B422" i="21" s="1"/>
  <c r="D421" i="19"/>
  <c r="B418" i="21" s="1"/>
  <c r="D158" i="19"/>
  <c r="B155" i="21" s="1"/>
  <c r="D169" i="19"/>
  <c r="B166" i="21" s="1"/>
  <c r="D179" i="19"/>
  <c r="B176" i="21" s="1"/>
  <c r="D347" i="19"/>
  <c r="B344" i="21" s="1"/>
  <c r="D337" i="19"/>
  <c r="B334" i="21" s="1"/>
  <c r="D311" i="19"/>
  <c r="B308" i="21" s="1"/>
  <c r="D7" i="19"/>
  <c r="B4" i="21" s="1"/>
  <c r="D22" i="19"/>
  <c r="B19" i="21" s="1"/>
  <c r="D138" i="19"/>
  <c r="B135" i="21" s="1"/>
  <c r="D111" i="19"/>
  <c r="B108" i="21" s="1"/>
  <c r="D78" i="19"/>
  <c r="B75" i="21" s="1"/>
  <c r="D270" i="19"/>
  <c r="B267" i="21" s="1"/>
  <c r="D280" i="19"/>
  <c r="B277" i="21" s="1"/>
  <c r="D416" i="19"/>
  <c r="B413" i="21" s="1"/>
  <c r="D200" i="19"/>
  <c r="B197" i="21" s="1"/>
  <c r="D189" i="19"/>
  <c r="B186" i="21" s="1"/>
  <c r="D178" i="19"/>
  <c r="B175" i="21" s="1"/>
  <c r="D324" i="19"/>
  <c r="B321" i="21" s="1"/>
  <c r="D301" i="19"/>
  <c r="B298" i="21" s="1"/>
  <c r="D303" i="19"/>
  <c r="B300" i="21" s="1"/>
  <c r="D69" i="19"/>
  <c r="B66" i="21" s="1"/>
  <c r="D39" i="19"/>
  <c r="B36" i="21" s="1"/>
  <c r="D41" i="19"/>
  <c r="B38" i="21" s="1"/>
  <c r="D55" i="19"/>
  <c r="B52" i="21" s="1"/>
  <c r="D20" i="19"/>
  <c r="B17" i="21" s="1"/>
  <c r="D77" i="19"/>
  <c r="B74" i="21" s="1"/>
  <c r="D97" i="19"/>
  <c r="B94" i="21" s="1"/>
  <c r="D134" i="19"/>
  <c r="B131" i="21" s="1"/>
  <c r="D141" i="19"/>
  <c r="B138" i="21" s="1"/>
  <c r="D235" i="19"/>
  <c r="B232" i="21" s="1"/>
  <c r="D268" i="19"/>
  <c r="B265" i="21" s="1"/>
  <c r="D281" i="19"/>
  <c r="B278" i="21" s="1"/>
  <c r="D272" i="19"/>
  <c r="B269" i="21" s="1"/>
  <c r="D370" i="19"/>
  <c r="B367" i="21" s="1"/>
  <c r="D424" i="19"/>
  <c r="B421" i="21" s="1"/>
  <c r="D371" i="19"/>
  <c r="B368" i="21" s="1"/>
  <c r="D398" i="19"/>
  <c r="B395" i="21" s="1"/>
  <c r="D423" i="19"/>
  <c r="B420" i="21" s="1"/>
  <c r="D406" i="19"/>
  <c r="B403" i="21" s="1"/>
  <c r="D176" i="19"/>
  <c r="B173" i="21" s="1"/>
  <c r="D160" i="19"/>
  <c r="B157" i="21" s="1"/>
  <c r="D292" i="19"/>
  <c r="B289" i="21" s="1"/>
  <c r="D300" i="19"/>
  <c r="B297" i="21" s="1"/>
  <c r="D291" i="19"/>
  <c r="B288" i="21" s="1"/>
  <c r="D359" i="19"/>
  <c r="B356" i="21" s="1"/>
  <c r="D295" i="19"/>
  <c r="B292" i="21" s="1"/>
  <c r="D302" i="19"/>
  <c r="B299" i="21" s="1"/>
  <c r="D65" i="19"/>
  <c r="B62" i="21" s="1"/>
  <c r="D27" i="19"/>
  <c r="B24" i="21" s="1"/>
  <c r="D71" i="19"/>
  <c r="B68" i="21" s="1"/>
  <c r="D43" i="19"/>
  <c r="B40" i="21" s="1"/>
  <c r="D38" i="19"/>
  <c r="B35" i="21" s="1"/>
  <c r="D21" i="19"/>
  <c r="B18" i="21" s="1"/>
  <c r="D12" i="19"/>
  <c r="B9" i="21" s="1"/>
  <c r="D136" i="19"/>
  <c r="B133" i="21" s="1"/>
  <c r="D76" i="19"/>
  <c r="B73" i="21" s="1"/>
  <c r="D123" i="19"/>
  <c r="B120" i="21" s="1"/>
  <c r="D129" i="19"/>
  <c r="B126" i="21" s="1"/>
  <c r="D82" i="19"/>
  <c r="B79" i="21" s="1"/>
  <c r="D137" i="19"/>
  <c r="B134" i="21" s="1"/>
  <c r="D126" i="19"/>
  <c r="B123" i="21" s="1"/>
  <c r="D133" i="19"/>
  <c r="B130" i="21" s="1"/>
  <c r="D258" i="19"/>
  <c r="B255" i="21" s="1"/>
  <c r="D267" i="19"/>
  <c r="B264" i="21" s="1"/>
  <c r="D275" i="19"/>
  <c r="B272" i="21" s="1"/>
  <c r="D225" i="19"/>
  <c r="B222" i="21" s="1"/>
  <c r="D253" i="19"/>
  <c r="B250" i="21" s="1"/>
  <c r="D286" i="19"/>
  <c r="B283" i="21" s="1"/>
  <c r="D269" i="19"/>
  <c r="B266" i="21" s="1"/>
  <c r="D264" i="19"/>
  <c r="B261" i="21" s="1"/>
  <c r="D271" i="19"/>
  <c r="B268" i="21" s="1"/>
  <c r="D407" i="19"/>
  <c r="B404" i="21" s="1"/>
  <c r="D414" i="19"/>
  <c r="B411" i="21" s="1"/>
  <c r="D400" i="19"/>
  <c r="B397" i="21" s="1"/>
  <c r="D360" i="19"/>
  <c r="B357" i="21" s="1"/>
  <c r="D383" i="19"/>
  <c r="B380" i="21" s="1"/>
  <c r="D411" i="19"/>
  <c r="B408" i="21" s="1"/>
  <c r="D394" i="19"/>
  <c r="B391" i="21" s="1"/>
  <c r="D397" i="19"/>
  <c r="B394" i="21" s="1"/>
  <c r="D404" i="19"/>
  <c r="B401" i="21" s="1"/>
  <c r="D188" i="19"/>
  <c r="B185" i="21" s="1"/>
  <c r="D206" i="19"/>
  <c r="B203" i="21" s="1"/>
  <c r="D153" i="19"/>
  <c r="B150" i="21" s="1"/>
  <c r="D161" i="19"/>
  <c r="B158" i="21" s="1"/>
  <c r="D196" i="19"/>
  <c r="B193" i="21" s="1"/>
  <c r="D167" i="19"/>
  <c r="B164" i="21" s="1"/>
  <c r="D150" i="19"/>
  <c r="B147" i="21" s="1"/>
  <c r="D155" i="19"/>
  <c r="B152" i="21" s="1"/>
  <c r="D162" i="19"/>
  <c r="B159" i="21" s="1"/>
  <c r="D336" i="19"/>
  <c r="B333" i="21" s="1"/>
  <c r="D330" i="19"/>
  <c r="B327" i="21" s="1"/>
  <c r="D344" i="19"/>
  <c r="B341" i="21" s="1"/>
  <c r="D340" i="19"/>
  <c r="B337" i="21" s="1"/>
  <c r="D293" i="19"/>
  <c r="B290" i="21" s="1"/>
  <c r="D289" i="19"/>
  <c r="B286" i="21" s="1"/>
  <c r="D351" i="19"/>
  <c r="B348" i="21" s="1"/>
  <c r="D358" i="19"/>
  <c r="B355" i="21" s="1"/>
  <c r="D294" i="19"/>
  <c r="B291" i="21" s="1"/>
  <c r="D66" i="19"/>
  <c r="B63" i="21" s="1"/>
  <c r="D42" i="19"/>
  <c r="B39" i="21" s="1"/>
  <c r="D5" i="19"/>
  <c r="B2" i="21" s="1"/>
  <c r="D14" i="19"/>
  <c r="B11" i="21" s="1"/>
  <c r="D61" i="19"/>
  <c r="B58" i="21" s="1"/>
  <c r="D33" i="19"/>
  <c r="B30" i="21" s="1"/>
  <c r="D26" i="19"/>
  <c r="B23" i="21" s="1"/>
  <c r="D13" i="19"/>
  <c r="B10" i="21" s="1"/>
  <c r="D113" i="19"/>
  <c r="B110" i="21" s="1"/>
  <c r="D89" i="19"/>
  <c r="B86" i="21" s="1"/>
  <c r="D130" i="19"/>
  <c r="B127" i="21" s="1"/>
  <c r="D103" i="19"/>
  <c r="B100" i="21" s="1"/>
  <c r="D114" i="19"/>
  <c r="B111" i="21" s="1"/>
  <c r="D144" i="19"/>
  <c r="B141" i="21" s="1"/>
  <c r="D127" i="19"/>
  <c r="B124" i="21" s="1"/>
  <c r="D118" i="19"/>
  <c r="B115" i="21" s="1"/>
  <c r="D125" i="19"/>
  <c r="B122" i="21" s="1"/>
  <c r="D243" i="19"/>
  <c r="B240" i="21" s="1"/>
  <c r="D220" i="19"/>
  <c r="B217" i="21" s="1"/>
  <c r="D252" i="19"/>
  <c r="B249" i="21" s="1"/>
  <c r="D274" i="19"/>
  <c r="B271" i="21" s="1"/>
  <c r="D241" i="19"/>
  <c r="B238" i="21" s="1"/>
  <c r="D276" i="19"/>
  <c r="B273" i="21" s="1"/>
  <c r="D259" i="19"/>
  <c r="B256" i="21" s="1"/>
  <c r="D256" i="19"/>
  <c r="B253" i="21" s="1"/>
  <c r="D263" i="19"/>
  <c r="B260" i="21" s="1"/>
  <c r="D392" i="19"/>
  <c r="B389" i="21" s="1"/>
  <c r="D367" i="19"/>
  <c r="B364" i="21" s="1"/>
  <c r="D377" i="19"/>
  <c r="B374" i="21" s="1"/>
  <c r="D417" i="19"/>
  <c r="B414" i="21" s="1"/>
  <c r="D368" i="19"/>
  <c r="B365" i="21" s="1"/>
  <c r="D401" i="19"/>
  <c r="B398" i="21" s="1"/>
  <c r="D384" i="19"/>
  <c r="B381" i="21" s="1"/>
  <c r="D389" i="19"/>
  <c r="B386" i="21" s="1"/>
  <c r="D396" i="19"/>
  <c r="B393" i="21" s="1"/>
  <c r="D215" i="19"/>
  <c r="B212" i="21" s="1"/>
  <c r="D184" i="19"/>
  <c r="B181" i="21" s="1"/>
  <c r="D315" i="19"/>
  <c r="B312" i="21" s="1"/>
  <c r="D17" i="19"/>
  <c r="B14" i="21" s="1"/>
  <c r="D238" i="19"/>
  <c r="B235" i="21" s="1"/>
  <c r="D277" i="19"/>
  <c r="B274" i="21" s="1"/>
  <c r="D218" i="19"/>
  <c r="B215" i="21" s="1"/>
  <c r="D234" i="19"/>
  <c r="B231" i="21" s="1"/>
  <c r="D224" i="19"/>
  <c r="B221" i="21" s="1"/>
  <c r="D385" i="19"/>
  <c r="B382" i="21" s="1"/>
  <c r="D418" i="19"/>
  <c r="B415" i="21" s="1"/>
  <c r="D378" i="19"/>
  <c r="B375" i="21" s="1"/>
  <c r="D364" i="19"/>
  <c r="B361" i="21" s="1"/>
  <c r="D168" i="19"/>
  <c r="B165" i="21" s="1"/>
  <c r="D199" i="19"/>
  <c r="B196" i="21" s="1"/>
  <c r="D297" i="19"/>
  <c r="B294" i="21" s="1"/>
  <c r="D313" i="19"/>
  <c r="B310" i="21" s="1"/>
  <c r="D318" i="19"/>
  <c r="B315" i="21" s="1"/>
  <c r="D56" i="19"/>
  <c r="B53" i="21" s="1"/>
  <c r="D58" i="19"/>
  <c r="B55" i="21" s="1"/>
  <c r="D37" i="19"/>
  <c r="B34" i="21" s="1"/>
  <c r="D108" i="19"/>
  <c r="B105" i="21" s="1"/>
  <c r="D91" i="19"/>
  <c r="B88" i="21" s="1"/>
  <c r="D142" i="19"/>
  <c r="B139" i="21" s="1"/>
  <c r="D85" i="19"/>
  <c r="B82" i="21" s="1"/>
  <c r="D257" i="19"/>
  <c r="B254" i="21" s="1"/>
  <c r="D283" i="19"/>
  <c r="B280" i="21" s="1"/>
  <c r="D236" i="19"/>
  <c r="B233" i="21" s="1"/>
  <c r="D222" i="19"/>
  <c r="B219" i="21" s="1"/>
  <c r="D223" i="19"/>
  <c r="B220" i="21" s="1"/>
  <c r="D382" i="19"/>
  <c r="B379" i="21" s="1"/>
  <c r="D410" i="19"/>
  <c r="B407" i="21" s="1"/>
  <c r="D366" i="19"/>
  <c r="B363" i="21" s="1"/>
  <c r="D413" i="19"/>
  <c r="B410" i="21" s="1"/>
  <c r="D212" i="19"/>
  <c r="B209" i="21" s="1"/>
  <c r="D156" i="19"/>
  <c r="B153" i="21" s="1"/>
  <c r="D339" i="19"/>
  <c r="B336" i="21" s="1"/>
  <c r="D304" i="19"/>
  <c r="B301" i="21" s="1"/>
  <c r="D296" i="19"/>
  <c r="B293" i="21" s="1"/>
  <c r="D49" i="19"/>
  <c r="B46" i="21" s="1"/>
  <c r="D48" i="19"/>
  <c r="B45" i="21" s="1"/>
  <c r="D29" i="19"/>
  <c r="B26" i="21" s="1"/>
  <c r="D92" i="19"/>
  <c r="B89" i="21" s="1"/>
  <c r="D143" i="19"/>
  <c r="B140" i="21" s="1"/>
  <c r="D80" i="19"/>
  <c r="B77" i="21" s="1"/>
  <c r="D146" i="19"/>
  <c r="B143" i="21" s="1"/>
  <c r="D361" i="19"/>
  <c r="B358" i="21" s="1"/>
  <c r="D405" i="19"/>
  <c r="B402" i="21" s="1"/>
  <c r="D191" i="19"/>
  <c r="B188" i="21" s="1"/>
  <c r="D175" i="19"/>
  <c r="B172" i="21" s="1"/>
  <c r="D177" i="19"/>
  <c r="B174" i="21" s="1"/>
  <c r="D170" i="19"/>
  <c r="B167" i="21" s="1"/>
  <c r="D308" i="19"/>
  <c r="B305" i="21" s="1"/>
  <c r="D15" i="19"/>
  <c r="B12" i="21" s="1"/>
  <c r="D183" i="19"/>
  <c r="B180" i="21" s="1"/>
  <c r="D148" i="19"/>
  <c r="B145" i="21" s="1"/>
  <c r="D181" i="19"/>
  <c r="B178" i="21" s="1"/>
  <c r="D157" i="19"/>
  <c r="B154" i="21" s="1"/>
  <c r="D290" i="19"/>
  <c r="B287" i="21" s="1"/>
  <c r="D355" i="19"/>
  <c r="B352" i="21" s="1"/>
  <c r="D343" i="19"/>
  <c r="B340" i="21" s="1"/>
  <c r="D350" i="19"/>
  <c r="B347" i="21" s="1"/>
  <c r="D24" i="19"/>
  <c r="B21" i="21" s="1"/>
  <c r="D19" i="19"/>
  <c r="B16" i="21" s="1"/>
  <c r="D74" i="19"/>
  <c r="B71" i="21" s="1"/>
  <c r="D23" i="19"/>
  <c r="B20" i="21" s="1"/>
  <c r="D60" i="19"/>
  <c r="B57" i="21" s="1"/>
  <c r="D121" i="19"/>
  <c r="B118" i="21" s="1"/>
  <c r="D79" i="19"/>
  <c r="B76" i="21" s="1"/>
  <c r="D132" i="19"/>
  <c r="B129" i="21" s="1"/>
  <c r="D115" i="19"/>
  <c r="B112" i="21" s="1"/>
  <c r="D117" i="19"/>
  <c r="B114" i="21" s="1"/>
  <c r="D285" i="19"/>
  <c r="B282" i="21" s="1"/>
  <c r="D262" i="19"/>
  <c r="B259" i="21" s="1"/>
  <c r="D260" i="19"/>
  <c r="B257" i="21" s="1"/>
  <c r="D226" i="19"/>
  <c r="B223" i="21" s="1"/>
  <c r="D266" i="19"/>
  <c r="B263" i="21" s="1"/>
  <c r="D249" i="19"/>
  <c r="B246" i="21" s="1"/>
  <c r="D248" i="19"/>
  <c r="B245" i="21" s="1"/>
  <c r="D255" i="19"/>
  <c r="B252" i="21" s="1"/>
  <c r="D390" i="19"/>
  <c r="B387" i="21" s="1"/>
  <c r="D409" i="19"/>
  <c r="B406" i="21" s="1"/>
  <c r="D419" i="19"/>
  <c r="B416" i="21" s="1"/>
  <c r="D402" i="19"/>
  <c r="B399" i="21" s="1"/>
  <c r="D422" i="19"/>
  <c r="B419" i="21" s="1"/>
  <c r="D391" i="19"/>
  <c r="B388" i="21" s="1"/>
  <c r="D374" i="19"/>
  <c r="B371" i="21" s="1"/>
  <c r="D388" i="19"/>
  <c r="B385" i="21" s="1"/>
  <c r="D216" i="19"/>
  <c r="B213" i="21" s="1"/>
  <c r="D159" i="19"/>
  <c r="B156" i="21" s="1"/>
  <c r="D174" i="19"/>
  <c r="B171" i="21" s="1"/>
  <c r="D213" i="19"/>
  <c r="B210" i="21" s="1"/>
  <c r="D166" i="19"/>
  <c r="B163" i="21" s="1"/>
  <c r="D214" i="19"/>
  <c r="B211" i="21" s="1"/>
  <c r="D203" i="19"/>
  <c r="B200" i="21" s="1"/>
  <c r="D210" i="19"/>
  <c r="B207" i="21" s="1"/>
  <c r="D309" i="19"/>
  <c r="B306" i="21" s="1"/>
  <c r="D332" i="19"/>
  <c r="B329" i="21" s="1"/>
  <c r="D349" i="19"/>
  <c r="B346" i="21" s="1"/>
  <c r="D299" i="19"/>
  <c r="B296" i="21" s="1"/>
  <c r="D312" i="19"/>
  <c r="B309" i="21" s="1"/>
  <c r="D345" i="19"/>
  <c r="B342" i="21" s="1"/>
  <c r="D338" i="19"/>
  <c r="B335" i="21" s="1"/>
  <c r="D335" i="19"/>
  <c r="B332" i="21" s="1"/>
  <c r="D342" i="19"/>
  <c r="B339" i="21" s="1"/>
  <c r="D73" i="19"/>
  <c r="B70" i="21" s="1"/>
  <c r="D54" i="19"/>
  <c r="B51" i="21" s="1"/>
  <c r="D62" i="19"/>
  <c r="B59" i="21" s="1"/>
  <c r="D34" i="19"/>
  <c r="B31" i="21" s="1"/>
  <c r="D63" i="19"/>
  <c r="B60" i="21" s="1"/>
  <c r="D32" i="19"/>
  <c r="B29" i="21" s="1"/>
  <c r="D11" i="19"/>
  <c r="B8" i="21" s="1"/>
  <c r="D6" i="19"/>
  <c r="B3" i="21" s="1"/>
  <c r="D52" i="19"/>
  <c r="B49" i="21" s="1"/>
  <c r="D98" i="19"/>
  <c r="B95" i="21" s="1"/>
  <c r="D119" i="19"/>
  <c r="B116" i="21" s="1"/>
  <c r="D84" i="19"/>
  <c r="B81" i="21" s="1"/>
  <c r="D135" i="19"/>
  <c r="B132" i="21" s="1"/>
  <c r="D87" i="19"/>
  <c r="B84" i="21" s="1"/>
  <c r="D122" i="19"/>
  <c r="B119" i="21" s="1"/>
  <c r="D105" i="19"/>
  <c r="B102" i="21" s="1"/>
  <c r="D102" i="19"/>
  <c r="B99" i="21" s="1"/>
  <c r="D109" i="19"/>
  <c r="B106" i="21" s="1"/>
  <c r="D242" i="19"/>
  <c r="B239" i="21" s="1"/>
  <c r="D219" i="19"/>
  <c r="B216" i="21" s="1"/>
  <c r="D273" i="19"/>
  <c r="B270" i="21" s="1"/>
  <c r="D245" i="19"/>
  <c r="B242" i="21" s="1"/>
  <c r="D278" i="19"/>
  <c r="B275" i="21" s="1"/>
  <c r="D254" i="19"/>
  <c r="B251" i="21" s="1"/>
  <c r="D237" i="19"/>
  <c r="B234" i="21" s="1"/>
  <c r="D240" i="19"/>
  <c r="B237" i="21" s="1"/>
  <c r="D247" i="19"/>
  <c r="B244" i="21" s="1"/>
  <c r="D386" i="19"/>
  <c r="B383" i="21" s="1"/>
  <c r="D363" i="19"/>
  <c r="B360" i="21" s="1"/>
  <c r="D399" i="19"/>
  <c r="B396" i="21" s="1"/>
  <c r="D387" i="19"/>
  <c r="B384" i="21" s="1"/>
  <c r="D408" i="19"/>
  <c r="B405" i="21" s="1"/>
  <c r="D379" i="19"/>
  <c r="B376" i="21" s="1"/>
  <c r="D362" i="19"/>
  <c r="B359" i="21" s="1"/>
  <c r="D373" i="19"/>
  <c r="B370" i="21" s="1"/>
  <c r="D380" i="19"/>
  <c r="B377" i="21" s="1"/>
  <c r="D180" i="19"/>
  <c r="B177" i="21" s="1"/>
  <c r="D147" i="19"/>
  <c r="B144" i="21" s="1"/>
  <c r="D192" i="19"/>
  <c r="B189" i="21" s="1"/>
  <c r="D187" i="19"/>
  <c r="B184" i="21" s="1"/>
  <c r="D194" i="19"/>
  <c r="B191" i="21" s="1"/>
  <c r="D341" i="19"/>
  <c r="B338" i="21" s="1"/>
  <c r="D305" i="19"/>
  <c r="B302" i="21" s="1"/>
  <c r="D352" i="19"/>
  <c r="B349" i="21" s="1"/>
  <c r="D316" i="19"/>
  <c r="B313" i="21" s="1"/>
  <c r="D70" i="19"/>
  <c r="B67" i="21" s="1"/>
  <c r="D35" i="19"/>
  <c r="B32" i="21" s="1"/>
  <c r="D36" i="19"/>
  <c r="B33" i="21" s="1"/>
  <c r="D86" i="19"/>
  <c r="B83" i="21" s="1"/>
  <c r="D426" i="19"/>
  <c r="B423" i="21" s="1"/>
  <c r="D428" i="19"/>
  <c r="B425" i="21" s="1"/>
  <c r="D193" i="19"/>
  <c r="B190" i="21" s="1"/>
  <c r="D205" i="19"/>
  <c r="B202" i="21" s="1"/>
  <c r="D182" i="19"/>
  <c r="B179" i="21" s="1"/>
  <c r="D186" i="19"/>
  <c r="B183" i="21" s="1"/>
  <c r="D357" i="19"/>
  <c r="B354" i="21" s="1"/>
  <c r="D317" i="19"/>
  <c r="B314" i="21" s="1"/>
  <c r="D306" i="19"/>
  <c r="B303" i="21" s="1"/>
  <c r="D30" i="19"/>
  <c r="B27" i="21" s="1"/>
  <c r="D59" i="19"/>
  <c r="B56" i="21" s="1"/>
  <c r="D64" i="19"/>
  <c r="B61" i="21" s="1"/>
  <c r="D28" i="19"/>
  <c r="B25" i="21" s="1"/>
  <c r="D81" i="19"/>
  <c r="B78" i="21" s="1"/>
  <c r="D90" i="19"/>
  <c r="B87" i="21" s="1"/>
  <c r="D282" i="19"/>
  <c r="B279" i="21" s="1"/>
  <c r="D287" i="19"/>
  <c r="B284" i="21" s="1"/>
  <c r="D415" i="19"/>
  <c r="B412" i="21" s="1"/>
  <c r="D395" i="19"/>
  <c r="B392" i="21" s="1"/>
  <c r="D420" i="19"/>
  <c r="B417" i="21" s="1"/>
  <c r="D149" i="19"/>
  <c r="B146" i="21" s="1"/>
  <c r="D190" i="19"/>
  <c r="B187" i="21" s="1"/>
  <c r="D172" i="19"/>
  <c r="B169" i="21" s="1"/>
  <c r="D171" i="19"/>
  <c r="B168" i="21" s="1"/>
  <c r="D314" i="19"/>
  <c r="B311" i="21" s="1"/>
  <c r="D322" i="19"/>
  <c r="B319" i="21" s="1"/>
  <c r="D310" i="19"/>
  <c r="B307" i="21" s="1"/>
  <c r="D8" i="19"/>
  <c r="B5" i="21" s="1"/>
  <c r="D88" i="19"/>
  <c r="B85" i="21" s="1"/>
  <c r="D233" i="19"/>
  <c r="B230" i="21" s="1"/>
  <c r="D246" i="19"/>
  <c r="B243" i="21" s="1"/>
  <c r="D221" i="19"/>
  <c r="B218" i="21" s="1"/>
  <c r="D279" i="19"/>
  <c r="B276" i="21" s="1"/>
  <c r="D412" i="19"/>
  <c r="B409" i="21" s="1"/>
  <c r="D165" i="19"/>
  <c r="B162" i="21" s="1"/>
  <c r="D208" i="19"/>
  <c r="B205" i="21" s="1"/>
  <c r="D163" i="19"/>
  <c r="B160" i="21" s="1"/>
  <c r="D353" i="19"/>
  <c r="B350" i="21" s="1"/>
  <c r="D354" i="19"/>
  <c r="B351" i="21" s="1"/>
  <c r="D25" i="19"/>
  <c r="B22" i="21" s="1"/>
  <c r="D185" i="19"/>
  <c r="B182" i="21" s="1"/>
  <c r="D197" i="19"/>
  <c r="B194" i="21" s="1"/>
  <c r="D211" i="19"/>
  <c r="B208" i="21" s="1"/>
  <c r="D217" i="19"/>
  <c r="B214" i="21" s="1"/>
  <c r="D154" i="19"/>
  <c r="B151" i="21" s="1"/>
  <c r="D307" i="19"/>
  <c r="B304" i="21" s="1"/>
  <c r="D321" i="19"/>
  <c r="B318" i="21" s="1"/>
  <c r="D325" i="19"/>
  <c r="B322" i="21" s="1"/>
  <c r="D348" i="19"/>
  <c r="B345" i="21" s="1"/>
  <c r="D46" i="19"/>
  <c r="B43" i="21" s="1"/>
  <c r="D57" i="19"/>
  <c r="B54" i="21" s="1"/>
  <c r="D47" i="19"/>
  <c r="B44" i="21" s="1"/>
  <c r="D16" i="19"/>
  <c r="B13" i="21" s="1"/>
  <c r="D145" i="19"/>
  <c r="B142" i="21" s="1"/>
  <c r="D107" i="19"/>
  <c r="B104" i="21" s="1"/>
  <c r="D99" i="19"/>
  <c r="B96" i="21" s="1"/>
  <c r="D110" i="19"/>
  <c r="B107" i="21" s="1"/>
  <c r="D229" i="19"/>
  <c r="B226" i="21" s="1"/>
  <c r="D381" i="19"/>
  <c r="B378" i="21" s="1"/>
  <c r="D164" i="19"/>
  <c r="B161" i="21" s="1"/>
  <c r="D173" i="19"/>
  <c r="B170" i="21" s="1"/>
  <c r="D201" i="19"/>
  <c r="B198" i="21" s="1"/>
  <c r="D151" i="19"/>
  <c r="B148" i="21" s="1"/>
  <c r="D198" i="19"/>
  <c r="B195" i="21" s="1"/>
  <c r="D152" i="19"/>
  <c r="B149" i="21" s="1"/>
  <c r="D204" i="19"/>
  <c r="B201" i="21" s="1"/>
  <c r="D195" i="19"/>
  <c r="B192" i="21" s="1"/>
  <c r="D202" i="19"/>
  <c r="B199" i="21" s="1"/>
  <c r="D356" i="19"/>
  <c r="B353" i="21" s="1"/>
  <c r="D320" i="19"/>
  <c r="B317" i="21" s="1"/>
  <c r="D329" i="19"/>
  <c r="B326" i="21" s="1"/>
  <c r="D346" i="19"/>
  <c r="B343" i="21" s="1"/>
  <c r="D298" i="19"/>
  <c r="B295" i="21" s="1"/>
  <c r="D333" i="19"/>
  <c r="B330" i="21" s="1"/>
  <c r="D328" i="19"/>
  <c r="B325" i="21" s="1"/>
  <c r="D327" i="19"/>
  <c r="B324" i="21" s="1"/>
  <c r="D334" i="19"/>
  <c r="B331" i="21" s="1"/>
  <c r="D31" i="19"/>
  <c r="B28" i="21" s="1"/>
  <c r="D9" i="19"/>
  <c r="B6" i="21" s="1"/>
  <c r="D40" i="19"/>
  <c r="B37" i="21" s="1"/>
  <c r="D10" i="19"/>
  <c r="B7" i="21" s="1"/>
  <c r="D50" i="19"/>
  <c r="B47" i="21" s="1"/>
  <c r="D18" i="19"/>
  <c r="B15" i="21" s="1"/>
  <c r="D75" i="19"/>
  <c r="B72" i="21" s="1"/>
  <c r="D53" i="19"/>
  <c r="B50" i="21" s="1"/>
  <c r="D44" i="19"/>
  <c r="B41" i="21" s="1"/>
  <c r="D140" i="19"/>
  <c r="B137" i="21" s="1"/>
  <c r="D116" i="19"/>
  <c r="B113" i="21" s="1"/>
  <c r="D128" i="19"/>
  <c r="B125" i="21" s="1"/>
  <c r="D120" i="19"/>
  <c r="B117" i="21" s="1"/>
  <c r="D139" i="19"/>
  <c r="B136" i="21" s="1"/>
  <c r="D112" i="19"/>
  <c r="B109" i="21" s="1"/>
  <c r="D95" i="19"/>
  <c r="B92" i="21" s="1"/>
  <c r="D94" i="19"/>
  <c r="B91" i="21" s="1"/>
  <c r="D101" i="19"/>
  <c r="B98" i="21" s="1"/>
  <c r="D284" i="19"/>
  <c r="B281" i="21" s="1"/>
  <c r="D261" i="19"/>
  <c r="B258" i="21" s="1"/>
  <c r="D250" i="19"/>
  <c r="B247" i="21" s="1"/>
  <c r="D230" i="19"/>
  <c r="B227" i="21" s="1"/>
  <c r="D265" i="19"/>
  <c r="B262" i="21" s="1"/>
  <c r="D244" i="19"/>
  <c r="B241" i="21" s="1"/>
  <c r="D227" i="19"/>
  <c r="B224" i="21" s="1"/>
  <c r="D232" i="19"/>
  <c r="B229" i="21" s="1"/>
  <c r="D239" i="19"/>
  <c r="B236" i="21" s="1"/>
  <c r="D430" i="19"/>
  <c r="B427" i="21" s="1"/>
  <c r="D427" i="19"/>
  <c r="B424" i="21" s="1"/>
  <c r="D376" i="19"/>
  <c r="B373" i="21" s="1"/>
  <c r="D375" i="19"/>
  <c r="B372" i="21" s="1"/>
  <c r="D393" i="19"/>
  <c r="B390" i="21" s="1"/>
  <c r="D369" i="19"/>
  <c r="B366" i="21" s="1"/>
  <c r="D429" i="19"/>
  <c r="B426" i="21" s="1"/>
  <c r="D365" i="19"/>
  <c r="B362" i="21" s="1"/>
  <c r="D372" i="19"/>
  <c r="B369" i="21" s="1"/>
  <c r="R68" i="20"/>
  <c r="R68" i="7" s="1"/>
  <c r="R69" i="20"/>
  <c r="R69" i="7" s="1"/>
  <c r="D84" i="20"/>
  <c r="R84" i="20" s="1"/>
  <c r="R84" i="7" s="1"/>
  <c r="D85" i="20"/>
  <c r="R85" i="20" s="1"/>
  <c r="R85" i="7" s="1"/>
  <c r="D86" i="20"/>
  <c r="R86" i="20" s="1"/>
  <c r="R86" i="7" s="1"/>
  <c r="D87" i="20"/>
  <c r="R87" i="20" s="1"/>
  <c r="R87" i="7" s="1"/>
  <c r="D88" i="20"/>
  <c r="R88" i="20" s="1"/>
  <c r="R88" i="7" s="1"/>
  <c r="D89" i="20"/>
  <c r="R89" i="20" s="1"/>
  <c r="R89" i="7" s="1"/>
  <c r="D90" i="20"/>
  <c r="R90" i="20" s="1"/>
  <c r="R90" i="7" s="1"/>
  <c r="D91" i="20"/>
  <c r="R91" i="20" s="1"/>
  <c r="R91" i="7" s="1"/>
  <c r="D92" i="20"/>
  <c r="R92" i="20" s="1"/>
  <c r="R92" i="7" s="1"/>
  <c r="D93" i="20"/>
  <c r="R93" i="20" s="1"/>
  <c r="R93" i="7" s="1"/>
  <c r="D94" i="20"/>
  <c r="R94" i="20" s="1"/>
  <c r="R94" i="7" s="1"/>
  <c r="D95" i="20"/>
  <c r="R95" i="20" s="1"/>
  <c r="R95" i="7" s="1"/>
  <c r="D96" i="20"/>
  <c r="R96" i="20" s="1"/>
  <c r="R96" i="7" s="1"/>
  <c r="D97" i="20"/>
  <c r="R97" i="20" s="1"/>
  <c r="R97" i="7" s="1"/>
  <c r="D98" i="20"/>
  <c r="R98" i="20" s="1"/>
  <c r="R98" i="7" s="1"/>
  <c r="D99" i="20"/>
  <c r="R99" i="20" s="1"/>
  <c r="R99" i="7" s="1"/>
  <c r="D100" i="20"/>
  <c r="R100" i="20" s="1"/>
  <c r="R100" i="7" s="1"/>
  <c r="D101" i="20"/>
  <c r="R101" i="20" s="1"/>
  <c r="R101" i="7" s="1"/>
  <c r="D102" i="20"/>
  <c r="R102" i="20" s="1"/>
  <c r="R102" i="7" s="1"/>
  <c r="D103" i="20"/>
  <c r="R103" i="20" s="1"/>
  <c r="R103" i="7" s="1"/>
  <c r="D104" i="20"/>
  <c r="R104" i="20" s="1"/>
  <c r="R104" i="7" s="1"/>
  <c r="D6" i="20"/>
  <c r="R6" i="20" s="1"/>
  <c r="R6" i="7" s="1"/>
  <c r="D7" i="20"/>
  <c r="R7" i="20" s="1"/>
  <c r="R7" i="7" s="1"/>
  <c r="D8" i="20"/>
  <c r="R8" i="20" s="1"/>
  <c r="R8" i="7" s="1"/>
  <c r="D9" i="20"/>
  <c r="R9" i="20" s="1"/>
  <c r="R9" i="7" s="1"/>
  <c r="D10" i="20"/>
  <c r="R10" i="20" s="1"/>
  <c r="R10" i="7" s="1"/>
  <c r="D11" i="20"/>
  <c r="R11" i="20" s="1"/>
  <c r="R11" i="7" s="1"/>
  <c r="D12" i="20"/>
  <c r="R12" i="20" s="1"/>
  <c r="R12" i="7" s="1"/>
  <c r="D13" i="20"/>
  <c r="R13" i="20" s="1"/>
  <c r="R13" i="7" s="1"/>
  <c r="D14" i="20"/>
  <c r="R14" i="20" s="1"/>
  <c r="R14" i="7" s="1"/>
  <c r="D15" i="20"/>
  <c r="R15" i="20" s="1"/>
  <c r="R15" i="7" s="1"/>
  <c r="D16" i="20"/>
  <c r="R16" i="20" s="1"/>
  <c r="R16" i="7" s="1"/>
  <c r="D17" i="20"/>
  <c r="R17" i="20" s="1"/>
  <c r="R17" i="7" s="1"/>
  <c r="D18" i="20"/>
  <c r="R18" i="20" s="1"/>
  <c r="R18" i="7" s="1"/>
  <c r="D19" i="20"/>
  <c r="R19" i="20" s="1"/>
  <c r="R19" i="7" s="1"/>
  <c r="D20" i="20"/>
  <c r="R20" i="20" s="1"/>
  <c r="R20" i="7" s="1"/>
  <c r="D21" i="20"/>
  <c r="R21" i="20" s="1"/>
  <c r="R21" i="7" s="1"/>
  <c r="D22" i="20"/>
  <c r="R22" i="20" s="1"/>
  <c r="R22" i="7" s="1"/>
  <c r="D23" i="20"/>
  <c r="R23" i="20" s="1"/>
  <c r="R23" i="7" s="1"/>
  <c r="D24" i="20"/>
  <c r="R24" i="20" s="1"/>
  <c r="R24" i="7" s="1"/>
  <c r="D25" i="20"/>
  <c r="R25" i="20" s="1"/>
  <c r="R25" i="7" s="1"/>
  <c r="D26" i="20"/>
  <c r="R26" i="20" s="1"/>
  <c r="R26" i="7" s="1"/>
  <c r="D27" i="20"/>
  <c r="R27" i="20" s="1"/>
  <c r="R27" i="7" s="1"/>
  <c r="D28" i="20"/>
  <c r="R28" i="20" s="1"/>
  <c r="R28" i="7" s="1"/>
  <c r="D29" i="20"/>
  <c r="R29" i="20" s="1"/>
  <c r="R29" i="7" s="1"/>
  <c r="D30" i="20"/>
  <c r="R30" i="20" s="1"/>
  <c r="R30" i="7" s="1"/>
  <c r="D31" i="20"/>
  <c r="R31" i="20" s="1"/>
  <c r="R31" i="7" s="1"/>
  <c r="D32" i="20"/>
  <c r="R32" i="20" s="1"/>
  <c r="R32" i="7" s="1"/>
  <c r="D33" i="20"/>
  <c r="R33" i="20" s="1"/>
  <c r="R33" i="7" s="1"/>
  <c r="D34" i="20"/>
  <c r="R34" i="20" s="1"/>
  <c r="R34" i="7" s="1"/>
  <c r="D35" i="20"/>
  <c r="R35" i="20" s="1"/>
  <c r="R35" i="7" s="1"/>
  <c r="D36" i="20"/>
  <c r="R36" i="20" s="1"/>
  <c r="R36" i="7" s="1"/>
  <c r="D37" i="20"/>
  <c r="R37" i="20" s="1"/>
  <c r="R37" i="7" s="1"/>
  <c r="D38" i="20"/>
  <c r="R38" i="20" s="1"/>
  <c r="R38" i="7" s="1"/>
  <c r="D39" i="20"/>
  <c r="R39" i="20" s="1"/>
  <c r="R39" i="7" s="1"/>
  <c r="D40" i="20"/>
  <c r="R40" i="20" s="1"/>
  <c r="R40" i="7" s="1"/>
  <c r="D41" i="20"/>
  <c r="R41" i="20" s="1"/>
  <c r="R41" i="7" s="1"/>
  <c r="D42" i="20"/>
  <c r="R42" i="20" s="1"/>
  <c r="R42" i="7" s="1"/>
  <c r="D43" i="20"/>
  <c r="R43" i="20" s="1"/>
  <c r="R43" i="7" s="1"/>
  <c r="D44" i="20"/>
  <c r="R44" i="20" s="1"/>
  <c r="R44" i="7" s="1"/>
  <c r="D45" i="20"/>
  <c r="R45" i="20" s="1"/>
  <c r="R45" i="7" s="1"/>
  <c r="D46" i="20"/>
  <c r="R46" i="20" s="1"/>
  <c r="R46" i="7" s="1"/>
  <c r="D47" i="20"/>
  <c r="R47" i="20" s="1"/>
  <c r="R47" i="7" s="1"/>
  <c r="D48" i="20"/>
  <c r="R48" i="20" s="1"/>
  <c r="R48" i="7" s="1"/>
  <c r="D49" i="20"/>
  <c r="R49" i="20" s="1"/>
  <c r="R49" i="7" s="1"/>
  <c r="D50" i="20"/>
  <c r="R50" i="20" s="1"/>
  <c r="R50" i="7" s="1"/>
  <c r="D51" i="20"/>
  <c r="R51" i="20" s="1"/>
  <c r="R51" i="7" s="1"/>
  <c r="D52" i="20"/>
  <c r="R52" i="20" s="1"/>
  <c r="R52" i="7" s="1"/>
  <c r="D53" i="20"/>
  <c r="R53" i="20" s="1"/>
  <c r="R53" i="7" s="1"/>
  <c r="D54" i="20"/>
  <c r="R54" i="20" s="1"/>
  <c r="R54" i="7" s="1"/>
  <c r="D55" i="20"/>
  <c r="R55" i="20" s="1"/>
  <c r="R55" i="7" s="1"/>
  <c r="D56" i="20"/>
  <c r="R56" i="20" s="1"/>
  <c r="R56" i="7" s="1"/>
  <c r="D57" i="20"/>
  <c r="R57" i="20" s="1"/>
  <c r="R57" i="7" s="1"/>
  <c r="D58" i="20"/>
  <c r="R58" i="20" s="1"/>
  <c r="R58" i="7" s="1"/>
  <c r="D59" i="20"/>
  <c r="R59" i="20" s="1"/>
  <c r="R59" i="7" s="1"/>
  <c r="D60" i="20"/>
  <c r="R60" i="20" s="1"/>
  <c r="R60" i="7" s="1"/>
  <c r="D61" i="20"/>
  <c r="R61" i="20" s="1"/>
  <c r="R61" i="7" s="1"/>
  <c r="D62" i="20"/>
  <c r="R62" i="20" s="1"/>
  <c r="R62" i="7" s="1"/>
  <c r="D63" i="20"/>
  <c r="R63" i="20" s="1"/>
  <c r="R63" i="7" s="1"/>
  <c r="D64" i="20"/>
  <c r="R64" i="20" s="1"/>
  <c r="R64" i="7" s="1"/>
  <c r="D65" i="20"/>
  <c r="R65" i="20" s="1"/>
  <c r="R65" i="7" s="1"/>
  <c r="D66" i="20"/>
  <c r="R66" i="20" s="1"/>
  <c r="R66" i="7" s="1"/>
  <c r="D67" i="20"/>
  <c r="R67" i="20" s="1"/>
  <c r="R67" i="7" s="1"/>
  <c r="D68" i="20"/>
  <c r="D69" i="20"/>
  <c r="D70" i="20"/>
  <c r="R70" i="20" s="1"/>
  <c r="R70" i="7" s="1"/>
  <c r="D71" i="20"/>
  <c r="R71" i="20" s="1"/>
  <c r="R71" i="7" s="1"/>
  <c r="D72" i="20"/>
  <c r="R72" i="20" s="1"/>
  <c r="R72" i="7" s="1"/>
  <c r="D73" i="20"/>
  <c r="R73" i="20" s="1"/>
  <c r="R73" i="7" s="1"/>
  <c r="D74" i="20"/>
  <c r="R74" i="20" s="1"/>
  <c r="R74" i="7" s="1"/>
  <c r="D75" i="20"/>
  <c r="R75" i="20" s="1"/>
  <c r="R75" i="7" s="1"/>
  <c r="D76" i="20"/>
  <c r="R76" i="20" s="1"/>
  <c r="R76" i="7" s="1"/>
  <c r="D77" i="20"/>
  <c r="R77" i="20" s="1"/>
  <c r="R77" i="7" s="1"/>
  <c r="D78" i="20"/>
  <c r="R78" i="20" s="1"/>
  <c r="R78" i="7" s="1"/>
  <c r="D79" i="20"/>
  <c r="R79" i="20" s="1"/>
  <c r="R79" i="7" s="1"/>
  <c r="D80" i="20"/>
  <c r="R80" i="20" s="1"/>
  <c r="R80" i="7" s="1"/>
  <c r="D81" i="20"/>
  <c r="R81" i="20" s="1"/>
  <c r="R81" i="7" s="1"/>
  <c r="D82" i="20"/>
  <c r="R82" i="20" s="1"/>
  <c r="R82" i="7" s="1"/>
  <c r="D83" i="20"/>
  <c r="R83" i="20" s="1"/>
  <c r="R83" i="7" s="1"/>
  <c r="D5" i="20"/>
  <c r="R5" i="20" s="1"/>
  <c r="R5" i="7" s="1"/>
  <c r="C84" i="20"/>
  <c r="Q84" i="20" s="1"/>
  <c r="Q84" i="7" s="1"/>
  <c r="C85" i="20"/>
  <c r="Q85" i="20" s="1"/>
  <c r="Q85" i="7" s="1"/>
  <c r="C86" i="20"/>
  <c r="Q86" i="20" s="1"/>
  <c r="Q86" i="7" s="1"/>
  <c r="C87" i="20"/>
  <c r="Q87" i="20" s="1"/>
  <c r="Q87" i="7" s="1"/>
  <c r="C88" i="20"/>
  <c r="Q88" i="20" s="1"/>
  <c r="Q88" i="7" s="1"/>
  <c r="C89" i="20"/>
  <c r="Q89" i="20" s="1"/>
  <c r="Q89" i="7" s="1"/>
  <c r="C90" i="20"/>
  <c r="Q90" i="20" s="1"/>
  <c r="Q90" i="7" s="1"/>
  <c r="C91" i="20"/>
  <c r="Q91" i="20" s="1"/>
  <c r="Q91" i="7" s="1"/>
  <c r="C92" i="20"/>
  <c r="Q92" i="20" s="1"/>
  <c r="Q92" i="7" s="1"/>
  <c r="C93" i="20"/>
  <c r="Q93" i="20" s="1"/>
  <c r="Q93" i="7" s="1"/>
  <c r="C94" i="20"/>
  <c r="Q94" i="20" s="1"/>
  <c r="Q94" i="7" s="1"/>
  <c r="C95" i="20"/>
  <c r="Q95" i="20" s="1"/>
  <c r="Q95" i="7" s="1"/>
  <c r="C96" i="20"/>
  <c r="Q96" i="20" s="1"/>
  <c r="Q96" i="7" s="1"/>
  <c r="C97" i="20"/>
  <c r="Q97" i="20" s="1"/>
  <c r="Q97" i="7" s="1"/>
  <c r="C98" i="20"/>
  <c r="Q98" i="20" s="1"/>
  <c r="Q98" i="7" s="1"/>
  <c r="C99" i="20"/>
  <c r="Q99" i="20" s="1"/>
  <c r="Q99" i="7" s="1"/>
  <c r="C100" i="20"/>
  <c r="Q100" i="20" s="1"/>
  <c r="Q100" i="7" s="1"/>
  <c r="C101" i="20"/>
  <c r="Q101" i="20" s="1"/>
  <c r="Q101" i="7" s="1"/>
  <c r="C102" i="20"/>
  <c r="Q102" i="20" s="1"/>
  <c r="Q102" i="7" s="1"/>
  <c r="C103" i="20"/>
  <c r="Q103" i="20" s="1"/>
  <c r="Q103" i="7" s="1"/>
  <c r="C104" i="20"/>
  <c r="Q104" i="20" s="1"/>
  <c r="Q104" i="7" s="1"/>
  <c r="C6" i="20"/>
  <c r="Q6" i="20" s="1"/>
  <c r="Q6" i="7" s="1"/>
  <c r="C7" i="20"/>
  <c r="Q7" i="20" s="1"/>
  <c r="Q7" i="7" s="1"/>
  <c r="C8" i="20"/>
  <c r="Q8" i="20" s="1"/>
  <c r="Q8" i="7" s="1"/>
  <c r="C9" i="20"/>
  <c r="Q9" i="20" s="1"/>
  <c r="Q9" i="7" s="1"/>
  <c r="C10" i="20"/>
  <c r="Q10" i="20" s="1"/>
  <c r="Q10" i="7" s="1"/>
  <c r="C11" i="20"/>
  <c r="Q11" i="20" s="1"/>
  <c r="Q11" i="7" s="1"/>
  <c r="C12" i="20"/>
  <c r="Q12" i="20" s="1"/>
  <c r="Q12" i="7" s="1"/>
  <c r="C13" i="20"/>
  <c r="Q13" i="20" s="1"/>
  <c r="Q13" i="7" s="1"/>
  <c r="C14" i="20"/>
  <c r="Q14" i="20" s="1"/>
  <c r="Q14" i="7" s="1"/>
  <c r="C15" i="20"/>
  <c r="Q15" i="20" s="1"/>
  <c r="Q15" i="7" s="1"/>
  <c r="C16" i="20"/>
  <c r="Q16" i="20" s="1"/>
  <c r="Q16" i="7" s="1"/>
  <c r="C17" i="20"/>
  <c r="Q17" i="20" s="1"/>
  <c r="Q17" i="7" s="1"/>
  <c r="C18" i="20"/>
  <c r="Q18" i="20" s="1"/>
  <c r="Q18" i="7" s="1"/>
  <c r="C19" i="20"/>
  <c r="Q19" i="20" s="1"/>
  <c r="Q19" i="7" s="1"/>
  <c r="C20" i="20"/>
  <c r="Q20" i="20" s="1"/>
  <c r="Q20" i="7" s="1"/>
  <c r="C21" i="20"/>
  <c r="Q21" i="20" s="1"/>
  <c r="Q21" i="7" s="1"/>
  <c r="C22" i="20"/>
  <c r="Q22" i="20" s="1"/>
  <c r="Q22" i="7" s="1"/>
  <c r="C23" i="20"/>
  <c r="Q23" i="20" s="1"/>
  <c r="Q23" i="7" s="1"/>
  <c r="C24" i="20"/>
  <c r="Q24" i="20" s="1"/>
  <c r="Q24" i="7" s="1"/>
  <c r="C25" i="20"/>
  <c r="Q25" i="20" s="1"/>
  <c r="Q25" i="7" s="1"/>
  <c r="C26" i="20"/>
  <c r="Q26" i="20" s="1"/>
  <c r="Q26" i="7" s="1"/>
  <c r="C27" i="20"/>
  <c r="Q27" i="20" s="1"/>
  <c r="Q27" i="7" s="1"/>
  <c r="C28" i="20"/>
  <c r="Q28" i="20" s="1"/>
  <c r="Q28" i="7" s="1"/>
  <c r="C29" i="20"/>
  <c r="Q29" i="20" s="1"/>
  <c r="Q29" i="7" s="1"/>
  <c r="C30" i="20"/>
  <c r="Q30" i="20" s="1"/>
  <c r="Q30" i="7" s="1"/>
  <c r="C31" i="20"/>
  <c r="Q31" i="20" s="1"/>
  <c r="Q31" i="7" s="1"/>
  <c r="C32" i="20"/>
  <c r="Q32" i="20" s="1"/>
  <c r="Q32" i="7" s="1"/>
  <c r="C33" i="20"/>
  <c r="Q33" i="20" s="1"/>
  <c r="Q33" i="7" s="1"/>
  <c r="C34" i="20"/>
  <c r="Q34" i="20" s="1"/>
  <c r="Q34" i="7" s="1"/>
  <c r="C35" i="20"/>
  <c r="Q35" i="20" s="1"/>
  <c r="Q35" i="7" s="1"/>
  <c r="C36" i="20"/>
  <c r="Q36" i="20" s="1"/>
  <c r="Q36" i="7" s="1"/>
  <c r="C37" i="20"/>
  <c r="Q37" i="20" s="1"/>
  <c r="Q37" i="7" s="1"/>
  <c r="C38" i="20"/>
  <c r="Q38" i="20" s="1"/>
  <c r="Q38" i="7" s="1"/>
  <c r="C39" i="20"/>
  <c r="Q39" i="20" s="1"/>
  <c r="Q39" i="7" s="1"/>
  <c r="C40" i="20"/>
  <c r="Q40" i="20" s="1"/>
  <c r="Q40" i="7" s="1"/>
  <c r="C41" i="20"/>
  <c r="Q41" i="20" s="1"/>
  <c r="Q41" i="7" s="1"/>
  <c r="C42" i="20"/>
  <c r="Q42" i="20" s="1"/>
  <c r="Q42" i="7" s="1"/>
  <c r="C43" i="20"/>
  <c r="Q43" i="20" s="1"/>
  <c r="Q43" i="7" s="1"/>
  <c r="C44" i="20"/>
  <c r="Q44" i="20" s="1"/>
  <c r="Q44" i="7" s="1"/>
  <c r="C45" i="20"/>
  <c r="Q45" i="20" s="1"/>
  <c r="Q45" i="7" s="1"/>
  <c r="C46" i="20"/>
  <c r="Q46" i="20" s="1"/>
  <c r="Q46" i="7" s="1"/>
  <c r="C47" i="20"/>
  <c r="Q47" i="20" s="1"/>
  <c r="Q47" i="7" s="1"/>
  <c r="C48" i="20"/>
  <c r="Q48" i="20" s="1"/>
  <c r="Q48" i="7" s="1"/>
  <c r="C49" i="20"/>
  <c r="Q49" i="20" s="1"/>
  <c r="Q49" i="7" s="1"/>
  <c r="C50" i="20"/>
  <c r="Q50" i="20" s="1"/>
  <c r="Q50" i="7" s="1"/>
  <c r="C51" i="20"/>
  <c r="Q51" i="20" s="1"/>
  <c r="Q51" i="7" s="1"/>
  <c r="C52" i="20"/>
  <c r="Q52" i="20" s="1"/>
  <c r="Q52" i="7" s="1"/>
  <c r="C53" i="20"/>
  <c r="Q53" i="20" s="1"/>
  <c r="Q53" i="7" s="1"/>
  <c r="C54" i="20"/>
  <c r="Q54" i="20" s="1"/>
  <c r="Q54" i="7" s="1"/>
  <c r="C55" i="20"/>
  <c r="Q55" i="20" s="1"/>
  <c r="Q55" i="7" s="1"/>
  <c r="C56" i="20"/>
  <c r="Q56" i="20" s="1"/>
  <c r="Q56" i="7" s="1"/>
  <c r="C57" i="20"/>
  <c r="Q57" i="20" s="1"/>
  <c r="Q57" i="7" s="1"/>
  <c r="C58" i="20"/>
  <c r="Q58" i="20" s="1"/>
  <c r="Q58" i="7" s="1"/>
  <c r="C59" i="20"/>
  <c r="Q59" i="20" s="1"/>
  <c r="Q59" i="7" s="1"/>
  <c r="C60" i="20"/>
  <c r="Q60" i="20" s="1"/>
  <c r="Q60" i="7" s="1"/>
  <c r="C61" i="20"/>
  <c r="Q61" i="20" s="1"/>
  <c r="Q61" i="7" s="1"/>
  <c r="C62" i="20"/>
  <c r="Q62" i="20" s="1"/>
  <c r="Q62" i="7" s="1"/>
  <c r="C63" i="20"/>
  <c r="Q63" i="20" s="1"/>
  <c r="Q63" i="7" s="1"/>
  <c r="C64" i="20"/>
  <c r="Q64" i="20" s="1"/>
  <c r="Q64" i="7" s="1"/>
  <c r="C65" i="20"/>
  <c r="Q65" i="20" s="1"/>
  <c r="Q65" i="7" s="1"/>
  <c r="C66" i="20"/>
  <c r="Q66" i="20" s="1"/>
  <c r="Q66" i="7" s="1"/>
  <c r="C67" i="20"/>
  <c r="Q67" i="20" s="1"/>
  <c r="Q67" i="7" s="1"/>
  <c r="C68" i="20"/>
  <c r="Q68" i="20" s="1"/>
  <c r="Q68" i="7" s="1"/>
  <c r="C69" i="20"/>
  <c r="Q69" i="20" s="1"/>
  <c r="Q69" i="7" s="1"/>
  <c r="C70" i="20"/>
  <c r="Q70" i="20" s="1"/>
  <c r="Q70" i="7" s="1"/>
  <c r="C71" i="20"/>
  <c r="Q71" i="20" s="1"/>
  <c r="Q71" i="7" s="1"/>
  <c r="C72" i="20"/>
  <c r="Q72" i="20" s="1"/>
  <c r="Q72" i="7" s="1"/>
  <c r="C73" i="20"/>
  <c r="Q73" i="20" s="1"/>
  <c r="Q73" i="7" s="1"/>
  <c r="C74" i="20"/>
  <c r="Q74" i="20" s="1"/>
  <c r="Q74" i="7" s="1"/>
  <c r="C75" i="20"/>
  <c r="Q75" i="20" s="1"/>
  <c r="Q75" i="7" s="1"/>
  <c r="C76" i="20"/>
  <c r="Q76" i="20" s="1"/>
  <c r="Q76" i="7" s="1"/>
  <c r="C77" i="20"/>
  <c r="Q77" i="20" s="1"/>
  <c r="Q77" i="7" s="1"/>
  <c r="C78" i="20"/>
  <c r="Q78" i="20" s="1"/>
  <c r="Q78" i="7" s="1"/>
  <c r="C79" i="20"/>
  <c r="Q79" i="20" s="1"/>
  <c r="Q79" i="7" s="1"/>
  <c r="C80" i="20"/>
  <c r="Q80" i="20" s="1"/>
  <c r="Q80" i="7" s="1"/>
  <c r="C81" i="20"/>
  <c r="Q81" i="20" s="1"/>
  <c r="Q81" i="7" s="1"/>
  <c r="C82" i="20"/>
  <c r="Q82" i="20" s="1"/>
  <c r="Q82" i="7" s="1"/>
  <c r="C83" i="20"/>
  <c r="Q83" i="20" s="1"/>
  <c r="Q83" i="7" s="1"/>
  <c r="C5" i="20"/>
  <c r="Q5" i="20" s="1"/>
  <c r="Q5" i="7" s="1"/>
  <c r="C605" i="17" l="1"/>
  <c r="C606" i="17"/>
  <c r="C607" i="17"/>
  <c r="C608" i="17"/>
  <c r="C609" i="17"/>
  <c r="C604" i="17"/>
  <c r="U609" i="17" l="1"/>
  <c r="V609" i="17"/>
  <c r="T609" i="17"/>
  <c r="P609" i="17"/>
  <c r="AE609" i="17" s="1"/>
  <c r="Y609" i="17"/>
  <c r="U605" i="17"/>
  <c r="V605" i="17"/>
  <c r="T605" i="17"/>
  <c r="P605" i="17"/>
  <c r="AE605" i="17" s="1"/>
  <c r="Y605" i="17"/>
  <c r="T608" i="17"/>
  <c r="U608" i="17"/>
  <c r="V608" i="17"/>
  <c r="P608" i="17"/>
  <c r="AE608" i="17" s="1"/>
  <c r="Y608" i="17"/>
  <c r="T607" i="17"/>
  <c r="U607" i="17"/>
  <c r="V607" i="17"/>
  <c r="P607" i="17"/>
  <c r="AE607" i="17" s="1"/>
  <c r="Y607" i="17"/>
  <c r="T604" i="17"/>
  <c r="U604" i="17"/>
  <c r="V604" i="17"/>
  <c r="P604" i="17"/>
  <c r="AE604" i="17" s="1"/>
  <c r="Y604" i="17"/>
  <c r="V606" i="17"/>
  <c r="T606" i="17"/>
  <c r="U606" i="17"/>
  <c r="P606" i="17"/>
  <c r="AE606" i="17" s="1"/>
  <c r="Y606" i="17"/>
  <c r="A741" i="17"/>
  <c r="E741" i="17" s="1"/>
  <c r="I741" i="17" s="1"/>
  <c r="A740" i="17"/>
  <c r="E740" i="17" s="1"/>
  <c r="I740" i="17" s="1"/>
  <c r="A739" i="17"/>
  <c r="E739" i="17" s="1"/>
  <c r="I739" i="17" s="1"/>
  <c r="A738" i="17"/>
  <c r="E738" i="17" s="1"/>
  <c r="I738" i="17" s="1"/>
  <c r="A737" i="17"/>
  <c r="E737" i="17" s="1"/>
  <c r="I737" i="17" s="1"/>
  <c r="A733" i="17"/>
  <c r="E733" i="17" s="1"/>
  <c r="I733" i="17" s="1"/>
  <c r="A732" i="17"/>
  <c r="E732" i="17" s="1"/>
  <c r="I732" i="17" s="1"/>
  <c r="A731" i="17"/>
  <c r="E731" i="17" s="1"/>
  <c r="I731" i="17" s="1"/>
  <c r="A724" i="17"/>
  <c r="E724" i="17" s="1"/>
  <c r="I724" i="17" s="1"/>
  <c r="A708" i="17"/>
  <c r="E708" i="17" s="1"/>
  <c r="I708" i="17" s="1"/>
  <c r="A710" i="17"/>
  <c r="E710" i="17" s="1"/>
  <c r="I710" i="17" s="1"/>
  <c r="A709" i="17"/>
  <c r="E709" i="17" s="1"/>
  <c r="I709" i="17" s="1"/>
  <c r="A711" i="17"/>
  <c r="E711" i="17" s="1"/>
  <c r="I711" i="17" s="1"/>
  <c r="A664" i="17"/>
  <c r="T6" i="9" l="1"/>
  <c r="T5" i="9"/>
  <c r="T10" i="9"/>
  <c r="T9" i="9"/>
  <c r="T7" i="9"/>
  <c r="T8" i="9"/>
  <c r="C694" i="17"/>
  <c r="U694" i="17" l="1"/>
  <c r="V694" i="17"/>
  <c r="P694" i="17"/>
  <c r="Y694" i="17"/>
  <c r="V8" i="9"/>
  <c r="V10" i="9"/>
  <c r="V9" i="9"/>
  <c r="V6" i="9"/>
  <c r="V7" i="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C317" i="17" l="1"/>
  <c r="C318" i="17"/>
  <c r="C319" i="17"/>
  <c r="C320" i="17"/>
  <c r="C321" i="17"/>
  <c r="C322" i="17"/>
  <c r="C323" i="17"/>
  <c r="C324" i="17"/>
  <c r="C325" i="17"/>
  <c r="C326" i="17"/>
  <c r="C327" i="17"/>
  <c r="C328" i="17"/>
  <c r="C329" i="17"/>
  <c r="C330" i="17"/>
  <c r="C331" i="17"/>
  <c r="C332" i="17"/>
  <c r="C333" i="17"/>
  <c r="C334" i="17"/>
  <c r="C335" i="17"/>
  <c r="C336" i="17"/>
  <c r="C337" i="17"/>
  <c r="C338" i="17"/>
  <c r="C339" i="17"/>
  <c r="C352" i="17"/>
  <c r="C353" i="17"/>
  <c r="C354" i="17"/>
  <c r="C355" i="17"/>
  <c r="C356" i="17"/>
  <c r="C357" i="17"/>
  <c r="C358" i="17"/>
  <c r="C359" i="17"/>
  <c r="C360" i="17"/>
  <c r="C361" i="17"/>
  <c r="C362" i="17"/>
  <c r="C363" i="17"/>
  <c r="C364" i="17"/>
  <c r="C365" i="17"/>
  <c r="C366" i="17"/>
  <c r="C367" i="17"/>
  <c r="C368" i="17"/>
  <c r="C369" i="17"/>
  <c r="C370" i="17"/>
  <c r="C371" i="17"/>
  <c r="C372" i="17"/>
  <c r="C373" i="17"/>
  <c r="C374" i="17"/>
  <c r="C375" i="17"/>
  <c r="C388" i="17"/>
  <c r="C389" i="17"/>
  <c r="C390" i="17"/>
  <c r="C391" i="17"/>
  <c r="C392" i="17"/>
  <c r="C393" i="17"/>
  <c r="C394" i="17"/>
  <c r="C395" i="17"/>
  <c r="C396" i="17"/>
  <c r="C397" i="17"/>
  <c r="C398" i="17"/>
  <c r="C399" i="17"/>
  <c r="C400" i="17"/>
  <c r="C401" i="17"/>
  <c r="C402" i="17"/>
  <c r="C403" i="17"/>
  <c r="C404" i="17"/>
  <c r="C405" i="17"/>
  <c r="C406" i="17"/>
  <c r="C407" i="17"/>
  <c r="C408" i="17"/>
  <c r="C409" i="17"/>
  <c r="C410" i="17"/>
  <c r="C411" i="17"/>
  <c r="C424" i="17"/>
  <c r="C425" i="17"/>
  <c r="C426" i="17"/>
  <c r="C427" i="17"/>
  <c r="C428" i="17"/>
  <c r="C429" i="17"/>
  <c r="C430" i="17"/>
  <c r="C431" i="17"/>
  <c r="C432" i="17"/>
  <c r="C433" i="17"/>
  <c r="C434" i="17"/>
  <c r="C435" i="17"/>
  <c r="C436" i="17"/>
  <c r="C437" i="17"/>
  <c r="C438" i="17"/>
  <c r="C439" i="17"/>
  <c r="C440" i="17"/>
  <c r="C441" i="17"/>
  <c r="C442" i="17"/>
  <c r="C443" i="17"/>
  <c r="C444" i="17"/>
  <c r="C445" i="17"/>
  <c r="C446" i="17"/>
  <c r="C447" i="17"/>
  <c r="C460" i="17"/>
  <c r="C461" i="17"/>
  <c r="C462" i="17"/>
  <c r="C463" i="17"/>
  <c r="C464" i="17"/>
  <c r="C465" i="17"/>
  <c r="C466" i="17"/>
  <c r="C467" i="17"/>
  <c r="C468" i="17"/>
  <c r="C469" i="17"/>
  <c r="C470" i="17"/>
  <c r="C471" i="17"/>
  <c r="C472" i="17"/>
  <c r="C473" i="17"/>
  <c r="C474" i="17"/>
  <c r="C475" i="17"/>
  <c r="C476" i="17"/>
  <c r="C477" i="17"/>
  <c r="C478" i="17"/>
  <c r="C479" i="17"/>
  <c r="C480" i="17"/>
  <c r="C481" i="17"/>
  <c r="C482" i="17"/>
  <c r="C483" i="17"/>
  <c r="C496" i="17"/>
  <c r="C497" i="17"/>
  <c r="C498" i="17"/>
  <c r="C499" i="17"/>
  <c r="C500" i="17"/>
  <c r="C501" i="17"/>
  <c r="C502" i="17"/>
  <c r="C503" i="17"/>
  <c r="C504" i="17"/>
  <c r="C505" i="17"/>
  <c r="C506" i="17"/>
  <c r="C507" i="17"/>
  <c r="C508" i="17"/>
  <c r="C509" i="17"/>
  <c r="C510" i="17"/>
  <c r="C511" i="17"/>
  <c r="C512" i="17"/>
  <c r="C513" i="17"/>
  <c r="C514" i="17"/>
  <c r="C515" i="17"/>
  <c r="C516" i="17"/>
  <c r="C517" i="17"/>
  <c r="C518" i="17"/>
  <c r="C519" i="17"/>
  <c r="C532" i="17"/>
  <c r="C533" i="17"/>
  <c r="C534" i="17"/>
  <c r="C535" i="17"/>
  <c r="C536" i="17"/>
  <c r="C537" i="17"/>
  <c r="C538" i="17"/>
  <c r="C539" i="17"/>
  <c r="C540" i="17"/>
  <c r="C541" i="17"/>
  <c r="C542" i="17"/>
  <c r="C543" i="17"/>
  <c r="C544" i="17"/>
  <c r="C545" i="17"/>
  <c r="C546" i="17"/>
  <c r="C547" i="17"/>
  <c r="C548" i="17"/>
  <c r="C549" i="17"/>
  <c r="C550" i="17"/>
  <c r="C551" i="17"/>
  <c r="C552" i="17"/>
  <c r="C553" i="17"/>
  <c r="C554" i="17"/>
  <c r="C555" i="17"/>
  <c r="C568" i="17"/>
  <c r="C569" i="17"/>
  <c r="C570" i="17"/>
  <c r="C571" i="17"/>
  <c r="C572" i="17"/>
  <c r="C573" i="17"/>
  <c r="C574" i="17"/>
  <c r="C575" i="17"/>
  <c r="C576" i="17"/>
  <c r="C577" i="17"/>
  <c r="C578" i="17"/>
  <c r="C579" i="17"/>
  <c r="C580" i="17"/>
  <c r="C581" i="17"/>
  <c r="C582" i="17"/>
  <c r="C583" i="17"/>
  <c r="C584" i="17"/>
  <c r="C585" i="17"/>
  <c r="C586" i="17"/>
  <c r="C587" i="17"/>
  <c r="C588" i="17"/>
  <c r="C589" i="17"/>
  <c r="C590" i="17"/>
  <c r="C591" i="17"/>
  <c r="C316" i="17"/>
  <c r="C634" i="17"/>
  <c r="C628" i="17"/>
  <c r="C21" i="17"/>
  <c r="C22" i="17"/>
  <c r="C23" i="17"/>
  <c r="C24" i="17"/>
  <c r="C25" i="17"/>
  <c r="C26" i="17"/>
  <c r="C27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207" i="17"/>
  <c r="C208" i="17"/>
  <c r="C209" i="17"/>
  <c r="C210" i="17"/>
  <c r="C211" i="17"/>
  <c r="C212" i="17"/>
  <c r="C213" i="17"/>
  <c r="C214" i="17"/>
  <c r="C215" i="17"/>
  <c r="C216" i="17"/>
  <c r="C217" i="17"/>
  <c r="C218" i="17"/>
  <c r="C219" i="17"/>
  <c r="C220" i="17"/>
  <c r="C221" i="17"/>
  <c r="C222" i="17"/>
  <c r="C223" i="17"/>
  <c r="C224" i="17"/>
  <c r="C225" i="17"/>
  <c r="C226" i="17"/>
  <c r="C227" i="17"/>
  <c r="C228" i="17"/>
  <c r="C229" i="17"/>
  <c r="C230" i="17"/>
  <c r="C243" i="17"/>
  <c r="C244" i="17"/>
  <c r="C245" i="17"/>
  <c r="C246" i="17"/>
  <c r="C247" i="17"/>
  <c r="C248" i="17"/>
  <c r="C250" i="17"/>
  <c r="C251" i="17"/>
  <c r="C252" i="17"/>
  <c r="C253" i="17"/>
  <c r="C254" i="17"/>
  <c r="C255" i="17"/>
  <c r="C256" i="17"/>
  <c r="C257" i="17"/>
  <c r="C258" i="17"/>
  <c r="C259" i="17"/>
  <c r="C260" i="17"/>
  <c r="C261" i="17"/>
  <c r="C262" i="17"/>
  <c r="C263" i="17"/>
  <c r="C264" i="17"/>
  <c r="C265" i="17"/>
  <c r="C266" i="17"/>
  <c r="C279" i="17"/>
  <c r="C280" i="17"/>
  <c r="C281" i="17"/>
  <c r="C282" i="17"/>
  <c r="C283" i="17"/>
  <c r="C284" i="17"/>
  <c r="C285" i="17"/>
  <c r="C286" i="17"/>
  <c r="C287" i="17"/>
  <c r="C288" i="17"/>
  <c r="C289" i="17"/>
  <c r="C290" i="17"/>
  <c r="C291" i="17"/>
  <c r="C292" i="17"/>
  <c r="C294" i="17"/>
  <c r="C295" i="17"/>
  <c r="C296" i="17"/>
  <c r="C297" i="17"/>
  <c r="C298" i="17"/>
  <c r="C299" i="17"/>
  <c r="C300" i="17"/>
  <c r="C301" i="17"/>
  <c r="C302" i="17"/>
  <c r="C3" i="17"/>
  <c r="C4" i="17"/>
  <c r="C5" i="17"/>
  <c r="C6" i="17"/>
  <c r="C7" i="17"/>
  <c r="C8" i="17"/>
  <c r="C9" i="17"/>
  <c r="C10" i="17"/>
  <c r="C11" i="17"/>
  <c r="T11" i="17" s="1"/>
  <c r="C12" i="17"/>
  <c r="C13" i="17"/>
  <c r="C14" i="17"/>
  <c r="C20" i="17"/>
  <c r="C2" i="17"/>
  <c r="T10" i="17" l="1"/>
  <c r="U10" i="17"/>
  <c r="V10" i="17"/>
  <c r="Y10" i="17"/>
  <c r="P10" i="17"/>
  <c r="AE10" i="17" s="1"/>
  <c r="T298" i="17"/>
  <c r="U298" i="17"/>
  <c r="V298" i="17"/>
  <c r="P298" i="17"/>
  <c r="Y298" i="17"/>
  <c r="V285" i="17"/>
  <c r="T285" i="17"/>
  <c r="U285" i="17"/>
  <c r="P285" i="17"/>
  <c r="AE285" i="17" s="1"/>
  <c r="Y285" i="17"/>
  <c r="V265" i="17"/>
  <c r="T265" i="17"/>
  <c r="U265" i="17"/>
  <c r="P265" i="17"/>
  <c r="AE265" i="17" s="1"/>
  <c r="Y265" i="17"/>
  <c r="V253" i="17"/>
  <c r="T253" i="17"/>
  <c r="U253" i="17"/>
  <c r="P253" i="17"/>
  <c r="AE253" i="17" s="1"/>
  <c r="Y253" i="17"/>
  <c r="U224" i="17"/>
  <c r="V224" i="17"/>
  <c r="T224" i="17"/>
  <c r="P224" i="17"/>
  <c r="AE224" i="17" s="1"/>
  <c r="Y224" i="17"/>
  <c r="U208" i="17"/>
  <c r="V208" i="17"/>
  <c r="T208" i="17"/>
  <c r="P208" i="17"/>
  <c r="AE208" i="17" s="1"/>
  <c r="Y208" i="17"/>
  <c r="U183" i="17"/>
  <c r="V183" i="17"/>
  <c r="T183" i="17"/>
  <c r="P183" i="17"/>
  <c r="AE183" i="17" s="1"/>
  <c r="Y183" i="17"/>
  <c r="U171" i="17"/>
  <c r="V171" i="17"/>
  <c r="T171" i="17"/>
  <c r="P171" i="17"/>
  <c r="AE171" i="17" s="1"/>
  <c r="Y171" i="17"/>
  <c r="T147" i="17"/>
  <c r="U147" i="17"/>
  <c r="V147" i="17"/>
  <c r="P147" i="17"/>
  <c r="AE147" i="17" s="1"/>
  <c r="Y147" i="17"/>
  <c r="T139" i="17"/>
  <c r="U139" i="17"/>
  <c r="V139" i="17"/>
  <c r="P139" i="17"/>
  <c r="AE139" i="17" s="1"/>
  <c r="Y139" i="17"/>
  <c r="U117" i="17"/>
  <c r="V117" i="17"/>
  <c r="T117" i="17"/>
  <c r="P117" i="17"/>
  <c r="AE117" i="17" s="1"/>
  <c r="Y117" i="17"/>
  <c r="U105" i="17"/>
  <c r="V105" i="17"/>
  <c r="T105" i="17"/>
  <c r="P105" i="17"/>
  <c r="AE105" i="17" s="1"/>
  <c r="Y105" i="17"/>
  <c r="T80" i="17"/>
  <c r="U80" i="17"/>
  <c r="V80" i="17"/>
  <c r="P80" i="17"/>
  <c r="AE80" i="17" s="1"/>
  <c r="Y80" i="17"/>
  <c r="T64" i="17"/>
  <c r="V64" i="17"/>
  <c r="U64" i="17"/>
  <c r="P64" i="17"/>
  <c r="AE64" i="17" s="1"/>
  <c r="Y64" i="17"/>
  <c r="V32" i="17"/>
  <c r="T32" i="17"/>
  <c r="U32" i="17"/>
  <c r="P32" i="17"/>
  <c r="AE32" i="17" s="1"/>
  <c r="Y32" i="17"/>
  <c r="V634" i="17"/>
  <c r="T634" i="17"/>
  <c r="U634" i="17"/>
  <c r="P634" i="17"/>
  <c r="AE634" i="17" s="1"/>
  <c r="Y634" i="17"/>
  <c r="U581" i="17"/>
  <c r="V581" i="17"/>
  <c r="T581" i="17"/>
  <c r="P581" i="17"/>
  <c r="Y581" i="17"/>
  <c r="U577" i="17"/>
  <c r="V577" i="17"/>
  <c r="T577" i="17"/>
  <c r="P577" i="17"/>
  <c r="AE577" i="17" s="1"/>
  <c r="Y577" i="17"/>
  <c r="U553" i="17"/>
  <c r="V553" i="17"/>
  <c r="T553" i="17"/>
  <c r="P553" i="17"/>
  <c r="AE553" i="17" s="1"/>
  <c r="Y553" i="17"/>
  <c r="U541" i="17"/>
  <c r="V541" i="17"/>
  <c r="T541" i="17"/>
  <c r="P541" i="17"/>
  <c r="AE541" i="17" s="1"/>
  <c r="Y541" i="17"/>
  <c r="U517" i="17"/>
  <c r="V517" i="17"/>
  <c r="T517" i="17"/>
  <c r="P517" i="17"/>
  <c r="AE517" i="17" s="1"/>
  <c r="Y517" i="17"/>
  <c r="U501" i="17"/>
  <c r="V501" i="17"/>
  <c r="T501" i="17"/>
  <c r="P501" i="17"/>
  <c r="AE501" i="17" s="1"/>
  <c r="Y501" i="17"/>
  <c r="T473" i="17"/>
  <c r="U473" i="17"/>
  <c r="V473" i="17"/>
  <c r="P473" i="17"/>
  <c r="AE473" i="17" s="1"/>
  <c r="Y473" i="17"/>
  <c r="V461" i="17"/>
  <c r="T461" i="17"/>
  <c r="U461" i="17"/>
  <c r="P461" i="17"/>
  <c r="AE461" i="17" s="1"/>
  <c r="Y461" i="17"/>
  <c r="T437" i="17"/>
  <c r="U437" i="17"/>
  <c r="V437" i="17"/>
  <c r="P437" i="17"/>
  <c r="AE437" i="17" s="1"/>
  <c r="Y437" i="17"/>
  <c r="T425" i="17"/>
  <c r="U425" i="17"/>
  <c r="V425" i="17"/>
  <c r="P425" i="17"/>
  <c r="AE425" i="17" s="1"/>
  <c r="Y425" i="17"/>
  <c r="U405" i="17"/>
  <c r="V405" i="17"/>
  <c r="T405" i="17"/>
  <c r="P405" i="17"/>
  <c r="AE405" i="17" s="1"/>
  <c r="Y405" i="17"/>
  <c r="U397" i="17"/>
  <c r="T397" i="17"/>
  <c r="V397" i="17"/>
  <c r="P397" i="17"/>
  <c r="AE397" i="17" s="1"/>
  <c r="Y397" i="17"/>
  <c r="U389" i="17"/>
  <c r="V389" i="17"/>
  <c r="T389" i="17"/>
  <c r="P389" i="17"/>
  <c r="AE389" i="17" s="1"/>
  <c r="Y389" i="17"/>
  <c r="U373" i="17"/>
  <c r="V373" i="17"/>
  <c r="T373" i="17"/>
  <c r="P373" i="17"/>
  <c r="AE373" i="17" s="1"/>
  <c r="Y373" i="17"/>
  <c r="U369" i="17"/>
  <c r="V369" i="17"/>
  <c r="T369" i="17"/>
  <c r="P369" i="17"/>
  <c r="AE369" i="17" s="1"/>
  <c r="Y369" i="17"/>
  <c r="U365" i="17"/>
  <c r="V365" i="17"/>
  <c r="T365" i="17"/>
  <c r="P365" i="17"/>
  <c r="AE365" i="17" s="1"/>
  <c r="Y365" i="17"/>
  <c r="U361" i="17"/>
  <c r="V361" i="17"/>
  <c r="T361" i="17"/>
  <c r="P361" i="17"/>
  <c r="AE361" i="17" s="1"/>
  <c r="Y361" i="17"/>
  <c r="U357" i="17"/>
  <c r="V357" i="17"/>
  <c r="T357" i="17"/>
  <c r="P357" i="17"/>
  <c r="AE357" i="17" s="1"/>
  <c r="Y357" i="17"/>
  <c r="U353" i="17"/>
  <c r="V353" i="17"/>
  <c r="T353" i="17"/>
  <c r="P353" i="17"/>
  <c r="AE353" i="17" s="1"/>
  <c r="Y353" i="17"/>
  <c r="U337" i="17"/>
  <c r="V337" i="17"/>
  <c r="T337" i="17"/>
  <c r="P337" i="17"/>
  <c r="AE337" i="17" s="1"/>
  <c r="Y337" i="17"/>
  <c r="T333" i="17"/>
  <c r="U333" i="17"/>
  <c r="V333" i="17"/>
  <c r="P333" i="17"/>
  <c r="AE333" i="17" s="1"/>
  <c r="Y333" i="17"/>
  <c r="T329" i="17"/>
  <c r="U329" i="17"/>
  <c r="V329" i="17"/>
  <c r="P329" i="17"/>
  <c r="AE329" i="17" s="1"/>
  <c r="Y329" i="17"/>
  <c r="T321" i="17"/>
  <c r="U321" i="17"/>
  <c r="V321" i="17"/>
  <c r="P321" i="17"/>
  <c r="AE321" i="17" s="1"/>
  <c r="Y321" i="17"/>
  <c r="T9" i="17"/>
  <c r="U9" i="17"/>
  <c r="V9" i="17"/>
  <c r="P9" i="17"/>
  <c r="AE9" i="17" s="1"/>
  <c r="Y9" i="17"/>
  <c r="U288" i="17"/>
  <c r="V288" i="17"/>
  <c r="T288" i="17"/>
  <c r="P288" i="17"/>
  <c r="AE288" i="17" s="1"/>
  <c r="Y288" i="17"/>
  <c r="U260" i="17"/>
  <c r="V260" i="17"/>
  <c r="T260" i="17"/>
  <c r="P260" i="17"/>
  <c r="AE260" i="17" s="1"/>
  <c r="Y260" i="17"/>
  <c r="U252" i="17"/>
  <c r="V252" i="17"/>
  <c r="T252" i="17"/>
  <c r="P252" i="17"/>
  <c r="AE252" i="17" s="1"/>
  <c r="Y252" i="17"/>
  <c r="T227" i="17"/>
  <c r="U227" i="17"/>
  <c r="V227" i="17"/>
  <c r="P227" i="17"/>
  <c r="AE227" i="17" s="1"/>
  <c r="Y227" i="17"/>
  <c r="T223" i="17"/>
  <c r="U223" i="17"/>
  <c r="V223" i="17"/>
  <c r="P223" i="17"/>
  <c r="AE223" i="17" s="1"/>
  <c r="Y223" i="17"/>
  <c r="T219" i="17"/>
  <c r="U219" i="17"/>
  <c r="V219" i="17"/>
  <c r="P219" i="17"/>
  <c r="AE219" i="17" s="1"/>
  <c r="Y219" i="17"/>
  <c r="T215" i="17"/>
  <c r="U215" i="17"/>
  <c r="V215" i="17"/>
  <c r="P215" i="17"/>
  <c r="AE215" i="17" s="1"/>
  <c r="Y215" i="17"/>
  <c r="T211" i="17"/>
  <c r="U211" i="17"/>
  <c r="V211" i="17"/>
  <c r="P211" i="17"/>
  <c r="AE211" i="17" s="1"/>
  <c r="Y211" i="17"/>
  <c r="T207" i="17"/>
  <c r="U207" i="17"/>
  <c r="V207" i="17"/>
  <c r="P207" i="17"/>
  <c r="AE207" i="17" s="1"/>
  <c r="Y207" i="17"/>
  <c r="T190" i="17"/>
  <c r="U190" i="17"/>
  <c r="V190" i="17"/>
  <c r="P190" i="17"/>
  <c r="AE190" i="17" s="1"/>
  <c r="Y190" i="17"/>
  <c r="T186" i="17"/>
  <c r="U186" i="17"/>
  <c r="V186" i="17"/>
  <c r="P186" i="17"/>
  <c r="AE186" i="17" s="1"/>
  <c r="Y186" i="17"/>
  <c r="T182" i="17"/>
  <c r="U182" i="17"/>
  <c r="V182" i="17"/>
  <c r="P182" i="17"/>
  <c r="AE182" i="17" s="1"/>
  <c r="Y182" i="17"/>
  <c r="T178" i="17"/>
  <c r="U178" i="17"/>
  <c r="V178" i="17"/>
  <c r="P178" i="17"/>
  <c r="AE178" i="17" s="1"/>
  <c r="Y178" i="17"/>
  <c r="T174" i="17"/>
  <c r="U174" i="17"/>
  <c r="V174" i="17"/>
  <c r="P174" i="17"/>
  <c r="AE174" i="17" s="1"/>
  <c r="Y174" i="17"/>
  <c r="T170" i="17"/>
  <c r="U170" i="17"/>
  <c r="V170" i="17"/>
  <c r="P170" i="17"/>
  <c r="AE170" i="17" s="1"/>
  <c r="Y170" i="17"/>
  <c r="V154" i="17"/>
  <c r="U154" i="17"/>
  <c r="T154" i="17"/>
  <c r="P154" i="17"/>
  <c r="AE154" i="17" s="1"/>
  <c r="Y154" i="17"/>
  <c r="V150" i="17"/>
  <c r="U150" i="17"/>
  <c r="T150" i="17"/>
  <c r="P150" i="17"/>
  <c r="AE150" i="17" s="1"/>
  <c r="Y150" i="17"/>
  <c r="V146" i="17"/>
  <c r="U146" i="17"/>
  <c r="T146" i="17"/>
  <c r="P146" i="17"/>
  <c r="AE146" i="17" s="1"/>
  <c r="Y146" i="17"/>
  <c r="V142" i="17"/>
  <c r="U142" i="17"/>
  <c r="T142" i="17"/>
  <c r="P142" i="17"/>
  <c r="AE142" i="17" s="1"/>
  <c r="Y142" i="17"/>
  <c r="V138" i="17"/>
  <c r="U138" i="17"/>
  <c r="T138" i="17"/>
  <c r="P138" i="17"/>
  <c r="AE138" i="17" s="1"/>
  <c r="Y138" i="17"/>
  <c r="V134" i="17"/>
  <c r="U134" i="17"/>
  <c r="T134" i="17"/>
  <c r="P134" i="17"/>
  <c r="AE134" i="17" s="1"/>
  <c r="Y134" i="17"/>
  <c r="T116" i="17"/>
  <c r="U116" i="17"/>
  <c r="V116" i="17"/>
  <c r="P116" i="17"/>
  <c r="AE116" i="17" s="1"/>
  <c r="Y116" i="17"/>
  <c r="T112" i="17"/>
  <c r="U112" i="17"/>
  <c r="V112" i="17"/>
  <c r="P112" i="17"/>
  <c r="AE112" i="17" s="1"/>
  <c r="Y112" i="17"/>
  <c r="T108" i="17"/>
  <c r="U108" i="17"/>
  <c r="V108" i="17"/>
  <c r="P108" i="17"/>
  <c r="AE108" i="17" s="1"/>
  <c r="Y108" i="17"/>
  <c r="T104" i="17"/>
  <c r="U104" i="17"/>
  <c r="V104" i="17"/>
  <c r="P104" i="17"/>
  <c r="AE104" i="17" s="1"/>
  <c r="Y104" i="17"/>
  <c r="T100" i="17"/>
  <c r="U100" i="17"/>
  <c r="V100" i="17"/>
  <c r="P100" i="17"/>
  <c r="AE100" i="17" s="1"/>
  <c r="Y100" i="17"/>
  <c r="T96" i="17"/>
  <c r="U96" i="17"/>
  <c r="V96" i="17"/>
  <c r="P96" i="17"/>
  <c r="AE96" i="17" s="1"/>
  <c r="Y96" i="17"/>
  <c r="V79" i="17"/>
  <c r="U79" i="17"/>
  <c r="T79" i="17"/>
  <c r="P79" i="17"/>
  <c r="AE79" i="17" s="1"/>
  <c r="Y79" i="17"/>
  <c r="V75" i="17"/>
  <c r="U75" i="17"/>
  <c r="T75" i="17"/>
  <c r="P75" i="17"/>
  <c r="AE75" i="17" s="1"/>
  <c r="Y75" i="17"/>
  <c r="V71" i="17"/>
  <c r="U71" i="17"/>
  <c r="T71" i="17"/>
  <c r="Y71" i="17"/>
  <c r="P71" i="17"/>
  <c r="AE71" i="17" s="1"/>
  <c r="V67" i="17"/>
  <c r="U67" i="17"/>
  <c r="T67" i="17"/>
  <c r="P67" i="17"/>
  <c r="AE67" i="17" s="1"/>
  <c r="Y67" i="17"/>
  <c r="V63" i="17"/>
  <c r="T63" i="17"/>
  <c r="U63" i="17"/>
  <c r="P63" i="17"/>
  <c r="AE63" i="17" s="1"/>
  <c r="Y63" i="17"/>
  <c r="V59" i="17"/>
  <c r="T59" i="17"/>
  <c r="U59" i="17"/>
  <c r="P59" i="17"/>
  <c r="AE59" i="17" s="1"/>
  <c r="Y59" i="17"/>
  <c r="V39" i="17"/>
  <c r="T39" i="17"/>
  <c r="U39" i="17"/>
  <c r="Y39" i="17"/>
  <c r="P39" i="17"/>
  <c r="AE39" i="17" s="1"/>
  <c r="U35" i="17"/>
  <c r="V35" i="17"/>
  <c r="T35" i="17"/>
  <c r="P35" i="17"/>
  <c r="AE35" i="17" s="1"/>
  <c r="Y35" i="17"/>
  <c r="U31" i="17"/>
  <c r="V31" i="17"/>
  <c r="T31" i="17"/>
  <c r="P31" i="17"/>
  <c r="AE31" i="17" s="1"/>
  <c r="Y31" i="17"/>
  <c r="T25" i="17"/>
  <c r="U25" i="17"/>
  <c r="V25" i="17"/>
  <c r="P25" i="17"/>
  <c r="AE25" i="17" s="1"/>
  <c r="Y25" i="17"/>
  <c r="T21" i="17"/>
  <c r="U21" i="17"/>
  <c r="V21" i="17"/>
  <c r="P21" i="17"/>
  <c r="AE21" i="17" s="1"/>
  <c r="Y21" i="17"/>
  <c r="T316" i="17"/>
  <c r="U316" i="17"/>
  <c r="V316" i="17"/>
  <c r="P316" i="17"/>
  <c r="AE316" i="17" s="1"/>
  <c r="Y316" i="17"/>
  <c r="T588" i="17"/>
  <c r="U588" i="17"/>
  <c r="V588" i="17"/>
  <c r="P588" i="17"/>
  <c r="AE588" i="17" s="1"/>
  <c r="Y588" i="17"/>
  <c r="T584" i="17"/>
  <c r="U584" i="17"/>
  <c r="V584" i="17"/>
  <c r="P584" i="17"/>
  <c r="AE584" i="17" s="1"/>
  <c r="Y584" i="17"/>
  <c r="T580" i="17"/>
  <c r="U580" i="17"/>
  <c r="V580" i="17"/>
  <c r="P580" i="17"/>
  <c r="AE580" i="17" s="1"/>
  <c r="Y580" i="17"/>
  <c r="T576" i="17"/>
  <c r="U576" i="17"/>
  <c r="V576" i="17"/>
  <c r="P576" i="17"/>
  <c r="AE576" i="17" s="1"/>
  <c r="Y576" i="17"/>
  <c r="T572" i="17"/>
  <c r="U572" i="17"/>
  <c r="V572" i="17"/>
  <c r="P572" i="17"/>
  <c r="AE572" i="17" s="1"/>
  <c r="Y572" i="17"/>
  <c r="T568" i="17"/>
  <c r="U568" i="17"/>
  <c r="V568" i="17"/>
  <c r="P568" i="17"/>
  <c r="AE568" i="17" s="1"/>
  <c r="Y568" i="17"/>
  <c r="T552" i="17"/>
  <c r="U552" i="17"/>
  <c r="V552" i="17"/>
  <c r="P552" i="17"/>
  <c r="AE552" i="17" s="1"/>
  <c r="Y552" i="17"/>
  <c r="T548" i="17"/>
  <c r="U548" i="17"/>
  <c r="V548" i="17"/>
  <c r="P548" i="17"/>
  <c r="AE548" i="17" s="1"/>
  <c r="Y548" i="17"/>
  <c r="T544" i="17"/>
  <c r="U544" i="17"/>
  <c r="V544" i="17"/>
  <c r="P544" i="17"/>
  <c r="AE544" i="17" s="1"/>
  <c r="Y544" i="17"/>
  <c r="T540" i="17"/>
  <c r="U540" i="17"/>
  <c r="V540" i="17"/>
  <c r="P540" i="17"/>
  <c r="AE540" i="17" s="1"/>
  <c r="Y540" i="17"/>
  <c r="T536" i="17"/>
  <c r="U536" i="17"/>
  <c r="V536" i="17"/>
  <c r="P536" i="17"/>
  <c r="AE536" i="17" s="1"/>
  <c r="Y536" i="17"/>
  <c r="T532" i="17"/>
  <c r="U532" i="17"/>
  <c r="V532" i="17"/>
  <c r="P532" i="17"/>
  <c r="AE532" i="17" s="1"/>
  <c r="Y532" i="17"/>
  <c r="T516" i="17"/>
  <c r="U516" i="17"/>
  <c r="V516" i="17"/>
  <c r="P516" i="17"/>
  <c r="AE516" i="17" s="1"/>
  <c r="Y516" i="17"/>
  <c r="T512" i="17"/>
  <c r="U512" i="17"/>
  <c r="V512" i="17"/>
  <c r="P512" i="17"/>
  <c r="AE512" i="17" s="1"/>
  <c r="Y512" i="17"/>
  <c r="T508" i="17"/>
  <c r="U508" i="17"/>
  <c r="V508" i="17"/>
  <c r="P508" i="17"/>
  <c r="AE508" i="17" s="1"/>
  <c r="Y508" i="17"/>
  <c r="T504" i="17"/>
  <c r="U504" i="17"/>
  <c r="V504" i="17"/>
  <c r="P504" i="17"/>
  <c r="AE504" i="17" s="1"/>
  <c r="Y504" i="17"/>
  <c r="T500" i="17"/>
  <c r="U500" i="17"/>
  <c r="V500" i="17"/>
  <c r="P500" i="17"/>
  <c r="AE500" i="17" s="1"/>
  <c r="Y500" i="17"/>
  <c r="T496" i="17"/>
  <c r="U496" i="17"/>
  <c r="V496" i="17"/>
  <c r="P496" i="17"/>
  <c r="AE496" i="17" s="1"/>
  <c r="Y496" i="17"/>
  <c r="T480" i="17"/>
  <c r="U480" i="17"/>
  <c r="V480" i="17"/>
  <c r="P480" i="17"/>
  <c r="AE480" i="17" s="1"/>
  <c r="Y480" i="17"/>
  <c r="T476" i="17"/>
  <c r="U476" i="17"/>
  <c r="V476" i="17"/>
  <c r="P476" i="17"/>
  <c r="AE476" i="17" s="1"/>
  <c r="Y476" i="17"/>
  <c r="V472" i="17"/>
  <c r="U472" i="17"/>
  <c r="T472" i="17"/>
  <c r="P472" i="17"/>
  <c r="AE472" i="17" s="1"/>
  <c r="Y472" i="17"/>
  <c r="V468" i="17"/>
  <c r="T468" i="17"/>
  <c r="U468" i="17"/>
  <c r="P468" i="17"/>
  <c r="AE468" i="17" s="1"/>
  <c r="Y468" i="17"/>
  <c r="V464" i="17"/>
  <c r="T464" i="17"/>
  <c r="U464" i="17"/>
  <c r="P464" i="17"/>
  <c r="AE464" i="17" s="1"/>
  <c r="Y464" i="17"/>
  <c r="V460" i="17"/>
  <c r="T460" i="17"/>
  <c r="U460" i="17"/>
  <c r="P460" i="17"/>
  <c r="AE460" i="17" s="1"/>
  <c r="Y460" i="17"/>
  <c r="V444" i="17"/>
  <c r="T444" i="17"/>
  <c r="U444" i="17"/>
  <c r="P444" i="17"/>
  <c r="AE444" i="17" s="1"/>
  <c r="Y444" i="17"/>
  <c r="V440" i="17"/>
  <c r="U440" i="17"/>
  <c r="T440" i="17"/>
  <c r="P440" i="17"/>
  <c r="AE440" i="17" s="1"/>
  <c r="Y440" i="17"/>
  <c r="V436" i="17"/>
  <c r="T436" i="17"/>
  <c r="U436" i="17"/>
  <c r="P436" i="17"/>
  <c r="AE436" i="17" s="1"/>
  <c r="Y436" i="17"/>
  <c r="V432" i="17"/>
  <c r="T432" i="17"/>
  <c r="U432" i="17"/>
  <c r="P432" i="17"/>
  <c r="AE432" i="17" s="1"/>
  <c r="Y432" i="17"/>
  <c r="V428" i="17"/>
  <c r="T428" i="17"/>
  <c r="U428" i="17"/>
  <c r="P428" i="17"/>
  <c r="AE428" i="17" s="1"/>
  <c r="Y428" i="17"/>
  <c r="V424" i="17"/>
  <c r="U424" i="17"/>
  <c r="T424" i="17"/>
  <c r="P424" i="17"/>
  <c r="AE424" i="17" s="1"/>
  <c r="Y424" i="17"/>
  <c r="T408" i="17"/>
  <c r="U408" i="17"/>
  <c r="V408" i="17"/>
  <c r="P408" i="17"/>
  <c r="AE408" i="17" s="1"/>
  <c r="Y408" i="17"/>
  <c r="T404" i="17"/>
  <c r="U404" i="17"/>
  <c r="V404" i="17"/>
  <c r="P404" i="17"/>
  <c r="AE404" i="17" s="1"/>
  <c r="Y404" i="17"/>
  <c r="T400" i="17"/>
  <c r="U400" i="17"/>
  <c r="V400" i="17"/>
  <c r="P400" i="17"/>
  <c r="AE400" i="17" s="1"/>
  <c r="Y400" i="17"/>
  <c r="T396" i="17"/>
  <c r="V396" i="17"/>
  <c r="U396" i="17"/>
  <c r="P396" i="17"/>
  <c r="AE396" i="17" s="1"/>
  <c r="Y396" i="17"/>
  <c r="T392" i="17"/>
  <c r="U392" i="17"/>
  <c r="V392" i="17"/>
  <c r="P392" i="17"/>
  <c r="AE392" i="17" s="1"/>
  <c r="Y392" i="17"/>
  <c r="T388" i="17"/>
  <c r="V388" i="17"/>
  <c r="U388" i="17"/>
  <c r="P388" i="17"/>
  <c r="AE388" i="17" s="1"/>
  <c r="Y388" i="17"/>
  <c r="T372" i="17"/>
  <c r="U372" i="17"/>
  <c r="V372" i="17"/>
  <c r="P372" i="17"/>
  <c r="AE372" i="17" s="1"/>
  <c r="Y372" i="17"/>
  <c r="T368" i="17"/>
  <c r="U368" i="17"/>
  <c r="V368" i="17"/>
  <c r="P368" i="17"/>
  <c r="AE368" i="17" s="1"/>
  <c r="Y368" i="17"/>
  <c r="T364" i="17"/>
  <c r="U364" i="17"/>
  <c r="V364" i="17"/>
  <c r="P364" i="17"/>
  <c r="AE364" i="17" s="1"/>
  <c r="Y364" i="17"/>
  <c r="T360" i="17"/>
  <c r="U360" i="17"/>
  <c r="V360" i="17"/>
  <c r="P360" i="17"/>
  <c r="AE360" i="17" s="1"/>
  <c r="Y360" i="17"/>
  <c r="T356" i="17"/>
  <c r="U356" i="17"/>
  <c r="V356" i="17"/>
  <c r="P356" i="17"/>
  <c r="AE356" i="17" s="1"/>
  <c r="Y356" i="17"/>
  <c r="T352" i="17"/>
  <c r="U352" i="17"/>
  <c r="V352" i="17"/>
  <c r="P352" i="17"/>
  <c r="AE352" i="17" s="1"/>
  <c r="Y352" i="17"/>
  <c r="T336" i="17"/>
  <c r="U336" i="17"/>
  <c r="V336" i="17"/>
  <c r="P336" i="17"/>
  <c r="AE336" i="17" s="1"/>
  <c r="Y336" i="17"/>
  <c r="T332" i="17"/>
  <c r="U332" i="17"/>
  <c r="V332" i="17"/>
  <c r="P332" i="17"/>
  <c r="AE332" i="17" s="1"/>
  <c r="Y332" i="17"/>
  <c r="T328" i="17"/>
  <c r="U328" i="17"/>
  <c r="V328" i="17"/>
  <c r="P328" i="17"/>
  <c r="AE328" i="17" s="1"/>
  <c r="Y328" i="17"/>
  <c r="T324" i="17"/>
  <c r="U324" i="17"/>
  <c r="V324" i="17"/>
  <c r="P324" i="17"/>
  <c r="AE324" i="17" s="1"/>
  <c r="Y324" i="17"/>
  <c r="T320" i="17"/>
  <c r="U320" i="17"/>
  <c r="V320" i="17"/>
  <c r="P320" i="17"/>
  <c r="AE320" i="17" s="1"/>
  <c r="Y320" i="17"/>
  <c r="T302" i="17"/>
  <c r="U302" i="17"/>
  <c r="V302" i="17"/>
  <c r="P302" i="17"/>
  <c r="AE302" i="17" s="1"/>
  <c r="Y302" i="17"/>
  <c r="V289" i="17"/>
  <c r="T289" i="17"/>
  <c r="U289" i="17"/>
  <c r="P289" i="17"/>
  <c r="AE289" i="17" s="1"/>
  <c r="Y289" i="17"/>
  <c r="V261" i="17"/>
  <c r="T261" i="17"/>
  <c r="U261" i="17"/>
  <c r="P261" i="17"/>
  <c r="AE261" i="17" s="1"/>
  <c r="Y261" i="17"/>
  <c r="U244" i="17"/>
  <c r="V244" i="17"/>
  <c r="T244" i="17"/>
  <c r="P244" i="17"/>
  <c r="AE244" i="17" s="1"/>
  <c r="Y244" i="17"/>
  <c r="U220" i="17"/>
  <c r="V220" i="17"/>
  <c r="T220" i="17"/>
  <c r="P220" i="17"/>
  <c r="AE220" i="17" s="1"/>
  <c r="Y220" i="17"/>
  <c r="U212" i="17"/>
  <c r="V212" i="17"/>
  <c r="T212" i="17"/>
  <c r="P212" i="17"/>
  <c r="AE212" i="17" s="1"/>
  <c r="Y212" i="17"/>
  <c r="T187" i="17"/>
  <c r="U187" i="17"/>
  <c r="V187" i="17"/>
  <c r="P187" i="17"/>
  <c r="AE187" i="17" s="1"/>
  <c r="Y187" i="17"/>
  <c r="U175" i="17"/>
  <c r="V175" i="17"/>
  <c r="T175" i="17"/>
  <c r="P175" i="17"/>
  <c r="Y175" i="17"/>
  <c r="T155" i="17"/>
  <c r="U155" i="17"/>
  <c r="V155" i="17"/>
  <c r="P155" i="17"/>
  <c r="AE155" i="17" s="1"/>
  <c r="Y155" i="17"/>
  <c r="T143" i="17"/>
  <c r="U143" i="17"/>
  <c r="V143" i="17"/>
  <c r="P143" i="17"/>
  <c r="AE143" i="17" s="1"/>
  <c r="Y143" i="17"/>
  <c r="U109" i="17"/>
  <c r="V109" i="17"/>
  <c r="T109" i="17"/>
  <c r="P109" i="17"/>
  <c r="AE109" i="17" s="1"/>
  <c r="Y109" i="17"/>
  <c r="U97" i="17"/>
  <c r="V97" i="17"/>
  <c r="T97" i="17"/>
  <c r="P97" i="17"/>
  <c r="AE97" i="17" s="1"/>
  <c r="Y97" i="17"/>
  <c r="T72" i="17"/>
  <c r="U72" i="17"/>
  <c r="V72" i="17"/>
  <c r="P72" i="17"/>
  <c r="AE72" i="17" s="1"/>
  <c r="Y72" i="17"/>
  <c r="T60" i="17"/>
  <c r="V60" i="17"/>
  <c r="U60" i="17"/>
  <c r="P60" i="17"/>
  <c r="AE60" i="17" s="1"/>
  <c r="Y60" i="17"/>
  <c r="T36" i="17"/>
  <c r="U36" i="17"/>
  <c r="V36" i="17"/>
  <c r="P36" i="17"/>
  <c r="AE36" i="17" s="1"/>
  <c r="Y36" i="17"/>
  <c r="T26" i="17"/>
  <c r="U26" i="17"/>
  <c r="V26" i="17"/>
  <c r="P26" i="17"/>
  <c r="AE26" i="17" s="1"/>
  <c r="Y26" i="17"/>
  <c r="U589" i="17"/>
  <c r="V589" i="17"/>
  <c r="T589" i="17"/>
  <c r="P589" i="17"/>
  <c r="AE589" i="17" s="1"/>
  <c r="Y589" i="17"/>
  <c r="U569" i="17"/>
  <c r="V569" i="17"/>
  <c r="T569" i="17"/>
  <c r="P569" i="17"/>
  <c r="AE569" i="17" s="1"/>
  <c r="Y569" i="17"/>
  <c r="U545" i="17"/>
  <c r="V545" i="17"/>
  <c r="T545" i="17"/>
  <c r="P545" i="17"/>
  <c r="AE545" i="17" s="1"/>
  <c r="Y545" i="17"/>
  <c r="U533" i="17"/>
  <c r="V533" i="17"/>
  <c r="T533" i="17"/>
  <c r="P533" i="17"/>
  <c r="AE533" i="17" s="1"/>
  <c r="Y533" i="17"/>
  <c r="U513" i="17"/>
  <c r="V513" i="17"/>
  <c r="T513" i="17"/>
  <c r="P513" i="17"/>
  <c r="AE513" i="17" s="1"/>
  <c r="Y513" i="17"/>
  <c r="U505" i="17"/>
  <c r="V505" i="17"/>
  <c r="T505" i="17"/>
  <c r="P505" i="17"/>
  <c r="AE505" i="17" s="1"/>
  <c r="Y505" i="17"/>
  <c r="U481" i="17"/>
  <c r="V481" i="17"/>
  <c r="T481" i="17"/>
  <c r="P481" i="17"/>
  <c r="AE481" i="17" s="1"/>
  <c r="Y481" i="17"/>
  <c r="T469" i="17"/>
  <c r="U469" i="17"/>
  <c r="V469" i="17"/>
  <c r="P469" i="17"/>
  <c r="AE469" i="17" s="1"/>
  <c r="Y469" i="17"/>
  <c r="V445" i="17"/>
  <c r="T445" i="17"/>
  <c r="U445" i="17"/>
  <c r="P445" i="17"/>
  <c r="AE445" i="17" s="1"/>
  <c r="Y445" i="17"/>
  <c r="V429" i="17"/>
  <c r="T429" i="17"/>
  <c r="U429" i="17"/>
  <c r="P429" i="17"/>
  <c r="AE429" i="17" s="1"/>
  <c r="Y429" i="17"/>
  <c r="U401" i="17"/>
  <c r="T401" i="17"/>
  <c r="V401" i="17"/>
  <c r="P401" i="17"/>
  <c r="AE401" i="17" s="1"/>
  <c r="Y401" i="17"/>
  <c r="T317" i="17"/>
  <c r="U317" i="17"/>
  <c r="V317" i="17"/>
  <c r="P317" i="17"/>
  <c r="AE317" i="17" s="1"/>
  <c r="Y317" i="17"/>
  <c r="T5" i="17"/>
  <c r="V5" i="17"/>
  <c r="U5" i="17"/>
  <c r="P5" i="17"/>
  <c r="AE5" i="17" s="1"/>
  <c r="Y5" i="17"/>
  <c r="V297" i="17"/>
  <c r="T297" i="17"/>
  <c r="U297" i="17"/>
  <c r="P297" i="17"/>
  <c r="AE297" i="17" s="1"/>
  <c r="Y297" i="17"/>
  <c r="U284" i="17"/>
  <c r="V284" i="17"/>
  <c r="T284" i="17"/>
  <c r="P284" i="17"/>
  <c r="AE284" i="17" s="1"/>
  <c r="Y284" i="17"/>
  <c r="U264" i="17"/>
  <c r="V264" i="17"/>
  <c r="T264" i="17"/>
  <c r="P264" i="17"/>
  <c r="AE264" i="17" s="1"/>
  <c r="Y264" i="17"/>
  <c r="T243" i="17"/>
  <c r="U243" i="17"/>
  <c r="V243" i="17"/>
  <c r="P243" i="17"/>
  <c r="AE243" i="17" s="1"/>
  <c r="Y243" i="17"/>
  <c r="V2" i="17"/>
  <c r="U2" i="17"/>
  <c r="T2" i="17"/>
  <c r="Y2" i="17"/>
  <c r="P2" i="17"/>
  <c r="AE2" i="17" s="1"/>
  <c r="V12" i="17"/>
  <c r="T12" i="17"/>
  <c r="U12" i="17"/>
  <c r="P12" i="17"/>
  <c r="AE12" i="17" s="1"/>
  <c r="Y12" i="17"/>
  <c r="U8" i="17"/>
  <c r="V8" i="17"/>
  <c r="T8" i="17"/>
  <c r="P8" i="17"/>
  <c r="AE8" i="17" s="1"/>
  <c r="Y8" i="17"/>
  <c r="U4" i="17"/>
  <c r="V4" i="17"/>
  <c r="T4" i="17"/>
  <c r="P4" i="17"/>
  <c r="AE4" i="17" s="1"/>
  <c r="Y4" i="17"/>
  <c r="U300" i="17"/>
  <c r="V300" i="17"/>
  <c r="T300" i="17"/>
  <c r="P300" i="17"/>
  <c r="AE300" i="17" s="1"/>
  <c r="Y300" i="17"/>
  <c r="U296" i="17"/>
  <c r="V296" i="17"/>
  <c r="T296" i="17"/>
  <c r="P296" i="17"/>
  <c r="AE296" i="17" s="1"/>
  <c r="Y296" i="17"/>
  <c r="T291" i="17"/>
  <c r="U291" i="17"/>
  <c r="V291" i="17"/>
  <c r="P291" i="17"/>
  <c r="AE291" i="17" s="1"/>
  <c r="Y291" i="17"/>
  <c r="T287" i="17"/>
  <c r="U287" i="17"/>
  <c r="V287" i="17"/>
  <c r="P287" i="17"/>
  <c r="AE287" i="17" s="1"/>
  <c r="Y287" i="17"/>
  <c r="T283" i="17"/>
  <c r="U283" i="17"/>
  <c r="V283" i="17"/>
  <c r="P283" i="17"/>
  <c r="AE283" i="17" s="1"/>
  <c r="Y283" i="17"/>
  <c r="T279" i="17"/>
  <c r="U279" i="17"/>
  <c r="V279" i="17"/>
  <c r="P279" i="17"/>
  <c r="AE279" i="17" s="1"/>
  <c r="Y279" i="17"/>
  <c r="T263" i="17"/>
  <c r="U263" i="17"/>
  <c r="V263" i="17"/>
  <c r="P263" i="17"/>
  <c r="AE263" i="17" s="1"/>
  <c r="Y263" i="17"/>
  <c r="T259" i="17"/>
  <c r="U259" i="17"/>
  <c r="V259" i="17"/>
  <c r="P259" i="17"/>
  <c r="AE259" i="17" s="1"/>
  <c r="Y259" i="17"/>
  <c r="T255" i="17"/>
  <c r="U255" i="17"/>
  <c r="V255" i="17"/>
  <c r="P255" i="17"/>
  <c r="AE255" i="17" s="1"/>
  <c r="Y255" i="17"/>
  <c r="T251" i="17"/>
  <c r="U251" i="17"/>
  <c r="V251" i="17"/>
  <c r="P251" i="17"/>
  <c r="AE251" i="17" s="1"/>
  <c r="Y251" i="17"/>
  <c r="T246" i="17"/>
  <c r="U246" i="17"/>
  <c r="V246" i="17"/>
  <c r="P246" i="17"/>
  <c r="AE246" i="17" s="1"/>
  <c r="Y246" i="17"/>
  <c r="T230" i="17"/>
  <c r="U230" i="17"/>
  <c r="V230" i="17"/>
  <c r="P230" i="17"/>
  <c r="AE230" i="17" s="1"/>
  <c r="Y230" i="17"/>
  <c r="T226" i="17"/>
  <c r="U226" i="17"/>
  <c r="V226" i="17"/>
  <c r="P226" i="17"/>
  <c r="AE226" i="17" s="1"/>
  <c r="Y226" i="17"/>
  <c r="T222" i="17"/>
  <c r="U222" i="17"/>
  <c r="V222" i="17"/>
  <c r="P222" i="17"/>
  <c r="AE222" i="17" s="1"/>
  <c r="Y222" i="17"/>
  <c r="T218" i="17"/>
  <c r="U218" i="17"/>
  <c r="V218" i="17"/>
  <c r="P218" i="17"/>
  <c r="AE218" i="17" s="1"/>
  <c r="Y218" i="17"/>
  <c r="T214" i="17"/>
  <c r="U214" i="17"/>
  <c r="V214" i="17"/>
  <c r="P214" i="17"/>
  <c r="AE214" i="17" s="1"/>
  <c r="Y214" i="17"/>
  <c r="T210" i="17"/>
  <c r="U210" i="17"/>
  <c r="V210" i="17"/>
  <c r="P210" i="17"/>
  <c r="AE210" i="17" s="1"/>
  <c r="Y210" i="17"/>
  <c r="V193" i="17"/>
  <c r="T193" i="17"/>
  <c r="U193" i="17"/>
  <c r="P193" i="17"/>
  <c r="AE193" i="17" s="1"/>
  <c r="Y193" i="17"/>
  <c r="V189" i="17"/>
  <c r="T189" i="17"/>
  <c r="U189" i="17"/>
  <c r="P189" i="17"/>
  <c r="AE189" i="17" s="1"/>
  <c r="Y189" i="17"/>
  <c r="V185" i="17"/>
  <c r="T185" i="17"/>
  <c r="U185" i="17"/>
  <c r="P185" i="17"/>
  <c r="AE185" i="17" s="1"/>
  <c r="Y185" i="17"/>
  <c r="T181" i="17"/>
  <c r="U181" i="17"/>
  <c r="V181" i="17"/>
  <c r="P181" i="17"/>
  <c r="AE181" i="17" s="1"/>
  <c r="Y181" i="17"/>
  <c r="T177" i="17"/>
  <c r="U177" i="17"/>
  <c r="V177" i="17"/>
  <c r="P177" i="17"/>
  <c r="AE177" i="17" s="1"/>
  <c r="Y177" i="17"/>
  <c r="T173" i="17"/>
  <c r="U173" i="17"/>
  <c r="V173" i="17"/>
  <c r="P173" i="17"/>
  <c r="AE173" i="17" s="1"/>
  <c r="Y173" i="17"/>
  <c r="T169" i="17"/>
  <c r="U169" i="17"/>
  <c r="V169" i="17"/>
  <c r="P169" i="17"/>
  <c r="AE169" i="17" s="1"/>
  <c r="Y169" i="17"/>
  <c r="U153" i="17"/>
  <c r="V153" i="17"/>
  <c r="T153" i="17"/>
  <c r="P153" i="17"/>
  <c r="AE153" i="17" s="1"/>
  <c r="Y153" i="17"/>
  <c r="U149" i="17"/>
  <c r="T149" i="17"/>
  <c r="V149" i="17"/>
  <c r="P149" i="17"/>
  <c r="AE149" i="17" s="1"/>
  <c r="Y149" i="17"/>
  <c r="U145" i="17"/>
  <c r="T145" i="17"/>
  <c r="V145" i="17"/>
  <c r="P145" i="17"/>
  <c r="AE145" i="17" s="1"/>
  <c r="Y145" i="17"/>
  <c r="U141" i="17"/>
  <c r="T141" i="17"/>
  <c r="V141" i="17"/>
  <c r="P141" i="17"/>
  <c r="AE141" i="17" s="1"/>
  <c r="Y141" i="17"/>
  <c r="U137" i="17"/>
  <c r="T137" i="17"/>
  <c r="V137" i="17"/>
  <c r="P137" i="17"/>
  <c r="AE137" i="17" s="1"/>
  <c r="Y137" i="17"/>
  <c r="U133" i="17"/>
  <c r="T133" i="17"/>
  <c r="V133" i="17"/>
  <c r="P133" i="17"/>
  <c r="AE133" i="17" s="1"/>
  <c r="Y133" i="17"/>
  <c r="T115" i="17"/>
  <c r="U115" i="17"/>
  <c r="V115" i="17"/>
  <c r="P115" i="17"/>
  <c r="AE115" i="17" s="1"/>
  <c r="Y115" i="17"/>
  <c r="T111" i="17"/>
  <c r="U111" i="17"/>
  <c r="V111" i="17"/>
  <c r="P111" i="17"/>
  <c r="AE111" i="17" s="1"/>
  <c r="Y111" i="17"/>
  <c r="T107" i="17"/>
  <c r="U107" i="17"/>
  <c r="V107" i="17"/>
  <c r="P107" i="17"/>
  <c r="AE107" i="17" s="1"/>
  <c r="Y107" i="17"/>
  <c r="T103" i="17"/>
  <c r="U103" i="17"/>
  <c r="V103" i="17"/>
  <c r="Y103" i="17"/>
  <c r="P103" i="17"/>
  <c r="AE103" i="17" s="1"/>
  <c r="T99" i="17"/>
  <c r="U99" i="17"/>
  <c r="V99" i="17"/>
  <c r="P99" i="17"/>
  <c r="AE99" i="17" s="1"/>
  <c r="Y99" i="17"/>
  <c r="T95" i="17"/>
  <c r="U95" i="17"/>
  <c r="V95" i="17"/>
  <c r="P95" i="17"/>
  <c r="AE95" i="17" s="1"/>
  <c r="Y95" i="17"/>
  <c r="U78" i="17"/>
  <c r="T78" i="17"/>
  <c r="V78" i="17"/>
  <c r="P78" i="17"/>
  <c r="AE78" i="17" s="1"/>
  <c r="Y78" i="17"/>
  <c r="U74" i="17"/>
  <c r="T74" i="17"/>
  <c r="V74" i="17"/>
  <c r="P74" i="17"/>
  <c r="AE74" i="17" s="1"/>
  <c r="Y74" i="17"/>
  <c r="U70" i="17"/>
  <c r="V70" i="17"/>
  <c r="T70" i="17"/>
  <c r="P70" i="17"/>
  <c r="AE70" i="17" s="1"/>
  <c r="Y70" i="17"/>
  <c r="U66" i="17"/>
  <c r="V66" i="17"/>
  <c r="T66" i="17"/>
  <c r="P66" i="17"/>
  <c r="AE66" i="17" s="1"/>
  <c r="Y66" i="17"/>
  <c r="U62" i="17"/>
  <c r="T62" i="17"/>
  <c r="V62" i="17"/>
  <c r="P62" i="17"/>
  <c r="AE62" i="17" s="1"/>
  <c r="Y62" i="17"/>
  <c r="U58" i="17"/>
  <c r="V58" i="17"/>
  <c r="T58" i="17"/>
  <c r="P58" i="17"/>
  <c r="AE58" i="17" s="1"/>
  <c r="Y58" i="17"/>
  <c r="U38" i="17"/>
  <c r="V38" i="17"/>
  <c r="T38" i="17"/>
  <c r="P38" i="17"/>
  <c r="AE38" i="17" s="1"/>
  <c r="Y38" i="17"/>
  <c r="T34" i="17"/>
  <c r="U34" i="17"/>
  <c r="V34" i="17"/>
  <c r="P34" i="17"/>
  <c r="AE34" i="17" s="1"/>
  <c r="Y34" i="17"/>
  <c r="T30" i="17"/>
  <c r="U30" i="17"/>
  <c r="V30" i="17"/>
  <c r="P30" i="17"/>
  <c r="AE30" i="17" s="1"/>
  <c r="Y30" i="17"/>
  <c r="V24" i="17"/>
  <c r="T24" i="17"/>
  <c r="U24" i="17"/>
  <c r="P24" i="17"/>
  <c r="AE24" i="17" s="1"/>
  <c r="Y24" i="17"/>
  <c r="T315" i="17"/>
  <c r="U315" i="17"/>
  <c r="V315" i="17"/>
  <c r="P315" i="17"/>
  <c r="AE315" i="17" s="1"/>
  <c r="Y315" i="17"/>
  <c r="T591" i="17"/>
  <c r="U591" i="17"/>
  <c r="V591" i="17"/>
  <c r="P591" i="17"/>
  <c r="AE591" i="17" s="1"/>
  <c r="Y591" i="17"/>
  <c r="T587" i="17"/>
  <c r="U587" i="17"/>
  <c r="V587" i="17"/>
  <c r="P587" i="17"/>
  <c r="AE587" i="17" s="1"/>
  <c r="Y587" i="17"/>
  <c r="T583" i="17"/>
  <c r="U583" i="17"/>
  <c r="V583" i="17"/>
  <c r="P583" i="17"/>
  <c r="AE583" i="17" s="1"/>
  <c r="Y583" i="17"/>
  <c r="T579" i="17"/>
  <c r="U579" i="17"/>
  <c r="V579" i="17"/>
  <c r="P579" i="17"/>
  <c r="AE579" i="17" s="1"/>
  <c r="Y579" i="17"/>
  <c r="T575" i="17"/>
  <c r="U575" i="17"/>
  <c r="V575" i="17"/>
  <c r="P575" i="17"/>
  <c r="AE575" i="17" s="1"/>
  <c r="Y575" i="17"/>
  <c r="T571" i="17"/>
  <c r="U571" i="17"/>
  <c r="V571" i="17"/>
  <c r="P571" i="17"/>
  <c r="AE571" i="17" s="1"/>
  <c r="Y571" i="17"/>
  <c r="T555" i="17"/>
  <c r="U555" i="17"/>
  <c r="V555" i="17"/>
  <c r="P555" i="17"/>
  <c r="AE555" i="17" s="1"/>
  <c r="Y555" i="17"/>
  <c r="T551" i="17"/>
  <c r="U551" i="17"/>
  <c r="V551" i="17"/>
  <c r="P551" i="17"/>
  <c r="AE551" i="17" s="1"/>
  <c r="Y551" i="17"/>
  <c r="T547" i="17"/>
  <c r="U547" i="17"/>
  <c r="V547" i="17"/>
  <c r="P547" i="17"/>
  <c r="AE547" i="17" s="1"/>
  <c r="Y547" i="17"/>
  <c r="T543" i="17"/>
  <c r="U543" i="17"/>
  <c r="V543" i="17"/>
  <c r="P543" i="17"/>
  <c r="AE543" i="17" s="1"/>
  <c r="Y543" i="17"/>
  <c r="T539" i="17"/>
  <c r="U539" i="17"/>
  <c r="V539" i="17"/>
  <c r="P539" i="17"/>
  <c r="AE539" i="17" s="1"/>
  <c r="Y539" i="17"/>
  <c r="T535" i="17"/>
  <c r="U535" i="17"/>
  <c r="V535" i="17"/>
  <c r="P535" i="17"/>
  <c r="AE535" i="17" s="1"/>
  <c r="Y535" i="17"/>
  <c r="T519" i="17"/>
  <c r="U519" i="17"/>
  <c r="V519" i="17"/>
  <c r="P519" i="17"/>
  <c r="AE519" i="17" s="1"/>
  <c r="Y519" i="17"/>
  <c r="T515" i="17"/>
  <c r="U515" i="17"/>
  <c r="V515" i="17"/>
  <c r="P515" i="17"/>
  <c r="AE515" i="17" s="1"/>
  <c r="Y515" i="17"/>
  <c r="T511" i="17"/>
  <c r="U511" i="17"/>
  <c r="V511" i="17"/>
  <c r="P511" i="17"/>
  <c r="AE511" i="17" s="1"/>
  <c r="Y511" i="17"/>
  <c r="T507" i="17"/>
  <c r="U507" i="17"/>
  <c r="V507" i="17"/>
  <c r="P507" i="17"/>
  <c r="AE507" i="17" s="1"/>
  <c r="Y507" i="17"/>
  <c r="T503" i="17"/>
  <c r="U503" i="17"/>
  <c r="V503" i="17"/>
  <c r="P503" i="17"/>
  <c r="AE503" i="17" s="1"/>
  <c r="Y503" i="17"/>
  <c r="T499" i="17"/>
  <c r="U499" i="17"/>
  <c r="V499" i="17"/>
  <c r="P499" i="17"/>
  <c r="AE499" i="17" s="1"/>
  <c r="Y499" i="17"/>
  <c r="T483" i="17"/>
  <c r="U483" i="17"/>
  <c r="V483" i="17"/>
  <c r="P483" i="17"/>
  <c r="AE483" i="17" s="1"/>
  <c r="Y483" i="17"/>
  <c r="T479" i="17"/>
  <c r="U479" i="17"/>
  <c r="V479" i="17"/>
  <c r="P479" i="17"/>
  <c r="AE479" i="17" s="1"/>
  <c r="Y479" i="17"/>
  <c r="U475" i="17"/>
  <c r="T475" i="17"/>
  <c r="V475" i="17"/>
  <c r="P475" i="17"/>
  <c r="AE475" i="17" s="1"/>
  <c r="Y475" i="17"/>
  <c r="U471" i="17"/>
  <c r="T471" i="17"/>
  <c r="V471" i="17"/>
  <c r="P471" i="17"/>
  <c r="AE471" i="17" s="1"/>
  <c r="Y471" i="17"/>
  <c r="U467" i="17"/>
  <c r="T467" i="17"/>
  <c r="V467" i="17"/>
  <c r="P467" i="17"/>
  <c r="AE467" i="17" s="1"/>
  <c r="Y467" i="17"/>
  <c r="U463" i="17"/>
  <c r="V463" i="17"/>
  <c r="T463" i="17"/>
  <c r="P463" i="17"/>
  <c r="AE463" i="17" s="1"/>
  <c r="Y463" i="17"/>
  <c r="U447" i="17"/>
  <c r="V447" i="17"/>
  <c r="T447" i="17"/>
  <c r="P447" i="17"/>
  <c r="AE447" i="17" s="1"/>
  <c r="Y447" i="17"/>
  <c r="U443" i="17"/>
  <c r="T443" i="17"/>
  <c r="V443" i="17"/>
  <c r="P443" i="17"/>
  <c r="AE443" i="17" s="1"/>
  <c r="Y443" i="17"/>
  <c r="U439" i="17"/>
  <c r="T439" i="17"/>
  <c r="V439" i="17"/>
  <c r="P439" i="17"/>
  <c r="AE439" i="17" s="1"/>
  <c r="Y439" i="17"/>
  <c r="U435" i="17"/>
  <c r="T435" i="17"/>
  <c r="V435" i="17"/>
  <c r="P435" i="17"/>
  <c r="AE435" i="17" s="1"/>
  <c r="Y435" i="17"/>
  <c r="U431" i="17"/>
  <c r="V431" i="17"/>
  <c r="T431" i="17"/>
  <c r="P431" i="17"/>
  <c r="AE431" i="17" s="1"/>
  <c r="Y431" i="17"/>
  <c r="U427" i="17"/>
  <c r="T427" i="17"/>
  <c r="V427" i="17"/>
  <c r="P427" i="17"/>
  <c r="AE427" i="17" s="1"/>
  <c r="Y427" i="17"/>
  <c r="T411" i="17"/>
  <c r="U411" i="17"/>
  <c r="V411" i="17"/>
  <c r="P411" i="17"/>
  <c r="AE411" i="17" s="1"/>
  <c r="Y411" i="17"/>
  <c r="U407" i="17"/>
  <c r="V407" i="17"/>
  <c r="T407" i="17"/>
  <c r="P407" i="17"/>
  <c r="AE407" i="17" s="1"/>
  <c r="Y407" i="17"/>
  <c r="V403" i="17"/>
  <c r="T403" i="17"/>
  <c r="U403" i="17"/>
  <c r="P403" i="17"/>
  <c r="AE403" i="17" s="1"/>
  <c r="Y403" i="17"/>
  <c r="T399" i="17"/>
  <c r="U399" i="17"/>
  <c r="V399" i="17"/>
  <c r="P399" i="17"/>
  <c r="AE399" i="17" s="1"/>
  <c r="Y399" i="17"/>
  <c r="T395" i="17"/>
  <c r="V395" i="17"/>
  <c r="U395" i="17"/>
  <c r="P395" i="17"/>
  <c r="AE395" i="17" s="1"/>
  <c r="Y395" i="17"/>
  <c r="U391" i="17"/>
  <c r="T391" i="17"/>
  <c r="V391" i="17"/>
  <c r="P391" i="17"/>
  <c r="AE391" i="17" s="1"/>
  <c r="Y391" i="17"/>
  <c r="T375" i="17"/>
  <c r="U375" i="17"/>
  <c r="V375" i="17"/>
  <c r="P375" i="17"/>
  <c r="AE375" i="17" s="1"/>
  <c r="Y375" i="17"/>
  <c r="T371" i="17"/>
  <c r="U371" i="17"/>
  <c r="V371" i="17"/>
  <c r="P371" i="17"/>
  <c r="AE371" i="17" s="1"/>
  <c r="Y371" i="17"/>
  <c r="T367" i="17"/>
  <c r="U367" i="17"/>
  <c r="V367" i="17"/>
  <c r="P367" i="17"/>
  <c r="AE367" i="17" s="1"/>
  <c r="Y367" i="17"/>
  <c r="T363" i="17"/>
  <c r="U363" i="17"/>
  <c r="V363" i="17"/>
  <c r="P363" i="17"/>
  <c r="AE363" i="17" s="1"/>
  <c r="Y363" i="17"/>
  <c r="T359" i="17"/>
  <c r="U359" i="17"/>
  <c r="V359" i="17"/>
  <c r="P359" i="17"/>
  <c r="AE359" i="17" s="1"/>
  <c r="Y359" i="17"/>
  <c r="T355" i="17"/>
  <c r="V355" i="17"/>
  <c r="U355" i="17"/>
  <c r="P355" i="17"/>
  <c r="AE355" i="17" s="1"/>
  <c r="Y355" i="17"/>
  <c r="T339" i="17"/>
  <c r="U339" i="17"/>
  <c r="V339" i="17"/>
  <c r="P339" i="17"/>
  <c r="AE339" i="17" s="1"/>
  <c r="Y339" i="17"/>
  <c r="T335" i="17"/>
  <c r="U335" i="17"/>
  <c r="V335" i="17"/>
  <c r="P335" i="17"/>
  <c r="AE335" i="17" s="1"/>
  <c r="Y335" i="17"/>
  <c r="V331" i="17"/>
  <c r="T331" i="17"/>
  <c r="U331" i="17"/>
  <c r="P331" i="17"/>
  <c r="AE331" i="17" s="1"/>
  <c r="Y331" i="17"/>
  <c r="V327" i="17"/>
  <c r="T327" i="17"/>
  <c r="U327" i="17"/>
  <c r="P327" i="17"/>
  <c r="AE327" i="17" s="1"/>
  <c r="Y327" i="17"/>
  <c r="V323" i="17"/>
  <c r="T323" i="17"/>
  <c r="U323" i="17"/>
  <c r="P323" i="17"/>
  <c r="AE323" i="17" s="1"/>
  <c r="Y323" i="17"/>
  <c r="V319" i="17"/>
  <c r="T319" i="17"/>
  <c r="U319" i="17"/>
  <c r="P319" i="17"/>
  <c r="AE319" i="17" s="1"/>
  <c r="Y319" i="17"/>
  <c r="T14" i="17"/>
  <c r="U14" i="17"/>
  <c r="V14" i="17"/>
  <c r="P14" i="17"/>
  <c r="AE14" i="17" s="1"/>
  <c r="Y14" i="17"/>
  <c r="T6" i="17"/>
  <c r="V6" i="17"/>
  <c r="U6" i="17"/>
  <c r="P6" i="17"/>
  <c r="AE6" i="17" s="1"/>
  <c r="Y6" i="17"/>
  <c r="T294" i="17"/>
  <c r="U294" i="17"/>
  <c r="V294" i="17"/>
  <c r="P294" i="17"/>
  <c r="AE294" i="17" s="1"/>
  <c r="Y294" i="17"/>
  <c r="V281" i="17"/>
  <c r="T281" i="17"/>
  <c r="U281" i="17"/>
  <c r="P281" i="17"/>
  <c r="AE281" i="17" s="1"/>
  <c r="Y281" i="17"/>
  <c r="V257" i="17"/>
  <c r="T257" i="17"/>
  <c r="U257" i="17"/>
  <c r="P257" i="17"/>
  <c r="AE257" i="17" s="1"/>
  <c r="Y257" i="17"/>
  <c r="U248" i="17"/>
  <c r="V248" i="17"/>
  <c r="T248" i="17"/>
  <c r="P248" i="17"/>
  <c r="AE248" i="17" s="1"/>
  <c r="Y248" i="17"/>
  <c r="U228" i="17"/>
  <c r="V228" i="17"/>
  <c r="T228" i="17"/>
  <c r="P228" i="17"/>
  <c r="AE228" i="17" s="1"/>
  <c r="Y228" i="17"/>
  <c r="U216" i="17"/>
  <c r="V216" i="17"/>
  <c r="T216" i="17"/>
  <c r="P216" i="17"/>
  <c r="AE216" i="17" s="1"/>
  <c r="Y216" i="17"/>
  <c r="T191" i="17"/>
  <c r="U191" i="17"/>
  <c r="V191" i="17"/>
  <c r="P191" i="17"/>
  <c r="AE191" i="17" s="1"/>
  <c r="Y191" i="17"/>
  <c r="U179" i="17"/>
  <c r="V179" i="17"/>
  <c r="T179" i="17"/>
  <c r="P179" i="17"/>
  <c r="AE179" i="17" s="1"/>
  <c r="Y179" i="17"/>
  <c r="T151" i="17"/>
  <c r="U151" i="17"/>
  <c r="V151" i="17"/>
  <c r="P151" i="17"/>
  <c r="AE151" i="17" s="1"/>
  <c r="Y151" i="17"/>
  <c r="T135" i="17"/>
  <c r="U135" i="17"/>
  <c r="V135" i="17"/>
  <c r="Y135" i="17"/>
  <c r="P135" i="17"/>
  <c r="AE135" i="17" s="1"/>
  <c r="U113" i="17"/>
  <c r="V113" i="17"/>
  <c r="T113" i="17"/>
  <c r="P113" i="17"/>
  <c r="AE113" i="17" s="1"/>
  <c r="Y113" i="17"/>
  <c r="U101" i="17"/>
  <c r="V101" i="17"/>
  <c r="T101" i="17"/>
  <c r="P101" i="17"/>
  <c r="AE101" i="17" s="1"/>
  <c r="Y101" i="17"/>
  <c r="T76" i="17"/>
  <c r="U76" i="17"/>
  <c r="V76" i="17"/>
  <c r="P76" i="17"/>
  <c r="AE76" i="17" s="1"/>
  <c r="Y76" i="17"/>
  <c r="V68" i="17"/>
  <c r="T68" i="17"/>
  <c r="U68" i="17"/>
  <c r="P68" i="17"/>
  <c r="AE68" i="17" s="1"/>
  <c r="Y68" i="17"/>
  <c r="V40" i="17"/>
  <c r="T40" i="17"/>
  <c r="U40" i="17"/>
  <c r="P40" i="17"/>
  <c r="AE40" i="17" s="1"/>
  <c r="Y40" i="17"/>
  <c r="T22" i="17"/>
  <c r="U22" i="17"/>
  <c r="V22" i="17"/>
  <c r="P22" i="17"/>
  <c r="AE22" i="17" s="1"/>
  <c r="Y22" i="17"/>
  <c r="U585" i="17"/>
  <c r="V585" i="17"/>
  <c r="T585" i="17"/>
  <c r="P585" i="17"/>
  <c r="AE585" i="17" s="1"/>
  <c r="Y585" i="17"/>
  <c r="U573" i="17"/>
  <c r="V573" i="17"/>
  <c r="T573" i="17"/>
  <c r="P573" i="17"/>
  <c r="AE573" i="17" s="1"/>
  <c r="Y573" i="17"/>
  <c r="U549" i="17"/>
  <c r="V549" i="17"/>
  <c r="T549" i="17"/>
  <c r="P549" i="17"/>
  <c r="AE549" i="17" s="1"/>
  <c r="Y549" i="17"/>
  <c r="U537" i="17"/>
  <c r="V537" i="17"/>
  <c r="T537" i="17"/>
  <c r="P537" i="17"/>
  <c r="AE537" i="17" s="1"/>
  <c r="Y537" i="17"/>
  <c r="U509" i="17"/>
  <c r="V509" i="17"/>
  <c r="T509" i="17"/>
  <c r="P509" i="17"/>
  <c r="AE509" i="17" s="1"/>
  <c r="Y509" i="17"/>
  <c r="U497" i="17"/>
  <c r="V497" i="17"/>
  <c r="T497" i="17"/>
  <c r="P497" i="17"/>
  <c r="AE497" i="17" s="1"/>
  <c r="Y497" i="17"/>
  <c r="U477" i="17"/>
  <c r="V477" i="17"/>
  <c r="T477" i="17"/>
  <c r="P477" i="17"/>
  <c r="AE477" i="17" s="1"/>
  <c r="Y477" i="17"/>
  <c r="U465" i="17"/>
  <c r="V465" i="17"/>
  <c r="T465" i="17"/>
  <c r="P465" i="17"/>
  <c r="AE465" i="17" s="1"/>
  <c r="Y465" i="17"/>
  <c r="T441" i="17"/>
  <c r="U441" i="17"/>
  <c r="V441" i="17"/>
  <c r="P441" i="17"/>
  <c r="AE441" i="17" s="1"/>
  <c r="Y441" i="17"/>
  <c r="U433" i="17"/>
  <c r="V433" i="17"/>
  <c r="T433" i="17"/>
  <c r="P433" i="17"/>
  <c r="AE433" i="17" s="1"/>
  <c r="Y433" i="17"/>
  <c r="U409" i="17"/>
  <c r="T409" i="17"/>
  <c r="V409" i="17"/>
  <c r="P409" i="17"/>
  <c r="AE409" i="17" s="1"/>
  <c r="Y409" i="17"/>
  <c r="U393" i="17"/>
  <c r="T393" i="17"/>
  <c r="V393" i="17"/>
  <c r="P393" i="17"/>
  <c r="AE393" i="17" s="1"/>
  <c r="Y393" i="17"/>
  <c r="T325" i="17"/>
  <c r="U325" i="17"/>
  <c r="V325" i="17"/>
  <c r="P325" i="17"/>
  <c r="AE325" i="17" s="1"/>
  <c r="Y325" i="17"/>
  <c r="T13" i="17"/>
  <c r="U13" i="17"/>
  <c r="V13" i="17"/>
  <c r="P13" i="17"/>
  <c r="AE13" i="17" s="1"/>
  <c r="Y13" i="17"/>
  <c r="V301" i="17"/>
  <c r="T301" i="17"/>
  <c r="U301" i="17"/>
  <c r="P301" i="17"/>
  <c r="AE301" i="17" s="1"/>
  <c r="Y301" i="17"/>
  <c r="U292" i="17"/>
  <c r="V292" i="17"/>
  <c r="T292" i="17"/>
  <c r="P292" i="17"/>
  <c r="AE292" i="17" s="1"/>
  <c r="Y292" i="17"/>
  <c r="U280" i="17"/>
  <c r="V280" i="17"/>
  <c r="T280" i="17"/>
  <c r="P280" i="17"/>
  <c r="AE280" i="17" s="1"/>
  <c r="Y280" i="17"/>
  <c r="U256" i="17"/>
  <c r="V256" i="17"/>
  <c r="T256" i="17"/>
  <c r="P256" i="17"/>
  <c r="AE256" i="17" s="1"/>
  <c r="Y256" i="17"/>
  <c r="T247" i="17"/>
  <c r="U247" i="17"/>
  <c r="V247" i="17"/>
  <c r="P247" i="17"/>
  <c r="AE247" i="17" s="1"/>
  <c r="Y247" i="17"/>
  <c r="V20" i="17"/>
  <c r="T20" i="17"/>
  <c r="U20" i="17"/>
  <c r="P20" i="17"/>
  <c r="AE20" i="17" s="1"/>
  <c r="Y20" i="17"/>
  <c r="U11" i="17"/>
  <c r="V11" i="17"/>
  <c r="Y11" i="17"/>
  <c r="U7" i="17"/>
  <c r="T7" i="17"/>
  <c r="V7" i="17"/>
  <c r="P7" i="17"/>
  <c r="AE7" i="17" s="1"/>
  <c r="Y7" i="17"/>
  <c r="U3" i="17"/>
  <c r="T3" i="17"/>
  <c r="V3" i="17"/>
  <c r="P3" i="17"/>
  <c r="AE3" i="17" s="1"/>
  <c r="Y3" i="17"/>
  <c r="T299" i="17"/>
  <c r="U299" i="17"/>
  <c r="V299" i="17"/>
  <c r="P299" i="17"/>
  <c r="AE299" i="17" s="1"/>
  <c r="Y299" i="17"/>
  <c r="T295" i="17"/>
  <c r="U295" i="17"/>
  <c r="V295" i="17"/>
  <c r="P295" i="17"/>
  <c r="AE295" i="17" s="1"/>
  <c r="Y295" i="17"/>
  <c r="T290" i="17"/>
  <c r="U290" i="17"/>
  <c r="V290" i="17"/>
  <c r="P290" i="17"/>
  <c r="AE290" i="17" s="1"/>
  <c r="Y290" i="17"/>
  <c r="T286" i="17"/>
  <c r="U286" i="17"/>
  <c r="V286" i="17"/>
  <c r="P286" i="17"/>
  <c r="AE286" i="17" s="1"/>
  <c r="Y286" i="17"/>
  <c r="T282" i="17"/>
  <c r="U282" i="17"/>
  <c r="V282" i="17"/>
  <c r="P282" i="17"/>
  <c r="AE282" i="17" s="1"/>
  <c r="Y282" i="17"/>
  <c r="T266" i="17"/>
  <c r="U266" i="17"/>
  <c r="V266" i="17"/>
  <c r="P266" i="17"/>
  <c r="AE266" i="17" s="1"/>
  <c r="Y266" i="17"/>
  <c r="T262" i="17"/>
  <c r="U262" i="17"/>
  <c r="V262" i="17"/>
  <c r="P262" i="17"/>
  <c r="AE262" i="17" s="1"/>
  <c r="Y262" i="17"/>
  <c r="T258" i="17"/>
  <c r="U258" i="17"/>
  <c r="V258" i="17"/>
  <c r="P258" i="17"/>
  <c r="AE258" i="17" s="1"/>
  <c r="Y258" i="17"/>
  <c r="T254" i="17"/>
  <c r="U254" i="17"/>
  <c r="V254" i="17"/>
  <c r="P254" i="17"/>
  <c r="AE254" i="17" s="1"/>
  <c r="Y254" i="17"/>
  <c r="T250" i="17"/>
  <c r="U250" i="17"/>
  <c r="V250" i="17"/>
  <c r="P250" i="17"/>
  <c r="AE250" i="17" s="1"/>
  <c r="Y250" i="17"/>
  <c r="V245" i="17"/>
  <c r="T245" i="17"/>
  <c r="U245" i="17"/>
  <c r="P245" i="17"/>
  <c r="AE245" i="17" s="1"/>
  <c r="Y245" i="17"/>
  <c r="V229" i="17"/>
  <c r="T229" i="17"/>
  <c r="U229" i="17"/>
  <c r="P229" i="17"/>
  <c r="AE229" i="17" s="1"/>
  <c r="Y229" i="17"/>
  <c r="V225" i="17"/>
  <c r="T225" i="17"/>
  <c r="U225" i="17"/>
  <c r="P225" i="17"/>
  <c r="AE225" i="17" s="1"/>
  <c r="Y225" i="17"/>
  <c r="V221" i="17"/>
  <c r="T221" i="17"/>
  <c r="U221" i="17"/>
  <c r="P221" i="17"/>
  <c r="AE221" i="17" s="1"/>
  <c r="Y221" i="17"/>
  <c r="V217" i="17"/>
  <c r="T217" i="17"/>
  <c r="U217" i="17"/>
  <c r="P217" i="17"/>
  <c r="AE217" i="17" s="1"/>
  <c r="Y217" i="17"/>
  <c r="V213" i="17"/>
  <c r="T213" i="17"/>
  <c r="U213" i="17"/>
  <c r="P213" i="17"/>
  <c r="AE213" i="17" s="1"/>
  <c r="Y213" i="17"/>
  <c r="V209" i="17"/>
  <c r="T209" i="17"/>
  <c r="U209" i="17"/>
  <c r="P209" i="17"/>
  <c r="AE209" i="17" s="1"/>
  <c r="Y209" i="17"/>
  <c r="U192" i="17"/>
  <c r="V192" i="17"/>
  <c r="T192" i="17"/>
  <c r="P192" i="17"/>
  <c r="AE192" i="17" s="1"/>
  <c r="Y192" i="17"/>
  <c r="U188" i="17"/>
  <c r="V188" i="17"/>
  <c r="T188" i="17"/>
  <c r="P188" i="17"/>
  <c r="AE188" i="17" s="1"/>
  <c r="Y188" i="17"/>
  <c r="T184" i="17"/>
  <c r="U184" i="17"/>
  <c r="V184" i="17"/>
  <c r="P184" i="17"/>
  <c r="AE184" i="17" s="1"/>
  <c r="Y184" i="17"/>
  <c r="V180" i="17"/>
  <c r="T180" i="17"/>
  <c r="U180" i="17"/>
  <c r="P180" i="17"/>
  <c r="AE180" i="17" s="1"/>
  <c r="Y180" i="17"/>
  <c r="V176" i="17"/>
  <c r="T176" i="17"/>
  <c r="U176" i="17"/>
  <c r="P176" i="17"/>
  <c r="AE176" i="17" s="1"/>
  <c r="Y176" i="17"/>
  <c r="V172" i="17"/>
  <c r="T172" i="17"/>
  <c r="U172" i="17"/>
  <c r="P172" i="17"/>
  <c r="AE172" i="17" s="1"/>
  <c r="Y172" i="17"/>
  <c r="T156" i="17"/>
  <c r="U156" i="17"/>
  <c r="V156" i="17"/>
  <c r="P156" i="17"/>
  <c r="AE156" i="17" s="1"/>
  <c r="Y156" i="17"/>
  <c r="T152" i="17"/>
  <c r="U152" i="17"/>
  <c r="V152" i="17"/>
  <c r="P152" i="17"/>
  <c r="AE152" i="17" s="1"/>
  <c r="Y152" i="17"/>
  <c r="T148" i="17"/>
  <c r="U148" i="17"/>
  <c r="V148" i="17"/>
  <c r="P148" i="17"/>
  <c r="AE148" i="17" s="1"/>
  <c r="Y148" i="17"/>
  <c r="T144" i="17"/>
  <c r="U144" i="17"/>
  <c r="V144" i="17"/>
  <c r="P144" i="17"/>
  <c r="AE144" i="17" s="1"/>
  <c r="Y144" i="17"/>
  <c r="T140" i="17"/>
  <c r="U140" i="17"/>
  <c r="V140" i="17"/>
  <c r="P140" i="17"/>
  <c r="AE140" i="17" s="1"/>
  <c r="Y140" i="17"/>
  <c r="T136" i="17"/>
  <c r="U136" i="17"/>
  <c r="V136" i="17"/>
  <c r="P136" i="17"/>
  <c r="AE136" i="17" s="1"/>
  <c r="Y136" i="17"/>
  <c r="V118" i="17"/>
  <c r="T118" i="17"/>
  <c r="U118" i="17"/>
  <c r="P118" i="17"/>
  <c r="AE118" i="17" s="1"/>
  <c r="Y118" i="17"/>
  <c r="V114" i="17"/>
  <c r="T114" i="17"/>
  <c r="U114" i="17"/>
  <c r="P114" i="17"/>
  <c r="AE114" i="17" s="1"/>
  <c r="Y114" i="17"/>
  <c r="V110" i="17"/>
  <c r="T110" i="17"/>
  <c r="U110" i="17"/>
  <c r="P110" i="17"/>
  <c r="AE110" i="17" s="1"/>
  <c r="Y110" i="17"/>
  <c r="V106" i="17"/>
  <c r="T106" i="17"/>
  <c r="U106" i="17"/>
  <c r="P106" i="17"/>
  <c r="AE106" i="17" s="1"/>
  <c r="Y106" i="17"/>
  <c r="V102" i="17"/>
  <c r="T102" i="17"/>
  <c r="U102" i="17"/>
  <c r="P102" i="17"/>
  <c r="AE102" i="17" s="1"/>
  <c r="Y102" i="17"/>
  <c r="V98" i="17"/>
  <c r="T98" i="17"/>
  <c r="U98" i="17"/>
  <c r="P98" i="17"/>
  <c r="AE98" i="17" s="1"/>
  <c r="Y98" i="17"/>
  <c r="T81" i="17"/>
  <c r="U81" i="17"/>
  <c r="V81" i="17"/>
  <c r="P81" i="17"/>
  <c r="AE81" i="17" s="1"/>
  <c r="Y81" i="17"/>
  <c r="T77" i="17"/>
  <c r="U77" i="17"/>
  <c r="V77" i="17"/>
  <c r="P77" i="17"/>
  <c r="AE77" i="17" s="1"/>
  <c r="Y77" i="17"/>
  <c r="T73" i="17"/>
  <c r="U73" i="17"/>
  <c r="V73" i="17"/>
  <c r="P73" i="17"/>
  <c r="AE73" i="17" s="1"/>
  <c r="Y73" i="17"/>
  <c r="T69" i="17"/>
  <c r="U69" i="17"/>
  <c r="V69" i="17"/>
  <c r="P69" i="17"/>
  <c r="AE69" i="17" s="1"/>
  <c r="Y69" i="17"/>
  <c r="T65" i="17"/>
  <c r="U65" i="17"/>
  <c r="V65" i="17"/>
  <c r="P65" i="17"/>
  <c r="AE65" i="17" s="1"/>
  <c r="Y65" i="17"/>
  <c r="T61" i="17"/>
  <c r="U61" i="17"/>
  <c r="V61" i="17"/>
  <c r="P61" i="17"/>
  <c r="AE61" i="17" s="1"/>
  <c r="Y61" i="17"/>
  <c r="T41" i="17"/>
  <c r="U41" i="17"/>
  <c r="V41" i="17"/>
  <c r="P41" i="17"/>
  <c r="AE41" i="17" s="1"/>
  <c r="Y41" i="17"/>
  <c r="T37" i="17"/>
  <c r="U37" i="17"/>
  <c r="V37" i="17"/>
  <c r="P37" i="17"/>
  <c r="AE37" i="17" s="1"/>
  <c r="Y37" i="17"/>
  <c r="T33" i="17"/>
  <c r="U33" i="17"/>
  <c r="V33" i="17"/>
  <c r="P33" i="17"/>
  <c r="AE33" i="17" s="1"/>
  <c r="Y33" i="17"/>
  <c r="U27" i="17"/>
  <c r="V27" i="17"/>
  <c r="T27" i="17"/>
  <c r="P27" i="17"/>
  <c r="AE27" i="17" s="1"/>
  <c r="Y27" i="17"/>
  <c r="U23" i="17"/>
  <c r="V23" i="17"/>
  <c r="T23" i="17"/>
  <c r="Y23" i="17"/>
  <c r="P23" i="17"/>
  <c r="AE23" i="17" s="1"/>
  <c r="T628" i="17"/>
  <c r="U628" i="17"/>
  <c r="V628" i="17"/>
  <c r="P628" i="17"/>
  <c r="AE628" i="17" s="1"/>
  <c r="Y628" i="17"/>
  <c r="V590" i="17"/>
  <c r="T590" i="17"/>
  <c r="U590" i="17"/>
  <c r="P590" i="17"/>
  <c r="AE590" i="17" s="1"/>
  <c r="Y590" i="17"/>
  <c r="V586" i="17"/>
  <c r="T586" i="17"/>
  <c r="U586" i="17"/>
  <c r="P586" i="17"/>
  <c r="AE586" i="17" s="1"/>
  <c r="Y586" i="17"/>
  <c r="V582" i="17"/>
  <c r="T582" i="17"/>
  <c r="U582" i="17"/>
  <c r="P582" i="17"/>
  <c r="AE582" i="17" s="1"/>
  <c r="Y582" i="17"/>
  <c r="V578" i="17"/>
  <c r="T578" i="17"/>
  <c r="U578" i="17"/>
  <c r="P578" i="17"/>
  <c r="AE578" i="17" s="1"/>
  <c r="Y578" i="17"/>
  <c r="V574" i="17"/>
  <c r="T574" i="17"/>
  <c r="U574" i="17"/>
  <c r="P574" i="17"/>
  <c r="AE574" i="17" s="1"/>
  <c r="Y574" i="17"/>
  <c r="V570" i="17"/>
  <c r="T570" i="17"/>
  <c r="U570" i="17"/>
  <c r="P570" i="17"/>
  <c r="AE570" i="17" s="1"/>
  <c r="Y570" i="17"/>
  <c r="V554" i="17"/>
  <c r="T554" i="17"/>
  <c r="U554" i="17"/>
  <c r="P554" i="17"/>
  <c r="AE554" i="17" s="1"/>
  <c r="Y554" i="17"/>
  <c r="V550" i="17"/>
  <c r="T550" i="17"/>
  <c r="U550" i="17"/>
  <c r="P550" i="17"/>
  <c r="AE550" i="17" s="1"/>
  <c r="Y550" i="17"/>
  <c r="V546" i="17"/>
  <c r="T546" i="17"/>
  <c r="U546" i="17"/>
  <c r="P546" i="17"/>
  <c r="AE546" i="17" s="1"/>
  <c r="Y546" i="17"/>
  <c r="V542" i="17"/>
  <c r="T542" i="17"/>
  <c r="U542" i="17"/>
  <c r="P542" i="17"/>
  <c r="AE542" i="17" s="1"/>
  <c r="Y542" i="17"/>
  <c r="V538" i="17"/>
  <c r="T538" i="17"/>
  <c r="U538" i="17"/>
  <c r="P538" i="17"/>
  <c r="AE538" i="17" s="1"/>
  <c r="Y538" i="17"/>
  <c r="V534" i="17"/>
  <c r="T534" i="17"/>
  <c r="U534" i="17"/>
  <c r="P534" i="17"/>
  <c r="AE534" i="17" s="1"/>
  <c r="Y534" i="17"/>
  <c r="V518" i="17"/>
  <c r="T518" i="17"/>
  <c r="U518" i="17"/>
  <c r="P518" i="17"/>
  <c r="AE518" i="17" s="1"/>
  <c r="Y518" i="17"/>
  <c r="V514" i="17"/>
  <c r="T514" i="17"/>
  <c r="U514" i="17"/>
  <c r="P514" i="17"/>
  <c r="AE514" i="17" s="1"/>
  <c r="Y514" i="17"/>
  <c r="V510" i="17"/>
  <c r="T510" i="17"/>
  <c r="U510" i="17"/>
  <c r="P510" i="17"/>
  <c r="AE510" i="17" s="1"/>
  <c r="Y510" i="17"/>
  <c r="V506" i="17"/>
  <c r="T506" i="17"/>
  <c r="U506" i="17"/>
  <c r="P506" i="17"/>
  <c r="AE506" i="17" s="1"/>
  <c r="Y506" i="17"/>
  <c r="V502" i="17"/>
  <c r="T502" i="17"/>
  <c r="U502" i="17"/>
  <c r="P502" i="17"/>
  <c r="AE502" i="17" s="1"/>
  <c r="Y502" i="17"/>
  <c r="V498" i="17"/>
  <c r="T498" i="17"/>
  <c r="U498" i="17"/>
  <c r="P498" i="17"/>
  <c r="AE498" i="17" s="1"/>
  <c r="Y498" i="17"/>
  <c r="V482" i="17"/>
  <c r="T482" i="17"/>
  <c r="U482" i="17"/>
  <c r="P482" i="17"/>
  <c r="AE482" i="17" s="1"/>
  <c r="Y482" i="17"/>
  <c r="V478" i="17"/>
  <c r="T478" i="17"/>
  <c r="U478" i="17"/>
  <c r="P478" i="17"/>
  <c r="AE478" i="17" s="1"/>
  <c r="Y478" i="17"/>
  <c r="T474" i="17"/>
  <c r="U474" i="17"/>
  <c r="V474" i="17"/>
  <c r="P474" i="17"/>
  <c r="AE474" i="17" s="1"/>
  <c r="Y474" i="17"/>
  <c r="T470" i="17"/>
  <c r="V470" i="17"/>
  <c r="U470" i="17"/>
  <c r="P470" i="17"/>
  <c r="AE470" i="17" s="1"/>
  <c r="Y470" i="17"/>
  <c r="T466" i="17"/>
  <c r="U466" i="17"/>
  <c r="V466" i="17"/>
  <c r="P466" i="17"/>
  <c r="AE466" i="17" s="1"/>
  <c r="Y466" i="17"/>
  <c r="T462" i="17"/>
  <c r="U462" i="17"/>
  <c r="V462" i="17"/>
  <c r="P462" i="17"/>
  <c r="AE462" i="17" s="1"/>
  <c r="Y462" i="17"/>
  <c r="T446" i="17"/>
  <c r="U446" i="17"/>
  <c r="V446" i="17"/>
  <c r="P446" i="17"/>
  <c r="AE446" i="17" s="1"/>
  <c r="Y446" i="17"/>
  <c r="T442" i="17"/>
  <c r="U442" i="17"/>
  <c r="V442" i="17"/>
  <c r="P442" i="17"/>
  <c r="AE442" i="17" s="1"/>
  <c r="Y442" i="17"/>
  <c r="T438" i="17"/>
  <c r="V438" i="17"/>
  <c r="U438" i="17"/>
  <c r="P438" i="17"/>
  <c r="AE438" i="17" s="1"/>
  <c r="Y438" i="17"/>
  <c r="T434" i="17"/>
  <c r="U434" i="17"/>
  <c r="V434" i="17"/>
  <c r="P434" i="17"/>
  <c r="AE434" i="17" s="1"/>
  <c r="Y434" i="17"/>
  <c r="T430" i="17"/>
  <c r="U430" i="17"/>
  <c r="V430" i="17"/>
  <c r="P430" i="17"/>
  <c r="AE430" i="17" s="1"/>
  <c r="Y430" i="17"/>
  <c r="T426" i="17"/>
  <c r="U426" i="17"/>
  <c r="V426" i="17"/>
  <c r="P426" i="17"/>
  <c r="AE426" i="17" s="1"/>
  <c r="Y426" i="17"/>
  <c r="V410" i="17"/>
  <c r="T410" i="17"/>
  <c r="U410" i="17"/>
  <c r="P410" i="17"/>
  <c r="AE410" i="17" s="1"/>
  <c r="Y410" i="17"/>
  <c r="V406" i="17"/>
  <c r="T406" i="17"/>
  <c r="U406" i="17"/>
  <c r="P406" i="17"/>
  <c r="AE406" i="17" s="1"/>
  <c r="Y406" i="17"/>
  <c r="V402" i="17"/>
  <c r="T402" i="17"/>
  <c r="U402" i="17"/>
  <c r="P402" i="17"/>
  <c r="AE402" i="17" s="1"/>
  <c r="Y402" i="17"/>
  <c r="V398" i="17"/>
  <c r="U398" i="17"/>
  <c r="T398" i="17"/>
  <c r="P398" i="17"/>
  <c r="AE398" i="17" s="1"/>
  <c r="Y398" i="17"/>
  <c r="V394" i="17"/>
  <c r="T394" i="17"/>
  <c r="U394" i="17"/>
  <c r="P394" i="17"/>
  <c r="AE394" i="17" s="1"/>
  <c r="Y394" i="17"/>
  <c r="V390" i="17"/>
  <c r="T390" i="17"/>
  <c r="U390" i="17"/>
  <c r="P390" i="17"/>
  <c r="AE390" i="17" s="1"/>
  <c r="Y390" i="17"/>
  <c r="V374" i="17"/>
  <c r="T374" i="17"/>
  <c r="U374" i="17"/>
  <c r="P374" i="17"/>
  <c r="AE374" i="17" s="1"/>
  <c r="Y374" i="17"/>
  <c r="V370" i="17"/>
  <c r="T370" i="17"/>
  <c r="U370" i="17"/>
  <c r="P370" i="17"/>
  <c r="AE370" i="17" s="1"/>
  <c r="Y370" i="17"/>
  <c r="V366" i="17"/>
  <c r="U366" i="17"/>
  <c r="T366" i="17"/>
  <c r="P366" i="17"/>
  <c r="AE366" i="17" s="1"/>
  <c r="Y366" i="17"/>
  <c r="V362" i="17"/>
  <c r="T362" i="17"/>
  <c r="U362" i="17"/>
  <c r="P362" i="17"/>
  <c r="AE362" i="17" s="1"/>
  <c r="Y362" i="17"/>
  <c r="V358" i="17"/>
  <c r="T358" i="17"/>
  <c r="U358" i="17"/>
  <c r="P358" i="17"/>
  <c r="AE358" i="17" s="1"/>
  <c r="Y358" i="17"/>
  <c r="V354" i="17"/>
  <c r="T354" i="17"/>
  <c r="U354" i="17"/>
  <c r="P354" i="17"/>
  <c r="AE354" i="17" s="1"/>
  <c r="Y354" i="17"/>
  <c r="V338" i="17"/>
  <c r="T338" i="17"/>
  <c r="U338" i="17"/>
  <c r="P338" i="17"/>
  <c r="AE338" i="17" s="1"/>
  <c r="Y338" i="17"/>
  <c r="V334" i="17"/>
  <c r="T334" i="17"/>
  <c r="U334" i="17"/>
  <c r="P334" i="17"/>
  <c r="AE334" i="17" s="1"/>
  <c r="Y334" i="17"/>
  <c r="U330" i="17"/>
  <c r="V330" i="17"/>
  <c r="T330" i="17"/>
  <c r="P330" i="17"/>
  <c r="AE330" i="17" s="1"/>
  <c r="Y330" i="17"/>
  <c r="U326" i="17"/>
  <c r="V326" i="17"/>
  <c r="T326" i="17"/>
  <c r="P326" i="17"/>
  <c r="AE326" i="17" s="1"/>
  <c r="Y326" i="17"/>
  <c r="U322" i="17"/>
  <c r="V322" i="17"/>
  <c r="T322" i="17"/>
  <c r="P322" i="17"/>
  <c r="AE322" i="17" s="1"/>
  <c r="Y322" i="17"/>
  <c r="U318" i="17"/>
  <c r="V318" i="17"/>
  <c r="T318" i="17"/>
  <c r="P318" i="17"/>
  <c r="AE318" i="17" s="1"/>
  <c r="Y318" i="17"/>
  <c r="AE175" i="17"/>
  <c r="AE581" i="17"/>
  <c r="AE11" i="17"/>
  <c r="AE298" i="17"/>
  <c r="D5" i="14"/>
  <c r="D6" i="13"/>
  <c r="D7" i="13"/>
  <c r="D8" i="13"/>
  <c r="D9" i="13"/>
  <c r="D10" i="13"/>
  <c r="D5" i="13"/>
  <c r="D6" i="11"/>
  <c r="D7" i="11"/>
  <c r="D8" i="11"/>
  <c r="D9" i="11"/>
  <c r="D10" i="11"/>
  <c r="D5" i="11"/>
  <c r="D6" i="10"/>
  <c r="D7" i="10"/>
  <c r="D8" i="10"/>
  <c r="D9" i="10"/>
  <c r="D10" i="10"/>
  <c r="D5" i="10"/>
  <c r="D6" i="9"/>
  <c r="D7" i="9"/>
  <c r="D8" i="9"/>
  <c r="D9" i="9"/>
  <c r="D10" i="9"/>
  <c r="D5" i="9"/>
  <c r="D6" i="8"/>
  <c r="D5" i="8"/>
  <c r="D5" i="12"/>
  <c r="AO2" i="17" l="1"/>
  <c r="AP2" i="17"/>
  <c r="AQ2" i="17"/>
  <c r="AR2" i="17"/>
  <c r="AS2" i="17"/>
  <c r="AT2" i="17"/>
  <c r="AU2" i="17"/>
  <c r="AV2" i="17"/>
  <c r="AW2" i="17"/>
  <c r="AX2" i="17"/>
  <c r="AY2" i="17"/>
  <c r="AZ2" i="17"/>
  <c r="AN2" i="17"/>
  <c r="AO3" i="17"/>
  <c r="AP3" i="17"/>
  <c r="B8" i="18" l="1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7" i="18"/>
  <c r="B41" i="8"/>
  <c r="B42" i="8"/>
  <c r="B43" i="8"/>
  <c r="B44" i="8"/>
  <c r="B45" i="8"/>
  <c r="B46" i="8"/>
  <c r="B47" i="8"/>
  <c r="B48" i="8"/>
  <c r="B49" i="8"/>
  <c r="B50" i="8"/>
  <c r="B51" i="8"/>
  <c r="B52" i="8"/>
  <c r="A713" i="17" l="1"/>
  <c r="A714" i="17"/>
  <c r="A715" i="17"/>
  <c r="E715" i="17" s="1"/>
  <c r="I715" i="17" s="1"/>
  <c r="A716" i="17"/>
  <c r="E716" i="17" s="1"/>
  <c r="I716" i="17" s="1"/>
  <c r="A717" i="17"/>
  <c r="A718" i="17"/>
  <c r="A719" i="17"/>
  <c r="E719" i="17" s="1"/>
  <c r="I719" i="17" s="1"/>
  <c r="A720" i="17"/>
  <c r="E720" i="17" s="1"/>
  <c r="I720" i="17" s="1"/>
  <c r="A721" i="17"/>
  <c r="E721" i="17" s="1"/>
  <c r="I721" i="17" s="1"/>
  <c r="A722" i="17"/>
  <c r="E722" i="17" s="1"/>
  <c r="I722" i="17" s="1"/>
  <c r="A723" i="17"/>
  <c r="E723" i="17" s="1"/>
  <c r="I723" i="17" s="1"/>
  <c r="A726" i="17"/>
  <c r="E726" i="17" s="1"/>
  <c r="I726" i="17" s="1"/>
  <c r="A727" i="17"/>
  <c r="E727" i="17" s="1"/>
  <c r="I727" i="17" s="1"/>
  <c r="A728" i="17"/>
  <c r="A729" i="17"/>
  <c r="A730" i="17"/>
  <c r="E730" i="17" s="1"/>
  <c r="I730" i="17" s="1"/>
  <c r="A742" i="17"/>
  <c r="E742" i="17" s="1"/>
  <c r="I742" i="17" s="1"/>
  <c r="A743" i="17"/>
  <c r="A744" i="17"/>
  <c r="E744" i="17" s="1"/>
  <c r="I744" i="17" s="1"/>
  <c r="A735" i="17"/>
  <c r="E735" i="17" s="1"/>
  <c r="I735" i="17" s="1"/>
  <c r="A745" i="17"/>
  <c r="E745" i="17" s="1"/>
  <c r="I745" i="17" s="1"/>
  <c r="A746" i="17"/>
  <c r="A734" i="17"/>
  <c r="A736" i="17"/>
  <c r="A725" i="17"/>
  <c r="E725" i="17" s="1"/>
  <c r="I725" i="17" s="1"/>
  <c r="A712" i="17"/>
  <c r="E712" i="17" s="1"/>
  <c r="I712" i="17" s="1"/>
  <c r="B6" i="19"/>
  <c r="B7" i="19"/>
  <c r="B8" i="19"/>
  <c r="B9" i="19"/>
  <c r="B10" i="19"/>
  <c r="B5" i="19"/>
  <c r="A695" i="17"/>
  <c r="A696" i="17"/>
  <c r="E696" i="17" s="1"/>
  <c r="I696" i="17" s="1"/>
  <c r="A697" i="17"/>
  <c r="E697" i="17" s="1"/>
  <c r="I697" i="17" s="1"/>
  <c r="A698" i="17"/>
  <c r="A699" i="17"/>
  <c r="A700" i="17"/>
  <c r="A701" i="17"/>
  <c r="E701" i="17" s="1"/>
  <c r="I701" i="17" s="1"/>
  <c r="A702" i="17"/>
  <c r="E702" i="17" s="1"/>
  <c r="I702" i="17" s="1"/>
  <c r="A703" i="17"/>
  <c r="A704" i="17"/>
  <c r="E704" i="17" s="1"/>
  <c r="I704" i="17" s="1"/>
  <c r="A705" i="17"/>
  <c r="E705" i="17" s="1"/>
  <c r="I705" i="17" s="1"/>
  <c r="A706" i="17"/>
  <c r="E706" i="17" s="1"/>
  <c r="I706" i="17" s="1"/>
  <c r="A707" i="17"/>
  <c r="A694" i="17"/>
  <c r="E694" i="17" s="1"/>
  <c r="I694" i="17" s="1"/>
  <c r="A628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52" i="17"/>
  <c r="A353" i="17"/>
  <c r="A354" i="17"/>
  <c r="A355" i="17"/>
  <c r="A356" i="17"/>
  <c r="A357" i="17"/>
  <c r="A358" i="17"/>
  <c r="E322" i="17" s="1"/>
  <c r="I322" i="17" s="1"/>
  <c r="A359" i="17"/>
  <c r="A360" i="17"/>
  <c r="E324" i="17" s="1"/>
  <c r="I324" i="17" s="1"/>
  <c r="A361" i="17"/>
  <c r="E325" i="17" s="1"/>
  <c r="I325" i="17" s="1"/>
  <c r="A362" i="17"/>
  <c r="A363" i="17"/>
  <c r="A364" i="17"/>
  <c r="A365" i="17"/>
  <c r="A366" i="17"/>
  <c r="A367" i="17"/>
  <c r="A368" i="17"/>
  <c r="A369" i="17"/>
  <c r="E333" i="17" s="1"/>
  <c r="I333" i="17" s="1"/>
  <c r="A370" i="17"/>
  <c r="A371" i="17"/>
  <c r="A372" i="17"/>
  <c r="A373" i="17"/>
  <c r="A374" i="17"/>
  <c r="A375" i="17"/>
  <c r="E339" i="17" s="1"/>
  <c r="I339" i="17" s="1"/>
  <c r="A388" i="17"/>
  <c r="E352" i="17" s="1"/>
  <c r="I352" i="17" s="1"/>
  <c r="A389" i="17"/>
  <c r="A390" i="17"/>
  <c r="A391" i="17"/>
  <c r="A392" i="17"/>
  <c r="A393" i="17"/>
  <c r="A394" i="17"/>
  <c r="A395" i="17"/>
  <c r="E359" i="17" s="1"/>
  <c r="I359" i="17" s="1"/>
  <c r="A396" i="17"/>
  <c r="A397" i="17"/>
  <c r="E361" i="17" s="1"/>
  <c r="I361" i="17" s="1"/>
  <c r="A398" i="17"/>
  <c r="E362" i="17" s="1"/>
  <c r="I362" i="17" s="1"/>
  <c r="A399" i="17"/>
  <c r="A400" i="17"/>
  <c r="A401" i="17"/>
  <c r="A402" i="17"/>
  <c r="A403" i="17"/>
  <c r="A404" i="17"/>
  <c r="A405" i="17"/>
  <c r="A406" i="17"/>
  <c r="E370" i="17" s="1"/>
  <c r="I370" i="17" s="1"/>
  <c r="A407" i="17"/>
  <c r="A408" i="17"/>
  <c r="E372" i="17" s="1"/>
  <c r="I372" i="17" s="1"/>
  <c r="A409" i="17"/>
  <c r="A410" i="17"/>
  <c r="A411" i="17"/>
  <c r="A424" i="17"/>
  <c r="A425" i="17"/>
  <c r="A426" i="17"/>
  <c r="A427" i="17"/>
  <c r="A428" i="17"/>
  <c r="E392" i="17" s="1"/>
  <c r="I392" i="17" s="1"/>
  <c r="A429" i="17"/>
  <c r="A430" i="17"/>
  <c r="E394" i="17" s="1"/>
  <c r="I394" i="17" s="1"/>
  <c r="A431" i="17"/>
  <c r="E395" i="17" s="1"/>
  <c r="I395" i="17" s="1"/>
  <c r="A432" i="17"/>
  <c r="A433" i="17"/>
  <c r="A434" i="17"/>
  <c r="A435" i="17"/>
  <c r="A436" i="17"/>
  <c r="A437" i="17"/>
  <c r="A438" i="17"/>
  <c r="A439" i="17"/>
  <c r="A440" i="17"/>
  <c r="E404" i="17" s="1"/>
  <c r="I404" i="17" s="1"/>
  <c r="A441" i="17"/>
  <c r="E405" i="17" s="1"/>
  <c r="I405" i="17" s="1"/>
  <c r="A442" i="17"/>
  <c r="A443" i="17"/>
  <c r="A444" i="17"/>
  <c r="A445" i="17"/>
  <c r="A446" i="17"/>
  <c r="E410" i="17" s="1"/>
  <c r="I410" i="17" s="1"/>
  <c r="A447" i="17"/>
  <c r="A460" i="17"/>
  <c r="E424" i="17" s="1"/>
  <c r="I424" i="17" s="1"/>
  <c r="A461" i="17"/>
  <c r="E425" i="17" s="1"/>
  <c r="I425" i="17" s="1"/>
  <c r="A462" i="17"/>
  <c r="A463" i="17"/>
  <c r="A464" i="17"/>
  <c r="E428" i="17" s="1"/>
  <c r="I428" i="17" s="1"/>
  <c r="A465" i="17"/>
  <c r="A466" i="17"/>
  <c r="A467" i="17"/>
  <c r="E431" i="17" s="1"/>
  <c r="I431" i="17" s="1"/>
  <c r="A468" i="17"/>
  <c r="A469" i="17"/>
  <c r="E433" i="17" s="1"/>
  <c r="I433" i="17" s="1"/>
  <c r="A470" i="17"/>
  <c r="E434" i="17" s="1"/>
  <c r="I434" i="17" s="1"/>
  <c r="A471" i="17"/>
  <c r="A472" i="17"/>
  <c r="A473" i="17"/>
  <c r="A474" i="17"/>
  <c r="A475" i="17"/>
  <c r="E439" i="17" s="1"/>
  <c r="I439" i="17" s="1"/>
  <c r="A476" i="17"/>
  <c r="E440" i="17" s="1"/>
  <c r="I440" i="17" s="1"/>
  <c r="A477" i="17"/>
  <c r="A478" i="17"/>
  <c r="E442" i="17" s="1"/>
  <c r="I442" i="17" s="1"/>
  <c r="A479" i="17"/>
  <c r="A480" i="17"/>
  <c r="A481" i="17"/>
  <c r="A482" i="17"/>
  <c r="A483" i="17"/>
  <c r="A496" i="17"/>
  <c r="A497" i="17"/>
  <c r="A498" i="17"/>
  <c r="A499" i="17"/>
  <c r="E463" i="17" s="1"/>
  <c r="I463" i="17" s="1"/>
  <c r="A500" i="17"/>
  <c r="E464" i="17" s="1"/>
  <c r="I464" i="17" s="1"/>
  <c r="A501" i="17"/>
  <c r="A502" i="17"/>
  <c r="A503" i="17"/>
  <c r="E467" i="17" s="1"/>
  <c r="I467" i="17" s="1"/>
  <c r="A504" i="17"/>
  <c r="A505" i="17"/>
  <c r="A506" i="17"/>
  <c r="E470" i="17" s="1"/>
  <c r="I470" i="17" s="1"/>
  <c r="A507" i="17"/>
  <c r="A508" i="17"/>
  <c r="E472" i="17" s="1"/>
  <c r="I472" i="17" s="1"/>
  <c r="A509" i="17"/>
  <c r="A510" i="17"/>
  <c r="E474" i="17" s="1"/>
  <c r="I474" i="17" s="1"/>
  <c r="A511" i="17"/>
  <c r="E475" i="17" s="1"/>
  <c r="I475" i="17" s="1"/>
  <c r="A512" i="17"/>
  <c r="A513" i="17"/>
  <c r="A514" i="17"/>
  <c r="A515" i="17"/>
  <c r="A516" i="17"/>
  <c r="E480" i="17" s="1"/>
  <c r="I480" i="17" s="1"/>
  <c r="A517" i="17"/>
  <c r="A518" i="17"/>
  <c r="A519" i="17"/>
  <c r="A532" i="17"/>
  <c r="A533" i="17"/>
  <c r="E497" i="17" s="1"/>
  <c r="I497" i="17" s="1"/>
  <c r="A534" i="17"/>
  <c r="A535" i="17"/>
  <c r="A536" i="17"/>
  <c r="E500" i="17" s="1"/>
  <c r="I500" i="17" s="1"/>
  <c r="A537" i="17"/>
  <c r="A538" i="17"/>
  <c r="A539" i="17"/>
  <c r="E503" i="17" s="1"/>
  <c r="I503" i="17" s="1"/>
  <c r="A540" i="17"/>
  <c r="E504" i="17" s="1"/>
  <c r="I504" i="17" s="1"/>
  <c r="A541" i="17"/>
  <c r="A542" i="17"/>
  <c r="A543" i="17"/>
  <c r="A544" i="17"/>
  <c r="A545" i="17"/>
  <c r="A546" i="17"/>
  <c r="E510" i="17" s="1"/>
  <c r="I510" i="17" s="1"/>
  <c r="A547" i="17"/>
  <c r="E511" i="17" s="1"/>
  <c r="I511" i="17" s="1"/>
  <c r="A548" i="17"/>
  <c r="A549" i="17"/>
  <c r="E513" i="17" s="1"/>
  <c r="I513" i="17" s="1"/>
  <c r="A550" i="17"/>
  <c r="A551" i="17"/>
  <c r="A552" i="17"/>
  <c r="E516" i="17" s="1"/>
  <c r="I516" i="17" s="1"/>
  <c r="A553" i="17"/>
  <c r="E517" i="17" s="1"/>
  <c r="I517" i="17" s="1"/>
  <c r="A554" i="17"/>
  <c r="E518" i="17" s="1"/>
  <c r="I518" i="17" s="1"/>
  <c r="A555" i="17"/>
  <c r="A568" i="17"/>
  <c r="E532" i="17" s="1"/>
  <c r="I532" i="17" s="1"/>
  <c r="A569" i="17"/>
  <c r="A570" i="17"/>
  <c r="A571" i="17"/>
  <c r="A572" i="17"/>
  <c r="E536" i="17" s="1"/>
  <c r="I536" i="17" s="1"/>
  <c r="A573" i="17"/>
  <c r="A574" i="17"/>
  <c r="E538" i="17" s="1"/>
  <c r="I538" i="17" s="1"/>
  <c r="A575" i="17"/>
  <c r="E539" i="17" s="1"/>
  <c r="I539" i="17" s="1"/>
  <c r="A576" i="17"/>
  <c r="E540" i="17" s="1"/>
  <c r="I540" i="17" s="1"/>
  <c r="A577" i="17"/>
  <c r="E541" i="17" s="1"/>
  <c r="I541" i="17" s="1"/>
  <c r="A578" i="17"/>
  <c r="A579" i="17"/>
  <c r="A580" i="17"/>
  <c r="E544" i="17" s="1"/>
  <c r="I544" i="17" s="1"/>
  <c r="A581" i="17"/>
  <c r="A582" i="17"/>
  <c r="E546" i="17" s="1"/>
  <c r="I546" i="17" s="1"/>
  <c r="A583" i="17"/>
  <c r="E547" i="17" s="1"/>
  <c r="I547" i="17" s="1"/>
  <c r="A584" i="17"/>
  <c r="A585" i="17"/>
  <c r="A586" i="17"/>
  <c r="A587" i="17"/>
  <c r="A588" i="17"/>
  <c r="E552" i="17" s="1"/>
  <c r="I552" i="17" s="1"/>
  <c r="A589" i="17"/>
  <c r="A590" i="17"/>
  <c r="E554" i="17" s="1"/>
  <c r="I554" i="17" s="1"/>
  <c r="A591" i="17"/>
  <c r="E555" i="17" s="1"/>
  <c r="I555" i="17" s="1"/>
  <c r="I315" i="17"/>
  <c r="A3" i="17"/>
  <c r="A4" i="17"/>
  <c r="A5" i="17"/>
  <c r="A6" i="17"/>
  <c r="A7" i="17"/>
  <c r="A8" i="17"/>
  <c r="A9" i="17"/>
  <c r="E9" i="17" s="1"/>
  <c r="I9" i="17" s="1"/>
  <c r="A10" i="17"/>
  <c r="A11" i="17"/>
  <c r="A12" i="17"/>
  <c r="A13" i="17"/>
  <c r="E13" i="17" s="1"/>
  <c r="I13" i="17" s="1"/>
  <c r="A14" i="17"/>
  <c r="E14" i="17" s="1"/>
  <c r="I14" i="17" s="1"/>
  <c r="A20" i="17"/>
  <c r="A21" i="17"/>
  <c r="A22" i="17"/>
  <c r="A23" i="17"/>
  <c r="A24" i="17"/>
  <c r="A25" i="17"/>
  <c r="A26" i="17"/>
  <c r="E26" i="17" s="1"/>
  <c r="I26" i="17" s="1"/>
  <c r="A27" i="17"/>
  <c r="A30" i="17"/>
  <c r="A31" i="17"/>
  <c r="A32" i="17"/>
  <c r="A33" i="17"/>
  <c r="E33" i="17" s="1"/>
  <c r="I33" i="17" s="1"/>
  <c r="A34" i="17"/>
  <c r="A35" i="17"/>
  <c r="A36" i="17"/>
  <c r="A37" i="17"/>
  <c r="A38" i="17"/>
  <c r="A39" i="17"/>
  <c r="A40" i="17"/>
  <c r="A41" i="17"/>
  <c r="E41" i="17" s="1"/>
  <c r="I41" i="17" s="1"/>
  <c r="A58" i="17"/>
  <c r="A59" i="17"/>
  <c r="E59" i="17" s="1"/>
  <c r="I59" i="17" s="1"/>
  <c r="A60" i="17"/>
  <c r="E60" i="17" s="1"/>
  <c r="I60" i="17" s="1"/>
  <c r="A61" i="17"/>
  <c r="E61" i="17" s="1"/>
  <c r="I61" i="17" s="1"/>
  <c r="A62" i="17"/>
  <c r="A63" i="17"/>
  <c r="A64" i="17"/>
  <c r="A65" i="17"/>
  <c r="A66" i="17"/>
  <c r="A67" i="17"/>
  <c r="A68" i="17"/>
  <c r="A69" i="17"/>
  <c r="A70" i="17"/>
  <c r="A71" i="17"/>
  <c r="A72" i="17"/>
  <c r="E72" i="17" s="1"/>
  <c r="I72" i="17" s="1"/>
  <c r="A73" i="17"/>
  <c r="A74" i="17"/>
  <c r="A75" i="17"/>
  <c r="E75" i="17" s="1"/>
  <c r="I75" i="17" s="1"/>
  <c r="A76" i="17"/>
  <c r="E76" i="17" s="1"/>
  <c r="I76" i="17" s="1"/>
  <c r="A77" i="17"/>
  <c r="A78" i="17"/>
  <c r="A79" i="17"/>
  <c r="A80" i="17"/>
  <c r="A81" i="17"/>
  <c r="A95" i="17"/>
  <c r="A96" i="17"/>
  <c r="E96" i="17" s="1"/>
  <c r="I96" i="17" s="1"/>
  <c r="A97" i="17"/>
  <c r="E97" i="17" s="1"/>
  <c r="I97" i="17" s="1"/>
  <c r="A98" i="17"/>
  <c r="A99" i="17"/>
  <c r="A100" i="17"/>
  <c r="A101" i="17"/>
  <c r="A102" i="17"/>
  <c r="E102" i="17" s="1"/>
  <c r="I102" i="17" s="1"/>
  <c r="A103" i="17"/>
  <c r="A104" i="17"/>
  <c r="A105" i="17"/>
  <c r="A106" i="17"/>
  <c r="A107" i="17"/>
  <c r="A108" i="17"/>
  <c r="A109" i="17"/>
  <c r="E109" i="17" s="1"/>
  <c r="I109" i="17" s="1"/>
  <c r="A110" i="17"/>
  <c r="E110" i="17" s="1"/>
  <c r="I110" i="17" s="1"/>
  <c r="A111" i="17"/>
  <c r="A112" i="17"/>
  <c r="E112" i="17" s="1"/>
  <c r="I112" i="17" s="1"/>
  <c r="A113" i="17"/>
  <c r="E113" i="17" s="1"/>
  <c r="I113" i="17" s="1"/>
  <c r="A114" i="17"/>
  <c r="E114" i="17" s="1"/>
  <c r="I114" i="17" s="1"/>
  <c r="A115" i="17"/>
  <c r="A116" i="17"/>
  <c r="A117" i="17"/>
  <c r="A118" i="17"/>
  <c r="A133" i="17"/>
  <c r="A134" i="17"/>
  <c r="A135" i="17"/>
  <c r="A136" i="17"/>
  <c r="A137" i="17"/>
  <c r="A138" i="17"/>
  <c r="A139" i="17"/>
  <c r="E139" i="17" s="1"/>
  <c r="I139" i="17" s="1"/>
  <c r="A140" i="17"/>
  <c r="A141" i="17"/>
  <c r="A142" i="17"/>
  <c r="E142" i="17" s="1"/>
  <c r="I142" i="17" s="1"/>
  <c r="A143" i="17"/>
  <c r="A144" i="17"/>
  <c r="A145" i="17"/>
  <c r="A146" i="17"/>
  <c r="A147" i="17"/>
  <c r="A148" i="17"/>
  <c r="E148" i="17" s="1"/>
  <c r="I148" i="17" s="1"/>
  <c r="A149" i="17"/>
  <c r="A150" i="17"/>
  <c r="E150" i="17" s="1"/>
  <c r="I150" i="17" s="1"/>
  <c r="A151" i="17"/>
  <c r="E151" i="17" s="1"/>
  <c r="I151" i="17" s="1"/>
  <c r="A152" i="17"/>
  <c r="A153" i="17"/>
  <c r="A154" i="17"/>
  <c r="A155" i="17"/>
  <c r="A156" i="17"/>
  <c r="A169" i="17"/>
  <c r="A170" i="17"/>
  <c r="A171" i="17"/>
  <c r="A172" i="17"/>
  <c r="E172" i="17" s="1"/>
  <c r="I172" i="17" s="1"/>
  <c r="A173" i="17"/>
  <c r="A174" i="17"/>
  <c r="A175" i="17"/>
  <c r="E175" i="17" s="1"/>
  <c r="I175" i="17" s="1"/>
  <c r="A176" i="17"/>
  <c r="E176" i="17" s="1"/>
  <c r="I176" i="17" s="1"/>
  <c r="A177" i="17"/>
  <c r="A178" i="17"/>
  <c r="E178" i="17" s="1"/>
  <c r="I178" i="17" s="1"/>
  <c r="A179" i="17"/>
  <c r="E179" i="17" s="1"/>
  <c r="I179" i="17" s="1"/>
  <c r="A180" i="17"/>
  <c r="A181" i="17"/>
  <c r="A182" i="17"/>
  <c r="A183" i="17"/>
  <c r="A184" i="17"/>
  <c r="A185" i="17"/>
  <c r="A186" i="17"/>
  <c r="E186" i="17" s="1"/>
  <c r="I186" i="17" s="1"/>
  <c r="A187" i="17"/>
  <c r="A188" i="17"/>
  <c r="A189" i="17"/>
  <c r="A190" i="17"/>
  <c r="A191" i="17"/>
  <c r="E191" i="17" s="1"/>
  <c r="I191" i="17" s="1"/>
  <c r="A192" i="17"/>
  <c r="A193" i="17"/>
  <c r="A207" i="17"/>
  <c r="A208" i="17"/>
  <c r="A209" i="17"/>
  <c r="A210" i="17"/>
  <c r="A211" i="17"/>
  <c r="A212" i="17"/>
  <c r="E212" i="17" s="1"/>
  <c r="I212" i="17" s="1"/>
  <c r="A213" i="17"/>
  <c r="E213" i="17" s="1"/>
  <c r="I213" i="17" s="1"/>
  <c r="A214" i="17"/>
  <c r="E214" i="17" s="1"/>
  <c r="I214" i="17" s="1"/>
  <c r="A215" i="17"/>
  <c r="E215" i="17" s="1"/>
  <c r="I215" i="17" s="1"/>
  <c r="A216" i="17"/>
  <c r="A217" i="17"/>
  <c r="A218" i="17"/>
  <c r="A219" i="17"/>
  <c r="A220" i="17"/>
  <c r="E220" i="17" s="1"/>
  <c r="I220" i="17" s="1"/>
  <c r="A221" i="17"/>
  <c r="E221" i="17" s="1"/>
  <c r="I221" i="17" s="1"/>
  <c r="A222" i="17"/>
  <c r="A223" i="17"/>
  <c r="E223" i="17" s="1"/>
  <c r="I223" i="17" s="1"/>
  <c r="A224" i="17"/>
  <c r="E224" i="17" s="1"/>
  <c r="I224" i="17" s="1"/>
  <c r="A225" i="17"/>
  <c r="A226" i="17"/>
  <c r="A227" i="17"/>
  <c r="A228" i="17"/>
  <c r="E228" i="17" s="1"/>
  <c r="I228" i="17" s="1"/>
  <c r="A229" i="17"/>
  <c r="E229" i="17" s="1"/>
  <c r="I229" i="17" s="1"/>
  <c r="A230" i="17"/>
  <c r="A243" i="17"/>
  <c r="A244" i="17"/>
  <c r="E244" i="17" s="1"/>
  <c r="I244" i="17" s="1"/>
  <c r="A245" i="17"/>
  <c r="A246" i="17"/>
  <c r="A247" i="17"/>
  <c r="A248" i="17"/>
  <c r="E248" i="17" s="1"/>
  <c r="I248" i="17" s="1"/>
  <c r="A249" i="17"/>
  <c r="E249" i="17" s="1"/>
  <c r="I249" i="17" s="1"/>
  <c r="A250" i="17"/>
  <c r="E250" i="17" s="1"/>
  <c r="I250" i="17" s="1"/>
  <c r="A251" i="17"/>
  <c r="E251" i="17" s="1"/>
  <c r="I251" i="17" s="1"/>
  <c r="A252" i="17"/>
  <c r="A253" i="17"/>
  <c r="A254" i="17"/>
  <c r="A255" i="17"/>
  <c r="A256" i="17"/>
  <c r="E256" i="17" s="1"/>
  <c r="I256" i="17" s="1"/>
  <c r="A257" i="17"/>
  <c r="A258" i="17"/>
  <c r="E258" i="17" s="1"/>
  <c r="I258" i="17" s="1"/>
  <c r="A259" i="17"/>
  <c r="A260" i="17"/>
  <c r="E260" i="17" s="1"/>
  <c r="I260" i="17" s="1"/>
  <c r="A261" i="17"/>
  <c r="A262" i="17"/>
  <c r="A263" i="17"/>
  <c r="A264" i="17"/>
  <c r="E264" i="17" s="1"/>
  <c r="I264" i="17" s="1"/>
  <c r="A265" i="17"/>
  <c r="E265" i="17" s="1"/>
  <c r="I265" i="17" s="1"/>
  <c r="A266" i="17"/>
  <c r="E266" i="17" s="1"/>
  <c r="I266" i="17" s="1"/>
  <c r="A279" i="17"/>
  <c r="A280" i="17"/>
  <c r="A281" i="17"/>
  <c r="A282" i="17"/>
  <c r="A283" i="17"/>
  <c r="A284" i="17"/>
  <c r="E284" i="17" s="1"/>
  <c r="I284" i="17" s="1"/>
  <c r="A285" i="17"/>
  <c r="A286" i="17"/>
  <c r="E286" i="17" s="1"/>
  <c r="I286" i="17" s="1"/>
  <c r="A287" i="17"/>
  <c r="E287" i="17" s="1"/>
  <c r="I287" i="17" s="1"/>
  <c r="A288" i="17"/>
  <c r="A289" i="17"/>
  <c r="A290" i="17"/>
  <c r="A291" i="17"/>
  <c r="A292" i="17"/>
  <c r="E292" i="17" s="1"/>
  <c r="I292" i="17" s="1"/>
  <c r="A293" i="17"/>
  <c r="A294" i="17"/>
  <c r="A295" i="17"/>
  <c r="E295" i="17" s="1"/>
  <c r="I295" i="17" s="1"/>
  <c r="A296" i="17"/>
  <c r="A297" i="17"/>
  <c r="A298" i="17"/>
  <c r="A299" i="17"/>
  <c r="A300" i="17"/>
  <c r="E300" i="17" s="1"/>
  <c r="I300" i="17" s="1"/>
  <c r="A301" i="17"/>
  <c r="E301" i="17" s="1"/>
  <c r="I301" i="17" s="1"/>
  <c r="A302" i="17"/>
  <c r="E302" i="17" s="1"/>
  <c r="I302" i="17" s="1"/>
  <c r="A2" i="17"/>
  <c r="E403" i="17" l="1"/>
  <c r="I403" i="17" s="1"/>
  <c r="E396" i="17"/>
  <c r="I396" i="17" s="1"/>
  <c r="E476" i="17"/>
  <c r="I476" i="17" s="1"/>
  <c r="E389" i="17"/>
  <c r="I389" i="17" s="1"/>
  <c r="E479" i="17"/>
  <c r="I479" i="17" s="1"/>
  <c r="E356" i="17"/>
  <c r="I356" i="17" s="1"/>
  <c r="E400" i="17"/>
  <c r="I400" i="17" s="1"/>
  <c r="E549" i="17"/>
  <c r="I549" i="17" s="1"/>
  <c r="E447" i="17"/>
  <c r="I447" i="17" s="1"/>
  <c r="E331" i="17"/>
  <c r="I331" i="17" s="1"/>
  <c r="E483" i="17"/>
  <c r="I483" i="17" s="1"/>
  <c r="E374" i="17"/>
  <c r="I374" i="17" s="1"/>
  <c r="E367" i="17"/>
  <c r="I367" i="17" s="1"/>
  <c r="E466" i="17"/>
  <c r="I466" i="17" s="1"/>
  <c r="E338" i="17"/>
  <c r="I338" i="17" s="1"/>
  <c r="E502" i="17"/>
  <c r="I502" i="17" s="1"/>
  <c r="E336" i="17"/>
  <c r="I336" i="17" s="1"/>
  <c r="E330" i="17"/>
  <c r="I330" i="17" s="1"/>
  <c r="E436" i="17"/>
  <c r="I436" i="17" s="1"/>
  <c r="E446" i="17"/>
  <c r="I446" i="17" s="1"/>
  <c r="E316" i="17"/>
  <c r="I316" i="17" s="1"/>
  <c r="E545" i="17"/>
  <c r="I545" i="17" s="1"/>
  <c r="E443" i="17"/>
  <c r="I443" i="17" s="1"/>
  <c r="E427" i="17"/>
  <c r="I427" i="17" s="1"/>
  <c r="E406" i="17"/>
  <c r="I406" i="17" s="1"/>
  <c r="E553" i="17"/>
  <c r="I553" i="17" s="1"/>
  <c r="E482" i="17"/>
  <c r="I482" i="17" s="1"/>
  <c r="E364" i="17"/>
  <c r="I364" i="17" s="1"/>
  <c r="E360" i="17"/>
  <c r="I360" i="17" s="1"/>
  <c r="E501" i="17"/>
  <c r="I501" i="17" s="1"/>
  <c r="E426" i="17"/>
  <c r="I426" i="17" s="1"/>
  <c r="E435" i="17"/>
  <c r="I435" i="17" s="1"/>
  <c r="E369" i="17"/>
  <c r="I369" i="17" s="1"/>
  <c r="E326" i="17"/>
  <c r="I326" i="17" s="1"/>
  <c r="E512" i="17"/>
  <c r="I512" i="17" s="1"/>
  <c r="E573" i="17"/>
  <c r="I573" i="17" s="1"/>
  <c r="E588" i="17"/>
  <c r="I588" i="17" s="1"/>
  <c r="E591" i="17"/>
  <c r="I591" i="17" s="1"/>
  <c r="E628" i="17"/>
  <c r="I628" i="17" s="1"/>
  <c r="E574" i="17"/>
  <c r="I574" i="17" s="1"/>
  <c r="E579" i="17"/>
  <c r="I579" i="17" s="1"/>
  <c r="E571" i="17"/>
  <c r="I571" i="17" s="1"/>
  <c r="E572" i="17"/>
  <c r="I572" i="17" s="1"/>
  <c r="E587" i="17"/>
  <c r="I587" i="17" s="1"/>
  <c r="E590" i="17"/>
  <c r="I590" i="17" s="1"/>
  <c r="E533" i="17"/>
  <c r="I533" i="17" s="1"/>
  <c r="E578" i="17"/>
  <c r="I578" i="17" s="1"/>
  <c r="E577" i="17"/>
  <c r="I577" i="17" s="1"/>
  <c r="E569" i="17"/>
  <c r="I569" i="17" s="1"/>
  <c r="E584" i="17"/>
  <c r="I584" i="17" s="1"/>
  <c r="E568" i="17"/>
  <c r="I568" i="17" s="1"/>
  <c r="E583" i="17"/>
  <c r="I583" i="17" s="1"/>
  <c r="E586" i="17"/>
  <c r="I586" i="17" s="1"/>
  <c r="E585" i="17"/>
  <c r="I585" i="17" s="1"/>
  <c r="E575" i="17"/>
  <c r="I575" i="17" s="1"/>
  <c r="E580" i="17"/>
  <c r="I580" i="17" s="1"/>
  <c r="E582" i="17"/>
  <c r="I582" i="17" s="1"/>
  <c r="E713" i="17"/>
  <c r="I713" i="17" s="1"/>
  <c r="E357" i="17"/>
  <c r="I357" i="17" s="1"/>
  <c r="E743" i="17"/>
  <c r="I743" i="17" s="1"/>
  <c r="E714" i="17"/>
  <c r="I714" i="17" s="1"/>
  <c r="E703" i="17"/>
  <c r="I703" i="17" s="1"/>
  <c r="E12" i="17"/>
  <c r="I12" i="17" s="1"/>
  <c r="E576" i="17"/>
  <c r="I576" i="17" s="1"/>
  <c r="E393" i="17"/>
  <c r="I393" i="17" s="1"/>
  <c r="E337" i="17"/>
  <c r="I337" i="17" s="1"/>
  <c r="E509" i="17"/>
  <c r="I509" i="17" s="1"/>
  <c r="E155" i="17"/>
  <c r="I155" i="17" s="1"/>
  <c r="E473" i="17"/>
  <c r="I473" i="17" s="1"/>
  <c r="E138" i="17"/>
  <c r="I138" i="17" s="1"/>
  <c r="E736" i="17"/>
  <c r="I736" i="17" s="1"/>
  <c r="E519" i="17"/>
  <c r="I519" i="17" s="1"/>
  <c r="E445" i="17"/>
  <c r="I445" i="17" s="1"/>
  <c r="E63" i="17"/>
  <c r="I63" i="17" s="1"/>
  <c r="E469" i="17"/>
  <c r="I469" i="17" s="1"/>
  <c r="E408" i="17"/>
  <c r="I408" i="17" s="1"/>
  <c r="E187" i="17"/>
  <c r="I187" i="17" s="1"/>
  <c r="E700" i="17"/>
  <c r="I700" i="17" s="1"/>
  <c r="E698" i="17"/>
  <c r="I698" i="17" s="1"/>
  <c r="E375" i="17"/>
  <c r="I375" i="17" s="1"/>
  <c r="E323" i="17"/>
  <c r="I323" i="17" s="1"/>
  <c r="E589" i="17"/>
  <c r="I589" i="17" s="1"/>
  <c r="E508" i="17"/>
  <c r="I508" i="17" s="1"/>
  <c r="E444" i="17"/>
  <c r="I444" i="17" s="1"/>
  <c r="E373" i="17"/>
  <c r="I373" i="17" s="1"/>
  <c r="E321" i="17"/>
  <c r="I321" i="17" s="1"/>
  <c r="E101" i="17"/>
  <c r="I101" i="17" s="1"/>
  <c r="E461" i="17"/>
  <c r="I461" i="17" s="1"/>
  <c r="E695" i="17"/>
  <c r="I695" i="17" s="1"/>
  <c r="E437" i="17"/>
  <c r="I437" i="17" s="1"/>
  <c r="E320" i="17"/>
  <c r="I320" i="17" s="1"/>
  <c r="E100" i="17"/>
  <c r="I100" i="17" s="1"/>
  <c r="E581" i="17"/>
  <c r="I581" i="17" s="1"/>
  <c r="E288" i="17"/>
  <c r="I288" i="17" s="1"/>
  <c r="E64" i="17"/>
  <c r="I64" i="17" s="1"/>
  <c r="E717" i="17"/>
  <c r="I717" i="17" s="1"/>
  <c r="E411" i="17"/>
  <c r="I411" i="17" s="1"/>
  <c r="E537" i="17"/>
  <c r="I537" i="17" s="1"/>
  <c r="E409" i="17"/>
  <c r="I409" i="17" s="1"/>
  <c r="E32" i="17"/>
  <c r="I32" i="17" s="1"/>
  <c r="E293" i="17"/>
  <c r="I293" i="17" s="1"/>
  <c r="E285" i="17"/>
  <c r="I285" i="17" s="1"/>
  <c r="E257" i="17"/>
  <c r="I257" i="17" s="1"/>
  <c r="E118" i="17"/>
  <c r="I118" i="17" s="1"/>
  <c r="E81" i="17"/>
  <c r="I81" i="17" s="1"/>
  <c r="E10" i="17"/>
  <c r="I10" i="17" s="1"/>
  <c r="E468" i="17"/>
  <c r="I468" i="17" s="1"/>
  <c r="E332" i="17"/>
  <c r="I332" i="17" s="1"/>
  <c r="E496" i="17"/>
  <c r="I496" i="17" s="1"/>
  <c r="E253" i="17"/>
  <c r="I253" i="17" s="1"/>
  <c r="E252" i="17"/>
  <c r="I252" i="17" s="1"/>
  <c r="E98" i="17"/>
  <c r="I98" i="17" s="1"/>
  <c r="E299" i="17"/>
  <c r="I299" i="17" s="1"/>
  <c r="E291" i="17"/>
  <c r="I291" i="17" s="1"/>
  <c r="E283" i="17"/>
  <c r="I283" i="17" s="1"/>
  <c r="E263" i="17"/>
  <c r="I263" i="17" s="1"/>
  <c r="E247" i="17"/>
  <c r="I247" i="17" s="1"/>
  <c r="E227" i="17"/>
  <c r="I227" i="17" s="1"/>
  <c r="E211" i="17"/>
  <c r="I211" i="17" s="1"/>
  <c r="E182" i="17"/>
  <c r="I182" i="17" s="1"/>
  <c r="E174" i="17"/>
  <c r="I174" i="17" s="1"/>
  <c r="E146" i="17"/>
  <c r="I146" i="17" s="1"/>
  <c r="E108" i="17"/>
  <c r="I108" i="17" s="1"/>
  <c r="E79" i="17"/>
  <c r="I79" i="17" s="1"/>
  <c r="E39" i="17"/>
  <c r="I39" i="17" s="1"/>
  <c r="E21" i="17"/>
  <c r="I21" i="17" s="1"/>
  <c r="E8" i="17"/>
  <c r="I8" i="17" s="1"/>
  <c r="E438" i="17"/>
  <c r="I438" i="17" s="1"/>
  <c r="E430" i="17"/>
  <c r="I430" i="17" s="1"/>
  <c r="E402" i="17"/>
  <c r="I402" i="17" s="1"/>
  <c r="E366" i="17"/>
  <c r="I366" i="17" s="1"/>
  <c r="E358" i="17"/>
  <c r="I358" i="17" s="1"/>
  <c r="E432" i="17"/>
  <c r="I432" i="17" s="1"/>
  <c r="E225" i="17"/>
  <c r="I225" i="17" s="1"/>
  <c r="E154" i="17"/>
  <c r="I154" i="17" s="1"/>
  <c r="E71" i="17"/>
  <c r="I71" i="17" s="1"/>
  <c r="E289" i="17"/>
  <c r="I289" i="17" s="1"/>
  <c r="E219" i="17"/>
  <c r="I219" i="17" s="1"/>
  <c r="E152" i="17"/>
  <c r="I152" i="17" s="1"/>
  <c r="E192" i="17"/>
  <c r="I192" i="17" s="1"/>
  <c r="E184" i="17"/>
  <c r="I184" i="17" s="1"/>
  <c r="E156" i="17"/>
  <c r="I156" i="17" s="1"/>
  <c r="E140" i="17"/>
  <c r="I140" i="17" s="1"/>
  <c r="E73" i="17"/>
  <c r="I73" i="17" s="1"/>
  <c r="E65" i="17"/>
  <c r="I65" i="17" s="1"/>
  <c r="E23" i="17"/>
  <c r="I23" i="17" s="1"/>
  <c r="E388" i="17"/>
  <c r="I388" i="17" s="1"/>
  <c r="E297" i="17"/>
  <c r="I297" i="17" s="1"/>
  <c r="E180" i="17"/>
  <c r="I180" i="17" s="1"/>
  <c r="E296" i="17"/>
  <c r="I296" i="17" s="1"/>
  <c r="E216" i="17"/>
  <c r="I216" i="17" s="1"/>
  <c r="E208" i="17"/>
  <c r="I208" i="17" s="1"/>
  <c r="E143" i="17"/>
  <c r="I143" i="17" s="1"/>
  <c r="E135" i="17"/>
  <c r="I135" i="17" s="1"/>
  <c r="E105" i="17"/>
  <c r="I105" i="17" s="1"/>
  <c r="E68" i="17"/>
  <c r="I68" i="17" s="1"/>
  <c r="E36" i="17"/>
  <c r="I36" i="17" s="1"/>
  <c r="E551" i="17"/>
  <c r="I551" i="17" s="1"/>
  <c r="E543" i="17"/>
  <c r="I543" i="17" s="1"/>
  <c r="E515" i="17"/>
  <c r="I515" i="17" s="1"/>
  <c r="E507" i="17"/>
  <c r="I507" i="17" s="1"/>
  <c r="E499" i="17"/>
  <c r="I499" i="17" s="1"/>
  <c r="E407" i="17"/>
  <c r="I407" i="17" s="1"/>
  <c r="E391" i="17"/>
  <c r="I391" i="17" s="1"/>
  <c r="E363" i="17"/>
  <c r="I363" i="17" s="1"/>
  <c r="E355" i="17"/>
  <c r="I355" i="17" s="1"/>
  <c r="E327" i="17"/>
  <c r="I327" i="17" s="1"/>
  <c r="E281" i="17"/>
  <c r="I281" i="17" s="1"/>
  <c r="E136" i="17"/>
  <c r="I136" i="17" s="1"/>
  <c r="E259" i="17"/>
  <c r="I259" i="17" s="1"/>
  <c r="E170" i="17"/>
  <c r="I170" i="17" s="1"/>
  <c r="E134" i="17"/>
  <c r="I134" i="17" s="1"/>
  <c r="E104" i="17"/>
  <c r="I104" i="17" s="1"/>
  <c r="E67" i="17"/>
  <c r="I67" i="17" s="1"/>
  <c r="E35" i="17"/>
  <c r="I35" i="17" s="1"/>
  <c r="E25" i="17"/>
  <c r="I25" i="17" s="1"/>
  <c r="E4" i="17"/>
  <c r="I4" i="17" s="1"/>
  <c r="E550" i="17"/>
  <c r="I550" i="17" s="1"/>
  <c r="E542" i="17"/>
  <c r="I542" i="17" s="1"/>
  <c r="E534" i="17"/>
  <c r="I534" i="17" s="1"/>
  <c r="E514" i="17"/>
  <c r="I514" i="17" s="1"/>
  <c r="E506" i="17"/>
  <c r="I506" i="17" s="1"/>
  <c r="E498" i="17"/>
  <c r="I498" i="17" s="1"/>
  <c r="E478" i="17"/>
  <c r="I478" i="17" s="1"/>
  <c r="E462" i="17"/>
  <c r="I462" i="17" s="1"/>
  <c r="E398" i="17"/>
  <c r="I398" i="17" s="1"/>
  <c r="E390" i="17"/>
  <c r="I390" i="17" s="1"/>
  <c r="E354" i="17"/>
  <c r="I354" i="17" s="1"/>
  <c r="E334" i="17"/>
  <c r="I334" i="17" s="1"/>
  <c r="E318" i="17"/>
  <c r="I318" i="17" s="1"/>
  <c r="E734" i="17"/>
  <c r="I734" i="17" s="1"/>
  <c r="E729" i="17"/>
  <c r="I729" i="17" s="1"/>
  <c r="E548" i="17"/>
  <c r="I548" i="17" s="1"/>
  <c r="E505" i="17"/>
  <c r="I505" i="17" s="1"/>
  <c r="E190" i="17"/>
  <c r="I190" i="17" s="1"/>
  <c r="E116" i="17"/>
  <c r="I116" i="17" s="1"/>
  <c r="E31" i="17"/>
  <c r="I31" i="17" s="1"/>
  <c r="E460" i="17"/>
  <c r="I460" i="17" s="1"/>
  <c r="E261" i="17"/>
  <c r="I261" i="17" s="1"/>
  <c r="E245" i="17"/>
  <c r="I245" i="17" s="1"/>
  <c r="E209" i="17"/>
  <c r="I209" i="17" s="1"/>
  <c r="E144" i="17"/>
  <c r="I144" i="17" s="1"/>
  <c r="E106" i="17"/>
  <c r="I106" i="17" s="1"/>
  <c r="E77" i="17"/>
  <c r="I77" i="17" s="1"/>
  <c r="E69" i="17"/>
  <c r="I69" i="17" s="1"/>
  <c r="E37" i="17"/>
  <c r="I37" i="17" s="1"/>
  <c r="E6" i="17"/>
  <c r="I6" i="17" s="1"/>
  <c r="E368" i="17"/>
  <c r="I368" i="17" s="1"/>
  <c r="E217" i="17"/>
  <c r="I217" i="17" s="1"/>
  <c r="E280" i="17"/>
  <c r="I280" i="17" s="1"/>
  <c r="E171" i="17"/>
  <c r="I171" i="17" s="1"/>
  <c r="E5" i="17"/>
  <c r="I5" i="17" s="1"/>
  <c r="E535" i="17"/>
  <c r="I535" i="17" s="1"/>
  <c r="E471" i="17"/>
  <c r="I471" i="17" s="1"/>
  <c r="E399" i="17"/>
  <c r="I399" i="17" s="1"/>
  <c r="E371" i="17"/>
  <c r="I371" i="17" s="1"/>
  <c r="E335" i="17"/>
  <c r="I335" i="17" s="1"/>
  <c r="E319" i="17"/>
  <c r="I319" i="17" s="1"/>
  <c r="E2" i="17"/>
  <c r="E279" i="17"/>
  <c r="I279" i="17" s="1"/>
  <c r="E243" i="17"/>
  <c r="I243" i="17" s="1"/>
  <c r="E207" i="17"/>
  <c r="I207" i="17" s="1"/>
  <c r="E294" i="17"/>
  <c r="I294" i="17" s="1"/>
  <c r="E230" i="17"/>
  <c r="I230" i="17" s="1"/>
  <c r="E222" i="17"/>
  <c r="I222" i="17" s="1"/>
  <c r="E193" i="17"/>
  <c r="I193" i="17" s="1"/>
  <c r="E185" i="17"/>
  <c r="I185" i="17" s="1"/>
  <c r="E177" i="17"/>
  <c r="I177" i="17" s="1"/>
  <c r="E169" i="17"/>
  <c r="I169" i="17" s="1"/>
  <c r="E149" i="17"/>
  <c r="I149" i="17" s="1"/>
  <c r="E141" i="17"/>
  <c r="I141" i="17" s="1"/>
  <c r="E133" i="17"/>
  <c r="I133" i="17" s="1"/>
  <c r="E111" i="17"/>
  <c r="I111" i="17" s="1"/>
  <c r="E103" i="17"/>
  <c r="I103" i="17" s="1"/>
  <c r="E95" i="17"/>
  <c r="I95" i="17" s="1"/>
  <c r="E74" i="17"/>
  <c r="I74" i="17" s="1"/>
  <c r="E66" i="17"/>
  <c r="I66" i="17" s="1"/>
  <c r="E58" i="17"/>
  <c r="I58" i="17" s="1"/>
  <c r="E34" i="17"/>
  <c r="I34" i="17" s="1"/>
  <c r="E24" i="17"/>
  <c r="I24" i="17" s="1"/>
  <c r="E11" i="17"/>
  <c r="I11" i="17" s="1"/>
  <c r="E3" i="17"/>
  <c r="I3" i="17" s="1"/>
  <c r="E477" i="17"/>
  <c r="I477" i="17" s="1"/>
  <c r="E441" i="17"/>
  <c r="I441" i="17" s="1"/>
  <c r="E353" i="17"/>
  <c r="I353" i="17" s="1"/>
  <c r="E317" i="17"/>
  <c r="I317" i="17" s="1"/>
  <c r="E397" i="17"/>
  <c r="I397" i="17" s="1"/>
  <c r="E255" i="17"/>
  <c r="I255" i="17" s="1"/>
  <c r="E188" i="17"/>
  <c r="I188" i="17" s="1"/>
  <c r="E27" i="17"/>
  <c r="I27" i="17" s="1"/>
  <c r="E183" i="17"/>
  <c r="I183" i="17" s="1"/>
  <c r="E147" i="17"/>
  <c r="I147" i="17" s="1"/>
  <c r="E117" i="17"/>
  <c r="I117" i="17" s="1"/>
  <c r="E80" i="17"/>
  <c r="I80" i="17" s="1"/>
  <c r="E40" i="17"/>
  <c r="I40" i="17" s="1"/>
  <c r="E22" i="17"/>
  <c r="I22" i="17" s="1"/>
  <c r="E298" i="17"/>
  <c r="I298" i="17" s="1"/>
  <c r="E290" i="17"/>
  <c r="I290" i="17" s="1"/>
  <c r="E282" i="17"/>
  <c r="I282" i="17" s="1"/>
  <c r="E262" i="17"/>
  <c r="I262" i="17" s="1"/>
  <c r="E254" i="17"/>
  <c r="I254" i="17" s="1"/>
  <c r="E246" i="17"/>
  <c r="I246" i="17" s="1"/>
  <c r="E226" i="17"/>
  <c r="I226" i="17" s="1"/>
  <c r="E218" i="17"/>
  <c r="I218" i="17" s="1"/>
  <c r="E210" i="17"/>
  <c r="I210" i="17" s="1"/>
  <c r="E189" i="17"/>
  <c r="I189" i="17" s="1"/>
  <c r="E181" i="17"/>
  <c r="I181" i="17" s="1"/>
  <c r="E173" i="17"/>
  <c r="I173" i="17" s="1"/>
  <c r="E153" i="17"/>
  <c r="I153" i="17" s="1"/>
  <c r="E145" i="17"/>
  <c r="I145" i="17" s="1"/>
  <c r="E137" i="17"/>
  <c r="I137" i="17" s="1"/>
  <c r="E115" i="17"/>
  <c r="I115" i="17" s="1"/>
  <c r="E107" i="17"/>
  <c r="I107" i="17" s="1"/>
  <c r="E99" i="17"/>
  <c r="I99" i="17" s="1"/>
  <c r="E78" i="17"/>
  <c r="I78" i="17" s="1"/>
  <c r="E70" i="17"/>
  <c r="I70" i="17" s="1"/>
  <c r="E62" i="17"/>
  <c r="I62" i="17" s="1"/>
  <c r="E38" i="17"/>
  <c r="I38" i="17" s="1"/>
  <c r="E30" i="17"/>
  <c r="I30" i="17" s="1"/>
  <c r="E20" i="17"/>
  <c r="I20" i="17" s="1"/>
  <c r="E7" i="17"/>
  <c r="I7" i="17" s="1"/>
  <c r="E465" i="17"/>
  <c r="I465" i="17" s="1"/>
  <c r="E429" i="17"/>
  <c r="I429" i="17" s="1"/>
  <c r="E401" i="17"/>
  <c r="I401" i="17" s="1"/>
  <c r="E365" i="17"/>
  <c r="I365" i="17" s="1"/>
  <c r="E329" i="17"/>
  <c r="I329" i="17" s="1"/>
  <c r="E328" i="17"/>
  <c r="I328" i="17" s="1"/>
  <c r="E664" i="17"/>
  <c r="I664" i="17" s="1"/>
  <c r="E570" i="17"/>
  <c r="I570" i="17" s="1"/>
  <c r="E481" i="17"/>
  <c r="I481" i="17" s="1"/>
  <c r="E746" i="17"/>
  <c r="I746" i="17" s="1"/>
  <c r="E728" i="17"/>
  <c r="I728" i="17" s="1"/>
  <c r="E718" i="17"/>
  <c r="I718" i="17" s="1"/>
  <c r="E707" i="17"/>
  <c r="I707" i="17" s="1"/>
  <c r="E699" i="17"/>
  <c r="I699" i="17" s="1"/>
  <c r="I2" i="17" l="1"/>
  <c r="B6" i="14"/>
  <c r="B7" i="14"/>
  <c r="B8" i="14"/>
  <c r="B9" i="14"/>
  <c r="B10" i="14"/>
  <c r="B5" i="14"/>
  <c r="B6" i="13"/>
  <c r="B7" i="13"/>
  <c r="B8" i="13"/>
  <c r="B9" i="13"/>
  <c r="B10" i="13"/>
  <c r="B5" i="13"/>
  <c r="B6" i="11"/>
  <c r="B7" i="11"/>
  <c r="B8" i="11"/>
  <c r="B9" i="11"/>
  <c r="B10" i="11"/>
  <c r="B5" i="11"/>
  <c r="B6" i="10"/>
  <c r="B7" i="10"/>
  <c r="B8" i="10"/>
  <c r="B9" i="10"/>
  <c r="B10" i="10"/>
  <c r="B5" i="10"/>
  <c r="B6" i="9"/>
  <c r="B7" i="9"/>
  <c r="B8" i="9"/>
  <c r="B9" i="9"/>
  <c r="B10" i="9"/>
  <c r="B5" i="9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5" i="8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" i="12"/>
  <c r="C5" i="12" l="1"/>
  <c r="D6" i="7"/>
  <c r="C6" i="7" s="1"/>
  <c r="D7" i="7"/>
  <c r="C7" i="7" s="1"/>
  <c r="D8" i="7"/>
  <c r="C8" i="7" s="1"/>
  <c r="D9" i="7"/>
  <c r="C9" i="7" s="1"/>
  <c r="D10" i="7"/>
  <c r="C10" i="7" s="1"/>
  <c r="D11" i="7"/>
  <c r="C11" i="7" s="1"/>
  <c r="D12" i="7"/>
  <c r="C12" i="7" s="1"/>
  <c r="D13" i="7"/>
  <c r="C13" i="7" s="1"/>
  <c r="D14" i="7"/>
  <c r="C14" i="7" s="1"/>
  <c r="D15" i="7"/>
  <c r="C15" i="7" s="1"/>
  <c r="D16" i="7"/>
  <c r="C16" i="7" s="1"/>
  <c r="D17" i="7"/>
  <c r="C17" i="7" s="1"/>
  <c r="D18" i="7"/>
  <c r="C18" i="7" s="1"/>
  <c r="D19" i="7"/>
  <c r="C19" i="7" s="1"/>
  <c r="D20" i="7"/>
  <c r="C20" i="7" s="1"/>
  <c r="D21" i="7"/>
  <c r="C21" i="7" s="1"/>
  <c r="D22" i="7"/>
  <c r="C22" i="7" s="1"/>
  <c r="D23" i="7"/>
  <c r="C23" i="7" s="1"/>
  <c r="D24" i="7"/>
  <c r="C24" i="7" s="1"/>
  <c r="D25" i="7"/>
  <c r="C25" i="7" s="1"/>
  <c r="D26" i="7"/>
  <c r="C26" i="7" s="1"/>
  <c r="D27" i="7"/>
  <c r="C27" i="7" s="1"/>
  <c r="D28" i="7"/>
  <c r="C28" i="7" s="1"/>
  <c r="D29" i="7"/>
  <c r="C29" i="7" s="1"/>
  <c r="D30" i="7"/>
  <c r="C30" i="7" s="1"/>
  <c r="D31" i="7"/>
  <c r="C31" i="7" s="1"/>
  <c r="D32" i="7"/>
  <c r="C32" i="7" s="1"/>
  <c r="D33" i="7"/>
  <c r="C33" i="7" s="1"/>
  <c r="D34" i="7"/>
  <c r="C34" i="7" s="1"/>
  <c r="D35" i="7"/>
  <c r="C35" i="7" s="1"/>
  <c r="D36" i="7"/>
  <c r="C36" i="7" s="1"/>
  <c r="D37" i="7"/>
  <c r="C37" i="7" s="1"/>
  <c r="D38" i="7"/>
  <c r="C38" i="7" s="1"/>
  <c r="D39" i="7"/>
  <c r="C39" i="7" s="1"/>
  <c r="D40" i="7"/>
  <c r="C40" i="7" s="1"/>
  <c r="D41" i="7"/>
  <c r="C41" i="7" s="1"/>
  <c r="D42" i="7"/>
  <c r="C42" i="7" s="1"/>
  <c r="D43" i="7"/>
  <c r="C43" i="7" s="1"/>
  <c r="D44" i="7"/>
  <c r="C44" i="7" s="1"/>
  <c r="D45" i="7"/>
  <c r="C45" i="7" s="1"/>
  <c r="D46" i="7"/>
  <c r="C46" i="7" s="1"/>
  <c r="D47" i="7"/>
  <c r="C47" i="7" s="1"/>
  <c r="D48" i="7"/>
  <c r="C48" i="7" s="1"/>
  <c r="D49" i="7"/>
  <c r="C49" i="7" s="1"/>
  <c r="D50" i="7"/>
  <c r="C50" i="7" s="1"/>
  <c r="D51" i="7"/>
  <c r="C51" i="7" s="1"/>
  <c r="D52" i="7"/>
  <c r="C52" i="7" s="1"/>
  <c r="D53" i="7"/>
  <c r="C53" i="7" s="1"/>
  <c r="D54" i="7"/>
  <c r="C54" i="7" s="1"/>
  <c r="D55" i="7"/>
  <c r="C55" i="7" s="1"/>
  <c r="D56" i="7"/>
  <c r="C56" i="7" s="1"/>
  <c r="D57" i="7"/>
  <c r="C57" i="7" s="1"/>
  <c r="D58" i="7"/>
  <c r="C58" i="7" s="1"/>
  <c r="D59" i="7"/>
  <c r="C59" i="7" s="1"/>
  <c r="D60" i="7"/>
  <c r="C60" i="7" s="1"/>
  <c r="D61" i="7"/>
  <c r="C61" i="7" s="1"/>
  <c r="D62" i="7"/>
  <c r="C62" i="7" s="1"/>
  <c r="D63" i="7"/>
  <c r="C63" i="7" s="1"/>
  <c r="D64" i="7"/>
  <c r="C64" i="7" s="1"/>
  <c r="D65" i="7"/>
  <c r="C65" i="7" s="1"/>
  <c r="D66" i="7"/>
  <c r="C66" i="7" s="1"/>
  <c r="D67" i="7"/>
  <c r="C67" i="7" s="1"/>
  <c r="D68" i="7"/>
  <c r="C68" i="7" s="1"/>
  <c r="D69" i="7"/>
  <c r="C69" i="7" s="1"/>
  <c r="D70" i="7"/>
  <c r="C70" i="7" s="1"/>
  <c r="D71" i="7"/>
  <c r="C71" i="7" s="1"/>
  <c r="D72" i="7"/>
  <c r="C72" i="7" s="1"/>
  <c r="D73" i="7"/>
  <c r="C73" i="7" s="1"/>
  <c r="D74" i="7"/>
  <c r="C74" i="7" s="1"/>
  <c r="D75" i="7"/>
  <c r="C75" i="7" s="1"/>
  <c r="D76" i="7"/>
  <c r="C76" i="7" s="1"/>
  <c r="D77" i="7"/>
  <c r="C77" i="7" s="1"/>
  <c r="D78" i="7"/>
  <c r="C78" i="7" s="1"/>
  <c r="D79" i="7"/>
  <c r="C79" i="7" s="1"/>
  <c r="D80" i="7"/>
  <c r="C80" i="7" s="1"/>
  <c r="D81" i="7"/>
  <c r="C81" i="7" s="1"/>
  <c r="D82" i="7"/>
  <c r="C82" i="7" s="1"/>
  <c r="D83" i="7"/>
  <c r="C83" i="7" s="1"/>
  <c r="D84" i="7"/>
  <c r="C84" i="7" s="1"/>
  <c r="D85" i="7"/>
  <c r="C85" i="7" s="1"/>
  <c r="D86" i="7"/>
  <c r="C86" i="7" s="1"/>
  <c r="D87" i="7"/>
  <c r="C87" i="7" s="1"/>
  <c r="D88" i="7"/>
  <c r="C88" i="7" s="1"/>
  <c r="D89" i="7"/>
  <c r="C89" i="7" s="1"/>
  <c r="D90" i="7"/>
  <c r="C90" i="7" s="1"/>
  <c r="D91" i="7"/>
  <c r="C91" i="7" s="1"/>
  <c r="D92" i="7"/>
  <c r="C92" i="7" s="1"/>
  <c r="D93" i="7"/>
  <c r="C93" i="7" s="1"/>
  <c r="D94" i="7"/>
  <c r="C94" i="7" s="1"/>
  <c r="D95" i="7"/>
  <c r="C95" i="7" s="1"/>
  <c r="D96" i="7"/>
  <c r="C96" i="7" s="1"/>
  <c r="D97" i="7"/>
  <c r="C97" i="7" s="1"/>
  <c r="D98" i="7"/>
  <c r="C98" i="7" s="1"/>
  <c r="D99" i="7"/>
  <c r="C99" i="7" s="1"/>
  <c r="D100" i="7"/>
  <c r="C100" i="7" s="1"/>
  <c r="D101" i="7"/>
  <c r="C101" i="7" s="1"/>
  <c r="D102" i="7"/>
  <c r="C102" i="7" s="1"/>
  <c r="D103" i="7"/>
  <c r="C103" i="7" s="1"/>
  <c r="D104" i="7"/>
  <c r="C104" i="7" s="1"/>
  <c r="E6" i="7"/>
  <c r="A6" i="7" s="1"/>
  <c r="E7" i="7"/>
  <c r="A7" i="7" s="1"/>
  <c r="E8" i="7"/>
  <c r="A8" i="7" s="1"/>
  <c r="E9" i="7"/>
  <c r="A9" i="7" s="1"/>
  <c r="E10" i="7"/>
  <c r="A10" i="7" s="1"/>
  <c r="E11" i="7"/>
  <c r="A11" i="7" s="1"/>
  <c r="E12" i="7"/>
  <c r="A12" i="7" s="1"/>
  <c r="E13" i="7"/>
  <c r="A13" i="7" s="1"/>
  <c r="E14" i="7"/>
  <c r="A14" i="7" s="1"/>
  <c r="E15" i="7"/>
  <c r="A15" i="7" s="1"/>
  <c r="E16" i="7"/>
  <c r="A16" i="7" s="1"/>
  <c r="E17" i="7"/>
  <c r="A17" i="7" s="1"/>
  <c r="E18" i="7"/>
  <c r="A18" i="7" s="1"/>
  <c r="E19" i="7"/>
  <c r="A19" i="7" s="1"/>
  <c r="E20" i="7"/>
  <c r="A20" i="7" s="1"/>
  <c r="E21" i="7"/>
  <c r="A21" i="7" s="1"/>
  <c r="E22" i="7"/>
  <c r="A22" i="7" s="1"/>
  <c r="E23" i="7"/>
  <c r="A23" i="7" s="1"/>
  <c r="E24" i="7"/>
  <c r="A24" i="7" s="1"/>
  <c r="E25" i="7"/>
  <c r="A25" i="7" s="1"/>
  <c r="E26" i="7"/>
  <c r="A26" i="7" s="1"/>
  <c r="E27" i="7"/>
  <c r="A27" i="7" s="1"/>
  <c r="E28" i="7"/>
  <c r="A28" i="7" s="1"/>
  <c r="E29" i="7"/>
  <c r="A29" i="7" s="1"/>
  <c r="E30" i="7"/>
  <c r="A30" i="7" s="1"/>
  <c r="E31" i="7"/>
  <c r="A31" i="7" s="1"/>
  <c r="E32" i="7"/>
  <c r="A32" i="7" s="1"/>
  <c r="E33" i="7"/>
  <c r="A33" i="7" s="1"/>
  <c r="E34" i="7"/>
  <c r="A34" i="7" s="1"/>
  <c r="E35" i="7"/>
  <c r="A35" i="7" s="1"/>
  <c r="E36" i="7"/>
  <c r="A36" i="7" s="1"/>
  <c r="E37" i="7"/>
  <c r="A37" i="7" s="1"/>
  <c r="E38" i="7"/>
  <c r="A38" i="7" s="1"/>
  <c r="E39" i="7"/>
  <c r="A39" i="7" s="1"/>
  <c r="E40" i="7"/>
  <c r="A40" i="7" s="1"/>
  <c r="E41" i="7"/>
  <c r="A41" i="7" s="1"/>
  <c r="E42" i="7"/>
  <c r="A42" i="7" s="1"/>
  <c r="E43" i="7"/>
  <c r="A43" i="7" s="1"/>
  <c r="E44" i="7"/>
  <c r="A44" i="7" s="1"/>
  <c r="E45" i="7"/>
  <c r="A45" i="7" s="1"/>
  <c r="E46" i="7"/>
  <c r="A46" i="7" s="1"/>
  <c r="E47" i="7"/>
  <c r="A47" i="7" s="1"/>
  <c r="E48" i="7"/>
  <c r="A48" i="7" s="1"/>
  <c r="E49" i="7"/>
  <c r="A49" i="7" s="1"/>
  <c r="E50" i="7"/>
  <c r="A50" i="7" s="1"/>
  <c r="E51" i="7"/>
  <c r="A51" i="7" s="1"/>
  <c r="E52" i="7"/>
  <c r="A52" i="7" s="1"/>
  <c r="E53" i="7"/>
  <c r="A53" i="7" s="1"/>
  <c r="E54" i="7"/>
  <c r="A54" i="7" s="1"/>
  <c r="E55" i="7"/>
  <c r="A55" i="7" s="1"/>
  <c r="E56" i="7"/>
  <c r="A56" i="7" s="1"/>
  <c r="E57" i="7"/>
  <c r="A57" i="7" s="1"/>
  <c r="E58" i="7"/>
  <c r="A58" i="7" s="1"/>
  <c r="E59" i="7"/>
  <c r="A59" i="7" s="1"/>
  <c r="E60" i="7"/>
  <c r="A60" i="7" s="1"/>
  <c r="E61" i="7"/>
  <c r="A61" i="7" s="1"/>
  <c r="E62" i="7"/>
  <c r="A62" i="7" s="1"/>
  <c r="E63" i="7"/>
  <c r="A63" i="7" s="1"/>
  <c r="E64" i="7"/>
  <c r="A64" i="7" s="1"/>
  <c r="E65" i="7"/>
  <c r="A65" i="7" s="1"/>
  <c r="E66" i="7"/>
  <c r="A66" i="7" s="1"/>
  <c r="E67" i="7"/>
  <c r="A67" i="7" s="1"/>
  <c r="E68" i="7"/>
  <c r="A68" i="7" s="1"/>
  <c r="E69" i="7"/>
  <c r="A69" i="7" s="1"/>
  <c r="E70" i="7"/>
  <c r="A70" i="7" s="1"/>
  <c r="E71" i="7"/>
  <c r="A71" i="7" s="1"/>
  <c r="E72" i="7"/>
  <c r="A72" i="7" s="1"/>
  <c r="E73" i="7"/>
  <c r="A73" i="7" s="1"/>
  <c r="E74" i="7"/>
  <c r="A74" i="7" s="1"/>
  <c r="E75" i="7"/>
  <c r="A75" i="7" s="1"/>
  <c r="E76" i="7"/>
  <c r="A76" i="7" s="1"/>
  <c r="E77" i="7"/>
  <c r="A77" i="7" s="1"/>
  <c r="E78" i="7"/>
  <c r="A78" i="7" s="1"/>
  <c r="E79" i="7"/>
  <c r="A79" i="7" s="1"/>
  <c r="E80" i="7"/>
  <c r="A80" i="7" s="1"/>
  <c r="E81" i="7"/>
  <c r="A81" i="7" s="1"/>
  <c r="E82" i="7"/>
  <c r="A82" i="7" s="1"/>
  <c r="E83" i="7"/>
  <c r="A83" i="7" s="1"/>
  <c r="E84" i="7"/>
  <c r="A84" i="7" s="1"/>
  <c r="E85" i="7"/>
  <c r="A85" i="7" s="1"/>
  <c r="E86" i="7"/>
  <c r="A86" i="7" s="1"/>
  <c r="E87" i="7"/>
  <c r="A87" i="7" s="1"/>
  <c r="E88" i="7"/>
  <c r="A88" i="7" s="1"/>
  <c r="E89" i="7"/>
  <c r="A89" i="7" s="1"/>
  <c r="E90" i="7"/>
  <c r="A90" i="7" s="1"/>
  <c r="E91" i="7"/>
  <c r="A91" i="7" s="1"/>
  <c r="E92" i="7"/>
  <c r="A92" i="7" s="1"/>
  <c r="E93" i="7"/>
  <c r="A93" i="7" s="1"/>
  <c r="E94" i="7"/>
  <c r="A94" i="7" s="1"/>
  <c r="E95" i="7"/>
  <c r="A95" i="7" s="1"/>
  <c r="E96" i="7"/>
  <c r="A96" i="7" s="1"/>
  <c r="E97" i="7"/>
  <c r="A97" i="7" s="1"/>
  <c r="E98" i="7"/>
  <c r="A98" i="7" s="1"/>
  <c r="E99" i="7"/>
  <c r="A99" i="7" s="1"/>
  <c r="E100" i="7"/>
  <c r="A100" i="7" s="1"/>
  <c r="E101" i="7"/>
  <c r="A101" i="7" s="1"/>
  <c r="E102" i="7"/>
  <c r="A102" i="7" s="1"/>
  <c r="E103" i="7"/>
  <c r="A103" i="7" s="1"/>
  <c r="E104" i="7"/>
  <c r="A104" i="7" s="1"/>
  <c r="D5" i="7"/>
  <c r="C5" i="7" s="1"/>
  <c r="E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5" i="7"/>
  <c r="N17" i="14" l="1"/>
  <c r="O17" i="14"/>
  <c r="N11" i="14"/>
  <c r="N15" i="14"/>
  <c r="O18" i="14"/>
  <c r="N12" i="14"/>
  <c r="N18" i="14"/>
  <c r="O14" i="14"/>
  <c r="O13" i="14"/>
  <c r="N14" i="14"/>
  <c r="O12" i="14"/>
  <c r="O11" i="14"/>
  <c r="O15" i="14"/>
  <c r="N16" i="14"/>
  <c r="O16" i="14"/>
  <c r="N13" i="14"/>
  <c r="O62" i="8"/>
  <c r="N65" i="8"/>
  <c r="O70" i="8"/>
  <c r="N66" i="8"/>
  <c r="O65" i="8"/>
  <c r="N68" i="8"/>
  <c r="N68" i="12"/>
  <c r="N63" i="8"/>
  <c r="O68" i="8"/>
  <c r="N71" i="8"/>
  <c r="O63" i="8"/>
  <c r="O71" i="8"/>
  <c r="N64" i="8"/>
  <c r="O69" i="8"/>
  <c r="N40" i="12"/>
  <c r="N70" i="12"/>
  <c r="O48" i="12"/>
  <c r="N76" i="12"/>
  <c r="N14" i="12"/>
  <c r="N62" i="8"/>
  <c r="O64" i="8"/>
  <c r="O66" i="8"/>
  <c r="N32" i="12"/>
  <c r="N70" i="8"/>
  <c r="N10" i="12"/>
  <c r="N61" i="12"/>
  <c r="N22" i="12"/>
  <c r="N67" i="8"/>
  <c r="N69" i="8"/>
  <c r="O67" i="8"/>
  <c r="O18" i="12"/>
  <c r="N62" i="12"/>
  <c r="O75" i="12"/>
  <c r="O40" i="12"/>
  <c r="O34" i="12"/>
  <c r="O70" i="12"/>
  <c r="O8" i="12"/>
  <c r="O56" i="12"/>
  <c r="N63" i="12"/>
  <c r="N39" i="12"/>
  <c r="O23" i="12"/>
  <c r="O19" i="12"/>
  <c r="N37" i="12"/>
  <c r="N36" i="12"/>
  <c r="O28" i="12"/>
  <c r="O58" i="12"/>
  <c r="O49" i="12"/>
  <c r="N66" i="12"/>
  <c r="N34" i="12"/>
  <c r="N7" i="12"/>
  <c r="N65" i="12"/>
  <c r="O14" i="12"/>
  <c r="O21" i="12"/>
  <c r="O77" i="12"/>
  <c r="O57" i="12"/>
  <c r="O53" i="12"/>
  <c r="N59" i="12"/>
  <c r="O35" i="12"/>
  <c r="N77" i="12"/>
  <c r="O69" i="12"/>
  <c r="N64" i="12"/>
  <c r="O7" i="12"/>
  <c r="N33" i="12"/>
  <c r="O64" i="12"/>
  <c r="N23" i="12"/>
  <c r="N45" i="12"/>
  <c r="O37" i="12"/>
  <c r="O76" i="12"/>
  <c r="O60" i="12"/>
  <c r="N44" i="12"/>
  <c r="O72" i="12"/>
  <c r="O50" i="12"/>
  <c r="O43" i="12"/>
  <c r="O66" i="12"/>
  <c r="O65" i="12"/>
  <c r="O54" i="12"/>
  <c r="O38" i="12"/>
  <c r="O22" i="12"/>
  <c r="N13" i="12"/>
  <c r="O47" i="12"/>
  <c r="N31" i="12"/>
  <c r="O26" i="12"/>
  <c r="N69" i="12"/>
  <c r="O29" i="12"/>
  <c r="N43" i="12"/>
  <c r="N58" i="12"/>
  <c r="N18" i="12"/>
  <c r="O63" i="12"/>
  <c r="N20" i="12"/>
  <c r="O42" i="12"/>
  <c r="O67" i="12"/>
  <c r="O62" i="12"/>
  <c r="N38" i="12"/>
  <c r="O24" i="12"/>
  <c r="N15" i="12"/>
  <c r="O9" i="12"/>
  <c r="O59" i="12"/>
  <c r="N46" i="12"/>
  <c r="O20" i="12"/>
  <c r="N55" i="12"/>
  <c r="N54" i="12"/>
  <c r="O15" i="12"/>
  <c r="O11" i="12"/>
  <c r="N74" i="12"/>
  <c r="N12" i="12"/>
  <c r="O13" i="12"/>
  <c r="O39" i="12"/>
  <c r="N52" i="12"/>
  <c r="O36" i="12"/>
  <c r="N16" i="12"/>
  <c r="O25" i="12"/>
  <c r="O73" i="12"/>
  <c r="N26" i="12"/>
  <c r="N8" i="12"/>
  <c r="O17" i="12"/>
  <c r="N75" i="12"/>
  <c r="O51" i="12"/>
  <c r="N30" i="12"/>
  <c r="O74" i="12"/>
  <c r="O55" i="12"/>
  <c r="N49" i="12"/>
  <c r="N48" i="12"/>
  <c r="N29" i="12"/>
  <c r="N51" i="12"/>
  <c r="O27" i="12"/>
  <c r="O10" i="12"/>
  <c r="O71" i="12"/>
  <c r="N21" i="12"/>
  <c r="O52" i="12"/>
  <c r="N72" i="12"/>
  <c r="N9" i="12"/>
  <c r="N47" i="12"/>
  <c r="N19" i="12"/>
  <c r="N41" i="12"/>
  <c r="O32" i="12"/>
  <c r="O46" i="12"/>
  <c r="O44" i="12"/>
  <c r="O41" i="12"/>
  <c r="N11" i="12"/>
  <c r="N71" i="12"/>
  <c r="N57" i="12"/>
  <c r="N27" i="12"/>
  <c r="O61" i="12"/>
  <c r="N50" i="12"/>
  <c r="N25" i="12"/>
  <c r="N42" i="12"/>
  <c r="N60" i="12"/>
  <c r="O12" i="12"/>
  <c r="O30" i="12"/>
  <c r="O33" i="12"/>
  <c r="O45" i="12"/>
  <c r="O68" i="12"/>
  <c r="N28" i="12"/>
  <c r="N73" i="12"/>
  <c r="N53" i="12"/>
  <c r="O16" i="12"/>
  <c r="N67" i="12"/>
  <c r="N35" i="12"/>
  <c r="N24" i="12"/>
  <c r="N56" i="12"/>
  <c r="O31" i="12"/>
  <c r="N17" i="12"/>
  <c r="N79" i="19"/>
  <c r="N83" i="19"/>
  <c r="N87" i="19"/>
  <c r="N91" i="19"/>
  <c r="N95" i="19"/>
  <c r="N99" i="19"/>
  <c r="N103" i="19"/>
  <c r="N107" i="19"/>
  <c r="N111" i="19"/>
  <c r="N115" i="19"/>
  <c r="N119" i="19"/>
  <c r="N123" i="19"/>
  <c r="N127" i="19"/>
  <c r="N131" i="19"/>
  <c r="N135" i="19"/>
  <c r="N139" i="19"/>
  <c r="N143" i="19"/>
  <c r="N147" i="19"/>
  <c r="N151" i="19"/>
  <c r="N155" i="19"/>
  <c r="N159" i="19"/>
  <c r="N163" i="19"/>
  <c r="N167" i="19"/>
  <c r="N171" i="19"/>
  <c r="N175" i="19"/>
  <c r="N179" i="19"/>
  <c r="N183" i="19"/>
  <c r="N187" i="19"/>
  <c r="N191" i="19"/>
  <c r="N195" i="19"/>
  <c r="N199" i="19"/>
  <c r="N203" i="19"/>
  <c r="N207" i="19"/>
  <c r="N211" i="19"/>
  <c r="N215" i="19"/>
  <c r="N219" i="19"/>
  <c r="N223" i="19"/>
  <c r="N227" i="19"/>
  <c r="N231" i="19"/>
  <c r="N235" i="19"/>
  <c r="N239" i="19"/>
  <c r="N243" i="19"/>
  <c r="N247" i="19"/>
  <c r="N251" i="19"/>
  <c r="N255" i="19"/>
  <c r="N259" i="19"/>
  <c r="N263" i="19"/>
  <c r="N267" i="19"/>
  <c r="N271" i="19"/>
  <c r="N275" i="19"/>
  <c r="N279" i="19"/>
  <c r="N283" i="19"/>
  <c r="N287" i="19"/>
  <c r="N291" i="19"/>
  <c r="N295" i="19"/>
  <c r="N299" i="19"/>
  <c r="N303" i="19"/>
  <c r="N307" i="19"/>
  <c r="N311" i="19"/>
  <c r="N315" i="19"/>
  <c r="N319" i="19"/>
  <c r="N323" i="19"/>
  <c r="N327" i="19"/>
  <c r="N331" i="19"/>
  <c r="N335" i="19"/>
  <c r="N339" i="19"/>
  <c r="N343" i="19"/>
  <c r="N347" i="19"/>
  <c r="N351" i="19"/>
  <c r="N355" i="19"/>
  <c r="N359" i="19"/>
  <c r="N363" i="19"/>
  <c r="N367" i="19"/>
  <c r="N371" i="19"/>
  <c r="N375" i="19"/>
  <c r="N379" i="19"/>
  <c r="N383" i="19"/>
  <c r="N387" i="19"/>
  <c r="N391" i="19"/>
  <c r="N395" i="19"/>
  <c r="N399" i="19"/>
  <c r="N403" i="19"/>
  <c r="O79" i="19"/>
  <c r="O83" i="19"/>
  <c r="O87" i="19"/>
  <c r="O91" i="19"/>
  <c r="O95" i="19"/>
  <c r="O99" i="19"/>
  <c r="O103" i="19"/>
  <c r="O107" i="19"/>
  <c r="O111" i="19"/>
  <c r="O115" i="19"/>
  <c r="O119" i="19"/>
  <c r="O123" i="19"/>
  <c r="O127" i="19"/>
  <c r="O131" i="19"/>
  <c r="O135" i="19"/>
  <c r="O139" i="19"/>
  <c r="O143" i="19"/>
  <c r="O147" i="19"/>
  <c r="O151" i="19"/>
  <c r="O155" i="19"/>
  <c r="O159" i="19"/>
  <c r="O163" i="19"/>
  <c r="O167" i="19"/>
  <c r="O171" i="19"/>
  <c r="O175" i="19"/>
  <c r="O179" i="19"/>
  <c r="O183" i="19"/>
  <c r="O187" i="19"/>
  <c r="O191" i="19"/>
  <c r="O195" i="19"/>
  <c r="O199" i="19"/>
  <c r="O203" i="19"/>
  <c r="O207" i="19"/>
  <c r="O211" i="19"/>
  <c r="O215" i="19"/>
  <c r="O219" i="19"/>
  <c r="O223" i="19"/>
  <c r="O227" i="19"/>
  <c r="O231" i="19"/>
  <c r="O235" i="19"/>
  <c r="O239" i="19"/>
  <c r="O243" i="19"/>
  <c r="O247" i="19"/>
  <c r="O251" i="19"/>
  <c r="O255" i="19"/>
  <c r="O259" i="19"/>
  <c r="O263" i="19"/>
  <c r="O267" i="19"/>
  <c r="O271" i="19"/>
  <c r="O275" i="19"/>
  <c r="O279" i="19"/>
  <c r="O283" i="19"/>
  <c r="O287" i="19"/>
  <c r="O291" i="19"/>
  <c r="O295" i="19"/>
  <c r="O299" i="19"/>
  <c r="O303" i="19"/>
  <c r="O307" i="19"/>
  <c r="O311" i="19"/>
  <c r="O315" i="19"/>
  <c r="O319" i="19"/>
  <c r="O323" i="19"/>
  <c r="O327" i="19"/>
  <c r="O331" i="19"/>
  <c r="O335" i="19"/>
  <c r="O339" i="19"/>
  <c r="O343" i="19"/>
  <c r="O347" i="19"/>
  <c r="O351" i="19"/>
  <c r="O355" i="19"/>
  <c r="O359" i="19"/>
  <c r="O363" i="19"/>
  <c r="O367" i="19"/>
  <c r="O371" i="19"/>
  <c r="O375" i="19"/>
  <c r="O379" i="19"/>
  <c r="O383" i="19"/>
  <c r="O387" i="19"/>
  <c r="O391" i="19"/>
  <c r="O395" i="19"/>
  <c r="O399" i="19"/>
  <c r="O403" i="19"/>
  <c r="N76" i="19"/>
  <c r="N80" i="19"/>
  <c r="N84" i="19"/>
  <c r="N88" i="19"/>
  <c r="N92" i="19"/>
  <c r="N96" i="19"/>
  <c r="N100" i="19"/>
  <c r="N104" i="19"/>
  <c r="N108" i="19"/>
  <c r="N112" i="19"/>
  <c r="N116" i="19"/>
  <c r="N120" i="19"/>
  <c r="N124" i="19"/>
  <c r="N128" i="19"/>
  <c r="N132" i="19"/>
  <c r="N136" i="19"/>
  <c r="N140" i="19"/>
  <c r="N144" i="19"/>
  <c r="N148" i="19"/>
  <c r="N152" i="19"/>
  <c r="N156" i="19"/>
  <c r="N160" i="19"/>
  <c r="N164" i="19"/>
  <c r="N168" i="19"/>
  <c r="N172" i="19"/>
  <c r="N176" i="19"/>
  <c r="N180" i="19"/>
  <c r="N184" i="19"/>
  <c r="N188" i="19"/>
  <c r="N192" i="19"/>
  <c r="N196" i="19"/>
  <c r="N200" i="19"/>
  <c r="N204" i="19"/>
  <c r="N208" i="19"/>
  <c r="N212" i="19"/>
  <c r="N216" i="19"/>
  <c r="N220" i="19"/>
  <c r="N224" i="19"/>
  <c r="N228" i="19"/>
  <c r="N232" i="19"/>
  <c r="N236" i="19"/>
  <c r="N240" i="19"/>
  <c r="N244" i="19"/>
  <c r="N248" i="19"/>
  <c r="N252" i="19"/>
  <c r="N256" i="19"/>
  <c r="N260" i="19"/>
  <c r="N264" i="19"/>
  <c r="N268" i="19"/>
  <c r="N272" i="19"/>
  <c r="N276" i="19"/>
  <c r="N280" i="19"/>
  <c r="N284" i="19"/>
  <c r="N288" i="19"/>
  <c r="N292" i="19"/>
  <c r="N296" i="19"/>
  <c r="N300" i="19"/>
  <c r="N304" i="19"/>
  <c r="N308" i="19"/>
  <c r="N312" i="19"/>
  <c r="N316" i="19"/>
  <c r="N320" i="19"/>
  <c r="N324" i="19"/>
  <c r="N328" i="19"/>
  <c r="N332" i="19"/>
  <c r="N336" i="19"/>
  <c r="N340" i="19"/>
  <c r="N344" i="19"/>
  <c r="N348" i="19"/>
  <c r="N352" i="19"/>
  <c r="N356" i="19"/>
  <c r="N360" i="19"/>
  <c r="N364" i="19"/>
  <c r="N368" i="19"/>
  <c r="N372" i="19"/>
  <c r="N376" i="19"/>
  <c r="N380" i="19"/>
  <c r="N384" i="19"/>
  <c r="N388" i="19"/>
  <c r="N392" i="19"/>
  <c r="N396" i="19"/>
  <c r="N400" i="19"/>
  <c r="N77" i="19"/>
  <c r="N81" i="19"/>
  <c r="N85" i="19"/>
  <c r="N89" i="19"/>
  <c r="N93" i="19"/>
  <c r="N97" i="19"/>
  <c r="N101" i="19"/>
  <c r="N105" i="19"/>
  <c r="N109" i="19"/>
  <c r="N113" i="19"/>
  <c r="N117" i="19"/>
  <c r="N121" i="19"/>
  <c r="N125" i="19"/>
  <c r="N129" i="19"/>
  <c r="N133" i="19"/>
  <c r="N137" i="19"/>
  <c r="N141" i="19"/>
  <c r="N145" i="19"/>
  <c r="N149" i="19"/>
  <c r="N153" i="19"/>
  <c r="N157" i="19"/>
  <c r="N161" i="19"/>
  <c r="N165" i="19"/>
  <c r="N169" i="19"/>
  <c r="N173" i="19"/>
  <c r="N177" i="19"/>
  <c r="N181" i="19"/>
  <c r="N185" i="19"/>
  <c r="N189" i="19"/>
  <c r="N193" i="19"/>
  <c r="N197" i="19"/>
  <c r="N201" i="19"/>
  <c r="N205" i="19"/>
  <c r="N209" i="19"/>
  <c r="N213" i="19"/>
  <c r="N217" i="19"/>
  <c r="N221" i="19"/>
  <c r="N225" i="19"/>
  <c r="N229" i="19"/>
  <c r="N233" i="19"/>
  <c r="N237" i="19"/>
  <c r="N241" i="19"/>
  <c r="N245" i="19"/>
  <c r="N249" i="19"/>
  <c r="N253" i="19"/>
  <c r="N257" i="19"/>
  <c r="N261" i="19"/>
  <c r="N265" i="19"/>
  <c r="N269" i="19"/>
  <c r="N273" i="19"/>
  <c r="N277" i="19"/>
  <c r="N281" i="19"/>
  <c r="N285" i="19"/>
  <c r="N289" i="19"/>
  <c r="N293" i="19"/>
  <c r="N297" i="19"/>
  <c r="N301" i="19"/>
  <c r="N305" i="19"/>
  <c r="N309" i="19"/>
  <c r="N313" i="19"/>
  <c r="N317" i="19"/>
  <c r="N321" i="19"/>
  <c r="N325" i="19"/>
  <c r="N329" i="19"/>
  <c r="N333" i="19"/>
  <c r="N337" i="19"/>
  <c r="N341" i="19"/>
  <c r="N345" i="19"/>
  <c r="N349" i="19"/>
  <c r="N353" i="19"/>
  <c r="N357" i="19"/>
  <c r="N361" i="19"/>
  <c r="N365" i="19"/>
  <c r="N369" i="19"/>
  <c r="N373" i="19"/>
  <c r="N377" i="19"/>
  <c r="N381" i="19"/>
  <c r="N385" i="19"/>
  <c r="N389" i="19"/>
  <c r="N393" i="19"/>
  <c r="N397" i="19"/>
  <c r="N401" i="19"/>
  <c r="N82" i="19"/>
  <c r="N90" i="19"/>
  <c r="N98" i="19"/>
  <c r="N106" i="19"/>
  <c r="N114" i="19"/>
  <c r="N122" i="19"/>
  <c r="N130" i="19"/>
  <c r="N138" i="19"/>
  <c r="N146" i="19"/>
  <c r="N154" i="19"/>
  <c r="N162" i="19"/>
  <c r="N170" i="19"/>
  <c r="N178" i="19"/>
  <c r="N186" i="19"/>
  <c r="N194" i="19"/>
  <c r="N202" i="19"/>
  <c r="N210" i="19"/>
  <c r="N218" i="19"/>
  <c r="N226" i="19"/>
  <c r="N234" i="19"/>
  <c r="N242" i="19"/>
  <c r="N250" i="19"/>
  <c r="N258" i="19"/>
  <c r="N266" i="19"/>
  <c r="N274" i="19"/>
  <c r="N282" i="19"/>
  <c r="N290" i="19"/>
  <c r="N298" i="19"/>
  <c r="N306" i="19"/>
  <c r="N314" i="19"/>
  <c r="N322" i="19"/>
  <c r="N330" i="19"/>
  <c r="N338" i="19"/>
  <c r="N346" i="19"/>
  <c r="N354" i="19"/>
  <c r="N362" i="19"/>
  <c r="N370" i="19"/>
  <c r="N378" i="19"/>
  <c r="N386" i="19"/>
  <c r="N394" i="19"/>
  <c r="N402" i="19"/>
  <c r="N407" i="19"/>
  <c r="N411" i="19"/>
  <c r="N415" i="19"/>
  <c r="N419" i="19"/>
  <c r="N423" i="19"/>
  <c r="N427" i="19"/>
  <c r="N11" i="19"/>
  <c r="N19" i="19"/>
  <c r="N27" i="19"/>
  <c r="N35" i="19"/>
  <c r="N43" i="19"/>
  <c r="N51" i="19"/>
  <c r="N59" i="19"/>
  <c r="N67" i="19"/>
  <c r="N75" i="19"/>
  <c r="O13" i="19"/>
  <c r="O21" i="19"/>
  <c r="O29" i="19"/>
  <c r="O37" i="19"/>
  <c r="O45" i="19"/>
  <c r="O53" i="19"/>
  <c r="O61" i="19"/>
  <c r="O69" i="19"/>
  <c r="O70" i="19"/>
  <c r="O85" i="19"/>
  <c r="O109" i="19"/>
  <c r="O141" i="19"/>
  <c r="O165" i="19"/>
  <c r="O189" i="19"/>
  <c r="O213" i="19"/>
  <c r="O82" i="19"/>
  <c r="O90" i="19"/>
  <c r="O98" i="19"/>
  <c r="O106" i="19"/>
  <c r="O114" i="19"/>
  <c r="O122" i="19"/>
  <c r="O130" i="19"/>
  <c r="O138" i="19"/>
  <c r="O146" i="19"/>
  <c r="O154" i="19"/>
  <c r="O162" i="19"/>
  <c r="O170" i="19"/>
  <c r="O178" i="19"/>
  <c r="O186" i="19"/>
  <c r="O194" i="19"/>
  <c r="O202" i="19"/>
  <c r="O210" i="19"/>
  <c r="O218" i="19"/>
  <c r="O226" i="19"/>
  <c r="O234" i="19"/>
  <c r="O242" i="19"/>
  <c r="O250" i="19"/>
  <c r="O258" i="19"/>
  <c r="O266" i="19"/>
  <c r="O274" i="19"/>
  <c r="O282" i="19"/>
  <c r="O290" i="19"/>
  <c r="O298" i="19"/>
  <c r="O306" i="19"/>
  <c r="O314" i="19"/>
  <c r="O322" i="19"/>
  <c r="O330" i="19"/>
  <c r="O338" i="19"/>
  <c r="O346" i="19"/>
  <c r="O354" i="19"/>
  <c r="O362" i="19"/>
  <c r="O370" i="19"/>
  <c r="O378" i="19"/>
  <c r="O386" i="19"/>
  <c r="O394" i="19"/>
  <c r="O402" i="19"/>
  <c r="O407" i="19"/>
  <c r="O411" i="19"/>
  <c r="O415" i="19"/>
  <c r="O419" i="19"/>
  <c r="O423" i="19"/>
  <c r="O427" i="19"/>
  <c r="N12" i="19"/>
  <c r="N20" i="19"/>
  <c r="N28" i="19"/>
  <c r="N36" i="19"/>
  <c r="N44" i="19"/>
  <c r="N52" i="19"/>
  <c r="N60" i="19"/>
  <c r="N68" i="19"/>
  <c r="O6" i="19"/>
  <c r="O14" i="19"/>
  <c r="O22" i="19"/>
  <c r="O30" i="19"/>
  <c r="O38" i="19"/>
  <c r="O46" i="19"/>
  <c r="O54" i="19"/>
  <c r="O62" i="19"/>
  <c r="O93" i="19"/>
  <c r="O125" i="19"/>
  <c r="O149" i="19"/>
  <c r="O181" i="19"/>
  <c r="O205" i="19"/>
  <c r="O76" i="19"/>
  <c r="O84" i="19"/>
  <c r="O92" i="19"/>
  <c r="O100" i="19"/>
  <c r="O108" i="19"/>
  <c r="O116" i="19"/>
  <c r="O124" i="19"/>
  <c r="O132" i="19"/>
  <c r="O140" i="19"/>
  <c r="O148" i="19"/>
  <c r="O156" i="19"/>
  <c r="O164" i="19"/>
  <c r="O172" i="19"/>
  <c r="O180" i="19"/>
  <c r="O188" i="19"/>
  <c r="O196" i="19"/>
  <c r="O204" i="19"/>
  <c r="O212" i="19"/>
  <c r="O220" i="19"/>
  <c r="O228" i="19"/>
  <c r="O236" i="19"/>
  <c r="O244" i="19"/>
  <c r="O252" i="19"/>
  <c r="O260" i="19"/>
  <c r="O268" i="19"/>
  <c r="O276" i="19"/>
  <c r="O284" i="19"/>
  <c r="O292" i="19"/>
  <c r="O300" i="19"/>
  <c r="O308" i="19"/>
  <c r="O316" i="19"/>
  <c r="O324" i="19"/>
  <c r="O332" i="19"/>
  <c r="O340" i="19"/>
  <c r="O348" i="19"/>
  <c r="O356" i="19"/>
  <c r="O364" i="19"/>
  <c r="O372" i="19"/>
  <c r="O380" i="19"/>
  <c r="O388" i="19"/>
  <c r="O396" i="19"/>
  <c r="N404" i="19"/>
  <c r="N408" i="19"/>
  <c r="N412" i="19"/>
  <c r="N416" i="19"/>
  <c r="N420" i="19"/>
  <c r="N424" i="19"/>
  <c r="N428" i="19"/>
  <c r="N13" i="19"/>
  <c r="N21" i="19"/>
  <c r="N29" i="19"/>
  <c r="N37" i="19"/>
  <c r="N45" i="19"/>
  <c r="N53" i="19"/>
  <c r="N61" i="19"/>
  <c r="N69" i="19"/>
  <c r="O7" i="19"/>
  <c r="O15" i="19"/>
  <c r="O23" i="19"/>
  <c r="O31" i="19"/>
  <c r="O39" i="19"/>
  <c r="O47" i="19"/>
  <c r="O55" i="19"/>
  <c r="O63" i="19"/>
  <c r="O71" i="19"/>
  <c r="O77" i="19"/>
  <c r="O101" i="19"/>
  <c r="O117" i="19"/>
  <c r="O133" i="19"/>
  <c r="O157" i="19"/>
  <c r="O173" i="19"/>
  <c r="O197" i="19"/>
  <c r="O221" i="19"/>
  <c r="N78" i="19"/>
  <c r="N86" i="19"/>
  <c r="N94" i="19"/>
  <c r="N102" i="19"/>
  <c r="N110" i="19"/>
  <c r="N118" i="19"/>
  <c r="N126" i="19"/>
  <c r="N134" i="19"/>
  <c r="N142" i="19"/>
  <c r="N150" i="19"/>
  <c r="N158" i="19"/>
  <c r="N166" i="19"/>
  <c r="N174" i="19"/>
  <c r="N182" i="19"/>
  <c r="N190" i="19"/>
  <c r="N198" i="19"/>
  <c r="N206" i="19"/>
  <c r="N214" i="19"/>
  <c r="N222" i="19"/>
  <c r="N230" i="19"/>
  <c r="N238" i="19"/>
  <c r="N246" i="19"/>
  <c r="N254" i="19"/>
  <c r="N262" i="19"/>
  <c r="N270" i="19"/>
  <c r="N278" i="19"/>
  <c r="N286" i="19"/>
  <c r="N294" i="19"/>
  <c r="N302" i="19"/>
  <c r="N310" i="19"/>
  <c r="N318" i="19"/>
  <c r="N326" i="19"/>
  <c r="N334" i="19"/>
  <c r="N342" i="19"/>
  <c r="N350" i="19"/>
  <c r="N358" i="19"/>
  <c r="N366" i="19"/>
  <c r="N374" i="19"/>
  <c r="N382" i="19"/>
  <c r="N390" i="19"/>
  <c r="N398" i="19"/>
  <c r="N405" i="19"/>
  <c r="N409" i="19"/>
  <c r="N413" i="19"/>
  <c r="N417" i="19"/>
  <c r="N421" i="19"/>
  <c r="N425" i="19"/>
  <c r="N429" i="19"/>
  <c r="N7" i="19"/>
  <c r="N15" i="19"/>
  <c r="N23" i="19"/>
  <c r="N31" i="19"/>
  <c r="N39" i="19"/>
  <c r="N47" i="19"/>
  <c r="N55" i="19"/>
  <c r="N63" i="19"/>
  <c r="N71" i="19"/>
  <c r="O9" i="19"/>
  <c r="O17" i="19"/>
  <c r="O25" i="19"/>
  <c r="O33" i="19"/>
  <c r="O41" i="19"/>
  <c r="O49" i="19"/>
  <c r="O57" i="19"/>
  <c r="O65" i="19"/>
  <c r="O73" i="19"/>
  <c r="O78" i="19"/>
  <c r="O86" i="19"/>
  <c r="O94" i="19"/>
  <c r="O102" i="19"/>
  <c r="O110" i="19"/>
  <c r="O118" i="19"/>
  <c r="O126" i="19"/>
  <c r="O134" i="19"/>
  <c r="O142" i="19"/>
  <c r="O150" i="19"/>
  <c r="O158" i="19"/>
  <c r="O166" i="19"/>
  <c r="O174" i="19"/>
  <c r="O182" i="19"/>
  <c r="O190" i="19"/>
  <c r="O198" i="19"/>
  <c r="O206" i="19"/>
  <c r="O214" i="19"/>
  <c r="O222" i="19"/>
  <c r="O104" i="19"/>
  <c r="O136" i="19"/>
  <c r="O168" i="19"/>
  <c r="O200" i="19"/>
  <c r="O229" i="19"/>
  <c r="O245" i="19"/>
  <c r="O261" i="19"/>
  <c r="O277" i="19"/>
  <c r="O293" i="19"/>
  <c r="O309" i="19"/>
  <c r="O325" i="19"/>
  <c r="O341" i="19"/>
  <c r="O357" i="19"/>
  <c r="O373" i="19"/>
  <c r="O389" i="19"/>
  <c r="O404" i="19"/>
  <c r="O412" i="19"/>
  <c r="O420" i="19"/>
  <c r="O428" i="19"/>
  <c r="N8" i="19"/>
  <c r="N24" i="19"/>
  <c r="N40" i="19"/>
  <c r="N56" i="19"/>
  <c r="N72" i="19"/>
  <c r="O18" i="19"/>
  <c r="O34" i="19"/>
  <c r="O50" i="19"/>
  <c r="O66" i="19"/>
  <c r="O19" i="19"/>
  <c r="O51" i="19"/>
  <c r="O177" i="19"/>
  <c r="O281" i="19"/>
  <c r="O329" i="19"/>
  <c r="O393" i="19"/>
  <c r="O422" i="19"/>
  <c r="N30" i="19"/>
  <c r="N62" i="19"/>
  <c r="O24" i="19"/>
  <c r="O72" i="19"/>
  <c r="N33" i="19"/>
  <c r="O43" i="19"/>
  <c r="O160" i="19"/>
  <c r="O240" i="19"/>
  <c r="O288" i="19"/>
  <c r="O352" i="19"/>
  <c r="N410" i="19"/>
  <c r="N66" i="19"/>
  <c r="O28" i="19"/>
  <c r="O193" i="19"/>
  <c r="O385" i="19"/>
  <c r="N38" i="19"/>
  <c r="O32" i="19"/>
  <c r="O105" i="19"/>
  <c r="O137" i="19"/>
  <c r="O169" i="19"/>
  <c r="O201" i="19"/>
  <c r="O230" i="19"/>
  <c r="O246" i="19"/>
  <c r="O262" i="19"/>
  <c r="O278" i="19"/>
  <c r="O294" i="19"/>
  <c r="O310" i="19"/>
  <c r="O326" i="19"/>
  <c r="O342" i="19"/>
  <c r="O358" i="19"/>
  <c r="O374" i="19"/>
  <c r="O390" i="19"/>
  <c r="O405" i="19"/>
  <c r="O413" i="19"/>
  <c r="O421" i="19"/>
  <c r="O429" i="19"/>
  <c r="N9" i="19"/>
  <c r="N25" i="19"/>
  <c r="N41" i="19"/>
  <c r="N57" i="19"/>
  <c r="N73" i="19"/>
  <c r="O35" i="19"/>
  <c r="O67" i="19"/>
  <c r="O209" i="19"/>
  <c r="O297" i="19"/>
  <c r="O345" i="19"/>
  <c r="O406" i="19"/>
  <c r="O430" i="19"/>
  <c r="N46" i="19"/>
  <c r="O56" i="19"/>
  <c r="O425" i="19"/>
  <c r="N65" i="19"/>
  <c r="O59" i="19"/>
  <c r="O96" i="19"/>
  <c r="O256" i="19"/>
  <c r="O320" i="19"/>
  <c r="O368" i="19"/>
  <c r="N426" i="19"/>
  <c r="N34" i="19"/>
  <c r="O161" i="19"/>
  <c r="O257" i="19"/>
  <c r="O305" i="19"/>
  <c r="O353" i="19"/>
  <c r="O410" i="19"/>
  <c r="N54" i="19"/>
  <c r="O80" i="19"/>
  <c r="O112" i="19"/>
  <c r="O144" i="19"/>
  <c r="O176" i="19"/>
  <c r="O208" i="19"/>
  <c r="O232" i="19"/>
  <c r="O248" i="19"/>
  <c r="O264" i="19"/>
  <c r="O280" i="19"/>
  <c r="O296" i="19"/>
  <c r="O312" i="19"/>
  <c r="O328" i="19"/>
  <c r="O344" i="19"/>
  <c r="O360" i="19"/>
  <c r="O376" i="19"/>
  <c r="O392" i="19"/>
  <c r="N406" i="19"/>
  <c r="N414" i="19"/>
  <c r="N422" i="19"/>
  <c r="N430" i="19"/>
  <c r="N10" i="19"/>
  <c r="N26" i="19"/>
  <c r="N42" i="19"/>
  <c r="N58" i="19"/>
  <c r="N74" i="19"/>
  <c r="O20" i="19"/>
  <c r="O36" i="19"/>
  <c r="O52" i="19"/>
  <c r="O68" i="19"/>
  <c r="O81" i="19"/>
  <c r="O113" i="19"/>
  <c r="O145" i="19"/>
  <c r="O233" i="19"/>
  <c r="O249" i="19"/>
  <c r="O265" i="19"/>
  <c r="O313" i="19"/>
  <c r="O361" i="19"/>
  <c r="O377" i="19"/>
  <c r="O414" i="19"/>
  <c r="N14" i="19"/>
  <c r="O8" i="19"/>
  <c r="O40" i="19"/>
  <c r="O417" i="19"/>
  <c r="N49" i="19"/>
  <c r="O27" i="19"/>
  <c r="O192" i="19"/>
  <c r="O304" i="19"/>
  <c r="O400" i="19"/>
  <c r="N18" i="19"/>
  <c r="O12" i="19"/>
  <c r="O60" i="19"/>
  <c r="O129" i="19"/>
  <c r="O225" i="19"/>
  <c r="O273" i="19"/>
  <c r="O321" i="19"/>
  <c r="O369" i="19"/>
  <c r="O418" i="19"/>
  <c r="N6" i="19"/>
  <c r="O16" i="19"/>
  <c r="O64" i="19"/>
  <c r="O88" i="19"/>
  <c r="O120" i="19"/>
  <c r="O152" i="19"/>
  <c r="O184" i="19"/>
  <c r="O216" i="19"/>
  <c r="O237" i="19"/>
  <c r="O253" i="19"/>
  <c r="O269" i="19"/>
  <c r="O285" i="19"/>
  <c r="O301" i="19"/>
  <c r="O317" i="19"/>
  <c r="O333" i="19"/>
  <c r="O349" i="19"/>
  <c r="O365" i="19"/>
  <c r="O381" i="19"/>
  <c r="O397" i="19"/>
  <c r="O408" i="19"/>
  <c r="O416" i="19"/>
  <c r="O424" i="19"/>
  <c r="N16" i="19"/>
  <c r="N32" i="19"/>
  <c r="N48" i="19"/>
  <c r="N64" i="19"/>
  <c r="O10" i="19"/>
  <c r="O26" i="19"/>
  <c r="O42" i="19"/>
  <c r="O58" i="19"/>
  <c r="O74" i="19"/>
  <c r="O89" i="19"/>
  <c r="O121" i="19"/>
  <c r="O153" i="19"/>
  <c r="O185" i="19"/>
  <c r="O217" i="19"/>
  <c r="O238" i="19"/>
  <c r="O254" i="19"/>
  <c r="O270" i="19"/>
  <c r="O286" i="19"/>
  <c r="O302" i="19"/>
  <c r="O318" i="19"/>
  <c r="O334" i="19"/>
  <c r="O350" i="19"/>
  <c r="O366" i="19"/>
  <c r="O382" i="19"/>
  <c r="O398" i="19"/>
  <c r="O409" i="19"/>
  <c r="N17" i="19"/>
  <c r="O11" i="19"/>
  <c r="O75" i="19"/>
  <c r="O128" i="19"/>
  <c r="O224" i="19"/>
  <c r="O272" i="19"/>
  <c r="O336" i="19"/>
  <c r="O384" i="19"/>
  <c r="N418" i="19"/>
  <c r="N50" i="19"/>
  <c r="O44" i="19"/>
  <c r="O97" i="19"/>
  <c r="O241" i="19"/>
  <c r="O289" i="19"/>
  <c r="O337" i="19"/>
  <c r="O401" i="19"/>
  <c r="O426" i="19"/>
  <c r="N22" i="19"/>
  <c r="N70" i="19"/>
  <c r="O48" i="19"/>
  <c r="A5" i="7"/>
  <c r="K5" i="7" s="1"/>
  <c r="N5" i="19"/>
  <c r="N5" i="12"/>
  <c r="O5" i="12"/>
  <c r="O5" i="19"/>
  <c r="B96" i="7"/>
  <c r="L96" i="7" s="1"/>
  <c r="K96" i="7"/>
  <c r="B72" i="7"/>
  <c r="L72" i="7" s="1"/>
  <c r="K72" i="7"/>
  <c r="B56" i="7"/>
  <c r="L56" i="7" s="1"/>
  <c r="K56" i="7"/>
  <c r="B32" i="7"/>
  <c r="L32" i="7" s="1"/>
  <c r="K32" i="7"/>
  <c r="B24" i="7"/>
  <c r="L24" i="7" s="1"/>
  <c r="K24" i="7"/>
  <c r="B8" i="7"/>
  <c r="L8" i="7" s="1"/>
  <c r="K8" i="7"/>
  <c r="B98" i="7"/>
  <c r="L98" i="7" s="1"/>
  <c r="K98" i="7"/>
  <c r="B90" i="7"/>
  <c r="L90" i="7" s="1"/>
  <c r="K90" i="7"/>
  <c r="B82" i="7"/>
  <c r="L82" i="7" s="1"/>
  <c r="K82" i="7"/>
  <c r="B74" i="7"/>
  <c r="L74" i="7" s="1"/>
  <c r="K74" i="7"/>
  <c r="B66" i="7"/>
  <c r="L66" i="7" s="1"/>
  <c r="K66" i="7"/>
  <c r="B58" i="7"/>
  <c r="L58" i="7" s="1"/>
  <c r="K58" i="7"/>
  <c r="B50" i="7"/>
  <c r="L50" i="7" s="1"/>
  <c r="K50" i="7"/>
  <c r="B42" i="7"/>
  <c r="L42" i="7" s="1"/>
  <c r="K42" i="7"/>
  <c r="B34" i="7"/>
  <c r="L34" i="7" s="1"/>
  <c r="K34" i="7"/>
  <c r="B26" i="7"/>
  <c r="L26" i="7" s="1"/>
  <c r="K26" i="7"/>
  <c r="B18" i="7"/>
  <c r="L18" i="7" s="1"/>
  <c r="K18" i="7"/>
  <c r="B10" i="7"/>
  <c r="L10" i="7" s="1"/>
  <c r="K10" i="7"/>
  <c r="B97" i="7"/>
  <c r="L97" i="7" s="1"/>
  <c r="K97" i="7"/>
  <c r="B89" i="7"/>
  <c r="L89" i="7" s="1"/>
  <c r="K89" i="7"/>
  <c r="B81" i="7"/>
  <c r="L81" i="7" s="1"/>
  <c r="K81" i="7"/>
  <c r="B73" i="7"/>
  <c r="L73" i="7" s="1"/>
  <c r="K73" i="7"/>
  <c r="B65" i="7"/>
  <c r="L65" i="7" s="1"/>
  <c r="K65" i="7"/>
  <c r="B57" i="7"/>
  <c r="L57" i="7" s="1"/>
  <c r="K57" i="7"/>
  <c r="B49" i="7"/>
  <c r="L49" i="7" s="1"/>
  <c r="K49" i="7"/>
  <c r="B41" i="7"/>
  <c r="L41" i="7" s="1"/>
  <c r="K41" i="7"/>
  <c r="B33" i="7"/>
  <c r="L33" i="7" s="1"/>
  <c r="K33" i="7"/>
  <c r="B25" i="7"/>
  <c r="L25" i="7" s="1"/>
  <c r="K25" i="7"/>
  <c r="B17" i="7"/>
  <c r="L17" i="7" s="1"/>
  <c r="K17" i="7"/>
  <c r="B9" i="7"/>
  <c r="L9" i="7" s="1"/>
  <c r="K9" i="7"/>
  <c r="B102" i="7"/>
  <c r="L102" i="7" s="1"/>
  <c r="K102" i="7"/>
  <c r="B94" i="7"/>
  <c r="L94" i="7" s="1"/>
  <c r="K94" i="7"/>
  <c r="B86" i="7"/>
  <c r="L86" i="7" s="1"/>
  <c r="K86" i="7"/>
  <c r="B78" i="7"/>
  <c r="L78" i="7" s="1"/>
  <c r="K78" i="7"/>
  <c r="B70" i="7"/>
  <c r="L70" i="7" s="1"/>
  <c r="K70" i="7"/>
  <c r="B62" i="7"/>
  <c r="L62" i="7" s="1"/>
  <c r="K62" i="7"/>
  <c r="B54" i="7"/>
  <c r="L54" i="7" s="1"/>
  <c r="K54" i="7"/>
  <c r="B46" i="7"/>
  <c r="L46" i="7" s="1"/>
  <c r="K46" i="7"/>
  <c r="B38" i="7"/>
  <c r="L38" i="7" s="1"/>
  <c r="K38" i="7"/>
  <c r="B30" i="7"/>
  <c r="L30" i="7" s="1"/>
  <c r="K30" i="7"/>
  <c r="B22" i="7"/>
  <c r="L22" i="7" s="1"/>
  <c r="K22" i="7"/>
  <c r="B14" i="7"/>
  <c r="L14" i="7" s="1"/>
  <c r="K14" i="7"/>
  <c r="B6" i="7"/>
  <c r="L6" i="7" s="1"/>
  <c r="K6" i="7"/>
  <c r="B104" i="7"/>
  <c r="L104" i="7" s="1"/>
  <c r="K104" i="7"/>
  <c r="B88" i="7"/>
  <c r="L88" i="7" s="1"/>
  <c r="K88" i="7"/>
  <c r="B64" i="7"/>
  <c r="L64" i="7" s="1"/>
  <c r="K64" i="7"/>
  <c r="B40" i="7"/>
  <c r="L40" i="7" s="1"/>
  <c r="K40" i="7"/>
  <c r="B16" i="7"/>
  <c r="L16" i="7" s="1"/>
  <c r="K16" i="7"/>
  <c r="B103" i="7"/>
  <c r="L103" i="7" s="1"/>
  <c r="K103" i="7"/>
  <c r="B87" i="7"/>
  <c r="L87" i="7" s="1"/>
  <c r="K87" i="7"/>
  <c r="B63" i="7"/>
  <c r="L63" i="7" s="1"/>
  <c r="K63" i="7"/>
  <c r="B47" i="7"/>
  <c r="L47" i="7" s="1"/>
  <c r="K47" i="7"/>
  <c r="B31" i="7"/>
  <c r="L31" i="7" s="1"/>
  <c r="K31" i="7"/>
  <c r="B15" i="7"/>
  <c r="L15" i="7" s="1"/>
  <c r="K15" i="7"/>
  <c r="B101" i="7"/>
  <c r="L101" i="7" s="1"/>
  <c r="K101" i="7"/>
  <c r="B93" i="7"/>
  <c r="L93" i="7" s="1"/>
  <c r="K93" i="7"/>
  <c r="B85" i="7"/>
  <c r="L85" i="7" s="1"/>
  <c r="K85" i="7"/>
  <c r="B77" i="7"/>
  <c r="L77" i="7" s="1"/>
  <c r="K77" i="7"/>
  <c r="B69" i="7"/>
  <c r="L69" i="7" s="1"/>
  <c r="K69" i="7"/>
  <c r="B61" i="7"/>
  <c r="L61" i="7" s="1"/>
  <c r="K61" i="7"/>
  <c r="B53" i="7"/>
  <c r="L53" i="7" s="1"/>
  <c r="K53" i="7"/>
  <c r="B45" i="7"/>
  <c r="L45" i="7" s="1"/>
  <c r="K45" i="7"/>
  <c r="B37" i="7"/>
  <c r="L37" i="7" s="1"/>
  <c r="K37" i="7"/>
  <c r="B29" i="7"/>
  <c r="L29" i="7" s="1"/>
  <c r="K29" i="7"/>
  <c r="B21" i="7"/>
  <c r="L21" i="7" s="1"/>
  <c r="K21" i="7"/>
  <c r="B13" i="7"/>
  <c r="L13" i="7" s="1"/>
  <c r="K13" i="7"/>
  <c r="B80" i="7"/>
  <c r="L80" i="7" s="1"/>
  <c r="K80" i="7"/>
  <c r="B48" i="7"/>
  <c r="L48" i="7" s="1"/>
  <c r="K48" i="7"/>
  <c r="B95" i="7"/>
  <c r="L95" i="7" s="1"/>
  <c r="K95" i="7"/>
  <c r="B71" i="7"/>
  <c r="L71" i="7" s="1"/>
  <c r="K71" i="7"/>
  <c r="B55" i="7"/>
  <c r="L55" i="7" s="1"/>
  <c r="K55" i="7"/>
  <c r="B39" i="7"/>
  <c r="L39" i="7" s="1"/>
  <c r="K39" i="7"/>
  <c r="B23" i="7"/>
  <c r="L23" i="7" s="1"/>
  <c r="K23" i="7"/>
  <c r="B7" i="7"/>
  <c r="L7" i="7" s="1"/>
  <c r="K7" i="7"/>
  <c r="B100" i="7"/>
  <c r="L100" i="7" s="1"/>
  <c r="K100" i="7"/>
  <c r="B92" i="7"/>
  <c r="L92" i="7" s="1"/>
  <c r="K92" i="7"/>
  <c r="B84" i="7"/>
  <c r="L84" i="7" s="1"/>
  <c r="K84" i="7"/>
  <c r="B76" i="7"/>
  <c r="L76" i="7" s="1"/>
  <c r="K76" i="7"/>
  <c r="B68" i="7"/>
  <c r="L68" i="7" s="1"/>
  <c r="K68" i="7"/>
  <c r="B60" i="7"/>
  <c r="L60" i="7" s="1"/>
  <c r="K60" i="7"/>
  <c r="B52" i="7"/>
  <c r="L52" i="7" s="1"/>
  <c r="K52" i="7"/>
  <c r="B44" i="7"/>
  <c r="L44" i="7" s="1"/>
  <c r="K44" i="7"/>
  <c r="B36" i="7"/>
  <c r="L36" i="7" s="1"/>
  <c r="K36" i="7"/>
  <c r="B28" i="7"/>
  <c r="L28" i="7" s="1"/>
  <c r="K28" i="7"/>
  <c r="B20" i="7"/>
  <c r="L20" i="7" s="1"/>
  <c r="K20" i="7"/>
  <c r="B12" i="7"/>
  <c r="L12" i="7" s="1"/>
  <c r="K12" i="7"/>
  <c r="B79" i="7"/>
  <c r="L79" i="7" s="1"/>
  <c r="K79" i="7"/>
  <c r="B99" i="7"/>
  <c r="L99" i="7" s="1"/>
  <c r="K99" i="7"/>
  <c r="B91" i="7"/>
  <c r="L91" i="7" s="1"/>
  <c r="K91" i="7"/>
  <c r="B83" i="7"/>
  <c r="L83" i="7" s="1"/>
  <c r="K83" i="7"/>
  <c r="B75" i="7"/>
  <c r="L75" i="7" s="1"/>
  <c r="K75" i="7"/>
  <c r="B67" i="7"/>
  <c r="L67" i="7" s="1"/>
  <c r="K67" i="7"/>
  <c r="B59" i="7"/>
  <c r="L59" i="7" s="1"/>
  <c r="K59" i="7"/>
  <c r="B51" i="7"/>
  <c r="L51" i="7" s="1"/>
  <c r="K51" i="7"/>
  <c r="B43" i="7"/>
  <c r="L43" i="7" s="1"/>
  <c r="K43" i="7"/>
  <c r="B35" i="7"/>
  <c r="L35" i="7" s="1"/>
  <c r="K35" i="7"/>
  <c r="B27" i="7"/>
  <c r="L27" i="7" s="1"/>
  <c r="K27" i="7"/>
  <c r="B19" i="7"/>
  <c r="L19" i="7" s="1"/>
  <c r="K19" i="7"/>
  <c r="B11" i="7"/>
  <c r="L11" i="7" s="1"/>
  <c r="K11" i="7"/>
  <c r="B5" i="7"/>
  <c r="L5" i="7" s="1"/>
  <c r="T9" i="6" l="1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AN3" i="17" l="1"/>
  <c r="I62" i="20" l="1"/>
  <c r="I64" i="20"/>
  <c r="I63" i="20"/>
  <c r="I84" i="20"/>
  <c r="I88" i="20"/>
  <c r="I9" i="20"/>
  <c r="I73" i="20"/>
  <c r="I31" i="20"/>
  <c r="I56" i="20"/>
  <c r="I14" i="20"/>
  <c r="I87" i="20"/>
  <c r="I57" i="20"/>
  <c r="I65" i="20"/>
  <c r="I61" i="20"/>
  <c r="I71" i="20"/>
  <c r="I33" i="20"/>
  <c r="I69" i="20"/>
  <c r="I28" i="20"/>
  <c r="I92" i="20"/>
  <c r="I29" i="20"/>
  <c r="I24" i="20"/>
  <c r="I30" i="20"/>
  <c r="I68" i="20"/>
  <c r="I67" i="20"/>
  <c r="I13" i="20"/>
  <c r="I27" i="20"/>
  <c r="I91" i="20"/>
  <c r="I55" i="20"/>
  <c r="I86" i="20"/>
  <c r="I60" i="20"/>
  <c r="I100" i="20"/>
  <c r="I54" i="20"/>
  <c r="I11" i="20"/>
  <c r="I66" i="20"/>
  <c r="I58" i="20"/>
  <c r="I85" i="20"/>
  <c r="I32" i="20"/>
  <c r="I93" i="20"/>
  <c r="I59" i="20"/>
  <c r="I25" i="20"/>
  <c r="I26" i="20"/>
  <c r="I89" i="20"/>
  <c r="J9" i="20" l="1"/>
  <c r="J5" i="20"/>
  <c r="J93" i="20"/>
  <c r="J30" i="20"/>
  <c r="I23" i="20"/>
  <c r="I102" i="20"/>
  <c r="I19" i="20"/>
  <c r="J24" i="20"/>
  <c r="I20" i="20"/>
  <c r="I46" i="20"/>
  <c r="I78" i="20"/>
  <c r="I97" i="20"/>
  <c r="J29" i="20"/>
  <c r="I40" i="20"/>
  <c r="I95" i="20"/>
  <c r="I53" i="20"/>
  <c r="J91" i="20"/>
  <c r="J63" i="20"/>
  <c r="I81" i="20"/>
  <c r="I34" i="20"/>
  <c r="I79" i="20"/>
  <c r="I83" i="20"/>
  <c r="J66" i="20"/>
  <c r="J28" i="20"/>
  <c r="J64" i="20"/>
  <c r="I104" i="20"/>
  <c r="I8" i="20"/>
  <c r="I17" i="20"/>
  <c r="J26" i="20"/>
  <c r="J11" i="20"/>
  <c r="J13" i="20"/>
  <c r="J69" i="20"/>
  <c r="J56" i="20"/>
  <c r="J62" i="20"/>
  <c r="I75" i="20"/>
  <c r="I50" i="20"/>
  <c r="I22" i="20"/>
  <c r="I35" i="20"/>
  <c r="I18" i="20"/>
  <c r="I43" i="20"/>
  <c r="I51" i="20"/>
  <c r="J60" i="20"/>
  <c r="J61" i="20"/>
  <c r="I39" i="20"/>
  <c r="I6" i="20"/>
  <c r="J86" i="20"/>
  <c r="J88" i="20"/>
  <c r="I15" i="20"/>
  <c r="J85" i="20"/>
  <c r="J57" i="20"/>
  <c r="I96" i="20"/>
  <c r="I82" i="20"/>
  <c r="J58" i="20"/>
  <c r="J87" i="20"/>
  <c r="I16" i="20"/>
  <c r="I76" i="20"/>
  <c r="J89" i="20"/>
  <c r="J27" i="20"/>
  <c r="J14" i="20"/>
  <c r="I94" i="20"/>
  <c r="I45" i="20"/>
  <c r="I77" i="20"/>
  <c r="I90" i="20"/>
  <c r="J25" i="20"/>
  <c r="J54" i="20"/>
  <c r="J67" i="20"/>
  <c r="J33" i="20"/>
  <c r="J31" i="20"/>
  <c r="I72" i="20"/>
  <c r="I44" i="20"/>
  <c r="I12" i="20"/>
  <c r="I99" i="20"/>
  <c r="I21" i="20"/>
  <c r="I10" i="20"/>
  <c r="I48" i="20"/>
  <c r="I47" i="20"/>
  <c r="I36" i="20"/>
  <c r="J32" i="20"/>
  <c r="J65" i="20"/>
  <c r="I101" i="20"/>
  <c r="I37" i="20"/>
  <c r="J55" i="20"/>
  <c r="J84" i="20"/>
  <c r="I42" i="20"/>
  <c r="I103" i="20"/>
  <c r="J92" i="20"/>
  <c r="I41" i="20"/>
  <c r="J59" i="20"/>
  <c r="J100" i="20"/>
  <c r="J68" i="20"/>
  <c r="J71" i="20"/>
  <c r="J73" i="20"/>
  <c r="I70" i="20"/>
  <c r="I74" i="20"/>
  <c r="I80" i="20"/>
  <c r="I49" i="20"/>
  <c r="I52" i="20"/>
  <c r="I7" i="20"/>
  <c r="I38" i="20"/>
  <c r="I98" i="20"/>
  <c r="J7" i="20" l="1"/>
  <c r="J6" i="20"/>
  <c r="J8" i="20"/>
  <c r="J103" i="20"/>
  <c r="J77" i="20"/>
  <c r="J35" i="20"/>
  <c r="J102" i="20"/>
  <c r="J42" i="20"/>
  <c r="J22" i="20"/>
  <c r="J23" i="20"/>
  <c r="J10" i="20"/>
  <c r="J38" i="20"/>
  <c r="J80" i="20"/>
  <c r="J41" i="20"/>
  <c r="J94" i="20"/>
  <c r="J82" i="20"/>
  <c r="J15" i="20"/>
  <c r="J43" i="20"/>
  <c r="J53" i="20"/>
  <c r="J21" i="20"/>
  <c r="J72" i="20"/>
  <c r="J37" i="20"/>
  <c r="J104" i="20"/>
  <c r="J40" i="20"/>
  <c r="J12" i="20"/>
  <c r="J49" i="20"/>
  <c r="J101" i="20"/>
  <c r="J45" i="20"/>
  <c r="J51" i="20"/>
  <c r="J76" i="20"/>
  <c r="J39" i="20"/>
  <c r="J50" i="20"/>
  <c r="J17" i="20"/>
  <c r="J34" i="20"/>
  <c r="J97" i="20"/>
  <c r="J74" i="20"/>
  <c r="J90" i="20"/>
  <c r="J16" i="20"/>
  <c r="J96" i="20"/>
  <c r="J18" i="20"/>
  <c r="J75" i="20"/>
  <c r="J81" i="20"/>
  <c r="J95" i="20"/>
  <c r="J78" i="20"/>
  <c r="J19" i="20"/>
  <c r="J52" i="20"/>
  <c r="J70" i="20"/>
  <c r="J36" i="20"/>
  <c r="J83" i="20"/>
  <c r="J46" i="20"/>
  <c r="J48" i="20"/>
  <c r="J98" i="20"/>
  <c r="J47" i="20"/>
  <c r="J79" i="20"/>
  <c r="J20" i="20"/>
  <c r="J44" i="20"/>
  <c r="J99" i="20"/>
  <c r="AW3" i="17" l="1"/>
  <c r="AT3" i="17"/>
  <c r="AZ3" i="17"/>
  <c r="AX3" i="17" l="1"/>
  <c r="AQ3" i="17" l="1"/>
  <c r="AY3" i="17"/>
  <c r="AS3" i="17"/>
  <c r="AR3" i="17" l="1"/>
  <c r="AV3" i="17"/>
  <c r="AU3" i="17"/>
  <c r="O5" i="14" l="1"/>
  <c r="N5" i="14" l="1"/>
  <c r="B83" i="6"/>
  <c r="C5" i="9" s="1"/>
  <c r="B84" i="6"/>
  <c r="C6" i="9" s="1"/>
  <c r="M83" i="6"/>
  <c r="C5" i="13" s="1"/>
  <c r="C6" i="8"/>
  <c r="J83" i="6"/>
  <c r="C5" i="11" s="1"/>
  <c r="J87" i="6"/>
  <c r="C9" i="11" s="1"/>
  <c r="J85" i="6"/>
  <c r="C7" i="11" s="1"/>
  <c r="J84" i="6"/>
  <c r="C6" i="11" s="1"/>
  <c r="J88" i="6"/>
  <c r="C10" i="11" s="1"/>
  <c r="J86" i="6"/>
  <c r="C8" i="11" s="1"/>
  <c r="N10" i="14" l="1"/>
  <c r="O8" i="14"/>
  <c r="N9" i="14"/>
  <c r="N6" i="14"/>
  <c r="N7" i="14"/>
  <c r="O51" i="8"/>
  <c r="N51" i="8"/>
  <c r="O58" i="8"/>
  <c r="N58" i="8"/>
  <c r="N38" i="8"/>
  <c r="O38" i="8"/>
  <c r="N52" i="8"/>
  <c r="O52" i="8"/>
  <c r="N11" i="8"/>
  <c r="O11" i="8"/>
  <c r="O32" i="8"/>
  <c r="N32" i="8"/>
  <c r="O16" i="8"/>
  <c r="N16" i="8"/>
  <c r="N36" i="8"/>
  <c r="O36" i="8"/>
  <c r="O14" i="8"/>
  <c r="N14" i="8"/>
  <c r="O44" i="8"/>
  <c r="N44" i="8"/>
  <c r="O40" i="8"/>
  <c r="N40" i="8"/>
  <c r="O41" i="8"/>
  <c r="N41" i="8"/>
  <c r="N24" i="8"/>
  <c r="O24" i="8"/>
  <c r="O60" i="8"/>
  <c r="N60" i="8"/>
  <c r="N7" i="11"/>
  <c r="O7" i="11"/>
  <c r="N9" i="11"/>
  <c r="O9" i="11"/>
  <c r="N8" i="8"/>
  <c r="O8" i="8"/>
  <c r="N5" i="9"/>
  <c r="O5" i="9"/>
  <c r="N22" i="8"/>
  <c r="O22" i="8"/>
  <c r="N39" i="8"/>
  <c r="O39" i="8"/>
  <c r="N6" i="11"/>
  <c r="O6" i="11"/>
  <c r="O46" i="8"/>
  <c r="N46" i="8"/>
  <c r="O6" i="8"/>
  <c r="N6" i="8"/>
  <c r="N53" i="8"/>
  <c r="O53" i="8"/>
  <c r="O26" i="8"/>
  <c r="N26" i="8"/>
  <c r="N27" i="8"/>
  <c r="O27" i="8"/>
  <c r="N8" i="11"/>
  <c r="O8" i="11"/>
  <c r="N33" i="8"/>
  <c r="O33" i="8"/>
  <c r="N49" i="8"/>
  <c r="O49" i="8"/>
  <c r="N35" i="8"/>
  <c r="O35" i="8"/>
  <c r="N21" i="8"/>
  <c r="O21" i="8"/>
  <c r="O19" i="8"/>
  <c r="N19" i="8"/>
  <c r="N47" i="8"/>
  <c r="O47" i="8"/>
  <c r="O5" i="11"/>
  <c r="N5" i="11"/>
  <c r="N45" i="8"/>
  <c r="O45" i="8"/>
  <c r="N54" i="8"/>
  <c r="O54" i="8"/>
  <c r="C5" i="8"/>
  <c r="O29" i="8"/>
  <c r="N29" i="8"/>
  <c r="O30" i="8"/>
  <c r="N30" i="8"/>
  <c r="O59" i="8"/>
  <c r="N59" i="8"/>
  <c r="O13" i="8"/>
  <c r="N13" i="8"/>
  <c r="O37" i="8"/>
  <c r="N37" i="8"/>
  <c r="O34" i="8"/>
  <c r="N34" i="8"/>
  <c r="O48" i="8"/>
  <c r="N48" i="8"/>
  <c r="O57" i="8"/>
  <c r="N57" i="8"/>
  <c r="O12" i="8"/>
  <c r="N12" i="8"/>
  <c r="N50" i="8"/>
  <c r="O50" i="8"/>
  <c r="C6" i="12"/>
  <c r="O5" i="13"/>
  <c r="N5" i="13"/>
  <c r="O56" i="8"/>
  <c r="N56" i="8"/>
  <c r="O10" i="8"/>
  <c r="N10" i="8"/>
  <c r="O18" i="8"/>
  <c r="N18" i="8"/>
  <c r="N61" i="8"/>
  <c r="O61" i="8"/>
  <c r="N42" i="8"/>
  <c r="O42" i="8"/>
  <c r="O9" i="8"/>
  <c r="N9" i="8"/>
  <c r="N25" i="8"/>
  <c r="O25" i="8"/>
  <c r="N15" i="8"/>
  <c r="O15" i="8"/>
  <c r="O6" i="9"/>
  <c r="N6" i="9"/>
  <c r="O23" i="8"/>
  <c r="N23" i="8"/>
  <c r="N20" i="8"/>
  <c r="O20" i="8"/>
  <c r="N28" i="8"/>
  <c r="O28" i="8"/>
  <c r="N43" i="8"/>
  <c r="O43" i="8"/>
  <c r="O17" i="8"/>
  <c r="N17" i="8"/>
  <c r="N31" i="8"/>
  <c r="O31" i="8"/>
  <c r="O55" i="8"/>
  <c r="N55" i="8"/>
  <c r="N10" i="11"/>
  <c r="O10" i="11"/>
  <c r="N7" i="8"/>
  <c r="O7" i="8"/>
  <c r="N8" i="14" l="1"/>
  <c r="O6" i="12"/>
  <c r="N6" i="12"/>
  <c r="O7" i="14"/>
  <c r="O9" i="14"/>
  <c r="O10" i="14"/>
  <c r="O6" i="14"/>
  <c r="N5" i="8"/>
  <c r="O5" i="8"/>
  <c r="M84" i="6" l="1"/>
  <c r="C6" i="13" s="1"/>
  <c r="B87" i="6" l="1"/>
  <c r="C9" i="9" s="1"/>
  <c r="B86" i="6"/>
  <c r="C8" i="9" s="1"/>
  <c r="B85" i="6"/>
  <c r="C7" i="9" s="1"/>
  <c r="B88" i="6"/>
  <c r="C10" i="9" s="1"/>
  <c r="O6" i="13"/>
  <c r="N6" i="13"/>
  <c r="M88" i="6"/>
  <c r="C10" i="13" s="1"/>
  <c r="M86" i="6"/>
  <c r="C8" i="13" s="1"/>
  <c r="M85" i="6"/>
  <c r="C7" i="13" s="1"/>
  <c r="M87" i="6"/>
  <c r="C9" i="13" s="1"/>
  <c r="G88" i="6"/>
  <c r="C10" i="10" s="1"/>
  <c r="G85" i="6"/>
  <c r="C7" i="10" s="1"/>
  <c r="G83" i="6"/>
  <c r="C5" i="10" s="1"/>
  <c r="G87" i="6"/>
  <c r="C9" i="10" s="1"/>
  <c r="G84" i="6"/>
  <c r="C6" i="10" s="1"/>
  <c r="G86" i="6"/>
  <c r="C8" i="10" s="1"/>
  <c r="N10" i="9" l="1"/>
  <c r="O10" i="9"/>
  <c r="O7" i="9"/>
  <c r="N7" i="9"/>
  <c r="N8" i="9"/>
  <c r="O8" i="9"/>
  <c r="N9" i="9"/>
  <c r="O9" i="9"/>
  <c r="N9" i="13"/>
  <c r="O9" i="13"/>
  <c r="N7" i="13"/>
  <c r="O7" i="13"/>
  <c r="N8" i="13"/>
  <c r="O8" i="13"/>
  <c r="N10" i="13"/>
  <c r="O10" i="13"/>
  <c r="N6" i="10"/>
  <c r="O6" i="10"/>
  <c r="O9" i="10"/>
  <c r="N9" i="10"/>
  <c r="N5" i="10"/>
  <c r="O5" i="10"/>
  <c r="N7" i="10"/>
  <c r="O7" i="10"/>
  <c r="O8" i="10"/>
  <c r="N8" i="10"/>
  <c r="N10" i="10"/>
  <c r="O10" i="10"/>
  <c r="J72" i="6" l="1"/>
  <c r="J74" i="6"/>
  <c r="C74" i="8" s="1"/>
  <c r="J73" i="6"/>
  <c r="C73" i="8" s="1"/>
  <c r="J75" i="6"/>
  <c r="C75" i="8" s="1"/>
  <c r="J76" i="6"/>
  <c r="C76" i="8" s="1"/>
  <c r="C72" i="8" l="1"/>
  <c r="N76" i="8"/>
  <c r="O76" i="8"/>
  <c r="O75" i="8"/>
  <c r="N75" i="8"/>
  <c r="N73" i="8"/>
  <c r="O73" i="8"/>
  <c r="N74" i="8"/>
  <c r="O74" i="8"/>
  <c r="O72" i="8" l="1"/>
  <c r="N72" i="8"/>
  <c r="AH19" i="17" l="1"/>
  <c r="AH18" i="17"/>
  <c r="AH17" i="17"/>
  <c r="AH458" i="17"/>
  <c r="AH157" i="17"/>
  <c r="AH713" i="17"/>
  <c r="AH412" i="17"/>
  <c r="AH162" i="17"/>
  <c r="AH50" i="17"/>
  <c r="AH711" i="17"/>
  <c r="AH449" i="17"/>
  <c r="AH167" i="17"/>
  <c r="AH695" i="17"/>
  <c r="AH488" i="17"/>
  <c r="AH194" i="17"/>
  <c r="AH83" i="17"/>
  <c r="AH642" i="17"/>
  <c r="AH422" i="17"/>
  <c r="AH132" i="17"/>
  <c r="AH638" i="17"/>
  <c r="AH197" i="17"/>
  <c r="AH703" i="17"/>
  <c r="AH631" i="17"/>
  <c r="AH688" i="17"/>
  <c r="AH416" i="17"/>
  <c r="AH93" i="17"/>
  <c r="AH648" i="17"/>
  <c r="AH455" i="17"/>
  <c r="AH715" i="17"/>
  <c r="AH661" i="17"/>
  <c r="AH597" i="17"/>
  <c r="AH231" i="17"/>
  <c r="AH97" i="17"/>
  <c r="AH153" i="17"/>
  <c r="AH394" i="17"/>
  <c r="AH211" i="17"/>
  <c r="AH259" i="17"/>
  <c r="AH151" i="17"/>
  <c r="AH468" i="17"/>
  <c r="AH503" i="17"/>
  <c r="AH275" i="17"/>
  <c r="AH367" i="17"/>
  <c r="AH325" i="17"/>
  <c r="AH333" i="17"/>
  <c r="AH536" i="17"/>
  <c r="AH260" i="17"/>
  <c r="AH60" i="17"/>
  <c r="AH619" i="17"/>
  <c r="AH398" i="17"/>
  <c r="AH437" i="17"/>
  <c r="AH556" i="17"/>
  <c r="AH442" i="17"/>
  <c r="AH411" i="17"/>
  <c r="AH288" i="17"/>
  <c r="AH148" i="17"/>
  <c r="AH137" i="17"/>
  <c r="AH5" i="17"/>
  <c r="AH279" i="17"/>
  <c r="AH526" i="17"/>
  <c r="AH216" i="17"/>
  <c r="AH546" i="17"/>
  <c r="AH303" i="17"/>
  <c r="AH296" i="17"/>
  <c r="AH217" i="17"/>
  <c r="AH319" i="17"/>
  <c r="AH375" i="17"/>
  <c r="AH573" i="17"/>
  <c r="AH330" i="17"/>
  <c r="AH180" i="17"/>
  <c r="AH306" i="17"/>
  <c r="AH388" i="17"/>
  <c r="AH739" i="17"/>
  <c r="AH590" i="17"/>
  <c r="AH443" i="17"/>
  <c r="AH505" i="17"/>
  <c r="AH613" i="17"/>
  <c r="AH501" i="17"/>
  <c r="AH63" i="17"/>
  <c r="AH743" i="17"/>
  <c r="AH746" i="17"/>
  <c r="AH723" i="17"/>
  <c r="AH235" i="17"/>
  <c r="AH118" i="17"/>
  <c r="AH192" i="17"/>
  <c r="AH32" i="17"/>
  <c r="AH292" i="17"/>
  <c r="AH358" i="17"/>
  <c r="AH281" i="17"/>
  <c r="AH456" i="17"/>
  <c r="AH123" i="17"/>
  <c r="AH707" i="17"/>
  <c r="AH349" i="17"/>
  <c r="AH49" i="17"/>
  <c r="AH719" i="17"/>
  <c r="AH644" i="17"/>
  <c r="AH420" i="17"/>
  <c r="AH124" i="17"/>
  <c r="AH709" i="17"/>
  <c r="AH417" i="17"/>
  <c r="AH84" i="17"/>
  <c r="AH634" i="17"/>
  <c r="AH691" i="17"/>
  <c r="AH415" i="17"/>
  <c r="AH120" i="17"/>
  <c r="AH632" i="17"/>
  <c r="AH122" i="17"/>
  <c r="AH656" i="17"/>
  <c r="AH666" i="17"/>
  <c r="AH690" i="17"/>
  <c r="AH382" i="17"/>
  <c r="AH88" i="17"/>
  <c r="AH651" i="17"/>
  <c r="AH453" i="17"/>
  <c r="AH653" i="17"/>
  <c r="AH639" i="17"/>
  <c r="AH603" i="17"/>
  <c r="AH3" i="17"/>
  <c r="AH628" i="17"/>
  <c r="AH223" i="17"/>
  <c r="AH177" i="17"/>
  <c r="AH294" i="17"/>
  <c r="AH254" i="17"/>
  <c r="AH222" i="17"/>
  <c r="AH601" i="17"/>
  <c r="AH599" i="17"/>
  <c r="AH242" i="17"/>
  <c r="AH116" i="17"/>
  <c r="AH620" i="17"/>
  <c r="AH150" i="17"/>
  <c r="AH170" i="17"/>
  <c r="AH101" i="17"/>
  <c r="AH26" i="17"/>
  <c r="AH337" i="17"/>
  <c r="AH506" i="17"/>
  <c r="AH280" i="17"/>
  <c r="AH529" i="17"/>
  <c r="AH323" i="17"/>
  <c r="AH77" i="17"/>
  <c r="AH208" i="17"/>
  <c r="AH285" i="17"/>
  <c r="AH626" i="17"/>
  <c r="AH478" i="17"/>
  <c r="AH193" i="17"/>
  <c r="AH276" i="17"/>
  <c r="AH551" i="17"/>
  <c r="AH155" i="17"/>
  <c r="AH274" i="17"/>
  <c r="AH138" i="17"/>
  <c r="AH248" i="17"/>
  <c r="AH73" i="17"/>
  <c r="AH109" i="17"/>
  <c r="AH11" i="17"/>
  <c r="AH498" i="17"/>
  <c r="AH737" i="17"/>
  <c r="AH304" i="17"/>
  <c r="AH600" i="17"/>
  <c r="AH142" i="17"/>
  <c r="AH179" i="17"/>
  <c r="AH184" i="17"/>
  <c r="AH569" i="17"/>
  <c r="AH435" i="17"/>
  <c r="AH172" i="17"/>
  <c r="AH518" i="17"/>
  <c r="AH571" i="17"/>
  <c r="AH534" i="17"/>
  <c r="AH544" i="17"/>
  <c r="AH429" i="17"/>
  <c r="AH226" i="17"/>
  <c r="AH336" i="17"/>
  <c r="AH119" i="17"/>
  <c r="AH390" i="17"/>
  <c r="AH264" i="17"/>
  <c r="AH462" i="17"/>
  <c r="AH86" i="17"/>
  <c r="AH423" i="17"/>
  <c r="AH125" i="17"/>
  <c r="AH655" i="17"/>
  <c r="AH158" i="17"/>
  <c r="AH712" i="17"/>
  <c r="AH636" i="17"/>
  <c r="AH693" i="17"/>
  <c r="AH418" i="17"/>
  <c r="AH126" i="17"/>
  <c r="AH630" i="17"/>
  <c r="AH344" i="17"/>
  <c r="AH701" i="17"/>
  <c r="AH680" i="17"/>
  <c r="AH683" i="17"/>
  <c r="AH385" i="17"/>
  <c r="AH90" i="17"/>
  <c r="AH635" i="17"/>
  <c r="AH55" i="17"/>
  <c r="AH674" i="17"/>
  <c r="AH494" i="17"/>
  <c r="AH682" i="17"/>
  <c r="AH342" i="17"/>
  <c r="AH48" i="17"/>
  <c r="AH645" i="17"/>
  <c r="AH421" i="17"/>
  <c r="AH633" i="17"/>
  <c r="AH414" i="17"/>
  <c r="AH561" i="17"/>
  <c r="AH440" i="17"/>
  <c r="AH403" i="17"/>
  <c r="AH262" i="17"/>
  <c r="AH81" i="17"/>
  <c r="AH176" i="17"/>
  <c r="AH354" i="17"/>
  <c r="AH190" i="17"/>
  <c r="AH524" i="17"/>
  <c r="AH593" i="17"/>
  <c r="AH741" i="17"/>
  <c r="AH295" i="17"/>
  <c r="AH514" i="17"/>
  <c r="AH76" i="17"/>
  <c r="AH156" i="17"/>
  <c r="AH359" i="17"/>
  <c r="AH472" i="17"/>
  <c r="AH560" i="17"/>
  <c r="AH618" i="17"/>
  <c r="AH433" i="17"/>
  <c r="AH531" i="17"/>
  <c r="AH542" i="17"/>
  <c r="AH728" i="17"/>
  <c r="AH103" i="17"/>
  <c r="AH31" i="17"/>
  <c r="AH212" i="17"/>
  <c r="AH364" i="17"/>
  <c r="AH326" i="17"/>
  <c r="AH108" i="17"/>
  <c r="AH188" i="17"/>
  <c r="AH725" i="17"/>
  <c r="AH238" i="17"/>
  <c r="AH610" i="17"/>
  <c r="AH322" i="17"/>
  <c r="AH302" i="17"/>
  <c r="AH251" i="17"/>
  <c r="AH402" i="17"/>
  <c r="AH75" i="17"/>
  <c r="AH58" i="17"/>
  <c r="AH270" i="17"/>
  <c r="AH307" i="17"/>
  <c r="AH141" i="17"/>
  <c r="AH64" i="17"/>
  <c r="AH308" i="17"/>
  <c r="AH548" i="17"/>
  <c r="AH439" i="17"/>
  <c r="AH474" i="17"/>
  <c r="AH252" i="17"/>
  <c r="AH134" i="17"/>
  <c r="AH365" i="17"/>
  <c r="AH4" i="17"/>
  <c r="AH230" i="17"/>
  <c r="AH210" i="17"/>
  <c r="AH213" i="17"/>
  <c r="AH36" i="17"/>
  <c r="AH545" i="17"/>
  <c r="AH318" i="17"/>
  <c r="AH671" i="17"/>
  <c r="AH383" i="17"/>
  <c r="AH92" i="17"/>
  <c r="AH650" i="17"/>
  <c r="AH89" i="17"/>
  <c r="AH659" i="17"/>
  <c r="AH681" i="17"/>
  <c r="AH685" i="17"/>
  <c r="AH384" i="17"/>
  <c r="AH87" i="17"/>
  <c r="AH663" i="17"/>
  <c r="AH160" i="17"/>
  <c r="AH662" i="17"/>
  <c r="AH459" i="17"/>
  <c r="AH675" i="17"/>
  <c r="AH340" i="17"/>
  <c r="AH56" i="17"/>
  <c r="AH629" i="17"/>
  <c r="AH696" i="17"/>
  <c r="AH454" i="17"/>
  <c r="AH386" i="17"/>
  <c r="AH679" i="17"/>
  <c r="AH345" i="17"/>
  <c r="AH53" i="17"/>
  <c r="AH668" i="17"/>
  <c r="AH376" i="17"/>
  <c r="AH413" i="17"/>
  <c r="AH196" i="17"/>
  <c r="AH520" i="17"/>
  <c r="AH315" i="17"/>
  <c r="AH111" i="17"/>
  <c r="AH21" i="17"/>
  <c r="AH499" i="17"/>
  <c r="AH78" i="17"/>
  <c r="AH152" i="17"/>
  <c r="AH6" i="17"/>
  <c r="AH267" i="17"/>
  <c r="AH565" i="17"/>
  <c r="AH207" i="17"/>
  <c r="AH62" i="17"/>
  <c r="AH539" i="17"/>
  <c r="AH366" i="17"/>
  <c r="AH740" i="17"/>
  <c r="AH38" i="17"/>
  <c r="AH372" i="17"/>
  <c r="AH305" i="17"/>
  <c r="AH95" i="17"/>
  <c r="AH745" i="17"/>
  <c r="AH312" i="17"/>
  <c r="AH374" i="17"/>
  <c r="AH744" i="17"/>
  <c r="AH466" i="17"/>
  <c r="AH401" i="17"/>
  <c r="AH625" i="17"/>
  <c r="AH98" i="17"/>
  <c r="AH99" i="17"/>
  <c r="AH218" i="17"/>
  <c r="AH249" i="17"/>
  <c r="AH595" i="17"/>
  <c r="AH239" i="17"/>
  <c r="AH535" i="17"/>
  <c r="AH28" i="17"/>
  <c r="AH15" i="17"/>
  <c r="AH183" i="17"/>
  <c r="AH182" i="17"/>
  <c r="AH617" i="17"/>
  <c r="AH8" i="17"/>
  <c r="AH234" i="17"/>
  <c r="AH241" i="17"/>
  <c r="AH253" i="17"/>
  <c r="AH298" i="17"/>
  <c r="AH9" i="17"/>
  <c r="AH730" i="17"/>
  <c r="AH133" i="17"/>
  <c r="AH596" i="17"/>
  <c r="AH578" i="17"/>
  <c r="AH339" i="17"/>
  <c r="AH25" i="17"/>
  <c r="AH324" i="17"/>
  <c r="AH293" i="17"/>
  <c r="AH135" i="17"/>
  <c r="AH105" i="17"/>
  <c r="AH117" i="17"/>
  <c r="AH574" i="17"/>
  <c r="AH107" i="17"/>
  <c r="AH195" i="17"/>
  <c r="AH684" i="17"/>
  <c r="AH350" i="17"/>
  <c r="AH493" i="17"/>
  <c r="AH608" i="17"/>
  <c r="U9" i="9" s="1"/>
  <c r="AH716" i="17"/>
  <c r="AH54" i="17"/>
  <c r="AH166" i="17"/>
  <c r="AH450" i="17"/>
  <c r="AH85" i="17"/>
  <c r="AH448" i="17"/>
  <c r="AH717" i="17"/>
  <c r="AH121" i="17"/>
  <c r="AH708" i="17"/>
  <c r="AH42" i="17"/>
  <c r="AH369" i="17"/>
  <c r="AH136" i="17"/>
  <c r="AH297" i="17"/>
  <c r="AH311" i="17"/>
  <c r="AH209" i="17"/>
  <c r="AH482" i="17"/>
  <c r="AH219" i="17"/>
  <c r="AH547" i="17"/>
  <c r="AH598" i="17"/>
  <c r="AH612" i="17"/>
  <c r="AH187" i="17"/>
  <c r="AH328" i="17"/>
  <c r="AH61" i="17"/>
  <c r="AH112" i="17"/>
  <c r="AH470" i="17"/>
  <c r="AH479" i="17"/>
  <c r="AH591" i="17"/>
  <c r="AH247" i="17"/>
  <c r="AH221" i="17"/>
  <c r="AH576" i="17"/>
  <c r="AH552" i="17"/>
  <c r="AH408" i="17"/>
  <c r="AH471" i="17"/>
  <c r="AH399" i="17"/>
  <c r="AH521" i="17"/>
  <c r="AH588" i="17"/>
  <c r="AH27" i="17"/>
  <c r="AH316" i="17"/>
  <c r="AH13" i="17"/>
  <c r="AH554" i="17"/>
  <c r="AH360" i="17"/>
  <c r="AH224" i="17"/>
  <c r="AH263" i="17"/>
  <c r="AH409" i="17"/>
  <c r="AH460" i="17"/>
  <c r="AH640" i="17"/>
  <c r="AH377" i="17"/>
  <c r="AH698" i="17"/>
  <c r="AH273" i="17"/>
  <c r="AH173" i="17"/>
  <c r="AH519" i="17"/>
  <c r="AH496" i="17"/>
  <c r="AH476" i="17"/>
  <c r="AH622" i="17"/>
  <c r="AH373" i="17"/>
  <c r="AH502" i="17"/>
  <c r="AH320" i="17"/>
  <c r="AH484" i="17"/>
  <c r="AH199" i="17"/>
  <c r="AH710" i="17"/>
  <c r="AH495" i="17"/>
  <c r="AH361" i="17"/>
  <c r="AH406" i="17"/>
  <c r="AH512" i="17"/>
  <c r="AH396" i="17"/>
  <c r="AH427" i="17"/>
  <c r="AH147" i="17"/>
  <c r="AH733" i="17"/>
  <c r="AH732" i="17"/>
  <c r="AH16" i="17"/>
  <c r="AH686" i="17"/>
  <c r="AH380" i="17"/>
  <c r="AH487" i="17"/>
  <c r="AH214" i="17"/>
  <c r="AH523" i="17"/>
  <c r="AH363" i="17"/>
  <c r="AH255" i="17"/>
  <c r="AH362" i="17"/>
  <c r="AH232" i="17"/>
  <c r="AH200" i="17"/>
  <c r="AH486" i="17"/>
  <c r="AH127" i="17"/>
  <c r="AH489" i="17"/>
  <c r="AH697" i="17"/>
  <c r="AH643" i="17"/>
  <c r="AH702" i="17"/>
  <c r="AH168" i="17"/>
  <c r="AH378" i="17"/>
  <c r="AH699" i="17"/>
  <c r="AH419" i="17"/>
  <c r="AH654" i="17"/>
  <c r="AH694" i="17"/>
  <c r="AH641" i="17"/>
  <c r="AH357" i="17"/>
  <c r="AH143" i="17"/>
  <c r="AH299" i="17"/>
  <c r="AH74" i="17"/>
  <c r="AH278" i="17"/>
  <c r="AH220" i="17"/>
  <c r="AH541" i="17"/>
  <c r="AH473" i="17"/>
  <c r="AH467" i="17"/>
  <c r="AH594" i="17"/>
  <c r="AH39" i="17"/>
  <c r="AH139" i="17"/>
  <c r="AH329" i="17"/>
  <c r="AH592" i="17"/>
  <c r="AH284" i="17"/>
  <c r="AH627" i="17"/>
  <c r="AH370" i="17"/>
  <c r="AH393" i="17"/>
  <c r="AH41" i="17"/>
  <c r="AH727" i="17"/>
  <c r="AH96" i="17"/>
  <c r="AH497" i="17"/>
  <c r="AH353" i="17"/>
  <c r="AH726" i="17"/>
  <c r="AH282" i="17"/>
  <c r="AH67" i="17"/>
  <c r="AH395" i="17"/>
  <c r="AH29" i="17"/>
  <c r="AH33" i="17"/>
  <c r="AH586" i="17"/>
  <c r="AH22" i="17"/>
  <c r="AH475" i="17"/>
  <c r="AH40" i="17"/>
  <c r="AH186" i="17"/>
  <c r="AH555" i="17"/>
  <c r="AH140" i="17"/>
  <c r="AH516" i="17"/>
  <c r="AH609" i="17"/>
  <c r="U10" i="9" s="1"/>
  <c r="AH657" i="17"/>
  <c r="AH163" i="17"/>
  <c r="AH605" i="17"/>
  <c r="U6" i="9" s="1"/>
  <c r="AH14" i="17"/>
  <c r="AH368" i="17"/>
  <c r="AH533" i="17"/>
  <c r="AH530" i="17"/>
  <c r="AH557" i="17"/>
  <c r="AH72" i="17"/>
  <c r="AH334" i="17"/>
  <c r="AH106" i="17"/>
  <c r="AH507" i="17"/>
  <c r="AH57" i="17"/>
  <c r="AH451" i="17"/>
  <c r="AH128" i="17"/>
  <c r="AH424" i="17"/>
  <c r="AH436" i="17"/>
  <c r="AH538" i="17"/>
  <c r="AH736" i="17"/>
  <c r="AH532" i="17"/>
  <c r="AH615" i="17"/>
  <c r="AH149" i="17"/>
  <c r="AH229" i="17"/>
  <c r="AH444" i="17"/>
  <c r="AH652" i="17"/>
  <c r="AH82" i="17"/>
  <c r="AH379" i="17"/>
  <c r="AH129" i="17"/>
  <c r="AH509" i="17"/>
  <c r="AH30" i="17"/>
  <c r="AH287" i="17"/>
  <c r="AH335" i="17"/>
  <c r="AH352" i="17"/>
  <c r="AH672" i="17"/>
  <c r="AH46" i="17"/>
  <c r="AH45" i="17"/>
  <c r="AH457" i="17"/>
  <c r="AH346" i="17"/>
  <c r="AH658" i="17"/>
  <c r="AH689" i="17"/>
  <c r="AH673" i="17"/>
  <c r="AH52" i="17"/>
  <c r="AH646" i="17"/>
  <c r="AH206" i="17"/>
  <c r="AH201" i="17"/>
  <c r="AH669" i="17"/>
  <c r="AH203" i="17"/>
  <c r="AH527" i="17"/>
  <c r="AH438" i="17"/>
  <c r="AH104" i="17"/>
  <c r="AH23" i="17"/>
  <c r="AH425" i="17"/>
  <c r="AH145" i="17"/>
  <c r="AH447" i="17"/>
  <c r="AH575" i="17"/>
  <c r="AH245" i="17"/>
  <c r="AH729" i="17"/>
  <c r="AH277" i="17"/>
  <c r="AH34" i="17"/>
  <c r="AH244" i="17"/>
  <c r="AH577" i="17"/>
  <c r="AH410" i="17"/>
  <c r="AH563" i="17"/>
  <c r="AH102" i="17"/>
  <c r="AH735" i="17"/>
  <c r="AH24" i="17"/>
  <c r="AH602" i="17"/>
  <c r="AH289" i="17"/>
  <c r="AH404" i="17"/>
  <c r="AH332" i="17"/>
  <c r="AH310" i="17"/>
  <c r="AH189" i="17"/>
  <c r="AH175" i="17"/>
  <c r="AH564" i="17"/>
  <c r="AH321" i="17"/>
  <c r="AH397" i="17"/>
  <c r="AH568" i="17"/>
  <c r="AH566" i="17"/>
  <c r="AH582" i="17"/>
  <c r="AH553" i="17"/>
  <c r="AH517" i="17"/>
  <c r="AH540" i="17"/>
  <c r="AH441" i="17"/>
  <c r="AH664" i="17"/>
  <c r="AH204" i="17"/>
  <c r="AH705" i="17"/>
  <c r="AH665" i="17"/>
  <c r="AH215" i="17"/>
  <c r="AH291" i="17"/>
  <c r="AH240" i="17"/>
  <c r="AH171" i="17"/>
  <c r="AH110" i="17"/>
  <c r="AH338" i="17"/>
  <c r="AH510" i="17"/>
  <c r="AH301" i="17"/>
  <c r="AH469" i="17"/>
  <c r="AH348" i="17"/>
  <c r="AH164" i="17"/>
  <c r="AH647" i="17"/>
  <c r="AH268" i="17"/>
  <c r="AH432" i="17"/>
  <c r="AH585" i="17"/>
  <c r="AH178" i="17"/>
  <c r="AH504" i="17"/>
  <c r="AH227" i="17"/>
  <c r="AH583" i="17"/>
  <c r="AH549" i="17"/>
  <c r="AH246" i="17"/>
  <c r="AH381" i="17"/>
  <c r="AH47" i="17"/>
  <c r="AH692" i="17"/>
  <c r="AH387" i="17"/>
  <c r="AH191" i="17"/>
  <c r="AH233" i="17"/>
  <c r="AH283" i="17"/>
  <c r="AH265" i="17"/>
  <c r="AH572" i="17"/>
  <c r="AH678" i="17"/>
  <c r="AH51" i="17"/>
  <c r="AH700" i="17"/>
  <c r="AH347" i="17"/>
  <c r="AH351" i="17"/>
  <c r="AH660" i="17"/>
  <c r="AH491" i="17"/>
  <c r="AH485" i="17"/>
  <c r="AH606" i="17"/>
  <c r="U7" i="9" s="1"/>
  <c r="AH637" i="17"/>
  <c r="AH94" i="17"/>
  <c r="AH159" i="17"/>
  <c r="AH667" i="17"/>
  <c r="AH130" i="17"/>
  <c r="AH314" i="17"/>
  <c r="AH371" i="17"/>
  <c r="AH290" i="17"/>
  <c r="AH731" i="17"/>
  <c r="AH428" i="17"/>
  <c r="AH243" i="17"/>
  <c r="AH43" i="17"/>
  <c r="AH587" i="17"/>
  <c r="AH266" i="17"/>
  <c r="AH2" i="17"/>
  <c r="AH271" i="17"/>
  <c r="AH146" i="17"/>
  <c r="AH580" i="17"/>
  <c r="AH742" i="17"/>
  <c r="AH513" i="17"/>
  <c r="AH558" i="17"/>
  <c r="AH70" i="17"/>
  <c r="AH225" i="17"/>
  <c r="AH258" i="17"/>
  <c r="AH567" i="17"/>
  <c r="AH100" i="17"/>
  <c r="AH720" i="17"/>
  <c r="AH20" i="17"/>
  <c r="AH237" i="17"/>
  <c r="AH392" i="17"/>
  <c r="AH355" i="17"/>
  <c r="AH313" i="17"/>
  <c r="AH550" i="17"/>
  <c r="AH481" i="17"/>
  <c r="AH611" i="17"/>
  <c r="AH272" i="17"/>
  <c r="AH115" i="17"/>
  <c r="AH391" i="17"/>
  <c r="AH559" i="17"/>
  <c r="AH738" i="17"/>
  <c r="AH446" i="17"/>
  <c r="AH405" i="17"/>
  <c r="AH131" i="17"/>
  <c r="AH492" i="17"/>
  <c r="AH161" i="17"/>
  <c r="AH114" i="17"/>
  <c r="AH581" i="17"/>
  <c r="AH430" i="17"/>
  <c r="AH300" i="17"/>
  <c r="AH463" i="17"/>
  <c r="AH431" i="17"/>
  <c r="AH616" i="17"/>
  <c r="AH465" i="17"/>
  <c r="AH269" i="17"/>
  <c r="AH706" i="17"/>
  <c r="AH676" i="17"/>
  <c r="AH91" i="17"/>
  <c r="AH714" i="17"/>
  <c r="AH434" i="17"/>
  <c r="AH464" i="17"/>
  <c r="AH181" i="17"/>
  <c r="AH309" i="17"/>
  <c r="AH525" i="17"/>
  <c r="AH71" i="17"/>
  <c r="AH169" i="17"/>
  <c r="AH356" i="17"/>
  <c r="AH174" i="17"/>
  <c r="AH677" i="17"/>
  <c r="AH343" i="17"/>
  <c r="AH704" i="17"/>
  <c r="AH79" i="17"/>
  <c r="AH331" i="17"/>
  <c r="AH537" i="17"/>
  <c r="AH570" i="17"/>
  <c r="AH286" i="17"/>
  <c r="AH256" i="17"/>
  <c r="AH165" i="17"/>
  <c r="AH250" i="17"/>
  <c r="AH69" i="17"/>
  <c r="AH426" i="17"/>
  <c r="AH614" i="17"/>
  <c r="AH65" i="17"/>
  <c r="AH80" i="17"/>
  <c r="AH327" i="17"/>
  <c r="AH500" i="17"/>
  <c r="AH480" i="17"/>
  <c r="AH445" i="17"/>
  <c r="AH483" i="17"/>
  <c r="AH317" i="17"/>
  <c r="AH228" i="17"/>
  <c r="AH624" i="17"/>
  <c r="AH389" i="17"/>
  <c r="AH205" i="17"/>
  <c r="AH7" i="17"/>
  <c r="AH721" i="17"/>
  <c r="AH584" i="17"/>
  <c r="AH261" i="17"/>
  <c r="AH562" i="17"/>
  <c r="AH515" i="17"/>
  <c r="AH198" i="17"/>
  <c r="AH154" i="17"/>
  <c r="AH68" i="17"/>
  <c r="AH44" i="17"/>
  <c r="AH511" i="17"/>
  <c r="AH604" i="17"/>
  <c r="U5" i="9" s="1"/>
  <c r="AH236" i="17"/>
  <c r="AH341" i="17"/>
  <c r="AH670" i="17"/>
  <c r="AH37" i="17"/>
  <c r="AH66" i="17"/>
  <c r="AH144" i="17"/>
  <c r="AH35" i="17"/>
  <c r="AH508" i="17"/>
  <c r="AH12" i="17"/>
  <c r="AH649" i="17"/>
  <c r="AH407" i="17"/>
  <c r="AH623" i="17"/>
  <c r="AH10" i="17"/>
  <c r="AH113" i="17"/>
  <c r="AH185" i="17"/>
  <c r="AH257" i="17"/>
  <c r="AH621" i="17"/>
  <c r="AH522" i="17"/>
  <c r="AH452" i="17"/>
  <c r="AH490" i="17"/>
  <c r="AH528" i="17"/>
  <c r="AH461" i="17"/>
  <c r="AH543" i="17"/>
  <c r="AH579" i="17"/>
  <c r="AH589" i="17"/>
  <c r="AH734" i="17"/>
  <c r="AH687" i="17"/>
  <c r="AH718" i="17"/>
  <c r="AH722" i="17"/>
  <c r="AH477" i="17"/>
  <c r="AH724" i="17"/>
  <c r="AH202" i="17"/>
  <c r="AH59" i="17"/>
  <c r="AH607" i="17"/>
  <c r="U8" i="9" s="1"/>
  <c r="AH400" i="17"/>
  <c r="G5" i="20" l="1"/>
  <c r="F5" i="20"/>
  <c r="N5" i="20" s="1"/>
  <c r="O5" i="20" l="1"/>
  <c r="P5" i="20" s="1"/>
  <c r="G6" i="20"/>
  <c r="O6" i="20" s="1"/>
  <c r="H6" i="7" s="1"/>
  <c r="H5" i="20"/>
  <c r="E5" i="20"/>
  <c r="M5" i="20" s="1"/>
  <c r="F6" i="20"/>
  <c r="H5" i="7" l="1"/>
  <c r="F7" i="20"/>
  <c r="G7" i="20"/>
  <c r="O7" i="20" s="1"/>
  <c r="H7" i="7" s="1"/>
  <c r="I5" i="7"/>
  <c r="M5" i="7" s="1"/>
  <c r="G5" i="7"/>
  <c r="E6" i="20"/>
  <c r="M6" i="20" s="1"/>
  <c r="H6" i="20"/>
  <c r="N6" i="20"/>
  <c r="U5" i="20"/>
  <c r="F5" i="7"/>
  <c r="N5" i="7" l="1"/>
  <c r="G5" i="12"/>
  <c r="O5" i="7"/>
  <c r="G5" i="14"/>
  <c r="J5" i="14"/>
  <c r="M5" i="12"/>
  <c r="J5" i="12"/>
  <c r="M5" i="14"/>
  <c r="D2" i="24" s="1"/>
  <c r="H5" i="12"/>
  <c r="K5" i="12"/>
  <c r="K5" i="14"/>
  <c r="B2" i="24" s="1"/>
  <c r="H5" i="14"/>
  <c r="E5" i="14"/>
  <c r="E5" i="12"/>
  <c r="G6" i="7"/>
  <c r="P6" i="20"/>
  <c r="I6" i="7" s="1"/>
  <c r="M6" i="7" s="1"/>
  <c r="E7" i="20"/>
  <c r="M7" i="20" s="1"/>
  <c r="G8" i="20"/>
  <c r="O8" i="20" s="1"/>
  <c r="H8" i="7" s="1"/>
  <c r="F6" i="7"/>
  <c r="N6" i="7" s="1"/>
  <c r="U6" i="20"/>
  <c r="F8" i="20"/>
  <c r="N7" i="20"/>
  <c r="H7" i="20"/>
  <c r="P5" i="7" l="1"/>
  <c r="F5" i="12" s="1"/>
  <c r="B3" i="24"/>
  <c r="D3" i="24"/>
  <c r="G9" i="20"/>
  <c r="O9" i="20" s="1"/>
  <c r="H9" i="7" s="1"/>
  <c r="S5" i="7"/>
  <c r="H6" i="14"/>
  <c r="E6" i="12"/>
  <c r="E6" i="14"/>
  <c r="K6" i="12"/>
  <c r="H6" i="12"/>
  <c r="K6" i="14"/>
  <c r="I5" i="12"/>
  <c r="F5" i="14"/>
  <c r="O6" i="7"/>
  <c r="J6" i="12"/>
  <c r="M6" i="12"/>
  <c r="G6" i="12"/>
  <c r="J6" i="14"/>
  <c r="M6" i="14"/>
  <c r="G6" i="14"/>
  <c r="E8" i="20"/>
  <c r="M8" i="20" s="1"/>
  <c r="H8" i="20"/>
  <c r="N8" i="20"/>
  <c r="P6" i="7"/>
  <c r="G7" i="7"/>
  <c r="P7" i="20"/>
  <c r="I7" i="7" s="1"/>
  <c r="M7" i="7" s="1"/>
  <c r="F9" i="20"/>
  <c r="F7" i="7"/>
  <c r="N7" i="7" s="1"/>
  <c r="U7" i="20"/>
  <c r="L5" i="14" l="1"/>
  <c r="L5" i="12"/>
  <c r="T5" i="12" s="1"/>
  <c r="I5" i="14"/>
  <c r="C3" i="24"/>
  <c r="C2" i="24"/>
  <c r="B4" i="24"/>
  <c r="D4" i="24"/>
  <c r="N9" i="20"/>
  <c r="H9" i="20"/>
  <c r="F8" i="7"/>
  <c r="N8" i="7" s="1"/>
  <c r="U8" i="20"/>
  <c r="S6" i="7"/>
  <c r="P7" i="7"/>
  <c r="C4" i="24" s="1"/>
  <c r="G10" i="20"/>
  <c r="O10" i="20" s="1"/>
  <c r="H10" i="7" s="1"/>
  <c r="I6" i="14"/>
  <c r="L6" i="12"/>
  <c r="T6" i="12" s="1"/>
  <c r="F6" i="14"/>
  <c r="I6" i="12"/>
  <c r="F6" i="12"/>
  <c r="L6" i="14"/>
  <c r="E7" i="12"/>
  <c r="E7" i="14"/>
  <c r="K7" i="14"/>
  <c r="H7" i="14"/>
  <c r="H7" i="12"/>
  <c r="K7" i="12"/>
  <c r="J7" i="12"/>
  <c r="M7" i="14"/>
  <c r="M7" i="12"/>
  <c r="G7" i="12"/>
  <c r="O7" i="7"/>
  <c r="J7" i="14"/>
  <c r="G7" i="14"/>
  <c r="F10" i="20"/>
  <c r="E9" i="20"/>
  <c r="M9" i="20" s="1"/>
  <c r="G8" i="7"/>
  <c r="P8" i="20"/>
  <c r="I8" i="7" s="1"/>
  <c r="M8" i="7" s="1"/>
  <c r="B5" i="24" l="1"/>
  <c r="D5" i="24"/>
  <c r="P9" i="20"/>
  <c r="I9" i="7" s="1"/>
  <c r="M9" i="7" s="1"/>
  <c r="G9" i="7"/>
  <c r="G11" i="20"/>
  <c r="O11" i="20" s="1"/>
  <c r="H11" i="7" s="1"/>
  <c r="S7" i="7"/>
  <c r="E10" i="20"/>
  <c r="M10" i="20" s="1"/>
  <c r="N10" i="20"/>
  <c r="H10" i="20"/>
  <c r="I7" i="12"/>
  <c r="L7" i="12"/>
  <c r="T7" i="12" s="1"/>
  <c r="I7" i="14"/>
  <c r="L7" i="14"/>
  <c r="F7" i="14"/>
  <c r="F7" i="12"/>
  <c r="H8" i="14"/>
  <c r="E8" i="12"/>
  <c r="H8" i="12"/>
  <c r="E8" i="14"/>
  <c r="K8" i="14"/>
  <c r="K8" i="12"/>
  <c r="O8" i="7"/>
  <c r="M8" i="14"/>
  <c r="G8" i="14"/>
  <c r="G8" i="12"/>
  <c r="M8" i="12"/>
  <c r="J8" i="14"/>
  <c r="J8" i="12"/>
  <c r="F9" i="7"/>
  <c r="N9" i="7" s="1"/>
  <c r="U9" i="20"/>
  <c r="F11" i="20"/>
  <c r="P8" i="7"/>
  <c r="C5" i="24" s="1"/>
  <c r="O9" i="7" l="1"/>
  <c r="P9" i="7"/>
  <c r="C6" i="24" s="1"/>
  <c r="B6" i="24"/>
  <c r="D6" i="24"/>
  <c r="F12" i="20"/>
  <c r="G12" i="20"/>
  <c r="O12" i="20" s="1"/>
  <c r="H12" i="7" s="1"/>
  <c r="S8" i="7"/>
  <c r="F10" i="7"/>
  <c r="N10" i="7" s="1"/>
  <c r="U10" i="20"/>
  <c r="E11" i="20"/>
  <c r="M11" i="20" s="1"/>
  <c r="H11" i="20"/>
  <c r="N11" i="20"/>
  <c r="M9" i="12"/>
  <c r="J9" i="14"/>
  <c r="M9" i="14"/>
  <c r="G9" i="14"/>
  <c r="J9" i="12"/>
  <c r="G9" i="12"/>
  <c r="K9" i="14"/>
  <c r="K9" i="12"/>
  <c r="H9" i="12"/>
  <c r="E9" i="12"/>
  <c r="E9" i="14"/>
  <c r="H9" i="14"/>
  <c r="F8" i="14"/>
  <c r="I8" i="14"/>
  <c r="L8" i="14"/>
  <c r="L8" i="12"/>
  <c r="T8" i="12" s="1"/>
  <c r="I8" i="12"/>
  <c r="F8" i="12"/>
  <c r="P10" i="20"/>
  <c r="I10" i="7" s="1"/>
  <c r="M10" i="7" s="1"/>
  <c r="G10" i="7"/>
  <c r="K10" i="12" l="1"/>
  <c r="B7" i="24"/>
  <c r="D7" i="24"/>
  <c r="O10" i="7"/>
  <c r="G10" i="12"/>
  <c r="J10" i="14"/>
  <c r="M10" i="12"/>
  <c r="G10" i="14"/>
  <c r="M10" i="14"/>
  <c r="J10" i="12"/>
  <c r="F13" i="20"/>
  <c r="G13" i="20"/>
  <c r="O13" i="20" s="1"/>
  <c r="H13" i="7" s="1"/>
  <c r="H10" i="12"/>
  <c r="E10" i="14"/>
  <c r="K10" i="14"/>
  <c r="H10" i="14"/>
  <c r="E10" i="12"/>
  <c r="P11" i="20"/>
  <c r="I11" i="7" s="1"/>
  <c r="M11" i="7" s="1"/>
  <c r="G11" i="7"/>
  <c r="N12" i="20"/>
  <c r="H12" i="20"/>
  <c r="S9" i="7"/>
  <c r="F9" i="12"/>
  <c r="I9" i="12"/>
  <c r="F9" i="14"/>
  <c r="L9" i="12"/>
  <c r="T9" i="12" s="1"/>
  <c r="I9" i="14"/>
  <c r="L9" i="14"/>
  <c r="U11" i="20"/>
  <c r="F11" i="7"/>
  <c r="N11" i="7" s="1"/>
  <c r="P10" i="7"/>
  <c r="C7" i="24" s="1"/>
  <c r="E12" i="20"/>
  <c r="M12" i="20" s="1"/>
  <c r="B8" i="24" l="1"/>
  <c r="D8" i="24"/>
  <c r="F12" i="7"/>
  <c r="N12" i="7" s="1"/>
  <c r="U12" i="20"/>
  <c r="P11" i="7"/>
  <c r="C8" i="24" s="1"/>
  <c r="F14" i="20"/>
  <c r="G11" i="12"/>
  <c r="J11" i="14"/>
  <c r="M11" i="12"/>
  <c r="M11" i="14"/>
  <c r="J11" i="12"/>
  <c r="O11" i="7"/>
  <c r="G11" i="14"/>
  <c r="E13" i="20"/>
  <c r="M13" i="20" s="1"/>
  <c r="N13" i="20"/>
  <c r="H13" i="20"/>
  <c r="S10" i="7"/>
  <c r="L10" i="12"/>
  <c r="T10" i="12" s="1"/>
  <c r="I10" i="12"/>
  <c r="F10" i="12"/>
  <c r="F10" i="14"/>
  <c r="L10" i="14"/>
  <c r="I10" i="14"/>
  <c r="P12" i="20"/>
  <c r="I12" i="7" s="1"/>
  <c r="M12" i="7" s="1"/>
  <c r="G12" i="7"/>
  <c r="G14" i="20"/>
  <c r="O14" i="20" s="1"/>
  <c r="H14" i="7" s="1"/>
  <c r="K11" i="14"/>
  <c r="E11" i="12"/>
  <c r="E11" i="14"/>
  <c r="H11" i="14"/>
  <c r="H11" i="12"/>
  <c r="K11" i="12"/>
  <c r="B9" i="24" l="1"/>
  <c r="D9" i="24"/>
  <c r="P13" i="20"/>
  <c r="I13" i="7" s="1"/>
  <c r="M13" i="7" s="1"/>
  <c r="G13" i="7"/>
  <c r="F13" i="7"/>
  <c r="N13" i="7" s="1"/>
  <c r="U13" i="20"/>
  <c r="G15" i="20"/>
  <c r="O15" i="20" s="1"/>
  <c r="H15" i="7" s="1"/>
  <c r="J12" i="14"/>
  <c r="G12" i="14"/>
  <c r="O12" i="7"/>
  <c r="M12" i="14"/>
  <c r="J12" i="12"/>
  <c r="M12" i="12"/>
  <c r="G12" i="12"/>
  <c r="F15" i="20"/>
  <c r="P12" i="7"/>
  <c r="C9" i="24" s="1"/>
  <c r="S11" i="7"/>
  <c r="E14" i="20"/>
  <c r="M14" i="20" s="1"/>
  <c r="L11" i="14"/>
  <c r="L11" i="12"/>
  <c r="T11" i="12" s="1"/>
  <c r="F11" i="14"/>
  <c r="F11" i="12"/>
  <c r="I11" i="12"/>
  <c r="I11" i="14"/>
  <c r="K12" i="12"/>
  <c r="E12" i="14"/>
  <c r="K12" i="14"/>
  <c r="H12" i="12"/>
  <c r="H12" i="14"/>
  <c r="E12" i="12"/>
  <c r="N14" i="20"/>
  <c r="H14" i="20"/>
  <c r="B10" i="24" l="1"/>
  <c r="D10" i="24"/>
  <c r="U14" i="20"/>
  <c r="F14" i="7"/>
  <c r="N14" i="7" s="1"/>
  <c r="P13" i="7"/>
  <c r="C10" i="24" s="1"/>
  <c r="G16" i="20"/>
  <c r="O16" i="20" s="1"/>
  <c r="H16" i="7" s="1"/>
  <c r="G14" i="7"/>
  <c r="P14" i="20"/>
  <c r="I14" i="7" s="1"/>
  <c r="M14" i="7" s="1"/>
  <c r="F16" i="20"/>
  <c r="L12" i="14"/>
  <c r="F12" i="12"/>
  <c r="F12" i="14"/>
  <c r="L12" i="12"/>
  <c r="T12" i="12" s="1"/>
  <c r="I12" i="12"/>
  <c r="I12" i="14"/>
  <c r="S12" i="7"/>
  <c r="E15" i="20"/>
  <c r="M15" i="20" s="1"/>
  <c r="O13" i="7"/>
  <c r="G13" i="12"/>
  <c r="G13" i="14"/>
  <c r="J13" i="12"/>
  <c r="M13" i="12"/>
  <c r="M13" i="14"/>
  <c r="J13" i="14"/>
  <c r="H15" i="20"/>
  <c r="N15" i="20"/>
  <c r="H13" i="12"/>
  <c r="E13" i="14"/>
  <c r="K13" i="12"/>
  <c r="H13" i="14"/>
  <c r="K13" i="14"/>
  <c r="E13" i="12"/>
  <c r="B11" i="24" l="1"/>
  <c r="D11" i="24"/>
  <c r="P15" i="20"/>
  <c r="I15" i="7" s="1"/>
  <c r="M15" i="7" s="1"/>
  <c r="G15" i="7"/>
  <c r="F15" i="7"/>
  <c r="N15" i="7" s="1"/>
  <c r="U15" i="20"/>
  <c r="G17" i="20"/>
  <c r="O17" i="20" s="1"/>
  <c r="H17" i="7" s="1"/>
  <c r="E14" i="14"/>
  <c r="H14" i="14"/>
  <c r="H14" i="12"/>
  <c r="K14" i="12"/>
  <c r="K14" i="14"/>
  <c r="E14" i="12"/>
  <c r="G14" i="12"/>
  <c r="M14" i="14"/>
  <c r="M14" i="12"/>
  <c r="J14" i="14"/>
  <c r="O14" i="7"/>
  <c r="J14" i="12"/>
  <c r="G14" i="14"/>
  <c r="F17" i="20"/>
  <c r="P14" i="7"/>
  <c r="C11" i="24" s="1"/>
  <c r="L13" i="14"/>
  <c r="I13" i="14"/>
  <c r="F13" i="12"/>
  <c r="L13" i="12"/>
  <c r="T13" i="12" s="1"/>
  <c r="F13" i="14"/>
  <c r="I13" i="12"/>
  <c r="E16" i="20"/>
  <c r="M16" i="20" s="1"/>
  <c r="S13" i="7"/>
  <c r="H16" i="20"/>
  <c r="N16" i="20"/>
  <c r="D12" i="24" l="1"/>
  <c r="B12" i="24"/>
  <c r="G18" i="20"/>
  <c r="O18" i="20" s="1"/>
  <c r="H18" i="7" s="1"/>
  <c r="F18" i="20"/>
  <c r="F16" i="7"/>
  <c r="N16" i="7" s="1"/>
  <c r="U16" i="20"/>
  <c r="N17" i="20"/>
  <c r="H17" i="20"/>
  <c r="M5" i="11"/>
  <c r="G15" i="12"/>
  <c r="G15" i="14"/>
  <c r="O15" i="7"/>
  <c r="J15" i="12"/>
  <c r="J5" i="11"/>
  <c r="J15" i="14"/>
  <c r="M15" i="12"/>
  <c r="M15" i="14"/>
  <c r="G5" i="11"/>
  <c r="P16" i="20"/>
  <c r="I16" i="7" s="1"/>
  <c r="M16" i="7" s="1"/>
  <c r="G16" i="7"/>
  <c r="I14" i="12"/>
  <c r="L14" i="12"/>
  <c r="T14" i="12" s="1"/>
  <c r="L14" i="14"/>
  <c r="F14" i="12"/>
  <c r="I14" i="14"/>
  <c r="F14" i="14"/>
  <c r="E17" i="20"/>
  <c r="M17" i="20" s="1"/>
  <c r="S14" i="7"/>
  <c r="P15" i="7"/>
  <c r="C12" i="24" s="1"/>
  <c r="H15" i="14"/>
  <c r="E15" i="14"/>
  <c r="H15" i="12"/>
  <c r="K15" i="14"/>
  <c r="E5" i="11"/>
  <c r="K5" i="11"/>
  <c r="K15" i="12"/>
  <c r="H5" i="11"/>
  <c r="E15" i="12"/>
  <c r="B13" i="24" l="1"/>
  <c r="D13" i="24"/>
  <c r="G19" i="20"/>
  <c r="O19" i="20" s="1"/>
  <c r="H19" i="7" s="1"/>
  <c r="F19" i="20"/>
  <c r="N18" i="20"/>
  <c r="H18" i="20"/>
  <c r="F17" i="7"/>
  <c r="N17" i="7" s="1"/>
  <c r="U17" i="20"/>
  <c r="P17" i="20"/>
  <c r="I17" i="7" s="1"/>
  <c r="M17" i="7" s="1"/>
  <c r="G17" i="7"/>
  <c r="G16" i="12"/>
  <c r="M16" i="14"/>
  <c r="J16" i="14"/>
  <c r="J16" i="12"/>
  <c r="G16" i="14"/>
  <c r="O16" i="7"/>
  <c r="M16" i="12"/>
  <c r="E18" i="20"/>
  <c r="M18" i="20" s="1"/>
  <c r="I15" i="12"/>
  <c r="F5" i="11"/>
  <c r="I5" i="11"/>
  <c r="L5" i="11"/>
  <c r="L15" i="14"/>
  <c r="I15" i="14"/>
  <c r="F15" i="14"/>
  <c r="L15" i="12"/>
  <c r="T15" i="12" s="1"/>
  <c r="F15" i="12"/>
  <c r="E16" i="14"/>
  <c r="K16" i="14"/>
  <c r="H16" i="12"/>
  <c r="K16" i="12"/>
  <c r="E16" i="12"/>
  <c r="H16" i="14"/>
  <c r="P16" i="7"/>
  <c r="C13" i="24" s="1"/>
  <c r="S15" i="7"/>
  <c r="D14" i="24" l="1"/>
  <c r="B14" i="24"/>
  <c r="G18" i="7"/>
  <c r="P18" i="20"/>
  <c r="I18" i="7" s="1"/>
  <c r="M18" i="7" s="1"/>
  <c r="E19" i="20"/>
  <c r="M19" i="20" s="1"/>
  <c r="S16" i="7"/>
  <c r="N19" i="20"/>
  <c r="H19" i="20"/>
  <c r="P17" i="7"/>
  <c r="C14" i="24" s="1"/>
  <c r="L16" i="12"/>
  <c r="T16" i="12" s="1"/>
  <c r="F16" i="14"/>
  <c r="L16" i="14"/>
  <c r="F16" i="12"/>
  <c r="I16" i="14"/>
  <c r="I16" i="12"/>
  <c r="G20" i="20"/>
  <c r="O20" i="20" s="1"/>
  <c r="H20" i="7" s="1"/>
  <c r="J5" i="8"/>
  <c r="O17" i="7"/>
  <c r="J17" i="14"/>
  <c r="M17" i="14"/>
  <c r="J17" i="12"/>
  <c r="G5" i="8"/>
  <c r="G17" i="14"/>
  <c r="M5" i="8"/>
  <c r="G17" i="12"/>
  <c r="M17" i="12"/>
  <c r="E17" i="12"/>
  <c r="H17" i="12"/>
  <c r="K5" i="8"/>
  <c r="K17" i="14"/>
  <c r="K17" i="12"/>
  <c r="E17" i="14"/>
  <c r="H17" i="14"/>
  <c r="E5" i="8"/>
  <c r="H5" i="8"/>
  <c r="U18" i="20"/>
  <c r="F18" i="7"/>
  <c r="N18" i="7" s="1"/>
  <c r="F20" i="20"/>
  <c r="B15" i="24" l="1"/>
  <c r="D15" i="24"/>
  <c r="P19" i="20"/>
  <c r="I19" i="7" s="1"/>
  <c r="M19" i="7" s="1"/>
  <c r="G19" i="7"/>
  <c r="J18" i="12"/>
  <c r="G6" i="8"/>
  <c r="O18" i="7"/>
  <c r="M18" i="12"/>
  <c r="M6" i="8"/>
  <c r="G18" i="14"/>
  <c r="J18" i="14"/>
  <c r="G18" i="12"/>
  <c r="M18" i="14"/>
  <c r="J6" i="8"/>
  <c r="I17" i="14"/>
  <c r="L5" i="8"/>
  <c r="T5" i="8" s="1"/>
  <c r="L17" i="12"/>
  <c r="T17" i="12" s="1"/>
  <c r="F17" i="12"/>
  <c r="L17" i="14"/>
  <c r="I17" i="12"/>
  <c r="I5" i="8"/>
  <c r="F17" i="14"/>
  <c r="F5" i="8"/>
  <c r="E20" i="20"/>
  <c r="M20" i="20" s="1"/>
  <c r="K18" i="12"/>
  <c r="E18" i="14"/>
  <c r="H18" i="12"/>
  <c r="K6" i="8"/>
  <c r="E6" i="8"/>
  <c r="E18" i="12"/>
  <c r="H18" i="14"/>
  <c r="K18" i="14"/>
  <c r="H6" i="8"/>
  <c r="F21" i="20"/>
  <c r="G21" i="20"/>
  <c r="O21" i="20" s="1"/>
  <c r="H21" i="7" s="1"/>
  <c r="N20" i="20"/>
  <c r="H20" i="20"/>
  <c r="S17" i="7"/>
  <c r="F19" i="7"/>
  <c r="N19" i="7" s="1"/>
  <c r="U19" i="20"/>
  <c r="P18" i="7"/>
  <c r="C15" i="24" s="1"/>
  <c r="B16" i="24" l="1"/>
  <c r="D16" i="24"/>
  <c r="F6" i="8"/>
  <c r="F18" i="14"/>
  <c r="I18" i="14"/>
  <c r="I6" i="8"/>
  <c r="L18" i="12"/>
  <c r="T18" i="12" s="1"/>
  <c r="I18" i="12"/>
  <c r="L6" i="8"/>
  <c r="T6" i="8" s="1"/>
  <c r="F18" i="12"/>
  <c r="L18" i="14"/>
  <c r="E21" i="20"/>
  <c r="M21" i="20" s="1"/>
  <c r="J7" i="8"/>
  <c r="O19" i="7"/>
  <c r="G19" i="12"/>
  <c r="J19" i="12"/>
  <c r="M7" i="8"/>
  <c r="M19" i="12"/>
  <c r="G7" i="8"/>
  <c r="K7" i="8"/>
  <c r="E7" i="8"/>
  <c r="H7" i="8"/>
  <c r="K19" i="12"/>
  <c r="H19" i="12"/>
  <c r="E19" i="12"/>
  <c r="F22" i="20"/>
  <c r="U20" i="20"/>
  <c r="F20" i="7"/>
  <c r="N20" i="7" s="1"/>
  <c r="H21" i="20"/>
  <c r="N21" i="20"/>
  <c r="P19" i="7"/>
  <c r="C16" i="24" s="1"/>
  <c r="S18" i="7"/>
  <c r="G22" i="20"/>
  <c r="O22" i="20" s="1"/>
  <c r="H22" i="7" s="1"/>
  <c r="G20" i="7"/>
  <c r="P20" i="20"/>
  <c r="I20" i="7" s="1"/>
  <c r="M20" i="7" s="1"/>
  <c r="B17" i="24" l="1"/>
  <c r="D17" i="24"/>
  <c r="O20" i="7"/>
  <c r="G8" i="8"/>
  <c r="M20" i="12"/>
  <c r="G20" i="12"/>
  <c r="J8" i="8"/>
  <c r="M8" i="8"/>
  <c r="J20" i="12"/>
  <c r="F21" i="7"/>
  <c r="N21" i="7" s="1"/>
  <c r="U21" i="20"/>
  <c r="K20" i="12"/>
  <c r="E20" i="12"/>
  <c r="E8" i="8"/>
  <c r="H20" i="12"/>
  <c r="H8" i="8"/>
  <c r="K8" i="8"/>
  <c r="G23" i="20"/>
  <c r="O23" i="20" s="1"/>
  <c r="P20" i="7"/>
  <c r="C17" i="24" s="1"/>
  <c r="P21" i="20"/>
  <c r="I21" i="7" s="1"/>
  <c r="M21" i="7" s="1"/>
  <c r="G21" i="7"/>
  <c r="E22" i="20"/>
  <c r="M22" i="20" s="1"/>
  <c r="F23" i="20"/>
  <c r="I7" i="8"/>
  <c r="L7" i="8"/>
  <c r="T7" i="8" s="1"/>
  <c r="F7" i="8"/>
  <c r="L19" i="12"/>
  <c r="T19" i="12" s="1"/>
  <c r="F19" i="12"/>
  <c r="I19" i="12"/>
  <c r="N22" i="20"/>
  <c r="H22" i="20"/>
  <c r="S19" i="7"/>
  <c r="K5" i="9" l="1"/>
  <c r="H23" i="7"/>
  <c r="D18" i="24"/>
  <c r="B18" i="24"/>
  <c r="F20" i="12"/>
  <c r="L8" i="8"/>
  <c r="T8" i="8" s="1"/>
  <c r="F8" i="8"/>
  <c r="L20" i="12"/>
  <c r="T20" i="12" s="1"/>
  <c r="I20" i="12"/>
  <c r="I8" i="8"/>
  <c r="G24" i="20"/>
  <c r="O24" i="20" s="1"/>
  <c r="P22" i="20"/>
  <c r="I22" i="7" s="1"/>
  <c r="M22" i="7" s="1"/>
  <c r="G22" i="7"/>
  <c r="H23" i="20"/>
  <c r="N23" i="20"/>
  <c r="E23" i="20"/>
  <c r="M23" i="20" s="1"/>
  <c r="P21" i="7"/>
  <c r="C18" i="24" s="1"/>
  <c r="M5" i="9"/>
  <c r="M9" i="8"/>
  <c r="J21" i="12"/>
  <c r="J5" i="9"/>
  <c r="O21" i="7"/>
  <c r="M21" i="12"/>
  <c r="G21" i="12"/>
  <c r="G5" i="9"/>
  <c r="G9" i="8"/>
  <c r="J9" i="8"/>
  <c r="U22" i="20"/>
  <c r="F22" i="7"/>
  <c r="N22" i="7" s="1"/>
  <c r="H21" i="12"/>
  <c r="E21" i="12"/>
  <c r="H9" i="8"/>
  <c r="K21" i="12"/>
  <c r="K9" i="8"/>
  <c r="H5" i="9"/>
  <c r="E9" i="8"/>
  <c r="E5" i="9"/>
  <c r="F24" i="20"/>
  <c r="S20" i="7"/>
  <c r="H24" i="7" l="1"/>
  <c r="B19" i="24"/>
  <c r="D19" i="24"/>
  <c r="P22" i="7"/>
  <c r="C19" i="24" s="1"/>
  <c r="F23" i="7"/>
  <c r="N23" i="7" s="1"/>
  <c r="U23" i="20"/>
  <c r="G10" i="8"/>
  <c r="J10" i="8"/>
  <c r="M10" i="8"/>
  <c r="M22" i="12"/>
  <c r="G22" i="12"/>
  <c r="J22" i="12"/>
  <c r="O22" i="7"/>
  <c r="G25" i="20"/>
  <c r="O25" i="20" s="1"/>
  <c r="K22" i="12"/>
  <c r="H22" i="12"/>
  <c r="E22" i="12"/>
  <c r="H10" i="8"/>
  <c r="E10" i="8"/>
  <c r="K10" i="8"/>
  <c r="N24" i="20"/>
  <c r="H24" i="20"/>
  <c r="S21" i="7"/>
  <c r="F9" i="8"/>
  <c r="I21" i="12"/>
  <c r="L21" i="12"/>
  <c r="T21" i="12" s="1"/>
  <c r="F5" i="9"/>
  <c r="F21" i="12"/>
  <c r="I5" i="9"/>
  <c r="I9" i="8"/>
  <c r="L9" i="8"/>
  <c r="T9" i="8" s="1"/>
  <c r="L5" i="9"/>
  <c r="P23" i="20"/>
  <c r="I23" i="7" s="1"/>
  <c r="M23" i="7" s="1"/>
  <c r="G23" i="7"/>
  <c r="E24" i="20"/>
  <c r="M24" i="20" s="1"/>
  <c r="F25" i="20"/>
  <c r="H25" i="7" l="1"/>
  <c r="B20" i="24"/>
  <c r="D20" i="24"/>
  <c r="M11" i="8"/>
  <c r="G11" i="8"/>
  <c r="G23" i="12"/>
  <c r="J23" i="12"/>
  <c r="O23" i="7"/>
  <c r="J11" i="8"/>
  <c r="M23" i="12"/>
  <c r="P23" i="7"/>
  <c r="C20" i="24" s="1"/>
  <c r="G26" i="20"/>
  <c r="O26" i="20" s="1"/>
  <c r="S22" i="7"/>
  <c r="U24" i="20"/>
  <c r="F24" i="7"/>
  <c r="N24" i="7" s="1"/>
  <c r="E11" i="8"/>
  <c r="H11" i="8"/>
  <c r="K11" i="8"/>
  <c r="H23" i="12"/>
  <c r="E23" i="12"/>
  <c r="K23" i="12"/>
  <c r="P24" i="20"/>
  <c r="I24" i="7" s="1"/>
  <c r="M24" i="7" s="1"/>
  <c r="G24" i="7"/>
  <c r="I10" i="8"/>
  <c r="L10" i="8"/>
  <c r="T10" i="8" s="1"/>
  <c r="F10" i="8"/>
  <c r="L22" i="12"/>
  <c r="T22" i="12" s="1"/>
  <c r="I22" i="12"/>
  <c r="F22" i="12"/>
  <c r="F26" i="20"/>
  <c r="H25" i="20"/>
  <c r="N25" i="20"/>
  <c r="E25" i="20"/>
  <c r="M25" i="20" s="1"/>
  <c r="H26" i="7" l="1"/>
  <c r="B21" i="24"/>
  <c r="D21" i="24"/>
  <c r="G25" i="7"/>
  <c r="P25" i="20"/>
  <c r="I25" i="7" s="1"/>
  <c r="M25" i="7" s="1"/>
  <c r="K12" i="8"/>
  <c r="H76" i="19"/>
  <c r="F73" i="21" s="1"/>
  <c r="K24" i="12"/>
  <c r="H218" i="19"/>
  <c r="F215" i="21" s="1"/>
  <c r="E147" i="19"/>
  <c r="C144" i="21" s="1"/>
  <c r="E360" i="19"/>
  <c r="C357" i="21" s="1"/>
  <c r="E24" i="12"/>
  <c r="E289" i="19"/>
  <c r="C286" i="21" s="1"/>
  <c r="K218" i="19"/>
  <c r="K360" i="19"/>
  <c r="K76" i="19"/>
  <c r="H147" i="19"/>
  <c r="F144" i="21" s="1"/>
  <c r="H24" i="12"/>
  <c r="H289" i="19"/>
  <c r="F286" i="21" s="1"/>
  <c r="E76" i="19"/>
  <c r="C73" i="21" s="1"/>
  <c r="E218" i="19"/>
  <c r="C215" i="21" s="1"/>
  <c r="E5" i="19"/>
  <c r="C2" i="21" s="1"/>
  <c r="K289" i="19"/>
  <c r="H12" i="8"/>
  <c r="H5" i="19"/>
  <c r="F2" i="21" s="1"/>
  <c r="E12" i="8"/>
  <c r="K5" i="19"/>
  <c r="K147" i="19"/>
  <c r="H360" i="19"/>
  <c r="F357" i="21" s="1"/>
  <c r="I11" i="8"/>
  <c r="F11" i="8"/>
  <c r="L23" i="12"/>
  <c r="T23" i="12" s="1"/>
  <c r="I23" i="12"/>
  <c r="F23" i="12"/>
  <c r="L11" i="8"/>
  <c r="T11" i="8" s="1"/>
  <c r="F27" i="20"/>
  <c r="F25" i="7"/>
  <c r="N25" i="7" s="1"/>
  <c r="U25" i="20"/>
  <c r="G218" i="19"/>
  <c r="E215" i="21" s="1"/>
  <c r="M218" i="19"/>
  <c r="J218" i="19"/>
  <c r="J5" i="19"/>
  <c r="M5" i="19"/>
  <c r="G76" i="19"/>
  <c r="E73" i="21" s="1"/>
  <c r="G360" i="19"/>
  <c r="E357" i="21" s="1"/>
  <c r="M360" i="19"/>
  <c r="G24" i="12"/>
  <c r="J147" i="19"/>
  <c r="M147" i="19"/>
  <c r="J24" i="12"/>
  <c r="G12" i="8"/>
  <c r="J12" i="8"/>
  <c r="J289" i="19"/>
  <c r="M24" i="12"/>
  <c r="M76" i="19"/>
  <c r="J360" i="19"/>
  <c r="M289" i="19"/>
  <c r="M12" i="8"/>
  <c r="J76" i="19"/>
  <c r="G147" i="19"/>
  <c r="E144" i="21" s="1"/>
  <c r="G5" i="19"/>
  <c r="E2" i="21" s="1"/>
  <c r="O24" i="7"/>
  <c r="G289" i="19"/>
  <c r="E286" i="21" s="1"/>
  <c r="E26" i="20"/>
  <c r="M26" i="20" s="1"/>
  <c r="P24" i="7"/>
  <c r="C21" i="24" s="1"/>
  <c r="N26" i="20"/>
  <c r="H26" i="20"/>
  <c r="G27" i="20"/>
  <c r="O27" i="20" s="1"/>
  <c r="S23" i="7"/>
  <c r="H27" i="7" l="1"/>
  <c r="B22" i="24"/>
  <c r="D22" i="24"/>
  <c r="F360" i="19"/>
  <c r="D357" i="21" s="1"/>
  <c r="L76" i="19"/>
  <c r="F24" i="12"/>
  <c r="I147" i="19"/>
  <c r="I12" i="8"/>
  <c r="L147" i="19"/>
  <c r="F147" i="19"/>
  <c r="D144" i="21" s="1"/>
  <c r="L289" i="19"/>
  <c r="F289" i="19"/>
  <c r="D286" i="21" s="1"/>
  <c r="L24" i="12"/>
  <c r="T24" i="12" s="1"/>
  <c r="I360" i="19"/>
  <c r="L5" i="19"/>
  <c r="F218" i="19"/>
  <c r="D215" i="21" s="1"/>
  <c r="F76" i="19"/>
  <c r="D73" i="21" s="1"/>
  <c r="I218" i="19"/>
  <c r="I5" i="19"/>
  <c r="F12" i="8"/>
  <c r="L12" i="8"/>
  <c r="T12" i="8" s="1"/>
  <c r="F5" i="19"/>
  <c r="D2" i="21" s="1"/>
  <c r="I289" i="19"/>
  <c r="I76" i="19"/>
  <c r="L360" i="19"/>
  <c r="L218" i="19"/>
  <c r="I24" i="12"/>
  <c r="S24" i="7"/>
  <c r="N27" i="20"/>
  <c r="H27" i="20"/>
  <c r="G28" i="20"/>
  <c r="O28" i="20" s="1"/>
  <c r="F28" i="20"/>
  <c r="H6" i="19"/>
  <c r="F3" i="21" s="1"/>
  <c r="H290" i="19"/>
  <c r="F287" i="21" s="1"/>
  <c r="H148" i="19"/>
  <c r="F145" i="21" s="1"/>
  <c r="H25" i="12"/>
  <c r="K148" i="19"/>
  <c r="E25" i="12"/>
  <c r="K25" i="12"/>
  <c r="K13" i="8"/>
  <c r="K361" i="19"/>
  <c r="E290" i="19"/>
  <c r="C287" i="21" s="1"/>
  <c r="E6" i="19"/>
  <c r="C3" i="21" s="1"/>
  <c r="K6" i="19"/>
  <c r="E361" i="19"/>
  <c r="C358" i="21" s="1"/>
  <c r="H361" i="19"/>
  <c r="F358" i="21" s="1"/>
  <c r="K77" i="19"/>
  <c r="H219" i="19"/>
  <c r="F216" i="21" s="1"/>
  <c r="E148" i="19"/>
  <c r="C145" i="21" s="1"/>
  <c r="E219" i="19"/>
  <c r="C216" i="21" s="1"/>
  <c r="K219" i="19"/>
  <c r="E13" i="8"/>
  <c r="H77" i="19"/>
  <c r="F74" i="21" s="1"/>
  <c r="K290" i="19"/>
  <c r="E77" i="19"/>
  <c r="C74" i="21" s="1"/>
  <c r="H13" i="8"/>
  <c r="G26" i="7"/>
  <c r="P26" i="20"/>
  <c r="I26" i="7" s="1"/>
  <c r="M26" i="7" s="1"/>
  <c r="M219" i="19"/>
  <c r="M361" i="19"/>
  <c r="J219" i="19"/>
  <c r="J361" i="19"/>
  <c r="G148" i="19"/>
  <c r="E145" i="21" s="1"/>
  <c r="G25" i="12"/>
  <c r="J25" i="12"/>
  <c r="G290" i="19"/>
  <c r="E287" i="21" s="1"/>
  <c r="J13" i="8"/>
  <c r="M148" i="19"/>
  <c r="J6" i="19"/>
  <c r="G6" i="19"/>
  <c r="E3" i="21" s="1"/>
  <c r="M290" i="19"/>
  <c r="J290" i="19"/>
  <c r="M25" i="12"/>
  <c r="O25" i="7"/>
  <c r="J148" i="19"/>
  <c r="M13" i="8"/>
  <c r="M6" i="19"/>
  <c r="G77" i="19"/>
  <c r="E74" i="21" s="1"/>
  <c r="J77" i="19"/>
  <c r="G361" i="19"/>
  <c r="E358" i="21" s="1"/>
  <c r="M77" i="19"/>
  <c r="G219" i="19"/>
  <c r="E216" i="21" s="1"/>
  <c r="G13" i="8"/>
  <c r="E27" i="20"/>
  <c r="M27" i="20" s="1"/>
  <c r="F26" i="7"/>
  <c r="N26" i="7" s="1"/>
  <c r="U26" i="20"/>
  <c r="P25" i="7"/>
  <c r="C22" i="24" s="1"/>
  <c r="H28" i="7" l="1"/>
  <c r="B23" i="24"/>
  <c r="D23" i="24"/>
  <c r="G29" i="20"/>
  <c r="O29" i="20" s="1"/>
  <c r="F25" i="12"/>
  <c r="I361" i="19"/>
  <c r="L25" i="12"/>
  <c r="T25" i="12" s="1"/>
  <c r="L290" i="19"/>
  <c r="I290" i="19"/>
  <c r="F361" i="19"/>
  <c r="D358" i="21" s="1"/>
  <c r="F148" i="19"/>
  <c r="D145" i="21" s="1"/>
  <c r="I13" i="8"/>
  <c r="L13" i="8"/>
  <c r="T13" i="8" s="1"/>
  <c r="F13" i="8"/>
  <c r="I77" i="19"/>
  <c r="L6" i="19"/>
  <c r="I219" i="19"/>
  <c r="L148" i="19"/>
  <c r="F77" i="19"/>
  <c r="D74" i="21" s="1"/>
  <c r="L361" i="19"/>
  <c r="F290" i="19"/>
  <c r="D287" i="21" s="1"/>
  <c r="I6" i="19"/>
  <c r="F6" i="19"/>
  <c r="D3" i="21" s="1"/>
  <c r="L77" i="19"/>
  <c r="I25" i="12"/>
  <c r="L219" i="19"/>
  <c r="F219" i="19"/>
  <c r="D216" i="21" s="1"/>
  <c r="I148" i="19"/>
  <c r="F27" i="7"/>
  <c r="N27" i="7" s="1"/>
  <c r="U27" i="20"/>
  <c r="K220" i="19"/>
  <c r="K7" i="19"/>
  <c r="E26" i="12"/>
  <c r="K291" i="19"/>
  <c r="H220" i="19"/>
  <c r="F217" i="21" s="1"/>
  <c r="K362" i="19"/>
  <c r="E220" i="19"/>
  <c r="C217" i="21" s="1"/>
  <c r="H7" i="19"/>
  <c r="F4" i="21" s="1"/>
  <c r="E362" i="19"/>
  <c r="C359" i="21" s="1"/>
  <c r="K78" i="19"/>
  <c r="H362" i="19"/>
  <c r="F359" i="21" s="1"/>
  <c r="K149" i="19"/>
  <c r="E149" i="19"/>
  <c r="C146" i="21" s="1"/>
  <c r="K14" i="8"/>
  <c r="E7" i="19"/>
  <c r="C4" i="21" s="1"/>
  <c r="E78" i="19"/>
  <c r="C75" i="21" s="1"/>
  <c r="E291" i="19"/>
  <c r="C288" i="21" s="1"/>
  <c r="K26" i="12"/>
  <c r="H26" i="12"/>
  <c r="H149" i="19"/>
  <c r="F146" i="21" s="1"/>
  <c r="H78" i="19"/>
  <c r="F75" i="21" s="1"/>
  <c r="E14" i="8"/>
  <c r="H14" i="8"/>
  <c r="H291" i="19"/>
  <c r="F288" i="21" s="1"/>
  <c r="S25" i="7"/>
  <c r="M7" i="19"/>
  <c r="G220" i="19"/>
  <c r="E217" i="21" s="1"/>
  <c r="J7" i="19"/>
  <c r="M362" i="19"/>
  <c r="J362" i="19"/>
  <c r="M291" i="19"/>
  <c r="J220" i="19"/>
  <c r="J291" i="19"/>
  <c r="G78" i="19"/>
  <c r="E75" i="21" s="1"/>
  <c r="G26" i="12"/>
  <c r="J78" i="19"/>
  <c r="G291" i="19"/>
  <c r="E288" i="21" s="1"/>
  <c r="O26" i="7"/>
  <c r="M26" i="12"/>
  <c r="G362" i="19"/>
  <c r="E359" i="21" s="1"/>
  <c r="J149" i="19"/>
  <c r="M220" i="19"/>
  <c r="G7" i="19"/>
  <c r="E4" i="21" s="1"/>
  <c r="G149" i="19"/>
  <c r="E146" i="21" s="1"/>
  <c r="G14" i="8"/>
  <c r="J14" i="8"/>
  <c r="J26" i="12"/>
  <c r="M14" i="8"/>
  <c r="M78" i="19"/>
  <c r="M149" i="19"/>
  <c r="N28" i="20"/>
  <c r="H28" i="20"/>
  <c r="P27" i="20"/>
  <c r="I27" i="7" s="1"/>
  <c r="M27" i="7" s="1"/>
  <c r="G27" i="7"/>
  <c r="P26" i="7"/>
  <c r="C23" i="24" s="1"/>
  <c r="F29" i="20"/>
  <c r="E28" i="20"/>
  <c r="M28" i="20" s="1"/>
  <c r="H29" i="7" l="1"/>
  <c r="B24" i="24"/>
  <c r="D24" i="24"/>
  <c r="I220" i="19"/>
  <c r="L362" i="19"/>
  <c r="L78" i="19"/>
  <c r="L14" i="8"/>
  <c r="T14" i="8" s="1"/>
  <c r="I26" i="12"/>
  <c r="I149" i="19"/>
  <c r="I362" i="19"/>
  <c r="F78" i="19"/>
  <c r="D75" i="21" s="1"/>
  <c r="L220" i="19"/>
  <c r="I78" i="19"/>
  <c r="F220" i="19"/>
  <c r="D217" i="21" s="1"/>
  <c r="L7" i="19"/>
  <c r="I291" i="19"/>
  <c r="L26" i="12"/>
  <c r="T26" i="12" s="1"/>
  <c r="F14" i="8"/>
  <c r="I14" i="8"/>
  <c r="F291" i="19"/>
  <c r="D288" i="21" s="1"/>
  <c r="F149" i="19"/>
  <c r="D146" i="21" s="1"/>
  <c r="I7" i="19"/>
  <c r="F7" i="19"/>
  <c r="D4" i="21" s="1"/>
  <c r="F362" i="19"/>
  <c r="D359" i="21" s="1"/>
  <c r="L291" i="19"/>
  <c r="L149" i="19"/>
  <c r="F26" i="12"/>
  <c r="E29" i="20"/>
  <c r="M29" i="20" s="1"/>
  <c r="U28" i="20"/>
  <c r="F28" i="7"/>
  <c r="N28" i="7" s="1"/>
  <c r="S26" i="7"/>
  <c r="O27" i="7"/>
  <c r="J27" i="12"/>
  <c r="G5" i="13"/>
  <c r="G15" i="8"/>
  <c r="M363" i="19"/>
  <c r="J5" i="13"/>
  <c r="J8" i="19"/>
  <c r="M5" i="13"/>
  <c r="G8" i="19"/>
  <c r="E5" i="21" s="1"/>
  <c r="M27" i="12"/>
  <c r="M8" i="19"/>
  <c r="G292" i="19"/>
  <c r="E289" i="21" s="1"/>
  <c r="G150" i="19"/>
  <c r="E147" i="21" s="1"/>
  <c r="J15" i="8"/>
  <c r="G79" i="19"/>
  <c r="E76" i="21" s="1"/>
  <c r="G363" i="19"/>
  <c r="E360" i="21" s="1"/>
  <c r="J150" i="19"/>
  <c r="J292" i="19"/>
  <c r="J363" i="19"/>
  <c r="M292" i="19"/>
  <c r="J221" i="19"/>
  <c r="M15" i="8"/>
  <c r="M150" i="19"/>
  <c r="G27" i="12"/>
  <c r="J79" i="19"/>
  <c r="M79" i="19"/>
  <c r="G221" i="19"/>
  <c r="E218" i="21" s="1"/>
  <c r="M221" i="19"/>
  <c r="H363" i="19"/>
  <c r="F360" i="21" s="1"/>
  <c r="K8" i="19"/>
  <c r="E363" i="19"/>
  <c r="C360" i="21" s="1"/>
  <c r="H79" i="19"/>
  <c r="F76" i="21" s="1"/>
  <c r="H8" i="19"/>
  <c r="F5" i="21" s="1"/>
  <c r="E15" i="8"/>
  <c r="K15" i="8"/>
  <c r="H150" i="19"/>
  <c r="F147" i="21" s="1"/>
  <c r="K292" i="19"/>
  <c r="E5" i="13"/>
  <c r="H27" i="12"/>
  <c r="K79" i="19"/>
  <c r="E8" i="19"/>
  <c r="C5" i="21" s="1"/>
  <c r="K27" i="12"/>
  <c r="K363" i="19"/>
  <c r="K150" i="19"/>
  <c r="H292" i="19"/>
  <c r="F289" i="21" s="1"/>
  <c r="E150" i="19"/>
  <c r="C147" i="21" s="1"/>
  <c r="E79" i="19"/>
  <c r="C76" i="21" s="1"/>
  <c r="H5" i="13"/>
  <c r="K221" i="19"/>
  <c r="H221" i="19"/>
  <c r="F218" i="21" s="1"/>
  <c r="H15" i="8"/>
  <c r="K5" i="13"/>
  <c r="E292" i="19"/>
  <c r="C289" i="21" s="1"/>
  <c r="E27" i="12"/>
  <c r="E221" i="19"/>
  <c r="C218" i="21" s="1"/>
  <c r="H29" i="20"/>
  <c r="N29" i="20"/>
  <c r="G30" i="20"/>
  <c r="O30" i="20" s="1"/>
  <c r="P28" i="20"/>
  <c r="I28" i="7" s="1"/>
  <c r="M28" i="7" s="1"/>
  <c r="G28" i="7"/>
  <c r="F30" i="20"/>
  <c r="P27" i="7"/>
  <c r="C24" i="24" l="1"/>
  <c r="L8" i="19"/>
  <c r="H30" i="7"/>
  <c r="B25" i="24"/>
  <c r="D25" i="24"/>
  <c r="S27" i="7"/>
  <c r="E30" i="20"/>
  <c r="M30" i="20" s="1"/>
  <c r="F31" i="20"/>
  <c r="L27" i="12"/>
  <c r="T27" i="12" s="1"/>
  <c r="F150" i="19"/>
  <c r="D147" i="21" s="1"/>
  <c r="I8" i="19"/>
  <c r="F363" i="19"/>
  <c r="D360" i="21" s="1"/>
  <c r="F5" i="13"/>
  <c r="L15" i="8"/>
  <c r="T15" i="8" s="1"/>
  <c r="L150" i="19"/>
  <c r="I363" i="19"/>
  <c r="F79" i="19"/>
  <c r="D76" i="21" s="1"/>
  <c r="L5" i="13"/>
  <c r="L292" i="19"/>
  <c r="L79" i="19"/>
  <c r="I221" i="19"/>
  <c r="I27" i="12"/>
  <c r="I79" i="19"/>
  <c r="I15" i="8"/>
  <c r="L221" i="19"/>
  <c r="F292" i="19"/>
  <c r="D289" i="21" s="1"/>
  <c r="I292" i="19"/>
  <c r="I150" i="19"/>
  <c r="I5" i="13"/>
  <c r="F15" i="8"/>
  <c r="F27" i="12"/>
  <c r="L363" i="19"/>
  <c r="F221" i="19"/>
  <c r="D218" i="21" s="1"/>
  <c r="F8" i="19"/>
  <c r="D5" i="21" s="1"/>
  <c r="P28" i="7"/>
  <c r="N30" i="20"/>
  <c r="H30" i="20"/>
  <c r="G31" i="20"/>
  <c r="O31" i="20" s="1"/>
  <c r="F29" i="7"/>
  <c r="N29" i="7" s="1"/>
  <c r="U29" i="20"/>
  <c r="J293" i="19"/>
  <c r="G9" i="19"/>
  <c r="E6" i="21" s="1"/>
  <c r="G80" i="19"/>
  <c r="E77" i="21" s="1"/>
  <c r="M28" i="12"/>
  <c r="G222" i="19"/>
  <c r="E219" i="21" s="1"/>
  <c r="J9" i="19"/>
  <c r="G364" i="19"/>
  <c r="E361" i="21" s="1"/>
  <c r="M364" i="19"/>
  <c r="M80" i="19"/>
  <c r="G151" i="19"/>
  <c r="E148" i="21" s="1"/>
  <c r="J28" i="12"/>
  <c r="M293" i="19"/>
  <c r="G28" i="12"/>
  <c r="G16" i="8"/>
  <c r="M151" i="19"/>
  <c r="M9" i="19"/>
  <c r="G293" i="19"/>
  <c r="E290" i="21" s="1"/>
  <c r="J222" i="19"/>
  <c r="J364" i="19"/>
  <c r="O28" i="7"/>
  <c r="M222" i="19"/>
  <c r="J151" i="19"/>
  <c r="M16" i="8"/>
  <c r="J80" i="19"/>
  <c r="J16" i="8"/>
  <c r="H16" i="8"/>
  <c r="H222" i="19"/>
  <c r="F219" i="21" s="1"/>
  <c r="E364" i="19"/>
  <c r="C361" i="21" s="1"/>
  <c r="K364" i="19"/>
  <c r="K222" i="19"/>
  <c r="E80" i="19"/>
  <c r="C77" i="21" s="1"/>
  <c r="H80" i="19"/>
  <c r="F77" i="21" s="1"/>
  <c r="K16" i="8"/>
  <c r="E222" i="19"/>
  <c r="C219" i="21" s="1"/>
  <c r="E16" i="8"/>
  <c r="E151" i="19"/>
  <c r="C148" i="21" s="1"/>
  <c r="E28" i="12"/>
  <c r="H293" i="19"/>
  <c r="F290" i="21" s="1"/>
  <c r="K9" i="19"/>
  <c r="K80" i="19"/>
  <c r="H9" i="19"/>
  <c r="F6" i="21" s="1"/>
  <c r="K293" i="19"/>
  <c r="E293" i="19"/>
  <c r="C290" i="21" s="1"/>
  <c r="H364" i="19"/>
  <c r="F361" i="21" s="1"/>
  <c r="K28" i="12"/>
  <c r="E9" i="19"/>
  <c r="C6" i="21" s="1"/>
  <c r="H28" i="12"/>
  <c r="K151" i="19"/>
  <c r="H151" i="19"/>
  <c r="F148" i="21" s="1"/>
  <c r="G29" i="7"/>
  <c r="P29" i="20"/>
  <c r="I29" i="7" s="1"/>
  <c r="M29" i="7" s="1"/>
  <c r="H31" i="7" l="1"/>
  <c r="C25" i="24"/>
  <c r="L16" i="8"/>
  <c r="T16" i="8" s="1"/>
  <c r="B26" i="24"/>
  <c r="D26" i="24"/>
  <c r="I28" i="12"/>
  <c r="I222" i="19"/>
  <c r="L222" i="19"/>
  <c r="F80" i="19"/>
  <c r="D77" i="21" s="1"/>
  <c r="F16" i="8"/>
  <c r="F28" i="12"/>
  <c r="F151" i="19"/>
  <c r="D148" i="21" s="1"/>
  <c r="F364" i="19"/>
  <c r="D361" i="21" s="1"/>
  <c r="I151" i="19"/>
  <c r="I9" i="19"/>
  <c r="L151" i="19"/>
  <c r="F9" i="19"/>
  <c r="D6" i="21" s="1"/>
  <c r="L80" i="19"/>
  <c r="L293" i="19"/>
  <c r="F293" i="19"/>
  <c r="D290" i="21" s="1"/>
  <c r="I80" i="19"/>
  <c r="I293" i="19"/>
  <c r="F222" i="19"/>
  <c r="D219" i="21" s="1"/>
  <c r="I364" i="19"/>
  <c r="I16" i="8"/>
  <c r="L364" i="19"/>
  <c r="L28" i="12"/>
  <c r="T28" i="12" s="1"/>
  <c r="L9" i="19"/>
  <c r="H31" i="20"/>
  <c r="N31" i="20"/>
  <c r="F30" i="7"/>
  <c r="N30" i="7" s="1"/>
  <c r="U30" i="20"/>
  <c r="P30" i="20"/>
  <c r="I30" i="7" s="1"/>
  <c r="M30" i="7" s="1"/>
  <c r="G30" i="7"/>
  <c r="G32" i="20"/>
  <c r="O32" i="20" s="1"/>
  <c r="J17" i="8"/>
  <c r="G152" i="19"/>
  <c r="E149" i="21" s="1"/>
  <c r="M17" i="8"/>
  <c r="M81" i="19"/>
  <c r="J81" i="19"/>
  <c r="J365" i="19"/>
  <c r="M10" i="19"/>
  <c r="M152" i="19"/>
  <c r="J294" i="19"/>
  <c r="J29" i="12"/>
  <c r="G365" i="19"/>
  <c r="E362" i="21" s="1"/>
  <c r="G17" i="8"/>
  <c r="G223" i="19"/>
  <c r="E220" i="21" s="1"/>
  <c r="M29" i="12"/>
  <c r="G29" i="12"/>
  <c r="M365" i="19"/>
  <c r="J223" i="19"/>
  <c r="G294" i="19"/>
  <c r="E291" i="21" s="1"/>
  <c r="J10" i="19"/>
  <c r="O29" i="7"/>
  <c r="G81" i="19"/>
  <c r="E78" i="21" s="1"/>
  <c r="M223" i="19"/>
  <c r="J152" i="19"/>
  <c r="G10" i="19"/>
  <c r="E7" i="21" s="1"/>
  <c r="M294" i="19"/>
  <c r="E31" i="20"/>
  <c r="M31" i="20" s="1"/>
  <c r="K223" i="19"/>
  <c r="H10" i="19"/>
  <c r="F7" i="21" s="1"/>
  <c r="K17" i="8"/>
  <c r="E294" i="19"/>
  <c r="C291" i="21" s="1"/>
  <c r="H294" i="19"/>
  <c r="F291" i="21" s="1"/>
  <c r="E17" i="8"/>
  <c r="K152" i="19"/>
  <c r="E81" i="19"/>
  <c r="C78" i="21" s="1"/>
  <c r="K294" i="19"/>
  <c r="H81" i="19"/>
  <c r="F78" i="21" s="1"/>
  <c r="E365" i="19"/>
  <c r="C362" i="21" s="1"/>
  <c r="H152" i="19"/>
  <c r="F149" i="21" s="1"/>
  <c r="K365" i="19"/>
  <c r="K81" i="19"/>
  <c r="K29" i="12"/>
  <c r="H365" i="19"/>
  <c r="F362" i="21" s="1"/>
  <c r="H17" i="8"/>
  <c r="E152" i="19"/>
  <c r="C149" i="21" s="1"/>
  <c r="K10" i="19"/>
  <c r="H223" i="19"/>
  <c r="F220" i="21" s="1"/>
  <c r="E29" i="12"/>
  <c r="H29" i="12"/>
  <c r="E223" i="19"/>
  <c r="C220" i="21" s="1"/>
  <c r="E10" i="19"/>
  <c r="C7" i="21" s="1"/>
  <c r="F32" i="20"/>
  <c r="S28" i="7"/>
  <c r="P29" i="7"/>
  <c r="C26" i="24" s="1"/>
  <c r="K11" i="19" l="1"/>
  <c r="H32" i="7"/>
  <c r="B27" i="24"/>
  <c r="D27" i="24"/>
  <c r="F31" i="7"/>
  <c r="N31" i="7" s="1"/>
  <c r="U31" i="20"/>
  <c r="G31" i="7"/>
  <c r="P31" i="20"/>
  <c r="I31" i="7" s="1"/>
  <c r="M31" i="7" s="1"/>
  <c r="S29" i="7"/>
  <c r="N32" i="20"/>
  <c r="H32" i="20"/>
  <c r="K153" i="19"/>
  <c r="E366" i="19"/>
  <c r="C363" i="21" s="1"/>
  <c r="H18" i="8"/>
  <c r="E30" i="12"/>
  <c r="K30" i="12"/>
  <c r="H30" i="12"/>
  <c r="E295" i="19"/>
  <c r="C292" i="21" s="1"/>
  <c r="H82" i="19"/>
  <c r="F79" i="21" s="1"/>
  <c r="H295" i="19"/>
  <c r="F292" i="21" s="1"/>
  <c r="K224" i="19"/>
  <c r="K366" i="19"/>
  <c r="K295" i="19"/>
  <c r="E153" i="19"/>
  <c r="C150" i="21" s="1"/>
  <c r="H224" i="19"/>
  <c r="F221" i="21" s="1"/>
  <c r="E18" i="8"/>
  <c r="E11" i="19"/>
  <c r="C8" i="21" s="1"/>
  <c r="H153" i="19"/>
  <c r="F150" i="21" s="1"/>
  <c r="K82" i="19"/>
  <c r="E224" i="19"/>
  <c r="C221" i="21" s="1"/>
  <c r="E82" i="19"/>
  <c r="C79" i="21" s="1"/>
  <c r="H366" i="19"/>
  <c r="F363" i="21" s="1"/>
  <c r="K18" i="8"/>
  <c r="H11" i="19"/>
  <c r="F8" i="21" s="1"/>
  <c r="L152" i="19"/>
  <c r="L17" i="8"/>
  <c r="T17" i="8" s="1"/>
  <c r="F365" i="19"/>
  <c r="D362" i="21" s="1"/>
  <c r="I223" i="19"/>
  <c r="F29" i="12"/>
  <c r="I29" i="12"/>
  <c r="I365" i="19"/>
  <c r="F223" i="19"/>
  <c r="D220" i="21" s="1"/>
  <c r="I17" i="8"/>
  <c r="L294" i="19"/>
  <c r="L365" i="19"/>
  <c r="I152" i="19"/>
  <c r="F294" i="19"/>
  <c r="D291" i="21" s="1"/>
  <c r="I81" i="19"/>
  <c r="I10" i="19"/>
  <c r="F81" i="19"/>
  <c r="D78" i="21" s="1"/>
  <c r="F17" i="8"/>
  <c r="L10" i="19"/>
  <c r="L29" i="12"/>
  <c r="T29" i="12" s="1"/>
  <c r="L223" i="19"/>
  <c r="L81" i="19"/>
  <c r="F152" i="19"/>
  <c r="D149" i="21" s="1"/>
  <c r="I294" i="19"/>
  <c r="F10" i="19"/>
  <c r="D7" i="21" s="1"/>
  <c r="G30" i="12"/>
  <c r="J295" i="19"/>
  <c r="J82" i="19"/>
  <c r="G153" i="19"/>
  <c r="E150" i="21" s="1"/>
  <c r="M11" i="19"/>
  <c r="M18" i="8"/>
  <c r="M366" i="19"/>
  <c r="J153" i="19"/>
  <c r="J224" i="19"/>
  <c r="M153" i="19"/>
  <c r="G18" i="8"/>
  <c r="M30" i="12"/>
  <c r="O30" i="7"/>
  <c r="G224" i="19"/>
  <c r="E221" i="21" s="1"/>
  <c r="G11" i="19"/>
  <c r="E8" i="21" s="1"/>
  <c r="G295" i="19"/>
  <c r="E292" i="21" s="1"/>
  <c r="M224" i="19"/>
  <c r="J366" i="19"/>
  <c r="J11" i="19"/>
  <c r="M295" i="19"/>
  <c r="G82" i="19"/>
  <c r="E79" i="21" s="1"/>
  <c r="G366" i="19"/>
  <c r="E363" i="21" s="1"/>
  <c r="M82" i="19"/>
  <c r="J18" i="8"/>
  <c r="J30" i="12"/>
  <c r="G33" i="20"/>
  <c r="O33" i="20" s="1"/>
  <c r="P30" i="7"/>
  <c r="C27" i="24" s="1"/>
  <c r="E32" i="20"/>
  <c r="M32" i="20" s="1"/>
  <c r="F33" i="20"/>
  <c r="H33" i="7" l="1"/>
  <c r="B28" i="24"/>
  <c r="D28" i="24"/>
  <c r="G32" i="7"/>
  <c r="P32" i="20"/>
  <c r="I32" i="7" s="1"/>
  <c r="M32" i="7" s="1"/>
  <c r="U32" i="20"/>
  <c r="F32" i="7"/>
  <c r="N32" i="7" s="1"/>
  <c r="E225" i="19"/>
  <c r="C222" i="21" s="1"/>
  <c r="H19" i="8"/>
  <c r="K19" i="8"/>
  <c r="K31" i="12"/>
  <c r="K225" i="19"/>
  <c r="H83" i="19"/>
  <c r="F80" i="21" s="1"/>
  <c r="E154" i="19"/>
  <c r="C151" i="21" s="1"/>
  <c r="H296" i="19"/>
  <c r="F293" i="21" s="1"/>
  <c r="E12" i="19"/>
  <c r="C9" i="21" s="1"/>
  <c r="E83" i="19"/>
  <c r="C80" i="21" s="1"/>
  <c r="K12" i="19"/>
  <c r="K154" i="19"/>
  <c r="H225" i="19"/>
  <c r="F222" i="21" s="1"/>
  <c r="H154" i="19"/>
  <c r="F151" i="21" s="1"/>
  <c r="K296" i="19"/>
  <c r="H367" i="19"/>
  <c r="F364" i="21" s="1"/>
  <c r="H12" i="19"/>
  <c r="F9" i="21" s="1"/>
  <c r="E296" i="19"/>
  <c r="C293" i="21" s="1"/>
  <c r="E31" i="12"/>
  <c r="K83" i="19"/>
  <c r="H31" i="12"/>
  <c r="K367" i="19"/>
  <c r="E367" i="19"/>
  <c r="C364" i="21" s="1"/>
  <c r="E19" i="8"/>
  <c r="N33" i="20"/>
  <c r="H33" i="20"/>
  <c r="E33" i="20"/>
  <c r="M33" i="20" s="1"/>
  <c r="L11" i="19"/>
  <c r="I11" i="19"/>
  <c r="I295" i="19"/>
  <c r="F11" i="19"/>
  <c r="D8" i="21" s="1"/>
  <c r="I153" i="19"/>
  <c r="I366" i="19"/>
  <c r="L82" i="19"/>
  <c r="I82" i="19"/>
  <c r="I18" i="8"/>
  <c r="L366" i="19"/>
  <c r="F82" i="19"/>
  <c r="D79" i="21" s="1"/>
  <c r="L153" i="19"/>
  <c r="L30" i="12"/>
  <c r="T30" i="12" s="1"/>
  <c r="L295" i="19"/>
  <c r="F153" i="19"/>
  <c r="D150" i="21" s="1"/>
  <c r="F18" i="8"/>
  <c r="F224" i="19"/>
  <c r="D221" i="21" s="1"/>
  <c r="F30" i="12"/>
  <c r="I30" i="12"/>
  <c r="F295" i="19"/>
  <c r="D292" i="21" s="1"/>
  <c r="I224" i="19"/>
  <c r="L18" i="8"/>
  <c r="T18" i="8" s="1"/>
  <c r="F366" i="19"/>
  <c r="D363" i="21" s="1"/>
  <c r="L224" i="19"/>
  <c r="J31" i="12"/>
  <c r="G19" i="8"/>
  <c r="G31" i="12"/>
  <c r="O31" i="7"/>
  <c r="J154" i="19"/>
  <c r="G225" i="19"/>
  <c r="E222" i="21" s="1"/>
  <c r="M154" i="19"/>
  <c r="G12" i="19"/>
  <c r="E9" i="21" s="1"/>
  <c r="M296" i="19"/>
  <c r="M367" i="19"/>
  <c r="M83" i="19"/>
  <c r="G296" i="19"/>
  <c r="E293" i="21" s="1"/>
  <c r="J83" i="19"/>
  <c r="J225" i="19"/>
  <c r="J12" i="19"/>
  <c r="J296" i="19"/>
  <c r="J367" i="19"/>
  <c r="G83" i="19"/>
  <c r="E80" i="21" s="1"/>
  <c r="M225" i="19"/>
  <c r="M19" i="8"/>
  <c r="M31" i="12"/>
  <c r="J19" i="8"/>
  <c r="G154" i="19"/>
  <c r="E151" i="21" s="1"/>
  <c r="G367" i="19"/>
  <c r="E364" i="21" s="1"/>
  <c r="M12" i="19"/>
  <c r="G34" i="20"/>
  <c r="O34" i="20" s="1"/>
  <c r="S30" i="7"/>
  <c r="F34" i="20"/>
  <c r="P31" i="7"/>
  <c r="C28" i="24" s="1"/>
  <c r="H34" i="7" l="1"/>
  <c r="B29" i="24"/>
  <c r="H6" i="11"/>
  <c r="K6" i="11"/>
  <c r="E6" i="11"/>
  <c r="G6" i="11"/>
  <c r="J6" i="11"/>
  <c r="M6" i="11"/>
  <c r="D29" i="24"/>
  <c r="G35" i="20"/>
  <c r="O35" i="20" s="1"/>
  <c r="E34" i="20"/>
  <c r="M34" i="20" s="1"/>
  <c r="S31" i="7"/>
  <c r="P32" i="7"/>
  <c r="L12" i="19"/>
  <c r="F367" i="19"/>
  <c r="D364" i="21" s="1"/>
  <c r="L154" i="19"/>
  <c r="L367" i="19"/>
  <c r="I296" i="19"/>
  <c r="I83" i="19"/>
  <c r="F19" i="8"/>
  <c r="I31" i="12"/>
  <c r="F296" i="19"/>
  <c r="D293" i="21" s="1"/>
  <c r="F225" i="19"/>
  <c r="D222" i="21" s="1"/>
  <c r="L19" i="8"/>
  <c r="T19" i="8" s="1"/>
  <c r="L225" i="19"/>
  <c r="I19" i="8"/>
  <c r="I225" i="19"/>
  <c r="I154" i="19"/>
  <c r="I367" i="19"/>
  <c r="F83" i="19"/>
  <c r="D80" i="21" s="1"/>
  <c r="L31" i="12"/>
  <c r="T31" i="12" s="1"/>
  <c r="F31" i="12"/>
  <c r="I12" i="19"/>
  <c r="L83" i="19"/>
  <c r="L296" i="19"/>
  <c r="F154" i="19"/>
  <c r="D151" i="21" s="1"/>
  <c r="F12" i="19"/>
  <c r="D9" i="21" s="1"/>
  <c r="F33" i="7"/>
  <c r="N33" i="7" s="1"/>
  <c r="U33" i="20"/>
  <c r="H20" i="8"/>
  <c r="E155" i="19"/>
  <c r="C152" i="21" s="1"/>
  <c r="K368" i="19"/>
  <c r="K32" i="12"/>
  <c r="E32" i="12"/>
  <c r="K297" i="19"/>
  <c r="H32" i="12"/>
  <c r="K226" i="19"/>
  <c r="H226" i="19"/>
  <c r="F223" i="21" s="1"/>
  <c r="H13" i="19"/>
  <c r="F10" i="21" s="1"/>
  <c r="E84" i="19"/>
  <c r="C81" i="21" s="1"/>
  <c r="E297" i="19"/>
  <c r="C294" i="21" s="1"/>
  <c r="E20" i="8"/>
  <c r="K84" i="19"/>
  <c r="H368" i="19"/>
  <c r="F365" i="21" s="1"/>
  <c r="K155" i="19"/>
  <c r="E13" i="19"/>
  <c r="C10" i="21" s="1"/>
  <c r="H155" i="19"/>
  <c r="F152" i="21" s="1"/>
  <c r="H84" i="19"/>
  <c r="F81" i="21" s="1"/>
  <c r="H297" i="19"/>
  <c r="F294" i="21" s="1"/>
  <c r="E368" i="19"/>
  <c r="C365" i="21" s="1"/>
  <c r="K20" i="8"/>
  <c r="K13" i="19"/>
  <c r="E226" i="19"/>
  <c r="C223" i="21" s="1"/>
  <c r="F35" i="20"/>
  <c r="M13" i="19"/>
  <c r="J297" i="19"/>
  <c r="O32" i="7"/>
  <c r="M368" i="19"/>
  <c r="M155" i="19"/>
  <c r="G297" i="19"/>
  <c r="E294" i="21" s="1"/>
  <c r="M32" i="12"/>
  <c r="G84" i="19"/>
  <c r="E81" i="21" s="1"/>
  <c r="G368" i="19"/>
  <c r="E365" i="21" s="1"/>
  <c r="G13" i="19"/>
  <c r="E10" i="21" s="1"/>
  <c r="G32" i="12"/>
  <c r="J84" i="19"/>
  <c r="J32" i="12"/>
  <c r="G20" i="8"/>
  <c r="M226" i="19"/>
  <c r="M20" i="8"/>
  <c r="G226" i="19"/>
  <c r="E223" i="21" s="1"/>
  <c r="G155" i="19"/>
  <c r="E152" i="21" s="1"/>
  <c r="M84" i="19"/>
  <c r="J368" i="19"/>
  <c r="M297" i="19"/>
  <c r="J13" i="19"/>
  <c r="J155" i="19"/>
  <c r="J226" i="19"/>
  <c r="J20" i="8"/>
  <c r="G33" i="7"/>
  <c r="P33" i="20"/>
  <c r="I33" i="7" s="1"/>
  <c r="M33" i="7" s="1"/>
  <c r="H34" i="20"/>
  <c r="N34" i="20"/>
  <c r="H35" i="7" l="1"/>
  <c r="C29" i="24"/>
  <c r="L6" i="11"/>
  <c r="I6" i="11"/>
  <c r="F6" i="11"/>
  <c r="G6" i="9"/>
  <c r="M6" i="9"/>
  <c r="J6" i="9"/>
  <c r="B30" i="24"/>
  <c r="E6" i="9"/>
  <c r="K6" i="9"/>
  <c r="H6" i="9"/>
  <c r="D30" i="24"/>
  <c r="G369" i="19"/>
  <c r="E366" i="21" s="1"/>
  <c r="M14" i="19"/>
  <c r="G33" i="12"/>
  <c r="J21" i="8"/>
  <c r="G14" i="19"/>
  <c r="E11" i="21" s="1"/>
  <c r="J227" i="19"/>
  <c r="M369" i="19"/>
  <c r="O33" i="7"/>
  <c r="M298" i="19"/>
  <c r="M156" i="19"/>
  <c r="M85" i="19"/>
  <c r="J369" i="19"/>
  <c r="J85" i="19"/>
  <c r="J33" i="12"/>
  <c r="G298" i="19"/>
  <c r="E295" i="21" s="1"/>
  <c r="G227" i="19"/>
  <c r="E224" i="21" s="1"/>
  <c r="J14" i="19"/>
  <c r="J156" i="19"/>
  <c r="M227" i="19"/>
  <c r="M33" i="12"/>
  <c r="M21" i="8"/>
  <c r="J298" i="19"/>
  <c r="G156" i="19"/>
  <c r="E153" i="21" s="1"/>
  <c r="G21" i="8"/>
  <c r="G85" i="19"/>
  <c r="E82" i="21" s="1"/>
  <c r="F36" i="20"/>
  <c r="P33" i="7"/>
  <c r="N35" i="20"/>
  <c r="H35" i="20"/>
  <c r="F13" i="19"/>
  <c r="D10" i="21" s="1"/>
  <c r="I13" i="19"/>
  <c r="F368" i="19"/>
  <c r="D365" i="21" s="1"/>
  <c r="I84" i="19"/>
  <c r="L368" i="19"/>
  <c r="I297" i="19"/>
  <c r="F297" i="19"/>
  <c r="D294" i="21" s="1"/>
  <c r="F226" i="19"/>
  <c r="D223" i="21" s="1"/>
  <c r="L155" i="19"/>
  <c r="L13" i="19"/>
  <c r="F84" i="19"/>
  <c r="D81" i="21" s="1"/>
  <c r="L226" i="19"/>
  <c r="I226" i="19"/>
  <c r="F155" i="19"/>
  <c r="D152" i="21" s="1"/>
  <c r="L297" i="19"/>
  <c r="I32" i="12"/>
  <c r="I20" i="8"/>
  <c r="I368" i="19"/>
  <c r="F20" i="8"/>
  <c r="L32" i="12"/>
  <c r="T32" i="12" s="1"/>
  <c r="L20" i="8"/>
  <c r="T20" i="8" s="1"/>
  <c r="F32" i="12"/>
  <c r="L84" i="19"/>
  <c r="I155" i="19"/>
  <c r="S32" i="7"/>
  <c r="G34" i="7"/>
  <c r="P34" i="20"/>
  <c r="I34" i="7" s="1"/>
  <c r="M34" i="7" s="1"/>
  <c r="E35" i="20"/>
  <c r="M35" i="20" s="1"/>
  <c r="F34" i="7"/>
  <c r="N34" i="7" s="1"/>
  <c r="U34" i="20"/>
  <c r="G36" i="20"/>
  <c r="O36" i="20" s="1"/>
  <c r="E85" i="19"/>
  <c r="C82" i="21" s="1"/>
  <c r="K21" i="8"/>
  <c r="E33" i="12"/>
  <c r="K298" i="19"/>
  <c r="K369" i="19"/>
  <c r="H369" i="19"/>
  <c r="F366" i="21" s="1"/>
  <c r="H21" i="8"/>
  <c r="H14" i="19"/>
  <c r="F11" i="21" s="1"/>
  <c r="E156" i="19"/>
  <c r="C153" i="21" s="1"/>
  <c r="E369" i="19"/>
  <c r="C366" i="21" s="1"/>
  <c r="H298" i="19"/>
  <c r="F295" i="21" s="1"/>
  <c r="K156" i="19"/>
  <c r="K85" i="19"/>
  <c r="E227" i="19"/>
  <c r="C224" i="21" s="1"/>
  <c r="H33" i="12"/>
  <c r="K33" i="12"/>
  <c r="H156" i="19"/>
  <c r="F153" i="21" s="1"/>
  <c r="H227" i="19"/>
  <c r="F224" i="21" s="1"/>
  <c r="H85" i="19"/>
  <c r="F82" i="21" s="1"/>
  <c r="K227" i="19"/>
  <c r="K14" i="19"/>
  <c r="E21" i="8"/>
  <c r="E14" i="19"/>
  <c r="C11" i="21" s="1"/>
  <c r="E298" i="19"/>
  <c r="C295" i="21" s="1"/>
  <c r="H36" i="7" l="1"/>
  <c r="B31" i="24"/>
  <c r="C30" i="24"/>
  <c r="I6" i="9"/>
  <c r="L6" i="9"/>
  <c r="F6" i="9"/>
  <c r="D31" i="24"/>
  <c r="K228" i="19"/>
  <c r="E299" i="19"/>
  <c r="C296" i="21" s="1"/>
  <c r="H157" i="19"/>
  <c r="F154" i="21" s="1"/>
  <c r="K22" i="8"/>
  <c r="E22" i="8"/>
  <c r="K299" i="19"/>
  <c r="E228" i="19"/>
  <c r="C225" i="21" s="1"/>
  <c r="H228" i="19"/>
  <c r="F225" i="21" s="1"/>
  <c r="E370" i="19"/>
  <c r="C367" i="21" s="1"/>
  <c r="E15" i="19"/>
  <c r="C12" i="21" s="1"/>
  <c r="K86" i="19"/>
  <c r="K34" i="12"/>
  <c r="K157" i="19"/>
  <c r="H86" i="19"/>
  <c r="F83" i="21" s="1"/>
  <c r="E34" i="12"/>
  <c r="K15" i="19"/>
  <c r="H370" i="19"/>
  <c r="F367" i="21" s="1"/>
  <c r="H15" i="19"/>
  <c r="F12" i="21" s="1"/>
  <c r="H34" i="12"/>
  <c r="H299" i="19"/>
  <c r="F296" i="21" s="1"/>
  <c r="H22" i="8"/>
  <c r="E86" i="19"/>
  <c r="C83" i="21" s="1"/>
  <c r="K370" i="19"/>
  <c r="E157" i="19"/>
  <c r="C154" i="21" s="1"/>
  <c r="F37" i="20"/>
  <c r="M370" i="19"/>
  <c r="M15" i="19"/>
  <c r="G228" i="19"/>
  <c r="E225" i="21" s="1"/>
  <c r="J34" i="12"/>
  <c r="M22" i="8"/>
  <c r="J22" i="8"/>
  <c r="G157" i="19"/>
  <c r="E154" i="21" s="1"/>
  <c r="J228" i="19"/>
  <c r="J157" i="19"/>
  <c r="O34" i="7"/>
  <c r="J86" i="19"/>
  <c r="G86" i="19"/>
  <c r="E83" i="21" s="1"/>
  <c r="J299" i="19"/>
  <c r="G15" i="19"/>
  <c r="E12" i="21" s="1"/>
  <c r="G370" i="19"/>
  <c r="E367" i="21" s="1"/>
  <c r="J15" i="19"/>
  <c r="J370" i="19"/>
  <c r="G22" i="8"/>
  <c r="M34" i="12"/>
  <c r="G299" i="19"/>
  <c r="E296" i="21" s="1"/>
  <c r="G34" i="12"/>
  <c r="M228" i="19"/>
  <c r="M86" i="19"/>
  <c r="M157" i="19"/>
  <c r="M299" i="19"/>
  <c r="P35" i="20"/>
  <c r="I35" i="7" s="1"/>
  <c r="M35" i="7" s="1"/>
  <c r="G35" i="7"/>
  <c r="P34" i="7"/>
  <c r="C31" i="24" s="1"/>
  <c r="G37" i="20"/>
  <c r="O37" i="20" s="1"/>
  <c r="S33" i="7"/>
  <c r="F35" i="7"/>
  <c r="N35" i="7" s="1"/>
  <c r="U35" i="20"/>
  <c r="H36" i="20"/>
  <c r="N36" i="20"/>
  <c r="E36" i="20"/>
  <c r="M36" i="20" s="1"/>
  <c r="I33" i="12"/>
  <c r="F369" i="19"/>
  <c r="D366" i="21" s="1"/>
  <c r="I298" i="19"/>
  <c r="L33" i="12"/>
  <c r="T33" i="12" s="1"/>
  <c r="I85" i="19"/>
  <c r="L156" i="19"/>
  <c r="F298" i="19"/>
  <c r="D295" i="21" s="1"/>
  <c r="F156" i="19"/>
  <c r="D153" i="21" s="1"/>
  <c r="F33" i="12"/>
  <c r="L21" i="8"/>
  <c r="T21" i="8" s="1"/>
  <c r="I227" i="19"/>
  <c r="I14" i="19"/>
  <c r="F85" i="19"/>
  <c r="D82" i="21" s="1"/>
  <c r="L298" i="19"/>
  <c r="F14" i="19"/>
  <c r="D11" i="21" s="1"/>
  <c r="I369" i="19"/>
  <c r="I21" i="8"/>
  <c r="I156" i="19"/>
  <c r="F21" i="8"/>
  <c r="F227" i="19"/>
  <c r="D224" i="21" s="1"/>
  <c r="L227" i="19"/>
  <c r="L85" i="19"/>
  <c r="L369" i="19"/>
  <c r="L14" i="19"/>
  <c r="H37" i="7" l="1"/>
  <c r="B32" i="24"/>
  <c r="D32" i="24"/>
  <c r="S34" i="7"/>
  <c r="F36" i="7"/>
  <c r="N36" i="7" s="1"/>
  <c r="U36" i="20"/>
  <c r="P35" i="7"/>
  <c r="C32" i="24" s="1"/>
  <c r="G38" i="20"/>
  <c r="O38" i="20" s="1"/>
  <c r="F38" i="20"/>
  <c r="P36" i="20"/>
  <c r="I36" i="7" s="1"/>
  <c r="M36" i="7" s="1"/>
  <c r="G36" i="7"/>
  <c r="I15" i="19"/>
  <c r="F34" i="12"/>
  <c r="I34" i="12"/>
  <c r="F299" i="19"/>
  <c r="D296" i="21" s="1"/>
  <c r="F370" i="19"/>
  <c r="D367" i="21" s="1"/>
  <c r="I299" i="19"/>
  <c r="F228" i="19"/>
  <c r="D225" i="21" s="1"/>
  <c r="F86" i="19"/>
  <c r="D83" i="21" s="1"/>
  <c r="I22" i="8"/>
  <c r="I86" i="19"/>
  <c r="L228" i="19"/>
  <c r="L157" i="19"/>
  <c r="L299" i="19"/>
  <c r="L34" i="12"/>
  <c r="T34" i="12" s="1"/>
  <c r="L370" i="19"/>
  <c r="I370" i="19"/>
  <c r="L86" i="19"/>
  <c r="F15" i="19"/>
  <c r="D12" i="21" s="1"/>
  <c r="L22" i="8"/>
  <c r="T22" i="8" s="1"/>
  <c r="F157" i="19"/>
  <c r="D154" i="21" s="1"/>
  <c r="L15" i="19"/>
  <c r="I157" i="19"/>
  <c r="F22" i="8"/>
  <c r="I228" i="19"/>
  <c r="G229" i="19"/>
  <c r="E226" i="21" s="1"/>
  <c r="J158" i="19"/>
  <c r="M16" i="19"/>
  <c r="M229" i="19"/>
  <c r="J229" i="19"/>
  <c r="J35" i="12"/>
  <c r="M371" i="19"/>
  <c r="G23" i="8"/>
  <c r="J23" i="8"/>
  <c r="M87" i="19"/>
  <c r="J371" i="19"/>
  <c r="G371" i="19"/>
  <c r="E368" i="21" s="1"/>
  <c r="J16" i="19"/>
  <c r="M300" i="19"/>
  <c r="G158" i="19"/>
  <c r="E155" i="21" s="1"/>
  <c r="G300" i="19"/>
  <c r="E297" i="21" s="1"/>
  <c r="G87" i="19"/>
  <c r="E84" i="21" s="1"/>
  <c r="G35" i="12"/>
  <c r="J300" i="19"/>
  <c r="M23" i="8"/>
  <c r="M35" i="12"/>
  <c r="G16" i="19"/>
  <c r="E13" i="21" s="1"/>
  <c r="O35" i="7"/>
  <c r="M158" i="19"/>
  <c r="J87" i="19"/>
  <c r="E37" i="20"/>
  <c r="M37" i="20" s="1"/>
  <c r="H87" i="19"/>
  <c r="F84" i="21" s="1"/>
  <c r="E23" i="8"/>
  <c r="K16" i="19"/>
  <c r="H158" i="19"/>
  <c r="F155" i="21" s="1"/>
  <c r="E229" i="19"/>
  <c r="C226" i="21" s="1"/>
  <c r="E158" i="19"/>
  <c r="C155" i="21" s="1"/>
  <c r="E371" i="19"/>
  <c r="C368" i="21" s="1"/>
  <c r="H23" i="8"/>
  <c r="E16" i="19"/>
  <c r="C13" i="21" s="1"/>
  <c r="E35" i="12"/>
  <c r="H371" i="19"/>
  <c r="F368" i="21" s="1"/>
  <c r="H16" i="19"/>
  <c r="F13" i="21" s="1"/>
  <c r="K300" i="19"/>
  <c r="E87" i="19"/>
  <c r="C84" i="21" s="1"/>
  <c r="H300" i="19"/>
  <c r="F297" i="21" s="1"/>
  <c r="K371" i="19"/>
  <c r="K35" i="12"/>
  <c r="E300" i="19"/>
  <c r="C297" i="21" s="1"/>
  <c r="K158" i="19"/>
  <c r="K23" i="8"/>
  <c r="H35" i="12"/>
  <c r="K229" i="19"/>
  <c r="H229" i="19"/>
  <c r="F226" i="21" s="1"/>
  <c r="K87" i="19"/>
  <c r="N37" i="20"/>
  <c r="H37" i="20"/>
  <c r="H38" i="7" l="1"/>
  <c r="B33" i="24"/>
  <c r="D33" i="24"/>
  <c r="S35" i="7"/>
  <c r="F35" i="12"/>
  <c r="F229" i="19"/>
  <c r="D226" i="21" s="1"/>
  <c r="F23" i="8"/>
  <c r="F300" i="19"/>
  <c r="D297" i="21" s="1"/>
  <c r="L16" i="19"/>
  <c r="I229" i="19"/>
  <c r="L158" i="19"/>
  <c r="F158" i="19"/>
  <c r="D155" i="21" s="1"/>
  <c r="I16" i="19"/>
  <c r="L87" i="19"/>
  <c r="I371" i="19"/>
  <c r="L371" i="19"/>
  <c r="F16" i="19"/>
  <c r="D13" i="21" s="1"/>
  <c r="I23" i="8"/>
  <c r="L23" i="8"/>
  <c r="T23" i="8" s="1"/>
  <c r="I158" i="19"/>
  <c r="I87" i="19"/>
  <c r="F87" i="19"/>
  <c r="D84" i="21" s="1"/>
  <c r="L229" i="19"/>
  <c r="I300" i="19"/>
  <c r="I35" i="12"/>
  <c r="L300" i="19"/>
  <c r="F371" i="19"/>
  <c r="D368" i="21" s="1"/>
  <c r="L35" i="12"/>
  <c r="T35" i="12" s="1"/>
  <c r="G39" i="20"/>
  <c r="O39" i="20" s="1"/>
  <c r="J88" i="19"/>
  <c r="M372" i="19"/>
  <c r="G88" i="19"/>
  <c r="E85" i="21" s="1"/>
  <c r="J17" i="19"/>
  <c r="M24" i="8"/>
  <c r="M159" i="19"/>
  <c r="J159" i="19"/>
  <c r="J24" i="8"/>
  <c r="M230" i="19"/>
  <c r="G159" i="19"/>
  <c r="E156" i="21" s="1"/>
  <c r="J36" i="12"/>
  <c r="J230" i="19"/>
  <c r="M301" i="19"/>
  <c r="G301" i="19"/>
  <c r="E298" i="21" s="1"/>
  <c r="M17" i="19"/>
  <c r="J372" i="19"/>
  <c r="G36" i="12"/>
  <c r="G372" i="19"/>
  <c r="E369" i="21" s="1"/>
  <c r="G24" i="8"/>
  <c r="G230" i="19"/>
  <c r="E227" i="21" s="1"/>
  <c r="M36" i="12"/>
  <c r="G17" i="19"/>
  <c r="E14" i="21" s="1"/>
  <c r="O36" i="7"/>
  <c r="J301" i="19"/>
  <c r="M88" i="19"/>
  <c r="E38" i="20"/>
  <c r="M38" i="20" s="1"/>
  <c r="G37" i="7"/>
  <c r="P37" i="20"/>
  <c r="I37" i="7" s="1"/>
  <c r="M37" i="7" s="1"/>
  <c r="K230" i="19"/>
  <c r="H17" i="19"/>
  <c r="F14" i="21" s="1"/>
  <c r="K301" i="19"/>
  <c r="H36" i="12"/>
  <c r="K159" i="19"/>
  <c r="H159" i="19"/>
  <c r="F156" i="21" s="1"/>
  <c r="E17" i="19"/>
  <c r="C14" i="21" s="1"/>
  <c r="K88" i="19"/>
  <c r="K36" i="12"/>
  <c r="E372" i="19"/>
  <c r="C369" i="21" s="1"/>
  <c r="K24" i="8"/>
  <c r="E88" i="19"/>
  <c r="C85" i="21" s="1"/>
  <c r="E230" i="19"/>
  <c r="C227" i="21" s="1"/>
  <c r="H301" i="19"/>
  <c r="F298" i="21" s="1"/>
  <c r="H230" i="19"/>
  <c r="F227" i="21" s="1"/>
  <c r="H372" i="19"/>
  <c r="F369" i="21" s="1"/>
  <c r="H88" i="19"/>
  <c r="F85" i="21" s="1"/>
  <c r="H24" i="8"/>
  <c r="E301" i="19"/>
  <c r="C298" i="21" s="1"/>
  <c r="E36" i="12"/>
  <c r="E159" i="19"/>
  <c r="C156" i="21" s="1"/>
  <c r="K17" i="19"/>
  <c r="E24" i="8"/>
  <c r="K372" i="19"/>
  <c r="P36" i="7"/>
  <c r="C33" i="24" s="1"/>
  <c r="H38" i="20"/>
  <c r="N38" i="20"/>
  <c r="U37" i="20"/>
  <c r="F37" i="7"/>
  <c r="N37" i="7" s="1"/>
  <c r="F39" i="20"/>
  <c r="H39" i="7" l="1"/>
  <c r="B34" i="24"/>
  <c r="D34" i="24"/>
  <c r="U38" i="20"/>
  <c r="F38" i="7"/>
  <c r="N38" i="7" s="1"/>
  <c r="P37" i="7"/>
  <c r="C34" i="24" s="1"/>
  <c r="F40" i="20"/>
  <c r="S36" i="7"/>
  <c r="P38" i="20"/>
  <c r="I38" i="7" s="1"/>
  <c r="M38" i="7" s="1"/>
  <c r="G38" i="7"/>
  <c r="N39" i="20"/>
  <c r="H39" i="20"/>
  <c r="G40" i="20"/>
  <c r="O40" i="20" s="1"/>
  <c r="F88" i="19"/>
  <c r="D85" i="21" s="1"/>
  <c r="I230" i="19"/>
  <c r="L159" i="19"/>
  <c r="L230" i="19"/>
  <c r="L36" i="12"/>
  <c r="T36" i="12" s="1"/>
  <c r="F17" i="19"/>
  <c r="D14" i="21" s="1"/>
  <c r="I88" i="19"/>
  <c r="L24" i="8"/>
  <c r="T24" i="8" s="1"/>
  <c r="F301" i="19"/>
  <c r="D298" i="21" s="1"/>
  <c r="I159" i="19"/>
  <c r="L88" i="19"/>
  <c r="I36" i="12"/>
  <c r="L372" i="19"/>
  <c r="F159" i="19"/>
  <c r="D156" i="21" s="1"/>
  <c r="I372" i="19"/>
  <c r="F24" i="8"/>
  <c r="F372" i="19"/>
  <c r="D369" i="21" s="1"/>
  <c r="F230" i="19"/>
  <c r="D227" i="21" s="1"/>
  <c r="F36" i="12"/>
  <c r="I24" i="8"/>
  <c r="L17" i="19"/>
  <c r="L301" i="19"/>
  <c r="I17" i="19"/>
  <c r="I301" i="19"/>
  <c r="E18" i="19"/>
  <c r="C15" i="21" s="1"/>
  <c r="K89" i="19"/>
  <c r="E89" i="19"/>
  <c r="C86" i="21" s="1"/>
  <c r="H231" i="19"/>
  <c r="F228" i="21" s="1"/>
  <c r="H89" i="19"/>
  <c r="F86" i="21" s="1"/>
  <c r="H37" i="12"/>
  <c r="H302" i="19"/>
  <c r="F299" i="21" s="1"/>
  <c r="K6" i="13"/>
  <c r="E6" i="13"/>
  <c r="E302" i="19"/>
  <c r="C299" i="21" s="1"/>
  <c r="K25" i="8"/>
  <c r="K18" i="19"/>
  <c r="H160" i="19"/>
  <c r="F157" i="21" s="1"/>
  <c r="H6" i="13"/>
  <c r="E37" i="12"/>
  <c r="K160" i="19"/>
  <c r="E25" i="8"/>
  <c r="H18" i="19"/>
  <c r="F15" i="21" s="1"/>
  <c r="H373" i="19"/>
  <c r="F370" i="21" s="1"/>
  <c r="K37" i="12"/>
  <c r="K302" i="19"/>
  <c r="K231" i="19"/>
  <c r="E373" i="19"/>
  <c r="C370" i="21" s="1"/>
  <c r="H25" i="8"/>
  <c r="K373" i="19"/>
  <c r="E231" i="19"/>
  <c r="C228" i="21" s="1"/>
  <c r="E160" i="19"/>
  <c r="C157" i="21" s="1"/>
  <c r="E39" i="20"/>
  <c r="M39" i="20" s="1"/>
  <c r="J160" i="19"/>
  <c r="J6" i="13"/>
  <c r="J37" i="12"/>
  <c r="G25" i="8"/>
  <c r="J89" i="19"/>
  <c r="M89" i="19"/>
  <c r="M6" i="13"/>
  <c r="O37" i="7"/>
  <c r="M160" i="19"/>
  <c r="G89" i="19"/>
  <c r="E86" i="21" s="1"/>
  <c r="G18" i="19"/>
  <c r="E15" i="21" s="1"/>
  <c r="J302" i="19"/>
  <c r="M25" i="8"/>
  <c r="G160" i="19"/>
  <c r="E157" i="21" s="1"/>
  <c r="M302" i="19"/>
  <c r="G373" i="19"/>
  <c r="E370" i="21" s="1"/>
  <c r="M18" i="19"/>
  <c r="J373" i="19"/>
  <c r="J25" i="8"/>
  <c r="G231" i="19"/>
  <c r="E228" i="21" s="1"/>
  <c r="M37" i="12"/>
  <c r="J18" i="19"/>
  <c r="G302" i="19"/>
  <c r="E299" i="21" s="1"/>
  <c r="G37" i="12"/>
  <c r="J231" i="19"/>
  <c r="M373" i="19"/>
  <c r="M231" i="19"/>
  <c r="G6" i="13"/>
  <c r="H40" i="7" l="1"/>
  <c r="B35" i="24"/>
  <c r="D35" i="24"/>
  <c r="S37" i="7"/>
  <c r="G39" i="7"/>
  <c r="P39" i="20"/>
  <c r="I39" i="7" s="1"/>
  <c r="M39" i="7" s="1"/>
  <c r="G19" i="19"/>
  <c r="E16" i="21" s="1"/>
  <c r="G90" i="19"/>
  <c r="E87" i="21" s="1"/>
  <c r="G374" i="19"/>
  <c r="E371" i="21" s="1"/>
  <c r="J374" i="19"/>
  <c r="J232" i="19"/>
  <c r="M303" i="19"/>
  <c r="J161" i="19"/>
  <c r="J26" i="8"/>
  <c r="M26" i="8"/>
  <c r="M374" i="19"/>
  <c r="G161" i="19"/>
  <c r="E158" i="21" s="1"/>
  <c r="J90" i="19"/>
  <c r="J38" i="12"/>
  <c r="G303" i="19"/>
  <c r="E300" i="21" s="1"/>
  <c r="M90" i="19"/>
  <c r="G232" i="19"/>
  <c r="E229" i="21" s="1"/>
  <c r="J303" i="19"/>
  <c r="O38" i="7"/>
  <c r="M19" i="19"/>
  <c r="M232" i="19"/>
  <c r="M161" i="19"/>
  <c r="M38" i="12"/>
  <c r="G26" i="8"/>
  <c r="J19" i="19"/>
  <c r="G38" i="12"/>
  <c r="E374" i="19"/>
  <c r="C371" i="21" s="1"/>
  <c r="K90" i="19"/>
  <c r="E90" i="19"/>
  <c r="C87" i="21" s="1"/>
  <c r="E161" i="19"/>
  <c r="C158" i="21" s="1"/>
  <c r="K161" i="19"/>
  <c r="H161" i="19"/>
  <c r="F158" i="21" s="1"/>
  <c r="H303" i="19"/>
  <c r="F300" i="21" s="1"/>
  <c r="H374" i="19"/>
  <c r="F371" i="21" s="1"/>
  <c r="E232" i="19"/>
  <c r="C229" i="21" s="1"/>
  <c r="E303" i="19"/>
  <c r="C300" i="21" s="1"/>
  <c r="K374" i="19"/>
  <c r="H90" i="19"/>
  <c r="F87" i="21" s="1"/>
  <c r="E19" i="19"/>
  <c r="C16" i="21" s="1"/>
  <c r="E38" i="12"/>
  <c r="H19" i="19"/>
  <c r="F16" i="21" s="1"/>
  <c r="K232" i="19"/>
  <c r="E26" i="8"/>
  <c r="K38" i="12"/>
  <c r="K303" i="19"/>
  <c r="H232" i="19"/>
  <c r="F229" i="21" s="1"/>
  <c r="K19" i="19"/>
  <c r="K26" i="8"/>
  <c r="H38" i="12"/>
  <c r="H26" i="8"/>
  <c r="I25" i="8"/>
  <c r="F373" i="19"/>
  <c r="D370" i="21" s="1"/>
  <c r="L6" i="13"/>
  <c r="L231" i="19"/>
  <c r="I18" i="19"/>
  <c r="F6" i="13"/>
  <c r="F37" i="12"/>
  <c r="I302" i="19"/>
  <c r="I37" i="12"/>
  <c r="L373" i="19"/>
  <c r="F89" i="19"/>
  <c r="D86" i="21" s="1"/>
  <c r="L160" i="19"/>
  <c r="I89" i="19"/>
  <c r="F160" i="19"/>
  <c r="D157" i="21" s="1"/>
  <c r="F231" i="19"/>
  <c r="D228" i="21" s="1"/>
  <c r="F302" i="19"/>
  <c r="D299" i="21" s="1"/>
  <c r="F25" i="8"/>
  <c r="L18" i="19"/>
  <c r="L25" i="8"/>
  <c r="T25" i="8" s="1"/>
  <c r="L302" i="19"/>
  <c r="I160" i="19"/>
  <c r="F18" i="19"/>
  <c r="D15" i="21" s="1"/>
  <c r="L89" i="19"/>
  <c r="I373" i="19"/>
  <c r="I231" i="19"/>
  <c r="L37" i="12"/>
  <c r="T37" i="12" s="1"/>
  <c r="I6" i="13"/>
  <c r="U39" i="20"/>
  <c r="F39" i="7"/>
  <c r="N39" i="7" s="1"/>
  <c r="P38" i="7"/>
  <c r="C35" i="24" s="1"/>
  <c r="G41" i="20"/>
  <c r="O41" i="20" s="1"/>
  <c r="F41" i="20"/>
  <c r="E40" i="20"/>
  <c r="M40" i="20" s="1"/>
  <c r="H40" i="20"/>
  <c r="N40" i="20"/>
  <c r="H41" i="7" l="1"/>
  <c r="B36" i="24"/>
  <c r="D36" i="24"/>
  <c r="S38" i="7"/>
  <c r="K39" i="12"/>
  <c r="E162" i="19"/>
  <c r="C159" i="21" s="1"/>
  <c r="H233" i="19"/>
  <c r="F230" i="21" s="1"/>
  <c r="K162" i="19"/>
  <c r="E375" i="19"/>
  <c r="C372" i="21" s="1"/>
  <c r="K375" i="19"/>
  <c r="H162" i="19"/>
  <c r="F159" i="21" s="1"/>
  <c r="H39" i="12"/>
  <c r="H304" i="19"/>
  <c r="F301" i="21" s="1"/>
  <c r="E20" i="19"/>
  <c r="C17" i="21" s="1"/>
  <c r="E304" i="19"/>
  <c r="C301" i="21" s="1"/>
  <c r="K5" i="10"/>
  <c r="H375" i="19"/>
  <c r="F372" i="21" s="1"/>
  <c r="E27" i="8"/>
  <c r="K20" i="19"/>
  <c r="H91" i="19"/>
  <c r="F88" i="21" s="1"/>
  <c r="K233" i="19"/>
  <c r="K91" i="19"/>
  <c r="H27" i="8"/>
  <c r="E233" i="19"/>
  <c r="C230" i="21" s="1"/>
  <c r="E5" i="10"/>
  <c r="H5" i="10"/>
  <c r="K27" i="8"/>
  <c r="H20" i="19"/>
  <c r="F17" i="21" s="1"/>
  <c r="E39" i="12"/>
  <c r="E91" i="19"/>
  <c r="C88" i="21" s="1"/>
  <c r="K304" i="19"/>
  <c r="E41" i="20"/>
  <c r="M41" i="20" s="1"/>
  <c r="G42" i="20"/>
  <c r="O42" i="20" s="1"/>
  <c r="F40" i="7"/>
  <c r="N40" i="7" s="1"/>
  <c r="U40" i="20"/>
  <c r="G91" i="19"/>
  <c r="E88" i="21" s="1"/>
  <c r="G162" i="19"/>
  <c r="E159" i="21" s="1"/>
  <c r="J162" i="19"/>
  <c r="G375" i="19"/>
  <c r="E372" i="21" s="1"/>
  <c r="M162" i="19"/>
  <c r="M5" i="10"/>
  <c r="J91" i="19"/>
  <c r="M91" i="19"/>
  <c r="M375" i="19"/>
  <c r="G5" i="10"/>
  <c r="J20" i="19"/>
  <c r="O39" i="7"/>
  <c r="M27" i="8"/>
  <c r="G27" i="8"/>
  <c r="G233" i="19"/>
  <c r="E230" i="21" s="1"/>
  <c r="G304" i="19"/>
  <c r="E301" i="21" s="1"/>
  <c r="M233" i="19"/>
  <c r="M39" i="12"/>
  <c r="G39" i="12"/>
  <c r="M20" i="19"/>
  <c r="J27" i="8"/>
  <c r="J5" i="10"/>
  <c r="J39" i="12"/>
  <c r="M304" i="19"/>
  <c r="G20" i="19"/>
  <c r="E17" i="21" s="1"/>
  <c r="J233" i="19"/>
  <c r="J375" i="19"/>
  <c r="J304" i="19"/>
  <c r="G40" i="7"/>
  <c r="P40" i="20"/>
  <c r="I40" i="7" s="1"/>
  <c r="M40" i="7" s="1"/>
  <c r="F42" i="20"/>
  <c r="L38" i="12"/>
  <c r="T38" i="12" s="1"/>
  <c r="F232" i="19"/>
  <c r="D229" i="21" s="1"/>
  <c r="F303" i="19"/>
  <c r="D300" i="21" s="1"/>
  <c r="F19" i="19"/>
  <c r="D16" i="21" s="1"/>
  <c r="F90" i="19"/>
  <c r="D87" i="21" s="1"/>
  <c r="L374" i="19"/>
  <c r="L161" i="19"/>
  <c r="I374" i="19"/>
  <c r="L303" i="19"/>
  <c r="I90" i="19"/>
  <c r="L19" i="19"/>
  <c r="I38" i="12"/>
  <c r="L232" i="19"/>
  <c r="I26" i="8"/>
  <c r="I232" i="19"/>
  <c r="L26" i="8"/>
  <c r="T26" i="8" s="1"/>
  <c r="F374" i="19"/>
  <c r="D371" i="21" s="1"/>
  <c r="L90" i="19"/>
  <c r="F26" i="8"/>
  <c r="I161" i="19"/>
  <c r="F161" i="19"/>
  <c r="D158" i="21" s="1"/>
  <c r="F38" i="12"/>
  <c r="I303" i="19"/>
  <c r="I19" i="19"/>
  <c r="H41" i="20"/>
  <c r="N41" i="20"/>
  <c r="P39" i="7"/>
  <c r="C36" i="24" s="1"/>
  <c r="H42" i="7" l="1"/>
  <c r="B37" i="24"/>
  <c r="D37" i="24"/>
  <c r="L91" i="19"/>
  <c r="F304" i="19"/>
  <c r="D301" i="21" s="1"/>
  <c r="F27" i="8"/>
  <c r="L162" i="19"/>
  <c r="I91" i="19"/>
  <c r="I304" i="19"/>
  <c r="L233" i="19"/>
  <c r="I5" i="10"/>
  <c r="L27" i="8"/>
  <c r="T27" i="8" s="1"/>
  <c r="F39" i="12"/>
  <c r="L20" i="19"/>
  <c r="F162" i="19"/>
  <c r="D159" i="21" s="1"/>
  <c r="L5" i="10"/>
  <c r="F233" i="19"/>
  <c r="D230" i="21" s="1"/>
  <c r="L375" i="19"/>
  <c r="I39" i="12"/>
  <c r="I233" i="19"/>
  <c r="F91" i="19"/>
  <c r="D88" i="21" s="1"/>
  <c r="L39" i="12"/>
  <c r="T39" i="12" s="1"/>
  <c r="I162" i="19"/>
  <c r="F5" i="10"/>
  <c r="I20" i="19"/>
  <c r="I27" i="8"/>
  <c r="L304" i="19"/>
  <c r="F375" i="19"/>
  <c r="D372" i="21" s="1"/>
  <c r="F20" i="19"/>
  <c r="D17" i="21" s="1"/>
  <c r="I375" i="19"/>
  <c r="H305" i="19"/>
  <c r="F302" i="21" s="1"/>
  <c r="H234" i="19"/>
  <c r="F231" i="21" s="1"/>
  <c r="K40" i="12"/>
  <c r="E92" i="19"/>
  <c r="C89" i="21" s="1"/>
  <c r="H40" i="12"/>
  <c r="E28" i="8"/>
  <c r="K28" i="8"/>
  <c r="H163" i="19"/>
  <c r="F160" i="21" s="1"/>
  <c r="K376" i="19"/>
  <c r="K234" i="19"/>
  <c r="E305" i="19"/>
  <c r="C302" i="21" s="1"/>
  <c r="H28" i="8"/>
  <c r="H21" i="19"/>
  <c r="F18" i="21" s="1"/>
  <c r="E163" i="19"/>
  <c r="C160" i="21" s="1"/>
  <c r="E21" i="19"/>
  <c r="C18" i="21" s="1"/>
  <c r="H92" i="19"/>
  <c r="F89" i="21" s="1"/>
  <c r="K92" i="19"/>
  <c r="K163" i="19"/>
  <c r="E234" i="19"/>
  <c r="C231" i="21" s="1"/>
  <c r="K305" i="19"/>
  <c r="E40" i="12"/>
  <c r="E376" i="19"/>
  <c r="C373" i="21" s="1"/>
  <c r="H376" i="19"/>
  <c r="F373" i="21" s="1"/>
  <c r="K21" i="19"/>
  <c r="F43" i="20"/>
  <c r="S39" i="7"/>
  <c r="P41" i="20"/>
  <c r="I41" i="7" s="1"/>
  <c r="M41" i="7" s="1"/>
  <c r="G41" i="7"/>
  <c r="M163" i="19"/>
  <c r="G28" i="8"/>
  <c r="M376" i="19"/>
  <c r="M234" i="19"/>
  <c r="M305" i="19"/>
  <c r="G234" i="19"/>
  <c r="E231" i="21" s="1"/>
  <c r="M92" i="19"/>
  <c r="J305" i="19"/>
  <c r="J28" i="8"/>
  <c r="G21" i="19"/>
  <c r="E18" i="21" s="1"/>
  <c r="J376" i="19"/>
  <c r="G376" i="19"/>
  <c r="E373" i="21" s="1"/>
  <c r="G92" i="19"/>
  <c r="E89" i="21" s="1"/>
  <c r="J21" i="19"/>
  <c r="G40" i="12"/>
  <c r="J163" i="19"/>
  <c r="M40" i="12"/>
  <c r="J92" i="19"/>
  <c r="J40" i="12"/>
  <c r="J234" i="19"/>
  <c r="M21" i="19"/>
  <c r="O40" i="7"/>
  <c r="G305" i="19"/>
  <c r="E302" i="21" s="1"/>
  <c r="G163" i="19"/>
  <c r="E160" i="21" s="1"/>
  <c r="M28" i="8"/>
  <c r="U41" i="20"/>
  <c r="F41" i="7"/>
  <c r="N41" i="7" s="1"/>
  <c r="N42" i="20"/>
  <c r="H42" i="20"/>
  <c r="E42" i="20"/>
  <c r="M42" i="20" s="1"/>
  <c r="G43" i="20"/>
  <c r="O43" i="20" s="1"/>
  <c r="P40" i="7"/>
  <c r="C37" i="24" s="1"/>
  <c r="H43" i="7" l="1"/>
  <c r="B38" i="24"/>
  <c r="D38" i="24"/>
  <c r="F44" i="20"/>
  <c r="G44" i="20"/>
  <c r="O44" i="20" s="1"/>
  <c r="M93" i="19"/>
  <c r="M306" i="19"/>
  <c r="M29" i="8"/>
  <c r="G29" i="8"/>
  <c r="G306" i="19"/>
  <c r="E303" i="21" s="1"/>
  <c r="M22" i="19"/>
  <c r="M235" i="19"/>
  <c r="G41" i="12"/>
  <c r="G377" i="19"/>
  <c r="E374" i="21" s="1"/>
  <c r="G164" i="19"/>
  <c r="E161" i="21" s="1"/>
  <c r="M41" i="12"/>
  <c r="O41" i="7"/>
  <c r="M377" i="19"/>
  <c r="J29" i="8"/>
  <c r="G93" i="19"/>
  <c r="E90" i="21" s="1"/>
  <c r="M164" i="19"/>
  <c r="G235" i="19"/>
  <c r="E232" i="21" s="1"/>
  <c r="G22" i="19"/>
  <c r="E19" i="21" s="1"/>
  <c r="J41" i="12"/>
  <c r="J377" i="19"/>
  <c r="J164" i="19"/>
  <c r="J235" i="19"/>
  <c r="J306" i="19"/>
  <c r="J93" i="19"/>
  <c r="J22" i="19"/>
  <c r="P41" i="7"/>
  <c r="C38" i="24" s="1"/>
  <c r="K164" i="19"/>
  <c r="H164" i="19"/>
  <c r="F161" i="21" s="1"/>
  <c r="K235" i="19"/>
  <c r="H377" i="19"/>
  <c r="F374" i="21" s="1"/>
  <c r="E41" i="12"/>
  <c r="E22" i="19"/>
  <c r="C19" i="21" s="1"/>
  <c r="K306" i="19"/>
  <c r="E29" i="8"/>
  <c r="K93" i="19"/>
  <c r="E164" i="19"/>
  <c r="C161" i="21" s="1"/>
  <c r="K22" i="19"/>
  <c r="E235" i="19"/>
  <c r="C232" i="21" s="1"/>
  <c r="E377" i="19"/>
  <c r="C374" i="21" s="1"/>
  <c r="H41" i="12"/>
  <c r="K29" i="8"/>
  <c r="K41" i="12"/>
  <c r="E306" i="19"/>
  <c r="C303" i="21" s="1"/>
  <c r="E93" i="19"/>
  <c r="C90" i="21" s="1"/>
  <c r="K377" i="19"/>
  <c r="H93" i="19"/>
  <c r="F90" i="21" s="1"/>
  <c r="H22" i="19"/>
  <c r="F19" i="21" s="1"/>
  <c r="H29" i="8"/>
  <c r="H235" i="19"/>
  <c r="F232" i="21" s="1"/>
  <c r="H306" i="19"/>
  <c r="F303" i="21" s="1"/>
  <c r="F163" i="19"/>
  <c r="D160" i="21" s="1"/>
  <c r="F376" i="19"/>
  <c r="D373" i="21" s="1"/>
  <c r="F28" i="8"/>
  <c r="I21" i="19"/>
  <c r="L92" i="19"/>
  <c r="I163" i="19"/>
  <c r="L376" i="19"/>
  <c r="I40" i="12"/>
  <c r="I28" i="8"/>
  <c r="L163" i="19"/>
  <c r="F40" i="12"/>
  <c r="F92" i="19"/>
  <c r="D89" i="21" s="1"/>
  <c r="L305" i="19"/>
  <c r="L234" i="19"/>
  <c r="F305" i="19"/>
  <c r="D302" i="21" s="1"/>
  <c r="F21" i="19"/>
  <c r="D18" i="21" s="1"/>
  <c r="I234" i="19"/>
  <c r="F234" i="19"/>
  <c r="D231" i="21" s="1"/>
  <c r="I376" i="19"/>
  <c r="I305" i="19"/>
  <c r="I92" i="19"/>
  <c r="L40" i="12"/>
  <c r="T40" i="12" s="1"/>
  <c r="L21" i="19"/>
  <c r="L28" i="8"/>
  <c r="T28" i="8" s="1"/>
  <c r="P42" i="20"/>
  <c r="I42" i="7" s="1"/>
  <c r="M42" i="7" s="1"/>
  <c r="G42" i="7"/>
  <c r="S40" i="7"/>
  <c r="N43" i="20"/>
  <c r="H43" i="20"/>
  <c r="E43" i="20"/>
  <c r="M43" i="20" s="1"/>
  <c r="F42" i="7"/>
  <c r="N42" i="7" s="1"/>
  <c r="U42" i="20"/>
  <c r="H44" i="7" l="1"/>
  <c r="D39" i="24"/>
  <c r="M7" i="11"/>
  <c r="J7" i="11"/>
  <c r="G7" i="11"/>
  <c r="B39" i="24"/>
  <c r="H7" i="11"/>
  <c r="K7" i="11"/>
  <c r="E7" i="11"/>
  <c r="G45" i="20"/>
  <c r="O45" i="20" s="1"/>
  <c r="E44" i="20"/>
  <c r="M44" i="20" s="1"/>
  <c r="L93" i="19"/>
  <c r="I93" i="19"/>
  <c r="F306" i="19"/>
  <c r="D303" i="21" s="1"/>
  <c r="F22" i="19"/>
  <c r="D19" i="21" s="1"/>
  <c r="L377" i="19"/>
  <c r="F93" i="19"/>
  <c r="D90" i="21" s="1"/>
  <c r="I22" i="19"/>
  <c r="L164" i="19"/>
  <c r="L41" i="12"/>
  <c r="T41" i="12" s="1"/>
  <c r="F377" i="19"/>
  <c r="D374" i="21" s="1"/>
  <c r="L29" i="8"/>
  <c r="T29" i="8" s="1"/>
  <c r="I41" i="12"/>
  <c r="I29" i="8"/>
  <c r="F235" i="19"/>
  <c r="D232" i="21" s="1"/>
  <c r="I235" i="19"/>
  <c r="L306" i="19"/>
  <c r="I377" i="19"/>
  <c r="F41" i="12"/>
  <c r="L235" i="19"/>
  <c r="I306" i="19"/>
  <c r="F29" i="8"/>
  <c r="F164" i="19"/>
  <c r="D161" i="21" s="1"/>
  <c r="I164" i="19"/>
  <c r="L22" i="19"/>
  <c r="P42" i="7"/>
  <c r="P43" i="20"/>
  <c r="I43" i="7" s="1"/>
  <c r="M43" i="7" s="1"/>
  <c r="G43" i="7"/>
  <c r="S41" i="7"/>
  <c r="F45" i="20"/>
  <c r="H236" i="19"/>
  <c r="F233" i="21" s="1"/>
  <c r="K307" i="19"/>
  <c r="H23" i="19"/>
  <c r="F20" i="21" s="1"/>
  <c r="K378" i="19"/>
  <c r="H30" i="8"/>
  <c r="E94" i="19"/>
  <c r="C91" i="21" s="1"/>
  <c r="H42" i="12"/>
  <c r="K236" i="19"/>
  <c r="E236" i="19"/>
  <c r="C233" i="21" s="1"/>
  <c r="H378" i="19"/>
  <c r="F375" i="21" s="1"/>
  <c r="E378" i="19"/>
  <c r="C375" i="21" s="1"/>
  <c r="K165" i="19"/>
  <c r="E307" i="19"/>
  <c r="C304" i="21" s="1"/>
  <c r="K42" i="12"/>
  <c r="K23" i="19"/>
  <c r="K94" i="19"/>
  <c r="H94" i="19"/>
  <c r="F91" i="21" s="1"/>
  <c r="E165" i="19"/>
  <c r="C162" i="21" s="1"/>
  <c r="E23" i="19"/>
  <c r="C20" i="21" s="1"/>
  <c r="H165" i="19"/>
  <c r="F162" i="21" s="1"/>
  <c r="K30" i="8"/>
  <c r="E42" i="12"/>
  <c r="H307" i="19"/>
  <c r="F304" i="21" s="1"/>
  <c r="E30" i="8"/>
  <c r="N44" i="20"/>
  <c r="H44" i="20"/>
  <c r="U43" i="20"/>
  <c r="F43" i="7"/>
  <c r="N43" i="7" s="1"/>
  <c r="M307" i="19"/>
  <c r="J23" i="19"/>
  <c r="M94" i="19"/>
  <c r="M30" i="8"/>
  <c r="G23" i="19"/>
  <c r="E20" i="21" s="1"/>
  <c r="J307" i="19"/>
  <c r="G30" i="8"/>
  <c r="J165" i="19"/>
  <c r="G42" i="12"/>
  <c r="G236" i="19"/>
  <c r="E233" i="21" s="1"/>
  <c r="M378" i="19"/>
  <c r="G378" i="19"/>
  <c r="E375" i="21" s="1"/>
  <c r="J236" i="19"/>
  <c r="M42" i="12"/>
  <c r="J378" i="19"/>
  <c r="G165" i="19"/>
  <c r="E162" i="21" s="1"/>
  <c r="M236" i="19"/>
  <c r="O42" i="7"/>
  <c r="M23" i="19"/>
  <c r="J94" i="19"/>
  <c r="J42" i="12"/>
  <c r="J30" i="8"/>
  <c r="G307" i="19"/>
  <c r="E304" i="21" s="1"/>
  <c r="G94" i="19"/>
  <c r="E91" i="21" s="1"/>
  <c r="M165" i="19"/>
  <c r="H45" i="7" l="1"/>
  <c r="M7" i="9"/>
  <c r="G7" i="9"/>
  <c r="J7" i="9"/>
  <c r="B40" i="24"/>
  <c r="E7" i="9"/>
  <c r="K7" i="9"/>
  <c r="H7" i="9"/>
  <c r="C39" i="24"/>
  <c r="L7" i="11"/>
  <c r="I7" i="11"/>
  <c r="F7" i="11"/>
  <c r="D40" i="24"/>
  <c r="J308" i="19"/>
  <c r="G43" i="12"/>
  <c r="O43" i="7"/>
  <c r="J43" i="12"/>
  <c r="M95" i="19"/>
  <c r="G31" i="8"/>
  <c r="J166" i="19"/>
  <c r="J237" i="19"/>
  <c r="G166" i="19"/>
  <c r="E163" i="21" s="1"/>
  <c r="J24" i="19"/>
  <c r="M237" i="19"/>
  <c r="M166" i="19"/>
  <c r="G95" i="19"/>
  <c r="E92" i="21" s="1"/>
  <c r="J31" i="8"/>
  <c r="M43" i="12"/>
  <c r="M24" i="19"/>
  <c r="J95" i="19"/>
  <c r="G308" i="19"/>
  <c r="E305" i="21" s="1"/>
  <c r="M308" i="19"/>
  <c r="G24" i="19"/>
  <c r="E21" i="21" s="1"/>
  <c r="M31" i="8"/>
  <c r="G237" i="19"/>
  <c r="E234" i="21" s="1"/>
  <c r="J379" i="19"/>
  <c r="G379" i="19"/>
  <c r="E376" i="21" s="1"/>
  <c r="M379" i="19"/>
  <c r="F46" i="20"/>
  <c r="G44" i="7"/>
  <c r="P44" i="20"/>
  <c r="I44" i="7" s="1"/>
  <c r="M44" i="7" s="1"/>
  <c r="H45" i="20"/>
  <c r="N45" i="20"/>
  <c r="H379" i="19"/>
  <c r="F376" i="21" s="1"/>
  <c r="E237" i="19"/>
  <c r="C234" i="21" s="1"/>
  <c r="E95" i="19"/>
  <c r="C92" i="21" s="1"/>
  <c r="E43" i="12"/>
  <c r="K308" i="19"/>
  <c r="H308" i="19"/>
  <c r="F305" i="21" s="1"/>
  <c r="K31" i="8"/>
  <c r="E308" i="19"/>
  <c r="C305" i="21" s="1"/>
  <c r="H43" i="12"/>
  <c r="E31" i="8"/>
  <c r="H31" i="8"/>
  <c r="K43" i="12"/>
  <c r="H24" i="19"/>
  <c r="F21" i="21" s="1"/>
  <c r="E166" i="19"/>
  <c r="C163" i="21" s="1"/>
  <c r="E379" i="19"/>
  <c r="C376" i="21" s="1"/>
  <c r="K237" i="19"/>
  <c r="E24" i="19"/>
  <c r="C21" i="21" s="1"/>
  <c r="K379" i="19"/>
  <c r="K166" i="19"/>
  <c r="H237" i="19"/>
  <c r="F234" i="21" s="1"/>
  <c r="K95" i="19"/>
  <c r="H166" i="19"/>
  <c r="F163" i="21" s="1"/>
  <c r="K24" i="19"/>
  <c r="H95" i="19"/>
  <c r="F92" i="21" s="1"/>
  <c r="E45" i="20"/>
  <c r="M45" i="20" s="1"/>
  <c r="P43" i="7"/>
  <c r="F23" i="19"/>
  <c r="D20" i="21" s="1"/>
  <c r="L236" i="19"/>
  <c r="I236" i="19"/>
  <c r="L23" i="19"/>
  <c r="L30" i="8"/>
  <c r="T30" i="8" s="1"/>
  <c r="L94" i="19"/>
  <c r="I94" i="19"/>
  <c r="I307" i="19"/>
  <c r="I165" i="19"/>
  <c r="I30" i="8"/>
  <c r="F307" i="19"/>
  <c r="D304" i="21" s="1"/>
  <c r="F30" i="8"/>
  <c r="I42" i="12"/>
  <c r="L307" i="19"/>
  <c r="L165" i="19"/>
  <c r="I23" i="19"/>
  <c r="I378" i="19"/>
  <c r="L378" i="19"/>
  <c r="F378" i="19"/>
  <c r="D375" i="21" s="1"/>
  <c r="F94" i="19"/>
  <c r="D91" i="21" s="1"/>
  <c r="F42" i="12"/>
  <c r="F236" i="19"/>
  <c r="D233" i="21" s="1"/>
  <c r="L42" i="12"/>
  <c r="T42" i="12" s="1"/>
  <c r="F165" i="19"/>
  <c r="D162" i="21" s="1"/>
  <c r="S42" i="7"/>
  <c r="G46" i="20"/>
  <c r="O46" i="20" s="1"/>
  <c r="F44" i="7"/>
  <c r="N44" i="7" s="1"/>
  <c r="U44" i="20"/>
  <c r="H46" i="7" l="1"/>
  <c r="B41" i="24"/>
  <c r="C40" i="24"/>
  <c r="L7" i="9"/>
  <c r="F7" i="9"/>
  <c r="I7" i="9"/>
  <c r="D41" i="24"/>
  <c r="L95" i="19"/>
  <c r="I237" i="19"/>
  <c r="F43" i="12"/>
  <c r="F166" i="19"/>
  <c r="D163" i="21" s="1"/>
  <c r="F24" i="19"/>
  <c r="D21" i="21" s="1"/>
  <c r="L31" i="8"/>
  <c r="T31" i="8" s="1"/>
  <c r="L237" i="19"/>
  <c r="F31" i="8"/>
  <c r="L43" i="12"/>
  <c r="T43" i="12" s="1"/>
  <c r="I31" i="8"/>
  <c r="F237" i="19"/>
  <c r="D234" i="21" s="1"/>
  <c r="F379" i="19"/>
  <c r="D376" i="21" s="1"/>
  <c r="I166" i="19"/>
  <c r="I24" i="19"/>
  <c r="I95" i="19"/>
  <c r="L166" i="19"/>
  <c r="I308" i="19"/>
  <c r="I379" i="19"/>
  <c r="I43" i="12"/>
  <c r="F308" i="19"/>
  <c r="D305" i="21" s="1"/>
  <c r="L379" i="19"/>
  <c r="F95" i="19"/>
  <c r="D92" i="21" s="1"/>
  <c r="L24" i="19"/>
  <c r="L308" i="19"/>
  <c r="E46" i="20"/>
  <c r="M46" i="20" s="1"/>
  <c r="F47" i="20"/>
  <c r="P44" i="7"/>
  <c r="C41" i="24" s="1"/>
  <c r="K96" i="19"/>
  <c r="H238" i="19"/>
  <c r="F235" i="21" s="1"/>
  <c r="E309" i="19"/>
  <c r="C306" i="21" s="1"/>
  <c r="H167" i="19"/>
  <c r="F164" i="21" s="1"/>
  <c r="K380" i="19"/>
  <c r="E44" i="12"/>
  <c r="K238" i="19"/>
  <c r="K167" i="19"/>
  <c r="H32" i="8"/>
  <c r="K309" i="19"/>
  <c r="K32" i="8"/>
  <c r="E167" i="19"/>
  <c r="C164" i="21" s="1"/>
  <c r="H309" i="19"/>
  <c r="F306" i="21" s="1"/>
  <c r="E32" i="8"/>
  <c r="H96" i="19"/>
  <c r="F93" i="21" s="1"/>
  <c r="E380" i="19"/>
  <c r="C377" i="21" s="1"/>
  <c r="H44" i="12"/>
  <c r="K25" i="19"/>
  <c r="E96" i="19"/>
  <c r="C93" i="21" s="1"/>
  <c r="H380" i="19"/>
  <c r="F377" i="21" s="1"/>
  <c r="H25" i="19"/>
  <c r="F22" i="21" s="1"/>
  <c r="E238" i="19"/>
  <c r="C235" i="21" s="1"/>
  <c r="K44" i="12"/>
  <c r="E25" i="19"/>
  <c r="C22" i="21" s="1"/>
  <c r="S43" i="7"/>
  <c r="G47" i="20"/>
  <c r="O47" i="20" s="1"/>
  <c r="M44" i="12"/>
  <c r="J25" i="19"/>
  <c r="G44" i="12"/>
  <c r="J167" i="19"/>
  <c r="O44" i="7"/>
  <c r="M309" i="19"/>
  <c r="M238" i="19"/>
  <c r="G380" i="19"/>
  <c r="E377" i="21" s="1"/>
  <c r="M32" i="8"/>
  <c r="J309" i="19"/>
  <c r="M167" i="19"/>
  <c r="J44" i="12"/>
  <c r="J96" i="19"/>
  <c r="M96" i="19"/>
  <c r="J380" i="19"/>
  <c r="G309" i="19"/>
  <c r="E306" i="21" s="1"/>
  <c r="M25" i="19"/>
  <c r="G25" i="19"/>
  <c r="E22" i="21" s="1"/>
  <c r="J32" i="8"/>
  <c r="M380" i="19"/>
  <c r="G167" i="19"/>
  <c r="E164" i="21" s="1"/>
  <c r="G96" i="19"/>
  <c r="E93" i="21" s="1"/>
  <c r="J238" i="19"/>
  <c r="G238" i="19"/>
  <c r="E235" i="21" s="1"/>
  <c r="G32" i="8"/>
  <c r="U45" i="20"/>
  <c r="F45" i="7"/>
  <c r="N45" i="7" s="1"/>
  <c r="G45" i="7"/>
  <c r="P45" i="20"/>
  <c r="I45" i="7" s="1"/>
  <c r="M45" i="7" s="1"/>
  <c r="N46" i="20"/>
  <c r="H46" i="20"/>
  <c r="H47" i="7" l="1"/>
  <c r="B42" i="24"/>
  <c r="D42" i="24"/>
  <c r="F48" i="20"/>
  <c r="G46" i="7"/>
  <c r="P46" i="20"/>
  <c r="I46" i="7" s="1"/>
  <c r="M46" i="7" s="1"/>
  <c r="F46" i="7"/>
  <c r="N46" i="7" s="1"/>
  <c r="U46" i="20"/>
  <c r="J168" i="19"/>
  <c r="J97" i="19"/>
  <c r="G168" i="19"/>
  <c r="E165" i="21" s="1"/>
  <c r="M26" i="19"/>
  <c r="G239" i="19"/>
  <c r="E236" i="21" s="1"/>
  <c r="O45" i="7"/>
  <c r="J310" i="19"/>
  <c r="J33" i="8"/>
  <c r="M168" i="19"/>
  <c r="G33" i="8"/>
  <c r="M45" i="12"/>
  <c r="G381" i="19"/>
  <c r="E378" i="21" s="1"/>
  <c r="G45" i="12"/>
  <c r="M310" i="19"/>
  <c r="M239" i="19"/>
  <c r="M33" i="8"/>
  <c r="J26" i="19"/>
  <c r="G97" i="19"/>
  <c r="E94" i="21" s="1"/>
  <c r="G310" i="19"/>
  <c r="E307" i="21" s="1"/>
  <c r="J239" i="19"/>
  <c r="J381" i="19"/>
  <c r="G26" i="19"/>
  <c r="E23" i="21" s="1"/>
  <c r="J45" i="12"/>
  <c r="M97" i="19"/>
  <c r="M381" i="19"/>
  <c r="E47" i="20"/>
  <c r="M47" i="20" s="1"/>
  <c r="G48" i="20"/>
  <c r="O48" i="20" s="1"/>
  <c r="H239" i="19"/>
  <c r="F236" i="21" s="1"/>
  <c r="K26" i="19"/>
  <c r="H381" i="19"/>
  <c r="F378" i="21" s="1"/>
  <c r="H45" i="12"/>
  <c r="K310" i="19"/>
  <c r="H97" i="19"/>
  <c r="F94" i="21" s="1"/>
  <c r="E239" i="19"/>
  <c r="C236" i="21" s="1"/>
  <c r="E45" i="12"/>
  <c r="E310" i="19"/>
  <c r="C307" i="21" s="1"/>
  <c r="K33" i="8"/>
  <c r="E33" i="8"/>
  <c r="K168" i="19"/>
  <c r="K381" i="19"/>
  <c r="H26" i="19"/>
  <c r="F23" i="21" s="1"/>
  <c r="H33" i="8"/>
  <c r="E26" i="19"/>
  <c r="C23" i="21" s="1"/>
  <c r="H168" i="19"/>
  <c r="F165" i="21" s="1"/>
  <c r="K45" i="12"/>
  <c r="H310" i="19"/>
  <c r="F307" i="21" s="1"/>
  <c r="K97" i="19"/>
  <c r="E168" i="19"/>
  <c r="C165" i="21" s="1"/>
  <c r="E381" i="19"/>
  <c r="C378" i="21" s="1"/>
  <c r="E97" i="19"/>
  <c r="C94" i="21" s="1"/>
  <c r="K239" i="19"/>
  <c r="P45" i="7"/>
  <c r="C42" i="24" s="1"/>
  <c r="S44" i="7"/>
  <c r="F96" i="19"/>
  <c r="D93" i="21" s="1"/>
  <c r="I238" i="19"/>
  <c r="L32" i="8"/>
  <c r="T32" i="8" s="1"/>
  <c r="L44" i="12"/>
  <c r="T44" i="12" s="1"/>
  <c r="L238" i="19"/>
  <c r="I167" i="19"/>
  <c r="I96" i="19"/>
  <c r="F309" i="19"/>
  <c r="D306" i="21" s="1"/>
  <c r="L167" i="19"/>
  <c r="I25" i="19"/>
  <c r="F44" i="12"/>
  <c r="F238" i="19"/>
  <c r="D235" i="21" s="1"/>
  <c r="I380" i="19"/>
  <c r="L96" i="19"/>
  <c r="L380" i="19"/>
  <c r="I32" i="8"/>
  <c r="L25" i="19"/>
  <c r="F32" i="8"/>
  <c r="L309" i="19"/>
  <c r="I44" i="12"/>
  <c r="F25" i="19"/>
  <c r="D22" i="21" s="1"/>
  <c r="F380" i="19"/>
  <c r="D377" i="21" s="1"/>
  <c r="I309" i="19"/>
  <c r="F167" i="19"/>
  <c r="D164" i="21" s="1"/>
  <c r="N47" i="20"/>
  <c r="H47" i="20"/>
  <c r="H48" i="7" l="1"/>
  <c r="B43" i="24"/>
  <c r="D43" i="24"/>
  <c r="I381" i="19"/>
  <c r="L310" i="19"/>
  <c r="F97" i="19"/>
  <c r="D94" i="21" s="1"/>
  <c r="L33" i="8"/>
  <c r="T33" i="8" s="1"/>
  <c r="L381" i="19"/>
  <c r="I168" i="19"/>
  <c r="F239" i="19"/>
  <c r="D236" i="21" s="1"/>
  <c r="I26" i="19"/>
  <c r="F26" i="19"/>
  <c r="D23" i="21" s="1"/>
  <c r="L97" i="19"/>
  <c r="I45" i="12"/>
  <c r="I33" i="8"/>
  <c r="I97" i="19"/>
  <c r="I310" i="19"/>
  <c r="L26" i="19"/>
  <c r="F168" i="19"/>
  <c r="D165" i="21" s="1"/>
  <c r="F381" i="19"/>
  <c r="D378" i="21" s="1"/>
  <c r="I239" i="19"/>
  <c r="L239" i="19"/>
  <c r="L168" i="19"/>
  <c r="F310" i="19"/>
  <c r="D307" i="21" s="1"/>
  <c r="L45" i="12"/>
  <c r="T45" i="12" s="1"/>
  <c r="F33" i="8"/>
  <c r="F45" i="12"/>
  <c r="E48" i="20"/>
  <c r="M48" i="20" s="1"/>
  <c r="H240" i="19"/>
  <c r="F237" i="21" s="1"/>
  <c r="E34" i="8"/>
  <c r="K382" i="19"/>
  <c r="K98" i="19"/>
  <c r="H169" i="19"/>
  <c r="F166" i="21" s="1"/>
  <c r="K169" i="19"/>
  <c r="H34" i="8"/>
  <c r="E240" i="19"/>
  <c r="C237" i="21" s="1"/>
  <c r="H46" i="12"/>
  <c r="K46" i="12"/>
  <c r="K34" i="8"/>
  <c r="H382" i="19"/>
  <c r="F379" i="21" s="1"/>
  <c r="E27" i="19"/>
  <c r="C24" i="21" s="1"/>
  <c r="H311" i="19"/>
  <c r="F308" i="21" s="1"/>
  <c r="E311" i="19"/>
  <c r="C308" i="21" s="1"/>
  <c r="E169" i="19"/>
  <c r="C166" i="21" s="1"/>
  <c r="K27" i="19"/>
  <c r="E46" i="12"/>
  <c r="E382" i="19"/>
  <c r="C379" i="21" s="1"/>
  <c r="H27" i="19"/>
  <c r="F24" i="21" s="1"/>
  <c r="K311" i="19"/>
  <c r="E98" i="19"/>
  <c r="C95" i="21" s="1"/>
  <c r="H98" i="19"/>
  <c r="F95" i="21" s="1"/>
  <c r="K240" i="19"/>
  <c r="S45" i="7"/>
  <c r="P47" i="20"/>
  <c r="I47" i="7" s="1"/>
  <c r="M47" i="7" s="1"/>
  <c r="G47" i="7"/>
  <c r="M98" i="19"/>
  <c r="J382" i="19"/>
  <c r="J98" i="19"/>
  <c r="M46" i="12"/>
  <c r="M311" i="19"/>
  <c r="O46" i="7"/>
  <c r="J34" i="8"/>
  <c r="J27" i="19"/>
  <c r="M27" i="19"/>
  <c r="J311" i="19"/>
  <c r="J240" i="19"/>
  <c r="G34" i="8"/>
  <c r="G311" i="19"/>
  <c r="E308" i="21" s="1"/>
  <c r="J169" i="19"/>
  <c r="G169" i="19"/>
  <c r="E166" i="21" s="1"/>
  <c r="G382" i="19"/>
  <c r="E379" i="21" s="1"/>
  <c r="M169" i="19"/>
  <c r="M240" i="19"/>
  <c r="M382" i="19"/>
  <c r="G46" i="12"/>
  <c r="G240" i="19"/>
  <c r="E237" i="21" s="1"/>
  <c r="G98" i="19"/>
  <c r="E95" i="21" s="1"/>
  <c r="M34" i="8"/>
  <c r="J46" i="12"/>
  <c r="G27" i="19"/>
  <c r="E24" i="21" s="1"/>
  <c r="F47" i="7"/>
  <c r="N47" i="7" s="1"/>
  <c r="U47" i="20"/>
  <c r="F49" i="20"/>
  <c r="G49" i="20"/>
  <c r="O49" i="20" s="1"/>
  <c r="N48" i="20"/>
  <c r="H48" i="20"/>
  <c r="P46" i="7"/>
  <c r="C43" i="24" s="1"/>
  <c r="H49" i="7" l="1"/>
  <c r="M7" i="13"/>
  <c r="B44" i="24"/>
  <c r="J7" i="13"/>
  <c r="K7" i="13"/>
  <c r="G7" i="13"/>
  <c r="E7" i="13"/>
  <c r="H7" i="13"/>
  <c r="D44" i="24"/>
  <c r="G50" i="20"/>
  <c r="O50" i="20" s="1"/>
  <c r="F50" i="20"/>
  <c r="F48" i="7"/>
  <c r="N48" i="7" s="1"/>
  <c r="U48" i="20"/>
  <c r="F98" i="19"/>
  <c r="D95" i="21" s="1"/>
  <c r="I46" i="12"/>
  <c r="F169" i="19"/>
  <c r="D166" i="21" s="1"/>
  <c r="L34" i="8"/>
  <c r="T34" i="8" s="1"/>
  <c r="F34" i="8"/>
  <c r="L240" i="19"/>
  <c r="F311" i="19"/>
  <c r="D308" i="21" s="1"/>
  <c r="I311" i="19"/>
  <c r="L46" i="12"/>
  <c r="T46" i="12" s="1"/>
  <c r="I34" i="8"/>
  <c r="I169" i="19"/>
  <c r="F46" i="12"/>
  <c r="F382" i="19"/>
  <c r="D379" i="21" s="1"/>
  <c r="I27" i="19"/>
  <c r="I240" i="19"/>
  <c r="L169" i="19"/>
  <c r="I382" i="19"/>
  <c r="L27" i="19"/>
  <c r="I98" i="19"/>
  <c r="L98" i="19"/>
  <c r="F240" i="19"/>
  <c r="D237" i="21" s="1"/>
  <c r="F27" i="19"/>
  <c r="D24" i="21" s="1"/>
  <c r="L311" i="19"/>
  <c r="L382" i="19"/>
  <c r="P48" i="20"/>
  <c r="I48" i="7" s="1"/>
  <c r="M48" i="7" s="1"/>
  <c r="G48" i="7"/>
  <c r="P47" i="7"/>
  <c r="C44" i="24" s="1"/>
  <c r="S46" i="7"/>
  <c r="M35" i="8"/>
  <c r="M383" i="19"/>
  <c r="M99" i="19"/>
  <c r="G241" i="19"/>
  <c r="E238" i="21" s="1"/>
  <c r="G383" i="19"/>
  <c r="E380" i="21" s="1"/>
  <c r="J312" i="19"/>
  <c r="M312" i="19"/>
  <c r="M241" i="19"/>
  <c r="J35" i="8"/>
  <c r="G99" i="19"/>
  <c r="E96" i="21" s="1"/>
  <c r="G47" i="12"/>
  <c r="G28" i="19"/>
  <c r="E25" i="21" s="1"/>
  <c r="M28" i="19"/>
  <c r="G35" i="8"/>
  <c r="J170" i="19"/>
  <c r="J47" i="12"/>
  <c r="M170" i="19"/>
  <c r="O47" i="7"/>
  <c r="J383" i="19"/>
  <c r="J241" i="19"/>
  <c r="J99" i="19"/>
  <c r="G170" i="19"/>
  <c r="E167" i="21" s="1"/>
  <c r="G312" i="19"/>
  <c r="E309" i="21" s="1"/>
  <c r="M47" i="12"/>
  <c r="J28" i="19"/>
  <c r="H49" i="20"/>
  <c r="N49" i="20"/>
  <c r="E312" i="19"/>
  <c r="C309" i="21" s="1"/>
  <c r="K47" i="12"/>
  <c r="E35" i="8"/>
  <c r="H312" i="19"/>
  <c r="F309" i="21" s="1"/>
  <c r="H170" i="19"/>
  <c r="F167" i="21" s="1"/>
  <c r="H35" i="8"/>
  <c r="E99" i="19"/>
  <c r="C96" i="21" s="1"/>
  <c r="E28" i="19"/>
  <c r="C25" i="21" s="1"/>
  <c r="K28" i="19"/>
  <c r="K241" i="19"/>
  <c r="H47" i="12"/>
  <c r="H241" i="19"/>
  <c r="F238" i="21" s="1"/>
  <c r="E47" i="12"/>
  <c r="K312" i="19"/>
  <c r="E170" i="19"/>
  <c r="C167" i="21" s="1"/>
  <c r="K99" i="19"/>
  <c r="K170" i="19"/>
  <c r="E383" i="19"/>
  <c r="C380" i="21" s="1"/>
  <c r="E241" i="19"/>
  <c r="C238" i="21" s="1"/>
  <c r="K35" i="8"/>
  <c r="H99" i="19"/>
  <c r="F96" i="21" s="1"/>
  <c r="H383" i="19"/>
  <c r="F380" i="21" s="1"/>
  <c r="K383" i="19"/>
  <c r="H28" i="19"/>
  <c r="F25" i="21" s="1"/>
  <c r="E49" i="20"/>
  <c r="M49" i="20" s="1"/>
  <c r="H50" i="7" l="1"/>
  <c r="B45" i="24"/>
  <c r="M6" i="10"/>
  <c r="I7" i="13"/>
  <c r="K6" i="10"/>
  <c r="H6" i="10"/>
  <c r="E6" i="10"/>
  <c r="J6" i="10"/>
  <c r="G6" i="10"/>
  <c r="F7" i="13"/>
  <c r="L7" i="13"/>
  <c r="D45" i="24"/>
  <c r="F47" i="12"/>
  <c r="I312" i="19"/>
  <c r="F99" i="19"/>
  <c r="D96" i="21" s="1"/>
  <c r="L28" i="19"/>
  <c r="I35" i="8"/>
  <c r="I47" i="12"/>
  <c r="I383" i="19"/>
  <c r="L35" i="8"/>
  <c r="T35" i="8" s="1"/>
  <c r="F312" i="19"/>
  <c r="D309" i="21" s="1"/>
  <c r="F241" i="19"/>
  <c r="D238" i="21" s="1"/>
  <c r="F383" i="19"/>
  <c r="D380" i="21" s="1"/>
  <c r="L312" i="19"/>
  <c r="F35" i="8"/>
  <c r="I99" i="19"/>
  <c r="I241" i="19"/>
  <c r="I28" i="19"/>
  <c r="L47" i="12"/>
  <c r="T47" i="12" s="1"/>
  <c r="L170" i="19"/>
  <c r="L383" i="19"/>
  <c r="I170" i="19"/>
  <c r="L241" i="19"/>
  <c r="L99" i="19"/>
  <c r="F28" i="19"/>
  <c r="D25" i="21" s="1"/>
  <c r="F170" i="19"/>
  <c r="D167" i="21" s="1"/>
  <c r="U49" i="20"/>
  <c r="F49" i="7"/>
  <c r="N49" i="7" s="1"/>
  <c r="P48" i="7"/>
  <c r="C45" i="24" s="1"/>
  <c r="G49" i="7"/>
  <c r="P49" i="20"/>
  <c r="I49" i="7" s="1"/>
  <c r="M49" i="7" s="1"/>
  <c r="F51" i="20"/>
  <c r="G51" i="20"/>
  <c r="O51" i="20" s="1"/>
  <c r="N50" i="20"/>
  <c r="H50" i="20"/>
  <c r="M100" i="19"/>
  <c r="G36" i="8"/>
  <c r="G29" i="19"/>
  <c r="E26" i="21" s="1"/>
  <c r="O48" i="7"/>
  <c r="G384" i="19"/>
  <c r="E381" i="21" s="1"/>
  <c r="M48" i="12"/>
  <c r="G100" i="19"/>
  <c r="E97" i="21" s="1"/>
  <c r="M29" i="19"/>
  <c r="J242" i="19"/>
  <c r="J384" i="19"/>
  <c r="J171" i="19"/>
  <c r="G48" i="12"/>
  <c r="G171" i="19"/>
  <c r="E168" i="21" s="1"/>
  <c r="M313" i="19"/>
  <c r="J29" i="19"/>
  <c r="M171" i="19"/>
  <c r="J100" i="19"/>
  <c r="M242" i="19"/>
  <c r="J36" i="8"/>
  <c r="G242" i="19"/>
  <c r="E239" i="21" s="1"/>
  <c r="J48" i="12"/>
  <c r="J313" i="19"/>
  <c r="M36" i="8"/>
  <c r="M384" i="19"/>
  <c r="G313" i="19"/>
  <c r="E310" i="21" s="1"/>
  <c r="E50" i="20"/>
  <c r="M50" i="20" s="1"/>
  <c r="S47" i="7"/>
  <c r="E384" i="19"/>
  <c r="C381" i="21" s="1"/>
  <c r="H100" i="19"/>
  <c r="F97" i="21" s="1"/>
  <c r="H242" i="19"/>
  <c r="F239" i="21" s="1"/>
  <c r="K29" i="19"/>
  <c r="E313" i="19"/>
  <c r="C310" i="21" s="1"/>
  <c r="H171" i="19"/>
  <c r="F168" i="21" s="1"/>
  <c r="K242" i="19"/>
  <c r="E171" i="19"/>
  <c r="C168" i="21" s="1"/>
  <c r="E48" i="12"/>
  <c r="E29" i="19"/>
  <c r="C26" i="21" s="1"/>
  <c r="H48" i="12"/>
  <c r="K313" i="19"/>
  <c r="H313" i="19"/>
  <c r="F310" i="21" s="1"/>
  <c r="H36" i="8"/>
  <c r="K100" i="19"/>
  <c r="K384" i="19"/>
  <c r="E100" i="19"/>
  <c r="C97" i="21" s="1"/>
  <c r="K48" i="12"/>
  <c r="K36" i="8"/>
  <c r="E36" i="8"/>
  <c r="K171" i="19"/>
  <c r="E242" i="19"/>
  <c r="C239" i="21" s="1"/>
  <c r="H29" i="19"/>
  <c r="F26" i="21" s="1"/>
  <c r="H384" i="19"/>
  <c r="F381" i="21" s="1"/>
  <c r="H51" i="7" l="1"/>
  <c r="D46" i="24"/>
  <c r="L6" i="10"/>
  <c r="B46" i="24"/>
  <c r="F6" i="10"/>
  <c r="I6" i="10"/>
  <c r="G50" i="7"/>
  <c r="P50" i="20"/>
  <c r="I50" i="7" s="1"/>
  <c r="M50" i="7" s="1"/>
  <c r="E51" i="20"/>
  <c r="M51" i="20" s="1"/>
  <c r="P49" i="7"/>
  <c r="C46" i="24" s="1"/>
  <c r="S48" i="7"/>
  <c r="F50" i="7"/>
  <c r="N50" i="7" s="1"/>
  <c r="U50" i="20"/>
  <c r="G52" i="20"/>
  <c r="O52" i="20" s="1"/>
  <c r="E243" i="19"/>
  <c r="C240" i="21" s="1"/>
  <c r="K314" i="19"/>
  <c r="H385" i="19"/>
  <c r="F382" i="21" s="1"/>
  <c r="E172" i="19"/>
  <c r="C169" i="21" s="1"/>
  <c r="K385" i="19"/>
  <c r="H243" i="19"/>
  <c r="F240" i="21" s="1"/>
  <c r="K37" i="8"/>
  <c r="H49" i="12"/>
  <c r="K243" i="19"/>
  <c r="E314" i="19"/>
  <c r="C311" i="21" s="1"/>
  <c r="H30" i="19"/>
  <c r="F27" i="21" s="1"/>
  <c r="H37" i="8"/>
  <c r="E37" i="8"/>
  <c r="H314" i="19"/>
  <c r="F311" i="21" s="1"/>
  <c r="H101" i="19"/>
  <c r="F98" i="21" s="1"/>
  <c r="E101" i="19"/>
  <c r="C98" i="21" s="1"/>
  <c r="E385" i="19"/>
  <c r="C382" i="21" s="1"/>
  <c r="K30" i="19"/>
  <c r="E49" i="12"/>
  <c r="K101" i="19"/>
  <c r="K172" i="19"/>
  <c r="K49" i="12"/>
  <c r="H172" i="19"/>
  <c r="F169" i="21" s="1"/>
  <c r="E30" i="19"/>
  <c r="C27" i="21" s="1"/>
  <c r="F52" i="20"/>
  <c r="H51" i="20"/>
  <c r="N51" i="20"/>
  <c r="M30" i="19"/>
  <c r="G49" i="12"/>
  <c r="J385" i="19"/>
  <c r="J243" i="19"/>
  <c r="J101" i="19"/>
  <c r="G314" i="19"/>
  <c r="E311" i="21" s="1"/>
  <c r="M385" i="19"/>
  <c r="G172" i="19"/>
  <c r="E169" i="21" s="1"/>
  <c r="G243" i="19"/>
  <c r="E240" i="21" s="1"/>
  <c r="O49" i="7"/>
  <c r="G101" i="19"/>
  <c r="E98" i="21" s="1"/>
  <c r="M49" i="12"/>
  <c r="G30" i="19"/>
  <c r="E27" i="21" s="1"/>
  <c r="M101" i="19"/>
  <c r="J172" i="19"/>
  <c r="J30" i="19"/>
  <c r="J49" i="12"/>
  <c r="M314" i="19"/>
  <c r="J37" i="8"/>
  <c r="M37" i="8"/>
  <c r="J314" i="19"/>
  <c r="M172" i="19"/>
  <c r="G385" i="19"/>
  <c r="E382" i="21" s="1"/>
  <c r="G37" i="8"/>
  <c r="M243" i="19"/>
  <c r="I100" i="19"/>
  <c r="I313" i="19"/>
  <c r="F48" i="12"/>
  <c r="L171" i="19"/>
  <c r="L29" i="19"/>
  <c r="F313" i="19"/>
  <c r="D310" i="21" s="1"/>
  <c r="L313" i="19"/>
  <c r="I48" i="12"/>
  <c r="L48" i="12"/>
  <c r="T48" i="12" s="1"/>
  <c r="F242" i="19"/>
  <c r="D239" i="21" s="1"/>
  <c r="I171" i="19"/>
  <c r="I242" i="19"/>
  <c r="F29" i="19"/>
  <c r="D26" i="21" s="1"/>
  <c r="L242" i="19"/>
  <c r="L100" i="19"/>
  <c r="F36" i="8"/>
  <c r="L384" i="19"/>
  <c r="I29" i="19"/>
  <c r="I36" i="8"/>
  <c r="L36" i="8"/>
  <c r="T36" i="8" s="1"/>
  <c r="F100" i="19"/>
  <c r="D97" i="21" s="1"/>
  <c r="F384" i="19"/>
  <c r="D381" i="21" s="1"/>
  <c r="F171" i="19"/>
  <c r="D168" i="21" s="1"/>
  <c r="I384" i="19"/>
  <c r="H52" i="7" l="1"/>
  <c r="B47" i="24"/>
  <c r="D47" i="24"/>
  <c r="S49" i="7"/>
  <c r="G51" i="7"/>
  <c r="P51" i="20"/>
  <c r="I51" i="7" s="1"/>
  <c r="M51" i="7" s="1"/>
  <c r="P50" i="7"/>
  <c r="C47" i="24" s="1"/>
  <c r="I101" i="19"/>
  <c r="L385" i="19"/>
  <c r="I314" i="19"/>
  <c r="F49" i="12"/>
  <c r="F243" i="19"/>
  <c r="D240" i="21" s="1"/>
  <c r="L101" i="19"/>
  <c r="L30" i="19"/>
  <c r="I30" i="19"/>
  <c r="F385" i="19"/>
  <c r="D382" i="21" s="1"/>
  <c r="F172" i="19"/>
  <c r="D169" i="21" s="1"/>
  <c r="L314" i="19"/>
  <c r="L37" i="8"/>
  <c r="T37" i="8" s="1"/>
  <c r="L49" i="12"/>
  <c r="T49" i="12" s="1"/>
  <c r="I49" i="12"/>
  <c r="L243" i="19"/>
  <c r="I243" i="19"/>
  <c r="F314" i="19"/>
  <c r="D311" i="21" s="1"/>
  <c r="L172" i="19"/>
  <c r="F37" i="8"/>
  <c r="F101" i="19"/>
  <c r="D98" i="21" s="1"/>
  <c r="I385" i="19"/>
  <c r="I172" i="19"/>
  <c r="I37" i="8"/>
  <c r="F30" i="19"/>
  <c r="D27" i="21" s="1"/>
  <c r="F53" i="20"/>
  <c r="E52" i="20"/>
  <c r="M52" i="20" s="1"/>
  <c r="F51" i="7"/>
  <c r="N51" i="7" s="1"/>
  <c r="U51" i="20"/>
  <c r="H52" i="20"/>
  <c r="N52" i="20"/>
  <c r="G53" i="20"/>
  <c r="O53" i="20" s="1"/>
  <c r="H244" i="19"/>
  <c r="F241" i="21" s="1"/>
  <c r="E173" i="19"/>
  <c r="C170" i="21" s="1"/>
  <c r="E31" i="19"/>
  <c r="C28" i="21" s="1"/>
  <c r="K386" i="19"/>
  <c r="K315" i="19"/>
  <c r="K173" i="19"/>
  <c r="K38" i="8"/>
  <c r="E102" i="19"/>
  <c r="C99" i="21" s="1"/>
  <c r="H315" i="19"/>
  <c r="F312" i="21" s="1"/>
  <c r="K102" i="19"/>
  <c r="H31" i="19"/>
  <c r="F28" i="21" s="1"/>
  <c r="H50" i="12"/>
  <c r="E38" i="8"/>
  <c r="E244" i="19"/>
  <c r="C241" i="21" s="1"/>
  <c r="H386" i="19"/>
  <c r="F383" i="21" s="1"/>
  <c r="K50" i="12"/>
  <c r="E386" i="19"/>
  <c r="C383" i="21" s="1"/>
  <c r="E315" i="19"/>
  <c r="C312" i="21" s="1"/>
  <c r="H102" i="19"/>
  <c r="F99" i="21" s="1"/>
  <c r="K244" i="19"/>
  <c r="H38" i="8"/>
  <c r="H173" i="19"/>
  <c r="F170" i="21" s="1"/>
  <c r="K31" i="19"/>
  <c r="E50" i="12"/>
  <c r="M173" i="19"/>
  <c r="J50" i="12"/>
  <c r="M102" i="19"/>
  <c r="M244" i="19"/>
  <c r="G386" i="19"/>
  <c r="E383" i="21" s="1"/>
  <c r="J244" i="19"/>
  <c r="G38" i="8"/>
  <c r="J173" i="19"/>
  <c r="G315" i="19"/>
  <c r="E312" i="21" s="1"/>
  <c r="G50" i="12"/>
  <c r="M31" i="19"/>
  <c r="J386" i="19"/>
  <c r="M50" i="12"/>
  <c r="G102" i="19"/>
  <c r="E99" i="21" s="1"/>
  <c r="G31" i="19"/>
  <c r="E28" i="21" s="1"/>
  <c r="O50" i="7"/>
  <c r="J102" i="19"/>
  <c r="J38" i="8"/>
  <c r="G173" i="19"/>
  <c r="E170" i="21" s="1"/>
  <c r="G244" i="19"/>
  <c r="E241" i="21" s="1"/>
  <c r="J315" i="19"/>
  <c r="M38" i="8"/>
  <c r="J31" i="19"/>
  <c r="M386" i="19"/>
  <c r="M315" i="19"/>
  <c r="H53" i="7" l="1"/>
  <c r="B48" i="24"/>
  <c r="D48" i="24"/>
  <c r="F54" i="20"/>
  <c r="P51" i="7"/>
  <c r="C48" i="24" s="1"/>
  <c r="M316" i="19"/>
  <c r="G174" i="19"/>
  <c r="E171" i="21" s="1"/>
  <c r="G32" i="19"/>
  <c r="E29" i="21" s="1"/>
  <c r="G387" i="19"/>
  <c r="E384" i="21" s="1"/>
  <c r="G245" i="19"/>
  <c r="E242" i="21" s="1"/>
  <c r="J39" i="8"/>
  <c r="G39" i="8"/>
  <c r="M32" i="19"/>
  <c r="J387" i="19"/>
  <c r="M174" i="19"/>
  <c r="M39" i="8"/>
  <c r="M387" i="19"/>
  <c r="J103" i="19"/>
  <c r="J174" i="19"/>
  <c r="G316" i="19"/>
  <c r="E313" i="21" s="1"/>
  <c r="J316" i="19"/>
  <c r="J245" i="19"/>
  <c r="M103" i="19"/>
  <c r="M51" i="12"/>
  <c r="G51" i="12"/>
  <c r="G103" i="19"/>
  <c r="E100" i="21" s="1"/>
  <c r="M245" i="19"/>
  <c r="J51" i="12"/>
  <c r="O51" i="7"/>
  <c r="J32" i="19"/>
  <c r="N53" i="20"/>
  <c r="H53" i="20"/>
  <c r="P52" i="20"/>
  <c r="I52" i="7" s="1"/>
  <c r="M52" i="7" s="1"/>
  <c r="G52" i="7"/>
  <c r="F52" i="7"/>
  <c r="N52" i="7" s="1"/>
  <c r="U52" i="20"/>
  <c r="S50" i="7"/>
  <c r="E53" i="20"/>
  <c r="M53" i="20" s="1"/>
  <c r="L386" i="19"/>
  <c r="F38" i="8"/>
  <c r="F244" i="19"/>
  <c r="D241" i="21" s="1"/>
  <c r="L315" i="19"/>
  <c r="F102" i="19"/>
  <c r="D99" i="21" s="1"/>
  <c r="I50" i="12"/>
  <c r="I38" i="8"/>
  <c r="I173" i="19"/>
  <c r="F386" i="19"/>
  <c r="D383" i="21" s="1"/>
  <c r="I315" i="19"/>
  <c r="I386" i="19"/>
  <c r="L173" i="19"/>
  <c r="L244" i="19"/>
  <c r="F315" i="19"/>
  <c r="D312" i="21" s="1"/>
  <c r="L50" i="12"/>
  <c r="T50" i="12" s="1"/>
  <c r="F50" i="12"/>
  <c r="I244" i="19"/>
  <c r="F173" i="19"/>
  <c r="D170" i="21" s="1"/>
  <c r="L31" i="19"/>
  <c r="I31" i="19"/>
  <c r="F31" i="19"/>
  <c r="D28" i="21" s="1"/>
  <c r="L38" i="8"/>
  <c r="T38" i="8" s="1"/>
  <c r="L102" i="19"/>
  <c r="I102" i="19"/>
  <c r="G54" i="20"/>
  <c r="O54" i="20" s="1"/>
  <c r="H51" i="12"/>
  <c r="H103" i="19"/>
  <c r="F100" i="21" s="1"/>
  <c r="E245" i="19"/>
  <c r="C242" i="21" s="1"/>
  <c r="E51" i="12"/>
  <c r="H174" i="19"/>
  <c r="F171" i="21" s="1"/>
  <c r="K174" i="19"/>
  <c r="K32" i="19"/>
  <c r="K103" i="19"/>
  <c r="K245" i="19"/>
  <c r="E39" i="8"/>
  <c r="K387" i="19"/>
  <c r="H245" i="19"/>
  <c r="F242" i="21" s="1"/>
  <c r="H316" i="19"/>
  <c r="F313" i="21" s="1"/>
  <c r="H387" i="19"/>
  <c r="F384" i="21" s="1"/>
  <c r="E387" i="19"/>
  <c r="C384" i="21" s="1"/>
  <c r="K316" i="19"/>
  <c r="E103" i="19"/>
  <c r="C100" i="21" s="1"/>
  <c r="H39" i="8"/>
  <c r="E174" i="19"/>
  <c r="C171" i="21" s="1"/>
  <c r="K39" i="8"/>
  <c r="E316" i="19"/>
  <c r="C313" i="21" s="1"/>
  <c r="E32" i="19"/>
  <c r="C29" i="21" s="1"/>
  <c r="H32" i="19"/>
  <c r="F29" i="21" s="1"/>
  <c r="K51" i="12"/>
  <c r="H54" i="7" l="1"/>
  <c r="D49" i="24"/>
  <c r="G8" i="11"/>
  <c r="M8" i="11"/>
  <c r="J8" i="11"/>
  <c r="B49" i="24"/>
  <c r="K8" i="11"/>
  <c r="E8" i="11"/>
  <c r="H8" i="11"/>
  <c r="E246" i="19"/>
  <c r="C243" i="21" s="1"/>
  <c r="K104" i="19"/>
  <c r="E52" i="12"/>
  <c r="E175" i="19"/>
  <c r="C172" i="21" s="1"/>
  <c r="E317" i="19"/>
  <c r="C314" i="21" s="1"/>
  <c r="E33" i="19"/>
  <c r="C30" i="21" s="1"/>
  <c r="H40" i="8"/>
  <c r="E388" i="19"/>
  <c r="C385" i="21" s="1"/>
  <c r="H317" i="19"/>
  <c r="F314" i="21" s="1"/>
  <c r="H52" i="12"/>
  <c r="K33" i="19"/>
  <c r="K175" i="19"/>
  <c r="E40" i="8"/>
  <c r="H33" i="19"/>
  <c r="F30" i="21" s="1"/>
  <c r="H175" i="19"/>
  <c r="F172" i="21" s="1"/>
  <c r="K246" i="19"/>
  <c r="K40" i="8"/>
  <c r="K52" i="12"/>
  <c r="E104" i="19"/>
  <c r="C101" i="21" s="1"/>
  <c r="H388" i="19"/>
  <c r="F385" i="21" s="1"/>
  <c r="H104" i="19"/>
  <c r="F101" i="21" s="1"/>
  <c r="H246" i="19"/>
  <c r="F243" i="21" s="1"/>
  <c r="K388" i="19"/>
  <c r="K317" i="19"/>
  <c r="U53" i="20"/>
  <c r="F53" i="7"/>
  <c r="N53" i="7" s="1"/>
  <c r="S51" i="7"/>
  <c r="F245" i="19"/>
  <c r="D242" i="21" s="1"/>
  <c r="L387" i="19"/>
  <c r="L245" i="19"/>
  <c r="I174" i="19"/>
  <c r="I245" i="19"/>
  <c r="I32" i="19"/>
  <c r="I103" i="19"/>
  <c r="I316" i="19"/>
  <c r="I39" i="8"/>
  <c r="I51" i="12"/>
  <c r="L174" i="19"/>
  <c r="L316" i="19"/>
  <c r="F174" i="19"/>
  <c r="D171" i="21" s="1"/>
  <c r="L32" i="19"/>
  <c r="F51" i="12"/>
  <c r="L103" i="19"/>
  <c r="L39" i="8"/>
  <c r="T39" i="8" s="1"/>
  <c r="I387" i="19"/>
  <c r="F103" i="19"/>
  <c r="D100" i="21" s="1"/>
  <c r="F39" i="8"/>
  <c r="F387" i="19"/>
  <c r="D384" i="21" s="1"/>
  <c r="F32" i="19"/>
  <c r="D29" i="21" s="1"/>
  <c r="F316" i="19"/>
  <c r="D313" i="21" s="1"/>
  <c r="L51" i="12"/>
  <c r="T51" i="12" s="1"/>
  <c r="G55" i="20"/>
  <c r="O55" i="20" s="1"/>
  <c r="H55" i="7" s="1"/>
  <c r="E54" i="20"/>
  <c r="M54" i="20" s="1"/>
  <c r="N54" i="20"/>
  <c r="H54" i="20"/>
  <c r="M40" i="8"/>
  <c r="G246" i="19"/>
  <c r="E243" i="21" s="1"/>
  <c r="G175" i="19"/>
  <c r="E172" i="21" s="1"/>
  <c r="M388" i="19"/>
  <c r="O52" i="7"/>
  <c r="M33" i="19"/>
  <c r="J175" i="19"/>
  <c r="J40" i="8"/>
  <c r="G52" i="12"/>
  <c r="M104" i="19"/>
  <c r="J388" i="19"/>
  <c r="M52" i="12"/>
  <c r="G104" i="19"/>
  <c r="E101" i="21" s="1"/>
  <c r="M175" i="19"/>
  <c r="M317" i="19"/>
  <c r="J246" i="19"/>
  <c r="G317" i="19"/>
  <c r="E314" i="21" s="1"/>
  <c r="J104" i="19"/>
  <c r="J52" i="12"/>
  <c r="J33" i="19"/>
  <c r="M246" i="19"/>
  <c r="J317" i="19"/>
  <c r="G388" i="19"/>
  <c r="E385" i="21" s="1"/>
  <c r="G33" i="19"/>
  <c r="E30" i="21" s="1"/>
  <c r="G40" i="8"/>
  <c r="G53" i="7"/>
  <c r="P53" i="20"/>
  <c r="I53" i="7" s="1"/>
  <c r="M53" i="7" s="1"/>
  <c r="F55" i="20"/>
  <c r="P52" i="7"/>
  <c r="C49" i="24" l="1"/>
  <c r="F8" i="11"/>
  <c r="I8" i="11"/>
  <c r="L8" i="11"/>
  <c r="B50" i="24"/>
  <c r="E8" i="9"/>
  <c r="K8" i="9"/>
  <c r="H8" i="9"/>
  <c r="G8" i="9"/>
  <c r="J8" i="9"/>
  <c r="M8" i="9"/>
  <c r="D50" i="24"/>
  <c r="U54" i="20"/>
  <c r="F54" i="7"/>
  <c r="N54" i="7" s="1"/>
  <c r="E55" i="20"/>
  <c r="M55" i="20" s="1"/>
  <c r="F56" i="20"/>
  <c r="H53" i="12"/>
  <c r="K34" i="19"/>
  <c r="K247" i="19"/>
  <c r="K41" i="8"/>
  <c r="E389" i="19"/>
  <c r="C386" i="21" s="1"/>
  <c r="K389" i="19"/>
  <c r="E176" i="19"/>
  <c r="C173" i="21" s="1"/>
  <c r="E247" i="19"/>
  <c r="C244" i="21" s="1"/>
  <c r="E34" i="19"/>
  <c r="C31" i="21" s="1"/>
  <c r="H176" i="19"/>
  <c r="F173" i="21" s="1"/>
  <c r="K176" i="19"/>
  <c r="H105" i="19"/>
  <c r="F102" i="21" s="1"/>
  <c r="E41" i="8"/>
  <c r="H389" i="19"/>
  <c r="F386" i="21" s="1"/>
  <c r="E53" i="12"/>
  <c r="H247" i="19"/>
  <c r="F244" i="21" s="1"/>
  <c r="E105" i="19"/>
  <c r="C102" i="21" s="1"/>
  <c r="K318" i="19"/>
  <c r="H318" i="19"/>
  <c r="F315" i="21" s="1"/>
  <c r="K53" i="12"/>
  <c r="K105" i="19"/>
  <c r="H34" i="19"/>
  <c r="F31" i="21" s="1"/>
  <c r="E318" i="19"/>
  <c r="C315" i="21" s="1"/>
  <c r="H41" i="8"/>
  <c r="S52" i="7"/>
  <c r="N55" i="20"/>
  <c r="H55" i="20"/>
  <c r="G56" i="20"/>
  <c r="O56" i="20" s="1"/>
  <c r="H56" i="7" s="1"/>
  <c r="F104" i="19"/>
  <c r="D101" i="21" s="1"/>
  <c r="L317" i="19"/>
  <c r="I175" i="19"/>
  <c r="F175" i="19"/>
  <c r="D172" i="21" s="1"/>
  <c r="F388" i="19"/>
  <c r="D385" i="21" s="1"/>
  <c r="L175" i="19"/>
  <c r="I388" i="19"/>
  <c r="L104" i="19"/>
  <c r="L52" i="12"/>
  <c r="T52" i="12" s="1"/>
  <c r="F40" i="8"/>
  <c r="I52" i="12"/>
  <c r="I40" i="8"/>
  <c r="I33" i="19"/>
  <c r="F317" i="19"/>
  <c r="D314" i="21" s="1"/>
  <c r="L388" i="19"/>
  <c r="F33" i="19"/>
  <c r="D30" i="21" s="1"/>
  <c r="I317" i="19"/>
  <c r="I104" i="19"/>
  <c r="L33" i="19"/>
  <c r="F52" i="12"/>
  <c r="L246" i="19"/>
  <c r="F246" i="19"/>
  <c r="D243" i="21" s="1"/>
  <c r="L40" i="8"/>
  <c r="T40" i="8" s="1"/>
  <c r="I246" i="19"/>
  <c r="M176" i="19"/>
  <c r="G247" i="19"/>
  <c r="E244" i="21" s="1"/>
  <c r="O53" i="7"/>
  <c r="M34" i="19"/>
  <c r="M389" i="19"/>
  <c r="M247" i="19"/>
  <c r="G105" i="19"/>
  <c r="E102" i="21" s="1"/>
  <c r="G41" i="8"/>
  <c r="G176" i="19"/>
  <c r="E173" i="21" s="1"/>
  <c r="J105" i="19"/>
  <c r="J53" i="12"/>
  <c r="G389" i="19"/>
  <c r="E386" i="21" s="1"/>
  <c r="J389" i="19"/>
  <c r="J34" i="19"/>
  <c r="G34" i="19"/>
  <c r="E31" i="21" s="1"/>
  <c r="M318" i="19"/>
  <c r="J176" i="19"/>
  <c r="G53" i="12"/>
  <c r="J247" i="19"/>
  <c r="M105" i="19"/>
  <c r="G318" i="19"/>
  <c r="E315" i="21" s="1"/>
  <c r="J41" i="8"/>
  <c r="J318" i="19"/>
  <c r="M41" i="8"/>
  <c r="M53" i="12"/>
  <c r="G54" i="7"/>
  <c r="P54" i="20"/>
  <c r="I54" i="7" s="1"/>
  <c r="M54" i="7" s="1"/>
  <c r="P53" i="7"/>
  <c r="B51" i="24" l="1"/>
  <c r="C50" i="24"/>
  <c r="I8" i="9"/>
  <c r="F8" i="9"/>
  <c r="L8" i="9"/>
  <c r="D51" i="24"/>
  <c r="S53" i="7"/>
  <c r="H56" i="20"/>
  <c r="N56" i="20"/>
  <c r="P54" i="7"/>
  <c r="C51" i="24" s="1"/>
  <c r="F55" i="7"/>
  <c r="N55" i="7" s="1"/>
  <c r="U55" i="20"/>
  <c r="K42" i="8"/>
  <c r="K248" i="19"/>
  <c r="H319" i="19"/>
  <c r="F316" i="21" s="1"/>
  <c r="H106" i="19"/>
  <c r="F103" i="21" s="1"/>
  <c r="E319" i="19"/>
  <c r="C316" i="21" s="1"/>
  <c r="H177" i="19"/>
  <c r="F174" i="21" s="1"/>
  <c r="H390" i="19"/>
  <c r="F387" i="21" s="1"/>
  <c r="E248" i="19"/>
  <c r="C245" i="21" s="1"/>
  <c r="K35" i="19"/>
  <c r="E177" i="19"/>
  <c r="C174" i="21" s="1"/>
  <c r="K54" i="12"/>
  <c r="H54" i="12"/>
  <c r="E35" i="19"/>
  <c r="C32" i="21" s="1"/>
  <c r="E390" i="19"/>
  <c r="C387" i="21" s="1"/>
  <c r="K319" i="19"/>
  <c r="H35" i="19"/>
  <c r="F32" i="21" s="1"/>
  <c r="H248" i="19"/>
  <c r="F245" i="21" s="1"/>
  <c r="K177" i="19"/>
  <c r="E42" i="8"/>
  <c r="E106" i="19"/>
  <c r="C103" i="21" s="1"/>
  <c r="K390" i="19"/>
  <c r="E54" i="12"/>
  <c r="H42" i="8"/>
  <c r="K106" i="19"/>
  <c r="G57" i="20"/>
  <c r="O57" i="20" s="1"/>
  <c r="H57" i="7" s="1"/>
  <c r="P55" i="20"/>
  <c r="I55" i="7" s="1"/>
  <c r="M55" i="7" s="1"/>
  <c r="G55" i="7"/>
  <c r="M319" i="19"/>
  <c r="J390" i="19"/>
  <c r="G35" i="19"/>
  <c r="E32" i="21" s="1"/>
  <c r="J248" i="19"/>
  <c r="J54" i="12"/>
  <c r="O54" i="7"/>
  <c r="M35" i="19"/>
  <c r="G390" i="19"/>
  <c r="E387" i="21" s="1"/>
  <c r="J42" i="8"/>
  <c r="M106" i="19"/>
  <c r="M248" i="19"/>
  <c r="G42" i="8"/>
  <c r="G54" i="12"/>
  <c r="J35" i="19"/>
  <c r="M390" i="19"/>
  <c r="J106" i="19"/>
  <c r="J319" i="19"/>
  <c r="M177" i="19"/>
  <c r="M42" i="8"/>
  <c r="G177" i="19"/>
  <c r="E174" i="21" s="1"/>
  <c r="G106" i="19"/>
  <c r="E103" i="21" s="1"/>
  <c r="G319" i="19"/>
  <c r="E316" i="21" s="1"/>
  <c r="G248" i="19"/>
  <c r="E245" i="21" s="1"/>
  <c r="M54" i="12"/>
  <c r="J177" i="19"/>
  <c r="E56" i="20"/>
  <c r="M56" i="20" s="1"/>
  <c r="I247" i="19"/>
  <c r="F389" i="19"/>
  <c r="D386" i="21" s="1"/>
  <c r="F247" i="19"/>
  <c r="D244" i="21" s="1"/>
  <c r="L176" i="19"/>
  <c r="I176" i="19"/>
  <c r="L34" i="19"/>
  <c r="L105" i="19"/>
  <c r="L247" i="19"/>
  <c r="F318" i="19"/>
  <c r="D315" i="21" s="1"/>
  <c r="F53" i="12"/>
  <c r="I389" i="19"/>
  <c r="I53" i="12"/>
  <c r="L318" i="19"/>
  <c r="I318" i="19"/>
  <c r="L389" i="19"/>
  <c r="F34" i="19"/>
  <c r="D31" i="21" s="1"/>
  <c r="I105" i="19"/>
  <c r="I34" i="19"/>
  <c r="F105" i="19"/>
  <c r="D102" i="21" s="1"/>
  <c r="L53" i="12"/>
  <c r="T53" i="12" s="1"/>
  <c r="L41" i="8"/>
  <c r="T41" i="8" s="1"/>
  <c r="F176" i="19"/>
  <c r="D173" i="21" s="1"/>
  <c r="F41" i="8"/>
  <c r="I41" i="8"/>
  <c r="F57" i="20"/>
  <c r="B52" i="24" l="1"/>
  <c r="D52" i="24"/>
  <c r="E320" i="19"/>
  <c r="C317" i="21" s="1"/>
  <c r="E107" i="19"/>
  <c r="C104" i="21" s="1"/>
  <c r="K107" i="19"/>
  <c r="K320" i="19"/>
  <c r="H107" i="19"/>
  <c r="F104" i="21" s="1"/>
  <c r="H320" i="19"/>
  <c r="F317" i="21" s="1"/>
  <c r="K36" i="19"/>
  <c r="E55" i="12"/>
  <c r="H249" i="19"/>
  <c r="F246" i="21" s="1"/>
  <c r="E178" i="19"/>
  <c r="C175" i="21" s="1"/>
  <c r="H178" i="19"/>
  <c r="F175" i="21" s="1"/>
  <c r="H43" i="8"/>
  <c r="H36" i="19"/>
  <c r="F33" i="21" s="1"/>
  <c r="H391" i="19"/>
  <c r="F388" i="21" s="1"/>
  <c r="K43" i="8"/>
  <c r="H55" i="12"/>
  <c r="K391" i="19"/>
  <c r="E43" i="8"/>
  <c r="E249" i="19"/>
  <c r="C246" i="21" s="1"/>
  <c r="K249" i="19"/>
  <c r="K55" i="12"/>
  <c r="E391" i="19"/>
  <c r="C388" i="21" s="1"/>
  <c r="K178" i="19"/>
  <c r="E36" i="19"/>
  <c r="C33" i="21" s="1"/>
  <c r="F42" i="8"/>
  <c r="F35" i="19"/>
  <c r="D32" i="21" s="1"/>
  <c r="F248" i="19"/>
  <c r="D245" i="21" s="1"/>
  <c r="I177" i="19"/>
  <c r="I248" i="19"/>
  <c r="F177" i="19"/>
  <c r="D174" i="21" s="1"/>
  <c r="I35" i="19"/>
  <c r="L42" i="8"/>
  <c r="T42" i="8" s="1"/>
  <c r="F106" i="19"/>
  <c r="D103" i="21" s="1"/>
  <c r="I54" i="12"/>
  <c r="L177" i="19"/>
  <c r="I42" i="8"/>
  <c r="I390" i="19"/>
  <c r="L106" i="19"/>
  <c r="L35" i="19"/>
  <c r="I106" i="19"/>
  <c r="F390" i="19"/>
  <c r="D387" i="21" s="1"/>
  <c r="L390" i="19"/>
  <c r="L319" i="19"/>
  <c r="L248" i="19"/>
  <c r="L54" i="12"/>
  <c r="T54" i="12" s="1"/>
  <c r="I319" i="19"/>
  <c r="F319" i="19"/>
  <c r="D316" i="21" s="1"/>
  <c r="F54" i="12"/>
  <c r="G56" i="7"/>
  <c r="P56" i="20"/>
  <c r="I56" i="7" s="1"/>
  <c r="M56" i="7" s="1"/>
  <c r="S54" i="7"/>
  <c r="F58" i="20"/>
  <c r="H57" i="20"/>
  <c r="N57" i="20"/>
  <c r="F56" i="7"/>
  <c r="N56" i="7" s="1"/>
  <c r="U56" i="20"/>
  <c r="G58" i="20"/>
  <c r="O58" i="20" s="1"/>
  <c r="H58" i="7" s="1"/>
  <c r="M320" i="19"/>
  <c r="G320" i="19"/>
  <c r="E317" i="21" s="1"/>
  <c r="G43" i="8"/>
  <c r="J36" i="19"/>
  <c r="G36" i="19"/>
  <c r="E33" i="21" s="1"/>
  <c r="M36" i="19"/>
  <c r="G391" i="19"/>
  <c r="E388" i="21" s="1"/>
  <c r="M391" i="19"/>
  <c r="G249" i="19"/>
  <c r="E246" i="21" s="1"/>
  <c r="O55" i="7"/>
  <c r="M178" i="19"/>
  <c r="J391" i="19"/>
  <c r="G55" i="12"/>
  <c r="J320" i="19"/>
  <c r="M107" i="19"/>
  <c r="J178" i="19"/>
  <c r="J107" i="19"/>
  <c r="M249" i="19"/>
  <c r="G178" i="19"/>
  <c r="E175" i="21" s="1"/>
  <c r="M43" i="8"/>
  <c r="J55" i="12"/>
  <c r="G107" i="19"/>
  <c r="E104" i="21" s="1"/>
  <c r="J249" i="19"/>
  <c r="J43" i="8"/>
  <c r="M55" i="12"/>
  <c r="P55" i="7"/>
  <c r="C52" i="24" s="1"/>
  <c r="E57" i="20"/>
  <c r="M57" i="20" s="1"/>
  <c r="B53" i="24" l="1"/>
  <c r="J8" i="13"/>
  <c r="G8" i="13"/>
  <c r="H8" i="13"/>
  <c r="E8" i="13"/>
  <c r="M8" i="13"/>
  <c r="K8" i="13"/>
  <c r="D53" i="24"/>
  <c r="F59" i="20"/>
  <c r="K37" i="19"/>
  <c r="H44" i="8"/>
  <c r="K108" i="19"/>
  <c r="K392" i="19"/>
  <c r="H179" i="19"/>
  <c r="F176" i="21" s="1"/>
  <c r="E108" i="19"/>
  <c r="C105" i="21" s="1"/>
  <c r="E44" i="8"/>
  <c r="K56" i="12"/>
  <c r="K250" i="19"/>
  <c r="H250" i="19"/>
  <c r="F247" i="21" s="1"/>
  <c r="E179" i="19"/>
  <c r="C176" i="21" s="1"/>
  <c r="H392" i="19"/>
  <c r="F389" i="21" s="1"/>
  <c r="E321" i="19"/>
  <c r="C318" i="21" s="1"/>
  <c r="E250" i="19"/>
  <c r="C247" i="21" s="1"/>
  <c r="K179" i="19"/>
  <c r="H37" i="19"/>
  <c r="F34" i="21" s="1"/>
  <c r="H56" i="12"/>
  <c r="E56" i="12"/>
  <c r="H321" i="19"/>
  <c r="F318" i="21" s="1"/>
  <c r="E37" i="19"/>
  <c r="C34" i="21" s="1"/>
  <c r="K321" i="19"/>
  <c r="H108" i="19"/>
  <c r="F105" i="21" s="1"/>
  <c r="E392" i="19"/>
  <c r="C389" i="21" s="1"/>
  <c r="K44" i="8"/>
  <c r="E58" i="20"/>
  <c r="M58" i="20" s="1"/>
  <c r="S55" i="7"/>
  <c r="M56" i="12"/>
  <c r="J56" i="12"/>
  <c r="G250" i="19"/>
  <c r="E247" i="21" s="1"/>
  <c r="G37" i="19"/>
  <c r="E34" i="21" s="1"/>
  <c r="J37" i="19"/>
  <c r="G56" i="12"/>
  <c r="M392" i="19"/>
  <c r="G321" i="19"/>
  <c r="E318" i="21" s="1"/>
  <c r="J321" i="19"/>
  <c r="M44" i="8"/>
  <c r="G392" i="19"/>
  <c r="E389" i="21" s="1"/>
  <c r="J108" i="19"/>
  <c r="G179" i="19"/>
  <c r="E176" i="21" s="1"/>
  <c r="M37" i="19"/>
  <c r="M321" i="19"/>
  <c r="M250" i="19"/>
  <c r="G44" i="8"/>
  <c r="O56" i="7"/>
  <c r="J44" i="8"/>
  <c r="M108" i="19"/>
  <c r="J179" i="19"/>
  <c r="G108" i="19"/>
  <c r="E105" i="21" s="1"/>
  <c r="J392" i="19"/>
  <c r="M179" i="19"/>
  <c r="J250" i="19"/>
  <c r="P56" i="7"/>
  <c r="C53" i="24" s="1"/>
  <c r="H58" i="20"/>
  <c r="N58" i="20"/>
  <c r="G59" i="20"/>
  <c r="O59" i="20" s="1"/>
  <c r="H59" i="7" s="1"/>
  <c r="F43" i="8"/>
  <c r="I107" i="19"/>
  <c r="I391" i="19"/>
  <c r="L178" i="19"/>
  <c r="L107" i="19"/>
  <c r="L320" i="19"/>
  <c r="L55" i="12"/>
  <c r="T55" i="12" s="1"/>
  <c r="I320" i="19"/>
  <c r="I55" i="12"/>
  <c r="L43" i="8"/>
  <c r="T43" i="8" s="1"/>
  <c r="L249" i="19"/>
  <c r="F249" i="19"/>
  <c r="D246" i="21" s="1"/>
  <c r="L36" i="19"/>
  <c r="F55" i="12"/>
  <c r="F320" i="19"/>
  <c r="D317" i="21" s="1"/>
  <c r="I178" i="19"/>
  <c r="L391" i="19"/>
  <c r="F36" i="19"/>
  <c r="D33" i="21" s="1"/>
  <c r="F107" i="19"/>
  <c r="D104" i="21" s="1"/>
  <c r="F391" i="19"/>
  <c r="D388" i="21" s="1"/>
  <c r="I43" i="8"/>
  <c r="F178" i="19"/>
  <c r="D175" i="21" s="1"/>
  <c r="I249" i="19"/>
  <c r="I36" i="19"/>
  <c r="F57" i="7"/>
  <c r="N57" i="7" s="1"/>
  <c r="U57" i="20"/>
  <c r="G57" i="7"/>
  <c r="P57" i="20"/>
  <c r="I57" i="7" s="1"/>
  <c r="M57" i="7" s="1"/>
  <c r="F8" i="13" l="1"/>
  <c r="L8" i="13"/>
  <c r="I8" i="13"/>
  <c r="J7" i="10"/>
  <c r="G7" i="10"/>
  <c r="M7" i="10"/>
  <c r="B54" i="24"/>
  <c r="E7" i="10"/>
  <c r="K7" i="10"/>
  <c r="H7" i="10"/>
  <c r="D54" i="24"/>
  <c r="P57" i="7"/>
  <c r="G60" i="20"/>
  <c r="O60" i="20" s="1"/>
  <c r="H60" i="7" s="1"/>
  <c r="E59" i="20"/>
  <c r="M59" i="20" s="1"/>
  <c r="I44" i="8"/>
  <c r="I56" i="12"/>
  <c r="L37" i="19"/>
  <c r="L44" i="8"/>
  <c r="T44" i="8" s="1"/>
  <c r="L56" i="12"/>
  <c r="T56" i="12" s="1"/>
  <c r="I321" i="19"/>
  <c r="I108" i="19"/>
  <c r="F250" i="19"/>
  <c r="D247" i="21" s="1"/>
  <c r="I37" i="19"/>
  <c r="L179" i="19"/>
  <c r="L392" i="19"/>
  <c r="I392" i="19"/>
  <c r="L321" i="19"/>
  <c r="I250" i="19"/>
  <c r="F179" i="19"/>
  <c r="D176" i="21" s="1"/>
  <c r="F108" i="19"/>
  <c r="D105" i="21" s="1"/>
  <c r="F56" i="12"/>
  <c r="L108" i="19"/>
  <c r="F44" i="8"/>
  <c r="F392" i="19"/>
  <c r="D389" i="21" s="1"/>
  <c r="L250" i="19"/>
  <c r="F321" i="19"/>
  <c r="D318" i="21" s="1"/>
  <c r="I179" i="19"/>
  <c r="F37" i="19"/>
  <c r="D34" i="21" s="1"/>
  <c r="U58" i="20"/>
  <c r="F58" i="7"/>
  <c r="N58" i="7" s="1"/>
  <c r="F60" i="20"/>
  <c r="K251" i="19"/>
  <c r="H251" i="19"/>
  <c r="F248" i="21" s="1"/>
  <c r="E322" i="19"/>
  <c r="C319" i="21" s="1"/>
  <c r="H57" i="12"/>
  <c r="H322" i="19"/>
  <c r="F319" i="21" s="1"/>
  <c r="E45" i="8"/>
  <c r="K393" i="19"/>
  <c r="E180" i="19"/>
  <c r="C177" i="21" s="1"/>
  <c r="K322" i="19"/>
  <c r="E393" i="19"/>
  <c r="C390" i="21" s="1"/>
  <c r="E57" i="12"/>
  <c r="E251" i="19"/>
  <c r="C248" i="21" s="1"/>
  <c r="K180" i="19"/>
  <c r="K109" i="19"/>
  <c r="H393" i="19"/>
  <c r="F390" i="21" s="1"/>
  <c r="K57" i="12"/>
  <c r="K38" i="19"/>
  <c r="H45" i="8"/>
  <c r="H38" i="19"/>
  <c r="F35" i="21" s="1"/>
  <c r="E109" i="19"/>
  <c r="C106" i="21" s="1"/>
  <c r="H109" i="19"/>
  <c r="F106" i="21" s="1"/>
  <c r="K45" i="8"/>
  <c r="E38" i="19"/>
  <c r="C35" i="21" s="1"/>
  <c r="H180" i="19"/>
  <c r="F177" i="21" s="1"/>
  <c r="J322" i="19"/>
  <c r="M57" i="12"/>
  <c r="M45" i="8"/>
  <c r="J57" i="12"/>
  <c r="G57" i="12"/>
  <c r="J45" i="8"/>
  <c r="M322" i="19"/>
  <c r="O57" i="7"/>
  <c r="G180" i="19"/>
  <c r="E177" i="21" s="1"/>
  <c r="J393" i="19"/>
  <c r="G251" i="19"/>
  <c r="E248" i="21" s="1"/>
  <c r="M38" i="19"/>
  <c r="J109" i="19"/>
  <c r="G393" i="19"/>
  <c r="E390" i="21" s="1"/>
  <c r="M251" i="19"/>
  <c r="M109" i="19"/>
  <c r="J180" i="19"/>
  <c r="M393" i="19"/>
  <c r="G109" i="19"/>
  <c r="E106" i="21" s="1"/>
  <c r="G322" i="19"/>
  <c r="E319" i="21" s="1"/>
  <c r="M180" i="19"/>
  <c r="J251" i="19"/>
  <c r="G45" i="8"/>
  <c r="J38" i="19"/>
  <c r="G38" i="19"/>
  <c r="E35" i="21" s="1"/>
  <c r="P58" i="20"/>
  <c r="I58" i="7" s="1"/>
  <c r="M58" i="7" s="1"/>
  <c r="G58" i="7"/>
  <c r="S56" i="7"/>
  <c r="N59" i="20"/>
  <c r="H59" i="20"/>
  <c r="B55" i="24" l="1"/>
  <c r="D55" i="24"/>
  <c r="C54" i="24"/>
  <c r="L7" i="10"/>
  <c r="F7" i="10"/>
  <c r="I7" i="10"/>
  <c r="P58" i="7"/>
  <c r="C55" i="24" s="1"/>
  <c r="G61" i="20"/>
  <c r="O61" i="20" s="1"/>
  <c r="H61" i="7" s="1"/>
  <c r="F61" i="20"/>
  <c r="G181" i="19"/>
  <c r="E178" i="21" s="1"/>
  <c r="O58" i="7"/>
  <c r="J181" i="19"/>
  <c r="M394" i="19"/>
  <c r="J110" i="19"/>
  <c r="G110" i="19"/>
  <c r="E107" i="21" s="1"/>
  <c r="G39" i="19"/>
  <c r="E36" i="21" s="1"/>
  <c r="G323" i="19"/>
  <c r="E320" i="21" s="1"/>
  <c r="J252" i="19"/>
  <c r="M46" i="8"/>
  <c r="M110" i="19"/>
  <c r="G252" i="19"/>
  <c r="E249" i="21" s="1"/>
  <c r="G58" i="12"/>
  <c r="G394" i="19"/>
  <c r="E391" i="21" s="1"/>
  <c r="J394" i="19"/>
  <c r="J323" i="19"/>
  <c r="M323" i="19"/>
  <c r="G46" i="8"/>
  <c r="J58" i="12"/>
  <c r="M39" i="19"/>
  <c r="M252" i="19"/>
  <c r="M181" i="19"/>
  <c r="J46" i="8"/>
  <c r="M58" i="12"/>
  <c r="J39" i="19"/>
  <c r="K39" i="19"/>
  <c r="K46" i="8"/>
  <c r="H39" i="19"/>
  <c r="F36" i="21" s="1"/>
  <c r="E252" i="19"/>
  <c r="C249" i="21" s="1"/>
  <c r="K323" i="19"/>
  <c r="H46" i="8"/>
  <c r="H323" i="19"/>
  <c r="F320" i="21" s="1"/>
  <c r="H110" i="19"/>
  <c r="F107" i="21" s="1"/>
  <c r="K58" i="12"/>
  <c r="E110" i="19"/>
  <c r="C107" i="21" s="1"/>
  <c r="H58" i="12"/>
  <c r="H181" i="19"/>
  <c r="F178" i="21" s="1"/>
  <c r="K252" i="19"/>
  <c r="E46" i="8"/>
  <c r="K110" i="19"/>
  <c r="E323" i="19"/>
  <c r="C320" i="21" s="1"/>
  <c r="H394" i="19"/>
  <c r="F391" i="21" s="1"/>
  <c r="K394" i="19"/>
  <c r="E58" i="12"/>
  <c r="E39" i="19"/>
  <c r="C36" i="21" s="1"/>
  <c r="E394" i="19"/>
  <c r="C391" i="21" s="1"/>
  <c r="H252" i="19"/>
  <c r="F249" i="21" s="1"/>
  <c r="K181" i="19"/>
  <c r="E181" i="19"/>
  <c r="C178" i="21" s="1"/>
  <c r="F59" i="7"/>
  <c r="N59" i="7" s="1"/>
  <c r="U59" i="20"/>
  <c r="G59" i="7"/>
  <c r="P59" i="20"/>
  <c r="I59" i="7" s="1"/>
  <c r="M59" i="7" s="1"/>
  <c r="S57" i="7"/>
  <c r="E60" i="20"/>
  <c r="M60" i="20" s="1"/>
  <c r="N60" i="20"/>
  <c r="H60" i="20"/>
  <c r="L38" i="19"/>
  <c r="I393" i="19"/>
  <c r="F57" i="12"/>
  <c r="L45" i="8"/>
  <c r="T45" i="8" s="1"/>
  <c r="I45" i="8"/>
  <c r="F109" i="19"/>
  <c r="D106" i="21" s="1"/>
  <c r="F393" i="19"/>
  <c r="D390" i="21" s="1"/>
  <c r="L251" i="19"/>
  <c r="F45" i="8"/>
  <c r="L57" i="12"/>
  <c r="T57" i="12" s="1"/>
  <c r="F322" i="19"/>
  <c r="D319" i="21" s="1"/>
  <c r="I180" i="19"/>
  <c r="I57" i="12"/>
  <c r="L109" i="19"/>
  <c r="L322" i="19"/>
  <c r="L393" i="19"/>
  <c r="F251" i="19"/>
  <c r="D248" i="21" s="1"/>
  <c r="F38" i="19"/>
  <c r="D35" i="21" s="1"/>
  <c r="I109" i="19"/>
  <c r="I38" i="19"/>
  <c r="I322" i="19"/>
  <c r="L180" i="19"/>
  <c r="F180" i="19"/>
  <c r="D177" i="21" s="1"/>
  <c r="I251" i="19"/>
  <c r="B56" i="24" l="1"/>
  <c r="D56" i="24"/>
  <c r="F62" i="20"/>
  <c r="P59" i="7"/>
  <c r="C56" i="24" s="1"/>
  <c r="K111" i="19"/>
  <c r="E324" i="19"/>
  <c r="C321" i="21" s="1"/>
  <c r="K182" i="19"/>
  <c r="H324" i="19"/>
  <c r="F321" i="21" s="1"/>
  <c r="H111" i="19"/>
  <c r="F108" i="21" s="1"/>
  <c r="H40" i="19"/>
  <c r="F37" i="21" s="1"/>
  <c r="H47" i="8"/>
  <c r="E47" i="8"/>
  <c r="E59" i="12"/>
  <c r="E40" i="19"/>
  <c r="C37" i="21" s="1"/>
  <c r="K40" i="19"/>
  <c r="K59" i="12"/>
  <c r="E253" i="19"/>
  <c r="C250" i="21" s="1"/>
  <c r="K253" i="19"/>
  <c r="H395" i="19"/>
  <c r="F392" i="21" s="1"/>
  <c r="K47" i="8"/>
  <c r="H59" i="12"/>
  <c r="K324" i="19"/>
  <c r="E111" i="19"/>
  <c r="C108" i="21" s="1"/>
  <c r="E395" i="19"/>
  <c r="C392" i="21" s="1"/>
  <c r="H182" i="19"/>
  <c r="F179" i="21" s="1"/>
  <c r="H253" i="19"/>
  <c r="F250" i="21" s="1"/>
  <c r="E182" i="19"/>
  <c r="C179" i="21" s="1"/>
  <c r="K395" i="19"/>
  <c r="H61" i="20"/>
  <c r="N61" i="20"/>
  <c r="G60" i="7"/>
  <c r="P60" i="20"/>
  <c r="I60" i="7" s="1"/>
  <c r="M60" i="7" s="1"/>
  <c r="F60" i="7"/>
  <c r="N60" i="7" s="1"/>
  <c r="U60" i="20"/>
  <c r="J111" i="19"/>
  <c r="J40" i="19"/>
  <c r="M253" i="19"/>
  <c r="G47" i="8"/>
  <c r="G182" i="19"/>
  <c r="E179" i="21" s="1"/>
  <c r="G253" i="19"/>
  <c r="E250" i="21" s="1"/>
  <c r="M182" i="19"/>
  <c r="O59" i="7"/>
  <c r="M395" i="19"/>
  <c r="M111" i="19"/>
  <c r="G59" i="12"/>
  <c r="J324" i="19"/>
  <c r="M47" i="8"/>
  <c r="M59" i="12"/>
  <c r="G111" i="19"/>
  <c r="E108" i="21" s="1"/>
  <c r="J47" i="8"/>
  <c r="J253" i="19"/>
  <c r="M324" i="19"/>
  <c r="G40" i="19"/>
  <c r="E37" i="21" s="1"/>
  <c r="M40" i="19"/>
  <c r="J395" i="19"/>
  <c r="G324" i="19"/>
  <c r="E321" i="21" s="1"/>
  <c r="G395" i="19"/>
  <c r="E392" i="21" s="1"/>
  <c r="J59" i="12"/>
  <c r="J182" i="19"/>
  <c r="E61" i="20"/>
  <c r="M61" i="20" s="1"/>
  <c r="G62" i="20"/>
  <c r="O62" i="20" s="1"/>
  <c r="H62" i="7" s="1"/>
  <c r="L39" i="19"/>
  <c r="I110" i="19"/>
  <c r="F110" i="19"/>
  <c r="D107" i="21" s="1"/>
  <c r="F252" i="19"/>
  <c r="D249" i="21" s="1"/>
  <c r="I39" i="19"/>
  <c r="F394" i="19"/>
  <c r="D391" i="21" s="1"/>
  <c r="L323" i="19"/>
  <c r="F58" i="12"/>
  <c r="F46" i="8"/>
  <c r="F323" i="19"/>
  <c r="D320" i="21" s="1"/>
  <c r="F181" i="19"/>
  <c r="D178" i="21" s="1"/>
  <c r="L181" i="19"/>
  <c r="I394" i="19"/>
  <c r="I58" i="12"/>
  <c r="L46" i="8"/>
  <c r="T46" i="8" s="1"/>
  <c r="I46" i="8"/>
  <c r="L110" i="19"/>
  <c r="I252" i="19"/>
  <c r="L58" i="12"/>
  <c r="T58" i="12" s="1"/>
  <c r="F39" i="19"/>
  <c r="D36" i="21" s="1"/>
  <c r="L394" i="19"/>
  <c r="I181" i="19"/>
  <c r="L252" i="19"/>
  <c r="I323" i="19"/>
  <c r="S58" i="7"/>
  <c r="B57" i="24" l="1"/>
  <c r="D57" i="24"/>
  <c r="F61" i="7"/>
  <c r="N61" i="7" s="1"/>
  <c r="U61" i="20"/>
  <c r="F63" i="20"/>
  <c r="E62" i="20"/>
  <c r="M62" i="20" s="1"/>
  <c r="M41" i="19"/>
  <c r="G112" i="19"/>
  <c r="E109" i="21" s="1"/>
  <c r="M183" i="19"/>
  <c r="M48" i="8"/>
  <c r="O60" i="7"/>
  <c r="J396" i="19"/>
  <c r="G183" i="19"/>
  <c r="E180" i="21" s="1"/>
  <c r="J112" i="19"/>
  <c r="J60" i="12"/>
  <c r="G325" i="19"/>
  <c r="E322" i="21" s="1"/>
  <c r="J254" i="19"/>
  <c r="G396" i="19"/>
  <c r="E393" i="21" s="1"/>
  <c r="J183" i="19"/>
  <c r="J48" i="8"/>
  <c r="G60" i="12"/>
  <c r="J41" i="19"/>
  <c r="M112" i="19"/>
  <c r="G41" i="19"/>
  <c r="E38" i="21" s="1"/>
  <c r="G48" i="8"/>
  <c r="J325" i="19"/>
  <c r="G254" i="19"/>
  <c r="E251" i="21" s="1"/>
  <c r="M396" i="19"/>
  <c r="M60" i="12"/>
  <c r="M254" i="19"/>
  <c r="M325" i="19"/>
  <c r="L47" i="8"/>
  <c r="T47" i="8" s="1"/>
  <c r="L395" i="19"/>
  <c r="F111" i="19"/>
  <c r="D108" i="21" s="1"/>
  <c r="I111" i="19"/>
  <c r="F40" i="19"/>
  <c r="D37" i="21" s="1"/>
  <c r="F253" i="19"/>
  <c r="D250" i="21" s="1"/>
  <c r="F182" i="19"/>
  <c r="D179" i="21" s="1"/>
  <c r="I395" i="19"/>
  <c r="I40" i="19"/>
  <c r="L59" i="12"/>
  <c r="T59" i="12" s="1"/>
  <c r="L324" i="19"/>
  <c r="L111" i="19"/>
  <c r="I253" i="19"/>
  <c r="L40" i="19"/>
  <c r="L182" i="19"/>
  <c r="F47" i="8"/>
  <c r="I324" i="19"/>
  <c r="F395" i="19"/>
  <c r="D392" i="21" s="1"/>
  <c r="I182" i="19"/>
  <c r="I47" i="8"/>
  <c r="L253" i="19"/>
  <c r="F324" i="19"/>
  <c r="D321" i="21" s="1"/>
  <c r="I59" i="12"/>
  <c r="F59" i="12"/>
  <c r="S59" i="7"/>
  <c r="G61" i="7"/>
  <c r="P61" i="20"/>
  <c r="I61" i="7" s="1"/>
  <c r="M61" i="7" s="1"/>
  <c r="K60" i="12"/>
  <c r="H41" i="19"/>
  <c r="F38" i="21" s="1"/>
  <c r="E325" i="19"/>
  <c r="C322" i="21" s="1"/>
  <c r="E48" i="8"/>
  <c r="H60" i="12"/>
  <c r="H183" i="19"/>
  <c r="F180" i="21" s="1"/>
  <c r="K254" i="19"/>
  <c r="K48" i="8"/>
  <c r="K396" i="19"/>
  <c r="H254" i="19"/>
  <c r="F251" i="21" s="1"/>
  <c r="K41" i="19"/>
  <c r="K183" i="19"/>
  <c r="E41" i="19"/>
  <c r="C38" i="21" s="1"/>
  <c r="E183" i="19"/>
  <c r="C180" i="21" s="1"/>
  <c r="E112" i="19"/>
  <c r="C109" i="21" s="1"/>
  <c r="E254" i="19"/>
  <c r="C251" i="21" s="1"/>
  <c r="H48" i="8"/>
  <c r="H112" i="19"/>
  <c r="F109" i="21" s="1"/>
  <c r="K325" i="19"/>
  <c r="K112" i="19"/>
  <c r="H325" i="19"/>
  <c r="F322" i="21" s="1"/>
  <c r="H396" i="19"/>
  <c r="F393" i="21" s="1"/>
  <c r="E396" i="19"/>
  <c r="C393" i="21" s="1"/>
  <c r="E60" i="12"/>
  <c r="H62" i="20"/>
  <c r="N62" i="20"/>
  <c r="G63" i="20"/>
  <c r="O63" i="20" s="1"/>
  <c r="H63" i="7" s="1"/>
  <c r="P60" i="7"/>
  <c r="C57" i="24" s="1"/>
  <c r="B58" i="24" l="1"/>
  <c r="D58" i="24"/>
  <c r="K61" i="12"/>
  <c r="E42" i="19"/>
  <c r="C39" i="21" s="1"/>
  <c r="E184" i="19"/>
  <c r="C181" i="21" s="1"/>
  <c r="H397" i="19"/>
  <c r="F394" i="21" s="1"/>
  <c r="K49" i="8"/>
  <c r="H184" i="19"/>
  <c r="F181" i="21" s="1"/>
  <c r="E326" i="19"/>
  <c r="C323" i="21" s="1"/>
  <c r="H113" i="19"/>
  <c r="F110" i="21" s="1"/>
  <c r="K255" i="19"/>
  <c r="H42" i="19"/>
  <c r="F39" i="21" s="1"/>
  <c r="E113" i="19"/>
  <c r="C110" i="21" s="1"/>
  <c r="K184" i="19"/>
  <c r="K42" i="19"/>
  <c r="E255" i="19"/>
  <c r="C252" i="21" s="1"/>
  <c r="E397" i="19"/>
  <c r="C394" i="21" s="1"/>
  <c r="K113" i="19"/>
  <c r="K397" i="19"/>
  <c r="H49" i="8"/>
  <c r="H61" i="12"/>
  <c r="E49" i="8"/>
  <c r="H326" i="19"/>
  <c r="F323" i="21" s="1"/>
  <c r="K326" i="19"/>
  <c r="H255" i="19"/>
  <c r="F252" i="21" s="1"/>
  <c r="E61" i="12"/>
  <c r="G326" i="19"/>
  <c r="E323" i="21" s="1"/>
  <c r="J397" i="19"/>
  <c r="G255" i="19"/>
  <c r="E252" i="21" s="1"/>
  <c r="J326" i="19"/>
  <c r="M61" i="12"/>
  <c r="G49" i="8"/>
  <c r="M42" i="19"/>
  <c r="M255" i="19"/>
  <c r="O61" i="7"/>
  <c r="G42" i="19"/>
  <c r="E39" i="21" s="1"/>
  <c r="M326" i="19"/>
  <c r="G113" i="19"/>
  <c r="E110" i="21" s="1"/>
  <c r="G184" i="19"/>
  <c r="E181" i="21" s="1"/>
  <c r="J184" i="19"/>
  <c r="J255" i="19"/>
  <c r="M49" i="8"/>
  <c r="J113" i="19"/>
  <c r="J42" i="19"/>
  <c r="M113" i="19"/>
  <c r="G397" i="19"/>
  <c r="E394" i="21" s="1"/>
  <c r="J49" i="8"/>
  <c r="M184" i="19"/>
  <c r="J61" i="12"/>
  <c r="G61" i="12"/>
  <c r="M397" i="19"/>
  <c r="E63" i="20"/>
  <c r="M63" i="20" s="1"/>
  <c r="N63" i="20"/>
  <c r="H63" i="20"/>
  <c r="P62" i="20"/>
  <c r="I62" i="7" s="1"/>
  <c r="M62" i="7" s="1"/>
  <c r="G62" i="7"/>
  <c r="G64" i="20"/>
  <c r="O64" i="20" s="1"/>
  <c r="H64" i="7" s="1"/>
  <c r="I60" i="12"/>
  <c r="F396" i="19"/>
  <c r="D393" i="21" s="1"/>
  <c r="F254" i="19"/>
  <c r="D251" i="21" s="1"/>
  <c r="I41" i="19"/>
  <c r="I183" i="19"/>
  <c r="F325" i="19"/>
  <c r="D322" i="21" s="1"/>
  <c r="L112" i="19"/>
  <c r="F48" i="8"/>
  <c r="F41" i="19"/>
  <c r="D38" i="21" s="1"/>
  <c r="I325" i="19"/>
  <c r="I254" i="19"/>
  <c r="I48" i="8"/>
  <c r="F112" i="19"/>
  <c r="D109" i="21" s="1"/>
  <c r="F60" i="12"/>
  <c r="L41" i="19"/>
  <c r="L396" i="19"/>
  <c r="I112" i="19"/>
  <c r="L325" i="19"/>
  <c r="L254" i="19"/>
  <c r="I396" i="19"/>
  <c r="L48" i="8"/>
  <c r="T48" i="8" s="1"/>
  <c r="L183" i="19"/>
  <c r="F183" i="19"/>
  <c r="D180" i="21" s="1"/>
  <c r="L60" i="12"/>
  <c r="T60" i="12" s="1"/>
  <c r="F64" i="20"/>
  <c r="P61" i="7"/>
  <c r="C58" i="24" s="1"/>
  <c r="S60" i="7"/>
  <c r="F62" i="7"/>
  <c r="N62" i="7" s="1"/>
  <c r="U62" i="20"/>
  <c r="B59" i="24" l="1"/>
  <c r="K9" i="11"/>
  <c r="H9" i="11"/>
  <c r="E9" i="11"/>
  <c r="J9" i="11"/>
  <c r="M9" i="11"/>
  <c r="G9" i="11"/>
  <c r="D59" i="24"/>
  <c r="E64" i="20"/>
  <c r="M64" i="20" s="1"/>
  <c r="P62" i="7"/>
  <c r="G65" i="20"/>
  <c r="O65" i="20" s="1"/>
  <c r="H65" i="7" s="1"/>
  <c r="H327" i="19"/>
  <c r="F324" i="21" s="1"/>
  <c r="H185" i="19"/>
  <c r="F182" i="21" s="1"/>
  <c r="E256" i="19"/>
  <c r="C253" i="21" s="1"/>
  <c r="E398" i="19"/>
  <c r="C395" i="21" s="1"/>
  <c r="E327" i="19"/>
  <c r="C324" i="21" s="1"/>
  <c r="K50" i="8"/>
  <c r="E43" i="19"/>
  <c r="C40" i="21" s="1"/>
  <c r="E185" i="19"/>
  <c r="C182" i="21" s="1"/>
  <c r="E62" i="12"/>
  <c r="H398" i="19"/>
  <c r="F395" i="21" s="1"/>
  <c r="K256" i="19"/>
  <c r="K43" i="19"/>
  <c r="H43" i="19"/>
  <c r="F40" i="21" s="1"/>
  <c r="H256" i="19"/>
  <c r="F253" i="21" s="1"/>
  <c r="H50" i="8"/>
  <c r="K185" i="19"/>
  <c r="K62" i="12"/>
  <c r="H62" i="12"/>
  <c r="K327" i="19"/>
  <c r="E50" i="8"/>
  <c r="E114" i="19"/>
  <c r="C111" i="21" s="1"/>
  <c r="K398" i="19"/>
  <c r="H114" i="19"/>
  <c r="F111" i="21" s="1"/>
  <c r="K114" i="19"/>
  <c r="G50" i="8"/>
  <c r="J398" i="19"/>
  <c r="J43" i="19"/>
  <c r="J256" i="19"/>
  <c r="G185" i="19"/>
  <c r="E182" i="21" s="1"/>
  <c r="M50" i="8"/>
  <c r="M398" i="19"/>
  <c r="J114" i="19"/>
  <c r="O62" i="7"/>
  <c r="G62" i="12"/>
  <c r="M114" i="19"/>
  <c r="G398" i="19"/>
  <c r="E395" i="21" s="1"/>
  <c r="G327" i="19"/>
  <c r="E324" i="21" s="1"/>
  <c r="M256" i="19"/>
  <c r="J62" i="12"/>
  <c r="G256" i="19"/>
  <c r="E253" i="21" s="1"/>
  <c r="M43" i="19"/>
  <c r="M327" i="19"/>
  <c r="M62" i="12"/>
  <c r="G43" i="19"/>
  <c r="E40" i="21" s="1"/>
  <c r="J50" i="8"/>
  <c r="G114" i="19"/>
  <c r="E111" i="21" s="1"/>
  <c r="J327" i="19"/>
  <c r="M185" i="19"/>
  <c r="J185" i="19"/>
  <c r="F65" i="20"/>
  <c r="S61" i="7"/>
  <c r="H64" i="20"/>
  <c r="N64" i="20"/>
  <c r="P63" i="20"/>
  <c r="I63" i="7" s="1"/>
  <c r="M63" i="7" s="1"/>
  <c r="G63" i="7"/>
  <c r="F63" i="7"/>
  <c r="N63" i="7" s="1"/>
  <c r="U63" i="20"/>
  <c r="I397" i="19"/>
  <c r="L397" i="19"/>
  <c r="F113" i="19"/>
  <c r="D110" i="21" s="1"/>
  <c r="L42" i="19"/>
  <c r="L61" i="12"/>
  <c r="T61" i="12" s="1"/>
  <c r="I113" i="19"/>
  <c r="I326" i="19"/>
  <c r="L49" i="8"/>
  <c r="T49" i="8" s="1"/>
  <c r="F255" i="19"/>
  <c r="D252" i="21" s="1"/>
  <c r="F49" i="8"/>
  <c r="F61" i="12"/>
  <c r="F42" i="19"/>
  <c r="D39" i="21" s="1"/>
  <c r="L184" i="19"/>
  <c r="F397" i="19"/>
  <c r="D394" i="21" s="1"/>
  <c r="F184" i="19"/>
  <c r="D181" i="21" s="1"/>
  <c r="I61" i="12"/>
  <c r="I49" i="8"/>
  <c r="L255" i="19"/>
  <c r="I184" i="19"/>
  <c r="L113" i="19"/>
  <c r="F326" i="19"/>
  <c r="D323" i="21" s="1"/>
  <c r="I255" i="19"/>
  <c r="I42" i="19"/>
  <c r="L326" i="19"/>
  <c r="B60" i="24" l="1"/>
  <c r="E9" i="9"/>
  <c r="H9" i="9"/>
  <c r="K9" i="9"/>
  <c r="M9" i="9"/>
  <c r="J9" i="9"/>
  <c r="G9" i="9"/>
  <c r="C59" i="24"/>
  <c r="I9" i="11"/>
  <c r="L9" i="11"/>
  <c r="F9" i="11"/>
  <c r="D60" i="24"/>
  <c r="G115" i="19"/>
  <c r="E112" i="21" s="1"/>
  <c r="G328" i="19"/>
  <c r="E325" i="21" s="1"/>
  <c r="M399" i="19"/>
  <c r="J186" i="19"/>
  <c r="J257" i="19"/>
  <c r="G257" i="19"/>
  <c r="E254" i="21" s="1"/>
  <c r="G399" i="19"/>
  <c r="E396" i="21" s="1"/>
  <c r="J399" i="19"/>
  <c r="M44" i="19"/>
  <c r="M63" i="12"/>
  <c r="G51" i="8"/>
  <c r="M186" i="19"/>
  <c r="J328" i="19"/>
  <c r="M257" i="19"/>
  <c r="J44" i="19"/>
  <c r="M115" i="19"/>
  <c r="G186" i="19"/>
  <c r="E183" i="21" s="1"/>
  <c r="G63" i="12"/>
  <c r="O63" i="7"/>
  <c r="J63" i="12"/>
  <c r="G44" i="19"/>
  <c r="E41" i="21" s="1"/>
  <c r="M51" i="8"/>
  <c r="J115" i="19"/>
  <c r="J51" i="8"/>
  <c r="M328" i="19"/>
  <c r="G64" i="7"/>
  <c r="P64" i="20"/>
  <c r="I64" i="7" s="1"/>
  <c r="M64" i="7" s="1"/>
  <c r="G66" i="20"/>
  <c r="O66" i="20" s="1"/>
  <c r="H66" i="7" s="1"/>
  <c r="S62" i="7"/>
  <c r="P63" i="7"/>
  <c r="E65" i="20"/>
  <c r="M65" i="20" s="1"/>
  <c r="L185" i="19"/>
  <c r="F327" i="19"/>
  <c r="D324" i="21" s="1"/>
  <c r="F114" i="19"/>
  <c r="D111" i="21" s="1"/>
  <c r="F62" i="12"/>
  <c r="F43" i="19"/>
  <c r="D40" i="21" s="1"/>
  <c r="L43" i="19"/>
  <c r="I398" i="19"/>
  <c r="F256" i="19"/>
  <c r="D253" i="21" s="1"/>
  <c r="I327" i="19"/>
  <c r="L50" i="8"/>
  <c r="T50" i="8" s="1"/>
  <c r="I185" i="19"/>
  <c r="L256" i="19"/>
  <c r="F185" i="19"/>
  <c r="D182" i="21" s="1"/>
  <c r="F398" i="19"/>
  <c r="D395" i="21" s="1"/>
  <c r="L398" i="19"/>
  <c r="L62" i="12"/>
  <c r="T62" i="12" s="1"/>
  <c r="L114" i="19"/>
  <c r="I256" i="19"/>
  <c r="L327" i="19"/>
  <c r="F50" i="8"/>
  <c r="I62" i="12"/>
  <c r="I43" i="19"/>
  <c r="I50" i="8"/>
  <c r="I114" i="19"/>
  <c r="F64" i="7"/>
  <c r="N64" i="7" s="1"/>
  <c r="U64" i="20"/>
  <c r="H65" i="20"/>
  <c r="N65" i="20"/>
  <c r="H186" i="19"/>
  <c r="F183" i="21" s="1"/>
  <c r="K44" i="19"/>
  <c r="K186" i="19"/>
  <c r="E115" i="19"/>
  <c r="C112" i="21" s="1"/>
  <c r="E257" i="19"/>
  <c r="C254" i="21" s="1"/>
  <c r="H399" i="19"/>
  <c r="F396" i="21" s="1"/>
  <c r="K115" i="19"/>
  <c r="K257" i="19"/>
  <c r="E328" i="19"/>
  <c r="C325" i="21" s="1"/>
  <c r="H328" i="19"/>
  <c r="F325" i="21" s="1"/>
  <c r="H63" i="12"/>
  <c r="H115" i="19"/>
  <c r="F112" i="21" s="1"/>
  <c r="E399" i="19"/>
  <c r="C396" i="21" s="1"/>
  <c r="E63" i="12"/>
  <c r="H257" i="19"/>
  <c r="F254" i="21" s="1"/>
  <c r="H51" i="8"/>
  <c r="E44" i="19"/>
  <c r="C41" i="21" s="1"/>
  <c r="H44" i="19"/>
  <c r="F41" i="21" s="1"/>
  <c r="K51" i="8"/>
  <c r="K328" i="19"/>
  <c r="K63" i="12"/>
  <c r="K399" i="19"/>
  <c r="E186" i="19"/>
  <c r="C183" i="21" s="1"/>
  <c r="E51" i="8"/>
  <c r="F66" i="20"/>
  <c r="G8" i="10" l="1"/>
  <c r="M8" i="10"/>
  <c r="J8" i="10"/>
  <c r="B61" i="24"/>
  <c r="K8" i="10"/>
  <c r="H8" i="10"/>
  <c r="E8" i="10"/>
  <c r="C60" i="24"/>
  <c r="I9" i="9"/>
  <c r="F9" i="9"/>
  <c r="L9" i="9"/>
  <c r="D61" i="24"/>
  <c r="E52" i="8"/>
  <c r="H64" i="12"/>
  <c r="H329" i="19"/>
  <c r="F326" i="21" s="1"/>
  <c r="E116" i="19"/>
  <c r="C113" i="21" s="1"/>
  <c r="K187" i="19"/>
  <c r="E64" i="12"/>
  <c r="H187" i="19"/>
  <c r="F184" i="21" s="1"/>
  <c r="E400" i="19"/>
  <c r="C397" i="21" s="1"/>
  <c r="H116" i="19"/>
  <c r="F113" i="21" s="1"/>
  <c r="K45" i="19"/>
  <c r="K116" i="19"/>
  <c r="K52" i="8"/>
  <c r="E329" i="19"/>
  <c r="C326" i="21" s="1"/>
  <c r="E45" i="19"/>
  <c r="C42" i="21" s="1"/>
  <c r="H52" i="8"/>
  <c r="E258" i="19"/>
  <c r="C255" i="21" s="1"/>
  <c r="K258" i="19"/>
  <c r="H45" i="19"/>
  <c r="F42" i="21" s="1"/>
  <c r="E187" i="19"/>
  <c r="C184" i="21" s="1"/>
  <c r="H258" i="19"/>
  <c r="F255" i="21" s="1"/>
  <c r="K400" i="19"/>
  <c r="H400" i="19"/>
  <c r="F397" i="21" s="1"/>
  <c r="K329" i="19"/>
  <c r="K64" i="12"/>
  <c r="G67" i="20"/>
  <c r="O67" i="20" s="1"/>
  <c r="H67" i="7" s="1"/>
  <c r="P64" i="7"/>
  <c r="F67" i="20"/>
  <c r="N66" i="20"/>
  <c r="H66" i="20"/>
  <c r="P65" i="20"/>
  <c r="I65" i="7" s="1"/>
  <c r="M65" i="7" s="1"/>
  <c r="G65" i="7"/>
  <c r="F65" i="7"/>
  <c r="N65" i="7" s="1"/>
  <c r="U65" i="20"/>
  <c r="M52" i="8"/>
  <c r="G64" i="12"/>
  <c r="G45" i="19"/>
  <c r="E42" i="21" s="1"/>
  <c r="M400" i="19"/>
  <c r="J45" i="19"/>
  <c r="O64" i="7"/>
  <c r="M258" i="19"/>
  <c r="M116" i="19"/>
  <c r="M64" i="12"/>
  <c r="G116" i="19"/>
  <c r="E113" i="21" s="1"/>
  <c r="G400" i="19"/>
  <c r="E397" i="21" s="1"/>
  <c r="J64" i="12"/>
  <c r="M187" i="19"/>
  <c r="J116" i="19"/>
  <c r="J329" i="19"/>
  <c r="J52" i="8"/>
  <c r="G52" i="8"/>
  <c r="G187" i="19"/>
  <c r="E184" i="21" s="1"/>
  <c r="G258" i="19"/>
  <c r="E255" i="21" s="1"/>
  <c r="G329" i="19"/>
  <c r="E326" i="21" s="1"/>
  <c r="J258" i="19"/>
  <c r="M45" i="19"/>
  <c r="M329" i="19"/>
  <c r="J400" i="19"/>
  <c r="J187" i="19"/>
  <c r="S63" i="7"/>
  <c r="E66" i="20"/>
  <c r="M66" i="20" s="1"/>
  <c r="I186" i="19"/>
  <c r="I63" i="12"/>
  <c r="L51" i="8"/>
  <c r="T51" i="8" s="1"/>
  <c r="I44" i="19"/>
  <c r="L63" i="12"/>
  <c r="T63" i="12" s="1"/>
  <c r="F115" i="19"/>
  <c r="D112" i="21" s="1"/>
  <c r="F63" i="12"/>
  <c r="F257" i="19"/>
  <c r="D254" i="21" s="1"/>
  <c r="L399" i="19"/>
  <c r="I115" i="19"/>
  <c r="I257" i="19"/>
  <c r="F51" i="8"/>
  <c r="L44" i="19"/>
  <c r="F328" i="19"/>
  <c r="D325" i="21" s="1"/>
  <c r="L115" i="19"/>
  <c r="I328" i="19"/>
  <c r="L186" i="19"/>
  <c r="F399" i="19"/>
  <c r="D396" i="21" s="1"/>
  <c r="I399" i="19"/>
  <c r="F186" i="19"/>
  <c r="D183" i="21" s="1"/>
  <c r="L257" i="19"/>
  <c r="F44" i="19"/>
  <c r="D41" i="21" s="1"/>
  <c r="I51" i="8"/>
  <c r="L328" i="19"/>
  <c r="J9" i="13" l="1"/>
  <c r="M9" i="13"/>
  <c r="B62" i="24"/>
  <c r="G9" i="13"/>
  <c r="E9" i="13"/>
  <c r="H9" i="13"/>
  <c r="K9" i="13"/>
  <c r="C61" i="24"/>
  <c r="F8" i="10"/>
  <c r="L8" i="10"/>
  <c r="I8" i="10"/>
  <c r="D62" i="24"/>
  <c r="E67" i="20"/>
  <c r="M67" i="20" s="1"/>
  <c r="G66" i="7"/>
  <c r="P66" i="20"/>
  <c r="I66" i="7" s="1"/>
  <c r="M66" i="7" s="1"/>
  <c r="F64" i="12"/>
  <c r="F400" i="19"/>
  <c r="D397" i="21" s="1"/>
  <c r="L400" i="19"/>
  <c r="I187" i="19"/>
  <c r="L329" i="19"/>
  <c r="I45" i="19"/>
  <c r="I329" i="19"/>
  <c r="I258" i="19"/>
  <c r="I52" i="8"/>
  <c r="L64" i="12"/>
  <c r="T64" i="12" s="1"/>
  <c r="F329" i="19"/>
  <c r="D326" i="21" s="1"/>
  <c r="F45" i="19"/>
  <c r="D42" i="21" s="1"/>
  <c r="L52" i="8"/>
  <c r="T52" i="8" s="1"/>
  <c r="F116" i="19"/>
  <c r="D113" i="21" s="1"/>
  <c r="L116" i="19"/>
  <c r="F258" i="19"/>
  <c r="D255" i="21" s="1"/>
  <c r="F52" i="8"/>
  <c r="I116" i="19"/>
  <c r="L45" i="19"/>
  <c r="L258" i="19"/>
  <c r="F187" i="19"/>
  <c r="D184" i="21" s="1"/>
  <c r="I64" i="12"/>
  <c r="I400" i="19"/>
  <c r="L187" i="19"/>
  <c r="F66" i="7"/>
  <c r="N66" i="7" s="1"/>
  <c r="U66" i="20"/>
  <c r="G68" i="20"/>
  <c r="O68" i="20" s="1"/>
  <c r="H68" i="7" s="1"/>
  <c r="S64" i="7"/>
  <c r="P65" i="7"/>
  <c r="C62" i="24" s="1"/>
  <c r="F68" i="20"/>
  <c r="H53" i="8"/>
  <c r="K65" i="12"/>
  <c r="H259" i="19"/>
  <c r="F256" i="21" s="1"/>
  <c r="H401" i="19"/>
  <c r="F398" i="21" s="1"/>
  <c r="E46" i="19"/>
  <c r="C43" i="21" s="1"/>
  <c r="E188" i="19"/>
  <c r="C185" i="21" s="1"/>
  <c r="K188" i="19"/>
  <c r="K46" i="19"/>
  <c r="E65" i="12"/>
  <c r="K117" i="19"/>
  <c r="E401" i="19"/>
  <c r="C398" i="21" s="1"/>
  <c r="E53" i="8"/>
  <c r="E330" i="19"/>
  <c r="C327" i="21" s="1"/>
  <c r="H330" i="19"/>
  <c r="F327" i="21" s="1"/>
  <c r="K330" i="19"/>
  <c r="E117" i="19"/>
  <c r="C114" i="21" s="1"/>
  <c r="E259" i="19"/>
  <c r="C256" i="21" s="1"/>
  <c r="K259" i="19"/>
  <c r="H188" i="19"/>
  <c r="F185" i="21" s="1"/>
  <c r="H65" i="12"/>
  <c r="K53" i="8"/>
  <c r="H46" i="19"/>
  <c r="F43" i="21" s="1"/>
  <c r="K401" i="19"/>
  <c r="H117" i="19"/>
  <c r="F114" i="21" s="1"/>
  <c r="O65" i="7"/>
  <c r="G53" i="8"/>
  <c r="G259" i="19"/>
  <c r="E256" i="21" s="1"/>
  <c r="G65" i="12"/>
  <c r="G401" i="19"/>
  <c r="E398" i="21" s="1"/>
  <c r="M401" i="19"/>
  <c r="M330" i="19"/>
  <c r="G188" i="19"/>
  <c r="E185" i="21" s="1"/>
  <c r="J330" i="19"/>
  <c r="G117" i="19"/>
  <c r="E114" i="21" s="1"/>
  <c r="G46" i="19"/>
  <c r="E43" i="21" s="1"/>
  <c r="J65" i="12"/>
  <c r="M53" i="8"/>
  <c r="M117" i="19"/>
  <c r="M259" i="19"/>
  <c r="M188" i="19"/>
  <c r="J401" i="19"/>
  <c r="J259" i="19"/>
  <c r="J188" i="19"/>
  <c r="J46" i="19"/>
  <c r="J117" i="19"/>
  <c r="G330" i="19"/>
  <c r="E327" i="21" s="1"/>
  <c r="M65" i="12"/>
  <c r="M46" i="19"/>
  <c r="J53" i="8"/>
  <c r="H67" i="20"/>
  <c r="N67" i="20"/>
  <c r="B63" i="24" l="1"/>
  <c r="F9" i="13"/>
  <c r="I9" i="13"/>
  <c r="L9" i="13"/>
  <c r="D63" i="24"/>
  <c r="F69" i="20"/>
  <c r="E68" i="20"/>
  <c r="M68" i="20" s="1"/>
  <c r="H331" i="19"/>
  <c r="F328" i="21" s="1"/>
  <c r="H66" i="12"/>
  <c r="E260" i="19"/>
  <c r="C257" i="21" s="1"/>
  <c r="H402" i="19"/>
  <c r="F399" i="21" s="1"/>
  <c r="K54" i="8"/>
  <c r="K66" i="12"/>
  <c r="E189" i="19"/>
  <c r="C186" i="21" s="1"/>
  <c r="E54" i="8"/>
  <c r="H118" i="19"/>
  <c r="F115" i="21" s="1"/>
  <c r="H260" i="19"/>
  <c r="F257" i="21" s="1"/>
  <c r="H189" i="19"/>
  <c r="F186" i="21" s="1"/>
  <c r="E47" i="19"/>
  <c r="C44" i="21" s="1"/>
  <c r="K402" i="19"/>
  <c r="E402" i="19"/>
  <c r="C399" i="21" s="1"/>
  <c r="K47" i="19"/>
  <c r="K331" i="19"/>
  <c r="E66" i="12"/>
  <c r="E118" i="19"/>
  <c r="C115" i="21" s="1"/>
  <c r="H47" i="19"/>
  <c r="F44" i="21" s="1"/>
  <c r="K118" i="19"/>
  <c r="K189" i="19"/>
  <c r="E331" i="19"/>
  <c r="C328" i="21" s="1"/>
  <c r="K260" i="19"/>
  <c r="H54" i="8"/>
  <c r="L188" i="19"/>
  <c r="F46" i="19"/>
  <c r="D43" i="21" s="1"/>
  <c r="I46" i="19"/>
  <c r="L401" i="19"/>
  <c r="F53" i="8"/>
  <c r="L53" i="8"/>
  <c r="F188" i="19"/>
  <c r="D185" i="21" s="1"/>
  <c r="I401" i="19"/>
  <c r="F65" i="12"/>
  <c r="F330" i="19"/>
  <c r="D327" i="21" s="1"/>
  <c r="L259" i="19"/>
  <c r="L117" i="19"/>
  <c r="F259" i="19"/>
  <c r="D256" i="21" s="1"/>
  <c r="I53" i="8"/>
  <c r="I65" i="12"/>
  <c r="I188" i="19"/>
  <c r="L330" i="19"/>
  <c r="L46" i="19"/>
  <c r="I259" i="19"/>
  <c r="F401" i="19"/>
  <c r="D398" i="21" s="1"/>
  <c r="I330" i="19"/>
  <c r="I117" i="19"/>
  <c r="F117" i="19"/>
  <c r="D114" i="21" s="1"/>
  <c r="L65" i="12"/>
  <c r="T65" i="12" s="1"/>
  <c r="N68" i="20"/>
  <c r="H68" i="20"/>
  <c r="G67" i="7"/>
  <c r="P67" i="20"/>
  <c r="I67" i="7" s="1"/>
  <c r="M67" i="7" s="1"/>
  <c r="F67" i="7"/>
  <c r="N67" i="7" s="1"/>
  <c r="U67" i="20"/>
  <c r="P66" i="7"/>
  <c r="C63" i="24" s="1"/>
  <c r="S65" i="7"/>
  <c r="G69" i="20"/>
  <c r="O69" i="20" s="1"/>
  <c r="H69" i="7" s="1"/>
  <c r="G118" i="19"/>
  <c r="E115" i="21" s="1"/>
  <c r="J47" i="19"/>
  <c r="M54" i="8"/>
  <c r="J260" i="19"/>
  <c r="M331" i="19"/>
  <c r="M189" i="19"/>
  <c r="G66" i="12"/>
  <c r="G189" i="19"/>
  <c r="E186" i="21" s="1"/>
  <c r="G402" i="19"/>
  <c r="E399" i="21" s="1"/>
  <c r="J66" i="12"/>
  <c r="J402" i="19"/>
  <c r="J189" i="19"/>
  <c r="M66" i="12"/>
  <c r="G260" i="19"/>
  <c r="E257" i="21" s="1"/>
  <c r="M260" i="19"/>
  <c r="G331" i="19"/>
  <c r="E328" i="21" s="1"/>
  <c r="J54" i="8"/>
  <c r="M402" i="19"/>
  <c r="G47" i="19"/>
  <c r="E44" i="21" s="1"/>
  <c r="G54" i="8"/>
  <c r="J331" i="19"/>
  <c r="J118" i="19"/>
  <c r="O66" i="7"/>
  <c r="M118" i="19"/>
  <c r="M47" i="19"/>
  <c r="T53" i="8" l="1"/>
  <c r="B64" i="24"/>
  <c r="D64" i="24"/>
  <c r="E69" i="20"/>
  <c r="M69" i="20" s="1"/>
  <c r="K190" i="19"/>
  <c r="K261" i="19"/>
  <c r="E119" i="19"/>
  <c r="C116" i="21" s="1"/>
  <c r="H332" i="19"/>
  <c r="F329" i="21" s="1"/>
  <c r="E403" i="19"/>
  <c r="C400" i="21" s="1"/>
  <c r="K55" i="8"/>
  <c r="K48" i="19"/>
  <c r="E261" i="19"/>
  <c r="C258" i="21" s="1"/>
  <c r="E67" i="12"/>
  <c r="H48" i="19"/>
  <c r="F45" i="21" s="1"/>
  <c r="H190" i="19"/>
  <c r="F187" i="21" s="1"/>
  <c r="K67" i="12"/>
  <c r="K119" i="19"/>
  <c r="H55" i="8"/>
  <c r="E332" i="19"/>
  <c r="C329" i="21" s="1"/>
  <c r="K403" i="19"/>
  <c r="E190" i="19"/>
  <c r="C187" i="21" s="1"/>
  <c r="E48" i="19"/>
  <c r="C45" i="21" s="1"/>
  <c r="H119" i="19"/>
  <c r="F116" i="21" s="1"/>
  <c r="H261" i="19"/>
  <c r="F258" i="21" s="1"/>
  <c r="K332" i="19"/>
  <c r="H67" i="12"/>
  <c r="H403" i="19"/>
  <c r="F400" i="21" s="1"/>
  <c r="E55" i="8"/>
  <c r="P67" i="7"/>
  <c r="C64" i="24" s="1"/>
  <c r="M48" i="19"/>
  <c r="M403" i="19"/>
  <c r="G261" i="19"/>
  <c r="E258" i="21" s="1"/>
  <c r="M119" i="19"/>
  <c r="M190" i="19"/>
  <c r="O67" i="7"/>
  <c r="M332" i="19"/>
  <c r="J67" i="12"/>
  <c r="G332" i="19"/>
  <c r="E329" i="21" s="1"/>
  <c r="J261" i="19"/>
  <c r="M67" i="12"/>
  <c r="G403" i="19"/>
  <c r="E400" i="21" s="1"/>
  <c r="M55" i="8"/>
  <c r="G67" i="12"/>
  <c r="J190" i="19"/>
  <c r="M261" i="19"/>
  <c r="G55" i="8"/>
  <c r="G190" i="19"/>
  <c r="E187" i="21" s="1"/>
  <c r="J55" i="8"/>
  <c r="G48" i="19"/>
  <c r="E45" i="21" s="1"/>
  <c r="J48" i="19"/>
  <c r="G119" i="19"/>
  <c r="E116" i="21" s="1"/>
  <c r="J119" i="19"/>
  <c r="J403" i="19"/>
  <c r="J332" i="19"/>
  <c r="F68" i="7"/>
  <c r="N68" i="7" s="1"/>
  <c r="U68" i="20"/>
  <c r="F70" i="20"/>
  <c r="G70" i="20"/>
  <c r="O70" i="20" s="1"/>
  <c r="H70" i="7" s="1"/>
  <c r="S66" i="7"/>
  <c r="H69" i="20"/>
  <c r="N69" i="20"/>
  <c r="F402" i="19"/>
  <c r="D399" i="21" s="1"/>
  <c r="F54" i="8"/>
  <c r="I47" i="19"/>
  <c r="I54" i="8"/>
  <c r="I260" i="19"/>
  <c r="I118" i="19"/>
  <c r="I66" i="12"/>
  <c r="L66" i="12"/>
  <c r="T66" i="12" s="1"/>
  <c r="I331" i="19"/>
  <c r="F118" i="19"/>
  <c r="D115" i="21" s="1"/>
  <c r="F260" i="19"/>
  <c r="D257" i="21" s="1"/>
  <c r="L189" i="19"/>
  <c r="F47" i="19"/>
  <c r="D44" i="21" s="1"/>
  <c r="F331" i="19"/>
  <c r="D328" i="21" s="1"/>
  <c r="L54" i="8"/>
  <c r="L331" i="19"/>
  <c r="F66" i="12"/>
  <c r="I402" i="19"/>
  <c r="F189" i="19"/>
  <c r="D186" i="21" s="1"/>
  <c r="I189" i="19"/>
  <c r="L47" i="19"/>
  <c r="L402" i="19"/>
  <c r="L260" i="19"/>
  <c r="L118" i="19"/>
  <c r="P68" i="20"/>
  <c r="I68" i="7" s="1"/>
  <c r="M68" i="7" s="1"/>
  <c r="G68" i="7"/>
  <c r="T54" i="8" l="1"/>
  <c r="B65" i="24"/>
  <c r="D65" i="24"/>
  <c r="P69" i="20"/>
  <c r="I69" i="7" s="1"/>
  <c r="M69" i="7" s="1"/>
  <c r="G69" i="7"/>
  <c r="E70" i="20"/>
  <c r="M70" i="20" s="1"/>
  <c r="N70" i="20"/>
  <c r="H70" i="20"/>
  <c r="J68" i="12"/>
  <c r="G191" i="19"/>
  <c r="E188" i="21" s="1"/>
  <c r="O68" i="7"/>
  <c r="G404" i="19"/>
  <c r="E401" i="21" s="1"/>
  <c r="G120" i="19"/>
  <c r="E117" i="21" s="1"/>
  <c r="G56" i="8"/>
  <c r="M191" i="19"/>
  <c r="G333" i="19"/>
  <c r="E330" i="21" s="1"/>
  <c r="J404" i="19"/>
  <c r="J191" i="19"/>
  <c r="M120" i="19"/>
  <c r="M49" i="19"/>
  <c r="M68" i="12"/>
  <c r="M404" i="19"/>
  <c r="M333" i="19"/>
  <c r="J333" i="19"/>
  <c r="J49" i="19"/>
  <c r="G262" i="19"/>
  <c r="E259" i="21" s="1"/>
  <c r="M56" i="8"/>
  <c r="G49" i="19"/>
  <c r="E46" i="21" s="1"/>
  <c r="J262" i="19"/>
  <c r="J120" i="19"/>
  <c r="M262" i="19"/>
  <c r="J56" i="8"/>
  <c r="G68" i="12"/>
  <c r="I67" i="12"/>
  <c r="I190" i="19"/>
  <c r="L332" i="19"/>
  <c r="F48" i="19"/>
  <c r="D45" i="21" s="1"/>
  <c r="F119" i="19"/>
  <c r="D116" i="21" s="1"/>
  <c r="I261" i="19"/>
  <c r="I48" i="19"/>
  <c r="L403" i="19"/>
  <c r="L67" i="12"/>
  <c r="T67" i="12" s="1"/>
  <c r="L119" i="19"/>
  <c r="I332" i="19"/>
  <c r="F67" i="12"/>
  <c r="F190" i="19"/>
  <c r="D187" i="21" s="1"/>
  <c r="L48" i="19"/>
  <c r="L190" i="19"/>
  <c r="F55" i="8"/>
  <c r="F332" i="19"/>
  <c r="D329" i="21" s="1"/>
  <c r="F403" i="19"/>
  <c r="D400" i="21" s="1"/>
  <c r="F261" i="19"/>
  <c r="D258" i="21" s="1"/>
  <c r="L55" i="8"/>
  <c r="I119" i="19"/>
  <c r="I55" i="8"/>
  <c r="I403" i="19"/>
  <c r="L261" i="19"/>
  <c r="F71" i="20"/>
  <c r="G71" i="20"/>
  <c r="O71" i="20" s="1"/>
  <c r="H71" i="7" s="1"/>
  <c r="P68" i="7"/>
  <c r="C65" i="24" s="1"/>
  <c r="S67" i="7"/>
  <c r="U69" i="20"/>
  <c r="F69" i="7"/>
  <c r="N69" i="7" s="1"/>
  <c r="K191" i="19"/>
  <c r="E49" i="19"/>
  <c r="C46" i="21" s="1"/>
  <c r="E56" i="8"/>
  <c r="H404" i="19"/>
  <c r="F401" i="21" s="1"/>
  <c r="K262" i="19"/>
  <c r="H68" i="12"/>
  <c r="K56" i="8"/>
  <c r="E120" i="19"/>
  <c r="C117" i="21" s="1"/>
  <c r="K68" i="12"/>
  <c r="H191" i="19"/>
  <c r="F188" i="21" s="1"/>
  <c r="E68" i="12"/>
  <c r="H262" i="19"/>
  <c r="F259" i="21" s="1"/>
  <c r="E333" i="19"/>
  <c r="C330" i="21" s="1"/>
  <c r="H120" i="19"/>
  <c r="F117" i="21" s="1"/>
  <c r="E262" i="19"/>
  <c r="C259" i="21" s="1"/>
  <c r="K49" i="19"/>
  <c r="K120" i="19"/>
  <c r="K333" i="19"/>
  <c r="E191" i="19"/>
  <c r="C188" i="21" s="1"/>
  <c r="H56" i="8"/>
  <c r="H333" i="19"/>
  <c r="F330" i="21" s="1"/>
  <c r="K404" i="19"/>
  <c r="E404" i="19"/>
  <c r="C401" i="21" s="1"/>
  <c r="H49" i="19"/>
  <c r="F46" i="21" s="1"/>
  <c r="D66" i="24" l="1"/>
  <c r="T55" i="8"/>
  <c r="B66" i="24"/>
  <c r="G70" i="7"/>
  <c r="P70" i="20"/>
  <c r="I70" i="7" s="1"/>
  <c r="M70" i="7" s="1"/>
  <c r="G72" i="20"/>
  <c r="O72" i="20" s="1"/>
  <c r="H72" i="7" s="1"/>
  <c r="P69" i="7"/>
  <c r="C66" i="24" s="1"/>
  <c r="E71" i="20"/>
  <c r="M71" i="20" s="1"/>
  <c r="I191" i="19"/>
  <c r="I49" i="19"/>
  <c r="F49" i="19"/>
  <c r="D46" i="21" s="1"/>
  <c r="L56" i="8"/>
  <c r="L262" i="19"/>
  <c r="I333" i="19"/>
  <c r="L120" i="19"/>
  <c r="F120" i="19"/>
  <c r="D117" i="21" s="1"/>
  <c r="I120" i="19"/>
  <c r="I68" i="12"/>
  <c r="I404" i="19"/>
  <c r="F68" i="12"/>
  <c r="L333" i="19"/>
  <c r="F333" i="19"/>
  <c r="D330" i="21" s="1"/>
  <c r="I56" i="8"/>
  <c r="L49" i="19"/>
  <c r="F262" i="19"/>
  <c r="D259" i="21" s="1"/>
  <c r="L68" i="12"/>
  <c r="T68" i="12" s="1"/>
  <c r="L191" i="19"/>
  <c r="F191" i="19"/>
  <c r="D188" i="21" s="1"/>
  <c r="L404" i="19"/>
  <c r="I262" i="19"/>
  <c r="F56" i="8"/>
  <c r="F404" i="19"/>
  <c r="D401" i="21" s="1"/>
  <c r="H71" i="20"/>
  <c r="N71" i="20"/>
  <c r="M69" i="12"/>
  <c r="J263" i="19"/>
  <c r="J50" i="19"/>
  <c r="G334" i="19"/>
  <c r="E331" i="21" s="1"/>
  <c r="G263" i="19"/>
  <c r="E260" i="21" s="1"/>
  <c r="G57" i="8"/>
  <c r="G405" i="19"/>
  <c r="E402" i="21" s="1"/>
  <c r="J192" i="19"/>
  <c r="J57" i="8"/>
  <c r="J69" i="12"/>
  <c r="M57" i="8"/>
  <c r="M405" i="19"/>
  <c r="J121" i="19"/>
  <c r="J405" i="19"/>
  <c r="G192" i="19"/>
  <c r="E189" i="21" s="1"/>
  <c r="O69" i="7"/>
  <c r="M50" i="19"/>
  <c r="G50" i="19"/>
  <c r="E47" i="21" s="1"/>
  <c r="G69" i="12"/>
  <c r="J334" i="19"/>
  <c r="M263" i="19"/>
  <c r="G121" i="19"/>
  <c r="E118" i="21" s="1"/>
  <c r="M334" i="19"/>
  <c r="M192" i="19"/>
  <c r="M121" i="19"/>
  <c r="F72" i="20"/>
  <c r="U70" i="20"/>
  <c r="F70" i="7"/>
  <c r="N70" i="7" s="1"/>
  <c r="S68" i="7"/>
  <c r="K263" i="19"/>
  <c r="E50" i="19"/>
  <c r="C47" i="21" s="1"/>
  <c r="K121" i="19"/>
  <c r="E263" i="19"/>
  <c r="C260" i="21" s="1"/>
  <c r="E405" i="19"/>
  <c r="C402" i="21" s="1"/>
  <c r="H50" i="19"/>
  <c r="F47" i="21" s="1"/>
  <c r="E69" i="12"/>
  <c r="H121" i="19"/>
  <c r="F118" i="21" s="1"/>
  <c r="H57" i="8"/>
  <c r="K405" i="19"/>
  <c r="K334" i="19"/>
  <c r="K57" i="8"/>
  <c r="H405" i="19"/>
  <c r="F402" i="21" s="1"/>
  <c r="H263" i="19"/>
  <c r="F260" i="21" s="1"/>
  <c r="E121" i="19"/>
  <c r="C118" i="21" s="1"/>
  <c r="E192" i="19"/>
  <c r="C189" i="21" s="1"/>
  <c r="H334" i="19"/>
  <c r="F331" i="21" s="1"/>
  <c r="E334" i="19"/>
  <c r="C331" i="21" s="1"/>
  <c r="E57" i="8"/>
  <c r="K50" i="19"/>
  <c r="K192" i="19"/>
  <c r="K69" i="12"/>
  <c r="H192" i="19"/>
  <c r="F189" i="21" s="1"/>
  <c r="H69" i="12"/>
  <c r="T56" i="8" l="1"/>
  <c r="B67" i="24"/>
  <c r="H9" i="10"/>
  <c r="E9" i="10"/>
  <c r="K9" i="10"/>
  <c r="D67" i="24"/>
  <c r="J9" i="10"/>
  <c r="G9" i="10"/>
  <c r="M9" i="10"/>
  <c r="S69" i="7"/>
  <c r="N72" i="20"/>
  <c r="H72" i="20"/>
  <c r="F73" i="20"/>
  <c r="M335" i="19"/>
  <c r="M406" i="19"/>
  <c r="J406" i="19"/>
  <c r="G122" i="19"/>
  <c r="E119" i="21" s="1"/>
  <c r="J122" i="19"/>
  <c r="G335" i="19"/>
  <c r="E332" i="21" s="1"/>
  <c r="G58" i="8"/>
  <c r="G264" i="19"/>
  <c r="E261" i="21" s="1"/>
  <c r="J58" i="8"/>
  <c r="J193" i="19"/>
  <c r="J335" i="19"/>
  <c r="J70" i="12"/>
  <c r="J264" i="19"/>
  <c r="M193" i="19"/>
  <c r="O70" i="7"/>
  <c r="M70" i="12"/>
  <c r="M58" i="8"/>
  <c r="G406" i="19"/>
  <c r="E403" i="21" s="1"/>
  <c r="G193" i="19"/>
  <c r="E190" i="21" s="1"/>
  <c r="J51" i="19"/>
  <c r="M122" i="19"/>
  <c r="M51" i="19"/>
  <c r="M264" i="19"/>
  <c r="G70" i="12"/>
  <c r="G51" i="19"/>
  <c r="E48" i="21" s="1"/>
  <c r="G71" i="7"/>
  <c r="P71" i="20"/>
  <c r="I71" i="7" s="1"/>
  <c r="M71" i="7" s="1"/>
  <c r="I57" i="8"/>
  <c r="L405" i="19"/>
  <c r="I50" i="19"/>
  <c r="L69" i="12"/>
  <c r="T69" i="12" s="1"/>
  <c r="I263" i="19"/>
  <c r="F69" i="12"/>
  <c r="L121" i="19"/>
  <c r="F57" i="8"/>
  <c r="F192" i="19"/>
  <c r="D189" i="21" s="1"/>
  <c r="L192" i="19"/>
  <c r="I405" i="19"/>
  <c r="L334" i="19"/>
  <c r="F263" i="19"/>
  <c r="D260" i="21" s="1"/>
  <c r="L50" i="19"/>
  <c r="F405" i="19"/>
  <c r="D402" i="21" s="1"/>
  <c r="F121" i="19"/>
  <c r="D118" i="21" s="1"/>
  <c r="F50" i="19"/>
  <c r="D47" i="21" s="1"/>
  <c r="I334" i="19"/>
  <c r="I192" i="19"/>
  <c r="L57" i="8"/>
  <c r="I121" i="19"/>
  <c r="L263" i="19"/>
  <c r="I69" i="12"/>
  <c r="F334" i="19"/>
  <c r="D331" i="21" s="1"/>
  <c r="P70" i="7"/>
  <c r="G73" i="20"/>
  <c r="O73" i="20" s="1"/>
  <c r="H73" i="7" s="1"/>
  <c r="H193" i="19"/>
  <c r="F190" i="21" s="1"/>
  <c r="K58" i="8"/>
  <c r="H406" i="19"/>
  <c r="F403" i="21" s="1"/>
  <c r="K264" i="19"/>
  <c r="H51" i="19"/>
  <c r="F48" i="21" s="1"/>
  <c r="H70" i="12"/>
  <c r="K406" i="19"/>
  <c r="H122" i="19"/>
  <c r="F119" i="21" s="1"/>
  <c r="H335" i="19"/>
  <c r="F332" i="21" s="1"/>
  <c r="E51" i="19"/>
  <c r="C48" i="21" s="1"/>
  <c r="E122" i="19"/>
  <c r="C119" i="21" s="1"/>
  <c r="H264" i="19"/>
  <c r="F261" i="21" s="1"/>
  <c r="E193" i="19"/>
  <c r="C190" i="21" s="1"/>
  <c r="E335" i="19"/>
  <c r="C332" i="21" s="1"/>
  <c r="H58" i="8"/>
  <c r="E58" i="8"/>
  <c r="E406" i="19"/>
  <c r="C403" i="21" s="1"/>
  <c r="K335" i="19"/>
  <c r="K122" i="19"/>
  <c r="K193" i="19"/>
  <c r="K51" i="19"/>
  <c r="K70" i="12"/>
  <c r="E70" i="12"/>
  <c r="E264" i="19"/>
  <c r="C261" i="21" s="1"/>
  <c r="E72" i="20"/>
  <c r="M72" i="20" s="1"/>
  <c r="U71" i="20"/>
  <c r="F71" i="7"/>
  <c r="N71" i="7" s="1"/>
  <c r="T57" i="8" l="1"/>
  <c r="B68" i="24"/>
  <c r="C67" i="24"/>
  <c r="I9" i="10"/>
  <c r="F9" i="10"/>
  <c r="L9" i="10"/>
  <c r="D68" i="24"/>
  <c r="G72" i="7"/>
  <c r="P72" i="20"/>
  <c r="I72" i="7" s="1"/>
  <c r="M72" i="7" s="1"/>
  <c r="P71" i="7"/>
  <c r="K407" i="19"/>
  <c r="K265" i="19"/>
  <c r="H407" i="19"/>
  <c r="F404" i="21" s="1"/>
  <c r="H59" i="8"/>
  <c r="K123" i="19"/>
  <c r="E123" i="19"/>
  <c r="C120" i="21" s="1"/>
  <c r="H71" i="12"/>
  <c r="E336" i="19"/>
  <c r="C333" i="21" s="1"/>
  <c r="E194" i="19"/>
  <c r="C191" i="21" s="1"/>
  <c r="K194" i="19"/>
  <c r="H194" i="19"/>
  <c r="F191" i="21" s="1"/>
  <c r="K52" i="19"/>
  <c r="E265" i="19"/>
  <c r="C262" i="21" s="1"/>
  <c r="H123" i="19"/>
  <c r="F120" i="21" s="1"/>
  <c r="K336" i="19"/>
  <c r="E59" i="8"/>
  <c r="K71" i="12"/>
  <c r="E52" i="19"/>
  <c r="C49" i="21" s="1"/>
  <c r="K59" i="8"/>
  <c r="H265" i="19"/>
  <c r="F262" i="21" s="1"/>
  <c r="E407" i="19"/>
  <c r="C404" i="21" s="1"/>
  <c r="H52" i="19"/>
  <c r="F49" i="21" s="1"/>
  <c r="E71" i="12"/>
  <c r="H336" i="19"/>
  <c r="F333" i="21" s="1"/>
  <c r="S70" i="7"/>
  <c r="H73" i="20"/>
  <c r="N73" i="20"/>
  <c r="F72" i="7"/>
  <c r="N72" i="7" s="1"/>
  <c r="U72" i="20"/>
  <c r="E73" i="20"/>
  <c r="M73" i="20" s="1"/>
  <c r="F74" i="20"/>
  <c r="G74" i="20"/>
  <c r="O74" i="20" s="1"/>
  <c r="H74" i="7" s="1"/>
  <c r="I58" i="8"/>
  <c r="L58" i="8"/>
  <c r="F70" i="12"/>
  <c r="F193" i="19"/>
  <c r="D190" i="21" s="1"/>
  <c r="L264" i="19"/>
  <c r="I70" i="12"/>
  <c r="L406" i="19"/>
  <c r="L51" i="19"/>
  <c r="I335" i="19"/>
  <c r="I51" i="19"/>
  <c r="I264" i="19"/>
  <c r="I122" i="19"/>
  <c r="F406" i="19"/>
  <c r="D403" i="21" s="1"/>
  <c r="L70" i="12"/>
  <c r="T70" i="12" s="1"/>
  <c r="F264" i="19"/>
  <c r="D261" i="21" s="1"/>
  <c r="F335" i="19"/>
  <c r="D332" i="21" s="1"/>
  <c r="I193" i="19"/>
  <c r="F51" i="19"/>
  <c r="D48" i="21" s="1"/>
  <c r="L335" i="19"/>
  <c r="L193" i="19"/>
  <c r="I406" i="19"/>
  <c r="F58" i="8"/>
  <c r="F122" i="19"/>
  <c r="D119" i="21" s="1"/>
  <c r="L122" i="19"/>
  <c r="G59" i="8"/>
  <c r="M123" i="19"/>
  <c r="O71" i="7"/>
  <c r="J265" i="19"/>
  <c r="J194" i="19"/>
  <c r="G123" i="19"/>
  <c r="E120" i="21" s="1"/>
  <c r="M407" i="19"/>
  <c r="J59" i="8"/>
  <c r="G71" i="12"/>
  <c r="G407" i="19"/>
  <c r="E404" i="21" s="1"/>
  <c r="M194" i="19"/>
  <c r="M59" i="8"/>
  <c r="J71" i="12"/>
  <c r="G52" i="19"/>
  <c r="E49" i="21" s="1"/>
  <c r="G265" i="19"/>
  <c r="E262" i="21" s="1"/>
  <c r="M265" i="19"/>
  <c r="M52" i="19"/>
  <c r="J123" i="19"/>
  <c r="J52" i="19"/>
  <c r="J336" i="19"/>
  <c r="M71" i="12"/>
  <c r="J407" i="19"/>
  <c r="M336" i="19"/>
  <c r="G336" i="19"/>
  <c r="E333" i="21" s="1"/>
  <c r="G194" i="19"/>
  <c r="E191" i="21" s="1"/>
  <c r="T58" i="8" l="1"/>
  <c r="B69" i="24"/>
  <c r="K10" i="11"/>
  <c r="E10" i="11"/>
  <c r="H10" i="11"/>
  <c r="M10" i="11"/>
  <c r="J10" i="11"/>
  <c r="G10" i="11"/>
  <c r="D69" i="24"/>
  <c r="C68" i="24"/>
  <c r="P73" i="20"/>
  <c r="I73" i="7" s="1"/>
  <c r="M73" i="7" s="1"/>
  <c r="G73" i="7"/>
  <c r="S71" i="7"/>
  <c r="F73" i="7"/>
  <c r="N73" i="7" s="1"/>
  <c r="U73" i="20"/>
  <c r="L59" i="8"/>
  <c r="I265" i="19"/>
  <c r="F59" i="8"/>
  <c r="L407" i="19"/>
  <c r="F194" i="19"/>
  <c r="D191" i="21" s="1"/>
  <c r="F52" i="19"/>
  <c r="D49" i="21" s="1"/>
  <c r="F336" i="19"/>
  <c r="D333" i="21" s="1"/>
  <c r="L336" i="19"/>
  <c r="I336" i="19"/>
  <c r="I123" i="19"/>
  <c r="F265" i="19"/>
  <c r="D262" i="21" s="1"/>
  <c r="F123" i="19"/>
  <c r="D120" i="21" s="1"/>
  <c r="F407" i="19"/>
  <c r="D404" i="21" s="1"/>
  <c r="F71" i="12"/>
  <c r="L71" i="12"/>
  <c r="T71" i="12" s="1"/>
  <c r="I52" i="19"/>
  <c r="I194" i="19"/>
  <c r="L52" i="19"/>
  <c r="I407" i="19"/>
  <c r="L123" i="19"/>
  <c r="L265" i="19"/>
  <c r="L194" i="19"/>
  <c r="I59" i="8"/>
  <c r="I71" i="12"/>
  <c r="F75" i="20"/>
  <c r="E74" i="20"/>
  <c r="M74" i="20" s="1"/>
  <c r="P72" i="7"/>
  <c r="G266" i="19"/>
  <c r="E263" i="21" s="1"/>
  <c r="J124" i="19"/>
  <c r="M408" i="19"/>
  <c r="J337" i="19"/>
  <c r="G195" i="19"/>
  <c r="E192" i="21" s="1"/>
  <c r="J266" i="19"/>
  <c r="G408" i="19"/>
  <c r="E405" i="21" s="1"/>
  <c r="G124" i="19"/>
  <c r="E121" i="21" s="1"/>
  <c r="J195" i="19"/>
  <c r="J60" i="8"/>
  <c r="M72" i="12"/>
  <c r="G60" i="8"/>
  <c r="G337" i="19"/>
  <c r="E334" i="21" s="1"/>
  <c r="O72" i="7"/>
  <c r="J53" i="19"/>
  <c r="M195" i="19"/>
  <c r="J72" i="12"/>
  <c r="M124" i="19"/>
  <c r="G72" i="12"/>
  <c r="G53" i="19"/>
  <c r="E50" i="21" s="1"/>
  <c r="M266" i="19"/>
  <c r="M53" i="19"/>
  <c r="J408" i="19"/>
  <c r="M60" i="8"/>
  <c r="M337" i="19"/>
  <c r="H60" i="8"/>
  <c r="K124" i="19"/>
  <c r="E408" i="19"/>
  <c r="C405" i="21" s="1"/>
  <c r="H124" i="19"/>
  <c r="F121" i="21" s="1"/>
  <c r="H53" i="19"/>
  <c r="F50" i="21" s="1"/>
  <c r="H195" i="19"/>
  <c r="F192" i="21" s="1"/>
  <c r="E53" i="19"/>
  <c r="C50" i="21" s="1"/>
  <c r="H408" i="19"/>
  <c r="F405" i="21" s="1"/>
  <c r="E337" i="19"/>
  <c r="C334" i="21" s="1"/>
  <c r="H337" i="19"/>
  <c r="F334" i="21" s="1"/>
  <c r="K337" i="19"/>
  <c r="E124" i="19"/>
  <c r="C121" i="21" s="1"/>
  <c r="E195" i="19"/>
  <c r="C192" i="21" s="1"/>
  <c r="H72" i="12"/>
  <c r="K195" i="19"/>
  <c r="E60" i="8"/>
  <c r="H266" i="19"/>
  <c r="F263" i="21" s="1"/>
  <c r="K72" i="12"/>
  <c r="K408" i="19"/>
  <c r="K53" i="19"/>
  <c r="K266" i="19"/>
  <c r="E72" i="12"/>
  <c r="E266" i="19"/>
  <c r="C263" i="21" s="1"/>
  <c r="K60" i="8"/>
  <c r="H74" i="20"/>
  <c r="N74" i="20"/>
  <c r="G75" i="20"/>
  <c r="O75" i="20" s="1"/>
  <c r="H75" i="7" s="1"/>
  <c r="T59" i="8" l="1"/>
  <c r="L10" i="11"/>
  <c r="I10" i="11"/>
  <c r="F10" i="11"/>
  <c r="D70" i="24"/>
  <c r="G10" i="9"/>
  <c r="M10" i="9"/>
  <c r="J10" i="9"/>
  <c r="B70" i="24"/>
  <c r="E10" i="9"/>
  <c r="H10" i="9"/>
  <c r="K10" i="9"/>
  <c r="C69" i="24"/>
  <c r="G74" i="7"/>
  <c r="P74" i="20"/>
  <c r="I74" i="7" s="1"/>
  <c r="M74" i="7" s="1"/>
  <c r="E75" i="20"/>
  <c r="M75" i="20" s="1"/>
  <c r="S72" i="7"/>
  <c r="N75" i="20"/>
  <c r="H75" i="20"/>
  <c r="F74" i="7"/>
  <c r="N74" i="7" s="1"/>
  <c r="U74" i="20"/>
  <c r="P73" i="7"/>
  <c r="G409" i="19"/>
  <c r="E406" i="21" s="1"/>
  <c r="J267" i="19"/>
  <c r="M409" i="19"/>
  <c r="G338" i="19"/>
  <c r="E335" i="21" s="1"/>
  <c r="J125" i="19"/>
  <c r="O73" i="7"/>
  <c r="J409" i="19"/>
  <c r="M61" i="8"/>
  <c r="G61" i="8"/>
  <c r="J61" i="8"/>
  <c r="G267" i="19"/>
  <c r="E264" i="21" s="1"/>
  <c r="J54" i="19"/>
  <c r="M196" i="19"/>
  <c r="G73" i="12"/>
  <c r="M125" i="19"/>
  <c r="J338" i="19"/>
  <c r="G196" i="19"/>
  <c r="E193" i="21" s="1"/>
  <c r="M54" i="19"/>
  <c r="G125" i="19"/>
  <c r="E122" i="21" s="1"/>
  <c r="M338" i="19"/>
  <c r="J196" i="19"/>
  <c r="G54" i="19"/>
  <c r="E51" i="21" s="1"/>
  <c r="M73" i="12"/>
  <c r="J73" i="12"/>
  <c r="M267" i="19"/>
  <c r="G76" i="20"/>
  <c r="O76" i="20" s="1"/>
  <c r="H76" i="7" s="1"/>
  <c r="F76" i="20"/>
  <c r="I337" i="19"/>
  <c r="L195" i="19"/>
  <c r="L72" i="12"/>
  <c r="T72" i="12" s="1"/>
  <c r="I266" i="19"/>
  <c r="F124" i="19"/>
  <c r="D121" i="21" s="1"/>
  <c r="I72" i="12"/>
  <c r="I53" i="19"/>
  <c r="L53" i="19"/>
  <c r="I124" i="19"/>
  <c r="L266" i="19"/>
  <c r="I60" i="8"/>
  <c r="F195" i="19"/>
  <c r="D192" i="21" s="1"/>
  <c r="I408" i="19"/>
  <c r="L408" i="19"/>
  <c r="F53" i="19"/>
  <c r="D50" i="21" s="1"/>
  <c r="F337" i="19"/>
  <c r="D334" i="21" s="1"/>
  <c r="F266" i="19"/>
  <c r="D263" i="21" s="1"/>
  <c r="F60" i="8"/>
  <c r="L60" i="8"/>
  <c r="F408" i="19"/>
  <c r="D405" i="21" s="1"/>
  <c r="I195" i="19"/>
  <c r="F72" i="12"/>
  <c r="L124" i="19"/>
  <c r="L337" i="19"/>
  <c r="K409" i="19"/>
  <c r="K338" i="19"/>
  <c r="H409" i="19"/>
  <c r="F406" i="21" s="1"/>
  <c r="K267" i="19"/>
  <c r="K54" i="19"/>
  <c r="K10" i="13"/>
  <c r="H125" i="19"/>
  <c r="F122" i="21" s="1"/>
  <c r="E125" i="19"/>
  <c r="C122" i="21" s="1"/>
  <c r="E196" i="19"/>
  <c r="C193" i="21" s="1"/>
  <c r="H73" i="12"/>
  <c r="K125" i="19"/>
  <c r="H61" i="8"/>
  <c r="H196" i="19"/>
  <c r="F193" i="21" s="1"/>
  <c r="H10" i="13"/>
  <c r="E61" i="8"/>
  <c r="H267" i="19"/>
  <c r="F264" i="21" s="1"/>
  <c r="E73" i="12"/>
  <c r="E409" i="19"/>
  <c r="C406" i="21" s="1"/>
  <c r="K73" i="12"/>
  <c r="E267" i="19"/>
  <c r="C264" i="21" s="1"/>
  <c r="H54" i="19"/>
  <c r="F51" i="21" s="1"/>
  <c r="K61" i="8"/>
  <c r="E338" i="19"/>
  <c r="C335" i="21" s="1"/>
  <c r="K196" i="19"/>
  <c r="H338" i="19"/>
  <c r="F335" i="21" s="1"/>
  <c r="E54" i="19"/>
  <c r="C51" i="21" s="1"/>
  <c r="E10" i="13" l="1"/>
  <c r="T60" i="8"/>
  <c r="B71" i="24"/>
  <c r="I10" i="9"/>
  <c r="F10" i="9"/>
  <c r="L10" i="9"/>
  <c r="G10" i="13"/>
  <c r="M10" i="13"/>
  <c r="J10" i="13"/>
  <c r="D71" i="24"/>
  <c r="C70" i="24"/>
  <c r="F77" i="20"/>
  <c r="E76" i="20"/>
  <c r="M76" i="20" s="1"/>
  <c r="P74" i="7"/>
  <c r="L10" i="13" s="1"/>
  <c r="M268" i="19"/>
  <c r="M410" i="19"/>
  <c r="M62" i="8"/>
  <c r="J126" i="19"/>
  <c r="J74" i="12"/>
  <c r="J268" i="19"/>
  <c r="G268" i="19"/>
  <c r="E265" i="21" s="1"/>
  <c r="M339" i="19"/>
  <c r="J55" i="19"/>
  <c r="M55" i="19"/>
  <c r="G74" i="12"/>
  <c r="G410" i="19"/>
  <c r="E407" i="21" s="1"/>
  <c r="J197" i="19"/>
  <c r="O74" i="7"/>
  <c r="G55" i="19"/>
  <c r="E52" i="21" s="1"/>
  <c r="M74" i="12"/>
  <c r="J62" i="8"/>
  <c r="M197" i="19"/>
  <c r="J339" i="19"/>
  <c r="G197" i="19"/>
  <c r="E194" i="21" s="1"/>
  <c r="J410" i="19"/>
  <c r="G62" i="8"/>
  <c r="G126" i="19"/>
  <c r="E123" i="21" s="1"/>
  <c r="G339" i="19"/>
  <c r="E336" i="21" s="1"/>
  <c r="M126" i="19"/>
  <c r="P75" i="20"/>
  <c r="I75" i="7" s="1"/>
  <c r="M75" i="7" s="1"/>
  <c r="G75" i="7"/>
  <c r="E197" i="19"/>
  <c r="C194" i="21" s="1"/>
  <c r="K126" i="19"/>
  <c r="H197" i="19"/>
  <c r="F194" i="21" s="1"/>
  <c r="K62" i="8"/>
  <c r="E410" i="19"/>
  <c r="C407" i="21" s="1"/>
  <c r="H62" i="8"/>
  <c r="E268" i="19"/>
  <c r="C265" i="21" s="1"/>
  <c r="K55" i="19"/>
  <c r="K197" i="19"/>
  <c r="E339" i="19"/>
  <c r="C336" i="21" s="1"/>
  <c r="E74" i="12"/>
  <c r="H126" i="19"/>
  <c r="F123" i="21" s="1"/>
  <c r="E62" i="8"/>
  <c r="K339" i="19"/>
  <c r="K74" i="12"/>
  <c r="H410" i="19"/>
  <c r="F407" i="21" s="1"/>
  <c r="E55" i="19"/>
  <c r="C52" i="21" s="1"/>
  <c r="H74" i="12"/>
  <c r="E126" i="19"/>
  <c r="C123" i="21" s="1"/>
  <c r="H339" i="19"/>
  <c r="F336" i="21" s="1"/>
  <c r="H268" i="19"/>
  <c r="F265" i="21" s="1"/>
  <c r="K410" i="19"/>
  <c r="H55" i="19"/>
  <c r="F52" i="21" s="1"/>
  <c r="K268" i="19"/>
  <c r="N76" i="20"/>
  <c r="H76" i="20"/>
  <c r="F75" i="7"/>
  <c r="N75" i="7" s="1"/>
  <c r="U75" i="20"/>
  <c r="G77" i="20"/>
  <c r="O77" i="20" s="1"/>
  <c r="H77" i="7" s="1"/>
  <c r="S73" i="7"/>
  <c r="L196" i="19"/>
  <c r="F54" i="19"/>
  <c r="D51" i="21" s="1"/>
  <c r="I409" i="19"/>
  <c r="F338" i="19"/>
  <c r="D335" i="21" s="1"/>
  <c r="I73" i="12"/>
  <c r="F196" i="19"/>
  <c r="D193" i="21" s="1"/>
  <c r="I196" i="19"/>
  <c r="L267" i="19"/>
  <c r="I54" i="19"/>
  <c r="L338" i="19"/>
  <c r="F267" i="19"/>
  <c r="D264" i="21" s="1"/>
  <c r="F61" i="8"/>
  <c r="F125" i="19"/>
  <c r="D122" i="21" s="1"/>
  <c r="L125" i="19"/>
  <c r="I125" i="19"/>
  <c r="F409" i="19"/>
  <c r="D406" i="21" s="1"/>
  <c r="L409" i="19"/>
  <c r="L54" i="19"/>
  <c r="F73" i="12"/>
  <c r="I338" i="19"/>
  <c r="I267" i="19"/>
  <c r="L73" i="12"/>
  <c r="T73" i="12" s="1"/>
  <c r="I61" i="8"/>
  <c r="L61" i="8"/>
  <c r="F10" i="13" l="1"/>
  <c r="T61" i="8"/>
  <c r="B72" i="24"/>
  <c r="I10" i="13"/>
  <c r="D72" i="24"/>
  <c r="C71" i="24"/>
  <c r="F78" i="20"/>
  <c r="I126" i="19"/>
  <c r="L74" i="12"/>
  <c r="T74" i="12" s="1"/>
  <c r="F126" i="19"/>
  <c r="D123" i="21" s="1"/>
  <c r="F268" i="19"/>
  <c r="D265" i="21" s="1"/>
  <c r="L410" i="19"/>
  <c r="F410" i="19"/>
  <c r="D407" i="21" s="1"/>
  <c r="F74" i="12"/>
  <c r="L62" i="8"/>
  <c r="L197" i="19"/>
  <c r="F339" i="19"/>
  <c r="D336" i="21" s="1"/>
  <c r="I410" i="19"/>
  <c r="I55" i="19"/>
  <c r="L55" i="19"/>
  <c r="I74" i="12"/>
  <c r="I62" i="8"/>
  <c r="F197" i="19"/>
  <c r="D194" i="21" s="1"/>
  <c r="L339" i="19"/>
  <c r="L268" i="19"/>
  <c r="F55" i="19"/>
  <c r="D52" i="21" s="1"/>
  <c r="I197" i="19"/>
  <c r="I268" i="19"/>
  <c r="L126" i="19"/>
  <c r="I339" i="19"/>
  <c r="F62" i="8"/>
  <c r="E77" i="20"/>
  <c r="M77" i="20" s="1"/>
  <c r="F76" i="7"/>
  <c r="N76" i="7" s="1"/>
  <c r="U76" i="20"/>
  <c r="P75" i="7"/>
  <c r="P76" i="20"/>
  <c r="I76" i="7" s="1"/>
  <c r="M76" i="7" s="1"/>
  <c r="G76" i="7"/>
  <c r="G78" i="20"/>
  <c r="O78" i="20" s="1"/>
  <c r="H78" i="7" s="1"/>
  <c r="M340" i="19"/>
  <c r="G340" i="19"/>
  <c r="E337" i="21" s="1"/>
  <c r="G56" i="19"/>
  <c r="E53" i="21" s="1"/>
  <c r="G269" i="19"/>
  <c r="E266" i="21" s="1"/>
  <c r="J127" i="19"/>
  <c r="J340" i="19"/>
  <c r="O75" i="7"/>
  <c r="M127" i="19"/>
  <c r="J269" i="19"/>
  <c r="M63" i="8"/>
  <c r="M56" i="19"/>
  <c r="G75" i="12"/>
  <c r="J411" i="19"/>
  <c r="J56" i="19"/>
  <c r="M198" i="19"/>
  <c r="G411" i="19"/>
  <c r="E408" i="21" s="1"/>
  <c r="G127" i="19"/>
  <c r="E124" i="21" s="1"/>
  <c r="G198" i="19"/>
  <c r="E195" i="21" s="1"/>
  <c r="G63" i="8"/>
  <c r="J63" i="8"/>
  <c r="M411" i="19"/>
  <c r="M75" i="12"/>
  <c r="J198" i="19"/>
  <c r="J75" i="12"/>
  <c r="M269" i="19"/>
  <c r="E63" i="8"/>
  <c r="H75" i="12"/>
  <c r="K63" i="8"/>
  <c r="H340" i="19"/>
  <c r="F337" i="21" s="1"/>
  <c r="H63" i="8"/>
  <c r="K340" i="19"/>
  <c r="E411" i="19"/>
  <c r="C408" i="21" s="1"/>
  <c r="H411" i="19"/>
  <c r="F408" i="21" s="1"/>
  <c r="E269" i="19"/>
  <c r="C266" i="21" s="1"/>
  <c r="H56" i="19"/>
  <c r="F53" i="21" s="1"/>
  <c r="E75" i="12"/>
  <c r="K411" i="19"/>
  <c r="E56" i="19"/>
  <c r="C53" i="21" s="1"/>
  <c r="E127" i="19"/>
  <c r="C124" i="21" s="1"/>
  <c r="K269" i="19"/>
  <c r="E340" i="19"/>
  <c r="C337" i="21" s="1"/>
  <c r="H198" i="19"/>
  <c r="F195" i="21" s="1"/>
  <c r="H127" i="19"/>
  <c r="F124" i="21" s="1"/>
  <c r="K127" i="19"/>
  <c r="K198" i="19"/>
  <c r="H269" i="19"/>
  <c r="F266" i="21" s="1"/>
  <c r="K75" i="12"/>
  <c r="K56" i="19"/>
  <c r="E198" i="19"/>
  <c r="C195" i="21" s="1"/>
  <c r="S74" i="7"/>
  <c r="N77" i="20"/>
  <c r="H77" i="20"/>
  <c r="T62" i="8" l="1"/>
  <c r="B73" i="24"/>
  <c r="H10" i="10"/>
  <c r="E10" i="10"/>
  <c r="K10" i="10"/>
  <c r="D73" i="24"/>
  <c r="G10" i="10"/>
  <c r="M10" i="10"/>
  <c r="J10" i="10"/>
  <c r="C72" i="24"/>
  <c r="S75" i="7"/>
  <c r="E270" i="19"/>
  <c r="C267" i="21" s="1"/>
  <c r="H128" i="19"/>
  <c r="F125" i="21" s="1"/>
  <c r="K270" i="19"/>
  <c r="H270" i="19"/>
  <c r="F267" i="21" s="1"/>
  <c r="K412" i="19"/>
  <c r="K76" i="12"/>
  <c r="K57" i="19"/>
  <c r="E412" i="19"/>
  <c r="C409" i="21" s="1"/>
  <c r="E64" i="8"/>
  <c r="E341" i="19"/>
  <c r="C338" i="21" s="1"/>
  <c r="H341" i="19"/>
  <c r="F338" i="21" s="1"/>
  <c r="H76" i="12"/>
  <c r="H199" i="19"/>
  <c r="F196" i="21" s="1"/>
  <c r="K341" i="19"/>
  <c r="E57" i="19"/>
  <c r="C54" i="21" s="1"/>
  <c r="E128" i="19"/>
  <c r="C125" i="21" s="1"/>
  <c r="K128" i="19"/>
  <c r="H412" i="19"/>
  <c r="F409" i="21" s="1"/>
  <c r="E199" i="19"/>
  <c r="C196" i="21" s="1"/>
  <c r="K64" i="8"/>
  <c r="K199" i="19"/>
  <c r="H64" i="8"/>
  <c r="H57" i="19"/>
  <c r="F54" i="21" s="1"/>
  <c r="E76" i="12"/>
  <c r="P76" i="7"/>
  <c r="F79" i="20"/>
  <c r="F77" i="7"/>
  <c r="N77" i="7" s="1"/>
  <c r="U77" i="20"/>
  <c r="G79" i="20"/>
  <c r="O79" i="20" s="1"/>
  <c r="H79" i="7" s="1"/>
  <c r="E78" i="20"/>
  <c r="M78" i="20" s="1"/>
  <c r="G77" i="7"/>
  <c r="P77" i="20"/>
  <c r="I77" i="7" s="1"/>
  <c r="M77" i="7" s="1"/>
  <c r="G57" i="19"/>
  <c r="E54" i="21" s="1"/>
  <c r="J128" i="19"/>
  <c r="G199" i="19"/>
  <c r="E196" i="21" s="1"/>
  <c r="J64" i="8"/>
  <c r="M199" i="19"/>
  <c r="M64" i="8"/>
  <c r="G412" i="19"/>
  <c r="E409" i="21" s="1"/>
  <c r="M412" i="19"/>
  <c r="J270" i="19"/>
  <c r="J199" i="19"/>
  <c r="G76" i="12"/>
  <c r="M76" i="12"/>
  <c r="M270" i="19"/>
  <c r="G270" i="19"/>
  <c r="E267" i="21" s="1"/>
  <c r="M57" i="19"/>
  <c r="J412" i="19"/>
  <c r="G341" i="19"/>
  <c r="E338" i="21" s="1"/>
  <c r="M128" i="19"/>
  <c r="O76" i="7"/>
  <c r="M341" i="19"/>
  <c r="J341" i="19"/>
  <c r="G128" i="19"/>
  <c r="E125" i="21" s="1"/>
  <c r="J57" i="19"/>
  <c r="J76" i="12"/>
  <c r="G64" i="8"/>
  <c r="I411" i="19"/>
  <c r="I127" i="19"/>
  <c r="F56" i="19"/>
  <c r="D53" i="21" s="1"/>
  <c r="F75" i="12"/>
  <c r="L75" i="12"/>
  <c r="T75" i="12" s="1"/>
  <c r="I198" i="19"/>
  <c r="I269" i="19"/>
  <c r="I75" i="12"/>
  <c r="L411" i="19"/>
  <c r="L269" i="19"/>
  <c r="F63" i="8"/>
  <c r="L63" i="8"/>
  <c r="L56" i="19"/>
  <c r="I340" i="19"/>
  <c r="F269" i="19"/>
  <c r="D266" i="21" s="1"/>
  <c r="L340" i="19"/>
  <c r="F411" i="19"/>
  <c r="D408" i="21" s="1"/>
  <c r="I63" i="8"/>
  <c r="F127" i="19"/>
  <c r="D124" i="21" s="1"/>
  <c r="L198" i="19"/>
  <c r="F340" i="19"/>
  <c r="D337" i="21" s="1"/>
  <c r="I56" i="19"/>
  <c r="F198" i="19"/>
  <c r="D195" i="21" s="1"/>
  <c r="L127" i="19"/>
  <c r="N78" i="20"/>
  <c r="H78" i="20"/>
  <c r="T63" i="8" l="1"/>
  <c r="B74" i="24"/>
  <c r="F10" i="10"/>
  <c r="L10" i="10"/>
  <c r="I10" i="10"/>
  <c r="D74" i="24"/>
  <c r="C73" i="24"/>
  <c r="J58" i="19"/>
  <c r="M65" i="8"/>
  <c r="M342" i="19"/>
  <c r="J129" i="19"/>
  <c r="J413" i="19"/>
  <c r="G65" i="8"/>
  <c r="M413" i="19"/>
  <c r="G58" i="19"/>
  <c r="E55" i="21" s="1"/>
  <c r="G200" i="19"/>
  <c r="E197" i="21" s="1"/>
  <c r="G342" i="19"/>
  <c r="E339" i="21" s="1"/>
  <c r="M200" i="19"/>
  <c r="J271" i="19"/>
  <c r="G413" i="19"/>
  <c r="E410" i="21" s="1"/>
  <c r="O77" i="7"/>
  <c r="G271" i="19"/>
  <c r="E268" i="21" s="1"/>
  <c r="J65" i="8"/>
  <c r="M271" i="19"/>
  <c r="M58" i="19"/>
  <c r="G77" i="12"/>
  <c r="J342" i="19"/>
  <c r="J200" i="19"/>
  <c r="M129" i="19"/>
  <c r="J77" i="12"/>
  <c r="G129" i="19"/>
  <c r="E126" i="21" s="1"/>
  <c r="M77" i="12"/>
  <c r="S76" i="7"/>
  <c r="H79" i="20"/>
  <c r="N79" i="20"/>
  <c r="E79" i="20"/>
  <c r="M79" i="20" s="1"/>
  <c r="F78" i="7"/>
  <c r="N78" i="7" s="1"/>
  <c r="U78" i="20"/>
  <c r="P77" i="7"/>
  <c r="G78" i="7"/>
  <c r="P78" i="20"/>
  <c r="I78" i="7" s="1"/>
  <c r="M78" i="7" s="1"/>
  <c r="G80" i="20"/>
  <c r="O80" i="20" s="1"/>
  <c r="H80" i="7" s="1"/>
  <c r="K58" i="19"/>
  <c r="E271" i="19"/>
  <c r="C268" i="21" s="1"/>
  <c r="E58" i="19"/>
  <c r="C55" i="21" s="1"/>
  <c r="E413" i="19"/>
  <c r="C410" i="21" s="1"/>
  <c r="E65" i="8"/>
  <c r="H77" i="12"/>
  <c r="K200" i="19"/>
  <c r="E77" i="12"/>
  <c r="H413" i="19"/>
  <c r="F410" i="21" s="1"/>
  <c r="K271" i="19"/>
  <c r="H58" i="19"/>
  <c r="F55" i="21" s="1"/>
  <c r="K77" i="12"/>
  <c r="H129" i="19"/>
  <c r="F126" i="21" s="1"/>
  <c r="K65" i="8"/>
  <c r="E200" i="19"/>
  <c r="C197" i="21" s="1"/>
  <c r="H342" i="19"/>
  <c r="F339" i="21" s="1"/>
  <c r="E342" i="19"/>
  <c r="C339" i="21" s="1"/>
  <c r="H271" i="19"/>
  <c r="F268" i="21" s="1"/>
  <c r="H200" i="19"/>
  <c r="F197" i="21" s="1"/>
  <c r="E129" i="19"/>
  <c r="C126" i="21" s="1"/>
  <c r="K342" i="19"/>
  <c r="K413" i="19"/>
  <c r="H65" i="8"/>
  <c r="K129" i="19"/>
  <c r="F80" i="20"/>
  <c r="I64" i="8"/>
  <c r="L341" i="19"/>
  <c r="F412" i="19"/>
  <c r="D409" i="21" s="1"/>
  <c r="I412" i="19"/>
  <c r="L199" i="19"/>
  <c r="F64" i="8"/>
  <c r="F57" i="19"/>
  <c r="D54" i="21" s="1"/>
  <c r="F341" i="19"/>
  <c r="D338" i="21" s="1"/>
  <c r="I270" i="19"/>
  <c r="I341" i="19"/>
  <c r="I76" i="12"/>
  <c r="L270" i="19"/>
  <c r="L128" i="19"/>
  <c r="L76" i="12"/>
  <c r="T76" i="12" s="1"/>
  <c r="L57" i="19"/>
  <c r="I57" i="19"/>
  <c r="F270" i="19"/>
  <c r="D267" i="21" s="1"/>
  <c r="L64" i="8"/>
  <c r="F76" i="12"/>
  <c r="I128" i="19"/>
  <c r="F199" i="19"/>
  <c r="D196" i="21" s="1"/>
  <c r="I199" i="19"/>
  <c r="F128" i="19"/>
  <c r="D125" i="21" s="1"/>
  <c r="L412" i="19"/>
  <c r="T64" i="8" l="1"/>
  <c r="B75" i="24"/>
  <c r="D75" i="24"/>
  <c r="C74" i="24"/>
  <c r="F81" i="20"/>
  <c r="E80" i="20"/>
  <c r="M80" i="20" s="1"/>
  <c r="S77" i="7"/>
  <c r="N80" i="20"/>
  <c r="H80" i="20"/>
  <c r="P78" i="7"/>
  <c r="P79" i="20"/>
  <c r="I79" i="7" s="1"/>
  <c r="M79" i="7" s="1"/>
  <c r="G79" i="7"/>
  <c r="F79" i="7"/>
  <c r="N79" i="7" s="1"/>
  <c r="U79" i="20"/>
  <c r="L271" i="19"/>
  <c r="I65" i="8"/>
  <c r="I129" i="19"/>
  <c r="F271" i="19"/>
  <c r="D268" i="21" s="1"/>
  <c r="F129" i="19"/>
  <c r="D126" i="21" s="1"/>
  <c r="I271" i="19"/>
  <c r="F413" i="19"/>
  <c r="D410" i="21" s="1"/>
  <c r="I413" i="19"/>
  <c r="L342" i="19"/>
  <c r="L58" i="19"/>
  <c r="L200" i="19"/>
  <c r="I77" i="12"/>
  <c r="I58" i="19"/>
  <c r="F65" i="8"/>
  <c r="F342" i="19"/>
  <c r="D339" i="21" s="1"/>
  <c r="I200" i="19"/>
  <c r="L65" i="8"/>
  <c r="F77" i="12"/>
  <c r="I342" i="19"/>
  <c r="L413" i="19"/>
  <c r="L77" i="12"/>
  <c r="T77" i="12" s="1"/>
  <c r="L129" i="19"/>
  <c r="F200" i="19"/>
  <c r="D197" i="21" s="1"/>
  <c r="F58" i="19"/>
  <c r="D55" i="21" s="1"/>
  <c r="H414" i="19"/>
  <c r="F411" i="21" s="1"/>
  <c r="E59" i="19"/>
  <c r="C56" i="21" s="1"/>
  <c r="E201" i="19"/>
  <c r="C198" i="21" s="1"/>
  <c r="E343" i="19"/>
  <c r="C340" i="21" s="1"/>
  <c r="H130" i="19"/>
  <c r="F127" i="21" s="1"/>
  <c r="H201" i="19"/>
  <c r="F198" i="21" s="1"/>
  <c r="K343" i="19"/>
  <c r="K130" i="19"/>
  <c r="K201" i="19"/>
  <c r="H66" i="8"/>
  <c r="K414" i="19"/>
  <c r="H343" i="19"/>
  <c r="F340" i="21" s="1"/>
  <c r="K272" i="19"/>
  <c r="H59" i="19"/>
  <c r="F56" i="21" s="1"/>
  <c r="K59" i="19"/>
  <c r="K66" i="8"/>
  <c r="E414" i="19"/>
  <c r="C411" i="21" s="1"/>
  <c r="H272" i="19"/>
  <c r="F269" i="21" s="1"/>
  <c r="E272" i="19"/>
  <c r="C269" i="21" s="1"/>
  <c r="E130" i="19"/>
  <c r="C127" i="21" s="1"/>
  <c r="E66" i="8"/>
  <c r="G81" i="20"/>
  <c r="O81" i="20" s="1"/>
  <c r="H81" i="7" s="1"/>
  <c r="M414" i="19"/>
  <c r="J59" i="19"/>
  <c r="J343" i="19"/>
  <c r="G414" i="19"/>
  <c r="E411" i="21" s="1"/>
  <c r="J66" i="8"/>
  <c r="G201" i="19"/>
  <c r="E198" i="21" s="1"/>
  <c r="J130" i="19"/>
  <c r="M201" i="19"/>
  <c r="G343" i="19"/>
  <c r="E340" i="21" s="1"/>
  <c r="M343" i="19"/>
  <c r="G59" i="19"/>
  <c r="E56" i="21" s="1"/>
  <c r="O78" i="7"/>
  <c r="M272" i="19"/>
  <c r="M66" i="8"/>
  <c r="M59" i="19"/>
  <c r="J201" i="19"/>
  <c r="J414" i="19"/>
  <c r="G66" i="8"/>
  <c r="G272" i="19"/>
  <c r="E269" i="21" s="1"/>
  <c r="J272" i="19"/>
  <c r="G130" i="19"/>
  <c r="E127" i="21" s="1"/>
  <c r="M130" i="19"/>
  <c r="T65" i="8" l="1"/>
  <c r="B76" i="24"/>
  <c r="D76" i="24"/>
  <c r="C75" i="24"/>
  <c r="L343" i="19"/>
  <c r="F201" i="19"/>
  <c r="D198" i="21" s="1"/>
  <c r="I201" i="19"/>
  <c r="I130" i="19"/>
  <c r="L414" i="19"/>
  <c r="I414" i="19"/>
  <c r="I66" i="8"/>
  <c r="F343" i="19"/>
  <c r="D340" i="21" s="1"/>
  <c r="I59" i="19"/>
  <c r="L130" i="19"/>
  <c r="F272" i="19"/>
  <c r="D269" i="21" s="1"/>
  <c r="F414" i="19"/>
  <c r="D411" i="21" s="1"/>
  <c r="L59" i="19"/>
  <c r="I343" i="19"/>
  <c r="F59" i="19"/>
  <c r="D56" i="21" s="1"/>
  <c r="L201" i="19"/>
  <c r="F66" i="8"/>
  <c r="L66" i="8"/>
  <c r="I272" i="19"/>
  <c r="L272" i="19"/>
  <c r="F130" i="19"/>
  <c r="D127" i="21" s="1"/>
  <c r="F80" i="7"/>
  <c r="N80" i="7" s="1"/>
  <c r="U80" i="20"/>
  <c r="E81" i="20"/>
  <c r="M81" i="20" s="1"/>
  <c r="G82" i="20"/>
  <c r="O82" i="20" s="1"/>
  <c r="H82" i="7" s="1"/>
  <c r="P79" i="7"/>
  <c r="F82" i="20"/>
  <c r="G273" i="19"/>
  <c r="E270" i="21" s="1"/>
  <c r="G415" i="19"/>
  <c r="E412" i="21" s="1"/>
  <c r="J273" i="19"/>
  <c r="M131" i="19"/>
  <c r="M273" i="19"/>
  <c r="M67" i="8"/>
  <c r="J131" i="19"/>
  <c r="G60" i="19"/>
  <c r="E57" i="21" s="1"/>
  <c r="J344" i="19"/>
  <c r="M60" i="19"/>
  <c r="G131" i="19"/>
  <c r="E128" i="21" s="1"/>
  <c r="J202" i="19"/>
  <c r="M202" i="19"/>
  <c r="J67" i="8"/>
  <c r="G344" i="19"/>
  <c r="E341" i="21" s="1"/>
  <c r="O79" i="7"/>
  <c r="M415" i="19"/>
  <c r="G67" i="8"/>
  <c r="M344" i="19"/>
  <c r="J60" i="19"/>
  <c r="J415" i="19"/>
  <c r="G202" i="19"/>
  <c r="E199" i="21" s="1"/>
  <c r="S78" i="7"/>
  <c r="K67" i="8"/>
  <c r="E273" i="19"/>
  <c r="C270" i="21" s="1"/>
  <c r="H131" i="19"/>
  <c r="F128" i="21" s="1"/>
  <c r="K273" i="19"/>
  <c r="H60" i="19"/>
  <c r="F57" i="21" s="1"/>
  <c r="K60" i="19"/>
  <c r="K415" i="19"/>
  <c r="K344" i="19"/>
  <c r="E67" i="8"/>
  <c r="E344" i="19"/>
  <c r="C341" i="21" s="1"/>
  <c r="E60" i="19"/>
  <c r="C57" i="21" s="1"/>
  <c r="H415" i="19"/>
  <c r="F412" i="21" s="1"/>
  <c r="E131" i="19"/>
  <c r="C128" i="21" s="1"/>
  <c r="H344" i="19"/>
  <c r="F341" i="21" s="1"/>
  <c r="H202" i="19"/>
  <c r="F199" i="21" s="1"/>
  <c r="K202" i="19"/>
  <c r="E415" i="19"/>
  <c r="C412" i="21" s="1"/>
  <c r="H273" i="19"/>
  <c r="F270" i="21" s="1"/>
  <c r="E202" i="19"/>
  <c r="C199" i="21" s="1"/>
  <c r="H67" i="8"/>
  <c r="K131" i="19"/>
  <c r="G80" i="7"/>
  <c r="P80" i="20"/>
  <c r="I80" i="7" s="1"/>
  <c r="M80" i="7" s="1"/>
  <c r="H81" i="20"/>
  <c r="N81" i="20"/>
  <c r="T66" i="8" l="1"/>
  <c r="B77" i="24"/>
  <c r="D77" i="24"/>
  <c r="C76" i="24"/>
  <c r="G132" i="19"/>
  <c r="E129" i="21" s="1"/>
  <c r="J61" i="19"/>
  <c r="J274" i="19"/>
  <c r="G68" i="8"/>
  <c r="G416" i="19"/>
  <c r="E413" i="21" s="1"/>
  <c r="M345" i="19"/>
  <c r="M416" i="19"/>
  <c r="G345" i="19"/>
  <c r="E342" i="21" s="1"/>
  <c r="G203" i="19"/>
  <c r="E200" i="21" s="1"/>
  <c r="M68" i="8"/>
  <c r="J132" i="19"/>
  <c r="J345" i="19"/>
  <c r="O80" i="7"/>
  <c r="M203" i="19"/>
  <c r="J68" i="8"/>
  <c r="M274" i="19"/>
  <c r="J203" i="19"/>
  <c r="G61" i="19"/>
  <c r="E58" i="21" s="1"/>
  <c r="M61" i="19"/>
  <c r="J416" i="19"/>
  <c r="G274" i="19"/>
  <c r="E271" i="21" s="1"/>
  <c r="M132" i="19"/>
  <c r="E82" i="20"/>
  <c r="M82" i="20" s="1"/>
  <c r="I344" i="19"/>
  <c r="L67" i="8"/>
  <c r="L60" i="19"/>
  <c r="I202" i="19"/>
  <c r="F344" i="19"/>
  <c r="D341" i="21" s="1"/>
  <c r="L415" i="19"/>
  <c r="I415" i="19"/>
  <c r="I131" i="19"/>
  <c r="F415" i="19"/>
  <c r="D412" i="21" s="1"/>
  <c r="L131" i="19"/>
  <c r="F60" i="19"/>
  <c r="D57" i="21" s="1"/>
  <c r="L273" i="19"/>
  <c r="F273" i="19"/>
  <c r="D270" i="21" s="1"/>
  <c r="F202" i="19"/>
  <c r="D199" i="21" s="1"/>
  <c r="I273" i="19"/>
  <c r="F67" i="8"/>
  <c r="I67" i="8"/>
  <c r="F131" i="19"/>
  <c r="D128" i="21" s="1"/>
  <c r="L202" i="19"/>
  <c r="I60" i="19"/>
  <c r="L344" i="19"/>
  <c r="P80" i="7"/>
  <c r="H345" i="19"/>
  <c r="F342" i="21" s="1"/>
  <c r="K61" i="19"/>
  <c r="E274" i="19"/>
  <c r="C271" i="21" s="1"/>
  <c r="H68" i="8"/>
  <c r="K203" i="19"/>
  <c r="K274" i="19"/>
  <c r="E416" i="19"/>
  <c r="C413" i="21" s="1"/>
  <c r="H416" i="19"/>
  <c r="F413" i="21" s="1"/>
  <c r="E203" i="19"/>
  <c r="C200" i="21" s="1"/>
  <c r="E345" i="19"/>
  <c r="C342" i="21" s="1"/>
  <c r="H203" i="19"/>
  <c r="F200" i="21" s="1"/>
  <c r="K68" i="8"/>
  <c r="K416" i="19"/>
  <c r="K132" i="19"/>
  <c r="E61" i="19"/>
  <c r="C58" i="21" s="1"/>
  <c r="H274" i="19"/>
  <c r="F271" i="21" s="1"/>
  <c r="H132" i="19"/>
  <c r="F129" i="21" s="1"/>
  <c r="E68" i="8"/>
  <c r="H61" i="19"/>
  <c r="F58" i="21" s="1"/>
  <c r="E132" i="19"/>
  <c r="C129" i="21" s="1"/>
  <c r="K345" i="19"/>
  <c r="N82" i="20"/>
  <c r="H82" i="20"/>
  <c r="P81" i="20"/>
  <c r="I81" i="7" s="1"/>
  <c r="M81" i="7" s="1"/>
  <c r="G81" i="7"/>
  <c r="G83" i="20"/>
  <c r="O83" i="20" s="1"/>
  <c r="H83" i="7" s="1"/>
  <c r="F83" i="20"/>
  <c r="S79" i="7"/>
  <c r="F81" i="7"/>
  <c r="N81" i="7" s="1"/>
  <c r="U81" i="20"/>
  <c r="T67" i="8" l="1"/>
  <c r="B78" i="24"/>
  <c r="D78" i="24"/>
  <c r="C77" i="24"/>
  <c r="H417" i="19"/>
  <c r="F414" i="21" s="1"/>
  <c r="E204" i="19"/>
  <c r="C201" i="21" s="1"/>
  <c r="K133" i="19"/>
  <c r="H62" i="19"/>
  <c r="F59" i="21" s="1"/>
  <c r="E275" i="19"/>
  <c r="C272" i="21" s="1"/>
  <c r="K69" i="8"/>
  <c r="E69" i="8"/>
  <c r="K417" i="19"/>
  <c r="K62" i="19"/>
  <c r="E62" i="19"/>
  <c r="C59" i="21" s="1"/>
  <c r="H346" i="19"/>
  <c r="F343" i="21" s="1"/>
  <c r="E417" i="19"/>
  <c r="C414" i="21" s="1"/>
  <c r="H69" i="8"/>
  <c r="H204" i="19"/>
  <c r="F201" i="21" s="1"/>
  <c r="K204" i="19"/>
  <c r="E133" i="19"/>
  <c r="C130" i="21" s="1"/>
  <c r="H275" i="19"/>
  <c r="F272" i="21" s="1"/>
  <c r="K346" i="19"/>
  <c r="H133" i="19"/>
  <c r="F130" i="21" s="1"/>
  <c r="K275" i="19"/>
  <c r="E346" i="19"/>
  <c r="C343" i="21" s="1"/>
  <c r="M346" i="19"/>
  <c r="J62" i="19"/>
  <c r="J69" i="8"/>
  <c r="G204" i="19"/>
  <c r="E201" i="21" s="1"/>
  <c r="J204" i="19"/>
  <c r="M275" i="19"/>
  <c r="G133" i="19"/>
  <c r="E130" i="21" s="1"/>
  <c r="J346" i="19"/>
  <c r="M133" i="19"/>
  <c r="J417" i="19"/>
  <c r="J275" i="19"/>
  <c r="G69" i="8"/>
  <c r="M69" i="8"/>
  <c r="G275" i="19"/>
  <c r="E272" i="21" s="1"/>
  <c r="G417" i="19"/>
  <c r="E414" i="21" s="1"/>
  <c r="M204" i="19"/>
  <c r="G346" i="19"/>
  <c r="E343" i="21" s="1"/>
  <c r="G62" i="19"/>
  <c r="E59" i="21" s="1"/>
  <c r="M417" i="19"/>
  <c r="O81" i="7"/>
  <c r="J133" i="19"/>
  <c r="M62" i="19"/>
  <c r="F82" i="7"/>
  <c r="N82" i="7" s="1"/>
  <c r="U82" i="20"/>
  <c r="S80" i="7"/>
  <c r="N83" i="20"/>
  <c r="H83" i="20"/>
  <c r="E83" i="20"/>
  <c r="M83" i="20" s="1"/>
  <c r="I132" i="19"/>
  <c r="F345" i="19"/>
  <c r="D342" i="21" s="1"/>
  <c r="L345" i="19"/>
  <c r="I416" i="19"/>
  <c r="L274" i="19"/>
  <c r="F132" i="19"/>
  <c r="D129" i="21" s="1"/>
  <c r="I345" i="19"/>
  <c r="L61" i="19"/>
  <c r="L416" i="19"/>
  <c r="I274" i="19"/>
  <c r="L68" i="8"/>
  <c r="L203" i="19"/>
  <c r="F61" i="19"/>
  <c r="D58" i="21" s="1"/>
  <c r="F203" i="19"/>
  <c r="D200" i="21" s="1"/>
  <c r="F68" i="8"/>
  <c r="I203" i="19"/>
  <c r="F274" i="19"/>
  <c r="D271" i="21" s="1"/>
  <c r="F416" i="19"/>
  <c r="D413" i="21" s="1"/>
  <c r="I61" i="19"/>
  <c r="L132" i="19"/>
  <c r="I68" i="8"/>
  <c r="P81" i="7"/>
  <c r="P82" i="20"/>
  <c r="I82" i="7" s="1"/>
  <c r="M82" i="7" s="1"/>
  <c r="G82" i="7"/>
  <c r="T68" i="8" l="1"/>
  <c r="B79" i="24"/>
  <c r="D79" i="24"/>
  <c r="C78" i="24"/>
  <c r="E276" i="19"/>
  <c r="C273" i="21" s="1"/>
  <c r="K134" i="19"/>
  <c r="K70" i="8"/>
  <c r="E134" i="19"/>
  <c r="C131" i="21" s="1"/>
  <c r="H63" i="19"/>
  <c r="F60" i="21" s="1"/>
  <c r="K63" i="19"/>
  <c r="E418" i="19"/>
  <c r="C415" i="21" s="1"/>
  <c r="E63" i="19"/>
  <c r="C60" i="21" s="1"/>
  <c r="K205" i="19"/>
  <c r="H134" i="19"/>
  <c r="F131" i="21" s="1"/>
  <c r="H70" i="8"/>
  <c r="E205" i="19"/>
  <c r="C202" i="21" s="1"/>
  <c r="H205" i="19"/>
  <c r="F202" i="21" s="1"/>
  <c r="H418" i="19"/>
  <c r="F415" i="21" s="1"/>
  <c r="K418" i="19"/>
  <c r="H276" i="19"/>
  <c r="F273" i="21" s="1"/>
  <c r="K276" i="19"/>
  <c r="K347" i="19"/>
  <c r="E347" i="19"/>
  <c r="C344" i="21" s="1"/>
  <c r="E70" i="8"/>
  <c r="H347" i="19"/>
  <c r="F344" i="21" s="1"/>
  <c r="G134" i="19"/>
  <c r="E131" i="21" s="1"/>
  <c r="M418" i="19"/>
  <c r="G276" i="19"/>
  <c r="E273" i="21" s="1"/>
  <c r="G63" i="19"/>
  <c r="E60" i="21" s="1"/>
  <c r="M205" i="19"/>
  <c r="J418" i="19"/>
  <c r="M134" i="19"/>
  <c r="J347" i="19"/>
  <c r="O82" i="7"/>
  <c r="M347" i="19"/>
  <c r="J134" i="19"/>
  <c r="M70" i="8"/>
  <c r="G418" i="19"/>
  <c r="E415" i="21" s="1"/>
  <c r="J205" i="19"/>
  <c r="M276" i="19"/>
  <c r="J70" i="8"/>
  <c r="G70" i="8"/>
  <c r="J63" i="19"/>
  <c r="J276" i="19"/>
  <c r="M63" i="19"/>
  <c r="G205" i="19"/>
  <c r="E202" i="21" s="1"/>
  <c r="G347" i="19"/>
  <c r="E344" i="21" s="1"/>
  <c r="F83" i="7"/>
  <c r="N83" i="7" s="1"/>
  <c r="U83" i="20"/>
  <c r="P82" i="7"/>
  <c r="S81" i="7"/>
  <c r="L417" i="19"/>
  <c r="L69" i="8"/>
  <c r="I346" i="19"/>
  <c r="I204" i="19"/>
  <c r="F204" i="19"/>
  <c r="D201" i="21" s="1"/>
  <c r="F133" i="19"/>
  <c r="D130" i="21" s="1"/>
  <c r="L346" i="19"/>
  <c r="F275" i="19"/>
  <c r="D272" i="21" s="1"/>
  <c r="I133" i="19"/>
  <c r="F417" i="19"/>
  <c r="D414" i="21" s="1"/>
  <c r="F69" i="8"/>
  <c r="I62" i="19"/>
  <c r="L275" i="19"/>
  <c r="F62" i="19"/>
  <c r="D59" i="21" s="1"/>
  <c r="L204" i="19"/>
  <c r="L62" i="19"/>
  <c r="I275" i="19"/>
  <c r="L133" i="19"/>
  <c r="I417" i="19"/>
  <c r="F346" i="19"/>
  <c r="D343" i="21" s="1"/>
  <c r="I69" i="8"/>
  <c r="P83" i="20"/>
  <c r="I83" i="7" s="1"/>
  <c r="M83" i="7" s="1"/>
  <c r="G83" i="7"/>
  <c r="G84" i="20"/>
  <c r="O84" i="20" s="1"/>
  <c r="H84" i="7" s="1"/>
  <c r="F84" i="20"/>
  <c r="T69" i="8" l="1"/>
  <c r="B80" i="24"/>
  <c r="D80" i="24"/>
  <c r="C79" i="24"/>
  <c r="G85" i="20"/>
  <c r="O85" i="20" s="1"/>
  <c r="H85" i="7" s="1"/>
  <c r="F85" i="20"/>
  <c r="S82" i="7"/>
  <c r="P83" i="7"/>
  <c r="I418" i="19"/>
  <c r="F63" i="19"/>
  <c r="D60" i="21" s="1"/>
  <c r="I205" i="19"/>
  <c r="I276" i="19"/>
  <c r="L418" i="19"/>
  <c r="L134" i="19"/>
  <c r="F347" i="19"/>
  <c r="D344" i="21" s="1"/>
  <c r="F418" i="19"/>
  <c r="D415" i="21" s="1"/>
  <c r="I70" i="8"/>
  <c r="L70" i="8"/>
  <c r="F134" i="19"/>
  <c r="D131" i="21" s="1"/>
  <c r="F70" i="8"/>
  <c r="L205" i="19"/>
  <c r="L276" i="19"/>
  <c r="L63" i="19"/>
  <c r="I63" i="19"/>
  <c r="I347" i="19"/>
  <c r="F276" i="19"/>
  <c r="D273" i="21" s="1"/>
  <c r="F205" i="19"/>
  <c r="D202" i="21" s="1"/>
  <c r="I134" i="19"/>
  <c r="L347" i="19"/>
  <c r="E84" i="20"/>
  <c r="M84" i="20" s="1"/>
  <c r="J419" i="19"/>
  <c r="M135" i="19"/>
  <c r="G277" i="19"/>
  <c r="E274" i="21" s="1"/>
  <c r="G206" i="19"/>
  <c r="E203" i="21" s="1"/>
  <c r="G64" i="19"/>
  <c r="E61" i="21" s="1"/>
  <c r="J64" i="19"/>
  <c r="J348" i="19"/>
  <c r="M206" i="19"/>
  <c r="M348" i="19"/>
  <c r="M64" i="19"/>
  <c r="O83" i="7"/>
  <c r="J135" i="19"/>
  <c r="M71" i="8"/>
  <c r="J71" i="8"/>
  <c r="M419" i="19"/>
  <c r="G348" i="19"/>
  <c r="E345" i="21" s="1"/>
  <c r="J206" i="19"/>
  <c r="G419" i="19"/>
  <c r="E416" i="21" s="1"/>
  <c r="G135" i="19"/>
  <c r="E132" i="21" s="1"/>
  <c r="J277" i="19"/>
  <c r="M277" i="19"/>
  <c r="G71" i="8"/>
  <c r="H84" i="20"/>
  <c r="N84" i="20"/>
  <c r="H135" i="19"/>
  <c r="F132" i="21" s="1"/>
  <c r="K135" i="19"/>
  <c r="E348" i="19"/>
  <c r="C345" i="21" s="1"/>
  <c r="E135" i="19"/>
  <c r="C132" i="21" s="1"/>
  <c r="K206" i="19"/>
  <c r="K348" i="19"/>
  <c r="H277" i="19"/>
  <c r="F274" i="21" s="1"/>
  <c r="E64" i="19"/>
  <c r="C61" i="21" s="1"/>
  <c r="K277" i="19"/>
  <c r="E206" i="19"/>
  <c r="C203" i="21" s="1"/>
  <c r="H419" i="19"/>
  <c r="F416" i="21" s="1"/>
  <c r="H206" i="19"/>
  <c r="F203" i="21" s="1"/>
  <c r="K64" i="19"/>
  <c r="E277" i="19"/>
  <c r="C274" i="21" s="1"/>
  <c r="E71" i="8"/>
  <c r="K419" i="19"/>
  <c r="E419" i="19"/>
  <c r="C416" i="21" s="1"/>
  <c r="H71" i="8"/>
  <c r="H348" i="19"/>
  <c r="F345" i="21" s="1"/>
  <c r="K71" i="8"/>
  <c r="H64" i="19"/>
  <c r="F61" i="21" s="1"/>
  <c r="T70" i="8" l="1"/>
  <c r="C80" i="24"/>
  <c r="E85" i="20"/>
  <c r="M85" i="20" s="1"/>
  <c r="S83" i="7"/>
  <c r="H85" i="20"/>
  <c r="N85" i="20"/>
  <c r="F86" i="20"/>
  <c r="L348" i="19"/>
  <c r="F277" i="19"/>
  <c r="D274" i="21" s="1"/>
  <c r="F348" i="19"/>
  <c r="D345" i="21" s="1"/>
  <c r="F71" i="8"/>
  <c r="I419" i="19"/>
  <c r="F64" i="19"/>
  <c r="D61" i="21" s="1"/>
  <c r="I206" i="19"/>
  <c r="F419" i="19"/>
  <c r="D416" i="21" s="1"/>
  <c r="F135" i="19"/>
  <c r="D132" i="21" s="1"/>
  <c r="I64" i="19"/>
  <c r="I71" i="8"/>
  <c r="L135" i="19"/>
  <c r="I135" i="19"/>
  <c r="L71" i="8"/>
  <c r="L206" i="19"/>
  <c r="I277" i="19"/>
  <c r="L419" i="19"/>
  <c r="F206" i="19"/>
  <c r="D203" i="21" s="1"/>
  <c r="I348" i="19"/>
  <c r="L64" i="19"/>
  <c r="L277" i="19"/>
  <c r="F84" i="7"/>
  <c r="N84" i="7" s="1"/>
  <c r="U84" i="20"/>
  <c r="G84" i="7"/>
  <c r="P84" i="20"/>
  <c r="I84" i="7" s="1"/>
  <c r="M84" i="7" s="1"/>
  <c r="G86" i="20"/>
  <c r="O86" i="20" s="1"/>
  <c r="H86" i="7" s="1"/>
  <c r="T71" i="8" l="1"/>
  <c r="B81" i="24"/>
  <c r="D81" i="24"/>
  <c r="P85" i="20"/>
  <c r="I85" i="7" s="1"/>
  <c r="M85" i="7" s="1"/>
  <c r="G85" i="7"/>
  <c r="H207" i="19"/>
  <c r="F204" i="21" s="1"/>
  <c r="K136" i="19"/>
  <c r="K207" i="19"/>
  <c r="E278" i="19"/>
  <c r="C275" i="21" s="1"/>
  <c r="K65" i="19"/>
  <c r="E65" i="19"/>
  <c r="C62" i="21" s="1"/>
  <c r="K420" i="19"/>
  <c r="H136" i="19"/>
  <c r="F133" i="21" s="1"/>
  <c r="H278" i="19"/>
  <c r="F275" i="21" s="1"/>
  <c r="E207" i="19"/>
  <c r="C204" i="21" s="1"/>
  <c r="H65" i="19"/>
  <c r="F62" i="21" s="1"/>
  <c r="H420" i="19"/>
  <c r="F417" i="21" s="1"/>
  <c r="E72" i="8"/>
  <c r="K278" i="19"/>
  <c r="K349" i="19"/>
  <c r="E420" i="19"/>
  <c r="C417" i="21" s="1"/>
  <c r="H72" i="8"/>
  <c r="K72" i="8"/>
  <c r="H349" i="19"/>
  <c r="F346" i="21" s="1"/>
  <c r="E136" i="19"/>
  <c r="C133" i="21" s="1"/>
  <c r="E349" i="19"/>
  <c r="C346" i="21" s="1"/>
  <c r="M207" i="19"/>
  <c r="J65" i="19"/>
  <c r="J420" i="19"/>
  <c r="G65" i="19"/>
  <c r="E62" i="21" s="1"/>
  <c r="M72" i="8"/>
  <c r="J136" i="19"/>
  <c r="O84" i="7"/>
  <c r="M349" i="19"/>
  <c r="M420" i="19"/>
  <c r="G136" i="19"/>
  <c r="E133" i="21" s="1"/>
  <c r="J207" i="19"/>
  <c r="M65" i="19"/>
  <c r="J278" i="19"/>
  <c r="J72" i="8"/>
  <c r="G349" i="19"/>
  <c r="E346" i="21" s="1"/>
  <c r="G278" i="19"/>
  <c r="E275" i="21" s="1"/>
  <c r="M278" i="19"/>
  <c r="M136" i="19"/>
  <c r="G72" i="8"/>
  <c r="J349" i="19"/>
  <c r="G420" i="19"/>
  <c r="E417" i="21" s="1"/>
  <c r="G207" i="19"/>
  <c r="E204" i="21" s="1"/>
  <c r="N86" i="20"/>
  <c r="H86" i="20"/>
  <c r="P84" i="7"/>
  <c r="E86" i="20"/>
  <c r="M86" i="20" s="1"/>
  <c r="G87" i="20"/>
  <c r="O87" i="20" s="1"/>
  <c r="H87" i="7" s="1"/>
  <c r="F87" i="20"/>
  <c r="F85" i="7"/>
  <c r="N85" i="7" s="1"/>
  <c r="P85" i="7" s="1"/>
  <c r="U85" i="20"/>
  <c r="C81" i="24" l="1"/>
  <c r="F88" i="20"/>
  <c r="G86" i="7"/>
  <c r="P86" i="20"/>
  <c r="I86" i="7" s="1"/>
  <c r="M86" i="7" s="1"/>
  <c r="H87" i="20"/>
  <c r="N87" i="20"/>
  <c r="G88" i="20"/>
  <c r="O88" i="20" s="1"/>
  <c r="H88" i="7" s="1"/>
  <c r="S84" i="7"/>
  <c r="I279" i="19"/>
  <c r="I137" i="19"/>
  <c r="I421" i="19"/>
  <c r="L73" i="8"/>
  <c r="F279" i="19"/>
  <c r="D276" i="21" s="1"/>
  <c r="F421" i="19"/>
  <c r="D418" i="21" s="1"/>
  <c r="F208" i="19"/>
  <c r="D205" i="21" s="1"/>
  <c r="L421" i="19"/>
  <c r="I73" i="8"/>
  <c r="L208" i="19"/>
  <c r="L350" i="19"/>
  <c r="F66" i="19"/>
  <c r="D63" i="21" s="1"/>
  <c r="I208" i="19"/>
  <c r="F73" i="8"/>
  <c r="L279" i="19"/>
  <c r="L66" i="19"/>
  <c r="F137" i="19"/>
  <c r="D134" i="21" s="1"/>
  <c r="I66" i="19"/>
  <c r="L137" i="19"/>
  <c r="F350" i="19"/>
  <c r="D347" i="21" s="1"/>
  <c r="I350" i="19"/>
  <c r="I72" i="8"/>
  <c r="L72" i="8"/>
  <c r="L349" i="19"/>
  <c r="F136" i="19"/>
  <c r="D133" i="21" s="1"/>
  <c r="I278" i="19"/>
  <c r="L278" i="19"/>
  <c r="L420" i="19"/>
  <c r="I136" i="19"/>
  <c r="F349" i="19"/>
  <c r="D346" i="21" s="1"/>
  <c r="F278" i="19"/>
  <c r="D275" i="21" s="1"/>
  <c r="F420" i="19"/>
  <c r="D417" i="21" s="1"/>
  <c r="I207" i="19"/>
  <c r="F207" i="19"/>
  <c r="D204" i="21" s="1"/>
  <c r="L136" i="19"/>
  <c r="F65" i="19"/>
  <c r="D62" i="21" s="1"/>
  <c r="L207" i="19"/>
  <c r="I349" i="19"/>
  <c r="I420" i="19"/>
  <c r="I65" i="19"/>
  <c r="F72" i="8"/>
  <c r="L65" i="19"/>
  <c r="E87" i="20"/>
  <c r="M87" i="20" s="1"/>
  <c r="J279" i="19"/>
  <c r="M279" i="19"/>
  <c r="M421" i="19"/>
  <c r="J208" i="19"/>
  <c r="G137" i="19"/>
  <c r="E134" i="21" s="1"/>
  <c r="M73" i="8"/>
  <c r="O85" i="7"/>
  <c r="S85" i="7" s="1"/>
  <c r="M350" i="19"/>
  <c r="G208" i="19"/>
  <c r="E205" i="21" s="1"/>
  <c r="G350" i="19"/>
  <c r="E347" i="21" s="1"/>
  <c r="J66" i="19"/>
  <c r="J350" i="19"/>
  <c r="G279" i="19"/>
  <c r="E276" i="21" s="1"/>
  <c r="J73" i="8"/>
  <c r="G73" i="8"/>
  <c r="M208" i="19"/>
  <c r="J421" i="19"/>
  <c r="J137" i="19"/>
  <c r="M137" i="19"/>
  <c r="M66" i="19"/>
  <c r="G421" i="19"/>
  <c r="E418" i="21" s="1"/>
  <c r="G66" i="19"/>
  <c r="E63" i="21" s="1"/>
  <c r="F86" i="7"/>
  <c r="N86" i="7" s="1"/>
  <c r="P86" i="7" s="1"/>
  <c r="U86" i="20"/>
  <c r="K137" i="19"/>
  <c r="H350" i="19"/>
  <c r="F347" i="21" s="1"/>
  <c r="E421" i="19"/>
  <c r="C418" i="21" s="1"/>
  <c r="H279" i="19"/>
  <c r="F276" i="21" s="1"/>
  <c r="E66" i="19"/>
  <c r="C63" i="21" s="1"/>
  <c r="K208" i="19"/>
  <c r="H66" i="19"/>
  <c r="F63" i="21" s="1"/>
  <c r="K350" i="19"/>
  <c r="K279" i="19"/>
  <c r="H421" i="19"/>
  <c r="F418" i="21" s="1"/>
  <c r="K73" i="8"/>
  <c r="E137" i="19"/>
  <c r="C134" i="21" s="1"/>
  <c r="E350" i="19"/>
  <c r="C347" i="21" s="1"/>
  <c r="H208" i="19"/>
  <c r="F205" i="21" s="1"/>
  <c r="H137" i="19"/>
  <c r="F134" i="21" s="1"/>
  <c r="H73" i="8"/>
  <c r="E208" i="19"/>
  <c r="C205" i="21" s="1"/>
  <c r="E73" i="8"/>
  <c r="K66" i="19"/>
  <c r="E279" i="19"/>
  <c r="C276" i="21" s="1"/>
  <c r="K421" i="19"/>
  <c r="T72" i="8" l="1"/>
  <c r="T73" i="8"/>
  <c r="G89" i="20"/>
  <c r="O89" i="20" s="1"/>
  <c r="H89" i="7" s="1"/>
  <c r="G87" i="7"/>
  <c r="P87" i="20"/>
  <c r="I87" i="7" s="1"/>
  <c r="M87" i="7" s="1"/>
  <c r="E88" i="20"/>
  <c r="M88" i="20" s="1"/>
  <c r="F138" i="19"/>
  <c r="D135" i="21" s="1"/>
  <c r="I209" i="19"/>
  <c r="F422" i="19"/>
  <c r="D419" i="21" s="1"/>
  <c r="L74" i="8"/>
  <c r="F74" i="8"/>
  <c r="F351" i="19"/>
  <c r="D348" i="21" s="1"/>
  <c r="F209" i="19"/>
  <c r="D206" i="21" s="1"/>
  <c r="L280" i="19"/>
  <c r="L209" i="19"/>
  <c r="I67" i="19"/>
  <c r="L422" i="19"/>
  <c r="I351" i="19"/>
  <c r="I280" i="19"/>
  <c r="F280" i="19"/>
  <c r="D277" i="21" s="1"/>
  <c r="L67" i="19"/>
  <c r="I138" i="19"/>
  <c r="L351" i="19"/>
  <c r="I74" i="8"/>
  <c r="L138" i="19"/>
  <c r="F67" i="19"/>
  <c r="D64" i="21" s="1"/>
  <c r="I422" i="19"/>
  <c r="F87" i="7"/>
  <c r="N87" i="7" s="1"/>
  <c r="P87" i="7" s="1"/>
  <c r="U87" i="20"/>
  <c r="J209" i="19"/>
  <c r="M422" i="19"/>
  <c r="G138" i="19"/>
  <c r="E135" i="21" s="1"/>
  <c r="G67" i="19"/>
  <c r="E64" i="21" s="1"/>
  <c r="M67" i="19"/>
  <c r="M351" i="19"/>
  <c r="M74" i="8"/>
  <c r="G422" i="19"/>
  <c r="E419" i="21" s="1"/>
  <c r="J351" i="19"/>
  <c r="J67" i="19"/>
  <c r="G351" i="19"/>
  <c r="E348" i="21" s="1"/>
  <c r="G209" i="19"/>
  <c r="E206" i="21" s="1"/>
  <c r="O86" i="7"/>
  <c r="S86" i="7" s="1"/>
  <c r="M138" i="19"/>
  <c r="G280" i="19"/>
  <c r="E277" i="21" s="1"/>
  <c r="M209" i="19"/>
  <c r="J422" i="19"/>
  <c r="M280" i="19"/>
  <c r="J138" i="19"/>
  <c r="J280" i="19"/>
  <c r="J74" i="8"/>
  <c r="G74" i="8"/>
  <c r="F89" i="20"/>
  <c r="H67" i="19"/>
  <c r="F64" i="21" s="1"/>
  <c r="E67" i="19"/>
  <c r="C64" i="21" s="1"/>
  <c r="E280" i="19"/>
  <c r="C277" i="21" s="1"/>
  <c r="H138" i="19"/>
  <c r="F135" i="21" s="1"/>
  <c r="H74" i="8"/>
  <c r="H422" i="19"/>
  <c r="F419" i="21" s="1"/>
  <c r="E422" i="19"/>
  <c r="C419" i="21" s="1"/>
  <c r="K209" i="19"/>
  <c r="K138" i="19"/>
  <c r="K74" i="8"/>
  <c r="E74" i="8"/>
  <c r="K351" i="19"/>
  <c r="K280" i="19"/>
  <c r="E209" i="19"/>
  <c r="C206" i="21" s="1"/>
  <c r="K422" i="19"/>
  <c r="E351" i="19"/>
  <c r="C348" i="21" s="1"/>
  <c r="H280" i="19"/>
  <c r="F277" i="21" s="1"/>
  <c r="H209" i="19"/>
  <c r="F206" i="21" s="1"/>
  <c r="H351" i="19"/>
  <c r="F348" i="21" s="1"/>
  <c r="E138" i="19"/>
  <c r="C135" i="21" s="1"/>
  <c r="K67" i="19"/>
  <c r="H88" i="20"/>
  <c r="N88" i="20"/>
  <c r="U88" i="20" l="1"/>
  <c r="F88" i="7"/>
  <c r="N88" i="7" s="1"/>
  <c r="P88" i="7" s="1"/>
  <c r="T74" i="8"/>
  <c r="N89" i="20"/>
  <c r="H89" i="20"/>
  <c r="E89" i="20"/>
  <c r="M89" i="20" s="1"/>
  <c r="P88" i="20"/>
  <c r="I88" i="7" s="1"/>
  <c r="M88" i="7" s="1"/>
  <c r="G88" i="7"/>
  <c r="F90" i="20"/>
  <c r="H281" i="19"/>
  <c r="F278" i="21" s="1"/>
  <c r="E352" i="19"/>
  <c r="C349" i="21" s="1"/>
  <c r="E75" i="8"/>
  <c r="K210" i="19"/>
  <c r="E68" i="19"/>
  <c r="C65" i="21" s="1"/>
  <c r="E423" i="19"/>
  <c r="C420" i="21" s="1"/>
  <c r="K75" i="8"/>
  <c r="K281" i="19"/>
  <c r="K423" i="19"/>
  <c r="H68" i="19"/>
  <c r="F65" i="21" s="1"/>
  <c r="K352" i="19"/>
  <c r="H423" i="19"/>
  <c r="F420" i="21" s="1"/>
  <c r="H139" i="19"/>
  <c r="F136" i="21" s="1"/>
  <c r="E281" i="19"/>
  <c r="C278" i="21" s="1"/>
  <c r="H352" i="19"/>
  <c r="F349" i="21" s="1"/>
  <c r="K139" i="19"/>
  <c r="E210" i="19"/>
  <c r="C207" i="21" s="1"/>
  <c r="E139" i="19"/>
  <c r="C136" i="21" s="1"/>
  <c r="K68" i="19"/>
  <c r="H210" i="19"/>
  <c r="F207" i="21" s="1"/>
  <c r="H75" i="8"/>
  <c r="J281" i="19"/>
  <c r="G281" i="19"/>
  <c r="E278" i="21" s="1"/>
  <c r="G139" i="19"/>
  <c r="E136" i="21" s="1"/>
  <c r="J423" i="19"/>
  <c r="J139" i="19"/>
  <c r="J210" i="19"/>
  <c r="O87" i="7"/>
  <c r="S87" i="7" s="1"/>
  <c r="G68" i="19"/>
  <c r="E65" i="21" s="1"/>
  <c r="G423" i="19"/>
  <c r="E420" i="21" s="1"/>
  <c r="M423" i="19"/>
  <c r="M75" i="8"/>
  <c r="M352" i="19"/>
  <c r="J352" i="19"/>
  <c r="G210" i="19"/>
  <c r="E207" i="21" s="1"/>
  <c r="J75" i="8"/>
  <c r="M210" i="19"/>
  <c r="M68" i="19"/>
  <c r="G352" i="19"/>
  <c r="E349" i="21" s="1"/>
  <c r="G75" i="8"/>
  <c r="M281" i="19"/>
  <c r="M139" i="19"/>
  <c r="J68" i="19"/>
  <c r="L423" i="19"/>
  <c r="I75" i="8"/>
  <c r="L68" i="19"/>
  <c r="L75" i="8"/>
  <c r="F210" i="19"/>
  <c r="D207" i="21" s="1"/>
  <c r="I210" i="19"/>
  <c r="L210" i="19"/>
  <c r="F139" i="19"/>
  <c r="D136" i="21" s="1"/>
  <c r="I68" i="19"/>
  <c r="I281" i="19"/>
  <c r="I423" i="19"/>
  <c r="L352" i="19"/>
  <c r="I139" i="19"/>
  <c r="L281" i="19"/>
  <c r="L139" i="19"/>
  <c r="F75" i="8"/>
  <c r="F281" i="19"/>
  <c r="D278" i="21" s="1"/>
  <c r="F352" i="19"/>
  <c r="D349" i="21" s="1"/>
  <c r="F423" i="19"/>
  <c r="D420" i="21" s="1"/>
  <c r="I352" i="19"/>
  <c r="F68" i="19"/>
  <c r="D65" i="21" s="1"/>
  <c r="G90" i="20"/>
  <c r="O90" i="20" s="1"/>
  <c r="H90" i="7" s="1"/>
  <c r="F89" i="7" l="1"/>
  <c r="N89" i="7" s="1"/>
  <c r="P89" i="7" s="1"/>
  <c r="U89" i="20"/>
  <c r="E90" i="20"/>
  <c r="M90" i="20" s="1"/>
  <c r="G91" i="20"/>
  <c r="O91" i="20" s="1"/>
  <c r="H91" i="7" s="1"/>
  <c r="P89" i="20"/>
  <c r="I89" i="7" s="1"/>
  <c r="M89" i="7" s="1"/>
  <c r="G89" i="7"/>
  <c r="H90" i="20"/>
  <c r="N90" i="20"/>
  <c r="T75" i="8"/>
  <c r="F91" i="20"/>
  <c r="L211" i="19"/>
  <c r="F353" i="19"/>
  <c r="D350" i="21" s="1"/>
  <c r="L76" i="8"/>
  <c r="F211" i="19"/>
  <c r="D208" i="21" s="1"/>
  <c r="I353" i="19"/>
  <c r="L69" i="19"/>
  <c r="I140" i="19"/>
  <c r="I424" i="19"/>
  <c r="I282" i="19"/>
  <c r="L282" i="19"/>
  <c r="F140" i="19"/>
  <c r="D137" i="21" s="1"/>
  <c r="F424" i="19"/>
  <c r="D421" i="21" s="1"/>
  <c r="I76" i="8"/>
  <c r="I69" i="19"/>
  <c r="F76" i="8"/>
  <c r="L353" i="19"/>
  <c r="L140" i="19"/>
  <c r="L424" i="19"/>
  <c r="I211" i="19"/>
  <c r="F282" i="19"/>
  <c r="D279" i="21" s="1"/>
  <c r="F69" i="19"/>
  <c r="D66" i="21" s="1"/>
  <c r="H76" i="8"/>
  <c r="E140" i="19"/>
  <c r="C137" i="21" s="1"/>
  <c r="E76" i="8"/>
  <c r="K424" i="19"/>
  <c r="H69" i="19"/>
  <c r="F66" i="21" s="1"/>
  <c r="E353" i="19"/>
  <c r="C350" i="21" s="1"/>
  <c r="E424" i="19"/>
  <c r="C421" i="21" s="1"/>
  <c r="H424" i="19"/>
  <c r="F421" i="21" s="1"/>
  <c r="E69" i="19"/>
  <c r="C66" i="21" s="1"/>
  <c r="H211" i="19"/>
  <c r="F208" i="21" s="1"/>
  <c r="K140" i="19"/>
  <c r="K353" i="19"/>
  <c r="H282" i="19"/>
  <c r="F279" i="21" s="1"/>
  <c r="E282" i="19"/>
  <c r="C279" i="21" s="1"/>
  <c r="K76" i="8"/>
  <c r="K211" i="19"/>
  <c r="K282" i="19"/>
  <c r="E211" i="19"/>
  <c r="C208" i="21" s="1"/>
  <c r="H140" i="19"/>
  <c r="F137" i="21" s="1"/>
  <c r="K69" i="19"/>
  <c r="H353" i="19"/>
  <c r="F350" i="21" s="1"/>
  <c r="J424" i="19"/>
  <c r="M353" i="19"/>
  <c r="G282" i="19"/>
  <c r="E279" i="21" s="1"/>
  <c r="J140" i="19"/>
  <c r="G69" i="19"/>
  <c r="E66" i="21" s="1"/>
  <c r="M69" i="19"/>
  <c r="J353" i="19"/>
  <c r="G424" i="19"/>
  <c r="E421" i="21" s="1"/>
  <c r="G76" i="8"/>
  <c r="J211" i="19"/>
  <c r="J282" i="19"/>
  <c r="M140" i="19"/>
  <c r="M211" i="19"/>
  <c r="G140" i="19"/>
  <c r="E137" i="21" s="1"/>
  <c r="O88" i="7"/>
  <c r="S88" i="7" s="1"/>
  <c r="M76" i="8"/>
  <c r="J76" i="8"/>
  <c r="M282" i="19"/>
  <c r="J69" i="19"/>
  <c r="M424" i="19"/>
  <c r="G353" i="19"/>
  <c r="E350" i="21" s="1"/>
  <c r="G211" i="19"/>
  <c r="E208" i="21" s="1"/>
  <c r="E283" i="19" l="1"/>
  <c r="C280" i="21" s="1"/>
  <c r="E70" i="19"/>
  <c r="C67" i="21" s="1"/>
  <c r="H354" i="19"/>
  <c r="F351" i="21" s="1"/>
  <c r="K354" i="19"/>
  <c r="E425" i="19"/>
  <c r="C422" i="21" s="1"/>
  <c r="E354" i="19"/>
  <c r="C351" i="21" s="1"/>
  <c r="K141" i="19"/>
  <c r="K70" i="19"/>
  <c r="H70" i="19"/>
  <c r="F67" i="21" s="1"/>
  <c r="K212" i="19"/>
  <c r="H283" i="19"/>
  <c r="F280" i="21" s="1"/>
  <c r="E212" i="19"/>
  <c r="C209" i="21" s="1"/>
  <c r="K425" i="19"/>
  <c r="H212" i="19"/>
  <c r="F209" i="21" s="1"/>
  <c r="K283" i="19"/>
  <c r="E141" i="19"/>
  <c r="C138" i="21" s="1"/>
  <c r="H425" i="19"/>
  <c r="F422" i="21" s="1"/>
  <c r="H141" i="19"/>
  <c r="F138" i="21" s="1"/>
  <c r="M141" i="19"/>
  <c r="J141" i="19"/>
  <c r="J354" i="19"/>
  <c r="O89" i="7"/>
  <c r="S89" i="7" s="1"/>
  <c r="M283" i="19"/>
  <c r="J425" i="19"/>
  <c r="G141" i="19"/>
  <c r="E138" i="21" s="1"/>
  <c r="G283" i="19"/>
  <c r="E280" i="21" s="1"/>
  <c r="M70" i="19"/>
  <c r="G70" i="19"/>
  <c r="E67" i="21" s="1"/>
  <c r="J70" i="19"/>
  <c r="G354" i="19"/>
  <c r="E351" i="21" s="1"/>
  <c r="J283" i="19"/>
  <c r="M425" i="19"/>
  <c r="G425" i="19"/>
  <c r="E422" i="21" s="1"/>
  <c r="M354" i="19"/>
  <c r="J212" i="19"/>
  <c r="M212" i="19"/>
  <c r="G212" i="19"/>
  <c r="E209" i="21" s="1"/>
  <c r="G92" i="20"/>
  <c r="O92" i="20" s="1"/>
  <c r="H92" i="7" s="1"/>
  <c r="N91" i="20"/>
  <c r="H91" i="20"/>
  <c r="F92" i="20"/>
  <c r="U90" i="20"/>
  <c r="F90" i="7"/>
  <c r="N90" i="7" s="1"/>
  <c r="P90" i="7" s="1"/>
  <c r="G90" i="7"/>
  <c r="P90" i="20"/>
  <c r="I90" i="7" s="1"/>
  <c r="M90" i="7" s="1"/>
  <c r="E91" i="20"/>
  <c r="M91" i="20" s="1"/>
  <c r="T76" i="8"/>
  <c r="I283" i="19"/>
  <c r="I70" i="19"/>
  <c r="I354" i="19"/>
  <c r="F354" i="19"/>
  <c r="D351" i="21" s="1"/>
  <c r="I212" i="19"/>
  <c r="F212" i="19"/>
  <c r="D209" i="21" s="1"/>
  <c r="L354" i="19"/>
  <c r="L70" i="19"/>
  <c r="L212" i="19"/>
  <c r="F425" i="19"/>
  <c r="D422" i="21" s="1"/>
  <c r="L283" i="19"/>
  <c r="F70" i="19"/>
  <c r="D67" i="21" s="1"/>
  <c r="I425" i="19"/>
  <c r="L425" i="19"/>
  <c r="L141" i="19"/>
  <c r="I141" i="19"/>
  <c r="F283" i="19"/>
  <c r="D280" i="21" s="1"/>
  <c r="F141" i="19"/>
  <c r="D138" i="21" s="1"/>
  <c r="E426" i="19" l="1"/>
  <c r="C423" i="21" s="1"/>
  <c r="H355" i="19"/>
  <c r="F352" i="21" s="1"/>
  <c r="H284" i="19"/>
  <c r="F281" i="21" s="1"/>
  <c r="K355" i="19"/>
  <c r="E142" i="19"/>
  <c r="C139" i="21" s="1"/>
  <c r="K284" i="19"/>
  <c r="E71" i="19"/>
  <c r="C68" i="21" s="1"/>
  <c r="H71" i="19"/>
  <c r="F68" i="21" s="1"/>
  <c r="K213" i="19"/>
  <c r="E213" i="19"/>
  <c r="C210" i="21" s="1"/>
  <c r="E355" i="19"/>
  <c r="C352" i="21" s="1"/>
  <c r="E284" i="19"/>
  <c r="C281" i="21" s="1"/>
  <c r="K142" i="19"/>
  <c r="K426" i="19"/>
  <c r="H213" i="19"/>
  <c r="F210" i="21" s="1"/>
  <c r="H142" i="19"/>
  <c r="F139" i="21" s="1"/>
  <c r="H426" i="19"/>
  <c r="F423" i="21" s="1"/>
  <c r="K71" i="19"/>
  <c r="M142" i="19"/>
  <c r="M213" i="19"/>
  <c r="J142" i="19"/>
  <c r="O90" i="7"/>
  <c r="S90" i="7" s="1"/>
  <c r="G213" i="19"/>
  <c r="E210" i="21" s="1"/>
  <c r="J284" i="19"/>
  <c r="G284" i="19"/>
  <c r="E281" i="21" s="1"/>
  <c r="J213" i="19"/>
  <c r="M284" i="19"/>
  <c r="G355" i="19"/>
  <c r="E352" i="21" s="1"/>
  <c r="G142" i="19"/>
  <c r="E139" i="21" s="1"/>
  <c r="M426" i="19"/>
  <c r="M71" i="19"/>
  <c r="G426" i="19"/>
  <c r="E423" i="21" s="1"/>
  <c r="G71" i="19"/>
  <c r="E68" i="21" s="1"/>
  <c r="J355" i="19"/>
  <c r="J426" i="19"/>
  <c r="J71" i="19"/>
  <c r="M355" i="19"/>
  <c r="G93" i="20"/>
  <c r="O93" i="20" s="1"/>
  <c r="H93" i="7" s="1"/>
  <c r="E92" i="20"/>
  <c r="M92" i="20" s="1"/>
  <c r="P91" i="20"/>
  <c r="I91" i="7" s="1"/>
  <c r="M91" i="7" s="1"/>
  <c r="G91" i="7"/>
  <c r="F93" i="20"/>
  <c r="N92" i="20"/>
  <c r="H92" i="20"/>
  <c r="L71" i="19"/>
  <c r="F355" i="19"/>
  <c r="D352" i="21" s="1"/>
  <c r="L284" i="19"/>
  <c r="F71" i="19"/>
  <c r="D68" i="21" s="1"/>
  <c r="F213" i="19"/>
  <c r="D210" i="21" s="1"/>
  <c r="I426" i="19"/>
  <c r="F142" i="19"/>
  <c r="D139" i="21" s="1"/>
  <c r="F284" i="19"/>
  <c r="D281" i="21" s="1"/>
  <c r="L142" i="19"/>
  <c r="I213" i="19"/>
  <c r="I355" i="19"/>
  <c r="I142" i="19"/>
  <c r="I284" i="19"/>
  <c r="L426" i="19"/>
  <c r="L213" i="19"/>
  <c r="I71" i="19"/>
  <c r="L355" i="19"/>
  <c r="F426" i="19"/>
  <c r="D423" i="21" s="1"/>
  <c r="F91" i="7"/>
  <c r="N91" i="7" s="1"/>
  <c r="P91" i="7" s="1"/>
  <c r="U91" i="20"/>
  <c r="P92" i="20" l="1"/>
  <c r="I92" i="7" s="1"/>
  <c r="M92" i="7" s="1"/>
  <c r="G92" i="7"/>
  <c r="G94" i="20"/>
  <c r="O94" i="20" s="1"/>
  <c r="H94" i="7" s="1"/>
  <c r="N93" i="20"/>
  <c r="H93" i="20"/>
  <c r="E93" i="20"/>
  <c r="M93" i="20" s="1"/>
  <c r="M427" i="19"/>
  <c r="G427" i="19"/>
  <c r="E424" i="21" s="1"/>
  <c r="J285" i="19"/>
  <c r="J72" i="19"/>
  <c r="J143" i="19"/>
  <c r="G143" i="19"/>
  <c r="E140" i="21" s="1"/>
  <c r="J356" i="19"/>
  <c r="M72" i="19"/>
  <c r="M285" i="19"/>
  <c r="M214" i="19"/>
  <c r="J214" i="19"/>
  <c r="G285" i="19"/>
  <c r="E282" i="21" s="1"/>
  <c r="M356" i="19"/>
  <c r="G356" i="19"/>
  <c r="E353" i="21" s="1"/>
  <c r="O91" i="7"/>
  <c r="S91" i="7" s="1"/>
  <c r="M143" i="19"/>
  <c r="G72" i="19"/>
  <c r="E69" i="21" s="1"/>
  <c r="J427" i="19"/>
  <c r="G214" i="19"/>
  <c r="E211" i="21" s="1"/>
  <c r="L285" i="19"/>
  <c r="F356" i="19"/>
  <c r="D353" i="21" s="1"/>
  <c r="I356" i="19"/>
  <c r="F143" i="19"/>
  <c r="D140" i="21" s="1"/>
  <c r="F214" i="19"/>
  <c r="D211" i="21" s="1"/>
  <c r="L143" i="19"/>
  <c r="I427" i="19"/>
  <c r="I72" i="19"/>
  <c r="F72" i="19"/>
  <c r="D69" i="21" s="1"/>
  <c r="F427" i="19"/>
  <c r="D424" i="21" s="1"/>
  <c r="I285" i="19"/>
  <c r="I214" i="19"/>
  <c r="L356" i="19"/>
  <c r="L427" i="19"/>
  <c r="L72" i="19"/>
  <c r="L214" i="19"/>
  <c r="F285" i="19"/>
  <c r="D282" i="21" s="1"/>
  <c r="I143" i="19"/>
  <c r="H285" i="19"/>
  <c r="F282" i="21" s="1"/>
  <c r="H427" i="19"/>
  <c r="F424" i="21" s="1"/>
  <c r="K285" i="19"/>
  <c r="H214" i="19"/>
  <c r="F211" i="21" s="1"/>
  <c r="H356" i="19"/>
  <c r="F353" i="21" s="1"/>
  <c r="K214" i="19"/>
  <c r="E356" i="19"/>
  <c r="C353" i="21" s="1"/>
  <c r="K143" i="19"/>
  <c r="H72" i="19"/>
  <c r="F69" i="21" s="1"/>
  <c r="E285" i="19"/>
  <c r="C282" i="21" s="1"/>
  <c r="E214" i="19"/>
  <c r="C211" i="21" s="1"/>
  <c r="E72" i="19"/>
  <c r="C69" i="21" s="1"/>
  <c r="K427" i="19"/>
  <c r="K356" i="19"/>
  <c r="H143" i="19"/>
  <c r="F140" i="21" s="1"/>
  <c r="K72" i="19"/>
  <c r="E427" i="19"/>
  <c r="C424" i="21" s="1"/>
  <c r="E143" i="19"/>
  <c r="C140" i="21" s="1"/>
  <c r="F94" i="20"/>
  <c r="F92" i="7"/>
  <c r="N92" i="7" s="1"/>
  <c r="P92" i="7" s="1"/>
  <c r="U92" i="20"/>
  <c r="F93" i="7" l="1"/>
  <c r="N93" i="7" s="1"/>
  <c r="P93" i="7" s="1"/>
  <c r="U93" i="20"/>
  <c r="P93" i="20"/>
  <c r="I93" i="7" s="1"/>
  <c r="M93" i="7" s="1"/>
  <c r="G93" i="7"/>
  <c r="G95" i="20"/>
  <c r="O95" i="20" s="1"/>
  <c r="H95" i="7" s="1"/>
  <c r="H94" i="20"/>
  <c r="N94" i="20"/>
  <c r="F286" i="19"/>
  <c r="D283" i="21" s="1"/>
  <c r="L357" i="19"/>
  <c r="L215" i="19"/>
  <c r="F357" i="19"/>
  <c r="D354" i="21" s="1"/>
  <c r="F73" i="19"/>
  <c r="D70" i="21" s="1"/>
  <c r="I286" i="19"/>
  <c r="I215" i="19"/>
  <c r="L286" i="19"/>
  <c r="F215" i="19"/>
  <c r="D212" i="21" s="1"/>
  <c r="F144" i="19"/>
  <c r="D141" i="21" s="1"/>
  <c r="L144" i="19"/>
  <c r="I428" i="19"/>
  <c r="I73" i="19"/>
  <c r="L428" i="19"/>
  <c r="F428" i="19"/>
  <c r="D425" i="21" s="1"/>
  <c r="L73" i="19"/>
  <c r="I144" i="19"/>
  <c r="I357" i="19"/>
  <c r="M215" i="19"/>
  <c r="M428" i="19"/>
  <c r="G144" i="19"/>
  <c r="E141" i="21" s="1"/>
  <c r="M357" i="19"/>
  <c r="M144" i="19"/>
  <c r="M286" i="19"/>
  <c r="G286" i="19"/>
  <c r="E283" i="21" s="1"/>
  <c r="G428" i="19"/>
  <c r="E425" i="21" s="1"/>
  <c r="J357" i="19"/>
  <c r="J144" i="19"/>
  <c r="G215" i="19"/>
  <c r="E212" i="21" s="1"/>
  <c r="G357" i="19"/>
  <c r="E354" i="21" s="1"/>
  <c r="J286" i="19"/>
  <c r="J73" i="19"/>
  <c r="O92" i="7"/>
  <c r="S92" i="7" s="1"/>
  <c r="J215" i="19"/>
  <c r="J428" i="19"/>
  <c r="G73" i="19"/>
  <c r="E70" i="21" s="1"/>
  <c r="M73" i="19"/>
  <c r="E94" i="20"/>
  <c r="M94" i="20" s="1"/>
  <c r="F95" i="20"/>
  <c r="K428" i="19"/>
  <c r="K73" i="19"/>
  <c r="E215" i="19"/>
  <c r="C212" i="21" s="1"/>
  <c r="E428" i="19"/>
  <c r="C425" i="21" s="1"/>
  <c r="E357" i="19"/>
  <c r="C354" i="21" s="1"/>
  <c r="H144" i="19"/>
  <c r="F141" i="21" s="1"/>
  <c r="H428" i="19"/>
  <c r="F425" i="21" s="1"/>
  <c r="K144" i="19"/>
  <c r="H215" i="19"/>
  <c r="F212" i="21" s="1"/>
  <c r="E144" i="19"/>
  <c r="C141" i="21" s="1"/>
  <c r="K286" i="19"/>
  <c r="K215" i="19"/>
  <c r="E73" i="19"/>
  <c r="C70" i="21" s="1"/>
  <c r="H357" i="19"/>
  <c r="F354" i="21" s="1"/>
  <c r="E286" i="19"/>
  <c r="C283" i="21" s="1"/>
  <c r="K357" i="19"/>
  <c r="H73" i="19"/>
  <c r="F70" i="21" s="1"/>
  <c r="H286" i="19"/>
  <c r="F283" i="21" s="1"/>
  <c r="E95" i="20" l="1"/>
  <c r="M95" i="20" s="1"/>
  <c r="G96" i="20"/>
  <c r="O96" i="20" s="1"/>
  <c r="H96" i="7" s="1"/>
  <c r="H74" i="19"/>
  <c r="F71" i="21" s="1"/>
  <c r="H287" i="19"/>
  <c r="F284" i="21" s="1"/>
  <c r="K216" i="19"/>
  <c r="E74" i="19"/>
  <c r="C71" i="21" s="1"/>
  <c r="E287" i="19"/>
  <c r="C284" i="21" s="1"/>
  <c r="K74" i="19"/>
  <c r="K429" i="19"/>
  <c r="H216" i="19"/>
  <c r="F213" i="21" s="1"/>
  <c r="H429" i="19"/>
  <c r="F426" i="21" s="1"/>
  <c r="H145" i="19"/>
  <c r="F142" i="21" s="1"/>
  <c r="E429" i="19"/>
  <c r="C426" i="21" s="1"/>
  <c r="K145" i="19"/>
  <c r="E358" i="19"/>
  <c r="C355" i="21" s="1"/>
  <c r="K287" i="19"/>
  <c r="E216" i="19"/>
  <c r="C213" i="21" s="1"/>
  <c r="K358" i="19"/>
  <c r="E145" i="19"/>
  <c r="C142" i="21" s="1"/>
  <c r="H358" i="19"/>
  <c r="F355" i="21" s="1"/>
  <c r="M216" i="19"/>
  <c r="J287" i="19"/>
  <c r="G74" i="19"/>
  <c r="E71" i="21" s="1"/>
  <c r="G287" i="19"/>
  <c r="E284" i="21" s="1"/>
  <c r="J145" i="19"/>
  <c r="G145" i="19"/>
  <c r="E142" i="21" s="1"/>
  <c r="M287" i="19"/>
  <c r="M145" i="19"/>
  <c r="J358" i="19"/>
  <c r="M429" i="19"/>
  <c r="G358" i="19"/>
  <c r="E355" i="21" s="1"/>
  <c r="J74" i="19"/>
  <c r="G429" i="19"/>
  <c r="E426" i="21" s="1"/>
  <c r="O93" i="7"/>
  <c r="S93" i="7" s="1"/>
  <c r="J216" i="19"/>
  <c r="M74" i="19"/>
  <c r="J429" i="19"/>
  <c r="G216" i="19"/>
  <c r="E213" i="21" s="1"/>
  <c r="M358" i="19"/>
  <c r="F96" i="20"/>
  <c r="P94" i="20"/>
  <c r="I94" i="7" s="1"/>
  <c r="M94" i="7" s="1"/>
  <c r="G94" i="7"/>
  <c r="F94" i="7"/>
  <c r="N94" i="7" s="1"/>
  <c r="P94" i="7" s="1"/>
  <c r="U94" i="20"/>
  <c r="H95" i="20"/>
  <c r="N95" i="20"/>
  <c r="F74" i="19"/>
  <c r="D71" i="21" s="1"/>
  <c r="I145" i="19"/>
  <c r="L145" i="19"/>
  <c r="F429" i="19"/>
  <c r="D426" i="21" s="1"/>
  <c r="I287" i="19"/>
  <c r="L287" i="19"/>
  <c r="L429" i="19"/>
  <c r="I216" i="19"/>
  <c r="L74" i="19"/>
  <c r="L358" i="19"/>
  <c r="I429" i="19"/>
  <c r="F216" i="19"/>
  <c r="D213" i="21" s="1"/>
  <c r="I74" i="19"/>
  <c r="F145" i="19"/>
  <c r="D142" i="21" s="1"/>
  <c r="F287" i="19"/>
  <c r="D284" i="21" s="1"/>
  <c r="F358" i="19"/>
  <c r="D355" i="21" s="1"/>
  <c r="L216" i="19"/>
  <c r="I358" i="19"/>
  <c r="F146" i="19" l="1"/>
  <c r="D143" i="21" s="1"/>
  <c r="I217" i="19"/>
  <c r="F75" i="19"/>
  <c r="D72" i="21" s="1"/>
  <c r="L359" i="19"/>
  <c r="F430" i="19"/>
  <c r="D427" i="21" s="1"/>
  <c r="F359" i="19"/>
  <c r="D356" i="21" s="1"/>
  <c r="L217" i="19"/>
  <c r="L146" i="19"/>
  <c r="F217" i="19"/>
  <c r="D214" i="21" s="1"/>
  <c r="F288" i="19"/>
  <c r="D285" i="21" s="1"/>
  <c r="I359" i="19"/>
  <c r="I430" i="19"/>
  <c r="I288" i="19"/>
  <c r="I75" i="19"/>
  <c r="L288" i="19"/>
  <c r="L75" i="19"/>
  <c r="L430" i="19"/>
  <c r="I146" i="19"/>
  <c r="H96" i="20"/>
  <c r="N96" i="20"/>
  <c r="G97" i="20"/>
  <c r="O97" i="20" s="1"/>
  <c r="H97" i="7" s="1"/>
  <c r="G75" i="19"/>
  <c r="E72" i="21" s="1"/>
  <c r="J217" i="19"/>
  <c r="M288" i="19"/>
  <c r="J359" i="19"/>
  <c r="J288" i="19"/>
  <c r="G430" i="19"/>
  <c r="E427" i="21" s="1"/>
  <c r="M359" i="19"/>
  <c r="G359" i="19"/>
  <c r="E356" i="21" s="1"/>
  <c r="M75" i="19"/>
  <c r="J75" i="19"/>
  <c r="G217" i="19"/>
  <c r="E214" i="21" s="1"/>
  <c r="G288" i="19"/>
  <c r="E285" i="21" s="1"/>
  <c r="M430" i="19"/>
  <c r="J430" i="19"/>
  <c r="J146" i="19"/>
  <c r="G146" i="19"/>
  <c r="E143" i="21" s="1"/>
  <c r="M146" i="19"/>
  <c r="O94" i="7"/>
  <c r="S94" i="7" s="1"/>
  <c r="M217" i="19"/>
  <c r="E288" i="19"/>
  <c r="C285" i="21" s="1"/>
  <c r="E217" i="19"/>
  <c r="C214" i="21" s="1"/>
  <c r="K75" i="19"/>
  <c r="E359" i="19"/>
  <c r="C356" i="21" s="1"/>
  <c r="H217" i="19"/>
  <c r="F214" i="21" s="1"/>
  <c r="K217" i="19"/>
  <c r="E146" i="19"/>
  <c r="C143" i="21" s="1"/>
  <c r="H146" i="19"/>
  <c r="F143" i="21" s="1"/>
  <c r="K146" i="19"/>
  <c r="E75" i="19"/>
  <c r="C72" i="21" s="1"/>
  <c r="K359" i="19"/>
  <c r="K430" i="19"/>
  <c r="E430" i="19"/>
  <c r="C427" i="21" s="1"/>
  <c r="K288" i="19"/>
  <c r="H288" i="19"/>
  <c r="F285" i="21" s="1"/>
  <c r="H430" i="19"/>
  <c r="F427" i="21" s="1"/>
  <c r="H359" i="19"/>
  <c r="F356" i="21" s="1"/>
  <c r="H75" i="19"/>
  <c r="F72" i="21" s="1"/>
  <c r="F97" i="20"/>
  <c r="E96" i="20"/>
  <c r="M96" i="20" s="1"/>
  <c r="G95" i="7"/>
  <c r="P95" i="20"/>
  <c r="I95" i="7" s="1"/>
  <c r="M95" i="7" s="1"/>
  <c r="U95" i="20"/>
  <c r="F95" i="7"/>
  <c r="N95" i="7" s="1"/>
  <c r="P95" i="7" s="1"/>
  <c r="O95" i="7" l="1"/>
  <c r="S95" i="7" s="1"/>
  <c r="U96" i="20"/>
  <c r="F96" i="7"/>
  <c r="N96" i="7" s="1"/>
  <c r="P96" i="7" s="1"/>
  <c r="E97" i="20"/>
  <c r="M97" i="20" s="1"/>
  <c r="G98" i="20"/>
  <c r="O98" i="20" s="1"/>
  <c r="H98" i="7" s="1"/>
  <c r="P96" i="20"/>
  <c r="I96" i="7" s="1"/>
  <c r="M96" i="7" s="1"/>
  <c r="G96" i="7"/>
  <c r="H97" i="20"/>
  <c r="N97" i="20"/>
  <c r="F98" i="20"/>
  <c r="U97" i="20" l="1"/>
  <c r="F97" i="7"/>
  <c r="N97" i="7" s="1"/>
  <c r="P97" i="7" s="1"/>
  <c r="O96" i="7"/>
  <c r="S96" i="7" s="1"/>
  <c r="G99" i="20"/>
  <c r="O99" i="20" s="1"/>
  <c r="H99" i="7" s="1"/>
  <c r="E98" i="20"/>
  <c r="M98" i="20" s="1"/>
  <c r="G97" i="7"/>
  <c r="P97" i="20"/>
  <c r="I97" i="7" s="1"/>
  <c r="M97" i="7" s="1"/>
  <c r="N98" i="20"/>
  <c r="H98" i="20"/>
  <c r="F99" i="20"/>
  <c r="N99" i="20" l="1"/>
  <c r="H99" i="20"/>
  <c r="U98" i="20"/>
  <c r="F98" i="7"/>
  <c r="N98" i="7" s="1"/>
  <c r="P98" i="7" s="1"/>
  <c r="F100" i="20"/>
  <c r="E99" i="20"/>
  <c r="M99" i="20" s="1"/>
  <c r="G100" i="20"/>
  <c r="O100" i="20" s="1"/>
  <c r="H100" i="7" s="1"/>
  <c r="P98" i="20"/>
  <c r="I98" i="7" s="1"/>
  <c r="M98" i="7" s="1"/>
  <c r="G98" i="7"/>
  <c r="O97" i="7"/>
  <c r="S97" i="7" s="1"/>
  <c r="O98" i="7" l="1"/>
  <c r="S98" i="7" s="1"/>
  <c r="E100" i="20"/>
  <c r="M100" i="20" s="1"/>
  <c r="N100" i="20"/>
  <c r="H100" i="20"/>
  <c r="F101" i="20"/>
  <c r="G101" i="20"/>
  <c r="O101" i="20" s="1"/>
  <c r="H101" i="7" s="1"/>
  <c r="F99" i="7"/>
  <c r="N99" i="7" s="1"/>
  <c r="P99" i="7" s="1"/>
  <c r="U99" i="20"/>
  <c r="G99" i="7"/>
  <c r="P99" i="20"/>
  <c r="I99" i="7" s="1"/>
  <c r="M99" i="7" s="1"/>
  <c r="O99" i="7" l="1"/>
  <c r="S99" i="7" s="1"/>
  <c r="G100" i="7"/>
  <c r="P100" i="20"/>
  <c r="I100" i="7" s="1"/>
  <c r="M100" i="7" s="1"/>
  <c r="G102" i="20"/>
  <c r="O102" i="20" s="1"/>
  <c r="H102" i="7" s="1"/>
  <c r="F102" i="20"/>
  <c r="F100" i="7"/>
  <c r="N100" i="7" s="1"/>
  <c r="P100" i="7" s="1"/>
  <c r="U100" i="20"/>
  <c r="H101" i="20"/>
  <c r="N101" i="20"/>
  <c r="E101" i="20"/>
  <c r="M101" i="20" s="1"/>
  <c r="E102" i="20" l="1"/>
  <c r="M102" i="20" s="1"/>
  <c r="G103" i="20"/>
  <c r="O103" i="20" s="1"/>
  <c r="H103" i="7" s="1"/>
  <c r="G104" i="20"/>
  <c r="O104" i="20" s="1"/>
  <c r="H104" i="7" s="1"/>
  <c r="H102" i="20"/>
  <c r="N102" i="20"/>
  <c r="P101" i="20"/>
  <c r="I101" i="7" s="1"/>
  <c r="M101" i="7" s="1"/>
  <c r="G101" i="7"/>
  <c r="O100" i="7"/>
  <c r="S100" i="7" s="1"/>
  <c r="F104" i="20"/>
  <c r="F103" i="20"/>
  <c r="F101" i="7"/>
  <c r="N101" i="7" s="1"/>
  <c r="P101" i="7" s="1"/>
  <c r="U101" i="20"/>
  <c r="O101" i="7" l="1"/>
  <c r="S101" i="7" s="1"/>
  <c r="G102" i="7"/>
  <c r="P102" i="20"/>
  <c r="I102" i="7" s="1"/>
  <c r="M102" i="7" s="1"/>
  <c r="H103" i="20"/>
  <c r="N103" i="20"/>
  <c r="N104" i="20"/>
  <c r="H104" i="20"/>
  <c r="E103" i="20"/>
  <c r="M103" i="20" s="1"/>
  <c r="E104" i="20"/>
  <c r="M104" i="20" s="1"/>
  <c r="F102" i="7"/>
  <c r="N102" i="7" s="1"/>
  <c r="P102" i="7" s="1"/>
  <c r="U102" i="20"/>
  <c r="F104" i="7" l="1"/>
  <c r="N104" i="7" s="1"/>
  <c r="P104" i="7" s="1"/>
  <c r="U104" i="20"/>
  <c r="U103" i="20"/>
  <c r="F103" i="7"/>
  <c r="N103" i="7" s="1"/>
  <c r="P103" i="7" s="1"/>
  <c r="G104" i="7"/>
  <c r="P104" i="20"/>
  <c r="I104" i="7" s="1"/>
  <c r="M104" i="7" s="1"/>
  <c r="G103" i="7"/>
  <c r="P103" i="20"/>
  <c r="I103" i="7" s="1"/>
  <c r="M103" i="7" s="1"/>
  <c r="O102" i="7"/>
  <c r="S102" i="7" s="1"/>
  <c r="O103" i="7" l="1"/>
  <c r="S103" i="7" s="1"/>
  <c r="O104" i="7"/>
  <c r="S104" i="7" s="1"/>
  <c r="AB77" i="23" l="1"/>
  <c r="T77" i="23"/>
  <c r="P77" i="23" s="1"/>
  <c r="AC66" i="23"/>
  <c r="U66" i="23"/>
  <c r="T53" i="23"/>
  <c r="AB53" i="23"/>
  <c r="U42" i="23"/>
  <c r="AC42" i="23"/>
  <c r="U10" i="23"/>
  <c r="AC10" i="23"/>
  <c r="AC71" i="23"/>
  <c r="U71" i="23"/>
  <c r="AC55" i="23"/>
  <c r="U55" i="23"/>
  <c r="Q55" i="23" s="1"/>
  <c r="AC39" i="23"/>
  <c r="U39" i="23"/>
  <c r="AC7" i="23"/>
  <c r="U7" i="23"/>
  <c r="Q7" i="23" s="1"/>
  <c r="AC76" i="23"/>
  <c r="U76" i="23"/>
  <c r="AB71" i="23"/>
  <c r="T71" i="23"/>
  <c r="P71" i="23" s="1"/>
  <c r="T63" i="23"/>
  <c r="AB63" i="23"/>
  <c r="AC60" i="23"/>
  <c r="U60" i="23"/>
  <c r="Q60" i="23" s="1"/>
  <c r="S50" i="23"/>
  <c r="O50" i="23" s="1"/>
  <c r="AA50" i="23"/>
  <c r="U44" i="23"/>
  <c r="AC44" i="23"/>
  <c r="S34" i="23"/>
  <c r="AA34" i="23"/>
  <c r="AB7" i="23"/>
  <c r="T7" i="23"/>
  <c r="P7" i="23" s="1"/>
  <c r="U81" i="23"/>
  <c r="AC81" i="23"/>
  <c r="AC73" i="23"/>
  <c r="U73" i="23"/>
  <c r="Q73" i="23" s="1"/>
  <c r="AB68" i="23"/>
  <c r="T68" i="23"/>
  <c r="AB60" i="23"/>
  <c r="T60" i="23"/>
  <c r="P60" i="23" s="1"/>
  <c r="AC49" i="23"/>
  <c r="U49" i="23"/>
  <c r="AC41" i="23"/>
  <c r="U41" i="23"/>
  <c r="Q41" i="23" s="1"/>
  <c r="AC33" i="23"/>
  <c r="U33" i="23"/>
  <c r="AA23" i="23"/>
  <c r="S23" i="23"/>
  <c r="O23" i="23" s="1"/>
  <c r="S7" i="23"/>
  <c r="AA7" i="23"/>
  <c r="AA2" i="23"/>
  <c r="S2" i="23"/>
  <c r="AB81" i="23"/>
  <c r="T81" i="23"/>
  <c r="U78" i="23"/>
  <c r="AC78" i="23"/>
  <c r="S76" i="23"/>
  <c r="AA76" i="23"/>
  <c r="T73" i="23"/>
  <c r="AB73" i="23"/>
  <c r="AC70" i="23"/>
  <c r="U70" i="23"/>
  <c r="S68" i="23"/>
  <c r="AA68" i="23"/>
  <c r="T65" i="23"/>
  <c r="AB65" i="23"/>
  <c r="U62" i="23"/>
  <c r="AC62" i="23"/>
  <c r="S60" i="23"/>
  <c r="AA60" i="23"/>
  <c r="AB57" i="23"/>
  <c r="T57" i="23"/>
  <c r="P57" i="23" s="1"/>
  <c r="AC54" i="23"/>
  <c r="U54" i="23"/>
  <c r="S52" i="23"/>
  <c r="AA52" i="23"/>
  <c r="T49" i="23"/>
  <c r="AB49" i="23"/>
  <c r="U46" i="23"/>
  <c r="AC46" i="23"/>
  <c r="S44" i="23"/>
  <c r="AA44" i="23"/>
  <c r="AB41" i="23"/>
  <c r="T41" i="23"/>
  <c r="P41" i="23" s="1"/>
  <c r="AC38" i="23"/>
  <c r="U38" i="23"/>
  <c r="S36" i="23"/>
  <c r="AA36" i="23"/>
  <c r="T33" i="23"/>
  <c r="AB33" i="23"/>
  <c r="AC30" i="23"/>
  <c r="U30" i="23"/>
  <c r="S28" i="23"/>
  <c r="AA28" i="23"/>
  <c r="AB25" i="23"/>
  <c r="T25" i="23"/>
  <c r="P25" i="23" s="1"/>
  <c r="U22" i="23"/>
  <c r="Q22" i="23" s="1"/>
  <c r="AC22" i="23"/>
  <c r="AA20" i="23"/>
  <c r="S20" i="23"/>
  <c r="O20" i="23" s="1"/>
  <c r="T17" i="23"/>
  <c r="AB17" i="23"/>
  <c r="U14" i="23"/>
  <c r="AC14" i="23"/>
  <c r="AA12" i="23"/>
  <c r="S12" i="23"/>
  <c r="O12" i="23" s="1"/>
  <c r="AB9" i="23"/>
  <c r="T9" i="23"/>
  <c r="P9" i="23" s="1"/>
  <c r="AC6" i="23"/>
  <c r="U6" i="23"/>
  <c r="S4" i="23"/>
  <c r="AA4" i="23"/>
  <c r="AC74" i="23"/>
  <c r="U74" i="23"/>
  <c r="Q74" i="23" s="1"/>
  <c r="T61" i="23"/>
  <c r="AB61" i="23"/>
  <c r="AA48" i="23"/>
  <c r="S48" i="23"/>
  <c r="O48" i="23" s="1"/>
  <c r="T37" i="23"/>
  <c r="AB37" i="23"/>
  <c r="AA32" i="23"/>
  <c r="S32" i="23"/>
  <c r="U26" i="23"/>
  <c r="AC26" i="23"/>
  <c r="AC18" i="23"/>
  <c r="U18" i="23"/>
  <c r="Q18" i="23" s="1"/>
  <c r="T13" i="23"/>
  <c r="AB13" i="23"/>
  <c r="T66" i="23"/>
  <c r="AB66" i="23"/>
  <c r="S53" i="23"/>
  <c r="AA53" i="23"/>
  <c r="AB42" i="23"/>
  <c r="T42" i="23"/>
  <c r="AC31" i="23"/>
  <c r="U31" i="23"/>
  <c r="Q31" i="23" s="1"/>
  <c r="U23" i="23"/>
  <c r="Q23" i="23" s="1"/>
  <c r="AC23" i="23"/>
  <c r="T10" i="23"/>
  <c r="AB10" i="23"/>
  <c r="T79" i="23"/>
  <c r="AB79" i="23"/>
  <c r="U68" i="23"/>
  <c r="AC68" i="23"/>
  <c r="T55" i="23"/>
  <c r="P55" i="23" s="1"/>
  <c r="AB55" i="23"/>
  <c r="S42" i="23"/>
  <c r="AA42" i="23"/>
  <c r="U28" i="23"/>
  <c r="AC28" i="23"/>
  <c r="S10" i="23"/>
  <c r="AA10" i="23"/>
  <c r="AA79" i="23"/>
  <c r="S79" i="23"/>
  <c r="U65" i="23"/>
  <c r="AC65" i="23"/>
  <c r="S55" i="23"/>
  <c r="AA55" i="23"/>
  <c r="S47" i="23"/>
  <c r="AA47" i="23"/>
  <c r="AB36" i="23"/>
  <c r="T36" i="23"/>
  <c r="P36" i="23" s="1"/>
  <c r="AB28" i="23"/>
  <c r="T28" i="23"/>
  <c r="U17" i="23"/>
  <c r="AC17" i="23"/>
  <c r="AC9" i="23"/>
  <c r="U9" i="23"/>
  <c r="AC2" i="23"/>
  <c r="U2" i="23"/>
  <c r="AA81" i="23"/>
  <c r="S81" i="23"/>
  <c r="T78" i="23"/>
  <c r="AB78" i="23"/>
  <c r="AC75" i="23"/>
  <c r="U75" i="23"/>
  <c r="Q75" i="23" s="1"/>
  <c r="AA73" i="23"/>
  <c r="S73" i="23"/>
  <c r="T70" i="23"/>
  <c r="AB70" i="23"/>
  <c r="U67" i="23"/>
  <c r="AC67" i="23"/>
  <c r="AA65" i="23"/>
  <c r="S65" i="23"/>
  <c r="T62" i="23"/>
  <c r="P62" i="23" s="1"/>
  <c r="AB62" i="23"/>
  <c r="U59" i="23"/>
  <c r="AC59" i="23"/>
  <c r="S57" i="23"/>
  <c r="AA57" i="23"/>
  <c r="AB54" i="23"/>
  <c r="T54" i="23"/>
  <c r="AC51" i="23"/>
  <c r="U51" i="23"/>
  <c r="Q51" i="23" s="1"/>
  <c r="AA49" i="23"/>
  <c r="S49" i="23"/>
  <c r="T46" i="23"/>
  <c r="AB46" i="23"/>
  <c r="U43" i="23"/>
  <c r="AC43" i="23"/>
  <c r="S41" i="23"/>
  <c r="AA41" i="23"/>
  <c r="T38" i="23"/>
  <c r="AB38" i="23"/>
  <c r="AC35" i="23"/>
  <c r="U35" i="23"/>
  <c r="Q35" i="23" s="1"/>
  <c r="AA33" i="23"/>
  <c r="S33" i="23"/>
  <c r="AB30" i="23"/>
  <c r="T30" i="23"/>
  <c r="U27" i="23"/>
  <c r="AC27" i="23"/>
  <c r="AA25" i="23"/>
  <c r="S25" i="23"/>
  <c r="AB22" i="23"/>
  <c r="T22" i="23"/>
  <c r="U19" i="23"/>
  <c r="AC19" i="23"/>
  <c r="AA17" i="23"/>
  <c r="S17" i="23"/>
  <c r="AB14" i="23"/>
  <c r="T14" i="23"/>
  <c r="U11" i="23"/>
  <c r="AC11" i="23"/>
  <c r="AA9" i="23"/>
  <c r="S9" i="23"/>
  <c r="AB6" i="23"/>
  <c r="T6" i="23"/>
  <c r="AC3" i="23"/>
  <c r="U3" i="23"/>
  <c r="Q3" i="23" s="1"/>
  <c r="AA80" i="23"/>
  <c r="S80" i="23"/>
  <c r="AA72" i="23"/>
  <c r="S72" i="23"/>
  <c r="AA64" i="23"/>
  <c r="S64" i="23"/>
  <c r="S56" i="23"/>
  <c r="AA56" i="23"/>
  <c r="AC50" i="23"/>
  <c r="U50" i="23"/>
  <c r="AA40" i="23"/>
  <c r="S40" i="23"/>
  <c r="O40" i="23" s="1"/>
  <c r="AB29" i="23"/>
  <c r="T29" i="23"/>
  <c r="P29" i="23" s="1"/>
  <c r="T21" i="23"/>
  <c r="AB21" i="23"/>
  <c r="S16" i="23"/>
  <c r="AA16" i="23"/>
  <c r="AA8" i="23"/>
  <c r="S8" i="23"/>
  <c r="O8" i="23" s="1"/>
  <c r="AA77" i="23"/>
  <c r="S77" i="23"/>
  <c r="O77" i="23" s="1"/>
  <c r="T74" i="23"/>
  <c r="AB74" i="23"/>
  <c r="S69" i="23"/>
  <c r="AA69" i="23"/>
  <c r="AC63" i="23"/>
  <c r="U63" i="23"/>
  <c r="AA61" i="23"/>
  <c r="S61" i="23"/>
  <c r="O61" i="23" s="1"/>
  <c r="T58" i="23"/>
  <c r="AB58" i="23"/>
  <c r="T50" i="23"/>
  <c r="AB50" i="23"/>
  <c r="U47" i="23"/>
  <c r="AC47" i="23"/>
  <c r="AA45" i="23"/>
  <c r="S45" i="23"/>
  <c r="AA37" i="23"/>
  <c r="S37" i="23"/>
  <c r="AA29" i="23"/>
  <c r="S29" i="23"/>
  <c r="AB26" i="23"/>
  <c r="T26" i="23"/>
  <c r="AA21" i="23"/>
  <c r="S21" i="23"/>
  <c r="O21" i="23" s="1"/>
  <c r="T18" i="23"/>
  <c r="AB18" i="23"/>
  <c r="U15" i="23"/>
  <c r="AC15" i="23"/>
  <c r="S13" i="23"/>
  <c r="AA13" i="23"/>
  <c r="AA5" i="23"/>
  <c r="S5" i="23"/>
  <c r="O5" i="23" s="1"/>
  <c r="S74" i="23"/>
  <c r="AA74" i="23"/>
  <c r="S66" i="23"/>
  <c r="AA66" i="23"/>
  <c r="AA58" i="23"/>
  <c r="S58" i="23"/>
  <c r="O58" i="23" s="1"/>
  <c r="AC52" i="23"/>
  <c r="U52" i="23"/>
  <c r="Q52" i="23" s="1"/>
  <c r="T47" i="23"/>
  <c r="AB47" i="23"/>
  <c r="AB39" i="23"/>
  <c r="T39" i="23"/>
  <c r="P39" i="23" s="1"/>
  <c r="U36" i="23"/>
  <c r="Q36" i="23" s="1"/>
  <c r="AC36" i="23"/>
  <c r="T31" i="23"/>
  <c r="AB31" i="23"/>
  <c r="S26" i="23"/>
  <c r="AA26" i="23"/>
  <c r="AB23" i="23"/>
  <c r="T23" i="23"/>
  <c r="U20" i="23"/>
  <c r="AC20" i="23"/>
  <c r="AA18" i="23"/>
  <c r="S18" i="23"/>
  <c r="T15" i="23"/>
  <c r="AB15" i="23"/>
  <c r="U12" i="23"/>
  <c r="AC12" i="23"/>
  <c r="AC4" i="23"/>
  <c r="U4" i="23"/>
  <c r="AB76" i="23"/>
  <c r="T76" i="23"/>
  <c r="P76" i="23" s="1"/>
  <c r="S71" i="23"/>
  <c r="AA71" i="23"/>
  <c r="S63" i="23"/>
  <c r="AA63" i="23"/>
  <c r="U57" i="23"/>
  <c r="Q57" i="23" s="1"/>
  <c r="AC57" i="23"/>
  <c r="AB52" i="23"/>
  <c r="T52" i="23"/>
  <c r="P52" i="23" s="1"/>
  <c r="AB44" i="23"/>
  <c r="T44" i="23"/>
  <c r="S39" i="23"/>
  <c r="AA39" i="23"/>
  <c r="AA31" i="23"/>
  <c r="S31" i="23"/>
  <c r="O31" i="23" s="1"/>
  <c r="AC25" i="23"/>
  <c r="U25" i="23"/>
  <c r="Q25" i="23" s="1"/>
  <c r="T20" i="23"/>
  <c r="AB20" i="23"/>
  <c r="AA15" i="23"/>
  <c r="S15" i="23"/>
  <c r="O15" i="23" s="1"/>
  <c r="T12" i="23"/>
  <c r="AB12" i="23"/>
  <c r="AB4" i="23"/>
  <c r="T4" i="23"/>
  <c r="T2" i="23"/>
  <c r="AB2" i="23"/>
  <c r="P2" i="23" s="1"/>
  <c r="AC80" i="23"/>
  <c r="U80" i="23"/>
  <c r="AA78" i="23"/>
  <c r="S78" i="23"/>
  <c r="O78" i="23" s="1"/>
  <c r="T75" i="23"/>
  <c r="AB75" i="23"/>
  <c r="AC72" i="23"/>
  <c r="U72" i="23"/>
  <c r="S70" i="23"/>
  <c r="AA70" i="23"/>
  <c r="AB67" i="23"/>
  <c r="T67" i="23"/>
  <c r="P67" i="23" s="1"/>
  <c r="U64" i="23"/>
  <c r="AC64" i="23"/>
  <c r="AA62" i="23"/>
  <c r="S62" i="23"/>
  <c r="O62" i="23" s="1"/>
  <c r="T59" i="23"/>
  <c r="AB59" i="23"/>
  <c r="AC56" i="23"/>
  <c r="U56" i="23"/>
  <c r="AA54" i="23"/>
  <c r="S54" i="23"/>
  <c r="O54" i="23" s="1"/>
  <c r="AB51" i="23"/>
  <c r="T51" i="23"/>
  <c r="P51" i="23" s="1"/>
  <c r="AC48" i="23"/>
  <c r="U48" i="23"/>
  <c r="AA46" i="23"/>
  <c r="S46" i="23"/>
  <c r="O46" i="23" s="1"/>
  <c r="AB43" i="23"/>
  <c r="T43" i="23"/>
  <c r="P43" i="23" s="1"/>
  <c r="AC40" i="23"/>
  <c r="U40" i="23"/>
  <c r="AA38" i="23"/>
  <c r="S38" i="23"/>
  <c r="O38" i="23" s="1"/>
  <c r="AB35" i="23"/>
  <c r="T35" i="23"/>
  <c r="P35" i="23" s="1"/>
  <c r="AC32" i="23"/>
  <c r="U32" i="23"/>
  <c r="S30" i="23"/>
  <c r="AA30" i="23"/>
  <c r="AB27" i="23"/>
  <c r="T27" i="23"/>
  <c r="P27" i="23" s="1"/>
  <c r="AC24" i="23"/>
  <c r="U24" i="23"/>
  <c r="S22" i="23"/>
  <c r="AA22" i="23"/>
  <c r="AB19" i="23"/>
  <c r="T19" i="23"/>
  <c r="P19" i="23" s="1"/>
  <c r="U16" i="23"/>
  <c r="AC16" i="23"/>
  <c r="S14" i="23"/>
  <c r="AA14" i="23"/>
  <c r="T11" i="23"/>
  <c r="AB11" i="23"/>
  <c r="AC8" i="23"/>
  <c r="U8" i="23"/>
  <c r="S6" i="23"/>
  <c r="AA6" i="23"/>
  <c r="T3" i="23"/>
  <c r="AB3" i="23"/>
  <c r="T69" i="23"/>
  <c r="AB69" i="23"/>
  <c r="AC58" i="23"/>
  <c r="U58" i="23"/>
  <c r="Q58" i="23" s="1"/>
  <c r="T45" i="23"/>
  <c r="AB45" i="23"/>
  <c r="AC34" i="23"/>
  <c r="U34" i="23"/>
  <c r="Q34" i="23" s="1"/>
  <c r="S24" i="23"/>
  <c r="AA24" i="23"/>
  <c r="AB5" i="23"/>
  <c r="T5" i="23"/>
  <c r="AC79" i="23"/>
  <c r="U79" i="23"/>
  <c r="Q79" i="23" s="1"/>
  <c r="T34" i="23"/>
  <c r="P34" i="23" s="1"/>
  <c r="AB34" i="23"/>
  <c r="AB80" i="23"/>
  <c r="T80" i="23"/>
  <c r="P80" i="23" s="1"/>
  <c r="AC77" i="23"/>
  <c r="U77" i="23"/>
  <c r="S75" i="23"/>
  <c r="AA75" i="23"/>
  <c r="AB72" i="23"/>
  <c r="T72" i="23"/>
  <c r="P72" i="23" s="1"/>
  <c r="U69" i="23"/>
  <c r="AC69" i="23"/>
  <c r="AA67" i="23"/>
  <c r="S67" i="23"/>
  <c r="O67" i="23" s="1"/>
  <c r="T64" i="23"/>
  <c r="AB64" i="23"/>
  <c r="AC61" i="23"/>
  <c r="U61" i="23"/>
  <c r="AA59" i="23"/>
  <c r="S59" i="23"/>
  <c r="O59" i="23" s="1"/>
  <c r="AB56" i="23"/>
  <c r="T56" i="23"/>
  <c r="P56" i="23" s="1"/>
  <c r="AC53" i="23"/>
  <c r="U53" i="23"/>
  <c r="S51" i="23"/>
  <c r="AA51" i="23"/>
  <c r="AB48" i="23"/>
  <c r="T48" i="23"/>
  <c r="P48" i="23" s="1"/>
  <c r="AC45" i="23"/>
  <c r="U45" i="23"/>
  <c r="S43" i="23"/>
  <c r="AA43" i="23"/>
  <c r="AB40" i="23"/>
  <c r="T40" i="23"/>
  <c r="P40" i="23" s="1"/>
  <c r="AC37" i="23"/>
  <c r="U37" i="23"/>
  <c r="S35" i="23"/>
  <c r="AA35" i="23"/>
  <c r="T32" i="23"/>
  <c r="AB32" i="23"/>
  <c r="U29" i="23"/>
  <c r="Q29" i="23" s="1"/>
  <c r="AC29" i="23"/>
  <c r="AA27" i="23"/>
  <c r="S27" i="23"/>
  <c r="O27" i="23" s="1"/>
  <c r="T24" i="23"/>
  <c r="AB24" i="23"/>
  <c r="U21" i="23"/>
  <c r="AC21" i="23"/>
  <c r="S19" i="23"/>
  <c r="AA19" i="23"/>
  <c r="AB16" i="23"/>
  <c r="T16" i="23"/>
  <c r="P16" i="23" s="1"/>
  <c r="AC13" i="23"/>
  <c r="U13" i="23"/>
  <c r="S11" i="23"/>
  <c r="AA11" i="23"/>
  <c r="T8" i="23"/>
  <c r="AB8" i="23"/>
  <c r="AC5" i="23"/>
  <c r="U5" i="23"/>
  <c r="AA3" i="23"/>
  <c r="S3" i="23"/>
  <c r="O3" i="23" s="1"/>
  <c r="O71" i="23" l="1"/>
  <c r="O26" i="23"/>
  <c r="P78" i="23"/>
  <c r="P69" i="23"/>
  <c r="Q64" i="23"/>
  <c r="P70" i="23"/>
  <c r="Q65" i="23"/>
  <c r="Q26" i="23"/>
  <c r="Q62" i="23"/>
  <c r="P20" i="23"/>
  <c r="P15" i="23"/>
  <c r="O56" i="23"/>
  <c r="P46" i="23"/>
  <c r="P79" i="23"/>
  <c r="Q42" i="23"/>
  <c r="Q69" i="23"/>
  <c r="O24" i="23"/>
  <c r="P38" i="23"/>
  <c r="O53" i="23"/>
  <c r="P61" i="23"/>
  <c r="Q44" i="23"/>
  <c r="O41" i="23"/>
  <c r="P47" i="23"/>
  <c r="P21" i="23"/>
  <c r="O57" i="23"/>
  <c r="P63" i="23"/>
  <c r="Q21" i="23"/>
  <c r="P45" i="23"/>
  <c r="Q16" i="23"/>
  <c r="O63" i="23"/>
  <c r="Q15" i="23"/>
  <c r="P50" i="23"/>
  <c r="O69" i="23"/>
  <c r="O10" i="23"/>
  <c r="P13" i="23"/>
  <c r="Q14" i="23"/>
  <c r="Q46" i="23"/>
  <c r="Q78" i="23"/>
  <c r="Q53" i="23"/>
  <c r="Q61" i="23"/>
  <c r="Q77" i="23"/>
  <c r="P5" i="23"/>
  <c r="Q8" i="23"/>
  <c r="Q24" i="23"/>
  <c r="Q32" i="23"/>
  <c r="Q40" i="23"/>
  <c r="Q48" i="23"/>
  <c r="Q56" i="23"/>
  <c r="Q72" i="23"/>
  <c r="Q80" i="23"/>
  <c r="P4" i="23"/>
  <c r="P44" i="23"/>
  <c r="Q4" i="23"/>
  <c r="O18" i="23"/>
  <c r="P23" i="23"/>
  <c r="P26" i="23"/>
  <c r="O29" i="23"/>
  <c r="O37" i="23"/>
  <c r="O45" i="23"/>
  <c r="Q63" i="23"/>
  <c r="Q50" i="23"/>
  <c r="O64" i="23"/>
  <c r="O72" i="23"/>
  <c r="O80" i="23"/>
  <c r="P6" i="23"/>
  <c r="O9" i="23"/>
  <c r="P14" i="23"/>
  <c r="O17" i="23"/>
  <c r="P22" i="23"/>
  <c r="O25" i="23"/>
  <c r="P30" i="23"/>
  <c r="O33" i="23"/>
  <c r="O49" i="23"/>
  <c r="P54" i="23"/>
  <c r="O65" i="23"/>
  <c r="O73" i="23"/>
  <c r="O81" i="23"/>
  <c r="Q9" i="23"/>
  <c r="P28" i="23"/>
  <c r="O79" i="23"/>
  <c r="P42" i="23"/>
  <c r="O32" i="23"/>
  <c r="Q6" i="23"/>
  <c r="Q30" i="23"/>
  <c r="Q38" i="23"/>
  <c r="Q54" i="23"/>
  <c r="Q70" i="23"/>
  <c r="Q33" i="23"/>
  <c r="Q49" i="23"/>
  <c r="P68" i="23"/>
  <c r="Q81" i="23"/>
  <c r="Q76" i="23"/>
  <c r="Q39" i="23"/>
  <c r="Q71" i="23"/>
  <c r="Q66" i="23"/>
  <c r="O35" i="23"/>
  <c r="P8" i="23"/>
  <c r="O19" i="23"/>
  <c r="O43" i="23"/>
  <c r="Q5" i="23"/>
  <c r="Q13" i="23"/>
  <c r="Q37" i="23"/>
  <c r="Q45" i="23"/>
  <c r="O51" i="23"/>
  <c r="P64" i="23"/>
  <c r="O75" i="23"/>
  <c r="P3" i="23"/>
  <c r="O6" i="23"/>
  <c r="P11" i="23"/>
  <c r="O14" i="23"/>
  <c r="O22" i="23"/>
  <c r="O30" i="23"/>
  <c r="P59" i="23"/>
  <c r="O70" i="23"/>
  <c r="P75" i="23"/>
  <c r="P12" i="23"/>
  <c r="O39" i="23"/>
  <c r="Q12" i="23"/>
  <c r="Q20" i="23"/>
  <c r="P31" i="23"/>
  <c r="O66" i="23"/>
  <c r="O74" i="23"/>
  <c r="O13" i="23"/>
  <c r="P18" i="23"/>
  <c r="Q47" i="23"/>
  <c r="P58" i="23"/>
  <c r="P74" i="23"/>
  <c r="O16" i="23"/>
  <c r="Q11" i="23"/>
  <c r="Q19" i="23"/>
  <c r="Q27" i="23"/>
  <c r="Q43" i="23"/>
  <c r="Q59" i="23"/>
  <c r="Q67" i="23"/>
  <c r="Q2" i="23"/>
  <c r="Q17" i="23"/>
  <c r="O47" i="23"/>
  <c r="O55" i="23"/>
  <c r="Q28" i="23"/>
  <c r="O42" i="23"/>
  <c r="Q68" i="23"/>
  <c r="P10" i="23"/>
  <c r="P66" i="23"/>
  <c r="P37" i="23"/>
  <c r="O4" i="23"/>
  <c r="P17" i="23"/>
  <c r="O28" i="23"/>
  <c r="P33" i="23"/>
  <c r="O36" i="23"/>
  <c r="O44" i="23"/>
  <c r="P49" i="23"/>
  <c r="O52" i="23"/>
  <c r="O60" i="23"/>
  <c r="P65" i="23"/>
  <c r="O68" i="23"/>
  <c r="P73" i="23"/>
  <c r="O76" i="23"/>
  <c r="P81" i="23"/>
  <c r="O2" i="23"/>
  <c r="O7" i="23"/>
  <c r="O34" i="23"/>
  <c r="Q10" i="23"/>
  <c r="P53" i="23"/>
  <c r="O11" i="23"/>
  <c r="P24" i="23"/>
  <c r="P32" i="23"/>
</calcChain>
</file>

<file path=xl/comments1.xml><?xml version="1.0" encoding="utf-8"?>
<comments xmlns="http://schemas.openxmlformats.org/spreadsheetml/2006/main">
  <authors>
    <author>bobuchen</author>
    <author>JERRY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1 普通副本
2 精英副本
3 金币副本
4 材料副本
5 马仔经验副本
6 命运副本
7 BOSS副本
8 远征副本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1、近身
2、远程
3、BOSS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1 普通副本
2 精英副本
3 金币副本
4 材料副本
5 马仔经验副本
6 命运副本
7 BOSS副本
8 远征副本</t>
        </r>
      </text>
    </comment>
    <comment ref="I1" authorId="1" shapeId="0">
      <text>
        <r>
          <rPr>
            <b/>
            <sz val="9"/>
            <color indexed="81"/>
            <rFont val="宋体"/>
            <family val="3"/>
            <charset val="134"/>
          </rPr>
          <t>JERRY:</t>
        </r>
        <r>
          <rPr>
            <sz val="9"/>
            <color indexed="81"/>
            <rFont val="宋体"/>
            <family val="3"/>
            <charset val="134"/>
          </rPr>
          <t xml:space="preserve">
首位：表示关卡类型
第二位：表示关卡章节
第三位：表示关卡小关
第四位：表示小节
第五六位：表示怪物序号</t>
        </r>
      </text>
    </comment>
    <comment ref="J1" authorId="1" shapeId="0">
      <text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1普通
2精英(小BOSS)
3普通BOSS
4白银BOSS(世界BOSS)
5战斗npc（头顶无血条，没有头像）
6副本npc（头顶无血条，没有头像）</t>
        </r>
      </text>
    </comment>
    <comment ref="AD1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类型调控
近身的是1
远程的是0.8
BOSS是1.2</t>
        </r>
      </text>
    </comment>
  </commentList>
</comments>
</file>

<file path=xl/sharedStrings.xml><?xml version="1.0" encoding="utf-8"?>
<sst xmlns="http://schemas.openxmlformats.org/spreadsheetml/2006/main" count="3241" uniqueCount="768">
  <si>
    <t>模型</t>
    <phoneticPr fontId="1" type="noConversion"/>
  </si>
  <si>
    <t>关卡序号</t>
    <phoneticPr fontId="1" type="noConversion"/>
  </si>
  <si>
    <t>怪物1</t>
    <phoneticPr fontId="1" type="noConversion"/>
  </si>
  <si>
    <t>怪物2</t>
    <phoneticPr fontId="1" type="noConversion"/>
  </si>
  <si>
    <t>怪物3</t>
    <phoneticPr fontId="1" type="noConversion"/>
  </si>
  <si>
    <t>怪物4</t>
    <phoneticPr fontId="1" type="noConversion"/>
  </si>
  <si>
    <t>板凳兵</t>
  </si>
  <si>
    <t>女酒保</t>
  </si>
  <si>
    <t>靓坤</t>
  </si>
  <si>
    <t>飞刀兵</t>
  </si>
  <si>
    <t>拳手</t>
  </si>
  <si>
    <t>机车男</t>
  </si>
  <si>
    <t>铁拳</t>
  </si>
  <si>
    <t>保安</t>
  </si>
  <si>
    <t>棍男</t>
  </si>
  <si>
    <t>胖子</t>
  </si>
  <si>
    <t>靓坤</t>
    <phoneticPr fontId="1" type="noConversion"/>
  </si>
  <si>
    <t>机枪兵</t>
  </si>
  <si>
    <t>警察</t>
  </si>
  <si>
    <t>乌鸦</t>
  </si>
  <si>
    <t>司徒浩南</t>
  </si>
  <si>
    <t>赌王</t>
  </si>
  <si>
    <t>女忍者</t>
  </si>
  <si>
    <t>相扑</t>
  </si>
  <si>
    <t>空手道</t>
  </si>
  <si>
    <t>剑客</t>
  </si>
  <si>
    <t>雷功</t>
  </si>
  <si>
    <t>男忍者</t>
  </si>
  <si>
    <t>山口老大</t>
  </si>
  <si>
    <t>怪物名称</t>
    <phoneticPr fontId="1" type="noConversion"/>
  </si>
  <si>
    <t>出现次数</t>
    <phoneticPr fontId="1" type="noConversion"/>
  </si>
  <si>
    <t>BOSS</t>
    <phoneticPr fontId="1" type="noConversion"/>
  </si>
  <si>
    <t>拳手</t>
    <phoneticPr fontId="1" type="noConversion"/>
  </si>
  <si>
    <t>小BOSS</t>
    <phoneticPr fontId="1" type="noConversion"/>
  </si>
  <si>
    <t>女酒保</t>
    <phoneticPr fontId="1" type="noConversion"/>
  </si>
  <si>
    <t>大BOSS</t>
    <phoneticPr fontId="1" type="noConversion"/>
  </si>
  <si>
    <t>飞刀兵</t>
    <phoneticPr fontId="1" type="noConversion"/>
  </si>
  <si>
    <t>胖子</t>
    <phoneticPr fontId="1" type="noConversion"/>
  </si>
  <si>
    <t>机枪兵</t>
    <phoneticPr fontId="1" type="noConversion"/>
  </si>
  <si>
    <t>警察</t>
    <phoneticPr fontId="1" type="noConversion"/>
  </si>
  <si>
    <t>保安</t>
    <phoneticPr fontId="1" type="noConversion"/>
  </si>
  <si>
    <t>板凳兵</t>
    <phoneticPr fontId="1" type="noConversion"/>
  </si>
  <si>
    <t>铁拳</t>
    <phoneticPr fontId="1" type="noConversion"/>
  </si>
  <si>
    <t>棍男</t>
    <phoneticPr fontId="1" type="noConversion"/>
  </si>
  <si>
    <t>剑客</t>
    <phoneticPr fontId="1" type="noConversion"/>
  </si>
  <si>
    <t>女忍者</t>
    <phoneticPr fontId="1" type="noConversion"/>
  </si>
  <si>
    <t>机车男</t>
    <phoneticPr fontId="1" type="noConversion"/>
  </si>
  <si>
    <t>相扑</t>
    <phoneticPr fontId="1" type="noConversion"/>
  </si>
  <si>
    <t>空手道</t>
    <phoneticPr fontId="1" type="noConversion"/>
  </si>
  <si>
    <t>乌鸦</t>
    <phoneticPr fontId="1" type="noConversion"/>
  </si>
  <si>
    <t>司徒浩南</t>
    <phoneticPr fontId="1" type="noConversion"/>
  </si>
  <si>
    <t>赌王</t>
    <phoneticPr fontId="1" type="noConversion"/>
  </si>
  <si>
    <t>雷功</t>
    <phoneticPr fontId="1" type="noConversion"/>
  </si>
  <si>
    <t>山口老大</t>
    <phoneticPr fontId="1" type="noConversion"/>
  </si>
  <si>
    <t>陈浩南</t>
    <phoneticPr fontId="1" type="noConversion"/>
  </si>
  <si>
    <t>山鸡</t>
    <phoneticPr fontId="1" type="noConversion"/>
  </si>
  <si>
    <t>大天二</t>
    <phoneticPr fontId="1" type="noConversion"/>
  </si>
  <si>
    <t>怪物ID</t>
    <phoneticPr fontId="1" type="noConversion"/>
  </si>
  <si>
    <t>关卡</t>
    <phoneticPr fontId="1" type="noConversion"/>
  </si>
  <si>
    <t>boss</t>
    <phoneticPr fontId="1" type="noConversion"/>
  </si>
  <si>
    <t>参考等级</t>
    <phoneticPr fontId="1" type="noConversion"/>
  </si>
  <si>
    <t>普通关卡</t>
    <phoneticPr fontId="1" type="noConversion"/>
  </si>
  <si>
    <t>精英关卡</t>
    <phoneticPr fontId="1" type="noConversion"/>
  </si>
  <si>
    <t>金币副本</t>
    <phoneticPr fontId="1" type="noConversion"/>
  </si>
  <si>
    <t>材料副本</t>
    <phoneticPr fontId="1" type="noConversion"/>
  </si>
  <si>
    <t>马仔副本</t>
    <phoneticPr fontId="1" type="noConversion"/>
  </si>
  <si>
    <t>命格副本</t>
    <phoneticPr fontId="1" type="noConversion"/>
  </si>
  <si>
    <t>BOSS副本</t>
    <phoneticPr fontId="1" type="noConversion"/>
  </si>
  <si>
    <t>等级</t>
  </si>
  <si>
    <t>等级</t>
    <phoneticPr fontId="1" type="noConversion"/>
  </si>
  <si>
    <t>参考生命</t>
    <phoneticPr fontId="1" type="noConversion"/>
  </si>
  <si>
    <t>参考攻击</t>
    <phoneticPr fontId="1" type="noConversion"/>
  </si>
  <si>
    <t>参考防御</t>
    <phoneticPr fontId="1" type="noConversion"/>
  </si>
  <si>
    <t>参考平砍DPS</t>
    <phoneticPr fontId="1" type="noConversion"/>
  </si>
  <si>
    <t>参考平砍下数</t>
    <phoneticPr fontId="1" type="noConversion"/>
  </si>
  <si>
    <t>每波5-7只怪</t>
    <phoneticPr fontId="1" type="noConversion"/>
  </si>
  <si>
    <t>角色承受下数</t>
    <phoneticPr fontId="1" type="noConversion"/>
  </si>
  <si>
    <t>技能参考系数</t>
    <phoneticPr fontId="1" type="noConversion"/>
  </si>
  <si>
    <t>每只怪物承受下数</t>
    <phoneticPr fontId="1" type="noConversion"/>
  </si>
  <si>
    <t>怪血</t>
    <phoneticPr fontId="1" type="noConversion"/>
  </si>
  <si>
    <t>怪攻</t>
    <phoneticPr fontId="1" type="noConversion"/>
  </si>
  <si>
    <t>怪防</t>
    <phoneticPr fontId="1" type="noConversion"/>
  </si>
  <si>
    <t>怪物血系数</t>
    <phoneticPr fontId="1" type="noConversion"/>
  </si>
  <si>
    <t>人物生存能力</t>
    <phoneticPr fontId="1" type="noConversion"/>
  </si>
  <si>
    <t>越大越难打</t>
    <phoneticPr fontId="1" type="noConversion"/>
  </si>
  <si>
    <t>越大生存能力越弱</t>
    <phoneticPr fontId="1" type="noConversion"/>
  </si>
  <si>
    <t>怪物类型</t>
    <phoneticPr fontId="1" type="noConversion"/>
  </si>
  <si>
    <t>近身</t>
    <phoneticPr fontId="1" type="noConversion"/>
  </si>
  <si>
    <t>远程</t>
    <phoneticPr fontId="1" type="noConversion"/>
  </si>
  <si>
    <t>BOSS</t>
    <phoneticPr fontId="1" type="noConversion"/>
  </si>
  <si>
    <t>比重</t>
    <phoneticPr fontId="1" type="noConversion"/>
  </si>
  <si>
    <t>参考等级</t>
    <phoneticPr fontId="1" type="noConversion"/>
  </si>
  <si>
    <t>血</t>
    <phoneticPr fontId="1" type="noConversion"/>
  </si>
  <si>
    <t>攻</t>
    <phoneticPr fontId="1" type="noConversion"/>
  </si>
  <si>
    <t>防</t>
    <phoneticPr fontId="1" type="noConversion"/>
  </si>
  <si>
    <t>金币副本血量</t>
    <phoneticPr fontId="1" type="noConversion"/>
  </si>
  <si>
    <t>ID</t>
  </si>
  <si>
    <t>怪物名称</t>
  </si>
  <si>
    <t>颜色</t>
    <phoneticPr fontId="7" type="noConversion"/>
  </si>
  <si>
    <t>模型倍率</t>
    <phoneticPr fontId="7" type="noConversion"/>
  </si>
  <si>
    <t>策划用半身像资源ID</t>
    <phoneticPr fontId="7" type="noConversion"/>
  </si>
  <si>
    <t>生命值</t>
  </si>
  <si>
    <t>攻击力</t>
  </si>
  <si>
    <t>防御力</t>
    <phoneticPr fontId="7" type="noConversion"/>
  </si>
  <si>
    <t>暴击倍数</t>
    <phoneticPr fontId="7" type="noConversion"/>
  </si>
  <si>
    <t>暴击</t>
    <phoneticPr fontId="7" type="noConversion"/>
  </si>
  <si>
    <t>韧性</t>
    <phoneticPr fontId="7" type="noConversion"/>
  </si>
  <si>
    <t>命中</t>
    <phoneticPr fontId="7" type="noConversion"/>
  </si>
  <si>
    <t>闪避</t>
    <phoneticPr fontId="7" type="noConversion"/>
  </si>
  <si>
    <t>类型</t>
  </si>
  <si>
    <t>序号</t>
  </si>
  <si>
    <t>数据项</t>
  </si>
  <si>
    <t>数据类型</t>
  </si>
  <si>
    <t>参数</t>
  </si>
  <si>
    <t>说明</t>
  </si>
  <si>
    <t>基本数据</t>
  </si>
  <si>
    <t>int</t>
  </si>
  <si>
    <t>序号，primary key</t>
  </si>
  <si>
    <t>名称</t>
  </si>
  <si>
    <t>string</t>
  </si>
  <si>
    <t>称号</t>
  </si>
  <si>
    <t>美术资源</t>
  </si>
  <si>
    <t>模型ID</t>
  </si>
  <si>
    <t>模型比例</t>
  </si>
  <si>
    <t>万分比，取参数值除以10000</t>
  </si>
  <si>
    <t>地图标记</t>
  </si>
  <si>
    <t>是指在小地图上显示的图标，为空或0时，表示没有</t>
  </si>
  <si>
    <t>头像ID</t>
  </si>
  <si>
    <t>出生光效</t>
  </si>
  <si>
    <t>附加信息</t>
  </si>
  <si>
    <t>种族</t>
  </si>
  <si>
    <t>macro</t>
  </si>
  <si>
    <t>动物类=1
植物类=2
人类=3
妖兽类=4
鬼魂类 =5</t>
  </si>
  <si>
    <t>阵营</t>
  </si>
  <si>
    <t>敌对=1
中立=2
大汉=3
红方=4
蓝方=5</t>
  </si>
  <si>
    <t>分类</t>
  </si>
  <si>
    <t>属性</t>
  </si>
  <si>
    <t>法力值</t>
  </si>
  <si>
    <t>携带BUFFID</t>
  </si>
  <si>
    <t>BUFFID串，用#来分割，如果有多个BUFF则都自动全部生成</t>
  </si>
  <si>
    <t>攻击速度</t>
  </si>
  <si>
    <t>攻击速度决定怪物的普通攻击间隔。</t>
  </si>
  <si>
    <t>攻击类型</t>
  </si>
  <si>
    <t>物理近程=1
物理远程=2
法术远程=3</t>
  </si>
  <si>
    <t>物理攻击</t>
  </si>
  <si>
    <t>法术攻击</t>
  </si>
  <si>
    <t>物理防御</t>
  </si>
  <si>
    <t>法术防御</t>
  </si>
  <si>
    <t>闪避率</t>
  </si>
  <si>
    <t>怪物直接使用率值，无须进行等级转率。</t>
  </si>
  <si>
    <t>命中率</t>
  </si>
  <si>
    <t>暴击率</t>
  </si>
  <si>
    <t>格挡率</t>
  </si>
  <si>
    <t>破甲率</t>
  </si>
  <si>
    <t>韧性率</t>
  </si>
  <si>
    <t>奖励</t>
  </si>
  <si>
    <t>属主模型</t>
  </si>
  <si>
    <t>首刀=1
产生伤害=2
伤害最大=3
末刀=4</t>
  </si>
  <si>
    <t>属主是指怪物掉落的奖励的归属人，当多个小组或个人都在攻击某个怪物时，按照属主模型决定奖励归于谁</t>
  </si>
  <si>
    <t>携带经验</t>
  </si>
  <si>
    <t>与玩家杀死该monster获得经验值相关计算</t>
  </si>
  <si>
    <t>携带真气</t>
  </si>
  <si>
    <t>与玩家杀死该monster获得灵力值相关计算</t>
  </si>
  <si>
    <t>增加声望</t>
  </si>
  <si>
    <t>阵营ID1#声望等级1#声望等级2#数值1 阵营ID2#声望等级1#声望等级2#数值2</t>
  </si>
  <si>
    <t>玩家杀死该NPC时所能增加的阵营声望
增加"声望等级"的参数,对应玩家在阵营中的声望等级:敌对,中立,友善,崇拜等等,一共10级,与阵营表中对应
例子:当填入"10001#4#5#10 10001#6#7#5"时,表示玩家在中立到友好的时候,杀死该NPC将加10点声望,在友好到尊敬杀死该NPC将加5点声望</t>
  </si>
  <si>
    <t>减少声望</t>
  </si>
  <si>
    <t>玩家杀死该NPC时将会减少的阵营声望
新增的"阵营等级"参数意义同上</t>
  </si>
  <si>
    <t>经验是否衰减</t>
  </si>
  <si>
    <t>是=1
否=0</t>
  </si>
  <si>
    <t>经验衰弱是指当玩家的等级比怪物的等级高出N的时候则获得的经验按照一定比例进行衰减</t>
  </si>
  <si>
    <t>衰减等级</t>
  </si>
  <si>
    <t>指玩家等级高于怪物等级</t>
  </si>
  <si>
    <t>衰减比例</t>
  </si>
  <si>
    <t>百分比，取参数值除以100</t>
  </si>
  <si>
    <t>最终获得经验=正常经验-正常经验*衰减比例</t>
  </si>
  <si>
    <t>掉落ID</t>
  </si>
  <si>
    <t>根据“掉落ID"读取掉落表的掉落方案。</t>
  </si>
  <si>
    <t>AI</t>
  </si>
  <si>
    <t>团队编号</t>
  </si>
  <si>
    <t>id编号，和怪物团队表中对应</t>
  </si>
  <si>
    <t>将几个怪物绑定成一个组，攻击其中一个时，则同组其他怪物都会进入战斗状态</t>
  </si>
  <si>
    <t>是否主动攻击</t>
  </si>
  <si>
    <t>判断玩家进入该怪视野范围内时，是否主动攻击玩家</t>
  </si>
  <si>
    <t>普攻技能</t>
  </si>
  <si>
    <t>怪物的普通攻击技能ID，CD由怪物“攻击速度决定”</t>
  </si>
  <si>
    <t>技能ID</t>
  </si>
  <si>
    <t>id标号，和技能表中对应</t>
  </si>
  <si>
    <t>技能ID=0时，则代表无技能。普攻技能不填在这里。</t>
  </si>
  <si>
    <t>伤害仇恨系数</t>
  </si>
  <si>
    <t>当NPC被造成伤害时,增加的 仇恨值
单次伤害仇恨=(有效伤害值*伤害仇恨系数+技能或物品附加仇恨)*最终仇恨倍率</t>
  </si>
  <si>
    <t>治疗仇恨系数</t>
  </si>
  <si>
    <t>当NPC的仇恨列表成员获得治疗时,施放治疗效果者将增加仇恨,增加的 仇恨值
单次治疗仇恨=(有效治疗值*治疗仇恨系数+技能或物品附加仇恨)*最终仇恨倍率</t>
  </si>
  <si>
    <t>视野半径</t>
  </si>
  <si>
    <t>主要对于主动怪而言，当玩家进入怪物视野时，会被怪物发现，激发怪物进入战斗状态</t>
  </si>
  <si>
    <t>巡逻半径</t>
  </si>
  <si>
    <t>怪物生成后会在这个半径走来走去</t>
  </si>
  <si>
    <t>追击半径</t>
  </si>
  <si>
    <t>当玩家逃走时，怪物会追击一段距离，然后返回生成点</t>
  </si>
  <si>
    <t>巡逻移动速度</t>
  </si>
  <si>
    <t>战斗移动速度</t>
  </si>
  <si>
    <t>AI规则</t>
  </si>
  <si>
    <t>AIRuleID1#AIRuleID2#……#AICommendID1#AICommendID2#……</t>
  </si>
  <si>
    <t>需要支持AIRuleID和AICommendID混合串，两种ID可由不同的ID位数或者各自ID前增加字符来区分，ID对应于AI相关脚本。
AIRule和AICommend的解释请见AI相关文档</t>
  </si>
  <si>
    <t>Txinggunbing.png</t>
  </si>
  <si>
    <t>Taimei.png</t>
  </si>
  <si>
    <t>大天二</t>
  </si>
  <si>
    <t>Datianer.png</t>
  </si>
  <si>
    <t>B哥</t>
  </si>
  <si>
    <t>FBBige.png</t>
  </si>
  <si>
    <t>FBMeiling.png</t>
  </si>
  <si>
    <t>Haonan01.png</t>
  </si>
  <si>
    <t>Shanji01.png</t>
  </si>
  <si>
    <t>LiangKun.png</t>
  </si>
  <si>
    <t>打仔</t>
  </si>
  <si>
    <t>Jichenan.png</t>
  </si>
  <si>
    <t>狂拳士</t>
  </si>
  <si>
    <t>Gunnan.png</t>
  </si>
  <si>
    <t>Feidaobing.png</t>
  </si>
  <si>
    <t>Dafei.png</t>
  </si>
  <si>
    <t>Jingcha.png</t>
  </si>
  <si>
    <t>Pangzi.png</t>
  </si>
  <si>
    <t>Wuya.png</t>
  </si>
  <si>
    <t>拿督保安</t>
  </si>
  <si>
    <t>拿督心腹</t>
  </si>
  <si>
    <t>拿督手下</t>
  </si>
  <si>
    <t>肥佬黎手下</t>
  </si>
  <si>
    <t>金牌打手</t>
  </si>
  <si>
    <t>狂人手下</t>
  </si>
  <si>
    <t>Nvrenzhe.png</t>
  </si>
  <si>
    <t>地中海</t>
  </si>
  <si>
    <t>雷功手下</t>
  </si>
  <si>
    <t>Leigong.png</t>
  </si>
  <si>
    <t>Tiequan.png</t>
  </si>
  <si>
    <t>暗魔</t>
  </si>
  <si>
    <t>血狂</t>
  </si>
  <si>
    <t>Jianke.png</t>
  </si>
  <si>
    <t>獠牙</t>
  </si>
  <si>
    <t>太乙</t>
  </si>
  <si>
    <t>白虎堂T型棍</t>
  </si>
  <si>
    <t>白虎堂主</t>
  </si>
  <si>
    <t>玄武堂胖子</t>
  </si>
  <si>
    <t>玄武堂拳手</t>
  </si>
  <si>
    <t>玄武堂司徒浩南</t>
  </si>
  <si>
    <t>玄武堂主</t>
  </si>
  <si>
    <t>朱雀堂女酒保</t>
  </si>
  <si>
    <t>朱雀堂棍男</t>
  </si>
  <si>
    <t>朱雀堂主</t>
  </si>
  <si>
    <t>拳兵</t>
  </si>
  <si>
    <t>T型棍</t>
  </si>
  <si>
    <t>精英地中海</t>
  </si>
  <si>
    <t>精英暗魔</t>
  </si>
  <si>
    <t>精英血狂</t>
  </si>
  <si>
    <t>精英獠牙</t>
  </si>
  <si>
    <t>精英太乙</t>
  </si>
  <si>
    <t>精英白虎堂主</t>
  </si>
  <si>
    <t>精英玄武堂主</t>
  </si>
  <si>
    <t>精英朱雀堂主</t>
  </si>
  <si>
    <t>路障</t>
  </si>
  <si>
    <t>地刺</t>
  </si>
  <si>
    <t>落石</t>
  </si>
  <si>
    <t>油桶</t>
  </si>
  <si>
    <t>ai_monster</t>
  </si>
  <si>
    <t>1101_liangkun_BOSS</t>
  </si>
  <si>
    <t>1011_jichenan_BOSS</t>
  </si>
  <si>
    <t>1009_tiequan_BOSS</t>
  </si>
  <si>
    <t>1010_gunnan_BOSS</t>
  </si>
  <si>
    <t>ai_monster_02</t>
  </si>
  <si>
    <t>1001_quanbing_BOSS</t>
  </si>
  <si>
    <t>1006_jingcha_BOSS</t>
  </si>
  <si>
    <t>1002_nvjiubao_BOSS</t>
  </si>
  <si>
    <t>1102_wuya_BOSS</t>
  </si>
  <si>
    <t>1103_situ_BOSS</t>
  </si>
  <si>
    <t>1104_duwang_BOSS</t>
  </si>
  <si>
    <t>1105_leigong_BOSS</t>
  </si>
  <si>
    <t>1014_xiangpu_BOSS</t>
  </si>
  <si>
    <t>1013_nvrenzhe_BOSS</t>
  </si>
  <si>
    <t>1012_jianke_BOSS</t>
  </si>
  <si>
    <t>1106_shankou_BOSS</t>
  </si>
  <si>
    <t>ai_DC</t>
  </si>
  <si>
    <t>ai_LS</t>
  </si>
  <si>
    <t>tielong</t>
  </si>
  <si>
    <t>章</t>
    <phoneticPr fontId="1" type="noConversion"/>
  </si>
  <si>
    <t>副本</t>
    <phoneticPr fontId="1" type="noConversion"/>
  </si>
  <si>
    <t>副本类型</t>
  </si>
  <si>
    <t>副本类型</t>
    <phoneticPr fontId="1" type="noConversion"/>
  </si>
  <si>
    <t>怪物类型</t>
    <phoneticPr fontId="1" type="noConversion"/>
  </si>
  <si>
    <t>关卡类型</t>
    <phoneticPr fontId="1" type="noConversion"/>
  </si>
  <si>
    <t>序号</t>
    <phoneticPr fontId="1" type="noConversion"/>
  </si>
  <si>
    <t>小关</t>
    <phoneticPr fontId="1" type="noConversion"/>
  </si>
  <si>
    <t>小节</t>
    <phoneticPr fontId="1" type="noConversion"/>
  </si>
  <si>
    <t>怪物格斗类型</t>
    <phoneticPr fontId="1" type="noConversion"/>
  </si>
  <si>
    <t>BOSS副本</t>
    <phoneticPr fontId="1" type="noConversion"/>
  </si>
  <si>
    <t>普通副本</t>
    <phoneticPr fontId="1" type="noConversion"/>
  </si>
  <si>
    <t>精英副本</t>
    <phoneticPr fontId="1" type="noConversion"/>
  </si>
  <si>
    <t>金币副本</t>
    <phoneticPr fontId="1" type="noConversion"/>
  </si>
  <si>
    <t>材料副本</t>
    <phoneticPr fontId="1" type="noConversion"/>
  </si>
  <si>
    <t>马仔经验副本</t>
    <phoneticPr fontId="1" type="noConversion"/>
  </si>
  <si>
    <t>命运副本</t>
    <phoneticPr fontId="1" type="noConversion"/>
  </si>
  <si>
    <t>副本查询类型</t>
    <phoneticPr fontId="1" type="noConversion"/>
  </si>
  <si>
    <t>副本类型ID</t>
    <phoneticPr fontId="1" type="noConversion"/>
  </si>
  <si>
    <t>难度系数</t>
    <phoneticPr fontId="1" type="noConversion"/>
  </si>
  <si>
    <t>人物</t>
    <phoneticPr fontId="1" type="noConversion"/>
  </si>
  <si>
    <t>总生命</t>
    <phoneticPr fontId="1" type="noConversion"/>
  </si>
  <si>
    <t>总攻击</t>
    <phoneticPr fontId="1" type="noConversion"/>
  </si>
  <si>
    <t>总防御</t>
    <phoneticPr fontId="1" type="noConversion"/>
  </si>
  <si>
    <t>总DPS</t>
    <phoneticPr fontId="1" type="noConversion"/>
  </si>
  <si>
    <t>躶体占比</t>
    <phoneticPr fontId="1" type="noConversion"/>
  </si>
  <si>
    <t>非躶体占比</t>
    <phoneticPr fontId="1" type="noConversion"/>
  </si>
  <si>
    <t>标准</t>
    <phoneticPr fontId="1" type="noConversion"/>
  </si>
  <si>
    <t>标准占比</t>
    <phoneticPr fontId="1" type="noConversion"/>
  </si>
  <si>
    <t>参考生命</t>
    <phoneticPr fontId="1" type="noConversion"/>
  </si>
  <si>
    <t>参考攻击</t>
    <phoneticPr fontId="1" type="noConversion"/>
  </si>
  <si>
    <t>参考防御</t>
    <phoneticPr fontId="1" type="noConversion"/>
  </si>
  <si>
    <t>参考DPS</t>
    <phoneticPr fontId="1" type="noConversion"/>
  </si>
  <si>
    <t>战斗力</t>
    <phoneticPr fontId="1" type="noConversion"/>
  </si>
  <si>
    <t>英雄之路</t>
    <phoneticPr fontId="1" type="noConversion"/>
  </si>
  <si>
    <t>英雄之路</t>
    <phoneticPr fontId="1" type="noConversion"/>
  </si>
  <si>
    <t>生命系数</t>
    <phoneticPr fontId="1" type="noConversion"/>
  </si>
  <si>
    <t>攻击系数</t>
    <phoneticPr fontId="1" type="noConversion"/>
  </si>
  <si>
    <t>防御系数</t>
    <phoneticPr fontId="1" type="noConversion"/>
  </si>
  <si>
    <t>人物等级</t>
    <phoneticPr fontId="1" type="noConversion"/>
  </si>
  <si>
    <t>初始下数</t>
    <phoneticPr fontId="1" type="noConversion"/>
  </si>
  <si>
    <t>血</t>
    <phoneticPr fontId="1" type="noConversion"/>
  </si>
  <si>
    <t>等级</t>
    <phoneticPr fontId="1" type="noConversion"/>
  </si>
  <si>
    <t>AI索引</t>
    <phoneticPr fontId="1" type="noConversion"/>
  </si>
  <si>
    <t>活跃度</t>
  </si>
  <si>
    <t>对话ID</t>
    <phoneticPr fontId="1" type="noConversion"/>
  </si>
  <si>
    <t>备注</t>
    <phoneticPr fontId="1" type="noConversion"/>
  </si>
  <si>
    <t>胖子</t>
    <phoneticPr fontId="1" type="noConversion"/>
  </si>
  <si>
    <t>【清路障】</t>
    <phoneticPr fontId="1" type="noConversion"/>
  </si>
  <si>
    <t>【陷阱】</t>
    <phoneticPr fontId="1" type="noConversion"/>
  </si>
  <si>
    <t>棍男</t>
    <phoneticPr fontId="1" type="noConversion"/>
  </si>
  <si>
    <t>技能参考个数</t>
    <phoneticPr fontId="1" type="noConversion"/>
  </si>
  <si>
    <t>初始下数</t>
    <phoneticPr fontId="1" type="noConversion"/>
  </si>
  <si>
    <t>总命中</t>
    <phoneticPr fontId="1" type="noConversion"/>
  </si>
  <si>
    <t>总韧性</t>
    <phoneticPr fontId="1" type="noConversion"/>
  </si>
  <si>
    <t>参考命中</t>
    <phoneticPr fontId="1" type="noConversion"/>
  </si>
  <si>
    <t>参考韧性</t>
    <phoneticPr fontId="1" type="noConversion"/>
  </si>
  <si>
    <t>命中</t>
    <phoneticPr fontId="1" type="noConversion"/>
  </si>
  <si>
    <t>韧性</t>
    <phoneticPr fontId="1" type="noConversion"/>
  </si>
  <si>
    <t>命中</t>
    <phoneticPr fontId="1" type="noConversion"/>
  </si>
  <si>
    <t>韧性</t>
    <phoneticPr fontId="1" type="noConversion"/>
  </si>
  <si>
    <t>肥仔</t>
    <phoneticPr fontId="1" type="noConversion"/>
  </si>
  <si>
    <t>山下忠秀</t>
    <phoneticPr fontId="1" type="noConversion"/>
  </si>
  <si>
    <t>挑战BOSS</t>
  </si>
  <si>
    <t>百人斩</t>
  </si>
  <si>
    <t>护送</t>
  </si>
  <si>
    <t>营救</t>
  </si>
  <si>
    <t>陷阱</t>
  </si>
  <si>
    <t>远征类型</t>
    <phoneticPr fontId="1" type="noConversion"/>
  </si>
  <si>
    <t>小兵</t>
    <phoneticPr fontId="1" type="noConversion"/>
  </si>
  <si>
    <t>玩法属性配置调整</t>
    <phoneticPr fontId="1" type="noConversion"/>
  </si>
  <si>
    <t>avatarID</t>
    <phoneticPr fontId="1" type="noConversion"/>
  </si>
  <si>
    <t>减伤百分比</t>
    <phoneticPr fontId="7" type="noConversion"/>
  </si>
  <si>
    <t>加伤百分比</t>
    <phoneticPr fontId="7" type="noConversion"/>
  </si>
  <si>
    <t>血量系数</t>
    <phoneticPr fontId="1" type="noConversion"/>
  </si>
  <si>
    <t>新手关的怪</t>
    <phoneticPr fontId="1" type="noConversion"/>
  </si>
  <si>
    <t>BOSS</t>
    <phoneticPr fontId="1" type="noConversion"/>
  </si>
  <si>
    <t>BOSS</t>
    <phoneticPr fontId="1" type="noConversion"/>
  </si>
  <si>
    <t>攻击</t>
    <phoneticPr fontId="1" type="noConversion"/>
  </si>
  <si>
    <t>防御</t>
    <phoneticPr fontId="1" type="noConversion"/>
  </si>
  <si>
    <t>生命</t>
    <phoneticPr fontId="1" type="noConversion"/>
  </si>
  <si>
    <t>战斗力</t>
    <phoneticPr fontId="1" type="noConversion"/>
  </si>
  <si>
    <t>【清路障】,需要配置必死技能</t>
    <phoneticPr fontId="1" type="noConversion"/>
  </si>
  <si>
    <t>1004_pangzi_BOSS</t>
    <phoneticPr fontId="1" type="noConversion"/>
  </si>
  <si>
    <t>2000-24*LV-1</t>
    <phoneticPr fontId="1" type="noConversion"/>
  </si>
  <si>
    <t>T型棍兵</t>
  </si>
  <si>
    <t>avataId</t>
    <phoneticPr fontId="1" type="noConversion"/>
  </si>
  <si>
    <t>山口渡边</t>
  </si>
  <si>
    <t>山口渡边</t>
    <phoneticPr fontId="1" type="noConversion"/>
  </si>
  <si>
    <t>相扑手</t>
    <phoneticPr fontId="1" type="noConversion"/>
  </si>
  <si>
    <t>T型棍兵</t>
    <phoneticPr fontId="1" type="noConversion"/>
  </si>
  <si>
    <t>活跃度下限</t>
    <phoneticPr fontId="1" type="noConversion"/>
  </si>
  <si>
    <t>活跃度上限</t>
    <phoneticPr fontId="1" type="noConversion"/>
  </si>
  <si>
    <t>avata类型</t>
    <phoneticPr fontId="1" type="noConversion"/>
  </si>
  <si>
    <t>美玲2_npc</t>
    <phoneticPr fontId="1" type="noConversion"/>
  </si>
  <si>
    <t>B哥_npc</t>
    <phoneticPr fontId="1" type="noConversion"/>
  </si>
  <si>
    <t>大飞_npc</t>
    <phoneticPr fontId="1" type="noConversion"/>
  </si>
  <si>
    <t>蒋天生_npc</t>
    <phoneticPr fontId="1" type="noConversion"/>
  </si>
  <si>
    <t>蒋天养_npc</t>
    <phoneticPr fontId="1" type="noConversion"/>
  </si>
  <si>
    <t>十三妹_npc</t>
    <phoneticPr fontId="1" type="noConversion"/>
  </si>
  <si>
    <t>神秘老人_npc</t>
    <phoneticPr fontId="1" type="noConversion"/>
  </si>
  <si>
    <t>美玲怪_npc</t>
    <phoneticPr fontId="1" type="noConversion"/>
  </si>
  <si>
    <t>陈浩南_npc</t>
    <phoneticPr fontId="1" type="noConversion"/>
  </si>
  <si>
    <t>地刺</t>
    <phoneticPr fontId="1" type="noConversion"/>
  </si>
  <si>
    <t>路障</t>
    <phoneticPr fontId="1" type="noConversion"/>
  </si>
  <si>
    <t>石头</t>
    <phoneticPr fontId="1" type="noConversion"/>
  </si>
  <si>
    <t>油桶</t>
    <phoneticPr fontId="1" type="noConversion"/>
  </si>
  <si>
    <t>铁笼</t>
    <phoneticPr fontId="1" type="noConversion"/>
  </si>
  <si>
    <t>铁笼02</t>
    <phoneticPr fontId="1" type="noConversion"/>
  </si>
  <si>
    <t>铁笼03</t>
    <phoneticPr fontId="1" type="noConversion"/>
  </si>
  <si>
    <t>保险箱01</t>
    <phoneticPr fontId="1" type="noConversion"/>
  </si>
  <si>
    <t>保险箱02</t>
    <phoneticPr fontId="1" type="noConversion"/>
  </si>
  <si>
    <t>保险箱03</t>
    <phoneticPr fontId="1" type="noConversion"/>
  </si>
  <si>
    <t>B哥_npc</t>
  </si>
  <si>
    <t>美玲怪_npc</t>
  </si>
  <si>
    <t>陈浩南</t>
  </si>
  <si>
    <t>山鸡</t>
  </si>
  <si>
    <t>相扑手</t>
  </si>
  <si>
    <t>保险箱01</t>
  </si>
  <si>
    <t>铁笼</t>
  </si>
  <si>
    <t>石头</t>
  </si>
  <si>
    <t>每级活跃</t>
    <phoneticPr fontId="1" type="noConversion"/>
  </si>
  <si>
    <t>活跃度系数</t>
    <phoneticPr fontId="1" type="noConversion"/>
  </si>
  <si>
    <t>一大堆小笼包</t>
    <phoneticPr fontId="1" type="noConversion"/>
  </si>
  <si>
    <t>大傻保镖</t>
    <phoneticPr fontId="1" type="noConversion"/>
  </si>
  <si>
    <t>丧彪</t>
    <phoneticPr fontId="1" type="noConversion"/>
  </si>
  <si>
    <t>精英巴闭</t>
    <phoneticPr fontId="1" type="noConversion"/>
  </si>
  <si>
    <t>精英大傻保镖</t>
    <phoneticPr fontId="1" type="noConversion"/>
  </si>
  <si>
    <t>命中系数</t>
    <phoneticPr fontId="1" type="noConversion"/>
  </si>
  <si>
    <t>韧性系数</t>
    <phoneticPr fontId="1" type="noConversion"/>
  </si>
  <si>
    <t>枪手</t>
    <phoneticPr fontId="1" type="noConversion"/>
  </si>
  <si>
    <t>张定坤</t>
    <phoneticPr fontId="1" type="noConversion"/>
  </si>
  <si>
    <t>大飞手下</t>
    <phoneticPr fontId="1" type="noConversion"/>
  </si>
  <si>
    <t>丁瑶护卫</t>
    <phoneticPr fontId="1" type="noConversion"/>
  </si>
  <si>
    <t>乌鸦手下</t>
    <phoneticPr fontId="1" type="noConversion"/>
  </si>
  <si>
    <t>笑面虎</t>
    <phoneticPr fontId="1" type="noConversion"/>
  </si>
  <si>
    <t>东星杀手</t>
    <phoneticPr fontId="1" type="noConversion"/>
  </si>
  <si>
    <t>追杀者</t>
    <phoneticPr fontId="1" type="noConversion"/>
  </si>
  <si>
    <t>乌鸦</t>
    <phoneticPr fontId="1" type="noConversion"/>
  </si>
  <si>
    <t>生番手下</t>
    <phoneticPr fontId="1" type="noConversion"/>
  </si>
  <si>
    <t>混混头目</t>
    <phoneticPr fontId="1" type="noConversion"/>
  </si>
  <si>
    <t>耀阳</t>
    <phoneticPr fontId="1" type="noConversion"/>
  </si>
  <si>
    <t>等级</t>
    <phoneticPr fontId="1" type="noConversion"/>
  </si>
  <si>
    <t>战斗力</t>
    <phoneticPr fontId="1" type="noConversion"/>
  </si>
  <si>
    <t>司徒浩南手下</t>
    <phoneticPr fontId="1" type="noConversion"/>
  </si>
  <si>
    <t>破坏分子</t>
    <phoneticPr fontId="1" type="noConversion"/>
  </si>
  <si>
    <t>东星地痞头目</t>
    <phoneticPr fontId="1" type="noConversion"/>
  </si>
  <si>
    <t>1005_JQB_BOSS</t>
  </si>
  <si>
    <t>Situhaonan.png</t>
  </si>
  <si>
    <t>Yaoyang.png</t>
    <phoneticPr fontId="1" type="noConversion"/>
  </si>
  <si>
    <t>1003_FDB_BOSS</t>
  </si>
  <si>
    <t>巴闭</t>
    <phoneticPr fontId="1" type="noConversion"/>
  </si>
  <si>
    <t>Babi.png</t>
    <phoneticPr fontId="1" type="noConversion"/>
  </si>
  <si>
    <t>怪DPS</t>
    <phoneticPr fontId="1" type="noConversion"/>
  </si>
  <si>
    <t>防御效果</t>
    <phoneticPr fontId="1" type="noConversion"/>
  </si>
  <si>
    <t>输出效果</t>
    <phoneticPr fontId="1" type="noConversion"/>
  </si>
  <si>
    <t>不能超过2</t>
    <phoneticPr fontId="1" type="noConversion"/>
  </si>
  <si>
    <t>BOSSAI</t>
    <phoneticPr fontId="1" type="noConversion"/>
  </si>
  <si>
    <t>小兵AI</t>
    <phoneticPr fontId="1" type="noConversion"/>
  </si>
  <si>
    <t>小BOSS</t>
    <phoneticPr fontId="1" type="noConversion"/>
  </si>
  <si>
    <t>ai_BOSS_01</t>
  </si>
  <si>
    <t>ai_BOSS_01</t>
    <phoneticPr fontId="1" type="noConversion"/>
  </si>
  <si>
    <t>1107_CHN_BOSS</t>
  </si>
  <si>
    <t>1108_shanji_BOSS</t>
  </si>
  <si>
    <t>1109_datianer_BOSS</t>
  </si>
  <si>
    <t>精英枪手</t>
    <phoneticPr fontId="1" type="noConversion"/>
  </si>
  <si>
    <t>街头混混</t>
    <phoneticPr fontId="1" type="noConversion"/>
  </si>
  <si>
    <t>街头太妹</t>
    <phoneticPr fontId="1" type="noConversion"/>
  </si>
  <si>
    <t>混混头目</t>
    <phoneticPr fontId="1" type="noConversion"/>
  </si>
  <si>
    <t>小结巴</t>
    <phoneticPr fontId="1" type="noConversion"/>
  </si>
  <si>
    <t>陈浩南</t>
    <phoneticPr fontId="1" type="noConversion"/>
  </si>
  <si>
    <t>山鸡</t>
    <phoneticPr fontId="1" type="noConversion"/>
  </si>
  <si>
    <t>街头太妹</t>
    <phoneticPr fontId="1" type="noConversion"/>
  </si>
  <si>
    <t>无组织混混</t>
    <phoneticPr fontId="1" type="noConversion"/>
  </si>
  <si>
    <t>偷车贼</t>
    <phoneticPr fontId="1" type="noConversion"/>
  </si>
  <si>
    <t>小结巴</t>
    <phoneticPr fontId="1" type="noConversion"/>
  </si>
  <si>
    <t>无组织混混</t>
    <phoneticPr fontId="1" type="noConversion"/>
  </si>
  <si>
    <t>山鸡</t>
    <phoneticPr fontId="1" type="noConversion"/>
  </si>
  <si>
    <t>街头太妹</t>
    <phoneticPr fontId="1" type="noConversion"/>
  </si>
  <si>
    <t>长棍</t>
    <phoneticPr fontId="1" type="noConversion"/>
  </si>
  <si>
    <t>机车男</t>
    <phoneticPr fontId="1" type="noConversion"/>
  </si>
  <si>
    <t>袭击者</t>
    <phoneticPr fontId="1" type="noConversion"/>
  </si>
  <si>
    <t>东鹰打手</t>
    <phoneticPr fontId="1" type="noConversion"/>
  </si>
  <si>
    <t>无组织混混</t>
    <phoneticPr fontId="1" type="noConversion"/>
  </si>
  <si>
    <t>长棍</t>
    <phoneticPr fontId="1" type="noConversion"/>
  </si>
  <si>
    <t>长棍</t>
    <phoneticPr fontId="1" type="noConversion"/>
  </si>
  <si>
    <t>东鹰打手</t>
    <phoneticPr fontId="1" type="noConversion"/>
  </si>
  <si>
    <t>暗杀者</t>
    <phoneticPr fontId="1" type="noConversion"/>
  </si>
  <si>
    <t>外来打手</t>
    <phoneticPr fontId="1" type="noConversion"/>
  </si>
  <si>
    <t>暗杀者</t>
    <phoneticPr fontId="1" type="noConversion"/>
  </si>
  <si>
    <t>先锋</t>
    <phoneticPr fontId="1" type="noConversion"/>
  </si>
  <si>
    <t>东星马仔</t>
    <phoneticPr fontId="1" type="noConversion"/>
  </si>
  <si>
    <t>花仔荣小弟</t>
    <phoneticPr fontId="1" type="noConversion"/>
  </si>
  <si>
    <t>迷之袭击者</t>
    <phoneticPr fontId="1" type="noConversion"/>
  </si>
  <si>
    <t>赌场保安</t>
    <phoneticPr fontId="1" type="noConversion"/>
  </si>
  <si>
    <t>赌场老千</t>
    <phoneticPr fontId="1" type="noConversion"/>
  </si>
  <si>
    <t>赌王佣兵</t>
    <phoneticPr fontId="1" type="noConversion"/>
  </si>
  <si>
    <t>鲨豹手下</t>
    <phoneticPr fontId="1" type="noConversion"/>
  </si>
  <si>
    <t>响尾蛇</t>
    <phoneticPr fontId="1" type="noConversion"/>
  </si>
  <si>
    <t>长棍</t>
    <phoneticPr fontId="1" type="noConversion"/>
  </si>
  <si>
    <t>相扑力士</t>
    <phoneticPr fontId="1" type="noConversion"/>
  </si>
  <si>
    <t>格斗家</t>
    <phoneticPr fontId="1" type="noConversion"/>
  </si>
  <si>
    <t>毒龙精锐</t>
    <phoneticPr fontId="1" type="noConversion"/>
  </si>
  <si>
    <t>格斗家</t>
    <phoneticPr fontId="1" type="noConversion"/>
  </si>
  <si>
    <t>鬼冢</t>
    <phoneticPr fontId="1" type="noConversion"/>
  </si>
  <si>
    <t>变装忍者</t>
    <phoneticPr fontId="1" type="noConversion"/>
  </si>
  <si>
    <t>相扑力士</t>
    <phoneticPr fontId="1" type="noConversion"/>
  </si>
  <si>
    <t>暗杀者</t>
    <phoneticPr fontId="1" type="noConversion"/>
  </si>
  <si>
    <t>剑客</t>
    <phoneticPr fontId="1" type="noConversion"/>
  </si>
  <si>
    <t>白虎堂飞刀兵</t>
    <phoneticPr fontId="1" type="noConversion"/>
  </si>
  <si>
    <t>白虎堂格斗家</t>
    <phoneticPr fontId="1" type="noConversion"/>
  </si>
  <si>
    <t>朱雀堂机车男</t>
    <phoneticPr fontId="1" type="noConversion"/>
  </si>
  <si>
    <t>青龙堂女忍者</t>
    <phoneticPr fontId="1" type="noConversion"/>
  </si>
  <si>
    <t>青龙堂铁拳</t>
    <phoneticPr fontId="1" type="noConversion"/>
  </si>
  <si>
    <t>青龙堂乌鸦</t>
    <phoneticPr fontId="1" type="noConversion"/>
  </si>
  <si>
    <t>青龙堂主</t>
    <phoneticPr fontId="1" type="noConversion"/>
  </si>
  <si>
    <t>佐维</t>
    <phoneticPr fontId="1" type="noConversion"/>
  </si>
  <si>
    <t>杀手首领</t>
    <phoneticPr fontId="1" type="noConversion"/>
  </si>
  <si>
    <t>飞刀兵</t>
    <phoneticPr fontId="1" type="noConversion"/>
  </si>
  <si>
    <t>机枪兵</t>
    <phoneticPr fontId="1" type="noConversion"/>
  </si>
  <si>
    <t>机车男</t>
    <phoneticPr fontId="1" type="noConversion"/>
  </si>
  <si>
    <t>精英靓坤</t>
    <phoneticPr fontId="1" type="noConversion"/>
  </si>
  <si>
    <t>精英乌鸦</t>
    <phoneticPr fontId="1" type="noConversion"/>
  </si>
  <si>
    <t>精英迷之袭击者</t>
    <phoneticPr fontId="1" type="noConversion"/>
  </si>
  <si>
    <t>赌场保安</t>
    <phoneticPr fontId="1" type="noConversion"/>
  </si>
  <si>
    <t>精英靓坤</t>
    <phoneticPr fontId="1" type="noConversion"/>
  </si>
  <si>
    <t>毒龙精锐</t>
    <phoneticPr fontId="1" type="noConversion"/>
  </si>
  <si>
    <t>精英鬼冢</t>
    <phoneticPr fontId="1" type="noConversion"/>
  </si>
  <si>
    <t>精英陈浩南</t>
    <phoneticPr fontId="1" type="noConversion"/>
  </si>
  <si>
    <t>白虎堂飞刀兵</t>
    <phoneticPr fontId="1" type="noConversion"/>
  </si>
  <si>
    <t>朱雀堂机车男</t>
    <phoneticPr fontId="1" type="noConversion"/>
  </si>
  <si>
    <t>青龙堂乌鸦</t>
    <phoneticPr fontId="1" type="noConversion"/>
  </si>
  <si>
    <t>精英青龙堂主</t>
    <phoneticPr fontId="1" type="noConversion"/>
  </si>
  <si>
    <t>精英佐维</t>
    <phoneticPr fontId="1" type="noConversion"/>
  </si>
  <si>
    <t>精英杀手首领</t>
    <phoneticPr fontId="1" type="noConversion"/>
  </si>
  <si>
    <t>精英山鸡</t>
    <phoneticPr fontId="1" type="noConversion"/>
  </si>
  <si>
    <t>装备材料活动怪1A</t>
    <phoneticPr fontId="1" type="noConversion"/>
  </si>
  <si>
    <t>装备材料活动怪1B</t>
    <phoneticPr fontId="1" type="noConversion"/>
  </si>
  <si>
    <t>装备材料活动怪2A</t>
    <phoneticPr fontId="1" type="noConversion"/>
  </si>
  <si>
    <t>装备材料活动怪2B</t>
    <phoneticPr fontId="1" type="noConversion"/>
  </si>
  <si>
    <t>装备材料活动怪3A</t>
    <phoneticPr fontId="1" type="noConversion"/>
  </si>
  <si>
    <t>装备材料活动怪3B</t>
    <phoneticPr fontId="1" type="noConversion"/>
  </si>
  <si>
    <t>装备材料活动怪4A</t>
    <phoneticPr fontId="1" type="noConversion"/>
  </si>
  <si>
    <t>装备材料活动怪4B</t>
    <phoneticPr fontId="1" type="noConversion"/>
  </si>
  <si>
    <t>赌王</t>
    <phoneticPr fontId="1" type="noConversion"/>
  </si>
  <si>
    <t>装备材料活动怪5A</t>
    <phoneticPr fontId="1" type="noConversion"/>
  </si>
  <si>
    <t>装备材料活动怪5B</t>
    <phoneticPr fontId="1" type="noConversion"/>
  </si>
  <si>
    <t>装备材料活动怪6A</t>
    <phoneticPr fontId="1" type="noConversion"/>
  </si>
  <si>
    <t>装备材料活动怪6B</t>
    <phoneticPr fontId="1" type="noConversion"/>
  </si>
  <si>
    <t>保镖</t>
    <phoneticPr fontId="1" type="noConversion"/>
  </si>
  <si>
    <t>相扑</t>
    <phoneticPr fontId="1" type="noConversion"/>
  </si>
  <si>
    <t>牢狱</t>
    <phoneticPr fontId="1" type="noConversion"/>
  </si>
  <si>
    <t>忍者大师</t>
    <phoneticPr fontId="1" type="noConversion"/>
  </si>
  <si>
    <t>精英大飞手下</t>
    <phoneticPr fontId="1" type="noConversion"/>
  </si>
  <si>
    <t>精英乌鸦手下</t>
    <phoneticPr fontId="1" type="noConversion"/>
  </si>
  <si>
    <t>议员保镖</t>
    <phoneticPr fontId="1" type="noConversion"/>
  </si>
  <si>
    <t>精英议员保镖</t>
    <phoneticPr fontId="1" type="noConversion"/>
  </si>
  <si>
    <t>精英张定坤</t>
    <phoneticPr fontId="1" type="noConversion"/>
  </si>
  <si>
    <t>笑面虎手下</t>
    <phoneticPr fontId="1" type="noConversion"/>
  </si>
  <si>
    <t>精英笑面虎</t>
    <phoneticPr fontId="1" type="noConversion"/>
  </si>
  <si>
    <t>精英东星杀手</t>
    <phoneticPr fontId="1" type="noConversion"/>
  </si>
  <si>
    <t>精英生番手下</t>
    <phoneticPr fontId="1" type="noConversion"/>
  </si>
  <si>
    <t>精英混混头目</t>
    <phoneticPr fontId="1" type="noConversion"/>
  </si>
  <si>
    <t>精英耀阳</t>
    <phoneticPr fontId="1" type="noConversion"/>
  </si>
  <si>
    <t>精英司徒手下</t>
    <phoneticPr fontId="1" type="noConversion"/>
  </si>
  <si>
    <t>精英破坏分子</t>
    <phoneticPr fontId="1" type="noConversion"/>
  </si>
  <si>
    <t>精英地痞头目</t>
    <phoneticPr fontId="1" type="noConversion"/>
  </si>
  <si>
    <t>精英司徒浩南</t>
    <phoneticPr fontId="1" type="noConversion"/>
  </si>
  <si>
    <t>雷复轰</t>
    <phoneticPr fontId="1" type="noConversion"/>
  </si>
  <si>
    <t>精英雷复轰</t>
    <phoneticPr fontId="1" type="noConversion"/>
  </si>
  <si>
    <t>额外血量</t>
    <phoneticPr fontId="1" type="noConversion"/>
  </si>
  <si>
    <t>额外攻击</t>
    <phoneticPr fontId="1" type="noConversion"/>
  </si>
  <si>
    <t>额外防御</t>
    <phoneticPr fontId="1" type="noConversion"/>
  </si>
  <si>
    <t>远征类型</t>
    <phoneticPr fontId="1" type="noConversion"/>
  </si>
  <si>
    <t>关卡类型</t>
    <phoneticPr fontId="1" type="noConversion"/>
  </si>
  <si>
    <t>命中系数</t>
    <phoneticPr fontId="1" type="noConversion"/>
  </si>
  <si>
    <t>竞技场</t>
    <phoneticPr fontId="1" type="noConversion"/>
  </si>
  <si>
    <t>逃亡</t>
    <phoneticPr fontId="1" type="noConversion"/>
  </si>
  <si>
    <t>巴闭</t>
  </si>
  <si>
    <t>巴闭</t>
    <phoneticPr fontId="1" type="noConversion"/>
  </si>
  <si>
    <t>笑面虎</t>
  </si>
  <si>
    <t>笑面虎</t>
    <phoneticPr fontId="1" type="noConversion"/>
  </si>
  <si>
    <t>生番</t>
  </si>
  <si>
    <t>生番</t>
    <phoneticPr fontId="1" type="noConversion"/>
  </si>
  <si>
    <t>普通 = 1
精英 = 2
稀有 = 3
稀有精英 = 4
普通BOSS = 5
白银BOSS = 6
黄金BOSS = 7</t>
    <phoneticPr fontId="1" type="noConversion"/>
  </si>
  <si>
    <t>金币副本</t>
    <phoneticPr fontId="1" type="noConversion"/>
  </si>
  <si>
    <t>装备材料副本</t>
    <phoneticPr fontId="1" type="noConversion"/>
  </si>
  <si>
    <t>装备材料1boss</t>
    <phoneticPr fontId="1" type="noConversion"/>
  </si>
  <si>
    <t>装备材料2boss</t>
    <phoneticPr fontId="1" type="noConversion"/>
  </si>
  <si>
    <t>装备材料3boss</t>
    <phoneticPr fontId="1" type="noConversion"/>
  </si>
  <si>
    <t>装备材料4boss</t>
    <phoneticPr fontId="1" type="noConversion"/>
  </si>
  <si>
    <t>装备材料5boss</t>
    <phoneticPr fontId="1" type="noConversion"/>
  </si>
  <si>
    <t>装备材料6boss</t>
    <phoneticPr fontId="1" type="noConversion"/>
  </si>
  <si>
    <t>【百人斩】</t>
    <phoneticPr fontId="1" type="noConversion"/>
  </si>
  <si>
    <t>【百人斩】</t>
    <phoneticPr fontId="1" type="noConversion"/>
  </si>
  <si>
    <t>【护送】</t>
    <phoneticPr fontId="1" type="noConversion"/>
  </si>
  <si>
    <t>【护送】</t>
    <phoneticPr fontId="1" type="noConversion"/>
  </si>
  <si>
    <t>【护送】</t>
    <phoneticPr fontId="1" type="noConversion"/>
  </si>
  <si>
    <t>【护送】</t>
    <phoneticPr fontId="1" type="noConversion"/>
  </si>
  <si>
    <t>【营救】</t>
    <phoneticPr fontId="1" type="noConversion"/>
  </si>
  <si>
    <t>【营救】</t>
    <phoneticPr fontId="1" type="noConversion"/>
  </si>
  <si>
    <t>【营救】</t>
    <phoneticPr fontId="1" type="noConversion"/>
  </si>
  <si>
    <t>精英丁瑶护卫</t>
    <phoneticPr fontId="1" type="noConversion"/>
  </si>
  <si>
    <t>1110_babi_BOSS</t>
    <phoneticPr fontId="1" type="noConversion"/>
  </si>
  <si>
    <t>1111_XMH_BOSS</t>
    <phoneticPr fontId="1" type="noConversion"/>
  </si>
  <si>
    <t>1112_shengfan_BOSS</t>
    <phoneticPr fontId="1" type="noConversion"/>
  </si>
  <si>
    <t>耀阳</t>
  </si>
  <si>
    <t>耀阳</t>
    <phoneticPr fontId="1" type="noConversion"/>
  </si>
  <si>
    <t>拳手</t>
    <phoneticPr fontId="1" type="noConversion"/>
  </si>
  <si>
    <t>源数据等级</t>
    <phoneticPr fontId="1" type="noConversion"/>
  </si>
  <si>
    <t>木桩</t>
    <phoneticPr fontId="1" type="noConversion"/>
  </si>
  <si>
    <t>人物等级</t>
    <phoneticPr fontId="1" type="noConversion"/>
  </si>
  <si>
    <t>预设生命</t>
    <phoneticPr fontId="1" type="noConversion"/>
  </si>
  <si>
    <t>预设攻击</t>
    <phoneticPr fontId="1" type="noConversion"/>
  </si>
  <si>
    <t>预设防御</t>
    <phoneticPr fontId="1" type="noConversion"/>
  </si>
  <si>
    <t>非R生命</t>
    <phoneticPr fontId="1" type="noConversion"/>
  </si>
  <si>
    <t>非R攻击</t>
    <phoneticPr fontId="1" type="noConversion"/>
  </si>
  <si>
    <t>非R防御</t>
    <phoneticPr fontId="1" type="noConversion"/>
  </si>
  <si>
    <t>大R生命</t>
    <phoneticPr fontId="1" type="noConversion"/>
  </si>
  <si>
    <t>大R攻击</t>
    <phoneticPr fontId="1" type="noConversion"/>
  </si>
  <si>
    <t>大R防御</t>
    <phoneticPr fontId="1" type="noConversion"/>
  </si>
  <si>
    <t>毒牙</t>
    <phoneticPr fontId="1" type="noConversion"/>
  </si>
  <si>
    <t>织田</t>
    <phoneticPr fontId="1" type="noConversion"/>
  </si>
  <si>
    <t>太乙部下</t>
    <phoneticPr fontId="1" type="noConversion"/>
  </si>
  <si>
    <t>傲虎</t>
    <phoneticPr fontId="1" type="noConversion"/>
  </si>
  <si>
    <t>狂龙</t>
    <phoneticPr fontId="1" type="noConversion"/>
  </si>
  <si>
    <t>山崎</t>
    <phoneticPr fontId="1" type="noConversion"/>
  </si>
  <si>
    <t>生番</t>
    <phoneticPr fontId="1" type="noConversion"/>
  </si>
  <si>
    <t>司徒浩南</t>
    <phoneticPr fontId="1" type="noConversion"/>
  </si>
  <si>
    <t>赌王</t>
    <phoneticPr fontId="1" type="noConversion"/>
  </si>
  <si>
    <t>耀阳</t>
    <phoneticPr fontId="1" type="noConversion"/>
  </si>
  <si>
    <t>精英毒牙</t>
    <phoneticPr fontId="1" type="noConversion"/>
  </si>
  <si>
    <t>精英织田</t>
    <phoneticPr fontId="1" type="noConversion"/>
  </si>
  <si>
    <t>精英太乙部下</t>
    <phoneticPr fontId="1" type="noConversion"/>
  </si>
  <si>
    <t>精英傲虎</t>
    <phoneticPr fontId="1" type="noConversion"/>
  </si>
  <si>
    <t>精英狂龙</t>
    <phoneticPr fontId="1" type="noConversion"/>
  </si>
  <si>
    <t>精英山崎</t>
    <phoneticPr fontId="1" type="noConversion"/>
  </si>
  <si>
    <t>精英生番</t>
    <phoneticPr fontId="1" type="noConversion"/>
  </si>
  <si>
    <t>精英耀阳</t>
    <phoneticPr fontId="1" type="noConversion"/>
  </si>
  <si>
    <t>精英赌王</t>
    <phoneticPr fontId="1" type="noConversion"/>
  </si>
  <si>
    <t>精英司徒浩南</t>
    <phoneticPr fontId="1" type="noConversion"/>
  </si>
  <si>
    <t>混合生命</t>
    <phoneticPr fontId="1" type="noConversion"/>
  </si>
  <si>
    <t>混合攻击</t>
    <phoneticPr fontId="1" type="noConversion"/>
  </si>
  <si>
    <t>混合防御</t>
    <phoneticPr fontId="1" type="noConversion"/>
  </si>
  <si>
    <t>5级装备</t>
    <phoneticPr fontId="1" type="noConversion"/>
  </si>
  <si>
    <t>调整生命</t>
    <phoneticPr fontId="1" type="noConversion"/>
  </si>
  <si>
    <t>调整攻击</t>
    <phoneticPr fontId="1" type="noConversion"/>
  </si>
  <si>
    <t>调整防御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</si>
  <si>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</si>
  <si>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</si>
  <si>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</si>
  <si>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马仔进入</t>
    <phoneticPr fontId="1" type="noConversion"/>
  </si>
  <si>
    <t>15级装备</t>
    <phoneticPr fontId="1" type="noConversion"/>
  </si>
  <si>
    <t>30级装备</t>
    <phoneticPr fontId="1" type="noConversion"/>
  </si>
  <si>
    <t>45级装备</t>
    <phoneticPr fontId="1" type="noConversion"/>
  </si>
  <si>
    <t>60级装备</t>
    <phoneticPr fontId="1" type="noConversion"/>
  </si>
  <si>
    <t>70级装备</t>
    <phoneticPr fontId="1" type="noConversion"/>
  </si>
  <si>
    <t>血量百分比</t>
    <phoneticPr fontId="1" type="noConversion"/>
  </si>
  <si>
    <t>攻击百分比</t>
    <phoneticPr fontId="1" type="noConversion"/>
  </si>
  <si>
    <t>防御百分比</t>
    <phoneticPr fontId="1" type="noConversion"/>
  </si>
  <si>
    <t>飞刀兵</t>
    <phoneticPr fontId="1" type="noConversion"/>
  </si>
  <si>
    <t>马仔经验飞刀兵</t>
    <phoneticPr fontId="1" type="noConversion"/>
  </si>
  <si>
    <t>袭击者</t>
    <phoneticPr fontId="1" type="noConversion"/>
  </si>
  <si>
    <t>马仔经验袭击者</t>
    <phoneticPr fontId="1" type="noConversion"/>
  </si>
  <si>
    <t>打仔</t>
    <phoneticPr fontId="1" type="noConversion"/>
  </si>
  <si>
    <t>马仔经验打仔</t>
    <phoneticPr fontId="1" type="noConversion"/>
  </si>
  <si>
    <t>街头混混</t>
    <phoneticPr fontId="1" type="noConversion"/>
  </si>
  <si>
    <t>马仔经验街头混混</t>
    <phoneticPr fontId="1" type="noConversion"/>
  </si>
  <si>
    <t>油桶</t>
    <phoneticPr fontId="1" type="noConversion"/>
  </si>
  <si>
    <t>马仔经验油桶</t>
    <phoneticPr fontId="1" type="noConversion"/>
  </si>
  <si>
    <t>路障</t>
    <phoneticPr fontId="1" type="noConversion"/>
  </si>
  <si>
    <t>马仔经验路障</t>
    <phoneticPr fontId="1" type="noConversion"/>
  </si>
  <si>
    <t>马仔经验飞刀兵</t>
    <phoneticPr fontId="1" type="noConversion"/>
  </si>
  <si>
    <t>【马仔经验清路障】</t>
    <phoneticPr fontId="1" type="noConversion"/>
  </si>
  <si>
    <t>【马仔经验清路障】,需要配置必死技能</t>
    <phoneticPr fontId="1" type="noConversion"/>
  </si>
  <si>
    <t>命运本打仔</t>
    <phoneticPr fontId="1" type="noConversion"/>
  </si>
  <si>
    <t>命运本街头混混</t>
    <phoneticPr fontId="1" type="noConversion"/>
  </si>
  <si>
    <t>命运本棍男</t>
    <phoneticPr fontId="1" type="noConversion"/>
  </si>
  <si>
    <t>命运本飞刀兵</t>
    <phoneticPr fontId="1" type="noConversion"/>
  </si>
  <si>
    <t>命运本胖子</t>
    <phoneticPr fontId="1" type="noConversion"/>
  </si>
  <si>
    <t>【命运本百人斩】</t>
    <phoneticPr fontId="1" type="noConversion"/>
  </si>
  <si>
    <t>【挑战boss】</t>
    <phoneticPr fontId="1" type="noConversion"/>
  </si>
  <si>
    <t>雷复轰</t>
  </si>
  <si>
    <t>血量</t>
    <phoneticPr fontId="1" type="noConversion"/>
  </si>
  <si>
    <t>战力</t>
    <phoneticPr fontId="1" type="noConversion"/>
  </si>
  <si>
    <t>雷复轰</t>
    <phoneticPr fontId="1" type="noConversion"/>
  </si>
  <si>
    <t>额外AI类型</t>
    <phoneticPr fontId="1" type="noConversion"/>
  </si>
  <si>
    <t>HSai_monster</t>
  </si>
  <si>
    <t>HSai_monster_02</t>
  </si>
  <si>
    <t>丧彪手下</t>
    <phoneticPr fontId="1" type="noConversion"/>
  </si>
  <si>
    <t>拦截者</t>
    <phoneticPr fontId="1" type="noConversion"/>
  </si>
  <si>
    <t>靓坤手下</t>
    <phoneticPr fontId="1" type="noConversion"/>
  </si>
  <si>
    <t>偷车贼头目</t>
    <phoneticPr fontId="1" type="noConversion"/>
  </si>
  <si>
    <t>大飞弟子</t>
    <phoneticPr fontId="1" type="noConversion"/>
  </si>
  <si>
    <t>追踪者</t>
    <phoneticPr fontId="1" type="noConversion"/>
  </si>
  <si>
    <t>雷公保镖</t>
    <phoneticPr fontId="1" type="noConversion"/>
  </si>
  <si>
    <t>赌场警卫</t>
    <phoneticPr fontId="1" type="noConversion"/>
  </si>
  <si>
    <t>赏金猎手</t>
    <phoneticPr fontId="1" type="noConversion"/>
  </si>
  <si>
    <t>弹药库守卫</t>
    <phoneticPr fontId="1" type="noConversion"/>
  </si>
  <si>
    <t>人质看守</t>
    <phoneticPr fontId="1" type="noConversion"/>
  </si>
  <si>
    <t>乌鸦心腹</t>
    <phoneticPr fontId="1" type="noConversion"/>
  </si>
  <si>
    <t>黑星</t>
    <phoneticPr fontId="1" type="noConversion"/>
  </si>
  <si>
    <t>生番</t>
    <phoneticPr fontId="1" type="noConversion"/>
  </si>
  <si>
    <t>毒贩头目</t>
    <phoneticPr fontId="1" type="noConversion"/>
  </si>
  <si>
    <t>耀阳手下</t>
    <phoneticPr fontId="1" type="noConversion"/>
  </si>
  <si>
    <t>东星拳师</t>
    <phoneticPr fontId="1" type="noConversion"/>
  </si>
  <si>
    <t>外籍打手</t>
    <phoneticPr fontId="1" type="noConversion"/>
  </si>
  <si>
    <t>长毛</t>
    <phoneticPr fontId="1" type="noConversion"/>
  </si>
  <si>
    <t>大头仔</t>
    <phoneticPr fontId="1" type="noConversion"/>
  </si>
  <si>
    <t>阿勇</t>
    <phoneticPr fontId="1" type="noConversion"/>
  </si>
  <si>
    <t>非法裁判</t>
    <phoneticPr fontId="1" type="noConversion"/>
  </si>
  <si>
    <t>muzhuang</t>
  </si>
  <si>
    <t>丁瑶</t>
    <phoneticPr fontId="1" type="noConversion"/>
  </si>
  <si>
    <t>丁瑶_npc</t>
  </si>
  <si>
    <t>丁瑶_npc</t>
    <phoneticPr fontId="1" type="noConversion"/>
  </si>
  <si>
    <t>FADAI</t>
    <phoneticPr fontId="1" type="noConversion"/>
  </si>
  <si>
    <t>精英丧彪手下</t>
    <phoneticPr fontId="1" type="noConversion"/>
  </si>
  <si>
    <t>精英丧彪</t>
    <phoneticPr fontId="1" type="noConversion"/>
  </si>
  <si>
    <t>精英拦截者</t>
    <phoneticPr fontId="1" type="noConversion"/>
  </si>
  <si>
    <t>精英靓坤手下</t>
    <phoneticPr fontId="1" type="noConversion"/>
  </si>
  <si>
    <t>精英阿强</t>
    <phoneticPr fontId="1" type="noConversion"/>
  </si>
  <si>
    <t>阿强</t>
    <phoneticPr fontId="1" type="noConversion"/>
  </si>
  <si>
    <t>精英偷车贼头目</t>
    <phoneticPr fontId="1" type="noConversion"/>
  </si>
  <si>
    <t>精英大飞弟子</t>
    <phoneticPr fontId="1" type="noConversion"/>
  </si>
  <si>
    <t>精英追踪者</t>
    <phoneticPr fontId="1" type="noConversion"/>
  </si>
  <si>
    <t>精英雷公保镖</t>
    <phoneticPr fontId="1" type="noConversion"/>
  </si>
  <si>
    <t>精英赌场警卫</t>
    <phoneticPr fontId="1" type="noConversion"/>
  </si>
  <si>
    <t>精英赏金猎手</t>
    <phoneticPr fontId="1" type="noConversion"/>
  </si>
  <si>
    <t>精英追杀者</t>
    <phoneticPr fontId="1" type="noConversion"/>
  </si>
  <si>
    <t>精英弹药守卫</t>
    <phoneticPr fontId="1" type="noConversion"/>
  </si>
  <si>
    <t>精英人质看守</t>
    <phoneticPr fontId="1" type="noConversion"/>
  </si>
  <si>
    <t>精英乌鸦心腹</t>
    <phoneticPr fontId="1" type="noConversion"/>
  </si>
  <si>
    <t>精英黑星</t>
    <phoneticPr fontId="1" type="noConversion"/>
  </si>
  <si>
    <t>精英生番</t>
    <phoneticPr fontId="1" type="noConversion"/>
  </si>
  <si>
    <t>精英毒贩头目</t>
    <phoneticPr fontId="1" type="noConversion"/>
  </si>
  <si>
    <t>精英耀阳手下</t>
    <phoneticPr fontId="1" type="noConversion"/>
  </si>
  <si>
    <t>精英东星拳师</t>
    <phoneticPr fontId="1" type="noConversion"/>
  </si>
  <si>
    <t>精英外籍打手</t>
    <phoneticPr fontId="1" type="noConversion"/>
  </si>
  <si>
    <t>精英长毛</t>
    <phoneticPr fontId="1" type="noConversion"/>
  </si>
  <si>
    <t>精英大头仔</t>
    <phoneticPr fontId="1" type="noConversion"/>
  </si>
  <si>
    <t>精英阿勇</t>
    <phoneticPr fontId="1" type="noConversion"/>
  </si>
  <si>
    <t>精英非法裁判</t>
    <phoneticPr fontId="1" type="noConversion"/>
  </si>
  <si>
    <t>刀仔</t>
    <phoneticPr fontId="1" type="noConversion"/>
  </si>
  <si>
    <t>拳手</t>
    <phoneticPr fontId="1" type="noConversion"/>
  </si>
  <si>
    <t>十四妹</t>
    <phoneticPr fontId="1" type="noConversion"/>
  </si>
  <si>
    <t>刀仔（机车）</t>
  </si>
  <si>
    <t>刀仔（机车）</t>
    <phoneticPr fontId="1" type="noConversion"/>
  </si>
  <si>
    <t>拳手（机车）</t>
  </si>
  <si>
    <t>拳手（机车）</t>
    <phoneticPr fontId="1" type="noConversion"/>
  </si>
  <si>
    <t>十四妹（机车）</t>
  </si>
  <si>
    <t>十四妹（机车）</t>
    <phoneticPr fontId="1" type="noConversion"/>
  </si>
  <si>
    <t>xinshou_DZ</t>
    <phoneticPr fontId="1" type="noConversion"/>
  </si>
  <si>
    <t>xinshou_QB</t>
    <phoneticPr fontId="1" type="noConversion"/>
  </si>
  <si>
    <t>xinshou_SSM</t>
    <phoneticPr fontId="1" type="noConversion"/>
  </si>
  <si>
    <t>ai_LS</t>
    <phoneticPr fontId="1" type="noConversion"/>
  </si>
  <si>
    <t>比利</t>
    <phoneticPr fontId="1" type="noConversion"/>
  </si>
  <si>
    <t>宫本一</t>
  </si>
  <si>
    <t>拳手</t>
    <phoneticPr fontId="1" type="noConversion"/>
  </si>
  <si>
    <t>巴闭</t>
    <phoneticPr fontId="1" type="noConversion"/>
  </si>
  <si>
    <t>木桩</t>
  </si>
  <si>
    <t>木桩</t>
    <phoneticPr fontId="1" type="noConversion"/>
  </si>
  <si>
    <t>muzhuang</t>
    <phoneticPr fontId="1" type="noConversion"/>
  </si>
  <si>
    <t>制服太妹</t>
    <phoneticPr fontId="1" type="noConversion"/>
  </si>
  <si>
    <t>ai_monster_03</t>
  </si>
  <si>
    <t>ai_monster_03</t>
    <phoneticPr fontId="1" type="noConversion"/>
  </si>
  <si>
    <t>英雄之路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</si>
  <si>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</si>
  <si>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</si>
  <si>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</si>
  <si>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攻</t>
    <phoneticPr fontId="1" type="noConversion"/>
  </si>
  <si>
    <t>防</t>
    <phoneticPr fontId="1" type="noConversion"/>
  </si>
  <si>
    <t>攻击</t>
  </si>
  <si>
    <t>血量系数</t>
    <phoneticPr fontId="1" type="noConversion"/>
  </si>
  <si>
    <t>输出系数</t>
    <phoneticPr fontId="1" type="noConversion"/>
  </si>
  <si>
    <t>防御系数</t>
    <phoneticPr fontId="1" type="noConversion"/>
  </si>
  <si>
    <t>等级</t>
    <phoneticPr fontId="1" type="noConversion"/>
  </si>
  <si>
    <t>百人斩</t>
    <phoneticPr fontId="1" type="noConversion"/>
  </si>
  <si>
    <t>逃亡</t>
    <phoneticPr fontId="1" type="noConversion"/>
  </si>
  <si>
    <t>普通副本</t>
    <phoneticPr fontId="1" type="noConversion"/>
  </si>
  <si>
    <t>精英副本</t>
    <phoneticPr fontId="1" type="noConversion"/>
  </si>
  <si>
    <t>金币副本</t>
    <phoneticPr fontId="1" type="noConversion"/>
  </si>
  <si>
    <t>材料副本</t>
    <phoneticPr fontId="1" type="noConversion"/>
  </si>
  <si>
    <t>马仔经验副本</t>
    <phoneticPr fontId="1" type="noConversion"/>
  </si>
  <si>
    <t>命运副本</t>
    <phoneticPr fontId="1" type="noConversion"/>
  </si>
  <si>
    <t>BOSS副本</t>
    <phoneticPr fontId="1" type="noConversion"/>
  </si>
  <si>
    <t>英雄之路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</si>
</sst>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76" formatCode="#,##0_ "/>
    <numFmt numFmtId="177" formatCode="0_ "/>
    <numFmt numFmtId="178" formatCode="0.00_ "/>
    <numFmt numFmtId="179" formatCode="#,##0.00_ "/>
    <numFmt numFmtId="180" formatCode="#,##0.00_);[Red]\(#,##0.00\)"/>
    <numFmt numFmtId="181" formatCode="_ * #,##0_ ;_ * \-#,##0_ ;_ * &quot;-&quot;??_ ;_ @_ "/>
  </numFmts>
  <fonts count="1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0"/>
      <name val="宋体"/>
      <family val="2"/>
      <scheme val="minor"/>
    </font>
    <font>
      <sz val="11"/>
      <color theme="0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宋体"/>
      <family val="2"/>
      <scheme val="minor"/>
    </font>
    <font>
      <b/>
      <i/>
      <u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70C0"/>
      <name val="宋体"/>
      <family val="2"/>
      <scheme val="minor"/>
    </font>
    <font>
      <sz val="11"/>
      <color rgb="FF0070C0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6" fillId="0" borderId="0" applyFont="0" applyFill="0" applyBorder="0" applyAlignment="0" applyProtection="0">
      <alignment vertical="center"/>
    </xf>
  </cellStyleXfs>
  <cellXfs count="153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0" borderId="2" xfId="0" applyFill="1" applyBorder="1"/>
    <xf numFmtId="0" fontId="0" fillId="4" borderId="0" xfId="0" applyFill="1"/>
    <xf numFmtId="0" fontId="0" fillId="5" borderId="0" xfId="0" applyFill="1"/>
    <xf numFmtId="0" fontId="2" fillId="5" borderId="0" xfId="0" applyFont="1" applyFill="1"/>
    <xf numFmtId="0" fontId="3" fillId="5" borderId="0" xfId="0" applyFont="1" applyFill="1"/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49" fontId="0" fillId="0" borderId="4" xfId="0" applyNumberFormat="1" applyBorder="1"/>
    <xf numFmtId="49" fontId="0" fillId="0" borderId="2" xfId="0" applyNumberFormat="1" applyBorder="1"/>
    <xf numFmtId="0" fontId="0" fillId="6" borderId="2" xfId="0" applyFill="1" applyBorder="1"/>
    <xf numFmtId="0" fontId="0" fillId="6" borderId="0" xfId="0" applyFill="1"/>
    <xf numFmtId="176" fontId="0" fillId="0" borderId="0" xfId="0" applyNumberFormat="1"/>
    <xf numFmtId="0" fontId="4" fillId="7" borderId="0" xfId="0" applyFont="1" applyFill="1"/>
    <xf numFmtId="0" fontId="5" fillId="7" borderId="0" xfId="0" applyFont="1" applyFill="1"/>
    <xf numFmtId="0" fontId="5" fillId="7" borderId="2" xfId="0" applyFont="1" applyFill="1" applyBorder="1"/>
    <xf numFmtId="0" fontId="0" fillId="2" borderId="2" xfId="0" applyFill="1" applyBorder="1"/>
    <xf numFmtId="0" fontId="0" fillId="8" borderId="0" xfId="0" applyFill="1"/>
    <xf numFmtId="49" fontId="0" fillId="0" borderId="0" xfId="0" applyNumberFormat="1"/>
    <xf numFmtId="0" fontId="0" fillId="0" borderId="2" xfId="0" applyBorder="1" applyAlignment="1">
      <alignment horizontal="center"/>
    </xf>
    <xf numFmtId="0" fontId="0" fillId="6" borderId="2" xfId="0" applyFill="1" applyBorder="1" applyAlignment="1">
      <alignment vertical="center"/>
    </xf>
    <xf numFmtId="0" fontId="6" fillId="6" borderId="2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0" borderId="0" xfId="0" applyNumberFormat="1"/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0" borderId="12" xfId="0" applyBorder="1"/>
    <xf numFmtId="0" fontId="0" fillId="8" borderId="10" xfId="0" applyFill="1" applyBorder="1"/>
    <xf numFmtId="49" fontId="0" fillId="8" borderId="12" xfId="0" applyNumberFormat="1" applyFill="1" applyBorder="1"/>
    <xf numFmtId="0" fontId="0" fillId="0" borderId="8" xfId="0" applyBorder="1"/>
    <xf numFmtId="0" fontId="0" fillId="0" borderId="0" xfId="0" applyFill="1" applyBorder="1"/>
    <xf numFmtId="49" fontId="0" fillId="0" borderId="8" xfId="0" applyNumberFormat="1" applyBorder="1"/>
    <xf numFmtId="0" fontId="0" fillId="6" borderId="10" xfId="0" applyFill="1" applyBorder="1"/>
    <xf numFmtId="0" fontId="0" fillId="8" borderId="13" xfId="0" applyFill="1" applyBorder="1"/>
    <xf numFmtId="0" fontId="0" fillId="0" borderId="8" xfId="0" applyNumberFormat="1" applyBorder="1"/>
    <xf numFmtId="0" fontId="0" fillId="6" borderId="11" xfId="0" applyFill="1" applyBorder="1"/>
    <xf numFmtId="0" fontId="0" fillId="6" borderId="11" xfId="0" applyNumberFormat="1" applyFill="1" applyBorder="1"/>
    <xf numFmtId="0" fontId="0" fillId="6" borderId="11" xfId="0" applyFill="1" applyBorder="1" applyAlignment="1">
      <alignment vertical="center"/>
    </xf>
    <xf numFmtId="0" fontId="0" fillId="0" borderId="2" xfId="0" applyNumberFormat="1" applyBorder="1"/>
    <xf numFmtId="0" fontId="5" fillId="7" borderId="4" xfId="0" applyFont="1" applyFill="1" applyBorder="1"/>
    <xf numFmtId="0" fontId="5" fillId="9" borderId="2" xfId="0" applyFont="1" applyFill="1" applyBorder="1"/>
    <xf numFmtId="0" fontId="0" fillId="9" borderId="2" xfId="0" applyFill="1" applyBorder="1"/>
    <xf numFmtId="10" fontId="0" fillId="0" borderId="2" xfId="0" applyNumberFormat="1" applyBorder="1"/>
    <xf numFmtId="0" fontId="0" fillId="11" borderId="2" xfId="0" applyFill="1" applyBorder="1"/>
    <xf numFmtId="0" fontId="0" fillId="11" borderId="10" xfId="0" applyFill="1" applyBorder="1"/>
    <xf numFmtId="176" fontId="0" fillId="0" borderId="8" xfId="0" applyNumberFormat="1" applyBorder="1"/>
    <xf numFmtId="0" fontId="0" fillId="0" borderId="4" xfId="0" applyNumberFormat="1" applyBorder="1"/>
    <xf numFmtId="0" fontId="0" fillId="0" borderId="11" xfId="0" applyNumberFormat="1" applyBorder="1"/>
    <xf numFmtId="0" fontId="0" fillId="0" borderId="0" xfId="0" applyBorder="1"/>
    <xf numFmtId="0" fontId="6" fillId="6" borderId="8" xfId="0" applyFont="1" applyFill="1" applyBorder="1" applyAlignment="1">
      <alignment vertical="center"/>
    </xf>
    <xf numFmtId="0" fontId="0" fillId="6" borderId="4" xfId="0" applyFill="1" applyBorder="1"/>
    <xf numFmtId="0" fontId="6" fillId="6" borderId="4" xfId="0" applyFont="1" applyFill="1" applyBorder="1" applyAlignment="1">
      <alignment vertical="center"/>
    </xf>
    <xf numFmtId="0" fontId="0" fillId="12" borderId="8" xfId="0" applyFill="1" applyBorder="1"/>
    <xf numFmtId="0" fontId="0" fillId="12" borderId="8" xfId="0" applyNumberFormat="1" applyFill="1" applyBorder="1"/>
    <xf numFmtId="0" fontId="0" fillId="12" borderId="2" xfId="0" applyFill="1" applyBorder="1"/>
    <xf numFmtId="0" fontId="0" fillId="12" borderId="0" xfId="0" applyFill="1"/>
    <xf numFmtId="0" fontId="4" fillId="13" borderId="0" xfId="0" applyFont="1" applyFill="1"/>
    <xf numFmtId="0" fontId="4" fillId="13" borderId="2" xfId="0" applyFont="1" applyFill="1" applyBorder="1"/>
    <xf numFmtId="10" fontId="4" fillId="13" borderId="2" xfId="0" applyNumberFormat="1" applyFont="1" applyFill="1" applyBorder="1"/>
    <xf numFmtId="0" fontId="0" fillId="8" borderId="2" xfId="0" applyFill="1" applyBorder="1"/>
    <xf numFmtId="0" fontId="5" fillId="7" borderId="14" xfId="0" applyFont="1" applyFill="1" applyBorder="1"/>
    <xf numFmtId="177" fontId="0" fillId="0" borderId="0" xfId="0" applyNumberFormat="1"/>
    <xf numFmtId="0" fontId="0" fillId="6" borderId="14" xfId="0" applyFill="1" applyBorder="1"/>
    <xf numFmtId="0" fontId="0" fillId="8" borderId="15" xfId="0" applyFill="1" applyBorder="1"/>
    <xf numFmtId="177" fontId="0" fillId="0" borderId="8" xfId="0" applyNumberFormat="1" applyBorder="1"/>
    <xf numFmtId="0" fontId="0" fillId="0" borderId="8" xfId="0" applyFill="1" applyBorder="1"/>
    <xf numFmtId="0" fontId="0" fillId="0" borderId="8" xfId="0" applyNumberFormat="1" applyFill="1" applyBorder="1"/>
    <xf numFmtId="0" fontId="0" fillId="0" borderId="0" xfId="0" applyFill="1"/>
    <xf numFmtId="176" fontId="0" fillId="0" borderId="2" xfId="0" applyNumberFormat="1" applyFill="1" applyBorder="1"/>
    <xf numFmtId="0" fontId="0" fillId="0" borderId="14" xfId="0" applyFill="1" applyBorder="1"/>
    <xf numFmtId="0" fontId="0" fillId="14" borderId="2" xfId="0" applyFill="1" applyBorder="1" applyAlignment="1">
      <alignment vertical="center"/>
    </xf>
    <xf numFmtId="0" fontId="10" fillId="15" borderId="8" xfId="0" applyFont="1" applyFill="1" applyBorder="1"/>
    <xf numFmtId="0" fontId="0" fillId="2" borderId="0" xfId="0" applyFill="1" applyBorder="1"/>
    <xf numFmtId="176" fontId="0" fillId="13" borderId="0" xfId="0" applyNumberFormat="1" applyFill="1"/>
    <xf numFmtId="0" fontId="0" fillId="13" borderId="0" xfId="0" applyFill="1"/>
    <xf numFmtId="0" fontId="0" fillId="13" borderId="2" xfId="0" applyFill="1" applyBorder="1"/>
    <xf numFmtId="178" fontId="0" fillId="0" borderId="0" xfId="0" applyNumberFormat="1"/>
    <xf numFmtId="0" fontId="0" fillId="0" borderId="0" xfId="0" applyAlignment="1">
      <alignment wrapText="1"/>
    </xf>
    <xf numFmtId="0" fontId="4" fillId="0" borderId="0" xfId="0" applyFont="1" applyFill="1"/>
    <xf numFmtId="0" fontId="2" fillId="0" borderId="0" xfId="0" applyFont="1" applyFill="1"/>
    <xf numFmtId="0" fontId="0" fillId="16" borderId="0" xfId="0" applyFill="1"/>
    <xf numFmtId="0" fontId="0" fillId="17" borderId="0" xfId="0" applyFill="1"/>
    <xf numFmtId="176" fontId="0" fillId="16" borderId="0" xfId="0" applyNumberFormat="1" applyFill="1"/>
    <xf numFmtId="176" fontId="2" fillId="16" borderId="0" xfId="0" applyNumberFormat="1" applyFont="1" applyFill="1"/>
    <xf numFmtId="0" fontId="2" fillId="16" borderId="0" xfId="0" applyFont="1" applyFill="1"/>
    <xf numFmtId="0" fontId="3" fillId="16" borderId="0" xfId="0" applyFont="1" applyFill="1"/>
    <xf numFmtId="0" fontId="2" fillId="19" borderId="0" xfId="0" applyFont="1" applyFill="1"/>
    <xf numFmtId="0" fontId="3" fillId="19" borderId="0" xfId="0" applyFont="1" applyFill="1"/>
    <xf numFmtId="0" fontId="2" fillId="12" borderId="0" xfId="0" applyFont="1" applyFill="1"/>
    <xf numFmtId="0" fontId="3" fillId="12" borderId="0" xfId="0" applyFont="1" applyFill="1"/>
    <xf numFmtId="0" fontId="2" fillId="18" borderId="0" xfId="0" applyFont="1" applyFill="1"/>
    <xf numFmtId="0" fontId="3" fillId="18" borderId="0" xfId="0" applyFont="1" applyFill="1"/>
    <xf numFmtId="9" fontId="0" fillId="0" borderId="0" xfId="0" applyNumberFormat="1"/>
    <xf numFmtId="0" fontId="0" fillId="6" borderId="14" xfId="0" applyFill="1" applyBorder="1" applyAlignment="1">
      <alignment horizontal="center"/>
    </xf>
    <xf numFmtId="0" fontId="0" fillId="6" borderId="0" xfId="0" applyFill="1" applyBorder="1"/>
    <xf numFmtId="0" fontId="0" fillId="6" borderId="13" xfId="0" applyFill="1" applyBorder="1"/>
    <xf numFmtId="10" fontId="0" fillId="17" borderId="0" xfId="0" applyNumberFormat="1" applyFill="1"/>
    <xf numFmtId="0" fontId="0" fillId="20" borderId="2" xfId="0" applyFill="1" applyBorder="1"/>
    <xf numFmtId="0" fontId="0" fillId="21" borderId="0" xfId="0" applyFill="1"/>
    <xf numFmtId="0" fontId="0" fillId="21" borderId="2" xfId="0" applyFill="1" applyBorder="1"/>
    <xf numFmtId="0" fontId="0" fillId="21" borderId="4" xfId="0" applyNumberFormat="1" applyFill="1" applyBorder="1"/>
    <xf numFmtId="176" fontId="0" fillId="21" borderId="2" xfId="0" applyNumberFormat="1" applyFill="1" applyBorder="1"/>
    <xf numFmtId="10" fontId="0" fillId="21" borderId="2" xfId="0" applyNumberFormat="1" applyFill="1" applyBorder="1"/>
    <xf numFmtId="0" fontId="0" fillId="21" borderId="2" xfId="0" applyNumberFormat="1" applyFill="1" applyBorder="1"/>
    <xf numFmtId="0" fontId="11" fillId="0" borderId="0" xfId="0" applyFont="1" applyFill="1"/>
    <xf numFmtId="0" fontId="12" fillId="0" borderId="8" xfId="0" applyFont="1" applyBorder="1"/>
    <xf numFmtId="176" fontId="12" fillId="0" borderId="8" xfId="0" applyNumberFormat="1" applyFont="1" applyBorder="1"/>
    <xf numFmtId="0" fontId="12" fillId="0" borderId="2" xfId="0" applyFont="1" applyBorder="1"/>
    <xf numFmtId="0" fontId="12" fillId="0" borderId="8" xfId="0" applyFont="1" applyFill="1" applyBorder="1"/>
    <xf numFmtId="0" fontId="12" fillId="0" borderId="8" xfId="0" applyNumberFormat="1" applyFont="1" applyFill="1" applyBorder="1"/>
    <xf numFmtId="0" fontId="12" fillId="0" borderId="2" xfId="0" applyFont="1" applyFill="1" applyBorder="1"/>
    <xf numFmtId="176" fontId="12" fillId="0" borderId="0" xfId="0" applyNumberFormat="1" applyFont="1"/>
    <xf numFmtId="0" fontId="12" fillId="0" borderId="0" xfId="0" applyFont="1" applyFill="1"/>
    <xf numFmtId="178" fontId="12" fillId="0" borderId="0" xfId="0" applyNumberFormat="1" applyFont="1"/>
    <xf numFmtId="0" fontId="13" fillId="15" borderId="8" xfId="0" applyFont="1" applyFill="1" applyBorder="1"/>
    <xf numFmtId="0" fontId="12" fillId="0" borderId="8" xfId="0" applyNumberFormat="1" applyFont="1" applyBorder="1"/>
    <xf numFmtId="0" fontId="12" fillId="0" borderId="0" xfId="0" applyFont="1"/>
    <xf numFmtId="179" fontId="0" fillId="10" borderId="2" xfId="0" applyNumberFormat="1" applyFill="1" applyBorder="1"/>
    <xf numFmtId="10" fontId="0" fillId="13" borderId="2" xfId="0" applyNumberFormat="1" applyFill="1" applyBorder="1"/>
    <xf numFmtId="0" fontId="14" fillId="0" borderId="0" xfId="0" applyFont="1"/>
    <xf numFmtId="0" fontId="14" fillId="0" borderId="2" xfId="0" applyFont="1" applyBorder="1"/>
    <xf numFmtId="0" fontId="15" fillId="13" borderId="2" xfId="0" applyFont="1" applyFill="1" applyBorder="1"/>
    <xf numFmtId="0" fontId="15" fillId="13" borderId="0" xfId="0" applyFont="1" applyFill="1"/>
    <xf numFmtId="180" fontId="3" fillId="19" borderId="0" xfId="0" applyNumberFormat="1" applyFont="1" applyFill="1"/>
    <xf numFmtId="180" fontId="0" fillId="0" borderId="0" xfId="0" applyNumberFormat="1"/>
    <xf numFmtId="180" fontId="3" fillId="12" borderId="0" xfId="0" applyNumberFormat="1" applyFont="1" applyFill="1"/>
    <xf numFmtId="180" fontId="3" fillId="18" borderId="0" xfId="0" applyNumberFormat="1" applyFont="1" applyFill="1"/>
    <xf numFmtId="180" fontId="4" fillId="13" borderId="0" xfId="0" applyNumberFormat="1" applyFont="1" applyFill="1"/>
    <xf numFmtId="180" fontId="2" fillId="12" borderId="0" xfId="0" applyNumberFormat="1" applyFont="1" applyFill="1"/>
    <xf numFmtId="180" fontId="4" fillId="0" borderId="0" xfId="0" applyNumberFormat="1" applyFont="1" applyFill="1"/>
    <xf numFmtId="180" fontId="2" fillId="0" borderId="0" xfId="0" applyNumberFormat="1" applyFont="1" applyFill="1"/>
    <xf numFmtId="181" fontId="0" fillId="0" borderId="0" xfId="1" applyNumberFormat="1" applyFont="1" applyAlignment="1"/>
    <xf numFmtId="0" fontId="0" fillId="22" borderId="2" xfId="0" applyFill="1" applyBorder="1"/>
    <xf numFmtId="0" fontId="0" fillId="22" borderId="11" xfId="0" applyFill="1" applyBorder="1"/>
    <xf numFmtId="176" fontId="0" fillId="22" borderId="2" xfId="0" applyNumberFormat="1" applyFill="1" applyBorder="1"/>
    <xf numFmtId="0" fontId="0" fillId="22" borderId="0" xfId="0" applyFill="1" applyBorder="1"/>
    <xf numFmtId="10" fontId="0" fillId="22" borderId="0" xfId="0" applyNumberFormat="1" applyFill="1"/>
    <xf numFmtId="0" fontId="0" fillId="22" borderId="0" xfId="0" applyFill="1"/>
    <xf numFmtId="0" fontId="0" fillId="22" borderId="14" xfId="0" applyFill="1" applyBorder="1"/>
    <xf numFmtId="0" fontId="0" fillId="22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常规" xfId="0" builtinId="0"/>
    <cellStyle name="千位分隔" xfId="1" builtinId="3"/>
  </cellStyles>
  <dxfs count="18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8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5659799905085673E-2"/>
          <c:y val="1.3945119208277111E-2"/>
          <c:w val="0.91819013859429932"/>
          <c:h val="0.81464609433942214"/>
        </c:manualLayout>
      </c:layout>
      <c:lineChart>
        <c:grouping val="standard"/>
        <c:varyColors val="0"/>
        <c:ser>
          <c:idx val="0"/>
          <c:order val="0"/>
          <c:tx>
            <c:v>攻击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人物成长模拟表!$D$2:$D$101</c:f>
              <c:numCache>
                <c:formatCode>General</c:formatCode>
                <c:ptCount val="100"/>
                <c:pt idx="0">
                  <c:v>59.400000000000006</c:v>
                </c:pt>
                <c:pt idx="1">
                  <c:v>64.8</c:v>
                </c:pt>
                <c:pt idx="2">
                  <c:v>70.2</c:v>
                </c:pt>
                <c:pt idx="3">
                  <c:v>60.48</c:v>
                </c:pt>
                <c:pt idx="4">
                  <c:v>64.8</c:v>
                </c:pt>
                <c:pt idx="5">
                  <c:v>106.70400000000001</c:v>
                </c:pt>
                <c:pt idx="6">
                  <c:v>122.3235</c:v>
                </c:pt>
                <c:pt idx="7">
                  <c:v>138.99600000000001</c:v>
                </c:pt>
                <c:pt idx="8">
                  <c:v>174.56497826086957</c:v>
                </c:pt>
                <c:pt idx="9">
                  <c:v>213.0652173913044</c:v>
                </c:pt>
                <c:pt idx="10">
                  <c:v>254.49671739130437</c:v>
                </c:pt>
                <c:pt idx="11">
                  <c:v>298.85947826086959</c:v>
                </c:pt>
                <c:pt idx="12">
                  <c:v>346.15350000000001</c:v>
                </c:pt>
                <c:pt idx="13">
                  <c:v>396.3787826086957</c:v>
                </c:pt>
                <c:pt idx="14">
                  <c:v>449.5353260869565</c:v>
                </c:pt>
                <c:pt idx="15">
                  <c:v>505.62313043478264</c:v>
                </c:pt>
                <c:pt idx="16">
                  <c:v>564.64219565217388</c:v>
                </c:pt>
                <c:pt idx="17">
                  <c:v>626.59252173913069</c:v>
                </c:pt>
                <c:pt idx="18">
                  <c:v>691.47410869565238</c:v>
                </c:pt>
                <c:pt idx="19">
                  <c:v>759.28695652173928</c:v>
                </c:pt>
                <c:pt idx="20">
                  <c:v>830.03106521739164</c:v>
                </c:pt>
                <c:pt idx="21">
                  <c:v>903.70643478260888</c:v>
                </c:pt>
                <c:pt idx="22">
                  <c:v>998.58998829431459</c:v>
                </c:pt>
                <c:pt idx="23">
                  <c:v>1097.5124949832777</c:v>
                </c:pt>
                <c:pt idx="24">
                  <c:v>1200.4739548494988</c:v>
                </c:pt>
                <c:pt idx="25">
                  <c:v>1324.0631678929769</c:v>
                </c:pt>
                <c:pt idx="26">
                  <c:v>1452.6129341137128</c:v>
                </c:pt>
                <c:pt idx="27">
                  <c:v>1586.1232535117063</c:v>
                </c:pt>
                <c:pt idx="28">
                  <c:v>1724.5941260869572</c:v>
                </c:pt>
                <c:pt idx="29">
                  <c:v>1891.3758712374593</c:v>
                </c:pt>
                <c:pt idx="30">
                  <c:v>2091.4184267307696</c:v>
                </c:pt>
                <c:pt idx="31">
                  <c:v>2304.2808666722412</c:v>
                </c:pt>
                <c:pt idx="32">
                  <c:v>2529.4836395693992</c:v>
                </c:pt>
                <c:pt idx="33">
                  <c:v>2767.3078895819403</c:v>
                </c:pt>
                <c:pt idx="34">
                  <c:v>3018.0347608695656</c:v>
                </c:pt>
                <c:pt idx="35">
                  <c:v>3281.9453975919737</c:v>
                </c:pt>
                <c:pt idx="36">
                  <c:v>3559.3209439088632</c:v>
                </c:pt>
                <c:pt idx="37">
                  <c:v>3850.4425439799334</c:v>
                </c:pt>
                <c:pt idx="38">
                  <c:v>4155.5913419648832</c:v>
                </c:pt>
                <c:pt idx="39">
                  <c:v>4515.3642341137138</c:v>
                </c:pt>
                <c:pt idx="40">
                  <c:v>4893.4651979347846</c:v>
                </c:pt>
                <c:pt idx="41">
                  <c:v>5290.2690923076943</c:v>
                </c:pt>
                <c:pt idx="42">
                  <c:v>5706.1507761120411</c:v>
                </c:pt>
                <c:pt idx="43">
                  <c:v>6141.4851082274254</c:v>
                </c:pt>
                <c:pt idx="44">
                  <c:v>6596.6469475334461</c:v>
                </c:pt>
                <c:pt idx="45">
                  <c:v>7072.0111529097012</c:v>
                </c:pt>
                <c:pt idx="46">
                  <c:v>7567.9525832357876</c:v>
                </c:pt>
                <c:pt idx="47">
                  <c:v>8084.8460973913079</c:v>
                </c:pt>
                <c:pt idx="48">
                  <c:v>8623.0665542558563</c:v>
                </c:pt>
                <c:pt idx="49">
                  <c:v>9243.4032127926457</c:v>
                </c:pt>
                <c:pt idx="50">
                  <c:v>9792.2573089464895</c:v>
                </c:pt>
                <c:pt idx="51">
                  <c:v>10563.865135585287</c:v>
                </c:pt>
                <c:pt idx="52">
                  <c:v>11264.927547040137</c:v>
                </c:pt>
                <c:pt idx="53">
                  <c:v>11993.835690000004</c:v>
                </c:pt>
                <c:pt idx="54">
                  <c:v>12751.058138064383</c:v>
                </c:pt>
                <c:pt idx="55">
                  <c:v>13537.06346483278</c:v>
                </c:pt>
                <c:pt idx="56">
                  <c:v>14352.320243904687</c:v>
                </c:pt>
                <c:pt idx="57">
                  <c:v>15197.297048879604</c:v>
                </c:pt>
                <c:pt idx="58">
                  <c:v>16072.46245335703</c:v>
                </c:pt>
                <c:pt idx="59">
                  <c:v>17061.921903010043</c:v>
                </c:pt>
                <c:pt idx="60">
                  <c:v>18087.495214402181</c:v>
                </c:pt>
                <c:pt idx="61">
                  <c:v>19149.744675852849</c:v>
                </c:pt>
                <c:pt idx="62">
                  <c:v>20249.232575681446</c:v>
                </c:pt>
                <c:pt idx="63">
                  <c:v>21386.521202207365</c:v>
                </c:pt>
                <c:pt idx="64">
                  <c:v>22562.172843749999</c:v>
                </c:pt>
                <c:pt idx="65">
                  <c:v>23776.749788628775</c:v>
                </c:pt>
                <c:pt idx="66">
                  <c:v>25030.814325163061</c:v>
                </c:pt>
                <c:pt idx="67">
                  <c:v>26324.928741672262</c:v>
                </c:pt>
                <c:pt idx="68">
                  <c:v>27659.655326475775</c:v>
                </c:pt>
                <c:pt idx="69">
                  <c:v>29145.539535953201</c:v>
                </c:pt>
                <c:pt idx="70">
                  <c:v>30678.773370200688</c:v>
                </c:pt>
                <c:pt idx="71">
                  <c:v>32260.012832257547</c:v>
                </c:pt>
                <c:pt idx="72">
                  <c:v>33889.913925163062</c:v>
                </c:pt>
                <c:pt idx="73">
                  <c:v>35569.132651956541</c:v>
                </c:pt>
                <c:pt idx="74">
                  <c:v>37298.325015677277</c:v>
                </c:pt>
                <c:pt idx="75">
                  <c:v>39078.147019364565</c:v>
                </c:pt>
                <c:pt idx="76">
                  <c:v>40909.254666057714</c:v>
                </c:pt>
                <c:pt idx="77">
                  <c:v>42792.303958795994</c:v>
                </c:pt>
                <c:pt idx="78">
                  <c:v>44727.950900618751</c:v>
                </c:pt>
                <c:pt idx="79">
                  <c:v>46856.304782608699</c:v>
                </c:pt>
                <c:pt idx="80">
                  <c:v>49044.805964398009</c:v>
                </c:pt>
                <c:pt idx="81">
                  <c:v>51294.204163745839</c:v>
                </c:pt>
                <c:pt idx="82">
                  <c:v>53605.24909841139</c:v>
                </c:pt>
                <c:pt idx="83">
                  <c:v>55978.690486153864</c:v>
                </c:pt>
                <c:pt idx="84">
                  <c:v>58415.278044732448</c:v>
                </c:pt>
                <c:pt idx="85">
                  <c:v>60915.761491906371</c:v>
                </c:pt>
                <c:pt idx="86">
                  <c:v>63480.890545434777</c:v>
                </c:pt>
                <c:pt idx="87">
                  <c:v>66111.414923076896</c:v>
                </c:pt>
                <c:pt idx="88">
                  <c:v>68808.084342591959</c:v>
                </c:pt>
                <c:pt idx="89">
                  <c:v>71571.648521739087</c:v>
                </c:pt>
                <c:pt idx="90">
                  <c:v>74402.857178277554</c:v>
                </c:pt>
                <c:pt idx="91">
                  <c:v>77302.460029966533</c:v>
                </c:pt>
                <c:pt idx="92">
                  <c:v>80271.206794565165</c:v>
                </c:pt>
                <c:pt idx="93">
                  <c:v>83309.847189832726</c:v>
                </c:pt>
                <c:pt idx="94">
                  <c:v>86419.130933528359</c:v>
                </c:pt>
                <c:pt idx="95">
                  <c:v>89599.807743411307</c:v>
                </c:pt>
                <c:pt idx="96">
                  <c:v>92852.627337240745</c:v>
                </c:pt>
                <c:pt idx="97">
                  <c:v>96178.339432775829</c:v>
                </c:pt>
                <c:pt idx="98">
                  <c:v>99577.693747775833</c:v>
                </c:pt>
                <c:pt idx="99">
                  <c:v>103051.43999999992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"/>
          <c:order val="1"/>
          <c:tx>
            <c:v>防御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人物成长模拟表!$E$2:$E$101</c:f>
              <c:numCache>
                <c:formatCode>General</c:formatCode>
                <c:ptCount val="100"/>
                <c:pt idx="0">
                  <c:v>26.400000000000002</c:v>
                </c:pt>
                <c:pt idx="1">
                  <c:v>28.8</c:v>
                </c:pt>
                <c:pt idx="2">
                  <c:v>31.200000000000003</c:v>
                </c:pt>
                <c:pt idx="3">
                  <c:v>26.880000000000003</c:v>
                </c:pt>
                <c:pt idx="4">
                  <c:v>28.8</c:v>
                </c:pt>
                <c:pt idx="5">
                  <c:v>47.424000000000007</c:v>
                </c:pt>
                <c:pt idx="6">
                  <c:v>54.366</c:v>
                </c:pt>
                <c:pt idx="7">
                  <c:v>61.77600000000001</c:v>
                </c:pt>
                <c:pt idx="8">
                  <c:v>77.584434782608696</c:v>
                </c:pt>
                <c:pt idx="9">
                  <c:v>94.695652173913061</c:v>
                </c:pt>
                <c:pt idx="10">
                  <c:v>113.10965217391305</c:v>
                </c:pt>
                <c:pt idx="11">
                  <c:v>132.82643478260871</c:v>
                </c:pt>
                <c:pt idx="12">
                  <c:v>153.846</c:v>
                </c:pt>
                <c:pt idx="13">
                  <c:v>176.168347826087</c:v>
                </c:pt>
                <c:pt idx="14">
                  <c:v>199.79347826086959</c:v>
                </c:pt>
                <c:pt idx="15">
                  <c:v>224.72139130434786</c:v>
                </c:pt>
                <c:pt idx="16">
                  <c:v>250.95208695652178</c:v>
                </c:pt>
                <c:pt idx="17">
                  <c:v>278.48556521739141</c:v>
                </c:pt>
                <c:pt idx="18">
                  <c:v>307.32182608695661</c:v>
                </c:pt>
                <c:pt idx="19">
                  <c:v>337.46086956521748</c:v>
                </c:pt>
                <c:pt idx="20">
                  <c:v>368.90269565217409</c:v>
                </c:pt>
                <c:pt idx="21">
                  <c:v>401.64730434782615</c:v>
                </c:pt>
                <c:pt idx="22">
                  <c:v>443.81777257525096</c:v>
                </c:pt>
                <c:pt idx="23">
                  <c:v>487.78333110367896</c:v>
                </c:pt>
                <c:pt idx="24">
                  <c:v>533.54397993311056</c:v>
                </c:pt>
                <c:pt idx="25">
                  <c:v>588.47251906354529</c:v>
                </c:pt>
                <c:pt idx="26">
                  <c:v>645.60574849498346</c:v>
                </c:pt>
                <c:pt idx="27">
                  <c:v>704.94366822742495</c:v>
                </c:pt>
                <c:pt idx="28">
                  <c:v>766.48627826086999</c:v>
                </c:pt>
                <c:pt idx="29">
                  <c:v>840.61149832775959</c:v>
                </c:pt>
                <c:pt idx="30">
                  <c:v>929.51930076923099</c:v>
                </c:pt>
                <c:pt idx="31">
                  <c:v>1024.1248296321073</c:v>
                </c:pt>
                <c:pt idx="32">
                  <c:v>1124.2149509197332</c:v>
                </c:pt>
                <c:pt idx="33">
                  <c:v>1229.9146175919734</c:v>
                </c:pt>
                <c:pt idx="34">
                  <c:v>1341.348782608696</c:v>
                </c:pt>
                <c:pt idx="35">
                  <c:v>1458.6423989297662</c:v>
                </c:pt>
                <c:pt idx="36">
                  <c:v>1581.9204195150503</c:v>
                </c:pt>
                <c:pt idx="37">
                  <c:v>1711.3077973244149</c:v>
                </c:pt>
                <c:pt idx="38">
                  <c:v>1846.9294853177259</c:v>
                </c:pt>
                <c:pt idx="39">
                  <c:v>2006.8285484949843</c:v>
                </c:pt>
                <c:pt idx="40">
                  <c:v>2174.8734213043485</c:v>
                </c:pt>
                <c:pt idx="41">
                  <c:v>2351.2307076923089</c:v>
                </c:pt>
                <c:pt idx="42">
                  <c:v>2536.067011605352</c:v>
                </c:pt>
                <c:pt idx="43">
                  <c:v>2729.5489369899669</c:v>
                </c:pt>
                <c:pt idx="44">
                  <c:v>2931.843087792643</c:v>
                </c:pt>
                <c:pt idx="45">
                  <c:v>3143.1160679598675</c:v>
                </c:pt>
                <c:pt idx="46">
                  <c:v>3363.5344814381283</c:v>
                </c:pt>
                <c:pt idx="47">
                  <c:v>3593.2649321739145</c:v>
                </c:pt>
                <c:pt idx="48">
                  <c:v>3832.4740241137142</c:v>
                </c:pt>
                <c:pt idx="49">
                  <c:v>4108.1792056856202</c:v>
                </c:pt>
                <c:pt idx="50">
                  <c:v>4395.6355031270914</c:v>
                </c:pt>
                <c:pt idx="51">
                  <c:v>4695.0511713712385</c:v>
                </c:pt>
                <c:pt idx="52">
                  <c:v>5006.6344653511724</c:v>
                </c:pt>
                <c:pt idx="53">
                  <c:v>5330.5936400000019</c:v>
                </c:pt>
                <c:pt idx="54">
                  <c:v>5667.1369502508369</c:v>
                </c:pt>
                <c:pt idx="55">
                  <c:v>6016.4726510367909</c:v>
                </c:pt>
                <c:pt idx="56">
                  <c:v>6378.808997290972</c:v>
                </c:pt>
                <c:pt idx="57">
                  <c:v>6754.3542439464909</c:v>
                </c:pt>
                <c:pt idx="58">
                  <c:v>7143.3166459364575</c:v>
                </c:pt>
                <c:pt idx="59">
                  <c:v>7583.0764013377966</c:v>
                </c:pt>
                <c:pt idx="60">
                  <c:v>8038.8867619565244</c:v>
                </c:pt>
                <c:pt idx="61">
                  <c:v>8510.997633712379</c:v>
                </c:pt>
                <c:pt idx="62">
                  <c:v>8999.6589225250864</c:v>
                </c:pt>
                <c:pt idx="63">
                  <c:v>9505.1205343143865</c:v>
                </c:pt>
                <c:pt idx="64">
                  <c:v>10027.632375000001</c:v>
                </c:pt>
                <c:pt idx="65">
                  <c:v>10567.444350501679</c:v>
                </c:pt>
                <c:pt idx="66">
                  <c:v>11124.806366739138</c:v>
                </c:pt>
                <c:pt idx="67">
                  <c:v>11699.968329632116</c:v>
                </c:pt>
                <c:pt idx="68">
                  <c:v>12293.180145100345</c:v>
                </c:pt>
                <c:pt idx="69">
                  <c:v>12953.573127090312</c:v>
                </c:pt>
                <c:pt idx="70">
                  <c:v>13635.010386755861</c:v>
                </c:pt>
                <c:pt idx="71">
                  <c:v>14337.783481003353</c:v>
                </c:pt>
                <c:pt idx="72">
                  <c:v>15062.183966739141</c:v>
                </c:pt>
                <c:pt idx="73">
                  <c:v>15808.503400869573</c:v>
                </c:pt>
                <c:pt idx="74">
                  <c:v>16577.033340301015</c:v>
                </c:pt>
                <c:pt idx="75">
                  <c:v>17368.065341939808</c:v>
                </c:pt>
                <c:pt idx="76">
                  <c:v>18181.890962692316</c:v>
                </c:pt>
                <c:pt idx="77">
                  <c:v>19018.801759464888</c:v>
                </c:pt>
                <c:pt idx="78">
                  <c:v>19879.08928916389</c:v>
                </c:pt>
                <c:pt idx="79">
                  <c:v>20825.024347826089</c:v>
                </c:pt>
                <c:pt idx="80">
                  <c:v>21797.691539732452</c:v>
                </c:pt>
                <c:pt idx="81">
                  <c:v>22797.424072775928</c:v>
                </c:pt>
                <c:pt idx="82">
                  <c:v>23824.55515484951</c:v>
                </c:pt>
                <c:pt idx="83">
                  <c:v>24879.417993846164</c:v>
                </c:pt>
                <c:pt idx="84">
                  <c:v>25962.345797658862</c:v>
                </c:pt>
                <c:pt idx="85">
                  <c:v>27073.671774180606</c:v>
                </c:pt>
                <c:pt idx="86">
                  <c:v>28213.729131304346</c:v>
                </c:pt>
                <c:pt idx="87">
                  <c:v>29382.851076923067</c:v>
                </c:pt>
                <c:pt idx="88">
                  <c:v>30581.370818929758</c:v>
                </c:pt>
                <c:pt idx="89">
                  <c:v>31809.621565217378</c:v>
                </c:pt>
                <c:pt idx="90">
                  <c:v>33067.936523678916</c:v>
                </c:pt>
                <c:pt idx="91">
                  <c:v>34356.648902207351</c:v>
                </c:pt>
                <c:pt idx="92">
                  <c:v>35676.091908695627</c:v>
                </c:pt>
                <c:pt idx="93">
                  <c:v>37026.59875103677</c:v>
                </c:pt>
                <c:pt idx="94">
                  <c:v>38408.502637123718</c:v>
                </c:pt>
                <c:pt idx="95">
                  <c:v>39822.136774849474</c:v>
                </c:pt>
                <c:pt idx="96">
                  <c:v>41267.834372106998</c:v>
                </c:pt>
                <c:pt idx="97">
                  <c:v>42745.928636789256</c:v>
                </c:pt>
                <c:pt idx="98">
                  <c:v>44256.752776789261</c:v>
                </c:pt>
                <c:pt idx="99">
                  <c:v>45800.639999999963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2"/>
          <c:order val="2"/>
          <c:tx>
            <c:v>非R攻击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人物成长模拟表!$T$2:$T$81</c:f>
              <c:numCache>
                <c:formatCode>#,##0.00_);[Red]\(#,##0.00\)</c:formatCode>
                <c:ptCount val="80"/>
                <c:pt idx="0">
                  <c:v>118.80000000000001</c:v>
                </c:pt>
                <c:pt idx="1">
                  <c:v>129.6</c:v>
                </c:pt>
                <c:pt idx="2">
                  <c:v>140.4</c:v>
                </c:pt>
                <c:pt idx="3">
                  <c:v>151.19999999999999</c:v>
                </c:pt>
                <c:pt idx="4">
                  <c:v>176.5143073540107</c:v>
                </c:pt>
                <c:pt idx="5">
                  <c:v>187.31430735401068</c:v>
                </c:pt>
                <c:pt idx="6">
                  <c:v>198.11430735401069</c:v>
                </c:pt>
                <c:pt idx="7">
                  <c:v>208.91430735401067</c:v>
                </c:pt>
                <c:pt idx="8">
                  <c:v>291.67247483208558</c:v>
                </c:pt>
                <c:pt idx="9">
                  <c:v>313.97596488556155</c:v>
                </c:pt>
                <c:pt idx="10">
                  <c:v>339.15532745240637</c:v>
                </c:pt>
                <c:pt idx="11">
                  <c:v>352.83119996577545</c:v>
                </c:pt>
                <c:pt idx="12">
                  <c:v>366.50707247914443</c:v>
                </c:pt>
                <c:pt idx="13">
                  <c:v>385.55861438288775</c:v>
                </c:pt>
                <c:pt idx="14">
                  <c:v>440.44795222245989</c:v>
                </c:pt>
                <c:pt idx="15">
                  <c:v>460.12382473582892</c:v>
                </c:pt>
                <c:pt idx="16">
                  <c:v>481.79969724919795</c:v>
                </c:pt>
                <c:pt idx="17">
                  <c:v>501.47556976256698</c:v>
                </c:pt>
                <c:pt idx="18">
                  <c:v>523.15144227593601</c:v>
                </c:pt>
                <c:pt idx="19">
                  <c:v>769.11338794438518</c:v>
                </c:pt>
                <c:pt idx="20">
                  <c:v>788.78926045775415</c:v>
                </c:pt>
                <c:pt idx="21">
                  <c:v>816.21687799786105</c:v>
                </c:pt>
                <c:pt idx="22">
                  <c:v>888.10089767700561</c:v>
                </c:pt>
                <c:pt idx="23">
                  <c:v>1160.4142854844922</c:v>
                </c:pt>
                <c:pt idx="24">
                  <c:v>1273.8238803508025</c:v>
                </c:pt>
                <c:pt idx="25">
                  <c:v>1351.3214680807605</c:v>
                </c:pt>
                <c:pt idx="26">
                  <c:v>1463.995309364183</c:v>
                </c:pt>
                <c:pt idx="27">
                  <c:v>1487.4049042304932</c:v>
                </c:pt>
                <c:pt idx="28">
                  <c:v>1512.8144990968033</c:v>
                </c:pt>
                <c:pt idx="29">
                  <c:v>1806.3742066818299</c:v>
                </c:pt>
                <c:pt idx="30">
                  <c:v>1947.9063228026064</c:v>
                </c:pt>
                <c:pt idx="31">
                  <c:v>2161.9019797010023</c:v>
                </c:pt>
                <c:pt idx="32">
                  <c:v>2205.9237841929807</c:v>
                </c:pt>
                <c:pt idx="33">
                  <c:v>2394.9057615191837</c:v>
                </c:pt>
                <c:pt idx="34">
                  <c:v>3660.1411994100376</c:v>
                </c:pt>
                <c:pt idx="35">
                  <c:v>3721.1970180196627</c:v>
                </c:pt>
                <c:pt idx="36">
                  <c:v>3852.8588297899732</c:v>
                </c:pt>
                <c:pt idx="37">
                  <c:v>4056.9146483995992</c:v>
                </c:pt>
                <c:pt idx="38">
                  <c:v>4134.9704670092242</c:v>
                </c:pt>
                <c:pt idx="39">
                  <c:v>4786.3707404637707</c:v>
                </c:pt>
                <c:pt idx="40">
                  <c:v>4870.7630387483368</c:v>
                </c:pt>
                <c:pt idx="41">
                  <c:v>4931.3249621707964</c:v>
                </c:pt>
                <c:pt idx="42">
                  <c:v>5180.8868855932569</c:v>
                </c:pt>
                <c:pt idx="43">
                  <c:v>5652.656439390048</c:v>
                </c:pt>
                <c:pt idx="44">
                  <c:v>6821.3370246306904</c:v>
                </c:pt>
                <c:pt idx="45">
                  <c:v>7782.9253762286644</c:v>
                </c:pt>
                <c:pt idx="46">
                  <c:v>7862.7195631805353</c:v>
                </c:pt>
                <c:pt idx="47">
                  <c:v>9138.813636335617</c:v>
                </c:pt>
                <c:pt idx="48">
                  <c:v>9280.3284718436371</c:v>
                </c:pt>
                <c:pt idx="49">
                  <c:v>9837.2433073516586</c:v>
                </c:pt>
                <c:pt idx="50">
                  <c:v>10273.34114757397</c:v>
                </c:pt>
                <c:pt idx="51">
                  <c:v>10488.680402333328</c:v>
                </c:pt>
                <c:pt idx="52">
                  <c:v>10930.619657092686</c:v>
                </c:pt>
                <c:pt idx="53">
                  <c:v>11459.163837758215</c:v>
                </c:pt>
                <c:pt idx="54">
                  <c:v>11979.453967963014</c:v>
                </c:pt>
                <c:pt idx="55">
                  <c:v>12845.888941976045</c:v>
                </c:pt>
                <c:pt idx="56">
                  <c:v>13029.083128927916</c:v>
                </c:pt>
                <c:pt idx="57">
                  <c:v>13876.109904542889</c:v>
                </c:pt>
                <c:pt idx="58">
                  <c:v>14032.979683366419</c:v>
                </c:pt>
                <c:pt idx="59">
                  <c:v>16716.454802938606</c:v>
                </c:pt>
                <c:pt idx="60">
                  <c:v>15422.155094703314</c:v>
                </c:pt>
                <c:pt idx="61">
                  <c:v>16140.849292778181</c:v>
                </c:pt>
                <c:pt idx="62">
                  <c:v>16892.064571580697</c:v>
                </c:pt>
                <c:pt idx="63">
                  <c:v>17763.154493291928</c:v>
                </c:pt>
                <c:pt idx="64">
                  <c:v>18718.811588165241</c:v>
                </c:pt>
                <c:pt idx="65">
                  <c:v>18905.885148806956</c:v>
                </c:pt>
                <c:pt idx="66">
                  <c:v>20550.862258603091</c:v>
                </c:pt>
                <c:pt idx="67">
                  <c:v>21230.224913236347</c:v>
                </c:pt>
                <c:pt idx="68">
                  <c:v>22316.728728423514</c:v>
                </c:pt>
                <c:pt idx="69">
                  <c:v>24003.965446284477</c:v>
                </c:pt>
                <c:pt idx="70">
                  <c:v>24828.456771204263</c:v>
                </c:pt>
                <c:pt idx="71">
                  <c:v>25679.060855910149</c:v>
                </c:pt>
                <c:pt idx="72">
                  <c:v>27395.19870746095</c:v>
                </c:pt>
                <c:pt idx="73">
                  <c:v>27988.078876469193</c:v>
                </c:pt>
                <c:pt idx="74">
                  <c:v>29875.535359372305</c:v>
                </c:pt>
                <c:pt idx="75">
                  <c:v>30430.388282580861</c:v>
                </c:pt>
                <c:pt idx="76">
                  <c:v>30580.594679158403</c:v>
                </c:pt>
                <c:pt idx="77">
                  <c:v>32233.827383101612</c:v>
                </c:pt>
                <c:pt idx="78">
                  <c:v>32491.104725561501</c:v>
                </c:pt>
                <c:pt idx="79">
                  <c:v>36488.266354652413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3"/>
          <c:order val="3"/>
          <c:tx>
            <c:v>非R防御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人物成长模拟表!$U$2:$U$81</c:f>
              <c:numCache>
                <c:formatCode>#,##0.00_);[Red]\(#,##0.00\)</c:formatCode>
                <c:ptCount val="80"/>
                <c:pt idx="0">
                  <c:v>52.800000000000004</c:v>
                </c:pt>
                <c:pt idx="1">
                  <c:v>57.6</c:v>
                </c:pt>
                <c:pt idx="2">
                  <c:v>62.400000000000006</c:v>
                </c:pt>
                <c:pt idx="3">
                  <c:v>67.2</c:v>
                </c:pt>
                <c:pt idx="4">
                  <c:v>72</c:v>
                </c:pt>
                <c:pt idx="5">
                  <c:v>76.8</c:v>
                </c:pt>
                <c:pt idx="6">
                  <c:v>81.600000000000009</c:v>
                </c:pt>
                <c:pt idx="7">
                  <c:v>86.4</c:v>
                </c:pt>
                <c:pt idx="8">
                  <c:v>127.30464720970538</c:v>
                </c:pt>
                <c:pt idx="9">
                  <c:v>137.07553719237438</c:v>
                </c:pt>
                <c:pt idx="10">
                  <c:v>148.08914967071055</c:v>
                </c:pt>
                <c:pt idx="11">
                  <c:v>154.13187216637783</c:v>
                </c:pt>
                <c:pt idx="12">
                  <c:v>160.17459466204508</c:v>
                </c:pt>
                <c:pt idx="13">
                  <c:v>166.86257691507802</c:v>
                </c:pt>
                <c:pt idx="14">
                  <c:v>186.88592748700177</c:v>
                </c:pt>
                <c:pt idx="15">
                  <c:v>203.81142072790297</c:v>
                </c:pt>
                <c:pt idx="16">
                  <c:v>209.85414322357025</c:v>
                </c:pt>
                <c:pt idx="17">
                  <c:v>219.8968657192375</c:v>
                </c:pt>
                <c:pt idx="18">
                  <c:v>225.93958821490475</c:v>
                </c:pt>
                <c:pt idx="19">
                  <c:v>326.75179812824967</c:v>
                </c:pt>
                <c:pt idx="20">
                  <c:v>332.79452062391692</c:v>
                </c:pt>
                <c:pt idx="21">
                  <c:v>345.32268811091859</c:v>
                </c:pt>
                <c:pt idx="22">
                  <c:v>373.92560360485277</c:v>
                </c:pt>
                <c:pt idx="23">
                  <c:v>441.18430613518206</c:v>
                </c:pt>
                <c:pt idx="24">
                  <c:v>451.43316630849228</c:v>
                </c:pt>
                <c:pt idx="25">
                  <c:v>557.61766876949753</c:v>
                </c:pt>
                <c:pt idx="26">
                  <c:v>567.57974682842303</c:v>
                </c:pt>
                <c:pt idx="27">
                  <c:v>602.86409474880304</c:v>
                </c:pt>
                <c:pt idx="28">
                  <c:v>613.1129549221132</c:v>
                </c:pt>
                <c:pt idx="29">
                  <c:v>710.80155665521556</c:v>
                </c:pt>
                <c:pt idx="30">
                  <c:v>784.84917557723759</c:v>
                </c:pt>
                <c:pt idx="31">
                  <c:v>894.59010091519269</c:v>
                </c:pt>
                <c:pt idx="32">
                  <c:v>908.19490146978535</c:v>
                </c:pt>
                <c:pt idx="33">
                  <c:v>925.11559415609383</c:v>
                </c:pt>
                <c:pt idx="34">
                  <c:v>1549.8439823709984</c:v>
                </c:pt>
                <c:pt idx="35">
                  <c:v>1578.8095238614665</c:v>
                </c:pt>
                <c:pt idx="36">
                  <c:v>1660.2081867384163</c:v>
                </c:pt>
                <c:pt idx="37">
                  <c:v>1743.9068419785417</c:v>
                </c:pt>
                <c:pt idx="38">
                  <c:v>1764.8723834690095</c:v>
                </c:pt>
                <c:pt idx="39">
                  <c:v>2021.5451809733422</c:v>
                </c:pt>
                <c:pt idx="40">
                  <c:v>2033.3438438502922</c:v>
                </c:pt>
                <c:pt idx="41">
                  <c:v>2068.1873555314014</c:v>
                </c:pt>
                <c:pt idx="42">
                  <c:v>2092.0308672125107</c:v>
                </c:pt>
                <c:pt idx="43">
                  <c:v>2526.2314600721293</c:v>
                </c:pt>
                <c:pt idx="44">
                  <c:v>2918.1434511986454</c:v>
                </c:pt>
                <c:pt idx="45">
                  <c:v>3337.7980630535985</c:v>
                </c:pt>
                <c:pt idx="46">
                  <c:v>3350.0746961211894</c:v>
                </c:pt>
                <c:pt idx="47">
                  <c:v>4193.3383512599557</c:v>
                </c:pt>
                <c:pt idx="48">
                  <c:v>4232.2857209653284</c:v>
                </c:pt>
                <c:pt idx="49">
                  <c:v>4295.6330906707008</c:v>
                </c:pt>
                <c:pt idx="50">
                  <c:v>4415.4631656793663</c:v>
                </c:pt>
                <c:pt idx="51">
                  <c:v>4480.7224161473041</c:v>
                </c:pt>
                <c:pt idx="52">
                  <c:v>4718.9816666152419</c:v>
                </c:pt>
                <c:pt idx="53">
                  <c:v>4780.5127495961779</c:v>
                </c:pt>
                <c:pt idx="54">
                  <c:v>4823.7720000641157</c:v>
                </c:pt>
                <c:pt idx="55">
                  <c:v>5488.303398178924</c:v>
                </c:pt>
                <c:pt idx="56">
                  <c:v>5502.980031246515</c:v>
                </c:pt>
                <c:pt idx="57">
                  <c:v>5783.8974363071738</c:v>
                </c:pt>
                <c:pt idx="58">
                  <c:v>5829.5465377283181</c:v>
                </c:pt>
                <c:pt idx="59">
                  <c:v>6755.5115107612473</c:v>
                </c:pt>
                <c:pt idx="60">
                  <c:v>6773.0661140194788</c:v>
                </c:pt>
                <c:pt idx="61">
                  <c:v>6856.0270962031891</c:v>
                </c:pt>
                <c:pt idx="62">
                  <c:v>7233.5880783868961</c:v>
                </c:pt>
                <c:pt idx="63">
                  <c:v>7661.7525034822174</c:v>
                </c:pt>
                <c:pt idx="64">
                  <c:v>8307.3546991527437</c:v>
                </c:pt>
                <c:pt idx="65">
                  <c:v>8396.5292938147904</c:v>
                </c:pt>
                <c:pt idx="66">
                  <c:v>8432.7247345080323</c:v>
                </c:pt>
                <c:pt idx="67">
                  <c:v>9020.471022981088</c:v>
                </c:pt>
                <c:pt idx="68">
                  <c:v>9389.6495635703432</c:v>
                </c:pt>
                <c:pt idx="69">
                  <c:v>10567.149455147466</c:v>
                </c:pt>
                <c:pt idx="70">
                  <c:v>10719.501801213324</c:v>
                </c:pt>
                <c:pt idx="71">
                  <c:v>10825.466246828575</c:v>
                </c:pt>
                <c:pt idx="72">
                  <c:v>11022.174226585941</c:v>
                </c:pt>
                <c:pt idx="73">
                  <c:v>11087.606800034813</c:v>
                </c:pt>
                <c:pt idx="74">
                  <c:v>12779.274530389408</c:v>
                </c:pt>
                <c:pt idx="75">
                  <c:v>12889.062737529788</c:v>
                </c:pt>
                <c:pt idx="76">
                  <c:v>12909.495310978662</c:v>
                </c:pt>
                <c:pt idx="77">
                  <c:v>13160.762694548854</c:v>
                </c:pt>
                <c:pt idx="78">
                  <c:v>13734.765224818027</c:v>
                </c:pt>
                <c:pt idx="79">
                  <c:v>16561.649884506067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4"/>
          <c:order val="4"/>
          <c:tx>
            <c:v>大R攻击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人物成长模拟表!$AB$2:$AB$81</c:f>
              <c:numCache>
                <c:formatCode>#,##0.00_);[Red]\(#,##0.00\)</c:formatCode>
                <c:ptCount val="80"/>
                <c:pt idx="0">
                  <c:v>118.80000000000001</c:v>
                </c:pt>
                <c:pt idx="1">
                  <c:v>129.6</c:v>
                </c:pt>
                <c:pt idx="2">
                  <c:v>140.4</c:v>
                </c:pt>
                <c:pt idx="3">
                  <c:v>151.19999999999999</c:v>
                </c:pt>
                <c:pt idx="4">
                  <c:v>176.5143073540107</c:v>
                </c:pt>
                <c:pt idx="5">
                  <c:v>187.31430735401068</c:v>
                </c:pt>
                <c:pt idx="6">
                  <c:v>198.11430735401069</c:v>
                </c:pt>
                <c:pt idx="7">
                  <c:v>327.81440711871659</c:v>
                </c:pt>
                <c:pt idx="8">
                  <c:v>349.91216167700543</c:v>
                </c:pt>
                <c:pt idx="9">
                  <c:v>363.5880341903744</c:v>
                </c:pt>
                <c:pt idx="10">
                  <c:v>377.26390670374332</c:v>
                </c:pt>
                <c:pt idx="11">
                  <c:v>390.93977921711235</c:v>
                </c:pt>
                <c:pt idx="12">
                  <c:v>404.61565173048132</c:v>
                </c:pt>
                <c:pt idx="13">
                  <c:v>418.29152424385035</c:v>
                </c:pt>
                <c:pt idx="14">
                  <c:v>487.15382807272732</c:v>
                </c:pt>
                <c:pt idx="15">
                  <c:v>717.81459555935839</c:v>
                </c:pt>
                <c:pt idx="16">
                  <c:v>740.5965728855615</c:v>
                </c:pt>
                <c:pt idx="17">
                  <c:v>1187.0088270032088</c:v>
                </c:pt>
                <c:pt idx="18">
                  <c:v>1120.3797026224602</c:v>
                </c:pt>
                <c:pt idx="19">
                  <c:v>1145.1256346010698</c:v>
                </c:pt>
                <c:pt idx="20">
                  <c:v>1169.8715665796794</c:v>
                </c:pt>
                <c:pt idx="21">
                  <c:v>1194.6174985582891</c:v>
                </c:pt>
                <c:pt idx="22">
                  <c:v>1219.3634305368987</c:v>
                </c:pt>
                <c:pt idx="23">
                  <c:v>1702.2184589005351</c:v>
                </c:pt>
                <c:pt idx="24">
                  <c:v>1730.2827053176475</c:v>
                </c:pt>
                <c:pt idx="25">
                  <c:v>1865.0381769174885</c:v>
                </c:pt>
                <c:pt idx="26">
                  <c:v>1893.1024233346009</c:v>
                </c:pt>
                <c:pt idx="27">
                  <c:v>3005.8051826928895</c:v>
                </c:pt>
                <c:pt idx="28">
                  <c:v>3163.2217576661524</c:v>
                </c:pt>
                <c:pt idx="29">
                  <c:v>4518.1444820811248</c:v>
                </c:pt>
                <c:pt idx="30">
                  <c:v>4658.0891921219909</c:v>
                </c:pt>
                <c:pt idx="31">
                  <c:v>5584.1703831380346</c:v>
                </c:pt>
                <c:pt idx="32">
                  <c:v>5676.7296918011361</c:v>
                </c:pt>
                <c:pt idx="33">
                  <c:v>6022.2890004642368</c:v>
                </c:pt>
                <c:pt idx="34">
                  <c:v>6493.0307234374068</c:v>
                </c:pt>
                <c:pt idx="35">
                  <c:v>6585.5900321005083</c:v>
                </c:pt>
                <c:pt idx="36">
                  <c:v>6812.1055568157317</c:v>
                </c:pt>
                <c:pt idx="37">
                  <c:v>8561.7162383130581</c:v>
                </c:pt>
                <c:pt idx="38">
                  <c:v>8679.0522947836471</c:v>
                </c:pt>
                <c:pt idx="39">
                  <c:v>10082.733249649955</c:v>
                </c:pt>
                <c:pt idx="40">
                  <c:v>10313.810152637603</c:v>
                </c:pt>
                <c:pt idx="41">
                  <c:v>10622.713362049368</c:v>
                </c:pt>
                <c:pt idx="42">
                  <c:v>10757.616571461132</c:v>
                </c:pt>
                <c:pt idx="43">
                  <c:v>10892.519780872897</c:v>
                </c:pt>
                <c:pt idx="44">
                  <c:v>13451.746364830116</c:v>
                </c:pt>
                <c:pt idx="45">
                  <c:v>16304.601391611051</c:v>
                </c:pt>
                <c:pt idx="46">
                  <c:v>16511.006059846346</c:v>
                </c:pt>
                <c:pt idx="47">
                  <c:v>22322.400980915867</c:v>
                </c:pt>
                <c:pt idx="48">
                  <c:v>22596.941705621753</c:v>
                </c:pt>
                <c:pt idx="49">
                  <c:v>25642.580441022823</c:v>
                </c:pt>
                <c:pt idx="50">
                  <c:v>26157.081076117047</c:v>
                </c:pt>
                <c:pt idx="51">
                  <c:v>27376.647387133093</c:v>
                </c:pt>
                <c:pt idx="52">
                  <c:v>28196.213698149135</c:v>
                </c:pt>
                <c:pt idx="53">
                  <c:v>28961.109414017708</c:v>
                </c:pt>
                <c:pt idx="54">
                  <c:v>29781.927184109481</c:v>
                </c:pt>
                <c:pt idx="55">
                  <c:v>34192.59324824885</c:v>
                </c:pt>
                <c:pt idx="56">
                  <c:v>34534.918284398584</c:v>
                </c:pt>
                <c:pt idx="57">
                  <c:v>35353.243320548318</c:v>
                </c:pt>
                <c:pt idx="58">
                  <c:v>35840.568356698052</c:v>
                </c:pt>
                <c:pt idx="59">
                  <c:v>38744.262149211419</c:v>
                </c:pt>
                <c:pt idx="60">
                  <c:v>39387.987185361148</c:v>
                </c:pt>
                <c:pt idx="61">
                  <c:v>39987.712221510883</c:v>
                </c:pt>
                <c:pt idx="62">
                  <c:v>40849.30572554002</c:v>
                </c:pt>
                <c:pt idx="63">
                  <c:v>44545.598034417024</c:v>
                </c:pt>
                <c:pt idx="64">
                  <c:v>47663.449632610522</c:v>
                </c:pt>
                <c:pt idx="65">
                  <c:v>48072.933393893945</c:v>
                </c:pt>
                <c:pt idx="66">
                  <c:v>49017.383325693212</c:v>
                </c:pt>
                <c:pt idx="67">
                  <c:v>50485.348910295877</c:v>
                </c:pt>
                <c:pt idx="68">
                  <c:v>51289.832671579308</c:v>
                </c:pt>
                <c:pt idx="69">
                  <c:v>54815.507880135447</c:v>
                </c:pt>
                <c:pt idx="70">
                  <c:v>57398.391641418879</c:v>
                </c:pt>
                <c:pt idx="71">
                  <c:v>63327.735167408187</c:v>
                </c:pt>
                <c:pt idx="72">
                  <c:v>64398.377653825301</c:v>
                </c:pt>
                <c:pt idx="73">
                  <c:v>65614.809760960256</c:v>
                </c:pt>
                <c:pt idx="74">
                  <c:v>68467.568568793416</c:v>
                </c:pt>
                <c:pt idx="75">
                  <c:v>70013.21105521053</c:v>
                </c:pt>
                <c:pt idx="76">
                  <c:v>70848.853541627643</c:v>
                </c:pt>
                <c:pt idx="77">
                  <c:v>72172.450621604308</c:v>
                </c:pt>
                <c:pt idx="78">
                  <c:v>72651.093108021407</c:v>
                </c:pt>
                <c:pt idx="79">
                  <c:v>81579.101989304836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5"/>
          <c:order val="5"/>
          <c:tx>
            <c:v>大R防御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人物成长模拟表!$AC$2:$AC$81</c:f>
              <c:numCache>
                <c:formatCode>#,##0.00_);[Red]\(#,##0.00\)</c:formatCode>
                <c:ptCount val="80"/>
                <c:pt idx="0">
                  <c:v>52.800000000000004</c:v>
                </c:pt>
                <c:pt idx="1">
                  <c:v>57.6</c:v>
                </c:pt>
                <c:pt idx="2">
                  <c:v>62.400000000000006</c:v>
                </c:pt>
                <c:pt idx="3">
                  <c:v>67.2</c:v>
                </c:pt>
                <c:pt idx="4">
                  <c:v>72</c:v>
                </c:pt>
                <c:pt idx="5">
                  <c:v>76.8</c:v>
                </c:pt>
                <c:pt idx="6">
                  <c:v>81.600000000000009</c:v>
                </c:pt>
                <c:pt idx="7">
                  <c:v>141.2292559861352</c:v>
                </c:pt>
                <c:pt idx="8">
                  <c:v>153.20836824956672</c:v>
                </c:pt>
                <c:pt idx="9">
                  <c:v>159.25109074523399</c:v>
                </c:pt>
                <c:pt idx="10">
                  <c:v>165.29381324090119</c:v>
                </c:pt>
                <c:pt idx="11">
                  <c:v>171.33653573656846</c:v>
                </c:pt>
                <c:pt idx="12">
                  <c:v>177.37925823223571</c:v>
                </c:pt>
                <c:pt idx="13">
                  <c:v>183.42198072790296</c:v>
                </c:pt>
                <c:pt idx="14">
                  <c:v>209.74706301559794</c:v>
                </c:pt>
                <c:pt idx="15">
                  <c:v>267.05651077989603</c:v>
                </c:pt>
                <c:pt idx="16">
                  <c:v>275.57720346620454</c:v>
                </c:pt>
                <c:pt idx="17">
                  <c:v>464.87054031195851</c:v>
                </c:pt>
                <c:pt idx="18">
                  <c:v>473.39123299826701</c:v>
                </c:pt>
                <c:pt idx="19">
                  <c:v>487.3533110571924</c:v>
                </c:pt>
                <c:pt idx="20">
                  <c:v>499.31538911611801</c:v>
                </c:pt>
                <c:pt idx="21">
                  <c:v>513.2774671750434</c:v>
                </c:pt>
                <c:pt idx="22">
                  <c:v>525.2395452339689</c:v>
                </c:pt>
                <c:pt idx="23">
                  <c:v>676.64774377816298</c:v>
                </c:pt>
                <c:pt idx="24">
                  <c:v>690.04373240901236</c:v>
                </c:pt>
                <c:pt idx="25">
                  <c:v>842.43972103986141</c:v>
                </c:pt>
                <c:pt idx="26">
                  <c:v>855.83570967071068</c:v>
                </c:pt>
                <c:pt idx="27">
                  <c:v>1412.6984746333314</c:v>
                </c:pt>
                <c:pt idx="28">
                  <c:v>1434.8891147719798</c:v>
                </c:pt>
                <c:pt idx="29">
                  <c:v>1799.7268403872311</c:v>
                </c:pt>
                <c:pt idx="30">
                  <c:v>1886.9696204392437</c:v>
                </c:pt>
                <c:pt idx="31">
                  <c:v>2269.5012962797982</c:v>
                </c:pt>
                <c:pt idx="32">
                  <c:v>2304.4377277529347</c:v>
                </c:pt>
                <c:pt idx="33">
                  <c:v>2345.3741592260717</c:v>
                </c:pt>
                <c:pt idx="34">
                  <c:v>2596.3105906992087</c:v>
                </c:pt>
                <c:pt idx="35">
                  <c:v>2637.2470221723456</c:v>
                </c:pt>
                <c:pt idx="36">
                  <c:v>2672.1834536454826</c:v>
                </c:pt>
                <c:pt idx="37">
                  <c:v>3597.3206130491581</c:v>
                </c:pt>
                <c:pt idx="38">
                  <c:v>3642.9635767926588</c:v>
                </c:pt>
                <c:pt idx="39">
                  <c:v>4224.0369017146695</c:v>
                </c:pt>
                <c:pt idx="40">
                  <c:v>4407.3375375552241</c:v>
                </c:pt>
                <c:pt idx="41">
                  <c:v>4466.6381733957787</c:v>
                </c:pt>
                <c:pt idx="42">
                  <c:v>4519.9388092363342</c:v>
                </c:pt>
                <c:pt idx="43">
                  <c:v>4852.2394450768879</c:v>
                </c:pt>
                <c:pt idx="44">
                  <c:v>5796.1849092016719</c:v>
                </c:pt>
                <c:pt idx="45">
                  <c:v>7126.8757065682457</c:v>
                </c:pt>
                <c:pt idx="46">
                  <c:v>7204.9493586999615</c:v>
                </c:pt>
                <c:pt idx="47">
                  <c:v>10326.398266172717</c:v>
                </c:pt>
                <c:pt idx="48">
                  <c:v>10433.914882047935</c:v>
                </c:pt>
                <c:pt idx="49">
                  <c:v>11848.009494456946</c:v>
                </c:pt>
                <c:pt idx="50">
                  <c:v>11972.456404127657</c:v>
                </c:pt>
                <c:pt idx="51">
                  <c:v>12282.903313798368</c:v>
                </c:pt>
                <c:pt idx="52">
                  <c:v>12407.350223469079</c:v>
                </c:pt>
                <c:pt idx="53">
                  <c:v>12543.797133139789</c:v>
                </c:pt>
                <c:pt idx="54">
                  <c:v>13195.2440428105</c:v>
                </c:pt>
                <c:pt idx="55">
                  <c:v>15551.878497461699</c:v>
                </c:pt>
                <c:pt idx="56">
                  <c:v>15688.752632089081</c:v>
                </c:pt>
                <c:pt idx="57">
                  <c:v>15837.626766716463</c:v>
                </c:pt>
                <c:pt idx="58">
                  <c:v>15974.500901343845</c:v>
                </c:pt>
                <c:pt idx="59">
                  <c:v>17047.800289905372</c:v>
                </c:pt>
                <c:pt idx="60">
                  <c:v>17195.074424532751</c:v>
                </c:pt>
                <c:pt idx="61">
                  <c:v>18149.348559160135</c:v>
                </c:pt>
                <c:pt idx="62">
                  <c:v>18842.622693787518</c:v>
                </c:pt>
                <c:pt idx="63">
                  <c:v>20707.720814550088</c:v>
                </c:pt>
                <c:pt idx="64">
                  <c:v>21355.867561141346</c:v>
                </c:pt>
                <c:pt idx="65">
                  <c:v>23432.5689207254</c:v>
                </c:pt>
                <c:pt idx="66">
                  <c:v>23592.270280309458</c:v>
                </c:pt>
                <c:pt idx="67">
                  <c:v>23177.924462911866</c:v>
                </c:pt>
                <c:pt idx="68">
                  <c:v>23337.62582249592</c:v>
                </c:pt>
                <c:pt idx="69">
                  <c:v>24626.505395459528</c:v>
                </c:pt>
                <c:pt idx="70">
                  <c:v>24797.60675504358</c:v>
                </c:pt>
                <c:pt idx="71">
                  <c:v>26774.200886898001</c:v>
                </c:pt>
                <c:pt idx="72">
                  <c:v>28380.729471438732</c:v>
                </c:pt>
                <c:pt idx="73">
                  <c:v>28587.258055979459</c:v>
                </c:pt>
                <c:pt idx="74">
                  <c:v>29941.013288973681</c:v>
                </c:pt>
                <c:pt idx="75">
                  <c:v>30147.541873514409</c:v>
                </c:pt>
                <c:pt idx="76">
                  <c:v>30331.070458055132</c:v>
                </c:pt>
                <c:pt idx="77">
                  <c:v>32670.599042595866</c:v>
                </c:pt>
                <c:pt idx="78">
                  <c:v>33699.631697746969</c:v>
                </c:pt>
                <c:pt idx="79">
                  <c:v>37037.131466204512</c:v>
                </c:pt>
              </c:numCache>
              <c:extLst xmlns:c15="http://schemas.microsoft.com/office/drawing/2012/chart"/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823136"/>
        <c:axId val="509823696"/>
        <c:extLst/>
      </c:lineChart>
      <c:catAx>
        <c:axId val="5098231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9823696"/>
        <c:crosses val="autoZero"/>
        <c:auto val="1"/>
        <c:lblAlgn val="ctr"/>
        <c:lblOffset val="100"/>
        <c:noMultiLvlLbl val="0"/>
      </c:catAx>
      <c:valAx>
        <c:axId val="50982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982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精英副本</c:v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精英副本怪物!$F$5:$F$76</c:f>
              <c:numCache>
                <c:formatCode>#,##0_ </c:formatCode>
                <c:ptCount val="72"/>
                <c:pt idx="0">
                  <c:v>201.25647319685464</c:v>
                </c:pt>
                <c:pt idx="1">
                  <c:v>236.11559020315178</c:v>
                </c:pt>
                <c:pt idx="2">
                  <c:v>274.42100789835166</c:v>
                </c:pt>
                <c:pt idx="3">
                  <c:v>316.38733493651409</c:v>
                </c:pt>
                <c:pt idx="4">
                  <c:v>362.24046477256223</c:v>
                </c:pt>
                <c:pt idx="5">
                  <c:v>412.2179551959448</c:v>
                </c:pt>
                <c:pt idx="6">
                  <c:v>462.95119439346365</c:v>
                </c:pt>
                <c:pt idx="7">
                  <c:v>537.92413043478268</c:v>
                </c:pt>
                <c:pt idx="8">
                  <c:v>598.79945779462264</c:v>
                </c:pt>
                <c:pt idx="9">
                  <c:v>611.12974129432996</c:v>
                </c:pt>
                <c:pt idx="10">
                  <c:v>692.57711923387342</c:v>
                </c:pt>
                <c:pt idx="11">
                  <c:v>780.80947997843282</c:v>
                </c:pt>
                <c:pt idx="12">
                  <c:v>876.22829351514883</c:v>
                </c:pt>
                <c:pt idx="13">
                  <c:v>991.67903786444572</c:v>
                </c:pt>
                <c:pt idx="14">
                  <c:v>1116.5397030430397</c:v>
                </c:pt>
                <c:pt idx="15">
                  <c:v>1240.0908086750708</c:v>
                </c:pt>
                <c:pt idx="16">
                  <c:v>1434.6273096961531</c:v>
                </c:pt>
                <c:pt idx="17">
                  <c:v>1601.1983197186769</c:v>
                </c:pt>
                <c:pt idx="18">
                  <c:v>1627.9303910051981</c:v>
                </c:pt>
                <c:pt idx="19">
                  <c:v>1828.5858887548602</c:v>
                </c:pt>
                <c:pt idx="20">
                  <c:v>2046.3782477169652</c:v>
                </c:pt>
                <c:pt idx="21">
                  <c:v>2282.309792861372</c:v>
                </c:pt>
                <c:pt idx="22">
                  <c:v>2537.4263958723177</c:v>
                </c:pt>
                <c:pt idx="23">
                  <c:v>2812.8191414767598</c:v>
                </c:pt>
                <c:pt idx="24">
                  <c:v>3115.6722667312429</c:v>
                </c:pt>
                <c:pt idx="25">
                  <c:v>3615.0974178488314</c:v>
                </c:pt>
                <c:pt idx="26">
                  <c:v>3987.1843919090516</c:v>
                </c:pt>
                <c:pt idx="27">
                  <c:v>3993.0606987290989</c:v>
                </c:pt>
                <c:pt idx="28">
                  <c:v>4464.6809817880139</c:v>
                </c:pt>
                <c:pt idx="29">
                  <c:v>4980.4926698894378</c:v>
                </c:pt>
                <c:pt idx="30">
                  <c:v>5543.8521897385281</c:v>
                </c:pt>
                <c:pt idx="31">
                  <c:v>6158.3270059237475</c:v>
                </c:pt>
                <c:pt idx="32">
                  <c:v>6827.7066215973355</c:v>
                </c:pt>
                <c:pt idx="33">
                  <c:v>7473.366236449604</c:v>
                </c:pt>
                <c:pt idx="34">
                  <c:v>8621.2291639834657</c:v>
                </c:pt>
                <c:pt idx="35">
                  <c:v>9407.7666072457305</c:v>
                </c:pt>
                <c:pt idx="36">
                  <c:v>9143.9247449268387</c:v>
                </c:pt>
                <c:pt idx="37">
                  <c:v>10122.553562809369</c:v>
                </c:pt>
                <c:pt idx="38">
                  <c:v>11186.141082691489</c:v>
                </c:pt>
                <c:pt idx="39">
                  <c:v>12340.791068651728</c:v>
                </c:pt>
                <c:pt idx="40">
                  <c:v>13592.976936990304</c:v>
                </c:pt>
                <c:pt idx="41">
                  <c:v>14949.56130322167</c:v>
                </c:pt>
                <c:pt idx="42">
                  <c:v>16222.995152809737</c:v>
                </c:pt>
                <c:pt idx="43">
                  <c:v>18643.782263709218</c:v>
                </c:pt>
                <c:pt idx="44">
                  <c:v>20184.659575421298</c:v>
                </c:pt>
                <c:pt idx="45">
                  <c:v>19298.253644028304</c:v>
                </c:pt>
                <c:pt idx="46">
                  <c:v>21096.504534662334</c:v>
                </c:pt>
                <c:pt idx="47">
                  <c:v>23149.581169474925</c:v>
                </c:pt>
                <c:pt idx="48">
                  <c:v>25368.139975782993</c:v>
                </c:pt>
                <c:pt idx="49">
                  <c:v>27763.460912717324</c:v>
                </c:pt>
                <c:pt idx="50">
                  <c:v>30347.491128138146</c:v>
                </c:pt>
                <c:pt idx="51">
                  <c:v>32714.376914855249</c:v>
                </c:pt>
                <c:pt idx="52">
                  <c:v>37493.231682777543</c:v>
                </c:pt>
                <c:pt idx="53">
                  <c:v>40343.312267271504</c:v>
                </c:pt>
                <c:pt idx="54">
                  <c:v>37702.926929169575</c:v>
                </c:pt>
                <c:pt idx="55">
                  <c:v>40634.209751689821</c:v>
                </c:pt>
                <c:pt idx="56">
                  <c:v>43749.717097227694</c:v>
                </c:pt>
                <c:pt idx="57">
                  <c:v>47237.363336789334</c:v>
                </c:pt>
                <c:pt idx="58">
                  <c:v>50947.123844742076</c:v>
                </c:pt>
                <c:pt idx="59">
                  <c:v>54890.768954472507</c:v>
                </c:pt>
                <c:pt idx="60">
                  <c:v>58309.648004838025</c:v>
                </c:pt>
                <c:pt idx="61">
                  <c:v>65991.788494736975</c:v>
                </c:pt>
                <c:pt idx="62">
                  <c:v>69997.276780936503</c:v>
                </c:pt>
                <c:pt idx="63">
                  <c:v>64912.130672938067</c:v>
                </c:pt>
                <c:pt idx="64">
                  <c:v>69706.3140010192</c:v>
                </c:pt>
                <c:pt idx="65">
                  <c:v>74793.13602639563</c:v>
                </c:pt>
                <c:pt idx="66">
                  <c:v>80188.07549193711</c:v>
                </c:pt>
                <c:pt idx="67">
                  <c:v>86163.846301620782</c:v>
                </c:pt>
                <c:pt idx="68">
                  <c:v>106581.30418407611</c:v>
                </c:pt>
                <c:pt idx="69">
                  <c:v>113840.25077429123</c:v>
                </c:pt>
                <c:pt idx="70">
                  <c:v>130044.99225014028</c:v>
                </c:pt>
                <c:pt idx="71">
                  <c:v>138745.87804307698</c:v>
                </c:pt>
              </c:numCache>
            </c:numRef>
          </c:val>
        </c:ser>
        <c:ser>
          <c:idx val="1"/>
          <c:order val="1"/>
          <c:tx>
            <c:v>普通副本</c:v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普通副本怪物!$F$5:$F$77</c:f>
              <c:numCache>
                <c:formatCode>#,##0_ </c:formatCode>
                <c:ptCount val="73"/>
                <c:pt idx="0">
                  <c:v>26.106519114688133</c:v>
                </c:pt>
                <c:pt idx="1">
                  <c:v>28.884534412955468</c:v>
                </c:pt>
                <c:pt idx="2">
                  <c:v>31.73535641547862</c:v>
                </c:pt>
                <c:pt idx="3">
                  <c:v>29.284327868852465</c:v>
                </c:pt>
                <c:pt idx="4">
                  <c:v>31.900824742268046</c:v>
                </c:pt>
                <c:pt idx="5">
                  <c:v>53.404884647302907</c:v>
                </c:pt>
                <c:pt idx="6">
                  <c:v>62.237861978079337</c:v>
                </c:pt>
                <c:pt idx="7">
                  <c:v>71.889224369747922</c:v>
                </c:pt>
                <c:pt idx="8">
                  <c:v>91.771683632457041</c:v>
                </c:pt>
                <c:pt idx="9">
                  <c:v>121.46732192414434</c:v>
                </c:pt>
                <c:pt idx="10">
                  <c:v>138.20964070035379</c:v>
                </c:pt>
                <c:pt idx="11">
                  <c:v>164.94524077961023</c:v>
                </c:pt>
                <c:pt idx="12">
                  <c:v>194.14923017895876</c:v>
                </c:pt>
                <c:pt idx="13">
                  <c:v>225.91763535219297</c:v>
                </c:pt>
                <c:pt idx="14">
                  <c:v>260.34901531892024</c:v>
                </c:pt>
                <c:pt idx="15">
                  <c:v>297.54454570988844</c:v>
                </c:pt>
                <c:pt idx="16">
                  <c:v>337.60810618161133</c:v>
                </c:pt>
                <c:pt idx="17">
                  <c:v>380.64637135893952</c:v>
                </c:pt>
                <c:pt idx="18">
                  <c:v>462.95119439346365</c:v>
                </c:pt>
                <c:pt idx="19">
                  <c:v>476.08826086956532</c:v>
                </c:pt>
                <c:pt idx="20">
                  <c:v>528.7200805778034</c:v>
                </c:pt>
                <c:pt idx="21">
                  <c:v>584.78320512923278</c:v>
                </c:pt>
                <c:pt idx="22">
                  <c:v>656.41395125097995</c:v>
                </c:pt>
                <c:pt idx="23">
                  <c:v>732.843169352671</c:v>
                </c:pt>
                <c:pt idx="24">
                  <c:v>814.24303702291991</c:v>
                </c:pt>
                <c:pt idx="25">
                  <c:v>912.21955983864086</c:v>
                </c:pt>
                <c:pt idx="26">
                  <c:v>1016.5305190018643</c:v>
                </c:pt>
                <c:pt idx="27">
                  <c:v>1240.0908086750708</c:v>
                </c:pt>
                <c:pt idx="28">
                  <c:v>1245.0646280605861</c:v>
                </c:pt>
                <c:pt idx="29">
                  <c:v>1386.8808302441071</c:v>
                </c:pt>
                <c:pt idx="30">
                  <c:v>1547.5381227879423</c:v>
                </c:pt>
                <c:pt idx="31">
                  <c:v>1720.4481003567344</c:v>
                </c:pt>
                <c:pt idx="32">
                  <c:v>1905.5178265087504</c:v>
                </c:pt>
                <c:pt idx="33">
                  <c:v>2103.2231585458144</c:v>
                </c:pt>
                <c:pt idx="34">
                  <c:v>2314.0513733626863</c:v>
                </c:pt>
                <c:pt idx="35">
                  <c:v>2538.5016044212689</c:v>
                </c:pt>
                <c:pt idx="36">
                  <c:v>3115.6722667312429</c:v>
                </c:pt>
                <c:pt idx="37">
                  <c:v>3096.7779147743777</c:v>
                </c:pt>
                <c:pt idx="38">
                  <c:v>3408.0365141425427</c:v>
                </c:pt>
                <c:pt idx="39">
                  <c:v>3776.0063478260886</c:v>
                </c:pt>
                <c:pt idx="40">
                  <c:v>4172.7400269939562</c:v>
                </c:pt>
                <c:pt idx="41">
                  <c:v>4599.8513238166461</c:v>
                </c:pt>
                <c:pt idx="42">
                  <c:v>5059.0247993310459</c:v>
                </c:pt>
                <c:pt idx="43">
                  <c:v>5552.0186888561893</c:v>
                </c:pt>
                <c:pt idx="44">
                  <c:v>6080.6679297034661</c:v>
                </c:pt>
                <c:pt idx="45">
                  <c:v>7473.366236449604</c:v>
                </c:pt>
                <c:pt idx="46">
                  <c:v>7252.6749534835508</c:v>
                </c:pt>
                <c:pt idx="47">
                  <c:v>7900.1155315134383</c:v>
                </c:pt>
                <c:pt idx="48">
                  <c:v>8591.3842425963048</c:v>
                </c:pt>
                <c:pt idx="49">
                  <c:v>9390.1238987099896</c:v>
                </c:pt>
                <c:pt idx="50">
                  <c:v>10244.256367580459</c:v>
                </c:pt>
                <c:pt idx="51">
                  <c:v>11156.687602230384</c:v>
                </c:pt>
                <c:pt idx="52">
                  <c:v>12130.451101695657</c:v>
                </c:pt>
                <c:pt idx="53">
                  <c:v>13168.713571351393</c:v>
                </c:pt>
                <c:pt idx="54">
                  <c:v>16222.995152809737</c:v>
                </c:pt>
                <c:pt idx="55">
                  <c:v>15452.104384583115</c:v>
                </c:pt>
                <c:pt idx="56">
                  <c:v>16704.287488285485</c:v>
                </c:pt>
                <c:pt idx="57">
                  <c:v>18035.092712312748</c:v>
                </c:pt>
                <c:pt idx="58">
                  <c:v>19448.449047028778</c:v>
                </c:pt>
                <c:pt idx="59">
                  <c:v>21051.654145986631</c:v>
                </c:pt>
                <c:pt idx="60">
                  <c:v>22756.135759752957</c:v>
                </c:pt>
                <c:pt idx="61">
                  <c:v>24566.98692539992</c:v>
                </c:pt>
                <c:pt idx="62">
                  <c:v>26489.530463118466</c:v>
                </c:pt>
                <c:pt idx="63">
                  <c:v>32714.376914855249</c:v>
                </c:pt>
                <c:pt idx="64">
                  <c:v>30692.202655982725</c:v>
                </c:pt>
                <c:pt idx="65">
                  <c:v>32984.229931839931</c:v>
                </c:pt>
                <c:pt idx="66">
                  <c:v>35084.464944098821</c:v>
                </c:pt>
                <c:pt idx="67">
                  <c:v>37283.398849405807</c:v>
                </c:pt>
                <c:pt idx="68">
                  <c:v>39584.69585392889</c:v>
                </c:pt>
                <c:pt idx="69">
                  <c:v>42151.224738842153</c:v>
                </c:pt>
                <c:pt idx="70">
                  <c:v>44839.462152910943</c:v>
                </c:pt>
                <c:pt idx="71">
                  <c:v>47654.011926194202</c:v>
                </c:pt>
                <c:pt idx="72">
                  <c:v>58309.648004838025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067168"/>
        <c:axId val="531067728"/>
      </c:areaChart>
      <c:catAx>
        <c:axId val="53106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1067728"/>
        <c:crosses val="autoZero"/>
        <c:auto val="1"/>
        <c:lblAlgn val="ctr"/>
        <c:lblOffset val="100"/>
        <c:noMultiLvlLbl val="0"/>
      </c:catAx>
      <c:valAx>
        <c:axId val="53106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106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358140</xdr:colOff>
      <xdr:row>0</xdr:row>
      <xdr:rowOff>144780</xdr:rowOff>
    </xdr:from>
    <xdr:to>
      <xdr:col>41</xdr:col>
      <xdr:colOff>502920</xdr:colOff>
      <xdr:row>54</xdr:row>
      <xdr:rowOff>144780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68580</xdr:colOff>
      <xdr:row>15</xdr:row>
      <xdr:rowOff>152400</xdr:rowOff>
    </xdr:from>
    <xdr:to>
      <xdr:col>18</xdr:col>
      <xdr:colOff>571500</xdr:colOff>
      <xdr:row>17</xdr:row>
      <xdr:rowOff>114300</xdr:rowOff>
    </xdr:to>
    <xdr:sp macro="[0]!Sheet6.mergeMonsterData" textlink="">
      <xdr:nvSpPr>
        <xdr:cNvPr id="2" name="圆角矩形 1"/>
        <xdr:cNvSpPr/>
      </xdr:nvSpPr>
      <xdr:spPr>
        <a:xfrm>
          <a:off x="12923520" y="2887980"/>
          <a:ext cx="1112520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并表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114300</xdr:colOff>
      <xdr:row>7</xdr:row>
      <xdr:rowOff>76200</xdr:rowOff>
    </xdr:from>
    <xdr:to>
      <xdr:col>27</xdr:col>
      <xdr:colOff>419100</xdr:colOff>
      <xdr:row>22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8216;&#25103;&#36164;&#28304;&#37197;&#3262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8216;&#25103;&#25968;&#20540;&#27169;&#25311;&#39564;&#35777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技能表"/>
      <sheetName val="D_技能表CD"/>
      <sheetName val="金币生产率"/>
      <sheetName val="消耗&amp;价值&amp;分析"/>
      <sheetName val="伤害参考系"/>
      <sheetName val="技能配置辅助表"/>
      <sheetName val="技能CD配置辅助表"/>
      <sheetName val="升级时间"/>
    </sheetNames>
    <sheetDataSet>
      <sheetData sheetId="0">
        <row r="1">
          <cell r="A1" t="str">
            <v>ID</v>
          </cell>
        </row>
      </sheetData>
      <sheetData sheetId="1">
        <row r="4">
          <cell r="S4" t="str">
            <v>冷却石价值</v>
          </cell>
        </row>
      </sheetData>
      <sheetData sheetId="2"/>
      <sheetData sheetId="3">
        <row r="7">
          <cell r="B7">
            <v>0</v>
          </cell>
          <cell r="C7">
            <v>1</v>
          </cell>
          <cell r="AS7">
            <v>0</v>
          </cell>
        </row>
        <row r="8">
          <cell r="C8">
            <v>2</v>
          </cell>
          <cell r="AS8">
            <v>0</v>
          </cell>
        </row>
        <row r="9">
          <cell r="C9">
            <v>3</v>
          </cell>
          <cell r="AS9">
            <v>0</v>
          </cell>
        </row>
        <row r="10">
          <cell r="C10">
            <v>4</v>
          </cell>
          <cell r="AS10">
            <v>0</v>
          </cell>
        </row>
        <row r="11">
          <cell r="C11">
            <v>5</v>
          </cell>
          <cell r="AS11">
            <v>0</v>
          </cell>
        </row>
        <row r="12">
          <cell r="C12">
            <v>6</v>
          </cell>
          <cell r="AS12">
            <v>18</v>
          </cell>
        </row>
        <row r="13">
          <cell r="C13">
            <v>7</v>
          </cell>
          <cell r="AS13">
            <v>37</v>
          </cell>
        </row>
        <row r="14">
          <cell r="C14">
            <v>8</v>
          </cell>
          <cell r="AS14">
            <v>49</v>
          </cell>
        </row>
        <row r="15">
          <cell r="C15">
            <v>9</v>
          </cell>
          <cell r="AS15">
            <v>87</v>
          </cell>
        </row>
        <row r="16">
          <cell r="C16">
            <v>10</v>
          </cell>
          <cell r="AS16">
            <v>117</v>
          </cell>
        </row>
        <row r="17">
          <cell r="C17">
            <v>11</v>
          </cell>
          <cell r="AS17">
            <v>143</v>
          </cell>
        </row>
        <row r="18">
          <cell r="C18">
            <v>12</v>
          </cell>
          <cell r="AS18">
            <v>197</v>
          </cell>
        </row>
        <row r="19">
          <cell r="C19">
            <v>13</v>
          </cell>
          <cell r="AS19">
            <v>234</v>
          </cell>
        </row>
        <row r="20">
          <cell r="C20">
            <v>14</v>
          </cell>
          <cell r="AS20">
            <v>269</v>
          </cell>
        </row>
        <row r="21">
          <cell r="C21">
            <v>15</v>
          </cell>
          <cell r="AS21">
            <v>337</v>
          </cell>
        </row>
        <row r="22">
          <cell r="C22">
            <v>16</v>
          </cell>
          <cell r="AS22">
            <v>373</v>
          </cell>
        </row>
        <row r="23">
          <cell r="C23">
            <v>17</v>
          </cell>
          <cell r="AS23">
            <v>425</v>
          </cell>
        </row>
        <row r="24">
          <cell r="C24">
            <v>18</v>
          </cell>
          <cell r="AS24">
            <v>498</v>
          </cell>
        </row>
        <row r="25">
          <cell r="C25">
            <v>19</v>
          </cell>
          <cell r="AS25">
            <v>549</v>
          </cell>
        </row>
        <row r="26">
          <cell r="C26">
            <v>20</v>
          </cell>
          <cell r="AS26">
            <v>600</v>
          </cell>
        </row>
        <row r="27">
          <cell r="C27">
            <v>21</v>
          </cell>
          <cell r="AS27">
            <v>692</v>
          </cell>
        </row>
        <row r="28">
          <cell r="C28">
            <v>22</v>
          </cell>
          <cell r="AS28">
            <v>743</v>
          </cell>
        </row>
        <row r="29">
          <cell r="C29">
            <v>23</v>
          </cell>
          <cell r="AS29">
            <v>811</v>
          </cell>
        </row>
        <row r="30">
          <cell r="C30">
            <v>24</v>
          </cell>
          <cell r="AS30">
            <v>911</v>
          </cell>
        </row>
        <row r="31">
          <cell r="C31">
            <v>25</v>
          </cell>
          <cell r="AS31">
            <v>963</v>
          </cell>
        </row>
        <row r="32">
          <cell r="C32">
            <v>26</v>
          </cell>
          <cell r="AS32">
            <v>1065</v>
          </cell>
        </row>
        <row r="33">
          <cell r="C33">
            <v>27</v>
          </cell>
          <cell r="AS33">
            <v>1144</v>
          </cell>
        </row>
        <row r="34">
          <cell r="C34">
            <v>28</v>
          </cell>
          <cell r="AS34">
            <v>1215</v>
          </cell>
        </row>
        <row r="35">
          <cell r="C35">
            <v>29</v>
          </cell>
          <cell r="AS35">
            <v>1330</v>
          </cell>
        </row>
        <row r="36">
          <cell r="C36">
            <v>30</v>
          </cell>
          <cell r="AS36">
            <v>1424</v>
          </cell>
        </row>
        <row r="37">
          <cell r="C37">
            <v>31</v>
          </cell>
          <cell r="AS37">
            <v>1540</v>
          </cell>
        </row>
        <row r="38">
          <cell r="C38">
            <v>32</v>
          </cell>
          <cell r="AS38">
            <v>1638</v>
          </cell>
        </row>
        <row r="39">
          <cell r="C39">
            <v>33</v>
          </cell>
          <cell r="AS39">
            <v>1742</v>
          </cell>
        </row>
        <row r="40">
          <cell r="C40">
            <v>34</v>
          </cell>
          <cell r="AS40">
            <v>1878</v>
          </cell>
        </row>
        <row r="41">
          <cell r="C41">
            <v>35</v>
          </cell>
          <cell r="AS41">
            <v>2008</v>
          </cell>
        </row>
        <row r="42">
          <cell r="C42">
            <v>36</v>
          </cell>
          <cell r="AS42">
            <v>2131</v>
          </cell>
        </row>
        <row r="43">
          <cell r="C43">
            <v>37</v>
          </cell>
          <cell r="AS43">
            <v>2262</v>
          </cell>
        </row>
        <row r="44">
          <cell r="C44">
            <v>38</v>
          </cell>
          <cell r="AS44">
            <v>2424</v>
          </cell>
        </row>
        <row r="45">
          <cell r="C45">
            <v>39</v>
          </cell>
          <cell r="AS45">
            <v>2550</v>
          </cell>
        </row>
        <row r="46">
          <cell r="C46">
            <v>40</v>
          </cell>
          <cell r="AS46">
            <v>2700</v>
          </cell>
        </row>
        <row r="47">
          <cell r="C47">
            <v>41</v>
          </cell>
          <cell r="AS47">
            <v>2841</v>
          </cell>
        </row>
        <row r="48">
          <cell r="C48">
            <v>42</v>
          </cell>
          <cell r="AS48">
            <v>3021</v>
          </cell>
        </row>
        <row r="49">
          <cell r="C49">
            <v>43</v>
          </cell>
          <cell r="AS49">
            <v>3227</v>
          </cell>
        </row>
        <row r="50">
          <cell r="C50">
            <v>44</v>
          </cell>
          <cell r="AS50">
            <v>3387</v>
          </cell>
        </row>
        <row r="51">
          <cell r="C51">
            <v>45</v>
          </cell>
          <cell r="AS51">
            <v>3612</v>
          </cell>
        </row>
        <row r="52">
          <cell r="C52">
            <v>46</v>
          </cell>
          <cell r="AS52">
            <v>3877</v>
          </cell>
        </row>
        <row r="53">
          <cell r="C53">
            <v>47</v>
          </cell>
          <cell r="AS53">
            <v>3991</v>
          </cell>
        </row>
        <row r="54">
          <cell r="C54">
            <v>48</v>
          </cell>
          <cell r="AS54">
            <v>4250</v>
          </cell>
        </row>
        <row r="55">
          <cell r="C55">
            <v>49</v>
          </cell>
          <cell r="AS55">
            <v>4553</v>
          </cell>
        </row>
        <row r="56">
          <cell r="C56">
            <v>50</v>
          </cell>
          <cell r="AS56">
            <v>4725</v>
          </cell>
        </row>
        <row r="57">
          <cell r="C57">
            <v>51</v>
          </cell>
          <cell r="AS57">
            <v>4980</v>
          </cell>
        </row>
        <row r="58">
          <cell r="C58">
            <v>52</v>
          </cell>
          <cell r="AS58">
            <v>5353</v>
          </cell>
        </row>
        <row r="59">
          <cell r="C59">
            <v>53</v>
          </cell>
          <cell r="AS59">
            <v>5572</v>
          </cell>
        </row>
        <row r="60">
          <cell r="C60">
            <v>54</v>
          </cell>
          <cell r="AS60">
            <v>5815</v>
          </cell>
        </row>
        <row r="61">
          <cell r="C61">
            <v>55</v>
          </cell>
          <cell r="AS61">
            <v>6158</v>
          </cell>
        </row>
        <row r="62">
          <cell r="C62">
            <v>56</v>
          </cell>
          <cell r="AS62">
            <v>6492</v>
          </cell>
        </row>
        <row r="63">
          <cell r="C63">
            <v>57</v>
          </cell>
          <cell r="AS63">
            <v>6861</v>
          </cell>
        </row>
        <row r="64">
          <cell r="C64">
            <v>58</v>
          </cell>
          <cell r="AS64">
            <v>7160</v>
          </cell>
        </row>
        <row r="65">
          <cell r="C65">
            <v>59</v>
          </cell>
          <cell r="AS65">
            <v>7580</v>
          </cell>
        </row>
        <row r="66">
          <cell r="C66">
            <v>60</v>
          </cell>
          <cell r="AS66">
            <v>7967</v>
          </cell>
        </row>
        <row r="67">
          <cell r="C67">
            <v>61</v>
          </cell>
          <cell r="AS67">
            <v>8427</v>
          </cell>
        </row>
        <row r="68">
          <cell r="C68">
            <v>62</v>
          </cell>
          <cell r="AS68">
            <v>8791</v>
          </cell>
        </row>
        <row r="69">
          <cell r="C69">
            <v>63</v>
          </cell>
          <cell r="AS69">
            <v>9313</v>
          </cell>
        </row>
        <row r="70">
          <cell r="C70">
            <v>64</v>
          </cell>
          <cell r="AS70">
            <v>9759</v>
          </cell>
        </row>
        <row r="71">
          <cell r="C71">
            <v>65</v>
          </cell>
          <cell r="AS71">
            <v>10264</v>
          </cell>
        </row>
        <row r="72">
          <cell r="C72">
            <v>66</v>
          </cell>
          <cell r="AS72">
            <v>10690</v>
          </cell>
        </row>
        <row r="73">
          <cell r="C73">
            <v>67</v>
          </cell>
          <cell r="AS73">
            <v>11338</v>
          </cell>
        </row>
        <row r="74">
          <cell r="C74">
            <v>68</v>
          </cell>
          <cell r="AS74">
            <v>11861</v>
          </cell>
        </row>
        <row r="75">
          <cell r="C75">
            <v>69</v>
          </cell>
          <cell r="AS75">
            <v>12456</v>
          </cell>
        </row>
        <row r="76">
          <cell r="C76">
            <v>70</v>
          </cell>
          <cell r="AS76">
            <v>13204</v>
          </cell>
        </row>
        <row r="77">
          <cell r="C77">
            <v>71</v>
          </cell>
          <cell r="AS77">
            <v>13691</v>
          </cell>
        </row>
        <row r="78">
          <cell r="C78">
            <v>72</v>
          </cell>
          <cell r="AS78">
            <v>14374</v>
          </cell>
        </row>
        <row r="79">
          <cell r="C79">
            <v>73</v>
          </cell>
          <cell r="AS79">
            <v>15302</v>
          </cell>
        </row>
        <row r="80">
          <cell r="C80">
            <v>74</v>
          </cell>
          <cell r="AS80">
            <v>15787</v>
          </cell>
        </row>
        <row r="81">
          <cell r="C81">
            <v>75</v>
          </cell>
          <cell r="AS81">
            <v>16567</v>
          </cell>
        </row>
        <row r="82">
          <cell r="C82">
            <v>76</v>
          </cell>
          <cell r="AS82">
            <v>17783</v>
          </cell>
        </row>
        <row r="83">
          <cell r="C83">
            <v>77</v>
          </cell>
          <cell r="AS83">
            <v>18188</v>
          </cell>
        </row>
        <row r="84">
          <cell r="C84">
            <v>78</v>
          </cell>
          <cell r="AS84">
            <v>19082</v>
          </cell>
        </row>
        <row r="85">
          <cell r="C85">
            <v>79</v>
          </cell>
          <cell r="AS85">
            <v>20474</v>
          </cell>
        </row>
        <row r="86">
          <cell r="C86">
            <v>80</v>
          </cell>
          <cell r="AS86">
            <v>20474</v>
          </cell>
        </row>
        <row r="87">
          <cell r="C87">
            <v>81</v>
          </cell>
          <cell r="AS87">
            <v>20474</v>
          </cell>
        </row>
        <row r="88">
          <cell r="C88">
            <v>82</v>
          </cell>
          <cell r="AS88">
            <v>20474</v>
          </cell>
        </row>
        <row r="89">
          <cell r="C89">
            <v>83</v>
          </cell>
          <cell r="AS89">
            <v>20474</v>
          </cell>
        </row>
        <row r="90">
          <cell r="C90">
            <v>84</v>
          </cell>
          <cell r="AS90">
            <v>20474</v>
          </cell>
        </row>
        <row r="91">
          <cell r="C91">
            <v>85</v>
          </cell>
          <cell r="AS91">
            <v>20474</v>
          </cell>
        </row>
        <row r="92">
          <cell r="C92">
            <v>86</v>
          </cell>
          <cell r="AS92">
            <v>20474</v>
          </cell>
        </row>
        <row r="93">
          <cell r="C93">
            <v>87</v>
          </cell>
          <cell r="AS93">
            <v>20474</v>
          </cell>
        </row>
        <row r="94">
          <cell r="C94">
            <v>88</v>
          </cell>
          <cell r="AS94">
            <v>20474</v>
          </cell>
        </row>
        <row r="95">
          <cell r="C95">
            <v>89</v>
          </cell>
          <cell r="AS95">
            <v>20474</v>
          </cell>
        </row>
        <row r="96">
          <cell r="C96">
            <v>90</v>
          </cell>
          <cell r="AS96">
            <v>20474</v>
          </cell>
        </row>
        <row r="97">
          <cell r="C97">
            <v>91</v>
          </cell>
          <cell r="AS97">
            <v>20474</v>
          </cell>
        </row>
        <row r="98">
          <cell r="C98">
            <v>92</v>
          </cell>
          <cell r="AS98">
            <v>20474</v>
          </cell>
        </row>
        <row r="99">
          <cell r="C99">
            <v>93</v>
          </cell>
          <cell r="AS99">
            <v>20474</v>
          </cell>
        </row>
        <row r="100">
          <cell r="C100">
            <v>94</v>
          </cell>
          <cell r="AS100">
            <v>20474</v>
          </cell>
        </row>
        <row r="101">
          <cell r="C101">
            <v>95</v>
          </cell>
          <cell r="AS101">
            <v>20474</v>
          </cell>
        </row>
        <row r="102">
          <cell r="C102">
            <v>96</v>
          </cell>
          <cell r="AS102">
            <v>20474</v>
          </cell>
        </row>
        <row r="103">
          <cell r="C103">
            <v>97</v>
          </cell>
          <cell r="AS103">
            <v>20474</v>
          </cell>
        </row>
        <row r="104">
          <cell r="C104">
            <v>98</v>
          </cell>
          <cell r="AS104">
            <v>20474</v>
          </cell>
        </row>
        <row r="105">
          <cell r="C105">
            <v>99</v>
          </cell>
          <cell r="AS105">
            <v>20474</v>
          </cell>
        </row>
        <row r="106">
          <cell r="C106">
            <v>100</v>
          </cell>
          <cell r="AS106">
            <v>20474</v>
          </cell>
        </row>
      </sheetData>
      <sheetData sheetId="4"/>
      <sheetData sheetId="5">
        <row r="2">
          <cell r="B2" t="str">
            <v>辅助ID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  <sheetName val="数值框架推算"/>
    </sheetNames>
    <sheetDataSet>
      <sheetData sheetId="0">
        <row r="1">
          <cell r="B1" t="str">
            <v>属性类型</v>
          </cell>
        </row>
      </sheetData>
      <sheetData sheetId="1">
        <row r="3">
          <cell r="M3">
            <v>0.3</v>
          </cell>
        </row>
        <row r="12">
          <cell r="C12" t="str">
            <v>生命</v>
          </cell>
          <cell r="D12" t="str">
            <v>攻击</v>
          </cell>
          <cell r="E12" t="str">
            <v>防御</v>
          </cell>
          <cell r="F12" t="str">
            <v>闪避值</v>
          </cell>
          <cell r="G12" t="str">
            <v>命中值</v>
          </cell>
          <cell r="H12" t="str">
            <v>暴击值</v>
          </cell>
          <cell r="I12" t="str">
            <v>暴击倍数</v>
          </cell>
          <cell r="J12" t="str">
            <v>韧性值</v>
          </cell>
          <cell r="K12" t="str">
            <v>伤害减免</v>
          </cell>
          <cell r="L12" t="str">
            <v>伤害加深</v>
          </cell>
          <cell r="M12" t="str">
            <v>生命加成</v>
          </cell>
          <cell r="N12" t="str">
            <v>攻击加成</v>
          </cell>
          <cell r="O12" t="str">
            <v>防御加成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</sheetData>
      <sheetData sheetId="2"/>
      <sheetData sheetId="3">
        <row r="6">
          <cell r="Q6">
            <v>1</v>
          </cell>
        </row>
        <row r="7">
          <cell r="Q7">
            <v>1</v>
          </cell>
        </row>
        <row r="8">
          <cell r="Q8">
            <v>1</v>
          </cell>
        </row>
        <row r="9">
          <cell r="Q9">
            <v>1</v>
          </cell>
        </row>
        <row r="10">
          <cell r="Q10">
            <v>1</v>
          </cell>
        </row>
        <row r="11">
          <cell r="Q11">
            <v>0.64777327935222673</v>
          </cell>
        </row>
        <row r="12">
          <cell r="Q12">
            <v>0.60037523452157604</v>
          </cell>
        </row>
        <row r="13">
          <cell r="Q13">
            <v>0.55944055944055937</v>
          </cell>
        </row>
        <row r="14">
          <cell r="Q14">
            <v>0.4701974062480036</v>
          </cell>
        </row>
        <row r="15">
          <cell r="Q15">
            <v>0.4055096418732782</v>
          </cell>
        </row>
        <row r="16">
          <cell r="Q16">
            <v>0.35646825204630206</v>
          </cell>
        </row>
        <row r="17">
          <cell r="Q17">
            <v>0.31800898721050813</v>
          </cell>
        </row>
        <row r="18">
          <cell r="Q18">
            <v>0.28704028704028706</v>
          </cell>
        </row>
        <row r="19">
          <cell r="Q19">
            <v>0.26156798635297462</v>
          </cell>
        </row>
        <row r="20">
          <cell r="Q20">
            <v>0.24024808225885427</v>
          </cell>
        </row>
        <row r="21">
          <cell r="Q21">
            <v>0.22214173608595919</v>
          </cell>
        </row>
        <row r="22">
          <cell r="Q22">
            <v>0.20657329703331556</v>
          </cell>
        </row>
        <row r="23">
          <cell r="Q23">
            <v>0.19304411687562292</v>
          </cell>
        </row>
        <row r="24">
          <cell r="Q24">
            <v>0.1811781503089383</v>
          </cell>
        </row>
        <row r="25">
          <cell r="Q25">
            <v>0.17068645640074212</v>
          </cell>
        </row>
        <row r="26">
          <cell r="Q26">
            <v>0.16134335883552184</v>
          </cell>
        </row>
        <row r="27">
          <cell r="Q27">
            <v>0.1529700295132394</v>
          </cell>
        </row>
        <row r="28">
          <cell r="Q28">
            <v>0.14276129509720592</v>
          </cell>
        </row>
        <row r="29">
          <cell r="Q29">
            <v>0.13382991143279693</v>
          </cell>
        </row>
        <row r="30">
          <cell r="Q30">
            <v>0.12595025438844754</v>
          </cell>
        </row>
        <row r="31">
          <cell r="Q31">
            <v>0.11745663180668629</v>
          </cell>
        </row>
        <row r="32">
          <cell r="Q32">
            <v>0.11003619494653868</v>
          </cell>
        </row>
        <row r="33">
          <cell r="Q33">
            <v>0.10349763149650999</v>
          </cell>
        </row>
        <row r="34">
          <cell r="Q34">
            <v>9.769255122205199E-2</v>
          </cell>
        </row>
        <row r="35">
          <cell r="Q35">
            <v>9.2504087982009653E-2</v>
          </cell>
        </row>
        <row r="36">
          <cell r="Q36">
            <v>8.7838950662381704E-2</v>
          </cell>
        </row>
        <row r="37">
          <cell r="Q37">
            <v>8.3591372382556817E-2</v>
          </cell>
        </row>
        <row r="38">
          <cell r="Q38">
            <v>7.9735641237171348E-2</v>
          </cell>
        </row>
        <row r="39">
          <cell r="Q39">
            <v>7.6219925073774314E-2</v>
          </cell>
        </row>
        <row r="40">
          <cell r="Q40">
            <v>7.3001147255348633E-2</v>
          </cell>
        </row>
        <row r="41">
          <cell r="Q41">
            <v>7.0043212836102001E-2</v>
          </cell>
        </row>
        <row r="42">
          <cell r="Q42">
            <v>6.7315649185845094E-2</v>
          </cell>
        </row>
        <row r="43">
          <cell r="Q43">
            <v>6.4792552323642782E-2</v>
          </cell>
        </row>
        <row r="44">
          <cell r="Q44">
            <v>6.2451761649231281E-2</v>
          </cell>
        </row>
        <row r="45">
          <cell r="Q45">
            <v>6.027420732613839E-2</v>
          </cell>
        </row>
        <row r="46">
          <cell r="Q46">
            <v>5.8243389596453095E-2</v>
          </cell>
        </row>
        <row r="47">
          <cell r="Q47">
            <v>5.6344959925275405E-2</v>
          </cell>
        </row>
        <row r="48">
          <cell r="Q48">
            <v>5.4566381474439749E-2</v>
          </cell>
        </row>
        <row r="49">
          <cell r="Q49">
            <v>5.2896651913198783E-2</v>
          </cell>
        </row>
        <row r="50">
          <cell r="Q50">
            <v>5.1326075609760893E-2</v>
          </cell>
        </row>
        <row r="51">
          <cell r="Q51">
            <v>4.9846075236315623E-2</v>
          </cell>
        </row>
        <row r="52">
          <cell r="Q52">
            <v>4.8449035055030606E-2</v>
          </cell>
        </row>
        <row r="53">
          <cell r="Q53">
            <v>4.7128169838995829E-2</v>
          </cell>
        </row>
        <row r="54">
          <cell r="Q54">
            <v>4.587741466575513E-2</v>
          </cell>
        </row>
        <row r="55">
          <cell r="Q55">
            <v>4.4691331806047341E-2</v>
          </cell>
        </row>
        <row r="56">
          <cell r="Q56">
            <v>4.3565031691951764E-2</v>
          </cell>
        </row>
        <row r="57">
          <cell r="Q57">
            <v>4.2494105541714573E-2</v>
          </cell>
        </row>
        <row r="58">
          <cell r="Q58">
            <v>4.1474567683549741E-2</v>
          </cell>
        </row>
        <row r="59">
          <cell r="Q59">
            <v>4.0502805987664821E-2</v>
          </cell>
        </row>
        <row r="60">
          <cell r="Q60">
            <v>3.9575539107109994E-2</v>
          </cell>
        </row>
        <row r="61">
          <cell r="Q61">
            <v>3.8689779460708902E-2</v>
          </cell>
        </row>
        <row r="62">
          <cell r="Q62">
            <v>3.7842801078150683E-2</v>
          </cell>
        </row>
        <row r="63">
          <cell r="Q63">
            <v>3.7032111578123743E-2</v>
          </cell>
        </row>
        <row r="64">
          <cell r="Q64">
            <v>3.6255427672707966E-2</v>
          </cell>
        </row>
        <row r="65">
          <cell r="Q65">
            <v>3.551065369096032E-2</v>
          </cell>
        </row>
        <row r="66">
          <cell r="Q66">
            <v>3.4795862696282237E-2</v>
          </cell>
        </row>
        <row r="67">
          <cell r="Q67">
            <v>3.4109279839309926E-2</v>
          </cell>
        </row>
        <row r="68">
          <cell r="Q68">
            <v>3.3449267643527299E-2</v>
          </cell>
        </row>
        <row r="69">
          <cell r="Q69">
            <v>3.281431296678429E-2</v>
          </cell>
        </row>
        <row r="70">
          <cell r="Q70">
            <v>3.2203015420177894E-2</v>
          </cell>
        </row>
        <row r="71">
          <cell r="Q71">
            <v>3.1614077057726842E-2</v>
          </cell>
        </row>
        <row r="72">
          <cell r="Q72">
            <v>3.1046293177077373E-2</v>
          </cell>
        </row>
        <row r="73">
          <cell r="Q73">
            <v>3.0498544094026633E-2</v>
          </cell>
        </row>
        <row r="74">
          <cell r="Q74">
            <v>2.9969787772681576E-2</v>
          </cell>
        </row>
        <row r="75">
          <cell r="Q75">
            <v>2.9459053209183291E-2</v>
          </cell>
        </row>
        <row r="76">
          <cell r="Q76">
            <v>2.8965434480609013E-2</v>
          </cell>
        </row>
        <row r="77">
          <cell r="Q77">
            <v>2.8488085382317171E-2</v>
          </cell>
        </row>
        <row r="78">
          <cell r="Q78">
            <v>2.8026214586953407E-2</v>
          </cell>
        </row>
        <row r="79">
          <cell r="Q79">
            <v>2.7579081266859089E-2</v>
          </cell>
        </row>
        <row r="80">
          <cell r="Q80">
            <v>2.7145991128942799E-2</v>
          </cell>
        </row>
        <row r="81">
          <cell r="Q81">
            <v>2.6726292817375846E-2</v>
          </cell>
        </row>
        <row r="82">
          <cell r="Q82">
            <v>2.6319374644909879E-2</v>
          </cell>
        </row>
        <row r="83">
          <cell r="Q83">
            <v>2.5924661618318103E-2</v>
          </cell>
        </row>
        <row r="84">
          <cell r="Q84">
            <v>2.5541612727539385E-2</v>
          </cell>
        </row>
        <row r="85">
          <cell r="Q85">
            <v>2.5169718471648117E-2</v>
          </cell>
        </row>
        <row r="86">
          <cell r="Q86">
            <v>2.4808498597858299E-2</v>
          </cell>
        </row>
        <row r="87">
          <cell r="Q87">
            <v>2.4457500032463445E-2</v>
          </cell>
        </row>
        <row r="88">
          <cell r="Q88">
            <v>2.4116294984968398E-2</v>
          </cell>
        </row>
        <row r="89">
          <cell r="Q89">
            <v>2.3784479208732535E-2</v>
          </cell>
        </row>
        <row r="90">
          <cell r="Q90">
            <v>2.3461670403254819E-2</v>
          </cell>
        </row>
        <row r="91">
          <cell r="Q91">
            <v>2.3147506744824124E-2</v>
          </cell>
        </row>
        <row r="92">
          <cell r="Q92">
            <v>2.2841645533661737E-2</v>
          </cell>
        </row>
        <row r="93">
          <cell r="Q93">
            <v>2.2543761946921505E-2</v>
          </cell>
        </row>
        <row r="94">
          <cell r="Q94">
            <v>2.2253547888008523E-2</v>
          </cell>
        </row>
        <row r="95">
          <cell r="Q95">
            <v>2.1970710923647035E-2</v>
          </cell>
        </row>
        <row r="96">
          <cell r="Q96">
            <v>2.1694973300988595E-2</v>
          </cell>
        </row>
        <row r="97">
          <cell r="Q97">
            <v>2.1426071037816057E-2</v>
          </cell>
        </row>
        <row r="98">
          <cell r="Q98">
            <v>2.1163753079578972E-2</v>
          </cell>
        </row>
        <row r="99">
          <cell r="Q99">
            <v>2.0907780517602177E-2</v>
          </cell>
        </row>
        <row r="100">
          <cell r="Q100">
            <v>2.0657925863350385E-2</v>
          </cell>
        </row>
        <row r="101">
          <cell r="Q101">
            <v>2.0413972374114832E-2</v>
          </cell>
        </row>
        <row r="102">
          <cell r="Q102">
            <v>2.0175713425920908E-2</v>
          </cell>
        </row>
        <row r="103">
          <cell r="Q103">
            <v>1.9942951929843276E-2</v>
          </cell>
        </row>
        <row r="104">
          <cell r="Q104">
            <v>1.9715499788263063E-2</v>
          </cell>
        </row>
        <row r="105">
          <cell r="Q105">
            <v>1.9493177387914232E-2</v>
          </cell>
        </row>
      </sheetData>
      <sheetData sheetId="4">
        <row r="5">
          <cell r="B5">
            <v>1.3774999999999999</v>
          </cell>
          <cell r="C5">
            <v>1</v>
          </cell>
          <cell r="D5">
            <v>495.65999999999997</v>
          </cell>
          <cell r="E5">
            <v>118.80000000000001</v>
          </cell>
          <cell r="F5">
            <v>52.800000000000004</v>
          </cell>
          <cell r="H5">
            <v>7.51</v>
          </cell>
        </row>
        <row r="6">
          <cell r="B6">
            <v>1.5049999999999999</v>
          </cell>
          <cell r="C6">
            <v>2</v>
          </cell>
          <cell r="D6">
            <v>577.43999999999994</v>
          </cell>
          <cell r="E6">
            <v>129.6</v>
          </cell>
          <cell r="F6">
            <v>57.6</v>
          </cell>
          <cell r="H6">
            <v>8.02</v>
          </cell>
        </row>
        <row r="7">
          <cell r="B7">
            <v>1.6325000000000001</v>
          </cell>
          <cell r="C7">
            <v>3</v>
          </cell>
          <cell r="D7">
            <v>665.34000000000015</v>
          </cell>
          <cell r="E7">
            <v>140.4</v>
          </cell>
          <cell r="F7">
            <v>62.400000000000006</v>
          </cell>
          <cell r="H7">
            <v>8.5300000000000011</v>
          </cell>
        </row>
        <row r="8">
          <cell r="B8">
            <v>1.76</v>
          </cell>
          <cell r="C8">
            <v>4</v>
          </cell>
          <cell r="D8">
            <v>759.3599999999999</v>
          </cell>
          <cell r="E8">
            <v>151.19999999999999</v>
          </cell>
          <cell r="F8">
            <v>67.2</v>
          </cell>
          <cell r="H8">
            <v>9.0399999999999991</v>
          </cell>
        </row>
        <row r="9">
          <cell r="B9">
            <v>1.8875</v>
          </cell>
          <cell r="C9">
            <v>5</v>
          </cell>
          <cell r="D9">
            <v>859.50000000000011</v>
          </cell>
          <cell r="E9">
            <v>162</v>
          </cell>
          <cell r="F9">
            <v>72</v>
          </cell>
          <cell r="H9">
            <v>9.5500000000000007</v>
          </cell>
        </row>
        <row r="10">
          <cell r="B10">
            <v>2.0150000000000001</v>
          </cell>
          <cell r="C10">
            <v>6</v>
          </cell>
          <cell r="D10">
            <v>1490.8920000000001</v>
          </cell>
          <cell r="E10">
            <v>266.76</v>
          </cell>
          <cell r="F10">
            <v>118.56</v>
          </cell>
          <cell r="H10">
            <v>10.06</v>
          </cell>
        </row>
        <row r="11">
          <cell r="B11">
            <v>2.1425000000000001</v>
          </cell>
          <cell r="C11">
            <v>7</v>
          </cell>
          <cell r="D11">
            <v>1795.7769374999998</v>
          </cell>
          <cell r="E11">
            <v>305.80874999999997</v>
          </cell>
          <cell r="F11">
            <v>135.91499999999999</v>
          </cell>
          <cell r="H11">
            <v>10.57</v>
          </cell>
        </row>
        <row r="12">
          <cell r="B12">
            <v>2.27</v>
          </cell>
          <cell r="C12">
            <v>8</v>
          </cell>
          <cell r="D12">
            <v>2138.9940000000001</v>
          </cell>
          <cell r="E12">
            <v>347.49</v>
          </cell>
          <cell r="F12">
            <v>154.44000000000003</v>
          </cell>
          <cell r="H12">
            <v>11.08</v>
          </cell>
        </row>
        <row r="13">
          <cell r="B13">
            <v>2.3975</v>
          </cell>
          <cell r="C13">
            <v>9</v>
          </cell>
          <cell r="D13">
            <v>2810.0112472826086</v>
          </cell>
          <cell r="E13">
            <v>436.41244565217391</v>
          </cell>
          <cell r="F13">
            <v>193.96108695652174</v>
          </cell>
          <cell r="H13">
            <v>11.59</v>
          </cell>
        </row>
        <row r="14">
          <cell r="B14">
            <v>2.5249999999999999</v>
          </cell>
          <cell r="C14">
            <v>10</v>
          </cell>
          <cell r="D14">
            <v>3580.6793478260875</v>
          </cell>
          <cell r="E14">
            <v>532.66304347826099</v>
          </cell>
          <cell r="F14">
            <v>236.73913043478265</v>
          </cell>
          <cell r="H14">
            <v>12.1</v>
          </cell>
        </row>
        <row r="15">
          <cell r="B15">
            <v>2.6524999999999999</v>
          </cell>
          <cell r="C15">
            <v>11</v>
          </cell>
          <cell r="D15">
            <v>4457.2272309782602</v>
          </cell>
          <cell r="E15">
            <v>636.24179347826089</v>
          </cell>
          <cell r="F15">
            <v>282.77413043478259</v>
          </cell>
          <cell r="H15">
            <v>12.61</v>
          </cell>
        </row>
        <row r="16">
          <cell r="B16">
            <v>2.7800000000000002</v>
          </cell>
          <cell r="C16">
            <v>12</v>
          </cell>
          <cell r="D16">
            <v>5445.8838260869561</v>
          </cell>
          <cell r="E16">
            <v>747.14869565217396</v>
          </cell>
          <cell r="F16">
            <v>332.06608695652176</v>
          </cell>
          <cell r="H16">
            <v>13.120000000000001</v>
          </cell>
        </row>
        <row r="17">
          <cell r="B17">
            <v>2.9074999999999998</v>
          </cell>
          <cell r="C17">
            <v>13</v>
          </cell>
          <cell r="D17">
            <v>6552.878062499999</v>
          </cell>
          <cell r="E17">
            <v>865.38374999999996</v>
          </cell>
          <cell r="F17">
            <v>384.61500000000001</v>
          </cell>
          <cell r="H17">
            <v>13.629999999999999</v>
          </cell>
        </row>
        <row r="18">
          <cell r="B18">
            <v>3.0350000000000001</v>
          </cell>
          <cell r="C18">
            <v>14</v>
          </cell>
          <cell r="D18">
            <v>7784.4388695652187</v>
          </cell>
          <cell r="E18">
            <v>990.94695652173925</v>
          </cell>
          <cell r="F18">
            <v>440.42086956521746</v>
          </cell>
          <cell r="H18">
            <v>14.14</v>
          </cell>
        </row>
        <row r="19">
          <cell r="B19">
            <v>3.1625000000000001</v>
          </cell>
          <cell r="C19">
            <v>15</v>
          </cell>
          <cell r="D19">
            <v>9146.7951766304341</v>
          </cell>
          <cell r="E19">
            <v>1123.8383152173913</v>
          </cell>
          <cell r="F19">
            <v>499.48369565217394</v>
          </cell>
          <cell r="H19">
            <v>14.65</v>
          </cell>
        </row>
        <row r="20">
          <cell r="B20">
            <v>3.29</v>
          </cell>
          <cell r="C20">
            <v>16</v>
          </cell>
          <cell r="D20">
            <v>10646.17591304348</v>
          </cell>
          <cell r="E20">
            <v>1264.0578260869565</v>
          </cell>
          <cell r="F20">
            <v>561.80347826086961</v>
          </cell>
          <cell r="H20">
            <v>15.16</v>
          </cell>
        </row>
        <row r="21">
          <cell r="B21">
            <v>3.4175</v>
          </cell>
          <cell r="C21">
            <v>17</v>
          </cell>
          <cell r="D21">
            <v>12288.810008152173</v>
          </cell>
          <cell r="E21">
            <v>1411.6054891304348</v>
          </cell>
          <cell r="F21">
            <v>627.38021739130443</v>
          </cell>
          <cell r="H21">
            <v>15.67</v>
          </cell>
        </row>
        <row r="22">
          <cell r="B22">
            <v>3.5449999999999999</v>
          </cell>
          <cell r="C22">
            <v>18</v>
          </cell>
          <cell r="D22">
            <v>14080.926391304352</v>
          </cell>
          <cell r="E22">
            <v>1566.4813043478266</v>
          </cell>
          <cell r="F22">
            <v>696.21391304347856</v>
          </cell>
          <cell r="H22">
            <v>16.18</v>
          </cell>
        </row>
        <row r="23">
          <cell r="B23">
            <v>3.6724999999999999</v>
          </cell>
          <cell r="C23">
            <v>19</v>
          </cell>
          <cell r="D23">
            <v>16028.753991847825</v>
          </cell>
          <cell r="E23">
            <v>1728.6852717391307</v>
          </cell>
          <cell r="F23">
            <v>768.30456521739143</v>
          </cell>
          <cell r="H23">
            <v>16.689999999999998</v>
          </cell>
        </row>
        <row r="24">
          <cell r="B24">
            <v>3.8</v>
          </cell>
          <cell r="C24">
            <v>20</v>
          </cell>
          <cell r="D24">
            <v>18138.521739130436</v>
          </cell>
          <cell r="E24">
            <v>1898.217391304348</v>
          </cell>
          <cell r="F24">
            <v>843.65217391304361</v>
          </cell>
          <cell r="H24">
            <v>17.2</v>
          </cell>
        </row>
        <row r="25">
          <cell r="B25">
            <v>3.9275000000000002</v>
          </cell>
          <cell r="C25">
            <v>21</v>
          </cell>
          <cell r="D25">
            <v>20416.458562500007</v>
          </cell>
          <cell r="E25">
            <v>2075.0776630434789</v>
          </cell>
          <cell r="F25">
            <v>922.25673913043511</v>
          </cell>
          <cell r="H25">
            <v>17.71</v>
          </cell>
        </row>
        <row r="26">
          <cell r="B26">
            <v>4.0549999999999997</v>
          </cell>
          <cell r="C26">
            <v>22</v>
          </cell>
          <cell r="D26">
            <v>22868.793391304349</v>
          </cell>
          <cell r="E26">
            <v>2259.266086956522</v>
          </cell>
          <cell r="F26">
            <v>1004.1182608695653</v>
          </cell>
          <cell r="H26">
            <v>18.22</v>
          </cell>
        </row>
        <row r="27">
          <cell r="B27">
            <v>4.1825000000000001</v>
          </cell>
          <cell r="C27">
            <v>23</v>
          </cell>
          <cell r="D27">
            <v>25977.209001045157</v>
          </cell>
          <cell r="E27">
            <v>2496.4749707357864</v>
          </cell>
          <cell r="F27">
            <v>1109.5444314381273</v>
          </cell>
          <cell r="H27">
            <v>18.73</v>
          </cell>
        </row>
        <row r="28">
          <cell r="B28">
            <v>4.3100000000000005</v>
          </cell>
          <cell r="C28">
            <v>24</v>
          </cell>
          <cell r="D28">
            <v>29327.9727826087</v>
          </cell>
          <cell r="E28">
            <v>2743.781237458194</v>
          </cell>
          <cell r="F28">
            <v>1219.4583277591973</v>
          </cell>
          <cell r="H28">
            <v>19.240000000000002</v>
          </cell>
        </row>
        <row r="29">
          <cell r="B29">
            <v>4.4375</v>
          </cell>
          <cell r="C29">
            <v>25</v>
          </cell>
          <cell r="D29">
            <v>32929.667511496664</v>
          </cell>
          <cell r="E29">
            <v>3001.1848871237471</v>
          </cell>
          <cell r="F29">
            <v>1333.8599498327765</v>
          </cell>
          <cell r="H29">
            <v>19.75</v>
          </cell>
        </row>
        <row r="30">
          <cell r="B30">
            <v>4.5649999999999995</v>
          </cell>
          <cell r="C30">
            <v>26</v>
          </cell>
          <cell r="D30">
            <v>37257.666363210708</v>
          </cell>
          <cell r="E30">
            <v>3310.1579197324422</v>
          </cell>
          <cell r="F30">
            <v>1471.1812976588633</v>
          </cell>
          <cell r="H30">
            <v>20.259999999999998</v>
          </cell>
        </row>
        <row r="31">
          <cell r="B31">
            <v>4.6924999999999999</v>
          </cell>
          <cell r="C31">
            <v>27</v>
          </cell>
          <cell r="D31">
            <v>41903.848113252519</v>
          </cell>
          <cell r="E31">
            <v>3631.5323352842815</v>
          </cell>
          <cell r="F31">
            <v>1614.0143712374586</v>
          </cell>
          <cell r="H31">
            <v>20.77</v>
          </cell>
        </row>
        <row r="32">
          <cell r="B32">
            <v>4.82</v>
          </cell>
          <cell r="C32">
            <v>28</v>
          </cell>
          <cell r="D32">
            <v>46878.753937123758</v>
          </cell>
          <cell r="E32">
            <v>3965.3081337792655</v>
          </cell>
          <cell r="F32">
            <v>1762.3591705685624</v>
          </cell>
          <cell r="H32">
            <v>21.28</v>
          </cell>
        </row>
        <row r="33">
          <cell r="B33">
            <v>4.9474999999999998</v>
          </cell>
          <cell r="C33">
            <v>29</v>
          </cell>
          <cell r="D33">
            <v>52192.925010326107</v>
          </cell>
          <cell r="E33">
            <v>4311.4853152173928</v>
          </cell>
          <cell r="F33">
            <v>1916.2156956521749</v>
          </cell>
          <cell r="H33">
            <v>21.79</v>
          </cell>
        </row>
        <row r="34">
          <cell r="B34">
            <v>5.0750000000000002</v>
          </cell>
          <cell r="C34">
            <v>30</v>
          </cell>
          <cell r="D34">
            <v>58580.113789715739</v>
          </cell>
          <cell r="E34">
            <v>4728.4396780936477</v>
          </cell>
          <cell r="F34">
            <v>2101.5287458193989</v>
          </cell>
          <cell r="H34">
            <v>22.3</v>
          </cell>
        </row>
        <row r="35">
          <cell r="B35">
            <v>5.2025000000000006</v>
          </cell>
          <cell r="C35">
            <v>31</v>
          </cell>
          <cell r="D35">
            <v>65439.306328846171</v>
          </cell>
          <cell r="E35">
            <v>5163.9961153846161</v>
          </cell>
          <cell r="F35">
            <v>2295.1093846153849</v>
          </cell>
          <cell r="H35">
            <v>22.810000000000002</v>
          </cell>
        </row>
        <row r="36">
          <cell r="B36">
            <v>5.33</v>
          </cell>
          <cell r="C36">
            <v>32</v>
          </cell>
          <cell r="D36">
            <v>72812.7775214047</v>
          </cell>
          <cell r="E36">
            <v>5620.1972357859549</v>
          </cell>
          <cell r="F36">
            <v>2497.8654381270912</v>
          </cell>
          <cell r="H36">
            <v>23.32</v>
          </cell>
        </row>
        <row r="37">
          <cell r="B37">
            <v>5.4575000000000005</v>
          </cell>
          <cell r="C37">
            <v>33</v>
          </cell>
          <cell r="D37">
            <v>80692.898434991686</v>
          </cell>
          <cell r="E37">
            <v>6095.1413001672272</v>
          </cell>
          <cell r="F37">
            <v>2708.9516889632123</v>
          </cell>
          <cell r="H37">
            <v>23.830000000000002</v>
          </cell>
        </row>
        <row r="38">
          <cell r="B38">
            <v>5.585</v>
          </cell>
          <cell r="C38">
            <v>34</v>
          </cell>
          <cell r="D38">
            <v>89095.600571989969</v>
          </cell>
          <cell r="E38">
            <v>6588.8283085284293</v>
          </cell>
          <cell r="F38">
            <v>2928.3681371237462</v>
          </cell>
          <cell r="H38">
            <v>24.34</v>
          </cell>
        </row>
        <row r="39">
          <cell r="B39">
            <v>5.7125000000000004</v>
          </cell>
          <cell r="C39">
            <v>35</v>
          </cell>
          <cell r="D39">
            <v>98036.81543478262</v>
          </cell>
          <cell r="E39">
            <v>7101.2582608695666</v>
          </cell>
          <cell r="F39">
            <v>3156.1147826086963</v>
          </cell>
          <cell r="H39">
            <v>24.85</v>
          </cell>
        </row>
        <row r="40">
          <cell r="B40">
            <v>5.84</v>
          </cell>
          <cell r="C40">
            <v>36</v>
          </cell>
          <cell r="D40">
            <v>107532.47452575252</v>
          </cell>
          <cell r="E40">
            <v>7632.4311571906364</v>
          </cell>
          <cell r="F40">
            <v>3392.191625418061</v>
          </cell>
          <cell r="H40">
            <v>25.36</v>
          </cell>
        </row>
        <row r="41">
          <cell r="B41">
            <v>5.9675000000000002</v>
          </cell>
          <cell r="C41">
            <v>37</v>
          </cell>
          <cell r="D41">
            <v>117598.50934728263</v>
          </cell>
          <cell r="E41">
            <v>8182.3469974916397</v>
          </cell>
          <cell r="F41">
            <v>3636.59866555184</v>
          </cell>
          <cell r="H41">
            <v>25.87</v>
          </cell>
        </row>
        <row r="42">
          <cell r="B42">
            <v>6.0949999999999998</v>
          </cell>
          <cell r="C42">
            <v>38</v>
          </cell>
          <cell r="D42">
            <v>128250.85140175585</v>
          </cell>
          <cell r="E42">
            <v>8751.0057817725756</v>
          </cell>
          <cell r="F42">
            <v>3889.3359030100337</v>
          </cell>
          <cell r="H42">
            <v>26.38</v>
          </cell>
        </row>
        <row r="43">
          <cell r="B43">
            <v>6.2225000000000001</v>
          </cell>
          <cell r="C43">
            <v>39</v>
          </cell>
          <cell r="D43">
            <v>139505.43219155521</v>
          </cell>
          <cell r="E43">
            <v>9338.4075100334449</v>
          </cell>
          <cell r="F43">
            <v>4150.4033377926426</v>
          </cell>
          <cell r="H43">
            <v>26.89</v>
          </cell>
        </row>
        <row r="44">
          <cell r="B44">
            <v>6.35</v>
          </cell>
          <cell r="C44">
            <v>40</v>
          </cell>
          <cell r="D44">
            <v>152741.95063545156</v>
          </cell>
          <cell r="E44">
            <v>10034.14274247492</v>
          </cell>
          <cell r="F44">
            <v>4459.6189966555203</v>
          </cell>
          <cell r="H44">
            <v>27.4</v>
          </cell>
        </row>
        <row r="45">
          <cell r="B45">
            <v>6.4775</v>
          </cell>
          <cell r="C45">
            <v>41</v>
          </cell>
          <cell r="D45">
            <v>166760.21205660541</v>
          </cell>
          <cell r="E45">
            <v>10754.868566889636</v>
          </cell>
          <cell r="F45">
            <v>4779.9415852842822</v>
          </cell>
          <cell r="H45">
            <v>27.91</v>
          </cell>
        </row>
        <row r="46">
          <cell r="B46">
            <v>6.6050000000000004</v>
          </cell>
          <cell r="C46">
            <v>42</v>
          </cell>
          <cell r="D46">
            <v>181581.45845819404</v>
          </cell>
          <cell r="E46">
            <v>11500.584983277597</v>
          </cell>
          <cell r="F46">
            <v>5111.3711036789318</v>
          </cell>
          <cell r="H46">
            <v>28.42</v>
          </cell>
        </row>
        <row r="47">
          <cell r="B47">
            <v>6.7324999999999999</v>
          </cell>
          <cell r="C47">
            <v>43</v>
          </cell>
          <cell r="D47">
            <v>197226.93184339468</v>
          </cell>
          <cell r="E47">
            <v>12271.291991638798</v>
          </cell>
          <cell r="F47">
            <v>5453.9075518394666</v>
          </cell>
          <cell r="H47">
            <v>28.93</v>
          </cell>
        </row>
        <row r="48">
          <cell r="B48">
            <v>6.86</v>
          </cell>
          <cell r="C48">
            <v>44</v>
          </cell>
          <cell r="D48">
            <v>213717.87421538465</v>
          </cell>
          <cell r="E48">
            <v>13066.989591973246</v>
          </cell>
          <cell r="F48">
            <v>5807.5509297658873</v>
          </cell>
          <cell r="H48">
            <v>29.44</v>
          </cell>
        </row>
        <row r="49">
          <cell r="B49">
            <v>6.9874999999999998</v>
          </cell>
          <cell r="C49">
            <v>45</v>
          </cell>
          <cell r="D49">
            <v>231075.52757734121</v>
          </cell>
          <cell r="E49">
            <v>13887.677784280941</v>
          </cell>
          <cell r="F49">
            <v>6172.3012374581958</v>
          </cell>
          <cell r="H49">
            <v>29.95</v>
          </cell>
        </row>
        <row r="50">
          <cell r="B50">
            <v>7.1150000000000002</v>
          </cell>
          <cell r="C50">
            <v>46</v>
          </cell>
          <cell r="D50">
            <v>249321.13393244156</v>
          </cell>
          <cell r="E50">
            <v>14733.356568561878</v>
          </cell>
          <cell r="F50">
            <v>6548.1584749163903</v>
          </cell>
          <cell r="H50">
            <v>30.46</v>
          </cell>
        </row>
        <row r="51">
          <cell r="B51">
            <v>7.2424999999999997</v>
          </cell>
          <cell r="C51">
            <v>47</v>
          </cell>
          <cell r="D51">
            <v>268475.93528386293</v>
          </cell>
          <cell r="E51">
            <v>15604.025944816058</v>
          </cell>
          <cell r="F51">
            <v>6935.1226421404708</v>
          </cell>
          <cell r="H51">
            <v>30.97</v>
          </cell>
        </row>
        <row r="52">
          <cell r="B52">
            <v>7.37</v>
          </cell>
          <cell r="C52">
            <v>48</v>
          </cell>
          <cell r="D52">
            <v>288561.17363478272</v>
          </cell>
          <cell r="E52">
            <v>16499.685913043486</v>
          </cell>
          <cell r="F52">
            <v>7333.1937391304382</v>
          </cell>
          <cell r="H52">
            <v>31.48</v>
          </cell>
        </row>
        <row r="53">
          <cell r="B53">
            <v>7.4975000000000005</v>
          </cell>
          <cell r="C53">
            <v>49</v>
          </cell>
          <cell r="D53">
            <v>309598.0909883781</v>
          </cell>
          <cell r="E53">
            <v>17420.336473244155</v>
          </cell>
          <cell r="F53">
            <v>7742.3717658862915</v>
          </cell>
          <cell r="H53">
            <v>31.990000000000002</v>
          </cell>
        </row>
        <row r="54">
          <cell r="B54">
            <v>7.625</v>
          </cell>
          <cell r="C54">
            <v>50</v>
          </cell>
          <cell r="D54">
            <v>333789.56046195666</v>
          </cell>
          <cell r="E54">
            <v>18486.806425585291</v>
          </cell>
          <cell r="F54">
            <v>8216.3584113712404</v>
          </cell>
          <cell r="H54">
            <v>32.5</v>
          </cell>
        </row>
        <row r="55">
          <cell r="B55">
            <v>7.7525000000000004</v>
          </cell>
          <cell r="C55">
            <v>51</v>
          </cell>
          <cell r="D55">
            <v>359158.23752035969</v>
          </cell>
          <cell r="E55">
            <v>19584.514617892979</v>
          </cell>
          <cell r="F55">
            <v>8704.228719063547</v>
          </cell>
          <cell r="H55">
            <v>33.010000000000005</v>
          </cell>
        </row>
        <row r="56">
          <cell r="B56">
            <v>7.88</v>
          </cell>
          <cell r="C56">
            <v>52</v>
          </cell>
          <cell r="D56">
            <v>385730.67466755857</v>
          </cell>
          <cell r="E56">
            <v>20713.461050167229</v>
          </cell>
          <cell r="F56">
            <v>9205.9826889632131</v>
          </cell>
          <cell r="H56">
            <v>33.519999999999996</v>
          </cell>
        </row>
        <row r="57">
          <cell r="B57">
            <v>8.0075000000000003</v>
          </cell>
          <cell r="C57">
            <v>53</v>
          </cell>
          <cell r="D57">
            <v>413533.42440752522</v>
          </cell>
          <cell r="E57">
            <v>21873.645722408033</v>
          </cell>
          <cell r="F57">
            <v>9721.620321070237</v>
          </cell>
          <cell r="H57">
            <v>34.03</v>
          </cell>
        </row>
        <row r="58">
          <cell r="B58">
            <v>8.1349999999999998</v>
          </cell>
          <cell r="C58">
            <v>54</v>
          </cell>
          <cell r="D58">
            <v>442593.03924423084</v>
          </cell>
          <cell r="E58">
            <v>23065.068634615389</v>
          </cell>
          <cell r="F58">
            <v>10251.141615384618</v>
          </cell>
          <cell r="H58">
            <v>34.54</v>
          </cell>
        </row>
        <row r="59">
          <cell r="B59">
            <v>8.2624999999999993</v>
          </cell>
          <cell r="C59">
            <v>55</v>
          </cell>
          <cell r="D59">
            <v>472936.07168164715</v>
          </cell>
          <cell r="E59">
            <v>24287.729786789299</v>
          </cell>
          <cell r="F59">
            <v>10794.546571906356</v>
          </cell>
          <cell r="H59">
            <v>35.049999999999997</v>
          </cell>
        </row>
        <row r="60">
          <cell r="B60">
            <v>8.39</v>
          </cell>
          <cell r="C60">
            <v>56</v>
          </cell>
          <cell r="D60">
            <v>504589.07422374596</v>
          </cell>
          <cell r="E60">
            <v>25541.629178929772</v>
          </cell>
          <cell r="F60">
            <v>11351.835190635455</v>
          </cell>
          <cell r="H60">
            <v>35.56</v>
          </cell>
        </row>
        <row r="61">
          <cell r="B61">
            <v>8.5175000000000001</v>
          </cell>
          <cell r="C61">
            <v>57</v>
          </cell>
          <cell r="D61">
            <v>537578.59937449847</v>
          </cell>
          <cell r="E61">
            <v>26826.766811036796</v>
          </cell>
          <cell r="F61">
            <v>11923.007471571909</v>
          </cell>
          <cell r="H61">
            <v>36.07</v>
          </cell>
        </row>
        <row r="62">
          <cell r="B62">
            <v>8.6449999999999996</v>
          </cell>
          <cell r="C62">
            <v>58</v>
          </cell>
          <cell r="D62">
            <v>571931.19963787636</v>
          </cell>
          <cell r="E62">
            <v>28143.142683110374</v>
          </cell>
          <cell r="F62">
            <v>12508.063414715723</v>
          </cell>
          <cell r="H62">
            <v>36.58</v>
          </cell>
        </row>
        <row r="63">
          <cell r="B63">
            <v>8.7725000000000009</v>
          </cell>
          <cell r="C63">
            <v>59</v>
          </cell>
          <cell r="D63">
            <v>607673.42751785135</v>
          </cell>
          <cell r="E63">
            <v>29490.756795150512</v>
          </cell>
          <cell r="F63">
            <v>13107.003020066893</v>
          </cell>
          <cell r="H63">
            <v>37.090000000000003</v>
          </cell>
        </row>
        <row r="64">
          <cell r="B64">
            <v>8.9</v>
          </cell>
          <cell r="C64">
            <v>60</v>
          </cell>
          <cell r="D64">
            <v>648008.34702341165</v>
          </cell>
          <cell r="E64">
            <v>31021.676187290985</v>
          </cell>
          <cell r="F64">
            <v>13787.411638795993</v>
          </cell>
          <cell r="H64">
            <v>37.6</v>
          </cell>
        </row>
        <row r="65">
          <cell r="B65">
            <v>9.0274999999999999</v>
          </cell>
          <cell r="C65">
            <v>61</v>
          </cell>
          <cell r="D65">
            <v>690004.44706793502</v>
          </cell>
          <cell r="E65">
            <v>32590.081467391312</v>
          </cell>
          <cell r="F65">
            <v>14484.480652173917</v>
          </cell>
          <cell r="H65">
            <v>38.11</v>
          </cell>
        </row>
        <row r="66">
          <cell r="B66">
            <v>9.1550000000000011</v>
          </cell>
          <cell r="C66">
            <v>62</v>
          </cell>
          <cell r="D66">
            <v>733693.59065618762</v>
          </cell>
          <cell r="E66">
            <v>34195.972635451515</v>
          </cell>
          <cell r="F66">
            <v>15198.210060200676</v>
          </cell>
          <cell r="H66">
            <v>38.620000000000005</v>
          </cell>
        </row>
        <row r="67">
          <cell r="B67">
            <v>9.2825000000000006</v>
          </cell>
          <cell r="C67">
            <v>63</v>
          </cell>
          <cell r="D67">
            <v>779107.64079293516</v>
          </cell>
          <cell r="E67">
            <v>35839.349691471587</v>
          </cell>
          <cell r="F67">
            <v>15928.599862876261</v>
          </cell>
          <cell r="H67">
            <v>39.130000000000003</v>
          </cell>
        </row>
        <row r="68">
          <cell r="B68">
            <v>9.41</v>
          </cell>
          <cell r="C68">
            <v>64</v>
          </cell>
          <cell r="D68">
            <v>826278.46048294357</v>
          </cell>
          <cell r="E68">
            <v>37520.21263545152</v>
          </cell>
          <cell r="F68">
            <v>16675.650060200678</v>
          </cell>
          <cell r="H68">
            <v>39.64</v>
          </cell>
        </row>
        <row r="69">
          <cell r="B69">
            <v>9.5374999999999996</v>
          </cell>
          <cell r="C69">
            <v>65</v>
          </cell>
          <cell r="D69">
            <v>875237.91273097834</v>
          </cell>
          <cell r="E69">
            <v>39238.561467391308</v>
          </cell>
          <cell r="F69">
            <v>17439.360652173917</v>
          </cell>
          <cell r="H69">
            <v>40.15</v>
          </cell>
        </row>
        <row r="70">
          <cell r="B70">
            <v>9.6650000000000009</v>
          </cell>
          <cell r="C70">
            <v>66</v>
          </cell>
          <cell r="D70">
            <v>926017.86054180656</v>
          </cell>
          <cell r="E70">
            <v>40994.396187290993</v>
          </cell>
          <cell r="F70">
            <v>18219.731638795998</v>
          </cell>
          <cell r="H70">
            <v>40.660000000000004</v>
          </cell>
        </row>
        <row r="71">
          <cell r="B71">
            <v>9.7925000000000004</v>
          </cell>
          <cell r="C71">
            <v>67</v>
          </cell>
          <cell r="D71">
            <v>978650.16692019301</v>
          </cell>
          <cell r="E71">
            <v>42787.716795150533</v>
          </cell>
          <cell r="F71">
            <v>19016.763020066905</v>
          </cell>
          <cell r="H71">
            <v>41.17</v>
          </cell>
        </row>
        <row r="72">
          <cell r="B72">
            <v>9.92</v>
          </cell>
          <cell r="C72">
            <v>68</v>
          </cell>
          <cell r="D72">
            <v>1033166.6948709039</v>
          </cell>
          <cell r="E72">
            <v>44618.523290969941</v>
          </cell>
          <cell r="F72">
            <v>19830.45479598664</v>
          </cell>
          <cell r="H72">
            <v>41.68</v>
          </cell>
        </row>
        <row r="73">
          <cell r="B73">
            <v>10.047499999999999</v>
          </cell>
          <cell r="C73">
            <v>69</v>
          </cell>
          <cell r="D73">
            <v>1089599.307398705</v>
          </cell>
          <cell r="E73">
            <v>46486.815674749203</v>
          </cell>
          <cell r="F73">
            <v>20660.806966555203</v>
          </cell>
          <cell r="H73">
            <v>42.19</v>
          </cell>
        </row>
        <row r="74">
          <cell r="B74">
            <v>10.175000000000001</v>
          </cell>
          <cell r="C74">
            <v>70</v>
          </cell>
          <cell r="D74">
            <v>1152328.276097409</v>
          </cell>
          <cell r="E74">
            <v>48575.89922658867</v>
          </cell>
          <cell r="F74">
            <v>21589.288545150521</v>
          </cell>
          <cell r="H74">
            <v>42.7</v>
          </cell>
        </row>
        <row r="75">
          <cell r="B75">
            <v>10.3025</v>
          </cell>
          <cell r="C75">
            <v>71</v>
          </cell>
          <cell r="D75">
            <v>1217290.9066357866</v>
          </cell>
          <cell r="E75">
            <v>50708.716314381301</v>
          </cell>
          <cell r="F75">
            <v>22537.207250836134</v>
          </cell>
          <cell r="H75">
            <v>43.21</v>
          </cell>
        </row>
        <row r="76">
          <cell r="B76">
            <v>10.43</v>
          </cell>
          <cell r="C76">
            <v>72</v>
          </cell>
          <cell r="D76">
            <v>1284524.3725193988</v>
          </cell>
          <cell r="E76">
            <v>52885.266938127126</v>
          </cell>
          <cell r="F76">
            <v>23504.563083612054</v>
          </cell>
          <cell r="H76">
            <v>43.72</v>
          </cell>
        </row>
        <row r="77">
          <cell r="B77">
            <v>10.557500000000001</v>
          </cell>
          <cell r="C77">
            <v>73</v>
          </cell>
          <cell r="D77">
            <v>1354065.8472538053</v>
          </cell>
          <cell r="E77">
            <v>55105.551097826123</v>
          </cell>
          <cell r="F77">
            <v>24491.356043478278</v>
          </cell>
          <cell r="H77">
            <v>44.230000000000004</v>
          </cell>
        </row>
        <row r="78">
          <cell r="B78">
            <v>10.685</v>
          </cell>
          <cell r="C78">
            <v>74</v>
          </cell>
          <cell r="D78">
            <v>1425952.504344566</v>
          </cell>
          <cell r="E78">
            <v>57369.568793478291</v>
          </cell>
          <cell r="F78">
            <v>25497.586130434796</v>
          </cell>
          <cell r="H78">
            <v>44.74</v>
          </cell>
        </row>
        <row r="79">
          <cell r="B79">
            <v>10.8125</v>
          </cell>
          <cell r="C79">
            <v>75</v>
          </cell>
          <cell r="D79">
            <v>1500221.5172972416</v>
          </cell>
          <cell r="E79">
            <v>59677.320025083645</v>
          </cell>
          <cell r="F79">
            <v>26523.253344481622</v>
          </cell>
          <cell r="H79">
            <v>45.25</v>
          </cell>
        </row>
        <row r="80">
          <cell r="B80">
            <v>10.94</v>
          </cell>
          <cell r="C80">
            <v>76</v>
          </cell>
          <cell r="D80">
            <v>1576910.059617392</v>
          </cell>
          <cell r="E80">
            <v>62028.804792642171</v>
          </cell>
          <cell r="F80">
            <v>27568.357685618743</v>
          </cell>
          <cell r="H80">
            <v>45.76</v>
          </cell>
        </row>
        <row r="81">
          <cell r="B81">
            <v>11.067500000000001</v>
          </cell>
          <cell r="C81">
            <v>77</v>
          </cell>
          <cell r="D81">
            <v>1656055.3048105778</v>
          </cell>
          <cell r="E81">
            <v>64424.023096153876</v>
          </cell>
          <cell r="F81">
            <v>28632.899153846167</v>
          </cell>
          <cell r="H81">
            <v>46.27</v>
          </cell>
        </row>
        <row r="82">
          <cell r="B82">
            <v>11.195</v>
          </cell>
          <cell r="C82">
            <v>78</v>
          </cell>
          <cell r="D82">
            <v>1737694.4263823582</v>
          </cell>
          <cell r="E82">
            <v>66862.974935618739</v>
          </cell>
          <cell r="F82">
            <v>29716.877749163887</v>
          </cell>
          <cell r="H82">
            <v>46.78</v>
          </cell>
        </row>
        <row r="83">
          <cell r="B83">
            <v>11.3225</v>
          </cell>
          <cell r="C83">
            <v>79</v>
          </cell>
          <cell r="D83">
            <v>1821864.5978382952</v>
          </cell>
          <cell r="E83">
            <v>69345.660311036816</v>
          </cell>
          <cell r="F83">
            <v>30820.29347157192</v>
          </cell>
          <cell r="H83">
            <v>47.29</v>
          </cell>
        </row>
        <row r="84">
          <cell r="B84">
            <v>11.45</v>
          </cell>
          <cell r="C84">
            <v>80</v>
          </cell>
          <cell r="D84">
            <v>1914300.3150501673</v>
          </cell>
          <cell r="E84">
            <v>72086.622742474923</v>
          </cell>
          <cell r="F84">
            <v>32038.498996655522</v>
          </cell>
          <cell r="H84">
            <v>47.8</v>
          </cell>
        </row>
        <row r="85">
          <cell r="B85">
            <v>11.577500000000001</v>
          </cell>
          <cell r="C85">
            <v>81</v>
          </cell>
          <cell r="D85">
            <v>2009630.6837489975</v>
          </cell>
          <cell r="E85">
            <v>74877.566357859556</v>
          </cell>
          <cell r="F85">
            <v>33278.918381270916</v>
          </cell>
          <cell r="H85">
            <v>48.31</v>
          </cell>
        </row>
        <row r="86">
          <cell r="B86">
            <v>11.705</v>
          </cell>
          <cell r="C86">
            <v>82</v>
          </cell>
          <cell r="D86">
            <v>2107898.1879411377</v>
          </cell>
          <cell r="E86">
            <v>77718.491157190656</v>
          </cell>
          <cell r="F86">
            <v>34541.551625418069</v>
          </cell>
          <cell r="H86">
            <v>48.82</v>
          </cell>
        </row>
        <row r="87">
          <cell r="B87">
            <v>11.8325</v>
          </cell>
          <cell r="C87">
            <v>83</v>
          </cell>
          <cell r="D87">
            <v>2209145.3116329438</v>
          </cell>
          <cell r="E87">
            <v>80609.397140468252</v>
          </cell>
          <cell r="F87">
            <v>35826.398729097004</v>
          </cell>
          <cell r="H87">
            <v>49.33</v>
          </cell>
        </row>
        <row r="88">
          <cell r="B88">
            <v>11.96</v>
          </cell>
          <cell r="C88">
            <v>84</v>
          </cell>
          <cell r="D88">
            <v>2313414.5388307702</v>
          </cell>
          <cell r="E88">
            <v>83550.284307692331</v>
          </cell>
          <cell r="F88">
            <v>37133.459692307704</v>
          </cell>
          <cell r="H88">
            <v>49.84</v>
          </cell>
        </row>
        <row r="89">
          <cell r="B89">
            <v>12.0875</v>
          </cell>
          <cell r="C89">
            <v>85</v>
          </cell>
          <cell r="D89">
            <v>2420748.3535409695</v>
          </cell>
          <cell r="E89">
            <v>86541.152658862877</v>
          </cell>
          <cell r="F89">
            <v>38462.734515050164</v>
          </cell>
          <cell r="H89">
            <v>50.35</v>
          </cell>
        </row>
        <row r="90">
          <cell r="B90">
            <v>12.215</v>
          </cell>
          <cell r="C90">
            <v>86</v>
          </cell>
          <cell r="D90">
            <v>2531189.2397698998</v>
          </cell>
          <cell r="E90">
            <v>89582.002193979948</v>
          </cell>
          <cell r="F90">
            <v>39814.22319732442</v>
          </cell>
          <cell r="H90">
            <v>50.86</v>
          </cell>
        </row>
        <row r="91">
          <cell r="B91">
            <v>12.342499999999999</v>
          </cell>
          <cell r="C91">
            <v>87</v>
          </cell>
          <cell r="D91">
            <v>2644779.6815239121</v>
          </cell>
          <cell r="E91">
            <v>92672.832913043458</v>
          </cell>
          <cell r="F91">
            <v>41187.925739130427</v>
          </cell>
          <cell r="H91">
            <v>51.37</v>
          </cell>
        </row>
        <row r="92">
          <cell r="B92">
            <v>12.47</v>
          </cell>
          <cell r="C92">
            <v>88</v>
          </cell>
          <cell r="D92">
            <v>2761562.162809364</v>
          </cell>
          <cell r="E92">
            <v>95813.644816053478</v>
          </cell>
          <cell r="F92">
            <v>42583.842140468216</v>
          </cell>
          <cell r="H92">
            <v>51.88</v>
          </cell>
        </row>
        <row r="93">
          <cell r="B93">
            <v>12.5975</v>
          </cell>
          <cell r="C93">
            <v>89</v>
          </cell>
          <cell r="D93">
            <v>2881579.1676326082</v>
          </cell>
          <cell r="E93">
            <v>99004.437903010024</v>
          </cell>
          <cell r="F93">
            <v>44001.972401337785</v>
          </cell>
          <cell r="H93">
            <v>52.39</v>
          </cell>
        </row>
        <row r="94">
          <cell r="B94">
            <v>12.725</v>
          </cell>
          <cell r="C94">
            <v>90</v>
          </cell>
          <cell r="D94">
            <v>3004873.1799999988</v>
          </cell>
          <cell r="E94">
            <v>102245.21217391299</v>
          </cell>
          <cell r="F94">
            <v>45442.316521739114</v>
          </cell>
          <cell r="H94">
            <v>52.9</v>
          </cell>
        </row>
        <row r="95">
          <cell r="B95">
            <v>12.852500000000001</v>
          </cell>
          <cell r="C95">
            <v>91</v>
          </cell>
          <cell r="D95">
            <v>3131486.6839178922</v>
          </cell>
          <cell r="E95">
            <v>105535.9676287625</v>
          </cell>
          <cell r="F95">
            <v>46904.874501672224</v>
          </cell>
          <cell r="H95">
            <v>53.410000000000004</v>
          </cell>
        </row>
        <row r="96">
          <cell r="B96">
            <v>12.98</v>
          </cell>
          <cell r="C96">
            <v>92</v>
          </cell>
          <cell r="D96">
            <v>3261462.1633926416</v>
          </cell>
          <cell r="E96">
            <v>108876.7042675585</v>
          </cell>
          <cell r="F96">
            <v>48389.646341137115</v>
          </cell>
          <cell r="H96">
            <v>53.92</v>
          </cell>
        </row>
        <row r="97">
          <cell r="B97">
            <v>13.1075</v>
          </cell>
          <cell r="C97">
            <v>93</v>
          </cell>
          <cell r="D97">
            <v>3394842.1024305997</v>
          </cell>
          <cell r="E97">
            <v>112267.42209030094</v>
          </cell>
          <cell r="F97">
            <v>49896.632040133751</v>
          </cell>
          <cell r="H97">
            <v>54.43</v>
          </cell>
        </row>
        <row r="98">
          <cell r="B98">
            <v>13.234999999999999</v>
          </cell>
          <cell r="C98">
            <v>94</v>
          </cell>
          <cell r="D98">
            <v>3531668.985038125</v>
          </cell>
          <cell r="E98">
            <v>115708.1210969899</v>
          </cell>
          <cell r="F98">
            <v>51425.831598662182</v>
          </cell>
          <cell r="H98">
            <v>54.94</v>
          </cell>
        </row>
        <row r="99">
          <cell r="B99">
            <v>13.362500000000001</v>
          </cell>
          <cell r="C99">
            <v>95</v>
          </cell>
          <cell r="D99">
            <v>3671985.2952215695</v>
          </cell>
          <cell r="E99">
            <v>119198.80128762533</v>
          </cell>
          <cell r="F99">
            <v>52977.245016722372</v>
          </cell>
          <cell r="H99">
            <v>55.45</v>
          </cell>
        </row>
        <row r="100">
          <cell r="B100">
            <v>13.49</v>
          </cell>
          <cell r="C100">
            <v>96</v>
          </cell>
          <cell r="D100">
            <v>3815833.5169872884</v>
          </cell>
          <cell r="E100">
            <v>122739.46266220728</v>
          </cell>
          <cell r="F100">
            <v>54550.872294314351</v>
          </cell>
          <cell r="H100">
            <v>55.96</v>
          </cell>
        </row>
        <row r="101">
          <cell r="B101">
            <v>13.6175</v>
          </cell>
          <cell r="C101">
            <v>97</v>
          </cell>
          <cell r="D101">
            <v>3963256.1343416362</v>
          </cell>
          <cell r="E101">
            <v>126330.10522073571</v>
          </cell>
          <cell r="F101">
            <v>56146.713431438096</v>
          </cell>
          <cell r="H101">
            <v>56.47</v>
          </cell>
        </row>
        <row r="102">
          <cell r="B102">
            <v>13.745000000000001</v>
          </cell>
          <cell r="C102">
            <v>98</v>
          </cell>
          <cell r="D102">
            <v>4114295.6312909662</v>
          </cell>
          <cell r="E102">
            <v>129970.72896321058</v>
          </cell>
          <cell r="F102">
            <v>57764.768428093594</v>
          </cell>
          <cell r="H102">
            <v>56.980000000000004</v>
          </cell>
        </row>
        <row r="103">
          <cell r="B103">
            <v>13.8725</v>
          </cell>
          <cell r="C103">
            <v>99</v>
          </cell>
          <cell r="D103">
            <v>4268994.4918416347</v>
          </cell>
          <cell r="E103">
            <v>133661.33388963199</v>
          </cell>
          <cell r="F103">
            <v>59405.037284280887</v>
          </cell>
          <cell r="H103">
            <v>57.49</v>
          </cell>
        </row>
        <row r="104">
          <cell r="B104">
            <v>14</v>
          </cell>
          <cell r="C104">
            <v>100</v>
          </cell>
          <cell r="D104">
            <v>4427395.1999999965</v>
          </cell>
          <cell r="E104">
            <v>137401.9199999999</v>
          </cell>
          <cell r="F104">
            <v>61067.519999999953</v>
          </cell>
          <cell r="H104">
            <v>58</v>
          </cell>
        </row>
      </sheetData>
      <sheetData sheetId="5">
        <row r="4">
          <cell r="B4" t="str">
            <v>等级</v>
          </cell>
        </row>
      </sheetData>
      <sheetData sheetId="6">
        <row r="4">
          <cell r="B4">
            <v>1</v>
          </cell>
        </row>
      </sheetData>
      <sheetData sheetId="7">
        <row r="45">
          <cell r="B45" t="str">
            <v>龙魂</v>
          </cell>
        </row>
      </sheetData>
      <sheetData sheetId="8"/>
      <sheetData sheetId="9">
        <row r="16">
          <cell r="B16">
            <v>0.1</v>
          </cell>
        </row>
      </sheetData>
      <sheetData sheetId="10"/>
      <sheetData sheetId="11">
        <row r="1">
          <cell r="B1">
            <v>19</v>
          </cell>
        </row>
      </sheetData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avatar"/>
      <sheetName val="D_游戏音乐"/>
    </sheetNames>
    <sheetDataSet>
      <sheetData sheetId="0"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11</v>
          </cell>
        </row>
        <row r="7">
          <cell r="A7">
            <v>12</v>
          </cell>
        </row>
        <row r="8">
          <cell r="A8">
            <v>13</v>
          </cell>
        </row>
        <row r="9">
          <cell r="A9">
            <v>14</v>
          </cell>
        </row>
        <row r="10">
          <cell r="A10">
            <v>21</v>
          </cell>
        </row>
        <row r="11">
          <cell r="A11">
            <v>22</v>
          </cell>
        </row>
        <row r="12">
          <cell r="A12">
            <v>23</v>
          </cell>
        </row>
        <row r="13">
          <cell r="A13">
            <v>24</v>
          </cell>
        </row>
        <row r="14">
          <cell r="A14">
            <v>31</v>
          </cell>
        </row>
        <row r="15">
          <cell r="A15">
            <v>32</v>
          </cell>
        </row>
        <row r="16">
          <cell r="A16">
            <v>33</v>
          </cell>
        </row>
        <row r="17">
          <cell r="A17">
            <v>34</v>
          </cell>
        </row>
        <row r="18">
          <cell r="A18">
            <v>1001</v>
          </cell>
          <cell r="E18" t="str">
            <v>拳手</v>
          </cell>
        </row>
        <row r="19">
          <cell r="A19">
            <v>1002</v>
          </cell>
          <cell r="E19" t="str">
            <v>女酒保</v>
          </cell>
        </row>
        <row r="20">
          <cell r="A20">
            <v>1003</v>
          </cell>
          <cell r="E20" t="str">
            <v>飞刀兵</v>
          </cell>
        </row>
        <row r="21">
          <cell r="A21">
            <v>1004</v>
          </cell>
          <cell r="E21" t="str">
            <v>胖子</v>
          </cell>
        </row>
        <row r="22">
          <cell r="A22">
            <v>1005</v>
          </cell>
          <cell r="E22" t="str">
            <v>机枪兵</v>
          </cell>
        </row>
        <row r="23">
          <cell r="A23">
            <v>1006</v>
          </cell>
          <cell r="E23" t="str">
            <v>警察</v>
          </cell>
        </row>
        <row r="24">
          <cell r="A24">
            <v>1007</v>
          </cell>
          <cell r="E24" t="str">
            <v>保安</v>
          </cell>
        </row>
        <row r="25">
          <cell r="A25">
            <v>1008</v>
          </cell>
          <cell r="E25" t="str">
            <v>T型棍兵</v>
          </cell>
        </row>
        <row r="26">
          <cell r="A26">
            <v>1009</v>
          </cell>
          <cell r="E26" t="str">
            <v>铁拳</v>
          </cell>
        </row>
        <row r="27">
          <cell r="A27">
            <v>1010</v>
          </cell>
          <cell r="E27" t="str">
            <v>棍男</v>
          </cell>
        </row>
        <row r="28">
          <cell r="A28">
            <v>1011</v>
          </cell>
          <cell r="E28" t="str">
            <v>机车男</v>
          </cell>
        </row>
        <row r="29">
          <cell r="A29">
            <v>1012</v>
          </cell>
          <cell r="E29" t="str">
            <v>剑客</v>
          </cell>
        </row>
        <row r="30">
          <cell r="A30">
            <v>1013</v>
          </cell>
          <cell r="E30" t="str">
            <v>女忍者</v>
          </cell>
        </row>
        <row r="31">
          <cell r="A31">
            <v>1014</v>
          </cell>
          <cell r="E31" t="str">
            <v>相扑手</v>
          </cell>
        </row>
        <row r="32">
          <cell r="A32">
            <v>1015</v>
          </cell>
          <cell r="E32" t="str">
            <v>空手道</v>
          </cell>
        </row>
        <row r="33">
          <cell r="A33">
            <v>1101</v>
          </cell>
          <cell r="E33" t="str">
            <v>靓坤</v>
          </cell>
        </row>
        <row r="34">
          <cell r="A34">
            <v>1102</v>
          </cell>
          <cell r="E34" t="str">
            <v>乌鸦</v>
          </cell>
        </row>
        <row r="35">
          <cell r="A35">
            <v>1103</v>
          </cell>
          <cell r="E35" t="str">
            <v>司徒浩南</v>
          </cell>
        </row>
        <row r="36">
          <cell r="A36">
            <v>1104</v>
          </cell>
          <cell r="E36" t="str">
            <v>赌王</v>
          </cell>
        </row>
        <row r="37">
          <cell r="A37">
            <v>1105</v>
          </cell>
          <cell r="E37" t="str">
            <v>雷功</v>
          </cell>
        </row>
        <row r="38">
          <cell r="A38">
            <v>1106</v>
          </cell>
          <cell r="E38" t="str">
            <v>山口渡边</v>
          </cell>
        </row>
        <row r="39">
          <cell r="A39">
            <v>1107</v>
          </cell>
          <cell r="E39" t="str">
            <v>陈浩南</v>
          </cell>
        </row>
        <row r="40">
          <cell r="A40">
            <v>1108</v>
          </cell>
          <cell r="E40" t="str">
            <v>山鸡</v>
          </cell>
        </row>
        <row r="41">
          <cell r="A41">
            <v>1109</v>
          </cell>
          <cell r="E41" t="str">
            <v>大天二</v>
          </cell>
        </row>
        <row r="42">
          <cell r="A42">
            <v>1110</v>
          </cell>
          <cell r="E42" t="str">
            <v>巴闭</v>
          </cell>
        </row>
        <row r="43">
          <cell r="A43">
            <v>1111</v>
          </cell>
          <cell r="E43" t="str">
            <v>笑面虎</v>
          </cell>
        </row>
        <row r="44">
          <cell r="A44">
            <v>1112</v>
          </cell>
          <cell r="E44" t="str">
            <v>生番</v>
          </cell>
        </row>
        <row r="45">
          <cell r="A45">
            <v>1113</v>
          </cell>
          <cell r="E45" t="str">
            <v>耀阳</v>
          </cell>
        </row>
        <row r="46">
          <cell r="A46">
            <v>1114</v>
          </cell>
          <cell r="E46" t="str">
            <v>木桩</v>
          </cell>
        </row>
        <row r="47">
          <cell r="A47">
            <v>2001</v>
          </cell>
          <cell r="E47" t="str">
            <v>美玲2_npc</v>
          </cell>
        </row>
        <row r="48">
          <cell r="A48">
            <v>2002</v>
          </cell>
          <cell r="E48" t="str">
            <v>B哥_npc</v>
          </cell>
        </row>
        <row r="49">
          <cell r="A49">
            <v>2003</v>
          </cell>
          <cell r="E49" t="str">
            <v>大飞_npc</v>
          </cell>
        </row>
        <row r="50">
          <cell r="A50">
            <v>2004</v>
          </cell>
          <cell r="E50" t="str">
            <v>蒋天生_npc</v>
          </cell>
        </row>
        <row r="51">
          <cell r="A51">
            <v>2005</v>
          </cell>
          <cell r="E51" t="str">
            <v>蒋天养_npc</v>
          </cell>
        </row>
        <row r="52">
          <cell r="A52">
            <v>2006</v>
          </cell>
          <cell r="E52" t="str">
            <v>十三妹_npc</v>
          </cell>
        </row>
        <row r="53">
          <cell r="A53">
            <v>2007</v>
          </cell>
          <cell r="E53" t="str">
            <v>神秘老人_npc</v>
          </cell>
        </row>
        <row r="54">
          <cell r="A54">
            <v>2008</v>
          </cell>
          <cell r="E54" t="str">
            <v>美玲怪_npc</v>
          </cell>
        </row>
        <row r="55">
          <cell r="A55">
            <v>2009</v>
          </cell>
          <cell r="E55" t="str">
            <v>陈浩南_npc</v>
          </cell>
        </row>
        <row r="56">
          <cell r="A56">
            <v>2010</v>
          </cell>
          <cell r="E56" t="str">
            <v>小黑_npc</v>
          </cell>
        </row>
        <row r="57">
          <cell r="A57">
            <v>2011</v>
          </cell>
          <cell r="E57" t="str">
            <v>山鸡_npc</v>
          </cell>
        </row>
        <row r="58">
          <cell r="A58">
            <v>2012</v>
          </cell>
          <cell r="E58" t="str">
            <v>雷功_npc</v>
          </cell>
        </row>
        <row r="59">
          <cell r="A59">
            <v>2013</v>
          </cell>
          <cell r="E59" t="str">
            <v>丁瑶怪npc</v>
          </cell>
        </row>
        <row r="60">
          <cell r="A60">
            <v>57001</v>
          </cell>
        </row>
        <row r="61">
          <cell r="A61">
            <v>57002</v>
          </cell>
        </row>
        <row r="62">
          <cell r="A62">
            <v>57003</v>
          </cell>
        </row>
        <row r="63">
          <cell r="A63">
            <v>57004</v>
          </cell>
        </row>
        <row r="64">
          <cell r="A64">
            <v>57005</v>
          </cell>
        </row>
        <row r="65">
          <cell r="A65">
            <v>3001</v>
          </cell>
          <cell r="E65" t="str">
            <v>地刺</v>
          </cell>
        </row>
        <row r="66">
          <cell r="A66">
            <v>3002</v>
          </cell>
          <cell r="E66" t="str">
            <v>路障</v>
          </cell>
        </row>
        <row r="67">
          <cell r="A67">
            <v>3003</v>
          </cell>
          <cell r="E67" t="str">
            <v>石头</v>
          </cell>
        </row>
        <row r="68">
          <cell r="A68">
            <v>3004</v>
          </cell>
          <cell r="E68" t="str">
            <v>油桶</v>
          </cell>
        </row>
        <row r="69">
          <cell r="A69">
            <v>3005</v>
          </cell>
          <cell r="E69" t="str">
            <v>铁笼</v>
          </cell>
        </row>
        <row r="70">
          <cell r="A70">
            <v>3006</v>
          </cell>
          <cell r="E70" t="str">
            <v>铁笼02</v>
          </cell>
        </row>
        <row r="71">
          <cell r="A71">
            <v>3007</v>
          </cell>
          <cell r="E71" t="str">
            <v>铁笼03</v>
          </cell>
        </row>
        <row r="72">
          <cell r="A72">
            <v>3008</v>
          </cell>
          <cell r="E72" t="str">
            <v>保险箱01</v>
          </cell>
        </row>
        <row r="73">
          <cell r="A73">
            <v>3009</v>
          </cell>
          <cell r="E73" t="str">
            <v>保险箱02</v>
          </cell>
        </row>
        <row r="74">
          <cell r="A74">
            <v>3010</v>
          </cell>
          <cell r="E74" t="str">
            <v>保险箱03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sheetDataSet>
      <sheetData sheetId="0">
        <row r="18">
          <cell r="C18">
            <v>50</v>
          </cell>
        </row>
      </sheetData>
      <sheetData sheetId="1">
        <row r="3">
          <cell r="F3">
            <v>198.13663151891618</v>
          </cell>
        </row>
      </sheetData>
      <sheetData sheetId="2">
        <row r="3">
          <cell r="K3">
            <v>20</v>
          </cell>
        </row>
      </sheetData>
      <sheetData sheetId="3">
        <row r="2">
          <cell r="M2">
            <v>50</v>
          </cell>
        </row>
      </sheetData>
      <sheetData sheetId="4"/>
      <sheetData sheetId="5"/>
      <sheetData sheetId="6"/>
      <sheetData sheetId="7">
        <row r="4">
          <cell r="E4">
            <v>200</v>
          </cell>
        </row>
      </sheetData>
      <sheetData sheetId="8">
        <row r="6">
          <cell r="E6">
            <v>1</v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</row>
        <row r="7">
          <cell r="E7">
            <v>2</v>
          </cell>
          <cell r="M7">
            <v>1001</v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</row>
        <row r="8">
          <cell r="E8">
            <v>3</v>
          </cell>
          <cell r="M8">
            <v>1002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</row>
        <row r="9">
          <cell r="E9">
            <v>4</v>
          </cell>
          <cell r="M9">
            <v>1003</v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</row>
        <row r="10">
          <cell r="E10">
            <v>5</v>
          </cell>
          <cell r="M10">
            <v>1004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</row>
        <row r="11">
          <cell r="E11">
            <v>6</v>
          </cell>
          <cell r="M11">
            <v>1005</v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</row>
        <row r="12">
          <cell r="E12">
            <v>7</v>
          </cell>
          <cell r="M12">
            <v>1006</v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</row>
        <row r="13">
          <cell r="E13">
            <v>8</v>
          </cell>
          <cell r="M13">
            <v>1007</v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</row>
        <row r="14">
          <cell r="E14">
            <v>9</v>
          </cell>
          <cell r="M14">
            <v>1008</v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</row>
        <row r="15">
          <cell r="E15">
            <v>10</v>
          </cell>
          <cell r="M15">
            <v>1009</v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</row>
        <row r="16">
          <cell r="E16">
            <v>11</v>
          </cell>
          <cell r="M16">
            <v>2001</v>
          </cell>
          <cell r="N16" t="str">
            <v/>
          </cell>
          <cell r="O16" t="str">
            <v/>
          </cell>
          <cell r="P16" t="str">
            <v/>
          </cell>
          <cell r="Q16">
            <v>1801</v>
          </cell>
          <cell r="R16" t="str">
            <v/>
          </cell>
          <cell r="S16" t="str">
            <v/>
          </cell>
        </row>
        <row r="17">
          <cell r="E17">
            <v>12</v>
          </cell>
          <cell r="M17">
            <v>2002</v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>
            <v>1501</v>
          </cell>
        </row>
        <row r="18">
          <cell r="E18">
            <v>13</v>
          </cell>
          <cell r="M18">
            <v>2003</v>
          </cell>
          <cell r="N18">
            <v>1201</v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</row>
        <row r="19">
          <cell r="E19">
            <v>14</v>
          </cell>
          <cell r="M19">
            <v>2004</v>
          </cell>
          <cell r="N19">
            <v>1202</v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</row>
        <row r="20">
          <cell r="E20">
            <v>15</v>
          </cell>
          <cell r="M20">
            <v>2005</v>
          </cell>
          <cell r="N20">
            <v>1203</v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E21">
            <v>16</v>
          </cell>
          <cell r="M21">
            <v>2006</v>
          </cell>
          <cell r="N21">
            <v>1204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E22">
            <v>17</v>
          </cell>
          <cell r="M22">
            <v>2007</v>
          </cell>
          <cell r="N22">
            <v>1205</v>
          </cell>
          <cell r="O22">
            <v>1301</v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E23">
            <v>18</v>
          </cell>
          <cell r="M23">
            <v>2008</v>
          </cell>
          <cell r="N23">
            <v>1206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E24">
            <v>19</v>
          </cell>
          <cell r="M24">
            <v>2009</v>
          </cell>
          <cell r="N24">
            <v>1207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E25">
            <v>20</v>
          </cell>
          <cell r="M25">
            <v>3001</v>
          </cell>
          <cell r="N25">
            <v>1208</v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E26">
            <v>21</v>
          </cell>
          <cell r="M26">
            <v>3002</v>
          </cell>
          <cell r="N26">
            <v>1209</v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E27">
            <v>22</v>
          </cell>
          <cell r="M27">
            <v>3003</v>
          </cell>
          <cell r="N27">
            <v>2201</v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E28">
            <v>23</v>
          </cell>
          <cell r="M28">
            <v>3004</v>
          </cell>
          <cell r="N28">
            <v>2202</v>
          </cell>
          <cell r="O28" t="str">
            <v/>
          </cell>
          <cell r="P28" t="str">
            <v/>
          </cell>
          <cell r="Q28" t="str">
            <v/>
          </cell>
          <cell r="R28">
            <v>1701</v>
          </cell>
          <cell r="S28" t="str">
            <v/>
          </cell>
        </row>
        <row r="29">
          <cell r="E29">
            <v>24</v>
          </cell>
          <cell r="M29">
            <v>3005</v>
          </cell>
          <cell r="N29">
            <v>2203</v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E30">
            <v>25</v>
          </cell>
          <cell r="M30">
            <v>3006</v>
          </cell>
          <cell r="N30">
            <v>2204</v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>
            <v>1502</v>
          </cell>
        </row>
        <row r="31">
          <cell r="E31">
            <v>26</v>
          </cell>
          <cell r="M31">
            <v>3007</v>
          </cell>
          <cell r="N31">
            <v>2205</v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E32">
            <v>27</v>
          </cell>
          <cell r="M32">
            <v>3008</v>
          </cell>
          <cell r="N32">
            <v>2206</v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E33">
            <v>28</v>
          </cell>
          <cell r="M33">
            <v>3009</v>
          </cell>
          <cell r="N33">
            <v>2207</v>
          </cell>
          <cell r="O33" t="str">
            <v/>
          </cell>
          <cell r="P33" t="str">
            <v/>
          </cell>
          <cell r="Q33">
            <v>1802</v>
          </cell>
          <cell r="R33" t="str">
            <v/>
          </cell>
          <cell r="S33" t="str">
            <v/>
          </cell>
        </row>
        <row r="34">
          <cell r="E34">
            <v>29</v>
          </cell>
          <cell r="M34">
            <v>4001</v>
          </cell>
          <cell r="N34">
            <v>2208</v>
          </cell>
          <cell r="O34">
            <v>1302</v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E35">
            <v>30</v>
          </cell>
          <cell r="M35">
            <v>4002</v>
          </cell>
          <cell r="N35">
            <v>2209</v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E36">
            <v>31</v>
          </cell>
          <cell r="M36">
            <v>4003</v>
          </cell>
          <cell r="N36">
            <v>3201</v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E37">
            <v>32</v>
          </cell>
          <cell r="M37">
            <v>4004</v>
          </cell>
          <cell r="N37">
            <v>3202</v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E38">
            <v>33</v>
          </cell>
          <cell r="M38">
            <v>4005</v>
          </cell>
          <cell r="N38">
            <v>3203</v>
          </cell>
          <cell r="O38" t="str">
            <v/>
          </cell>
          <cell r="P38" t="str">
            <v/>
          </cell>
          <cell r="Q38" t="str">
            <v/>
          </cell>
          <cell r="R38">
            <v>1702</v>
          </cell>
          <cell r="S38" t="str">
            <v/>
          </cell>
        </row>
        <row r="39">
          <cell r="E39">
            <v>34</v>
          </cell>
          <cell r="M39">
            <v>4006</v>
          </cell>
          <cell r="N39">
            <v>3204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E40">
            <v>35</v>
          </cell>
          <cell r="M40">
            <v>4007</v>
          </cell>
          <cell r="N40">
            <v>3205</v>
          </cell>
          <cell r="O40" t="str">
            <v/>
          </cell>
          <cell r="P40">
            <v>1401</v>
          </cell>
          <cell r="Q40" t="str">
            <v/>
          </cell>
          <cell r="R40" t="str">
            <v/>
          </cell>
          <cell r="S40" t="str">
            <v/>
          </cell>
        </row>
        <row r="41">
          <cell r="E41">
            <v>36</v>
          </cell>
          <cell r="M41">
            <v>4008</v>
          </cell>
          <cell r="N41">
            <v>3206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>
            <v>1503</v>
          </cell>
        </row>
        <row r="42">
          <cell r="E42">
            <v>37</v>
          </cell>
          <cell r="M42">
            <v>4009</v>
          </cell>
          <cell r="N42">
            <v>3207</v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E43">
            <v>38</v>
          </cell>
          <cell r="M43">
            <v>5001</v>
          </cell>
          <cell r="N43">
            <v>3208</v>
          </cell>
          <cell r="O43" t="str">
            <v/>
          </cell>
          <cell r="P43" t="str">
            <v/>
          </cell>
          <cell r="Q43">
            <v>1803</v>
          </cell>
          <cell r="R43" t="str">
            <v/>
          </cell>
          <cell r="S43" t="str">
            <v/>
          </cell>
        </row>
        <row r="44">
          <cell r="E44">
            <v>39</v>
          </cell>
          <cell r="M44">
            <v>5002</v>
          </cell>
          <cell r="N44">
            <v>3209</v>
          </cell>
          <cell r="O44">
            <v>1303</v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E45">
            <v>40</v>
          </cell>
          <cell r="M45">
            <v>5003</v>
          </cell>
          <cell r="N45">
            <v>4201</v>
          </cell>
          <cell r="O45" t="str">
            <v/>
          </cell>
          <cell r="P45">
            <v>1402</v>
          </cell>
          <cell r="Q45" t="str">
            <v/>
          </cell>
          <cell r="R45" t="str">
            <v/>
          </cell>
          <cell r="S45" t="str">
            <v/>
          </cell>
        </row>
        <row r="46">
          <cell r="E46">
            <v>41</v>
          </cell>
          <cell r="M46">
            <v>5004</v>
          </cell>
          <cell r="N46">
            <v>4202</v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E47">
            <v>42</v>
          </cell>
          <cell r="M47">
            <v>5005</v>
          </cell>
          <cell r="N47">
            <v>4203</v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E48">
            <v>43</v>
          </cell>
          <cell r="M48">
            <v>5006</v>
          </cell>
          <cell r="N48">
            <v>4204</v>
          </cell>
          <cell r="O48" t="str">
            <v/>
          </cell>
          <cell r="P48" t="str">
            <v/>
          </cell>
          <cell r="Q48" t="str">
            <v/>
          </cell>
          <cell r="R48">
            <v>1703</v>
          </cell>
          <cell r="S48" t="str">
            <v/>
          </cell>
        </row>
        <row r="49">
          <cell r="E49">
            <v>44</v>
          </cell>
          <cell r="M49">
            <v>5007</v>
          </cell>
          <cell r="N49">
            <v>4205</v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E50">
            <v>45</v>
          </cell>
          <cell r="M50">
            <v>5008</v>
          </cell>
          <cell r="N50">
            <v>4206</v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E51">
            <v>46</v>
          </cell>
          <cell r="M51">
            <v>5009</v>
          </cell>
          <cell r="N51">
            <v>4207</v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>
            <v>1504</v>
          </cell>
        </row>
        <row r="52">
          <cell r="E52">
            <v>47</v>
          </cell>
          <cell r="M52">
            <v>6001</v>
          </cell>
          <cell r="N52">
            <v>4208</v>
          </cell>
          <cell r="O52" t="str">
            <v/>
          </cell>
          <cell r="P52">
            <v>1403</v>
          </cell>
          <cell r="Q52" t="str">
            <v/>
          </cell>
          <cell r="R52" t="str">
            <v/>
          </cell>
          <cell r="S52" t="str">
            <v/>
          </cell>
        </row>
        <row r="53">
          <cell r="E53">
            <v>48</v>
          </cell>
          <cell r="M53">
            <v>6002</v>
          </cell>
          <cell r="N53">
            <v>4209</v>
          </cell>
          <cell r="O53" t="str">
            <v/>
          </cell>
          <cell r="P53" t="str">
            <v/>
          </cell>
          <cell r="Q53">
            <v>1804</v>
          </cell>
          <cell r="R53" t="str">
            <v/>
          </cell>
          <cell r="S53" t="str">
            <v/>
          </cell>
        </row>
        <row r="54">
          <cell r="E54">
            <v>49</v>
          </cell>
          <cell r="M54">
            <v>6003</v>
          </cell>
          <cell r="N54">
            <v>5201</v>
          </cell>
          <cell r="O54">
            <v>1304</v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E55">
            <v>50</v>
          </cell>
          <cell r="M55">
            <v>6004</v>
          </cell>
          <cell r="N55">
            <v>5202</v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E56">
            <v>51</v>
          </cell>
          <cell r="M56">
            <v>6005</v>
          </cell>
          <cell r="N56">
            <v>5203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E57">
            <v>52</v>
          </cell>
          <cell r="M57">
            <v>6006</v>
          </cell>
          <cell r="N57">
            <v>5204</v>
          </cell>
          <cell r="O57" t="str">
            <v/>
          </cell>
          <cell r="P57" t="str">
            <v/>
          </cell>
          <cell r="Q57" t="str">
            <v/>
          </cell>
          <cell r="R57">
            <v>1704</v>
          </cell>
          <cell r="S57" t="str">
            <v/>
          </cell>
        </row>
        <row r="58">
          <cell r="E58">
            <v>53</v>
          </cell>
          <cell r="M58">
            <v>6007</v>
          </cell>
          <cell r="N58">
            <v>5205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E59">
            <v>54</v>
          </cell>
          <cell r="M59">
            <v>6008</v>
          </cell>
          <cell r="N59">
            <v>5206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E60">
            <v>55</v>
          </cell>
          <cell r="M60">
            <v>6009</v>
          </cell>
          <cell r="N60">
            <v>5207</v>
          </cell>
          <cell r="O60" t="str">
            <v/>
          </cell>
          <cell r="P60">
            <v>1404</v>
          </cell>
          <cell r="Q60" t="str">
            <v/>
          </cell>
          <cell r="R60" t="str">
            <v/>
          </cell>
          <cell r="S60">
            <v>1505</v>
          </cell>
        </row>
        <row r="61">
          <cell r="E61">
            <v>56</v>
          </cell>
          <cell r="M61">
            <v>7001</v>
          </cell>
          <cell r="N61">
            <v>5208</v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</row>
        <row r="62">
          <cell r="E62">
            <v>57</v>
          </cell>
          <cell r="M62">
            <v>7002</v>
          </cell>
          <cell r="N62">
            <v>5209</v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</row>
        <row r="63">
          <cell r="E63">
            <v>58</v>
          </cell>
          <cell r="M63">
            <v>7003</v>
          </cell>
          <cell r="N63">
            <v>6201</v>
          </cell>
          <cell r="O63" t="str">
            <v/>
          </cell>
          <cell r="P63" t="str">
            <v/>
          </cell>
          <cell r="Q63">
            <v>1805</v>
          </cell>
          <cell r="R63" t="str">
            <v/>
          </cell>
          <cell r="S63" t="str">
            <v/>
          </cell>
        </row>
        <row r="64">
          <cell r="E64">
            <v>59</v>
          </cell>
          <cell r="M64">
            <v>7004</v>
          </cell>
          <cell r="N64">
            <v>6202</v>
          </cell>
          <cell r="O64">
            <v>1305</v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</row>
        <row r="65">
          <cell r="E65">
            <v>60</v>
          </cell>
          <cell r="M65">
            <v>7005</v>
          </cell>
          <cell r="N65">
            <v>6203</v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</row>
        <row r="66">
          <cell r="E66">
            <v>61</v>
          </cell>
          <cell r="M66">
            <v>7006</v>
          </cell>
          <cell r="N66">
            <v>6204</v>
          </cell>
          <cell r="O66" t="str">
            <v/>
          </cell>
          <cell r="P66" t="str">
            <v/>
          </cell>
          <cell r="Q66" t="str">
            <v/>
          </cell>
          <cell r="R66">
            <v>1705</v>
          </cell>
          <cell r="S66" t="str">
            <v/>
          </cell>
        </row>
        <row r="67">
          <cell r="E67">
            <v>62</v>
          </cell>
          <cell r="M67">
            <v>7007</v>
          </cell>
          <cell r="N67">
            <v>6205</v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</row>
        <row r="68">
          <cell r="E68">
            <v>63</v>
          </cell>
          <cell r="M68">
            <v>7008</v>
          </cell>
          <cell r="N68">
            <v>6206</v>
          </cell>
          <cell r="O68" t="str">
            <v/>
          </cell>
          <cell r="P68">
            <v>1405</v>
          </cell>
          <cell r="Q68" t="str">
            <v/>
          </cell>
          <cell r="R68" t="str">
            <v/>
          </cell>
          <cell r="S68" t="str">
            <v/>
          </cell>
        </row>
        <row r="69">
          <cell r="E69">
            <v>64</v>
          </cell>
          <cell r="M69">
            <v>7009</v>
          </cell>
          <cell r="N69">
            <v>6207</v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</row>
        <row r="70">
          <cell r="E70">
            <v>65</v>
          </cell>
          <cell r="M70">
            <v>8001</v>
          </cell>
          <cell r="N70">
            <v>6208</v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>
            <v>1506</v>
          </cell>
        </row>
        <row r="71">
          <cell r="E71">
            <v>66</v>
          </cell>
          <cell r="M71">
            <v>8002</v>
          </cell>
          <cell r="N71">
            <v>6209</v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</row>
        <row r="72">
          <cell r="E72">
            <v>67</v>
          </cell>
          <cell r="M72">
            <v>8003</v>
          </cell>
          <cell r="N72">
            <v>7201</v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</row>
        <row r="73">
          <cell r="E73">
            <v>68</v>
          </cell>
          <cell r="M73">
            <v>8004</v>
          </cell>
          <cell r="N73">
            <v>7202</v>
          </cell>
          <cell r="O73" t="str">
            <v/>
          </cell>
          <cell r="P73" t="str">
            <v/>
          </cell>
          <cell r="Q73">
            <v>1806</v>
          </cell>
          <cell r="R73" t="str">
            <v/>
          </cell>
          <cell r="S73" t="str">
            <v/>
          </cell>
        </row>
        <row r="74">
          <cell r="E74">
            <v>69</v>
          </cell>
          <cell r="M74">
            <v>8005</v>
          </cell>
          <cell r="N74">
            <v>7203</v>
          </cell>
          <cell r="O74">
            <v>1306</v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</row>
        <row r="75">
          <cell r="E75">
            <v>70</v>
          </cell>
          <cell r="M75">
            <v>8006</v>
          </cell>
          <cell r="N75">
            <v>7204</v>
          </cell>
          <cell r="O75" t="str">
            <v/>
          </cell>
          <cell r="P75" t="str">
            <v/>
          </cell>
          <cell r="Q75" t="str">
            <v/>
          </cell>
          <cell r="R75">
            <v>1706</v>
          </cell>
          <cell r="S75" t="str">
            <v/>
          </cell>
        </row>
        <row r="76">
          <cell r="E76">
            <v>71</v>
          </cell>
          <cell r="M76">
            <v>8007</v>
          </cell>
          <cell r="N76">
            <v>7205</v>
          </cell>
          <cell r="O76" t="str">
            <v/>
          </cell>
          <cell r="P76">
            <v>1406</v>
          </cell>
          <cell r="Q76" t="str">
            <v/>
          </cell>
          <cell r="R76" t="str">
            <v/>
          </cell>
          <cell r="S76" t="str">
            <v/>
          </cell>
        </row>
        <row r="77">
          <cell r="E77">
            <v>72</v>
          </cell>
          <cell r="M77">
            <v>8008</v>
          </cell>
          <cell r="N77">
            <v>7206</v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</row>
        <row r="78">
          <cell r="E78">
            <v>73</v>
          </cell>
          <cell r="M78">
            <v>8009</v>
          </cell>
          <cell r="N78">
            <v>7207</v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</row>
        <row r="79">
          <cell r="E79">
            <v>74</v>
          </cell>
          <cell r="M79" t="str">
            <v/>
          </cell>
          <cell r="N79">
            <v>7208</v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</row>
        <row r="80">
          <cell r="E80">
            <v>75</v>
          </cell>
          <cell r="M80" t="str">
            <v/>
          </cell>
          <cell r="N80">
            <v>7209</v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</row>
        <row r="81">
          <cell r="E81">
            <v>76</v>
          </cell>
          <cell r="M81" t="str">
            <v/>
          </cell>
          <cell r="N81">
            <v>8201</v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</row>
        <row r="82">
          <cell r="E82">
            <v>77</v>
          </cell>
          <cell r="M82" t="str">
            <v/>
          </cell>
          <cell r="N82">
            <v>8202</v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</row>
        <row r="83">
          <cell r="E83">
            <v>78</v>
          </cell>
          <cell r="M83" t="str">
            <v/>
          </cell>
          <cell r="N83">
            <v>8203</v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</row>
        <row r="84">
          <cell r="E84">
            <v>79</v>
          </cell>
          <cell r="M84" t="str">
            <v/>
          </cell>
          <cell r="N84">
            <v>8204</v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</row>
        <row r="85">
          <cell r="E85">
            <v>80</v>
          </cell>
          <cell r="M85" t="str">
            <v/>
          </cell>
          <cell r="N85">
            <v>8205</v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</row>
        <row r="86">
          <cell r="N86">
            <v>8206</v>
          </cell>
        </row>
        <row r="87">
          <cell r="N87">
            <v>8207</v>
          </cell>
        </row>
        <row r="88">
          <cell r="N88">
            <v>8208</v>
          </cell>
        </row>
        <row r="89">
          <cell r="N89">
            <v>8209</v>
          </cell>
        </row>
      </sheetData>
      <sheetData sheetId="9">
        <row r="3">
          <cell r="L3">
            <v>684299</v>
          </cell>
        </row>
      </sheetData>
      <sheetData sheetId="10"/>
      <sheetData sheetId="11">
        <row r="4">
          <cell r="N4">
            <v>2048022.8</v>
          </cell>
        </row>
      </sheetData>
      <sheetData sheetId="12">
        <row r="10">
          <cell r="E10">
            <v>1</v>
          </cell>
        </row>
        <row r="11">
          <cell r="E11">
            <v>2</v>
          </cell>
        </row>
        <row r="12">
          <cell r="E12">
            <v>3</v>
          </cell>
        </row>
        <row r="13">
          <cell r="E13">
            <v>4</v>
          </cell>
        </row>
        <row r="14">
          <cell r="E14">
            <v>5</v>
          </cell>
        </row>
        <row r="15">
          <cell r="E15">
            <v>6</v>
          </cell>
        </row>
        <row r="16">
          <cell r="E16">
            <v>7</v>
          </cell>
        </row>
        <row r="17">
          <cell r="E17">
            <v>8</v>
          </cell>
        </row>
        <row r="18">
          <cell r="E18">
            <v>9</v>
          </cell>
        </row>
        <row r="19">
          <cell r="E19">
            <v>10</v>
          </cell>
        </row>
        <row r="20">
          <cell r="E20">
            <v>11</v>
          </cell>
        </row>
        <row r="21">
          <cell r="E21">
            <v>12</v>
          </cell>
        </row>
        <row r="22">
          <cell r="E22">
            <v>13</v>
          </cell>
        </row>
        <row r="23">
          <cell r="E23">
            <v>14</v>
          </cell>
        </row>
        <row r="24">
          <cell r="E24">
            <v>15</v>
          </cell>
        </row>
        <row r="25">
          <cell r="E25">
            <v>16</v>
          </cell>
        </row>
        <row r="26">
          <cell r="E26">
            <v>17</v>
          </cell>
        </row>
        <row r="27">
          <cell r="E27">
            <v>18</v>
          </cell>
        </row>
        <row r="28">
          <cell r="E28">
            <v>19</v>
          </cell>
        </row>
        <row r="29">
          <cell r="E29">
            <v>20</v>
          </cell>
        </row>
        <row r="30">
          <cell r="E30">
            <v>21</v>
          </cell>
        </row>
        <row r="31">
          <cell r="E31">
            <v>22</v>
          </cell>
        </row>
        <row r="32">
          <cell r="E32">
            <v>23</v>
          </cell>
        </row>
        <row r="33">
          <cell r="E33">
            <v>24</v>
          </cell>
        </row>
        <row r="34">
          <cell r="E34">
            <v>25</v>
          </cell>
        </row>
        <row r="35">
          <cell r="E35">
            <v>26</v>
          </cell>
        </row>
        <row r="36">
          <cell r="E36">
            <v>27</v>
          </cell>
        </row>
        <row r="37">
          <cell r="E37">
            <v>28</v>
          </cell>
        </row>
        <row r="38">
          <cell r="E38">
            <v>29</v>
          </cell>
        </row>
        <row r="39">
          <cell r="E39">
            <v>30</v>
          </cell>
        </row>
        <row r="40">
          <cell r="E40">
            <v>31</v>
          </cell>
        </row>
        <row r="41">
          <cell r="E41">
            <v>32</v>
          </cell>
        </row>
        <row r="42">
          <cell r="E42">
            <v>33</v>
          </cell>
        </row>
        <row r="43">
          <cell r="E43">
            <v>34</v>
          </cell>
        </row>
        <row r="44">
          <cell r="E44">
            <v>35</v>
          </cell>
        </row>
        <row r="45">
          <cell r="E45">
            <v>36</v>
          </cell>
        </row>
        <row r="46">
          <cell r="E46">
            <v>37</v>
          </cell>
        </row>
        <row r="47">
          <cell r="E47">
            <v>38</v>
          </cell>
        </row>
        <row r="48">
          <cell r="E48">
            <v>39</v>
          </cell>
        </row>
        <row r="49">
          <cell r="E49">
            <v>40</v>
          </cell>
        </row>
        <row r="50">
          <cell r="E50">
            <v>41</v>
          </cell>
        </row>
        <row r="51">
          <cell r="E51">
            <v>42</v>
          </cell>
        </row>
        <row r="52">
          <cell r="E52">
            <v>43</v>
          </cell>
        </row>
        <row r="53">
          <cell r="E53">
            <v>44</v>
          </cell>
        </row>
        <row r="54">
          <cell r="E54">
            <v>45</v>
          </cell>
        </row>
        <row r="55">
          <cell r="E55">
            <v>46</v>
          </cell>
        </row>
        <row r="56">
          <cell r="E56">
            <v>47</v>
          </cell>
        </row>
        <row r="57">
          <cell r="E57">
            <v>48</v>
          </cell>
        </row>
        <row r="58">
          <cell r="E58">
            <v>49</v>
          </cell>
        </row>
        <row r="59">
          <cell r="E59">
            <v>50</v>
          </cell>
        </row>
        <row r="60">
          <cell r="E60">
            <v>51</v>
          </cell>
        </row>
        <row r="61">
          <cell r="E61">
            <v>52</v>
          </cell>
        </row>
        <row r="62">
          <cell r="E62">
            <v>53</v>
          </cell>
        </row>
        <row r="63">
          <cell r="E63">
            <v>54</v>
          </cell>
        </row>
        <row r="64">
          <cell r="E64">
            <v>55</v>
          </cell>
        </row>
        <row r="65">
          <cell r="E65">
            <v>56</v>
          </cell>
        </row>
        <row r="66">
          <cell r="E66">
            <v>57</v>
          </cell>
        </row>
        <row r="67">
          <cell r="E67">
            <v>58</v>
          </cell>
        </row>
        <row r="68">
          <cell r="E68">
            <v>59</v>
          </cell>
        </row>
        <row r="69">
          <cell r="E69">
            <v>60</v>
          </cell>
        </row>
        <row r="70">
          <cell r="E70">
            <v>61</v>
          </cell>
        </row>
        <row r="71">
          <cell r="E71">
            <v>62</v>
          </cell>
        </row>
        <row r="72">
          <cell r="E72">
            <v>63</v>
          </cell>
        </row>
        <row r="73">
          <cell r="E73">
            <v>64</v>
          </cell>
        </row>
        <row r="74">
          <cell r="E74">
            <v>65</v>
          </cell>
        </row>
        <row r="75">
          <cell r="E75">
            <v>66</v>
          </cell>
        </row>
        <row r="76">
          <cell r="E76">
            <v>67</v>
          </cell>
        </row>
        <row r="77">
          <cell r="E77">
            <v>68</v>
          </cell>
        </row>
        <row r="78">
          <cell r="E78">
            <v>69</v>
          </cell>
        </row>
        <row r="79">
          <cell r="E79">
            <v>70</v>
          </cell>
        </row>
        <row r="80">
          <cell r="E80">
            <v>71</v>
          </cell>
        </row>
        <row r="81">
          <cell r="E81">
            <v>72</v>
          </cell>
        </row>
        <row r="82">
          <cell r="E82">
            <v>73</v>
          </cell>
        </row>
        <row r="83">
          <cell r="E83">
            <v>74</v>
          </cell>
        </row>
        <row r="84">
          <cell r="E84">
            <v>75</v>
          </cell>
        </row>
        <row r="85">
          <cell r="E85">
            <v>76</v>
          </cell>
        </row>
        <row r="86">
          <cell r="E86">
            <v>77</v>
          </cell>
        </row>
        <row r="87">
          <cell r="E87">
            <v>78</v>
          </cell>
        </row>
        <row r="88">
          <cell r="E88">
            <v>79</v>
          </cell>
        </row>
        <row r="89">
          <cell r="E89">
            <v>80</v>
          </cell>
        </row>
        <row r="90">
          <cell r="E90">
            <v>81</v>
          </cell>
        </row>
        <row r="91">
          <cell r="E91">
            <v>82</v>
          </cell>
        </row>
        <row r="92">
          <cell r="E92">
            <v>83</v>
          </cell>
        </row>
        <row r="93">
          <cell r="E93">
            <v>84</v>
          </cell>
        </row>
      </sheetData>
      <sheetData sheetId="13">
        <row r="4">
          <cell r="C4">
            <v>5</v>
          </cell>
        </row>
      </sheetData>
      <sheetData sheetId="14">
        <row r="3">
          <cell r="B3">
            <v>1000</v>
          </cell>
        </row>
      </sheetData>
      <sheetData sheetId="15">
        <row r="13">
          <cell r="C13">
            <v>10000</v>
          </cell>
        </row>
      </sheetData>
      <sheetData sheetId="16">
        <row r="7">
          <cell r="L7">
            <v>2029.2631578947369</v>
          </cell>
        </row>
      </sheetData>
      <sheetData sheetId="17">
        <row r="23">
          <cell r="K23" t="str">
            <v/>
          </cell>
        </row>
      </sheetData>
      <sheetData sheetId="18"/>
      <sheetData sheetId="19">
        <row r="1">
          <cell r="A1" t="str">
            <v>ID</v>
          </cell>
        </row>
      </sheetData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定参考"/>
      <sheetName val="经验验证"/>
      <sheetName val="主角设定"/>
      <sheetName val="装备属性"/>
      <sheetName val="主角数据分析-超R"/>
      <sheetName val="主角分析-非R"/>
      <sheetName val="攻防血属性数据分析"/>
      <sheetName val="命格设定"/>
      <sheetName val="命格属性-非R"/>
      <sheetName val="命格属性-超R"/>
      <sheetName val="技能"/>
      <sheetName val="属性汇总"/>
      <sheetName val="装备全级属性-非R"/>
      <sheetName val="装备全级属性-大R"/>
      <sheetName val="马仔属性"/>
      <sheetName val="马仔-非R"/>
      <sheetName val="马仔-大R"/>
      <sheetName val="马仔-判定标准"/>
      <sheetName val="马仔-数据观察"/>
      <sheetName val="龙魂设定"/>
      <sheetName val="龙魂等级属性"/>
      <sheetName val="技能-大R"/>
      <sheetName val="技能-非R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>
            <v>595.66</v>
          </cell>
          <cell r="H2">
            <v>118.80000000000001</v>
          </cell>
          <cell r="I2">
            <v>52.800000000000004</v>
          </cell>
        </row>
        <row r="3">
          <cell r="G3">
            <v>677.43999999999994</v>
          </cell>
          <cell r="H3">
            <v>129.6</v>
          </cell>
          <cell r="I3">
            <v>57.6</v>
          </cell>
        </row>
        <row r="4">
          <cell r="G4">
            <v>765.34000000000015</v>
          </cell>
          <cell r="H4">
            <v>140.4</v>
          </cell>
          <cell r="I4">
            <v>62.400000000000006</v>
          </cell>
        </row>
        <row r="5">
          <cell r="G5">
            <v>859.3599999999999</v>
          </cell>
          <cell r="H5">
            <v>151.19999999999999</v>
          </cell>
          <cell r="I5">
            <v>67.2</v>
          </cell>
        </row>
        <row r="6">
          <cell r="G6">
            <v>959.50000000000011</v>
          </cell>
          <cell r="H6">
            <v>176.5143073540107</v>
          </cell>
          <cell r="I6">
            <v>72</v>
          </cell>
        </row>
        <row r="7">
          <cell r="G7">
            <v>1065.76</v>
          </cell>
          <cell r="H7">
            <v>187.31430735401068</v>
          </cell>
          <cell r="I7">
            <v>76.8</v>
          </cell>
        </row>
        <row r="8">
          <cell r="G8">
            <v>1178.1399999999999</v>
          </cell>
          <cell r="H8">
            <v>198.11430735401069</v>
          </cell>
          <cell r="I8">
            <v>81.600000000000009</v>
          </cell>
        </row>
        <row r="9">
          <cell r="G9">
            <v>4370.2993323292631</v>
          </cell>
          <cell r="H9">
            <v>327.81440711871659</v>
          </cell>
          <cell r="I9">
            <v>141.2292559861352</v>
          </cell>
        </row>
        <row r="10">
          <cell r="G10">
            <v>4906.2822428830341</v>
          </cell>
          <cell r="H10">
            <v>349.91216167700543</v>
          </cell>
          <cell r="I10">
            <v>153.20836824956672</v>
          </cell>
        </row>
        <row r="11">
          <cell r="G11">
            <v>5093.641807067248</v>
          </cell>
          <cell r="H11">
            <v>363.5880341903744</v>
          </cell>
          <cell r="I11">
            <v>159.25109074523399</v>
          </cell>
        </row>
        <row r="12">
          <cell r="G12">
            <v>5287.1213712514618</v>
          </cell>
          <cell r="H12">
            <v>377.26390670374332</v>
          </cell>
          <cell r="I12">
            <v>165.29381324090119</v>
          </cell>
        </row>
        <row r="13">
          <cell r="G13">
            <v>5486.7209354356764</v>
          </cell>
          <cell r="H13">
            <v>390.93977921711235</v>
          </cell>
          <cell r="I13">
            <v>171.33653573656846</v>
          </cell>
        </row>
        <row r="14">
          <cell r="G14">
            <v>5692.44049961989</v>
          </cell>
          <cell r="H14">
            <v>404.61565173048132</v>
          </cell>
          <cell r="I14">
            <v>177.37925823223571</v>
          </cell>
        </row>
        <row r="15">
          <cell r="G15">
            <v>5904.2800638041044</v>
          </cell>
          <cell r="H15">
            <v>418.29152424385035</v>
          </cell>
          <cell r="I15">
            <v>183.42198072790296</v>
          </cell>
        </row>
        <row r="16">
          <cell r="G16">
            <v>7156.9977638896908</v>
          </cell>
          <cell r="H16">
            <v>487.15382807272732</v>
          </cell>
          <cell r="I16">
            <v>209.74706301559794</v>
          </cell>
        </row>
        <row r="17">
          <cell r="G17">
            <v>9692.7395077744077</v>
          </cell>
          <cell r="H17">
            <v>717.81459555935839</v>
          </cell>
          <cell r="I17">
            <v>267.05651077989603</v>
          </cell>
        </row>
        <row r="18">
          <cell r="G18">
            <v>10087.715827414089</v>
          </cell>
          <cell r="H18">
            <v>740.5965728855615</v>
          </cell>
          <cell r="I18">
            <v>275.57720346620454</v>
          </cell>
        </row>
        <row r="19">
          <cell r="G19">
            <v>18407.932439669534</v>
          </cell>
          <cell r="H19">
            <v>1187.0088270032088</v>
          </cell>
          <cell r="I19">
            <v>464.87054031195851</v>
          </cell>
        </row>
        <row r="20">
          <cell r="G20">
            <v>18971.941398588577</v>
          </cell>
          <cell r="H20">
            <v>1120.3797026224602</v>
          </cell>
          <cell r="I20">
            <v>473.39123299826701</v>
          </cell>
        </row>
        <row r="21">
          <cell r="G21">
            <v>19542.070357507622</v>
          </cell>
          <cell r="H21">
            <v>1145.1256346010698</v>
          </cell>
          <cell r="I21">
            <v>487.3533110571924</v>
          </cell>
        </row>
        <row r="22">
          <cell r="G22">
            <v>20118.319316426667</v>
          </cell>
          <cell r="H22">
            <v>1169.8715665796794</v>
          </cell>
          <cell r="I22">
            <v>499.31538911611801</v>
          </cell>
        </row>
        <row r="23">
          <cell r="G23">
            <v>20700.688275345707</v>
          </cell>
          <cell r="H23">
            <v>1194.6174985582891</v>
          </cell>
          <cell r="I23">
            <v>513.2774671750434</v>
          </cell>
        </row>
        <row r="24">
          <cell r="G24">
            <v>21289.177234264753</v>
          </cell>
          <cell r="H24">
            <v>1219.3634305368987</v>
          </cell>
          <cell r="I24">
            <v>525.2395452339689</v>
          </cell>
        </row>
        <row r="25">
          <cell r="G25">
            <v>28284.941642435053</v>
          </cell>
          <cell r="H25">
            <v>1702.2184589005351</v>
          </cell>
          <cell r="I25">
            <v>676.64774377816298</v>
          </cell>
        </row>
        <row r="26">
          <cell r="G26">
            <v>28951.000867720497</v>
          </cell>
          <cell r="H26">
            <v>1730.2827053176475</v>
          </cell>
          <cell r="I26">
            <v>690.04373240901236</v>
          </cell>
        </row>
        <row r="27">
          <cell r="G27">
            <v>32350.18009300594</v>
          </cell>
          <cell r="H27">
            <v>1865.0381769174885</v>
          </cell>
          <cell r="I27">
            <v>842.43972103986141</v>
          </cell>
        </row>
        <row r="28">
          <cell r="G28">
            <v>33983.768188321177</v>
          </cell>
          <cell r="H28">
            <v>1893.1024233346009</v>
          </cell>
          <cell r="I28">
            <v>855.83570967071068</v>
          </cell>
        </row>
        <row r="29">
          <cell r="G29">
            <v>57560.09676640945</v>
          </cell>
          <cell r="H29">
            <v>3005.8051826928895</v>
          </cell>
          <cell r="I29">
            <v>1412.6984746333314</v>
          </cell>
        </row>
        <row r="30">
          <cell r="G30">
            <v>59625.348316419579</v>
          </cell>
          <cell r="H30">
            <v>3163.2217576661524</v>
          </cell>
          <cell r="I30">
            <v>1434.8891147719798</v>
          </cell>
        </row>
        <row r="31">
          <cell r="G31">
            <v>81290.408716700738</v>
          </cell>
          <cell r="H31">
            <v>4518.1444820811248</v>
          </cell>
          <cell r="I31">
            <v>1799.7268403872311</v>
          </cell>
        </row>
        <row r="32">
          <cell r="G32">
            <v>86311.063741825856</v>
          </cell>
          <cell r="H32">
            <v>4658.0891921219909</v>
          </cell>
          <cell r="I32">
            <v>1886.9696204392437</v>
          </cell>
        </row>
        <row r="33">
          <cell r="G33">
            <v>106135.60650613632</v>
          </cell>
          <cell r="H33">
            <v>5584.1703831380346</v>
          </cell>
          <cell r="I33">
            <v>2269.5012962797982</v>
          </cell>
        </row>
        <row r="34">
          <cell r="G34">
            <v>110711.83531999063</v>
          </cell>
          <cell r="H34">
            <v>5676.7296918011361</v>
          </cell>
          <cell r="I34">
            <v>2304.4377277529347</v>
          </cell>
        </row>
        <row r="35">
          <cell r="G35">
            <v>116678.24413384491</v>
          </cell>
          <cell r="H35">
            <v>6022.2890004642368</v>
          </cell>
          <cell r="I35">
            <v>2345.3741592260717</v>
          </cell>
        </row>
        <row r="36">
          <cell r="G36">
            <v>118563.83294769924</v>
          </cell>
          <cell r="H36">
            <v>6493.0307234374068</v>
          </cell>
          <cell r="I36">
            <v>2596.3105906992087</v>
          </cell>
        </row>
        <row r="37">
          <cell r="G37">
            <v>124445.72720515652</v>
          </cell>
          <cell r="H37">
            <v>6585.5900321005083</v>
          </cell>
          <cell r="I37">
            <v>2637.2470221723456</v>
          </cell>
        </row>
        <row r="38">
          <cell r="G38">
            <v>130058.44457324414</v>
          </cell>
          <cell r="H38">
            <v>6812.1055568157317</v>
          </cell>
          <cell r="I38">
            <v>2672.1834536454826</v>
          </cell>
        </row>
        <row r="39">
          <cell r="G39">
            <v>166579.93407484115</v>
          </cell>
          <cell r="H39">
            <v>8561.7162383130581</v>
          </cell>
          <cell r="I39">
            <v>3597.3206130491581</v>
          </cell>
        </row>
        <row r="40">
          <cell r="G40">
            <v>168990.04221089793</v>
          </cell>
          <cell r="H40">
            <v>8679.0522947836471</v>
          </cell>
          <cell r="I40">
            <v>3642.9635767926588</v>
          </cell>
        </row>
        <row r="41">
          <cell r="G41">
            <v>205369.3967185147</v>
          </cell>
          <cell r="H41">
            <v>10082.733249649955</v>
          </cell>
          <cell r="I41">
            <v>4224.0369017146695</v>
          </cell>
        </row>
        <row r="42">
          <cell r="G42">
            <v>212168.59849647246</v>
          </cell>
          <cell r="H42">
            <v>10313.810152637603</v>
          </cell>
          <cell r="I42">
            <v>4407.3375375552241</v>
          </cell>
        </row>
        <row r="43">
          <cell r="G43">
            <v>214934.11094253941</v>
          </cell>
          <cell r="H43">
            <v>10622.713362049368</v>
          </cell>
          <cell r="I43">
            <v>4466.6381733957787</v>
          </cell>
        </row>
        <row r="44">
          <cell r="G44">
            <v>217711.86338860626</v>
          </cell>
          <cell r="H44">
            <v>10757.616571461132</v>
          </cell>
          <cell r="I44">
            <v>4519.9388092363342</v>
          </cell>
        </row>
        <row r="45">
          <cell r="G45">
            <v>240493.33287010749</v>
          </cell>
          <cell r="H45">
            <v>10892.519780872897</v>
          </cell>
          <cell r="I45">
            <v>4852.2394450768879</v>
          </cell>
        </row>
        <row r="46">
          <cell r="G46">
            <v>285839.741033628</v>
          </cell>
          <cell r="H46">
            <v>13451.746364830116</v>
          </cell>
          <cell r="I46">
            <v>5796.1849092016719</v>
          </cell>
        </row>
        <row r="47">
          <cell r="G47">
            <v>338493.38153437385</v>
          </cell>
          <cell r="H47">
            <v>16304.601391611051</v>
          </cell>
          <cell r="I47">
            <v>7126.8757065682457</v>
          </cell>
        </row>
        <row r="48">
          <cell r="G48">
            <v>352082.89674665616</v>
          </cell>
          <cell r="H48">
            <v>16511.006059846346</v>
          </cell>
          <cell r="I48">
            <v>7204.9493586999615</v>
          </cell>
        </row>
        <row r="49">
          <cell r="G49">
            <v>478774.90347574058</v>
          </cell>
          <cell r="H49">
            <v>22322.400980915867</v>
          </cell>
          <cell r="I49">
            <v>10326.398266172717</v>
          </cell>
        </row>
        <row r="50">
          <cell r="G50">
            <v>484354.17698789469</v>
          </cell>
          <cell r="H50">
            <v>22596.941705621753</v>
          </cell>
          <cell r="I50">
            <v>10433.914882047935</v>
          </cell>
        </row>
        <row r="51">
          <cell r="G51">
            <v>542027.46265567688</v>
          </cell>
          <cell r="H51">
            <v>25642.580441022823</v>
          </cell>
          <cell r="I51">
            <v>11848.009494456946</v>
          </cell>
        </row>
        <row r="52">
          <cell r="G52">
            <v>548393.78953367716</v>
          </cell>
          <cell r="H52">
            <v>26157.081076117047</v>
          </cell>
          <cell r="I52">
            <v>11972.456404127657</v>
          </cell>
        </row>
        <row r="53">
          <cell r="G53">
            <v>557702.41641167749</v>
          </cell>
          <cell r="H53">
            <v>27376.647387133093</v>
          </cell>
          <cell r="I53">
            <v>12282.903313798368</v>
          </cell>
        </row>
        <row r="54">
          <cell r="G54">
            <v>586812.34328967775</v>
          </cell>
          <cell r="H54">
            <v>28196.213698149135</v>
          </cell>
          <cell r="I54">
            <v>12407.350223469079</v>
          </cell>
        </row>
        <row r="55">
          <cell r="G55">
            <v>613847.57106773299</v>
          </cell>
          <cell r="H55">
            <v>28961.109414017708</v>
          </cell>
          <cell r="I55">
            <v>12543.797133139789</v>
          </cell>
        </row>
        <row r="56">
          <cell r="G56">
            <v>620275.09794573323</v>
          </cell>
          <cell r="H56">
            <v>29781.927184109481</v>
          </cell>
          <cell r="I56">
            <v>13195.2440428105</v>
          </cell>
        </row>
        <row r="57">
          <cell r="G57">
            <v>702433.87846479658</v>
          </cell>
          <cell r="H57">
            <v>34192.59324824885</v>
          </cell>
          <cell r="I57">
            <v>15551.878497461699</v>
          </cell>
        </row>
        <row r="58">
          <cell r="G58">
            <v>718673.92890727916</v>
          </cell>
          <cell r="H58">
            <v>34534.918284398584</v>
          </cell>
          <cell r="I58">
            <v>15688.752632089081</v>
          </cell>
        </row>
        <row r="59">
          <cell r="G59">
            <v>725713.55142712151</v>
          </cell>
          <cell r="H59">
            <v>35353.243320548318</v>
          </cell>
          <cell r="I59">
            <v>15837.626766716463</v>
          </cell>
        </row>
        <row r="60">
          <cell r="G60">
            <v>732768.4739469639</v>
          </cell>
          <cell r="H60">
            <v>35840.568356698052</v>
          </cell>
          <cell r="I60">
            <v>15974.500901343845</v>
          </cell>
        </row>
        <row r="61">
          <cell r="G61">
            <v>826116.87311554258</v>
          </cell>
          <cell r="H61">
            <v>38744.262149211419</v>
          </cell>
          <cell r="I61">
            <v>17047.800289905372</v>
          </cell>
        </row>
        <row r="62">
          <cell r="G62">
            <v>840568.25563538517</v>
          </cell>
          <cell r="H62">
            <v>39387.987185361148</v>
          </cell>
          <cell r="I62">
            <v>17195.074424532751</v>
          </cell>
        </row>
        <row r="63">
          <cell r="G63">
            <v>852109.99815522763</v>
          </cell>
          <cell r="H63">
            <v>39987.712221510883</v>
          </cell>
          <cell r="I63">
            <v>18149.348559160135</v>
          </cell>
        </row>
        <row r="64">
          <cell r="G64">
            <v>888226.10067506996</v>
          </cell>
          <cell r="H64">
            <v>40849.30572554002</v>
          </cell>
          <cell r="I64">
            <v>18842.622693787518</v>
          </cell>
        </row>
        <row r="65">
          <cell r="G65">
            <v>989561.99522662023</v>
          </cell>
          <cell r="H65">
            <v>44545.598034417024</v>
          </cell>
          <cell r="I65">
            <v>20707.720814550088</v>
          </cell>
        </row>
        <row r="66">
          <cell r="G66">
            <v>1029087.8038205816</v>
          </cell>
          <cell r="H66">
            <v>47663.449632610522</v>
          </cell>
          <cell r="I66">
            <v>21355.867561141346</v>
          </cell>
        </row>
        <row r="67">
          <cell r="G67">
            <v>1057522.1708042845</v>
          </cell>
          <cell r="H67">
            <v>48072.933393893945</v>
          </cell>
          <cell r="I67">
            <v>23432.5689207254</v>
          </cell>
        </row>
        <row r="68">
          <cell r="G68">
            <v>1066064.908965969</v>
          </cell>
          <cell r="H68">
            <v>49017.383325693212</v>
          </cell>
          <cell r="I68">
            <v>23592.270280309458</v>
          </cell>
        </row>
        <row r="69">
          <cell r="G69">
            <v>1103167.8759621824</v>
          </cell>
          <cell r="H69">
            <v>50485.348910295877</v>
          </cell>
          <cell r="I69">
            <v>23177.924462911866</v>
          </cell>
        </row>
        <row r="70">
          <cell r="G70">
            <v>1162873.6061476371</v>
          </cell>
          <cell r="H70">
            <v>51289.832671579308</v>
          </cell>
          <cell r="I70">
            <v>23337.62582249592</v>
          </cell>
        </row>
        <row r="71">
          <cell r="G71">
            <v>1233363.2413142174</v>
          </cell>
          <cell r="H71">
            <v>54815.507880135447</v>
          </cell>
          <cell r="I71">
            <v>24626.505395459528</v>
          </cell>
        </row>
        <row r="72">
          <cell r="G72">
            <v>1242776.579475902</v>
          </cell>
          <cell r="H72">
            <v>57398.391641418879</v>
          </cell>
          <cell r="I72">
            <v>24797.60675504358</v>
          </cell>
        </row>
        <row r="73">
          <cell r="G73">
            <v>1377430.0388692503</v>
          </cell>
          <cell r="H73">
            <v>63327.735167408187</v>
          </cell>
          <cell r="I73">
            <v>26774.200886898001</v>
          </cell>
        </row>
        <row r="74">
          <cell r="G74">
            <v>1417220.898554574</v>
          </cell>
          <cell r="H74">
            <v>64398.377653825301</v>
          </cell>
          <cell r="I74">
            <v>28380.729471438732</v>
          </cell>
        </row>
        <row r="75">
          <cell r="G75">
            <v>1511447.9035137685</v>
          </cell>
          <cell r="H75">
            <v>65614.809760960256</v>
          </cell>
          <cell r="I75">
            <v>28587.258055979459</v>
          </cell>
        </row>
        <row r="76">
          <cell r="G76">
            <v>1575065.4875019062</v>
          </cell>
          <cell r="H76">
            <v>68467.568568793416</v>
          </cell>
          <cell r="I76">
            <v>29941.013288973681</v>
          </cell>
        </row>
        <row r="77">
          <cell r="G77">
            <v>1626632.1213054329</v>
          </cell>
          <cell r="H77">
            <v>70013.21105521053</v>
          </cell>
          <cell r="I77">
            <v>30147.541873514409</v>
          </cell>
        </row>
        <row r="78">
          <cell r="G78">
            <v>1636740.1751089597</v>
          </cell>
          <cell r="H78">
            <v>70848.853541627643</v>
          </cell>
          <cell r="I78">
            <v>30331.070458055132</v>
          </cell>
        </row>
        <row r="79">
          <cell r="G79">
            <v>1655762.6489124864</v>
          </cell>
          <cell r="H79">
            <v>72172.450621604308</v>
          </cell>
          <cell r="I79">
            <v>32670.599042595866</v>
          </cell>
        </row>
        <row r="80">
          <cell r="G80">
            <v>1665913.5427160128</v>
          </cell>
          <cell r="H80">
            <v>72651.093108021407</v>
          </cell>
          <cell r="I80">
            <v>33699.631697746969</v>
          </cell>
        </row>
        <row r="81">
          <cell r="G81">
            <v>1855335.1800421251</v>
          </cell>
          <cell r="H81">
            <v>81579.101989304836</v>
          </cell>
          <cell r="I81">
            <v>37037.131466204512</v>
          </cell>
        </row>
      </sheetData>
      <sheetData sheetId="5">
        <row r="2">
          <cell r="G2">
            <v>595.66</v>
          </cell>
          <cell r="H2">
            <v>118.80000000000001</v>
          </cell>
          <cell r="I2">
            <v>52.800000000000004</v>
          </cell>
        </row>
        <row r="3">
          <cell r="G3">
            <v>677.43999999999994</v>
          </cell>
          <cell r="H3">
            <v>129.6</v>
          </cell>
          <cell r="I3">
            <v>57.6</v>
          </cell>
        </row>
        <row r="4">
          <cell r="G4">
            <v>765.34000000000015</v>
          </cell>
          <cell r="H4">
            <v>140.4</v>
          </cell>
          <cell r="I4">
            <v>62.400000000000006</v>
          </cell>
        </row>
        <row r="5">
          <cell r="G5">
            <v>859.3599999999999</v>
          </cell>
          <cell r="H5">
            <v>151.19999999999999</v>
          </cell>
          <cell r="I5">
            <v>67.2</v>
          </cell>
        </row>
        <row r="6">
          <cell r="G6">
            <v>959.50000000000011</v>
          </cell>
          <cell r="H6">
            <v>176.5143073540107</v>
          </cell>
          <cell r="I6">
            <v>72</v>
          </cell>
        </row>
        <row r="7">
          <cell r="G7">
            <v>1065.76</v>
          </cell>
          <cell r="H7">
            <v>187.31430735401068</v>
          </cell>
          <cell r="I7">
            <v>76.8</v>
          </cell>
        </row>
        <row r="8">
          <cell r="G8">
            <v>1178.1399999999999</v>
          </cell>
          <cell r="H8">
            <v>198.11430735401069</v>
          </cell>
          <cell r="I8">
            <v>81.600000000000009</v>
          </cell>
        </row>
        <row r="9">
          <cell r="G9">
            <v>1296.6399999999999</v>
          </cell>
          <cell r="H9">
            <v>208.91430735401067</v>
          </cell>
          <cell r="I9">
            <v>86.4</v>
          </cell>
        </row>
        <row r="10">
          <cell r="G10">
            <v>3149.0115646193149</v>
          </cell>
          <cell r="H10">
            <v>291.67247483208558</v>
          </cell>
          <cell r="I10">
            <v>127.30464720970538</v>
          </cell>
        </row>
        <row r="11">
          <cell r="G11">
            <v>3506.2298213561717</v>
          </cell>
          <cell r="H11">
            <v>313.97596488556155</v>
          </cell>
          <cell r="I11">
            <v>137.07553719237438</v>
          </cell>
        </row>
        <row r="12">
          <cell r="G12">
            <v>3926.1876422772411</v>
          </cell>
          <cell r="H12">
            <v>339.15532745240637</v>
          </cell>
          <cell r="I12">
            <v>148.08914967071055</v>
          </cell>
        </row>
        <row r="13">
          <cell r="G13">
            <v>4125.7872064614558</v>
          </cell>
          <cell r="H13">
            <v>352.83119996577545</v>
          </cell>
          <cell r="I13">
            <v>154.13187216637783</v>
          </cell>
        </row>
        <row r="14">
          <cell r="G14">
            <v>4331.5067706456703</v>
          </cell>
          <cell r="H14">
            <v>366.50707247914443</v>
          </cell>
          <cell r="I14">
            <v>160.17459466204508</v>
          </cell>
        </row>
        <row r="15">
          <cell r="G15">
            <v>4543.3463348298847</v>
          </cell>
          <cell r="H15">
            <v>385.55861438288775</v>
          </cell>
          <cell r="I15">
            <v>166.86257691507802</v>
          </cell>
        </row>
        <row r="16">
          <cell r="G16">
            <v>5408.0755360414678</v>
          </cell>
          <cell r="H16">
            <v>440.44795222245989</v>
          </cell>
          <cell r="I16">
            <v>186.88592748700177</v>
          </cell>
        </row>
        <row r="17">
          <cell r="G17">
            <v>5952.3440591447252</v>
          </cell>
          <cell r="H17">
            <v>460.12382473582892</v>
          </cell>
          <cell r="I17">
            <v>203.81142072790297</v>
          </cell>
        </row>
        <row r="18">
          <cell r="G18">
            <v>6240.5436233289392</v>
          </cell>
          <cell r="H18">
            <v>481.79969724919795</v>
          </cell>
          <cell r="I18">
            <v>209.85414322357025</v>
          </cell>
        </row>
        <row r="19">
          <cell r="G19">
            <v>6561.8631875131541</v>
          </cell>
          <cell r="H19">
            <v>501.47556976256698</v>
          </cell>
          <cell r="I19">
            <v>219.8968657192375</v>
          </cell>
        </row>
        <row r="20">
          <cell r="G20">
            <v>6862.3027516973671</v>
          </cell>
          <cell r="H20">
            <v>523.15144227593601</v>
          </cell>
          <cell r="I20">
            <v>225.93958821490475</v>
          </cell>
        </row>
        <row r="21">
          <cell r="G21">
            <v>11608.671614942539</v>
          </cell>
          <cell r="H21">
            <v>769.11338794438518</v>
          </cell>
          <cell r="I21">
            <v>326.75179812824967</v>
          </cell>
        </row>
        <row r="22">
          <cell r="G22">
            <v>11863.351179126754</v>
          </cell>
          <cell r="H22">
            <v>788.78926045775415</v>
          </cell>
          <cell r="I22">
            <v>332.79452062391692</v>
          </cell>
        </row>
        <row r="23">
          <cell r="G23">
            <v>12380.389871679396</v>
          </cell>
          <cell r="H23">
            <v>816.21687799786105</v>
          </cell>
          <cell r="I23">
            <v>345.32268811091859</v>
          </cell>
        </row>
        <row r="24">
          <cell r="G24">
            <v>13675.172293361651</v>
          </cell>
          <cell r="H24">
            <v>888.10089767700561</v>
          </cell>
          <cell r="I24">
            <v>373.92560360485277</v>
          </cell>
        </row>
        <row r="25">
          <cell r="G25">
            <v>16975.292923633042</v>
          </cell>
          <cell r="H25">
            <v>1160.4142854844922</v>
          </cell>
          <cell r="I25">
            <v>441.18430613518206</v>
          </cell>
        </row>
        <row r="26">
          <cell r="G26">
            <v>17446.087935825366</v>
          </cell>
          <cell r="H26">
            <v>1273.8238803508025</v>
          </cell>
          <cell r="I26">
            <v>451.43316630849228</v>
          </cell>
        </row>
        <row r="27">
          <cell r="G27">
            <v>20523.524013483293</v>
          </cell>
          <cell r="H27">
            <v>1351.3214680807605</v>
          </cell>
          <cell r="I27">
            <v>557.61766876949753</v>
          </cell>
        </row>
        <row r="28">
          <cell r="G28">
            <v>21703.062614059894</v>
          </cell>
          <cell r="H28">
            <v>1463.995309364183</v>
          </cell>
          <cell r="I28">
            <v>567.57974682842303</v>
          </cell>
        </row>
        <row r="29">
          <cell r="G29">
            <v>22277.217626252215</v>
          </cell>
          <cell r="H29">
            <v>1487.4049042304932</v>
          </cell>
          <cell r="I29">
            <v>602.86409474880304</v>
          </cell>
        </row>
        <row r="30">
          <cell r="G30">
            <v>23414.904653050995</v>
          </cell>
          <cell r="H30">
            <v>1512.8144990968033</v>
          </cell>
          <cell r="I30">
            <v>613.1129549221132</v>
          </cell>
        </row>
        <row r="31">
          <cell r="G31">
            <v>30254.013670866134</v>
          </cell>
          <cell r="H31">
            <v>1806.3742066818299</v>
          </cell>
          <cell r="I31">
            <v>710.80155665521556</v>
          </cell>
        </row>
        <row r="32">
          <cell r="G32">
            <v>34271.285155646867</v>
          </cell>
          <cell r="H32">
            <v>1947.9063228026064</v>
          </cell>
          <cell r="I32">
            <v>784.84917557723759</v>
          </cell>
        </row>
        <row r="33">
          <cell r="G33">
            <v>39124.481088861627</v>
          </cell>
          <cell r="H33">
            <v>2161.9019797010023</v>
          </cell>
          <cell r="I33">
            <v>894.59010091519269</v>
          </cell>
        </row>
        <row r="34">
          <cell r="G34">
            <v>41570.869611964888</v>
          </cell>
          <cell r="H34">
            <v>2205.9237841929807</v>
          </cell>
          <cell r="I34">
            <v>908.19490146978535</v>
          </cell>
        </row>
        <row r="35">
          <cell r="G35">
            <v>44814.025931604563</v>
          </cell>
          <cell r="H35">
            <v>2394.9057615191837</v>
          </cell>
          <cell r="I35">
            <v>925.11559415609383</v>
          </cell>
        </row>
        <row r="36">
          <cell r="G36">
            <v>67758.113636818132</v>
          </cell>
          <cell r="H36">
            <v>3660.1411994100376</v>
          </cell>
          <cell r="I36">
            <v>1549.8439823709984</v>
          </cell>
        </row>
        <row r="37">
          <cell r="G37">
            <v>70388.479460097369</v>
          </cell>
          <cell r="H37">
            <v>3721.1970180196627</v>
          </cell>
          <cell r="I37">
            <v>1578.8095238614665</v>
          </cell>
        </row>
        <row r="38">
          <cell r="G38">
            <v>73240.213667732503</v>
          </cell>
          <cell r="H38">
            <v>3852.8588297899732</v>
          </cell>
          <cell r="I38">
            <v>1660.2081867384163</v>
          </cell>
        </row>
        <row r="39">
          <cell r="G39">
            <v>74472.864224849953</v>
          </cell>
          <cell r="H39">
            <v>4056.9146483995992</v>
          </cell>
          <cell r="I39">
            <v>1743.9068419785417</v>
          </cell>
        </row>
        <row r="40">
          <cell r="G40">
            <v>75644.69478196741</v>
          </cell>
          <cell r="H40">
            <v>4134.9704670092242</v>
          </cell>
          <cell r="I40">
            <v>1764.8723834690095</v>
          </cell>
        </row>
        <row r="41">
          <cell r="G41">
            <v>89536.868259014387</v>
          </cell>
          <cell r="H41">
            <v>4786.3707404637707</v>
          </cell>
          <cell r="I41">
            <v>2021.5451809733422</v>
          </cell>
        </row>
        <row r="42">
          <cell r="G42">
            <v>92570.87893324405</v>
          </cell>
          <cell r="H42">
            <v>4870.7630387483368</v>
          </cell>
          <cell r="I42">
            <v>2033.3438438502922</v>
          </cell>
        </row>
        <row r="43">
          <cell r="G43">
            <v>94248.346245816967</v>
          </cell>
          <cell r="H43">
            <v>4931.3249621707964</v>
          </cell>
          <cell r="I43">
            <v>2068.1873555314014</v>
          </cell>
        </row>
        <row r="44">
          <cell r="G44">
            <v>95428.053558389875</v>
          </cell>
          <cell r="H44">
            <v>5180.8868855932569</v>
          </cell>
          <cell r="I44">
            <v>2092.0308672125107</v>
          </cell>
        </row>
        <row r="45">
          <cell r="G45">
            <v>118334.14142972602</v>
          </cell>
          <cell r="H45">
            <v>5652.656439390048</v>
          </cell>
          <cell r="I45">
            <v>2526.2314600721293</v>
          </cell>
        </row>
        <row r="46">
          <cell r="G46">
            <v>137244.943246996</v>
          </cell>
          <cell r="H46">
            <v>6821.3370246306904</v>
          </cell>
          <cell r="I46">
            <v>2918.1434511986454</v>
          </cell>
        </row>
        <row r="47">
          <cell r="G47">
            <v>149991.62218277357</v>
          </cell>
          <cell r="H47">
            <v>7782.9253762286644</v>
          </cell>
          <cell r="I47">
            <v>3337.7980630535985</v>
          </cell>
        </row>
        <row r="48">
          <cell r="G48">
            <v>154093.59391503513</v>
          </cell>
          <cell r="H48">
            <v>7862.7195631805353</v>
          </cell>
          <cell r="I48">
            <v>3350.0746961211894</v>
          </cell>
        </row>
        <row r="49">
          <cell r="G49">
            <v>189594.53992629374</v>
          </cell>
          <cell r="H49">
            <v>9138.813636335617</v>
          </cell>
          <cell r="I49">
            <v>4193.3383512599557</v>
          </cell>
        </row>
        <row r="50">
          <cell r="G50">
            <v>196820.8327112594</v>
          </cell>
          <cell r="H50">
            <v>9280.3284718436371</v>
          </cell>
          <cell r="I50">
            <v>4232.2857209653284</v>
          </cell>
        </row>
        <row r="51">
          <cell r="G51">
            <v>202728.03798117922</v>
          </cell>
          <cell r="H51">
            <v>9837.2433073516586</v>
          </cell>
          <cell r="I51">
            <v>4295.6330906707008</v>
          </cell>
        </row>
        <row r="52">
          <cell r="G52">
            <v>208370.1140119326</v>
          </cell>
          <cell r="H52">
            <v>10273.34114757397</v>
          </cell>
          <cell r="I52">
            <v>4415.4631656793663</v>
          </cell>
        </row>
        <row r="53">
          <cell r="G53">
            <v>211557.85381872012</v>
          </cell>
          <cell r="H53">
            <v>10488.680402333328</v>
          </cell>
          <cell r="I53">
            <v>4480.7224161473041</v>
          </cell>
        </row>
        <row r="54">
          <cell r="G54">
            <v>219468.29362550762</v>
          </cell>
          <cell r="H54">
            <v>10930.619657092686</v>
          </cell>
          <cell r="I54">
            <v>4718.9816666152419</v>
          </cell>
        </row>
        <row r="55">
          <cell r="G55">
            <v>235456.7709216176</v>
          </cell>
          <cell r="H55">
            <v>11459.163837758215</v>
          </cell>
          <cell r="I55">
            <v>4780.5127495961779</v>
          </cell>
        </row>
        <row r="56">
          <cell r="G56">
            <v>237671.41072840517</v>
          </cell>
          <cell r="H56">
            <v>11979.453967963014</v>
          </cell>
          <cell r="I56">
            <v>4823.7720000641157</v>
          </cell>
        </row>
        <row r="57">
          <cell r="G57">
            <v>261059.5234864646</v>
          </cell>
          <cell r="H57">
            <v>12845.888941976045</v>
          </cell>
          <cell r="I57">
            <v>5488.303398178924</v>
          </cell>
        </row>
        <row r="58">
          <cell r="G58">
            <v>267939.95007059944</v>
          </cell>
          <cell r="H58">
            <v>13029.083128927916</v>
          </cell>
          <cell r="I58">
            <v>5502.980031246515</v>
          </cell>
        </row>
        <row r="59">
          <cell r="G59">
            <v>281852.69133114221</v>
          </cell>
          <cell r="H59">
            <v>13876.109904542889</v>
          </cell>
          <cell r="I59">
            <v>5783.8974363071738</v>
          </cell>
        </row>
        <row r="60">
          <cell r="G60">
            <v>284645.41491520707</v>
          </cell>
          <cell r="H60">
            <v>14032.979683366419</v>
          </cell>
          <cell r="I60">
            <v>5829.5465377283181</v>
          </cell>
        </row>
        <row r="61">
          <cell r="G61">
            <v>326860.96562238073</v>
          </cell>
          <cell r="H61">
            <v>16716.454802938606</v>
          </cell>
          <cell r="I61">
            <v>6755.5115107612473</v>
          </cell>
        </row>
        <row r="62">
          <cell r="G62">
            <v>328002.79220838676</v>
          </cell>
          <cell r="H62">
            <v>15422.155094703314</v>
          </cell>
          <cell r="I62">
            <v>6773.0661140194788</v>
          </cell>
        </row>
        <row r="63">
          <cell r="G63">
            <v>334606.44281427353</v>
          </cell>
          <cell r="H63">
            <v>16140.849292778181</v>
          </cell>
          <cell r="I63">
            <v>6856.0270962031891</v>
          </cell>
        </row>
        <row r="64">
          <cell r="G64">
            <v>347078.05342016026</v>
          </cell>
          <cell r="H64">
            <v>16892.064571580697</v>
          </cell>
          <cell r="I64">
            <v>7233.5880783868961</v>
          </cell>
        </row>
        <row r="65">
          <cell r="G65">
            <v>376208.9959744307</v>
          </cell>
          <cell r="H65">
            <v>17763.154493291928</v>
          </cell>
          <cell r="I65">
            <v>7661.7525034822174</v>
          </cell>
        </row>
        <row r="66">
          <cell r="G66">
            <v>410614.34805720428</v>
          </cell>
          <cell r="H66">
            <v>18718.811588165241</v>
          </cell>
          <cell r="I66">
            <v>8307.3546991527437</v>
          </cell>
        </row>
        <row r="67">
          <cell r="G67">
            <v>436347.32977722306</v>
          </cell>
          <cell r="H67">
            <v>18905.885148806956</v>
          </cell>
          <cell r="I67">
            <v>8396.5292938147904</v>
          </cell>
        </row>
        <row r="68">
          <cell r="G68">
            <v>448453.31636322918</v>
          </cell>
          <cell r="H68">
            <v>20550.862258603091</v>
          </cell>
          <cell r="I68">
            <v>8432.7247345080323</v>
          </cell>
        </row>
        <row r="69">
          <cell r="G69">
            <v>465970.94609075424</v>
          </cell>
          <cell r="H69">
            <v>21230.224913236347</v>
          </cell>
          <cell r="I69">
            <v>9020.471022981088</v>
          </cell>
        </row>
        <row r="70">
          <cell r="G70">
            <v>494895.01647376746</v>
          </cell>
          <cell r="H70">
            <v>22316.728728423514</v>
          </cell>
          <cell r="I70">
            <v>9389.6495635703432</v>
          </cell>
        </row>
        <row r="71">
          <cell r="G71">
            <v>540670.17366876814</v>
          </cell>
          <cell r="H71">
            <v>24003.965446284477</v>
          </cell>
          <cell r="I71">
            <v>10567.149455147466</v>
          </cell>
        </row>
        <row r="72">
          <cell r="G72">
            <v>558035.92151593859</v>
          </cell>
          <cell r="H72">
            <v>24828.456771204263</v>
          </cell>
          <cell r="I72">
            <v>10719.501801213324</v>
          </cell>
        </row>
        <row r="73">
          <cell r="G73">
            <v>576510.37372002378</v>
          </cell>
          <cell r="H73">
            <v>25679.060855910149</v>
          </cell>
          <cell r="I73">
            <v>10825.466246828575</v>
          </cell>
        </row>
        <row r="74">
          <cell r="G74">
            <v>603485.33600253961</v>
          </cell>
          <cell r="H74">
            <v>27395.19870746095</v>
          </cell>
          <cell r="I74">
            <v>11022.174226585941</v>
          </cell>
        </row>
        <row r="75">
          <cell r="G75">
            <v>625577.08603740181</v>
          </cell>
          <cell r="H75">
            <v>27988.078876469193</v>
          </cell>
          <cell r="I75">
            <v>11087.606800034813</v>
          </cell>
        </row>
        <row r="76">
          <cell r="G76">
            <v>667478.03294524993</v>
          </cell>
          <cell r="H76">
            <v>29875.535359372305</v>
          </cell>
          <cell r="I76">
            <v>12779.274530389408</v>
          </cell>
        </row>
        <row r="77">
          <cell r="G77">
            <v>701936.37919297884</v>
          </cell>
          <cell r="H77">
            <v>30430.388282580861</v>
          </cell>
          <cell r="I77">
            <v>12889.062737529788</v>
          </cell>
        </row>
        <row r="78">
          <cell r="G78">
            <v>704359.26253444038</v>
          </cell>
          <cell r="H78">
            <v>30580.594679158403</v>
          </cell>
          <cell r="I78">
            <v>12909.495310978662</v>
          </cell>
        </row>
        <row r="79">
          <cell r="G79">
            <v>730493.36839698756</v>
          </cell>
          <cell r="H79">
            <v>32233.827383101612</v>
          </cell>
          <cell r="I79">
            <v>13160.762694548854</v>
          </cell>
        </row>
        <row r="80">
          <cell r="G80">
            <v>735067.08166653838</v>
          </cell>
          <cell r="H80">
            <v>32491.104725561501</v>
          </cell>
          <cell r="I80">
            <v>13734.765224818027</v>
          </cell>
        </row>
        <row r="81">
          <cell r="G81">
            <v>813620.32693150372</v>
          </cell>
          <cell r="H81">
            <v>36488.266354652413</v>
          </cell>
          <cell r="I81">
            <v>16561.649884506067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AZ794"/>
  <sheetViews>
    <sheetView workbookViewId="0">
      <pane xSplit="10" ySplit="1" topLeftCell="R708" activePane="bottomRight" state="frozen"/>
      <selection pane="topRight" activeCell="K1" sqref="K1"/>
      <selection pane="bottomLeft" activeCell="A2" sqref="A2"/>
      <selection pane="bottomRight" activeCell="S746" sqref="S746"/>
    </sheetView>
  </sheetViews>
  <sheetFormatPr defaultRowHeight="13.5"/>
  <cols>
    <col min="1" max="1" width="16.625" customWidth="1"/>
    <col min="2" max="2" width="8.875" style="26" customWidth="1"/>
    <col min="3" max="3" width="10.25" customWidth="1"/>
    <col min="4" max="4" width="16" customWidth="1"/>
    <col min="5" max="6" width="13.375" style="26" customWidth="1"/>
    <col min="7" max="9" width="10.625" style="26" customWidth="1"/>
    <col min="10" max="10" width="18.625" customWidth="1"/>
    <col min="11" max="11" width="23" customWidth="1"/>
    <col min="12" max="12" width="15.875" customWidth="1"/>
    <col min="13" max="13" width="16.25" customWidth="1"/>
    <col min="14" max="14" width="34.625" customWidth="1"/>
    <col min="15" max="18" width="16.5" customWidth="1"/>
    <col min="19" max="19" width="13.5" customWidth="1"/>
    <col min="20" max="20" width="17.125" customWidth="1"/>
    <col min="21" max="21" width="17.625" customWidth="1"/>
    <col min="22" max="22" width="14.625" customWidth="1"/>
    <col min="23" max="23" width="10.5" customWidth="1"/>
    <col min="24" max="24" width="7.75" customWidth="1"/>
    <col min="25" max="25" width="8.375" customWidth="1"/>
    <col min="26" max="26" width="9.5" customWidth="1"/>
    <col min="27" max="27" width="9.75" customWidth="1"/>
    <col min="28" max="29" width="17.75" customWidth="1"/>
    <col min="30" max="30" width="9.875" customWidth="1"/>
    <col min="31" max="32" width="17.75" style="2" customWidth="1"/>
    <col min="33" max="33" width="17.75" style="52" customWidth="1"/>
    <col min="34" max="34" width="16" customWidth="1"/>
    <col min="36" max="36" width="15" bestFit="1" customWidth="1"/>
    <col min="37" max="37" width="10.75" customWidth="1"/>
    <col min="38" max="38" width="11.875" customWidth="1"/>
    <col min="39" max="39" width="11.625" bestFit="1" customWidth="1"/>
    <col min="41" max="41" width="12.125" bestFit="1" customWidth="1"/>
  </cols>
  <sheetData>
    <row r="1" spans="1:52" ht="14.25">
      <c r="A1" t="s">
        <v>299</v>
      </c>
      <c r="B1" s="51" t="s">
        <v>288</v>
      </c>
      <c r="C1" s="39" t="s">
        <v>283</v>
      </c>
      <c r="D1" s="39" t="s">
        <v>291</v>
      </c>
      <c r="E1" s="40" t="s">
        <v>287</v>
      </c>
      <c r="F1" s="40" t="s">
        <v>282</v>
      </c>
      <c r="G1" s="40" t="s">
        <v>289</v>
      </c>
      <c r="H1" s="40" t="s">
        <v>290</v>
      </c>
      <c r="I1" s="41" t="s">
        <v>96</v>
      </c>
      <c r="J1" s="23" t="s">
        <v>97</v>
      </c>
      <c r="K1" s="41" t="s">
        <v>328</v>
      </c>
      <c r="L1" s="23" t="s">
        <v>98</v>
      </c>
      <c r="M1" s="23" t="s">
        <v>99</v>
      </c>
      <c r="N1" s="24" t="s">
        <v>100</v>
      </c>
      <c r="O1" s="40" t="s">
        <v>286</v>
      </c>
      <c r="P1" s="23" t="s">
        <v>324</v>
      </c>
      <c r="Q1" s="23" t="s">
        <v>375</v>
      </c>
      <c r="R1" s="74" t="s">
        <v>353</v>
      </c>
      <c r="S1" s="23" t="s">
        <v>301</v>
      </c>
      <c r="T1" s="23" t="s">
        <v>101</v>
      </c>
      <c r="U1" s="23" t="s">
        <v>102</v>
      </c>
      <c r="V1" s="23" t="s">
        <v>103</v>
      </c>
      <c r="W1" s="24" t="s">
        <v>104</v>
      </c>
      <c r="X1" s="23" t="s">
        <v>105</v>
      </c>
      <c r="Y1" s="24" t="s">
        <v>106</v>
      </c>
      <c r="Z1" s="23" t="s">
        <v>107</v>
      </c>
      <c r="AA1" s="23" t="s">
        <v>108</v>
      </c>
      <c r="AB1" s="24" t="s">
        <v>354</v>
      </c>
      <c r="AC1" s="53" t="s">
        <v>355</v>
      </c>
      <c r="AD1" s="53" t="s">
        <v>404</v>
      </c>
      <c r="AE1" s="24" t="s">
        <v>326</v>
      </c>
      <c r="AF1" s="24" t="s">
        <v>325</v>
      </c>
      <c r="AG1" s="55" t="s">
        <v>327</v>
      </c>
      <c r="AH1" s="54" t="s">
        <v>315</v>
      </c>
      <c r="AJ1" s="13" t="s">
        <v>552</v>
      </c>
      <c r="AK1" s="13" t="s">
        <v>553</v>
      </c>
      <c r="AL1" s="13" t="s">
        <v>554</v>
      </c>
      <c r="AM1" s="99" t="s">
        <v>668</v>
      </c>
    </row>
    <row r="2" spans="1:52">
      <c r="A2" s="33" t="str">
        <f>怪物并表!$R$7</f>
        <v>普通副本</v>
      </c>
      <c r="B2" s="38">
        <v>1</v>
      </c>
      <c r="C2" s="33">
        <f t="shared" ref="C2:C101" si="0">F2*1000+G2</f>
        <v>1001</v>
      </c>
      <c r="D2" s="33">
        <v>1</v>
      </c>
      <c r="E2" s="33">
        <f>VLOOKUP(A2,怪物并表!$R$7:$S$14,2,FALSE)</f>
        <v>1</v>
      </c>
      <c r="F2" s="38">
        <v>1</v>
      </c>
      <c r="G2" s="38">
        <v>1</v>
      </c>
      <c r="H2" s="38">
        <v>1</v>
      </c>
      <c r="I2" s="33">
        <f t="shared" ref="I2:I101" si="1">SUM(E2*10^5,F2*10^4,G2*10^3,H2*10^2,B2)</f>
        <v>111101</v>
      </c>
      <c r="J2" s="33" t="s">
        <v>448</v>
      </c>
      <c r="K2" s="33"/>
      <c r="L2" s="33">
        <v>0</v>
      </c>
      <c r="M2" s="33">
        <v>1</v>
      </c>
      <c r="N2" s="33" t="s">
        <v>204</v>
      </c>
      <c r="O2" s="33">
        <v>1</v>
      </c>
      <c r="P2" s="33">
        <f>VLOOKUP($C2,CHOOSE({1,2},怪物并表!$E$7:$E$1000,怪物并表!$D$7:$D$1000),2,FALSE)</f>
        <v>2</v>
      </c>
      <c r="Q2" s="33" t="s">
        <v>367</v>
      </c>
      <c r="R2" s="33">
        <f>VLOOKUP(Q2,怪物信息配置表!$A$2:$B$118,2,FALSE)</f>
        <v>1008</v>
      </c>
      <c r="S2" s="33">
        <v>1</v>
      </c>
      <c r="T2" s="49">
        <f>VLOOKUP($C2,怪物并表!$E$7:$N$1000,2+($D2-1)*3,FALSE)*S2*AJ2</f>
        <v>496.57994441925592</v>
      </c>
      <c r="U2" s="49">
        <f>VLOOKUP($C2,怪物并表!$E$7:$N$1000,3+($D2-1)*3,FALSE)*S2*AK2</f>
        <v>28.884534412955468</v>
      </c>
      <c r="V2" s="49">
        <f>VLOOKUP($C2,怪物并表!$E$7:$N$1000,4+($D2-1)*3,FALSE)*S2*AL2</f>
        <v>23.040000000000003</v>
      </c>
      <c r="W2" s="33"/>
      <c r="X2" s="33"/>
      <c r="Y2" s="49">
        <f>VLOOKUP($C2,怪物并表!$E$7:$P$1000,12,FALSE)</f>
        <v>0</v>
      </c>
      <c r="Z2" s="49">
        <f>VLOOKUP($C2,怪物并表!$E$7:$P$1000,11,FALSE)*S2</f>
        <v>458.05599999999998</v>
      </c>
      <c r="AA2" s="33"/>
      <c r="AB2" s="33"/>
      <c r="AC2" s="33"/>
      <c r="AD2" s="33">
        <f>IF(D2=1,1,IF(D2=2,0.8,1.5))</f>
        <v>1</v>
      </c>
      <c r="AE2" s="2">
        <f t="shared" ref="AE2:AE65" si="2">MAX(VLOOKUP(Q2,怪物信息配置表,3,FALSE)-VLOOKUP(Q2,怪物信息配置表,5,FALSE)*P2*AD2,50)</f>
        <v>976.25</v>
      </c>
      <c r="AF2" s="2" t="str">
        <f>IF(ISBLANK(AM2),IF(O2=6,"",IF(O2=1,VLOOKUP(R2,怪物信息配置表!B:H,5,FALSE),IF(O2=2,VLOOKUP(R2,怪物信息配置表!B:H,6,FALSE),IF(OR(O2=3,O2=5),VLOOKUP(R2,怪物信息配置表!B:H,7,FALSE),"")))),AM2)</f>
        <v>ai_monster</v>
      </c>
      <c r="AG2" s="2"/>
      <c r="AH2" s="15">
        <f>SUMPRODUCT(T2:V2,$AN$3:$AP$3)+ROUNDDOWN(VLOOKUP(P2,CHOOSE({1,2},'[1]消耗&amp;价值&amp;分析'!$C$7:$C$106,'[1]消耗&amp;价值&amp;分析'!$AS$7:$AS$106),2,FALSE)*0.6,0)</f>
        <v>71.787732189725716</v>
      </c>
      <c r="AJ2" s="80">
        <v>1</v>
      </c>
      <c r="AK2" s="80">
        <v>1</v>
      </c>
      <c r="AL2" s="80">
        <v>1</v>
      </c>
      <c r="AN2" t="str">
        <f>[2]各种公式!C12</f>
        <v>生命</v>
      </c>
      <c r="AO2" t="str">
        <f>[2]各种公式!D12</f>
        <v>攻击</v>
      </c>
      <c r="AP2" t="str">
        <f>[2]各种公式!E12</f>
        <v>防御</v>
      </c>
      <c r="AQ2" t="str">
        <f>[2]各种公式!F12</f>
        <v>闪避值</v>
      </c>
      <c r="AR2" t="str">
        <f>[2]各种公式!G12</f>
        <v>命中值</v>
      </c>
      <c r="AS2" t="str">
        <f>[2]各种公式!H12</f>
        <v>暴击值</v>
      </c>
      <c r="AT2" t="str">
        <f>[2]各种公式!I12</f>
        <v>暴击倍数</v>
      </c>
      <c r="AU2" t="str">
        <f>[2]各种公式!J12</f>
        <v>韧性值</v>
      </c>
      <c r="AV2" t="str">
        <f>[2]各种公式!K12</f>
        <v>伤害减免</v>
      </c>
      <c r="AW2" t="str">
        <f>[2]各种公式!L12</f>
        <v>伤害加深</v>
      </c>
      <c r="AX2" t="str">
        <f>[2]各种公式!M12</f>
        <v>生命加成</v>
      </c>
      <c r="AY2" t="str">
        <f>[2]各种公式!N12</f>
        <v>攻击加成</v>
      </c>
      <c r="AZ2" t="str">
        <f>[2]各种公式!O12</f>
        <v>防御加成</v>
      </c>
    </row>
    <row r="3" spans="1:52">
      <c r="A3" s="33" t="str">
        <f>怪物并表!$R$7</f>
        <v>普通副本</v>
      </c>
      <c r="B3" s="38">
        <v>2</v>
      </c>
      <c r="C3" s="33">
        <f t="shared" si="0"/>
        <v>1001</v>
      </c>
      <c r="D3" s="33">
        <v>1</v>
      </c>
      <c r="E3" s="33">
        <f>VLOOKUP(A3,怪物并表!$R$7:$S$14,2,FALSE)</f>
        <v>1</v>
      </c>
      <c r="F3" s="38">
        <v>1</v>
      </c>
      <c r="G3" s="38">
        <v>1</v>
      </c>
      <c r="H3" s="38">
        <v>1</v>
      </c>
      <c r="I3" s="33">
        <f t="shared" si="1"/>
        <v>111102</v>
      </c>
      <c r="J3" s="33" t="s">
        <v>449</v>
      </c>
      <c r="K3" s="33"/>
      <c r="L3" s="33">
        <v>0</v>
      </c>
      <c r="M3" s="33">
        <v>1</v>
      </c>
      <c r="N3" s="33" t="s">
        <v>205</v>
      </c>
      <c r="O3" s="33">
        <v>1</v>
      </c>
      <c r="P3" s="33">
        <f>VLOOKUP($C3,CHOOSE({1,2},怪物并表!$E$7:$E$1000,怪物并表!$D$7:$D$1000),2,FALSE)</f>
        <v>2</v>
      </c>
      <c r="Q3" s="33" t="s">
        <v>7</v>
      </c>
      <c r="R3" s="33">
        <f>VLOOKUP(Q3,怪物信息配置表!$A$2:$B$118,2,FALSE)</f>
        <v>1002</v>
      </c>
      <c r="S3" s="33">
        <v>1</v>
      </c>
      <c r="T3" s="49">
        <f>VLOOKUP($C3,怪物并表!$E$7:$N$1000,2+($D3-1)*3,FALSE)*S3*AJ3</f>
        <v>496.57994441925592</v>
      </c>
      <c r="U3" s="49">
        <f>VLOOKUP($C3,怪物并表!$E$7:$N$1000,3+($D3-1)*3,FALSE)*S3*AK3</f>
        <v>28.884534412955468</v>
      </c>
      <c r="V3" s="49">
        <f>VLOOKUP($C3,怪物并表!$E$7:$N$1000,4+($D3-1)*3,FALSE)*S3*AL3</f>
        <v>23.040000000000003</v>
      </c>
      <c r="W3" s="33"/>
      <c r="X3" s="33"/>
      <c r="Y3" s="49">
        <f>VLOOKUP($C3,怪物并表!$E$7:$P$1000,12,FALSE)</f>
        <v>0</v>
      </c>
      <c r="Z3" s="49">
        <f>VLOOKUP($C3,怪物并表!$E$7:$P$1000,11,FALSE)*S3</f>
        <v>458.05599999999998</v>
      </c>
      <c r="AA3" s="33"/>
      <c r="AB3" s="33"/>
      <c r="AC3" s="33"/>
      <c r="AD3" s="33">
        <f t="shared" ref="AD3:AD100" si="3">IF(D3=1,1,IF(D3=2,0.8,1.5))</f>
        <v>1</v>
      </c>
      <c r="AE3" s="2">
        <f t="shared" si="2"/>
        <v>976.25</v>
      </c>
      <c r="AF3" s="2" t="str">
        <f>IF(ISBLANK(AM3),IF(O3=6,"",IF(O3=1,VLOOKUP(R3,怪物信息配置表!B:H,5,FALSE),IF(O3=2,VLOOKUP(R3,怪物信息配置表!B:H,6,FALSE),IF(OR(O3=3,O3=5),VLOOKUP(R3,怪物信息配置表!B:H,7,FALSE),"")))),AM3)</f>
        <v>ai_monster</v>
      </c>
      <c r="AG3" s="2"/>
      <c r="AH3" s="15">
        <f>SUMPRODUCT(T3:V3,$AN$3:$AP$3)+ROUNDDOWN(VLOOKUP(P3,CHOOSE({1,2},'[1]消耗&amp;价值&amp;分析'!$C$7:$C$106,'[1]消耗&amp;价值&amp;分析'!$AS$7:$AS$106),2,FALSE)*0.6,0)</f>
        <v>71.787732189725716</v>
      </c>
      <c r="AJ3" s="80">
        <v>1</v>
      </c>
      <c r="AK3" s="80">
        <v>1</v>
      </c>
      <c r="AL3" s="80">
        <v>1</v>
      </c>
      <c r="AN3">
        <f>[2]各种公式!C13</f>
        <v>0.04</v>
      </c>
      <c r="AO3">
        <f>[2]各种公式!D13</f>
        <v>1</v>
      </c>
      <c r="AP3">
        <f>[2]各种公式!E13</f>
        <v>1</v>
      </c>
      <c r="AQ3">
        <f>[2]各种公式!F13</f>
        <v>0.34</v>
      </c>
      <c r="AR3">
        <f>[2]各种公式!G13</f>
        <v>0.34</v>
      </c>
      <c r="AS3">
        <f>[2]各种公式!H13</f>
        <v>0.18</v>
      </c>
      <c r="AT3">
        <f>[2]各种公式!I13</f>
        <v>0.12</v>
      </c>
      <c r="AU3">
        <f>[2]各种公式!J13</f>
        <v>0.18</v>
      </c>
      <c r="AV3">
        <f>[2]各种公式!K13</f>
        <v>0.3</v>
      </c>
      <c r="AW3">
        <f>[2]各种公式!L13</f>
        <v>0.3</v>
      </c>
      <c r="AX3">
        <f>[2]各种公式!M13</f>
        <v>0.4</v>
      </c>
      <c r="AY3">
        <f>[2]各种公式!N13</f>
        <v>0.36</v>
      </c>
      <c r="AZ3">
        <f>[2]各种公式!O13</f>
        <v>0.24</v>
      </c>
    </row>
    <row r="4" spans="1:52">
      <c r="A4" s="33" t="str">
        <f>怪物并表!$R$7</f>
        <v>普通副本</v>
      </c>
      <c r="B4" s="38">
        <v>3</v>
      </c>
      <c r="C4" s="33">
        <f t="shared" si="0"/>
        <v>1001</v>
      </c>
      <c r="D4" s="33">
        <v>1</v>
      </c>
      <c r="E4" s="33">
        <f>VLOOKUP(A4,怪物并表!$R$7:$S$14,2,FALSE)</f>
        <v>1</v>
      </c>
      <c r="F4" s="38">
        <v>1</v>
      </c>
      <c r="G4" s="38">
        <v>1</v>
      </c>
      <c r="H4" s="38">
        <v>1</v>
      </c>
      <c r="I4" s="33">
        <f t="shared" si="1"/>
        <v>111103</v>
      </c>
      <c r="J4" s="33" t="s">
        <v>450</v>
      </c>
      <c r="K4" s="33"/>
      <c r="L4" s="33">
        <v>0</v>
      </c>
      <c r="M4" s="33">
        <v>1</v>
      </c>
      <c r="N4" s="33"/>
      <c r="O4" s="33">
        <v>1</v>
      </c>
      <c r="P4" s="33">
        <f>VLOOKUP($C4,CHOOSE({1,2},怪物并表!$E$7:$E$1000,怪物并表!$D$7:$D$1000),2,FALSE)</f>
        <v>2</v>
      </c>
      <c r="Q4" s="33" t="s">
        <v>367</v>
      </c>
      <c r="R4" s="33">
        <f>VLOOKUP(Q4,怪物信息配置表!$A$2:$B$118,2,FALSE)</f>
        <v>1008</v>
      </c>
      <c r="S4" s="33">
        <v>1</v>
      </c>
      <c r="T4" s="49">
        <f>VLOOKUP($C4,怪物并表!$E$7:$N$1000,2+($D4-1)*3,FALSE)*S4*AJ4</f>
        <v>496.57994441925592</v>
      </c>
      <c r="U4" s="49">
        <f>VLOOKUP($C4,怪物并表!$E$7:$N$1000,3+($D4-1)*3,FALSE)*S4*AK4</f>
        <v>28.884534412955468</v>
      </c>
      <c r="V4" s="49">
        <f>VLOOKUP($C4,怪物并表!$E$7:$N$1000,4+($D4-1)*3,FALSE)*S4*AL4</f>
        <v>23.040000000000003</v>
      </c>
      <c r="W4" s="33"/>
      <c r="X4" s="33"/>
      <c r="Y4" s="49">
        <f>VLOOKUP($C4,怪物并表!$E$7:$P$1000,12,FALSE)</f>
        <v>0</v>
      </c>
      <c r="Z4" s="49">
        <f>VLOOKUP($C4,怪物并表!$E$7:$P$1000,11,FALSE)*S4</f>
        <v>458.05599999999998</v>
      </c>
      <c r="AA4" s="33"/>
      <c r="AB4" s="33"/>
      <c r="AC4" s="33"/>
      <c r="AD4" s="33">
        <f t="shared" si="3"/>
        <v>1</v>
      </c>
      <c r="AE4" s="2">
        <f t="shared" si="2"/>
        <v>976.25</v>
      </c>
      <c r="AF4" s="2" t="str">
        <f>IF(ISBLANK(AM4),IF(O4=6,"",IF(O4=1,VLOOKUP(R4,怪物信息配置表!B:H,5,FALSE),IF(O4=2,VLOOKUP(R4,怪物信息配置表!B:H,6,FALSE),IF(OR(O4=3,O4=5),VLOOKUP(R4,怪物信息配置表!B:H,7,FALSE),"")))),AM4)</f>
        <v>ai_monster</v>
      </c>
      <c r="AG4" s="2"/>
      <c r="AH4" s="15">
        <f>SUMPRODUCT(T4:V4,$AN$3:$AP$3)+ROUNDDOWN(VLOOKUP(P4,CHOOSE({1,2},'[1]消耗&amp;价值&amp;分析'!$C$7:$C$106,'[1]消耗&amp;价值&amp;分析'!$AS$7:$AS$106),2,FALSE)*0.6,0)</f>
        <v>71.787732189725716</v>
      </c>
      <c r="AJ4" s="80">
        <v>1</v>
      </c>
      <c r="AK4" s="80">
        <v>1</v>
      </c>
      <c r="AL4" s="80">
        <v>1</v>
      </c>
    </row>
    <row r="5" spans="1:52">
      <c r="A5" s="33" t="str">
        <f>怪物并表!$R$7</f>
        <v>普通副本</v>
      </c>
      <c r="B5" s="38">
        <v>4</v>
      </c>
      <c r="C5" s="33">
        <f t="shared" si="0"/>
        <v>1001</v>
      </c>
      <c r="D5" s="33">
        <v>3</v>
      </c>
      <c r="E5" s="33">
        <f>VLOOKUP(A5,怪物并表!$R$7:$S$14,2,FALSE)</f>
        <v>1</v>
      </c>
      <c r="F5" s="38">
        <v>1</v>
      </c>
      <c r="G5" s="38">
        <v>1</v>
      </c>
      <c r="H5" s="38">
        <v>1</v>
      </c>
      <c r="I5" s="33">
        <f t="shared" si="1"/>
        <v>111104</v>
      </c>
      <c r="J5" s="33" t="s">
        <v>433</v>
      </c>
      <c r="K5" s="33"/>
      <c r="L5" s="33">
        <v>1</v>
      </c>
      <c r="M5" s="33">
        <v>1.2</v>
      </c>
      <c r="N5" s="33" t="s">
        <v>434</v>
      </c>
      <c r="O5" s="33">
        <v>3</v>
      </c>
      <c r="P5" s="33">
        <f>VLOOKUP($C5,CHOOSE({1,2},怪物并表!$E$7:$E$1000,怪物并表!$D$7:$D$1000),2,FALSE)</f>
        <v>2</v>
      </c>
      <c r="Q5" s="33" t="s">
        <v>560</v>
      </c>
      <c r="R5" s="33">
        <f>VLOOKUP(Q5,怪物信息配置表!$A$2:$B$118,2,FALSE)</f>
        <v>1110</v>
      </c>
      <c r="S5" s="33">
        <v>1</v>
      </c>
      <c r="T5" s="49">
        <f>VLOOKUP($C5,怪物并表!$E$7:$N$1000,2+($D5-1)*3,FALSE)*S5*AJ5</f>
        <v>1241.4498610481398</v>
      </c>
      <c r="U5" s="49">
        <f>VLOOKUP($C5,怪物并表!$E$7:$N$1000,3+($D5-1)*3,FALSE)*S5*AK5</f>
        <v>30.053441295546559</v>
      </c>
      <c r="V5" s="49">
        <f>VLOOKUP($C5,怪物并表!$E$7:$N$1000,4+($D5-1)*3,FALSE)*S5*AL5</f>
        <v>28.8</v>
      </c>
      <c r="W5" s="33"/>
      <c r="X5" s="33"/>
      <c r="Y5" s="49">
        <f>VLOOKUP($C5,怪物并表!$E$7:$P$1000,12,FALSE)</f>
        <v>0</v>
      </c>
      <c r="Z5" s="49">
        <f>VLOOKUP($C5,怪物并表!$E$7:$P$1000,11,FALSE)*S5</f>
        <v>458.05599999999998</v>
      </c>
      <c r="AA5" s="33"/>
      <c r="AB5" s="33"/>
      <c r="AC5" s="33"/>
      <c r="AD5" s="33">
        <f t="shared" si="3"/>
        <v>1.5</v>
      </c>
      <c r="AE5" s="2">
        <f t="shared" si="2"/>
        <v>483.125</v>
      </c>
      <c r="AF5" s="2" t="str">
        <f>IF(ISBLANK(AM5),IF(O5=6,"",IF(O5=1,VLOOKUP(R5,怪物信息配置表!B:H,5,FALSE),IF(O5=2,VLOOKUP(R5,怪物信息配置表!B:H,6,FALSE),IF(OR(O5=3,O5=5),VLOOKUP(R5,怪物信息配置表!B:H,7,FALSE),"")))),AM5)</f>
        <v>1110_babi_BOSS</v>
      </c>
      <c r="AG5" s="2"/>
      <c r="AH5" s="15">
        <f>SUMPRODUCT(T5:V5,$AN$3:$AP$3)+ROUNDDOWN(VLOOKUP(P5,CHOOSE({1,2},'[1]消耗&amp;价值&amp;分析'!$C$7:$C$106,'[1]消耗&amp;价值&amp;分析'!$AS$7:$AS$106),2,FALSE)*0.6,0)</f>
        <v>108.51143573747215</v>
      </c>
      <c r="AJ5" s="80">
        <v>1</v>
      </c>
      <c r="AK5" s="80">
        <v>1</v>
      </c>
      <c r="AL5" s="80">
        <v>1</v>
      </c>
    </row>
    <row r="6" spans="1:52" s="71" customFormat="1">
      <c r="A6" s="69" t="str">
        <f>怪物并表!$R$7</f>
        <v>普通副本</v>
      </c>
      <c r="B6" s="70">
        <v>8</v>
      </c>
      <c r="C6" s="69">
        <f t="shared" si="0"/>
        <v>1001</v>
      </c>
      <c r="D6" s="69">
        <v>1</v>
      </c>
      <c r="E6" s="69">
        <f>VLOOKUP(A6,怪物并表!$R$7:$S$14,2,FALSE)</f>
        <v>1</v>
      </c>
      <c r="F6" s="70">
        <v>1</v>
      </c>
      <c r="G6" s="70">
        <v>1</v>
      </c>
      <c r="H6" s="70">
        <v>1</v>
      </c>
      <c r="I6" s="33">
        <f t="shared" si="1"/>
        <v>111108</v>
      </c>
      <c r="J6" s="69" t="s">
        <v>208</v>
      </c>
      <c r="K6" s="69"/>
      <c r="L6" s="69">
        <v>1</v>
      </c>
      <c r="M6" s="69">
        <v>1</v>
      </c>
      <c r="N6" s="69" t="s">
        <v>209</v>
      </c>
      <c r="O6" s="69">
        <v>6</v>
      </c>
      <c r="P6" s="33">
        <f>VLOOKUP($C6,CHOOSE({1,2},怪物并表!$E$7:$E$1000,怪物并表!$D$7:$D$1000),2,FALSE)</f>
        <v>2</v>
      </c>
      <c r="Q6" s="33" t="s">
        <v>395</v>
      </c>
      <c r="R6" s="33">
        <f>VLOOKUP(Q6,怪物信息配置表!$A$2:$B$118,2,FALSE)</f>
        <v>2002</v>
      </c>
      <c r="S6" s="33">
        <v>1</v>
      </c>
      <c r="T6" s="49">
        <f>VLOOKUP($C6,怪物并表!$E$7:$N$1000,2+($D6-1)*3,FALSE)*S6*AJ6</f>
        <v>496.57994441925592</v>
      </c>
      <c r="U6" s="49">
        <f>VLOOKUP($C6,怪物并表!$E$7:$N$1000,3+($D6-1)*3,FALSE)*S6*AK6</f>
        <v>28.884534412955468</v>
      </c>
      <c r="V6" s="49">
        <f>VLOOKUP($C6,怪物并表!$E$7:$N$1000,4+($D6-1)*3,FALSE)*S6*AL6</f>
        <v>23.040000000000003</v>
      </c>
      <c r="W6" s="69"/>
      <c r="X6" s="69"/>
      <c r="Y6" s="49">
        <f>VLOOKUP($C6,怪物并表!$E$7:$P$1000,12,FALSE)</f>
        <v>0</v>
      </c>
      <c r="Z6" s="49">
        <f>VLOOKUP($C6,怪物并表!$E$7:$P$1000,11,FALSE)*S6</f>
        <v>458.05599999999998</v>
      </c>
      <c r="AA6" s="69"/>
      <c r="AB6" s="69"/>
      <c r="AC6" s="69"/>
      <c r="AD6" s="33">
        <f t="shared" si="3"/>
        <v>1</v>
      </c>
      <c r="AE6" s="2">
        <f t="shared" si="2"/>
        <v>976.25</v>
      </c>
      <c r="AF6" s="2" t="str">
        <f>IF(ISBLANK(AM6),IF(O6=6,"",IF(O6=1,VLOOKUP(R6,怪物信息配置表!B:H,5,FALSE),IF(O6=2,VLOOKUP(R6,怪物信息配置表!B:H,6,FALSE),IF(OR(O6=3,O6=5),VLOOKUP(R6,怪物信息配置表!B:H,7,FALSE),"")))),AM6)</f>
        <v/>
      </c>
      <c r="AG6" s="3"/>
      <c r="AH6" s="15">
        <f>SUMPRODUCT(T6:V6,$AN$3:$AP$3)+ROUNDDOWN(VLOOKUP(P6,CHOOSE({1,2},'[1]消耗&amp;价值&amp;分析'!$C$7:$C$106,'[1]消耗&amp;价值&amp;分析'!$AS$7:$AS$106),2,FALSE)*0.6,0)</f>
        <v>71.787732189725716</v>
      </c>
      <c r="AJ6" s="80">
        <v>1</v>
      </c>
      <c r="AK6" s="80">
        <v>1</v>
      </c>
      <c r="AL6" s="80">
        <v>1</v>
      </c>
    </row>
    <row r="7" spans="1:52" s="71" customFormat="1">
      <c r="A7" s="69" t="str">
        <f>怪物并表!$R$7</f>
        <v>普通副本</v>
      </c>
      <c r="B7" s="70">
        <v>9</v>
      </c>
      <c r="C7" s="69">
        <f t="shared" si="0"/>
        <v>1001</v>
      </c>
      <c r="D7" s="69">
        <v>1</v>
      </c>
      <c r="E7" s="69">
        <f>VLOOKUP(A7,怪物并表!$R$7:$S$14,2,FALSE)</f>
        <v>1</v>
      </c>
      <c r="F7" s="70">
        <v>1</v>
      </c>
      <c r="G7" s="70">
        <v>1</v>
      </c>
      <c r="H7" s="70">
        <v>1</v>
      </c>
      <c r="I7" s="33">
        <f t="shared" si="1"/>
        <v>111109</v>
      </c>
      <c r="J7" s="69" t="s">
        <v>451</v>
      </c>
      <c r="K7" s="69"/>
      <c r="L7" s="69">
        <v>1</v>
      </c>
      <c r="M7" s="69">
        <v>1</v>
      </c>
      <c r="N7" s="69" t="s">
        <v>210</v>
      </c>
      <c r="O7" s="69">
        <v>6</v>
      </c>
      <c r="P7" s="33">
        <f>VLOOKUP($C7,CHOOSE({1,2},怪物并表!$E$7:$E$1000,怪物并表!$D$7:$D$1000),2,FALSE)</f>
        <v>2</v>
      </c>
      <c r="Q7" s="33" t="s">
        <v>396</v>
      </c>
      <c r="R7" s="33">
        <f>VLOOKUP(Q7,怪物信息配置表!$A$2:$B$118,2,FALSE)</f>
        <v>2008</v>
      </c>
      <c r="S7" s="33">
        <v>1</v>
      </c>
      <c r="T7" s="49">
        <f>VLOOKUP($C7,怪物并表!$E$7:$N$1000,2+($D7-1)*3,FALSE)*S7*AJ7</f>
        <v>496.57994441925592</v>
      </c>
      <c r="U7" s="49">
        <f>VLOOKUP($C7,怪物并表!$E$7:$N$1000,3+($D7-1)*3,FALSE)*S7*AK7</f>
        <v>28.884534412955468</v>
      </c>
      <c r="V7" s="49">
        <f>VLOOKUP($C7,怪物并表!$E$7:$N$1000,4+($D7-1)*3,FALSE)*S7*AL7</f>
        <v>23.040000000000003</v>
      </c>
      <c r="W7" s="69"/>
      <c r="X7" s="69"/>
      <c r="Y7" s="49">
        <f>VLOOKUP($C7,怪物并表!$E$7:$P$1000,12,FALSE)</f>
        <v>0</v>
      </c>
      <c r="Z7" s="49">
        <f>VLOOKUP($C7,怪物并表!$E$7:$P$1000,11,FALSE)*S7</f>
        <v>458.05599999999998</v>
      </c>
      <c r="AA7" s="69"/>
      <c r="AB7" s="69"/>
      <c r="AC7" s="69"/>
      <c r="AD7" s="33">
        <f t="shared" si="3"/>
        <v>1</v>
      </c>
      <c r="AE7" s="2">
        <f t="shared" si="2"/>
        <v>976.25</v>
      </c>
      <c r="AF7" s="2" t="str">
        <f>IF(ISBLANK(AM7),IF(O7=6,"",IF(O7=1,VLOOKUP(R7,怪物信息配置表!B:H,5,FALSE),IF(O7=2,VLOOKUP(R7,怪物信息配置表!B:H,6,FALSE),IF(OR(O7=3,O7=5),VLOOKUP(R7,怪物信息配置表!B:H,7,FALSE),"")))),AM7)</f>
        <v/>
      </c>
      <c r="AG7" s="3"/>
      <c r="AH7" s="15">
        <f>SUMPRODUCT(T7:V7,$AN$3:$AP$3)+ROUNDDOWN(VLOOKUP(P7,CHOOSE({1,2},'[1]消耗&amp;价值&amp;分析'!$C$7:$C$106,'[1]消耗&amp;价值&amp;分析'!$AS$7:$AS$106),2,FALSE)*0.6,0)</f>
        <v>71.787732189725716</v>
      </c>
      <c r="AJ7" s="80">
        <v>1</v>
      </c>
      <c r="AK7" s="80">
        <v>1</v>
      </c>
      <c r="AL7" s="80">
        <v>1</v>
      </c>
    </row>
    <row r="8" spans="1:52" s="71" customFormat="1">
      <c r="A8" s="69" t="str">
        <f>怪物并表!$R$7</f>
        <v>普通副本</v>
      </c>
      <c r="B8" s="70">
        <v>5</v>
      </c>
      <c r="C8" s="69">
        <f t="shared" si="0"/>
        <v>1001</v>
      </c>
      <c r="D8" s="69">
        <v>3</v>
      </c>
      <c r="E8" s="69">
        <f>VLOOKUP(A8,怪物并表!$R$7:$S$14,2,FALSE)</f>
        <v>1</v>
      </c>
      <c r="F8" s="70">
        <v>1</v>
      </c>
      <c r="G8" s="70">
        <v>1</v>
      </c>
      <c r="H8" s="70">
        <v>1</v>
      </c>
      <c r="I8" s="33">
        <f t="shared" si="1"/>
        <v>111105</v>
      </c>
      <c r="J8" s="69" t="s">
        <v>452</v>
      </c>
      <c r="K8" s="69"/>
      <c r="L8" s="69">
        <v>0</v>
      </c>
      <c r="M8" s="69">
        <v>1.1000000000000001</v>
      </c>
      <c r="N8" s="69" t="s">
        <v>211</v>
      </c>
      <c r="O8" s="69">
        <v>5</v>
      </c>
      <c r="P8" s="33">
        <f>VLOOKUP($C8,CHOOSE({1,2},怪物并表!$E$7:$E$1000,怪物并表!$D$7:$D$1000),2,FALSE)</f>
        <v>2</v>
      </c>
      <c r="Q8" s="33" t="s">
        <v>397</v>
      </c>
      <c r="R8" s="33">
        <f>VLOOKUP(Q8,怪物信息配置表!$A$2:$B$118,2,FALSE)</f>
        <v>1107</v>
      </c>
      <c r="S8" s="33">
        <v>4</v>
      </c>
      <c r="T8" s="49">
        <f>VLOOKUP($C8,怪物并表!$E$7:$N$1000,2+($D8-1)*3,FALSE)*S8*AJ8</f>
        <v>4965.7994441925593</v>
      </c>
      <c r="U8" s="49">
        <f>VLOOKUP($C8,怪物并表!$E$7:$N$1000,3+($D8-1)*3,FALSE)*S8*AK8</f>
        <v>120.21376518218624</v>
      </c>
      <c r="V8" s="49">
        <f>VLOOKUP($C8,怪物并表!$E$7:$N$1000,4+($D8-1)*3,FALSE)*S8*AL8</f>
        <v>115.2</v>
      </c>
      <c r="W8" s="69"/>
      <c r="X8" s="69"/>
      <c r="Y8" s="49">
        <f>VLOOKUP($C8,怪物并表!$E$7:$P$1000,12,FALSE)</f>
        <v>0</v>
      </c>
      <c r="Z8" s="49">
        <f>VLOOKUP($C8,怪物并表!$E$7:$P$1000,11,FALSE)*S8</f>
        <v>1832.2239999999999</v>
      </c>
      <c r="AA8" s="69"/>
      <c r="AB8" s="69"/>
      <c r="AC8" s="69"/>
      <c r="AD8" s="75">
        <v>80</v>
      </c>
      <c r="AE8" s="2">
        <f t="shared" si="2"/>
        <v>50</v>
      </c>
      <c r="AF8" s="2" t="str">
        <f>IF(ISBLANK(AM8),IF(O8=6,"",IF(O8=1,VLOOKUP(R8,怪物信息配置表!B:H,5,FALSE),IF(O8=2,VLOOKUP(R8,怪物信息配置表!B:H,6,FALSE),IF(OR(O8=3,O8=5),VLOOKUP(R8,怪物信息配置表!B:H,7,FALSE),"")))),AM8)</f>
        <v>FADAI</v>
      </c>
      <c r="AG8" s="3"/>
      <c r="AH8" s="15">
        <f>SUMPRODUCT(T8:V8,$AN$3:$AP$3)+ROUNDDOWN(VLOOKUP(P8,CHOOSE({1,2},'[1]消耗&amp;价值&amp;分析'!$C$7:$C$106,'[1]消耗&amp;价值&amp;分析'!$AS$7:$AS$106),2,FALSE)*0.6,0)</f>
        <v>434.04574294988862</v>
      </c>
      <c r="AJ8" s="80">
        <v>1</v>
      </c>
      <c r="AK8" s="80">
        <v>1</v>
      </c>
      <c r="AL8" s="80">
        <v>1</v>
      </c>
      <c r="AM8" s="108" t="s">
        <v>697</v>
      </c>
    </row>
    <row r="9" spans="1:52" s="71" customFormat="1">
      <c r="A9" s="69" t="str">
        <f>怪物并表!$R$7</f>
        <v>普通副本</v>
      </c>
      <c r="B9" s="70">
        <v>6</v>
      </c>
      <c r="C9" s="69">
        <f t="shared" si="0"/>
        <v>1001</v>
      </c>
      <c r="D9" s="69">
        <v>3</v>
      </c>
      <c r="E9" s="69">
        <f>VLOOKUP(A9,怪物并表!$R$7:$S$14,2,FALSE)</f>
        <v>1</v>
      </c>
      <c r="F9" s="70">
        <v>1</v>
      </c>
      <c r="G9" s="70">
        <v>1</v>
      </c>
      <c r="H9" s="70">
        <v>1</v>
      </c>
      <c r="I9" s="33">
        <f t="shared" si="1"/>
        <v>111106</v>
      </c>
      <c r="J9" s="69" t="s">
        <v>453</v>
      </c>
      <c r="K9" s="69"/>
      <c r="L9" s="69">
        <v>0</v>
      </c>
      <c r="M9" s="69">
        <v>1.1000000000000001</v>
      </c>
      <c r="N9" s="69" t="s">
        <v>212</v>
      </c>
      <c r="O9" s="69">
        <v>5</v>
      </c>
      <c r="P9" s="33">
        <f>VLOOKUP($C9,CHOOSE({1,2},怪物并表!$E$7:$E$1000,怪物并表!$D$7:$D$1000),2,FALSE)</f>
        <v>2</v>
      </c>
      <c r="Q9" s="33" t="s">
        <v>398</v>
      </c>
      <c r="R9" s="33">
        <f>VLOOKUP(Q9,怪物信息配置表!$A$2:$B$118,2,FALSE)</f>
        <v>1108</v>
      </c>
      <c r="S9" s="33">
        <v>4</v>
      </c>
      <c r="T9" s="49">
        <f>VLOOKUP($C9,怪物并表!$E$7:$N$1000,2+($D9-1)*3,FALSE)*S9*AJ9</f>
        <v>4965.7994441925593</v>
      </c>
      <c r="U9" s="49">
        <f>VLOOKUP($C9,怪物并表!$E$7:$N$1000,3+($D9-1)*3,FALSE)*S9*AK9</f>
        <v>120.21376518218624</v>
      </c>
      <c r="V9" s="49">
        <f>VLOOKUP($C9,怪物并表!$E$7:$N$1000,4+($D9-1)*3,FALSE)*S9*AL9</f>
        <v>115.2</v>
      </c>
      <c r="W9" s="69"/>
      <c r="X9" s="69"/>
      <c r="Y9" s="49">
        <f>VLOOKUP($C9,怪物并表!$E$7:$P$1000,12,FALSE)</f>
        <v>0</v>
      </c>
      <c r="Z9" s="49">
        <f>VLOOKUP($C9,怪物并表!$E$7:$P$1000,11,FALSE)*S9</f>
        <v>1832.2239999999999</v>
      </c>
      <c r="AA9" s="69"/>
      <c r="AB9" s="69"/>
      <c r="AC9" s="69"/>
      <c r="AD9" s="75">
        <v>80</v>
      </c>
      <c r="AE9" s="2">
        <f t="shared" si="2"/>
        <v>50</v>
      </c>
      <c r="AF9" s="2" t="str">
        <f>IF(ISBLANK(AM9),IF(O9=6,"",IF(O9=1,VLOOKUP(R9,怪物信息配置表!B:H,5,FALSE),IF(O9=2,VLOOKUP(R9,怪物信息配置表!B:H,6,FALSE),IF(OR(O9=3,O9=5),VLOOKUP(R9,怪物信息配置表!B:H,7,FALSE),"")))),AM9)</f>
        <v>FADAI</v>
      </c>
      <c r="AG9" s="3"/>
      <c r="AH9" s="15">
        <f>SUMPRODUCT(T9:V9,$AN$3:$AP$3)+ROUNDDOWN(VLOOKUP(P9,CHOOSE({1,2},'[1]消耗&amp;价值&amp;分析'!$C$7:$C$106,'[1]消耗&amp;价值&amp;分析'!$AS$7:$AS$106),2,FALSE)*0.6,0)</f>
        <v>434.04574294988862</v>
      </c>
      <c r="AJ9" s="80">
        <v>1</v>
      </c>
      <c r="AK9" s="80">
        <v>1</v>
      </c>
      <c r="AL9" s="80">
        <v>1</v>
      </c>
      <c r="AM9" s="108" t="s">
        <v>697</v>
      </c>
    </row>
    <row r="10" spans="1:52" s="71" customFormat="1">
      <c r="A10" s="69" t="str">
        <f>怪物并表!$R$7</f>
        <v>普通副本</v>
      </c>
      <c r="B10" s="70">
        <v>7</v>
      </c>
      <c r="C10" s="69">
        <f t="shared" si="0"/>
        <v>1001</v>
      </c>
      <c r="D10" s="69">
        <v>3</v>
      </c>
      <c r="E10" s="69">
        <f>VLOOKUP(A10,怪物并表!$R$7:$S$14,2,FALSE)</f>
        <v>1</v>
      </c>
      <c r="F10" s="70">
        <v>1</v>
      </c>
      <c r="G10" s="70">
        <v>1</v>
      </c>
      <c r="H10" s="70">
        <v>1</v>
      </c>
      <c r="I10" s="33">
        <f t="shared" si="1"/>
        <v>111107</v>
      </c>
      <c r="J10" s="69" t="s">
        <v>206</v>
      </c>
      <c r="K10" s="69" t="s">
        <v>359</v>
      </c>
      <c r="L10" s="69">
        <v>0</v>
      </c>
      <c r="M10" s="69">
        <v>1.1000000000000001</v>
      </c>
      <c r="N10" s="69" t="s">
        <v>207</v>
      </c>
      <c r="O10" s="69">
        <v>5</v>
      </c>
      <c r="P10" s="33">
        <f>VLOOKUP($C10,CHOOSE({1,2},怪物并表!$E$7:$E$1000,怪物并表!$D$7:$D$1000),2,FALSE)</f>
        <v>2</v>
      </c>
      <c r="Q10" s="33" t="s">
        <v>206</v>
      </c>
      <c r="R10" s="33">
        <f>VLOOKUP(Q10,怪物信息配置表!$A$2:$B$118,2,FALSE)</f>
        <v>1109</v>
      </c>
      <c r="S10" s="33">
        <v>4</v>
      </c>
      <c r="T10" s="49">
        <f>VLOOKUP($C10,怪物并表!$E$7:$N$1000,2+($D10-1)*3,FALSE)*S10*AJ10</f>
        <v>4965.7994441925593</v>
      </c>
      <c r="U10" s="49">
        <f>VLOOKUP($C10,怪物并表!$E$7:$N$1000,3+($D10-1)*3,FALSE)*S10*AK10</f>
        <v>120.21376518218624</v>
      </c>
      <c r="V10" s="49">
        <f>VLOOKUP($C10,怪物并表!$E$7:$N$1000,4+($D10-1)*3,FALSE)*S10*AL10</f>
        <v>115.2</v>
      </c>
      <c r="W10" s="69"/>
      <c r="X10" s="69"/>
      <c r="Y10" s="49">
        <f>VLOOKUP($C10,怪物并表!$E$7:$P$1000,12,FALSE)</f>
        <v>0</v>
      </c>
      <c r="Z10" s="49">
        <f>VLOOKUP($C10,怪物并表!$E$7:$P$1000,11,FALSE)*S10</f>
        <v>1832.2239999999999</v>
      </c>
      <c r="AA10" s="69"/>
      <c r="AB10" s="69"/>
      <c r="AC10" s="69"/>
      <c r="AD10" s="75">
        <v>80</v>
      </c>
      <c r="AE10" s="2">
        <f t="shared" si="2"/>
        <v>50</v>
      </c>
      <c r="AF10" s="2" t="str">
        <f>IF(ISBLANK(AM10),IF(O10=6,"",IF(O10=1,VLOOKUP(R10,怪物信息配置表!B:H,5,FALSE),IF(O10=2,VLOOKUP(R10,怪物信息配置表!B:H,6,FALSE),IF(OR(O10=3,O10=5),VLOOKUP(R10,怪物信息配置表!B:H,7,FALSE),"")))),AM10)</f>
        <v>FADAI</v>
      </c>
      <c r="AG10" s="3"/>
      <c r="AH10" s="15">
        <f>SUMPRODUCT(T10:V10,$AN$3:$AP$3)+ROUNDDOWN(VLOOKUP(P10,CHOOSE({1,2},'[1]消耗&amp;价值&amp;分析'!$C$7:$C$106,'[1]消耗&amp;价值&amp;分析'!$AS$7:$AS$106),2,FALSE)*0.6,0)</f>
        <v>434.04574294988862</v>
      </c>
      <c r="AJ10" s="80">
        <v>1</v>
      </c>
      <c r="AK10" s="80">
        <v>1</v>
      </c>
      <c r="AL10" s="80">
        <v>1</v>
      </c>
      <c r="AM10" s="108" t="s">
        <v>697</v>
      </c>
    </row>
    <row r="11" spans="1:52" s="116" customFormat="1">
      <c r="A11" s="112" t="str">
        <f>怪物并表!$R$7</f>
        <v>普通副本</v>
      </c>
      <c r="B11" s="113">
        <v>10</v>
      </c>
      <c r="C11" s="112">
        <f t="shared" si="0"/>
        <v>1001</v>
      </c>
      <c r="D11" s="112">
        <v>3</v>
      </c>
      <c r="E11" s="112">
        <f>VLOOKUP(A11,怪物并表!$R$7:$S$14,2,FALSE)</f>
        <v>1</v>
      </c>
      <c r="F11" s="113">
        <v>1</v>
      </c>
      <c r="G11" s="113">
        <v>1</v>
      </c>
      <c r="H11" s="113">
        <v>1</v>
      </c>
      <c r="I11" s="109">
        <f t="shared" si="1"/>
        <v>111110</v>
      </c>
      <c r="J11" s="112" t="s">
        <v>16</v>
      </c>
      <c r="K11" s="112"/>
      <c r="L11" s="112">
        <v>1</v>
      </c>
      <c r="M11" s="112">
        <v>1.1000000000000001</v>
      </c>
      <c r="N11" s="112" t="s">
        <v>213</v>
      </c>
      <c r="O11" s="112">
        <v>3</v>
      </c>
      <c r="P11" s="109">
        <v>60</v>
      </c>
      <c r="Q11" s="109" t="s">
        <v>8</v>
      </c>
      <c r="R11" s="109">
        <f>VLOOKUP(Q11,怪物信息配置表!$A$2:$B$118,2,FALSE)</f>
        <v>1101</v>
      </c>
      <c r="S11" s="109">
        <v>25</v>
      </c>
      <c r="T11" s="110">
        <f>VLOOKUP($C11,怪物并表!$E$7:$N$1000,2+($D11-1)*3,FALSE)*S11*AJ11</f>
        <v>3103624.6526203495</v>
      </c>
      <c r="U11" s="110">
        <f>VLOOKUP($C11,怪物并表!$E$7:$N$1000,3+($D11-1)*3,FALSE)*S11*AK11</f>
        <v>751.33603238866397</v>
      </c>
      <c r="V11" s="110">
        <f>VLOOKUP($C11,怪物并表!$E$7:$N$1000,4+($D11-1)*3,FALSE)*S11*AL11</f>
        <v>720</v>
      </c>
      <c r="W11" s="112"/>
      <c r="X11" s="112"/>
      <c r="Y11" s="110">
        <f>VLOOKUP($C11,怪物并表!$E$7:$P$1000,12,FALSE)</f>
        <v>0</v>
      </c>
      <c r="Z11" s="49">
        <f>VLOOKUP($C11,怪物并表!$E$7:$P$1000,11,FALSE)*S11</f>
        <v>11451.4</v>
      </c>
      <c r="AA11" s="112"/>
      <c r="AB11" s="112"/>
      <c r="AC11" s="112"/>
      <c r="AD11" s="109">
        <f t="shared" si="3"/>
        <v>1.5</v>
      </c>
      <c r="AE11" s="111">
        <f t="shared" si="2"/>
        <v>50</v>
      </c>
      <c r="AF11" s="111" t="str">
        <f>IF(ISBLANK(AM11),IF(O11=6,"",IF(O11=1,VLOOKUP(R11,怪物信息配置表!B:H,5,FALSE),IF(O11=2,VLOOKUP(R11,怪物信息配置表!B:H,6,FALSE),IF(OR(O11=3,O11=5),VLOOKUP(R11,怪物信息配置表!B:H,7,FALSE),"")))),AM11)</f>
        <v>FADAI</v>
      </c>
      <c r="AG11" s="114"/>
      <c r="AH11" s="115">
        <f>SUMPRODUCT(T11:V11,$AN$3:$AP$3)+ROUNDDOWN(VLOOKUP(P11,CHOOSE({1,2},'[1]消耗&amp;价值&amp;分析'!$C$7:$C$106,'[1]消耗&amp;价值&amp;分析'!$AS$7:$AS$106),2,FALSE)*0.6,0)</f>
        <v>130396.32213720265</v>
      </c>
      <c r="AJ11" s="117">
        <v>100</v>
      </c>
      <c r="AK11" s="117">
        <v>1</v>
      </c>
      <c r="AL11" s="117">
        <v>1</v>
      </c>
      <c r="AM11" s="116" t="s">
        <v>697</v>
      </c>
    </row>
    <row r="12" spans="1:52" s="116" customFormat="1">
      <c r="A12" s="112" t="str">
        <f>怪物并表!$R$7</f>
        <v>普通副本</v>
      </c>
      <c r="B12" s="113">
        <v>11</v>
      </c>
      <c r="C12" s="112">
        <f t="shared" si="0"/>
        <v>1001</v>
      </c>
      <c r="D12" s="112">
        <v>1</v>
      </c>
      <c r="E12" s="112">
        <f>VLOOKUP(A12,怪物并表!$R$7:$S$14,2,FALSE)</f>
        <v>1</v>
      </c>
      <c r="F12" s="113">
        <v>1</v>
      </c>
      <c r="G12" s="113">
        <v>1</v>
      </c>
      <c r="H12" s="113">
        <v>1</v>
      </c>
      <c r="I12" s="109">
        <f t="shared" si="1"/>
        <v>111111</v>
      </c>
      <c r="J12" s="112" t="s">
        <v>449</v>
      </c>
      <c r="K12" s="112"/>
      <c r="L12" s="112">
        <v>0</v>
      </c>
      <c r="M12" s="112">
        <v>1</v>
      </c>
      <c r="N12" s="112" t="s">
        <v>205</v>
      </c>
      <c r="O12" s="112">
        <v>1</v>
      </c>
      <c r="P12" s="109">
        <f>VLOOKUP($C12,CHOOSE({1,2},怪物并表!$E$7:$E$1000,怪物并表!$D$7:$D$1000),2,FALSE)</f>
        <v>2</v>
      </c>
      <c r="Q12" s="109" t="s">
        <v>7</v>
      </c>
      <c r="R12" s="109">
        <f>VLOOKUP(Q12,怪物信息配置表!$A$2:$B$118,2,FALSE)</f>
        <v>1002</v>
      </c>
      <c r="S12" s="109">
        <v>1</v>
      </c>
      <c r="T12" s="110">
        <f>VLOOKUP($C12,怪物并表!$E$7:$N$1000,2+($D12-1)*3,FALSE)*S12*AJ12</f>
        <v>496.57994441925592</v>
      </c>
      <c r="U12" s="110">
        <f>VLOOKUP($C12,怪物并表!$E$7:$N$1000,3+($D12-1)*3,FALSE)*S12*AK12</f>
        <v>28.884534412955468</v>
      </c>
      <c r="V12" s="110">
        <f>VLOOKUP($C12,怪物并表!$E$7:$N$1000,4+($D12-1)*3,FALSE)*S12*AL12</f>
        <v>23.040000000000003</v>
      </c>
      <c r="W12" s="112"/>
      <c r="X12" s="112"/>
      <c r="Y12" s="110">
        <f>VLOOKUP($C12,怪物并表!$E$7:$P$1000,12,FALSE)</f>
        <v>0</v>
      </c>
      <c r="Z12" s="49">
        <f>VLOOKUP($C12,怪物并表!$E$7:$P$1000,11,FALSE)*S12</f>
        <v>458.05599999999998</v>
      </c>
      <c r="AA12" s="112"/>
      <c r="AB12" s="112"/>
      <c r="AC12" s="112"/>
      <c r="AD12" s="109">
        <f t="shared" si="3"/>
        <v>1</v>
      </c>
      <c r="AE12" s="111">
        <f t="shared" si="2"/>
        <v>976.25</v>
      </c>
      <c r="AF12" s="111" t="str">
        <f>IF(ISBLANK(AM12),IF(O12=6,"",IF(O12=1,VLOOKUP(R12,怪物信息配置表!B:H,5,FALSE),IF(O12=2,VLOOKUP(R12,怪物信息配置表!B:H,6,FALSE),IF(OR(O12=3,O12=5),VLOOKUP(R12,怪物信息配置表!B:H,7,FALSE),"")))),AM12)</f>
        <v>ai_monster</v>
      </c>
      <c r="AG12" s="114"/>
      <c r="AH12" s="115">
        <f>SUMPRODUCT(T12:V12,$AN$3:$AP$3)+ROUNDDOWN(VLOOKUP(P12,CHOOSE({1,2},'[1]消耗&amp;价值&amp;分析'!$C$7:$C$106,'[1]消耗&amp;价值&amp;分析'!$AS$7:$AS$106),2,FALSE)*0.6,0)</f>
        <v>71.787732189725716</v>
      </c>
      <c r="AJ12" s="117">
        <v>1</v>
      </c>
      <c r="AK12" s="117">
        <v>1</v>
      </c>
      <c r="AL12" s="117">
        <v>1</v>
      </c>
    </row>
    <row r="13" spans="1:52" s="116" customFormat="1">
      <c r="A13" s="112" t="str">
        <f>怪物并表!$R$7</f>
        <v>普通副本</v>
      </c>
      <c r="B13" s="113">
        <v>12</v>
      </c>
      <c r="C13" s="112">
        <f t="shared" si="0"/>
        <v>1001</v>
      </c>
      <c r="D13" s="112">
        <v>1</v>
      </c>
      <c r="E13" s="112">
        <f>VLOOKUP(A13,怪物并表!$R$7:$S$14,2,FALSE)</f>
        <v>1</v>
      </c>
      <c r="F13" s="113">
        <v>1</v>
      </c>
      <c r="G13" s="113">
        <v>1</v>
      </c>
      <c r="H13" s="113">
        <v>1</v>
      </c>
      <c r="I13" s="109">
        <f t="shared" si="1"/>
        <v>111112</v>
      </c>
      <c r="J13" s="112" t="s">
        <v>454</v>
      </c>
      <c r="K13" s="112"/>
      <c r="L13" s="112">
        <v>0</v>
      </c>
      <c r="M13" s="112">
        <v>1</v>
      </c>
      <c r="N13" s="112" t="s">
        <v>205</v>
      </c>
      <c r="O13" s="112">
        <v>1</v>
      </c>
      <c r="P13" s="109">
        <f>VLOOKUP($C13,CHOOSE({1,2},怪物并表!$E$7:$E$1000,怪物并表!$D$7:$D$1000),2,FALSE)</f>
        <v>2</v>
      </c>
      <c r="Q13" s="109" t="s">
        <v>7</v>
      </c>
      <c r="R13" s="109">
        <f>VLOOKUP(Q13,怪物信息配置表!$A$2:$B$118,2,FALSE)</f>
        <v>1002</v>
      </c>
      <c r="S13" s="109">
        <v>1</v>
      </c>
      <c r="T13" s="110">
        <f>VLOOKUP($C13,怪物并表!$E$7:$N$1000,2+($D13-1)*3,FALSE)*S13*AJ13</f>
        <v>496.57994441925592</v>
      </c>
      <c r="U13" s="110">
        <f>VLOOKUP($C13,怪物并表!$E$7:$N$1000,3+($D13-1)*3,FALSE)*S13*AK13</f>
        <v>28.884534412955468</v>
      </c>
      <c r="V13" s="110">
        <f>VLOOKUP($C13,怪物并表!$E$7:$N$1000,4+($D13-1)*3,FALSE)*S13*AL13</f>
        <v>23.040000000000003</v>
      </c>
      <c r="W13" s="112"/>
      <c r="X13" s="112"/>
      <c r="Y13" s="110">
        <f>VLOOKUP($C13,怪物并表!$E$7:$P$1000,12,FALSE)</f>
        <v>0</v>
      </c>
      <c r="Z13" s="49">
        <f>VLOOKUP($C13,怪物并表!$E$7:$P$1000,11,FALSE)*S13</f>
        <v>458.05599999999998</v>
      </c>
      <c r="AA13" s="112"/>
      <c r="AB13" s="112"/>
      <c r="AC13" s="112"/>
      <c r="AD13" s="109">
        <f t="shared" si="3"/>
        <v>1</v>
      </c>
      <c r="AE13" s="111">
        <f t="shared" si="2"/>
        <v>976.25</v>
      </c>
      <c r="AF13" s="111" t="str">
        <f>IF(ISBLANK(AM13),IF(O13=6,"",IF(O13=1,VLOOKUP(R13,怪物信息配置表!B:H,5,FALSE),IF(O13=2,VLOOKUP(R13,怪物信息配置表!B:H,6,FALSE),IF(OR(O13=3,O13=5),VLOOKUP(R13,怪物信息配置表!B:H,7,FALSE),"")))),AM13)</f>
        <v>ai_monster</v>
      </c>
      <c r="AG13" s="114"/>
      <c r="AH13" s="115">
        <f>SUMPRODUCT(T13:V13,$AN$3:$AP$3)+ROUNDDOWN(VLOOKUP(P13,CHOOSE({1,2},'[1]消耗&amp;价值&amp;分析'!$C$7:$C$106,'[1]消耗&amp;价值&amp;分析'!$AS$7:$AS$106),2,FALSE)*0.6,0)</f>
        <v>71.787732189725716</v>
      </c>
      <c r="AJ13" s="117">
        <v>1</v>
      </c>
      <c r="AK13" s="117">
        <v>1</v>
      </c>
      <c r="AL13" s="117">
        <v>1</v>
      </c>
    </row>
    <row r="14" spans="1:52" s="116" customFormat="1">
      <c r="A14" s="112" t="str">
        <f>怪物并表!$R$7</f>
        <v>普通副本</v>
      </c>
      <c r="B14" s="113">
        <v>13</v>
      </c>
      <c r="C14" s="112">
        <f t="shared" si="0"/>
        <v>1001</v>
      </c>
      <c r="D14" s="112">
        <v>1</v>
      </c>
      <c r="E14" s="112">
        <f>VLOOKUP(A14,怪物并表!$R$7:$S$14,2,FALSE)</f>
        <v>1</v>
      </c>
      <c r="F14" s="113">
        <v>1</v>
      </c>
      <c r="G14" s="113">
        <v>1</v>
      </c>
      <c r="H14" s="113">
        <v>1</v>
      </c>
      <c r="I14" s="109">
        <f t="shared" si="1"/>
        <v>111113</v>
      </c>
      <c r="J14" s="112" t="s">
        <v>449</v>
      </c>
      <c r="K14" s="112"/>
      <c r="L14" s="112">
        <v>0</v>
      </c>
      <c r="M14" s="112">
        <v>1</v>
      </c>
      <c r="N14" s="112" t="s">
        <v>205</v>
      </c>
      <c r="O14" s="112">
        <v>1</v>
      </c>
      <c r="P14" s="109">
        <f>VLOOKUP($C14,CHOOSE({1,2},怪物并表!$E$7:$E$1000,怪物并表!$D$7:$D$1000),2,FALSE)</f>
        <v>2</v>
      </c>
      <c r="Q14" s="109" t="s">
        <v>7</v>
      </c>
      <c r="R14" s="109">
        <f>VLOOKUP(Q14,怪物信息配置表!$A$2:$B$118,2,FALSE)</f>
        <v>1002</v>
      </c>
      <c r="S14" s="109">
        <v>1</v>
      </c>
      <c r="T14" s="110">
        <f>VLOOKUP($C14,怪物并表!$E$7:$N$1000,2+($D14-1)*3,FALSE)*S14*AJ14</f>
        <v>496.57994441925592</v>
      </c>
      <c r="U14" s="110">
        <f>VLOOKUP($C14,怪物并表!$E$7:$N$1000,3+($D14-1)*3,FALSE)*S14*AK14</f>
        <v>28.884534412955468</v>
      </c>
      <c r="V14" s="110">
        <f>VLOOKUP($C14,怪物并表!$E$7:$N$1000,4+($D14-1)*3,FALSE)*S14*AL14</f>
        <v>23.040000000000003</v>
      </c>
      <c r="W14" s="112"/>
      <c r="X14" s="112"/>
      <c r="Y14" s="110">
        <f>VLOOKUP($C14,怪物并表!$E$7:$P$1000,12,FALSE)</f>
        <v>0</v>
      </c>
      <c r="Z14" s="49">
        <f>VLOOKUP($C14,怪物并表!$E$7:$P$1000,11,FALSE)*S14</f>
        <v>458.05599999999998</v>
      </c>
      <c r="AA14" s="112"/>
      <c r="AB14" s="112"/>
      <c r="AC14" s="112"/>
      <c r="AD14" s="109">
        <f t="shared" si="3"/>
        <v>1</v>
      </c>
      <c r="AE14" s="111">
        <f t="shared" si="2"/>
        <v>976.25</v>
      </c>
      <c r="AF14" s="111" t="str">
        <f>IF(ISBLANK(AM14),IF(O14=6,"",IF(O14=1,VLOOKUP(R14,怪物信息配置表!B:H,5,FALSE),IF(O14=2,VLOOKUP(R14,怪物信息配置表!B:H,6,FALSE),IF(OR(O14=3,O14=5),VLOOKUP(R14,怪物信息配置表!B:H,7,FALSE),"")))),AM14)</f>
        <v>ai_monster</v>
      </c>
      <c r="AG14" s="114"/>
      <c r="AH14" s="115">
        <f>SUMPRODUCT(T14:V14,$AN$3:$AP$3)+ROUNDDOWN(VLOOKUP(P14,CHOOSE({1,2},'[1]消耗&amp;价值&amp;分析'!$C$7:$C$106,'[1]消耗&amp;价值&amp;分析'!$AS$7:$AS$106),2,FALSE)*0.6,0)</f>
        <v>71.787732189725716</v>
      </c>
      <c r="AJ14" s="117">
        <v>1</v>
      </c>
      <c r="AK14" s="117">
        <v>1</v>
      </c>
      <c r="AL14" s="117">
        <v>1</v>
      </c>
    </row>
    <row r="15" spans="1:52" s="116" customFormat="1">
      <c r="A15" s="112" t="str">
        <f>怪物并表!$R$7</f>
        <v>普通副本</v>
      </c>
      <c r="B15" s="113">
        <v>14</v>
      </c>
      <c r="C15" s="112">
        <v>1010</v>
      </c>
      <c r="D15" s="112">
        <v>1</v>
      </c>
      <c r="E15" s="112">
        <f>VLOOKUP(A15,怪物并表!$R$7:$S$14,2,FALSE)</f>
        <v>1</v>
      </c>
      <c r="F15" s="113">
        <v>1</v>
      </c>
      <c r="G15" s="113">
        <v>1</v>
      </c>
      <c r="H15" s="113">
        <v>1</v>
      </c>
      <c r="I15" s="109">
        <f t="shared" si="1"/>
        <v>111114</v>
      </c>
      <c r="J15" s="112" t="s">
        <v>448</v>
      </c>
      <c r="K15" s="112" t="s">
        <v>357</v>
      </c>
      <c r="L15" s="112">
        <v>0</v>
      </c>
      <c r="M15" s="112">
        <v>1</v>
      </c>
      <c r="N15" s="112" t="s">
        <v>205</v>
      </c>
      <c r="O15" s="112">
        <v>1</v>
      </c>
      <c r="P15" s="109">
        <f>VLOOKUP($C15,CHOOSE({1,2},怪物并表!$E$7:$E$1000,怪物并表!$D$7:$D$1000),2,FALSE)</f>
        <v>1</v>
      </c>
      <c r="Q15" s="109" t="s">
        <v>367</v>
      </c>
      <c r="R15" s="109">
        <f>VLOOKUP(Q15,怪物信息配置表!$A$2:$B$118,2,FALSE)</f>
        <v>1008</v>
      </c>
      <c r="S15" s="109">
        <v>1</v>
      </c>
      <c r="T15" s="110">
        <f>VLOOKUP($C15,怪物并表!$E$7:$N$1000,2+($D15-1)*3,FALSE)*S15*AJ15</f>
        <v>401.24700000000007</v>
      </c>
      <c r="U15" s="110">
        <f>VLOOKUP($C15,怪物并表!$E$7:$N$1000,3+($D15-1)*3,FALSE)*S15*AK15</f>
        <v>26.106519114688133</v>
      </c>
      <c r="V15" s="110">
        <f>VLOOKUP($C15,怪物并表!$E$7:$N$1000,4+($D15-1)*3,FALSE)*S15*AL15</f>
        <v>21.120000000000005</v>
      </c>
      <c r="W15" s="112"/>
      <c r="X15" s="112"/>
      <c r="Y15" s="110">
        <f>VLOOKUP($C15,怪物并表!$E$7:$P$1000,12,FALSE)</f>
        <v>0</v>
      </c>
      <c r="Z15" s="49">
        <f>VLOOKUP($C15,怪物并表!$E$7:$P$1000,11,FALSE)*S15</f>
        <v>399.82799999999997</v>
      </c>
      <c r="AA15" s="112"/>
      <c r="AB15" s="112"/>
      <c r="AC15" s="112"/>
      <c r="AD15" s="109">
        <f t="shared" si="3"/>
        <v>1</v>
      </c>
      <c r="AE15" s="111">
        <f t="shared" si="2"/>
        <v>988.125</v>
      </c>
      <c r="AF15" s="111" t="str">
        <f>IF(ISBLANK(AM15),IF(O15=6,"",IF(O15=1,VLOOKUP(R15,怪物信息配置表!B:H,5,FALSE),IF(O15=2,VLOOKUP(R15,怪物信息配置表!B:H,6,FALSE),IF(OR(O15=3,O15=5),VLOOKUP(R15,怪物信息配置表!B:H,7,FALSE),"")))),AM15)</f>
        <v>ai_monster</v>
      </c>
      <c r="AG15" s="114"/>
      <c r="AH15" s="115">
        <f>SUMPRODUCT(T15:V15,$AN$3:$AP$3)+ROUNDDOWN(VLOOKUP(P15,CHOOSE({1,2},'[1]消耗&amp;价值&amp;分析'!$C$7:$C$106,'[1]消耗&amp;价值&amp;分析'!$AS$7:$AS$106),2,FALSE)*0.6,0)</f>
        <v>63.276399114688139</v>
      </c>
      <c r="AJ15" s="117">
        <v>1</v>
      </c>
      <c r="AK15" s="117">
        <v>1</v>
      </c>
      <c r="AL15" s="117">
        <v>1</v>
      </c>
    </row>
    <row r="16" spans="1:52" s="116" customFormat="1">
      <c r="A16" s="112" t="str">
        <f>怪物并表!$R$7</f>
        <v>普通副本</v>
      </c>
      <c r="B16" s="113">
        <v>15</v>
      </c>
      <c r="C16" s="112">
        <v>1010</v>
      </c>
      <c r="D16" s="112">
        <v>1</v>
      </c>
      <c r="E16" s="112">
        <f>VLOOKUP(A16,怪物并表!$R$7:$S$14,2,FALSE)</f>
        <v>1</v>
      </c>
      <c r="F16" s="113">
        <v>1</v>
      </c>
      <c r="G16" s="113">
        <v>1</v>
      </c>
      <c r="H16" s="113">
        <v>1</v>
      </c>
      <c r="I16" s="109">
        <f t="shared" si="1"/>
        <v>111115</v>
      </c>
      <c r="J16" s="112" t="s">
        <v>449</v>
      </c>
      <c r="K16" s="112" t="s">
        <v>357</v>
      </c>
      <c r="L16" s="112">
        <v>0</v>
      </c>
      <c r="M16" s="112">
        <v>1</v>
      </c>
      <c r="N16" s="112" t="s">
        <v>205</v>
      </c>
      <c r="O16" s="112">
        <v>1</v>
      </c>
      <c r="P16" s="109">
        <f>VLOOKUP($C16,CHOOSE({1,2},怪物并表!$E$7:$E$1000,怪物并表!$D$7:$D$1000),2,FALSE)</f>
        <v>1</v>
      </c>
      <c r="Q16" s="109" t="s">
        <v>7</v>
      </c>
      <c r="R16" s="109">
        <f>VLOOKUP(Q16,怪物信息配置表!$A$2:$B$118,2,FALSE)</f>
        <v>1002</v>
      </c>
      <c r="S16" s="109">
        <v>1</v>
      </c>
      <c r="T16" s="110">
        <f>VLOOKUP($C16,怪物并表!$E$7:$N$1000,2+($D16-1)*3,FALSE)*S16*AJ16</f>
        <v>401.24700000000007</v>
      </c>
      <c r="U16" s="110">
        <f>VLOOKUP($C16,怪物并表!$E$7:$N$1000,3+($D16-1)*3,FALSE)*S16*AK16</f>
        <v>26.106519114688133</v>
      </c>
      <c r="V16" s="110">
        <f>VLOOKUP($C16,怪物并表!$E$7:$N$1000,4+($D16-1)*3,FALSE)*S16*AL16</f>
        <v>21.120000000000005</v>
      </c>
      <c r="W16" s="112"/>
      <c r="X16" s="112"/>
      <c r="Y16" s="110">
        <f>VLOOKUP($C16,怪物并表!$E$7:$P$1000,12,FALSE)</f>
        <v>0</v>
      </c>
      <c r="Z16" s="49">
        <f>VLOOKUP($C16,怪物并表!$E$7:$P$1000,11,FALSE)*S16</f>
        <v>399.82799999999997</v>
      </c>
      <c r="AA16" s="112"/>
      <c r="AB16" s="112"/>
      <c r="AC16" s="112"/>
      <c r="AD16" s="109">
        <f t="shared" si="3"/>
        <v>1</v>
      </c>
      <c r="AE16" s="111">
        <f t="shared" si="2"/>
        <v>988.125</v>
      </c>
      <c r="AF16" s="111" t="str">
        <f>IF(ISBLANK(AM16),IF(O16=6,"",IF(O16=1,VLOOKUP(R16,怪物信息配置表!B:H,5,FALSE),IF(O16=2,VLOOKUP(R16,怪物信息配置表!B:H,6,FALSE),IF(OR(O16=3,O16=5),VLOOKUP(R16,怪物信息配置表!B:H,7,FALSE),"")))),AM16)</f>
        <v>ai_monster</v>
      </c>
      <c r="AG16" s="114"/>
      <c r="AH16" s="115">
        <f>SUMPRODUCT(T16:V16,$AN$3:$AP$3)+ROUNDDOWN(VLOOKUP(P16,CHOOSE({1,2},'[1]消耗&amp;价值&amp;分析'!$C$7:$C$106,'[1]消耗&amp;价值&amp;分析'!$AS$7:$AS$106),2,FALSE)*0.6,0)</f>
        <v>63.276399114688139</v>
      </c>
      <c r="AJ16" s="117">
        <v>1</v>
      </c>
      <c r="AK16" s="117">
        <v>1</v>
      </c>
      <c r="AL16" s="117">
        <v>1</v>
      </c>
    </row>
    <row r="17" spans="1:40" s="116" customFormat="1">
      <c r="A17" s="112" t="str">
        <f>怪物并表!$R$7</f>
        <v>普通副本</v>
      </c>
      <c r="B17" s="113">
        <v>16</v>
      </c>
      <c r="C17" s="112">
        <f t="shared" ref="C17:C19" si="4">F17*1000+G17</f>
        <v>1001</v>
      </c>
      <c r="D17" s="112">
        <v>3</v>
      </c>
      <c r="E17" s="112">
        <f>VLOOKUP(A17,怪物并表!$R$7:$S$14,2,FALSE)</f>
        <v>1</v>
      </c>
      <c r="F17" s="113">
        <v>1</v>
      </c>
      <c r="G17" s="113">
        <v>1</v>
      </c>
      <c r="H17" s="113">
        <v>1</v>
      </c>
      <c r="I17" s="109">
        <f t="shared" si="1"/>
        <v>111116</v>
      </c>
      <c r="J17" s="112" t="s">
        <v>724</v>
      </c>
      <c r="K17" s="112"/>
      <c r="L17" s="112">
        <v>0</v>
      </c>
      <c r="M17" s="112">
        <v>1.1000000000000001</v>
      </c>
      <c r="N17" s="112" t="s">
        <v>211</v>
      </c>
      <c r="O17" s="112">
        <v>5</v>
      </c>
      <c r="P17" s="109">
        <v>60</v>
      </c>
      <c r="Q17" s="109" t="s">
        <v>727</v>
      </c>
      <c r="R17" s="109">
        <f>VLOOKUP(Q17,怪物信息配置表!$A$2:$B$118,2,FALSE)</f>
        <v>11</v>
      </c>
      <c r="S17" s="109">
        <v>25</v>
      </c>
      <c r="T17" s="110">
        <f>VLOOKUP($C17,怪物并表!$E$7:$N$1000,2+($D17-1)*3,FALSE)*S17*AJ17</f>
        <v>1551812.3263101748</v>
      </c>
      <c r="U17" s="110">
        <f>VLOOKUP($C17,怪物并表!$E$7:$N$1000,3+($D17-1)*3,FALSE)*S17*AK17</f>
        <v>71376.923076923078</v>
      </c>
      <c r="V17" s="110">
        <f>VLOOKUP($C17,怪物并表!$E$7:$N$1000,4+($D17-1)*3,FALSE)*S17*AL17</f>
        <v>720</v>
      </c>
      <c r="W17" s="112"/>
      <c r="X17" s="112"/>
      <c r="Y17" s="110">
        <f>VLOOKUP($C17,怪物并表!$E$7:$P$1000,12,FALSE)</f>
        <v>0</v>
      </c>
      <c r="Z17" s="49">
        <f>VLOOKUP($C17,怪物并表!$E$7:$P$1000,11,FALSE)*S17</f>
        <v>11451.4</v>
      </c>
      <c r="AA17" s="112"/>
      <c r="AB17" s="112"/>
      <c r="AC17" s="112"/>
      <c r="AD17" s="118">
        <v>80</v>
      </c>
      <c r="AE17" s="111">
        <f t="shared" si="2"/>
        <v>50</v>
      </c>
      <c r="AF17" s="111" t="str">
        <f>IF(ISBLANK(AM17),IF(O17=6,"",IF(O17=1,VLOOKUP(R17,怪物信息配置表!B:H,5,FALSE),IF(O17=2,VLOOKUP(R17,怪物信息配置表!B:H,6,FALSE),IF(OR(O17=3,O17=5),VLOOKUP(R17,怪物信息配置表!B:H,7,FALSE),"")))),AM17)</f>
        <v>xinshou_DZ</v>
      </c>
      <c r="AG17" s="114"/>
      <c r="AH17" s="115">
        <f>SUMPRODUCT(T17:V17,$AN$3:$AP$3)+ROUNDDOWN(VLOOKUP(P17,CHOOSE({1,2},'[1]消耗&amp;价值&amp;分析'!$C$7:$C$106,'[1]消耗&amp;价值&amp;分析'!$AS$7:$AS$106),2,FALSE)*0.6,0)</f>
        <v>138949.41612933006</v>
      </c>
      <c r="AJ17" s="117">
        <v>50</v>
      </c>
      <c r="AK17" s="117">
        <v>95</v>
      </c>
      <c r="AL17" s="117">
        <v>1</v>
      </c>
    </row>
    <row r="18" spans="1:40" s="116" customFormat="1">
      <c r="A18" s="112" t="str">
        <f>怪物并表!$R$7</f>
        <v>普通副本</v>
      </c>
      <c r="B18" s="113">
        <v>17</v>
      </c>
      <c r="C18" s="112">
        <f t="shared" si="4"/>
        <v>1001</v>
      </c>
      <c r="D18" s="112">
        <v>3</v>
      </c>
      <c r="E18" s="112">
        <f>VLOOKUP(A18,怪物并表!$R$7:$S$14,2,FALSE)</f>
        <v>1</v>
      </c>
      <c r="F18" s="113">
        <v>1</v>
      </c>
      <c r="G18" s="113">
        <v>1</v>
      </c>
      <c r="H18" s="113">
        <v>1</v>
      </c>
      <c r="I18" s="109">
        <f t="shared" si="1"/>
        <v>111117</v>
      </c>
      <c r="J18" s="112" t="s">
        <v>725</v>
      </c>
      <c r="K18" s="112"/>
      <c r="L18" s="112">
        <v>0</v>
      </c>
      <c r="M18" s="112">
        <v>1.1000000000000001</v>
      </c>
      <c r="N18" s="112" t="s">
        <v>212</v>
      </c>
      <c r="O18" s="112">
        <v>5</v>
      </c>
      <c r="P18" s="109">
        <v>60</v>
      </c>
      <c r="Q18" s="109" t="s">
        <v>729</v>
      </c>
      <c r="R18" s="109">
        <f>VLOOKUP(Q18,怪物信息配置表!$A$2:$B$118,2,FALSE)</f>
        <v>12</v>
      </c>
      <c r="S18" s="109">
        <v>25</v>
      </c>
      <c r="T18" s="110">
        <f>VLOOKUP($C18,怪物并表!$E$7:$N$1000,2+($D18-1)*3,FALSE)*S18*AJ18</f>
        <v>1551812.3263101748</v>
      </c>
      <c r="U18" s="110">
        <f>VLOOKUP($C18,怪物并表!$E$7:$N$1000,3+($D18-1)*3,FALSE)*S18*AK18</f>
        <v>60106.882591093119</v>
      </c>
      <c r="V18" s="110">
        <f>VLOOKUP($C18,怪物并表!$E$7:$N$1000,4+($D18-1)*3,FALSE)*S18*AL18</f>
        <v>720</v>
      </c>
      <c r="W18" s="112"/>
      <c r="X18" s="112"/>
      <c r="Y18" s="110">
        <f>VLOOKUP($C18,怪物并表!$E$7:$P$1000,12,FALSE)</f>
        <v>0</v>
      </c>
      <c r="Z18" s="49">
        <f>VLOOKUP($C18,怪物并表!$E$7:$P$1000,11,FALSE)*S18</f>
        <v>11451.4</v>
      </c>
      <c r="AA18" s="112"/>
      <c r="AB18" s="112"/>
      <c r="AC18" s="112"/>
      <c r="AD18" s="118">
        <v>80</v>
      </c>
      <c r="AE18" s="111">
        <f t="shared" si="2"/>
        <v>50</v>
      </c>
      <c r="AF18" s="111" t="str">
        <f>IF(ISBLANK(AM18),IF(O18=6,"",IF(O18=1,VLOOKUP(R18,怪物信息配置表!B:H,5,FALSE),IF(O18=2,VLOOKUP(R18,怪物信息配置表!B:H,6,FALSE),IF(OR(O18=3,O18=5),VLOOKUP(R18,怪物信息配置表!B:H,7,FALSE),"")))),AM18)</f>
        <v>xinshou_QB</v>
      </c>
      <c r="AG18" s="114"/>
      <c r="AH18" s="115">
        <f>SUMPRODUCT(T18:V18,$AN$3:$AP$3)+ROUNDDOWN(VLOOKUP(P18,CHOOSE({1,2},'[1]消耗&amp;价值&amp;分析'!$C$7:$C$106,'[1]消耗&amp;价值&amp;分析'!$AS$7:$AS$106),2,FALSE)*0.6,0)</f>
        <v>127679.37564350011</v>
      </c>
      <c r="AJ18" s="117">
        <v>50</v>
      </c>
      <c r="AK18" s="117">
        <v>80</v>
      </c>
      <c r="AL18" s="117">
        <v>1</v>
      </c>
    </row>
    <row r="19" spans="1:40" s="116" customFormat="1">
      <c r="A19" s="112" t="str">
        <f>怪物并表!$R$7</f>
        <v>普通副本</v>
      </c>
      <c r="B19" s="113">
        <v>18</v>
      </c>
      <c r="C19" s="112">
        <f t="shared" si="4"/>
        <v>1001</v>
      </c>
      <c r="D19" s="112">
        <v>3</v>
      </c>
      <c r="E19" s="112">
        <f>VLOOKUP(A19,怪物并表!$R$7:$S$14,2,FALSE)</f>
        <v>1</v>
      </c>
      <c r="F19" s="113">
        <v>1</v>
      </c>
      <c r="G19" s="113">
        <v>1</v>
      </c>
      <c r="H19" s="113">
        <v>1</v>
      </c>
      <c r="I19" s="109">
        <f t="shared" si="1"/>
        <v>111118</v>
      </c>
      <c r="J19" s="112" t="s">
        <v>726</v>
      </c>
      <c r="K19" s="112" t="s">
        <v>359</v>
      </c>
      <c r="L19" s="112">
        <v>0</v>
      </c>
      <c r="M19" s="112">
        <v>1.1000000000000001</v>
      </c>
      <c r="N19" s="112" t="s">
        <v>207</v>
      </c>
      <c r="O19" s="112">
        <v>5</v>
      </c>
      <c r="P19" s="109">
        <v>60</v>
      </c>
      <c r="Q19" s="109" t="s">
        <v>731</v>
      </c>
      <c r="R19" s="109">
        <f>VLOOKUP(Q19,怪物信息配置表!$A$2:$B$118,2,FALSE)</f>
        <v>13</v>
      </c>
      <c r="S19" s="109">
        <v>25</v>
      </c>
      <c r="T19" s="110">
        <f>VLOOKUP($C19,怪物并表!$E$7:$N$1000,2+($D19-1)*3,FALSE)*S19*AJ19</f>
        <v>1551812.3263101748</v>
      </c>
      <c r="U19" s="110">
        <f>VLOOKUP($C19,怪物并表!$E$7:$N$1000,3+($D19-1)*3,FALSE)*S19*AK19</f>
        <v>75133.603238866403</v>
      </c>
      <c r="V19" s="110">
        <f>VLOOKUP($C19,怪物并表!$E$7:$N$1000,4+($D19-1)*3,FALSE)*S19*AL19</f>
        <v>720</v>
      </c>
      <c r="W19" s="112"/>
      <c r="X19" s="112"/>
      <c r="Y19" s="110">
        <f>VLOOKUP($C19,怪物并表!$E$7:$P$1000,12,FALSE)</f>
        <v>0</v>
      </c>
      <c r="Z19" s="49">
        <f>VLOOKUP($C19,怪物并表!$E$7:$P$1000,11,FALSE)*S19</f>
        <v>11451.4</v>
      </c>
      <c r="AA19" s="112"/>
      <c r="AB19" s="112"/>
      <c r="AC19" s="112"/>
      <c r="AD19" s="118">
        <v>80</v>
      </c>
      <c r="AE19" s="111">
        <f t="shared" si="2"/>
        <v>50</v>
      </c>
      <c r="AF19" s="111" t="str">
        <f>IF(ISBLANK(AM19),IF(O19=6,"",IF(O19=1,VLOOKUP(R19,怪物信息配置表!B:H,5,FALSE),IF(O19=2,VLOOKUP(R19,怪物信息配置表!B:H,6,FALSE),IF(OR(O19=3,O19=5),VLOOKUP(R19,怪物信息配置表!B:H,7,FALSE),"")))),AM19)</f>
        <v>xinshou_SSM</v>
      </c>
      <c r="AG19" s="114"/>
      <c r="AH19" s="115">
        <f>SUMPRODUCT(T19:V19,$AN$3:$AP$3)+ROUNDDOWN(VLOOKUP(P19,CHOOSE({1,2},'[1]消耗&amp;价值&amp;分析'!$C$7:$C$106,'[1]消耗&amp;价值&amp;分析'!$AS$7:$AS$106),2,FALSE)*0.6,0)</f>
        <v>142706.0962912734</v>
      </c>
      <c r="AJ19" s="117">
        <v>50</v>
      </c>
      <c r="AK19" s="117">
        <v>100</v>
      </c>
      <c r="AL19" s="117">
        <v>1</v>
      </c>
    </row>
    <row r="20" spans="1:40">
      <c r="A20" s="33" t="str">
        <f>怪物并表!$R$7</f>
        <v>普通副本</v>
      </c>
      <c r="B20" s="38">
        <v>1</v>
      </c>
      <c r="C20" s="33">
        <f t="shared" si="0"/>
        <v>1002</v>
      </c>
      <c r="D20" s="33">
        <v>2</v>
      </c>
      <c r="E20" s="33">
        <f>VLOOKUP(A20,怪物并表!$R$7:$S$14,2,FALSE)</f>
        <v>1</v>
      </c>
      <c r="F20" s="38">
        <v>1</v>
      </c>
      <c r="G20" s="38">
        <v>2</v>
      </c>
      <c r="H20" s="38">
        <v>1</v>
      </c>
      <c r="I20" s="33">
        <f t="shared" si="1"/>
        <v>112101</v>
      </c>
      <c r="J20" s="33" t="s">
        <v>455</v>
      </c>
      <c r="K20" s="33"/>
      <c r="L20" s="33">
        <v>0</v>
      </c>
      <c r="M20" s="33">
        <v>1</v>
      </c>
      <c r="N20" s="33"/>
      <c r="O20" s="33">
        <v>1</v>
      </c>
      <c r="P20" s="33">
        <f>VLOOKUP($C20,CHOOSE({1,2},怪物并表!$E$7:$E$1000,怪物并表!$D$7:$D$1000),2,FALSE)</f>
        <v>3</v>
      </c>
      <c r="Q20" s="33" t="s">
        <v>9</v>
      </c>
      <c r="R20" s="33">
        <f>VLOOKUP(Q20,怪物信息配置表!$A$2:$B$118,2,FALSE)</f>
        <v>1003</v>
      </c>
      <c r="S20" s="33">
        <v>1</v>
      </c>
      <c r="T20" s="49">
        <f>VLOOKUP($C20,怪物并表!$E$7:$N$1000,2+($D20-1)*3,FALSE)*S20*AJ20</f>
        <v>466.23179250245727</v>
      </c>
      <c r="U20" s="49">
        <f>VLOOKUP($C20,怪物并表!$E$7:$N$1000,3+($D20-1)*3,FALSE)*S20*AK20</f>
        <v>31.057820773930757</v>
      </c>
      <c r="V20" s="49">
        <f>VLOOKUP($C20,怪物并表!$E$7:$N$1000,4+($D20-1)*3,FALSE)*S20*AL20</f>
        <v>18.720000000000006</v>
      </c>
      <c r="W20" s="33"/>
      <c r="X20" s="33"/>
      <c r="Y20" s="49">
        <f>VLOOKUP($C20,怪物并表!$E$7:$P$1000,12,FALSE)</f>
        <v>0</v>
      </c>
      <c r="Z20" s="49">
        <f>VLOOKUP($C20,怪物并表!$E$7:$P$1000,11,FALSE)*S20</f>
        <v>516.28399999999999</v>
      </c>
      <c r="AA20" s="33"/>
      <c r="AB20" s="33"/>
      <c r="AC20" s="33"/>
      <c r="AD20" s="33">
        <f t="shared" si="3"/>
        <v>0.8</v>
      </c>
      <c r="AE20" s="2">
        <f t="shared" si="2"/>
        <v>971.5</v>
      </c>
      <c r="AF20" s="2" t="str">
        <f>IF(ISBLANK(AM20),IF(O20=6,"",IF(O20=1,VLOOKUP(R20,怪物信息配置表!B:H,5,FALSE),IF(O20=2,VLOOKUP(R20,怪物信息配置表!B:H,6,FALSE),IF(OR(O20=3,O20=5),VLOOKUP(R20,怪物信息配置表!B:H,7,FALSE),"")))),AM20)</f>
        <v>ai_monster_02</v>
      </c>
      <c r="AG20" s="2"/>
      <c r="AH20" s="15">
        <f>SUMPRODUCT(T20:V20,$AN$3:$AP$3)+ROUNDDOWN(VLOOKUP(P20,CHOOSE({1,2},'[1]消耗&amp;价值&amp;分析'!$C$7:$C$106,'[1]消耗&amp;价值&amp;分析'!$AS$7:$AS$106),2,FALSE)*0.6,0)</f>
        <v>68.427092474029052</v>
      </c>
      <c r="AJ20" s="80">
        <v>1</v>
      </c>
      <c r="AK20" s="80">
        <v>1</v>
      </c>
      <c r="AL20" s="80">
        <v>1</v>
      </c>
    </row>
    <row r="21" spans="1:40">
      <c r="A21" s="33" t="str">
        <f>怪物并表!$R$7</f>
        <v>普通副本</v>
      </c>
      <c r="B21" s="38">
        <v>2</v>
      </c>
      <c r="C21" s="33">
        <f t="shared" si="0"/>
        <v>1002</v>
      </c>
      <c r="D21" s="33">
        <v>1</v>
      </c>
      <c r="E21" s="33">
        <f>VLOOKUP(A21,怪物并表!$R$7:$S$14,2,FALSE)</f>
        <v>1</v>
      </c>
      <c r="F21" s="38">
        <v>1</v>
      </c>
      <c r="G21" s="38">
        <v>2</v>
      </c>
      <c r="H21" s="38">
        <v>1</v>
      </c>
      <c r="I21" s="33">
        <f t="shared" si="1"/>
        <v>112102</v>
      </c>
      <c r="J21" s="33" t="s">
        <v>214</v>
      </c>
      <c r="K21" s="33"/>
      <c r="L21" s="33">
        <v>0</v>
      </c>
      <c r="M21" s="33">
        <v>1</v>
      </c>
      <c r="N21" s="33"/>
      <c r="O21" s="33">
        <v>1</v>
      </c>
      <c r="P21" s="33">
        <f>VLOOKUP($C21,CHOOSE({1,2},怪物并表!$E$7:$E$1000,怪物并表!$D$7:$D$1000),2,FALSE)</f>
        <v>3</v>
      </c>
      <c r="Q21" s="33" t="s">
        <v>10</v>
      </c>
      <c r="R21" s="33">
        <f>VLOOKUP(Q21,怪物信息配置表!$A$2:$B$118,2,FALSE)</f>
        <v>1001</v>
      </c>
      <c r="S21" s="33">
        <v>1</v>
      </c>
      <c r="T21" s="49">
        <f>VLOOKUP($C21,怪物并表!$E$7:$N$1000,2+($D21-1)*3,FALSE)*S21*AJ21</f>
        <v>582.78974062807151</v>
      </c>
      <c r="U21" s="49">
        <f>VLOOKUP($C21,怪物并表!$E$7:$N$1000,3+($D21-1)*3,FALSE)*S21*AK21</f>
        <v>31.73535641547862</v>
      </c>
      <c r="V21" s="49">
        <f>VLOOKUP($C21,怪物并表!$E$7:$N$1000,4+($D21-1)*3,FALSE)*S21*AL21</f>
        <v>24.960000000000004</v>
      </c>
      <c r="W21" s="33"/>
      <c r="X21" s="33"/>
      <c r="Y21" s="49">
        <f>VLOOKUP($C21,怪物并表!$E$7:$P$1000,12,FALSE)</f>
        <v>0</v>
      </c>
      <c r="Z21" s="49">
        <f>VLOOKUP($C21,怪物并表!$E$7:$P$1000,11,FALSE)*S21</f>
        <v>516.28399999999999</v>
      </c>
      <c r="AA21" s="33"/>
      <c r="AB21" s="33"/>
      <c r="AC21" s="33"/>
      <c r="AD21" s="33">
        <f t="shared" si="3"/>
        <v>1</v>
      </c>
      <c r="AE21" s="2">
        <f t="shared" si="2"/>
        <v>964.375</v>
      </c>
      <c r="AF21" s="2" t="str">
        <f>IF(ISBLANK(AM21),IF(O21=6,"",IF(O21=1,VLOOKUP(R21,怪物信息配置表!B:H,5,FALSE),IF(O21=2,VLOOKUP(R21,怪物信息配置表!B:H,6,FALSE),IF(OR(O21=3,O21=5),VLOOKUP(R21,怪物信息配置表!B:H,7,FALSE),"")))),AM21)</f>
        <v>ai_monster</v>
      </c>
      <c r="AG21" s="2"/>
      <c r="AH21" s="15">
        <f>SUMPRODUCT(T21:V21,$AN$3:$AP$3)+ROUNDDOWN(VLOOKUP(P21,CHOOSE({1,2},'[1]消耗&amp;价值&amp;分析'!$C$7:$C$106,'[1]消耗&amp;价值&amp;分析'!$AS$7:$AS$106),2,FALSE)*0.6,0)</f>
        <v>80.006946040601491</v>
      </c>
      <c r="AJ21" s="80">
        <v>1</v>
      </c>
      <c r="AK21" s="80">
        <v>1</v>
      </c>
      <c r="AL21" s="80">
        <v>1</v>
      </c>
      <c r="AN21" s="26"/>
    </row>
    <row r="22" spans="1:40">
      <c r="A22" s="33" t="str">
        <f>怪物并表!$R$7</f>
        <v>普通副本</v>
      </c>
      <c r="B22" s="38">
        <v>3</v>
      </c>
      <c r="C22" s="33">
        <f t="shared" si="0"/>
        <v>1002</v>
      </c>
      <c r="D22" s="33">
        <v>1</v>
      </c>
      <c r="E22" s="33">
        <f>VLOOKUP(A22,怪物并表!$R$7:$S$14,2,FALSE)</f>
        <v>1</v>
      </c>
      <c r="F22" s="38">
        <v>1</v>
      </c>
      <c r="G22" s="38">
        <v>2</v>
      </c>
      <c r="H22" s="38">
        <v>1</v>
      </c>
      <c r="I22" s="33">
        <f t="shared" si="1"/>
        <v>112103</v>
      </c>
      <c r="J22" s="33">
        <v>0</v>
      </c>
      <c r="K22" s="33"/>
      <c r="L22" s="33">
        <v>0</v>
      </c>
      <c r="M22" s="33">
        <v>1</v>
      </c>
      <c r="N22" s="33"/>
      <c r="O22" s="33">
        <v>1</v>
      </c>
      <c r="P22" s="33">
        <f>VLOOKUP($C22,CHOOSE({1,2},怪物并表!$E$7:$E$1000,怪物并表!$D$7:$D$1000),2,FALSE)</f>
        <v>3</v>
      </c>
      <c r="Q22" s="33" t="s">
        <v>10</v>
      </c>
      <c r="R22" s="33">
        <f>VLOOKUP(Q22,怪物信息配置表!$A$2:$B$118,2,FALSE)</f>
        <v>1001</v>
      </c>
      <c r="S22" s="33">
        <v>1</v>
      </c>
      <c r="T22" s="49">
        <f>VLOOKUP($C22,怪物并表!$E$7:$N$1000,2+($D22-1)*3,FALSE)*S22*AJ22</f>
        <v>582.78974062807151</v>
      </c>
      <c r="U22" s="49">
        <f>VLOOKUP($C22,怪物并表!$E$7:$N$1000,3+($D22-1)*3,FALSE)*S22*AK22</f>
        <v>31.73535641547862</v>
      </c>
      <c r="V22" s="49">
        <f>VLOOKUP($C22,怪物并表!$E$7:$N$1000,4+($D22-1)*3,FALSE)*S22*AL22</f>
        <v>24.960000000000004</v>
      </c>
      <c r="W22" s="33"/>
      <c r="X22" s="33"/>
      <c r="Y22" s="49">
        <f>VLOOKUP($C22,怪物并表!$E$7:$P$1000,12,FALSE)</f>
        <v>0</v>
      </c>
      <c r="Z22" s="49">
        <f>VLOOKUP($C22,怪物并表!$E$7:$P$1000,11,FALSE)*S22</f>
        <v>516.28399999999999</v>
      </c>
      <c r="AA22" s="33"/>
      <c r="AB22" s="33"/>
      <c r="AC22" s="33"/>
      <c r="AD22" s="33">
        <f t="shared" si="3"/>
        <v>1</v>
      </c>
      <c r="AE22" s="2">
        <f t="shared" si="2"/>
        <v>964.375</v>
      </c>
      <c r="AF22" s="2" t="str">
        <f>IF(ISBLANK(AM22),IF(O22=6,"",IF(O22=1,VLOOKUP(R22,怪物信息配置表!B:H,5,FALSE),IF(O22=2,VLOOKUP(R22,怪物信息配置表!B:H,6,FALSE),IF(OR(O22=3,O22=5),VLOOKUP(R22,怪物信息配置表!B:H,7,FALSE),"")))),AM22)</f>
        <v>ai_monster</v>
      </c>
      <c r="AG22" s="2"/>
      <c r="AH22" s="15">
        <f>SUMPRODUCT(T22:V22,$AN$3:$AP$3)+ROUNDDOWN(VLOOKUP(P22,CHOOSE({1,2},'[1]消耗&amp;价值&amp;分析'!$C$7:$C$106,'[1]消耗&amp;价值&amp;分析'!$AS$7:$AS$106),2,FALSE)*0.6,0)</f>
        <v>80.006946040601491</v>
      </c>
      <c r="AJ22" s="80">
        <v>1</v>
      </c>
      <c r="AK22" s="80">
        <v>1</v>
      </c>
      <c r="AL22" s="80">
        <v>1</v>
      </c>
    </row>
    <row r="23" spans="1:40">
      <c r="A23" s="33" t="str">
        <f>怪物并表!$R$7</f>
        <v>普通副本</v>
      </c>
      <c r="B23" s="38">
        <v>4</v>
      </c>
      <c r="C23" s="33">
        <f t="shared" si="0"/>
        <v>1002</v>
      </c>
      <c r="D23" s="33">
        <v>3</v>
      </c>
      <c r="E23" s="33">
        <f>VLOOKUP(A23,怪物并表!$R$7:$S$14,2,FALSE)</f>
        <v>1</v>
      </c>
      <c r="F23" s="38">
        <v>1</v>
      </c>
      <c r="G23" s="38">
        <v>2</v>
      </c>
      <c r="H23" s="38">
        <v>1</v>
      </c>
      <c r="I23" s="33">
        <f t="shared" si="1"/>
        <v>112104</v>
      </c>
      <c r="J23" s="33" t="s">
        <v>406</v>
      </c>
      <c r="K23" s="33" t="s">
        <v>358</v>
      </c>
      <c r="L23" s="33">
        <v>1</v>
      </c>
      <c r="M23" s="33">
        <v>1.2</v>
      </c>
      <c r="N23" s="33" t="s">
        <v>215</v>
      </c>
      <c r="O23" s="33">
        <v>3</v>
      </c>
      <c r="P23" s="33">
        <f>VLOOKUP($C23,CHOOSE({1,2},怪物并表!$E$7:$E$1000,怪物并表!$D$7:$D$1000),2,FALSE)</f>
        <v>3</v>
      </c>
      <c r="Q23" s="33" t="s">
        <v>11</v>
      </c>
      <c r="R23" s="33">
        <f>VLOOKUP(Q23,怪物信息配置表!$A$2:$B$118,2,FALSE)</f>
        <v>1011</v>
      </c>
      <c r="S23" s="33">
        <v>1</v>
      </c>
      <c r="T23" s="49">
        <f>VLOOKUP($C23,怪物并表!$E$7:$N$1000,2+($D23-1)*3,FALSE)*S23*AJ23</f>
        <v>1456.9743515701789</v>
      </c>
      <c r="U23" s="49">
        <f>VLOOKUP($C23,怪物并表!$E$7:$N$1000,3+($D23-1)*3,FALSE)*S23*AK23</f>
        <v>33.090427698574345</v>
      </c>
      <c r="V23" s="49">
        <f>VLOOKUP($C23,怪物并表!$E$7:$N$1000,4+($D23-1)*3,FALSE)*S23*AL23</f>
        <v>31.200000000000003</v>
      </c>
      <c r="W23" s="33"/>
      <c r="X23" s="33"/>
      <c r="Y23" s="49">
        <f>VLOOKUP($C23,怪物并表!$E$7:$P$1000,12,FALSE)</f>
        <v>0</v>
      </c>
      <c r="Z23" s="49">
        <f>VLOOKUP($C23,怪物并表!$E$7:$P$1000,11,FALSE)*S23</f>
        <v>516.28399999999999</v>
      </c>
      <c r="AA23" s="33"/>
      <c r="AB23" s="33"/>
      <c r="AC23" s="33"/>
      <c r="AD23" s="33">
        <f t="shared" si="3"/>
        <v>1.5</v>
      </c>
      <c r="AE23" s="2">
        <f t="shared" si="2"/>
        <v>946.5625</v>
      </c>
      <c r="AF23" s="2" t="str">
        <f>IF(ISBLANK(AM23),IF(O23=6,"",IF(O23=1,VLOOKUP(R23,怪物信息配置表!B:H,5,FALSE),IF(O23=2,VLOOKUP(R23,怪物信息配置表!B:H,6,FALSE),IF(OR(O23=3,O23=5),VLOOKUP(R23,怪物信息配置表!B:H,7,FALSE),"")))),AM23)</f>
        <v>1011_jichenan_BOSS</v>
      </c>
      <c r="AG23" s="2"/>
      <c r="AH23" s="15">
        <f>SUMPRODUCT(T23:V23,$AN$3:$AP$3)+ROUNDDOWN(VLOOKUP(P23,CHOOSE({1,2},'[1]消耗&amp;价值&amp;分析'!$C$7:$C$106,'[1]消耗&amp;价值&amp;分析'!$AS$7:$AS$106),2,FALSE)*0.6,0)</f>
        <v>122.56940176138151</v>
      </c>
      <c r="AJ23" s="80">
        <v>1</v>
      </c>
      <c r="AK23" s="80">
        <v>1</v>
      </c>
      <c r="AL23" s="80">
        <v>1</v>
      </c>
    </row>
    <row r="24" spans="1:40">
      <c r="A24" s="33" t="str">
        <f>怪物并表!$R$7</f>
        <v>普通副本</v>
      </c>
      <c r="B24" s="38">
        <v>1</v>
      </c>
      <c r="C24" s="33">
        <f t="shared" si="0"/>
        <v>1003</v>
      </c>
      <c r="D24" s="33">
        <v>1</v>
      </c>
      <c r="E24" s="33">
        <f>VLOOKUP(A24,怪物并表!$R$7:$S$14,2,FALSE)</f>
        <v>1</v>
      </c>
      <c r="F24" s="38">
        <v>1</v>
      </c>
      <c r="G24" s="38">
        <v>3</v>
      </c>
      <c r="H24" s="38">
        <v>1</v>
      </c>
      <c r="I24" s="33">
        <f t="shared" si="1"/>
        <v>113101</v>
      </c>
      <c r="J24" s="33" t="s">
        <v>448</v>
      </c>
      <c r="K24" s="33"/>
      <c r="L24" s="33">
        <v>0</v>
      </c>
      <c r="M24" s="33">
        <v>1</v>
      </c>
      <c r="N24" s="33"/>
      <c r="O24" s="33">
        <v>1</v>
      </c>
      <c r="P24" s="33">
        <f>VLOOKUP($C24,CHOOSE({1,2},怪物并表!$E$7:$E$1000,怪物并表!$D$7:$D$1000),2,FALSE)</f>
        <v>4</v>
      </c>
      <c r="Q24" s="33" t="s">
        <v>367</v>
      </c>
      <c r="R24" s="33">
        <f>VLOOKUP(Q24,怪物信息配置表!$A$2:$B$118,2,FALSE)</f>
        <v>1008</v>
      </c>
      <c r="S24" s="33">
        <v>1</v>
      </c>
      <c r="T24" s="49">
        <f>VLOOKUP($C24,怪物并表!$E$7:$N$1000,2+($D24-1)*3,FALSE)*S24*AJ24</f>
        <v>532.81549920892701</v>
      </c>
      <c r="U24" s="49">
        <f>VLOOKUP($C24,怪物并表!$E$7:$N$1000,3+($D24-1)*3,FALSE)*S24*AK24</f>
        <v>29.284327868852465</v>
      </c>
      <c r="V24" s="49">
        <f>VLOOKUP($C24,怪物并表!$E$7:$N$1000,4+($D24-1)*3,FALSE)*S24*AL24</f>
        <v>21.504000000000005</v>
      </c>
      <c r="W24" s="33"/>
      <c r="X24" s="33"/>
      <c r="Y24" s="49">
        <f>VLOOKUP($C24,怪物并表!$E$7:$P$1000,12,FALSE)</f>
        <v>0</v>
      </c>
      <c r="Z24" s="49">
        <f>VLOOKUP($C24,怪物并表!$E$7:$P$1000,11,FALSE)*S24</f>
        <v>574.51200000000006</v>
      </c>
      <c r="AA24" s="33"/>
      <c r="AB24" s="33"/>
      <c r="AC24" s="33"/>
      <c r="AD24" s="33">
        <f t="shared" si="3"/>
        <v>1</v>
      </c>
      <c r="AE24" s="2">
        <f t="shared" si="2"/>
        <v>952.5</v>
      </c>
      <c r="AF24" s="2" t="str">
        <f>IF(ISBLANK(AM24),IF(O24=6,"",IF(O24=1,VLOOKUP(R24,怪物信息配置表!B:H,5,FALSE),IF(O24=2,VLOOKUP(R24,怪物信息配置表!B:H,6,FALSE),IF(OR(O24=3,O24=5),VLOOKUP(R24,怪物信息配置表!B:H,7,FALSE),"")))),AM24)</f>
        <v>ai_monster</v>
      </c>
      <c r="AG24" s="2"/>
      <c r="AH24" s="15">
        <f>SUMPRODUCT(T24:V24,$AN$3:$AP$3)+ROUNDDOWN(VLOOKUP(P24,CHOOSE({1,2},'[1]消耗&amp;价值&amp;分析'!$C$7:$C$106,'[1]消耗&amp;价值&amp;分析'!$AS$7:$AS$106),2,FALSE)*0.6,0)</f>
        <v>72.100947837209546</v>
      </c>
      <c r="AJ24" s="80">
        <v>1</v>
      </c>
      <c r="AK24" s="80">
        <v>1</v>
      </c>
      <c r="AL24" s="80">
        <v>1</v>
      </c>
    </row>
    <row r="25" spans="1:40">
      <c r="A25" s="33" t="str">
        <f>怪物并表!$R$7</f>
        <v>普通副本</v>
      </c>
      <c r="B25" s="38">
        <v>2</v>
      </c>
      <c r="C25" s="33">
        <f t="shared" si="0"/>
        <v>1003</v>
      </c>
      <c r="D25" s="33">
        <v>2</v>
      </c>
      <c r="E25" s="33">
        <f>VLOOKUP(A25,怪物并表!$R$7:$S$14,2,FALSE)</f>
        <v>1</v>
      </c>
      <c r="F25" s="38">
        <v>1</v>
      </c>
      <c r="G25" s="38">
        <v>3</v>
      </c>
      <c r="H25" s="38">
        <v>1</v>
      </c>
      <c r="I25" s="33">
        <f t="shared" si="1"/>
        <v>113102</v>
      </c>
      <c r="J25" s="33" t="s">
        <v>456</v>
      </c>
      <c r="K25" s="33"/>
      <c r="L25" s="33">
        <v>0</v>
      </c>
      <c r="M25" s="33">
        <v>1</v>
      </c>
      <c r="N25" s="33"/>
      <c r="O25" s="33">
        <v>1</v>
      </c>
      <c r="P25" s="33">
        <f>VLOOKUP($C25,CHOOSE({1,2},怪物并表!$E$7:$E$1000,怪物并表!$D$7:$D$1000),2,FALSE)</f>
        <v>4</v>
      </c>
      <c r="Q25" s="33" t="s">
        <v>9</v>
      </c>
      <c r="R25" s="33">
        <f>VLOOKUP(Q25,怪物信息配置表!$A$2:$B$118,2,FALSE)</f>
        <v>1003</v>
      </c>
      <c r="S25" s="33">
        <v>1</v>
      </c>
      <c r="T25" s="49">
        <f>VLOOKUP($C25,怪物并表!$E$7:$N$1000,2+($D25-1)*3,FALSE)*S25*AJ25</f>
        <v>426.25239936714166</v>
      </c>
      <c r="U25" s="49">
        <f>VLOOKUP($C25,怪物并表!$E$7:$N$1000,3+($D25-1)*3,FALSE)*S25*AK25</f>
        <v>28.50629508196722</v>
      </c>
      <c r="V25" s="49">
        <f>VLOOKUP($C25,怪物并表!$E$7:$N$1000,4+($D25-1)*3,FALSE)*S25*AL25</f>
        <v>16.128000000000007</v>
      </c>
      <c r="W25" s="33"/>
      <c r="X25" s="33"/>
      <c r="Y25" s="49">
        <f>VLOOKUP($C25,怪物并表!$E$7:$P$1000,12,FALSE)</f>
        <v>0</v>
      </c>
      <c r="Z25" s="49">
        <f>VLOOKUP($C25,怪物并表!$E$7:$P$1000,11,FALSE)*S25</f>
        <v>574.51200000000006</v>
      </c>
      <c r="AA25" s="33"/>
      <c r="AB25" s="33"/>
      <c r="AC25" s="33"/>
      <c r="AD25" s="33">
        <f t="shared" si="3"/>
        <v>0.8</v>
      </c>
      <c r="AE25" s="2">
        <f t="shared" si="2"/>
        <v>962</v>
      </c>
      <c r="AF25" s="2" t="str">
        <f>IF(ISBLANK(AM25),IF(O25=6,"",IF(O25=1,VLOOKUP(R25,怪物信息配置表!B:H,5,FALSE),IF(O25=2,VLOOKUP(R25,怪物信息配置表!B:H,6,FALSE),IF(OR(O25=3,O25=5),VLOOKUP(R25,怪物信息配置表!B:H,7,FALSE),"")))),AM25)</f>
        <v>ai_monster_02</v>
      </c>
      <c r="AG25" s="2"/>
      <c r="AH25" s="15">
        <f>SUMPRODUCT(T25:V25,$AN$3:$AP$3)+ROUNDDOWN(VLOOKUP(P25,CHOOSE({1,2},'[1]消耗&amp;价值&amp;分析'!$C$7:$C$106,'[1]消耗&amp;价值&amp;分析'!$AS$7:$AS$106),2,FALSE)*0.6,0)</f>
        <v>61.684391056652892</v>
      </c>
      <c r="AJ25" s="80">
        <v>1</v>
      </c>
      <c r="AK25" s="80">
        <v>1</v>
      </c>
      <c r="AL25" s="80">
        <v>1</v>
      </c>
    </row>
    <row r="26" spans="1:40">
      <c r="A26" s="33" t="str">
        <f>怪物并表!$R$7</f>
        <v>普通副本</v>
      </c>
      <c r="B26" s="38">
        <v>3</v>
      </c>
      <c r="C26" s="33">
        <f t="shared" si="0"/>
        <v>1003</v>
      </c>
      <c r="D26" s="33">
        <v>1</v>
      </c>
      <c r="E26" s="33">
        <f>VLOOKUP(A26,怪物并表!$R$7:$S$14,2,FALSE)</f>
        <v>1</v>
      </c>
      <c r="F26" s="38">
        <v>1</v>
      </c>
      <c r="G26" s="38">
        <v>3</v>
      </c>
      <c r="H26" s="38">
        <v>1</v>
      </c>
      <c r="I26" s="33">
        <f t="shared" si="1"/>
        <v>113103</v>
      </c>
      <c r="J26" s="33">
        <v>0</v>
      </c>
      <c r="K26" s="33"/>
      <c r="L26" s="33">
        <v>0</v>
      </c>
      <c r="M26" s="33">
        <v>1</v>
      </c>
      <c r="N26" s="33"/>
      <c r="O26" s="33">
        <v>1</v>
      </c>
      <c r="P26" s="33">
        <f>VLOOKUP($C26,CHOOSE({1,2},怪物并表!$E$7:$E$1000,怪物并表!$D$7:$D$1000),2,FALSE)</f>
        <v>4</v>
      </c>
      <c r="Q26" s="33" t="s">
        <v>10</v>
      </c>
      <c r="R26" s="33">
        <f>VLOOKUP(Q26,怪物信息配置表!$A$2:$B$118,2,FALSE)</f>
        <v>1001</v>
      </c>
      <c r="S26" s="33">
        <v>1</v>
      </c>
      <c r="T26" s="49">
        <f>VLOOKUP($C26,怪物并表!$E$7:$N$1000,2+($D26-1)*3,FALSE)*S26*AJ26</f>
        <v>532.81549920892701</v>
      </c>
      <c r="U26" s="49">
        <f>VLOOKUP($C26,怪物并表!$E$7:$N$1000,3+($D26-1)*3,FALSE)*S26*AK26</f>
        <v>29.284327868852465</v>
      </c>
      <c r="V26" s="49">
        <f>VLOOKUP($C26,怪物并表!$E$7:$N$1000,4+($D26-1)*3,FALSE)*S26*AL26</f>
        <v>21.504000000000005</v>
      </c>
      <c r="W26" s="33"/>
      <c r="X26" s="33"/>
      <c r="Y26" s="49">
        <f>VLOOKUP($C26,怪物并表!$E$7:$P$1000,12,FALSE)</f>
        <v>0</v>
      </c>
      <c r="Z26" s="49">
        <f>VLOOKUP($C26,怪物并表!$E$7:$P$1000,11,FALSE)*S26</f>
        <v>574.51200000000006</v>
      </c>
      <c r="AA26" s="33"/>
      <c r="AB26" s="33"/>
      <c r="AC26" s="33"/>
      <c r="AD26" s="33">
        <f t="shared" si="3"/>
        <v>1</v>
      </c>
      <c r="AE26" s="2">
        <f t="shared" si="2"/>
        <v>952.5</v>
      </c>
      <c r="AF26" s="2" t="str">
        <f>IF(ISBLANK(AM26),IF(O26=6,"",IF(O26=1,VLOOKUP(R26,怪物信息配置表!B:H,5,FALSE),IF(O26=2,VLOOKUP(R26,怪物信息配置表!B:H,6,FALSE),IF(OR(O26=3,O26=5),VLOOKUP(R26,怪物信息配置表!B:H,7,FALSE),"")))),AM26)</f>
        <v>ai_monster</v>
      </c>
      <c r="AG26" s="2"/>
      <c r="AH26" s="15">
        <f>SUMPRODUCT(T26:V26,$AN$3:$AP$3)+ROUNDDOWN(VLOOKUP(P26,CHOOSE({1,2},'[1]消耗&amp;价值&amp;分析'!$C$7:$C$106,'[1]消耗&amp;价值&amp;分析'!$AS$7:$AS$106),2,FALSE)*0.6,0)</f>
        <v>72.100947837209546</v>
      </c>
      <c r="AJ26" s="80">
        <v>1</v>
      </c>
      <c r="AK26" s="80">
        <v>1</v>
      </c>
      <c r="AL26" s="80">
        <v>1</v>
      </c>
    </row>
    <row r="27" spans="1:40">
      <c r="A27" s="33" t="str">
        <f>怪物并表!$R$7</f>
        <v>普通副本</v>
      </c>
      <c r="B27" s="38">
        <v>4</v>
      </c>
      <c r="C27" s="33">
        <f t="shared" si="0"/>
        <v>1003</v>
      </c>
      <c r="D27" s="33">
        <v>3</v>
      </c>
      <c r="E27" s="33">
        <f>VLOOKUP(A27,怪物并表!$R$7:$S$14,2,FALSE)</f>
        <v>1</v>
      </c>
      <c r="F27" s="38">
        <v>1</v>
      </c>
      <c r="G27" s="38">
        <v>3</v>
      </c>
      <c r="H27" s="38">
        <v>1</v>
      </c>
      <c r="I27" s="33">
        <f t="shared" si="1"/>
        <v>113104</v>
      </c>
      <c r="J27" s="33" t="s">
        <v>674</v>
      </c>
      <c r="K27" s="33"/>
      <c r="L27" s="33">
        <v>1</v>
      </c>
      <c r="M27" s="33">
        <v>1.2</v>
      </c>
      <c r="N27" s="33"/>
      <c r="O27" s="33">
        <v>3</v>
      </c>
      <c r="P27" s="33">
        <f>VLOOKUP($C27,CHOOSE({1,2},怪物并表!$E$7:$E$1000,怪物并表!$D$7:$D$1000),2,FALSE)</f>
        <v>4</v>
      </c>
      <c r="Q27" s="33" t="s">
        <v>7</v>
      </c>
      <c r="R27" s="33">
        <f>VLOOKUP(Q27,怪物信息配置表!$A$2:$B$118,2,FALSE)</f>
        <v>1002</v>
      </c>
      <c r="S27" s="33">
        <v>1</v>
      </c>
      <c r="T27" s="49">
        <f>VLOOKUP($C27,怪物并表!$E$7:$N$1000,2+($D27-1)*3,FALSE)*S27*AJ27</f>
        <v>1332.0387480223176</v>
      </c>
      <c r="U27" s="49">
        <f>VLOOKUP($C27,怪物并表!$E$7:$N$1000,3+($D27-1)*3,FALSE)*S27*AK27</f>
        <v>30.840393442622954</v>
      </c>
      <c r="V27" s="49">
        <f>VLOOKUP($C27,怪物并表!$E$7:$N$1000,4+($D27-1)*3,FALSE)*S27*AL27</f>
        <v>26.880000000000003</v>
      </c>
      <c r="W27" s="33"/>
      <c r="X27" s="33"/>
      <c r="Y27" s="49">
        <f>VLOOKUP($C27,怪物并表!$E$7:$P$1000,12,FALSE)</f>
        <v>0</v>
      </c>
      <c r="Z27" s="49">
        <f>VLOOKUP($C27,怪物并表!$E$7:$P$1000,11,FALSE)*S27</f>
        <v>574.51200000000006</v>
      </c>
      <c r="AA27" s="33"/>
      <c r="AB27" s="33"/>
      <c r="AC27" s="33"/>
      <c r="AD27" s="33">
        <f t="shared" si="3"/>
        <v>1.5</v>
      </c>
      <c r="AE27" s="2">
        <f t="shared" si="2"/>
        <v>928.75</v>
      </c>
      <c r="AF27" s="2" t="str">
        <f>IF(ISBLANK(AM27),IF(O27=6,"",IF(O27=1,VLOOKUP(R27,怪物信息配置表!B:H,5,FALSE),IF(O27=2,VLOOKUP(R27,怪物信息配置表!B:H,6,FALSE),IF(OR(O27=3,O27=5),VLOOKUP(R27,怪物信息配置表!B:H,7,FALSE),"")))),AM27)</f>
        <v>1002_nvjiubao_BOSS</v>
      </c>
      <c r="AG27" s="2"/>
      <c r="AH27" s="15">
        <f>SUMPRODUCT(T27:V27,$AN$3:$AP$3)+ROUNDDOWN(VLOOKUP(P27,CHOOSE({1,2},'[1]消耗&amp;价值&amp;分析'!$C$7:$C$106,'[1]消耗&amp;价值&amp;分析'!$AS$7:$AS$106),2,FALSE)*0.6,0)</f>
        <v>111.00194336351566</v>
      </c>
      <c r="AJ27" s="80">
        <v>1</v>
      </c>
      <c r="AK27" s="80">
        <v>1</v>
      </c>
      <c r="AL27" s="80">
        <v>1</v>
      </c>
    </row>
    <row r="28" spans="1:40" s="71" customFormat="1">
      <c r="A28" s="69" t="str">
        <f>怪物并表!$R$7</f>
        <v>普通副本</v>
      </c>
      <c r="B28" s="70">
        <v>5</v>
      </c>
      <c r="C28" s="69">
        <f t="shared" ref="C28" si="5">F28*1000+G28</f>
        <v>1003</v>
      </c>
      <c r="D28" s="69">
        <v>1</v>
      </c>
      <c r="E28" s="69">
        <f>VLOOKUP(A28,怪物并表!$R$7:$S$14,2,FALSE)</f>
        <v>1</v>
      </c>
      <c r="F28" s="70">
        <v>1</v>
      </c>
      <c r="G28" s="70">
        <v>3</v>
      </c>
      <c r="H28" s="70">
        <v>1</v>
      </c>
      <c r="I28" s="33">
        <f t="shared" si="1"/>
        <v>113105</v>
      </c>
      <c r="J28" s="69" t="s">
        <v>457</v>
      </c>
      <c r="K28" s="69"/>
      <c r="L28" s="69">
        <v>1</v>
      </c>
      <c r="M28" s="69">
        <v>1</v>
      </c>
      <c r="N28" s="69" t="s">
        <v>210</v>
      </c>
      <c r="O28" s="69">
        <v>6</v>
      </c>
      <c r="P28" s="33">
        <f>VLOOKUP($C28,CHOOSE({1,2},怪物并表!$E$7:$E$1000,怪物并表!$D$7:$D$1000),2,FALSE)</f>
        <v>4</v>
      </c>
      <c r="Q28" s="33" t="s">
        <v>396</v>
      </c>
      <c r="R28" s="33">
        <f>VLOOKUP(Q28,怪物信息配置表!$A$2:$B$118,2,FALSE)</f>
        <v>2008</v>
      </c>
      <c r="S28" s="33">
        <v>1</v>
      </c>
      <c r="T28" s="49">
        <f>VLOOKUP($C28,怪物并表!$E$7:$N$1000,2+($D28-1)*3,FALSE)*S28*AJ28</f>
        <v>532.81549920892701</v>
      </c>
      <c r="U28" s="49">
        <f>VLOOKUP($C28,怪物并表!$E$7:$N$1000,3+($D28-1)*3,FALSE)*S28*AK28</f>
        <v>29.284327868852465</v>
      </c>
      <c r="V28" s="49">
        <f>VLOOKUP($C28,怪物并表!$E$7:$N$1000,4+($D28-1)*3,FALSE)*S28*AL28</f>
        <v>21.504000000000005</v>
      </c>
      <c r="W28" s="69"/>
      <c r="X28" s="69"/>
      <c r="Y28" s="49">
        <f>VLOOKUP($C28,怪物并表!$E$7:$P$1000,12,FALSE)</f>
        <v>0</v>
      </c>
      <c r="Z28" s="49">
        <f>VLOOKUP($C28,怪物并表!$E$7:$P$1000,11,FALSE)*S28</f>
        <v>574.51200000000006</v>
      </c>
      <c r="AA28" s="69"/>
      <c r="AB28" s="69"/>
      <c r="AC28" s="69"/>
      <c r="AD28" s="33">
        <f t="shared" ref="AD28" si="6">IF(D28=1,1,IF(D28=2,0.8,1.5))</f>
        <v>1</v>
      </c>
      <c r="AE28" s="2">
        <f t="shared" si="2"/>
        <v>952.5</v>
      </c>
      <c r="AF28" s="2" t="str">
        <f>IF(ISBLANK(AM28),IF(O28=6,"",IF(O28=1,VLOOKUP(R28,怪物信息配置表!B:H,5,FALSE),IF(O28=2,VLOOKUP(R28,怪物信息配置表!B:H,6,FALSE),IF(OR(O28=3,O28=5),VLOOKUP(R28,怪物信息配置表!B:H,7,FALSE),"")))),AM28)</f>
        <v/>
      </c>
      <c r="AG28" s="3"/>
      <c r="AH28" s="15">
        <f>SUMPRODUCT(T28:V28,$AN$3:$AP$3)+ROUNDDOWN(VLOOKUP(P28,CHOOSE({1,2},'[1]消耗&amp;价值&amp;分析'!$C$7:$C$106,'[1]消耗&amp;价值&amp;分析'!$AS$7:$AS$106),2,FALSE)*0.6,0)</f>
        <v>72.100947837209546</v>
      </c>
      <c r="AJ28" s="80">
        <v>1</v>
      </c>
      <c r="AK28" s="80">
        <v>1</v>
      </c>
      <c r="AL28" s="80">
        <v>1</v>
      </c>
    </row>
    <row r="29" spans="1:40" s="71" customFormat="1">
      <c r="A29" s="69" t="str">
        <f>怪物并表!$R$7</f>
        <v>普通副本</v>
      </c>
      <c r="B29" s="70">
        <v>6</v>
      </c>
      <c r="C29" s="69">
        <f t="shared" ref="C29" si="7">F29*1000+G29</f>
        <v>1003</v>
      </c>
      <c r="D29" s="69">
        <v>1</v>
      </c>
      <c r="E29" s="69">
        <f>VLOOKUP(A29,怪物并表!$R$7:$S$14,2,FALSE)</f>
        <v>1</v>
      </c>
      <c r="F29" s="70">
        <v>1</v>
      </c>
      <c r="G29" s="70">
        <v>3</v>
      </c>
      <c r="H29" s="70">
        <v>1</v>
      </c>
      <c r="I29" s="33">
        <f t="shared" si="1"/>
        <v>113106</v>
      </c>
      <c r="J29" s="69" t="s">
        <v>405</v>
      </c>
      <c r="K29" s="69"/>
      <c r="L29" s="69">
        <v>1</v>
      </c>
      <c r="M29" s="69">
        <v>1</v>
      </c>
      <c r="N29" s="69"/>
      <c r="O29" s="69">
        <v>6</v>
      </c>
      <c r="P29" s="33">
        <f>VLOOKUP($C29,CHOOSE({1,2},怪物并表!$E$7:$E$1000,怪物并表!$D$7:$D$1000),2,FALSE)</f>
        <v>4</v>
      </c>
      <c r="Q29" s="33" t="s">
        <v>396</v>
      </c>
      <c r="R29" s="33">
        <f>VLOOKUP(Q29,怪物信息配置表!$A$2:$B$118,2,FALSE)</f>
        <v>2008</v>
      </c>
      <c r="S29" s="33">
        <v>1</v>
      </c>
      <c r="T29" s="49">
        <f>VLOOKUP($C29,怪物并表!$E$7:$N$1000,2+($D29-1)*3,FALSE)*S29*AJ29</f>
        <v>532.81549920892701</v>
      </c>
      <c r="U29" s="49">
        <f>VLOOKUP($C29,怪物并表!$E$7:$N$1000,3+($D29-1)*3,FALSE)*S29*AK29</f>
        <v>29.284327868852465</v>
      </c>
      <c r="V29" s="49">
        <f>VLOOKUP($C29,怪物并表!$E$7:$N$1000,4+($D29-1)*3,FALSE)*S29*AL29</f>
        <v>21.504000000000005</v>
      </c>
      <c r="W29" s="69"/>
      <c r="X29" s="69"/>
      <c r="Y29" s="49">
        <f>VLOOKUP($C29,怪物并表!$E$7:$P$1000,12,FALSE)</f>
        <v>0</v>
      </c>
      <c r="Z29" s="49">
        <f>VLOOKUP($C29,怪物并表!$E$7:$P$1000,11,FALSE)*S29</f>
        <v>574.51200000000006</v>
      </c>
      <c r="AA29" s="69"/>
      <c r="AB29" s="69"/>
      <c r="AC29" s="69"/>
      <c r="AD29" s="33">
        <f t="shared" ref="AD29" si="8">IF(D29=1,1,IF(D29=2,0.8,1.5))</f>
        <v>1</v>
      </c>
      <c r="AE29" s="2">
        <f t="shared" si="2"/>
        <v>952.5</v>
      </c>
      <c r="AF29" s="2" t="str">
        <f>IF(ISBLANK(AM29),IF(O29=6,"",IF(O29=1,VLOOKUP(R29,怪物信息配置表!B:H,5,FALSE),IF(O29=2,VLOOKUP(R29,怪物信息配置表!B:H,6,FALSE),IF(OR(O29=3,O29=5),VLOOKUP(R29,怪物信息配置表!B:H,7,FALSE),"")))),AM29)</f>
        <v/>
      </c>
      <c r="AG29" s="3"/>
      <c r="AH29" s="15">
        <f>SUMPRODUCT(T29:V29,$AN$3:$AP$3)+ROUNDDOWN(VLOOKUP(P29,CHOOSE({1,2},'[1]消耗&amp;价值&amp;分析'!$C$7:$C$106,'[1]消耗&amp;价值&amp;分析'!$AS$7:$AS$106),2,FALSE)*0.6,0)</f>
        <v>72.100947837209546</v>
      </c>
      <c r="AJ29" s="80">
        <v>1</v>
      </c>
      <c r="AK29" s="80">
        <v>1</v>
      </c>
      <c r="AL29" s="80">
        <v>1</v>
      </c>
    </row>
    <row r="30" spans="1:40">
      <c r="A30" s="33" t="str">
        <f>怪物并表!$R$7</f>
        <v>普通副本</v>
      </c>
      <c r="B30" s="38">
        <v>1</v>
      </c>
      <c r="C30" s="33">
        <f t="shared" si="0"/>
        <v>1004</v>
      </c>
      <c r="D30" s="33">
        <v>1</v>
      </c>
      <c r="E30" s="33">
        <f>VLOOKUP(A30,怪物并表!$R$7:$S$14,2,FALSE)</f>
        <v>1</v>
      </c>
      <c r="F30" s="38">
        <v>1</v>
      </c>
      <c r="G30" s="38">
        <v>4</v>
      </c>
      <c r="H30" s="38">
        <v>1</v>
      </c>
      <c r="I30" s="33">
        <f t="shared" si="1"/>
        <v>114101</v>
      </c>
      <c r="J30" s="33" t="s">
        <v>13</v>
      </c>
      <c r="K30" s="33"/>
      <c r="L30" s="33">
        <v>0</v>
      </c>
      <c r="M30" s="33">
        <v>1</v>
      </c>
      <c r="N30" s="33"/>
      <c r="O30" s="33">
        <v>1</v>
      </c>
      <c r="P30" s="33">
        <f>VLOOKUP($C30,CHOOSE({1,2},怪物并表!$E$7:$E$1000,怪物并表!$D$7:$D$1000),2,FALSE)</f>
        <v>5</v>
      </c>
      <c r="Q30" s="33" t="s">
        <v>13</v>
      </c>
      <c r="R30" s="33">
        <f>VLOOKUP(Q30,怪物信息配置表!$A$2:$B$118,2,FALSE)</f>
        <v>1007</v>
      </c>
      <c r="S30" s="33">
        <v>1</v>
      </c>
      <c r="T30" s="49">
        <f>VLOOKUP($C30,怪物并表!$E$7:$N$1000,2+($D30-1)*3,FALSE)*S30*AJ30</f>
        <v>598.49630254093813</v>
      </c>
      <c r="U30" s="49">
        <f>VLOOKUP($C30,怪物并表!$E$7:$N$1000,3+($D30-1)*3,FALSE)*S30*AK30</f>
        <v>31.900824742268046</v>
      </c>
      <c r="V30" s="49">
        <f>VLOOKUP($C30,怪物并表!$E$7:$N$1000,4+($D30-1)*3,FALSE)*S30*AL30</f>
        <v>23.040000000000003</v>
      </c>
      <c r="W30" s="33"/>
      <c r="X30" s="33"/>
      <c r="Y30" s="49">
        <f>VLOOKUP($C30,怪物并表!$E$7:$P$1000,12,FALSE)</f>
        <v>0</v>
      </c>
      <c r="Z30" s="49">
        <f>VLOOKUP($C30,怪物并表!$E$7:$P$1000,11,FALSE)*S30</f>
        <v>632.74</v>
      </c>
      <c r="AA30" s="33"/>
      <c r="AB30" s="33"/>
      <c r="AC30" s="33"/>
      <c r="AD30" s="33">
        <f t="shared" si="3"/>
        <v>1</v>
      </c>
      <c r="AE30" s="2">
        <f t="shared" si="2"/>
        <v>940.625</v>
      </c>
      <c r="AF30" s="2" t="str">
        <f>IF(ISBLANK(AM30),IF(O30=6,"",IF(O30=1,VLOOKUP(R30,怪物信息配置表!B:H,5,FALSE),IF(O30=2,VLOOKUP(R30,怪物信息配置表!B:H,6,FALSE),IF(OR(O30=3,O30=5),VLOOKUP(R30,怪物信息配置表!B:H,7,FALSE),"")))),AM30)</f>
        <v>ai_monster_03</v>
      </c>
      <c r="AG30" s="2"/>
      <c r="AH30" s="15">
        <f>SUMPRODUCT(T30:V30,$AN$3:$AP$3)+ROUNDDOWN(VLOOKUP(P30,CHOOSE({1,2},'[1]消耗&amp;价值&amp;分析'!$C$7:$C$106,'[1]消耗&amp;价值&amp;分析'!$AS$7:$AS$106),2,FALSE)*0.6,0)</f>
        <v>78.880676843905576</v>
      </c>
      <c r="AJ30" s="80">
        <v>1</v>
      </c>
      <c r="AK30" s="80">
        <v>1</v>
      </c>
      <c r="AL30" s="80">
        <v>1</v>
      </c>
    </row>
    <row r="31" spans="1:40">
      <c r="A31" s="33" t="str">
        <f>怪物并表!$R$7</f>
        <v>普通副本</v>
      </c>
      <c r="B31" s="38">
        <v>2</v>
      </c>
      <c r="C31" s="33">
        <f t="shared" si="0"/>
        <v>1004</v>
      </c>
      <c r="D31" s="33">
        <v>1</v>
      </c>
      <c r="E31" s="33">
        <f>VLOOKUP(A31,怪物并表!$R$7:$S$14,2,FALSE)</f>
        <v>1</v>
      </c>
      <c r="F31" s="38">
        <v>1</v>
      </c>
      <c r="G31" s="38">
        <v>4</v>
      </c>
      <c r="H31" s="38">
        <v>1</v>
      </c>
      <c r="I31" s="33">
        <f t="shared" si="1"/>
        <v>114102</v>
      </c>
      <c r="J31" s="33" t="s">
        <v>214</v>
      </c>
      <c r="K31" s="33"/>
      <c r="L31" s="33">
        <v>0</v>
      </c>
      <c r="M31" s="33">
        <v>1</v>
      </c>
      <c r="N31" s="33"/>
      <c r="O31" s="33">
        <v>1</v>
      </c>
      <c r="P31" s="33">
        <f>VLOOKUP($C31,CHOOSE({1,2},怪物并表!$E$7:$E$1000,怪物并表!$D$7:$D$1000),2,FALSE)</f>
        <v>5</v>
      </c>
      <c r="Q31" s="33" t="s">
        <v>367</v>
      </c>
      <c r="R31" s="33">
        <f>VLOOKUP(Q31,怪物信息配置表!$A$2:$B$118,2,FALSE)</f>
        <v>1008</v>
      </c>
      <c r="S31" s="33">
        <v>1</v>
      </c>
      <c r="T31" s="49">
        <f>VLOOKUP($C31,怪物并表!$E$7:$N$1000,2+($D31-1)*3,FALSE)*S31*AJ31</f>
        <v>598.49630254093813</v>
      </c>
      <c r="U31" s="49">
        <f>VLOOKUP($C31,怪物并表!$E$7:$N$1000,3+($D31-1)*3,FALSE)*S31*AK31</f>
        <v>31.900824742268046</v>
      </c>
      <c r="V31" s="49">
        <f>VLOOKUP($C31,怪物并表!$E$7:$N$1000,4+($D31-1)*3,FALSE)*S31*AL31</f>
        <v>23.040000000000003</v>
      </c>
      <c r="W31" s="33"/>
      <c r="X31" s="33"/>
      <c r="Y31" s="49">
        <f>VLOOKUP($C31,怪物并表!$E$7:$P$1000,12,FALSE)</f>
        <v>0</v>
      </c>
      <c r="Z31" s="49">
        <f>VLOOKUP($C31,怪物并表!$E$7:$P$1000,11,FALSE)*S31</f>
        <v>632.74</v>
      </c>
      <c r="AA31" s="33"/>
      <c r="AB31" s="33"/>
      <c r="AC31" s="33"/>
      <c r="AD31" s="33">
        <f t="shared" si="3"/>
        <v>1</v>
      </c>
      <c r="AE31" s="2">
        <f t="shared" si="2"/>
        <v>940.625</v>
      </c>
      <c r="AF31" s="2" t="str">
        <f>IF(ISBLANK(AM31),IF(O31=6,"",IF(O31=1,VLOOKUP(R31,怪物信息配置表!B:H,5,FALSE),IF(O31=2,VLOOKUP(R31,怪物信息配置表!B:H,6,FALSE),IF(OR(O31=3,O31=5),VLOOKUP(R31,怪物信息配置表!B:H,7,FALSE),"")))),AM31)</f>
        <v>ai_monster</v>
      </c>
      <c r="AG31" s="2"/>
      <c r="AH31" s="15">
        <f>SUMPRODUCT(T31:V31,$AN$3:$AP$3)+ROUNDDOWN(VLOOKUP(P31,CHOOSE({1,2},'[1]消耗&amp;价值&amp;分析'!$C$7:$C$106,'[1]消耗&amp;价值&amp;分析'!$AS$7:$AS$106),2,FALSE)*0.6,0)</f>
        <v>78.880676843905576</v>
      </c>
      <c r="AJ31" s="80">
        <v>1</v>
      </c>
      <c r="AK31" s="80">
        <v>1</v>
      </c>
      <c r="AL31" s="80">
        <v>1</v>
      </c>
    </row>
    <row r="32" spans="1:40">
      <c r="A32" s="33" t="str">
        <f>怪物并表!$R$7</f>
        <v>普通副本</v>
      </c>
      <c r="B32" s="38">
        <v>3</v>
      </c>
      <c r="C32" s="33">
        <f t="shared" si="0"/>
        <v>1004</v>
      </c>
      <c r="D32" s="33">
        <v>1</v>
      </c>
      <c r="E32" s="33">
        <f>VLOOKUP(A32,怪物并表!$R$7:$S$14,2,FALSE)</f>
        <v>1</v>
      </c>
      <c r="F32" s="38">
        <v>1</v>
      </c>
      <c r="G32" s="38">
        <v>4</v>
      </c>
      <c r="H32" s="38">
        <v>1</v>
      </c>
      <c r="I32" s="33">
        <f t="shared" si="1"/>
        <v>114103</v>
      </c>
      <c r="J32" s="33">
        <v>0</v>
      </c>
      <c r="K32" s="33"/>
      <c r="L32" s="33">
        <v>0</v>
      </c>
      <c r="M32" s="33">
        <v>1</v>
      </c>
      <c r="N32" s="33"/>
      <c r="O32" s="33">
        <v>1</v>
      </c>
      <c r="P32" s="33">
        <f>VLOOKUP($C32,CHOOSE({1,2},怪物并表!$E$7:$E$1000,怪物并表!$D$7:$D$1000),2,FALSE)</f>
        <v>5</v>
      </c>
      <c r="Q32" s="33" t="s">
        <v>10</v>
      </c>
      <c r="R32" s="33">
        <f>VLOOKUP(Q32,怪物信息配置表!$A$2:$B$118,2,FALSE)</f>
        <v>1001</v>
      </c>
      <c r="S32" s="33">
        <v>1</v>
      </c>
      <c r="T32" s="49">
        <f>VLOOKUP($C32,怪物并表!$E$7:$N$1000,2+($D32-1)*3,FALSE)*S32*AJ32</f>
        <v>598.49630254093813</v>
      </c>
      <c r="U32" s="49">
        <f>VLOOKUP($C32,怪物并表!$E$7:$N$1000,3+($D32-1)*3,FALSE)*S32*AK32</f>
        <v>31.900824742268046</v>
      </c>
      <c r="V32" s="49">
        <f>VLOOKUP($C32,怪物并表!$E$7:$N$1000,4+($D32-1)*3,FALSE)*S32*AL32</f>
        <v>23.040000000000003</v>
      </c>
      <c r="W32" s="33"/>
      <c r="X32" s="33"/>
      <c r="Y32" s="49">
        <f>VLOOKUP($C32,怪物并表!$E$7:$P$1000,12,FALSE)</f>
        <v>0</v>
      </c>
      <c r="Z32" s="49">
        <f>VLOOKUP($C32,怪物并表!$E$7:$P$1000,11,FALSE)*S32</f>
        <v>632.74</v>
      </c>
      <c r="AA32" s="33"/>
      <c r="AB32" s="33"/>
      <c r="AC32" s="33"/>
      <c r="AD32" s="33">
        <f t="shared" si="3"/>
        <v>1</v>
      </c>
      <c r="AE32" s="2">
        <f t="shared" si="2"/>
        <v>940.625</v>
      </c>
      <c r="AF32" s="2" t="str">
        <f>IF(ISBLANK(AM32),IF(O32=6,"",IF(O32=1,VLOOKUP(R32,怪物信息配置表!B:H,5,FALSE),IF(O32=2,VLOOKUP(R32,怪物信息配置表!B:H,6,FALSE),IF(OR(O32=3,O32=5),VLOOKUP(R32,怪物信息配置表!B:H,7,FALSE),"")))),AM32)</f>
        <v>ai_monster</v>
      </c>
      <c r="AG32" s="2"/>
      <c r="AH32" s="15">
        <f>SUMPRODUCT(T32:V32,$AN$3:$AP$3)+ROUNDDOWN(VLOOKUP(P32,CHOOSE({1,2},'[1]消耗&amp;价值&amp;分析'!$C$7:$C$106,'[1]消耗&amp;价值&amp;分析'!$AS$7:$AS$106),2,FALSE)*0.6,0)</f>
        <v>78.880676843905576</v>
      </c>
      <c r="AJ32" s="80">
        <v>1</v>
      </c>
      <c r="AK32" s="80">
        <v>1</v>
      </c>
      <c r="AL32" s="80">
        <v>1</v>
      </c>
    </row>
    <row r="33" spans="1:38">
      <c r="A33" s="33" t="str">
        <f>怪物并表!$R$7</f>
        <v>普通副本</v>
      </c>
      <c r="B33" s="38">
        <v>4</v>
      </c>
      <c r="C33" s="33">
        <f t="shared" si="0"/>
        <v>1004</v>
      </c>
      <c r="D33" s="33">
        <v>3</v>
      </c>
      <c r="E33" s="33">
        <f>VLOOKUP(A33,怪物并表!$R$7:$S$14,2,FALSE)</f>
        <v>1</v>
      </c>
      <c r="F33" s="38">
        <v>1</v>
      </c>
      <c r="G33" s="38">
        <v>4</v>
      </c>
      <c r="H33" s="38">
        <v>1</v>
      </c>
      <c r="I33" s="33">
        <f t="shared" si="1"/>
        <v>114104</v>
      </c>
      <c r="J33" s="33" t="s">
        <v>671</v>
      </c>
      <c r="K33" s="33"/>
      <c r="L33" s="33">
        <v>1</v>
      </c>
      <c r="M33" s="33">
        <v>1.2</v>
      </c>
      <c r="N33" s="33"/>
      <c r="O33" s="33">
        <v>3</v>
      </c>
      <c r="P33" s="33">
        <f>VLOOKUP($C33,CHOOSE({1,2},怪物并表!$E$7:$E$1000,怪物并表!$D$7:$D$1000),2,FALSE)</f>
        <v>5</v>
      </c>
      <c r="Q33" s="33" t="s">
        <v>10</v>
      </c>
      <c r="R33" s="33">
        <f>VLOOKUP(Q33,怪物信息配置表!$A$2:$B$118,2,FALSE)</f>
        <v>1001</v>
      </c>
      <c r="S33" s="33">
        <v>1</v>
      </c>
      <c r="T33" s="49">
        <f>VLOOKUP($C33,怪物并表!$E$7:$N$1000,2+($D33-1)*3,FALSE)*S33*AJ33</f>
        <v>1496.2407563523454</v>
      </c>
      <c r="U33" s="49">
        <f>VLOOKUP($C33,怪物并表!$E$7:$N$1000,3+($D33-1)*3,FALSE)*S33*AK33</f>
        <v>33.672989690721657</v>
      </c>
      <c r="V33" s="49">
        <f>VLOOKUP($C33,怪物并表!$E$7:$N$1000,4+($D33-1)*3,FALSE)*S33*AL33</f>
        <v>28.8</v>
      </c>
      <c r="W33" s="33"/>
      <c r="X33" s="33"/>
      <c r="Y33" s="49">
        <f>VLOOKUP($C33,怪物并表!$E$7:$P$1000,12,FALSE)</f>
        <v>0</v>
      </c>
      <c r="Z33" s="49">
        <f>VLOOKUP($C33,怪物并表!$E$7:$P$1000,11,FALSE)*S33</f>
        <v>632.74</v>
      </c>
      <c r="AA33" s="33"/>
      <c r="AB33" s="33"/>
      <c r="AC33" s="33"/>
      <c r="AD33" s="33">
        <f t="shared" si="3"/>
        <v>1.5</v>
      </c>
      <c r="AE33" s="2">
        <f t="shared" si="2"/>
        <v>910.9375</v>
      </c>
      <c r="AF33" s="2" t="str">
        <f>IF(ISBLANK(AM33),IF(O33=6,"",IF(O33=1,VLOOKUP(R33,怪物信息配置表!B:H,5,FALSE),IF(O33=2,VLOOKUP(R33,怪物信息配置表!B:H,6,FALSE),IF(OR(O33=3,O33=5),VLOOKUP(R33,怪物信息配置表!B:H,7,FALSE),"")))),AM33)</f>
        <v>1001_quanbing_BOSS</v>
      </c>
      <c r="AG33" s="2"/>
      <c r="AH33" s="15">
        <f>SUMPRODUCT(T33:V33,$AN$3:$AP$3)+ROUNDDOWN(VLOOKUP(P33,CHOOSE({1,2},'[1]消耗&amp;价值&amp;分析'!$C$7:$C$106,'[1]消耗&amp;价值&amp;分析'!$AS$7:$AS$106),2,FALSE)*0.6,0)</f>
        <v>122.32261994481547</v>
      </c>
      <c r="AJ33" s="80">
        <v>1</v>
      </c>
      <c r="AK33" s="80">
        <v>1</v>
      </c>
      <c r="AL33" s="80">
        <v>1</v>
      </c>
    </row>
    <row r="34" spans="1:38">
      <c r="A34" s="33" t="str">
        <f>怪物并表!$R$7</f>
        <v>普通副本</v>
      </c>
      <c r="B34" s="38">
        <v>1</v>
      </c>
      <c r="C34" s="33">
        <f t="shared" si="0"/>
        <v>1005</v>
      </c>
      <c r="D34" s="33">
        <v>1</v>
      </c>
      <c r="E34" s="33">
        <f>VLOOKUP(A34,怪物并表!$R$7:$S$14,2,FALSE)</f>
        <v>1</v>
      </c>
      <c r="F34" s="38">
        <v>1</v>
      </c>
      <c r="G34" s="38">
        <v>5</v>
      </c>
      <c r="H34" s="38">
        <v>1</v>
      </c>
      <c r="I34" s="33">
        <f t="shared" si="1"/>
        <v>115101</v>
      </c>
      <c r="J34" s="33" t="s">
        <v>449</v>
      </c>
      <c r="K34" s="33"/>
      <c r="L34" s="33">
        <v>0</v>
      </c>
      <c r="M34" s="33">
        <v>1</v>
      </c>
      <c r="N34" s="33"/>
      <c r="O34" s="33">
        <v>1</v>
      </c>
      <c r="P34" s="33">
        <f>VLOOKUP($C34,CHOOSE({1,2},怪物并表!$E$7:$E$1000,怪物并表!$D$7:$D$1000),2,FALSE)</f>
        <v>6</v>
      </c>
      <c r="Q34" s="33" t="s">
        <v>10</v>
      </c>
      <c r="R34" s="33">
        <f>VLOOKUP(Q34,怪物信息配置表!$A$2:$B$118,2,FALSE)</f>
        <v>1001</v>
      </c>
      <c r="S34" s="33">
        <v>1</v>
      </c>
      <c r="T34" s="49">
        <f>VLOOKUP($C34,怪物并表!$E$7:$N$1000,2+($D34-1)*3,FALSE)*S34*AJ34</f>
        <v>1024.8189094533227</v>
      </c>
      <c r="U34" s="49">
        <f>VLOOKUP($C34,怪物并表!$E$7:$N$1000,3+($D34-1)*3,FALSE)*S34*AK34</f>
        <v>53.404884647302907</v>
      </c>
      <c r="V34" s="49">
        <f>VLOOKUP($C34,怪物并表!$E$7:$N$1000,4+($D34-1)*3,FALSE)*S34*AL34</f>
        <v>37.939200000000007</v>
      </c>
      <c r="W34" s="33"/>
      <c r="X34" s="33"/>
      <c r="Y34" s="49">
        <f>VLOOKUP($C34,怪物并表!$E$7:$P$1000,12,FALSE)</f>
        <v>0</v>
      </c>
      <c r="Z34" s="49">
        <f>VLOOKUP($C34,怪物并表!$E$7:$P$1000,11,FALSE)*S34</f>
        <v>690.96800000000007</v>
      </c>
      <c r="AA34" s="33"/>
      <c r="AB34" s="33"/>
      <c r="AC34" s="33"/>
      <c r="AD34" s="33">
        <f t="shared" si="3"/>
        <v>1</v>
      </c>
      <c r="AE34" s="2">
        <f t="shared" si="2"/>
        <v>928.75</v>
      </c>
      <c r="AF34" s="2" t="str">
        <f>IF(ISBLANK(AM34),IF(O34=6,"",IF(O34=1,VLOOKUP(R34,怪物信息配置表!B:H,5,FALSE),IF(O34=2,VLOOKUP(R34,怪物信息配置表!B:H,6,FALSE),IF(OR(O34=3,O34=5),VLOOKUP(R34,怪物信息配置表!B:H,7,FALSE),"")))),AM34)</f>
        <v>ai_monster</v>
      </c>
      <c r="AG34" s="2"/>
      <c r="AH34" s="15">
        <f>SUMPRODUCT(T34:V34,$AN$3:$AP$3)+ROUNDDOWN(VLOOKUP(P34,CHOOSE({1,2},'[1]消耗&amp;价值&amp;分析'!$C$7:$C$106,'[1]消耗&amp;价值&amp;分析'!$AS$7:$AS$106),2,FALSE)*0.6,0)</f>
        <v>142.33684102543583</v>
      </c>
      <c r="AJ34" s="80">
        <v>1</v>
      </c>
      <c r="AK34" s="80">
        <v>1</v>
      </c>
      <c r="AL34" s="80">
        <v>1</v>
      </c>
    </row>
    <row r="35" spans="1:38">
      <c r="A35" s="33" t="str">
        <f>怪物并表!$R$7</f>
        <v>普通副本</v>
      </c>
      <c r="B35" s="38">
        <v>2</v>
      </c>
      <c r="C35" s="33">
        <f t="shared" si="0"/>
        <v>1005</v>
      </c>
      <c r="D35" s="33">
        <v>2</v>
      </c>
      <c r="E35" s="33">
        <f>VLOOKUP(A35,怪物并表!$R$7:$S$14,2,FALSE)</f>
        <v>1</v>
      </c>
      <c r="F35" s="38">
        <v>1</v>
      </c>
      <c r="G35" s="38">
        <v>5</v>
      </c>
      <c r="H35" s="38">
        <v>1</v>
      </c>
      <c r="I35" s="33">
        <f t="shared" si="1"/>
        <v>115102</v>
      </c>
      <c r="J35" s="33" t="s">
        <v>458</v>
      </c>
      <c r="K35" s="33"/>
      <c r="L35" s="33">
        <v>0</v>
      </c>
      <c r="M35" s="33">
        <v>1</v>
      </c>
      <c r="N35" s="33"/>
      <c r="O35" s="33">
        <v>1</v>
      </c>
      <c r="P35" s="33">
        <f>VLOOKUP($C35,CHOOSE({1,2},怪物并表!$E$7:$E$1000,怪物并表!$D$7:$D$1000),2,FALSE)</f>
        <v>6</v>
      </c>
      <c r="Q35" s="33" t="s">
        <v>9</v>
      </c>
      <c r="R35" s="33">
        <f>VLOOKUP(Q35,怪物信息配置表!$A$2:$B$118,2,FALSE)</f>
        <v>1003</v>
      </c>
      <c r="S35" s="33">
        <v>1</v>
      </c>
      <c r="T35" s="49">
        <f>VLOOKUP($C35,怪物并表!$E$7:$N$1000,2+($D35-1)*3,FALSE)*S35*AJ35</f>
        <v>819.85512756265814</v>
      </c>
      <c r="U35" s="49">
        <f>VLOOKUP($C35,怪物并表!$E$7:$N$1000,3+($D35-1)*3,FALSE)*S35*AK35</f>
        <v>51.858316182572615</v>
      </c>
      <c r="V35" s="49">
        <f>VLOOKUP($C35,怪物并表!$E$7:$N$1000,4+($D35-1)*3,FALSE)*S35*AL35</f>
        <v>28.454400000000007</v>
      </c>
      <c r="W35" s="33"/>
      <c r="X35" s="33"/>
      <c r="Y35" s="49">
        <f>VLOOKUP($C35,怪物并表!$E$7:$P$1000,12,FALSE)</f>
        <v>0</v>
      </c>
      <c r="Z35" s="49">
        <f>VLOOKUP($C35,怪物并表!$E$7:$P$1000,11,FALSE)*S35</f>
        <v>690.96800000000007</v>
      </c>
      <c r="AA35" s="33"/>
      <c r="AB35" s="33"/>
      <c r="AC35" s="33"/>
      <c r="AD35" s="33">
        <f t="shared" si="3"/>
        <v>0.8</v>
      </c>
      <c r="AE35" s="2">
        <f t="shared" si="2"/>
        <v>943</v>
      </c>
      <c r="AF35" s="2" t="str">
        <f>IF(ISBLANK(AM35),IF(O35=6,"",IF(O35=1,VLOOKUP(R35,怪物信息配置表!B:H,5,FALSE),IF(O35=2,VLOOKUP(R35,怪物信息配置表!B:H,6,FALSE),IF(OR(O35=3,O35=5),VLOOKUP(R35,怪物信息配置表!B:H,7,FALSE),"")))),AM35)</f>
        <v>ai_monster_02</v>
      </c>
      <c r="AG35" s="2"/>
      <c r="AH35" s="15">
        <f>SUMPRODUCT(T35:V35,$AN$3:$AP$3)+ROUNDDOWN(VLOOKUP(P35,CHOOSE({1,2},'[1]消耗&amp;价值&amp;分析'!$C$7:$C$106,'[1]消耗&amp;价值&amp;分析'!$AS$7:$AS$106),2,FALSE)*0.6,0)</f>
        <v>123.10692128507894</v>
      </c>
      <c r="AJ35" s="80">
        <v>1</v>
      </c>
      <c r="AK35" s="80">
        <v>1</v>
      </c>
      <c r="AL35" s="80">
        <v>1</v>
      </c>
    </row>
    <row r="36" spans="1:38">
      <c r="A36" s="33" t="str">
        <f>怪物并表!$R$7</f>
        <v>普通副本</v>
      </c>
      <c r="B36" s="38">
        <v>3</v>
      </c>
      <c r="C36" s="33">
        <f t="shared" si="0"/>
        <v>1005</v>
      </c>
      <c r="D36" s="33">
        <v>1</v>
      </c>
      <c r="E36" s="33">
        <f>VLOOKUP(A36,怪物并表!$R$7:$S$14,2,FALSE)</f>
        <v>1</v>
      </c>
      <c r="F36" s="38">
        <v>1</v>
      </c>
      <c r="G36" s="38">
        <v>5</v>
      </c>
      <c r="H36" s="38">
        <v>1</v>
      </c>
      <c r="I36" s="33">
        <f t="shared" si="1"/>
        <v>115103</v>
      </c>
      <c r="J36" s="33">
        <v>0</v>
      </c>
      <c r="K36" s="33"/>
      <c r="L36" s="33">
        <v>0</v>
      </c>
      <c r="M36" s="33">
        <v>1</v>
      </c>
      <c r="N36" s="33"/>
      <c r="O36" s="33">
        <v>1</v>
      </c>
      <c r="P36" s="33">
        <f>VLOOKUP($C36,CHOOSE({1,2},怪物并表!$E$7:$E$1000,怪物并表!$D$7:$D$1000),2,FALSE)</f>
        <v>6</v>
      </c>
      <c r="Q36" s="33" t="s">
        <v>10</v>
      </c>
      <c r="R36" s="33">
        <f>VLOOKUP(Q36,怪物信息配置表!$A$2:$B$118,2,FALSE)</f>
        <v>1001</v>
      </c>
      <c r="S36" s="33">
        <v>1</v>
      </c>
      <c r="T36" s="49">
        <f>VLOOKUP($C36,怪物并表!$E$7:$N$1000,2+($D36-1)*3,FALSE)*S36*AJ36</f>
        <v>1024.8189094533227</v>
      </c>
      <c r="U36" s="49">
        <f>VLOOKUP($C36,怪物并表!$E$7:$N$1000,3+($D36-1)*3,FALSE)*S36*AK36</f>
        <v>53.404884647302907</v>
      </c>
      <c r="V36" s="49">
        <f>VLOOKUP($C36,怪物并表!$E$7:$N$1000,4+($D36-1)*3,FALSE)*S36*AL36</f>
        <v>37.939200000000007</v>
      </c>
      <c r="W36" s="33"/>
      <c r="X36" s="33"/>
      <c r="Y36" s="49">
        <f>VLOOKUP($C36,怪物并表!$E$7:$P$1000,12,FALSE)</f>
        <v>0</v>
      </c>
      <c r="Z36" s="49">
        <f>VLOOKUP($C36,怪物并表!$E$7:$P$1000,11,FALSE)*S36</f>
        <v>690.96800000000007</v>
      </c>
      <c r="AA36" s="33"/>
      <c r="AB36" s="33"/>
      <c r="AC36" s="33"/>
      <c r="AD36" s="33">
        <f t="shared" si="3"/>
        <v>1</v>
      </c>
      <c r="AE36" s="2">
        <f t="shared" si="2"/>
        <v>928.75</v>
      </c>
      <c r="AF36" s="2" t="str">
        <f>IF(ISBLANK(AM36),IF(O36=6,"",IF(O36=1,VLOOKUP(R36,怪物信息配置表!B:H,5,FALSE),IF(O36=2,VLOOKUP(R36,怪物信息配置表!B:H,6,FALSE),IF(OR(O36=3,O36=5),VLOOKUP(R36,怪物信息配置表!B:H,7,FALSE),"")))),AM36)</f>
        <v>ai_monster</v>
      </c>
      <c r="AG36" s="2"/>
      <c r="AH36" s="15">
        <f>SUMPRODUCT(T36:V36,$AN$3:$AP$3)+ROUNDDOWN(VLOOKUP(P36,CHOOSE({1,2},'[1]消耗&amp;价值&amp;分析'!$C$7:$C$106,'[1]消耗&amp;价值&amp;分析'!$AS$7:$AS$106),2,FALSE)*0.6,0)</f>
        <v>142.33684102543583</v>
      </c>
      <c r="AJ36" s="80">
        <v>1</v>
      </c>
      <c r="AK36" s="80">
        <v>1</v>
      </c>
      <c r="AL36" s="80">
        <v>1</v>
      </c>
    </row>
    <row r="37" spans="1:38">
      <c r="A37" s="33" t="str">
        <f>怪物并表!$R$7</f>
        <v>普通副本</v>
      </c>
      <c r="B37" s="38">
        <v>4</v>
      </c>
      <c r="C37" s="33">
        <f t="shared" si="0"/>
        <v>1005</v>
      </c>
      <c r="D37" s="33">
        <v>3</v>
      </c>
      <c r="E37" s="33">
        <f>VLOOKUP(A37,怪物并表!$R$7:$S$14,2,FALSE)</f>
        <v>1</v>
      </c>
      <c r="F37" s="38">
        <v>1</v>
      </c>
      <c r="G37" s="38">
        <v>5</v>
      </c>
      <c r="H37" s="38">
        <v>1</v>
      </c>
      <c r="I37" s="33">
        <f t="shared" si="1"/>
        <v>115104</v>
      </c>
      <c r="J37" s="33" t="s">
        <v>407</v>
      </c>
      <c r="K37" s="33"/>
      <c r="L37" s="33">
        <v>1</v>
      </c>
      <c r="M37" s="33">
        <v>1.2</v>
      </c>
      <c r="N37" s="33"/>
      <c r="O37" s="33">
        <v>3</v>
      </c>
      <c r="P37" s="33">
        <f>VLOOKUP($C37,CHOOSE({1,2},怪物并表!$E$7:$E$1000,怪物并表!$D$7:$D$1000),2,FALSE)</f>
        <v>6</v>
      </c>
      <c r="Q37" s="33" t="s">
        <v>14</v>
      </c>
      <c r="R37" s="33">
        <f>VLOOKUP(Q37,怪物信息配置表!$A$2:$B$118,2,FALSE)</f>
        <v>1010</v>
      </c>
      <c r="S37" s="33">
        <v>1</v>
      </c>
      <c r="T37" s="49">
        <f>VLOOKUP($C37,怪物并表!$E$7:$N$1000,2+($D37-1)*3,FALSE)*S37*AJ37</f>
        <v>2562.0472736333068</v>
      </c>
      <c r="U37" s="49">
        <f>VLOOKUP($C37,怪物并表!$E$7:$N$1000,3+($D37-1)*3,FALSE)*S37*AK37</f>
        <v>56.498021576763492</v>
      </c>
      <c r="V37" s="49">
        <f>VLOOKUP($C37,怪物并表!$E$7:$N$1000,4+($D37-1)*3,FALSE)*S37*AL37</f>
        <v>47.424000000000007</v>
      </c>
      <c r="W37" s="33"/>
      <c r="X37" s="33"/>
      <c r="Y37" s="49">
        <f>VLOOKUP($C37,怪物并表!$E$7:$P$1000,12,FALSE)</f>
        <v>0</v>
      </c>
      <c r="Z37" s="49">
        <f>VLOOKUP($C37,怪物并表!$E$7:$P$1000,11,FALSE)*S37</f>
        <v>690.96800000000007</v>
      </c>
      <c r="AA37" s="33"/>
      <c r="AB37" s="33"/>
      <c r="AC37" s="33"/>
      <c r="AD37" s="33">
        <f t="shared" si="3"/>
        <v>1.5</v>
      </c>
      <c r="AE37" s="2">
        <f t="shared" si="2"/>
        <v>893.125</v>
      </c>
      <c r="AF37" s="2" t="str">
        <f>IF(ISBLANK(AM37),IF(O37=6,"",IF(O37=1,VLOOKUP(R37,怪物信息配置表!B:H,5,FALSE),IF(O37=2,VLOOKUP(R37,怪物信息配置表!B:H,6,FALSE),IF(OR(O37=3,O37=5),VLOOKUP(R37,怪物信息配置表!B:H,7,FALSE),"")))),AM37)</f>
        <v>1010_gunnan_BOSS</v>
      </c>
      <c r="AG37" s="2"/>
      <c r="AH37" s="15">
        <f>SUMPRODUCT(T37:V37,$AN$3:$AP$3)+ROUNDDOWN(VLOOKUP(P37,CHOOSE({1,2},'[1]消耗&amp;价值&amp;分析'!$C$7:$C$106,'[1]消耗&amp;价值&amp;分析'!$AS$7:$AS$106),2,FALSE)*0.6,0)</f>
        <v>216.40391252209577</v>
      </c>
      <c r="AJ37" s="80">
        <v>1</v>
      </c>
      <c r="AK37" s="80">
        <v>1</v>
      </c>
      <c r="AL37" s="80">
        <v>1</v>
      </c>
    </row>
    <row r="38" spans="1:38">
      <c r="A38" s="33" t="str">
        <f>怪物并表!$R$7</f>
        <v>普通副本</v>
      </c>
      <c r="B38" s="38">
        <v>1</v>
      </c>
      <c r="C38" s="33">
        <f t="shared" si="0"/>
        <v>1006</v>
      </c>
      <c r="D38" s="33">
        <v>1</v>
      </c>
      <c r="E38" s="33">
        <f>VLOOKUP(A38,怪物并表!$R$7:$S$14,2,FALSE)</f>
        <v>1</v>
      </c>
      <c r="F38" s="38">
        <v>1</v>
      </c>
      <c r="G38" s="38">
        <v>6</v>
      </c>
      <c r="H38" s="38">
        <v>1</v>
      </c>
      <c r="I38" s="33">
        <f t="shared" si="1"/>
        <v>116101</v>
      </c>
      <c r="J38" s="33" t="s">
        <v>216</v>
      </c>
      <c r="K38" s="33"/>
      <c r="L38" s="33">
        <v>0</v>
      </c>
      <c r="M38" s="33">
        <v>1</v>
      </c>
      <c r="N38" s="33"/>
      <c r="O38" s="33">
        <v>1</v>
      </c>
      <c r="P38" s="33">
        <f>VLOOKUP($C38,CHOOSE({1,2},怪物并表!$E$7:$E$1000,怪物并表!$D$7:$D$1000),2,FALSE)</f>
        <v>7</v>
      </c>
      <c r="Q38" s="33" t="s">
        <v>7</v>
      </c>
      <c r="R38" s="33">
        <f>VLOOKUP(Q38,怪物信息配置表!$A$2:$B$118,2,FALSE)</f>
        <v>1002</v>
      </c>
      <c r="S38" s="33">
        <v>1</v>
      </c>
      <c r="T38" s="49">
        <f>VLOOKUP($C38,怪物并表!$E$7:$N$1000,2+($D38-1)*3,FALSE)*S38*AJ38</f>
        <v>1214.4279217050077</v>
      </c>
      <c r="U38" s="49">
        <f>VLOOKUP($C38,怪物并表!$E$7:$N$1000,3+($D38-1)*3,FALSE)*S38*AK38</f>
        <v>62.237861978079337</v>
      </c>
      <c r="V38" s="49">
        <f>VLOOKUP($C38,怪物并表!$E$7:$N$1000,4+($D38-1)*3,FALSE)*S38*AL38</f>
        <v>43.492800000000003</v>
      </c>
      <c r="W38" s="33"/>
      <c r="X38" s="33"/>
      <c r="Y38" s="49">
        <f>VLOOKUP($C38,怪物并表!$E$7:$P$1000,12,FALSE)</f>
        <v>0</v>
      </c>
      <c r="Z38" s="49">
        <f>VLOOKUP($C38,怪物并表!$E$7:$P$1000,11,FALSE)*S38</f>
        <v>749.19600000000003</v>
      </c>
      <c r="AA38" s="33"/>
      <c r="AB38" s="33"/>
      <c r="AC38" s="33"/>
      <c r="AD38" s="33">
        <f t="shared" si="3"/>
        <v>1</v>
      </c>
      <c r="AE38" s="2">
        <f t="shared" si="2"/>
        <v>916.875</v>
      </c>
      <c r="AF38" s="2" t="str">
        <f>IF(ISBLANK(AM38),IF(O38=6,"",IF(O38=1,VLOOKUP(R38,怪物信息配置表!B:H,5,FALSE),IF(O38=2,VLOOKUP(R38,怪物信息配置表!B:H,6,FALSE),IF(OR(O38=3,O38=5),VLOOKUP(R38,怪物信息配置表!B:H,7,FALSE),"")))),AM38)</f>
        <v>ai_monster</v>
      </c>
      <c r="AG38" s="2"/>
      <c r="AH38" s="15">
        <f>SUMPRODUCT(T38:V38,$AN$3:$AP$3)+ROUNDDOWN(VLOOKUP(P38,CHOOSE({1,2},'[1]消耗&amp;价值&amp;分析'!$C$7:$C$106,'[1]消耗&amp;价值&amp;分析'!$AS$7:$AS$106),2,FALSE)*0.6,0)</f>
        <v>176.30777884627963</v>
      </c>
      <c r="AJ38" s="80">
        <v>1</v>
      </c>
      <c r="AK38" s="80">
        <v>1</v>
      </c>
      <c r="AL38" s="80">
        <v>1</v>
      </c>
    </row>
    <row r="39" spans="1:38">
      <c r="A39" s="33" t="str">
        <f>怪物并表!$R$7</f>
        <v>普通副本</v>
      </c>
      <c r="B39" s="38">
        <v>2</v>
      </c>
      <c r="C39" s="33">
        <f t="shared" si="0"/>
        <v>1006</v>
      </c>
      <c r="D39" s="33">
        <v>1</v>
      </c>
      <c r="E39" s="33">
        <f>VLOOKUP(A39,怪物并表!$R$7:$S$14,2,FALSE)</f>
        <v>1</v>
      </c>
      <c r="F39" s="38">
        <v>1</v>
      </c>
      <c r="G39" s="38">
        <v>6</v>
      </c>
      <c r="H39" s="38">
        <v>1</v>
      </c>
      <c r="I39" s="33">
        <f t="shared" si="1"/>
        <v>116102</v>
      </c>
      <c r="J39" s="33" t="s">
        <v>214</v>
      </c>
      <c r="K39" s="33"/>
      <c r="L39" s="33">
        <v>0</v>
      </c>
      <c r="M39" s="33">
        <v>1</v>
      </c>
      <c r="N39" s="33"/>
      <c r="O39" s="33">
        <v>1</v>
      </c>
      <c r="P39" s="33">
        <f>VLOOKUP($C39,CHOOSE({1,2},怪物并表!$E$7:$E$1000,怪物并表!$D$7:$D$1000),2,FALSE)</f>
        <v>7</v>
      </c>
      <c r="Q39" s="33" t="s">
        <v>10</v>
      </c>
      <c r="R39" s="33">
        <f>VLOOKUP(Q39,怪物信息配置表!$A$2:$B$118,2,FALSE)</f>
        <v>1001</v>
      </c>
      <c r="S39" s="33">
        <v>1</v>
      </c>
      <c r="T39" s="49">
        <f>VLOOKUP($C39,怪物并表!$E$7:$N$1000,2+($D39-1)*3,FALSE)*S39*AJ39</f>
        <v>1214.4279217050077</v>
      </c>
      <c r="U39" s="49">
        <f>VLOOKUP($C39,怪物并表!$E$7:$N$1000,3+($D39-1)*3,FALSE)*S39*AK39</f>
        <v>62.237861978079337</v>
      </c>
      <c r="V39" s="49">
        <f>VLOOKUP($C39,怪物并表!$E$7:$N$1000,4+($D39-1)*3,FALSE)*S39*AL39</f>
        <v>43.492800000000003</v>
      </c>
      <c r="W39" s="33"/>
      <c r="X39" s="33"/>
      <c r="Y39" s="49">
        <f>VLOOKUP($C39,怪物并表!$E$7:$P$1000,12,FALSE)</f>
        <v>0</v>
      </c>
      <c r="Z39" s="49">
        <f>VLOOKUP($C39,怪物并表!$E$7:$P$1000,11,FALSE)*S39</f>
        <v>749.19600000000003</v>
      </c>
      <c r="AA39" s="33"/>
      <c r="AB39" s="33"/>
      <c r="AC39" s="33"/>
      <c r="AD39" s="33">
        <f t="shared" si="3"/>
        <v>1</v>
      </c>
      <c r="AE39" s="2">
        <f t="shared" si="2"/>
        <v>916.875</v>
      </c>
      <c r="AF39" s="2" t="str">
        <f>IF(ISBLANK(AM39),IF(O39=6,"",IF(O39=1,VLOOKUP(R39,怪物信息配置表!B:H,5,FALSE),IF(O39=2,VLOOKUP(R39,怪物信息配置表!B:H,6,FALSE),IF(OR(O39=3,O39=5),VLOOKUP(R39,怪物信息配置表!B:H,7,FALSE),"")))),AM39)</f>
        <v>ai_monster</v>
      </c>
      <c r="AG39" s="2"/>
      <c r="AH39" s="15">
        <f>SUMPRODUCT(T39:V39,$AN$3:$AP$3)+ROUNDDOWN(VLOOKUP(P39,CHOOSE({1,2},'[1]消耗&amp;价值&amp;分析'!$C$7:$C$106,'[1]消耗&amp;价值&amp;分析'!$AS$7:$AS$106),2,FALSE)*0.6,0)</f>
        <v>176.30777884627963</v>
      </c>
      <c r="AJ39" s="80">
        <v>1</v>
      </c>
      <c r="AK39" s="80">
        <v>1</v>
      </c>
      <c r="AL39" s="80">
        <v>1</v>
      </c>
    </row>
    <row r="40" spans="1:38">
      <c r="A40" s="33" t="str">
        <f>怪物并表!$R$7</f>
        <v>普通副本</v>
      </c>
      <c r="B40" s="38">
        <v>3</v>
      </c>
      <c r="C40" s="33">
        <f t="shared" si="0"/>
        <v>1006</v>
      </c>
      <c r="D40" s="33">
        <v>1</v>
      </c>
      <c r="E40" s="33">
        <f>VLOOKUP(A40,怪物并表!$R$7:$S$14,2,FALSE)</f>
        <v>1</v>
      </c>
      <c r="F40" s="38">
        <v>1</v>
      </c>
      <c r="G40" s="38">
        <v>6</v>
      </c>
      <c r="H40" s="38">
        <v>1</v>
      </c>
      <c r="I40" s="33">
        <f t="shared" si="1"/>
        <v>116103</v>
      </c>
      <c r="J40" s="33">
        <v>0</v>
      </c>
      <c r="K40" s="33"/>
      <c r="L40" s="33">
        <v>0</v>
      </c>
      <c r="M40" s="33">
        <v>1</v>
      </c>
      <c r="N40" s="33"/>
      <c r="O40" s="33">
        <v>1</v>
      </c>
      <c r="P40" s="33">
        <f>VLOOKUP($C40,CHOOSE({1,2},怪物并表!$E$7:$E$1000,怪物并表!$D$7:$D$1000),2,FALSE)</f>
        <v>7</v>
      </c>
      <c r="Q40" s="33" t="s">
        <v>10</v>
      </c>
      <c r="R40" s="33">
        <f>VLOOKUP(Q40,怪物信息配置表!$A$2:$B$118,2,FALSE)</f>
        <v>1001</v>
      </c>
      <c r="S40" s="33">
        <v>1</v>
      </c>
      <c r="T40" s="49">
        <f>VLOOKUP($C40,怪物并表!$E$7:$N$1000,2+($D40-1)*3,FALSE)*S40*AJ40</f>
        <v>1214.4279217050077</v>
      </c>
      <c r="U40" s="49">
        <f>VLOOKUP($C40,怪物并表!$E$7:$N$1000,3+($D40-1)*3,FALSE)*S40*AK40</f>
        <v>62.237861978079337</v>
      </c>
      <c r="V40" s="49">
        <f>VLOOKUP($C40,怪物并表!$E$7:$N$1000,4+($D40-1)*3,FALSE)*S40*AL40</f>
        <v>43.492800000000003</v>
      </c>
      <c r="W40" s="33"/>
      <c r="X40" s="33"/>
      <c r="Y40" s="49">
        <f>VLOOKUP($C40,怪物并表!$E$7:$P$1000,12,FALSE)</f>
        <v>0</v>
      </c>
      <c r="Z40" s="49">
        <f>VLOOKUP($C40,怪物并表!$E$7:$P$1000,11,FALSE)*S40</f>
        <v>749.19600000000003</v>
      </c>
      <c r="AA40" s="33"/>
      <c r="AB40" s="33"/>
      <c r="AC40" s="33"/>
      <c r="AD40" s="33">
        <f t="shared" si="3"/>
        <v>1</v>
      </c>
      <c r="AE40" s="2">
        <f t="shared" si="2"/>
        <v>916.875</v>
      </c>
      <c r="AF40" s="2" t="str">
        <f>IF(ISBLANK(AM40),IF(O40=6,"",IF(O40=1,VLOOKUP(R40,怪物信息配置表!B:H,5,FALSE),IF(O40=2,VLOOKUP(R40,怪物信息配置表!B:H,6,FALSE),IF(OR(O40=3,O40=5),VLOOKUP(R40,怪物信息配置表!B:H,7,FALSE),"")))),AM40)</f>
        <v>ai_monster</v>
      </c>
      <c r="AG40" s="2"/>
      <c r="AH40" s="15">
        <f>SUMPRODUCT(T40:V40,$AN$3:$AP$3)+ROUNDDOWN(VLOOKUP(P40,CHOOSE({1,2},'[1]消耗&amp;价值&amp;分析'!$C$7:$C$106,'[1]消耗&amp;价值&amp;分析'!$AS$7:$AS$106),2,FALSE)*0.6,0)</f>
        <v>176.30777884627963</v>
      </c>
      <c r="AJ40" s="80">
        <v>1</v>
      </c>
      <c r="AK40" s="80">
        <v>1</v>
      </c>
      <c r="AL40" s="80">
        <v>1</v>
      </c>
    </row>
    <row r="41" spans="1:38">
      <c r="A41" s="33" t="str">
        <f>怪物并表!$R$7</f>
        <v>普通副本</v>
      </c>
      <c r="B41" s="38">
        <v>4</v>
      </c>
      <c r="C41" s="33">
        <f t="shared" si="0"/>
        <v>1006</v>
      </c>
      <c r="D41" s="33">
        <v>3</v>
      </c>
      <c r="E41" s="33">
        <f>VLOOKUP(A41,怪物并表!$R$7:$S$14,2,FALSE)</f>
        <v>1</v>
      </c>
      <c r="F41" s="38">
        <v>1</v>
      </c>
      <c r="G41" s="38">
        <v>6</v>
      </c>
      <c r="H41" s="38">
        <v>1</v>
      </c>
      <c r="I41" s="33">
        <f t="shared" si="1"/>
        <v>116104</v>
      </c>
      <c r="J41" s="33" t="s">
        <v>672</v>
      </c>
      <c r="K41" s="33"/>
      <c r="L41" s="33">
        <v>1</v>
      </c>
      <c r="M41" s="33">
        <v>1.2</v>
      </c>
      <c r="N41" s="33" t="s">
        <v>213</v>
      </c>
      <c r="O41" s="33">
        <v>3</v>
      </c>
      <c r="P41" s="33">
        <f>VLOOKUP($C41,CHOOSE({1,2},怪物并表!$E$7:$E$1000,怪物并表!$D$7:$D$1000),2,FALSE)</f>
        <v>7</v>
      </c>
      <c r="Q41" s="33" t="s">
        <v>9</v>
      </c>
      <c r="R41" s="33">
        <f>VLOOKUP(Q41,怪物信息配置表!$A$2:$B$118,2,FALSE)</f>
        <v>1003</v>
      </c>
      <c r="S41" s="33">
        <v>1</v>
      </c>
      <c r="T41" s="49">
        <f>VLOOKUP($C41,怪物并表!$E$7:$N$1000,2+($D41-1)*3,FALSE)*S41*AJ41</f>
        <v>3036.0698042625195</v>
      </c>
      <c r="U41" s="49">
        <f>VLOOKUP($C41,怪物并表!$E$7:$N$1000,3+($D41-1)*3,FALSE)*S41*AK41</f>
        <v>65.986874373695201</v>
      </c>
      <c r="V41" s="49">
        <f>VLOOKUP($C41,怪物并表!$E$7:$N$1000,4+($D41-1)*3,FALSE)*S41*AL41</f>
        <v>54.366</v>
      </c>
      <c r="W41" s="33"/>
      <c r="X41" s="33"/>
      <c r="Y41" s="49">
        <f>VLOOKUP($C41,怪物并表!$E$7:$P$1000,12,FALSE)</f>
        <v>0</v>
      </c>
      <c r="Z41" s="49">
        <f>VLOOKUP($C41,怪物并表!$E$7:$P$1000,11,FALSE)*S41</f>
        <v>749.19600000000003</v>
      </c>
      <c r="AA41" s="33"/>
      <c r="AB41" s="33"/>
      <c r="AC41" s="33"/>
      <c r="AD41" s="33">
        <f t="shared" si="3"/>
        <v>1.5</v>
      </c>
      <c r="AE41" s="2">
        <f t="shared" si="2"/>
        <v>875.3125</v>
      </c>
      <c r="AF41" s="2" t="str">
        <f>IF(ISBLANK(AM41),IF(O41=6,"",IF(O41=1,VLOOKUP(R41,怪物信息配置表!B:H,5,FALSE),IF(O41=2,VLOOKUP(R41,怪物信息配置表!B:H,6,FALSE),IF(OR(O41=3,O41=5),VLOOKUP(R41,怪物信息配置表!B:H,7,FALSE),"")))),AM41)</f>
        <v>1003_FDB_BOSS</v>
      </c>
      <c r="AG41" s="2"/>
      <c r="AH41" s="15">
        <f>SUMPRODUCT(T41:V41,$AN$3:$AP$3)+ROUNDDOWN(VLOOKUP(P41,CHOOSE({1,2},'[1]消耗&amp;价值&amp;分析'!$C$7:$C$106,'[1]消耗&amp;价值&amp;分析'!$AS$7:$AS$106),2,FALSE)*0.6,0)</f>
        <v>263.79566654419597</v>
      </c>
      <c r="AJ41" s="80">
        <v>1</v>
      </c>
      <c r="AK41" s="80">
        <v>1</v>
      </c>
      <c r="AL41" s="80">
        <v>1</v>
      </c>
    </row>
    <row r="42" spans="1:38" s="71" customFormat="1">
      <c r="A42" s="69" t="str">
        <f>怪物并表!$R$7</f>
        <v>普通副本</v>
      </c>
      <c r="B42" s="70">
        <v>5</v>
      </c>
      <c r="C42" s="69">
        <f t="shared" ref="C42:C55" si="9">F42*1000+G42</f>
        <v>1006</v>
      </c>
      <c r="D42" s="69">
        <v>3</v>
      </c>
      <c r="E42" s="69">
        <f>VLOOKUP(A42,怪物并表!$R$7:$S$14,2,FALSE)</f>
        <v>1</v>
      </c>
      <c r="F42" s="70">
        <v>1</v>
      </c>
      <c r="G42" s="70">
        <v>6</v>
      </c>
      <c r="H42" s="70">
        <v>1</v>
      </c>
      <c r="I42" s="33">
        <f t="shared" si="1"/>
        <v>116105</v>
      </c>
      <c r="J42" s="69" t="s">
        <v>452</v>
      </c>
      <c r="K42" s="69"/>
      <c r="L42" s="69">
        <v>0</v>
      </c>
      <c r="M42" s="69">
        <v>1</v>
      </c>
      <c r="N42" s="69" t="s">
        <v>211</v>
      </c>
      <c r="O42" s="69">
        <v>5</v>
      </c>
      <c r="P42" s="33">
        <f>VLOOKUP($C42,CHOOSE({1,2},怪物并表!$E$7:$E$1000,怪物并表!$D$7:$D$1000),2,FALSE)</f>
        <v>7</v>
      </c>
      <c r="Q42" s="33" t="s">
        <v>397</v>
      </c>
      <c r="R42" s="33">
        <f>VLOOKUP(Q42,怪物信息配置表!$A$2:$B$118,2,FALSE)</f>
        <v>1107</v>
      </c>
      <c r="S42" s="33">
        <v>1</v>
      </c>
      <c r="T42" s="49">
        <f>VLOOKUP($C42,怪物并表!$E$7:$N$1000,2+($D42-1)*3,FALSE)*S42*AJ42</f>
        <v>3036.0698042625195</v>
      </c>
      <c r="U42" s="49">
        <f>VLOOKUP($C42,怪物并表!$E$7:$N$1000,3+($D42-1)*3,FALSE)*S42*AK42</f>
        <v>65.986874373695201</v>
      </c>
      <c r="V42" s="49">
        <f>VLOOKUP($C42,怪物并表!$E$7:$N$1000,4+($D42-1)*3,FALSE)*S42*AL42</f>
        <v>54.366</v>
      </c>
      <c r="W42" s="69"/>
      <c r="X42" s="69"/>
      <c r="Y42" s="49">
        <f>VLOOKUP($C42,怪物并表!$E$7:$P$1000,12,FALSE)</f>
        <v>0</v>
      </c>
      <c r="Z42" s="49">
        <f>VLOOKUP($C42,怪物并表!$E$7:$P$1000,11,FALSE)*S42</f>
        <v>749.19600000000003</v>
      </c>
      <c r="AA42" s="69"/>
      <c r="AB42" s="69"/>
      <c r="AC42" s="69"/>
      <c r="AD42" s="75">
        <v>80</v>
      </c>
      <c r="AE42" s="2">
        <f t="shared" si="2"/>
        <v>50</v>
      </c>
      <c r="AF42" s="2" t="str">
        <f>IF(ISBLANK(AM42),IF(O42=6,"",IF(O42=1,VLOOKUP(R42,怪物信息配置表!B:H,5,FALSE),IF(O42=2,VLOOKUP(R42,怪物信息配置表!B:H,6,FALSE),IF(OR(O42=3,O42=5),VLOOKUP(R42,怪物信息配置表!B:H,7,FALSE),"")))),AM42)</f>
        <v>1107_CHN_BOSS</v>
      </c>
      <c r="AG42" s="3"/>
      <c r="AH42" s="15">
        <f>SUMPRODUCT(T42:V42,$AN$3:$AP$3)+ROUNDDOWN(VLOOKUP(P42,CHOOSE({1,2},'[1]消耗&amp;价值&amp;分析'!$C$7:$C$106,'[1]消耗&amp;价值&amp;分析'!$AS$7:$AS$106),2,FALSE)*0.6,0)</f>
        <v>263.79566654419597</v>
      </c>
      <c r="AJ42" s="80">
        <v>1</v>
      </c>
      <c r="AK42" s="80">
        <v>1</v>
      </c>
      <c r="AL42" s="80">
        <v>1</v>
      </c>
    </row>
    <row r="43" spans="1:38" s="71" customFormat="1">
      <c r="A43" s="69" t="str">
        <f>怪物并表!$R$7</f>
        <v>普通副本</v>
      </c>
      <c r="B43" s="70">
        <v>6</v>
      </c>
      <c r="C43" s="69">
        <f t="shared" si="9"/>
        <v>1006</v>
      </c>
      <c r="D43" s="69">
        <v>3</v>
      </c>
      <c r="E43" s="69">
        <f>VLOOKUP(A43,怪物并表!$R$7:$S$14,2,FALSE)</f>
        <v>1</v>
      </c>
      <c r="F43" s="70">
        <v>1</v>
      </c>
      <c r="G43" s="70">
        <v>6</v>
      </c>
      <c r="H43" s="70">
        <v>1</v>
      </c>
      <c r="I43" s="33">
        <f t="shared" si="1"/>
        <v>116106</v>
      </c>
      <c r="J43" s="69" t="s">
        <v>459</v>
      </c>
      <c r="K43" s="69"/>
      <c r="L43" s="69">
        <v>0</v>
      </c>
      <c r="M43" s="69">
        <v>1</v>
      </c>
      <c r="N43" s="69" t="s">
        <v>212</v>
      </c>
      <c r="O43" s="69">
        <v>5</v>
      </c>
      <c r="P43" s="33">
        <f>VLOOKUP($C43,CHOOSE({1,2},怪物并表!$E$7:$E$1000,怪物并表!$D$7:$D$1000),2,FALSE)</f>
        <v>7</v>
      </c>
      <c r="Q43" s="33" t="s">
        <v>398</v>
      </c>
      <c r="R43" s="33">
        <f>VLOOKUP(Q43,怪物信息配置表!$A$2:$B$118,2,FALSE)</f>
        <v>1108</v>
      </c>
      <c r="S43" s="33">
        <v>1</v>
      </c>
      <c r="T43" s="49">
        <f>VLOOKUP($C43,怪物并表!$E$7:$N$1000,2+($D43-1)*3,FALSE)*S43*AJ43</f>
        <v>3036.0698042625195</v>
      </c>
      <c r="U43" s="49">
        <f>VLOOKUP($C43,怪物并表!$E$7:$N$1000,3+($D43-1)*3,FALSE)*S43*AK43</f>
        <v>65.986874373695201</v>
      </c>
      <c r="V43" s="49">
        <f>VLOOKUP($C43,怪物并表!$E$7:$N$1000,4+($D43-1)*3,FALSE)*S43*AL43</f>
        <v>54.366</v>
      </c>
      <c r="W43" s="69"/>
      <c r="X43" s="69"/>
      <c r="Y43" s="49">
        <f>VLOOKUP($C43,怪物并表!$E$7:$P$1000,12,FALSE)</f>
        <v>0</v>
      </c>
      <c r="Z43" s="49">
        <f>VLOOKUP($C43,怪物并表!$E$7:$P$1000,11,FALSE)*S43</f>
        <v>749.19600000000003</v>
      </c>
      <c r="AA43" s="69"/>
      <c r="AB43" s="69"/>
      <c r="AC43" s="69"/>
      <c r="AD43" s="75">
        <v>80</v>
      </c>
      <c r="AE43" s="2">
        <f t="shared" si="2"/>
        <v>50</v>
      </c>
      <c r="AF43" s="2" t="str">
        <f>IF(ISBLANK(AM43),IF(O43=6,"",IF(O43=1,VLOOKUP(R43,怪物信息配置表!B:H,5,FALSE),IF(O43=2,VLOOKUP(R43,怪物信息配置表!B:H,6,FALSE),IF(OR(O43=3,O43=5),VLOOKUP(R43,怪物信息配置表!B:H,7,FALSE),"")))),AM43)</f>
        <v>1108_shanji_BOSS</v>
      </c>
      <c r="AG43" s="3"/>
      <c r="AH43" s="15">
        <f>SUMPRODUCT(T43:V43,$AN$3:$AP$3)+ROUNDDOWN(VLOOKUP(P43,CHOOSE({1,2},'[1]消耗&amp;价值&amp;分析'!$C$7:$C$106,'[1]消耗&amp;价值&amp;分析'!$AS$7:$AS$106),2,FALSE)*0.6,0)</f>
        <v>263.79566654419597</v>
      </c>
      <c r="AJ43" s="80">
        <v>1</v>
      </c>
      <c r="AK43" s="80">
        <v>1</v>
      </c>
      <c r="AL43" s="80">
        <v>1</v>
      </c>
    </row>
    <row r="44" spans="1:38">
      <c r="A44" s="33" t="str">
        <f>怪物并表!$R$7</f>
        <v>普通副本</v>
      </c>
      <c r="B44" s="38">
        <v>1</v>
      </c>
      <c r="C44" s="33">
        <f t="shared" si="9"/>
        <v>1007</v>
      </c>
      <c r="D44" s="33">
        <v>1</v>
      </c>
      <c r="E44" s="33">
        <f>VLOOKUP(A44,怪物并表!$R$7:$S$14,2,FALSE)</f>
        <v>1</v>
      </c>
      <c r="F44" s="38">
        <v>1</v>
      </c>
      <c r="G44" s="38">
        <v>7</v>
      </c>
      <c r="H44" s="38">
        <v>1</v>
      </c>
      <c r="I44" s="33">
        <f t="shared" si="1"/>
        <v>117101</v>
      </c>
      <c r="J44" s="33" t="s">
        <v>13</v>
      </c>
      <c r="K44" s="33"/>
      <c r="L44" s="33">
        <v>0</v>
      </c>
      <c r="M44" s="33">
        <v>1</v>
      </c>
      <c r="N44" s="33"/>
      <c r="O44" s="33">
        <v>1</v>
      </c>
      <c r="P44" s="33">
        <f>VLOOKUP($C44,CHOOSE({1,2},怪物并表!$E$7:$E$1000,怪物并表!$D$7:$D$1000),2,FALSE)</f>
        <v>8</v>
      </c>
      <c r="Q44" s="33" t="s">
        <v>13</v>
      </c>
      <c r="R44" s="33">
        <f>VLOOKUP(Q44,怪物信息配置表!$A$2:$B$118,2,FALSE)</f>
        <v>1007</v>
      </c>
      <c r="S44" s="33">
        <v>1</v>
      </c>
      <c r="T44" s="49">
        <f>VLOOKUP($C44,怪物并表!$E$7:$N$1000,2+($D44-1)*3,FALSE)*S44*AJ44</f>
        <v>1419.9231822030038</v>
      </c>
      <c r="U44" s="49">
        <f>VLOOKUP($C44,怪物并表!$E$7:$N$1000,3+($D44-1)*3,FALSE)*S44*AK44</f>
        <v>71.889224369747922</v>
      </c>
      <c r="V44" s="49">
        <f>VLOOKUP($C44,怪物并表!$E$7:$N$1000,4+($D44-1)*3,FALSE)*S44*AL44</f>
        <v>49.420800000000014</v>
      </c>
      <c r="W44" s="33"/>
      <c r="X44" s="33"/>
      <c r="Y44" s="49">
        <f>VLOOKUP($C44,怪物并表!$E$7:$P$1000,12,FALSE)</f>
        <v>0</v>
      </c>
      <c r="Z44" s="49">
        <f>VLOOKUP($C44,怪物并表!$E$7:$P$1000,11,FALSE)*S44</f>
        <v>807.42399999999998</v>
      </c>
      <c r="AA44" s="33"/>
      <c r="AB44" s="33"/>
      <c r="AC44" s="33"/>
      <c r="AD44" s="33">
        <f t="shared" ref="AD44:AD55" si="10">IF(D44=1,1,IF(D44=2,0.8,1.5))</f>
        <v>1</v>
      </c>
      <c r="AE44" s="2">
        <f t="shared" si="2"/>
        <v>905</v>
      </c>
      <c r="AF44" s="2" t="str">
        <f>IF(ISBLANK(AM44),IF(O44=6,"",IF(O44=1,VLOOKUP(R44,怪物信息配置表!B:H,5,FALSE),IF(O44=2,VLOOKUP(R44,怪物信息配置表!B:H,6,FALSE),IF(OR(O44=3,O44=5),VLOOKUP(R44,怪物信息配置表!B:H,7,FALSE),"")))),AM44)</f>
        <v>ai_monster_03</v>
      </c>
      <c r="AG44" s="2"/>
      <c r="AH44" s="15">
        <f>SUMPRODUCT(T44:V44,$AN$3:$AP$3)+ROUNDDOWN(VLOOKUP(P44,CHOOSE({1,2},'[1]消耗&amp;价值&amp;分析'!$C$7:$C$106,'[1]消耗&amp;价值&amp;分析'!$AS$7:$AS$106),2,FALSE)*0.6,0)</f>
        <v>207.10695165786808</v>
      </c>
      <c r="AJ44" s="80">
        <v>1</v>
      </c>
      <c r="AK44" s="80">
        <v>1</v>
      </c>
      <c r="AL44" s="80">
        <v>1</v>
      </c>
    </row>
    <row r="45" spans="1:38">
      <c r="A45" s="33" t="str">
        <f>怪物并表!$R$7</f>
        <v>普通副本</v>
      </c>
      <c r="B45" s="38">
        <v>2</v>
      </c>
      <c r="C45" s="33">
        <f t="shared" si="9"/>
        <v>1007</v>
      </c>
      <c r="D45" s="33">
        <v>1</v>
      </c>
      <c r="E45" s="33">
        <f>VLOOKUP(A45,怪物并表!$R$7:$S$14,2,FALSE)</f>
        <v>1</v>
      </c>
      <c r="F45" s="38">
        <v>1</v>
      </c>
      <c r="G45" s="38">
        <v>7</v>
      </c>
      <c r="H45" s="38">
        <v>1</v>
      </c>
      <c r="I45" s="33">
        <f t="shared" si="1"/>
        <v>117102</v>
      </c>
      <c r="J45" s="33" t="s">
        <v>214</v>
      </c>
      <c r="K45" s="33"/>
      <c r="L45" s="33">
        <v>0</v>
      </c>
      <c r="M45" s="33">
        <v>1</v>
      </c>
      <c r="N45" s="33"/>
      <c r="O45" s="33">
        <v>1</v>
      </c>
      <c r="P45" s="33">
        <f>VLOOKUP($C45,CHOOSE({1,2},怪物并表!$E$7:$E$1000,怪物并表!$D$7:$D$1000),2,FALSE)</f>
        <v>8</v>
      </c>
      <c r="Q45" s="33" t="s">
        <v>10</v>
      </c>
      <c r="R45" s="33">
        <f>VLOOKUP(Q45,怪物信息配置表!$A$2:$B$118,2,FALSE)</f>
        <v>1001</v>
      </c>
      <c r="S45" s="33">
        <v>1</v>
      </c>
      <c r="T45" s="49">
        <f>VLOOKUP($C45,怪物并表!$E$7:$N$1000,2+($D45-1)*3,FALSE)*S45*AJ45</f>
        <v>1419.9231822030038</v>
      </c>
      <c r="U45" s="49">
        <f>VLOOKUP($C45,怪物并表!$E$7:$N$1000,3+($D45-1)*3,FALSE)*S45*AK45</f>
        <v>71.889224369747922</v>
      </c>
      <c r="V45" s="49">
        <f>VLOOKUP($C45,怪物并表!$E$7:$N$1000,4+($D45-1)*3,FALSE)*S45*AL45</f>
        <v>49.420800000000014</v>
      </c>
      <c r="W45" s="33"/>
      <c r="X45" s="33"/>
      <c r="Y45" s="49">
        <f>VLOOKUP($C45,怪物并表!$E$7:$P$1000,12,FALSE)</f>
        <v>0</v>
      </c>
      <c r="Z45" s="49">
        <f>VLOOKUP($C45,怪物并表!$E$7:$P$1000,11,FALSE)*S45</f>
        <v>807.42399999999998</v>
      </c>
      <c r="AA45" s="33"/>
      <c r="AB45" s="33"/>
      <c r="AC45" s="33"/>
      <c r="AD45" s="33">
        <f t="shared" si="10"/>
        <v>1</v>
      </c>
      <c r="AE45" s="2">
        <f t="shared" si="2"/>
        <v>905</v>
      </c>
      <c r="AF45" s="2" t="str">
        <f>IF(ISBLANK(AM45),IF(O45=6,"",IF(O45=1,VLOOKUP(R45,怪物信息配置表!B:H,5,FALSE),IF(O45=2,VLOOKUP(R45,怪物信息配置表!B:H,6,FALSE),IF(OR(O45=3,O45=5),VLOOKUP(R45,怪物信息配置表!B:H,7,FALSE),"")))),AM45)</f>
        <v>ai_monster</v>
      </c>
      <c r="AG45" s="2"/>
      <c r="AH45" s="15">
        <f>SUMPRODUCT(T45:V45,$AN$3:$AP$3)+ROUNDDOWN(VLOOKUP(P45,CHOOSE({1,2},'[1]消耗&amp;价值&amp;分析'!$C$7:$C$106,'[1]消耗&amp;价值&amp;分析'!$AS$7:$AS$106),2,FALSE)*0.6,0)</f>
        <v>207.10695165786808</v>
      </c>
      <c r="AJ45" s="80">
        <v>1</v>
      </c>
      <c r="AK45" s="80">
        <v>1</v>
      </c>
      <c r="AL45" s="80">
        <v>1</v>
      </c>
    </row>
    <row r="46" spans="1:38">
      <c r="A46" s="33" t="str">
        <f>怪物并表!$R$7</f>
        <v>普通副本</v>
      </c>
      <c r="B46" s="38">
        <v>3</v>
      </c>
      <c r="C46" s="33">
        <f t="shared" si="9"/>
        <v>1007</v>
      </c>
      <c r="D46" s="33">
        <v>1</v>
      </c>
      <c r="E46" s="33">
        <f>VLOOKUP(A46,怪物并表!$R$7:$S$14,2,FALSE)</f>
        <v>1</v>
      </c>
      <c r="F46" s="38">
        <v>1</v>
      </c>
      <c r="G46" s="38">
        <v>7</v>
      </c>
      <c r="H46" s="38">
        <v>1</v>
      </c>
      <c r="I46" s="33">
        <f t="shared" si="1"/>
        <v>117103</v>
      </c>
      <c r="J46" s="33">
        <v>0</v>
      </c>
      <c r="K46" s="33"/>
      <c r="L46" s="33">
        <v>0</v>
      </c>
      <c r="M46" s="33">
        <v>1</v>
      </c>
      <c r="N46" s="33"/>
      <c r="O46" s="33">
        <v>1</v>
      </c>
      <c r="P46" s="33">
        <f>VLOOKUP($C46,CHOOSE({1,2},怪物并表!$E$7:$E$1000,怪物并表!$D$7:$D$1000),2,FALSE)</f>
        <v>8</v>
      </c>
      <c r="Q46" s="33" t="s">
        <v>10</v>
      </c>
      <c r="R46" s="33">
        <f>VLOOKUP(Q46,怪物信息配置表!$A$2:$B$118,2,FALSE)</f>
        <v>1001</v>
      </c>
      <c r="S46" s="33">
        <v>1</v>
      </c>
      <c r="T46" s="49">
        <f>VLOOKUP($C46,怪物并表!$E$7:$N$1000,2+($D46-1)*3,FALSE)*S46*AJ46</f>
        <v>1419.9231822030038</v>
      </c>
      <c r="U46" s="49">
        <f>VLOOKUP($C46,怪物并表!$E$7:$N$1000,3+($D46-1)*3,FALSE)*S46*AK46</f>
        <v>71.889224369747922</v>
      </c>
      <c r="V46" s="49">
        <f>VLOOKUP($C46,怪物并表!$E$7:$N$1000,4+($D46-1)*3,FALSE)*S46*AL46</f>
        <v>49.420800000000014</v>
      </c>
      <c r="W46" s="33"/>
      <c r="X46" s="33"/>
      <c r="Y46" s="49">
        <f>VLOOKUP($C46,怪物并表!$E$7:$P$1000,12,FALSE)</f>
        <v>0</v>
      </c>
      <c r="Z46" s="49">
        <f>VLOOKUP($C46,怪物并表!$E$7:$P$1000,11,FALSE)*S46</f>
        <v>807.42399999999998</v>
      </c>
      <c r="AA46" s="33"/>
      <c r="AB46" s="33"/>
      <c r="AC46" s="33"/>
      <c r="AD46" s="33">
        <f t="shared" si="10"/>
        <v>1</v>
      </c>
      <c r="AE46" s="2">
        <f t="shared" si="2"/>
        <v>905</v>
      </c>
      <c r="AF46" s="2" t="str">
        <f>IF(ISBLANK(AM46),IF(O46=6,"",IF(O46=1,VLOOKUP(R46,怪物信息配置表!B:H,5,FALSE),IF(O46=2,VLOOKUP(R46,怪物信息配置表!B:H,6,FALSE),IF(OR(O46=3,O46=5),VLOOKUP(R46,怪物信息配置表!B:H,7,FALSE),"")))),AM46)</f>
        <v>ai_monster</v>
      </c>
      <c r="AG46" s="2"/>
      <c r="AH46" s="15">
        <f>SUMPRODUCT(T46:V46,$AN$3:$AP$3)+ROUNDDOWN(VLOOKUP(P46,CHOOSE({1,2},'[1]消耗&amp;价值&amp;分析'!$C$7:$C$106,'[1]消耗&amp;价值&amp;分析'!$AS$7:$AS$106),2,FALSE)*0.6,0)</f>
        <v>207.10695165786808</v>
      </c>
      <c r="AJ46" s="80">
        <v>1</v>
      </c>
      <c r="AK46" s="80">
        <v>1</v>
      </c>
      <c r="AL46" s="80">
        <v>1</v>
      </c>
    </row>
    <row r="47" spans="1:38">
      <c r="A47" s="33" t="str">
        <f>怪物并表!$R$7</f>
        <v>普通副本</v>
      </c>
      <c r="B47" s="38">
        <v>4</v>
      </c>
      <c r="C47" s="33">
        <f t="shared" si="9"/>
        <v>1007</v>
      </c>
      <c r="D47" s="33">
        <v>3</v>
      </c>
      <c r="E47" s="33">
        <f>VLOOKUP(A47,怪物并表!$R$7:$S$14,2,FALSE)</f>
        <v>1</v>
      </c>
      <c r="F47" s="38">
        <v>1</v>
      </c>
      <c r="G47" s="38">
        <v>7</v>
      </c>
      <c r="H47" s="38">
        <v>1</v>
      </c>
      <c r="I47" s="33">
        <f t="shared" si="1"/>
        <v>117104</v>
      </c>
      <c r="J47" s="33" t="s">
        <v>673</v>
      </c>
      <c r="K47" s="33"/>
      <c r="L47" s="33">
        <v>1</v>
      </c>
      <c r="M47" s="33">
        <v>1.2</v>
      </c>
      <c r="N47" s="33"/>
      <c r="O47" s="33">
        <v>3</v>
      </c>
      <c r="P47" s="33">
        <f>VLOOKUP($C47,CHOOSE({1,2},怪物并表!$E$7:$E$1000,怪物并表!$D$7:$D$1000),2,FALSE)</f>
        <v>8</v>
      </c>
      <c r="Q47" s="33" t="s">
        <v>15</v>
      </c>
      <c r="R47" s="33">
        <f>VLOOKUP(Q47,怪物信息配置表!$A$2:$B$118,2,FALSE)</f>
        <v>1004</v>
      </c>
      <c r="S47" s="33">
        <v>1</v>
      </c>
      <c r="T47" s="49">
        <f>VLOOKUP($C47,怪物并表!$E$7:$N$1000,2+($D47-1)*3,FALSE)*S47*AJ47</f>
        <v>3549.8079555075096</v>
      </c>
      <c r="U47" s="49">
        <f>VLOOKUP($C47,怪物并表!$E$7:$N$1000,3+($D47-1)*3,FALSE)*S47*AK47</f>
        <v>76.382909243697497</v>
      </c>
      <c r="V47" s="49">
        <f>VLOOKUP($C47,怪物并表!$E$7:$N$1000,4+($D47-1)*3,FALSE)*S47*AL47</f>
        <v>61.77600000000001</v>
      </c>
      <c r="W47" s="33"/>
      <c r="X47" s="33"/>
      <c r="Y47" s="49">
        <f>VLOOKUP($C47,怪物并表!$E$7:$P$1000,12,FALSE)</f>
        <v>0</v>
      </c>
      <c r="Z47" s="49">
        <f>VLOOKUP($C47,怪物并表!$E$7:$P$1000,11,FALSE)*S47</f>
        <v>807.42399999999998</v>
      </c>
      <c r="AA47" s="33"/>
      <c r="AB47" s="33"/>
      <c r="AC47" s="33"/>
      <c r="AD47" s="33">
        <f t="shared" si="10"/>
        <v>1.5</v>
      </c>
      <c r="AE47" s="2">
        <f t="shared" si="2"/>
        <v>857.5</v>
      </c>
      <c r="AF47" s="2" t="str">
        <f>IF(ISBLANK(AM47),IF(O47=6,"",IF(O47=1,VLOOKUP(R47,怪物信息配置表!B:H,5,FALSE),IF(O47=2,VLOOKUP(R47,怪物信息配置表!B:H,6,FALSE),IF(OR(O47=3,O47=5),VLOOKUP(R47,怪物信息配置表!B:H,7,FALSE),"")))),AM47)</f>
        <v>1004_pangzi_BOSS</v>
      </c>
      <c r="AG47" s="2"/>
      <c r="AH47" s="15">
        <f>SUMPRODUCT(T47:V47,$AN$3:$AP$3)+ROUNDDOWN(VLOOKUP(P47,CHOOSE({1,2},'[1]消耗&amp;价值&amp;分析'!$C$7:$C$106,'[1]消耗&amp;价值&amp;分析'!$AS$7:$AS$106),2,FALSE)*0.6,0)</f>
        <v>309.15122746399788</v>
      </c>
      <c r="AJ47" s="80">
        <v>1</v>
      </c>
      <c r="AK47" s="80">
        <v>1</v>
      </c>
      <c r="AL47" s="80">
        <v>1</v>
      </c>
    </row>
    <row r="48" spans="1:38">
      <c r="A48" s="33" t="str">
        <f>怪物并表!$R$7</f>
        <v>普通副本</v>
      </c>
      <c r="B48" s="38">
        <v>1</v>
      </c>
      <c r="C48" s="33">
        <f t="shared" si="9"/>
        <v>1008</v>
      </c>
      <c r="D48" s="33">
        <v>1</v>
      </c>
      <c r="E48" s="33">
        <f>VLOOKUP(A48,怪物并表!$R$7:$S$14,2,FALSE)</f>
        <v>1</v>
      </c>
      <c r="F48" s="38">
        <v>1</v>
      </c>
      <c r="G48" s="38">
        <v>8</v>
      </c>
      <c r="H48" s="38">
        <v>1</v>
      </c>
      <c r="I48" s="33">
        <f t="shared" si="1"/>
        <v>118101</v>
      </c>
      <c r="J48" s="33" t="s">
        <v>449</v>
      </c>
      <c r="K48" s="33"/>
      <c r="L48" s="33">
        <v>0</v>
      </c>
      <c r="M48" s="33">
        <v>1</v>
      </c>
      <c r="N48" s="33"/>
      <c r="O48" s="33">
        <v>1</v>
      </c>
      <c r="P48" s="33">
        <f>VLOOKUP($C48,CHOOSE({1,2},怪物并表!$E$7:$E$1000,怪物并表!$D$7:$D$1000),2,FALSE)</f>
        <v>9</v>
      </c>
      <c r="Q48" s="33" t="s">
        <v>10</v>
      </c>
      <c r="R48" s="33">
        <f>VLOOKUP(Q48,怪物信息配置表!$A$2:$B$118,2,FALSE)</f>
        <v>1001</v>
      </c>
      <c r="S48" s="33">
        <v>1</v>
      </c>
      <c r="T48" s="49">
        <f>VLOOKUP($C48,怪物并表!$E$7:$N$1000,2+($D48-1)*3,FALSE)*S48*AJ48</f>
        <v>1828.1715738897817</v>
      </c>
      <c r="U48" s="49">
        <f>VLOOKUP($C48,怪物并表!$E$7:$N$1000,3+($D48-1)*3,FALSE)*S48*AK48</f>
        <v>91.771683632457041</v>
      </c>
      <c r="V48" s="49">
        <f>VLOOKUP($C48,怪物并表!$E$7:$N$1000,4+($D48-1)*3,FALSE)*S48*AL48</f>
        <v>62.067547826086951</v>
      </c>
      <c r="W48" s="33"/>
      <c r="X48" s="33"/>
      <c r="Y48" s="49">
        <f>VLOOKUP($C48,怪物并表!$E$7:$P$1000,12,FALSE)</f>
        <v>0</v>
      </c>
      <c r="Z48" s="49">
        <f>VLOOKUP($C48,怪物并表!$E$7:$P$1000,11,FALSE)*S48</f>
        <v>865.65200000000004</v>
      </c>
      <c r="AA48" s="33"/>
      <c r="AB48" s="33"/>
      <c r="AC48" s="33"/>
      <c r="AD48" s="33">
        <f t="shared" si="10"/>
        <v>1</v>
      </c>
      <c r="AE48" s="2">
        <f t="shared" si="2"/>
        <v>893.125</v>
      </c>
      <c r="AF48" s="2" t="str">
        <f>IF(ISBLANK(AM48),IF(O48=6,"",IF(O48=1,VLOOKUP(R48,怪物信息配置表!B:H,5,FALSE),IF(O48=2,VLOOKUP(R48,怪物信息配置表!B:H,6,FALSE),IF(OR(O48=3,O48=5),VLOOKUP(R48,怪物信息配置表!B:H,7,FALSE),"")))),AM48)</f>
        <v>ai_monster</v>
      </c>
      <c r="AG48" s="2"/>
      <c r="AH48" s="15">
        <f>SUMPRODUCT(T48:V48,$AN$3:$AP$3)+ROUNDDOWN(VLOOKUP(P48,CHOOSE({1,2},'[1]消耗&amp;价值&amp;分析'!$C$7:$C$106,'[1]消耗&amp;价值&amp;分析'!$AS$7:$AS$106),2,FALSE)*0.6,0)</f>
        <v>278.96609441413523</v>
      </c>
      <c r="AJ48" s="80">
        <v>1</v>
      </c>
      <c r="AK48" s="80">
        <v>1</v>
      </c>
      <c r="AL48" s="80">
        <v>1</v>
      </c>
    </row>
    <row r="49" spans="1:38">
      <c r="A49" s="33" t="str">
        <f>怪物并表!$R$7</f>
        <v>普通副本</v>
      </c>
      <c r="B49" s="38">
        <v>2</v>
      </c>
      <c r="C49" s="33">
        <f t="shared" si="9"/>
        <v>1008</v>
      </c>
      <c r="D49" s="33">
        <v>2</v>
      </c>
      <c r="E49" s="33">
        <f>VLOOKUP(A49,怪物并表!$R$7:$S$14,2,FALSE)</f>
        <v>1</v>
      </c>
      <c r="F49" s="38">
        <v>1</v>
      </c>
      <c r="G49" s="38">
        <v>8</v>
      </c>
      <c r="H49" s="38">
        <v>1</v>
      </c>
      <c r="I49" s="33">
        <f t="shared" si="1"/>
        <v>118102</v>
      </c>
      <c r="J49" s="33" t="s">
        <v>455</v>
      </c>
      <c r="K49" s="33"/>
      <c r="L49" s="33">
        <v>0</v>
      </c>
      <c r="M49" s="33">
        <v>1</v>
      </c>
      <c r="N49" s="33"/>
      <c r="O49" s="33">
        <v>1</v>
      </c>
      <c r="P49" s="33">
        <f>VLOOKUP($C49,CHOOSE({1,2},怪物并表!$E$7:$E$1000,怪物并表!$D$7:$D$1000),2,FALSE)</f>
        <v>9</v>
      </c>
      <c r="Q49" s="33" t="s">
        <v>9</v>
      </c>
      <c r="R49" s="33">
        <f>VLOOKUP(Q49,怪物信息配置表!$A$2:$B$118,2,FALSE)</f>
        <v>1003</v>
      </c>
      <c r="S49" s="33">
        <v>1</v>
      </c>
      <c r="T49" s="49">
        <f>VLOOKUP($C49,怪物并表!$E$7:$N$1000,2+($D49-1)*3,FALSE)*S49*AJ49</f>
        <v>1462.5372591118253</v>
      </c>
      <c r="U49" s="49">
        <f>VLOOKUP($C49,怪物并表!$E$7:$N$1000,3+($D49-1)*3,FALSE)*S49*AK49</f>
        <v>88.80127005182004</v>
      </c>
      <c r="V49" s="49">
        <f>VLOOKUP($C49,怪物并表!$E$7:$N$1000,4+($D49-1)*3,FALSE)*S49*AL49</f>
        <v>46.55066086956522</v>
      </c>
      <c r="W49" s="33"/>
      <c r="X49" s="33"/>
      <c r="Y49" s="49">
        <f>VLOOKUP($C49,怪物并表!$E$7:$P$1000,12,FALSE)</f>
        <v>0</v>
      </c>
      <c r="Z49" s="49">
        <f>VLOOKUP($C49,怪物并表!$E$7:$P$1000,11,FALSE)*S49</f>
        <v>865.65200000000004</v>
      </c>
      <c r="AA49" s="33"/>
      <c r="AB49" s="33"/>
      <c r="AC49" s="33"/>
      <c r="AD49" s="33">
        <f t="shared" si="10"/>
        <v>0.8</v>
      </c>
      <c r="AE49" s="2">
        <f t="shared" si="2"/>
        <v>914.5</v>
      </c>
      <c r="AF49" s="2" t="str">
        <f>IF(ISBLANK(AM49),IF(O49=6,"",IF(O49=1,VLOOKUP(R49,怪物信息配置表!B:H,5,FALSE),IF(O49=2,VLOOKUP(R49,怪物信息配置表!B:H,6,FALSE),IF(OR(O49=3,O49=5),VLOOKUP(R49,怪物信息配置表!B:H,7,FALSE),"")))),AM49)</f>
        <v>ai_monster_02</v>
      </c>
      <c r="AG49" s="2"/>
      <c r="AH49" s="15">
        <f>SUMPRODUCT(T49:V49,$AN$3:$AP$3)+ROUNDDOWN(VLOOKUP(P49,CHOOSE({1,2},'[1]消耗&amp;价值&amp;分析'!$C$7:$C$106,'[1]消耗&amp;价值&amp;分析'!$AS$7:$AS$106),2,FALSE)*0.6,0)</f>
        <v>245.85342128585825</v>
      </c>
      <c r="AJ49" s="80">
        <v>1</v>
      </c>
      <c r="AK49" s="80">
        <v>1</v>
      </c>
      <c r="AL49" s="80">
        <v>1</v>
      </c>
    </row>
    <row r="50" spans="1:38">
      <c r="A50" s="33" t="str">
        <f>怪物并表!$R$7</f>
        <v>普通副本</v>
      </c>
      <c r="B50" s="38">
        <v>3</v>
      </c>
      <c r="C50" s="33">
        <f t="shared" si="9"/>
        <v>1008</v>
      </c>
      <c r="D50" s="33">
        <v>1</v>
      </c>
      <c r="E50" s="33">
        <f>VLOOKUP(A50,怪物并表!$R$7:$S$14,2,FALSE)</f>
        <v>1</v>
      </c>
      <c r="F50" s="38">
        <v>1</v>
      </c>
      <c r="G50" s="38">
        <v>8</v>
      </c>
      <c r="H50" s="38">
        <v>1</v>
      </c>
      <c r="I50" s="33">
        <f t="shared" si="1"/>
        <v>118103</v>
      </c>
      <c r="J50" s="33">
        <v>0</v>
      </c>
      <c r="K50" s="33"/>
      <c r="L50" s="33">
        <v>0</v>
      </c>
      <c r="M50" s="33">
        <v>1</v>
      </c>
      <c r="N50" s="33"/>
      <c r="O50" s="33">
        <v>1</v>
      </c>
      <c r="P50" s="33">
        <f>VLOOKUP($C50,CHOOSE({1,2},怪物并表!$E$7:$E$1000,怪物并表!$D$7:$D$1000),2,FALSE)</f>
        <v>9</v>
      </c>
      <c r="Q50" s="33" t="s">
        <v>10</v>
      </c>
      <c r="R50" s="33">
        <f>VLOOKUP(Q50,怪物信息配置表!$A$2:$B$118,2,FALSE)</f>
        <v>1001</v>
      </c>
      <c r="S50" s="33">
        <v>1</v>
      </c>
      <c r="T50" s="49">
        <f>VLOOKUP($C50,怪物并表!$E$7:$N$1000,2+($D50-1)*3,FALSE)*S50*AJ50</f>
        <v>1828.1715738897817</v>
      </c>
      <c r="U50" s="49">
        <f>VLOOKUP($C50,怪物并表!$E$7:$N$1000,3+($D50-1)*3,FALSE)*S50*AK50</f>
        <v>91.771683632457041</v>
      </c>
      <c r="V50" s="49">
        <f>VLOOKUP($C50,怪物并表!$E$7:$N$1000,4+($D50-1)*3,FALSE)*S50*AL50</f>
        <v>62.067547826086951</v>
      </c>
      <c r="W50" s="33"/>
      <c r="X50" s="33"/>
      <c r="Y50" s="49">
        <f>VLOOKUP($C50,怪物并表!$E$7:$P$1000,12,FALSE)</f>
        <v>0</v>
      </c>
      <c r="Z50" s="49">
        <f>VLOOKUP($C50,怪物并表!$E$7:$P$1000,11,FALSE)*S50</f>
        <v>865.65200000000004</v>
      </c>
      <c r="AA50" s="33"/>
      <c r="AB50" s="33"/>
      <c r="AC50" s="33"/>
      <c r="AD50" s="33">
        <f t="shared" si="10"/>
        <v>1</v>
      </c>
      <c r="AE50" s="2">
        <f t="shared" si="2"/>
        <v>893.125</v>
      </c>
      <c r="AF50" s="2" t="str">
        <f>IF(ISBLANK(AM50),IF(O50=6,"",IF(O50=1,VLOOKUP(R50,怪物信息配置表!B:H,5,FALSE),IF(O50=2,VLOOKUP(R50,怪物信息配置表!B:H,6,FALSE),IF(OR(O50=3,O50=5),VLOOKUP(R50,怪物信息配置表!B:H,7,FALSE),"")))),AM50)</f>
        <v>ai_monster</v>
      </c>
      <c r="AG50" s="2"/>
      <c r="AH50" s="15">
        <f>SUMPRODUCT(T50:V50,$AN$3:$AP$3)+ROUNDDOWN(VLOOKUP(P50,CHOOSE({1,2},'[1]消耗&amp;价值&amp;分析'!$C$7:$C$106,'[1]消耗&amp;价值&amp;分析'!$AS$7:$AS$106),2,FALSE)*0.6,0)</f>
        <v>278.96609441413523</v>
      </c>
      <c r="AJ50" s="80">
        <v>1</v>
      </c>
      <c r="AK50" s="80">
        <v>1</v>
      </c>
      <c r="AL50" s="80">
        <v>1</v>
      </c>
    </row>
    <row r="51" spans="1:38">
      <c r="A51" s="33" t="str">
        <f>怪物并表!$R$7</f>
        <v>普通副本</v>
      </c>
      <c r="B51" s="38">
        <v>4</v>
      </c>
      <c r="C51" s="33">
        <f t="shared" si="9"/>
        <v>1008</v>
      </c>
      <c r="D51" s="33">
        <v>3</v>
      </c>
      <c r="E51" s="33">
        <f>VLOOKUP(A51,怪物并表!$R$7:$S$14,2,FALSE)</f>
        <v>1</v>
      </c>
      <c r="F51" s="38">
        <v>1</v>
      </c>
      <c r="G51" s="38">
        <v>8</v>
      </c>
      <c r="H51" s="38">
        <v>1</v>
      </c>
      <c r="I51" s="33">
        <f t="shared" si="1"/>
        <v>118104</v>
      </c>
      <c r="J51" s="33" t="s">
        <v>703</v>
      </c>
      <c r="K51" s="33"/>
      <c r="L51" s="33">
        <v>1</v>
      </c>
      <c r="M51" s="33">
        <v>1.2</v>
      </c>
      <c r="N51" s="33"/>
      <c r="O51" s="33">
        <v>3</v>
      </c>
      <c r="P51" s="33">
        <f>VLOOKUP($C51,CHOOSE({1,2},怪物并表!$E$7:$E$1000,怪物并表!$D$7:$D$1000),2,FALSE)</f>
        <v>9</v>
      </c>
      <c r="Q51" s="33" t="s">
        <v>12</v>
      </c>
      <c r="R51" s="33">
        <f>VLOOKUP(Q51,怪物信息配置表!$A$2:$B$118,2,FALSE)</f>
        <v>1009</v>
      </c>
      <c r="S51" s="33">
        <v>1</v>
      </c>
      <c r="T51" s="49">
        <f>VLOOKUP($C51,怪物并表!$E$7:$N$1000,2+($D51-1)*3,FALSE)*S51*AJ51</f>
        <v>4570.4289347244539</v>
      </c>
      <c r="U51" s="49">
        <f>VLOOKUP($C51,怪物并表!$E$7:$N$1000,3+($D51-1)*3,FALSE)*S51*AK51</f>
        <v>97.712510793731056</v>
      </c>
      <c r="V51" s="49">
        <f>VLOOKUP($C51,怪物并表!$E$7:$N$1000,4+($D51-1)*3,FALSE)*S51*AL51</f>
        <v>77.584434782608696</v>
      </c>
      <c r="W51" s="33"/>
      <c r="X51" s="33"/>
      <c r="Y51" s="49">
        <f>VLOOKUP($C51,怪物并表!$E$7:$P$1000,12,FALSE)</f>
        <v>0</v>
      </c>
      <c r="Z51" s="49">
        <f>VLOOKUP($C51,怪物并表!$E$7:$P$1000,11,FALSE)*S51</f>
        <v>865.65200000000004</v>
      </c>
      <c r="AA51" s="33"/>
      <c r="AB51" s="33"/>
      <c r="AC51" s="33"/>
      <c r="AD51" s="33">
        <f t="shared" si="10"/>
        <v>1.5</v>
      </c>
      <c r="AE51" s="2">
        <f t="shared" si="2"/>
        <v>839.6875</v>
      </c>
      <c r="AF51" s="2" t="str">
        <f>IF(ISBLANK(AM51),IF(O51=6,"",IF(O51=1,VLOOKUP(R51,怪物信息配置表!B:H,5,FALSE),IF(O51=2,VLOOKUP(R51,怪物信息配置表!B:H,6,FALSE),IF(OR(O51=3,O51=5),VLOOKUP(R51,怪物信息配置表!B:H,7,FALSE),"")))),AM51)</f>
        <v>1009_tiequan_BOSS</v>
      </c>
      <c r="AG51" s="2"/>
      <c r="AH51" s="15">
        <f>SUMPRODUCT(T51:V51,$AN$3:$AP$3)+ROUNDDOWN(VLOOKUP(P51,CHOOSE({1,2},'[1]消耗&amp;价值&amp;分析'!$C$7:$C$106,'[1]消耗&amp;价值&amp;分析'!$AS$7:$AS$106),2,FALSE)*0.6,0)</f>
        <v>410.1141029653179</v>
      </c>
      <c r="AJ51" s="80">
        <v>1</v>
      </c>
      <c r="AK51" s="80">
        <v>1</v>
      </c>
      <c r="AL51" s="80">
        <v>1</v>
      </c>
    </row>
    <row r="52" spans="1:38">
      <c r="A52" s="33" t="str">
        <f>怪物并表!$R$7</f>
        <v>普通副本</v>
      </c>
      <c r="B52" s="38">
        <v>1</v>
      </c>
      <c r="C52" s="33">
        <f t="shared" si="9"/>
        <v>1009</v>
      </c>
      <c r="D52" s="33">
        <v>1</v>
      </c>
      <c r="E52" s="33">
        <f>VLOOKUP(A52,怪物并表!$R$7:$S$14,2,FALSE)</f>
        <v>1</v>
      </c>
      <c r="F52" s="38">
        <v>1</v>
      </c>
      <c r="G52" s="38">
        <v>9</v>
      </c>
      <c r="H52" s="38">
        <v>1</v>
      </c>
      <c r="I52" s="33">
        <f t="shared" si="1"/>
        <v>119101</v>
      </c>
      <c r="J52" s="33" t="s">
        <v>216</v>
      </c>
      <c r="K52" s="33"/>
      <c r="L52" s="33">
        <v>0</v>
      </c>
      <c r="M52" s="33">
        <v>1</v>
      </c>
      <c r="N52" s="33"/>
      <c r="O52" s="33">
        <v>1</v>
      </c>
      <c r="P52" s="33">
        <f>VLOOKUP($C52,CHOOSE({1,2},怪物并表!$E$7:$E$1000,怪物并表!$D$7:$D$1000),2,FALSE)</f>
        <v>10</v>
      </c>
      <c r="Q52" s="33" t="s">
        <v>12</v>
      </c>
      <c r="R52" s="33">
        <f>VLOOKUP(Q52,怪物信息配置表!$A$2:$B$118,2,FALSE)</f>
        <v>1009</v>
      </c>
      <c r="S52" s="33">
        <v>1</v>
      </c>
      <c r="T52" s="49">
        <f>VLOOKUP($C52,怪物并表!$E$7:$N$1000,2+($D52-1)*3,FALSE)*S52*AJ52</f>
        <v>2159.6144201298184</v>
      </c>
      <c r="U52" s="49">
        <f>VLOOKUP($C52,怪物并表!$E$7:$N$1000,3+($D52-1)*3,FALSE)*S52*AK52</f>
        <v>121.46732192414434</v>
      </c>
      <c r="V52" s="49">
        <f>VLOOKUP($C52,怪物并表!$E$7:$N$1000,4+($D52-1)*3,FALSE)*S52*AL52</f>
        <v>94.695652173913061</v>
      </c>
      <c r="W52" s="33"/>
      <c r="X52" s="33"/>
      <c r="Y52" s="49">
        <f>VLOOKUP($C52,怪物并表!$E$7:$P$1000,12,FALSE)</f>
        <v>0</v>
      </c>
      <c r="Z52" s="49">
        <f>VLOOKUP($C52,怪物并表!$E$7:$P$1000,11,FALSE)*S52</f>
        <v>923.88</v>
      </c>
      <c r="AA52" s="33"/>
      <c r="AB52" s="33"/>
      <c r="AC52" s="33"/>
      <c r="AD52" s="33">
        <f t="shared" si="10"/>
        <v>1</v>
      </c>
      <c r="AE52" s="2">
        <f t="shared" si="2"/>
        <v>881.25</v>
      </c>
      <c r="AF52" s="2" t="str">
        <f>IF(ISBLANK(AM52),IF(O52=6,"",IF(O52=1,VLOOKUP(R52,怪物信息配置表!B:H,5,FALSE),IF(O52=2,VLOOKUP(R52,怪物信息配置表!B:H,6,FALSE),IF(OR(O52=3,O52=5),VLOOKUP(R52,怪物信息配置表!B:H,7,FALSE),"")))),AM52)</f>
        <v>ai_monster</v>
      </c>
      <c r="AG52" s="2"/>
      <c r="AH52" s="15">
        <f>SUMPRODUCT(T52:V52,$AN$3:$AP$3)+ROUNDDOWN(VLOOKUP(P52,CHOOSE({1,2},'[1]消耗&amp;价值&amp;分析'!$C$7:$C$106,'[1]消耗&amp;价值&amp;分析'!$AS$7:$AS$106),2,FALSE)*0.6,0)</f>
        <v>372.54755090325011</v>
      </c>
      <c r="AJ52" s="80">
        <v>1</v>
      </c>
      <c r="AK52" s="80">
        <v>1</v>
      </c>
      <c r="AL52" s="80">
        <v>1</v>
      </c>
    </row>
    <row r="53" spans="1:38">
      <c r="A53" s="33" t="str">
        <f>怪物并表!$R$7</f>
        <v>普通副本</v>
      </c>
      <c r="B53" s="38">
        <v>2</v>
      </c>
      <c r="C53" s="33">
        <f t="shared" si="9"/>
        <v>1009</v>
      </c>
      <c r="D53" s="33">
        <v>1</v>
      </c>
      <c r="E53" s="33">
        <f>VLOOKUP(A53,怪物并表!$R$7:$S$14,2,FALSE)</f>
        <v>1</v>
      </c>
      <c r="F53" s="38">
        <v>1</v>
      </c>
      <c r="G53" s="38">
        <v>9</v>
      </c>
      <c r="H53" s="38">
        <v>1</v>
      </c>
      <c r="I53" s="33">
        <f t="shared" si="1"/>
        <v>119102</v>
      </c>
      <c r="J53" s="33" t="s">
        <v>214</v>
      </c>
      <c r="K53" s="33"/>
      <c r="L53" s="33">
        <v>0</v>
      </c>
      <c r="M53" s="33">
        <v>1</v>
      </c>
      <c r="N53" s="33"/>
      <c r="O53" s="33">
        <v>1</v>
      </c>
      <c r="P53" s="33">
        <f>VLOOKUP($C53,CHOOSE({1,2},怪物并表!$E$7:$E$1000,怪物并表!$D$7:$D$1000),2,FALSE)</f>
        <v>10</v>
      </c>
      <c r="Q53" s="33" t="s">
        <v>10</v>
      </c>
      <c r="R53" s="33">
        <f>VLOOKUP(Q53,怪物信息配置表!$A$2:$B$118,2,FALSE)</f>
        <v>1001</v>
      </c>
      <c r="S53" s="33">
        <v>1</v>
      </c>
      <c r="T53" s="49">
        <f>VLOOKUP($C53,怪物并表!$E$7:$N$1000,2+($D53-1)*3,FALSE)*S53*AJ53</f>
        <v>2159.6144201298184</v>
      </c>
      <c r="U53" s="49">
        <f>VLOOKUP($C53,怪物并表!$E$7:$N$1000,3+($D53-1)*3,FALSE)*S53*AK53</f>
        <v>121.46732192414434</v>
      </c>
      <c r="V53" s="49">
        <f>VLOOKUP($C53,怪物并表!$E$7:$N$1000,4+($D53-1)*3,FALSE)*S53*AL53</f>
        <v>94.695652173913061</v>
      </c>
      <c r="W53" s="33"/>
      <c r="X53" s="33"/>
      <c r="Y53" s="49">
        <f>VLOOKUP($C53,怪物并表!$E$7:$P$1000,12,FALSE)</f>
        <v>0</v>
      </c>
      <c r="Z53" s="49">
        <f>VLOOKUP($C53,怪物并表!$E$7:$P$1000,11,FALSE)*S53</f>
        <v>923.88</v>
      </c>
      <c r="AA53" s="33"/>
      <c r="AB53" s="33"/>
      <c r="AC53" s="33"/>
      <c r="AD53" s="33">
        <f t="shared" si="10"/>
        <v>1</v>
      </c>
      <c r="AE53" s="2">
        <f t="shared" si="2"/>
        <v>881.25</v>
      </c>
      <c r="AF53" s="2" t="str">
        <f>IF(ISBLANK(AM53),IF(O53=6,"",IF(O53=1,VLOOKUP(R53,怪物信息配置表!B:H,5,FALSE),IF(O53=2,VLOOKUP(R53,怪物信息配置表!B:H,6,FALSE),IF(OR(O53=3,O53=5),VLOOKUP(R53,怪物信息配置表!B:H,7,FALSE),"")))),AM53)</f>
        <v>ai_monster</v>
      </c>
      <c r="AG53" s="2"/>
      <c r="AH53" s="15">
        <f>SUMPRODUCT(T53:V53,$AN$3:$AP$3)+ROUNDDOWN(VLOOKUP(P53,CHOOSE({1,2},'[1]消耗&amp;价值&amp;分析'!$C$7:$C$106,'[1]消耗&amp;价值&amp;分析'!$AS$7:$AS$106),2,FALSE)*0.6,0)</f>
        <v>372.54755090325011</v>
      </c>
      <c r="AJ53" s="80">
        <v>1</v>
      </c>
      <c r="AK53" s="80">
        <v>1</v>
      </c>
      <c r="AL53" s="80">
        <v>1</v>
      </c>
    </row>
    <row r="54" spans="1:38">
      <c r="A54" s="33" t="str">
        <f>怪物并表!$R$7</f>
        <v>普通副本</v>
      </c>
      <c r="B54" s="38">
        <v>3</v>
      </c>
      <c r="C54" s="33">
        <f t="shared" si="9"/>
        <v>1009</v>
      </c>
      <c r="D54" s="33">
        <v>1</v>
      </c>
      <c r="E54" s="33">
        <f>VLOOKUP(A54,怪物并表!$R$7:$S$14,2,FALSE)</f>
        <v>1</v>
      </c>
      <c r="F54" s="38">
        <v>1</v>
      </c>
      <c r="G54" s="38">
        <v>9</v>
      </c>
      <c r="H54" s="38">
        <v>1</v>
      </c>
      <c r="I54" s="33">
        <f t="shared" si="1"/>
        <v>119103</v>
      </c>
      <c r="J54" s="33">
        <v>0</v>
      </c>
      <c r="K54" s="33"/>
      <c r="L54" s="33">
        <v>0</v>
      </c>
      <c r="M54" s="33">
        <v>1</v>
      </c>
      <c r="N54" s="33"/>
      <c r="O54" s="33">
        <v>1</v>
      </c>
      <c r="P54" s="33">
        <f>VLOOKUP($C54,CHOOSE({1,2},怪物并表!$E$7:$E$1000,怪物并表!$D$7:$D$1000),2,FALSE)</f>
        <v>10</v>
      </c>
      <c r="Q54" s="33" t="s">
        <v>10</v>
      </c>
      <c r="R54" s="33">
        <f>VLOOKUP(Q54,怪物信息配置表!$A$2:$B$118,2,FALSE)</f>
        <v>1001</v>
      </c>
      <c r="S54" s="33">
        <v>1</v>
      </c>
      <c r="T54" s="49">
        <f>VLOOKUP($C54,怪物并表!$E$7:$N$1000,2+($D54-1)*3,FALSE)*S54*AJ54</f>
        <v>2159.6144201298184</v>
      </c>
      <c r="U54" s="49">
        <f>VLOOKUP($C54,怪物并表!$E$7:$N$1000,3+($D54-1)*3,FALSE)*S54*AK54</f>
        <v>121.46732192414434</v>
      </c>
      <c r="V54" s="49">
        <f>VLOOKUP($C54,怪物并表!$E$7:$N$1000,4+($D54-1)*3,FALSE)*S54*AL54</f>
        <v>94.695652173913061</v>
      </c>
      <c r="W54" s="33"/>
      <c r="X54" s="33"/>
      <c r="Y54" s="49">
        <f>VLOOKUP($C54,怪物并表!$E$7:$P$1000,12,FALSE)</f>
        <v>0</v>
      </c>
      <c r="Z54" s="49">
        <f>VLOOKUP($C54,怪物并表!$E$7:$P$1000,11,FALSE)*S54</f>
        <v>923.88</v>
      </c>
      <c r="AA54" s="33"/>
      <c r="AB54" s="33"/>
      <c r="AC54" s="33"/>
      <c r="AD54" s="33">
        <f t="shared" si="10"/>
        <v>1</v>
      </c>
      <c r="AE54" s="2">
        <f t="shared" si="2"/>
        <v>881.25</v>
      </c>
      <c r="AF54" s="2" t="str">
        <f>IF(ISBLANK(AM54),IF(O54=6,"",IF(O54=1,VLOOKUP(R54,怪物信息配置表!B:H,5,FALSE),IF(O54=2,VLOOKUP(R54,怪物信息配置表!B:H,6,FALSE),IF(OR(O54=3,O54=5),VLOOKUP(R54,怪物信息配置表!B:H,7,FALSE),"")))),AM54)</f>
        <v>ai_monster</v>
      </c>
      <c r="AG54" s="2"/>
      <c r="AH54" s="15">
        <f>SUMPRODUCT(T54:V54,$AN$3:$AP$3)+ROUNDDOWN(VLOOKUP(P54,CHOOSE({1,2},'[1]消耗&amp;价值&amp;分析'!$C$7:$C$106,'[1]消耗&amp;价值&amp;分析'!$AS$7:$AS$106),2,FALSE)*0.6,0)</f>
        <v>372.54755090325011</v>
      </c>
      <c r="AJ54" s="80">
        <v>1</v>
      </c>
      <c r="AK54" s="80">
        <v>1</v>
      </c>
      <c r="AL54" s="80">
        <v>1</v>
      </c>
    </row>
    <row r="55" spans="1:38">
      <c r="A55" s="33" t="str">
        <f>怪物并表!$R$7</f>
        <v>普通副本</v>
      </c>
      <c r="B55" s="38">
        <v>4</v>
      </c>
      <c r="C55" s="33">
        <f t="shared" si="9"/>
        <v>1009</v>
      </c>
      <c r="D55" s="33">
        <v>3</v>
      </c>
      <c r="E55" s="33">
        <f>VLOOKUP(A55,怪物并表!$R$7:$S$14,2,FALSE)</f>
        <v>1</v>
      </c>
      <c r="F55" s="38">
        <v>1</v>
      </c>
      <c r="G55" s="38">
        <v>9</v>
      </c>
      <c r="H55" s="38">
        <v>1</v>
      </c>
      <c r="I55" s="33">
        <f t="shared" si="1"/>
        <v>119104</v>
      </c>
      <c r="J55" s="33" t="s">
        <v>16</v>
      </c>
      <c r="K55" s="33"/>
      <c r="L55" s="33">
        <v>1</v>
      </c>
      <c r="M55" s="33">
        <v>1.2</v>
      </c>
      <c r="N55" s="33" t="s">
        <v>213</v>
      </c>
      <c r="O55" s="33">
        <v>3</v>
      </c>
      <c r="P55" s="33">
        <f>VLOOKUP($C55,CHOOSE({1,2},怪物并表!$E$7:$E$1000,怪物并表!$D$7:$D$1000),2,FALSE)</f>
        <v>10</v>
      </c>
      <c r="Q55" s="33" t="s">
        <v>8</v>
      </c>
      <c r="R55" s="33">
        <f>VLOOKUP(Q55,怪物信息配置表!$A$2:$B$118,2,FALSE)</f>
        <v>1101</v>
      </c>
      <c r="S55" s="33">
        <v>1</v>
      </c>
      <c r="T55" s="49">
        <f>VLOOKUP($C55,怪物并表!$E$7:$N$1000,2+($D55-1)*3,FALSE)*S55*AJ55</f>
        <v>5399.0360503245465</v>
      </c>
      <c r="U55" s="49">
        <f>VLOOKUP($C55,怪物并表!$E$7:$N$1000,3+($D55-1)*3,FALSE)*S55*AK55</f>
        <v>130.60948196114711</v>
      </c>
      <c r="V55" s="49">
        <f>VLOOKUP($C55,怪物并表!$E$7:$N$1000,4+($D55-1)*3,FALSE)*S55*AL55</f>
        <v>109.84695652173914</v>
      </c>
      <c r="W55" s="33"/>
      <c r="X55" s="33"/>
      <c r="Y55" s="49">
        <f>VLOOKUP($C55,怪物并表!$E$7:$P$1000,12,FALSE)</f>
        <v>0</v>
      </c>
      <c r="Z55" s="49">
        <f>VLOOKUP($C55,怪物并表!$E$7:$P$1000,11,FALSE)*S55</f>
        <v>923.88</v>
      </c>
      <c r="AA55" s="33"/>
      <c r="AB55" s="33"/>
      <c r="AC55" s="33"/>
      <c r="AD55" s="33">
        <f t="shared" si="10"/>
        <v>1.5</v>
      </c>
      <c r="AE55" s="2">
        <f t="shared" si="2"/>
        <v>821.875</v>
      </c>
      <c r="AF55" s="2" t="str">
        <f>IF(ISBLANK(AM55),IF(O55=6,"",IF(O55=1,VLOOKUP(R55,怪物信息配置表!B:H,5,FALSE),IF(O55=2,VLOOKUP(R55,怪物信息配置表!B:H,6,FALSE),IF(OR(O55=3,O55=5),VLOOKUP(R55,怪物信息配置表!B:H,7,FALSE),"")))),AM55)</f>
        <v>1101_liangkun_BOSS</v>
      </c>
      <c r="AG55" s="2"/>
      <c r="AH55" s="15">
        <f>SUMPRODUCT(T55:V55,$AN$3:$AP$3)+ROUNDDOWN(VLOOKUP(P55,CHOOSE({1,2},'[1]消耗&amp;价值&amp;分析'!$C$7:$C$106,'[1]消耗&amp;价值&amp;分析'!$AS$7:$AS$106),2,FALSE)*0.6,0)</f>
        <v>526.41788049586808</v>
      </c>
      <c r="AJ55" s="80">
        <v>1</v>
      </c>
      <c r="AK55" s="80">
        <v>1</v>
      </c>
      <c r="AL55" s="80">
        <v>1</v>
      </c>
    </row>
    <row r="56" spans="1:38" s="71" customFormat="1">
      <c r="A56" s="69" t="str">
        <f>怪物并表!$R$7</f>
        <v>普通副本</v>
      </c>
      <c r="B56" s="70">
        <v>5</v>
      </c>
      <c r="C56" s="69">
        <f t="shared" ref="C56:C57" si="11">F56*1000+G56</f>
        <v>1009</v>
      </c>
      <c r="D56" s="69">
        <v>3</v>
      </c>
      <c r="E56" s="69">
        <f>VLOOKUP(A56,怪物并表!$R$7:$S$14,2,FALSE)</f>
        <v>1</v>
      </c>
      <c r="F56" s="70">
        <v>1</v>
      </c>
      <c r="G56" s="70">
        <v>9</v>
      </c>
      <c r="H56" s="70">
        <v>1</v>
      </c>
      <c r="I56" s="33">
        <f t="shared" si="1"/>
        <v>119105</v>
      </c>
      <c r="J56" s="69" t="s">
        <v>54</v>
      </c>
      <c r="K56" s="69"/>
      <c r="L56" s="69">
        <v>0</v>
      </c>
      <c r="M56" s="69">
        <v>1</v>
      </c>
      <c r="N56" s="69" t="s">
        <v>211</v>
      </c>
      <c r="O56" s="69">
        <v>5</v>
      </c>
      <c r="P56" s="33">
        <f>VLOOKUP($C56,CHOOSE({1,2},怪物并表!$E$7:$E$1000,怪物并表!$D$7:$D$1000),2,FALSE)</f>
        <v>10</v>
      </c>
      <c r="Q56" s="33" t="s">
        <v>397</v>
      </c>
      <c r="R56" s="33">
        <f>VLOOKUP(Q56,怪物信息配置表!$A$2:$B$118,2,FALSE)</f>
        <v>1107</v>
      </c>
      <c r="S56" s="69">
        <v>1</v>
      </c>
      <c r="T56" s="49">
        <f>VLOOKUP($C56,怪物并表!$E$7:$N$1000,2+($D56-1)*3,FALSE)*S56*AJ56</f>
        <v>5399.0360503245465</v>
      </c>
      <c r="U56" s="49">
        <f>VLOOKUP($C56,怪物并表!$E$7:$N$1000,3+($D56-1)*3,FALSE)*S56*AK56</f>
        <v>130.60948196114711</v>
      </c>
      <c r="V56" s="49">
        <f>VLOOKUP($C56,怪物并表!$E$7:$N$1000,4+($D56-1)*3,FALSE)*S56*AL56</f>
        <v>109.84695652173914</v>
      </c>
      <c r="W56" s="69"/>
      <c r="X56" s="69"/>
      <c r="Y56" s="49">
        <f>VLOOKUP($C56,怪物并表!$E$7:$P$1000,12,FALSE)</f>
        <v>0</v>
      </c>
      <c r="Z56" s="49">
        <f>VLOOKUP($C56,怪物并表!$E$7:$P$1000,11,FALSE)*S56</f>
        <v>923.88</v>
      </c>
      <c r="AA56" s="69"/>
      <c r="AB56" s="69"/>
      <c r="AC56" s="69"/>
      <c r="AD56" s="75">
        <v>80</v>
      </c>
      <c r="AE56" s="2">
        <f t="shared" si="2"/>
        <v>50</v>
      </c>
      <c r="AF56" s="2" t="str">
        <f>IF(ISBLANK(AM56),IF(O56=6,"",IF(O56=1,VLOOKUP(R56,怪物信息配置表!B:H,5,FALSE),IF(O56=2,VLOOKUP(R56,怪物信息配置表!B:H,6,FALSE),IF(OR(O56=3,O56=5),VLOOKUP(R56,怪物信息配置表!B:H,7,FALSE),"")))),AM56)</f>
        <v>1107_CHN_BOSS</v>
      </c>
      <c r="AG56" s="3"/>
      <c r="AH56" s="15">
        <f>SUMPRODUCT(T56:V56,$AN$3:$AP$3)+ROUNDDOWN(VLOOKUP(P56,CHOOSE({1,2},'[1]消耗&amp;价值&amp;分析'!$C$7:$C$106,'[1]消耗&amp;价值&amp;分析'!$AS$7:$AS$106),2,FALSE)*0.6,0)</f>
        <v>526.41788049586808</v>
      </c>
      <c r="AJ56" s="80">
        <v>1</v>
      </c>
      <c r="AK56" s="80">
        <v>1</v>
      </c>
      <c r="AL56" s="80">
        <v>1</v>
      </c>
    </row>
    <row r="57" spans="1:38" s="71" customFormat="1">
      <c r="A57" s="69" t="str">
        <f>怪物并表!$R$7</f>
        <v>普通副本</v>
      </c>
      <c r="B57" s="70">
        <v>6</v>
      </c>
      <c r="C57" s="69">
        <f t="shared" si="11"/>
        <v>1009</v>
      </c>
      <c r="D57" s="69">
        <v>3</v>
      </c>
      <c r="E57" s="69">
        <f>VLOOKUP(A57,怪物并表!$R$7:$S$14,2,FALSE)</f>
        <v>1</v>
      </c>
      <c r="F57" s="70">
        <v>1</v>
      </c>
      <c r="G57" s="70">
        <v>9</v>
      </c>
      <c r="H57" s="70">
        <v>1</v>
      </c>
      <c r="I57" s="33">
        <f t="shared" si="1"/>
        <v>119106</v>
      </c>
      <c r="J57" s="69" t="s">
        <v>55</v>
      </c>
      <c r="K57" s="69"/>
      <c r="L57" s="69">
        <v>0</v>
      </c>
      <c r="M57" s="69">
        <v>1</v>
      </c>
      <c r="N57" s="69" t="s">
        <v>212</v>
      </c>
      <c r="O57" s="69">
        <v>5</v>
      </c>
      <c r="P57" s="33">
        <f>VLOOKUP($C57,CHOOSE({1,2},怪物并表!$E$7:$E$1000,怪物并表!$D$7:$D$1000),2,FALSE)</f>
        <v>10</v>
      </c>
      <c r="Q57" s="33" t="s">
        <v>398</v>
      </c>
      <c r="R57" s="33">
        <f>VLOOKUP(Q57,怪物信息配置表!$A$2:$B$118,2,FALSE)</f>
        <v>1108</v>
      </c>
      <c r="S57" s="69">
        <v>1</v>
      </c>
      <c r="T57" s="49">
        <f>VLOOKUP($C57,怪物并表!$E$7:$N$1000,2+($D57-1)*3,FALSE)*S57*AJ57</f>
        <v>5399.0360503245465</v>
      </c>
      <c r="U57" s="49">
        <f>VLOOKUP($C57,怪物并表!$E$7:$N$1000,3+($D57-1)*3,FALSE)*S57*AK57</f>
        <v>130.60948196114711</v>
      </c>
      <c r="V57" s="49">
        <f>VLOOKUP($C57,怪物并表!$E$7:$N$1000,4+($D57-1)*3,FALSE)*S57*AL57</f>
        <v>109.84695652173914</v>
      </c>
      <c r="W57" s="69"/>
      <c r="X57" s="69"/>
      <c r="Y57" s="49">
        <f>VLOOKUP($C57,怪物并表!$E$7:$P$1000,12,FALSE)</f>
        <v>0</v>
      </c>
      <c r="Z57" s="49">
        <f>VLOOKUP($C57,怪物并表!$E$7:$P$1000,11,FALSE)*S57</f>
        <v>923.88</v>
      </c>
      <c r="AA57" s="69"/>
      <c r="AB57" s="69"/>
      <c r="AC57" s="69"/>
      <c r="AD57" s="75">
        <v>80</v>
      </c>
      <c r="AE57" s="2">
        <f t="shared" si="2"/>
        <v>50</v>
      </c>
      <c r="AF57" s="2" t="str">
        <f>IF(ISBLANK(AM57),IF(O57=6,"",IF(O57=1,VLOOKUP(R57,怪物信息配置表!B:H,5,FALSE),IF(O57=2,VLOOKUP(R57,怪物信息配置表!B:H,6,FALSE),IF(OR(O57=3,O57=5),VLOOKUP(R57,怪物信息配置表!B:H,7,FALSE),"")))),AM57)</f>
        <v>1108_shanji_BOSS</v>
      </c>
      <c r="AG57" s="3"/>
      <c r="AH57" s="15">
        <f>SUMPRODUCT(T57:V57,$AN$3:$AP$3)+ROUNDDOWN(VLOOKUP(P57,CHOOSE({1,2},'[1]消耗&amp;价值&amp;分析'!$C$7:$C$106,'[1]消耗&amp;价值&amp;分析'!$AS$7:$AS$106),2,FALSE)*0.6,0)</f>
        <v>526.41788049586808</v>
      </c>
      <c r="AJ57" s="80">
        <v>1</v>
      </c>
      <c r="AK57" s="80">
        <v>1</v>
      </c>
      <c r="AL57" s="80">
        <v>1</v>
      </c>
    </row>
    <row r="58" spans="1:38">
      <c r="A58" s="33" t="str">
        <f>怪物并表!$R$7</f>
        <v>普通副本</v>
      </c>
      <c r="B58" s="38">
        <v>1</v>
      </c>
      <c r="C58" s="33">
        <f t="shared" si="0"/>
        <v>2001</v>
      </c>
      <c r="D58" s="33">
        <v>1</v>
      </c>
      <c r="E58" s="33">
        <f>VLOOKUP(A58,怪物并表!$R$7:$S$14,2,FALSE)</f>
        <v>1</v>
      </c>
      <c r="F58" s="38">
        <v>2</v>
      </c>
      <c r="G58" s="38">
        <v>1</v>
      </c>
      <c r="H58" s="38">
        <v>1</v>
      </c>
      <c r="I58" s="33">
        <f t="shared" si="1"/>
        <v>121101</v>
      </c>
      <c r="J58" s="33" t="s">
        <v>448</v>
      </c>
      <c r="K58" s="33"/>
      <c r="L58" s="33">
        <v>0</v>
      </c>
      <c r="M58" s="33">
        <v>1</v>
      </c>
      <c r="N58" s="33"/>
      <c r="O58" s="33">
        <v>1</v>
      </c>
      <c r="P58" s="33">
        <f>VLOOKUP($C58,CHOOSE({1,2},怪物并表!$E$7:$E$1000,怪物并表!$D$7:$D$1000),2,FALSE)</f>
        <v>11</v>
      </c>
      <c r="Q58" s="33" t="s">
        <v>367</v>
      </c>
      <c r="R58" s="33">
        <f>VLOOKUP(Q58,怪物信息配置表!$A$2:$B$118,2,FALSE)</f>
        <v>1008</v>
      </c>
      <c r="S58" s="33">
        <v>1</v>
      </c>
      <c r="T58" s="49">
        <f>VLOOKUP($C58,怪物并表!$E$7:$N$1000,2+($D58-1)*3,FALSE)*S58*AJ58</f>
        <v>2456.4171312705103</v>
      </c>
      <c r="U58" s="49">
        <f>VLOOKUP($C58,怪物并表!$E$7:$N$1000,3+($D58-1)*3,FALSE)*S58*AK58</f>
        <v>138.20964070035379</v>
      </c>
      <c r="V58" s="49">
        <f>VLOOKUP($C58,怪物并表!$E$7:$N$1000,4+($D58-1)*3,FALSE)*S58*AL58</f>
        <v>90.48772173913045</v>
      </c>
      <c r="W58" s="33"/>
      <c r="X58" s="33"/>
      <c r="Y58" s="49">
        <f>VLOOKUP($C58,怪物并表!$E$7:$P$1000,12,FALSE)</f>
        <v>0</v>
      </c>
      <c r="Z58" s="49">
        <f>VLOOKUP($C58,怪物并表!$E$7:$P$1000,11,FALSE)*S58</f>
        <v>982.10800000000006</v>
      </c>
      <c r="AA58" s="33"/>
      <c r="AB58" s="33"/>
      <c r="AC58" s="33"/>
      <c r="AD58" s="33">
        <f t="shared" si="3"/>
        <v>1</v>
      </c>
      <c r="AE58" s="2">
        <f t="shared" si="2"/>
        <v>869.375</v>
      </c>
      <c r="AF58" s="2" t="str">
        <f>IF(ISBLANK(AM58),IF(O58=6,"",IF(O58=1,VLOOKUP(R58,怪物信息配置表!B:H,5,FALSE),IF(O58=2,VLOOKUP(R58,怪物信息配置表!B:H,6,FALSE),IF(OR(O58=3,O58=5),VLOOKUP(R58,怪物信息配置表!B:H,7,FALSE),"")))),AM58)</f>
        <v>ai_monster</v>
      </c>
      <c r="AG58" s="2"/>
      <c r="AH58" s="15">
        <f>SUMPRODUCT(T58:V58,$AN$3:$AP$3)+ROUNDDOWN(VLOOKUP(P58,CHOOSE({1,2},'[1]消耗&amp;价值&amp;分析'!$C$7:$C$106,'[1]消耗&amp;价值&amp;分析'!$AS$7:$AS$106),2,FALSE)*0.6,0)</f>
        <v>411.95404769030466</v>
      </c>
      <c r="AJ58" s="80">
        <v>1</v>
      </c>
      <c r="AK58" s="80">
        <v>1</v>
      </c>
      <c r="AL58" s="80">
        <v>1</v>
      </c>
    </row>
    <row r="59" spans="1:38">
      <c r="A59" s="33" t="str">
        <f>怪物并表!$R$7</f>
        <v>普通副本</v>
      </c>
      <c r="B59" s="38">
        <v>2</v>
      </c>
      <c r="C59" s="33">
        <f t="shared" si="0"/>
        <v>2001</v>
      </c>
      <c r="D59" s="33">
        <v>1</v>
      </c>
      <c r="E59" s="33">
        <f>VLOOKUP(A59,怪物并表!$R$7:$S$14,2,FALSE)</f>
        <v>1</v>
      </c>
      <c r="F59" s="38">
        <v>2</v>
      </c>
      <c r="G59" s="38">
        <v>1</v>
      </c>
      <c r="H59" s="38">
        <v>1</v>
      </c>
      <c r="I59" s="33">
        <f t="shared" si="1"/>
        <v>121102</v>
      </c>
      <c r="J59" s="33" t="s">
        <v>460</v>
      </c>
      <c r="K59" s="33"/>
      <c r="L59" s="33">
        <v>0</v>
      </c>
      <c r="M59" s="33">
        <v>1</v>
      </c>
      <c r="N59" s="33"/>
      <c r="O59" s="33">
        <v>1</v>
      </c>
      <c r="P59" s="33">
        <f>VLOOKUP($C59,CHOOSE({1,2},怪物并表!$E$7:$E$1000,怪物并表!$D$7:$D$1000),2,FALSE)</f>
        <v>11</v>
      </c>
      <c r="Q59" s="33" t="s">
        <v>7</v>
      </c>
      <c r="R59" s="33">
        <f>VLOOKUP(Q59,怪物信息配置表!$A$2:$B$118,2,FALSE)</f>
        <v>1002</v>
      </c>
      <c r="S59" s="33">
        <v>1</v>
      </c>
      <c r="T59" s="49">
        <f>VLOOKUP($C59,怪物并表!$E$7:$N$1000,2+($D59-1)*3,FALSE)*S59*AJ59</f>
        <v>2456.4171312705103</v>
      </c>
      <c r="U59" s="49">
        <f>VLOOKUP($C59,怪物并表!$E$7:$N$1000,3+($D59-1)*3,FALSE)*S59*AK59</f>
        <v>138.20964070035379</v>
      </c>
      <c r="V59" s="49">
        <f>VLOOKUP($C59,怪物并表!$E$7:$N$1000,4+($D59-1)*3,FALSE)*S59*AL59</f>
        <v>90.48772173913045</v>
      </c>
      <c r="W59" s="33"/>
      <c r="X59" s="33"/>
      <c r="Y59" s="49">
        <f>VLOOKUP($C59,怪物并表!$E$7:$P$1000,12,FALSE)</f>
        <v>0</v>
      </c>
      <c r="Z59" s="49">
        <f>VLOOKUP($C59,怪物并表!$E$7:$P$1000,11,FALSE)*S59</f>
        <v>982.10800000000006</v>
      </c>
      <c r="AA59" s="33"/>
      <c r="AB59" s="33"/>
      <c r="AC59" s="33"/>
      <c r="AD59" s="33">
        <f t="shared" si="3"/>
        <v>1</v>
      </c>
      <c r="AE59" s="2">
        <f t="shared" si="2"/>
        <v>869.375</v>
      </c>
      <c r="AF59" s="2" t="str">
        <f>IF(ISBLANK(AM59),IF(O59=6,"",IF(O59=1,VLOOKUP(R59,怪物信息配置表!B:H,5,FALSE),IF(O59=2,VLOOKUP(R59,怪物信息配置表!B:H,6,FALSE),IF(OR(O59=3,O59=5),VLOOKUP(R59,怪物信息配置表!B:H,7,FALSE),"")))),AM59)</f>
        <v>ai_monster</v>
      </c>
      <c r="AG59" s="2"/>
      <c r="AH59" s="15">
        <f>SUMPRODUCT(T59:V59,$AN$3:$AP$3)+ROUNDDOWN(VLOOKUP(P59,CHOOSE({1,2},'[1]消耗&amp;价值&amp;分析'!$C$7:$C$106,'[1]消耗&amp;价值&amp;分析'!$AS$7:$AS$106),2,FALSE)*0.6,0)</f>
        <v>411.95404769030466</v>
      </c>
      <c r="AJ59" s="80">
        <v>1</v>
      </c>
      <c r="AK59" s="80">
        <v>1</v>
      </c>
      <c r="AL59" s="80">
        <v>1</v>
      </c>
    </row>
    <row r="60" spans="1:38">
      <c r="A60" s="33" t="str">
        <f>怪物并表!$R$7</f>
        <v>普通副本</v>
      </c>
      <c r="B60" s="38">
        <v>3</v>
      </c>
      <c r="C60" s="33">
        <f t="shared" si="0"/>
        <v>2001</v>
      </c>
      <c r="D60" s="33">
        <v>1</v>
      </c>
      <c r="E60" s="33">
        <f>VLOOKUP(A60,怪物并表!$R$7:$S$14,2,FALSE)</f>
        <v>1</v>
      </c>
      <c r="F60" s="38">
        <v>2</v>
      </c>
      <c r="G60" s="38">
        <v>1</v>
      </c>
      <c r="H60" s="38">
        <v>1</v>
      </c>
      <c r="I60" s="33">
        <f t="shared" si="1"/>
        <v>121103</v>
      </c>
      <c r="J60" s="33" t="s">
        <v>461</v>
      </c>
      <c r="K60" s="33"/>
      <c r="L60" s="33">
        <v>0</v>
      </c>
      <c r="M60" s="33">
        <v>1</v>
      </c>
      <c r="N60" s="33" t="s">
        <v>217</v>
      </c>
      <c r="O60" s="33">
        <v>1</v>
      </c>
      <c r="P60" s="33">
        <f>VLOOKUP($C60,CHOOSE({1,2},怪物并表!$E$7:$E$1000,怪物并表!$D$7:$D$1000),2,FALSE)</f>
        <v>11</v>
      </c>
      <c r="Q60" s="33" t="s">
        <v>14</v>
      </c>
      <c r="R60" s="33">
        <f>VLOOKUP(Q60,怪物信息配置表!$A$2:$B$118,2,FALSE)</f>
        <v>1010</v>
      </c>
      <c r="S60" s="33">
        <v>1</v>
      </c>
      <c r="T60" s="49">
        <f>VLOOKUP($C60,怪物并表!$E$7:$N$1000,2+($D60-1)*3,FALSE)*S60*AJ60</f>
        <v>2456.4171312705103</v>
      </c>
      <c r="U60" s="49">
        <f>VLOOKUP($C60,怪物并表!$E$7:$N$1000,3+($D60-1)*3,FALSE)*S60*AK60</f>
        <v>138.20964070035379</v>
      </c>
      <c r="V60" s="49">
        <f>VLOOKUP($C60,怪物并表!$E$7:$N$1000,4+($D60-1)*3,FALSE)*S60*AL60</f>
        <v>90.48772173913045</v>
      </c>
      <c r="W60" s="33"/>
      <c r="X60" s="33"/>
      <c r="Y60" s="49">
        <f>VLOOKUP($C60,怪物并表!$E$7:$P$1000,12,FALSE)</f>
        <v>0</v>
      </c>
      <c r="Z60" s="49">
        <f>VLOOKUP($C60,怪物并表!$E$7:$P$1000,11,FALSE)*S60</f>
        <v>982.10800000000006</v>
      </c>
      <c r="AA60" s="33"/>
      <c r="AB60" s="33"/>
      <c r="AC60" s="33"/>
      <c r="AD60" s="33">
        <f t="shared" si="3"/>
        <v>1</v>
      </c>
      <c r="AE60" s="2">
        <f t="shared" si="2"/>
        <v>869.375</v>
      </c>
      <c r="AF60" s="2" t="str">
        <f>IF(ISBLANK(AM60),IF(O60=6,"",IF(O60=1,VLOOKUP(R60,怪物信息配置表!B:H,5,FALSE),IF(O60=2,VLOOKUP(R60,怪物信息配置表!B:H,6,FALSE),IF(OR(O60=3,O60=5),VLOOKUP(R60,怪物信息配置表!B:H,7,FALSE),"")))),AM60)</f>
        <v>ai_monster</v>
      </c>
      <c r="AG60" s="2"/>
      <c r="AH60" s="15">
        <f>SUMPRODUCT(T60:V60,$AN$3:$AP$3)+ROUNDDOWN(VLOOKUP(P60,CHOOSE({1,2},'[1]消耗&amp;价值&amp;分析'!$C$7:$C$106,'[1]消耗&amp;价值&amp;分析'!$AS$7:$AS$106),2,FALSE)*0.6,0)</f>
        <v>411.95404769030466</v>
      </c>
      <c r="AJ60" s="80">
        <v>1</v>
      </c>
      <c r="AK60" s="80">
        <v>1</v>
      </c>
      <c r="AL60" s="80">
        <v>1</v>
      </c>
    </row>
    <row r="61" spans="1:38">
      <c r="A61" s="33" t="str">
        <f>怪物并表!$R$7</f>
        <v>普通副本</v>
      </c>
      <c r="B61" s="38">
        <v>4</v>
      </c>
      <c r="C61" s="33">
        <f t="shared" si="0"/>
        <v>2001</v>
      </c>
      <c r="D61" s="33">
        <v>3</v>
      </c>
      <c r="E61" s="33">
        <f>VLOOKUP(A61,怪物并表!$R$7:$S$14,2,FALSE)</f>
        <v>1</v>
      </c>
      <c r="F61" s="38">
        <v>2</v>
      </c>
      <c r="G61" s="38">
        <v>1</v>
      </c>
      <c r="H61" s="38">
        <v>1</v>
      </c>
      <c r="I61" s="33">
        <f t="shared" si="1"/>
        <v>121104</v>
      </c>
      <c r="J61" s="33" t="s">
        <v>537</v>
      </c>
      <c r="K61" s="33"/>
      <c r="L61" s="33">
        <v>1</v>
      </c>
      <c r="M61" s="33">
        <v>1.2</v>
      </c>
      <c r="N61" s="33"/>
      <c r="O61" s="33">
        <v>3</v>
      </c>
      <c r="P61" s="33">
        <f>VLOOKUP($C61,CHOOSE({1,2},怪物并表!$E$7:$E$1000,怪物并表!$D$7:$D$1000),2,FALSE)</f>
        <v>11</v>
      </c>
      <c r="Q61" s="33" t="s">
        <v>18</v>
      </c>
      <c r="R61" s="33">
        <f>VLOOKUP(Q61,怪物信息配置表!$A$2:$B$118,2,FALSE)</f>
        <v>1006</v>
      </c>
      <c r="S61" s="33">
        <v>1</v>
      </c>
      <c r="T61" s="49">
        <f>VLOOKUP($C61,怪物并表!$E$7:$N$1000,2+($D61-1)*3,FALSE)*S61*AJ61</f>
        <v>6141.0428281762761</v>
      </c>
      <c r="U61" s="49">
        <f>VLOOKUP($C61,怪物并表!$E$7:$N$1000,3+($D61-1)*3,FALSE)*S61*AK61</f>
        <v>147.75402449259846</v>
      </c>
      <c r="V61" s="49">
        <f>VLOOKUP($C61,怪物并表!$E$7:$N$1000,4+($D61-1)*3,FALSE)*S61*AL61</f>
        <v>113.10965217391305</v>
      </c>
      <c r="W61" s="33"/>
      <c r="X61" s="33"/>
      <c r="Y61" s="49">
        <f>VLOOKUP($C61,怪物并表!$E$7:$P$1000,12,FALSE)</f>
        <v>0</v>
      </c>
      <c r="Z61" s="49">
        <f>VLOOKUP($C61,怪物并表!$E$7:$P$1000,11,FALSE)*S61</f>
        <v>982.10800000000006</v>
      </c>
      <c r="AA61" s="33"/>
      <c r="AB61" s="33"/>
      <c r="AC61" s="33"/>
      <c r="AD61" s="33">
        <f t="shared" si="3"/>
        <v>1.5</v>
      </c>
      <c r="AE61" s="2">
        <f t="shared" si="2"/>
        <v>804.0625</v>
      </c>
      <c r="AF61" s="2" t="str">
        <f>IF(ISBLANK(AM61),IF(O61=6,"",IF(O61=1,VLOOKUP(R61,怪物信息配置表!B:H,5,FALSE),IF(O61=2,VLOOKUP(R61,怪物信息配置表!B:H,6,FALSE),IF(OR(O61=3,O61=5),VLOOKUP(R61,怪物信息配置表!B:H,7,FALSE),"")))),AM61)</f>
        <v>1006_jingcha_BOSS</v>
      </c>
      <c r="AG61" s="2"/>
      <c r="AH61" s="15">
        <f>SUMPRODUCT(T61:V61,$AN$3:$AP$3)+ROUNDDOWN(VLOOKUP(P61,CHOOSE({1,2},'[1]消耗&amp;价值&amp;分析'!$C$7:$C$106,'[1]消耗&amp;价值&amp;分析'!$AS$7:$AS$106),2,FALSE)*0.6,0)</f>
        <v>591.50538979356247</v>
      </c>
      <c r="AJ61" s="80">
        <v>1</v>
      </c>
      <c r="AK61" s="80">
        <v>1</v>
      </c>
      <c r="AL61" s="80">
        <v>1</v>
      </c>
    </row>
    <row r="62" spans="1:38">
      <c r="A62" s="33" t="str">
        <f>怪物并表!$R$7</f>
        <v>普通副本</v>
      </c>
      <c r="B62" s="38">
        <v>1</v>
      </c>
      <c r="C62" s="33">
        <f t="shared" si="0"/>
        <v>2002</v>
      </c>
      <c r="D62" s="33">
        <v>2</v>
      </c>
      <c r="E62" s="33">
        <f>VLOOKUP(A62,怪物并表!$R$7:$S$14,2,FALSE)</f>
        <v>1</v>
      </c>
      <c r="F62" s="38">
        <v>2</v>
      </c>
      <c r="G62" s="38">
        <v>2</v>
      </c>
      <c r="H62" s="38">
        <v>1</v>
      </c>
      <c r="I62" s="33">
        <f t="shared" si="1"/>
        <v>122101</v>
      </c>
      <c r="J62" s="33" t="s">
        <v>36</v>
      </c>
      <c r="K62" s="33"/>
      <c r="L62" s="33">
        <v>0</v>
      </c>
      <c r="M62" s="33">
        <v>1</v>
      </c>
      <c r="N62" s="33" t="s">
        <v>218</v>
      </c>
      <c r="O62" s="33">
        <v>1</v>
      </c>
      <c r="P62" s="33">
        <f>VLOOKUP($C62,CHOOSE({1,2},怪物并表!$E$7:$E$1000,怪物并表!$D$7:$D$1000),2,FALSE)</f>
        <v>12</v>
      </c>
      <c r="Q62" s="33" t="s">
        <v>9</v>
      </c>
      <c r="R62" s="33">
        <f>VLOOKUP(Q62,怪物信息配置表!$A$2:$B$118,2,FALSE)</f>
        <v>1003</v>
      </c>
      <c r="S62" s="33">
        <v>1</v>
      </c>
      <c r="T62" s="49">
        <f>VLOOKUP($C62,怪物并表!$E$7:$N$1000,2+($D62-1)*3,FALSE)*S62*AJ62</f>
        <v>2176.506841822154</v>
      </c>
      <c r="U62" s="49">
        <f>VLOOKUP($C62,怪物并表!$E$7:$N$1000,3+($D62-1)*3,FALSE)*S62*AK62</f>
        <v>159.07683148425792</v>
      </c>
      <c r="V62" s="49">
        <f>VLOOKUP($C62,怪物并表!$E$7:$N$1000,4+($D62-1)*3,FALSE)*S62*AL62</f>
        <v>79.695860869565252</v>
      </c>
      <c r="W62" s="33"/>
      <c r="X62" s="33"/>
      <c r="Y62" s="49">
        <f>VLOOKUP($C62,怪物并表!$E$7:$P$1000,12,FALSE)</f>
        <v>0</v>
      </c>
      <c r="Z62" s="49">
        <f>VLOOKUP($C62,怪物并表!$E$7:$P$1000,11,FALSE)*S62</f>
        <v>1040.336</v>
      </c>
      <c r="AA62" s="33"/>
      <c r="AB62" s="33"/>
      <c r="AC62" s="33"/>
      <c r="AD62" s="33">
        <f t="shared" si="3"/>
        <v>0.8</v>
      </c>
      <c r="AE62" s="2">
        <f t="shared" si="2"/>
        <v>886</v>
      </c>
      <c r="AF62" s="2" t="str">
        <f>IF(ISBLANK(AM62),IF(O62=6,"",IF(O62=1,VLOOKUP(R62,怪物信息配置表!B:H,5,FALSE),IF(O62=2,VLOOKUP(R62,怪物信息配置表!B:H,6,FALSE),IF(OR(O62=3,O62=5),VLOOKUP(R62,怪物信息配置表!B:H,7,FALSE),"")))),AM62)</f>
        <v>ai_monster_02</v>
      </c>
      <c r="AG62" s="2"/>
      <c r="AH62" s="15">
        <f>SUMPRODUCT(T62:V62,$AN$3:$AP$3)+ROUNDDOWN(VLOOKUP(P62,CHOOSE({1,2},'[1]消耗&amp;价值&amp;分析'!$C$7:$C$106,'[1]消耗&amp;价值&amp;分析'!$AS$7:$AS$106),2,FALSE)*0.6,0)</f>
        <v>443.83296602670936</v>
      </c>
      <c r="AJ62" s="80">
        <v>1</v>
      </c>
      <c r="AK62" s="80">
        <v>1</v>
      </c>
      <c r="AL62" s="80">
        <v>1</v>
      </c>
    </row>
    <row r="63" spans="1:38">
      <c r="A63" s="33" t="str">
        <f>怪物并表!$R$7</f>
        <v>普通副本</v>
      </c>
      <c r="B63" s="38">
        <v>2</v>
      </c>
      <c r="C63" s="33">
        <f t="shared" si="0"/>
        <v>2002</v>
      </c>
      <c r="D63" s="33">
        <v>1</v>
      </c>
      <c r="E63" s="33">
        <f>VLOOKUP(A63,怪物并表!$R$7:$S$14,2,FALSE)</f>
        <v>1</v>
      </c>
      <c r="F63" s="38">
        <v>2</v>
      </c>
      <c r="G63" s="38">
        <v>2</v>
      </c>
      <c r="H63" s="38">
        <v>1</v>
      </c>
      <c r="I63" s="33">
        <f t="shared" si="1"/>
        <v>122102</v>
      </c>
      <c r="J63" s="33" t="s">
        <v>214</v>
      </c>
      <c r="K63" s="33"/>
      <c r="L63" s="33">
        <v>0</v>
      </c>
      <c r="M63" s="33">
        <v>1</v>
      </c>
      <c r="N63" s="33"/>
      <c r="O63" s="33">
        <v>1</v>
      </c>
      <c r="P63" s="33">
        <f>VLOOKUP($C63,CHOOSE({1,2},怪物并表!$E$7:$E$1000,怪物并表!$D$7:$D$1000),2,FALSE)</f>
        <v>12</v>
      </c>
      <c r="Q63" s="33" t="s">
        <v>10</v>
      </c>
      <c r="R63" s="33">
        <f>VLOOKUP(Q63,怪物信息配置表!$A$2:$B$118,2,FALSE)</f>
        <v>1001</v>
      </c>
      <c r="S63" s="33">
        <v>1</v>
      </c>
      <c r="T63" s="49">
        <f>VLOOKUP($C63,怪物并表!$E$7:$N$1000,2+($D63-1)*3,FALSE)*S63*AJ63</f>
        <v>2720.6335522776926</v>
      </c>
      <c r="U63" s="49">
        <f>VLOOKUP($C63,怪物并表!$E$7:$N$1000,3+($D63-1)*3,FALSE)*S63*AK63</f>
        <v>164.94524077961023</v>
      </c>
      <c r="V63" s="49">
        <f>VLOOKUP($C63,怪物并表!$E$7:$N$1000,4+($D63-1)*3,FALSE)*S63*AL63</f>
        <v>106.26114782608698</v>
      </c>
      <c r="W63" s="33"/>
      <c r="X63" s="33"/>
      <c r="Y63" s="49">
        <f>VLOOKUP($C63,怪物并表!$E$7:$P$1000,12,FALSE)</f>
        <v>0</v>
      </c>
      <c r="Z63" s="49">
        <f>VLOOKUP($C63,怪物并表!$E$7:$P$1000,11,FALSE)*S63</f>
        <v>1040.336</v>
      </c>
      <c r="AA63" s="33"/>
      <c r="AB63" s="33"/>
      <c r="AC63" s="33"/>
      <c r="AD63" s="33">
        <f t="shared" si="3"/>
        <v>1</v>
      </c>
      <c r="AE63" s="2">
        <f t="shared" si="2"/>
        <v>857.5</v>
      </c>
      <c r="AF63" s="2" t="str">
        <f>IF(ISBLANK(AM63),IF(O63=6,"",IF(O63=1,VLOOKUP(R63,怪物信息配置表!B:H,5,FALSE),IF(O63=2,VLOOKUP(R63,怪物信息配置表!B:H,6,FALSE),IF(OR(O63=3,O63=5),VLOOKUP(R63,怪物信息配置表!B:H,7,FALSE),"")))),AM63)</f>
        <v>ai_monster</v>
      </c>
      <c r="AG63" s="2"/>
      <c r="AH63" s="15">
        <f>SUMPRODUCT(T63:V63,$AN$3:$AP$3)+ROUNDDOWN(VLOOKUP(P63,CHOOSE({1,2},'[1]消耗&amp;价值&amp;分析'!$C$7:$C$106,'[1]消耗&amp;价值&amp;分析'!$AS$7:$AS$106),2,FALSE)*0.6,0)</f>
        <v>498.03173069680491</v>
      </c>
      <c r="AJ63" s="80">
        <v>1</v>
      </c>
      <c r="AK63" s="80">
        <v>1</v>
      </c>
      <c r="AL63" s="80">
        <v>1</v>
      </c>
    </row>
    <row r="64" spans="1:38">
      <c r="A64" s="33" t="str">
        <f>怪物并表!$R$7</f>
        <v>普通副本</v>
      </c>
      <c r="B64" s="38">
        <v>3</v>
      </c>
      <c r="C64" s="33">
        <f t="shared" si="0"/>
        <v>2002</v>
      </c>
      <c r="D64" s="33">
        <v>1</v>
      </c>
      <c r="E64" s="33">
        <f>VLOOKUP(A64,怪物并表!$R$7:$S$14,2,FALSE)</f>
        <v>1</v>
      </c>
      <c r="F64" s="38">
        <v>2</v>
      </c>
      <c r="G64" s="38">
        <v>2</v>
      </c>
      <c r="H64" s="38">
        <v>1</v>
      </c>
      <c r="I64" s="33">
        <f t="shared" si="1"/>
        <v>122103</v>
      </c>
      <c r="J64" s="33" t="s">
        <v>462</v>
      </c>
      <c r="K64" s="33"/>
      <c r="L64" s="33">
        <v>0</v>
      </c>
      <c r="M64" s="33">
        <v>1</v>
      </c>
      <c r="N64" s="33" t="s">
        <v>215</v>
      </c>
      <c r="O64" s="33">
        <v>1</v>
      </c>
      <c r="P64" s="33">
        <f>VLOOKUP($C64,CHOOSE({1,2},怪物并表!$E$7:$E$1000,怪物并表!$D$7:$D$1000),2,FALSE)</f>
        <v>12</v>
      </c>
      <c r="Q64" s="33" t="s">
        <v>11</v>
      </c>
      <c r="R64" s="33">
        <f>VLOOKUP(Q64,怪物信息配置表!$A$2:$B$118,2,FALSE)</f>
        <v>1011</v>
      </c>
      <c r="S64" s="33">
        <v>1</v>
      </c>
      <c r="T64" s="49">
        <f>VLOOKUP($C64,怪物并表!$E$7:$N$1000,2+($D64-1)*3,FALSE)*S64*AJ64</f>
        <v>2720.6335522776926</v>
      </c>
      <c r="U64" s="49">
        <f>VLOOKUP($C64,怪物并表!$E$7:$N$1000,3+($D64-1)*3,FALSE)*S64*AK64</f>
        <v>164.94524077961023</v>
      </c>
      <c r="V64" s="49">
        <f>VLOOKUP($C64,怪物并表!$E$7:$N$1000,4+($D64-1)*3,FALSE)*S64*AL64</f>
        <v>106.26114782608698</v>
      </c>
      <c r="W64" s="33"/>
      <c r="X64" s="33"/>
      <c r="Y64" s="49">
        <f>VLOOKUP($C64,怪物并表!$E$7:$P$1000,12,FALSE)</f>
        <v>0</v>
      </c>
      <c r="Z64" s="49">
        <f>VLOOKUP($C64,怪物并表!$E$7:$P$1000,11,FALSE)*S64</f>
        <v>1040.336</v>
      </c>
      <c r="AA64" s="33"/>
      <c r="AB64" s="33"/>
      <c r="AC64" s="33"/>
      <c r="AD64" s="33">
        <f t="shared" si="3"/>
        <v>1</v>
      </c>
      <c r="AE64" s="2">
        <f t="shared" si="2"/>
        <v>857.5</v>
      </c>
      <c r="AF64" s="2" t="str">
        <f>IF(ISBLANK(AM64),IF(O64=6,"",IF(O64=1,VLOOKUP(R64,怪物信息配置表!B:H,5,FALSE),IF(O64=2,VLOOKUP(R64,怪物信息配置表!B:H,6,FALSE),IF(OR(O64=3,O64=5),VLOOKUP(R64,怪物信息配置表!B:H,7,FALSE),"")))),AM64)</f>
        <v>ai_monster</v>
      </c>
      <c r="AG64" s="2"/>
      <c r="AH64" s="15">
        <f>SUMPRODUCT(T64:V64,$AN$3:$AP$3)+ROUNDDOWN(VLOOKUP(P64,CHOOSE({1,2},'[1]消耗&amp;价值&amp;分析'!$C$7:$C$106,'[1]消耗&amp;价值&amp;分析'!$AS$7:$AS$106),2,FALSE)*0.6,0)</f>
        <v>498.03173069680491</v>
      </c>
      <c r="AJ64" s="80">
        <v>1</v>
      </c>
      <c r="AK64" s="80">
        <v>1</v>
      </c>
      <c r="AL64" s="80">
        <v>1</v>
      </c>
    </row>
    <row r="65" spans="1:38">
      <c r="A65" s="33" t="str">
        <f>怪物并表!$R$7</f>
        <v>普通副本</v>
      </c>
      <c r="B65" s="38">
        <v>4</v>
      </c>
      <c r="C65" s="33">
        <f t="shared" si="0"/>
        <v>2002</v>
      </c>
      <c r="D65" s="33">
        <v>3</v>
      </c>
      <c r="E65" s="33">
        <f>VLOOKUP(A65,怪物并表!$R$7:$S$14,2,FALSE)</f>
        <v>1</v>
      </c>
      <c r="F65" s="38">
        <v>2</v>
      </c>
      <c r="G65" s="38">
        <v>2</v>
      </c>
      <c r="H65" s="38">
        <v>1</v>
      </c>
      <c r="I65" s="33">
        <f t="shared" si="1"/>
        <v>122104</v>
      </c>
      <c r="J65" s="33" t="s">
        <v>413</v>
      </c>
      <c r="K65" s="33"/>
      <c r="L65" s="33">
        <v>1</v>
      </c>
      <c r="M65" s="33">
        <v>1.3</v>
      </c>
      <c r="N65" s="33" t="s">
        <v>219</v>
      </c>
      <c r="O65" s="33">
        <v>3</v>
      </c>
      <c r="P65" s="33">
        <f>VLOOKUP($C65,CHOOSE({1,2},怪物并表!$E$7:$E$1000,怪物并表!$D$7:$D$1000),2,FALSE)</f>
        <v>12</v>
      </c>
      <c r="Q65" s="33" t="s">
        <v>12</v>
      </c>
      <c r="R65" s="33">
        <f>VLOOKUP(Q65,怪物信息配置表!$A$2:$B$118,2,FALSE)</f>
        <v>1009</v>
      </c>
      <c r="S65" s="33">
        <v>1</v>
      </c>
      <c r="T65" s="49">
        <f>VLOOKUP($C65,怪物并表!$E$7:$N$1000,2+($D65-1)*3,FALSE)*S65*AJ65</f>
        <v>6801.5838806942311</v>
      </c>
      <c r="U65" s="49">
        <f>VLOOKUP($C65,怪物并表!$E$7:$N$1000,3+($D65-1)*3,FALSE)*S65*AK65</f>
        <v>176.68205937031487</v>
      </c>
      <c r="V65" s="49">
        <f>VLOOKUP($C65,怪物并表!$E$7:$N$1000,4+($D65-1)*3,FALSE)*S65*AL65</f>
        <v>132.82643478260871</v>
      </c>
      <c r="W65" s="33"/>
      <c r="X65" s="33"/>
      <c r="Y65" s="49">
        <f>VLOOKUP($C65,怪物并表!$E$7:$P$1000,12,FALSE)</f>
        <v>0</v>
      </c>
      <c r="Z65" s="49">
        <f>VLOOKUP($C65,怪物并表!$E$7:$P$1000,11,FALSE)*S65</f>
        <v>1040.336</v>
      </c>
      <c r="AA65" s="33"/>
      <c r="AB65" s="33"/>
      <c r="AC65" s="33"/>
      <c r="AD65" s="33">
        <f t="shared" si="3"/>
        <v>1.5</v>
      </c>
      <c r="AE65" s="2">
        <f t="shared" si="2"/>
        <v>786.25</v>
      </c>
      <c r="AF65" s="2" t="str">
        <f>IF(ISBLANK(AM65),IF(O65=6,"",IF(O65=1,VLOOKUP(R65,怪物信息配置表!B:H,5,FALSE),IF(O65=2,VLOOKUP(R65,怪物信息配置表!B:H,6,FALSE),IF(OR(O65=3,O65=5),VLOOKUP(R65,怪物信息配置表!B:H,7,FALSE),"")))),AM65)</f>
        <v>1009_tiequan_BOSS</v>
      </c>
      <c r="AG65" s="2"/>
      <c r="AH65" s="15">
        <f>SUMPRODUCT(T65:V65,$AN$3:$AP$3)+ROUNDDOWN(VLOOKUP(P65,CHOOSE({1,2},'[1]消耗&amp;价值&amp;分析'!$C$7:$C$106,'[1]消耗&amp;价值&amp;分析'!$AS$7:$AS$106),2,FALSE)*0.6,0)</f>
        <v>699.57184938069281</v>
      </c>
      <c r="AJ65" s="80">
        <v>1</v>
      </c>
      <c r="AK65" s="80">
        <v>1</v>
      </c>
      <c r="AL65" s="80">
        <v>1</v>
      </c>
    </row>
    <row r="66" spans="1:38">
      <c r="A66" s="33" t="str">
        <f>怪物并表!$R$7</f>
        <v>普通副本</v>
      </c>
      <c r="B66" s="38">
        <v>1</v>
      </c>
      <c r="C66" s="33">
        <f t="shared" si="0"/>
        <v>2003</v>
      </c>
      <c r="D66" s="33">
        <v>2</v>
      </c>
      <c r="E66" s="33">
        <f>VLOOKUP(A66,怪物并表!$R$7:$S$14,2,FALSE)</f>
        <v>1</v>
      </c>
      <c r="F66" s="38">
        <v>2</v>
      </c>
      <c r="G66" s="38">
        <v>3</v>
      </c>
      <c r="H66" s="38">
        <v>1</v>
      </c>
      <c r="I66" s="33">
        <f t="shared" si="1"/>
        <v>123101</v>
      </c>
      <c r="J66" s="33" t="s">
        <v>463</v>
      </c>
      <c r="K66" s="33"/>
      <c r="L66" s="33">
        <v>0</v>
      </c>
      <c r="M66" s="33">
        <v>1</v>
      </c>
      <c r="N66" s="33"/>
      <c r="O66" s="33">
        <v>1</v>
      </c>
      <c r="P66" s="33">
        <f>VLOOKUP($C66,CHOOSE({1,2},怪物并表!$E$7:$E$1000,怪物并表!$D$7:$D$1000),2,FALSE)</f>
        <v>13</v>
      </c>
      <c r="Q66" s="33" t="s">
        <v>9</v>
      </c>
      <c r="R66" s="33">
        <f>VLOOKUP(Q66,怪物信息配置表!$A$2:$B$118,2,FALSE)</f>
        <v>1003</v>
      </c>
      <c r="S66" s="33">
        <v>1</v>
      </c>
      <c r="T66" s="49">
        <f>VLOOKUP($C66,怪物并表!$E$7:$N$1000,2+($D66-1)*3,FALSE)*S66*AJ66</f>
        <v>2475.7481128888767</v>
      </c>
      <c r="U66" s="49">
        <f>VLOOKUP($C66,怪物并表!$E$7:$N$1000,3+($D66-1)*3,FALSE)*S66*AK66</f>
        <v>187.04198716106288</v>
      </c>
      <c r="V66" s="49">
        <f>VLOOKUP($C66,怪物并表!$E$7:$N$1000,4+($D66-1)*3,FALSE)*S66*AL66</f>
        <v>92.307600000000008</v>
      </c>
      <c r="W66" s="33"/>
      <c r="X66" s="33"/>
      <c r="Y66" s="49">
        <f>VLOOKUP($C66,怪物并表!$E$7:$P$1000,12,FALSE)</f>
        <v>0</v>
      </c>
      <c r="Z66" s="49">
        <f>VLOOKUP($C66,怪物并表!$E$7:$P$1000,11,FALSE)*S66</f>
        <v>1098.5640000000001</v>
      </c>
      <c r="AA66" s="33"/>
      <c r="AB66" s="33"/>
      <c r="AC66" s="33"/>
      <c r="AD66" s="33">
        <f t="shared" si="3"/>
        <v>0.8</v>
      </c>
      <c r="AE66" s="2">
        <f t="shared" ref="AE66:AE129" si="12">MAX(VLOOKUP(Q66,怪物信息配置表,3,FALSE)-VLOOKUP(Q66,怪物信息配置表,5,FALSE)*P66*AD66,50)</f>
        <v>876.5</v>
      </c>
      <c r="AF66" s="2" t="str">
        <f>IF(ISBLANK(AM66),IF(O66=6,"",IF(O66=1,VLOOKUP(R66,怪物信息配置表!B:H,5,FALSE),IF(O66=2,VLOOKUP(R66,怪物信息配置表!B:H,6,FALSE),IF(OR(O66=3,O66=5),VLOOKUP(R66,怪物信息配置表!B:H,7,FALSE),"")))),AM66)</f>
        <v>ai_monster_02</v>
      </c>
      <c r="AG66" s="2"/>
      <c r="AH66" s="15">
        <f>SUMPRODUCT(T66:V66,$AN$3:$AP$3)+ROUNDDOWN(VLOOKUP(P66,CHOOSE({1,2},'[1]消耗&amp;价值&amp;分析'!$C$7:$C$106,'[1]消耗&amp;价值&amp;分析'!$AS$7:$AS$106),2,FALSE)*0.6,0)</f>
        <v>518.37951167661799</v>
      </c>
      <c r="AJ66" s="80">
        <v>1</v>
      </c>
      <c r="AK66" s="80">
        <v>1</v>
      </c>
      <c r="AL66" s="80">
        <v>1</v>
      </c>
    </row>
    <row r="67" spans="1:38">
      <c r="A67" s="33" t="str">
        <f>怪物并表!$R$7</f>
        <v>普通副本</v>
      </c>
      <c r="B67" s="38">
        <v>2</v>
      </c>
      <c r="C67" s="33">
        <f t="shared" si="0"/>
        <v>2003</v>
      </c>
      <c r="D67" s="33">
        <v>1</v>
      </c>
      <c r="E67" s="33">
        <f>VLOOKUP(A67,怪物并表!$R$7:$S$14,2,FALSE)</f>
        <v>1</v>
      </c>
      <c r="F67" s="38">
        <v>2</v>
      </c>
      <c r="G67" s="38">
        <v>3</v>
      </c>
      <c r="H67" s="38">
        <v>1</v>
      </c>
      <c r="I67" s="33">
        <f t="shared" si="1"/>
        <v>123102</v>
      </c>
      <c r="J67" s="33" t="s">
        <v>464</v>
      </c>
      <c r="K67" s="33"/>
      <c r="L67" s="33">
        <v>0</v>
      </c>
      <c r="M67" s="33">
        <v>1</v>
      </c>
      <c r="N67" s="33"/>
      <c r="O67" s="33">
        <v>1</v>
      </c>
      <c r="P67" s="33">
        <f>VLOOKUP($C67,CHOOSE({1,2},怪物并表!$E$7:$E$1000,怪物并表!$D$7:$D$1000),2,FALSE)</f>
        <v>13</v>
      </c>
      <c r="Q67" s="33" t="s">
        <v>367</v>
      </c>
      <c r="R67" s="33">
        <f>VLOOKUP(Q67,怪物信息配置表!$A$2:$B$118,2,FALSE)</f>
        <v>1008</v>
      </c>
      <c r="S67" s="33">
        <v>1</v>
      </c>
      <c r="T67" s="49">
        <f>VLOOKUP($C67,怪物并表!$E$7:$N$1000,2+($D67-1)*3,FALSE)*S67*AJ67</f>
        <v>3094.6851411110956</v>
      </c>
      <c r="U67" s="49">
        <f>VLOOKUP($C67,怪物并表!$E$7:$N$1000,3+($D67-1)*3,FALSE)*S67*AK67</f>
        <v>194.14923017895876</v>
      </c>
      <c r="V67" s="49">
        <f>VLOOKUP($C67,怪物并表!$E$7:$N$1000,4+($D67-1)*3,FALSE)*S67*AL67</f>
        <v>123.07679999999999</v>
      </c>
      <c r="W67" s="33"/>
      <c r="X67" s="33"/>
      <c r="Y67" s="49">
        <f>VLOOKUP($C67,怪物并表!$E$7:$P$1000,12,FALSE)</f>
        <v>0</v>
      </c>
      <c r="Z67" s="49">
        <f>VLOOKUP($C67,怪物并表!$E$7:$P$1000,11,FALSE)*S67</f>
        <v>1098.5640000000001</v>
      </c>
      <c r="AA67" s="33"/>
      <c r="AB67" s="33"/>
      <c r="AC67" s="33"/>
      <c r="AD67" s="33">
        <f t="shared" si="3"/>
        <v>1</v>
      </c>
      <c r="AE67" s="2">
        <f t="shared" si="12"/>
        <v>845.625</v>
      </c>
      <c r="AF67" s="2" t="str">
        <f>IF(ISBLANK(AM67),IF(O67=6,"",IF(O67=1,VLOOKUP(R67,怪物信息配置表!B:H,5,FALSE),IF(O67=2,VLOOKUP(R67,怪物信息配置表!B:H,6,FALSE),IF(OR(O67=3,O67=5),VLOOKUP(R67,怪物信息配置表!B:H,7,FALSE),"")))),AM67)</f>
        <v>ai_monster</v>
      </c>
      <c r="AG67" s="2"/>
      <c r="AH67" s="15">
        <f>SUMPRODUCT(T67:V67,$AN$3:$AP$3)+ROUNDDOWN(VLOOKUP(P67,CHOOSE({1,2},'[1]消耗&amp;价值&amp;分析'!$C$7:$C$106,'[1]消耗&amp;价值&amp;分析'!$AS$7:$AS$106),2,FALSE)*0.6,0)</f>
        <v>581.01343582340257</v>
      </c>
      <c r="AJ67" s="80">
        <v>1</v>
      </c>
      <c r="AK67" s="80">
        <v>1</v>
      </c>
      <c r="AL67" s="80">
        <v>1</v>
      </c>
    </row>
    <row r="68" spans="1:38">
      <c r="A68" s="33" t="str">
        <f>怪物并表!$R$7</f>
        <v>普通副本</v>
      </c>
      <c r="B68" s="38">
        <v>3</v>
      </c>
      <c r="C68" s="33">
        <f t="shared" si="0"/>
        <v>2003</v>
      </c>
      <c r="D68" s="33">
        <v>1</v>
      </c>
      <c r="E68" s="33">
        <f>VLOOKUP(A68,怪物并表!$R$7:$S$14,2,FALSE)</f>
        <v>1</v>
      </c>
      <c r="F68" s="38">
        <v>2</v>
      </c>
      <c r="G68" s="38">
        <v>3</v>
      </c>
      <c r="H68" s="38">
        <v>1</v>
      </c>
      <c r="I68" s="33">
        <f t="shared" si="1"/>
        <v>123103</v>
      </c>
      <c r="J68" s="33" t="s">
        <v>465</v>
      </c>
      <c r="K68" s="33"/>
      <c r="L68" s="33">
        <v>0</v>
      </c>
      <c r="M68" s="33">
        <v>1</v>
      </c>
      <c r="N68" s="33"/>
      <c r="O68" s="33">
        <v>1</v>
      </c>
      <c r="P68" s="33">
        <f>VLOOKUP($C68,CHOOSE({1,2},怪物并表!$E$7:$E$1000,怪物并表!$D$7:$D$1000),2,FALSE)</f>
        <v>13</v>
      </c>
      <c r="Q68" s="33" t="s">
        <v>7</v>
      </c>
      <c r="R68" s="33">
        <f>VLOOKUP(Q68,怪物信息配置表!$A$2:$B$118,2,FALSE)</f>
        <v>1002</v>
      </c>
      <c r="S68" s="33">
        <v>1</v>
      </c>
      <c r="T68" s="49">
        <f>VLOOKUP($C68,怪物并表!$E$7:$N$1000,2+($D68-1)*3,FALSE)*S68*AJ68</f>
        <v>3094.6851411110956</v>
      </c>
      <c r="U68" s="49">
        <f>VLOOKUP($C68,怪物并表!$E$7:$N$1000,3+($D68-1)*3,FALSE)*S68*AK68</f>
        <v>194.14923017895876</v>
      </c>
      <c r="V68" s="49">
        <f>VLOOKUP($C68,怪物并表!$E$7:$N$1000,4+($D68-1)*3,FALSE)*S68*AL68</f>
        <v>123.07679999999999</v>
      </c>
      <c r="W68" s="33"/>
      <c r="X68" s="33"/>
      <c r="Y68" s="49">
        <f>VLOOKUP($C68,怪物并表!$E$7:$P$1000,12,FALSE)</f>
        <v>0</v>
      </c>
      <c r="Z68" s="49">
        <f>VLOOKUP($C68,怪物并表!$E$7:$P$1000,11,FALSE)*S68</f>
        <v>1098.5640000000001</v>
      </c>
      <c r="AA68" s="33"/>
      <c r="AB68" s="33"/>
      <c r="AC68" s="33"/>
      <c r="AD68" s="33">
        <f t="shared" si="3"/>
        <v>1</v>
      </c>
      <c r="AE68" s="2">
        <f t="shared" si="12"/>
        <v>845.625</v>
      </c>
      <c r="AF68" s="2" t="str">
        <f>IF(ISBLANK(AM68),IF(O68=6,"",IF(O68=1,VLOOKUP(R68,怪物信息配置表!B:H,5,FALSE),IF(O68=2,VLOOKUP(R68,怪物信息配置表!B:H,6,FALSE),IF(OR(O68=3,O68=5),VLOOKUP(R68,怪物信息配置表!B:H,7,FALSE),"")))),AM68)</f>
        <v>ai_monster</v>
      </c>
      <c r="AG68" s="2"/>
      <c r="AH68" s="15">
        <f>SUMPRODUCT(T68:V68,$AN$3:$AP$3)+ROUNDDOWN(VLOOKUP(P68,CHOOSE({1,2},'[1]消耗&amp;价值&amp;分析'!$C$7:$C$106,'[1]消耗&amp;价值&amp;分析'!$AS$7:$AS$106),2,FALSE)*0.6,0)</f>
        <v>581.01343582340257</v>
      </c>
      <c r="AJ68" s="80">
        <v>1</v>
      </c>
      <c r="AK68" s="80">
        <v>1</v>
      </c>
      <c r="AL68" s="80">
        <v>1</v>
      </c>
    </row>
    <row r="69" spans="1:38">
      <c r="A69" s="33" t="str">
        <f>怪物并表!$R$7</f>
        <v>普通副本</v>
      </c>
      <c r="B69" s="38">
        <v>4</v>
      </c>
      <c r="C69" s="33">
        <f t="shared" si="0"/>
        <v>2003</v>
      </c>
      <c r="D69" s="33">
        <v>3</v>
      </c>
      <c r="E69" s="33">
        <f>VLOOKUP(A69,怪物并表!$R$7:$S$14,2,FALSE)</f>
        <v>1</v>
      </c>
      <c r="F69" s="38">
        <v>2</v>
      </c>
      <c r="G69" s="38">
        <v>3</v>
      </c>
      <c r="H69" s="38">
        <v>1</v>
      </c>
      <c r="I69" s="33">
        <f t="shared" si="1"/>
        <v>123104</v>
      </c>
      <c r="J69" s="33" t="s">
        <v>412</v>
      </c>
      <c r="K69" s="33"/>
      <c r="L69" s="33">
        <v>1</v>
      </c>
      <c r="M69" s="33">
        <v>1.2</v>
      </c>
      <c r="N69" s="33"/>
      <c r="O69" s="33">
        <v>3</v>
      </c>
      <c r="P69" s="33">
        <f>VLOOKUP($C69,CHOOSE({1,2},怪物并表!$E$7:$E$1000,怪物并表!$D$7:$D$1000),2,FALSE)</f>
        <v>13</v>
      </c>
      <c r="Q69" s="33" t="s">
        <v>17</v>
      </c>
      <c r="R69" s="33">
        <f>VLOOKUP(Q69,怪物信息配置表!$A$2:$B$118,2,FALSE)</f>
        <v>1005</v>
      </c>
      <c r="S69" s="33">
        <v>1</v>
      </c>
      <c r="T69" s="49">
        <f>VLOOKUP($C69,怪物并表!$E$7:$N$1000,2+($D69-1)*3,FALSE)*S69*AJ69</f>
        <v>7736.7128527777386</v>
      </c>
      <c r="U69" s="49">
        <f>VLOOKUP($C69,怪物并表!$E$7:$N$1000,3+($D69-1)*3,FALSE)*S69*AK69</f>
        <v>208.36371621475053</v>
      </c>
      <c r="V69" s="49">
        <f>VLOOKUP($C69,怪物并表!$E$7:$N$1000,4+($D69-1)*3,FALSE)*S69*AL69</f>
        <v>153.846</v>
      </c>
      <c r="W69" s="33"/>
      <c r="X69" s="33"/>
      <c r="Y69" s="49">
        <f>VLOOKUP($C69,怪物并表!$E$7:$P$1000,12,FALSE)</f>
        <v>0</v>
      </c>
      <c r="Z69" s="49">
        <f>VLOOKUP($C69,怪物并表!$E$7:$P$1000,11,FALSE)*S69</f>
        <v>1098.5640000000001</v>
      </c>
      <c r="AA69" s="33"/>
      <c r="AB69" s="33"/>
      <c r="AC69" s="33"/>
      <c r="AD69" s="33">
        <f t="shared" si="3"/>
        <v>1.5</v>
      </c>
      <c r="AE69" s="2">
        <f t="shared" si="12"/>
        <v>768.4375</v>
      </c>
      <c r="AF69" s="2" t="str">
        <f>IF(ISBLANK(AM69),IF(O69=6,"",IF(O69=1,VLOOKUP(R69,怪物信息配置表!B:H,5,FALSE),IF(O69=2,VLOOKUP(R69,怪物信息配置表!B:H,6,FALSE),IF(OR(O69=3,O69=5),VLOOKUP(R69,怪物信息配置表!B:H,7,FALSE),"")))),AM69)</f>
        <v>1005_JQB_BOSS</v>
      </c>
      <c r="AG69" s="2"/>
      <c r="AH69" s="15">
        <f>SUMPRODUCT(T69:V69,$AN$3:$AP$3)+ROUNDDOWN(VLOOKUP(P69,CHOOSE({1,2},'[1]消耗&amp;价值&amp;分析'!$C$7:$C$106,'[1]消耗&amp;价值&amp;分析'!$AS$7:$AS$106),2,FALSE)*0.6,0)</f>
        <v>811.67823032586011</v>
      </c>
      <c r="AJ69" s="80">
        <v>1</v>
      </c>
      <c r="AK69" s="80">
        <v>1</v>
      </c>
      <c r="AL69" s="80">
        <v>1</v>
      </c>
    </row>
    <row r="70" spans="1:38">
      <c r="A70" s="33" t="str">
        <f>怪物并表!$R$7</f>
        <v>普通副本</v>
      </c>
      <c r="B70" s="38">
        <v>1</v>
      </c>
      <c r="C70" s="33">
        <f t="shared" si="0"/>
        <v>2004</v>
      </c>
      <c r="D70" s="33">
        <v>1</v>
      </c>
      <c r="E70" s="33">
        <f>VLOOKUP(A70,怪物并表!$R$7:$S$14,2,FALSE)</f>
        <v>1</v>
      </c>
      <c r="F70" s="38">
        <v>2</v>
      </c>
      <c r="G70" s="38">
        <v>4</v>
      </c>
      <c r="H70" s="38">
        <v>1</v>
      </c>
      <c r="I70" s="33">
        <f t="shared" si="1"/>
        <v>124101</v>
      </c>
      <c r="J70" s="33" t="s">
        <v>466</v>
      </c>
      <c r="K70" s="33"/>
      <c r="L70" s="33">
        <v>0</v>
      </c>
      <c r="M70" s="33">
        <v>1</v>
      </c>
      <c r="N70" s="33"/>
      <c r="O70" s="33">
        <v>1</v>
      </c>
      <c r="P70" s="33">
        <f>VLOOKUP($C70,CHOOSE({1,2},怪物并表!$E$7:$E$1000,怪物并表!$D$7:$D$1000),2,FALSE)</f>
        <v>14</v>
      </c>
      <c r="Q70" s="33" t="s">
        <v>14</v>
      </c>
      <c r="R70" s="33">
        <f>VLOOKUP(Q70,怪物信息配置表!$A$2:$B$118,2,FALSE)</f>
        <v>1010</v>
      </c>
      <c r="S70" s="33">
        <v>1</v>
      </c>
      <c r="T70" s="49">
        <f>VLOOKUP($C70,怪物并表!$E$7:$N$1000,2+($D70-1)*3,FALSE)*S70*AJ70</f>
        <v>3648.6259147468172</v>
      </c>
      <c r="U70" s="49">
        <f>VLOOKUP($C70,怪物并表!$E$7:$N$1000,3+($D70-1)*3,FALSE)*S70*AK70</f>
        <v>225.91763535219297</v>
      </c>
      <c r="V70" s="49">
        <f>VLOOKUP($C70,怪物并表!$E$7:$N$1000,4+($D70-1)*3,FALSE)*S70*AL70</f>
        <v>140.93467826086962</v>
      </c>
      <c r="W70" s="33"/>
      <c r="X70" s="33"/>
      <c r="Y70" s="49">
        <f>VLOOKUP($C70,怪物并表!$E$7:$P$1000,12,FALSE)</f>
        <v>0</v>
      </c>
      <c r="Z70" s="49">
        <f>VLOOKUP($C70,怪物并表!$E$7:$P$1000,11,FALSE)*S70</f>
        <v>1156.7920000000001</v>
      </c>
      <c r="AA70" s="33"/>
      <c r="AB70" s="33"/>
      <c r="AC70" s="33"/>
      <c r="AD70" s="33">
        <f t="shared" si="3"/>
        <v>1</v>
      </c>
      <c r="AE70" s="2">
        <f t="shared" si="12"/>
        <v>833.75</v>
      </c>
      <c r="AF70" s="2" t="str">
        <f>IF(ISBLANK(AM70),IF(O70=6,"",IF(O70=1,VLOOKUP(R70,怪物信息配置表!B:H,5,FALSE),IF(O70=2,VLOOKUP(R70,怪物信息配置表!B:H,6,FALSE),IF(OR(O70=3,O70=5),VLOOKUP(R70,怪物信息配置表!B:H,7,FALSE),"")))),AM70)</f>
        <v>ai_monster</v>
      </c>
      <c r="AG70" s="2"/>
      <c r="AH70" s="15">
        <f>SUMPRODUCT(T70:V70,$AN$3:$AP$3)+ROUNDDOWN(VLOOKUP(P70,CHOOSE({1,2},'[1]消耗&amp;价值&amp;分析'!$C$7:$C$106,'[1]消耗&amp;价值&amp;分析'!$AS$7:$AS$106),2,FALSE)*0.6,0)</f>
        <v>673.79735020293526</v>
      </c>
      <c r="AJ70" s="80">
        <v>1</v>
      </c>
      <c r="AK70" s="80">
        <v>1</v>
      </c>
      <c r="AL70" s="80">
        <v>1</v>
      </c>
    </row>
    <row r="71" spans="1:38">
      <c r="A71" s="33" t="str">
        <f>怪物并表!$R$7</f>
        <v>普通副本</v>
      </c>
      <c r="B71" s="38">
        <v>2</v>
      </c>
      <c r="C71" s="33">
        <f t="shared" si="0"/>
        <v>2004</v>
      </c>
      <c r="D71" s="33">
        <v>1</v>
      </c>
      <c r="E71" s="33">
        <f>VLOOKUP(A71,怪物并表!$R$7:$S$14,2,FALSE)</f>
        <v>1</v>
      </c>
      <c r="F71" s="38">
        <v>2</v>
      </c>
      <c r="G71" s="38">
        <v>4</v>
      </c>
      <c r="H71" s="38">
        <v>1</v>
      </c>
      <c r="I71" s="33">
        <f t="shared" si="1"/>
        <v>124102</v>
      </c>
      <c r="J71" s="33" t="s">
        <v>448</v>
      </c>
      <c r="K71" s="33"/>
      <c r="L71" s="33">
        <v>0</v>
      </c>
      <c r="M71" s="33">
        <v>1</v>
      </c>
      <c r="N71" s="33"/>
      <c r="O71" s="33">
        <v>1</v>
      </c>
      <c r="P71" s="33">
        <f>VLOOKUP($C71,CHOOSE({1,2},怪物并表!$E$7:$E$1000,怪物并表!$D$7:$D$1000),2,FALSE)</f>
        <v>14</v>
      </c>
      <c r="Q71" s="33" t="s">
        <v>10</v>
      </c>
      <c r="R71" s="33">
        <f>VLOOKUP(Q71,怪物信息配置表!$A$2:$B$118,2,FALSE)</f>
        <v>1001</v>
      </c>
      <c r="S71" s="33">
        <v>1</v>
      </c>
      <c r="T71" s="49">
        <f>VLOOKUP($C71,怪物并表!$E$7:$N$1000,2+($D71-1)*3,FALSE)*S71*AJ71</f>
        <v>3648.6259147468172</v>
      </c>
      <c r="U71" s="49">
        <f>VLOOKUP($C71,怪物并表!$E$7:$N$1000,3+($D71-1)*3,FALSE)*S71*AK71</f>
        <v>225.91763535219297</v>
      </c>
      <c r="V71" s="49">
        <f>VLOOKUP($C71,怪物并表!$E$7:$N$1000,4+($D71-1)*3,FALSE)*S71*AL71</f>
        <v>140.93467826086962</v>
      </c>
      <c r="W71" s="33"/>
      <c r="X71" s="33"/>
      <c r="Y71" s="49">
        <f>VLOOKUP($C71,怪物并表!$E$7:$P$1000,12,FALSE)</f>
        <v>0</v>
      </c>
      <c r="Z71" s="49">
        <f>VLOOKUP($C71,怪物并表!$E$7:$P$1000,11,FALSE)*S71</f>
        <v>1156.7920000000001</v>
      </c>
      <c r="AA71" s="33"/>
      <c r="AB71" s="33"/>
      <c r="AC71" s="33"/>
      <c r="AD71" s="33">
        <f t="shared" si="3"/>
        <v>1</v>
      </c>
      <c r="AE71" s="2">
        <f t="shared" si="12"/>
        <v>833.75</v>
      </c>
      <c r="AF71" s="2" t="str">
        <f>IF(ISBLANK(AM71),IF(O71=6,"",IF(O71=1,VLOOKUP(R71,怪物信息配置表!B:H,5,FALSE),IF(O71=2,VLOOKUP(R71,怪物信息配置表!B:H,6,FALSE),IF(OR(O71=3,O71=5),VLOOKUP(R71,怪物信息配置表!B:H,7,FALSE),"")))),AM71)</f>
        <v>ai_monster</v>
      </c>
      <c r="AG71" s="2"/>
      <c r="AH71" s="15">
        <f>SUMPRODUCT(T71:V71,$AN$3:$AP$3)+ROUNDDOWN(VLOOKUP(P71,CHOOSE({1,2},'[1]消耗&amp;价值&amp;分析'!$C$7:$C$106,'[1]消耗&amp;价值&amp;分析'!$AS$7:$AS$106),2,FALSE)*0.6,0)</f>
        <v>673.79735020293526</v>
      </c>
      <c r="AJ71" s="80">
        <v>1</v>
      </c>
      <c r="AK71" s="80">
        <v>1</v>
      </c>
      <c r="AL71" s="80">
        <v>1</v>
      </c>
    </row>
    <row r="72" spans="1:38">
      <c r="A72" s="33" t="str">
        <f>怪物并表!$R$7</f>
        <v>普通副本</v>
      </c>
      <c r="B72" s="38">
        <v>3</v>
      </c>
      <c r="C72" s="33">
        <f t="shared" si="0"/>
        <v>2004</v>
      </c>
      <c r="D72" s="33">
        <v>1</v>
      </c>
      <c r="E72" s="33">
        <f>VLOOKUP(A72,怪物并表!$R$7:$S$14,2,FALSE)</f>
        <v>1</v>
      </c>
      <c r="F72" s="38">
        <v>2</v>
      </c>
      <c r="G72" s="38">
        <v>4</v>
      </c>
      <c r="H72" s="38">
        <v>1</v>
      </c>
      <c r="I72" s="33">
        <f t="shared" si="1"/>
        <v>124103</v>
      </c>
      <c r="J72" s="33" t="s">
        <v>13</v>
      </c>
      <c r="K72" s="33"/>
      <c r="L72" s="33">
        <v>0</v>
      </c>
      <c r="M72" s="33">
        <v>1</v>
      </c>
      <c r="N72" s="33"/>
      <c r="O72" s="33">
        <v>1</v>
      </c>
      <c r="P72" s="33">
        <f>VLOOKUP($C72,CHOOSE({1,2},怪物并表!$E$7:$E$1000,怪物并表!$D$7:$D$1000),2,FALSE)</f>
        <v>14</v>
      </c>
      <c r="Q72" s="33" t="s">
        <v>7</v>
      </c>
      <c r="R72" s="33">
        <f>VLOOKUP(Q72,怪物信息配置表!$A$2:$B$118,2,FALSE)</f>
        <v>1002</v>
      </c>
      <c r="S72" s="33">
        <v>1</v>
      </c>
      <c r="T72" s="49">
        <f>VLOOKUP($C72,怪物并表!$E$7:$N$1000,2+($D72-1)*3,FALSE)*S72*AJ72</f>
        <v>3648.6259147468172</v>
      </c>
      <c r="U72" s="49">
        <f>VLOOKUP($C72,怪物并表!$E$7:$N$1000,3+($D72-1)*3,FALSE)*S72*AK72</f>
        <v>225.91763535219297</v>
      </c>
      <c r="V72" s="49">
        <f>VLOOKUP($C72,怪物并表!$E$7:$N$1000,4+($D72-1)*3,FALSE)*S72*AL72</f>
        <v>140.93467826086962</v>
      </c>
      <c r="W72" s="33"/>
      <c r="X72" s="33"/>
      <c r="Y72" s="49">
        <f>VLOOKUP($C72,怪物并表!$E$7:$P$1000,12,FALSE)</f>
        <v>0</v>
      </c>
      <c r="Z72" s="49">
        <f>VLOOKUP($C72,怪物并表!$E$7:$P$1000,11,FALSE)*S72</f>
        <v>1156.7920000000001</v>
      </c>
      <c r="AA72" s="33"/>
      <c r="AB72" s="33"/>
      <c r="AC72" s="33"/>
      <c r="AD72" s="33">
        <f t="shared" si="3"/>
        <v>1</v>
      </c>
      <c r="AE72" s="2">
        <f t="shared" si="12"/>
        <v>833.75</v>
      </c>
      <c r="AF72" s="2" t="str">
        <f>IF(ISBLANK(AM72),IF(O72=6,"",IF(O72=1,VLOOKUP(R72,怪物信息配置表!B:H,5,FALSE),IF(O72=2,VLOOKUP(R72,怪物信息配置表!B:H,6,FALSE),IF(OR(O72=3,O72=5),VLOOKUP(R72,怪物信息配置表!B:H,7,FALSE),"")))),AM72)</f>
        <v>ai_monster</v>
      </c>
      <c r="AG72" s="2"/>
      <c r="AH72" s="15">
        <f>SUMPRODUCT(T72:V72,$AN$3:$AP$3)+ROUNDDOWN(VLOOKUP(P72,CHOOSE({1,2},'[1]消耗&amp;价值&amp;分析'!$C$7:$C$106,'[1]消耗&amp;价值&amp;分析'!$AS$7:$AS$106),2,FALSE)*0.6,0)</f>
        <v>673.79735020293526</v>
      </c>
      <c r="AJ72" s="80">
        <v>1</v>
      </c>
      <c r="AK72" s="80">
        <v>1</v>
      </c>
      <c r="AL72" s="80">
        <v>1</v>
      </c>
    </row>
    <row r="73" spans="1:38">
      <c r="A73" s="33" t="str">
        <f>怪物并表!$R$7</f>
        <v>普通副本</v>
      </c>
      <c r="B73" s="38">
        <v>4</v>
      </c>
      <c r="C73" s="33">
        <f t="shared" si="0"/>
        <v>2004</v>
      </c>
      <c r="D73" s="33">
        <v>3</v>
      </c>
      <c r="E73" s="33">
        <f>VLOOKUP(A73,怪物并表!$R$7:$S$14,2,FALSE)</f>
        <v>1</v>
      </c>
      <c r="F73" s="38">
        <v>2</v>
      </c>
      <c r="G73" s="38">
        <v>4</v>
      </c>
      <c r="H73" s="38">
        <v>1</v>
      </c>
      <c r="I73" s="33">
        <f t="shared" si="1"/>
        <v>124104</v>
      </c>
      <c r="J73" s="33" t="s">
        <v>414</v>
      </c>
      <c r="K73" s="33"/>
      <c r="L73" s="33">
        <v>1</v>
      </c>
      <c r="M73" s="33">
        <v>1.2</v>
      </c>
      <c r="N73" s="33" t="s">
        <v>220</v>
      </c>
      <c r="O73" s="33">
        <v>3</v>
      </c>
      <c r="P73" s="33">
        <f>VLOOKUP($C73,CHOOSE({1,2},怪物并表!$E$7:$E$1000,怪物并表!$D$7:$D$1000),2,FALSE)</f>
        <v>14</v>
      </c>
      <c r="Q73" s="33" t="s">
        <v>13</v>
      </c>
      <c r="R73" s="33">
        <f>VLOOKUP(Q73,怪物信息配置表!$A$2:$B$118,2,FALSE)</f>
        <v>1007</v>
      </c>
      <c r="S73" s="33">
        <v>1</v>
      </c>
      <c r="T73" s="49">
        <f>VLOOKUP($C73,怪物并表!$E$7:$N$1000,2+($D73-1)*3,FALSE)*S73*AJ73</f>
        <v>9121.5647868670421</v>
      </c>
      <c r="U73" s="49">
        <f>VLOOKUP($C73,怪物并表!$E$7:$N$1000,3+($D73-1)*3,FALSE)*S73*AK73</f>
        <v>242.91422677045765</v>
      </c>
      <c r="V73" s="49">
        <f>VLOOKUP($C73,怪物并表!$E$7:$N$1000,4+($D73-1)*3,FALSE)*S73*AL73</f>
        <v>176.168347826087</v>
      </c>
      <c r="W73" s="33"/>
      <c r="X73" s="33"/>
      <c r="Y73" s="49">
        <f>VLOOKUP($C73,怪物并表!$E$7:$P$1000,12,FALSE)</f>
        <v>0</v>
      </c>
      <c r="Z73" s="49">
        <f>VLOOKUP($C73,怪物并表!$E$7:$P$1000,11,FALSE)*S73</f>
        <v>1156.7920000000001</v>
      </c>
      <c r="AA73" s="33"/>
      <c r="AB73" s="33"/>
      <c r="AC73" s="33"/>
      <c r="AD73" s="33">
        <f t="shared" si="3"/>
        <v>1.5</v>
      </c>
      <c r="AE73" s="2">
        <f t="shared" si="12"/>
        <v>750.625</v>
      </c>
      <c r="AF73" s="2" t="str">
        <f>IF(ISBLANK(AM73),IF(O73=6,"",IF(O73=1,VLOOKUP(R73,怪物信息配置表!B:H,5,FALSE),IF(O73=2,VLOOKUP(R73,怪物信息配置表!B:H,6,FALSE),IF(OR(O73=3,O73=5),VLOOKUP(R73,怪物信息配置表!B:H,7,FALSE),"")))),AM73)</f>
        <v>ai_BOSS_01</v>
      </c>
      <c r="AG73" s="2"/>
      <c r="AH73" s="15">
        <f>SUMPRODUCT(T73:V73,$AN$3:$AP$3)+ROUNDDOWN(VLOOKUP(P73,CHOOSE({1,2},'[1]消耗&amp;价值&amp;分析'!$C$7:$C$106,'[1]消耗&amp;价值&amp;分析'!$AS$7:$AS$106),2,FALSE)*0.6,0)</f>
        <v>944.94516607122637</v>
      </c>
      <c r="AJ73" s="80">
        <v>1</v>
      </c>
      <c r="AK73" s="80">
        <v>1</v>
      </c>
      <c r="AL73" s="80">
        <v>1</v>
      </c>
    </row>
    <row r="74" spans="1:38">
      <c r="A74" s="33" t="str">
        <f>怪物并表!$R$7</f>
        <v>普通副本</v>
      </c>
      <c r="B74" s="38">
        <v>1</v>
      </c>
      <c r="C74" s="33">
        <f t="shared" si="0"/>
        <v>2005</v>
      </c>
      <c r="D74" s="33">
        <v>1</v>
      </c>
      <c r="E74" s="33">
        <f>VLOOKUP(A74,怪物并表!$R$7:$S$14,2,FALSE)</f>
        <v>1</v>
      </c>
      <c r="F74" s="38">
        <v>2</v>
      </c>
      <c r="G74" s="38">
        <v>5</v>
      </c>
      <c r="H74" s="38">
        <v>1</v>
      </c>
      <c r="I74" s="33">
        <f t="shared" si="1"/>
        <v>125101</v>
      </c>
      <c r="J74" s="33" t="s">
        <v>15</v>
      </c>
      <c r="K74" s="33"/>
      <c r="L74" s="33">
        <v>0</v>
      </c>
      <c r="M74" s="33">
        <v>1</v>
      </c>
      <c r="N74" s="33" t="s">
        <v>221</v>
      </c>
      <c r="O74" s="33">
        <v>1</v>
      </c>
      <c r="P74" s="33">
        <f>VLOOKUP($C74,CHOOSE({1,2},怪物并表!$E$7:$E$1000,怪物并表!$D$7:$D$1000),2,FALSE)</f>
        <v>15</v>
      </c>
      <c r="Q74" s="33" t="s">
        <v>15</v>
      </c>
      <c r="R74" s="33">
        <f>VLOOKUP(Q74,怪物信息配置表!$A$2:$B$118,2,FALSE)</f>
        <v>1004</v>
      </c>
      <c r="S74" s="33">
        <v>1</v>
      </c>
      <c r="T74" s="49">
        <f>VLOOKUP($C74,怪物并表!$E$7:$N$1000,2+($D74-1)*3,FALSE)*S74*AJ74</f>
        <v>4254.6896346215126</v>
      </c>
      <c r="U74" s="49">
        <f>VLOOKUP($C74,怪物并表!$E$7:$N$1000,3+($D74-1)*3,FALSE)*S74*AK74</f>
        <v>260.34901531892024</v>
      </c>
      <c r="V74" s="49">
        <f>VLOOKUP($C74,怪物并表!$E$7:$N$1000,4+($D74-1)*3,FALSE)*S74*AL74</f>
        <v>159.83478260869569</v>
      </c>
      <c r="W74" s="33"/>
      <c r="X74" s="33"/>
      <c r="Y74" s="49">
        <f>VLOOKUP($C74,怪物并表!$E$7:$P$1000,12,FALSE)</f>
        <v>0</v>
      </c>
      <c r="Z74" s="49">
        <f>VLOOKUP($C74,怪物并表!$E$7:$P$1000,11,FALSE)*S74</f>
        <v>1215.02</v>
      </c>
      <c r="AA74" s="33"/>
      <c r="AB74" s="33"/>
      <c r="AC74" s="33"/>
      <c r="AD74" s="33">
        <f t="shared" si="3"/>
        <v>1</v>
      </c>
      <c r="AE74" s="2">
        <f t="shared" si="12"/>
        <v>821.875</v>
      </c>
      <c r="AF74" s="2" t="str">
        <f>IF(ISBLANK(AM74),IF(O74=6,"",IF(O74=1,VLOOKUP(R74,怪物信息配置表!B:H,5,FALSE),IF(O74=2,VLOOKUP(R74,怪物信息配置表!B:H,6,FALSE),IF(OR(O74=3,O74=5),VLOOKUP(R74,怪物信息配置表!B:H,7,FALSE),"")))),AM74)</f>
        <v>ai_monster</v>
      </c>
      <c r="AG74" s="2"/>
      <c r="AH74" s="15">
        <f>SUMPRODUCT(T74:V74,$AN$3:$AP$3)+ROUNDDOWN(VLOOKUP(P74,CHOOSE({1,2},'[1]消耗&amp;价值&amp;分析'!$C$7:$C$106,'[1]消耗&amp;价值&amp;分析'!$AS$7:$AS$106),2,FALSE)*0.6,0)</f>
        <v>792.3713833124765</v>
      </c>
      <c r="AJ74" s="80">
        <v>1</v>
      </c>
      <c r="AK74" s="80">
        <v>1</v>
      </c>
      <c r="AL74" s="80">
        <v>1</v>
      </c>
    </row>
    <row r="75" spans="1:38">
      <c r="A75" s="33" t="str">
        <f>怪物并表!$R$7</f>
        <v>普通副本</v>
      </c>
      <c r="B75" s="38">
        <v>2</v>
      </c>
      <c r="C75" s="33">
        <f t="shared" si="0"/>
        <v>2005</v>
      </c>
      <c r="D75" s="33">
        <v>1</v>
      </c>
      <c r="E75" s="33">
        <f>VLOOKUP(A75,怪物并表!$R$7:$S$14,2,FALSE)</f>
        <v>1</v>
      </c>
      <c r="F75" s="38">
        <v>2</v>
      </c>
      <c r="G75" s="38">
        <v>5</v>
      </c>
      <c r="H75" s="38">
        <v>1</v>
      </c>
      <c r="I75" s="33">
        <f t="shared" si="1"/>
        <v>125102</v>
      </c>
      <c r="J75" s="33" t="s">
        <v>467</v>
      </c>
      <c r="K75" s="33"/>
      <c r="L75" s="33">
        <v>0</v>
      </c>
      <c r="M75" s="33">
        <v>1</v>
      </c>
      <c r="N75" s="33"/>
      <c r="O75" s="33">
        <v>1</v>
      </c>
      <c r="P75" s="33">
        <f>VLOOKUP($C75,CHOOSE({1,2},怪物并表!$E$7:$E$1000,怪物并表!$D$7:$D$1000),2,FALSE)</f>
        <v>15</v>
      </c>
      <c r="Q75" s="33" t="s">
        <v>14</v>
      </c>
      <c r="R75" s="33">
        <f>VLOOKUP(Q75,怪物信息配置表!$A$2:$B$118,2,FALSE)</f>
        <v>1010</v>
      </c>
      <c r="S75" s="33">
        <v>1</v>
      </c>
      <c r="T75" s="49">
        <f>VLOOKUP($C75,怪物并表!$E$7:$N$1000,2+($D75-1)*3,FALSE)*S75*AJ75</f>
        <v>4254.6896346215126</v>
      </c>
      <c r="U75" s="49">
        <f>VLOOKUP($C75,怪物并表!$E$7:$N$1000,3+($D75-1)*3,FALSE)*S75*AK75</f>
        <v>260.34901531892024</v>
      </c>
      <c r="V75" s="49">
        <f>VLOOKUP($C75,怪物并表!$E$7:$N$1000,4+($D75-1)*3,FALSE)*S75*AL75</f>
        <v>159.83478260869569</v>
      </c>
      <c r="W75" s="33"/>
      <c r="X75" s="33"/>
      <c r="Y75" s="49">
        <f>VLOOKUP($C75,怪物并表!$E$7:$P$1000,12,FALSE)</f>
        <v>0</v>
      </c>
      <c r="Z75" s="49">
        <f>VLOOKUP($C75,怪物并表!$E$7:$P$1000,11,FALSE)*S75</f>
        <v>1215.02</v>
      </c>
      <c r="AA75" s="33"/>
      <c r="AB75" s="33"/>
      <c r="AC75" s="33"/>
      <c r="AD75" s="33">
        <f t="shared" si="3"/>
        <v>1</v>
      </c>
      <c r="AE75" s="2">
        <f t="shared" si="12"/>
        <v>821.875</v>
      </c>
      <c r="AF75" s="2" t="str">
        <f>IF(ISBLANK(AM75),IF(O75=6,"",IF(O75=1,VLOOKUP(R75,怪物信息配置表!B:H,5,FALSE),IF(O75=2,VLOOKUP(R75,怪物信息配置表!B:H,6,FALSE),IF(OR(O75=3,O75=5),VLOOKUP(R75,怪物信息配置表!B:H,7,FALSE),"")))),AM75)</f>
        <v>ai_monster</v>
      </c>
      <c r="AG75" s="2"/>
      <c r="AH75" s="15">
        <f>SUMPRODUCT(T75:V75,$AN$3:$AP$3)+ROUNDDOWN(VLOOKUP(P75,CHOOSE({1,2},'[1]消耗&amp;价值&amp;分析'!$C$7:$C$106,'[1]消耗&amp;价值&amp;分析'!$AS$7:$AS$106),2,FALSE)*0.6,0)</f>
        <v>792.3713833124765</v>
      </c>
      <c r="AJ75" s="80">
        <v>1</v>
      </c>
      <c r="AK75" s="80">
        <v>1</v>
      </c>
      <c r="AL75" s="80">
        <v>1</v>
      </c>
    </row>
    <row r="76" spans="1:38">
      <c r="A76" s="33" t="str">
        <f>怪物并表!$R$7</f>
        <v>普通副本</v>
      </c>
      <c r="B76" s="38">
        <v>3</v>
      </c>
      <c r="C76" s="33">
        <f t="shared" si="0"/>
        <v>2005</v>
      </c>
      <c r="D76" s="33">
        <v>2</v>
      </c>
      <c r="E76" s="33">
        <f>VLOOKUP(A76,怪物并表!$R$7:$S$14,2,FALSE)</f>
        <v>1</v>
      </c>
      <c r="F76" s="38">
        <v>2</v>
      </c>
      <c r="G76" s="38">
        <v>5</v>
      </c>
      <c r="H76" s="38">
        <v>1</v>
      </c>
      <c r="I76" s="33">
        <f t="shared" si="1"/>
        <v>125103</v>
      </c>
      <c r="J76" s="33" t="s">
        <v>465</v>
      </c>
      <c r="K76" s="33"/>
      <c r="L76" s="33">
        <v>0</v>
      </c>
      <c r="M76" s="33">
        <v>1</v>
      </c>
      <c r="N76" s="33"/>
      <c r="O76" s="33">
        <v>1</v>
      </c>
      <c r="P76" s="33">
        <f>VLOOKUP($C76,CHOOSE({1,2},怪物并表!$E$7:$E$1000,怪物并表!$D$7:$D$1000),2,FALSE)</f>
        <v>15</v>
      </c>
      <c r="Q76" s="33" t="s">
        <v>9</v>
      </c>
      <c r="R76" s="33">
        <f>VLOOKUP(Q76,怪物信息配置表!$A$2:$B$118,2,FALSE)</f>
        <v>1003</v>
      </c>
      <c r="S76" s="33">
        <v>1</v>
      </c>
      <c r="T76" s="49">
        <f>VLOOKUP($C76,怪物并表!$E$7:$N$1000,2+($D76-1)*3,FALSE)*S76*AJ76</f>
        <v>3403.7517076972103</v>
      </c>
      <c r="U76" s="49">
        <f>VLOOKUP($C76,怪物并表!$E$7:$N$1000,3+($D76-1)*3,FALSE)*S76*AK76</f>
        <v>250.29759204789778</v>
      </c>
      <c r="V76" s="49">
        <f>VLOOKUP($C76,怪物并表!$E$7:$N$1000,4+($D76-1)*3,FALSE)*S76*AL76</f>
        <v>119.87608695652179</v>
      </c>
      <c r="W76" s="33"/>
      <c r="X76" s="33"/>
      <c r="Y76" s="49">
        <f>VLOOKUP($C76,怪物并表!$E$7:$P$1000,12,FALSE)</f>
        <v>0</v>
      </c>
      <c r="Z76" s="49">
        <f>VLOOKUP($C76,怪物并表!$E$7:$P$1000,11,FALSE)*S76</f>
        <v>1215.02</v>
      </c>
      <c r="AA76" s="33"/>
      <c r="AB76" s="33"/>
      <c r="AC76" s="33"/>
      <c r="AD76" s="33">
        <f t="shared" si="3"/>
        <v>0.8</v>
      </c>
      <c r="AE76" s="2">
        <f t="shared" si="12"/>
        <v>857.5</v>
      </c>
      <c r="AF76" s="2" t="str">
        <f>IF(ISBLANK(AM76),IF(O76=6,"",IF(O76=1,VLOOKUP(R76,怪物信息配置表!B:H,5,FALSE),IF(O76=2,VLOOKUP(R76,怪物信息配置表!B:H,6,FALSE),IF(OR(O76=3,O76=5),VLOOKUP(R76,怪物信息配置表!B:H,7,FALSE),"")))),AM76)</f>
        <v>ai_monster_02</v>
      </c>
      <c r="AG76" s="2"/>
      <c r="AH76" s="15">
        <f>SUMPRODUCT(T76:V76,$AN$3:$AP$3)+ROUNDDOWN(VLOOKUP(P76,CHOOSE({1,2},'[1]消耗&amp;价值&amp;分析'!$C$7:$C$106,'[1]消耗&amp;价值&amp;分析'!$AS$7:$AS$106),2,FALSE)*0.6,0)</f>
        <v>708.323747312308</v>
      </c>
      <c r="AJ76" s="80">
        <v>1</v>
      </c>
      <c r="AK76" s="80">
        <v>1</v>
      </c>
      <c r="AL76" s="80">
        <v>1</v>
      </c>
    </row>
    <row r="77" spans="1:38">
      <c r="A77" s="33" t="str">
        <f>怪物并表!$R$7</f>
        <v>普通副本</v>
      </c>
      <c r="B77" s="38">
        <v>4</v>
      </c>
      <c r="C77" s="33">
        <f t="shared" si="0"/>
        <v>2005</v>
      </c>
      <c r="D77" s="33">
        <v>3</v>
      </c>
      <c r="E77" s="33">
        <f>VLOOKUP(A77,怪物并表!$R$7:$S$14,2,FALSE)</f>
        <v>1</v>
      </c>
      <c r="F77" s="38">
        <v>2</v>
      </c>
      <c r="G77" s="38">
        <v>5</v>
      </c>
      <c r="H77" s="38">
        <v>1</v>
      </c>
      <c r="I77" s="33">
        <f t="shared" si="1"/>
        <v>125104</v>
      </c>
      <c r="J77" s="33" t="s">
        <v>675</v>
      </c>
      <c r="K77" s="33"/>
      <c r="L77" s="33">
        <v>1</v>
      </c>
      <c r="M77" s="33">
        <v>1.2</v>
      </c>
      <c r="N77" s="33"/>
      <c r="O77" s="33">
        <v>3</v>
      </c>
      <c r="P77" s="33">
        <f>VLOOKUP($C77,CHOOSE({1,2},怪物并表!$E$7:$E$1000,怪物并表!$D$7:$D$1000),2,FALSE)</f>
        <v>15</v>
      </c>
      <c r="Q77" s="33" t="s">
        <v>10</v>
      </c>
      <c r="R77" s="33">
        <f>VLOOKUP(Q77,怪物信息配置表!$A$2:$B$118,2,FALSE)</f>
        <v>1001</v>
      </c>
      <c r="S77" s="33">
        <v>1</v>
      </c>
      <c r="T77" s="49">
        <f>VLOOKUP($C77,怪物并表!$E$7:$N$1000,2+($D77-1)*3,FALSE)*S77*AJ77</f>
        <v>10636.724086553782</v>
      </c>
      <c r="U77" s="49">
        <f>VLOOKUP($C77,怪物并表!$E$7:$N$1000,3+($D77-1)*3,FALSE)*S77*AK77</f>
        <v>280.45186186096515</v>
      </c>
      <c r="V77" s="49">
        <f>VLOOKUP($C77,怪物并表!$E$7:$N$1000,4+($D77-1)*3,FALSE)*S77*AL77</f>
        <v>199.79347826086959</v>
      </c>
      <c r="W77" s="33"/>
      <c r="X77" s="33"/>
      <c r="Y77" s="49">
        <f>VLOOKUP($C77,怪物并表!$E$7:$P$1000,12,FALSE)</f>
        <v>0</v>
      </c>
      <c r="Z77" s="49">
        <f>VLOOKUP($C77,怪物并表!$E$7:$P$1000,11,FALSE)*S77</f>
        <v>1215.02</v>
      </c>
      <c r="AA77" s="33"/>
      <c r="AB77" s="33"/>
      <c r="AC77" s="33"/>
      <c r="AD77" s="33">
        <f t="shared" si="3"/>
        <v>1.5</v>
      </c>
      <c r="AE77" s="2">
        <f t="shared" si="12"/>
        <v>732.8125</v>
      </c>
      <c r="AF77" s="2" t="str">
        <f>IF(ISBLANK(AM77),IF(O77=6,"",IF(O77=1,VLOOKUP(R77,怪物信息配置表!B:H,5,FALSE),IF(O77=2,VLOOKUP(R77,怪物信息配置表!B:H,6,FALSE),IF(OR(O77=3,O77=5),VLOOKUP(R77,怪物信息配置表!B:H,7,FALSE),"")))),AM77)</f>
        <v>1001_quanbing_BOSS</v>
      </c>
      <c r="AG77" s="2"/>
      <c r="AH77" s="15">
        <f>SUMPRODUCT(T77:V77,$AN$3:$AP$3)+ROUNDDOWN(VLOOKUP(P77,CHOOSE({1,2},'[1]消耗&amp;价值&amp;分析'!$C$7:$C$106,'[1]消耗&amp;价值&amp;分析'!$AS$7:$AS$106),2,FALSE)*0.6,0)</f>
        <v>1107.7143035839861</v>
      </c>
      <c r="AJ77" s="80">
        <v>1</v>
      </c>
      <c r="AK77" s="80">
        <v>1</v>
      </c>
      <c r="AL77" s="80">
        <v>1</v>
      </c>
    </row>
    <row r="78" spans="1:38">
      <c r="A78" s="33" t="str">
        <f>怪物并表!$R$7</f>
        <v>普通副本</v>
      </c>
      <c r="B78" s="38">
        <v>1</v>
      </c>
      <c r="C78" s="33">
        <f t="shared" si="0"/>
        <v>2006</v>
      </c>
      <c r="D78" s="33">
        <v>1</v>
      </c>
      <c r="E78" s="33">
        <f>VLOOKUP(A78,怪物并表!$R$7:$S$14,2,FALSE)</f>
        <v>1</v>
      </c>
      <c r="F78" s="38">
        <v>2</v>
      </c>
      <c r="G78" s="38">
        <v>6</v>
      </c>
      <c r="H78" s="38">
        <v>1</v>
      </c>
      <c r="I78" s="33">
        <f t="shared" si="1"/>
        <v>126101</v>
      </c>
      <c r="J78" s="33" t="s">
        <v>216</v>
      </c>
      <c r="K78" s="33"/>
      <c r="L78" s="33">
        <v>0</v>
      </c>
      <c r="M78" s="33">
        <v>1</v>
      </c>
      <c r="N78" s="33"/>
      <c r="O78" s="33">
        <v>1</v>
      </c>
      <c r="P78" s="33">
        <f>VLOOKUP($C78,CHOOSE({1,2},怪物并表!$E$7:$E$1000,怪物并表!$D$7:$D$1000),2,FALSE)</f>
        <v>16</v>
      </c>
      <c r="Q78" s="33" t="s">
        <v>12</v>
      </c>
      <c r="R78" s="33">
        <f>VLOOKUP(Q78,怪物信息配置表!$A$2:$B$118,2,FALSE)</f>
        <v>1009</v>
      </c>
      <c r="S78" s="33">
        <v>1</v>
      </c>
      <c r="T78" s="49">
        <f>VLOOKUP($C78,怪物并表!$E$7:$N$1000,2+($D78-1)*3,FALSE)*S78*AJ78</f>
        <v>4914.6568278260884</v>
      </c>
      <c r="U78" s="49">
        <f>VLOOKUP($C78,怪物并表!$E$7:$N$1000,3+($D78-1)*3,FALSE)*S78*AK78</f>
        <v>297.54454570988844</v>
      </c>
      <c r="V78" s="49">
        <f>VLOOKUP($C78,怪物并表!$E$7:$N$1000,4+($D78-1)*3,FALSE)*S78*AL78</f>
        <v>179.77711304347829</v>
      </c>
      <c r="W78" s="33"/>
      <c r="X78" s="33"/>
      <c r="Y78" s="49">
        <f>VLOOKUP($C78,怪物并表!$E$7:$P$1000,12,FALSE)</f>
        <v>0</v>
      </c>
      <c r="Z78" s="49">
        <f>VLOOKUP($C78,怪物并表!$E$7:$P$1000,11,FALSE)*S78</f>
        <v>1273.248</v>
      </c>
      <c r="AA78" s="33"/>
      <c r="AB78" s="33"/>
      <c r="AC78" s="33"/>
      <c r="AD78" s="33">
        <f t="shared" si="3"/>
        <v>1</v>
      </c>
      <c r="AE78" s="2">
        <f t="shared" si="12"/>
        <v>810</v>
      </c>
      <c r="AF78" s="2" t="str">
        <f>IF(ISBLANK(AM78),IF(O78=6,"",IF(O78=1,VLOOKUP(R78,怪物信息配置表!B:H,5,FALSE),IF(O78=2,VLOOKUP(R78,怪物信息配置表!B:H,6,FALSE),IF(OR(O78=3,O78=5),VLOOKUP(R78,怪物信息配置表!B:H,7,FALSE),"")))),AM78)</f>
        <v>ai_monster</v>
      </c>
      <c r="AG78" s="2"/>
      <c r="AH78" s="15">
        <f>SUMPRODUCT(T78:V78,$AN$3:$AP$3)+ROUNDDOWN(VLOOKUP(P78,CHOOSE({1,2},'[1]消耗&amp;价值&amp;分析'!$C$7:$C$106,'[1]消耗&amp;价值&amp;分析'!$AS$7:$AS$106),2,FALSE)*0.6,0)</f>
        <v>896.90793186641031</v>
      </c>
      <c r="AJ78" s="80">
        <v>1</v>
      </c>
      <c r="AK78" s="80">
        <v>1</v>
      </c>
      <c r="AL78" s="80">
        <v>1</v>
      </c>
    </row>
    <row r="79" spans="1:38">
      <c r="A79" s="33" t="str">
        <f>怪物并表!$R$7</f>
        <v>普通副本</v>
      </c>
      <c r="B79" s="38">
        <v>2</v>
      </c>
      <c r="C79" s="33">
        <f t="shared" si="0"/>
        <v>2006</v>
      </c>
      <c r="D79" s="33">
        <v>1</v>
      </c>
      <c r="E79" s="33">
        <f>VLOOKUP(A79,怪物并表!$R$7:$S$14,2,FALSE)</f>
        <v>1</v>
      </c>
      <c r="F79" s="38">
        <v>2</v>
      </c>
      <c r="G79" s="38">
        <v>6</v>
      </c>
      <c r="H79" s="38">
        <v>1</v>
      </c>
      <c r="I79" s="33">
        <f t="shared" si="1"/>
        <v>126102</v>
      </c>
      <c r="J79" s="33" t="s">
        <v>468</v>
      </c>
      <c r="K79" s="33"/>
      <c r="L79" s="33">
        <v>0</v>
      </c>
      <c r="M79" s="33">
        <v>1</v>
      </c>
      <c r="N79" s="33"/>
      <c r="O79" s="33">
        <v>1</v>
      </c>
      <c r="P79" s="33">
        <f>VLOOKUP($C79,CHOOSE({1,2},怪物并表!$E$7:$E$1000,怪物并表!$D$7:$D$1000),2,FALSE)</f>
        <v>16</v>
      </c>
      <c r="Q79" s="33" t="s">
        <v>367</v>
      </c>
      <c r="R79" s="33">
        <f>VLOOKUP(Q79,怪物信息配置表!$A$2:$B$118,2,FALSE)</f>
        <v>1008</v>
      </c>
      <c r="S79" s="33">
        <v>1</v>
      </c>
      <c r="T79" s="49">
        <f>VLOOKUP($C79,怪物并表!$E$7:$N$1000,2+($D79-1)*3,FALSE)*S79*AJ79</f>
        <v>4914.6568278260884</v>
      </c>
      <c r="U79" s="49">
        <f>VLOOKUP($C79,怪物并表!$E$7:$N$1000,3+($D79-1)*3,FALSE)*S79*AK79</f>
        <v>297.54454570988844</v>
      </c>
      <c r="V79" s="49">
        <f>VLOOKUP($C79,怪物并表!$E$7:$N$1000,4+($D79-1)*3,FALSE)*S79*AL79</f>
        <v>179.77711304347829</v>
      </c>
      <c r="W79" s="33"/>
      <c r="X79" s="33"/>
      <c r="Y79" s="49">
        <f>VLOOKUP($C79,怪物并表!$E$7:$P$1000,12,FALSE)</f>
        <v>0</v>
      </c>
      <c r="Z79" s="49">
        <f>VLOOKUP($C79,怪物并表!$E$7:$P$1000,11,FALSE)*S79</f>
        <v>1273.248</v>
      </c>
      <c r="AA79" s="33"/>
      <c r="AB79" s="33"/>
      <c r="AC79" s="33"/>
      <c r="AD79" s="33">
        <f t="shared" si="3"/>
        <v>1</v>
      </c>
      <c r="AE79" s="2">
        <f t="shared" si="12"/>
        <v>810</v>
      </c>
      <c r="AF79" s="2" t="str">
        <f>IF(ISBLANK(AM79),IF(O79=6,"",IF(O79=1,VLOOKUP(R79,怪物信息配置表!B:H,5,FALSE),IF(O79=2,VLOOKUP(R79,怪物信息配置表!B:H,6,FALSE),IF(OR(O79=3,O79=5),VLOOKUP(R79,怪物信息配置表!B:H,7,FALSE),"")))),AM79)</f>
        <v>ai_monster</v>
      </c>
      <c r="AG79" s="2"/>
      <c r="AH79" s="15">
        <f>SUMPRODUCT(T79:V79,$AN$3:$AP$3)+ROUNDDOWN(VLOOKUP(P79,CHOOSE({1,2},'[1]消耗&amp;价值&amp;分析'!$C$7:$C$106,'[1]消耗&amp;价值&amp;分析'!$AS$7:$AS$106),2,FALSE)*0.6,0)</f>
        <v>896.90793186641031</v>
      </c>
      <c r="AJ79" s="80">
        <v>1</v>
      </c>
      <c r="AK79" s="80">
        <v>1</v>
      </c>
      <c r="AL79" s="80">
        <v>1</v>
      </c>
    </row>
    <row r="80" spans="1:38">
      <c r="A80" s="33" t="str">
        <f>怪物并表!$R$7</f>
        <v>普通副本</v>
      </c>
      <c r="B80" s="38">
        <v>3</v>
      </c>
      <c r="C80" s="33">
        <f t="shared" si="0"/>
        <v>2006</v>
      </c>
      <c r="D80" s="33">
        <v>1</v>
      </c>
      <c r="E80" s="33">
        <f>VLOOKUP(A80,怪物并表!$R$7:$S$14,2,FALSE)</f>
        <v>1</v>
      </c>
      <c r="F80" s="38">
        <v>2</v>
      </c>
      <c r="G80" s="38">
        <v>6</v>
      </c>
      <c r="H80" s="38">
        <v>1</v>
      </c>
      <c r="I80" s="33">
        <f t="shared" si="1"/>
        <v>126103</v>
      </c>
      <c r="J80" s="33" t="s">
        <v>214</v>
      </c>
      <c r="K80" s="33"/>
      <c r="L80" s="33">
        <v>0</v>
      </c>
      <c r="M80" s="33">
        <v>1</v>
      </c>
      <c r="N80" s="33"/>
      <c r="O80" s="33">
        <v>1</v>
      </c>
      <c r="P80" s="33">
        <f>VLOOKUP($C80,CHOOSE({1,2},怪物并表!$E$7:$E$1000,怪物并表!$D$7:$D$1000),2,FALSE)</f>
        <v>16</v>
      </c>
      <c r="Q80" s="33" t="s">
        <v>10</v>
      </c>
      <c r="R80" s="33">
        <f>VLOOKUP(Q80,怪物信息配置表!$A$2:$B$118,2,FALSE)</f>
        <v>1001</v>
      </c>
      <c r="S80" s="33">
        <v>1</v>
      </c>
      <c r="T80" s="49">
        <f>VLOOKUP($C80,怪物并表!$E$7:$N$1000,2+($D80-1)*3,FALSE)*S80*AJ80</f>
        <v>4914.6568278260884</v>
      </c>
      <c r="U80" s="49">
        <f>VLOOKUP($C80,怪物并表!$E$7:$N$1000,3+($D80-1)*3,FALSE)*S80*AK80</f>
        <v>297.54454570988844</v>
      </c>
      <c r="V80" s="49">
        <f>VLOOKUP($C80,怪物并表!$E$7:$N$1000,4+($D80-1)*3,FALSE)*S80*AL80</f>
        <v>179.77711304347829</v>
      </c>
      <c r="W80" s="33"/>
      <c r="X80" s="33"/>
      <c r="Y80" s="49">
        <f>VLOOKUP($C80,怪物并表!$E$7:$P$1000,12,FALSE)</f>
        <v>0</v>
      </c>
      <c r="Z80" s="49">
        <f>VLOOKUP($C80,怪物并表!$E$7:$P$1000,11,FALSE)*S80</f>
        <v>1273.248</v>
      </c>
      <c r="AA80" s="33"/>
      <c r="AB80" s="33"/>
      <c r="AC80" s="33"/>
      <c r="AD80" s="33">
        <f t="shared" si="3"/>
        <v>1</v>
      </c>
      <c r="AE80" s="2">
        <f t="shared" si="12"/>
        <v>810</v>
      </c>
      <c r="AF80" s="2" t="str">
        <f>IF(ISBLANK(AM80),IF(O80=6,"",IF(O80=1,VLOOKUP(R80,怪物信息配置表!B:H,5,FALSE),IF(O80=2,VLOOKUP(R80,怪物信息配置表!B:H,6,FALSE),IF(OR(O80=3,O80=5),VLOOKUP(R80,怪物信息配置表!B:H,7,FALSE),"")))),AM80)</f>
        <v>ai_monster</v>
      </c>
      <c r="AG80" s="2"/>
      <c r="AH80" s="15">
        <f>SUMPRODUCT(T80:V80,$AN$3:$AP$3)+ROUNDDOWN(VLOOKUP(P80,CHOOSE({1,2},'[1]消耗&amp;价值&amp;分析'!$C$7:$C$106,'[1]消耗&amp;价值&amp;分析'!$AS$7:$AS$106),2,FALSE)*0.6,0)</f>
        <v>896.90793186641031</v>
      </c>
      <c r="AJ80" s="80">
        <v>1</v>
      </c>
      <c r="AK80" s="80">
        <v>1</v>
      </c>
      <c r="AL80" s="80">
        <v>1</v>
      </c>
    </row>
    <row r="81" spans="1:38">
      <c r="A81" s="33" t="str">
        <f>怪物并表!$R$7</f>
        <v>普通副本</v>
      </c>
      <c r="B81" s="38">
        <v>4</v>
      </c>
      <c r="C81" s="33">
        <f t="shared" si="0"/>
        <v>2006</v>
      </c>
      <c r="D81" s="33">
        <v>3</v>
      </c>
      <c r="E81" s="33">
        <f>VLOOKUP(A81,怪物并表!$R$7:$S$14,2,FALSE)</f>
        <v>1</v>
      </c>
      <c r="F81" s="38">
        <v>2</v>
      </c>
      <c r="G81" s="38">
        <v>6</v>
      </c>
      <c r="H81" s="38">
        <v>1</v>
      </c>
      <c r="I81" s="33">
        <f t="shared" si="1"/>
        <v>126104</v>
      </c>
      <c r="J81" s="33" t="s">
        <v>676</v>
      </c>
      <c r="K81" s="33"/>
      <c r="L81" s="33">
        <v>1</v>
      </c>
      <c r="M81" s="33">
        <v>1.2</v>
      </c>
      <c r="N81" s="33"/>
      <c r="O81" s="33">
        <v>3</v>
      </c>
      <c r="P81" s="33">
        <f>VLOOKUP($C81,CHOOSE({1,2},怪物并表!$E$7:$E$1000,怪物并表!$D$7:$D$1000),2,FALSE)</f>
        <v>16</v>
      </c>
      <c r="Q81" s="33" t="s">
        <v>15</v>
      </c>
      <c r="R81" s="33">
        <f>VLOOKUP(Q81,怪物信息配置表!$A$2:$B$118,2,FALSE)</f>
        <v>1004</v>
      </c>
      <c r="S81" s="33">
        <v>1</v>
      </c>
      <c r="T81" s="49">
        <f>VLOOKUP($C81,怪物并表!$E$7:$N$1000,2+($D81-1)*3,FALSE)*S81*AJ81</f>
        <v>12286.642069565221</v>
      </c>
      <c r="U81" s="49">
        <f>VLOOKUP($C81,怪物并表!$E$7:$N$1000,3+($D81-1)*3,FALSE)*S81*AK81</f>
        <v>321.09803224317045</v>
      </c>
      <c r="V81" s="49">
        <f>VLOOKUP($C81,怪物并表!$E$7:$N$1000,4+($D81-1)*3,FALSE)*S81*AL81</f>
        <v>224.72139130434786</v>
      </c>
      <c r="W81" s="33"/>
      <c r="X81" s="33"/>
      <c r="Y81" s="49">
        <f>VLOOKUP($C81,怪物并表!$E$7:$P$1000,12,FALSE)</f>
        <v>0</v>
      </c>
      <c r="Z81" s="49">
        <f>VLOOKUP($C81,怪物并表!$E$7:$P$1000,11,FALSE)*S81</f>
        <v>1273.248</v>
      </c>
      <c r="AA81" s="33"/>
      <c r="AB81" s="33"/>
      <c r="AC81" s="33"/>
      <c r="AD81" s="33">
        <f t="shared" si="3"/>
        <v>1.5</v>
      </c>
      <c r="AE81" s="2">
        <f t="shared" si="12"/>
        <v>715</v>
      </c>
      <c r="AF81" s="2" t="str">
        <f>IF(ISBLANK(AM81),IF(O81=6,"",IF(O81=1,VLOOKUP(R81,怪物信息配置表!B:H,5,FALSE),IF(O81=2,VLOOKUP(R81,怪物信息配置表!B:H,6,FALSE),IF(OR(O81=3,O81=5),VLOOKUP(R81,怪物信息配置表!B:H,7,FALSE),"")))),AM81)</f>
        <v>1004_pangzi_BOSS</v>
      </c>
      <c r="AG81" s="2"/>
      <c r="AH81" s="15">
        <f>SUMPRODUCT(T81:V81,$AN$3:$AP$3)+ROUNDDOWN(VLOOKUP(P81,CHOOSE({1,2},'[1]消耗&amp;价值&amp;分析'!$C$7:$C$106,'[1]消耗&amp;价值&amp;分析'!$AS$7:$AS$106),2,FALSE)*0.6,0)</f>
        <v>1260.2851063301271</v>
      </c>
      <c r="AJ81" s="80">
        <v>1</v>
      </c>
      <c r="AK81" s="80">
        <v>1</v>
      </c>
      <c r="AL81" s="80">
        <v>1</v>
      </c>
    </row>
    <row r="82" spans="1:38">
      <c r="A82" s="33" t="str">
        <f>怪物并表!$R$7</f>
        <v>普通副本</v>
      </c>
      <c r="B82" s="38">
        <v>1</v>
      </c>
      <c r="C82" s="33">
        <f t="shared" ref="C82:C94" si="13">F82*1000+G82</f>
        <v>2007</v>
      </c>
      <c r="D82" s="33">
        <v>1</v>
      </c>
      <c r="E82" s="33">
        <f>VLOOKUP(A82,怪物并表!$R$7:$S$14,2,FALSE)</f>
        <v>1</v>
      </c>
      <c r="F82" s="38">
        <v>2</v>
      </c>
      <c r="G82" s="38">
        <v>7</v>
      </c>
      <c r="H82" s="38">
        <v>1</v>
      </c>
      <c r="I82" s="33">
        <f t="shared" si="1"/>
        <v>127101</v>
      </c>
      <c r="J82" s="33" t="s">
        <v>461</v>
      </c>
      <c r="K82" s="33"/>
      <c r="L82" s="33">
        <v>0</v>
      </c>
      <c r="M82" s="33">
        <v>1</v>
      </c>
      <c r="N82" s="33"/>
      <c r="O82" s="33">
        <v>1</v>
      </c>
      <c r="P82" s="33">
        <f>VLOOKUP($C82,CHOOSE({1,2},怪物并表!$E$7:$E$1000,怪物并表!$D$7:$D$1000),2,FALSE)</f>
        <v>17</v>
      </c>
      <c r="Q82" s="33" t="s">
        <v>14</v>
      </c>
      <c r="R82" s="33">
        <f>VLOOKUP(Q82,怪物信息配置表!$A$2:$B$118,2,FALSE)</f>
        <v>1010</v>
      </c>
      <c r="S82" s="33">
        <v>1</v>
      </c>
      <c r="T82" s="49">
        <f>VLOOKUP($C82,怪物并表!$E$7:$N$1000,2+($D82-1)*3,FALSE)*S82*AJ82</f>
        <v>5630.3005709109411</v>
      </c>
      <c r="U82" s="49">
        <f>VLOOKUP($C82,怪物并表!$E$7:$N$1000,3+($D82-1)*3,FALSE)*S82*AK82</f>
        <v>337.60810618161133</v>
      </c>
      <c r="V82" s="49">
        <f>VLOOKUP($C82,怪物并表!$E$7:$N$1000,4+($D82-1)*3,FALSE)*S82*AL82</f>
        <v>200.76166956521743</v>
      </c>
      <c r="W82" s="33"/>
      <c r="X82" s="33"/>
      <c r="Y82" s="49">
        <f>VLOOKUP($C82,怪物并表!$E$7:$P$1000,12,FALSE)</f>
        <v>0</v>
      </c>
      <c r="Z82" s="49">
        <f>VLOOKUP($C82,怪物并表!$E$7:$P$1000,11,FALSE)*S82</f>
        <v>1331.4760000000001</v>
      </c>
      <c r="AA82" s="33"/>
      <c r="AB82" s="33"/>
      <c r="AC82" s="33"/>
      <c r="AD82" s="33">
        <f t="shared" ref="AD82:AD94" si="14">IF(D82=1,1,IF(D82=2,0.8,1.5))</f>
        <v>1</v>
      </c>
      <c r="AE82" s="2">
        <f t="shared" si="12"/>
        <v>798.125</v>
      </c>
      <c r="AF82" s="2" t="str">
        <f>IF(ISBLANK(AM82),IF(O82=6,"",IF(O82=1,VLOOKUP(R82,怪物信息配置表!B:H,5,FALSE),IF(O82=2,VLOOKUP(R82,怪物信息配置表!B:H,6,FALSE),IF(OR(O82=3,O82=5),VLOOKUP(R82,怪物信息配置表!B:H,7,FALSE),"")))),AM82)</f>
        <v>ai_monster</v>
      </c>
      <c r="AG82" s="2"/>
      <c r="AH82" s="15">
        <f>SUMPRODUCT(T82:V82,$AN$3:$AP$3)+ROUNDDOWN(VLOOKUP(P82,CHOOSE({1,2},'[1]消耗&amp;价值&amp;分析'!$C$7:$C$106,'[1]消耗&amp;价值&amp;分析'!$AS$7:$AS$106),2,FALSE)*0.6,0)</f>
        <v>1018.5817985832664</v>
      </c>
      <c r="AJ82" s="80">
        <v>1</v>
      </c>
      <c r="AK82" s="80">
        <v>1</v>
      </c>
      <c r="AL82" s="80">
        <v>1</v>
      </c>
    </row>
    <row r="83" spans="1:38">
      <c r="A83" s="33" t="str">
        <f>怪物并表!$R$7</f>
        <v>普通副本</v>
      </c>
      <c r="B83" s="38">
        <v>2</v>
      </c>
      <c r="C83" s="33">
        <f t="shared" si="13"/>
        <v>2007</v>
      </c>
      <c r="D83" s="33">
        <v>1</v>
      </c>
      <c r="E83" s="33">
        <f>VLOOKUP(A83,怪物并表!$R$7:$S$14,2,FALSE)</f>
        <v>1</v>
      </c>
      <c r="F83" s="38">
        <v>2</v>
      </c>
      <c r="G83" s="38">
        <v>7</v>
      </c>
      <c r="H83" s="38">
        <v>1</v>
      </c>
      <c r="I83" s="33">
        <f t="shared" si="1"/>
        <v>127102</v>
      </c>
      <c r="J83" s="33" t="s">
        <v>448</v>
      </c>
      <c r="K83" s="33"/>
      <c r="L83" s="33">
        <v>0</v>
      </c>
      <c r="M83" s="33">
        <v>1</v>
      </c>
      <c r="N83" s="33"/>
      <c r="O83" s="33">
        <v>1</v>
      </c>
      <c r="P83" s="33">
        <f>VLOOKUP($C83,CHOOSE({1,2},怪物并表!$E$7:$E$1000,怪物并表!$D$7:$D$1000),2,FALSE)</f>
        <v>17</v>
      </c>
      <c r="Q83" s="33" t="s">
        <v>10</v>
      </c>
      <c r="R83" s="33">
        <f>VLOOKUP(Q83,怪物信息配置表!$A$2:$B$118,2,FALSE)</f>
        <v>1001</v>
      </c>
      <c r="S83" s="33">
        <v>1</v>
      </c>
      <c r="T83" s="49">
        <f>VLOOKUP($C83,怪物并表!$E$7:$N$1000,2+($D83-1)*3,FALSE)*S83*AJ83</f>
        <v>5630.3005709109411</v>
      </c>
      <c r="U83" s="49">
        <f>VLOOKUP($C83,怪物并表!$E$7:$N$1000,3+($D83-1)*3,FALSE)*S83*AK83</f>
        <v>337.60810618161133</v>
      </c>
      <c r="V83" s="49">
        <f>VLOOKUP($C83,怪物并表!$E$7:$N$1000,4+($D83-1)*3,FALSE)*S83*AL83</f>
        <v>200.76166956521743</v>
      </c>
      <c r="W83" s="33"/>
      <c r="X83" s="33"/>
      <c r="Y83" s="49">
        <f>VLOOKUP($C83,怪物并表!$E$7:$P$1000,12,FALSE)</f>
        <v>0</v>
      </c>
      <c r="Z83" s="49">
        <f>VLOOKUP($C83,怪物并表!$E$7:$P$1000,11,FALSE)*S83</f>
        <v>1331.4760000000001</v>
      </c>
      <c r="AA83" s="33"/>
      <c r="AB83" s="33"/>
      <c r="AC83" s="33"/>
      <c r="AD83" s="33">
        <f t="shared" si="14"/>
        <v>1</v>
      </c>
      <c r="AE83" s="2">
        <f t="shared" si="12"/>
        <v>798.125</v>
      </c>
      <c r="AF83" s="2" t="str">
        <f>IF(ISBLANK(AM83),IF(O83=6,"",IF(O83=1,VLOOKUP(R83,怪物信息配置表!B:H,5,FALSE),IF(O83=2,VLOOKUP(R83,怪物信息配置表!B:H,6,FALSE),IF(OR(O83=3,O83=5),VLOOKUP(R83,怪物信息配置表!B:H,7,FALSE),"")))),AM83)</f>
        <v>ai_monster</v>
      </c>
      <c r="AG83" s="2"/>
      <c r="AH83" s="15">
        <f>SUMPRODUCT(T83:V83,$AN$3:$AP$3)+ROUNDDOWN(VLOOKUP(P83,CHOOSE({1,2},'[1]消耗&amp;价值&amp;分析'!$C$7:$C$106,'[1]消耗&amp;价值&amp;分析'!$AS$7:$AS$106),2,FALSE)*0.6,0)</f>
        <v>1018.5817985832664</v>
      </c>
      <c r="AJ83" s="80">
        <v>1</v>
      </c>
      <c r="AK83" s="80">
        <v>1</v>
      </c>
      <c r="AL83" s="80">
        <v>1</v>
      </c>
    </row>
    <row r="84" spans="1:38">
      <c r="A84" s="33" t="str">
        <f>怪物并表!$R$7</f>
        <v>普通副本</v>
      </c>
      <c r="B84" s="38">
        <v>3</v>
      </c>
      <c r="C84" s="33">
        <f t="shared" si="13"/>
        <v>2007</v>
      </c>
      <c r="D84" s="33">
        <v>1</v>
      </c>
      <c r="E84" s="33">
        <f>VLOOKUP(A84,怪物并表!$R$7:$S$14,2,FALSE)</f>
        <v>1</v>
      </c>
      <c r="F84" s="38">
        <v>2</v>
      </c>
      <c r="G84" s="38">
        <v>7</v>
      </c>
      <c r="H84" s="38">
        <v>1</v>
      </c>
      <c r="I84" s="33">
        <f t="shared" si="1"/>
        <v>127103</v>
      </c>
      <c r="J84" s="33" t="s">
        <v>13</v>
      </c>
      <c r="K84" s="33"/>
      <c r="L84" s="33">
        <v>0</v>
      </c>
      <c r="M84" s="33">
        <v>1</v>
      </c>
      <c r="N84" s="33"/>
      <c r="O84" s="33">
        <v>1</v>
      </c>
      <c r="P84" s="33">
        <f>VLOOKUP($C84,CHOOSE({1,2},怪物并表!$E$7:$E$1000,怪物并表!$D$7:$D$1000),2,FALSE)</f>
        <v>17</v>
      </c>
      <c r="Q84" s="33" t="s">
        <v>13</v>
      </c>
      <c r="R84" s="33">
        <f>VLOOKUP(Q84,怪物信息配置表!$A$2:$B$118,2,FALSE)</f>
        <v>1007</v>
      </c>
      <c r="S84" s="33">
        <v>1</v>
      </c>
      <c r="T84" s="49">
        <f>VLOOKUP($C84,怪物并表!$E$7:$N$1000,2+($D84-1)*3,FALSE)*S84*AJ84</f>
        <v>5630.3005709109411</v>
      </c>
      <c r="U84" s="49">
        <f>VLOOKUP($C84,怪物并表!$E$7:$N$1000,3+($D84-1)*3,FALSE)*S84*AK84</f>
        <v>337.60810618161133</v>
      </c>
      <c r="V84" s="49">
        <f>VLOOKUP($C84,怪物并表!$E$7:$N$1000,4+($D84-1)*3,FALSE)*S84*AL84</f>
        <v>200.76166956521743</v>
      </c>
      <c r="W84" s="33"/>
      <c r="X84" s="33"/>
      <c r="Y84" s="49">
        <f>VLOOKUP($C84,怪物并表!$E$7:$P$1000,12,FALSE)</f>
        <v>0</v>
      </c>
      <c r="Z84" s="49">
        <f>VLOOKUP($C84,怪物并表!$E$7:$P$1000,11,FALSE)*S84</f>
        <v>1331.4760000000001</v>
      </c>
      <c r="AA84" s="33"/>
      <c r="AB84" s="33"/>
      <c r="AC84" s="33"/>
      <c r="AD84" s="33">
        <f t="shared" si="14"/>
        <v>1</v>
      </c>
      <c r="AE84" s="2">
        <f t="shared" si="12"/>
        <v>798.125</v>
      </c>
      <c r="AF84" s="2" t="str">
        <f>IF(ISBLANK(AM84),IF(O84=6,"",IF(O84=1,VLOOKUP(R84,怪物信息配置表!B:H,5,FALSE),IF(O84=2,VLOOKUP(R84,怪物信息配置表!B:H,6,FALSE),IF(OR(O84=3,O84=5),VLOOKUP(R84,怪物信息配置表!B:H,7,FALSE),"")))),AM84)</f>
        <v>ai_monster_03</v>
      </c>
      <c r="AG84" s="2"/>
      <c r="AH84" s="15">
        <f>SUMPRODUCT(T84:V84,$AN$3:$AP$3)+ROUNDDOWN(VLOOKUP(P84,CHOOSE({1,2},'[1]消耗&amp;价值&amp;分析'!$C$7:$C$106,'[1]消耗&amp;价值&amp;分析'!$AS$7:$AS$106),2,FALSE)*0.6,0)</f>
        <v>1018.5817985832664</v>
      </c>
      <c r="AJ84" s="80">
        <v>1</v>
      </c>
      <c r="AK84" s="80">
        <v>1</v>
      </c>
      <c r="AL84" s="80">
        <v>1</v>
      </c>
    </row>
    <row r="85" spans="1:38">
      <c r="A85" s="33" t="str">
        <f>怪物并表!$R$7</f>
        <v>普通副本</v>
      </c>
      <c r="B85" s="38">
        <v>4</v>
      </c>
      <c r="C85" s="33">
        <f t="shared" si="13"/>
        <v>2007</v>
      </c>
      <c r="D85" s="33">
        <v>3</v>
      </c>
      <c r="E85" s="33">
        <f>VLOOKUP(A85,怪物并表!$R$7:$S$14,2,FALSE)</f>
        <v>1</v>
      </c>
      <c r="F85" s="38">
        <v>2</v>
      </c>
      <c r="G85" s="38">
        <v>7</v>
      </c>
      <c r="H85" s="38">
        <v>1</v>
      </c>
      <c r="I85" s="33">
        <f t="shared" si="1"/>
        <v>127104</v>
      </c>
      <c r="J85" s="33" t="s">
        <v>677</v>
      </c>
      <c r="K85" s="33"/>
      <c r="L85" s="33">
        <v>1</v>
      </c>
      <c r="M85" s="33">
        <v>1.2</v>
      </c>
      <c r="N85" s="33" t="s">
        <v>220</v>
      </c>
      <c r="O85" s="33">
        <v>3</v>
      </c>
      <c r="P85" s="33">
        <f>VLOOKUP($C85,CHOOSE({1,2},怪物并表!$E$7:$E$1000,怪物并表!$D$7:$D$1000),2,FALSE)</f>
        <v>17</v>
      </c>
      <c r="Q85" s="33" t="s">
        <v>7</v>
      </c>
      <c r="R85" s="33">
        <f>VLOOKUP(Q85,怪物信息配置表!$A$2:$B$118,2,FALSE)</f>
        <v>1002</v>
      </c>
      <c r="S85" s="33">
        <v>1</v>
      </c>
      <c r="T85" s="49">
        <f>VLOOKUP($C85,怪物并表!$E$7:$N$1000,2+($D85-1)*3,FALSE)*S85*AJ85</f>
        <v>14075.751427277353</v>
      </c>
      <c r="U85" s="49">
        <f>VLOOKUP($C85,怪物并表!$E$7:$N$1000,3+($D85-1)*3,FALSE)*S85*AK85</f>
        <v>364.97739350489007</v>
      </c>
      <c r="V85" s="49">
        <f>VLOOKUP($C85,怪物并表!$E$7:$N$1000,4+($D85-1)*3,FALSE)*S85*AL85</f>
        <v>250.95208695652175</v>
      </c>
      <c r="W85" s="33"/>
      <c r="X85" s="33"/>
      <c r="Y85" s="49">
        <f>VLOOKUP($C85,怪物并表!$E$7:$P$1000,12,FALSE)</f>
        <v>0</v>
      </c>
      <c r="Z85" s="49">
        <f>VLOOKUP($C85,怪物并表!$E$7:$P$1000,11,FALSE)*S85</f>
        <v>1331.4760000000001</v>
      </c>
      <c r="AA85" s="33"/>
      <c r="AB85" s="33"/>
      <c r="AC85" s="33"/>
      <c r="AD85" s="33">
        <f t="shared" si="14"/>
        <v>1.5</v>
      </c>
      <c r="AE85" s="2">
        <f t="shared" si="12"/>
        <v>697.1875</v>
      </c>
      <c r="AF85" s="2" t="str">
        <f>IF(ISBLANK(AM85),IF(O85=6,"",IF(O85=1,VLOOKUP(R85,怪物信息配置表!B:H,5,FALSE),IF(O85=2,VLOOKUP(R85,怪物信息配置表!B:H,6,FALSE),IF(OR(O85=3,O85=5),VLOOKUP(R85,怪物信息配置表!B:H,7,FALSE),"")))),AM85)</f>
        <v>1002_nvjiubao_BOSS</v>
      </c>
      <c r="AG85" s="2"/>
      <c r="AH85" s="15">
        <f>SUMPRODUCT(T85:V85,$AN$3:$AP$3)+ROUNDDOWN(VLOOKUP(P85,CHOOSE({1,2},'[1]消耗&amp;价值&amp;分析'!$C$7:$C$106,'[1]消耗&amp;价值&amp;分析'!$AS$7:$AS$106),2,FALSE)*0.6,0)</f>
        <v>1433.9595375525059</v>
      </c>
      <c r="AJ85" s="80">
        <v>1</v>
      </c>
      <c r="AK85" s="80">
        <v>1</v>
      </c>
      <c r="AL85" s="80">
        <v>1</v>
      </c>
    </row>
    <row r="86" spans="1:38">
      <c r="A86" s="33" t="str">
        <f>怪物并表!$R$7</f>
        <v>普通副本</v>
      </c>
      <c r="B86" s="38">
        <v>5</v>
      </c>
      <c r="C86" s="33">
        <f t="shared" ref="C86" si="15">F86*1000+G86</f>
        <v>2007</v>
      </c>
      <c r="D86" s="33">
        <v>1</v>
      </c>
      <c r="E86" s="33">
        <f>VLOOKUP(A86,怪物并表!$R$7:$S$14,2,FALSE)</f>
        <v>1</v>
      </c>
      <c r="F86" s="38">
        <v>2</v>
      </c>
      <c r="G86" s="38">
        <v>7</v>
      </c>
      <c r="H86" s="38">
        <v>1</v>
      </c>
      <c r="I86" s="33">
        <f t="shared" si="1"/>
        <v>127105</v>
      </c>
      <c r="J86" s="33" t="s">
        <v>694</v>
      </c>
      <c r="K86" s="33"/>
      <c r="L86" s="33">
        <v>1</v>
      </c>
      <c r="M86" s="33">
        <v>1</v>
      </c>
      <c r="N86" s="33" t="s">
        <v>220</v>
      </c>
      <c r="O86" s="33">
        <v>6</v>
      </c>
      <c r="P86" s="33">
        <f>VLOOKUP($C86,CHOOSE({1,2},怪物并表!$E$7:$E$1000,怪物并表!$D$7:$D$1000),2,FALSE)</f>
        <v>17</v>
      </c>
      <c r="Q86" s="33" t="s">
        <v>695</v>
      </c>
      <c r="R86" s="33">
        <f>VLOOKUP(Q86,怪物信息配置表!$A$2:$B$118,2,FALSE)</f>
        <v>2013</v>
      </c>
      <c r="S86" s="33">
        <v>1</v>
      </c>
      <c r="T86" s="49">
        <f>VLOOKUP($C86,怪物并表!$E$7:$N$1000,2+($D86-1)*3,FALSE)*S86*AJ86</f>
        <v>5630.3005709109411</v>
      </c>
      <c r="U86" s="49">
        <f>VLOOKUP($C86,怪物并表!$E$7:$N$1000,3+($D86-1)*3,FALSE)*S86*AK86</f>
        <v>337.60810618161133</v>
      </c>
      <c r="V86" s="49">
        <f>VLOOKUP($C86,怪物并表!$E$7:$N$1000,4+($D86-1)*3,FALSE)*S86*AL86</f>
        <v>200.76166956521743</v>
      </c>
      <c r="W86" s="33"/>
      <c r="X86" s="33"/>
      <c r="Y86" s="49">
        <f>VLOOKUP($C86,怪物并表!$E$7:$P$1000,12,FALSE)</f>
        <v>0</v>
      </c>
      <c r="Z86" s="49">
        <f>VLOOKUP($C86,怪物并表!$E$7:$P$1000,11,FALSE)*S86</f>
        <v>1331.4760000000001</v>
      </c>
      <c r="AA86" s="33"/>
      <c r="AB86" s="33"/>
      <c r="AC86" s="33"/>
      <c r="AD86" s="33">
        <f t="shared" ref="AD86" si="16">IF(D86=1,1,IF(D86=2,0.8,1.5))</f>
        <v>1</v>
      </c>
      <c r="AE86" s="2">
        <f t="shared" si="12"/>
        <v>798.125</v>
      </c>
      <c r="AF86" s="2" t="str">
        <f>IF(ISBLANK(AM86),IF(O86=6,"",IF(O86=1,VLOOKUP(R86,怪物信息配置表!B:H,5,FALSE),IF(O86=2,VLOOKUP(R86,怪物信息配置表!B:H,6,FALSE),IF(OR(O86=3,O86=5),VLOOKUP(R86,怪物信息配置表!B:H,7,FALSE),"")))),AM86)</f>
        <v/>
      </c>
      <c r="AG86" s="2"/>
      <c r="AH86" s="15">
        <f>SUMPRODUCT(T86:V86,$AN$3:$AP$3)+ROUNDDOWN(VLOOKUP(P86,CHOOSE({1,2},'[1]消耗&amp;价值&amp;分析'!$C$7:$C$106,'[1]消耗&amp;价值&amp;分析'!$AS$7:$AS$106),2,FALSE)*0.6,0)</f>
        <v>1018.5817985832664</v>
      </c>
      <c r="AJ86" s="80">
        <v>1</v>
      </c>
      <c r="AK86" s="80">
        <v>1</v>
      </c>
      <c r="AL86" s="80">
        <v>1</v>
      </c>
    </row>
    <row r="87" spans="1:38">
      <c r="A87" s="33" t="str">
        <f>怪物并表!$R$7</f>
        <v>普通副本</v>
      </c>
      <c r="B87" s="38">
        <v>1</v>
      </c>
      <c r="C87" s="33">
        <f t="shared" si="13"/>
        <v>2008</v>
      </c>
      <c r="D87" s="33">
        <v>1</v>
      </c>
      <c r="E87" s="33">
        <f>VLOOKUP(A87,怪物并表!$R$7:$S$14,2,FALSE)</f>
        <v>1</v>
      </c>
      <c r="F87" s="38">
        <v>2</v>
      </c>
      <c r="G87" s="38">
        <v>8</v>
      </c>
      <c r="H87" s="38">
        <v>1</v>
      </c>
      <c r="I87" s="33">
        <f t="shared" si="1"/>
        <v>128101</v>
      </c>
      <c r="J87" s="33" t="s">
        <v>15</v>
      </c>
      <c r="K87" s="33"/>
      <c r="L87" s="33">
        <v>0</v>
      </c>
      <c r="M87" s="33">
        <v>1</v>
      </c>
      <c r="N87" s="33" t="s">
        <v>221</v>
      </c>
      <c r="O87" s="33">
        <v>1</v>
      </c>
      <c r="P87" s="33">
        <f>VLOOKUP($C87,CHOOSE({1,2},怪物并表!$E$7:$E$1000,怪物并表!$D$7:$D$1000),2,FALSE)</f>
        <v>18</v>
      </c>
      <c r="Q87" s="33" t="s">
        <v>15</v>
      </c>
      <c r="R87" s="33">
        <f>VLOOKUP(Q87,怪物信息配置表!$A$2:$B$118,2,FALSE)</f>
        <v>1004</v>
      </c>
      <c r="S87" s="33">
        <v>1</v>
      </c>
      <c r="T87" s="49">
        <f>VLOOKUP($C87,怪物并表!$E$7:$N$1000,2+($D87-1)*3,FALSE)*S87*AJ87</f>
        <v>6403.3864898100719</v>
      </c>
      <c r="U87" s="49">
        <f>VLOOKUP($C87,怪物并表!$E$7:$N$1000,3+($D87-1)*3,FALSE)*S87*AK87</f>
        <v>380.64637135893952</v>
      </c>
      <c r="V87" s="49">
        <f>VLOOKUP($C87,怪物并表!$E$7:$N$1000,4+($D87-1)*3,FALSE)*S87*AL87</f>
        <v>222.78845217391313</v>
      </c>
      <c r="W87" s="33"/>
      <c r="X87" s="33"/>
      <c r="Y87" s="49">
        <f>VLOOKUP($C87,怪物并表!$E$7:$P$1000,12,FALSE)</f>
        <v>0</v>
      </c>
      <c r="Z87" s="49">
        <f>VLOOKUP($C87,怪物并表!$E$7:$P$1000,11,FALSE)*S87</f>
        <v>1389.704</v>
      </c>
      <c r="AA87" s="33"/>
      <c r="AB87" s="33"/>
      <c r="AC87" s="33"/>
      <c r="AD87" s="33">
        <f t="shared" si="14"/>
        <v>1</v>
      </c>
      <c r="AE87" s="2">
        <f t="shared" si="12"/>
        <v>786.25</v>
      </c>
      <c r="AF87" s="2" t="str">
        <f>IF(ISBLANK(AM87),IF(O87=6,"",IF(O87=1,VLOOKUP(R87,怪物信息配置表!B:H,5,FALSE),IF(O87=2,VLOOKUP(R87,怪物信息配置表!B:H,6,FALSE),IF(OR(O87=3,O87=5),VLOOKUP(R87,怪物信息配置表!B:H,7,FALSE),"")))),AM87)</f>
        <v>ai_monster</v>
      </c>
      <c r="AG87" s="2"/>
      <c r="AH87" s="15">
        <f>SUMPRODUCT(T87:V87,$AN$3:$AP$3)+ROUNDDOWN(VLOOKUP(P87,CHOOSE({1,2},'[1]消耗&amp;价值&amp;分析'!$C$7:$C$106,'[1]消耗&amp;价值&amp;分析'!$AS$7:$AS$106),2,FALSE)*0.6,0)</f>
        <v>1157.5702831252556</v>
      </c>
      <c r="AJ87" s="80">
        <v>1</v>
      </c>
      <c r="AK87" s="80">
        <v>1</v>
      </c>
      <c r="AL87" s="80">
        <v>1</v>
      </c>
    </row>
    <row r="88" spans="1:38">
      <c r="A88" s="33" t="str">
        <f>怪物并表!$R$7</f>
        <v>普通副本</v>
      </c>
      <c r="B88" s="38">
        <v>2</v>
      </c>
      <c r="C88" s="33">
        <f t="shared" si="13"/>
        <v>2008</v>
      </c>
      <c r="D88" s="33">
        <v>1</v>
      </c>
      <c r="E88" s="33">
        <f>VLOOKUP(A88,怪物并表!$R$7:$S$14,2,FALSE)</f>
        <v>1</v>
      </c>
      <c r="F88" s="38">
        <v>2</v>
      </c>
      <c r="G88" s="38">
        <v>8</v>
      </c>
      <c r="H88" s="38">
        <v>1</v>
      </c>
      <c r="I88" s="33">
        <f t="shared" si="1"/>
        <v>128102</v>
      </c>
      <c r="J88" s="33" t="s">
        <v>461</v>
      </c>
      <c r="K88" s="33"/>
      <c r="L88" s="33">
        <v>0</v>
      </c>
      <c r="M88" s="33">
        <v>1</v>
      </c>
      <c r="N88" s="33"/>
      <c r="O88" s="33">
        <v>1</v>
      </c>
      <c r="P88" s="33">
        <f>VLOOKUP($C88,CHOOSE({1,2},怪物并表!$E$7:$E$1000,怪物并表!$D$7:$D$1000),2,FALSE)</f>
        <v>18</v>
      </c>
      <c r="Q88" s="33" t="s">
        <v>14</v>
      </c>
      <c r="R88" s="33">
        <f>VLOOKUP(Q88,怪物信息配置表!$A$2:$B$118,2,FALSE)</f>
        <v>1010</v>
      </c>
      <c r="S88" s="33">
        <v>1</v>
      </c>
      <c r="T88" s="49">
        <f>VLOOKUP($C88,怪物并表!$E$7:$N$1000,2+($D88-1)*3,FALSE)*S88*AJ88</f>
        <v>6403.3864898100719</v>
      </c>
      <c r="U88" s="49">
        <f>VLOOKUP($C88,怪物并表!$E$7:$N$1000,3+($D88-1)*3,FALSE)*S88*AK88</f>
        <v>380.64637135893952</v>
      </c>
      <c r="V88" s="49">
        <f>VLOOKUP($C88,怪物并表!$E$7:$N$1000,4+($D88-1)*3,FALSE)*S88*AL88</f>
        <v>222.78845217391313</v>
      </c>
      <c r="W88" s="33"/>
      <c r="X88" s="33"/>
      <c r="Y88" s="49">
        <f>VLOOKUP($C88,怪物并表!$E$7:$P$1000,12,FALSE)</f>
        <v>0</v>
      </c>
      <c r="Z88" s="49">
        <f>VLOOKUP($C88,怪物并表!$E$7:$P$1000,11,FALSE)*S88</f>
        <v>1389.704</v>
      </c>
      <c r="AA88" s="33"/>
      <c r="AB88" s="33"/>
      <c r="AC88" s="33"/>
      <c r="AD88" s="33">
        <f t="shared" si="14"/>
        <v>1</v>
      </c>
      <c r="AE88" s="2">
        <f t="shared" si="12"/>
        <v>786.25</v>
      </c>
      <c r="AF88" s="2" t="str">
        <f>IF(ISBLANK(AM88),IF(O88=6,"",IF(O88=1,VLOOKUP(R88,怪物信息配置表!B:H,5,FALSE),IF(O88=2,VLOOKUP(R88,怪物信息配置表!B:H,6,FALSE),IF(OR(O88=3,O88=5),VLOOKUP(R88,怪物信息配置表!B:H,7,FALSE),"")))),AM88)</f>
        <v>ai_monster</v>
      </c>
      <c r="AG88" s="2"/>
      <c r="AH88" s="15">
        <f>SUMPRODUCT(T88:V88,$AN$3:$AP$3)+ROUNDDOWN(VLOOKUP(P88,CHOOSE({1,2},'[1]消耗&amp;价值&amp;分析'!$C$7:$C$106,'[1]消耗&amp;价值&amp;分析'!$AS$7:$AS$106),2,FALSE)*0.6,0)</f>
        <v>1157.5702831252556</v>
      </c>
      <c r="AJ88" s="80">
        <v>1</v>
      </c>
      <c r="AK88" s="80">
        <v>1</v>
      </c>
      <c r="AL88" s="80">
        <v>1</v>
      </c>
    </row>
    <row r="89" spans="1:38">
      <c r="A89" s="33" t="str">
        <f>怪物并表!$R$7</f>
        <v>普通副本</v>
      </c>
      <c r="B89" s="38">
        <v>3</v>
      </c>
      <c r="C89" s="33">
        <f t="shared" si="13"/>
        <v>2008</v>
      </c>
      <c r="D89" s="33">
        <v>2</v>
      </c>
      <c r="E89" s="33">
        <f>VLOOKUP(A89,怪物并表!$R$7:$S$14,2,FALSE)</f>
        <v>1</v>
      </c>
      <c r="F89" s="38">
        <v>2</v>
      </c>
      <c r="G89" s="38">
        <v>8</v>
      </c>
      <c r="H89" s="38">
        <v>1</v>
      </c>
      <c r="I89" s="33">
        <f t="shared" si="1"/>
        <v>128103</v>
      </c>
      <c r="J89" s="33" t="s">
        <v>455</v>
      </c>
      <c r="K89" s="33"/>
      <c r="L89" s="33">
        <v>0</v>
      </c>
      <c r="M89" s="33">
        <v>1</v>
      </c>
      <c r="N89" s="33"/>
      <c r="O89" s="33">
        <v>1</v>
      </c>
      <c r="P89" s="33">
        <f>VLOOKUP($C89,CHOOSE({1,2},怪物并表!$E$7:$E$1000,怪物并表!$D$7:$D$1000),2,FALSE)</f>
        <v>18</v>
      </c>
      <c r="Q89" s="33" t="s">
        <v>9</v>
      </c>
      <c r="R89" s="33">
        <f>VLOOKUP(Q89,怪物信息配置表!$A$2:$B$118,2,FALSE)</f>
        <v>1003</v>
      </c>
      <c r="S89" s="33">
        <v>1</v>
      </c>
      <c r="T89" s="49">
        <f>VLOOKUP($C89,怪物并表!$E$7:$N$1000,2+($D89-1)*3,FALSE)*S89*AJ89</f>
        <v>5122.7091918480583</v>
      </c>
      <c r="U89" s="49">
        <f>VLOOKUP($C89,怪物并表!$E$7:$N$1000,3+($D89-1)*3,FALSE)*S89*AK89</f>
        <v>364.86057944043688</v>
      </c>
      <c r="V89" s="49">
        <f>VLOOKUP($C89,怪物并表!$E$7:$N$1000,4+($D89-1)*3,FALSE)*S89*AL89</f>
        <v>167.09133913043485</v>
      </c>
      <c r="W89" s="33"/>
      <c r="X89" s="33"/>
      <c r="Y89" s="49">
        <f>VLOOKUP($C89,怪物并表!$E$7:$P$1000,12,FALSE)</f>
        <v>0</v>
      </c>
      <c r="Z89" s="49">
        <f>VLOOKUP($C89,怪物并表!$E$7:$P$1000,11,FALSE)*S89</f>
        <v>1389.704</v>
      </c>
      <c r="AA89" s="33"/>
      <c r="AB89" s="33"/>
      <c r="AC89" s="33"/>
      <c r="AD89" s="33">
        <f t="shared" si="14"/>
        <v>0.8</v>
      </c>
      <c r="AE89" s="2">
        <f t="shared" si="12"/>
        <v>829</v>
      </c>
      <c r="AF89" s="2" t="str">
        <f>IF(ISBLANK(AM89),IF(O89=6,"",IF(O89=1,VLOOKUP(R89,怪物信息配置表!B:H,5,FALSE),IF(O89=2,VLOOKUP(R89,怪物信息配置表!B:H,6,FALSE),IF(OR(O89=3,O89=5),VLOOKUP(R89,怪物信息配置表!B:H,7,FALSE),"")))),AM89)</f>
        <v>ai_monster_02</v>
      </c>
      <c r="AG89" s="2"/>
      <c r="AH89" s="15">
        <f>SUMPRODUCT(T89:V89,$AN$3:$AP$3)+ROUNDDOWN(VLOOKUP(P89,CHOOSE({1,2},'[1]消耗&amp;价值&amp;分析'!$C$7:$C$106,'[1]消耗&amp;价值&amp;分析'!$AS$7:$AS$106),2,FALSE)*0.6,0)</f>
        <v>1034.860286244794</v>
      </c>
      <c r="AJ89" s="80">
        <v>1</v>
      </c>
      <c r="AK89" s="80">
        <v>1</v>
      </c>
      <c r="AL89" s="80">
        <v>1</v>
      </c>
    </row>
    <row r="90" spans="1:38">
      <c r="A90" s="33" t="str">
        <f>怪物并表!$R$7</f>
        <v>普通副本</v>
      </c>
      <c r="B90" s="38">
        <v>4</v>
      </c>
      <c r="C90" s="33">
        <f t="shared" si="13"/>
        <v>2008</v>
      </c>
      <c r="D90" s="33">
        <v>3</v>
      </c>
      <c r="E90" s="33">
        <f>VLOOKUP(A90,怪物并表!$R$7:$S$14,2,FALSE)</f>
        <v>1</v>
      </c>
      <c r="F90" s="38">
        <v>2</v>
      </c>
      <c r="G90" s="38">
        <v>8</v>
      </c>
      <c r="H90" s="38">
        <v>1</v>
      </c>
      <c r="I90" s="33">
        <f t="shared" si="1"/>
        <v>128104</v>
      </c>
      <c r="J90" s="33" t="s">
        <v>678</v>
      </c>
      <c r="K90" s="33"/>
      <c r="L90" s="33">
        <v>1</v>
      </c>
      <c r="M90" s="33">
        <v>1.2</v>
      </c>
      <c r="N90" s="33"/>
      <c r="O90" s="33">
        <v>3</v>
      </c>
      <c r="P90" s="33">
        <f>VLOOKUP($C90,CHOOSE({1,2},怪物并表!$E$7:$E$1000,怪物并表!$D$7:$D$1000),2,FALSE)</f>
        <v>18</v>
      </c>
      <c r="Q90" s="33" t="s">
        <v>18</v>
      </c>
      <c r="R90" s="33">
        <f>VLOOKUP(Q90,怪物信息配置表!$A$2:$B$118,2,FALSE)</f>
        <v>1006</v>
      </c>
      <c r="S90" s="33">
        <v>1</v>
      </c>
      <c r="T90" s="49">
        <f>VLOOKUP($C90,怪物并表!$E$7:$N$1000,2+($D90-1)*3,FALSE)*S90*AJ90</f>
        <v>16008.46622452518</v>
      </c>
      <c r="U90" s="49">
        <f>VLOOKUP($C90,怪物并表!$E$7:$N$1000,3+($D90-1)*3,FALSE)*S90*AK90</f>
        <v>412.2179551959448</v>
      </c>
      <c r="V90" s="49">
        <f>VLOOKUP($C90,怪物并表!$E$7:$N$1000,4+($D90-1)*3,FALSE)*S90*AL90</f>
        <v>278.48556521739141</v>
      </c>
      <c r="W90" s="33"/>
      <c r="X90" s="33"/>
      <c r="Y90" s="49">
        <f>VLOOKUP($C90,怪物并表!$E$7:$P$1000,12,FALSE)</f>
        <v>0</v>
      </c>
      <c r="Z90" s="49">
        <f>VLOOKUP($C90,怪物并表!$E$7:$P$1000,11,FALSE)*S90</f>
        <v>1389.704</v>
      </c>
      <c r="AA90" s="33"/>
      <c r="AB90" s="33"/>
      <c r="AC90" s="33"/>
      <c r="AD90" s="33">
        <f t="shared" si="14"/>
        <v>1.5</v>
      </c>
      <c r="AE90" s="2">
        <f t="shared" si="12"/>
        <v>679.375</v>
      </c>
      <c r="AF90" s="2" t="str">
        <f>IF(ISBLANK(AM90),IF(O90=6,"",IF(O90=1,VLOOKUP(R90,怪物信息配置表!B:H,5,FALSE),IF(O90=2,VLOOKUP(R90,怪物信息配置表!B:H,6,FALSE),IF(OR(O90=3,O90=5),VLOOKUP(R90,怪物信息配置表!B:H,7,FALSE),"")))),AM90)</f>
        <v>1006_jingcha_BOSS</v>
      </c>
      <c r="AG90" s="2"/>
      <c r="AH90" s="15">
        <f>SUMPRODUCT(T90:V90,$AN$3:$AP$3)+ROUNDDOWN(VLOOKUP(P90,CHOOSE({1,2},'[1]消耗&amp;价值&amp;分析'!$C$7:$C$106,'[1]消耗&amp;价值&amp;分析'!$AS$7:$AS$106),2,FALSE)*0.6,0)</f>
        <v>1629.0421693943435</v>
      </c>
      <c r="AJ90" s="80">
        <v>1</v>
      </c>
      <c r="AK90" s="80">
        <v>1</v>
      </c>
      <c r="AL90" s="80">
        <v>1</v>
      </c>
    </row>
    <row r="91" spans="1:38">
      <c r="A91" s="33" t="str">
        <f>怪物并表!$R$7</f>
        <v>普通副本</v>
      </c>
      <c r="B91" s="38">
        <v>1</v>
      </c>
      <c r="C91" s="33">
        <f t="shared" si="13"/>
        <v>2009</v>
      </c>
      <c r="D91" s="33">
        <v>1</v>
      </c>
      <c r="E91" s="33">
        <f>VLOOKUP(A91,怪物并表!$R$7:$S$14,2,FALSE)</f>
        <v>1</v>
      </c>
      <c r="F91" s="38">
        <v>2</v>
      </c>
      <c r="G91" s="38">
        <v>9</v>
      </c>
      <c r="H91" s="38">
        <v>1</v>
      </c>
      <c r="I91" s="33">
        <f t="shared" si="1"/>
        <v>129101</v>
      </c>
      <c r="J91" s="33" t="s">
        <v>216</v>
      </c>
      <c r="K91" s="33"/>
      <c r="L91" s="33">
        <v>0</v>
      </c>
      <c r="M91" s="33">
        <v>1</v>
      </c>
      <c r="N91" s="33"/>
      <c r="O91" s="33">
        <v>1</v>
      </c>
      <c r="P91" s="33">
        <f>VLOOKUP($C91,CHOOSE({1,2},怪物并表!$E$7:$E$1000,怪物并表!$D$7:$D$1000),2,FALSE)</f>
        <v>19</v>
      </c>
      <c r="Q91" s="33" t="s">
        <v>12</v>
      </c>
      <c r="R91" s="33">
        <f>VLOOKUP(Q91,怪物信息配置表!$A$2:$B$118,2,FALSE)</f>
        <v>1009</v>
      </c>
      <c r="S91" s="33">
        <v>1</v>
      </c>
      <c r="T91" s="49">
        <f>VLOOKUP($C91,怪物并表!$E$7:$N$1000,2+($D91-1)*3,FALSE)*S91*AJ91</f>
        <v>8682.8074796320798</v>
      </c>
      <c r="U91" s="49">
        <f>VLOOKUP($C91,怪物并表!$E$7:$N$1000,3+($D91-1)*3,FALSE)*S91*AK91</f>
        <v>462.95119439346365</v>
      </c>
      <c r="V91" s="49">
        <f>VLOOKUP($C91,怪物并表!$E$7:$N$1000,4+($D91-1)*3,FALSE)*S91*AL91</f>
        <v>307.32182608695666</v>
      </c>
      <c r="W91" s="33"/>
      <c r="X91" s="33"/>
      <c r="Y91" s="49">
        <f>VLOOKUP($C91,怪物并表!$E$7:$P$1000,12,FALSE)</f>
        <v>0</v>
      </c>
      <c r="Z91" s="49">
        <f>VLOOKUP($C91,怪物并表!$E$7:$P$1000,11,FALSE)*S91</f>
        <v>1447.932</v>
      </c>
      <c r="AA91" s="33"/>
      <c r="AB91" s="33"/>
      <c r="AC91" s="33"/>
      <c r="AD91" s="33">
        <f t="shared" si="14"/>
        <v>1</v>
      </c>
      <c r="AE91" s="2">
        <f t="shared" si="12"/>
        <v>774.375</v>
      </c>
      <c r="AF91" s="2" t="str">
        <f>IF(ISBLANK(AM91),IF(O91=6,"",IF(O91=1,VLOOKUP(R91,怪物信息配置表!B:H,5,FALSE),IF(O91=2,VLOOKUP(R91,怪物信息配置表!B:H,6,FALSE),IF(OR(O91=3,O91=5),VLOOKUP(R91,怪物信息配置表!B:H,7,FALSE),"")))),AM91)</f>
        <v>ai_monster</v>
      </c>
      <c r="AG91" s="2"/>
      <c r="AH91" s="15">
        <f>SUMPRODUCT(T91:V91,$AN$3:$AP$3)+ROUNDDOWN(VLOOKUP(P91,CHOOSE({1,2},'[1]消耗&amp;价值&amp;分析'!$C$7:$C$106,'[1]消耗&amp;价值&amp;分析'!$AS$7:$AS$106),2,FALSE)*0.6,0)</f>
        <v>1446.5853196657035</v>
      </c>
      <c r="AJ91" s="80">
        <v>1</v>
      </c>
      <c r="AK91" s="80">
        <v>1</v>
      </c>
      <c r="AL91" s="80">
        <v>1</v>
      </c>
    </row>
    <row r="92" spans="1:38">
      <c r="A92" s="33" t="str">
        <f>怪物并表!$R$7</f>
        <v>普通副本</v>
      </c>
      <c r="B92" s="38">
        <v>2</v>
      </c>
      <c r="C92" s="33">
        <f t="shared" si="13"/>
        <v>2009</v>
      </c>
      <c r="D92" s="33">
        <v>1</v>
      </c>
      <c r="E92" s="33">
        <f>VLOOKUP(A92,怪物并表!$R$7:$S$14,2,FALSE)</f>
        <v>1</v>
      </c>
      <c r="F92" s="38">
        <v>2</v>
      </c>
      <c r="G92" s="38">
        <v>9</v>
      </c>
      <c r="H92" s="38">
        <v>1</v>
      </c>
      <c r="I92" s="33">
        <f t="shared" si="1"/>
        <v>129102</v>
      </c>
      <c r="J92" s="33" t="s">
        <v>464</v>
      </c>
      <c r="K92" s="33"/>
      <c r="L92" s="33">
        <v>0</v>
      </c>
      <c r="M92" s="33">
        <v>1</v>
      </c>
      <c r="N92" s="33"/>
      <c r="O92" s="33">
        <v>1</v>
      </c>
      <c r="P92" s="33">
        <f>VLOOKUP($C92,CHOOSE({1,2},怪物并表!$E$7:$E$1000,怪物并表!$D$7:$D$1000),2,FALSE)</f>
        <v>19</v>
      </c>
      <c r="Q92" s="33" t="s">
        <v>367</v>
      </c>
      <c r="R92" s="33">
        <f>VLOOKUP(Q92,怪物信息配置表!$A$2:$B$118,2,FALSE)</f>
        <v>1008</v>
      </c>
      <c r="S92" s="33">
        <v>1</v>
      </c>
      <c r="T92" s="49">
        <f>VLOOKUP($C92,怪物并表!$E$7:$N$1000,2+($D92-1)*3,FALSE)*S92*AJ92</f>
        <v>8682.8074796320798</v>
      </c>
      <c r="U92" s="49">
        <f>VLOOKUP($C92,怪物并表!$E$7:$N$1000,3+($D92-1)*3,FALSE)*S92*AK92</f>
        <v>462.95119439346365</v>
      </c>
      <c r="V92" s="49">
        <f>VLOOKUP($C92,怪物并表!$E$7:$N$1000,4+($D92-1)*3,FALSE)*S92*AL92</f>
        <v>307.32182608695666</v>
      </c>
      <c r="W92" s="33"/>
      <c r="X92" s="33"/>
      <c r="Y92" s="49">
        <f>VLOOKUP($C92,怪物并表!$E$7:$P$1000,12,FALSE)</f>
        <v>0</v>
      </c>
      <c r="Z92" s="49">
        <f>VLOOKUP($C92,怪物并表!$E$7:$P$1000,11,FALSE)*S92</f>
        <v>1447.932</v>
      </c>
      <c r="AA92" s="33"/>
      <c r="AB92" s="33"/>
      <c r="AC92" s="33"/>
      <c r="AD92" s="33">
        <f t="shared" si="14"/>
        <v>1</v>
      </c>
      <c r="AE92" s="2">
        <f t="shared" si="12"/>
        <v>774.375</v>
      </c>
      <c r="AF92" s="2" t="str">
        <f>IF(ISBLANK(AM92),IF(O92=6,"",IF(O92=1,VLOOKUP(R92,怪物信息配置表!B:H,5,FALSE),IF(O92=2,VLOOKUP(R92,怪物信息配置表!B:H,6,FALSE),IF(OR(O92=3,O92=5),VLOOKUP(R92,怪物信息配置表!B:H,7,FALSE),"")))),AM92)</f>
        <v>ai_monster</v>
      </c>
      <c r="AG92" s="2"/>
      <c r="AH92" s="15">
        <f>SUMPRODUCT(T92:V92,$AN$3:$AP$3)+ROUNDDOWN(VLOOKUP(P92,CHOOSE({1,2},'[1]消耗&amp;价值&amp;分析'!$C$7:$C$106,'[1]消耗&amp;价值&amp;分析'!$AS$7:$AS$106),2,FALSE)*0.6,0)</f>
        <v>1446.5853196657035</v>
      </c>
      <c r="AJ92" s="80">
        <v>1</v>
      </c>
      <c r="AK92" s="80">
        <v>1</v>
      </c>
      <c r="AL92" s="80">
        <v>1</v>
      </c>
    </row>
    <row r="93" spans="1:38">
      <c r="A93" s="33" t="str">
        <f>怪物并表!$R$7</f>
        <v>普通副本</v>
      </c>
      <c r="B93" s="38">
        <v>3</v>
      </c>
      <c r="C93" s="33">
        <f t="shared" si="13"/>
        <v>2009</v>
      </c>
      <c r="D93" s="33">
        <v>1</v>
      </c>
      <c r="E93" s="33">
        <f>VLOOKUP(A93,怪物并表!$R$7:$S$14,2,FALSE)</f>
        <v>1</v>
      </c>
      <c r="F93" s="38">
        <v>2</v>
      </c>
      <c r="G93" s="38">
        <v>9</v>
      </c>
      <c r="H93" s="38">
        <v>1</v>
      </c>
      <c r="I93" s="33">
        <f t="shared" si="1"/>
        <v>129103</v>
      </c>
      <c r="J93" s="33" t="s">
        <v>214</v>
      </c>
      <c r="K93" s="33"/>
      <c r="L93" s="33">
        <v>0</v>
      </c>
      <c r="M93" s="33">
        <v>1</v>
      </c>
      <c r="N93" s="33"/>
      <c r="O93" s="33">
        <v>1</v>
      </c>
      <c r="P93" s="33">
        <f>VLOOKUP($C93,CHOOSE({1,2},怪物并表!$E$7:$E$1000,怪物并表!$D$7:$D$1000),2,FALSE)</f>
        <v>19</v>
      </c>
      <c r="Q93" s="33" t="s">
        <v>10</v>
      </c>
      <c r="R93" s="33">
        <f>VLOOKUP(Q93,怪物信息配置表!$A$2:$B$118,2,FALSE)</f>
        <v>1001</v>
      </c>
      <c r="S93" s="33">
        <v>1</v>
      </c>
      <c r="T93" s="49">
        <f>VLOOKUP($C93,怪物并表!$E$7:$N$1000,2+($D93-1)*3,FALSE)*S93*AJ93</f>
        <v>8682.8074796320798</v>
      </c>
      <c r="U93" s="49">
        <f>VLOOKUP($C93,怪物并表!$E$7:$N$1000,3+($D93-1)*3,FALSE)*S93*AK93</f>
        <v>462.95119439346365</v>
      </c>
      <c r="V93" s="49">
        <f>VLOOKUP($C93,怪物并表!$E$7:$N$1000,4+($D93-1)*3,FALSE)*S93*AL93</f>
        <v>307.32182608695666</v>
      </c>
      <c r="W93" s="33"/>
      <c r="X93" s="33"/>
      <c r="Y93" s="49">
        <f>VLOOKUP($C93,怪物并表!$E$7:$P$1000,12,FALSE)</f>
        <v>0</v>
      </c>
      <c r="Z93" s="49">
        <f>VLOOKUP($C93,怪物并表!$E$7:$P$1000,11,FALSE)*S93</f>
        <v>1447.932</v>
      </c>
      <c r="AA93" s="33"/>
      <c r="AB93" s="33"/>
      <c r="AC93" s="33"/>
      <c r="AD93" s="33">
        <f t="shared" si="14"/>
        <v>1</v>
      </c>
      <c r="AE93" s="2">
        <f t="shared" si="12"/>
        <v>774.375</v>
      </c>
      <c r="AF93" s="2" t="str">
        <f>IF(ISBLANK(AM93),IF(O93=6,"",IF(O93=1,VLOOKUP(R93,怪物信息配置表!B:H,5,FALSE),IF(O93=2,VLOOKUP(R93,怪物信息配置表!B:H,6,FALSE),IF(OR(O93=3,O93=5),VLOOKUP(R93,怪物信息配置表!B:H,7,FALSE),"")))),AM93)</f>
        <v>ai_monster</v>
      </c>
      <c r="AG93" s="2"/>
      <c r="AH93" s="15">
        <f>SUMPRODUCT(T93:V93,$AN$3:$AP$3)+ROUNDDOWN(VLOOKUP(P93,CHOOSE({1,2},'[1]消耗&amp;价值&amp;分析'!$C$7:$C$106,'[1]消耗&amp;价值&amp;分析'!$AS$7:$AS$106),2,FALSE)*0.6,0)</f>
        <v>1446.5853196657035</v>
      </c>
      <c r="AJ93" s="80">
        <v>1</v>
      </c>
      <c r="AK93" s="80">
        <v>1</v>
      </c>
      <c r="AL93" s="80">
        <v>1</v>
      </c>
    </row>
    <row r="94" spans="1:38">
      <c r="A94" s="33" t="str">
        <f>怪物并表!$R$7</f>
        <v>普通副本</v>
      </c>
      <c r="B94" s="38">
        <v>4</v>
      </c>
      <c r="C94" s="33">
        <f t="shared" si="13"/>
        <v>2009</v>
      </c>
      <c r="D94" s="33">
        <v>3</v>
      </c>
      <c r="E94" s="33">
        <f>VLOOKUP(A94,怪物并表!$R$7:$S$14,2,FALSE)</f>
        <v>1</v>
      </c>
      <c r="F94" s="38">
        <v>2</v>
      </c>
      <c r="G94" s="38">
        <v>9</v>
      </c>
      <c r="H94" s="38">
        <v>1</v>
      </c>
      <c r="I94" s="33">
        <f t="shared" si="1"/>
        <v>129104</v>
      </c>
      <c r="J94" s="33" t="s">
        <v>415</v>
      </c>
      <c r="K94" s="33"/>
      <c r="L94" s="33">
        <v>1</v>
      </c>
      <c r="M94" s="33">
        <v>1.2</v>
      </c>
      <c r="N94" s="33"/>
      <c r="O94" s="33">
        <v>3</v>
      </c>
      <c r="P94" s="33">
        <f>VLOOKUP($C94,CHOOSE({1,2},怪物并表!$E$7:$E$1000,怪物并表!$D$7:$D$1000),2,FALSE)</f>
        <v>19</v>
      </c>
      <c r="Q94" s="33" t="s">
        <v>26</v>
      </c>
      <c r="R94" s="33">
        <f>VLOOKUP(Q94,怪物信息配置表!$A$2:$B$118,2,FALSE)</f>
        <v>1105</v>
      </c>
      <c r="S94" s="33">
        <v>1</v>
      </c>
      <c r="T94" s="49">
        <f>VLOOKUP($C94,怪物并表!$E$7:$N$1000,2+($D94-1)*3,FALSE)*S94*AJ94</f>
        <v>21707.018699080199</v>
      </c>
      <c r="U94" s="49">
        <f>VLOOKUP($C94,怪物并表!$E$7:$N$1000,3+($D94-1)*3,FALSE)*S94*AK94</f>
        <v>506.36994109824332</v>
      </c>
      <c r="V94" s="49">
        <f>VLOOKUP($C94,怪物并表!$E$7:$N$1000,4+($D94-1)*3,FALSE)*S94*AL94</f>
        <v>356.49331826086967</v>
      </c>
      <c r="W94" s="33"/>
      <c r="X94" s="33"/>
      <c r="Y94" s="49">
        <f>VLOOKUP($C94,怪物并表!$E$7:$P$1000,12,FALSE)</f>
        <v>0</v>
      </c>
      <c r="Z94" s="49">
        <f>VLOOKUP($C94,怪物并表!$E$7:$P$1000,11,FALSE)*S94</f>
        <v>1447.932</v>
      </c>
      <c r="AA94" s="33"/>
      <c r="AB94" s="33"/>
      <c r="AC94" s="33"/>
      <c r="AD94" s="33">
        <f t="shared" si="14"/>
        <v>1.5</v>
      </c>
      <c r="AE94" s="2">
        <f t="shared" si="12"/>
        <v>532.8125</v>
      </c>
      <c r="AF94" s="2" t="str">
        <f>IF(ISBLANK(AM94),IF(O94=6,"",IF(O94=1,VLOOKUP(R94,怪物信息配置表!B:H,5,FALSE),IF(O94=2,VLOOKUP(R94,怪物信息配置表!B:H,6,FALSE),IF(OR(O94=3,O94=5),VLOOKUP(R94,怪物信息配置表!B:H,7,FALSE),"")))),AM94)</f>
        <v>1105_leigong_BOSS</v>
      </c>
      <c r="AG94" s="2"/>
      <c r="AH94" s="15">
        <f>SUMPRODUCT(T94:V94,$AN$3:$AP$3)+ROUNDDOWN(VLOOKUP(P94,CHOOSE({1,2},'[1]消耗&amp;价值&amp;分析'!$C$7:$C$106,'[1]消耗&amp;价值&amp;分析'!$AS$7:$AS$106),2,FALSE)*0.6,0)</f>
        <v>2060.1440073223212</v>
      </c>
      <c r="AJ94" s="80">
        <v>1</v>
      </c>
      <c r="AK94" s="80">
        <v>1</v>
      </c>
      <c r="AL94" s="80">
        <v>1</v>
      </c>
    </row>
    <row r="95" spans="1:38">
      <c r="A95" s="33" t="str">
        <f>怪物并表!$R$7</f>
        <v>普通副本</v>
      </c>
      <c r="B95" s="38">
        <v>1</v>
      </c>
      <c r="C95" s="33">
        <f t="shared" si="0"/>
        <v>3001</v>
      </c>
      <c r="D95" s="33">
        <v>2</v>
      </c>
      <c r="E95" s="33">
        <f>VLOOKUP(A95,怪物并表!$R$7:$S$14,2,FALSE)</f>
        <v>1</v>
      </c>
      <c r="F95" s="38">
        <v>3</v>
      </c>
      <c r="G95" s="38">
        <v>1</v>
      </c>
      <c r="H95" s="38">
        <v>1</v>
      </c>
      <c r="I95" s="33">
        <f t="shared" si="1"/>
        <v>131101</v>
      </c>
      <c r="J95" s="33" t="s">
        <v>469</v>
      </c>
      <c r="K95" s="33"/>
      <c r="L95" s="33">
        <v>0</v>
      </c>
      <c r="M95" s="33">
        <v>1</v>
      </c>
      <c r="N95" s="33"/>
      <c r="O95" s="33">
        <v>1</v>
      </c>
      <c r="P95" s="33">
        <f>VLOOKUP($C95,CHOOSE({1,2},怪物并表!$E$7:$E$1000,怪物并表!$D$7:$D$1000),2,FALSE)</f>
        <v>20</v>
      </c>
      <c r="Q95" s="33" t="s">
        <v>17</v>
      </c>
      <c r="R95" s="33">
        <f>VLOOKUP(Q95,怪物信息配置表!$A$2:$B$118,2,FALSE)</f>
        <v>1005</v>
      </c>
      <c r="S95" s="33">
        <v>1</v>
      </c>
      <c r="T95" s="49">
        <f>VLOOKUP($C95,怪物并表!$E$7:$N$1000,2+($D95-1)*3,FALSE)*S95*AJ95</f>
        <v>6503.1288201684656</v>
      </c>
      <c r="U95" s="49">
        <f>VLOOKUP($C95,怪物并表!$E$7:$N$1000,3+($D95-1)*3,FALSE)*S95*AK95</f>
        <v>455.47630434782616</v>
      </c>
      <c r="V95" s="49">
        <f>VLOOKUP($C95,怪物并表!$E$7:$N$1000,4+($D95-1)*3,FALSE)*S95*AL95</f>
        <v>202.47652173913053</v>
      </c>
      <c r="W95" s="33"/>
      <c r="X95" s="33"/>
      <c r="Y95" s="49">
        <f>VLOOKUP($C95,怪物并表!$E$7:$P$1000,12,FALSE)</f>
        <v>0</v>
      </c>
      <c r="Z95" s="49">
        <f>VLOOKUP($C95,怪物并表!$E$7:$P$1000,11,FALSE)*S95</f>
        <v>1506.1599999999999</v>
      </c>
      <c r="AA95" s="33"/>
      <c r="AB95" s="33"/>
      <c r="AC95" s="33"/>
      <c r="AD95" s="33">
        <f t="shared" si="3"/>
        <v>0.8</v>
      </c>
      <c r="AE95" s="2">
        <f t="shared" si="12"/>
        <v>810</v>
      </c>
      <c r="AF95" s="2" t="str">
        <f>IF(ISBLANK(AM95),IF(O95=6,"",IF(O95=1,VLOOKUP(R95,怪物信息配置表!B:H,5,FALSE),IF(O95=2,VLOOKUP(R95,怪物信息配置表!B:H,6,FALSE),IF(OR(O95=3,O95=5),VLOOKUP(R95,怪物信息配置表!B:H,7,FALSE),"")))),AM95)</f>
        <v>ai_monster_02</v>
      </c>
      <c r="AG95" s="2"/>
      <c r="AH95" s="15">
        <f>SUMPRODUCT(T95:V95,$AN$3:$AP$3)+ROUNDDOWN(VLOOKUP(P95,CHOOSE({1,2},'[1]消耗&amp;价值&amp;分析'!$C$7:$C$106,'[1]消耗&amp;价值&amp;分析'!$AS$7:$AS$106),2,FALSE)*0.6,0)</f>
        <v>1278.0779788936952</v>
      </c>
      <c r="AJ95" s="80">
        <v>1</v>
      </c>
      <c r="AK95" s="80">
        <v>1</v>
      </c>
      <c r="AL95" s="80">
        <v>1</v>
      </c>
    </row>
    <row r="96" spans="1:38">
      <c r="A96" s="33" t="str">
        <f>怪物并表!$R$7</f>
        <v>普通副本</v>
      </c>
      <c r="B96" s="38">
        <v>2</v>
      </c>
      <c r="C96" s="33">
        <f t="shared" si="0"/>
        <v>3001</v>
      </c>
      <c r="D96" s="33">
        <v>1</v>
      </c>
      <c r="E96" s="33">
        <f>VLOOKUP(A96,怪物并表!$R$7:$S$14,2,FALSE)</f>
        <v>1</v>
      </c>
      <c r="F96" s="38">
        <v>3</v>
      </c>
      <c r="G96" s="38">
        <v>1</v>
      </c>
      <c r="H96" s="38">
        <v>1</v>
      </c>
      <c r="I96" s="33">
        <f t="shared" si="1"/>
        <v>131102</v>
      </c>
      <c r="J96" s="33" t="s">
        <v>15</v>
      </c>
      <c r="K96" s="33"/>
      <c r="L96" s="33">
        <v>0</v>
      </c>
      <c r="M96" s="33">
        <v>1</v>
      </c>
      <c r="N96" s="33"/>
      <c r="O96" s="33">
        <v>1</v>
      </c>
      <c r="P96" s="33">
        <f>VLOOKUP($C96,CHOOSE({1,2},怪物并表!$E$7:$E$1000,怪物并表!$D$7:$D$1000),2,FALSE)</f>
        <v>20</v>
      </c>
      <c r="Q96" s="33" t="s">
        <v>15</v>
      </c>
      <c r="R96" s="33">
        <f>VLOOKUP(Q96,怪物信息配置表!$A$2:$B$118,2,FALSE)</f>
        <v>1004</v>
      </c>
      <c r="S96" s="33">
        <v>1</v>
      </c>
      <c r="T96" s="49">
        <f>VLOOKUP($C96,怪物并表!$E$7:$N$1000,2+($D96-1)*3,FALSE)*S96*AJ96</f>
        <v>8128.911025210582</v>
      </c>
      <c r="U96" s="49">
        <f>VLOOKUP($C96,怪物并表!$E$7:$N$1000,3+($D96-1)*3,FALSE)*S96*AK96</f>
        <v>476.08826086956532</v>
      </c>
      <c r="V96" s="49">
        <f>VLOOKUP($C96,怪物并表!$E$7:$N$1000,4+($D96-1)*3,FALSE)*S96*AL96</f>
        <v>269.96869565217401</v>
      </c>
      <c r="W96" s="33"/>
      <c r="X96" s="33"/>
      <c r="Y96" s="49">
        <f>VLOOKUP($C96,怪物并表!$E$7:$P$1000,12,FALSE)</f>
        <v>0</v>
      </c>
      <c r="Z96" s="49">
        <f>VLOOKUP($C96,怪物并表!$E$7:$P$1000,11,FALSE)*S96</f>
        <v>1506.1599999999999</v>
      </c>
      <c r="AA96" s="33"/>
      <c r="AB96" s="33"/>
      <c r="AC96" s="33"/>
      <c r="AD96" s="33">
        <f t="shared" si="3"/>
        <v>1</v>
      </c>
      <c r="AE96" s="2">
        <f t="shared" si="12"/>
        <v>762.5</v>
      </c>
      <c r="AF96" s="2" t="str">
        <f>IF(ISBLANK(AM96),IF(O96=6,"",IF(O96=1,VLOOKUP(R96,怪物信息配置表!B:H,5,FALSE),IF(O96=2,VLOOKUP(R96,怪物信息配置表!B:H,6,FALSE),IF(OR(O96=3,O96=5),VLOOKUP(R96,怪物信息配置表!B:H,7,FALSE),"")))),AM96)</f>
        <v>ai_monster</v>
      </c>
      <c r="AG96" s="2"/>
      <c r="AH96" s="15">
        <f>SUMPRODUCT(T96:V96,$AN$3:$AP$3)+ROUNDDOWN(VLOOKUP(P96,CHOOSE({1,2},'[1]消耗&amp;价值&amp;分析'!$C$7:$C$106,'[1]消耗&amp;价值&amp;分析'!$AS$7:$AS$106),2,FALSE)*0.6,0)</f>
        <v>1431.2133975301626</v>
      </c>
      <c r="AJ96" s="80">
        <v>1</v>
      </c>
      <c r="AK96" s="80">
        <v>1</v>
      </c>
      <c r="AL96" s="80">
        <v>1</v>
      </c>
    </row>
    <row r="97" spans="1:38">
      <c r="A97" s="33" t="str">
        <f>怪物并表!$R$7</f>
        <v>普通副本</v>
      </c>
      <c r="B97" s="38">
        <v>3</v>
      </c>
      <c r="C97" s="33">
        <f t="shared" si="0"/>
        <v>3001</v>
      </c>
      <c r="D97" s="33">
        <v>1</v>
      </c>
      <c r="E97" s="33">
        <f>VLOOKUP(A97,怪物并表!$R$7:$S$14,2,FALSE)</f>
        <v>1</v>
      </c>
      <c r="F97" s="38">
        <v>3</v>
      </c>
      <c r="G97" s="38">
        <v>1</v>
      </c>
      <c r="H97" s="38">
        <v>1</v>
      </c>
      <c r="I97" s="33">
        <f t="shared" si="1"/>
        <v>131103</v>
      </c>
      <c r="J97" s="33" t="s">
        <v>465</v>
      </c>
      <c r="K97" s="33"/>
      <c r="L97" s="33">
        <v>0</v>
      </c>
      <c r="M97" s="33">
        <v>1</v>
      </c>
      <c r="N97" s="33"/>
      <c r="O97" s="33">
        <v>1</v>
      </c>
      <c r="P97" s="33">
        <f>VLOOKUP($C97,CHOOSE({1,2},怪物并表!$E$7:$E$1000,怪物并表!$D$7:$D$1000),2,FALSE)</f>
        <v>20</v>
      </c>
      <c r="Q97" s="33" t="s">
        <v>10</v>
      </c>
      <c r="R97" s="33">
        <f>VLOOKUP(Q97,怪物信息配置表!$A$2:$B$118,2,FALSE)</f>
        <v>1001</v>
      </c>
      <c r="S97" s="33">
        <v>1</v>
      </c>
      <c r="T97" s="49">
        <f>VLOOKUP($C97,怪物并表!$E$7:$N$1000,2+($D97-1)*3,FALSE)*S97*AJ97</f>
        <v>8128.911025210582</v>
      </c>
      <c r="U97" s="49">
        <f>VLOOKUP($C97,怪物并表!$E$7:$N$1000,3+($D97-1)*3,FALSE)*S97*AK97</f>
        <v>476.08826086956532</v>
      </c>
      <c r="V97" s="49">
        <f>VLOOKUP($C97,怪物并表!$E$7:$N$1000,4+($D97-1)*3,FALSE)*S97*AL97</f>
        <v>269.96869565217401</v>
      </c>
      <c r="W97" s="33"/>
      <c r="X97" s="33"/>
      <c r="Y97" s="49">
        <f>VLOOKUP($C97,怪物并表!$E$7:$P$1000,12,FALSE)</f>
        <v>0</v>
      </c>
      <c r="Z97" s="49">
        <f>VLOOKUP($C97,怪物并表!$E$7:$P$1000,11,FALSE)*S97</f>
        <v>1506.1599999999999</v>
      </c>
      <c r="AA97" s="33"/>
      <c r="AB97" s="33"/>
      <c r="AC97" s="33"/>
      <c r="AD97" s="33">
        <f t="shared" si="3"/>
        <v>1</v>
      </c>
      <c r="AE97" s="2">
        <f t="shared" si="12"/>
        <v>762.5</v>
      </c>
      <c r="AF97" s="2" t="str">
        <f>IF(ISBLANK(AM97),IF(O97=6,"",IF(O97=1,VLOOKUP(R97,怪物信息配置表!B:H,5,FALSE),IF(O97=2,VLOOKUP(R97,怪物信息配置表!B:H,6,FALSE),IF(OR(O97=3,O97=5),VLOOKUP(R97,怪物信息配置表!B:H,7,FALSE),"")))),AM97)</f>
        <v>ai_monster</v>
      </c>
      <c r="AG97" s="2"/>
      <c r="AH97" s="15">
        <f>SUMPRODUCT(T97:V97,$AN$3:$AP$3)+ROUNDDOWN(VLOOKUP(P97,CHOOSE({1,2},'[1]消耗&amp;价值&amp;分析'!$C$7:$C$106,'[1]消耗&amp;价值&amp;分析'!$AS$7:$AS$106),2,FALSE)*0.6,0)</f>
        <v>1431.2133975301626</v>
      </c>
      <c r="AJ97" s="80">
        <v>1</v>
      </c>
      <c r="AK97" s="80">
        <v>1</v>
      </c>
      <c r="AL97" s="80">
        <v>1</v>
      </c>
    </row>
    <row r="98" spans="1:38">
      <c r="A98" s="33" t="str">
        <f>怪物并表!$R$7</f>
        <v>普通副本</v>
      </c>
      <c r="B98" s="38">
        <v>4</v>
      </c>
      <c r="C98" s="33">
        <f t="shared" si="0"/>
        <v>3001</v>
      </c>
      <c r="D98" s="33">
        <v>3</v>
      </c>
      <c r="E98" s="33">
        <f>VLOOKUP(A98,怪物并表!$R$7:$S$14,2,FALSE)</f>
        <v>1</v>
      </c>
      <c r="F98" s="38">
        <v>3</v>
      </c>
      <c r="G98" s="38">
        <v>1</v>
      </c>
      <c r="H98" s="38">
        <v>1</v>
      </c>
      <c r="I98" s="33">
        <f t="shared" si="1"/>
        <v>131104</v>
      </c>
      <c r="J98" s="33" t="s">
        <v>416</v>
      </c>
      <c r="K98" s="33"/>
      <c r="L98" s="33">
        <v>1</v>
      </c>
      <c r="M98" s="33">
        <v>1.2</v>
      </c>
      <c r="N98" s="33"/>
      <c r="O98" s="33">
        <v>3</v>
      </c>
      <c r="P98" s="33">
        <f>VLOOKUP($C98,CHOOSE({1,2},怪物并表!$E$7:$E$1000,怪物并表!$D$7:$D$1000),2,FALSE)</f>
        <v>20</v>
      </c>
      <c r="Q98" s="33" t="s">
        <v>11</v>
      </c>
      <c r="R98" s="33">
        <f>VLOOKUP(Q98,怪物信息配置表!$A$2:$B$118,2,FALSE)</f>
        <v>1011</v>
      </c>
      <c r="S98" s="33">
        <v>1</v>
      </c>
      <c r="T98" s="49">
        <f>VLOOKUP($C98,怪物并表!$E$7:$N$1000,2+($D98-1)*3,FALSE)*S98*AJ98</f>
        <v>20322.277563026455</v>
      </c>
      <c r="U98" s="49">
        <f>VLOOKUP($C98,怪物并表!$E$7:$N$1000,3+($D98-1)*3,FALSE)*S98*AK98</f>
        <v>517.31217391304358</v>
      </c>
      <c r="V98" s="49">
        <f>VLOOKUP($C98,怪物并表!$E$7:$N$1000,4+($D98-1)*3,FALSE)*S98*AL98</f>
        <v>337.46086956521748</v>
      </c>
      <c r="W98" s="33"/>
      <c r="X98" s="33"/>
      <c r="Y98" s="49">
        <f>VLOOKUP($C98,怪物并表!$E$7:$P$1000,12,FALSE)</f>
        <v>0</v>
      </c>
      <c r="Z98" s="49">
        <f>VLOOKUP($C98,怪物并表!$E$7:$P$1000,11,FALSE)*S98</f>
        <v>1506.1599999999999</v>
      </c>
      <c r="AA98" s="33"/>
      <c r="AB98" s="33"/>
      <c r="AC98" s="33"/>
      <c r="AD98" s="33">
        <f t="shared" si="3"/>
        <v>1.5</v>
      </c>
      <c r="AE98" s="2">
        <f t="shared" si="12"/>
        <v>643.75</v>
      </c>
      <c r="AF98" s="2" t="str">
        <f>IF(ISBLANK(AM98),IF(O98=6,"",IF(O98=1,VLOOKUP(R98,怪物信息配置表!B:H,5,FALSE),IF(O98=2,VLOOKUP(R98,怪物信息配置表!B:H,6,FALSE),IF(OR(O98=3,O98=5),VLOOKUP(R98,怪物信息配置表!B:H,7,FALSE),"")))),AM98)</f>
        <v>1011_jichenan_BOSS</v>
      </c>
      <c r="AG98" s="2"/>
      <c r="AH98" s="15">
        <f>SUMPRODUCT(T98:V98,$AN$3:$AP$3)+ROUNDDOWN(VLOOKUP(P98,CHOOSE({1,2},'[1]消耗&amp;价值&amp;分析'!$C$7:$C$106,'[1]消耗&amp;价值&amp;分析'!$AS$7:$AS$106),2,FALSE)*0.6,0)</f>
        <v>2027.6641459993193</v>
      </c>
      <c r="AJ98" s="80">
        <v>1</v>
      </c>
      <c r="AK98" s="80">
        <v>1</v>
      </c>
      <c r="AL98" s="80">
        <v>1</v>
      </c>
    </row>
    <row r="99" spans="1:38">
      <c r="A99" s="33" t="str">
        <f>怪物并表!$R$7</f>
        <v>普通副本</v>
      </c>
      <c r="B99" s="38">
        <v>1</v>
      </c>
      <c r="C99" s="33">
        <f t="shared" si="0"/>
        <v>3002</v>
      </c>
      <c r="D99" s="33">
        <v>1</v>
      </c>
      <c r="E99" s="33">
        <f>VLOOKUP(A99,怪物并表!$R$7:$S$14,2,FALSE)</f>
        <v>1</v>
      </c>
      <c r="F99" s="38">
        <v>3</v>
      </c>
      <c r="G99" s="38">
        <v>2</v>
      </c>
      <c r="H99" s="38">
        <v>1</v>
      </c>
      <c r="I99" s="33">
        <f t="shared" si="1"/>
        <v>132101</v>
      </c>
      <c r="J99" s="33" t="s">
        <v>223</v>
      </c>
      <c r="K99" s="33"/>
      <c r="L99" s="33">
        <v>0</v>
      </c>
      <c r="M99" s="33">
        <v>1</v>
      </c>
      <c r="N99" s="33"/>
      <c r="O99" s="33">
        <v>1</v>
      </c>
      <c r="P99" s="33">
        <f>VLOOKUP($C99,CHOOSE({1,2},怪物并表!$E$7:$E$1000,怪物并表!$D$7:$D$1000),2,FALSE)</f>
        <v>21</v>
      </c>
      <c r="Q99" s="33" t="s">
        <v>13</v>
      </c>
      <c r="R99" s="33">
        <f>VLOOKUP(Q99,怪物信息配置表!$A$2:$B$118,2,FALSE)</f>
        <v>1007</v>
      </c>
      <c r="S99" s="33">
        <v>1</v>
      </c>
      <c r="T99" s="49">
        <f>VLOOKUP($C99,怪物并表!$E$7:$N$1000,2+($D99-1)*3,FALSE)*S99*AJ99</f>
        <v>9084.8452642958327</v>
      </c>
      <c r="U99" s="49">
        <f>VLOOKUP($C99,怪物并表!$E$7:$N$1000,3+($D99-1)*3,FALSE)*S99*AK99</f>
        <v>528.7200805778034</v>
      </c>
      <c r="V99" s="49">
        <f>VLOOKUP($C99,怪物并表!$E$7:$N$1000,4+($D99-1)*3,FALSE)*S99*AL99</f>
        <v>295.12215652173927</v>
      </c>
      <c r="W99" s="33"/>
      <c r="X99" s="33"/>
      <c r="Y99" s="49">
        <f>VLOOKUP($C99,怪物并表!$E$7:$P$1000,12,FALSE)</f>
        <v>0</v>
      </c>
      <c r="Z99" s="49">
        <f>VLOOKUP($C99,怪物并表!$E$7:$P$1000,11,FALSE)*S99</f>
        <v>1564.3879999999999</v>
      </c>
      <c r="AA99" s="33"/>
      <c r="AB99" s="33"/>
      <c r="AC99" s="33"/>
      <c r="AD99" s="33">
        <f t="shared" si="3"/>
        <v>1</v>
      </c>
      <c r="AE99" s="2">
        <f t="shared" si="12"/>
        <v>750.625</v>
      </c>
      <c r="AF99" s="2" t="str">
        <f>IF(ISBLANK(AM99),IF(O99=6,"",IF(O99=1,VLOOKUP(R99,怪物信息配置表!B:H,5,FALSE),IF(O99=2,VLOOKUP(R99,怪物信息配置表!B:H,6,FALSE),IF(OR(O99=3,O99=5),VLOOKUP(R99,怪物信息配置表!B:H,7,FALSE),"")))),AM99)</f>
        <v>ai_monster_03</v>
      </c>
      <c r="AG99" s="2"/>
      <c r="AH99" s="15">
        <f>SUMPRODUCT(T99:V99,$AN$3:$AP$3)+ROUNDDOWN(VLOOKUP(P99,CHOOSE({1,2},'[1]消耗&amp;价值&amp;分析'!$C$7:$C$106,'[1]消耗&amp;价值&amp;分析'!$AS$7:$AS$106),2,FALSE)*0.6,0)</f>
        <v>1602.2360476713761</v>
      </c>
      <c r="AJ99" s="80">
        <v>1</v>
      </c>
      <c r="AK99" s="80">
        <v>1</v>
      </c>
      <c r="AL99" s="80">
        <v>1</v>
      </c>
    </row>
    <row r="100" spans="1:38">
      <c r="A100" s="33" t="str">
        <f>怪物并表!$R$7</f>
        <v>普通副本</v>
      </c>
      <c r="B100" s="38">
        <v>2</v>
      </c>
      <c r="C100" s="33">
        <f t="shared" si="0"/>
        <v>3002</v>
      </c>
      <c r="D100" s="33">
        <v>1</v>
      </c>
      <c r="E100" s="33">
        <f>VLOOKUP(A100,怪物并表!$R$7:$S$14,2,FALSE)</f>
        <v>1</v>
      </c>
      <c r="F100" s="38">
        <v>3</v>
      </c>
      <c r="G100" s="38">
        <v>2</v>
      </c>
      <c r="H100" s="38">
        <v>1</v>
      </c>
      <c r="I100" s="33">
        <f t="shared" si="1"/>
        <v>132102</v>
      </c>
      <c r="J100" s="33" t="s">
        <v>224</v>
      </c>
      <c r="K100" s="33"/>
      <c r="L100" s="33">
        <v>0</v>
      </c>
      <c r="M100" s="33">
        <v>1</v>
      </c>
      <c r="N100" s="33"/>
      <c r="O100" s="33">
        <v>1</v>
      </c>
      <c r="P100" s="33">
        <f>VLOOKUP($C100,CHOOSE({1,2},怪物并表!$E$7:$E$1000,怪物并表!$D$7:$D$1000),2,FALSE)</f>
        <v>21</v>
      </c>
      <c r="Q100" s="33" t="s">
        <v>7</v>
      </c>
      <c r="R100" s="33">
        <f>VLOOKUP(Q100,怪物信息配置表!$A$2:$B$118,2,FALSE)</f>
        <v>1002</v>
      </c>
      <c r="S100" s="33">
        <v>1</v>
      </c>
      <c r="T100" s="49">
        <f>VLOOKUP($C100,怪物并表!$E$7:$N$1000,2+($D100-1)*3,FALSE)*S100*AJ100</f>
        <v>9084.8452642958327</v>
      </c>
      <c r="U100" s="49">
        <f>VLOOKUP($C100,怪物并表!$E$7:$N$1000,3+($D100-1)*3,FALSE)*S100*AK100</f>
        <v>528.7200805778034</v>
      </c>
      <c r="V100" s="49">
        <f>VLOOKUP($C100,怪物并表!$E$7:$N$1000,4+($D100-1)*3,FALSE)*S100*AL100</f>
        <v>295.12215652173927</v>
      </c>
      <c r="W100" s="33"/>
      <c r="X100" s="33"/>
      <c r="Y100" s="49">
        <f>VLOOKUP($C100,怪物并表!$E$7:$P$1000,12,FALSE)</f>
        <v>0</v>
      </c>
      <c r="Z100" s="49">
        <f>VLOOKUP($C100,怪物并表!$E$7:$P$1000,11,FALSE)*S100</f>
        <v>1564.3879999999999</v>
      </c>
      <c r="AA100" s="33"/>
      <c r="AB100" s="33"/>
      <c r="AC100" s="33"/>
      <c r="AD100" s="33">
        <f t="shared" si="3"/>
        <v>1</v>
      </c>
      <c r="AE100" s="2">
        <f t="shared" si="12"/>
        <v>750.625</v>
      </c>
      <c r="AF100" s="2" t="str">
        <f>IF(ISBLANK(AM100),IF(O100=6,"",IF(O100=1,VLOOKUP(R100,怪物信息配置表!B:H,5,FALSE),IF(O100=2,VLOOKUP(R100,怪物信息配置表!B:H,6,FALSE),IF(OR(O100=3,O100=5),VLOOKUP(R100,怪物信息配置表!B:H,7,FALSE),"")))),AM100)</f>
        <v>ai_monster</v>
      </c>
      <c r="AG100" s="2"/>
      <c r="AH100" s="15">
        <f>SUMPRODUCT(T100:V100,$AN$3:$AP$3)+ROUNDDOWN(VLOOKUP(P100,CHOOSE({1,2},'[1]消耗&amp;价值&amp;分析'!$C$7:$C$106,'[1]消耗&amp;价值&amp;分析'!$AS$7:$AS$106),2,FALSE)*0.6,0)</f>
        <v>1602.2360476713761</v>
      </c>
      <c r="AJ100" s="80">
        <v>1</v>
      </c>
      <c r="AK100" s="80">
        <v>1</v>
      </c>
      <c r="AL100" s="80">
        <v>1</v>
      </c>
    </row>
    <row r="101" spans="1:38">
      <c r="A101" s="33" t="str">
        <f>怪物并表!$R$7</f>
        <v>普通副本</v>
      </c>
      <c r="B101" s="38">
        <v>3</v>
      </c>
      <c r="C101" s="33">
        <f t="shared" si="0"/>
        <v>3002</v>
      </c>
      <c r="D101" s="33">
        <v>1</v>
      </c>
      <c r="E101" s="33">
        <f>VLOOKUP(A101,怪物并表!$R$7:$S$14,2,FALSE)</f>
        <v>1</v>
      </c>
      <c r="F101" s="38">
        <v>3</v>
      </c>
      <c r="G101" s="38">
        <v>2</v>
      </c>
      <c r="H101" s="38">
        <v>1</v>
      </c>
      <c r="I101" s="33">
        <f t="shared" si="1"/>
        <v>132103</v>
      </c>
      <c r="J101" s="33" t="s">
        <v>470</v>
      </c>
      <c r="K101" s="33"/>
      <c r="L101" s="33">
        <v>0</v>
      </c>
      <c r="M101" s="33">
        <v>1</v>
      </c>
      <c r="N101" s="33"/>
      <c r="O101" s="33">
        <v>1</v>
      </c>
      <c r="P101" s="33">
        <f>VLOOKUP($C101,CHOOSE({1,2},怪物并表!$E$7:$E$1000,怪物并表!$D$7:$D$1000),2,FALSE)</f>
        <v>21</v>
      </c>
      <c r="Q101" s="33" t="s">
        <v>367</v>
      </c>
      <c r="R101" s="33">
        <f>VLOOKUP(Q101,怪物信息配置表!$A$2:$B$118,2,FALSE)</f>
        <v>1008</v>
      </c>
      <c r="S101" s="33">
        <v>1</v>
      </c>
      <c r="T101" s="49">
        <f>VLOOKUP($C101,怪物并表!$E$7:$N$1000,2+($D101-1)*3,FALSE)*S101*AJ101</f>
        <v>9084.8452642958327</v>
      </c>
      <c r="U101" s="49">
        <f>VLOOKUP($C101,怪物并表!$E$7:$N$1000,3+($D101-1)*3,FALSE)*S101*AK101</f>
        <v>528.7200805778034</v>
      </c>
      <c r="V101" s="49">
        <f>VLOOKUP($C101,怪物并表!$E$7:$N$1000,4+($D101-1)*3,FALSE)*S101*AL101</f>
        <v>295.12215652173927</v>
      </c>
      <c r="W101" s="33"/>
      <c r="X101" s="33"/>
      <c r="Y101" s="49">
        <f>VLOOKUP($C101,怪物并表!$E$7:$P$1000,12,FALSE)</f>
        <v>0</v>
      </c>
      <c r="Z101" s="49">
        <f>VLOOKUP($C101,怪物并表!$E$7:$P$1000,11,FALSE)*S101</f>
        <v>1564.3879999999999</v>
      </c>
      <c r="AA101" s="33"/>
      <c r="AB101" s="33"/>
      <c r="AC101" s="33"/>
      <c r="AD101" s="33">
        <f t="shared" ref="AD101:AD190" si="17">IF(D101=1,1,IF(D101=2,0.8,1.5))</f>
        <v>1</v>
      </c>
      <c r="AE101" s="2">
        <f t="shared" si="12"/>
        <v>750.625</v>
      </c>
      <c r="AF101" s="2" t="str">
        <f>IF(ISBLANK(AM101),IF(O101=6,"",IF(O101=1,VLOOKUP(R101,怪物信息配置表!B:H,5,FALSE),IF(O101=2,VLOOKUP(R101,怪物信息配置表!B:H,6,FALSE),IF(OR(O101=3,O101=5),VLOOKUP(R101,怪物信息配置表!B:H,7,FALSE),"")))),AM101)</f>
        <v>ai_monster</v>
      </c>
      <c r="AG101" s="2"/>
      <c r="AH101" s="15">
        <f>SUMPRODUCT(T101:V101,$AN$3:$AP$3)+ROUNDDOWN(VLOOKUP(P101,CHOOSE({1,2},'[1]消耗&amp;价值&amp;分析'!$C$7:$C$106,'[1]消耗&amp;价值&amp;分析'!$AS$7:$AS$106),2,FALSE)*0.6,0)</f>
        <v>1602.2360476713761</v>
      </c>
      <c r="AJ101" s="80">
        <v>1</v>
      </c>
      <c r="AK101" s="80">
        <v>1</v>
      </c>
      <c r="AL101" s="80">
        <v>1</v>
      </c>
    </row>
    <row r="102" spans="1:38">
      <c r="A102" s="33" t="str">
        <f>怪物并表!$R$7</f>
        <v>普通副本</v>
      </c>
      <c r="B102" s="38">
        <v>4</v>
      </c>
      <c r="C102" s="33">
        <f t="shared" ref="C102:C191" si="18">F102*1000+G102</f>
        <v>3002</v>
      </c>
      <c r="D102" s="33">
        <v>3</v>
      </c>
      <c r="E102" s="33">
        <f>VLOOKUP(A102,怪物并表!$R$7:$S$14,2,FALSE)</f>
        <v>1</v>
      </c>
      <c r="F102" s="38">
        <v>3</v>
      </c>
      <c r="G102" s="38">
        <v>2</v>
      </c>
      <c r="H102" s="38">
        <v>1</v>
      </c>
      <c r="I102" s="33">
        <f t="shared" ref="I102:I165" si="19">SUM(E102*10^5,F102*10^4,G102*10^3,H102*10^2,B102)</f>
        <v>132104</v>
      </c>
      <c r="J102" s="33" t="s">
        <v>417</v>
      </c>
      <c r="K102" s="33"/>
      <c r="L102" s="33">
        <v>1</v>
      </c>
      <c r="M102" s="33">
        <v>1.2</v>
      </c>
      <c r="N102" s="33"/>
      <c r="O102" s="33">
        <v>3</v>
      </c>
      <c r="P102" s="33">
        <f>VLOOKUP($C102,CHOOSE({1,2},怪物并表!$E$7:$E$1000,怪物并表!$D$7:$D$1000),2,FALSE)</f>
        <v>21</v>
      </c>
      <c r="Q102" s="33" t="s">
        <v>562</v>
      </c>
      <c r="R102" s="33">
        <f>VLOOKUP(Q102,怪物信息配置表!$A$2:$B$118,2,FALSE)</f>
        <v>1111</v>
      </c>
      <c r="S102" s="33">
        <v>1</v>
      </c>
      <c r="T102" s="49">
        <f>VLOOKUP($C102,怪物并表!$E$7:$N$1000,2+($D102-1)*3,FALSE)*S102*AJ102</f>
        <v>22712.11316073958</v>
      </c>
      <c r="U102" s="49">
        <f>VLOOKUP($C102,怪物并表!$E$7:$N$1000,3+($D102-1)*3,FALSE)*S102*AK102</f>
        <v>575.43966538901623</v>
      </c>
      <c r="V102" s="49">
        <f>VLOOKUP($C102,怪物并表!$E$7:$N$1000,4+($D102-1)*3,FALSE)*S102*AL102</f>
        <v>368.90269565217409</v>
      </c>
      <c r="W102" s="33"/>
      <c r="X102" s="33"/>
      <c r="Y102" s="49">
        <f>VLOOKUP($C102,怪物并表!$E$7:$P$1000,12,FALSE)</f>
        <v>0</v>
      </c>
      <c r="Z102" s="49">
        <f>VLOOKUP($C102,怪物并表!$E$7:$P$1000,11,FALSE)*S102</f>
        <v>1564.3879999999999</v>
      </c>
      <c r="AA102" s="33"/>
      <c r="AB102" s="33"/>
      <c r="AC102" s="33"/>
      <c r="AD102" s="33">
        <f t="shared" si="17"/>
        <v>1.5</v>
      </c>
      <c r="AE102" s="2">
        <f t="shared" si="12"/>
        <v>322.8125</v>
      </c>
      <c r="AF102" s="2" t="str">
        <f>IF(ISBLANK(AM102),IF(O102=6,"",IF(O102=1,VLOOKUP(R102,怪物信息配置表!B:H,5,FALSE),IF(O102=2,VLOOKUP(R102,怪物信息配置表!B:H,6,FALSE),IF(OR(O102=3,O102=5),VLOOKUP(R102,怪物信息配置表!B:H,7,FALSE),"")))),AM102)</f>
        <v>1111_XMH_BOSS</v>
      </c>
      <c r="AG102" s="2"/>
      <c r="AH102" s="15">
        <f>SUMPRODUCT(T102:V102,$AN$3:$AP$3)+ROUNDDOWN(VLOOKUP(P102,CHOOSE({1,2},'[1]消耗&amp;价值&amp;分析'!$C$7:$C$106,'[1]消耗&amp;价值&amp;分析'!$AS$7:$AS$106),2,FALSE)*0.6,0)</f>
        <v>2267.8268874707737</v>
      </c>
      <c r="AJ102" s="80">
        <v>1</v>
      </c>
      <c r="AK102" s="80">
        <v>1</v>
      </c>
      <c r="AL102" s="80">
        <v>1</v>
      </c>
    </row>
    <row r="103" spans="1:38">
      <c r="A103" s="33" t="str">
        <f>怪物并表!$R$7</f>
        <v>普通副本</v>
      </c>
      <c r="B103" s="38">
        <v>1</v>
      </c>
      <c r="C103" s="33">
        <f t="shared" si="18"/>
        <v>3003</v>
      </c>
      <c r="D103" s="33">
        <v>1</v>
      </c>
      <c r="E103" s="33">
        <f>VLOOKUP(A103,怪物并表!$R$7:$S$14,2,FALSE)</f>
        <v>1</v>
      </c>
      <c r="F103" s="38">
        <v>3</v>
      </c>
      <c r="G103" s="38">
        <v>3</v>
      </c>
      <c r="H103" s="38">
        <v>1</v>
      </c>
      <c r="I103" s="33">
        <f t="shared" si="19"/>
        <v>133101</v>
      </c>
      <c r="J103" s="33" t="s">
        <v>225</v>
      </c>
      <c r="K103" s="33"/>
      <c r="L103" s="33">
        <v>0</v>
      </c>
      <c r="M103" s="33">
        <v>1</v>
      </c>
      <c r="N103" s="33"/>
      <c r="O103" s="33">
        <v>1</v>
      </c>
      <c r="P103" s="33">
        <f>VLOOKUP($C103,CHOOSE({1,2},怪物并表!$E$7:$E$1000,怪物并表!$D$7:$D$1000),2,FALSE)</f>
        <v>22</v>
      </c>
      <c r="Q103" s="33" t="s">
        <v>14</v>
      </c>
      <c r="R103" s="33">
        <f>VLOOKUP(Q103,怪物信息配置表!$A$2:$B$118,2,FALSE)</f>
        <v>1010</v>
      </c>
      <c r="S103" s="33">
        <v>1</v>
      </c>
      <c r="T103" s="49">
        <f>VLOOKUP($C103,怪物并表!$E$7:$N$1000,2+($D103-1)*3,FALSE)*S103*AJ103</f>
        <v>10105.2134725859</v>
      </c>
      <c r="U103" s="49">
        <f>VLOOKUP($C103,怪物并表!$E$7:$N$1000,3+($D103-1)*3,FALSE)*S103*AK103</f>
        <v>584.78320512923278</v>
      </c>
      <c r="V103" s="49">
        <f>VLOOKUP($C103,怪物并表!$E$7:$N$1000,4+($D103-1)*3,FALSE)*S103*AL103</f>
        <v>321.31784347826095</v>
      </c>
      <c r="W103" s="33"/>
      <c r="X103" s="33"/>
      <c r="Y103" s="49">
        <f>VLOOKUP($C103,怪物并表!$E$7:$P$1000,12,FALSE)</f>
        <v>0</v>
      </c>
      <c r="Z103" s="49">
        <f>VLOOKUP($C103,怪物并表!$E$7:$P$1000,11,FALSE)*S103</f>
        <v>1622.616</v>
      </c>
      <c r="AA103" s="33"/>
      <c r="AB103" s="33"/>
      <c r="AC103" s="33"/>
      <c r="AD103" s="33">
        <f t="shared" si="17"/>
        <v>1</v>
      </c>
      <c r="AE103" s="2">
        <f t="shared" si="12"/>
        <v>738.75</v>
      </c>
      <c r="AF103" s="2" t="str">
        <f>IF(ISBLANK(AM103),IF(O103=6,"",IF(O103=1,VLOOKUP(R103,怪物信息配置表!B:H,5,FALSE),IF(O103=2,VLOOKUP(R103,怪物信息配置表!B:H,6,FALSE),IF(OR(O103=3,O103=5),VLOOKUP(R103,怪物信息配置表!B:H,7,FALSE),"")))),AM103)</f>
        <v>ai_monster</v>
      </c>
      <c r="AG103" s="2"/>
      <c r="AH103" s="15">
        <f>SUMPRODUCT(T103:V103,$AN$3:$AP$3)+ROUNDDOWN(VLOOKUP(P103,CHOOSE({1,2},'[1]消耗&amp;价值&amp;分析'!$C$7:$C$106,'[1]消耗&amp;价值&amp;分析'!$AS$7:$AS$106),2,FALSE)*0.6,0)</f>
        <v>1755.3095875109298</v>
      </c>
      <c r="AJ103" s="80">
        <v>1</v>
      </c>
      <c r="AK103" s="80">
        <v>1</v>
      </c>
      <c r="AL103" s="80">
        <v>1</v>
      </c>
    </row>
    <row r="104" spans="1:38">
      <c r="A104" s="33" t="str">
        <f>怪物并表!$R$7</f>
        <v>普通副本</v>
      </c>
      <c r="B104" s="38">
        <v>2</v>
      </c>
      <c r="C104" s="33">
        <f t="shared" si="18"/>
        <v>3003</v>
      </c>
      <c r="D104" s="33">
        <v>1</v>
      </c>
      <c r="E104" s="33">
        <f>VLOOKUP(A104,怪物并表!$R$7:$S$14,2,FALSE)</f>
        <v>1</v>
      </c>
      <c r="F104" s="38">
        <v>3</v>
      </c>
      <c r="G104" s="38">
        <v>3</v>
      </c>
      <c r="H104" s="38">
        <v>1</v>
      </c>
      <c r="I104" s="33">
        <f t="shared" si="19"/>
        <v>133102</v>
      </c>
      <c r="J104" s="33" t="s">
        <v>226</v>
      </c>
      <c r="K104" s="33"/>
      <c r="L104" s="33">
        <v>0</v>
      </c>
      <c r="M104" s="33">
        <v>1</v>
      </c>
      <c r="N104" s="33"/>
      <c r="O104" s="33">
        <v>1</v>
      </c>
      <c r="P104" s="33">
        <f>VLOOKUP($C104,CHOOSE({1,2},怪物并表!$E$7:$E$1000,怪物并表!$D$7:$D$1000),2,FALSE)</f>
        <v>22</v>
      </c>
      <c r="Q104" s="33" t="s">
        <v>10</v>
      </c>
      <c r="R104" s="33">
        <f>VLOOKUP(Q104,怪物信息配置表!$A$2:$B$118,2,FALSE)</f>
        <v>1001</v>
      </c>
      <c r="S104" s="33">
        <v>1</v>
      </c>
      <c r="T104" s="49">
        <f>VLOOKUP($C104,怪物并表!$E$7:$N$1000,2+($D104-1)*3,FALSE)*S104*AJ104</f>
        <v>10105.2134725859</v>
      </c>
      <c r="U104" s="49">
        <f>VLOOKUP($C104,怪物并表!$E$7:$N$1000,3+($D104-1)*3,FALSE)*S104*AK104</f>
        <v>584.78320512923278</v>
      </c>
      <c r="V104" s="49">
        <f>VLOOKUP($C104,怪物并表!$E$7:$N$1000,4+($D104-1)*3,FALSE)*S104*AL104</f>
        <v>321.31784347826095</v>
      </c>
      <c r="W104" s="33"/>
      <c r="X104" s="33"/>
      <c r="Y104" s="49">
        <f>VLOOKUP($C104,怪物并表!$E$7:$P$1000,12,FALSE)</f>
        <v>0</v>
      </c>
      <c r="Z104" s="49">
        <f>VLOOKUP($C104,怪物并表!$E$7:$P$1000,11,FALSE)*S104</f>
        <v>1622.616</v>
      </c>
      <c r="AA104" s="33"/>
      <c r="AB104" s="33"/>
      <c r="AC104" s="33"/>
      <c r="AD104" s="33">
        <f t="shared" si="17"/>
        <v>1</v>
      </c>
      <c r="AE104" s="2">
        <f t="shared" si="12"/>
        <v>738.75</v>
      </c>
      <c r="AF104" s="2" t="str">
        <f>IF(ISBLANK(AM104),IF(O104=6,"",IF(O104=1,VLOOKUP(R104,怪物信息配置表!B:H,5,FALSE),IF(O104=2,VLOOKUP(R104,怪物信息配置表!B:H,6,FALSE),IF(OR(O104=3,O104=5),VLOOKUP(R104,怪物信息配置表!B:H,7,FALSE),"")))),AM104)</f>
        <v>ai_monster</v>
      </c>
      <c r="AG104" s="2"/>
      <c r="AH104" s="15">
        <f>SUMPRODUCT(T104:V104,$AN$3:$AP$3)+ROUNDDOWN(VLOOKUP(P104,CHOOSE({1,2},'[1]消耗&amp;价值&amp;分析'!$C$7:$C$106,'[1]消耗&amp;价值&amp;分析'!$AS$7:$AS$106),2,FALSE)*0.6,0)</f>
        <v>1755.3095875109298</v>
      </c>
      <c r="AJ104" s="80">
        <v>1</v>
      </c>
      <c r="AK104" s="80">
        <v>1</v>
      </c>
      <c r="AL104" s="80">
        <v>1</v>
      </c>
    </row>
    <row r="105" spans="1:38">
      <c r="A105" s="33" t="str">
        <f>怪物并表!$R$7</f>
        <v>普通副本</v>
      </c>
      <c r="B105" s="38">
        <v>3</v>
      </c>
      <c r="C105" s="33">
        <f t="shared" si="18"/>
        <v>3003</v>
      </c>
      <c r="D105" s="33">
        <v>2</v>
      </c>
      <c r="E105" s="33">
        <f>VLOOKUP(A105,怪物并表!$R$7:$S$14,2,FALSE)</f>
        <v>1</v>
      </c>
      <c r="F105" s="38">
        <v>3</v>
      </c>
      <c r="G105" s="38">
        <v>3</v>
      </c>
      <c r="H105" s="38">
        <v>1</v>
      </c>
      <c r="I105" s="33">
        <f t="shared" si="19"/>
        <v>133103</v>
      </c>
      <c r="J105" s="33" t="s">
        <v>463</v>
      </c>
      <c r="K105" s="33"/>
      <c r="L105" s="33">
        <v>0</v>
      </c>
      <c r="M105" s="33">
        <v>1</v>
      </c>
      <c r="N105" s="33"/>
      <c r="O105" s="33">
        <v>1</v>
      </c>
      <c r="P105" s="33">
        <f>VLOOKUP($C105,CHOOSE({1,2},怪物并表!$E$7:$E$1000,怪物并表!$D$7:$D$1000),2,FALSE)</f>
        <v>22</v>
      </c>
      <c r="Q105" s="33" t="s">
        <v>17</v>
      </c>
      <c r="R105" s="33">
        <f>VLOOKUP(Q105,怪物信息配置表!$A$2:$B$118,2,FALSE)</f>
        <v>1005</v>
      </c>
      <c r="S105" s="33">
        <v>1</v>
      </c>
      <c r="T105" s="49">
        <f>VLOOKUP($C105,怪物并表!$E$7:$N$1000,2+($D105-1)*3,FALSE)*S105*AJ105</f>
        <v>8084.1707780687202</v>
      </c>
      <c r="U105" s="49">
        <f>VLOOKUP($C105,怪物并表!$E$7:$N$1000,3+($D105-1)*3,FALSE)*S105*AK105</f>
        <v>558.43666896413561</v>
      </c>
      <c r="V105" s="49">
        <f>VLOOKUP($C105,怪物并表!$E$7:$N$1000,4+($D105-1)*3,FALSE)*S105*AL105</f>
        <v>240.98838260869576</v>
      </c>
      <c r="W105" s="33"/>
      <c r="X105" s="33"/>
      <c r="Y105" s="49">
        <f>VLOOKUP($C105,怪物并表!$E$7:$P$1000,12,FALSE)</f>
        <v>0</v>
      </c>
      <c r="Z105" s="49">
        <f>VLOOKUP($C105,怪物并表!$E$7:$P$1000,11,FALSE)*S105</f>
        <v>1622.616</v>
      </c>
      <c r="AA105" s="33"/>
      <c r="AB105" s="33"/>
      <c r="AC105" s="33"/>
      <c r="AD105" s="33">
        <f t="shared" si="17"/>
        <v>0.8</v>
      </c>
      <c r="AE105" s="2">
        <f t="shared" si="12"/>
        <v>791</v>
      </c>
      <c r="AF105" s="2" t="str">
        <f>IF(ISBLANK(AM105),IF(O105=6,"",IF(O105=1,VLOOKUP(R105,怪物信息配置表!B:H,5,FALSE),IF(O105=2,VLOOKUP(R105,怪物信息配置表!B:H,6,FALSE),IF(OR(O105=3,O105=5),VLOOKUP(R105,怪物信息配置表!B:H,7,FALSE),"")))),AM105)</f>
        <v>ai_monster_02</v>
      </c>
      <c r="AG105" s="2"/>
      <c r="AH105" s="15">
        <f>SUMPRODUCT(T105:V105,$AN$3:$AP$3)+ROUNDDOWN(VLOOKUP(P105,CHOOSE({1,2},'[1]消耗&amp;价值&amp;分析'!$C$7:$C$106,'[1]消耗&amp;价值&amp;分析'!$AS$7:$AS$106),2,FALSE)*0.6,0)</f>
        <v>1567.7918826955802</v>
      </c>
      <c r="AJ105" s="80">
        <v>1</v>
      </c>
      <c r="AK105" s="80">
        <v>1</v>
      </c>
      <c r="AL105" s="80">
        <v>1</v>
      </c>
    </row>
    <row r="106" spans="1:38">
      <c r="A106" s="33" t="str">
        <f>怪物并表!$R$7</f>
        <v>普通副本</v>
      </c>
      <c r="B106" s="38">
        <v>4</v>
      </c>
      <c r="C106" s="33">
        <f t="shared" si="18"/>
        <v>3003</v>
      </c>
      <c r="D106" s="33">
        <v>3</v>
      </c>
      <c r="E106" s="33">
        <f>VLOOKUP(A106,怪物并表!$R$7:$S$14,2,FALSE)</f>
        <v>1</v>
      </c>
      <c r="F106" s="38">
        <v>3</v>
      </c>
      <c r="G106" s="38">
        <v>3</v>
      </c>
      <c r="H106" s="38">
        <v>1</v>
      </c>
      <c r="I106" s="33">
        <f t="shared" si="19"/>
        <v>133104</v>
      </c>
      <c r="J106" s="33" t="s">
        <v>418</v>
      </c>
      <c r="K106" s="33"/>
      <c r="L106" s="33">
        <v>1</v>
      </c>
      <c r="M106" s="33">
        <v>1.1000000000000001</v>
      </c>
      <c r="N106" s="33"/>
      <c r="O106" s="33">
        <v>3</v>
      </c>
      <c r="P106" s="33">
        <f>VLOOKUP($C106,CHOOSE({1,2},怪物并表!$E$7:$E$1000,怪物并表!$D$7:$D$1000),2,FALSE)</f>
        <v>22</v>
      </c>
      <c r="Q106" s="33" t="s">
        <v>26</v>
      </c>
      <c r="R106" s="33">
        <f>VLOOKUP(Q106,怪物信息配置表!$A$2:$B$118,2,FALSE)</f>
        <v>1105</v>
      </c>
      <c r="S106" s="33">
        <v>1</v>
      </c>
      <c r="T106" s="49">
        <f>VLOOKUP($C106,怪物并表!$E$7:$N$1000,2+($D106-1)*3,FALSE)*S106*AJ106</f>
        <v>25263.033681464749</v>
      </c>
      <c r="U106" s="49">
        <f>VLOOKUP($C106,怪物并表!$E$7:$N$1000,3+($D106-1)*3,FALSE)*S106*AK106</f>
        <v>637.47627745942714</v>
      </c>
      <c r="V106" s="49">
        <f>VLOOKUP($C106,怪物并表!$E$7:$N$1000,4+($D106-1)*3,FALSE)*S106*AL106</f>
        <v>401.64730434782615</v>
      </c>
      <c r="W106" s="33"/>
      <c r="X106" s="33"/>
      <c r="Y106" s="49">
        <f>VLOOKUP($C106,怪物并表!$E$7:$P$1000,12,FALSE)</f>
        <v>0</v>
      </c>
      <c r="Z106" s="49">
        <f>VLOOKUP($C106,怪物并表!$E$7:$P$1000,11,FALSE)*S106</f>
        <v>1622.616</v>
      </c>
      <c r="AA106" s="33"/>
      <c r="AB106" s="33"/>
      <c r="AC106" s="33"/>
      <c r="AD106" s="33">
        <f t="shared" si="17"/>
        <v>1.5</v>
      </c>
      <c r="AE106" s="2">
        <f t="shared" si="12"/>
        <v>490.625</v>
      </c>
      <c r="AF106" s="2" t="str">
        <f>IF(ISBLANK(AM106),IF(O106=6,"",IF(O106=1,VLOOKUP(R106,怪物信息配置表!B:H,5,FALSE),IF(O106=2,VLOOKUP(R106,怪物信息配置表!B:H,6,FALSE),IF(OR(O106=3,O106=5),VLOOKUP(R106,怪物信息配置表!B:H,7,FALSE),"")))),AM106)</f>
        <v>1105_leigong_BOSS</v>
      </c>
      <c r="AG106" s="2"/>
      <c r="AH106" s="15">
        <f>SUMPRODUCT(T106:V106,$AN$3:$AP$3)+ROUNDDOWN(VLOOKUP(P106,CHOOSE({1,2},'[1]消耗&amp;价值&amp;分析'!$C$7:$C$106,'[1]消耗&amp;价值&amp;分析'!$AS$7:$AS$106),2,FALSE)*0.6,0)</f>
        <v>2494.6449290658434</v>
      </c>
      <c r="AJ106" s="80">
        <v>1</v>
      </c>
      <c r="AK106" s="80">
        <v>1</v>
      </c>
      <c r="AL106" s="80">
        <v>1</v>
      </c>
    </row>
    <row r="107" spans="1:38">
      <c r="A107" s="33" t="str">
        <f>怪物并表!$R$7</f>
        <v>普通副本</v>
      </c>
      <c r="B107" s="38">
        <v>1</v>
      </c>
      <c r="C107" s="33">
        <f t="shared" si="18"/>
        <v>3004</v>
      </c>
      <c r="D107" s="33">
        <v>1</v>
      </c>
      <c r="E107" s="33">
        <f>VLOOKUP(A107,怪物并表!$R$7:$S$14,2,FALSE)</f>
        <v>1</v>
      </c>
      <c r="F107" s="38">
        <v>3</v>
      </c>
      <c r="G107" s="38">
        <v>4</v>
      </c>
      <c r="H107" s="38">
        <v>1</v>
      </c>
      <c r="I107" s="33">
        <f t="shared" si="19"/>
        <v>134101</v>
      </c>
      <c r="J107" s="33" t="s">
        <v>464</v>
      </c>
      <c r="K107" s="33"/>
      <c r="L107" s="33">
        <v>0</v>
      </c>
      <c r="M107" s="33">
        <v>1</v>
      </c>
      <c r="N107" s="33"/>
      <c r="O107" s="33">
        <v>1</v>
      </c>
      <c r="P107" s="33">
        <f>VLOOKUP($C107,CHOOSE({1,2},怪物并表!$E$7:$E$1000,怪物并表!$D$7:$D$1000),2,FALSE)</f>
        <v>23</v>
      </c>
      <c r="Q107" s="33" t="s">
        <v>367</v>
      </c>
      <c r="R107" s="33">
        <f>VLOOKUP(Q107,怪物信息配置表!$A$2:$B$118,2,FALSE)</f>
        <v>1008</v>
      </c>
      <c r="S107" s="33">
        <v>1</v>
      </c>
      <c r="T107" s="49">
        <f>VLOOKUP($C107,怪物并表!$E$7:$N$1000,2+($D107-1)*3,FALSE)*S107*AJ107</f>
        <v>11400.405805091281</v>
      </c>
      <c r="U107" s="49">
        <f>VLOOKUP($C107,怪物并表!$E$7:$N$1000,3+($D107-1)*3,FALSE)*S107*AK107</f>
        <v>656.41395125097995</v>
      </c>
      <c r="V107" s="49">
        <f>VLOOKUP($C107,怪物并表!$E$7:$N$1000,4+($D107-1)*3,FALSE)*S107*AL107</f>
        <v>355.05421806020081</v>
      </c>
      <c r="W107" s="33"/>
      <c r="X107" s="33"/>
      <c r="Y107" s="49">
        <f>VLOOKUP($C107,怪物并表!$E$7:$P$1000,12,FALSE)</f>
        <v>0</v>
      </c>
      <c r="Z107" s="49">
        <f>VLOOKUP($C107,怪物并表!$E$7:$P$1000,11,FALSE)*S107</f>
        <v>1680.8440000000001</v>
      </c>
      <c r="AA107" s="33"/>
      <c r="AB107" s="33"/>
      <c r="AC107" s="33"/>
      <c r="AD107" s="33">
        <f t="shared" si="17"/>
        <v>1</v>
      </c>
      <c r="AE107" s="2">
        <f t="shared" si="12"/>
        <v>726.875</v>
      </c>
      <c r="AF107" s="2" t="str">
        <f>IF(ISBLANK(AM107),IF(O107=6,"",IF(O107=1,VLOOKUP(R107,怪物信息配置表!B:H,5,FALSE),IF(O107=2,VLOOKUP(R107,怪物信息配置表!B:H,6,FALSE),IF(OR(O107=3,O107=5),VLOOKUP(R107,怪物信息配置表!B:H,7,FALSE),"")))),AM107)</f>
        <v>ai_monster</v>
      </c>
      <c r="AG107" s="2"/>
      <c r="AH107" s="15">
        <f>SUMPRODUCT(T107:V107,$AN$3:$AP$3)+ROUNDDOWN(VLOOKUP(P107,CHOOSE({1,2},'[1]消耗&amp;价值&amp;分析'!$C$7:$C$106,'[1]消耗&amp;价值&amp;分析'!$AS$7:$AS$106),2,FALSE)*0.6,0)</f>
        <v>1953.4844015148321</v>
      </c>
      <c r="AJ107" s="80">
        <v>1</v>
      </c>
      <c r="AK107" s="80">
        <v>1</v>
      </c>
      <c r="AL107" s="80">
        <v>1</v>
      </c>
    </row>
    <row r="108" spans="1:38">
      <c r="A108" s="33" t="str">
        <f>怪物并表!$R$7</f>
        <v>普通副本</v>
      </c>
      <c r="B108" s="38">
        <v>2</v>
      </c>
      <c r="C108" s="33">
        <f t="shared" si="18"/>
        <v>3004</v>
      </c>
      <c r="D108" s="33">
        <v>2</v>
      </c>
      <c r="E108" s="33">
        <f>VLOOKUP(A108,怪物并表!$R$7:$S$14,2,FALSE)</f>
        <v>1</v>
      </c>
      <c r="F108" s="38">
        <v>3</v>
      </c>
      <c r="G108" s="38">
        <v>4</v>
      </c>
      <c r="H108" s="38">
        <v>1</v>
      </c>
      <c r="I108" s="33">
        <f t="shared" si="19"/>
        <v>134102</v>
      </c>
      <c r="J108" s="33" t="s">
        <v>471</v>
      </c>
      <c r="K108" s="33"/>
      <c r="L108" s="33">
        <v>0</v>
      </c>
      <c r="M108" s="33">
        <v>1</v>
      </c>
      <c r="N108" s="33"/>
      <c r="O108" s="33">
        <v>1</v>
      </c>
      <c r="P108" s="33">
        <f>VLOOKUP($C108,CHOOSE({1,2},怪物并表!$E$7:$E$1000,怪物并表!$D$7:$D$1000),2,FALSE)</f>
        <v>23</v>
      </c>
      <c r="Q108" s="33" t="s">
        <v>17</v>
      </c>
      <c r="R108" s="33">
        <f>VLOOKUP(Q108,怪物信息配置表!$A$2:$B$118,2,FALSE)</f>
        <v>1005</v>
      </c>
      <c r="S108" s="33">
        <v>1</v>
      </c>
      <c r="T108" s="49">
        <f>VLOOKUP($C108,怪物并表!$E$7:$N$1000,2+($D108-1)*3,FALSE)*S108*AJ108</f>
        <v>9120.3246440730254</v>
      </c>
      <c r="U108" s="49">
        <f>VLOOKUP($C108,怪物并表!$E$7:$N$1000,3+($D108-1)*3,FALSE)*S108*AK108</f>
        <v>626.27797793190211</v>
      </c>
      <c r="V108" s="49">
        <f>VLOOKUP($C108,怪物并表!$E$7:$N$1000,4+($D108-1)*3,FALSE)*S108*AL108</f>
        <v>266.29066354515066</v>
      </c>
      <c r="W108" s="33"/>
      <c r="X108" s="33"/>
      <c r="Y108" s="49">
        <f>VLOOKUP($C108,怪物并表!$E$7:$P$1000,12,FALSE)</f>
        <v>0</v>
      </c>
      <c r="Z108" s="49">
        <f>VLOOKUP($C108,怪物并表!$E$7:$P$1000,11,FALSE)*S108</f>
        <v>1680.8440000000001</v>
      </c>
      <c r="AA108" s="33"/>
      <c r="AB108" s="33"/>
      <c r="AC108" s="33"/>
      <c r="AD108" s="33">
        <f t="shared" si="17"/>
        <v>0.8</v>
      </c>
      <c r="AE108" s="2">
        <f t="shared" si="12"/>
        <v>781.5</v>
      </c>
      <c r="AF108" s="2" t="str">
        <f>IF(ISBLANK(AM108),IF(O108=6,"",IF(O108=1,VLOOKUP(R108,怪物信息配置表!B:H,5,FALSE),IF(O108=2,VLOOKUP(R108,怪物信息配置表!B:H,6,FALSE),IF(OR(O108=3,O108=5),VLOOKUP(R108,怪物信息配置表!B:H,7,FALSE),"")))),AM108)</f>
        <v>ai_monster_02</v>
      </c>
      <c r="AG108" s="2"/>
      <c r="AH108" s="15">
        <f>SUMPRODUCT(T108:V108,$AN$3:$AP$3)+ROUNDDOWN(VLOOKUP(P108,CHOOSE({1,2},'[1]消耗&amp;价值&amp;分析'!$C$7:$C$106,'[1]消耗&amp;价值&amp;分析'!$AS$7:$AS$106),2,FALSE)*0.6,0)</f>
        <v>1743.3816272399738</v>
      </c>
      <c r="AJ108" s="80">
        <v>1</v>
      </c>
      <c r="AK108" s="80">
        <v>1</v>
      </c>
      <c r="AL108" s="80">
        <v>1</v>
      </c>
    </row>
    <row r="109" spans="1:38">
      <c r="A109" s="33" t="str">
        <f>怪物并表!$R$7</f>
        <v>普通副本</v>
      </c>
      <c r="B109" s="38">
        <v>3</v>
      </c>
      <c r="C109" s="33">
        <f t="shared" si="18"/>
        <v>3004</v>
      </c>
      <c r="D109" s="33">
        <v>1</v>
      </c>
      <c r="E109" s="33">
        <f>VLOOKUP(A109,怪物并表!$R$7:$S$14,2,FALSE)</f>
        <v>1</v>
      </c>
      <c r="F109" s="38">
        <v>3</v>
      </c>
      <c r="G109" s="38">
        <v>4</v>
      </c>
      <c r="H109" s="38">
        <v>1</v>
      </c>
      <c r="I109" s="33">
        <f t="shared" si="19"/>
        <v>134103</v>
      </c>
      <c r="J109" s="33" t="s">
        <v>13</v>
      </c>
      <c r="K109" s="33"/>
      <c r="L109" s="33">
        <v>0</v>
      </c>
      <c r="M109" s="33">
        <v>1</v>
      </c>
      <c r="N109" s="33"/>
      <c r="O109" s="33">
        <v>1</v>
      </c>
      <c r="P109" s="33">
        <f>VLOOKUP($C109,CHOOSE({1,2},怪物并表!$E$7:$E$1000,怪物并表!$D$7:$D$1000),2,FALSE)</f>
        <v>23</v>
      </c>
      <c r="Q109" s="33" t="s">
        <v>13</v>
      </c>
      <c r="R109" s="33">
        <f>VLOOKUP(Q109,怪物信息配置表!$A$2:$B$118,2,FALSE)</f>
        <v>1007</v>
      </c>
      <c r="S109" s="33">
        <v>1</v>
      </c>
      <c r="T109" s="49">
        <f>VLOOKUP($C109,怪物并表!$E$7:$N$1000,2+($D109-1)*3,FALSE)*S109*AJ109</f>
        <v>11400.405805091281</v>
      </c>
      <c r="U109" s="49">
        <f>VLOOKUP($C109,怪物并表!$E$7:$N$1000,3+($D109-1)*3,FALSE)*S109*AK109</f>
        <v>656.41395125097995</v>
      </c>
      <c r="V109" s="49">
        <f>VLOOKUP($C109,怪物并表!$E$7:$N$1000,4+($D109-1)*3,FALSE)*S109*AL109</f>
        <v>355.05421806020081</v>
      </c>
      <c r="W109" s="33"/>
      <c r="X109" s="33"/>
      <c r="Y109" s="49">
        <f>VLOOKUP($C109,怪物并表!$E$7:$P$1000,12,FALSE)</f>
        <v>0</v>
      </c>
      <c r="Z109" s="49">
        <f>VLOOKUP($C109,怪物并表!$E$7:$P$1000,11,FALSE)*S109</f>
        <v>1680.8440000000001</v>
      </c>
      <c r="AA109" s="33"/>
      <c r="AB109" s="33"/>
      <c r="AC109" s="33"/>
      <c r="AD109" s="33">
        <f t="shared" si="17"/>
        <v>1</v>
      </c>
      <c r="AE109" s="2">
        <f t="shared" si="12"/>
        <v>726.875</v>
      </c>
      <c r="AF109" s="2" t="str">
        <f>IF(ISBLANK(AM109),IF(O109=6,"",IF(O109=1,VLOOKUP(R109,怪物信息配置表!B:H,5,FALSE),IF(O109=2,VLOOKUP(R109,怪物信息配置表!B:H,6,FALSE),IF(OR(O109=3,O109=5),VLOOKUP(R109,怪物信息配置表!B:H,7,FALSE),"")))),AM109)</f>
        <v>ai_monster_03</v>
      </c>
      <c r="AG109" s="2"/>
      <c r="AH109" s="15">
        <f>SUMPRODUCT(T109:V109,$AN$3:$AP$3)+ROUNDDOWN(VLOOKUP(P109,CHOOSE({1,2},'[1]消耗&amp;价值&amp;分析'!$C$7:$C$106,'[1]消耗&amp;价值&amp;分析'!$AS$7:$AS$106),2,FALSE)*0.6,0)</f>
        <v>1953.4844015148321</v>
      </c>
      <c r="AJ109" s="80">
        <v>1</v>
      </c>
      <c r="AK109" s="80">
        <v>1</v>
      </c>
      <c r="AL109" s="80">
        <v>1</v>
      </c>
    </row>
    <row r="110" spans="1:38">
      <c r="A110" s="33" t="str">
        <f>怪物并表!$R$7</f>
        <v>普通副本</v>
      </c>
      <c r="B110" s="38">
        <v>4</v>
      </c>
      <c r="C110" s="33">
        <f t="shared" si="18"/>
        <v>3004</v>
      </c>
      <c r="D110" s="33">
        <v>3</v>
      </c>
      <c r="E110" s="33">
        <f>VLOOKUP(A110,怪物并表!$R$7:$S$14,2,FALSE)</f>
        <v>1</v>
      </c>
      <c r="F110" s="38">
        <v>3</v>
      </c>
      <c r="G110" s="38">
        <v>4</v>
      </c>
      <c r="H110" s="38">
        <v>1</v>
      </c>
      <c r="I110" s="33">
        <f t="shared" si="19"/>
        <v>134104</v>
      </c>
      <c r="J110" s="33" t="s">
        <v>679</v>
      </c>
      <c r="K110" s="33"/>
      <c r="L110" s="33">
        <v>1</v>
      </c>
      <c r="M110" s="33">
        <v>1.2</v>
      </c>
      <c r="N110" s="33"/>
      <c r="O110" s="33">
        <v>3</v>
      </c>
      <c r="P110" s="33">
        <f>VLOOKUP($C110,CHOOSE({1,2},怪物并表!$E$7:$E$1000,怪物并表!$D$7:$D$1000),2,FALSE)</f>
        <v>23</v>
      </c>
      <c r="Q110" s="33" t="s">
        <v>18</v>
      </c>
      <c r="R110" s="33">
        <f>VLOOKUP(Q110,怪物信息配置表!$A$2:$B$118,2,FALSE)</f>
        <v>1006</v>
      </c>
      <c r="S110" s="33">
        <v>1</v>
      </c>
      <c r="T110" s="49">
        <f>VLOOKUP($C110,怪物并表!$E$7:$N$1000,2+($D110-1)*3,FALSE)*S110*AJ110</f>
        <v>28501.014512728201</v>
      </c>
      <c r="U110" s="49">
        <f>VLOOKUP($C110,怪物并表!$E$7:$N$1000,3+($D110-1)*3,FALSE)*S110*AK110</f>
        <v>716.68589788913573</v>
      </c>
      <c r="V110" s="49">
        <f>VLOOKUP($C110,怪物并表!$E$7:$N$1000,4+($D110-1)*3,FALSE)*S110*AL110</f>
        <v>443.81777257525096</v>
      </c>
      <c r="W110" s="33"/>
      <c r="X110" s="33"/>
      <c r="Y110" s="49">
        <f>VLOOKUP($C110,怪物并表!$E$7:$P$1000,12,FALSE)</f>
        <v>0</v>
      </c>
      <c r="Z110" s="49">
        <f>VLOOKUP($C110,怪物并表!$E$7:$P$1000,11,FALSE)*S110</f>
        <v>1680.8440000000001</v>
      </c>
      <c r="AA110" s="33"/>
      <c r="AB110" s="33"/>
      <c r="AC110" s="33"/>
      <c r="AD110" s="33">
        <f t="shared" si="17"/>
        <v>1.5</v>
      </c>
      <c r="AE110" s="2">
        <f t="shared" si="12"/>
        <v>590.3125</v>
      </c>
      <c r="AF110" s="2" t="str">
        <f>IF(ISBLANK(AM110),IF(O110=6,"",IF(O110=1,VLOOKUP(R110,怪物信息配置表!B:H,5,FALSE),IF(O110=2,VLOOKUP(R110,怪物信息配置表!B:H,6,FALSE),IF(OR(O110=3,O110=5),VLOOKUP(R110,怪物信息配置表!B:H,7,FALSE),"")))),AM110)</f>
        <v>1006_jingcha_BOSS</v>
      </c>
      <c r="AG110" s="2"/>
      <c r="AH110" s="15">
        <f>SUMPRODUCT(T110:V110,$AN$3:$AP$3)+ROUNDDOWN(VLOOKUP(P110,CHOOSE({1,2},'[1]消耗&amp;价值&amp;分析'!$C$7:$C$106,'[1]消耗&amp;价值&amp;分析'!$AS$7:$AS$106),2,FALSE)*0.6,0)</f>
        <v>2786.5442509735149</v>
      </c>
      <c r="AJ110" s="80">
        <v>1</v>
      </c>
      <c r="AK110" s="80">
        <v>1</v>
      </c>
      <c r="AL110" s="80">
        <v>1</v>
      </c>
    </row>
    <row r="111" spans="1:38">
      <c r="A111" s="33" t="str">
        <f>怪物并表!$R$7</f>
        <v>普通副本</v>
      </c>
      <c r="B111" s="38">
        <v>1</v>
      </c>
      <c r="C111" s="33">
        <f t="shared" si="18"/>
        <v>3005</v>
      </c>
      <c r="D111" s="33">
        <v>1</v>
      </c>
      <c r="E111" s="33">
        <f>VLOOKUP(A111,怪物并表!$R$7:$S$14,2,FALSE)</f>
        <v>1</v>
      </c>
      <c r="F111" s="38">
        <v>3</v>
      </c>
      <c r="G111" s="38">
        <v>5</v>
      </c>
      <c r="H111" s="38">
        <v>1</v>
      </c>
      <c r="I111" s="33">
        <f t="shared" si="19"/>
        <v>135101</v>
      </c>
      <c r="J111" s="33" t="s">
        <v>472</v>
      </c>
      <c r="K111" s="33"/>
      <c r="L111" s="33">
        <v>0</v>
      </c>
      <c r="M111" s="33">
        <v>1</v>
      </c>
      <c r="N111" s="33"/>
      <c r="O111" s="33">
        <v>1</v>
      </c>
      <c r="P111" s="33">
        <f>VLOOKUP($C111,CHOOSE({1,2},怪物并表!$E$7:$E$1000,怪物并表!$D$7:$D$1000),2,FALSE)</f>
        <v>24</v>
      </c>
      <c r="Q111" s="33" t="s">
        <v>10</v>
      </c>
      <c r="R111" s="33">
        <f>VLOOKUP(Q111,怪物信息配置表!$A$2:$B$118,2,FALSE)</f>
        <v>1001</v>
      </c>
      <c r="S111" s="33">
        <v>1</v>
      </c>
      <c r="T111" s="49">
        <f>VLOOKUP($C111,怪物并表!$E$7:$N$1000,2+($D111-1)*3,FALSE)*S111*AJ111</f>
        <v>12784.890390334218</v>
      </c>
      <c r="U111" s="49">
        <f>VLOOKUP($C111,怪物并表!$E$7:$N$1000,3+($D111-1)*3,FALSE)*S111*AK111</f>
        <v>732.843169352671</v>
      </c>
      <c r="V111" s="49">
        <f>VLOOKUP($C111,怪物并表!$E$7:$N$1000,4+($D111-1)*3,FALSE)*S111*AL111</f>
        <v>390.22666488294317</v>
      </c>
      <c r="W111" s="33"/>
      <c r="X111" s="33"/>
      <c r="Y111" s="49">
        <f>VLOOKUP($C111,怪物并表!$E$7:$P$1000,12,FALSE)</f>
        <v>0</v>
      </c>
      <c r="Z111" s="49">
        <f>VLOOKUP($C111,怪物并表!$E$7:$P$1000,11,FALSE)*S111</f>
        <v>1739.0720000000001</v>
      </c>
      <c r="AA111" s="33"/>
      <c r="AB111" s="33"/>
      <c r="AC111" s="33"/>
      <c r="AD111" s="33">
        <f t="shared" si="17"/>
        <v>1</v>
      </c>
      <c r="AE111" s="2">
        <f t="shared" si="12"/>
        <v>715</v>
      </c>
      <c r="AF111" s="2" t="str">
        <f>IF(ISBLANK(AM111),IF(O111=6,"",IF(O111=1,VLOOKUP(R111,怪物信息配置表!B:H,5,FALSE),IF(O111=2,VLOOKUP(R111,怪物信息配置表!B:H,6,FALSE),IF(OR(O111=3,O111=5),VLOOKUP(R111,怪物信息配置表!B:H,7,FALSE),"")))),AM111)</f>
        <v>ai_monster</v>
      </c>
      <c r="AG111" s="2"/>
      <c r="AH111" s="15">
        <f>SUMPRODUCT(T111:V111,$AN$3:$AP$3)+ROUNDDOWN(VLOOKUP(P111,CHOOSE({1,2},'[1]消耗&amp;价值&amp;分析'!$C$7:$C$106,'[1]消耗&amp;价值&amp;分析'!$AS$7:$AS$106),2,FALSE)*0.6,0)</f>
        <v>2180.4654498489826</v>
      </c>
      <c r="AJ111" s="80">
        <v>1</v>
      </c>
      <c r="AK111" s="80">
        <v>1</v>
      </c>
      <c r="AL111" s="80">
        <v>1</v>
      </c>
    </row>
    <row r="112" spans="1:38">
      <c r="A112" s="33" t="str">
        <f>怪物并表!$R$7</f>
        <v>普通副本</v>
      </c>
      <c r="B112" s="38">
        <v>2</v>
      </c>
      <c r="C112" s="33">
        <f t="shared" si="18"/>
        <v>3005</v>
      </c>
      <c r="D112" s="33">
        <v>2</v>
      </c>
      <c r="E112" s="33">
        <f>VLOOKUP(A112,怪物并表!$R$7:$S$14,2,FALSE)</f>
        <v>1</v>
      </c>
      <c r="F112" s="38">
        <v>3</v>
      </c>
      <c r="G112" s="38">
        <v>5</v>
      </c>
      <c r="H112" s="38">
        <v>1</v>
      </c>
      <c r="I112" s="33">
        <f t="shared" si="19"/>
        <v>135102</v>
      </c>
      <c r="J112" s="33" t="s">
        <v>36</v>
      </c>
      <c r="K112" s="33"/>
      <c r="L112" s="33">
        <v>0</v>
      </c>
      <c r="M112" s="33">
        <v>1</v>
      </c>
      <c r="N112" s="33" t="s">
        <v>218</v>
      </c>
      <c r="O112" s="33">
        <v>1</v>
      </c>
      <c r="P112" s="33">
        <f>VLOOKUP($C112,CHOOSE({1,2},怪物并表!$E$7:$E$1000,怪物并表!$D$7:$D$1000),2,FALSE)</f>
        <v>24</v>
      </c>
      <c r="Q112" s="33" t="s">
        <v>9</v>
      </c>
      <c r="R112" s="33">
        <f>VLOOKUP(Q112,怪物信息配置表!$A$2:$B$118,2,FALSE)</f>
        <v>1003</v>
      </c>
      <c r="S112" s="33">
        <v>1</v>
      </c>
      <c r="T112" s="49">
        <f>VLOOKUP($C112,怪物并表!$E$7:$N$1000,2+($D112-1)*3,FALSE)*S112*AJ112</f>
        <v>10227.912312267375</v>
      </c>
      <c r="U112" s="49">
        <f>VLOOKUP($C112,怪物并表!$E$7:$N$1000,3+($D112-1)*3,FALSE)*S112*AK112</f>
        <v>698.5815189056982</v>
      </c>
      <c r="V112" s="49">
        <f>VLOOKUP($C112,怪物并表!$E$7:$N$1000,4+($D112-1)*3,FALSE)*S112*AL112</f>
        <v>292.66999866220738</v>
      </c>
      <c r="W112" s="33"/>
      <c r="X112" s="33"/>
      <c r="Y112" s="49">
        <f>VLOOKUP($C112,怪物并表!$E$7:$P$1000,12,FALSE)</f>
        <v>0</v>
      </c>
      <c r="Z112" s="49">
        <f>VLOOKUP($C112,怪物并表!$E$7:$P$1000,11,FALSE)*S112</f>
        <v>1739.0720000000001</v>
      </c>
      <c r="AA112" s="33"/>
      <c r="AB112" s="33"/>
      <c r="AC112" s="33"/>
      <c r="AD112" s="33">
        <f t="shared" si="17"/>
        <v>0.8</v>
      </c>
      <c r="AE112" s="2">
        <f t="shared" si="12"/>
        <v>772</v>
      </c>
      <c r="AF112" s="2" t="str">
        <f>IF(ISBLANK(AM112),IF(O112=6,"",IF(O112=1,VLOOKUP(R112,怪物信息配置表!B:H,5,FALSE),IF(O112=2,VLOOKUP(R112,怪物信息配置表!B:H,6,FALSE),IF(OR(O112=3,O112=5),VLOOKUP(R112,怪物信息配置表!B:H,7,FALSE),"")))),AM112)</f>
        <v>ai_monster_02</v>
      </c>
      <c r="AG112" s="2"/>
      <c r="AH112" s="15">
        <f>SUMPRODUCT(T112:V112,$AN$3:$AP$3)+ROUNDDOWN(VLOOKUP(P112,CHOOSE({1,2},'[1]消耗&amp;价值&amp;分析'!$C$7:$C$106,'[1]消耗&amp;价值&amp;分析'!$AS$7:$AS$106),2,FALSE)*0.6,0)</f>
        <v>1946.3680100586007</v>
      </c>
      <c r="AJ112" s="80">
        <v>1</v>
      </c>
      <c r="AK112" s="80">
        <v>1</v>
      </c>
      <c r="AL112" s="80">
        <v>1</v>
      </c>
    </row>
    <row r="113" spans="1:38">
      <c r="A113" s="33" t="str">
        <f>怪物并表!$R$7</f>
        <v>普通副本</v>
      </c>
      <c r="B113" s="38">
        <v>3</v>
      </c>
      <c r="C113" s="33">
        <f t="shared" si="18"/>
        <v>3005</v>
      </c>
      <c r="D113" s="33">
        <v>2</v>
      </c>
      <c r="E113" s="33">
        <f>VLOOKUP(A113,怪物并表!$R$7:$S$14,2,FALSE)</f>
        <v>1</v>
      </c>
      <c r="F113" s="38">
        <v>3</v>
      </c>
      <c r="G113" s="38">
        <v>5</v>
      </c>
      <c r="H113" s="38">
        <v>1</v>
      </c>
      <c r="I113" s="33">
        <f t="shared" si="19"/>
        <v>135103</v>
      </c>
      <c r="J113" s="33" t="s">
        <v>466</v>
      </c>
      <c r="K113" s="33"/>
      <c r="L113" s="33">
        <v>0</v>
      </c>
      <c r="M113" s="33">
        <v>1</v>
      </c>
      <c r="N113" s="33"/>
      <c r="O113" s="33">
        <v>1</v>
      </c>
      <c r="P113" s="33">
        <f>VLOOKUP($C113,CHOOSE({1,2},怪物并表!$E$7:$E$1000,怪物并表!$D$7:$D$1000),2,FALSE)</f>
        <v>24</v>
      </c>
      <c r="Q113" s="33" t="s">
        <v>14</v>
      </c>
      <c r="R113" s="33">
        <f>VLOOKUP(Q113,怪物信息配置表!$A$2:$B$118,2,FALSE)</f>
        <v>1010</v>
      </c>
      <c r="S113" s="33">
        <v>1</v>
      </c>
      <c r="T113" s="49">
        <f>VLOOKUP($C113,怪物并表!$E$7:$N$1000,2+($D113-1)*3,FALSE)*S113*AJ113</f>
        <v>10227.912312267375</v>
      </c>
      <c r="U113" s="49">
        <f>VLOOKUP($C113,怪物并表!$E$7:$N$1000,3+($D113-1)*3,FALSE)*S113*AK113</f>
        <v>698.5815189056982</v>
      </c>
      <c r="V113" s="49">
        <f>VLOOKUP($C113,怪物并表!$E$7:$N$1000,4+($D113-1)*3,FALSE)*S113*AL113</f>
        <v>292.66999866220738</v>
      </c>
      <c r="W113" s="33"/>
      <c r="X113" s="33"/>
      <c r="Y113" s="49">
        <f>VLOOKUP($C113,怪物并表!$E$7:$P$1000,12,FALSE)</f>
        <v>0</v>
      </c>
      <c r="Z113" s="49">
        <f>VLOOKUP($C113,怪物并表!$E$7:$P$1000,11,FALSE)*S113</f>
        <v>1739.0720000000001</v>
      </c>
      <c r="AA113" s="33"/>
      <c r="AB113" s="33"/>
      <c r="AC113" s="33"/>
      <c r="AD113" s="33">
        <f t="shared" si="17"/>
        <v>0.8</v>
      </c>
      <c r="AE113" s="2">
        <f t="shared" si="12"/>
        <v>772</v>
      </c>
      <c r="AF113" s="2" t="str">
        <f>IF(ISBLANK(AM113),IF(O113=6,"",IF(O113=1,VLOOKUP(R113,怪物信息配置表!B:H,5,FALSE),IF(O113=2,VLOOKUP(R113,怪物信息配置表!B:H,6,FALSE),IF(OR(O113=3,O113=5),VLOOKUP(R113,怪物信息配置表!B:H,7,FALSE),"")))),AM113)</f>
        <v>ai_monster</v>
      </c>
      <c r="AG113" s="2"/>
      <c r="AH113" s="15">
        <f>SUMPRODUCT(T113:V113,$AN$3:$AP$3)+ROUNDDOWN(VLOOKUP(P113,CHOOSE({1,2},'[1]消耗&amp;价值&amp;分析'!$C$7:$C$106,'[1]消耗&amp;价值&amp;分析'!$AS$7:$AS$106),2,FALSE)*0.6,0)</f>
        <v>1946.3680100586007</v>
      </c>
      <c r="AJ113" s="80">
        <v>1</v>
      </c>
      <c r="AK113" s="80">
        <v>1</v>
      </c>
      <c r="AL113" s="80">
        <v>1</v>
      </c>
    </row>
    <row r="114" spans="1:38">
      <c r="A114" s="33" t="str">
        <f>怪物并表!$R$7</f>
        <v>普通副本</v>
      </c>
      <c r="B114" s="38">
        <v>4</v>
      </c>
      <c r="C114" s="33">
        <f t="shared" si="18"/>
        <v>3005</v>
      </c>
      <c r="D114" s="33">
        <v>3</v>
      </c>
      <c r="E114" s="33">
        <f>VLOOKUP(A114,怪物并表!$R$7:$S$14,2,FALSE)</f>
        <v>1</v>
      </c>
      <c r="F114" s="38">
        <v>3</v>
      </c>
      <c r="G114" s="38">
        <v>5</v>
      </c>
      <c r="H114" s="38">
        <v>1</v>
      </c>
      <c r="I114" s="33">
        <f t="shared" si="19"/>
        <v>135104</v>
      </c>
      <c r="J114" s="33" t="s">
        <v>419</v>
      </c>
      <c r="K114" s="33"/>
      <c r="L114" s="33">
        <v>1</v>
      </c>
      <c r="M114" s="33">
        <v>1.2</v>
      </c>
      <c r="N114" s="33"/>
      <c r="O114" s="33">
        <v>3</v>
      </c>
      <c r="P114" s="33">
        <f>VLOOKUP($C114,CHOOSE({1,2},怪物并表!$E$7:$E$1000,怪物并表!$D$7:$D$1000),2,FALSE)</f>
        <v>24</v>
      </c>
      <c r="Q114" s="33" t="s">
        <v>11</v>
      </c>
      <c r="R114" s="33">
        <f>VLOOKUP(Q114,怪物信息配置表!$A$2:$B$118,2,FALSE)</f>
        <v>1011</v>
      </c>
      <c r="S114" s="33">
        <v>1</v>
      </c>
      <c r="T114" s="49">
        <f>VLOOKUP($C114,怪物并表!$E$7:$N$1000,2+($D114-1)*3,FALSE)*S114*AJ114</f>
        <v>31962.225975835543</v>
      </c>
      <c r="U114" s="49">
        <f>VLOOKUP($C114,怪物并表!$E$7:$N$1000,3+($D114-1)*3,FALSE)*S114*AK114</f>
        <v>801.36647024661647</v>
      </c>
      <c r="V114" s="49">
        <f>VLOOKUP($C114,怪物并表!$E$7:$N$1000,4+($D114-1)*3,FALSE)*S114*AL114</f>
        <v>487.78333110367896</v>
      </c>
      <c r="W114" s="33"/>
      <c r="X114" s="33"/>
      <c r="Y114" s="49">
        <f>VLOOKUP($C114,怪物并表!$E$7:$P$1000,12,FALSE)</f>
        <v>0</v>
      </c>
      <c r="Z114" s="49">
        <f>VLOOKUP($C114,怪物并表!$E$7:$P$1000,11,FALSE)*S114</f>
        <v>1739.0720000000001</v>
      </c>
      <c r="AA114" s="33"/>
      <c r="AB114" s="33"/>
      <c r="AC114" s="33"/>
      <c r="AD114" s="33">
        <f t="shared" si="17"/>
        <v>1.5</v>
      </c>
      <c r="AE114" s="2">
        <f t="shared" si="12"/>
        <v>572.5</v>
      </c>
      <c r="AF114" s="2" t="str">
        <f>IF(ISBLANK(AM114),IF(O114=6,"",IF(O114=1,VLOOKUP(R114,怪物信息配置表!B:H,5,FALSE),IF(O114=2,VLOOKUP(R114,怪物信息配置表!B:H,6,FALSE),IF(OR(O114=3,O114=5),VLOOKUP(R114,怪物信息配置表!B:H,7,FALSE),"")))),AM114)</f>
        <v>1011_jichenan_BOSS</v>
      </c>
      <c r="AG114" s="2"/>
      <c r="AH114" s="15">
        <f>SUMPRODUCT(T114:V114,$AN$3:$AP$3)+ROUNDDOWN(VLOOKUP(P114,CHOOSE({1,2},'[1]消耗&amp;价值&amp;分析'!$C$7:$C$106,'[1]消耗&amp;价值&amp;分析'!$AS$7:$AS$106),2,FALSE)*0.6,0)</f>
        <v>3113.6388403837168</v>
      </c>
      <c r="AJ114" s="80">
        <v>1</v>
      </c>
      <c r="AK114" s="80">
        <v>1</v>
      </c>
      <c r="AL114" s="80">
        <v>1</v>
      </c>
    </row>
    <row r="115" spans="1:38">
      <c r="A115" s="33" t="str">
        <f>怪物并表!$R$7</f>
        <v>普通副本</v>
      </c>
      <c r="B115" s="38">
        <v>1</v>
      </c>
      <c r="C115" s="33">
        <f t="shared" si="18"/>
        <v>3006</v>
      </c>
      <c r="D115" s="33">
        <v>1</v>
      </c>
      <c r="E115" s="33">
        <f>VLOOKUP(A115,怪物并表!$R$7:$S$14,2,FALSE)</f>
        <v>1</v>
      </c>
      <c r="F115" s="38">
        <v>3</v>
      </c>
      <c r="G115" s="38">
        <v>6</v>
      </c>
      <c r="H115" s="38">
        <v>1</v>
      </c>
      <c r="I115" s="33">
        <f t="shared" si="19"/>
        <v>136101</v>
      </c>
      <c r="J115" s="33" t="s">
        <v>473</v>
      </c>
      <c r="K115" s="33"/>
      <c r="L115" s="33">
        <v>0</v>
      </c>
      <c r="M115" s="33">
        <v>1</v>
      </c>
      <c r="N115" s="33"/>
      <c r="O115" s="33">
        <v>1</v>
      </c>
      <c r="P115" s="33">
        <f>VLOOKUP($C115,CHOOSE({1,2},怪物并表!$E$7:$E$1000,怪物并表!$D$7:$D$1000),2,FALSE)</f>
        <v>25</v>
      </c>
      <c r="Q115" s="33" t="s">
        <v>367</v>
      </c>
      <c r="R115" s="33">
        <f>VLOOKUP(Q115,怪物信息配置表!$A$2:$B$118,2,FALSE)</f>
        <v>1008</v>
      </c>
      <c r="S115" s="33">
        <v>1</v>
      </c>
      <c r="T115" s="49">
        <f>VLOOKUP($C115,怪物并表!$E$7:$N$1000,2+($D115-1)*3,FALSE)*S115*AJ115</f>
        <v>14261.047881556851</v>
      </c>
      <c r="U115" s="49">
        <f>VLOOKUP($C115,怪物并表!$E$7:$N$1000,3+($D115-1)*3,FALSE)*S115*AK115</f>
        <v>814.24303702291991</v>
      </c>
      <c r="V115" s="49">
        <f>VLOOKUP($C115,怪物并表!$E$7:$N$1000,4+($D115-1)*3,FALSE)*S115*AL115</f>
        <v>426.83518394648843</v>
      </c>
      <c r="W115" s="33"/>
      <c r="X115" s="33"/>
      <c r="Y115" s="49">
        <f>VLOOKUP($C115,怪物并表!$E$7:$P$1000,12,FALSE)</f>
        <v>0</v>
      </c>
      <c r="Z115" s="49">
        <f>VLOOKUP($C115,怪物并表!$E$7:$P$1000,11,FALSE)*S115</f>
        <v>1797.3000000000002</v>
      </c>
      <c r="AA115" s="33"/>
      <c r="AB115" s="33"/>
      <c r="AC115" s="33"/>
      <c r="AD115" s="33">
        <f t="shared" si="17"/>
        <v>1</v>
      </c>
      <c r="AE115" s="2">
        <f t="shared" si="12"/>
        <v>703.125</v>
      </c>
      <c r="AF115" s="2" t="str">
        <f>IF(ISBLANK(AM115),IF(O115=6,"",IF(O115=1,VLOOKUP(R115,怪物信息配置表!B:H,5,FALSE),IF(O115=2,VLOOKUP(R115,怪物信息配置表!B:H,6,FALSE),IF(OR(O115=3,O115=5),VLOOKUP(R115,怪物信息配置表!B:H,7,FALSE),"")))),AM115)</f>
        <v>ai_monster</v>
      </c>
      <c r="AG115" s="2"/>
      <c r="AH115" s="15">
        <f>SUMPRODUCT(T115:V115,$AN$3:$AP$3)+ROUNDDOWN(VLOOKUP(P115,CHOOSE({1,2},'[1]消耗&amp;价值&amp;分析'!$C$7:$C$106,'[1]消耗&amp;价值&amp;分析'!$AS$7:$AS$106),2,FALSE)*0.6,0)</f>
        <v>2388.5201362316825</v>
      </c>
      <c r="AJ115" s="80">
        <v>1</v>
      </c>
      <c r="AK115" s="80">
        <v>1</v>
      </c>
      <c r="AL115" s="80">
        <v>1</v>
      </c>
    </row>
    <row r="116" spans="1:38">
      <c r="A116" s="33" t="str">
        <f>怪物并表!$R$7</f>
        <v>普通副本</v>
      </c>
      <c r="B116" s="38">
        <v>2</v>
      </c>
      <c r="C116" s="33">
        <f t="shared" si="18"/>
        <v>3006</v>
      </c>
      <c r="D116" s="33">
        <v>1</v>
      </c>
      <c r="E116" s="33">
        <f>VLOOKUP(A116,怪物并表!$R$7:$S$14,2,FALSE)</f>
        <v>1</v>
      </c>
      <c r="F116" s="38">
        <v>3</v>
      </c>
      <c r="G116" s="38">
        <v>6</v>
      </c>
      <c r="H116" s="38">
        <v>1</v>
      </c>
      <c r="I116" s="33">
        <f t="shared" si="19"/>
        <v>136102</v>
      </c>
      <c r="J116" s="33" t="s">
        <v>15</v>
      </c>
      <c r="K116" s="33"/>
      <c r="L116" s="33">
        <v>0</v>
      </c>
      <c r="M116" s="33">
        <v>1</v>
      </c>
      <c r="N116" s="33"/>
      <c r="O116" s="33">
        <v>1</v>
      </c>
      <c r="P116" s="33">
        <f>VLOOKUP($C116,CHOOSE({1,2},怪物并表!$E$7:$E$1000,怪物并表!$D$7:$D$1000),2,FALSE)</f>
        <v>25</v>
      </c>
      <c r="Q116" s="33" t="s">
        <v>15</v>
      </c>
      <c r="R116" s="33">
        <f>VLOOKUP(Q116,怪物信息配置表!$A$2:$B$118,2,FALSE)</f>
        <v>1004</v>
      </c>
      <c r="S116" s="33">
        <v>1</v>
      </c>
      <c r="T116" s="49">
        <f>VLOOKUP($C116,怪物并表!$E$7:$N$1000,2+($D116-1)*3,FALSE)*S116*AJ116</f>
        <v>14261.047881556851</v>
      </c>
      <c r="U116" s="49">
        <f>VLOOKUP($C116,怪物并表!$E$7:$N$1000,3+($D116-1)*3,FALSE)*S116*AK116</f>
        <v>814.24303702291991</v>
      </c>
      <c r="V116" s="49">
        <f>VLOOKUP($C116,怪物并表!$E$7:$N$1000,4+($D116-1)*3,FALSE)*S116*AL116</f>
        <v>426.83518394648843</v>
      </c>
      <c r="W116" s="33"/>
      <c r="X116" s="33"/>
      <c r="Y116" s="49">
        <f>VLOOKUP($C116,怪物并表!$E$7:$P$1000,12,FALSE)</f>
        <v>0</v>
      </c>
      <c r="Z116" s="49">
        <f>VLOOKUP($C116,怪物并表!$E$7:$P$1000,11,FALSE)*S116</f>
        <v>1797.3000000000002</v>
      </c>
      <c r="AA116" s="33"/>
      <c r="AB116" s="33"/>
      <c r="AC116" s="33"/>
      <c r="AD116" s="33">
        <f t="shared" si="17"/>
        <v>1</v>
      </c>
      <c r="AE116" s="2">
        <f t="shared" si="12"/>
        <v>703.125</v>
      </c>
      <c r="AF116" s="2" t="str">
        <f>IF(ISBLANK(AM116),IF(O116=6,"",IF(O116=1,VLOOKUP(R116,怪物信息配置表!B:H,5,FALSE),IF(O116=2,VLOOKUP(R116,怪物信息配置表!B:H,6,FALSE),IF(OR(O116=3,O116=5),VLOOKUP(R116,怪物信息配置表!B:H,7,FALSE),"")))),AM116)</f>
        <v>ai_monster</v>
      </c>
      <c r="AG116" s="2"/>
      <c r="AH116" s="15">
        <f>SUMPRODUCT(T116:V116,$AN$3:$AP$3)+ROUNDDOWN(VLOOKUP(P116,CHOOSE({1,2},'[1]消耗&amp;价值&amp;分析'!$C$7:$C$106,'[1]消耗&amp;价值&amp;分析'!$AS$7:$AS$106),2,FALSE)*0.6,0)</f>
        <v>2388.5201362316825</v>
      </c>
      <c r="AJ116" s="80">
        <v>1</v>
      </c>
      <c r="AK116" s="80">
        <v>1</v>
      </c>
      <c r="AL116" s="80">
        <v>1</v>
      </c>
    </row>
    <row r="117" spans="1:38">
      <c r="A117" s="33" t="str">
        <f>怪物并表!$R$7</f>
        <v>普通副本</v>
      </c>
      <c r="B117" s="38">
        <v>3</v>
      </c>
      <c r="C117" s="33">
        <f t="shared" si="18"/>
        <v>3006</v>
      </c>
      <c r="D117" s="33">
        <v>1</v>
      </c>
      <c r="E117" s="33">
        <f>VLOOKUP(A117,怪物并表!$R$7:$S$14,2,FALSE)</f>
        <v>1</v>
      </c>
      <c r="F117" s="38">
        <v>3</v>
      </c>
      <c r="G117" s="38">
        <v>6</v>
      </c>
      <c r="H117" s="38">
        <v>1</v>
      </c>
      <c r="I117" s="33">
        <f t="shared" si="19"/>
        <v>136103</v>
      </c>
      <c r="J117" s="33" t="s">
        <v>590</v>
      </c>
      <c r="K117" s="33"/>
      <c r="L117" s="33">
        <v>0</v>
      </c>
      <c r="M117" s="33">
        <v>1</v>
      </c>
      <c r="N117" s="33" t="s">
        <v>215</v>
      </c>
      <c r="O117" s="33">
        <v>1</v>
      </c>
      <c r="P117" s="33">
        <f>VLOOKUP($C117,CHOOSE({1,2},怪物并表!$E$7:$E$1000,怪物并表!$D$7:$D$1000),2,FALSE)</f>
        <v>25</v>
      </c>
      <c r="Q117" s="33" t="s">
        <v>10</v>
      </c>
      <c r="R117" s="33">
        <f>VLOOKUP(Q117,怪物信息配置表!$A$2:$B$118,2,FALSE)</f>
        <v>1001</v>
      </c>
      <c r="S117" s="33">
        <v>1</v>
      </c>
      <c r="T117" s="49">
        <f>VLOOKUP($C117,怪物并表!$E$7:$N$1000,2+($D117-1)*3,FALSE)*S117*AJ117</f>
        <v>14261.047881556851</v>
      </c>
      <c r="U117" s="49">
        <f>VLOOKUP($C117,怪物并表!$E$7:$N$1000,3+($D117-1)*3,FALSE)*S117*AK117</f>
        <v>814.24303702291991</v>
      </c>
      <c r="V117" s="49">
        <f>VLOOKUP($C117,怪物并表!$E$7:$N$1000,4+($D117-1)*3,FALSE)*S117*AL117</f>
        <v>426.83518394648843</v>
      </c>
      <c r="W117" s="33"/>
      <c r="X117" s="33"/>
      <c r="Y117" s="49">
        <f>VLOOKUP($C117,怪物并表!$E$7:$P$1000,12,FALSE)</f>
        <v>0</v>
      </c>
      <c r="Z117" s="49">
        <f>VLOOKUP($C117,怪物并表!$E$7:$P$1000,11,FALSE)*S117</f>
        <v>1797.3000000000002</v>
      </c>
      <c r="AA117" s="33"/>
      <c r="AB117" s="33"/>
      <c r="AC117" s="33"/>
      <c r="AD117" s="33">
        <f t="shared" si="17"/>
        <v>1</v>
      </c>
      <c r="AE117" s="2">
        <f t="shared" si="12"/>
        <v>703.125</v>
      </c>
      <c r="AF117" s="2" t="str">
        <f>IF(ISBLANK(AM117),IF(O117=6,"",IF(O117=1,VLOOKUP(R117,怪物信息配置表!B:H,5,FALSE),IF(O117=2,VLOOKUP(R117,怪物信息配置表!B:H,6,FALSE),IF(OR(O117=3,O117=5),VLOOKUP(R117,怪物信息配置表!B:H,7,FALSE),"")))),AM117)</f>
        <v>ai_monster</v>
      </c>
      <c r="AG117" s="2"/>
      <c r="AH117" s="15">
        <f>SUMPRODUCT(T117:V117,$AN$3:$AP$3)+ROUNDDOWN(VLOOKUP(P117,CHOOSE({1,2},'[1]消耗&amp;价值&amp;分析'!$C$7:$C$106,'[1]消耗&amp;价值&amp;分析'!$AS$7:$AS$106),2,FALSE)*0.6,0)</f>
        <v>2388.5201362316825</v>
      </c>
      <c r="AJ117" s="80">
        <v>1</v>
      </c>
      <c r="AK117" s="80">
        <v>1</v>
      </c>
      <c r="AL117" s="80">
        <v>1</v>
      </c>
    </row>
    <row r="118" spans="1:38">
      <c r="A118" s="33" t="str">
        <f>怪物并表!$R$7</f>
        <v>普通副本</v>
      </c>
      <c r="B118" s="38">
        <v>4</v>
      </c>
      <c r="C118" s="33">
        <f t="shared" si="18"/>
        <v>3006</v>
      </c>
      <c r="D118" s="33">
        <v>3</v>
      </c>
      <c r="E118" s="33">
        <f>VLOOKUP(A118,怪物并表!$R$7:$S$14,2,FALSE)</f>
        <v>1</v>
      </c>
      <c r="F118" s="38">
        <v>3</v>
      </c>
      <c r="G118" s="38">
        <v>6</v>
      </c>
      <c r="H118" s="38">
        <v>1</v>
      </c>
      <c r="I118" s="33">
        <f t="shared" si="19"/>
        <v>136104</v>
      </c>
      <c r="J118" s="33" t="s">
        <v>680</v>
      </c>
      <c r="K118" s="33"/>
      <c r="L118" s="33">
        <v>1</v>
      </c>
      <c r="M118" s="33">
        <v>1.2</v>
      </c>
      <c r="N118" s="33" t="s">
        <v>222</v>
      </c>
      <c r="O118" s="33">
        <v>3</v>
      </c>
      <c r="P118" s="33">
        <f>VLOOKUP($C118,CHOOSE({1,2},怪物并表!$E$7:$E$1000,怪物并表!$D$7:$D$1000),2,FALSE)</f>
        <v>25</v>
      </c>
      <c r="Q118" s="33" t="s">
        <v>13</v>
      </c>
      <c r="R118" s="33">
        <f>VLOOKUP(Q118,怪物信息配置表!$A$2:$B$118,2,FALSE)</f>
        <v>1007</v>
      </c>
      <c r="S118" s="33">
        <v>1</v>
      </c>
      <c r="T118" s="49">
        <f>VLOOKUP($C118,怪物并表!$E$7:$N$1000,2+($D118-1)*3,FALSE)*S118*AJ118</f>
        <v>35652.619703892131</v>
      </c>
      <c r="U118" s="49">
        <f>VLOOKUP($C118,怪物并表!$E$7:$N$1000,3+($D118-1)*3,FALSE)*S118*AK118</f>
        <v>891.72460763820618</v>
      </c>
      <c r="V118" s="49">
        <f>VLOOKUP($C118,怪物并表!$E$7:$N$1000,4+($D118-1)*3,FALSE)*S118*AL118</f>
        <v>533.54397993311056</v>
      </c>
      <c r="W118" s="33"/>
      <c r="X118" s="33"/>
      <c r="Y118" s="49">
        <f>VLOOKUP($C118,怪物并表!$E$7:$P$1000,12,FALSE)</f>
        <v>0</v>
      </c>
      <c r="Z118" s="49">
        <f>VLOOKUP($C118,怪物并表!$E$7:$P$1000,11,FALSE)*S118</f>
        <v>1797.3000000000002</v>
      </c>
      <c r="AA118" s="33"/>
      <c r="AB118" s="33"/>
      <c r="AC118" s="33"/>
      <c r="AD118" s="33">
        <f t="shared" si="17"/>
        <v>1.5</v>
      </c>
      <c r="AE118" s="2">
        <f t="shared" si="12"/>
        <v>554.6875</v>
      </c>
      <c r="AF118" s="2" t="str">
        <f>IF(ISBLANK(AM118),IF(O118=6,"",IF(O118=1,VLOOKUP(R118,怪物信息配置表!B:H,5,FALSE),IF(O118=2,VLOOKUP(R118,怪物信息配置表!B:H,6,FALSE),IF(OR(O118=3,O118=5),VLOOKUP(R118,怪物信息配置表!B:H,7,FALSE),"")))),AM118)</f>
        <v>ai_BOSS_01</v>
      </c>
      <c r="AG118" s="2"/>
      <c r="AH118" s="15">
        <f>SUMPRODUCT(T118:V118,$AN$3:$AP$3)+ROUNDDOWN(VLOOKUP(P118,CHOOSE({1,2},'[1]消耗&amp;价值&amp;分析'!$C$7:$C$106,'[1]消耗&amp;价值&amp;分析'!$AS$7:$AS$106),2,FALSE)*0.6,0)</f>
        <v>3428.373375727002</v>
      </c>
      <c r="AJ118" s="80">
        <v>1</v>
      </c>
      <c r="AK118" s="80">
        <v>1</v>
      </c>
      <c r="AL118" s="80">
        <v>1</v>
      </c>
    </row>
    <row r="119" spans="1:38">
      <c r="A119" s="33" t="str">
        <f>怪物并表!$R$7</f>
        <v>普通副本</v>
      </c>
      <c r="B119" s="38">
        <v>5</v>
      </c>
      <c r="C119" s="33">
        <f t="shared" ref="C119:C131" si="20">F119*1000+G119</f>
        <v>3006</v>
      </c>
      <c r="D119" s="33">
        <v>3</v>
      </c>
      <c r="E119" s="33">
        <f>VLOOKUP(A119,怪物并表!$R$7:$S$14,2,FALSE)</f>
        <v>1</v>
      </c>
      <c r="F119" s="38">
        <v>3</v>
      </c>
      <c r="G119" s="38">
        <v>6</v>
      </c>
      <c r="H119" s="38">
        <v>1</v>
      </c>
      <c r="I119" s="33">
        <f t="shared" si="19"/>
        <v>136105</v>
      </c>
      <c r="J119" s="33" t="s">
        <v>417</v>
      </c>
      <c r="K119" s="33"/>
      <c r="L119" s="33">
        <v>1</v>
      </c>
      <c r="M119" s="33">
        <v>1.1000000000000001</v>
      </c>
      <c r="N119" s="33"/>
      <c r="O119" s="33">
        <v>2</v>
      </c>
      <c r="P119" s="33">
        <f>VLOOKUP($C119,CHOOSE({1,2},怪物并表!$E$7:$E$1000,怪物并表!$D$7:$D$1000),2,FALSE)</f>
        <v>25</v>
      </c>
      <c r="Q119" s="33" t="s">
        <v>562</v>
      </c>
      <c r="R119" s="33">
        <f>VLOOKUP(Q119,怪物信息配置表!$A$2:$B$118,2,FALSE)</f>
        <v>1111</v>
      </c>
      <c r="S119" s="33">
        <v>1</v>
      </c>
      <c r="T119" s="49">
        <f>VLOOKUP($C119,怪物并表!$E$7:$N$1000,2+($D119-1)*3,FALSE)*S119*AJ119</f>
        <v>35652.619703892131</v>
      </c>
      <c r="U119" s="49">
        <f>VLOOKUP($C119,怪物并表!$E$7:$N$1000,3+($D119-1)*3,FALSE)*S119*AK119</f>
        <v>891.72460763820618</v>
      </c>
      <c r="V119" s="49">
        <f>VLOOKUP($C119,怪物并表!$E$7:$N$1000,4+($D119-1)*3,FALSE)*S119*AL119</f>
        <v>533.54397993311056</v>
      </c>
      <c r="W119" s="33"/>
      <c r="X119" s="33"/>
      <c r="Y119" s="49">
        <f>VLOOKUP($C119,怪物并表!$E$7:$P$1000,12,FALSE)</f>
        <v>0</v>
      </c>
      <c r="Z119" s="49">
        <f>VLOOKUP($C119,怪物并表!$E$7:$P$1000,11,FALSE)*S119</f>
        <v>1797.3000000000002</v>
      </c>
      <c r="AA119" s="33"/>
      <c r="AB119" s="33"/>
      <c r="AC119" s="33"/>
      <c r="AD119" s="33">
        <f t="shared" ref="AD119:AD131" si="21">IF(D119=1,1,IF(D119=2,0.8,1.5))</f>
        <v>1.5</v>
      </c>
      <c r="AE119" s="2">
        <f t="shared" si="12"/>
        <v>289.0625</v>
      </c>
      <c r="AF119" s="2" t="str">
        <f>IF(ISBLANK(AM119),IF(O119=6,"",IF(O119=1,VLOOKUP(R119,怪物信息配置表!B:H,5,FALSE),IF(O119=2,VLOOKUP(R119,怪物信息配置表!B:H,6,FALSE),IF(OR(O119=3,O119=5),VLOOKUP(R119,怪物信息配置表!B:H,7,FALSE),"")))),AM119)</f>
        <v>1111_XMH_BOSS</v>
      </c>
      <c r="AG119" s="2"/>
      <c r="AH119" s="15">
        <f>SUMPRODUCT(T119:V119,$AN$3:$AP$3)+ROUNDDOWN(VLOOKUP(P119,CHOOSE({1,2},'[1]消耗&amp;价值&amp;分析'!$C$7:$C$106,'[1]消耗&amp;价值&amp;分析'!$AS$7:$AS$106),2,FALSE)*0.6,0)</f>
        <v>3428.373375727002</v>
      </c>
      <c r="AJ119" s="80">
        <v>1</v>
      </c>
      <c r="AK119" s="80">
        <v>1</v>
      </c>
      <c r="AL119" s="80">
        <v>1</v>
      </c>
    </row>
    <row r="120" spans="1:38">
      <c r="A120" s="33" t="str">
        <f>怪物并表!$R$7</f>
        <v>普通副本</v>
      </c>
      <c r="B120" s="38">
        <v>1</v>
      </c>
      <c r="C120" s="33">
        <f t="shared" si="20"/>
        <v>3007</v>
      </c>
      <c r="D120" s="33">
        <v>1</v>
      </c>
      <c r="E120" s="33">
        <f>VLOOKUP(A120,怪物并表!$R$7:$S$14,2,FALSE)</f>
        <v>1</v>
      </c>
      <c r="F120" s="38">
        <v>3</v>
      </c>
      <c r="G120" s="38">
        <v>7</v>
      </c>
      <c r="H120" s="38">
        <v>1</v>
      </c>
      <c r="I120" s="33">
        <f t="shared" si="19"/>
        <v>137101</v>
      </c>
      <c r="J120" s="33" t="s">
        <v>464</v>
      </c>
      <c r="K120" s="33"/>
      <c r="L120" s="33">
        <v>0</v>
      </c>
      <c r="M120" s="33">
        <v>1</v>
      </c>
      <c r="N120" s="33"/>
      <c r="O120" s="33">
        <v>1</v>
      </c>
      <c r="P120" s="33">
        <f>VLOOKUP($C120,CHOOSE({1,2},怪物并表!$E$7:$E$1000,怪物并表!$D$7:$D$1000),2,FALSE)</f>
        <v>26</v>
      </c>
      <c r="Q120" s="33" t="s">
        <v>367</v>
      </c>
      <c r="R120" s="33">
        <f>VLOOKUP(Q120,怪物信息配置表!$A$2:$B$118,2,FALSE)</f>
        <v>1008</v>
      </c>
      <c r="S120" s="33">
        <v>1</v>
      </c>
      <c r="T120" s="49">
        <f>VLOOKUP($C120,怪物并表!$E$7:$N$1000,2+($D120-1)*3,FALSE)*S120*AJ120</f>
        <v>16032.112972248326</v>
      </c>
      <c r="U120" s="49">
        <f>VLOOKUP($C120,怪物并表!$E$7:$N$1000,3+($D120-1)*3,FALSE)*S120*AK120</f>
        <v>912.21955983864086</v>
      </c>
      <c r="V120" s="49">
        <f>VLOOKUP($C120,怪物并表!$E$7:$N$1000,4+($D120-1)*3,FALSE)*S120*AL120</f>
        <v>470.77801525083623</v>
      </c>
      <c r="W120" s="33"/>
      <c r="X120" s="33"/>
      <c r="Y120" s="49">
        <f>VLOOKUP($C120,怪物并表!$E$7:$P$1000,12,FALSE)</f>
        <v>0</v>
      </c>
      <c r="Z120" s="49">
        <f>VLOOKUP($C120,怪物并表!$E$7:$P$1000,11,FALSE)*S120</f>
        <v>1855.528</v>
      </c>
      <c r="AA120" s="33"/>
      <c r="AB120" s="33"/>
      <c r="AC120" s="33"/>
      <c r="AD120" s="33">
        <f t="shared" si="21"/>
        <v>1</v>
      </c>
      <c r="AE120" s="2">
        <f t="shared" si="12"/>
        <v>691.25</v>
      </c>
      <c r="AF120" s="2" t="str">
        <f>IF(ISBLANK(AM120),IF(O120=6,"",IF(O120=1,VLOOKUP(R120,怪物信息配置表!B:H,5,FALSE),IF(O120=2,VLOOKUP(R120,怪物信息配置表!B:H,6,FALSE),IF(OR(O120=3,O120=5),VLOOKUP(R120,怪物信息配置表!B:H,7,FALSE),"")))),AM120)</f>
        <v>ai_monster</v>
      </c>
      <c r="AG120" s="2"/>
      <c r="AH120" s="15">
        <f>SUMPRODUCT(T120:V120,$AN$3:$AP$3)+ROUNDDOWN(VLOOKUP(P120,CHOOSE({1,2},'[1]消耗&amp;价值&amp;分析'!$C$7:$C$106,'[1]消耗&amp;价值&amp;分析'!$AS$7:$AS$106),2,FALSE)*0.6,0)</f>
        <v>2663.2820939794101</v>
      </c>
      <c r="AJ120" s="80">
        <v>1</v>
      </c>
      <c r="AK120" s="80">
        <v>1</v>
      </c>
      <c r="AL120" s="80">
        <v>1</v>
      </c>
    </row>
    <row r="121" spans="1:38">
      <c r="A121" s="33" t="str">
        <f>怪物并表!$R$7</f>
        <v>普通副本</v>
      </c>
      <c r="B121" s="38">
        <v>2</v>
      </c>
      <c r="C121" s="33">
        <f t="shared" si="20"/>
        <v>3007</v>
      </c>
      <c r="D121" s="33">
        <v>2</v>
      </c>
      <c r="E121" s="33">
        <f>VLOOKUP(A121,怪物并表!$R$7:$S$14,2,FALSE)</f>
        <v>1</v>
      </c>
      <c r="F121" s="38">
        <v>3</v>
      </c>
      <c r="G121" s="38">
        <v>7</v>
      </c>
      <c r="H121" s="38">
        <v>1</v>
      </c>
      <c r="I121" s="33">
        <f t="shared" si="19"/>
        <v>137102</v>
      </c>
      <c r="J121" s="33" t="s">
        <v>469</v>
      </c>
      <c r="K121" s="33"/>
      <c r="L121" s="33">
        <v>0</v>
      </c>
      <c r="M121" s="33">
        <v>1</v>
      </c>
      <c r="N121" s="33"/>
      <c r="O121" s="33">
        <v>1</v>
      </c>
      <c r="P121" s="33">
        <f>VLOOKUP($C121,CHOOSE({1,2},怪物并表!$E$7:$E$1000,怪物并表!$D$7:$D$1000),2,FALSE)</f>
        <v>26</v>
      </c>
      <c r="Q121" s="33" t="s">
        <v>17</v>
      </c>
      <c r="R121" s="33">
        <f>VLOOKUP(Q121,怪物信息配置表!$A$2:$B$118,2,FALSE)</f>
        <v>1005</v>
      </c>
      <c r="S121" s="33">
        <v>1</v>
      </c>
      <c r="T121" s="49">
        <f>VLOOKUP($C121,怪物并表!$E$7:$N$1000,2+($D121-1)*3,FALSE)*S121*AJ121</f>
        <v>12825.690377798661</v>
      </c>
      <c r="U121" s="49">
        <f>VLOOKUP($C121,怪物并表!$E$7:$N$1000,3+($D121-1)*3,FALSE)*S121*AK121</f>
        <v>868.0754053798604</v>
      </c>
      <c r="V121" s="49">
        <f>VLOOKUP($C121,怪物并表!$E$7:$N$1000,4+($D121-1)*3,FALSE)*S121*AL121</f>
        <v>353.08351143812718</v>
      </c>
      <c r="W121" s="33"/>
      <c r="X121" s="33"/>
      <c r="Y121" s="49">
        <f>VLOOKUP($C121,怪物并表!$E$7:$P$1000,12,FALSE)</f>
        <v>0</v>
      </c>
      <c r="Z121" s="49">
        <f>VLOOKUP($C121,怪物并表!$E$7:$P$1000,11,FALSE)*S121</f>
        <v>1855.528</v>
      </c>
      <c r="AA121" s="33"/>
      <c r="AB121" s="33"/>
      <c r="AC121" s="33"/>
      <c r="AD121" s="33">
        <f t="shared" si="21"/>
        <v>0.8</v>
      </c>
      <c r="AE121" s="2">
        <f t="shared" si="12"/>
        <v>753</v>
      </c>
      <c r="AF121" s="2" t="str">
        <f>IF(ISBLANK(AM121),IF(O121=6,"",IF(O121=1,VLOOKUP(R121,怪物信息配置表!B:H,5,FALSE),IF(O121=2,VLOOKUP(R121,怪物信息配置表!B:H,6,FALSE),IF(OR(O121=3,O121=5),VLOOKUP(R121,怪物信息配置表!B:H,7,FALSE),"")))),AM121)</f>
        <v>ai_monster_02</v>
      </c>
      <c r="AG121" s="2"/>
      <c r="AH121" s="15">
        <f>SUMPRODUCT(T121:V121,$AN$3:$AP$3)+ROUNDDOWN(VLOOKUP(P121,CHOOSE({1,2},'[1]消耗&amp;价值&amp;分析'!$C$7:$C$106,'[1]消耗&amp;价值&amp;分析'!$AS$7:$AS$106),2,FALSE)*0.6,0)</f>
        <v>2373.1865319299341</v>
      </c>
      <c r="AJ121" s="80">
        <v>1</v>
      </c>
      <c r="AK121" s="80">
        <v>1</v>
      </c>
      <c r="AL121" s="80">
        <v>1</v>
      </c>
    </row>
    <row r="122" spans="1:38">
      <c r="A122" s="33" t="str">
        <f>怪物并表!$R$7</f>
        <v>普通副本</v>
      </c>
      <c r="B122" s="38">
        <v>3</v>
      </c>
      <c r="C122" s="33">
        <f t="shared" si="20"/>
        <v>3007</v>
      </c>
      <c r="D122" s="33">
        <v>1</v>
      </c>
      <c r="E122" s="33">
        <f>VLOOKUP(A122,怪物并表!$R$7:$S$14,2,FALSE)</f>
        <v>1</v>
      </c>
      <c r="F122" s="38">
        <v>3</v>
      </c>
      <c r="G122" s="38">
        <v>7</v>
      </c>
      <c r="H122" s="38">
        <v>1</v>
      </c>
      <c r="I122" s="33">
        <f t="shared" si="19"/>
        <v>137103</v>
      </c>
      <c r="J122" s="33" t="s">
        <v>13</v>
      </c>
      <c r="K122" s="33"/>
      <c r="L122" s="33">
        <v>0</v>
      </c>
      <c r="M122" s="33">
        <v>1</v>
      </c>
      <c r="N122" s="33"/>
      <c r="O122" s="33">
        <v>1</v>
      </c>
      <c r="P122" s="33">
        <f>VLOOKUP($C122,CHOOSE({1,2},怪物并表!$E$7:$E$1000,怪物并表!$D$7:$D$1000),2,FALSE)</f>
        <v>26</v>
      </c>
      <c r="Q122" s="33" t="s">
        <v>13</v>
      </c>
      <c r="R122" s="33">
        <f>VLOOKUP(Q122,怪物信息配置表!$A$2:$B$118,2,FALSE)</f>
        <v>1007</v>
      </c>
      <c r="S122" s="33">
        <v>1</v>
      </c>
      <c r="T122" s="49">
        <f>VLOOKUP($C122,怪物并表!$E$7:$N$1000,2+($D122-1)*3,FALSE)*S122*AJ122</f>
        <v>16032.112972248326</v>
      </c>
      <c r="U122" s="49">
        <f>VLOOKUP($C122,怪物并表!$E$7:$N$1000,3+($D122-1)*3,FALSE)*S122*AK122</f>
        <v>912.21955983864086</v>
      </c>
      <c r="V122" s="49">
        <f>VLOOKUP($C122,怪物并表!$E$7:$N$1000,4+($D122-1)*3,FALSE)*S122*AL122</f>
        <v>470.77801525083623</v>
      </c>
      <c r="W122" s="33"/>
      <c r="X122" s="33"/>
      <c r="Y122" s="49">
        <f>VLOOKUP($C122,怪物并表!$E$7:$P$1000,12,FALSE)</f>
        <v>0</v>
      </c>
      <c r="Z122" s="49">
        <f>VLOOKUP($C122,怪物并表!$E$7:$P$1000,11,FALSE)*S122</f>
        <v>1855.528</v>
      </c>
      <c r="AA122" s="33"/>
      <c r="AB122" s="33"/>
      <c r="AC122" s="33"/>
      <c r="AD122" s="33">
        <f t="shared" si="21"/>
        <v>1</v>
      </c>
      <c r="AE122" s="2">
        <f t="shared" si="12"/>
        <v>691.25</v>
      </c>
      <c r="AF122" s="2" t="str">
        <f>IF(ISBLANK(AM122),IF(O122=6,"",IF(O122=1,VLOOKUP(R122,怪物信息配置表!B:H,5,FALSE),IF(O122=2,VLOOKUP(R122,怪物信息配置表!B:H,6,FALSE),IF(OR(O122=3,O122=5),VLOOKUP(R122,怪物信息配置表!B:H,7,FALSE),"")))),AM122)</f>
        <v>ai_monster_03</v>
      </c>
      <c r="AG122" s="2"/>
      <c r="AH122" s="15">
        <f>SUMPRODUCT(T122:V122,$AN$3:$AP$3)+ROUNDDOWN(VLOOKUP(P122,CHOOSE({1,2},'[1]消耗&amp;价值&amp;分析'!$C$7:$C$106,'[1]消耗&amp;价值&amp;分析'!$AS$7:$AS$106),2,FALSE)*0.6,0)</f>
        <v>2663.2820939794101</v>
      </c>
      <c r="AJ122" s="80">
        <v>1</v>
      </c>
      <c r="AK122" s="80">
        <v>1</v>
      </c>
      <c r="AL122" s="80">
        <v>1</v>
      </c>
    </row>
    <row r="123" spans="1:38">
      <c r="A123" s="33" t="str">
        <f>怪物并表!$R$7</f>
        <v>普通副本</v>
      </c>
      <c r="B123" s="38">
        <v>4</v>
      </c>
      <c r="C123" s="33">
        <f t="shared" si="20"/>
        <v>3007</v>
      </c>
      <c r="D123" s="33">
        <v>3</v>
      </c>
      <c r="E123" s="33">
        <f>VLOOKUP(A123,怪物并表!$R$7:$S$14,2,FALSE)</f>
        <v>1</v>
      </c>
      <c r="F123" s="38">
        <v>3</v>
      </c>
      <c r="G123" s="38">
        <v>7</v>
      </c>
      <c r="H123" s="38">
        <v>1</v>
      </c>
      <c r="I123" s="33">
        <f t="shared" si="19"/>
        <v>137104</v>
      </c>
      <c r="J123" s="33" t="s">
        <v>681</v>
      </c>
      <c r="K123" s="33"/>
      <c r="L123" s="33">
        <v>1</v>
      </c>
      <c r="M123" s="33">
        <v>1.2</v>
      </c>
      <c r="N123" s="33"/>
      <c r="O123" s="33">
        <v>3</v>
      </c>
      <c r="P123" s="33">
        <f>VLOOKUP($C123,CHOOSE({1,2},怪物并表!$E$7:$E$1000,怪物并表!$D$7:$D$1000),2,FALSE)</f>
        <v>26</v>
      </c>
      <c r="Q123" s="33" t="s">
        <v>12</v>
      </c>
      <c r="R123" s="33">
        <f>VLOOKUP(Q123,怪物信息配置表!$A$2:$B$118,2,FALSE)</f>
        <v>1009</v>
      </c>
      <c r="S123" s="33">
        <v>1</v>
      </c>
      <c r="T123" s="49">
        <f>VLOOKUP($C123,怪物并表!$E$7:$N$1000,2+($D123-1)*3,FALSE)*S123*AJ123</f>
        <v>40080.282430620813</v>
      </c>
      <c r="U123" s="49">
        <f>VLOOKUP($C123,怪物并表!$E$7:$N$1000,3+($D123-1)*3,FALSE)*S123*AK123</f>
        <v>1000.5078687562018</v>
      </c>
      <c r="V123" s="49">
        <f>VLOOKUP($C123,怪物并表!$E$7:$N$1000,4+($D123-1)*3,FALSE)*S123*AL123</f>
        <v>588.47251906354529</v>
      </c>
      <c r="W123" s="33"/>
      <c r="X123" s="33"/>
      <c r="Y123" s="49">
        <f>VLOOKUP($C123,怪物并表!$E$7:$P$1000,12,FALSE)</f>
        <v>0</v>
      </c>
      <c r="Z123" s="49">
        <f>VLOOKUP($C123,怪物并表!$E$7:$P$1000,11,FALSE)*S123</f>
        <v>1855.528</v>
      </c>
      <c r="AA123" s="33"/>
      <c r="AB123" s="33"/>
      <c r="AC123" s="33"/>
      <c r="AD123" s="33">
        <f t="shared" si="21"/>
        <v>1.5</v>
      </c>
      <c r="AE123" s="2">
        <f t="shared" si="12"/>
        <v>536.875</v>
      </c>
      <c r="AF123" s="2" t="str">
        <f>IF(ISBLANK(AM123),IF(O123=6,"",IF(O123=1,VLOOKUP(R123,怪物信息配置表!B:H,5,FALSE),IF(O123=2,VLOOKUP(R123,怪物信息配置表!B:H,6,FALSE),IF(OR(O123=3,O123=5),VLOOKUP(R123,怪物信息配置表!B:H,7,FALSE),"")))),AM123)</f>
        <v>1009_tiequan_BOSS</v>
      </c>
      <c r="AG123" s="2"/>
      <c r="AH123" s="15">
        <f>SUMPRODUCT(T123:V123,$AN$3:$AP$3)+ROUNDDOWN(VLOOKUP(P123,CHOOSE({1,2},'[1]消耗&amp;价值&amp;分析'!$C$7:$C$106,'[1]消耗&amp;价值&amp;分析'!$AS$7:$AS$106),2,FALSE)*0.6,0)</f>
        <v>3831.1916850445796</v>
      </c>
      <c r="AJ123" s="80">
        <v>1</v>
      </c>
      <c r="AK123" s="80">
        <v>1</v>
      </c>
      <c r="AL123" s="80">
        <v>1</v>
      </c>
    </row>
    <row r="124" spans="1:38">
      <c r="A124" s="33" t="str">
        <f>怪物并表!$R$7</f>
        <v>普通副本</v>
      </c>
      <c r="B124" s="38">
        <v>1</v>
      </c>
      <c r="C124" s="33">
        <f t="shared" si="20"/>
        <v>3008</v>
      </c>
      <c r="D124" s="33">
        <v>1</v>
      </c>
      <c r="E124" s="33">
        <f>VLOOKUP(A124,怪物并表!$R$7:$S$14,2,FALSE)</f>
        <v>1</v>
      </c>
      <c r="F124" s="38">
        <v>3</v>
      </c>
      <c r="G124" s="38">
        <v>8</v>
      </c>
      <c r="H124" s="38">
        <v>1</v>
      </c>
      <c r="I124" s="33">
        <f t="shared" si="19"/>
        <v>138101</v>
      </c>
      <c r="J124" s="33" t="s">
        <v>472</v>
      </c>
      <c r="K124" s="33"/>
      <c r="L124" s="33">
        <v>0</v>
      </c>
      <c r="M124" s="33">
        <v>1</v>
      </c>
      <c r="N124" s="33"/>
      <c r="O124" s="33">
        <v>1</v>
      </c>
      <c r="P124" s="33">
        <f>VLOOKUP($C124,CHOOSE({1,2},怪物并表!$E$7:$E$1000,怪物并表!$D$7:$D$1000),2,FALSE)</f>
        <v>27</v>
      </c>
      <c r="Q124" s="33" t="s">
        <v>10</v>
      </c>
      <c r="R124" s="33">
        <f>VLOOKUP(Q124,怪物信息配置表!$A$2:$B$118,2,FALSE)</f>
        <v>1001</v>
      </c>
      <c r="S124" s="33">
        <v>1</v>
      </c>
      <c r="T124" s="49">
        <f>VLOOKUP($C124,怪物并表!$E$7:$N$1000,2+($D124-1)*3,FALSE)*S124*AJ124</f>
        <v>17918.492082667442</v>
      </c>
      <c r="U124" s="49">
        <f>VLOOKUP($C124,怪物并表!$E$7:$N$1000,3+($D124-1)*3,FALSE)*S124*AK124</f>
        <v>1016.5305190018643</v>
      </c>
      <c r="V124" s="49">
        <f>VLOOKUP($C124,怪物并表!$E$7:$N$1000,4+($D124-1)*3,FALSE)*S124*AL124</f>
        <v>516.48459879598681</v>
      </c>
      <c r="W124" s="33"/>
      <c r="X124" s="33"/>
      <c r="Y124" s="49">
        <f>VLOOKUP($C124,怪物并表!$E$7:$P$1000,12,FALSE)</f>
        <v>0</v>
      </c>
      <c r="Z124" s="49">
        <f>VLOOKUP($C124,怪物并表!$E$7:$P$1000,11,FALSE)*S124</f>
        <v>1913.7559999999999</v>
      </c>
      <c r="AA124" s="33"/>
      <c r="AB124" s="33"/>
      <c r="AC124" s="33"/>
      <c r="AD124" s="33">
        <f t="shared" si="21"/>
        <v>1</v>
      </c>
      <c r="AE124" s="2">
        <f t="shared" si="12"/>
        <v>679.375</v>
      </c>
      <c r="AF124" s="2" t="str">
        <f>IF(ISBLANK(AM124),IF(O124=6,"",IF(O124=1,VLOOKUP(R124,怪物信息配置表!B:H,5,FALSE),IF(O124=2,VLOOKUP(R124,怪物信息配置表!B:H,6,FALSE),IF(OR(O124=3,O124=5),VLOOKUP(R124,怪物信息配置表!B:H,7,FALSE),"")))),AM124)</f>
        <v>ai_monster</v>
      </c>
      <c r="AG124" s="2"/>
      <c r="AH124" s="15">
        <f>SUMPRODUCT(T124:V124,$AN$3:$AP$3)+ROUNDDOWN(VLOOKUP(P124,CHOOSE({1,2},'[1]消耗&amp;价值&amp;分析'!$C$7:$C$106,'[1]消耗&amp;价值&amp;分析'!$AS$7:$AS$106),2,FALSE)*0.6,0)</f>
        <v>2935.7548011045487</v>
      </c>
      <c r="AJ124" s="80">
        <v>1</v>
      </c>
      <c r="AK124" s="80">
        <v>1</v>
      </c>
      <c r="AL124" s="80">
        <v>1</v>
      </c>
    </row>
    <row r="125" spans="1:38">
      <c r="A125" s="33" t="str">
        <f>怪物并表!$R$7</f>
        <v>普通副本</v>
      </c>
      <c r="B125" s="38">
        <v>2</v>
      </c>
      <c r="C125" s="33">
        <f t="shared" si="20"/>
        <v>3008</v>
      </c>
      <c r="D125" s="33">
        <v>2</v>
      </c>
      <c r="E125" s="33">
        <f>VLOOKUP(A125,怪物并表!$R$7:$S$14,2,FALSE)</f>
        <v>1</v>
      </c>
      <c r="F125" s="38">
        <v>3</v>
      </c>
      <c r="G125" s="38">
        <v>8</v>
      </c>
      <c r="H125" s="38">
        <v>1</v>
      </c>
      <c r="I125" s="33">
        <f t="shared" si="19"/>
        <v>138102</v>
      </c>
      <c r="J125" s="33" t="s">
        <v>36</v>
      </c>
      <c r="K125" s="33"/>
      <c r="L125" s="33">
        <v>0</v>
      </c>
      <c r="M125" s="33">
        <v>1</v>
      </c>
      <c r="N125" s="33" t="s">
        <v>218</v>
      </c>
      <c r="O125" s="33">
        <v>1</v>
      </c>
      <c r="P125" s="33">
        <f>VLOOKUP($C125,CHOOSE({1,2},怪物并表!$E$7:$E$1000,怪物并表!$D$7:$D$1000),2,FALSE)</f>
        <v>27</v>
      </c>
      <c r="Q125" s="33" t="s">
        <v>9</v>
      </c>
      <c r="R125" s="33">
        <f>VLOOKUP(Q125,怪物信息配置表!$A$2:$B$118,2,FALSE)</f>
        <v>1003</v>
      </c>
      <c r="S125" s="33">
        <v>1</v>
      </c>
      <c r="T125" s="49">
        <f>VLOOKUP($C125,怪物并表!$E$7:$N$1000,2+($D125-1)*3,FALSE)*S125*AJ125</f>
        <v>14334.793666133955</v>
      </c>
      <c r="U125" s="49">
        <f>VLOOKUP($C125,怪物并表!$E$7:$N$1000,3+($D125-1)*3,FALSE)*S125*AK125</f>
        <v>966.5259269812766</v>
      </c>
      <c r="V125" s="49">
        <f>VLOOKUP($C125,怪物并表!$E$7:$N$1000,4+($D125-1)*3,FALSE)*S125*AL125</f>
        <v>387.36344909699017</v>
      </c>
      <c r="W125" s="33"/>
      <c r="X125" s="33"/>
      <c r="Y125" s="49">
        <f>VLOOKUP($C125,怪物并表!$E$7:$P$1000,12,FALSE)</f>
        <v>0</v>
      </c>
      <c r="Z125" s="49">
        <f>VLOOKUP($C125,怪物并表!$E$7:$P$1000,11,FALSE)*S125</f>
        <v>1913.7559999999999</v>
      </c>
      <c r="AA125" s="33"/>
      <c r="AB125" s="33"/>
      <c r="AC125" s="33"/>
      <c r="AD125" s="33">
        <f t="shared" si="21"/>
        <v>0.8</v>
      </c>
      <c r="AE125" s="2">
        <f t="shared" si="12"/>
        <v>743.5</v>
      </c>
      <c r="AF125" s="2" t="str">
        <f>IF(ISBLANK(AM125),IF(O125=6,"",IF(O125=1,VLOOKUP(R125,怪物信息配置表!B:H,5,FALSE),IF(O125=2,VLOOKUP(R125,怪物信息配置表!B:H,6,FALSE),IF(OR(O125=3,O125=5),VLOOKUP(R125,怪物信息配置表!B:H,7,FALSE),"")))),AM125)</f>
        <v>ai_monster_02</v>
      </c>
      <c r="AG125" s="2"/>
      <c r="AH125" s="15">
        <f>SUMPRODUCT(T125:V125,$AN$3:$AP$3)+ROUNDDOWN(VLOOKUP(P125,CHOOSE({1,2},'[1]消耗&amp;价值&amp;分析'!$C$7:$C$106,'[1]消耗&amp;价值&amp;分析'!$AS$7:$AS$106),2,FALSE)*0.6,0)</f>
        <v>2613.2811227236252</v>
      </c>
      <c r="AJ125" s="80">
        <v>1</v>
      </c>
      <c r="AK125" s="80">
        <v>1</v>
      </c>
      <c r="AL125" s="80">
        <v>1</v>
      </c>
    </row>
    <row r="126" spans="1:38">
      <c r="A126" s="33" t="str">
        <f>怪物并表!$R$7</f>
        <v>普通副本</v>
      </c>
      <c r="B126" s="38">
        <v>3</v>
      </c>
      <c r="C126" s="33">
        <f t="shared" si="20"/>
        <v>3008</v>
      </c>
      <c r="D126" s="33">
        <v>2</v>
      </c>
      <c r="E126" s="33">
        <f>VLOOKUP(A126,怪物并表!$R$7:$S$14,2,FALSE)</f>
        <v>1</v>
      </c>
      <c r="F126" s="38">
        <v>3</v>
      </c>
      <c r="G126" s="38">
        <v>8</v>
      </c>
      <c r="H126" s="38">
        <v>1</v>
      </c>
      <c r="I126" s="33">
        <f t="shared" si="19"/>
        <v>138103</v>
      </c>
      <c r="J126" s="33" t="s">
        <v>461</v>
      </c>
      <c r="K126" s="33"/>
      <c r="L126" s="33">
        <v>0</v>
      </c>
      <c r="M126" s="33">
        <v>1</v>
      </c>
      <c r="N126" s="33"/>
      <c r="O126" s="33">
        <v>1</v>
      </c>
      <c r="P126" s="33">
        <f>VLOOKUP($C126,CHOOSE({1,2},怪物并表!$E$7:$E$1000,怪物并表!$D$7:$D$1000),2,FALSE)</f>
        <v>27</v>
      </c>
      <c r="Q126" s="33" t="s">
        <v>14</v>
      </c>
      <c r="R126" s="33">
        <f>VLOOKUP(Q126,怪物信息配置表!$A$2:$B$118,2,FALSE)</f>
        <v>1010</v>
      </c>
      <c r="S126" s="33">
        <v>1</v>
      </c>
      <c r="T126" s="49">
        <f>VLOOKUP($C126,怪物并表!$E$7:$N$1000,2+($D126-1)*3,FALSE)*S126*AJ126</f>
        <v>14334.793666133955</v>
      </c>
      <c r="U126" s="49">
        <f>VLOOKUP($C126,怪物并表!$E$7:$N$1000,3+($D126-1)*3,FALSE)*S126*AK126</f>
        <v>966.5259269812766</v>
      </c>
      <c r="V126" s="49">
        <f>VLOOKUP($C126,怪物并表!$E$7:$N$1000,4+($D126-1)*3,FALSE)*S126*AL126</f>
        <v>387.36344909699017</v>
      </c>
      <c r="W126" s="33"/>
      <c r="X126" s="33"/>
      <c r="Y126" s="49">
        <f>VLOOKUP($C126,怪物并表!$E$7:$P$1000,12,FALSE)</f>
        <v>0</v>
      </c>
      <c r="Z126" s="49">
        <f>VLOOKUP($C126,怪物并表!$E$7:$P$1000,11,FALSE)*S126</f>
        <v>1913.7559999999999</v>
      </c>
      <c r="AA126" s="33"/>
      <c r="AB126" s="33"/>
      <c r="AC126" s="33"/>
      <c r="AD126" s="33">
        <f t="shared" si="21"/>
        <v>0.8</v>
      </c>
      <c r="AE126" s="2">
        <f t="shared" si="12"/>
        <v>743.5</v>
      </c>
      <c r="AF126" s="2" t="str">
        <f>IF(ISBLANK(AM126),IF(O126=6,"",IF(O126=1,VLOOKUP(R126,怪物信息配置表!B:H,5,FALSE),IF(O126=2,VLOOKUP(R126,怪物信息配置表!B:H,6,FALSE),IF(OR(O126=3,O126=5),VLOOKUP(R126,怪物信息配置表!B:H,7,FALSE),"")))),AM126)</f>
        <v>ai_monster</v>
      </c>
      <c r="AG126" s="2"/>
      <c r="AH126" s="15">
        <f>SUMPRODUCT(T126:V126,$AN$3:$AP$3)+ROUNDDOWN(VLOOKUP(P126,CHOOSE({1,2},'[1]消耗&amp;价值&amp;分析'!$C$7:$C$106,'[1]消耗&amp;价值&amp;分析'!$AS$7:$AS$106),2,FALSE)*0.6,0)</f>
        <v>2613.2811227236252</v>
      </c>
      <c r="AJ126" s="80">
        <v>1</v>
      </c>
      <c r="AK126" s="80">
        <v>1</v>
      </c>
      <c r="AL126" s="80">
        <v>1</v>
      </c>
    </row>
    <row r="127" spans="1:38">
      <c r="A127" s="33" t="str">
        <f>怪物并表!$R$7</f>
        <v>普通副本</v>
      </c>
      <c r="B127" s="38">
        <v>4</v>
      </c>
      <c r="C127" s="33">
        <f t="shared" si="20"/>
        <v>3008</v>
      </c>
      <c r="D127" s="33">
        <v>3</v>
      </c>
      <c r="E127" s="33">
        <f>VLOOKUP(A127,怪物并表!$R$7:$S$14,2,FALSE)</f>
        <v>1</v>
      </c>
      <c r="F127" s="38">
        <v>3</v>
      </c>
      <c r="G127" s="38">
        <v>8</v>
      </c>
      <c r="H127" s="38">
        <v>1</v>
      </c>
      <c r="I127" s="33">
        <f t="shared" si="19"/>
        <v>138104</v>
      </c>
      <c r="J127" s="33" t="s">
        <v>682</v>
      </c>
      <c r="K127" s="33"/>
      <c r="L127" s="33">
        <v>1</v>
      </c>
      <c r="M127" s="33">
        <v>1.2</v>
      </c>
      <c r="N127" s="33"/>
      <c r="O127" s="33">
        <v>3</v>
      </c>
      <c r="P127" s="33">
        <f>VLOOKUP($C127,CHOOSE({1,2},怪物并表!$E$7:$E$1000,怪物并表!$D$7:$D$1000),2,FALSE)</f>
        <v>27</v>
      </c>
      <c r="Q127" s="33" t="s">
        <v>7</v>
      </c>
      <c r="R127" s="33">
        <f>VLOOKUP(Q127,怪物信息配置表!$A$2:$B$118,2,FALSE)</f>
        <v>1002</v>
      </c>
      <c r="S127" s="33">
        <v>1</v>
      </c>
      <c r="T127" s="49">
        <f>VLOOKUP($C127,怪物并表!$E$7:$N$1000,2+($D127-1)*3,FALSE)*S127*AJ127</f>
        <v>44796.23020666861</v>
      </c>
      <c r="U127" s="49">
        <f>VLOOKUP($C127,怪物并表!$E$7:$N$1000,3+($D127-1)*3,FALSE)*S127*AK127</f>
        <v>1116.5397030430397</v>
      </c>
      <c r="V127" s="49">
        <f>VLOOKUP($C127,怪物并表!$E$7:$N$1000,4+($D127-1)*3,FALSE)*S127*AL127</f>
        <v>645.60574849498346</v>
      </c>
      <c r="W127" s="33"/>
      <c r="X127" s="33"/>
      <c r="Y127" s="49">
        <f>VLOOKUP($C127,怪物并表!$E$7:$P$1000,12,FALSE)</f>
        <v>0</v>
      </c>
      <c r="Z127" s="49">
        <f>VLOOKUP($C127,怪物并表!$E$7:$P$1000,11,FALSE)*S127</f>
        <v>1913.7559999999999</v>
      </c>
      <c r="AA127" s="33"/>
      <c r="AB127" s="33"/>
      <c r="AC127" s="33"/>
      <c r="AD127" s="33">
        <f t="shared" si="21"/>
        <v>1.5</v>
      </c>
      <c r="AE127" s="2">
        <f t="shared" si="12"/>
        <v>519.0625</v>
      </c>
      <c r="AF127" s="2" t="str">
        <f>IF(ISBLANK(AM127),IF(O127=6,"",IF(O127=1,VLOOKUP(R127,怪物信息配置表!B:H,5,FALSE),IF(O127=2,VLOOKUP(R127,怪物信息配置表!B:H,6,FALSE),IF(OR(O127=3,O127=5),VLOOKUP(R127,怪物信息配置表!B:H,7,FALSE),"")))),AM127)</f>
        <v>1002_nvjiubao_BOSS</v>
      </c>
      <c r="AG127" s="2"/>
      <c r="AH127" s="15">
        <f>SUMPRODUCT(T127:V127,$AN$3:$AP$3)+ROUNDDOWN(VLOOKUP(P127,CHOOSE({1,2},'[1]消耗&amp;价值&amp;分析'!$C$7:$C$106,'[1]消耗&amp;价值&amp;分析'!$AS$7:$AS$106),2,FALSE)*0.6,0)</f>
        <v>4239.9946598047673</v>
      </c>
      <c r="AJ127" s="80">
        <v>1</v>
      </c>
      <c r="AK127" s="80">
        <v>1</v>
      </c>
      <c r="AL127" s="80">
        <v>1</v>
      </c>
    </row>
    <row r="128" spans="1:38">
      <c r="A128" s="33" t="str">
        <f>怪物并表!$R$7</f>
        <v>普通副本</v>
      </c>
      <c r="B128" s="38">
        <v>1</v>
      </c>
      <c r="C128" s="33">
        <f t="shared" si="20"/>
        <v>3009</v>
      </c>
      <c r="D128" s="33">
        <v>1</v>
      </c>
      <c r="E128" s="33">
        <f>VLOOKUP(A128,怪物并表!$R$7:$S$14,2,FALSE)</f>
        <v>1</v>
      </c>
      <c r="F128" s="38">
        <v>3</v>
      </c>
      <c r="G128" s="38">
        <v>9</v>
      </c>
      <c r="H128" s="38">
        <v>1</v>
      </c>
      <c r="I128" s="33">
        <f t="shared" si="19"/>
        <v>139101</v>
      </c>
      <c r="J128" s="33" t="s">
        <v>473</v>
      </c>
      <c r="K128" s="33"/>
      <c r="L128" s="33">
        <v>0</v>
      </c>
      <c r="M128" s="33">
        <v>1</v>
      </c>
      <c r="N128" s="33"/>
      <c r="O128" s="33">
        <v>1</v>
      </c>
      <c r="P128" s="33">
        <f>VLOOKUP($C128,CHOOSE({1,2},怪物并表!$E$7:$E$1000,怪物并表!$D$7:$D$1000),2,FALSE)</f>
        <v>28</v>
      </c>
      <c r="Q128" s="33" t="s">
        <v>367</v>
      </c>
      <c r="R128" s="33">
        <f>VLOOKUP(Q128,怪物信息配置表!$A$2:$B$118,2,FALSE)</f>
        <v>1008</v>
      </c>
      <c r="S128" s="33">
        <v>1</v>
      </c>
      <c r="T128" s="49">
        <f>VLOOKUP($C128,怪物并表!$E$7:$N$1000,2+($D128-1)*3,FALSE)*S128*AJ128</f>
        <v>23907.707537573606</v>
      </c>
      <c r="U128" s="49">
        <f>VLOOKUP($C128,怪物并表!$E$7:$N$1000,3+($D128-1)*3,FALSE)*S128*AK128</f>
        <v>1240.0908086750708</v>
      </c>
      <c r="V128" s="49">
        <f>VLOOKUP($C128,怪物并表!$E$7:$N$1000,4+($D128-1)*3,FALSE)*S128*AL128</f>
        <v>704.94366822742495</v>
      </c>
      <c r="W128" s="33"/>
      <c r="X128" s="33"/>
      <c r="Y128" s="49">
        <f>VLOOKUP($C128,怪物并表!$E$7:$P$1000,12,FALSE)</f>
        <v>0</v>
      </c>
      <c r="Z128" s="49">
        <f>VLOOKUP($C128,怪物并表!$E$7:$P$1000,11,FALSE)*S128</f>
        <v>1971.9840000000002</v>
      </c>
      <c r="AA128" s="33"/>
      <c r="AB128" s="33"/>
      <c r="AC128" s="33"/>
      <c r="AD128" s="33">
        <f t="shared" si="21"/>
        <v>1</v>
      </c>
      <c r="AE128" s="2">
        <f t="shared" si="12"/>
        <v>667.5</v>
      </c>
      <c r="AF128" s="2" t="str">
        <f>IF(ISBLANK(AM128),IF(O128=6,"",IF(O128=1,VLOOKUP(R128,怪物信息配置表!B:H,5,FALSE),IF(O128=2,VLOOKUP(R128,怪物信息配置表!B:H,6,FALSE),IF(OR(O128=3,O128=5),VLOOKUP(R128,怪物信息配置表!B:H,7,FALSE),"")))),AM128)</f>
        <v>ai_monster</v>
      </c>
      <c r="AG128" s="2"/>
      <c r="AH128" s="15">
        <f>SUMPRODUCT(T128:V128,$AN$3:$AP$3)+ROUNDDOWN(VLOOKUP(P128,CHOOSE({1,2},'[1]消耗&amp;价值&amp;分析'!$C$7:$C$106,'[1]消耗&amp;价值&amp;分析'!$AS$7:$AS$106),2,FALSE)*0.6,0)</f>
        <v>3630.3427784054397</v>
      </c>
      <c r="AJ128" s="80">
        <v>1</v>
      </c>
      <c r="AK128" s="80">
        <v>1</v>
      </c>
      <c r="AL128" s="80">
        <v>1</v>
      </c>
    </row>
    <row r="129" spans="1:38">
      <c r="A129" s="33" t="str">
        <f>怪物并表!$R$7</f>
        <v>普通副本</v>
      </c>
      <c r="B129" s="38">
        <v>2</v>
      </c>
      <c r="C129" s="33">
        <f t="shared" si="20"/>
        <v>3009</v>
      </c>
      <c r="D129" s="33">
        <v>1</v>
      </c>
      <c r="E129" s="33">
        <f>VLOOKUP(A129,怪物并表!$R$7:$S$14,2,FALSE)</f>
        <v>1</v>
      </c>
      <c r="F129" s="38">
        <v>3</v>
      </c>
      <c r="G129" s="38">
        <v>9</v>
      </c>
      <c r="H129" s="38">
        <v>1</v>
      </c>
      <c r="I129" s="33">
        <f t="shared" si="19"/>
        <v>139102</v>
      </c>
      <c r="J129" s="33" t="s">
        <v>15</v>
      </c>
      <c r="K129" s="33"/>
      <c r="L129" s="33">
        <v>0</v>
      </c>
      <c r="M129" s="33">
        <v>1</v>
      </c>
      <c r="N129" s="33"/>
      <c r="O129" s="33">
        <v>1</v>
      </c>
      <c r="P129" s="33">
        <f>VLOOKUP($C129,CHOOSE({1,2},怪物并表!$E$7:$E$1000,怪物并表!$D$7:$D$1000),2,FALSE)</f>
        <v>28</v>
      </c>
      <c r="Q129" s="33" t="s">
        <v>15</v>
      </c>
      <c r="R129" s="33">
        <f>VLOOKUP(Q129,怪物信息配置表!$A$2:$B$118,2,FALSE)</f>
        <v>1004</v>
      </c>
      <c r="S129" s="33">
        <v>1</v>
      </c>
      <c r="T129" s="49">
        <f>VLOOKUP($C129,怪物并表!$E$7:$N$1000,2+($D129-1)*3,FALSE)*S129*AJ129</f>
        <v>23907.707537573606</v>
      </c>
      <c r="U129" s="49">
        <f>VLOOKUP($C129,怪物并表!$E$7:$N$1000,3+($D129-1)*3,FALSE)*S129*AK129</f>
        <v>1240.0908086750708</v>
      </c>
      <c r="V129" s="49">
        <f>VLOOKUP($C129,怪物并表!$E$7:$N$1000,4+($D129-1)*3,FALSE)*S129*AL129</f>
        <v>704.94366822742495</v>
      </c>
      <c r="W129" s="33"/>
      <c r="X129" s="33"/>
      <c r="Y129" s="49">
        <f>VLOOKUP($C129,怪物并表!$E$7:$P$1000,12,FALSE)</f>
        <v>0</v>
      </c>
      <c r="Z129" s="49">
        <f>VLOOKUP($C129,怪物并表!$E$7:$P$1000,11,FALSE)*S129</f>
        <v>1971.9840000000002</v>
      </c>
      <c r="AA129" s="33"/>
      <c r="AB129" s="33"/>
      <c r="AC129" s="33"/>
      <c r="AD129" s="33">
        <f t="shared" si="21"/>
        <v>1</v>
      </c>
      <c r="AE129" s="2">
        <f t="shared" si="12"/>
        <v>667.5</v>
      </c>
      <c r="AF129" s="2" t="str">
        <f>IF(ISBLANK(AM129),IF(O129=6,"",IF(O129=1,VLOOKUP(R129,怪物信息配置表!B:H,5,FALSE),IF(O129=2,VLOOKUP(R129,怪物信息配置表!B:H,6,FALSE),IF(OR(O129=3,O129=5),VLOOKUP(R129,怪物信息配置表!B:H,7,FALSE),"")))),AM129)</f>
        <v>ai_monster</v>
      </c>
      <c r="AG129" s="2"/>
      <c r="AH129" s="15">
        <f>SUMPRODUCT(T129:V129,$AN$3:$AP$3)+ROUNDDOWN(VLOOKUP(P129,CHOOSE({1,2},'[1]消耗&amp;价值&amp;分析'!$C$7:$C$106,'[1]消耗&amp;价值&amp;分析'!$AS$7:$AS$106),2,FALSE)*0.6,0)</f>
        <v>3630.3427784054397</v>
      </c>
      <c r="AJ129" s="80">
        <v>1</v>
      </c>
      <c r="AK129" s="80">
        <v>1</v>
      </c>
      <c r="AL129" s="80">
        <v>1</v>
      </c>
    </row>
    <row r="130" spans="1:38">
      <c r="A130" s="33" t="str">
        <f>怪物并表!$R$7</f>
        <v>普通副本</v>
      </c>
      <c r="B130" s="38">
        <v>3</v>
      </c>
      <c r="C130" s="33">
        <f t="shared" si="20"/>
        <v>3009</v>
      </c>
      <c r="D130" s="33">
        <v>1</v>
      </c>
      <c r="E130" s="33">
        <f>VLOOKUP(A130,怪物并表!$R$7:$S$14,2,FALSE)</f>
        <v>1</v>
      </c>
      <c r="F130" s="38">
        <v>3</v>
      </c>
      <c r="G130" s="38">
        <v>9</v>
      </c>
      <c r="H130" s="38">
        <v>1</v>
      </c>
      <c r="I130" s="33">
        <f t="shared" si="19"/>
        <v>139103</v>
      </c>
      <c r="J130" s="33" t="s">
        <v>32</v>
      </c>
      <c r="K130" s="33"/>
      <c r="L130" s="33">
        <v>0</v>
      </c>
      <c r="M130" s="33">
        <v>1</v>
      </c>
      <c r="N130" s="33" t="s">
        <v>215</v>
      </c>
      <c r="O130" s="33">
        <v>1</v>
      </c>
      <c r="P130" s="33">
        <f>VLOOKUP($C130,CHOOSE({1,2},怪物并表!$E$7:$E$1000,怪物并表!$D$7:$D$1000),2,FALSE)</f>
        <v>28</v>
      </c>
      <c r="Q130" s="33" t="s">
        <v>10</v>
      </c>
      <c r="R130" s="33">
        <f>VLOOKUP(Q130,怪物信息配置表!$A$2:$B$118,2,FALSE)</f>
        <v>1001</v>
      </c>
      <c r="S130" s="33">
        <v>1</v>
      </c>
      <c r="T130" s="49">
        <f>VLOOKUP($C130,怪物并表!$E$7:$N$1000,2+($D130-1)*3,FALSE)*S130*AJ130</f>
        <v>23907.707537573606</v>
      </c>
      <c r="U130" s="49">
        <f>VLOOKUP($C130,怪物并表!$E$7:$N$1000,3+($D130-1)*3,FALSE)*S130*AK130</f>
        <v>1240.0908086750708</v>
      </c>
      <c r="V130" s="49">
        <f>VLOOKUP($C130,怪物并表!$E$7:$N$1000,4+($D130-1)*3,FALSE)*S130*AL130</f>
        <v>704.94366822742495</v>
      </c>
      <c r="W130" s="33"/>
      <c r="X130" s="33"/>
      <c r="Y130" s="49">
        <f>VLOOKUP($C130,怪物并表!$E$7:$P$1000,12,FALSE)</f>
        <v>0</v>
      </c>
      <c r="Z130" s="49">
        <f>VLOOKUP($C130,怪物并表!$E$7:$P$1000,11,FALSE)*S130</f>
        <v>1971.9840000000002</v>
      </c>
      <c r="AA130" s="33"/>
      <c r="AB130" s="33"/>
      <c r="AC130" s="33"/>
      <c r="AD130" s="33">
        <f t="shared" si="21"/>
        <v>1</v>
      </c>
      <c r="AE130" s="2">
        <f t="shared" ref="AE130:AE193" si="22">MAX(VLOOKUP(Q130,怪物信息配置表,3,FALSE)-VLOOKUP(Q130,怪物信息配置表,5,FALSE)*P130*AD130,50)</f>
        <v>667.5</v>
      </c>
      <c r="AF130" s="2" t="str">
        <f>IF(ISBLANK(AM130),IF(O130=6,"",IF(O130=1,VLOOKUP(R130,怪物信息配置表!B:H,5,FALSE),IF(O130=2,VLOOKUP(R130,怪物信息配置表!B:H,6,FALSE),IF(OR(O130=3,O130=5),VLOOKUP(R130,怪物信息配置表!B:H,7,FALSE),"")))),AM130)</f>
        <v>ai_monster</v>
      </c>
      <c r="AG130" s="2"/>
      <c r="AH130" s="15">
        <f>SUMPRODUCT(T130:V130,$AN$3:$AP$3)+ROUNDDOWN(VLOOKUP(P130,CHOOSE({1,2},'[1]消耗&amp;价值&amp;分析'!$C$7:$C$106,'[1]消耗&amp;价值&amp;分析'!$AS$7:$AS$106),2,FALSE)*0.6,0)</f>
        <v>3630.3427784054397</v>
      </c>
      <c r="AJ130" s="80">
        <v>1</v>
      </c>
      <c r="AK130" s="80">
        <v>1</v>
      </c>
      <c r="AL130" s="80">
        <v>1</v>
      </c>
    </row>
    <row r="131" spans="1:38">
      <c r="A131" s="33" t="str">
        <f>怪物并表!$R$7</f>
        <v>普通副本</v>
      </c>
      <c r="B131" s="38">
        <v>4</v>
      </c>
      <c r="C131" s="33">
        <f t="shared" si="20"/>
        <v>3009</v>
      </c>
      <c r="D131" s="33">
        <v>3</v>
      </c>
      <c r="E131" s="33">
        <f>VLOOKUP(A131,怪物并表!$R$7:$S$14,2,FALSE)</f>
        <v>1</v>
      </c>
      <c r="F131" s="38">
        <v>3</v>
      </c>
      <c r="G131" s="38">
        <v>9</v>
      </c>
      <c r="H131" s="38">
        <v>1</v>
      </c>
      <c r="I131" s="33">
        <f t="shared" si="19"/>
        <v>139104</v>
      </c>
      <c r="J131" s="33" t="s">
        <v>49</v>
      </c>
      <c r="K131" s="33"/>
      <c r="L131" s="33">
        <v>1</v>
      </c>
      <c r="M131" s="33">
        <v>1.2</v>
      </c>
      <c r="N131" s="33" t="s">
        <v>222</v>
      </c>
      <c r="O131" s="33">
        <v>3</v>
      </c>
      <c r="P131" s="33">
        <f>VLOOKUP($C131,CHOOSE({1,2},怪物并表!$E$7:$E$1000,怪物并表!$D$7:$D$1000),2,FALSE)</f>
        <v>28</v>
      </c>
      <c r="Q131" s="33" t="s">
        <v>19</v>
      </c>
      <c r="R131" s="33">
        <f>VLOOKUP(Q131,怪物信息配置表!$A$2:$B$118,2,FALSE)</f>
        <v>1102</v>
      </c>
      <c r="S131" s="33">
        <v>1</v>
      </c>
      <c r="T131" s="49">
        <f>VLOOKUP($C131,怪物并表!$E$7:$N$1000,2+($D131-1)*3,FALSE)*S131*AJ131</f>
        <v>59769.268843934013</v>
      </c>
      <c r="U131" s="49">
        <f>VLOOKUP($C131,怪物并表!$E$7:$N$1000,3+($D131-1)*3,FALSE)*S131*AK131</f>
        <v>1375.3179834936968</v>
      </c>
      <c r="V131" s="49">
        <f>VLOOKUP($C131,怪物并表!$E$7:$N$1000,4+($D131-1)*3,FALSE)*S131*AL131</f>
        <v>817.73465514381292</v>
      </c>
      <c r="W131" s="33"/>
      <c r="X131" s="33"/>
      <c r="Y131" s="49">
        <f>VLOOKUP($C131,怪物并表!$E$7:$P$1000,12,FALSE)</f>
        <v>0</v>
      </c>
      <c r="Z131" s="49">
        <f>VLOOKUP($C131,怪物并表!$E$7:$P$1000,11,FALSE)*S131</f>
        <v>1971.9840000000002</v>
      </c>
      <c r="AA131" s="33"/>
      <c r="AB131" s="33"/>
      <c r="AC131" s="33"/>
      <c r="AD131" s="33">
        <f t="shared" si="21"/>
        <v>1.5</v>
      </c>
      <c r="AE131" s="2">
        <f t="shared" si="22"/>
        <v>501.25</v>
      </c>
      <c r="AF131" s="2" t="str">
        <f>IF(ISBLANK(AM131),IF(O131=6,"",IF(O131=1,VLOOKUP(R131,怪物信息配置表!B:H,5,FALSE),IF(O131=2,VLOOKUP(R131,怪物信息配置表!B:H,6,FALSE),IF(OR(O131=3,O131=5),VLOOKUP(R131,怪物信息配置表!B:H,7,FALSE),"")))),AM131)</f>
        <v>1102_wuya_BOSS</v>
      </c>
      <c r="AG131" s="2"/>
      <c r="AH131" s="15">
        <f>SUMPRODUCT(T131:V131,$AN$3:$AP$3)+ROUNDDOWN(VLOOKUP(P131,CHOOSE({1,2},'[1]消耗&amp;价值&amp;分析'!$C$7:$C$106,'[1]消耗&amp;价值&amp;分析'!$AS$7:$AS$106),2,FALSE)*0.6,0)</f>
        <v>5312.8233923948701</v>
      </c>
      <c r="AJ131" s="80">
        <v>1</v>
      </c>
      <c r="AK131" s="80">
        <v>1</v>
      </c>
      <c r="AL131" s="80">
        <v>1</v>
      </c>
    </row>
    <row r="132" spans="1:38">
      <c r="A132" s="33" t="str">
        <f>怪物并表!$R$7</f>
        <v>普通副本</v>
      </c>
      <c r="B132" s="38">
        <v>5</v>
      </c>
      <c r="C132" s="33">
        <f t="shared" ref="C132" si="23">F132*1000+G132</f>
        <v>3009</v>
      </c>
      <c r="D132" s="33">
        <v>3</v>
      </c>
      <c r="E132" s="33">
        <f>VLOOKUP(A132,怪物并表!$R$7:$S$14,2,FALSE)</f>
        <v>1</v>
      </c>
      <c r="F132" s="38">
        <v>3</v>
      </c>
      <c r="G132" s="38">
        <v>9</v>
      </c>
      <c r="H132" s="38">
        <v>1</v>
      </c>
      <c r="I132" s="33">
        <f t="shared" si="19"/>
        <v>139105</v>
      </c>
      <c r="J132" s="33" t="s">
        <v>417</v>
      </c>
      <c r="K132" s="33"/>
      <c r="L132" s="33">
        <v>1</v>
      </c>
      <c r="M132" s="33">
        <v>1.1000000000000001</v>
      </c>
      <c r="N132" s="33"/>
      <c r="O132" s="33">
        <v>2</v>
      </c>
      <c r="P132" s="33">
        <f>VLOOKUP($C132,CHOOSE({1,2},怪物并表!$E$7:$E$1000,怪物并表!$D$7:$D$1000),2,FALSE)</f>
        <v>28</v>
      </c>
      <c r="Q132" s="33" t="s">
        <v>562</v>
      </c>
      <c r="R132" s="33">
        <f>VLOOKUP(Q132,怪物信息配置表!$A$2:$B$118,2,FALSE)</f>
        <v>1111</v>
      </c>
      <c r="S132" s="33">
        <v>1</v>
      </c>
      <c r="T132" s="49">
        <f>VLOOKUP($C132,怪物并表!$E$7:$N$1000,2+($D132-1)*3,FALSE)*S132*AJ132</f>
        <v>59769.268843934013</v>
      </c>
      <c r="U132" s="49">
        <f>VLOOKUP($C132,怪物并表!$E$7:$N$1000,3+($D132-1)*3,FALSE)*S132*AK132</f>
        <v>1375.3179834936968</v>
      </c>
      <c r="V132" s="49">
        <f>VLOOKUP($C132,怪物并表!$E$7:$N$1000,4+($D132-1)*3,FALSE)*S132*AL132</f>
        <v>817.73465514381292</v>
      </c>
      <c r="W132" s="33"/>
      <c r="X132" s="33"/>
      <c r="Y132" s="49">
        <f>VLOOKUP($C132,怪物并表!$E$7:$P$1000,12,FALSE)</f>
        <v>0</v>
      </c>
      <c r="Z132" s="49">
        <f>VLOOKUP($C132,怪物并表!$E$7:$P$1000,11,FALSE)*S132</f>
        <v>1971.9840000000002</v>
      </c>
      <c r="AA132" s="33"/>
      <c r="AB132" s="33"/>
      <c r="AC132" s="33"/>
      <c r="AD132" s="33">
        <f t="shared" ref="AD132" si="24">IF(D132=1,1,IF(D132=2,0.8,1.5))</f>
        <v>1.5</v>
      </c>
      <c r="AE132" s="2">
        <f t="shared" si="22"/>
        <v>263.75</v>
      </c>
      <c r="AF132" s="2" t="str">
        <f>IF(ISBLANK(AM132),IF(O132=6,"",IF(O132=1,VLOOKUP(R132,怪物信息配置表!B:H,5,FALSE),IF(O132=2,VLOOKUP(R132,怪物信息配置表!B:H,6,FALSE),IF(OR(O132=3,O132=5),VLOOKUP(R132,怪物信息配置表!B:H,7,FALSE),"")))),AM132)</f>
        <v>1111_XMH_BOSS</v>
      </c>
      <c r="AG132" s="2"/>
      <c r="AH132" s="15">
        <f>SUMPRODUCT(T132:V132,$AN$3:$AP$3)+ROUNDDOWN(VLOOKUP(P132,CHOOSE({1,2},'[1]消耗&amp;价值&amp;分析'!$C$7:$C$106,'[1]消耗&amp;价值&amp;分析'!$AS$7:$AS$106),2,FALSE)*0.6,0)</f>
        <v>5312.8233923948701</v>
      </c>
      <c r="AJ132" s="80">
        <v>1</v>
      </c>
      <c r="AK132" s="80">
        <v>1</v>
      </c>
      <c r="AL132" s="80">
        <v>1</v>
      </c>
    </row>
    <row r="133" spans="1:38">
      <c r="A133" s="33" t="str">
        <f>怪物并表!$R$7</f>
        <v>普通副本</v>
      </c>
      <c r="B133" s="38">
        <v>1</v>
      </c>
      <c r="C133" s="33">
        <f t="shared" si="18"/>
        <v>4001</v>
      </c>
      <c r="D133" s="33">
        <v>1</v>
      </c>
      <c r="E133" s="33">
        <f>VLOOKUP(A133,怪物并表!$R$7:$S$14,2,FALSE)</f>
        <v>1</v>
      </c>
      <c r="F133" s="38">
        <v>4</v>
      </c>
      <c r="G133" s="38">
        <v>1</v>
      </c>
      <c r="H133" s="38">
        <v>1</v>
      </c>
      <c r="I133" s="33">
        <f t="shared" si="19"/>
        <v>141101</v>
      </c>
      <c r="J133" s="33" t="s">
        <v>7</v>
      </c>
      <c r="K133" s="33"/>
      <c r="L133" s="33">
        <v>0</v>
      </c>
      <c r="M133" s="33">
        <v>1</v>
      </c>
      <c r="N133" s="33"/>
      <c r="O133" s="33">
        <v>1</v>
      </c>
      <c r="P133" s="33">
        <f>VLOOKUP($C133,CHOOSE({1,2},怪物并表!$E$7:$E$1000,怪物并表!$D$7:$D$1000),2,FALSE)</f>
        <v>29</v>
      </c>
      <c r="Q133" s="33" t="s">
        <v>7</v>
      </c>
      <c r="R133" s="33">
        <f>VLOOKUP(Q133,怪物信息配置表!$A$2:$B$118,2,FALSE)</f>
        <v>1002</v>
      </c>
      <c r="S133" s="33">
        <v>1</v>
      </c>
      <c r="T133" s="49">
        <f>VLOOKUP($C133,怪物并表!$E$7:$N$1000,2+($D133-1)*3,FALSE)*S133*AJ133</f>
        <v>22048.80155432774</v>
      </c>
      <c r="U133" s="49">
        <f>VLOOKUP($C133,怪物并表!$E$7:$N$1000,3+($D133-1)*3,FALSE)*S133*AK133</f>
        <v>1245.0646280605861</v>
      </c>
      <c r="V133" s="49">
        <f>VLOOKUP($C133,怪物并表!$E$7:$N$1000,4+($D133-1)*3,FALSE)*S133*AL133</f>
        <v>613.18902260869606</v>
      </c>
      <c r="W133" s="33"/>
      <c r="X133" s="33"/>
      <c r="Y133" s="49">
        <f>VLOOKUP($C133,怪物并表!$E$7:$P$1000,12,FALSE)</f>
        <v>0</v>
      </c>
      <c r="Z133" s="49">
        <f>VLOOKUP($C133,怪物并表!$E$7:$P$1000,11,FALSE)*S133</f>
        <v>2030.212</v>
      </c>
      <c r="AA133" s="33"/>
      <c r="AB133" s="33"/>
      <c r="AC133" s="33"/>
      <c r="AD133" s="33">
        <f t="shared" si="17"/>
        <v>1</v>
      </c>
      <c r="AE133" s="2">
        <f t="shared" si="22"/>
        <v>655.625</v>
      </c>
      <c r="AF133" s="2" t="str">
        <f>IF(ISBLANK(AM133),IF(O133=6,"",IF(O133=1,VLOOKUP(R133,怪物信息配置表!B:H,5,FALSE),IF(O133=2,VLOOKUP(R133,怪物信息配置表!B:H,6,FALSE),IF(OR(O133=3,O133=5),VLOOKUP(R133,怪物信息配置表!B:H,7,FALSE),"")))),AM133)</f>
        <v>ai_monster</v>
      </c>
      <c r="AG133" s="2"/>
      <c r="AH133" s="15">
        <f>SUMPRODUCT(T133:V133,$AN$3:$AP$3)+ROUNDDOWN(VLOOKUP(P133,CHOOSE({1,2},'[1]消耗&amp;价值&amp;分析'!$C$7:$C$106,'[1]消耗&amp;价值&amp;分析'!$AS$7:$AS$106),2,FALSE)*0.6,0)</f>
        <v>3538.2057128423921</v>
      </c>
      <c r="AJ133" s="80">
        <v>1</v>
      </c>
      <c r="AK133" s="80">
        <v>1</v>
      </c>
      <c r="AL133" s="80">
        <v>1</v>
      </c>
    </row>
    <row r="134" spans="1:38">
      <c r="A134" s="33" t="str">
        <f>怪物并表!$R$7</f>
        <v>普通副本</v>
      </c>
      <c r="B134" s="38">
        <v>2</v>
      </c>
      <c r="C134" s="33">
        <f t="shared" si="18"/>
        <v>4001</v>
      </c>
      <c r="D134" s="33">
        <v>2</v>
      </c>
      <c r="E134" s="33">
        <f>VLOOKUP(A134,怪物并表!$R$7:$S$14,2,FALSE)</f>
        <v>1</v>
      </c>
      <c r="F134" s="38">
        <v>4</v>
      </c>
      <c r="G134" s="38">
        <v>1</v>
      </c>
      <c r="H134" s="38">
        <v>1</v>
      </c>
      <c r="I134" s="33">
        <f t="shared" si="19"/>
        <v>141102</v>
      </c>
      <c r="J134" s="33" t="s">
        <v>474</v>
      </c>
      <c r="K134" s="33"/>
      <c r="L134" s="33">
        <v>0</v>
      </c>
      <c r="M134" s="33">
        <v>1</v>
      </c>
      <c r="N134" s="33"/>
      <c r="O134" s="33">
        <v>1</v>
      </c>
      <c r="P134" s="33">
        <f>VLOOKUP($C134,CHOOSE({1,2},怪物并表!$E$7:$E$1000,怪物并表!$D$7:$D$1000),2,FALSE)</f>
        <v>29</v>
      </c>
      <c r="Q134" s="33" t="s">
        <v>17</v>
      </c>
      <c r="R134" s="33">
        <f>VLOOKUP(Q134,怪物信息配置表!$A$2:$B$118,2,FALSE)</f>
        <v>1005</v>
      </c>
      <c r="S134" s="33">
        <v>1</v>
      </c>
      <c r="T134" s="49">
        <f>VLOOKUP($C134,怪物并表!$E$7:$N$1000,2+($D134-1)*3,FALSE)*S134*AJ134</f>
        <v>17639.041243462194</v>
      </c>
      <c r="U134" s="49">
        <f>VLOOKUP($C134,怪物并表!$E$7:$N$1000,3+($D134-1)*3,FALSE)*S134*AK134</f>
        <v>1181.8770675153971</v>
      </c>
      <c r="V134" s="49">
        <f>VLOOKUP($C134,怪物并表!$E$7:$N$1000,4+($D134-1)*3,FALSE)*S134*AL134</f>
        <v>459.89176695652213</v>
      </c>
      <c r="W134" s="33"/>
      <c r="X134" s="33"/>
      <c r="Y134" s="49">
        <f>VLOOKUP($C134,怪物并表!$E$7:$P$1000,12,FALSE)</f>
        <v>0</v>
      </c>
      <c r="Z134" s="49">
        <f>VLOOKUP($C134,怪物并表!$E$7:$P$1000,11,FALSE)*S134</f>
        <v>2030.212</v>
      </c>
      <c r="AA134" s="33"/>
      <c r="AB134" s="33"/>
      <c r="AC134" s="33"/>
      <c r="AD134" s="33">
        <f t="shared" si="17"/>
        <v>0.8</v>
      </c>
      <c r="AE134" s="2">
        <f t="shared" si="22"/>
        <v>724.5</v>
      </c>
      <c r="AF134" s="2" t="str">
        <f>IF(ISBLANK(AM134),IF(O134=6,"",IF(O134=1,VLOOKUP(R134,怪物信息配置表!B:H,5,FALSE),IF(O134=2,VLOOKUP(R134,怪物信息配置表!B:H,6,FALSE),IF(OR(O134=3,O134=5),VLOOKUP(R134,怪物信息配置表!B:H,7,FALSE),"")))),AM134)</f>
        <v>ai_monster_02</v>
      </c>
      <c r="AG134" s="2"/>
      <c r="AH134" s="15">
        <f>SUMPRODUCT(T134:V134,$AN$3:$AP$3)+ROUNDDOWN(VLOOKUP(P134,CHOOSE({1,2},'[1]消耗&amp;价值&amp;分析'!$C$7:$C$106,'[1]消耗&amp;价值&amp;分析'!$AS$7:$AS$106),2,FALSE)*0.6,0)</f>
        <v>3145.3304842104071</v>
      </c>
      <c r="AJ134" s="80">
        <v>1</v>
      </c>
      <c r="AK134" s="80">
        <v>1</v>
      </c>
      <c r="AL134" s="80">
        <v>1</v>
      </c>
    </row>
    <row r="135" spans="1:38">
      <c r="A135" s="33" t="str">
        <f>怪物并表!$R$7</f>
        <v>普通副本</v>
      </c>
      <c r="B135" s="38">
        <v>3</v>
      </c>
      <c r="C135" s="33">
        <f t="shared" si="18"/>
        <v>4001</v>
      </c>
      <c r="D135" s="33">
        <v>1</v>
      </c>
      <c r="E135" s="33">
        <f>VLOOKUP(A135,怪物并表!$R$7:$S$14,2,FALSE)</f>
        <v>1</v>
      </c>
      <c r="F135" s="38">
        <v>4</v>
      </c>
      <c r="G135" s="38">
        <v>1</v>
      </c>
      <c r="H135" s="38">
        <v>1</v>
      </c>
      <c r="I135" s="33">
        <f t="shared" si="19"/>
        <v>141103</v>
      </c>
      <c r="J135" s="33" t="s">
        <v>13</v>
      </c>
      <c r="K135" s="33"/>
      <c r="L135" s="33">
        <v>0</v>
      </c>
      <c r="M135" s="33">
        <v>1</v>
      </c>
      <c r="N135" s="33"/>
      <c r="O135" s="33">
        <v>1</v>
      </c>
      <c r="P135" s="33">
        <f>VLOOKUP($C135,CHOOSE({1,2},怪物并表!$E$7:$E$1000,怪物并表!$D$7:$D$1000),2,FALSE)</f>
        <v>29</v>
      </c>
      <c r="Q135" s="33" t="s">
        <v>13</v>
      </c>
      <c r="R135" s="33">
        <f>VLOOKUP(Q135,怪物信息配置表!$A$2:$B$118,2,FALSE)</f>
        <v>1007</v>
      </c>
      <c r="S135" s="33">
        <v>1</v>
      </c>
      <c r="T135" s="49">
        <f>VLOOKUP($C135,怪物并表!$E$7:$N$1000,2+($D135-1)*3,FALSE)*S135*AJ135</f>
        <v>22048.80155432774</v>
      </c>
      <c r="U135" s="49">
        <f>VLOOKUP($C135,怪物并表!$E$7:$N$1000,3+($D135-1)*3,FALSE)*S135*AK135</f>
        <v>1245.0646280605861</v>
      </c>
      <c r="V135" s="49">
        <f>VLOOKUP($C135,怪物并表!$E$7:$N$1000,4+($D135-1)*3,FALSE)*S135*AL135</f>
        <v>613.18902260869606</v>
      </c>
      <c r="W135" s="33"/>
      <c r="X135" s="33"/>
      <c r="Y135" s="49">
        <f>VLOOKUP($C135,怪物并表!$E$7:$P$1000,12,FALSE)</f>
        <v>0</v>
      </c>
      <c r="Z135" s="49">
        <f>VLOOKUP($C135,怪物并表!$E$7:$P$1000,11,FALSE)*S135</f>
        <v>2030.212</v>
      </c>
      <c r="AA135" s="33"/>
      <c r="AB135" s="33"/>
      <c r="AC135" s="33"/>
      <c r="AD135" s="33">
        <f t="shared" si="17"/>
        <v>1</v>
      </c>
      <c r="AE135" s="2">
        <f t="shared" si="22"/>
        <v>655.625</v>
      </c>
      <c r="AF135" s="2" t="str">
        <f>IF(ISBLANK(AM135),IF(O135=6,"",IF(O135=1,VLOOKUP(R135,怪物信息配置表!B:H,5,FALSE),IF(O135=2,VLOOKUP(R135,怪物信息配置表!B:H,6,FALSE),IF(OR(O135=3,O135=5),VLOOKUP(R135,怪物信息配置表!B:H,7,FALSE),"")))),AM135)</f>
        <v>ai_monster_03</v>
      </c>
      <c r="AG135" s="2"/>
      <c r="AH135" s="15">
        <f>SUMPRODUCT(T135:V135,$AN$3:$AP$3)+ROUNDDOWN(VLOOKUP(P135,CHOOSE({1,2},'[1]消耗&amp;价值&amp;分析'!$C$7:$C$106,'[1]消耗&amp;价值&amp;分析'!$AS$7:$AS$106),2,FALSE)*0.6,0)</f>
        <v>3538.2057128423921</v>
      </c>
      <c r="AJ135" s="80">
        <v>1</v>
      </c>
      <c r="AK135" s="80">
        <v>1</v>
      </c>
      <c r="AL135" s="80">
        <v>1</v>
      </c>
    </row>
    <row r="136" spans="1:38">
      <c r="A136" s="33" t="str">
        <f>怪物并表!$R$7</f>
        <v>普通副本</v>
      </c>
      <c r="B136" s="38">
        <v>4</v>
      </c>
      <c r="C136" s="33">
        <f t="shared" si="18"/>
        <v>4001</v>
      </c>
      <c r="D136" s="33">
        <v>3</v>
      </c>
      <c r="E136" s="33">
        <f>VLOOKUP(A136,怪物并表!$R$7:$S$14,2,FALSE)</f>
        <v>1</v>
      </c>
      <c r="F136" s="38">
        <v>4</v>
      </c>
      <c r="G136" s="38">
        <v>1</v>
      </c>
      <c r="H136" s="38">
        <v>1</v>
      </c>
      <c r="I136" s="33">
        <f t="shared" si="19"/>
        <v>141104</v>
      </c>
      <c r="J136" s="33" t="s">
        <v>475</v>
      </c>
      <c r="K136" s="33"/>
      <c r="L136" s="33">
        <v>1</v>
      </c>
      <c r="M136" s="33">
        <v>1.2</v>
      </c>
      <c r="N136" s="33"/>
      <c r="O136" s="33">
        <v>3</v>
      </c>
      <c r="P136" s="33">
        <f>VLOOKUP($C136,CHOOSE({1,2},怪物并表!$E$7:$E$1000,怪物并表!$D$7:$D$1000),2,FALSE)</f>
        <v>29</v>
      </c>
      <c r="Q136" s="33" t="s">
        <v>11</v>
      </c>
      <c r="R136" s="33">
        <f>VLOOKUP(Q136,怪物信息配置表!$A$2:$B$118,2,FALSE)</f>
        <v>1011</v>
      </c>
      <c r="S136" s="33">
        <v>1</v>
      </c>
      <c r="T136" s="49">
        <f>VLOOKUP($C136,怪物并表!$E$7:$N$1000,2+($D136-1)*3,FALSE)*S136*AJ136</f>
        <v>55122.003885819351</v>
      </c>
      <c r="U136" s="49">
        <f>VLOOKUP($C136,怪物并表!$E$7:$N$1000,3+($D136-1)*3,FALSE)*S136*AK136</f>
        <v>1371.439749150964</v>
      </c>
      <c r="V136" s="49">
        <f>VLOOKUP($C136,怪物并表!$E$7:$N$1000,4+($D136-1)*3,FALSE)*S136*AL136</f>
        <v>766.48627826086999</v>
      </c>
      <c r="W136" s="33"/>
      <c r="X136" s="33"/>
      <c r="Y136" s="49">
        <f>VLOOKUP($C136,怪物并表!$E$7:$P$1000,12,FALSE)</f>
        <v>0</v>
      </c>
      <c r="Z136" s="49">
        <f>VLOOKUP($C136,怪物并表!$E$7:$P$1000,11,FALSE)*S136</f>
        <v>2030.212</v>
      </c>
      <c r="AA136" s="33"/>
      <c r="AB136" s="33"/>
      <c r="AC136" s="33"/>
      <c r="AD136" s="33">
        <f t="shared" si="17"/>
        <v>1.5</v>
      </c>
      <c r="AE136" s="2">
        <f t="shared" si="22"/>
        <v>483.4375</v>
      </c>
      <c r="AF136" s="2" t="str">
        <f>IF(ISBLANK(AM136),IF(O136=6,"",IF(O136=1,VLOOKUP(R136,怪物信息配置表!B:H,5,FALSE),IF(O136=2,VLOOKUP(R136,怪物信息配置表!B:H,6,FALSE),IF(OR(O136=3,O136=5),VLOOKUP(R136,怪物信息配置表!B:H,7,FALSE),"")))),AM136)</f>
        <v>1011_jichenan_BOSS</v>
      </c>
      <c r="AG136" s="2"/>
      <c r="AH136" s="15">
        <f>SUMPRODUCT(T136:V136,$AN$3:$AP$3)+ROUNDDOWN(VLOOKUP(P136,CHOOSE({1,2},'[1]消耗&amp;价值&amp;分析'!$C$7:$C$106,'[1]消耗&amp;价值&amp;分析'!$AS$7:$AS$106),2,FALSE)*0.6,0)</f>
        <v>5140.806182844608</v>
      </c>
      <c r="AJ136" s="80">
        <v>1</v>
      </c>
      <c r="AK136" s="80">
        <v>1</v>
      </c>
      <c r="AL136" s="80">
        <v>1</v>
      </c>
    </row>
    <row r="137" spans="1:38">
      <c r="A137" s="33" t="str">
        <f>怪物并表!$R$7</f>
        <v>普通副本</v>
      </c>
      <c r="B137" s="38">
        <v>1</v>
      </c>
      <c r="C137" s="33">
        <f t="shared" si="18"/>
        <v>4002</v>
      </c>
      <c r="D137" s="33">
        <v>1</v>
      </c>
      <c r="E137" s="33">
        <f>VLOOKUP(A137,怪物并表!$R$7:$S$14,2,FALSE)</f>
        <v>1</v>
      </c>
      <c r="F137" s="38">
        <v>4</v>
      </c>
      <c r="G137" s="38">
        <v>2</v>
      </c>
      <c r="H137" s="38">
        <v>1</v>
      </c>
      <c r="I137" s="33">
        <f t="shared" si="19"/>
        <v>142101</v>
      </c>
      <c r="J137" s="33" t="s">
        <v>476</v>
      </c>
      <c r="K137" s="33"/>
      <c r="L137" s="33">
        <v>0</v>
      </c>
      <c r="M137" s="33">
        <v>1</v>
      </c>
      <c r="N137" s="33"/>
      <c r="O137" s="33">
        <v>1</v>
      </c>
      <c r="P137" s="33">
        <f>VLOOKUP($C137,CHOOSE({1,2},怪物并表!$E$7:$E$1000,怪物并表!$D$7:$D$1000),2,FALSE)</f>
        <v>30</v>
      </c>
      <c r="Q137" s="33" t="s">
        <v>13</v>
      </c>
      <c r="R137" s="33">
        <f>VLOOKUP(Q137,怪物信息配置表!$A$2:$B$118,2,FALSE)</f>
        <v>1007</v>
      </c>
      <c r="S137" s="33">
        <v>1</v>
      </c>
      <c r="T137" s="49">
        <f>VLOOKUP($C137,怪物并表!$E$7:$N$1000,2+($D137-1)*3,FALSE)*S137*AJ137</f>
        <v>24602.247262249399</v>
      </c>
      <c r="U137" s="49">
        <f>VLOOKUP($C137,怪物并表!$E$7:$N$1000,3+($D137-1)*3,FALSE)*S137*AK137</f>
        <v>1386.8808302441071</v>
      </c>
      <c r="V137" s="49">
        <f>VLOOKUP($C137,怪物并表!$E$7:$N$1000,4+($D137-1)*3,FALSE)*S137*AL137</f>
        <v>672.48919866220774</v>
      </c>
      <c r="W137" s="33"/>
      <c r="X137" s="33"/>
      <c r="Y137" s="49">
        <f>VLOOKUP($C137,怪物并表!$E$7:$P$1000,12,FALSE)</f>
        <v>0</v>
      </c>
      <c r="Z137" s="49">
        <f>VLOOKUP($C137,怪物并表!$E$7:$P$1000,11,FALSE)*S137</f>
        <v>2088.44</v>
      </c>
      <c r="AA137" s="33"/>
      <c r="AB137" s="33"/>
      <c r="AC137" s="33"/>
      <c r="AD137" s="33">
        <f t="shared" si="17"/>
        <v>1</v>
      </c>
      <c r="AE137" s="2">
        <f t="shared" si="22"/>
        <v>643.75</v>
      </c>
      <c r="AF137" s="2" t="str">
        <f>IF(ISBLANK(AM137),IF(O137=6,"",IF(O137=1,VLOOKUP(R137,怪物信息配置表!B:H,5,FALSE),IF(O137=2,VLOOKUP(R137,怪物信息配置表!B:H,6,FALSE),IF(OR(O137=3,O137=5),VLOOKUP(R137,怪物信息配置表!B:H,7,FALSE),"")))),AM137)</f>
        <v>ai_monster_03</v>
      </c>
      <c r="AG137" s="2"/>
      <c r="AH137" s="15">
        <f>SUMPRODUCT(T137:V137,$AN$3:$AP$3)+ROUNDDOWN(VLOOKUP(P137,CHOOSE({1,2},'[1]消耗&amp;价值&amp;分析'!$C$7:$C$106,'[1]消耗&amp;价值&amp;分析'!$AS$7:$AS$106),2,FALSE)*0.6,0)</f>
        <v>3897.4599193962908</v>
      </c>
      <c r="AJ137" s="80">
        <v>1</v>
      </c>
      <c r="AK137" s="80">
        <v>1</v>
      </c>
      <c r="AL137" s="80">
        <v>1</v>
      </c>
    </row>
    <row r="138" spans="1:38">
      <c r="A138" s="33" t="str">
        <f>怪物并表!$R$7</f>
        <v>普通副本</v>
      </c>
      <c r="B138" s="38">
        <v>2</v>
      </c>
      <c r="C138" s="33">
        <f t="shared" si="18"/>
        <v>4002</v>
      </c>
      <c r="D138" s="33">
        <v>1</v>
      </c>
      <c r="E138" s="33">
        <f>VLOOKUP(A138,怪物并表!$R$7:$S$14,2,FALSE)</f>
        <v>1</v>
      </c>
      <c r="F138" s="38">
        <v>4</v>
      </c>
      <c r="G138" s="38">
        <v>2</v>
      </c>
      <c r="H138" s="38">
        <v>1</v>
      </c>
      <c r="I138" s="33">
        <f t="shared" si="19"/>
        <v>142102</v>
      </c>
      <c r="J138" s="33" t="s">
        <v>477</v>
      </c>
      <c r="K138" s="33"/>
      <c r="L138" s="33">
        <v>0</v>
      </c>
      <c r="M138" s="33">
        <v>1</v>
      </c>
      <c r="N138" s="33"/>
      <c r="O138" s="33">
        <v>1</v>
      </c>
      <c r="P138" s="33">
        <f>VLOOKUP($C138,CHOOSE({1,2},怪物并表!$E$7:$E$1000,怪物并表!$D$7:$D$1000),2,FALSE)</f>
        <v>30</v>
      </c>
      <c r="Q138" s="33" t="s">
        <v>15</v>
      </c>
      <c r="R138" s="33">
        <f>VLOOKUP(Q138,怪物信息配置表!$A$2:$B$118,2,FALSE)</f>
        <v>1004</v>
      </c>
      <c r="S138" s="33">
        <v>1</v>
      </c>
      <c r="T138" s="49">
        <f>VLOOKUP($C138,怪物并表!$E$7:$N$1000,2+($D138-1)*3,FALSE)*S138*AJ138</f>
        <v>24602.247262249399</v>
      </c>
      <c r="U138" s="49">
        <f>VLOOKUP($C138,怪物并表!$E$7:$N$1000,3+($D138-1)*3,FALSE)*S138*AK138</f>
        <v>1386.8808302441071</v>
      </c>
      <c r="V138" s="49">
        <f>VLOOKUP($C138,怪物并表!$E$7:$N$1000,4+($D138-1)*3,FALSE)*S138*AL138</f>
        <v>672.48919866220774</v>
      </c>
      <c r="W138" s="33"/>
      <c r="X138" s="33"/>
      <c r="Y138" s="49">
        <f>VLOOKUP($C138,怪物并表!$E$7:$P$1000,12,FALSE)</f>
        <v>0</v>
      </c>
      <c r="Z138" s="49">
        <f>VLOOKUP($C138,怪物并表!$E$7:$P$1000,11,FALSE)*S138</f>
        <v>2088.44</v>
      </c>
      <c r="AA138" s="33"/>
      <c r="AB138" s="33"/>
      <c r="AC138" s="33"/>
      <c r="AD138" s="33">
        <f t="shared" si="17"/>
        <v>1</v>
      </c>
      <c r="AE138" s="2">
        <f t="shared" si="22"/>
        <v>643.75</v>
      </c>
      <c r="AF138" s="2" t="str">
        <f>IF(ISBLANK(AM138),IF(O138=6,"",IF(O138=1,VLOOKUP(R138,怪物信息配置表!B:H,5,FALSE),IF(O138=2,VLOOKUP(R138,怪物信息配置表!B:H,6,FALSE),IF(OR(O138=3,O138=5),VLOOKUP(R138,怪物信息配置表!B:H,7,FALSE),"")))),AM138)</f>
        <v>ai_monster</v>
      </c>
      <c r="AG138" s="2"/>
      <c r="AH138" s="15">
        <f>SUMPRODUCT(T138:V138,$AN$3:$AP$3)+ROUNDDOWN(VLOOKUP(P138,CHOOSE({1,2},'[1]消耗&amp;价值&amp;分析'!$C$7:$C$106,'[1]消耗&amp;价值&amp;分析'!$AS$7:$AS$106),2,FALSE)*0.6,0)</f>
        <v>3897.4599193962908</v>
      </c>
      <c r="AJ138" s="80">
        <v>1</v>
      </c>
      <c r="AK138" s="80">
        <v>1</v>
      </c>
      <c r="AL138" s="80">
        <v>1</v>
      </c>
    </row>
    <row r="139" spans="1:38">
      <c r="A139" s="33" t="str">
        <f>怪物并表!$R$7</f>
        <v>普通副本</v>
      </c>
      <c r="B139" s="38">
        <v>3</v>
      </c>
      <c r="C139" s="33">
        <f t="shared" si="18"/>
        <v>4002</v>
      </c>
      <c r="D139" s="33">
        <v>2</v>
      </c>
      <c r="E139" s="33">
        <f>VLOOKUP(A139,怪物并表!$R$7:$S$14,2,FALSE)</f>
        <v>1</v>
      </c>
      <c r="F139" s="38">
        <v>4</v>
      </c>
      <c r="G139" s="38">
        <v>2</v>
      </c>
      <c r="H139" s="38">
        <v>1</v>
      </c>
      <c r="I139" s="33">
        <f t="shared" si="19"/>
        <v>142103</v>
      </c>
      <c r="J139" s="33" t="s">
        <v>36</v>
      </c>
      <c r="K139" s="33"/>
      <c r="L139" s="33">
        <v>0</v>
      </c>
      <c r="M139" s="33">
        <v>1</v>
      </c>
      <c r="N139" s="33" t="s">
        <v>218</v>
      </c>
      <c r="O139" s="33">
        <v>1</v>
      </c>
      <c r="P139" s="33">
        <f>VLOOKUP($C139,CHOOSE({1,2},怪物并表!$E$7:$E$1000,怪物并表!$D$7:$D$1000),2,FALSE)</f>
        <v>30</v>
      </c>
      <c r="Q139" s="33" t="s">
        <v>9</v>
      </c>
      <c r="R139" s="33">
        <f>VLOOKUP(Q139,怪物信息配置表!$A$2:$B$118,2,FALSE)</f>
        <v>1003</v>
      </c>
      <c r="S139" s="33">
        <v>1</v>
      </c>
      <c r="T139" s="49">
        <f>VLOOKUP($C139,怪物并表!$E$7:$N$1000,2+($D139-1)*3,FALSE)*S139*AJ139</f>
        <v>19681.797809799522</v>
      </c>
      <c r="U139" s="49">
        <f>VLOOKUP($C139,怪物并表!$E$7:$N$1000,3+($D139-1)*3,FALSE)*S139*AK139</f>
        <v>1315.4416670859173</v>
      </c>
      <c r="V139" s="49">
        <f>VLOOKUP($C139,怪物并表!$E$7:$N$1000,4+($D139-1)*3,FALSE)*S139*AL139</f>
        <v>504.36689899665589</v>
      </c>
      <c r="W139" s="33"/>
      <c r="X139" s="33"/>
      <c r="Y139" s="49">
        <f>VLOOKUP($C139,怪物并表!$E$7:$P$1000,12,FALSE)</f>
        <v>0</v>
      </c>
      <c r="Z139" s="49">
        <f>VLOOKUP($C139,怪物并表!$E$7:$P$1000,11,FALSE)*S139</f>
        <v>2088.44</v>
      </c>
      <c r="AA139" s="33"/>
      <c r="AB139" s="33"/>
      <c r="AC139" s="33"/>
      <c r="AD139" s="33">
        <f t="shared" si="17"/>
        <v>0.8</v>
      </c>
      <c r="AE139" s="2">
        <f t="shared" si="22"/>
        <v>715</v>
      </c>
      <c r="AF139" s="2" t="str">
        <f>IF(ISBLANK(AM139),IF(O139=6,"",IF(O139=1,VLOOKUP(R139,怪物信息配置表!B:H,5,FALSE),IF(O139=2,VLOOKUP(R139,怪物信息配置表!B:H,6,FALSE),IF(OR(O139=3,O139=5),VLOOKUP(R139,怪物信息配置表!B:H,7,FALSE),"")))),AM139)</f>
        <v>ai_monster_02</v>
      </c>
      <c r="AG139" s="2"/>
      <c r="AH139" s="15">
        <f>SUMPRODUCT(T139:V139,$AN$3:$AP$3)+ROUNDDOWN(VLOOKUP(P139,CHOOSE({1,2},'[1]消耗&amp;价值&amp;分析'!$C$7:$C$106,'[1]消耗&amp;价值&amp;分析'!$AS$7:$AS$106),2,FALSE)*0.6,0)</f>
        <v>3461.0804784745542</v>
      </c>
      <c r="AJ139" s="80">
        <v>1</v>
      </c>
      <c r="AK139" s="80">
        <v>1</v>
      </c>
      <c r="AL139" s="80">
        <v>1</v>
      </c>
    </row>
    <row r="140" spans="1:38">
      <c r="A140" s="33" t="str">
        <f>怪物并表!$R$7</f>
        <v>普通副本</v>
      </c>
      <c r="B140" s="38">
        <v>4</v>
      </c>
      <c r="C140" s="33">
        <f t="shared" si="18"/>
        <v>4002</v>
      </c>
      <c r="D140" s="33">
        <v>3</v>
      </c>
      <c r="E140" s="33">
        <f>VLOOKUP(A140,怪物并表!$R$7:$S$14,2,FALSE)</f>
        <v>1</v>
      </c>
      <c r="F140" s="38">
        <v>4</v>
      </c>
      <c r="G140" s="38">
        <v>2</v>
      </c>
      <c r="H140" s="38">
        <v>1</v>
      </c>
      <c r="I140" s="33">
        <f t="shared" si="19"/>
        <v>142104</v>
      </c>
      <c r="J140" s="33" t="s">
        <v>421</v>
      </c>
      <c r="K140" s="33"/>
      <c r="L140" s="33">
        <v>1</v>
      </c>
      <c r="M140" s="33">
        <v>1.2</v>
      </c>
      <c r="N140" s="33"/>
      <c r="O140" s="33">
        <v>3</v>
      </c>
      <c r="P140" s="33">
        <f>VLOOKUP($C140,CHOOSE({1,2},怪物并表!$E$7:$E$1000,怪物并表!$D$7:$D$1000),2,FALSE)</f>
        <v>30</v>
      </c>
      <c r="Q140" s="33" t="s">
        <v>14</v>
      </c>
      <c r="R140" s="33">
        <f>VLOOKUP(Q140,怪物信息配置表!$A$2:$B$118,2,FALSE)</f>
        <v>1010</v>
      </c>
      <c r="S140" s="33">
        <v>1</v>
      </c>
      <c r="T140" s="49">
        <f>VLOOKUP($C140,怪物并表!$E$7:$N$1000,2+($D140-1)*3,FALSE)*S140*AJ140</f>
        <v>61505.618155623495</v>
      </c>
      <c r="U140" s="49">
        <f>VLOOKUP($C140,怪物并表!$E$7:$N$1000,3+($D140-1)*3,FALSE)*S140*AK140</f>
        <v>1529.7591565604869</v>
      </c>
      <c r="V140" s="49">
        <f>VLOOKUP($C140,怪物并表!$E$7:$N$1000,4+($D140-1)*3,FALSE)*S140*AL140</f>
        <v>840.61149832775959</v>
      </c>
      <c r="W140" s="33"/>
      <c r="X140" s="33"/>
      <c r="Y140" s="49">
        <f>VLOOKUP($C140,怪物并表!$E$7:$P$1000,12,FALSE)</f>
        <v>0</v>
      </c>
      <c r="Z140" s="49">
        <f>VLOOKUP($C140,怪物并表!$E$7:$P$1000,11,FALSE)*S140</f>
        <v>2088.44</v>
      </c>
      <c r="AA140" s="33"/>
      <c r="AB140" s="33"/>
      <c r="AC140" s="33"/>
      <c r="AD140" s="33">
        <f t="shared" si="17"/>
        <v>1.5</v>
      </c>
      <c r="AE140" s="2">
        <f t="shared" si="22"/>
        <v>465.625</v>
      </c>
      <c r="AF140" s="2" t="str">
        <f>IF(ISBLANK(AM140),IF(O140=6,"",IF(O140=1,VLOOKUP(R140,怪物信息配置表!B:H,5,FALSE),IF(O140=2,VLOOKUP(R140,怪物信息配置表!B:H,6,FALSE),IF(OR(O140=3,O140=5),VLOOKUP(R140,怪物信息配置表!B:H,7,FALSE),"")))),AM140)</f>
        <v>1010_gunnan_BOSS</v>
      </c>
      <c r="AG140" s="2"/>
      <c r="AH140" s="15">
        <f>SUMPRODUCT(T140:V140,$AN$3:$AP$3)+ROUNDDOWN(VLOOKUP(P140,CHOOSE({1,2},'[1]消耗&amp;价值&amp;分析'!$C$7:$C$106,'[1]消耗&amp;价值&amp;分析'!$AS$7:$AS$106),2,FALSE)*0.6,0)</f>
        <v>5684.5953811131858</v>
      </c>
      <c r="AJ140" s="80">
        <v>1</v>
      </c>
      <c r="AK140" s="80">
        <v>1</v>
      </c>
      <c r="AL140" s="80">
        <v>1</v>
      </c>
    </row>
    <row r="141" spans="1:38">
      <c r="A141" s="33" t="str">
        <f>怪物并表!$R$7</f>
        <v>普通副本</v>
      </c>
      <c r="B141" s="38">
        <v>1</v>
      </c>
      <c r="C141" s="33">
        <f t="shared" si="18"/>
        <v>4003</v>
      </c>
      <c r="D141" s="33">
        <v>1</v>
      </c>
      <c r="E141" s="33">
        <f>VLOOKUP(A141,怪物并表!$R$7:$S$14,2,FALSE)</f>
        <v>1</v>
      </c>
      <c r="F141" s="38">
        <v>4</v>
      </c>
      <c r="G141" s="38">
        <v>3</v>
      </c>
      <c r="H141" s="38">
        <v>1</v>
      </c>
      <c r="I141" s="33">
        <f t="shared" si="19"/>
        <v>143101</v>
      </c>
      <c r="J141" s="33" t="s">
        <v>478</v>
      </c>
      <c r="K141" s="33"/>
      <c r="L141" s="33">
        <v>0</v>
      </c>
      <c r="M141" s="33">
        <v>1</v>
      </c>
      <c r="N141" s="33"/>
      <c r="O141" s="33">
        <v>1</v>
      </c>
      <c r="P141" s="33">
        <f>VLOOKUP($C141,CHOOSE({1,2},怪物并表!$E$7:$E$1000,怪物并表!$D$7:$D$1000),2,FALSE)</f>
        <v>31</v>
      </c>
      <c r="Q141" s="33" t="s">
        <v>18</v>
      </c>
      <c r="R141" s="33">
        <f>VLOOKUP(Q141,怪物信息配置表!$A$2:$B$118,2,FALSE)</f>
        <v>1006</v>
      </c>
      <c r="S141" s="33">
        <v>1</v>
      </c>
      <c r="T141" s="49">
        <f>VLOOKUP($C141,怪物并表!$E$7:$N$1000,2+($D141-1)*3,FALSE)*S141*AJ141</f>
        <v>27667.296632101697</v>
      </c>
      <c r="U141" s="49">
        <f>VLOOKUP($C141,怪物并表!$E$7:$N$1000,3+($D141-1)*3,FALSE)*S141*AK141</f>
        <v>1547.5381227879423</v>
      </c>
      <c r="V141" s="49">
        <f>VLOOKUP($C141,怪物并表!$E$7:$N$1000,4+($D141-1)*3,FALSE)*S141*AL141</f>
        <v>743.61544061538484</v>
      </c>
      <c r="W141" s="33"/>
      <c r="X141" s="33"/>
      <c r="Y141" s="49">
        <f>VLOOKUP($C141,怪物并表!$E$7:$P$1000,12,FALSE)</f>
        <v>0</v>
      </c>
      <c r="Z141" s="49">
        <f>VLOOKUP($C141,怪物并表!$E$7:$P$1000,11,FALSE)*S141</f>
        <v>2146.6680000000001</v>
      </c>
      <c r="AA141" s="33"/>
      <c r="AB141" s="33"/>
      <c r="AC141" s="33"/>
      <c r="AD141" s="33">
        <f t="shared" si="17"/>
        <v>1</v>
      </c>
      <c r="AE141" s="2">
        <f t="shared" si="22"/>
        <v>631.875</v>
      </c>
      <c r="AF141" s="2" t="str">
        <f>IF(ISBLANK(AM141),IF(O141=6,"",IF(O141=1,VLOOKUP(R141,怪物信息配置表!B:H,5,FALSE),IF(O141=2,VLOOKUP(R141,怪物信息配置表!B:H,6,FALSE),IF(OR(O141=3,O141=5),VLOOKUP(R141,怪物信息配置表!B:H,7,FALSE),"")))),AM141)</f>
        <v>ai_monster_03</v>
      </c>
      <c r="AG141" s="2"/>
      <c r="AH141" s="15">
        <f>SUMPRODUCT(T141:V141,$AN$3:$AP$3)+ROUNDDOWN(VLOOKUP(P141,CHOOSE({1,2},'[1]消耗&amp;价值&amp;分析'!$C$7:$C$106,'[1]消耗&amp;价值&amp;分析'!$AS$7:$AS$106),2,FALSE)*0.6,0)</f>
        <v>4321.8454286873948</v>
      </c>
      <c r="AJ141" s="80">
        <v>1</v>
      </c>
      <c r="AK141" s="80">
        <v>1</v>
      </c>
      <c r="AL141" s="80">
        <v>1</v>
      </c>
    </row>
    <row r="142" spans="1:38">
      <c r="A142" s="33" t="str">
        <f>怪物并表!$R$7</f>
        <v>普通副本</v>
      </c>
      <c r="B142" s="38">
        <v>2</v>
      </c>
      <c r="C142" s="33">
        <f t="shared" si="18"/>
        <v>4003</v>
      </c>
      <c r="D142" s="33">
        <v>1</v>
      </c>
      <c r="E142" s="33">
        <f>VLOOKUP(A142,怪物并表!$R$7:$S$14,2,FALSE)</f>
        <v>1</v>
      </c>
      <c r="F142" s="38">
        <v>4</v>
      </c>
      <c r="G142" s="38">
        <v>3</v>
      </c>
      <c r="H142" s="38">
        <v>1</v>
      </c>
      <c r="I142" s="33">
        <f t="shared" si="19"/>
        <v>143102</v>
      </c>
      <c r="J142" s="33" t="s">
        <v>479</v>
      </c>
      <c r="K142" s="33"/>
      <c r="L142" s="33">
        <v>0</v>
      </c>
      <c r="M142" s="33">
        <v>1</v>
      </c>
      <c r="N142" s="33"/>
      <c r="O142" s="33">
        <v>1</v>
      </c>
      <c r="P142" s="33">
        <f>VLOOKUP($C142,CHOOSE({1,2},怪物并表!$E$7:$E$1000,怪物并表!$D$7:$D$1000),2,FALSE)</f>
        <v>31</v>
      </c>
      <c r="Q142" s="33" t="s">
        <v>7</v>
      </c>
      <c r="R142" s="33">
        <f>VLOOKUP(Q142,怪物信息配置表!$A$2:$B$118,2,FALSE)</f>
        <v>1002</v>
      </c>
      <c r="S142" s="33">
        <v>1</v>
      </c>
      <c r="T142" s="49">
        <f>VLOOKUP($C142,怪物并表!$E$7:$N$1000,2+($D142-1)*3,FALSE)*S142*AJ142</f>
        <v>27667.296632101697</v>
      </c>
      <c r="U142" s="49">
        <f>VLOOKUP($C142,怪物并表!$E$7:$N$1000,3+($D142-1)*3,FALSE)*S142*AK142</f>
        <v>1547.5381227879423</v>
      </c>
      <c r="V142" s="49">
        <f>VLOOKUP($C142,怪物并表!$E$7:$N$1000,4+($D142-1)*3,FALSE)*S142*AL142</f>
        <v>743.61544061538484</v>
      </c>
      <c r="W142" s="33"/>
      <c r="X142" s="33"/>
      <c r="Y142" s="49">
        <f>VLOOKUP($C142,怪物并表!$E$7:$P$1000,12,FALSE)</f>
        <v>0</v>
      </c>
      <c r="Z142" s="49">
        <f>VLOOKUP($C142,怪物并表!$E$7:$P$1000,11,FALSE)*S142</f>
        <v>2146.6680000000001</v>
      </c>
      <c r="AA142" s="33"/>
      <c r="AB142" s="33"/>
      <c r="AC142" s="33"/>
      <c r="AD142" s="33">
        <f t="shared" si="17"/>
        <v>1</v>
      </c>
      <c r="AE142" s="2">
        <f t="shared" si="22"/>
        <v>631.875</v>
      </c>
      <c r="AF142" s="2" t="str">
        <f>IF(ISBLANK(AM142),IF(O142=6,"",IF(O142=1,VLOOKUP(R142,怪物信息配置表!B:H,5,FALSE),IF(O142=2,VLOOKUP(R142,怪物信息配置表!B:H,6,FALSE),IF(OR(O142=3,O142=5),VLOOKUP(R142,怪物信息配置表!B:H,7,FALSE),"")))),AM142)</f>
        <v>ai_monster</v>
      </c>
      <c r="AG142" s="2"/>
      <c r="AH142" s="15">
        <f>SUMPRODUCT(T142:V142,$AN$3:$AP$3)+ROUNDDOWN(VLOOKUP(P142,CHOOSE({1,2},'[1]消耗&amp;价值&amp;分析'!$C$7:$C$106,'[1]消耗&amp;价值&amp;分析'!$AS$7:$AS$106),2,FALSE)*0.6,0)</f>
        <v>4321.8454286873948</v>
      </c>
      <c r="AJ142" s="80">
        <v>1</v>
      </c>
      <c r="AK142" s="80">
        <v>1</v>
      </c>
      <c r="AL142" s="80">
        <v>1</v>
      </c>
    </row>
    <row r="143" spans="1:38">
      <c r="A143" s="33" t="str">
        <f>怪物并表!$R$7</f>
        <v>普通副本</v>
      </c>
      <c r="B143" s="38">
        <v>3</v>
      </c>
      <c r="C143" s="33">
        <f t="shared" si="18"/>
        <v>4003</v>
      </c>
      <c r="D143" s="33">
        <v>1</v>
      </c>
      <c r="E143" s="33">
        <f>VLOOKUP(A143,怪物并表!$R$7:$S$14,2,FALSE)</f>
        <v>1</v>
      </c>
      <c r="F143" s="38">
        <v>4</v>
      </c>
      <c r="G143" s="38">
        <v>3</v>
      </c>
      <c r="H143" s="38">
        <v>1</v>
      </c>
      <c r="I143" s="33">
        <f t="shared" si="19"/>
        <v>143103</v>
      </c>
      <c r="J143" s="33" t="s">
        <v>214</v>
      </c>
      <c r="K143" s="33"/>
      <c r="L143" s="33">
        <v>0</v>
      </c>
      <c r="M143" s="33">
        <v>1</v>
      </c>
      <c r="N143" s="33"/>
      <c r="O143" s="33">
        <v>1</v>
      </c>
      <c r="P143" s="33">
        <f>VLOOKUP($C143,CHOOSE({1,2},怪物并表!$E$7:$E$1000,怪物并表!$D$7:$D$1000),2,FALSE)</f>
        <v>31</v>
      </c>
      <c r="Q143" s="33" t="s">
        <v>367</v>
      </c>
      <c r="R143" s="33">
        <f>VLOOKUP(Q143,怪物信息配置表!$A$2:$B$118,2,FALSE)</f>
        <v>1008</v>
      </c>
      <c r="S143" s="33">
        <v>1</v>
      </c>
      <c r="T143" s="49">
        <f>VLOOKUP($C143,怪物并表!$E$7:$N$1000,2+($D143-1)*3,FALSE)*S143*AJ143</f>
        <v>27667.296632101697</v>
      </c>
      <c r="U143" s="49">
        <f>VLOOKUP($C143,怪物并表!$E$7:$N$1000,3+($D143-1)*3,FALSE)*S143*AK143</f>
        <v>1547.5381227879423</v>
      </c>
      <c r="V143" s="49">
        <f>VLOOKUP($C143,怪物并表!$E$7:$N$1000,4+($D143-1)*3,FALSE)*S143*AL143</f>
        <v>743.61544061538484</v>
      </c>
      <c r="W143" s="33"/>
      <c r="X143" s="33"/>
      <c r="Y143" s="49">
        <f>VLOOKUP($C143,怪物并表!$E$7:$P$1000,12,FALSE)</f>
        <v>0</v>
      </c>
      <c r="Z143" s="49">
        <f>VLOOKUP($C143,怪物并表!$E$7:$P$1000,11,FALSE)*S143</f>
        <v>2146.6680000000001</v>
      </c>
      <c r="AA143" s="33"/>
      <c r="AB143" s="33"/>
      <c r="AC143" s="33"/>
      <c r="AD143" s="33">
        <f t="shared" si="17"/>
        <v>1</v>
      </c>
      <c r="AE143" s="2">
        <f t="shared" si="22"/>
        <v>631.875</v>
      </c>
      <c r="AF143" s="2" t="str">
        <f>IF(ISBLANK(AM143),IF(O143=6,"",IF(O143=1,VLOOKUP(R143,怪物信息配置表!B:H,5,FALSE),IF(O143=2,VLOOKUP(R143,怪物信息配置表!B:H,6,FALSE),IF(OR(O143=3,O143=5),VLOOKUP(R143,怪物信息配置表!B:H,7,FALSE),"")))),AM143)</f>
        <v>ai_monster</v>
      </c>
      <c r="AG143" s="2"/>
      <c r="AH143" s="15">
        <f>SUMPRODUCT(T143:V143,$AN$3:$AP$3)+ROUNDDOWN(VLOOKUP(P143,CHOOSE({1,2},'[1]消耗&amp;价值&amp;分析'!$C$7:$C$106,'[1]消耗&amp;价值&amp;分析'!$AS$7:$AS$106),2,FALSE)*0.6,0)</f>
        <v>4321.8454286873948</v>
      </c>
      <c r="AJ143" s="80">
        <v>1</v>
      </c>
      <c r="AK143" s="80">
        <v>1</v>
      </c>
      <c r="AL143" s="80">
        <v>1</v>
      </c>
    </row>
    <row r="144" spans="1:38">
      <c r="A144" s="33" t="str">
        <f>怪物并表!$R$7</f>
        <v>普通副本</v>
      </c>
      <c r="B144" s="38">
        <v>4</v>
      </c>
      <c r="C144" s="33">
        <f t="shared" si="18"/>
        <v>4003</v>
      </c>
      <c r="D144" s="33">
        <v>3</v>
      </c>
      <c r="E144" s="33">
        <f>VLOOKUP(A144,怪物并表!$R$7:$S$14,2,FALSE)</f>
        <v>1</v>
      </c>
      <c r="F144" s="38">
        <v>4</v>
      </c>
      <c r="G144" s="38">
        <v>3</v>
      </c>
      <c r="H144" s="38">
        <v>1</v>
      </c>
      <c r="I144" s="33">
        <f t="shared" si="19"/>
        <v>143104</v>
      </c>
      <c r="J144" s="33" t="s">
        <v>422</v>
      </c>
      <c r="K144" s="33"/>
      <c r="L144" s="33">
        <v>1</v>
      </c>
      <c r="M144" s="33">
        <v>1.2</v>
      </c>
      <c r="N144" s="33"/>
      <c r="O144" s="33">
        <v>3</v>
      </c>
      <c r="P144" s="33">
        <f>VLOOKUP($C144,CHOOSE({1,2},怪物并表!$E$7:$E$1000,怪物并表!$D$7:$D$1000),2,FALSE)</f>
        <v>31</v>
      </c>
      <c r="Q144" s="33" t="s">
        <v>10</v>
      </c>
      <c r="R144" s="33">
        <f>VLOOKUP(Q144,怪物信息配置表!$A$2:$B$118,2,FALSE)</f>
        <v>1001</v>
      </c>
      <c r="S144" s="33">
        <v>1</v>
      </c>
      <c r="T144" s="49">
        <f>VLOOKUP($C144,怪物并表!$E$7:$N$1000,2+($D144-1)*3,FALSE)*S144*AJ144</f>
        <v>69168.241580254238</v>
      </c>
      <c r="U144" s="49">
        <f>VLOOKUP($C144,怪物并表!$E$7:$N$1000,3+($D144-1)*3,FALSE)*S144*AK144</f>
        <v>1708.3226592224537</v>
      </c>
      <c r="V144" s="49">
        <f>VLOOKUP($C144,怪物并表!$E$7:$N$1000,4+($D144-1)*3,FALSE)*S144*AL144</f>
        <v>929.51930076923099</v>
      </c>
      <c r="W144" s="33"/>
      <c r="X144" s="33"/>
      <c r="Y144" s="49">
        <f>VLOOKUP($C144,怪物并表!$E$7:$P$1000,12,FALSE)</f>
        <v>0</v>
      </c>
      <c r="Z144" s="49">
        <f>VLOOKUP($C144,怪物并表!$E$7:$P$1000,11,FALSE)*S144</f>
        <v>2146.6680000000001</v>
      </c>
      <c r="AA144" s="33"/>
      <c r="AB144" s="33"/>
      <c r="AC144" s="33"/>
      <c r="AD144" s="33">
        <f t="shared" si="17"/>
        <v>1.5</v>
      </c>
      <c r="AE144" s="2">
        <f t="shared" si="22"/>
        <v>447.8125</v>
      </c>
      <c r="AF144" s="2" t="str">
        <f>IF(ISBLANK(AM144),IF(O144=6,"",IF(O144=1,VLOOKUP(R144,怪物信息配置表!B:H,5,FALSE),IF(O144=2,VLOOKUP(R144,怪物信息配置表!B:H,6,FALSE),IF(OR(O144=3,O144=5),VLOOKUP(R144,怪物信息配置表!B:H,7,FALSE),"")))),AM144)</f>
        <v>1001_quanbing_BOSS</v>
      </c>
      <c r="AG144" s="2"/>
      <c r="AH144" s="15">
        <f>SUMPRODUCT(T144:V144,$AN$3:$AP$3)+ROUNDDOWN(VLOOKUP(P144,CHOOSE({1,2},'[1]消耗&amp;价值&amp;分析'!$C$7:$C$106,'[1]消耗&amp;价值&amp;分析'!$AS$7:$AS$106),2,FALSE)*0.6,0)</f>
        <v>6328.5716232018549</v>
      </c>
      <c r="AJ144" s="80">
        <v>1</v>
      </c>
      <c r="AK144" s="80">
        <v>1</v>
      </c>
      <c r="AL144" s="80">
        <v>1</v>
      </c>
    </row>
    <row r="145" spans="1:38">
      <c r="A145" s="33" t="str">
        <f>怪物并表!$R$7</f>
        <v>普通副本</v>
      </c>
      <c r="B145" s="38">
        <v>1</v>
      </c>
      <c r="C145" s="33">
        <f t="shared" si="18"/>
        <v>4004</v>
      </c>
      <c r="D145" s="33">
        <v>1</v>
      </c>
      <c r="E145" s="33">
        <f>VLOOKUP(A145,怪物并表!$R$7:$S$14,2,FALSE)</f>
        <v>1</v>
      </c>
      <c r="F145" s="38">
        <v>4</v>
      </c>
      <c r="G145" s="38">
        <v>4</v>
      </c>
      <c r="H145" s="38">
        <v>1</v>
      </c>
      <c r="I145" s="33">
        <f t="shared" si="19"/>
        <v>144101</v>
      </c>
      <c r="J145" s="33" t="s">
        <v>228</v>
      </c>
      <c r="K145" s="33"/>
      <c r="L145" s="33">
        <v>0</v>
      </c>
      <c r="M145" s="33">
        <v>1</v>
      </c>
      <c r="N145" s="33"/>
      <c r="O145" s="33">
        <v>1</v>
      </c>
      <c r="P145" s="33">
        <f>VLOOKUP($C145,CHOOSE({1,2},怪物并表!$E$7:$E$1000,怪物并表!$D$7:$D$1000),2,FALSE)</f>
        <v>32</v>
      </c>
      <c r="Q145" s="33" t="s">
        <v>13</v>
      </c>
      <c r="R145" s="33">
        <f>VLOOKUP(Q145,怪物信息配置表!$A$2:$B$118,2,FALSE)</f>
        <v>1007</v>
      </c>
      <c r="S145" s="33">
        <v>1</v>
      </c>
      <c r="T145" s="49">
        <f>VLOOKUP($C145,怪物并表!$E$7:$N$1000,2+($D145-1)*3,FALSE)*S145*AJ145</f>
        <v>30990.514434410816</v>
      </c>
      <c r="U145" s="49">
        <f>VLOOKUP($C145,怪物并表!$E$7:$N$1000,3+($D145-1)*3,FALSE)*S145*AK145</f>
        <v>1720.4481003567344</v>
      </c>
      <c r="V145" s="49">
        <f>VLOOKUP($C145,怪物并表!$E$7:$N$1000,4+($D145-1)*3,FALSE)*S145*AL145</f>
        <v>819.29986370568577</v>
      </c>
      <c r="W145" s="33"/>
      <c r="X145" s="33"/>
      <c r="Y145" s="49">
        <f>VLOOKUP($C145,怪物并表!$E$7:$P$1000,12,FALSE)</f>
        <v>0</v>
      </c>
      <c r="Z145" s="49">
        <f>VLOOKUP($C145,怪物并表!$E$7:$P$1000,11,FALSE)*S145</f>
        <v>2204.8960000000002</v>
      </c>
      <c r="AA145" s="33"/>
      <c r="AB145" s="33"/>
      <c r="AC145" s="33"/>
      <c r="AD145" s="33">
        <f t="shared" si="17"/>
        <v>1</v>
      </c>
      <c r="AE145" s="2">
        <f t="shared" si="22"/>
        <v>620</v>
      </c>
      <c r="AF145" s="2" t="str">
        <f>IF(ISBLANK(AM145),IF(O145=6,"",IF(O145=1,VLOOKUP(R145,怪物信息配置表!B:H,5,FALSE),IF(O145=2,VLOOKUP(R145,怪物信息配置表!B:H,6,FALSE),IF(OR(O145=3,O145=5),VLOOKUP(R145,怪物信息配置表!B:H,7,FALSE),"")))),AM145)</f>
        <v>ai_monster_03</v>
      </c>
      <c r="AG145" s="2"/>
      <c r="AH145" s="15">
        <f>SUMPRODUCT(T145:V145,$AN$3:$AP$3)+ROUNDDOWN(VLOOKUP(P145,CHOOSE({1,2},'[1]消耗&amp;价值&amp;分析'!$C$7:$C$106,'[1]消耗&amp;价值&amp;分析'!$AS$7:$AS$106),2,FALSE)*0.6,0)</f>
        <v>4761.3685414388528</v>
      </c>
      <c r="AJ145" s="80">
        <v>1</v>
      </c>
      <c r="AK145" s="80">
        <v>1</v>
      </c>
      <c r="AL145" s="80">
        <v>1</v>
      </c>
    </row>
    <row r="146" spans="1:38">
      <c r="A146" s="33" t="str">
        <f>怪物并表!$R$7</f>
        <v>普通副本</v>
      </c>
      <c r="B146" s="38">
        <v>2</v>
      </c>
      <c r="C146" s="33">
        <f t="shared" si="18"/>
        <v>4004</v>
      </c>
      <c r="D146" s="33">
        <v>2</v>
      </c>
      <c r="E146" s="33">
        <f>VLOOKUP(A146,怪物并表!$R$7:$S$14,2,FALSE)</f>
        <v>1</v>
      </c>
      <c r="F146" s="38">
        <v>4</v>
      </c>
      <c r="G146" s="38">
        <v>4</v>
      </c>
      <c r="H146" s="38">
        <v>1</v>
      </c>
      <c r="I146" s="33">
        <f t="shared" si="19"/>
        <v>144102</v>
      </c>
      <c r="J146" s="33" t="s">
        <v>463</v>
      </c>
      <c r="K146" s="33"/>
      <c r="L146" s="33">
        <v>0</v>
      </c>
      <c r="M146" s="33">
        <v>1</v>
      </c>
      <c r="N146" s="33"/>
      <c r="O146" s="33">
        <v>1</v>
      </c>
      <c r="P146" s="33">
        <f>VLOOKUP($C146,CHOOSE({1,2},怪物并表!$E$7:$E$1000,怪物并表!$D$7:$D$1000),2,FALSE)</f>
        <v>32</v>
      </c>
      <c r="Q146" s="33" t="s">
        <v>17</v>
      </c>
      <c r="R146" s="33">
        <f>VLOOKUP(Q146,怪物信息配置表!$A$2:$B$118,2,FALSE)</f>
        <v>1005</v>
      </c>
      <c r="S146" s="33">
        <v>1</v>
      </c>
      <c r="T146" s="49">
        <f>VLOOKUP($C146,怪物并表!$E$7:$N$1000,2+($D146-1)*3,FALSE)*S146*AJ146</f>
        <v>24792.411547528653</v>
      </c>
      <c r="U146" s="49">
        <f>VLOOKUP($C146,怪物并表!$E$7:$N$1000,3+($D146-1)*3,FALSE)*S146*AK146</f>
        <v>1630.3332766916296</v>
      </c>
      <c r="V146" s="49">
        <f>VLOOKUP($C146,怪物并表!$E$7:$N$1000,4+($D146-1)*3,FALSE)*S146*AL146</f>
        <v>614.47489777926444</v>
      </c>
      <c r="W146" s="33"/>
      <c r="X146" s="33"/>
      <c r="Y146" s="49">
        <f>VLOOKUP($C146,怪物并表!$E$7:$P$1000,12,FALSE)</f>
        <v>0</v>
      </c>
      <c r="Z146" s="49">
        <f>VLOOKUP($C146,怪物并表!$E$7:$P$1000,11,FALSE)*S146</f>
        <v>2204.8960000000002</v>
      </c>
      <c r="AA146" s="33"/>
      <c r="AB146" s="33"/>
      <c r="AC146" s="33"/>
      <c r="AD146" s="33">
        <f t="shared" si="17"/>
        <v>0.8</v>
      </c>
      <c r="AE146" s="2">
        <f t="shared" si="22"/>
        <v>696</v>
      </c>
      <c r="AF146" s="2" t="str">
        <f>IF(ISBLANK(AM146),IF(O146=6,"",IF(O146=1,VLOOKUP(R146,怪物信息配置表!B:H,5,FALSE),IF(O146=2,VLOOKUP(R146,怪物信息配置表!B:H,6,FALSE),IF(OR(O146=3,O146=5),VLOOKUP(R146,怪物信息配置表!B:H,7,FALSE),"")))),AM146)</f>
        <v>ai_monster_02</v>
      </c>
      <c r="AG146" s="2"/>
      <c r="AH146" s="15">
        <f>SUMPRODUCT(T146:V146,$AN$3:$AP$3)+ROUNDDOWN(VLOOKUP(P146,CHOOSE({1,2},'[1]消耗&amp;价值&amp;分析'!$C$7:$C$106,'[1]消耗&amp;价值&amp;分析'!$AS$7:$AS$106),2,FALSE)*0.6,0)</f>
        <v>4218.5046363720403</v>
      </c>
      <c r="AJ146" s="80">
        <v>1</v>
      </c>
      <c r="AK146" s="80">
        <v>1</v>
      </c>
      <c r="AL146" s="80">
        <v>1</v>
      </c>
    </row>
    <row r="147" spans="1:38">
      <c r="A147" s="33" t="str">
        <f>怪物并表!$R$7</f>
        <v>普通副本</v>
      </c>
      <c r="B147" s="38">
        <v>3</v>
      </c>
      <c r="C147" s="33">
        <f t="shared" si="18"/>
        <v>4004</v>
      </c>
      <c r="D147" s="33">
        <v>1</v>
      </c>
      <c r="E147" s="33">
        <f>VLOOKUP(A147,怪物并表!$R$7:$S$14,2,FALSE)</f>
        <v>1</v>
      </c>
      <c r="F147" s="38">
        <v>4</v>
      </c>
      <c r="G147" s="38">
        <v>4</v>
      </c>
      <c r="H147" s="38">
        <v>1</v>
      </c>
      <c r="I147" s="33">
        <f t="shared" si="19"/>
        <v>144103</v>
      </c>
      <c r="J147" s="33" t="s">
        <v>462</v>
      </c>
      <c r="K147" s="33"/>
      <c r="L147" s="33">
        <v>0</v>
      </c>
      <c r="M147" s="33">
        <v>1</v>
      </c>
      <c r="N147" s="33" t="s">
        <v>215</v>
      </c>
      <c r="O147" s="33">
        <v>1</v>
      </c>
      <c r="P147" s="33">
        <f>VLOOKUP($C147,CHOOSE({1,2},怪物并表!$E$7:$E$1000,怪物并表!$D$7:$D$1000),2,FALSE)</f>
        <v>32</v>
      </c>
      <c r="Q147" s="33" t="s">
        <v>11</v>
      </c>
      <c r="R147" s="33">
        <f>VLOOKUP(Q147,怪物信息配置表!$A$2:$B$118,2,FALSE)</f>
        <v>1011</v>
      </c>
      <c r="S147" s="33">
        <v>1</v>
      </c>
      <c r="T147" s="49">
        <f>VLOOKUP($C147,怪物并表!$E$7:$N$1000,2+($D147-1)*3,FALSE)*S147*AJ147</f>
        <v>30990.514434410816</v>
      </c>
      <c r="U147" s="49">
        <f>VLOOKUP($C147,怪物并表!$E$7:$N$1000,3+($D147-1)*3,FALSE)*S147*AK147</f>
        <v>1720.4481003567344</v>
      </c>
      <c r="V147" s="49">
        <f>VLOOKUP($C147,怪物并表!$E$7:$N$1000,4+($D147-1)*3,FALSE)*S147*AL147</f>
        <v>819.29986370568577</v>
      </c>
      <c r="W147" s="33"/>
      <c r="X147" s="33"/>
      <c r="Y147" s="49">
        <f>VLOOKUP($C147,怪物并表!$E$7:$P$1000,12,FALSE)</f>
        <v>0</v>
      </c>
      <c r="Z147" s="49">
        <f>VLOOKUP($C147,怪物并表!$E$7:$P$1000,11,FALSE)*S147</f>
        <v>2204.8960000000002</v>
      </c>
      <c r="AA147" s="33"/>
      <c r="AB147" s="33"/>
      <c r="AC147" s="33"/>
      <c r="AD147" s="33">
        <f t="shared" si="17"/>
        <v>1</v>
      </c>
      <c r="AE147" s="2">
        <f t="shared" si="22"/>
        <v>620</v>
      </c>
      <c r="AF147" s="2" t="str">
        <f>IF(ISBLANK(AM147),IF(O147=6,"",IF(O147=1,VLOOKUP(R147,怪物信息配置表!B:H,5,FALSE),IF(O147=2,VLOOKUP(R147,怪物信息配置表!B:H,6,FALSE),IF(OR(O147=3,O147=5),VLOOKUP(R147,怪物信息配置表!B:H,7,FALSE),"")))),AM147)</f>
        <v>ai_monster</v>
      </c>
      <c r="AG147" s="2"/>
      <c r="AH147" s="15">
        <f>SUMPRODUCT(T147:V147,$AN$3:$AP$3)+ROUNDDOWN(VLOOKUP(P147,CHOOSE({1,2},'[1]消耗&amp;价值&amp;分析'!$C$7:$C$106,'[1]消耗&amp;价值&amp;分析'!$AS$7:$AS$106),2,FALSE)*0.6,0)</f>
        <v>4761.3685414388528</v>
      </c>
      <c r="AJ147" s="80">
        <v>1</v>
      </c>
      <c r="AK147" s="80">
        <v>1</v>
      </c>
      <c r="AL147" s="80">
        <v>1</v>
      </c>
    </row>
    <row r="148" spans="1:38">
      <c r="A148" s="33" t="str">
        <f>怪物并表!$R$7</f>
        <v>普通副本</v>
      </c>
      <c r="B148" s="38">
        <v>4</v>
      </c>
      <c r="C148" s="33">
        <f t="shared" si="18"/>
        <v>4004</v>
      </c>
      <c r="D148" s="33">
        <v>3</v>
      </c>
      <c r="E148" s="33">
        <f>VLOOKUP(A148,怪物并表!$R$7:$S$14,2,FALSE)</f>
        <v>1</v>
      </c>
      <c r="F148" s="38">
        <v>4</v>
      </c>
      <c r="G148" s="38">
        <v>4</v>
      </c>
      <c r="H148" s="38">
        <v>1</v>
      </c>
      <c r="I148" s="33">
        <f t="shared" si="19"/>
        <v>144104</v>
      </c>
      <c r="J148" s="33" t="s">
        <v>683</v>
      </c>
      <c r="K148" s="33"/>
      <c r="L148" s="33">
        <v>1</v>
      </c>
      <c r="M148" s="33">
        <v>1.2</v>
      </c>
      <c r="N148" s="33"/>
      <c r="O148" s="33">
        <v>3</v>
      </c>
      <c r="P148" s="33">
        <f>VLOOKUP($C148,CHOOSE({1,2},怪物并表!$E$7:$E$1000,怪物并表!$D$7:$D$1000),2,FALSE)</f>
        <v>32</v>
      </c>
      <c r="Q148" s="33" t="s">
        <v>14</v>
      </c>
      <c r="R148" s="33">
        <f>VLOOKUP(Q148,怪物信息配置表!$A$2:$B$118,2,FALSE)</f>
        <v>1010</v>
      </c>
      <c r="S148" s="33">
        <v>1</v>
      </c>
      <c r="T148" s="49">
        <f>VLOOKUP($C148,怪物并表!$E$7:$N$1000,2+($D148-1)*3,FALSE)*S148*AJ148</f>
        <v>77476.286086027045</v>
      </c>
      <c r="U148" s="49">
        <f>VLOOKUP($C148,怪物并表!$E$7:$N$1000,3+($D148-1)*3,FALSE)*S148*AK148</f>
        <v>1900.6777476869438</v>
      </c>
      <c r="V148" s="49">
        <f>VLOOKUP($C148,怪物并表!$E$7:$N$1000,4+($D148-1)*3,FALSE)*S148*AL148</f>
        <v>1024.1248296321073</v>
      </c>
      <c r="W148" s="33"/>
      <c r="X148" s="33"/>
      <c r="Y148" s="49">
        <f>VLOOKUP($C148,怪物并表!$E$7:$P$1000,12,FALSE)</f>
        <v>0</v>
      </c>
      <c r="Z148" s="49">
        <f>VLOOKUP($C148,怪物并表!$E$7:$P$1000,11,FALSE)*S148</f>
        <v>2204.8960000000002</v>
      </c>
      <c r="AA148" s="33"/>
      <c r="AB148" s="33"/>
      <c r="AC148" s="33"/>
      <c r="AD148" s="33">
        <f t="shared" si="17"/>
        <v>1.5</v>
      </c>
      <c r="AE148" s="2">
        <f t="shared" si="22"/>
        <v>430</v>
      </c>
      <c r="AF148" s="2" t="str">
        <f>IF(ISBLANK(AM148),IF(O148=6,"",IF(O148=1,VLOOKUP(R148,怪物信息配置表!B:H,5,FALSE),IF(O148=2,VLOOKUP(R148,怪物信息配置表!B:H,6,FALSE),IF(OR(O148=3,O148=5),VLOOKUP(R148,怪物信息配置表!B:H,7,FALSE),"")))),AM148)</f>
        <v>1010_gunnan_BOSS</v>
      </c>
      <c r="AG148" s="2"/>
      <c r="AH148" s="15">
        <f>SUMPRODUCT(T148:V148,$AN$3:$AP$3)+ROUNDDOWN(VLOOKUP(P148,CHOOSE({1,2},'[1]消耗&amp;价值&amp;分析'!$C$7:$C$106,'[1]消耗&amp;价值&amp;分析'!$AS$7:$AS$106),2,FALSE)*0.6,0)</f>
        <v>7005.8540207601336</v>
      </c>
      <c r="AJ148" s="80">
        <v>1</v>
      </c>
      <c r="AK148" s="80">
        <v>1</v>
      </c>
      <c r="AL148" s="80">
        <v>1</v>
      </c>
    </row>
    <row r="149" spans="1:38">
      <c r="A149" s="33" t="str">
        <f>怪物并表!$R$7</f>
        <v>普通副本</v>
      </c>
      <c r="B149" s="38">
        <v>1</v>
      </c>
      <c r="C149" s="33">
        <f t="shared" si="18"/>
        <v>4005</v>
      </c>
      <c r="D149" s="33">
        <v>1</v>
      </c>
      <c r="E149" s="33">
        <f>VLOOKUP(A149,怪物并表!$R$7:$S$14,2,FALSE)</f>
        <v>1</v>
      </c>
      <c r="F149" s="38">
        <v>4</v>
      </c>
      <c r="G149" s="38">
        <v>5</v>
      </c>
      <c r="H149" s="38">
        <v>1</v>
      </c>
      <c r="I149" s="33">
        <f t="shared" si="19"/>
        <v>145101</v>
      </c>
      <c r="J149" s="33" t="s">
        <v>480</v>
      </c>
      <c r="K149" s="33"/>
      <c r="L149" s="33">
        <v>0</v>
      </c>
      <c r="M149" s="33">
        <v>1</v>
      </c>
      <c r="N149" s="33"/>
      <c r="O149" s="33">
        <v>1</v>
      </c>
      <c r="P149" s="33">
        <f>VLOOKUP($C149,CHOOSE({1,2},怪物并表!$E$7:$E$1000,怪物并表!$D$7:$D$1000),2,FALSE)</f>
        <v>33</v>
      </c>
      <c r="Q149" s="33" t="s">
        <v>10</v>
      </c>
      <c r="R149" s="33">
        <f>VLOOKUP(Q149,怪物信息配置表!$A$2:$B$118,2,FALSE)</f>
        <v>1001</v>
      </c>
      <c r="S149" s="33">
        <v>1</v>
      </c>
      <c r="T149" s="49">
        <f>VLOOKUP($C149,怪物并表!$E$7:$N$1000,2+($D149-1)*3,FALSE)*S149*AJ149</f>
        <v>34573.196392958278</v>
      </c>
      <c r="U149" s="49">
        <f>VLOOKUP($C149,怪物并表!$E$7:$N$1000,3+($D149-1)*3,FALSE)*S149*AK149</f>
        <v>1905.5178265087504</v>
      </c>
      <c r="V149" s="49">
        <f>VLOOKUP($C149,怪物并表!$E$7:$N$1000,4+($D149-1)*3,FALSE)*S149*AL149</f>
        <v>899.37196073578662</v>
      </c>
      <c r="W149" s="33"/>
      <c r="X149" s="33"/>
      <c r="Y149" s="49">
        <f>VLOOKUP($C149,怪物并表!$E$7:$P$1000,12,FALSE)</f>
        <v>0</v>
      </c>
      <c r="Z149" s="49">
        <f>VLOOKUP($C149,怪物并表!$E$7:$P$1000,11,FALSE)*S149</f>
        <v>2263.1239999999998</v>
      </c>
      <c r="AA149" s="33"/>
      <c r="AB149" s="33"/>
      <c r="AC149" s="33"/>
      <c r="AD149" s="33">
        <f t="shared" si="17"/>
        <v>1</v>
      </c>
      <c r="AE149" s="2">
        <f t="shared" si="22"/>
        <v>608.125</v>
      </c>
      <c r="AF149" s="2" t="str">
        <f>IF(ISBLANK(AM149),IF(O149=6,"",IF(O149=1,VLOOKUP(R149,怪物信息配置表!B:H,5,FALSE),IF(O149=2,VLOOKUP(R149,怪物信息配置表!B:H,6,FALSE),IF(OR(O149=3,O149=5),VLOOKUP(R149,怪物信息配置表!B:H,7,FALSE),"")))),AM149)</f>
        <v>ai_monster</v>
      </c>
      <c r="AG149" s="2"/>
      <c r="AH149" s="15">
        <f>SUMPRODUCT(T149:V149,$AN$3:$AP$3)+ROUNDDOWN(VLOOKUP(P149,CHOOSE({1,2},'[1]消耗&amp;价值&amp;分析'!$C$7:$C$106,'[1]消耗&amp;价值&amp;分析'!$AS$7:$AS$106),2,FALSE)*0.6,0)</f>
        <v>5232.8176429628675</v>
      </c>
      <c r="AJ149" s="80">
        <v>1</v>
      </c>
      <c r="AK149" s="80">
        <v>1</v>
      </c>
      <c r="AL149" s="80">
        <v>1</v>
      </c>
    </row>
    <row r="150" spans="1:38">
      <c r="A150" s="33" t="str">
        <f>怪物并表!$R$7</f>
        <v>普通副本</v>
      </c>
      <c r="B150" s="38">
        <v>2</v>
      </c>
      <c r="C150" s="33">
        <f t="shared" si="18"/>
        <v>4005</v>
      </c>
      <c r="D150" s="33">
        <v>1</v>
      </c>
      <c r="E150" s="33">
        <f>VLOOKUP(A150,怪物并表!$R$7:$S$14,2,FALSE)</f>
        <v>1</v>
      </c>
      <c r="F150" s="38">
        <v>4</v>
      </c>
      <c r="G150" s="38">
        <v>5</v>
      </c>
      <c r="H150" s="38">
        <v>1</v>
      </c>
      <c r="I150" s="33">
        <f t="shared" si="19"/>
        <v>145102</v>
      </c>
      <c r="J150" s="33" t="s">
        <v>15</v>
      </c>
      <c r="K150" s="33"/>
      <c r="L150" s="33">
        <v>0</v>
      </c>
      <c r="M150" s="33">
        <v>1</v>
      </c>
      <c r="N150" s="33"/>
      <c r="O150" s="33">
        <v>1</v>
      </c>
      <c r="P150" s="33">
        <f>VLOOKUP($C150,CHOOSE({1,2},怪物并表!$E$7:$E$1000,怪物并表!$D$7:$D$1000),2,FALSE)</f>
        <v>33</v>
      </c>
      <c r="Q150" s="33" t="s">
        <v>15</v>
      </c>
      <c r="R150" s="33">
        <f>VLOOKUP(Q150,怪物信息配置表!$A$2:$B$118,2,FALSE)</f>
        <v>1004</v>
      </c>
      <c r="S150" s="33">
        <v>1</v>
      </c>
      <c r="T150" s="49">
        <f>VLOOKUP($C150,怪物并表!$E$7:$N$1000,2+($D150-1)*3,FALSE)*S150*AJ150</f>
        <v>34573.196392958278</v>
      </c>
      <c r="U150" s="49">
        <f>VLOOKUP($C150,怪物并表!$E$7:$N$1000,3+($D150-1)*3,FALSE)*S150*AK150</f>
        <v>1905.5178265087504</v>
      </c>
      <c r="V150" s="49">
        <f>VLOOKUP($C150,怪物并表!$E$7:$N$1000,4+($D150-1)*3,FALSE)*S150*AL150</f>
        <v>899.37196073578662</v>
      </c>
      <c r="W150" s="33"/>
      <c r="X150" s="33"/>
      <c r="Y150" s="49">
        <f>VLOOKUP($C150,怪物并表!$E$7:$P$1000,12,FALSE)</f>
        <v>0</v>
      </c>
      <c r="Z150" s="49">
        <f>VLOOKUP($C150,怪物并表!$E$7:$P$1000,11,FALSE)*S150</f>
        <v>2263.1239999999998</v>
      </c>
      <c r="AA150" s="33"/>
      <c r="AB150" s="33"/>
      <c r="AC150" s="33"/>
      <c r="AD150" s="33">
        <f t="shared" si="17"/>
        <v>1</v>
      </c>
      <c r="AE150" s="2">
        <f t="shared" si="22"/>
        <v>608.125</v>
      </c>
      <c r="AF150" s="2" t="str">
        <f>IF(ISBLANK(AM150),IF(O150=6,"",IF(O150=1,VLOOKUP(R150,怪物信息配置表!B:H,5,FALSE),IF(O150=2,VLOOKUP(R150,怪物信息配置表!B:H,6,FALSE),IF(OR(O150=3,O150=5),VLOOKUP(R150,怪物信息配置表!B:H,7,FALSE),"")))),AM150)</f>
        <v>ai_monster</v>
      </c>
      <c r="AG150" s="2"/>
      <c r="AH150" s="15">
        <f>SUMPRODUCT(T150:V150,$AN$3:$AP$3)+ROUNDDOWN(VLOOKUP(P150,CHOOSE({1,2},'[1]消耗&amp;价值&amp;分析'!$C$7:$C$106,'[1]消耗&amp;价值&amp;分析'!$AS$7:$AS$106),2,FALSE)*0.6,0)</f>
        <v>5232.8176429628675</v>
      </c>
      <c r="AJ150" s="80">
        <v>1</v>
      </c>
      <c r="AK150" s="80">
        <v>1</v>
      </c>
      <c r="AL150" s="80">
        <v>1</v>
      </c>
    </row>
    <row r="151" spans="1:38">
      <c r="A151" s="33" t="str">
        <f>怪物并表!$R$7</f>
        <v>普通副本</v>
      </c>
      <c r="B151" s="38">
        <v>3</v>
      </c>
      <c r="C151" s="33">
        <f t="shared" si="18"/>
        <v>4005</v>
      </c>
      <c r="D151" s="33">
        <v>1</v>
      </c>
      <c r="E151" s="33">
        <f>VLOOKUP(A151,怪物并表!$R$7:$S$14,2,FALSE)</f>
        <v>1</v>
      </c>
      <c r="F151" s="38">
        <v>4</v>
      </c>
      <c r="G151" s="38">
        <v>5</v>
      </c>
      <c r="H151" s="38">
        <v>1</v>
      </c>
      <c r="I151" s="33">
        <f t="shared" si="19"/>
        <v>145103</v>
      </c>
      <c r="J151" s="33" t="s">
        <v>481</v>
      </c>
      <c r="K151" s="33"/>
      <c r="L151" s="33">
        <v>0</v>
      </c>
      <c r="M151" s="33">
        <v>1</v>
      </c>
      <c r="N151" s="33"/>
      <c r="O151" s="33">
        <v>1</v>
      </c>
      <c r="P151" s="33">
        <f>VLOOKUP($C151,CHOOSE({1,2},怪物并表!$E$7:$E$1000,怪物并表!$D$7:$D$1000),2,FALSE)</f>
        <v>33</v>
      </c>
      <c r="Q151" s="33" t="s">
        <v>14</v>
      </c>
      <c r="R151" s="33">
        <f>VLOOKUP(Q151,怪物信息配置表!$A$2:$B$118,2,FALSE)</f>
        <v>1010</v>
      </c>
      <c r="S151" s="33">
        <v>1</v>
      </c>
      <c r="T151" s="49">
        <f>VLOOKUP($C151,怪物并表!$E$7:$N$1000,2+($D151-1)*3,FALSE)*S151*AJ151</f>
        <v>34573.196392958278</v>
      </c>
      <c r="U151" s="49">
        <f>VLOOKUP($C151,怪物并表!$E$7:$N$1000,3+($D151-1)*3,FALSE)*S151*AK151</f>
        <v>1905.5178265087504</v>
      </c>
      <c r="V151" s="49">
        <f>VLOOKUP($C151,怪物并表!$E$7:$N$1000,4+($D151-1)*3,FALSE)*S151*AL151</f>
        <v>899.37196073578662</v>
      </c>
      <c r="W151" s="33"/>
      <c r="X151" s="33"/>
      <c r="Y151" s="49">
        <f>VLOOKUP($C151,怪物并表!$E$7:$P$1000,12,FALSE)</f>
        <v>0</v>
      </c>
      <c r="Z151" s="49">
        <f>VLOOKUP($C151,怪物并表!$E$7:$P$1000,11,FALSE)*S151</f>
        <v>2263.1239999999998</v>
      </c>
      <c r="AA151" s="33"/>
      <c r="AB151" s="33"/>
      <c r="AC151" s="33"/>
      <c r="AD151" s="33">
        <f t="shared" si="17"/>
        <v>1</v>
      </c>
      <c r="AE151" s="2">
        <f t="shared" si="22"/>
        <v>608.125</v>
      </c>
      <c r="AF151" s="2" t="str">
        <f>IF(ISBLANK(AM151),IF(O151=6,"",IF(O151=1,VLOOKUP(R151,怪物信息配置表!B:H,5,FALSE),IF(O151=2,VLOOKUP(R151,怪物信息配置表!B:H,6,FALSE),IF(OR(O151=3,O151=5),VLOOKUP(R151,怪物信息配置表!B:H,7,FALSE),"")))),AM151)</f>
        <v>ai_monster</v>
      </c>
      <c r="AG151" s="2"/>
      <c r="AH151" s="15">
        <f>SUMPRODUCT(T151:V151,$AN$3:$AP$3)+ROUNDDOWN(VLOOKUP(P151,CHOOSE({1,2},'[1]消耗&amp;价值&amp;分析'!$C$7:$C$106,'[1]消耗&amp;价值&amp;分析'!$AS$7:$AS$106),2,FALSE)*0.6,0)</f>
        <v>5232.8176429628675</v>
      </c>
      <c r="AJ151" s="80">
        <v>1</v>
      </c>
      <c r="AK151" s="80">
        <v>1</v>
      </c>
      <c r="AL151" s="80">
        <v>1</v>
      </c>
    </row>
    <row r="152" spans="1:38">
      <c r="A152" s="33" t="str">
        <f>怪物并表!$R$7</f>
        <v>普通副本</v>
      </c>
      <c r="B152" s="38">
        <v>4</v>
      </c>
      <c r="C152" s="33">
        <f t="shared" si="18"/>
        <v>4005</v>
      </c>
      <c r="D152" s="33">
        <v>3</v>
      </c>
      <c r="E152" s="33">
        <f>VLOOKUP(A152,怪物并表!$R$7:$S$14,2,FALSE)</f>
        <v>1</v>
      </c>
      <c r="F152" s="38">
        <v>4</v>
      </c>
      <c r="G152" s="38">
        <v>5</v>
      </c>
      <c r="H152" s="38">
        <v>1</v>
      </c>
      <c r="I152" s="33">
        <f t="shared" si="19"/>
        <v>145104</v>
      </c>
      <c r="J152" s="33" t="s">
        <v>684</v>
      </c>
      <c r="K152" s="33"/>
      <c r="L152" s="33">
        <v>1</v>
      </c>
      <c r="M152" s="33">
        <v>1.2</v>
      </c>
      <c r="N152" s="33"/>
      <c r="O152" s="33">
        <v>3</v>
      </c>
      <c r="P152" s="33">
        <f>VLOOKUP($C152,CHOOSE({1,2},怪物并表!$E$7:$E$1000,怪物并表!$D$7:$D$1000),2,FALSE)</f>
        <v>33</v>
      </c>
      <c r="Q152" s="33" t="s">
        <v>564</v>
      </c>
      <c r="R152" s="33">
        <f>VLOOKUP(Q152,怪物信息配置表!$A$2:$B$118,2,FALSE)</f>
        <v>1112</v>
      </c>
      <c r="S152" s="33">
        <v>1</v>
      </c>
      <c r="T152" s="49">
        <f>VLOOKUP($C152,怪物并表!$E$7:$N$1000,2+($D152-1)*3,FALSE)*S152*AJ152</f>
        <v>86432.990982395699</v>
      </c>
      <c r="U152" s="49">
        <f>VLOOKUP($C152,怪物并表!$E$7:$N$1000,3+($D152-1)*3,FALSE)*S152*AK152</f>
        <v>2106.7469996633431</v>
      </c>
      <c r="V152" s="49">
        <f>VLOOKUP($C152,怪物并表!$E$7:$N$1000,4+($D152-1)*3,FALSE)*S152*AL152</f>
        <v>1124.2149509197332</v>
      </c>
      <c r="W152" s="33"/>
      <c r="X152" s="33"/>
      <c r="Y152" s="49">
        <f>VLOOKUP($C152,怪物并表!$E$7:$P$1000,12,FALSE)</f>
        <v>0</v>
      </c>
      <c r="Z152" s="49">
        <f>VLOOKUP($C152,怪物并表!$E$7:$P$1000,11,FALSE)*S152</f>
        <v>2263.1239999999998</v>
      </c>
      <c r="AA152" s="33"/>
      <c r="AB152" s="33"/>
      <c r="AC152" s="33"/>
      <c r="AD152" s="33">
        <f t="shared" si="17"/>
        <v>1.5</v>
      </c>
      <c r="AE152" s="2">
        <f t="shared" si="22"/>
        <v>221.5625</v>
      </c>
      <c r="AF152" s="2" t="str">
        <f>IF(ISBLANK(AM152),IF(O152=6,"",IF(O152=1,VLOOKUP(R152,怪物信息配置表!B:H,5,FALSE),IF(O152=2,VLOOKUP(R152,怪物信息配置表!B:H,6,FALSE),IF(OR(O152=3,O152=5),VLOOKUP(R152,怪物信息配置表!B:H,7,FALSE),"")))),AM152)</f>
        <v>1112_shengfan_BOSS</v>
      </c>
      <c r="AG152" s="2"/>
      <c r="AH152" s="15">
        <f>SUMPRODUCT(T152:V152,$AN$3:$AP$3)+ROUNDDOWN(VLOOKUP(P152,CHOOSE({1,2},'[1]消耗&amp;价值&amp;分析'!$C$7:$C$106,'[1]消耗&amp;价值&amp;分析'!$AS$7:$AS$106),2,FALSE)*0.6,0)</f>
        <v>7733.2815898789049</v>
      </c>
      <c r="AJ152" s="80">
        <v>1</v>
      </c>
      <c r="AK152" s="80">
        <v>1</v>
      </c>
      <c r="AL152" s="80">
        <v>1</v>
      </c>
    </row>
    <row r="153" spans="1:38">
      <c r="A153" s="33" t="str">
        <f>怪物并表!$R$7</f>
        <v>普通副本</v>
      </c>
      <c r="B153" s="38">
        <v>1</v>
      </c>
      <c r="C153" s="33">
        <f t="shared" si="18"/>
        <v>4006</v>
      </c>
      <c r="D153" s="33">
        <v>2</v>
      </c>
      <c r="E153" s="33">
        <f>VLOOKUP(A153,怪物并表!$R$7:$S$14,2,FALSE)</f>
        <v>1</v>
      </c>
      <c r="F153" s="38">
        <v>4</v>
      </c>
      <c r="G153" s="38">
        <v>6</v>
      </c>
      <c r="H153" s="38">
        <v>1</v>
      </c>
      <c r="I153" s="33">
        <f t="shared" si="19"/>
        <v>146101</v>
      </c>
      <c r="J153" s="33" t="s">
        <v>463</v>
      </c>
      <c r="K153" s="33"/>
      <c r="L153" s="33">
        <v>0</v>
      </c>
      <c r="M153" s="33">
        <v>1</v>
      </c>
      <c r="N153" s="33"/>
      <c r="O153" s="33">
        <v>1</v>
      </c>
      <c r="P153" s="33">
        <f>VLOOKUP($C153,CHOOSE({1,2},怪物并表!$E$7:$E$1000,怪物并表!$D$7:$D$1000),2,FALSE)</f>
        <v>34</v>
      </c>
      <c r="Q153" s="33" t="s">
        <v>17</v>
      </c>
      <c r="R153" s="33">
        <f>VLOOKUP(Q153,怪物信息配置表!$A$2:$B$118,2,FALSE)</f>
        <v>1005</v>
      </c>
      <c r="S153" s="33">
        <v>1</v>
      </c>
      <c r="T153" s="49">
        <f>VLOOKUP($C153,怪物并表!$E$7:$N$1000,2+($D153-1)*3,FALSE)*S153*AJ153</f>
        <v>30741.389611293431</v>
      </c>
      <c r="U153" s="49">
        <f>VLOOKUP($C153,怪物并表!$E$7:$N$1000,3+($D153-1)*3,FALSE)*S153*AK153</f>
        <v>1991.2940120985909</v>
      </c>
      <c r="V153" s="49">
        <f>VLOOKUP($C153,怪物并表!$E$7:$N$1000,4+($D153-1)*3,FALSE)*S153*AL153</f>
        <v>737.94877055518418</v>
      </c>
      <c r="W153" s="33"/>
      <c r="X153" s="33"/>
      <c r="Y153" s="49">
        <f>VLOOKUP($C153,怪物并表!$E$7:$P$1000,12,FALSE)</f>
        <v>0</v>
      </c>
      <c r="Z153" s="49">
        <f>VLOOKUP($C153,怪物并表!$E$7:$P$1000,11,FALSE)*S153</f>
        <v>2321.3520000000003</v>
      </c>
      <c r="AA153" s="33"/>
      <c r="AB153" s="33"/>
      <c r="AC153" s="33"/>
      <c r="AD153" s="33">
        <f t="shared" si="17"/>
        <v>0.8</v>
      </c>
      <c r="AE153" s="2">
        <f t="shared" si="22"/>
        <v>677</v>
      </c>
      <c r="AF153" s="2" t="str">
        <f>IF(ISBLANK(AM153),IF(O153=6,"",IF(O153=1,VLOOKUP(R153,怪物信息配置表!B:H,5,FALSE),IF(O153=2,VLOOKUP(R153,怪物信息配置表!B:H,6,FALSE),IF(OR(O153=3,O153=5),VLOOKUP(R153,怪物信息配置表!B:H,7,FALSE),"")))),AM153)</f>
        <v>ai_monster_02</v>
      </c>
      <c r="AG153" s="2"/>
      <c r="AH153" s="15">
        <f>SUMPRODUCT(T153:V153,$AN$3:$AP$3)+ROUNDDOWN(VLOOKUP(P153,CHOOSE({1,2},'[1]消耗&amp;价值&amp;分析'!$C$7:$C$106,'[1]消耗&amp;价值&amp;分析'!$AS$7:$AS$106),2,FALSE)*0.6,0)</f>
        <v>5084.8983671055121</v>
      </c>
      <c r="AJ153" s="80">
        <v>1</v>
      </c>
      <c r="AK153" s="80">
        <v>1</v>
      </c>
      <c r="AL153" s="80">
        <v>1</v>
      </c>
    </row>
    <row r="154" spans="1:38">
      <c r="A154" s="33" t="str">
        <f>怪物并表!$R$7</f>
        <v>普通副本</v>
      </c>
      <c r="B154" s="38">
        <v>2</v>
      </c>
      <c r="C154" s="33">
        <f t="shared" si="18"/>
        <v>4006</v>
      </c>
      <c r="D154" s="33">
        <v>1</v>
      </c>
      <c r="E154" s="33">
        <f>VLOOKUP(A154,怪物并表!$R$7:$S$14,2,FALSE)</f>
        <v>1</v>
      </c>
      <c r="F154" s="38">
        <v>4</v>
      </c>
      <c r="G154" s="38">
        <v>6</v>
      </c>
      <c r="H154" s="38">
        <v>1</v>
      </c>
      <c r="I154" s="33">
        <f t="shared" si="19"/>
        <v>146102</v>
      </c>
      <c r="J154" s="33" t="s">
        <v>7</v>
      </c>
      <c r="K154" s="33"/>
      <c r="L154" s="33">
        <v>0</v>
      </c>
      <c r="M154" s="33">
        <v>1</v>
      </c>
      <c r="N154" s="33"/>
      <c r="O154" s="33">
        <v>1</v>
      </c>
      <c r="P154" s="33">
        <f>VLOOKUP($C154,CHOOSE({1,2},怪物并表!$E$7:$E$1000,怪物并表!$D$7:$D$1000),2,FALSE)</f>
        <v>34</v>
      </c>
      <c r="Q154" s="33" t="s">
        <v>7</v>
      </c>
      <c r="R154" s="33">
        <f>VLOOKUP(Q154,怪物信息配置表!$A$2:$B$118,2,FALSE)</f>
        <v>1002</v>
      </c>
      <c r="S154" s="33">
        <v>1</v>
      </c>
      <c r="T154" s="49">
        <f>VLOOKUP($C154,怪物并表!$E$7:$N$1000,2+($D154-1)*3,FALSE)*S154*AJ154</f>
        <v>38426.737014116785</v>
      </c>
      <c r="U154" s="49">
        <f>VLOOKUP($C154,怪物并表!$E$7:$N$1000,3+($D154-1)*3,FALSE)*S154*AK154</f>
        <v>2103.2231585458144</v>
      </c>
      <c r="V154" s="49">
        <f>VLOOKUP($C154,怪物并表!$E$7:$N$1000,4+($D154-1)*3,FALSE)*S154*AL154</f>
        <v>983.93169407357891</v>
      </c>
      <c r="W154" s="33"/>
      <c r="X154" s="33"/>
      <c r="Y154" s="49">
        <f>VLOOKUP($C154,怪物并表!$E$7:$P$1000,12,FALSE)</f>
        <v>0</v>
      </c>
      <c r="Z154" s="49">
        <f>VLOOKUP($C154,怪物并表!$E$7:$P$1000,11,FALSE)*S154</f>
        <v>2321.3520000000003</v>
      </c>
      <c r="AA154" s="33"/>
      <c r="AB154" s="33"/>
      <c r="AC154" s="33"/>
      <c r="AD154" s="33">
        <f t="shared" si="17"/>
        <v>1</v>
      </c>
      <c r="AE154" s="2">
        <f t="shared" si="22"/>
        <v>596.25</v>
      </c>
      <c r="AF154" s="2" t="str">
        <f>IF(ISBLANK(AM154),IF(O154=6,"",IF(O154=1,VLOOKUP(R154,怪物信息配置表!B:H,5,FALSE),IF(O154=2,VLOOKUP(R154,怪物信息配置表!B:H,6,FALSE),IF(OR(O154=3,O154=5),VLOOKUP(R154,怪物信息配置表!B:H,7,FALSE),"")))),AM154)</f>
        <v>ai_monster</v>
      </c>
      <c r="AG154" s="2"/>
      <c r="AH154" s="15">
        <f>SUMPRODUCT(T154:V154,$AN$3:$AP$3)+ROUNDDOWN(VLOOKUP(P154,CHOOSE({1,2},'[1]消耗&amp;价值&amp;分析'!$C$7:$C$106,'[1]消耗&amp;价值&amp;分析'!$AS$7:$AS$106),2,FALSE)*0.6,0)</f>
        <v>5750.2243331840646</v>
      </c>
      <c r="AJ154" s="80">
        <v>1</v>
      </c>
      <c r="AK154" s="80">
        <v>1</v>
      </c>
      <c r="AL154" s="80">
        <v>1</v>
      </c>
    </row>
    <row r="155" spans="1:38">
      <c r="A155" s="33" t="str">
        <f>怪物并表!$R$7</f>
        <v>普通副本</v>
      </c>
      <c r="B155" s="38">
        <v>3</v>
      </c>
      <c r="C155" s="33">
        <f t="shared" si="18"/>
        <v>4006</v>
      </c>
      <c r="D155" s="33">
        <v>1</v>
      </c>
      <c r="E155" s="33">
        <f>VLOOKUP(A155,怪物并表!$R$7:$S$14,2,FALSE)</f>
        <v>1</v>
      </c>
      <c r="F155" s="38">
        <v>4</v>
      </c>
      <c r="G155" s="38">
        <v>6</v>
      </c>
      <c r="H155" s="38">
        <v>1</v>
      </c>
      <c r="I155" s="33">
        <f t="shared" si="19"/>
        <v>146103</v>
      </c>
      <c r="J155" s="33" t="s">
        <v>478</v>
      </c>
      <c r="K155" s="33"/>
      <c r="L155" s="33">
        <v>0</v>
      </c>
      <c r="M155" s="33">
        <v>1</v>
      </c>
      <c r="N155" s="33"/>
      <c r="O155" s="33">
        <v>1</v>
      </c>
      <c r="P155" s="33">
        <f>VLOOKUP($C155,CHOOSE({1,2},怪物并表!$E$7:$E$1000,怪物并表!$D$7:$D$1000),2,FALSE)</f>
        <v>34</v>
      </c>
      <c r="Q155" s="33" t="s">
        <v>18</v>
      </c>
      <c r="R155" s="33">
        <f>VLOOKUP(Q155,怪物信息配置表!$A$2:$B$118,2,FALSE)</f>
        <v>1006</v>
      </c>
      <c r="S155" s="33">
        <v>1</v>
      </c>
      <c r="T155" s="49">
        <f>VLOOKUP($C155,怪物并表!$E$7:$N$1000,2+($D155-1)*3,FALSE)*S155*AJ155</f>
        <v>38426.737014116785</v>
      </c>
      <c r="U155" s="49">
        <f>VLOOKUP($C155,怪物并表!$E$7:$N$1000,3+($D155-1)*3,FALSE)*S155*AK155</f>
        <v>2103.2231585458144</v>
      </c>
      <c r="V155" s="49">
        <f>VLOOKUP($C155,怪物并表!$E$7:$N$1000,4+($D155-1)*3,FALSE)*S155*AL155</f>
        <v>983.93169407357891</v>
      </c>
      <c r="W155" s="33"/>
      <c r="X155" s="33"/>
      <c r="Y155" s="49">
        <f>VLOOKUP($C155,怪物并表!$E$7:$P$1000,12,FALSE)</f>
        <v>0</v>
      </c>
      <c r="Z155" s="49">
        <f>VLOOKUP($C155,怪物并表!$E$7:$P$1000,11,FALSE)*S155</f>
        <v>2321.3520000000003</v>
      </c>
      <c r="AA155" s="33"/>
      <c r="AB155" s="33"/>
      <c r="AC155" s="33"/>
      <c r="AD155" s="33">
        <f t="shared" si="17"/>
        <v>1</v>
      </c>
      <c r="AE155" s="2">
        <f t="shared" si="22"/>
        <v>596.25</v>
      </c>
      <c r="AF155" s="2" t="str">
        <f>IF(ISBLANK(AM155),IF(O155=6,"",IF(O155=1,VLOOKUP(R155,怪物信息配置表!B:H,5,FALSE),IF(O155=2,VLOOKUP(R155,怪物信息配置表!B:H,6,FALSE),IF(OR(O155=3,O155=5),VLOOKUP(R155,怪物信息配置表!B:H,7,FALSE),"")))),AM155)</f>
        <v>ai_monster_03</v>
      </c>
      <c r="AG155" s="2"/>
      <c r="AH155" s="15">
        <f>SUMPRODUCT(T155:V155,$AN$3:$AP$3)+ROUNDDOWN(VLOOKUP(P155,CHOOSE({1,2},'[1]消耗&amp;价值&amp;分析'!$C$7:$C$106,'[1]消耗&amp;价值&amp;分析'!$AS$7:$AS$106),2,FALSE)*0.6,0)</f>
        <v>5750.2243331840646</v>
      </c>
      <c r="AJ155" s="80">
        <v>1</v>
      </c>
      <c r="AK155" s="80">
        <v>1</v>
      </c>
      <c r="AL155" s="80">
        <v>1</v>
      </c>
    </row>
    <row r="156" spans="1:38">
      <c r="A156" s="33" t="str">
        <f>怪物并表!$R$7</f>
        <v>普通副本</v>
      </c>
      <c r="B156" s="38">
        <v>4</v>
      </c>
      <c r="C156" s="33">
        <f t="shared" si="18"/>
        <v>4006</v>
      </c>
      <c r="D156" s="33">
        <v>3</v>
      </c>
      <c r="E156" s="33">
        <f>VLOOKUP(A156,怪物并表!$R$7:$S$14,2,FALSE)</f>
        <v>1</v>
      </c>
      <c r="F156" s="38">
        <v>4</v>
      </c>
      <c r="G156" s="38">
        <v>6</v>
      </c>
      <c r="H156" s="38">
        <v>1</v>
      </c>
      <c r="I156" s="33">
        <f t="shared" si="19"/>
        <v>146104</v>
      </c>
      <c r="J156" s="33" t="s">
        <v>685</v>
      </c>
      <c r="K156" s="33"/>
      <c r="L156" s="33">
        <v>1</v>
      </c>
      <c r="M156" s="33">
        <v>1.3</v>
      </c>
      <c r="N156" s="33" t="s">
        <v>431</v>
      </c>
      <c r="O156" s="33">
        <v>3</v>
      </c>
      <c r="P156" s="33">
        <f>VLOOKUP($C156,CHOOSE({1,2},怪物并表!$E$7:$E$1000,怪物并表!$D$7:$D$1000),2,FALSE)</f>
        <v>34</v>
      </c>
      <c r="Q156" s="33" t="s">
        <v>15</v>
      </c>
      <c r="R156" s="33">
        <f>VLOOKUP(Q156,怪物信息配置表!$A$2:$B$118,2,FALSE)</f>
        <v>1004</v>
      </c>
      <c r="S156" s="33">
        <v>1</v>
      </c>
      <c r="T156" s="49">
        <f>VLOOKUP($C156,怪物并表!$E$7:$N$1000,2+($D156-1)*3,FALSE)*S156*AJ156</f>
        <v>96066.842535291958</v>
      </c>
      <c r="U156" s="49">
        <f>VLOOKUP($C156,怪物并表!$E$7:$N$1000,3+($D156-1)*3,FALSE)*S156*AK156</f>
        <v>2327.0814514402614</v>
      </c>
      <c r="V156" s="49">
        <f>VLOOKUP($C156,怪物并表!$E$7:$N$1000,4+($D156-1)*3,FALSE)*S156*AL156</f>
        <v>1229.9146175919736</v>
      </c>
      <c r="W156" s="33"/>
      <c r="X156" s="33"/>
      <c r="Y156" s="49">
        <f>VLOOKUP($C156,怪物并表!$E$7:$P$1000,12,FALSE)</f>
        <v>0</v>
      </c>
      <c r="Z156" s="49">
        <f>VLOOKUP($C156,怪物并表!$E$7:$P$1000,11,FALSE)*S156</f>
        <v>2321.3520000000003</v>
      </c>
      <c r="AA156" s="33"/>
      <c r="AB156" s="33"/>
      <c r="AC156" s="33"/>
      <c r="AD156" s="33">
        <f t="shared" si="17"/>
        <v>1.5</v>
      </c>
      <c r="AE156" s="2">
        <f t="shared" si="22"/>
        <v>394.375</v>
      </c>
      <c r="AF156" s="2" t="str">
        <f>IF(ISBLANK(AM156),IF(O156=6,"",IF(O156=1,VLOOKUP(R156,怪物信息配置表!B:H,5,FALSE),IF(O156=2,VLOOKUP(R156,怪物信息配置表!B:H,6,FALSE),IF(OR(O156=3,O156=5),VLOOKUP(R156,怪物信息配置表!B:H,7,FALSE),"")))),AM156)</f>
        <v>1004_pangzi_BOSS</v>
      </c>
      <c r="AG156" s="2"/>
      <c r="AH156" s="15">
        <f>SUMPRODUCT(T156:V156,$AN$3:$AP$3)+ROUNDDOWN(VLOOKUP(P156,CHOOSE({1,2},'[1]消耗&amp;价值&amp;分析'!$C$7:$C$106,'[1]消耗&amp;价值&amp;分析'!$AS$7:$AS$106),2,FALSE)*0.6,0)</f>
        <v>8525.6697704439139</v>
      </c>
      <c r="AJ156" s="80">
        <v>1</v>
      </c>
      <c r="AK156" s="80">
        <v>1</v>
      </c>
      <c r="AL156" s="80">
        <v>1</v>
      </c>
    </row>
    <row r="157" spans="1:38">
      <c r="A157" s="33" t="str">
        <f>怪物并表!$R$7</f>
        <v>普通副本</v>
      </c>
      <c r="B157" s="38">
        <v>1</v>
      </c>
      <c r="C157" s="33">
        <f t="shared" ref="C157:C168" si="25">F157*1000+G157</f>
        <v>4007</v>
      </c>
      <c r="D157" s="33">
        <v>1</v>
      </c>
      <c r="E157" s="33">
        <f>VLOOKUP(A157,怪物并表!$R$7:$S$14,2,FALSE)</f>
        <v>1</v>
      </c>
      <c r="F157" s="38">
        <v>4</v>
      </c>
      <c r="G157" s="38">
        <v>7</v>
      </c>
      <c r="H157" s="38">
        <v>1</v>
      </c>
      <c r="I157" s="33">
        <f t="shared" si="19"/>
        <v>147101</v>
      </c>
      <c r="J157" s="33" t="s">
        <v>228</v>
      </c>
      <c r="K157" s="33"/>
      <c r="L157" s="33">
        <v>0</v>
      </c>
      <c r="M157" s="33">
        <v>1</v>
      </c>
      <c r="N157" s="33"/>
      <c r="O157" s="33">
        <v>1</v>
      </c>
      <c r="P157" s="33">
        <f>VLOOKUP($C157,CHOOSE({1,2},怪物并表!$E$7:$E$1000,怪物并表!$D$7:$D$1000),2,FALSE)</f>
        <v>35</v>
      </c>
      <c r="Q157" s="33" t="s">
        <v>13</v>
      </c>
      <c r="R157" s="33">
        <f>VLOOKUP(Q157,怪物信息配置表!$A$2:$B$118,2,FALSE)</f>
        <v>1007</v>
      </c>
      <c r="S157" s="33">
        <v>1</v>
      </c>
      <c r="T157" s="49">
        <f>VLOOKUP($C157,怪物并表!$E$7:$N$1000,2+($D157-1)*3,FALSE)*S157*AJ157</f>
        <v>42562.734823703468</v>
      </c>
      <c r="U157" s="49">
        <f>VLOOKUP($C157,怪物并表!$E$7:$N$1000,3+($D157-1)*3,FALSE)*S157*AK157</f>
        <v>2314.0513733626863</v>
      </c>
      <c r="V157" s="49">
        <f>VLOOKUP($C157,怪物并表!$E$7:$N$1000,4+($D157-1)*3,FALSE)*S157*AL157</f>
        <v>1073.0790260869569</v>
      </c>
      <c r="W157" s="33"/>
      <c r="X157" s="33"/>
      <c r="Y157" s="49">
        <f>VLOOKUP($C157,怪物并表!$E$7:$P$1000,12,FALSE)</f>
        <v>0</v>
      </c>
      <c r="Z157" s="49">
        <f>VLOOKUP($C157,怪物并表!$E$7:$P$1000,11,FALSE)*S157</f>
        <v>2379.58</v>
      </c>
      <c r="AA157" s="33"/>
      <c r="AB157" s="33"/>
      <c r="AC157" s="33"/>
      <c r="AD157" s="33">
        <f t="shared" ref="AD157:AD168" si="26">IF(D157=1,1,IF(D157=2,0.8,1.5))</f>
        <v>1</v>
      </c>
      <c r="AE157" s="2">
        <f t="shared" si="22"/>
        <v>584.375</v>
      </c>
      <c r="AF157" s="2" t="str">
        <f>IF(ISBLANK(AM157),IF(O157=6,"",IF(O157=1,VLOOKUP(R157,怪物信息配置表!B:H,5,FALSE),IF(O157=2,VLOOKUP(R157,怪物信息配置表!B:H,6,FALSE),IF(OR(O157=3,O157=5),VLOOKUP(R157,怪物信息配置表!B:H,7,FALSE),"")))),AM157)</f>
        <v>ai_monster_03</v>
      </c>
      <c r="AG157" s="2"/>
      <c r="AH157" s="15">
        <f>SUMPRODUCT(T157:V157,$AN$3:$AP$3)+ROUNDDOWN(VLOOKUP(P157,CHOOSE({1,2},'[1]消耗&amp;价值&amp;分析'!$C$7:$C$106,'[1]消耗&amp;价值&amp;分析'!$AS$7:$AS$106),2,FALSE)*0.6,0)</f>
        <v>6293.639792397782</v>
      </c>
      <c r="AJ157" s="80">
        <v>1</v>
      </c>
      <c r="AK157" s="80">
        <v>1</v>
      </c>
      <c r="AL157" s="80">
        <v>1</v>
      </c>
    </row>
    <row r="158" spans="1:38">
      <c r="A158" s="33" t="str">
        <f>怪物并表!$R$7</f>
        <v>普通副本</v>
      </c>
      <c r="B158" s="38">
        <v>2</v>
      </c>
      <c r="C158" s="33">
        <f t="shared" si="25"/>
        <v>4007</v>
      </c>
      <c r="D158" s="33">
        <v>2</v>
      </c>
      <c r="E158" s="33">
        <f>VLOOKUP(A158,怪物并表!$R$7:$S$14,2,FALSE)</f>
        <v>1</v>
      </c>
      <c r="F158" s="38">
        <v>4</v>
      </c>
      <c r="G158" s="38">
        <v>7</v>
      </c>
      <c r="H158" s="38">
        <v>1</v>
      </c>
      <c r="I158" s="33">
        <f t="shared" si="19"/>
        <v>147102</v>
      </c>
      <c r="J158" s="33" t="s">
        <v>463</v>
      </c>
      <c r="K158" s="33"/>
      <c r="L158" s="33">
        <v>0</v>
      </c>
      <c r="M158" s="33">
        <v>1</v>
      </c>
      <c r="N158" s="33"/>
      <c r="O158" s="33">
        <v>1</v>
      </c>
      <c r="P158" s="33">
        <f>VLOOKUP($C158,CHOOSE({1,2},怪物并表!$E$7:$E$1000,怪物并表!$D$7:$D$1000),2,FALSE)</f>
        <v>35</v>
      </c>
      <c r="Q158" s="33" t="s">
        <v>17</v>
      </c>
      <c r="R158" s="33">
        <f>VLOOKUP(Q158,怪物信息配置表!$A$2:$B$118,2,FALSE)</f>
        <v>1005</v>
      </c>
      <c r="S158" s="33">
        <v>1</v>
      </c>
      <c r="T158" s="49">
        <f>VLOOKUP($C158,怪物并表!$E$7:$N$1000,2+($D158-1)*3,FALSE)*S158*AJ158</f>
        <v>34050.187858962774</v>
      </c>
      <c r="U158" s="49">
        <f>VLOOKUP($C158,怪物并表!$E$7:$N$1000,3+($D158-1)*3,FALSE)*S158*AK158</f>
        <v>2189.9541386351134</v>
      </c>
      <c r="V158" s="49">
        <f>VLOOKUP($C158,怪物并表!$E$7:$N$1000,4+($D158-1)*3,FALSE)*S158*AL158</f>
        <v>804.80926956521785</v>
      </c>
      <c r="W158" s="33"/>
      <c r="X158" s="33"/>
      <c r="Y158" s="49">
        <f>VLOOKUP($C158,怪物并表!$E$7:$P$1000,12,FALSE)</f>
        <v>0</v>
      </c>
      <c r="Z158" s="49">
        <f>VLOOKUP($C158,怪物并表!$E$7:$P$1000,11,FALSE)*S158</f>
        <v>2379.58</v>
      </c>
      <c r="AA158" s="33"/>
      <c r="AB158" s="33"/>
      <c r="AC158" s="33"/>
      <c r="AD158" s="33">
        <f t="shared" si="26"/>
        <v>0.8</v>
      </c>
      <c r="AE158" s="2">
        <f t="shared" si="22"/>
        <v>667.5</v>
      </c>
      <c r="AF158" s="2" t="str">
        <f>IF(ISBLANK(AM158),IF(O158=6,"",IF(O158=1,VLOOKUP(R158,怪物信息配置表!B:H,5,FALSE),IF(O158=2,VLOOKUP(R158,怪物信息配置表!B:H,6,FALSE),IF(OR(O158=3,O158=5),VLOOKUP(R158,怪物信息配置表!B:H,7,FALSE),"")))),AM158)</f>
        <v>ai_monster_02</v>
      </c>
      <c r="AG158" s="2"/>
      <c r="AH158" s="15">
        <f>SUMPRODUCT(T158:V158,$AN$3:$AP$3)+ROUNDDOWN(VLOOKUP(P158,CHOOSE({1,2},'[1]消耗&amp;价值&amp;分析'!$C$7:$C$106,'[1]消耗&amp;价值&amp;分析'!$AS$7:$AS$106),2,FALSE)*0.6,0)</f>
        <v>5560.7709225588424</v>
      </c>
      <c r="AJ158" s="80">
        <v>1</v>
      </c>
      <c r="AK158" s="80">
        <v>1</v>
      </c>
      <c r="AL158" s="80">
        <v>1</v>
      </c>
    </row>
    <row r="159" spans="1:38">
      <c r="A159" s="33" t="str">
        <f>怪物并表!$R$7</f>
        <v>普通副本</v>
      </c>
      <c r="B159" s="38">
        <v>3</v>
      </c>
      <c r="C159" s="33">
        <f t="shared" si="25"/>
        <v>4007</v>
      </c>
      <c r="D159" s="33">
        <v>1</v>
      </c>
      <c r="E159" s="33">
        <f>VLOOKUP(A159,怪物并表!$R$7:$S$14,2,FALSE)</f>
        <v>1</v>
      </c>
      <c r="F159" s="38">
        <v>4</v>
      </c>
      <c r="G159" s="38">
        <v>7</v>
      </c>
      <c r="H159" s="38">
        <v>1</v>
      </c>
      <c r="I159" s="33">
        <f t="shared" si="19"/>
        <v>147103</v>
      </c>
      <c r="J159" s="33" t="s">
        <v>46</v>
      </c>
      <c r="K159" s="33"/>
      <c r="L159" s="33">
        <v>0</v>
      </c>
      <c r="M159" s="33">
        <v>1</v>
      </c>
      <c r="N159" s="33" t="s">
        <v>215</v>
      </c>
      <c r="O159" s="33">
        <v>1</v>
      </c>
      <c r="P159" s="33">
        <f>VLOOKUP($C159,CHOOSE({1,2},怪物并表!$E$7:$E$1000,怪物并表!$D$7:$D$1000),2,FALSE)</f>
        <v>35</v>
      </c>
      <c r="Q159" s="33" t="s">
        <v>11</v>
      </c>
      <c r="R159" s="33">
        <f>VLOOKUP(Q159,怪物信息配置表!$A$2:$B$118,2,FALSE)</f>
        <v>1011</v>
      </c>
      <c r="S159" s="33">
        <v>1</v>
      </c>
      <c r="T159" s="49">
        <f>VLOOKUP($C159,怪物并表!$E$7:$N$1000,2+($D159-1)*3,FALSE)*S159*AJ159</f>
        <v>42562.734823703468</v>
      </c>
      <c r="U159" s="49">
        <f>VLOOKUP($C159,怪物并表!$E$7:$N$1000,3+($D159-1)*3,FALSE)*S159*AK159</f>
        <v>2314.0513733626863</v>
      </c>
      <c r="V159" s="49">
        <f>VLOOKUP($C159,怪物并表!$E$7:$N$1000,4+($D159-1)*3,FALSE)*S159*AL159</f>
        <v>1073.0790260869569</v>
      </c>
      <c r="W159" s="33"/>
      <c r="X159" s="33"/>
      <c r="Y159" s="49">
        <f>VLOOKUP($C159,怪物并表!$E$7:$P$1000,12,FALSE)</f>
        <v>0</v>
      </c>
      <c r="Z159" s="49">
        <f>VLOOKUP($C159,怪物并表!$E$7:$P$1000,11,FALSE)*S159</f>
        <v>2379.58</v>
      </c>
      <c r="AA159" s="33"/>
      <c r="AB159" s="33"/>
      <c r="AC159" s="33"/>
      <c r="AD159" s="33">
        <f t="shared" si="26"/>
        <v>1</v>
      </c>
      <c r="AE159" s="2">
        <f t="shared" si="22"/>
        <v>584.375</v>
      </c>
      <c r="AF159" s="2" t="str">
        <f>IF(ISBLANK(AM159),IF(O159=6,"",IF(O159=1,VLOOKUP(R159,怪物信息配置表!B:H,5,FALSE),IF(O159=2,VLOOKUP(R159,怪物信息配置表!B:H,6,FALSE),IF(OR(O159=3,O159=5),VLOOKUP(R159,怪物信息配置表!B:H,7,FALSE),"")))),AM159)</f>
        <v>ai_monster</v>
      </c>
      <c r="AG159" s="2"/>
      <c r="AH159" s="15">
        <f>SUMPRODUCT(T159:V159,$AN$3:$AP$3)+ROUNDDOWN(VLOOKUP(P159,CHOOSE({1,2},'[1]消耗&amp;价值&amp;分析'!$C$7:$C$106,'[1]消耗&amp;价值&amp;分析'!$AS$7:$AS$106),2,FALSE)*0.6,0)</f>
        <v>6293.639792397782</v>
      </c>
      <c r="AJ159" s="80">
        <v>1</v>
      </c>
      <c r="AK159" s="80">
        <v>1</v>
      </c>
      <c r="AL159" s="80">
        <v>1</v>
      </c>
    </row>
    <row r="160" spans="1:38">
      <c r="A160" s="33" t="str">
        <f>怪物并表!$R$7</f>
        <v>普通副本</v>
      </c>
      <c r="B160" s="38">
        <v>4</v>
      </c>
      <c r="C160" s="33">
        <f t="shared" si="25"/>
        <v>4007</v>
      </c>
      <c r="D160" s="33">
        <v>3</v>
      </c>
      <c r="E160" s="33">
        <f>VLOOKUP(A160,怪物并表!$R$7:$S$14,2,FALSE)</f>
        <v>1</v>
      </c>
      <c r="F160" s="38">
        <v>4</v>
      </c>
      <c r="G160" s="38">
        <v>7</v>
      </c>
      <c r="H160" s="38">
        <v>1</v>
      </c>
      <c r="I160" s="33">
        <f t="shared" si="19"/>
        <v>147104</v>
      </c>
      <c r="J160" s="33" t="s">
        <v>686</v>
      </c>
      <c r="K160" s="33"/>
      <c r="L160" s="33">
        <v>1</v>
      </c>
      <c r="M160" s="33">
        <v>1.2</v>
      </c>
      <c r="N160" s="33"/>
      <c r="O160" s="33">
        <v>3</v>
      </c>
      <c r="P160" s="33">
        <f>VLOOKUP($C160,CHOOSE({1,2},怪物并表!$E$7:$E$1000,怪物并表!$D$7:$D$1000),2,FALSE)</f>
        <v>35</v>
      </c>
      <c r="Q160" s="33" t="s">
        <v>12</v>
      </c>
      <c r="R160" s="33">
        <f>VLOOKUP(Q160,怪物信息配置表!$A$2:$B$118,2,FALSE)</f>
        <v>1009</v>
      </c>
      <c r="S160" s="33">
        <v>1</v>
      </c>
      <c r="T160" s="49">
        <f>VLOOKUP($C160,怪物并表!$E$7:$N$1000,2+($D160-1)*3,FALSE)*S160*AJ160</f>
        <v>106406.83705925867</v>
      </c>
      <c r="U160" s="49">
        <f>VLOOKUP($C160,怪物并表!$E$7:$N$1000,3+($D160-1)*3,FALSE)*S160*AK160</f>
        <v>2562.245842817832</v>
      </c>
      <c r="V160" s="49">
        <f>VLOOKUP($C160,怪物并表!$E$7:$N$1000,4+($D160-1)*3,FALSE)*S160*AL160</f>
        <v>1341.348782608696</v>
      </c>
      <c r="W160" s="33"/>
      <c r="X160" s="33"/>
      <c r="Y160" s="49">
        <f>VLOOKUP($C160,怪物并表!$E$7:$P$1000,12,FALSE)</f>
        <v>0</v>
      </c>
      <c r="Z160" s="49">
        <f>VLOOKUP($C160,怪物并表!$E$7:$P$1000,11,FALSE)*S160</f>
        <v>2379.58</v>
      </c>
      <c r="AA160" s="33"/>
      <c r="AB160" s="33"/>
      <c r="AC160" s="33"/>
      <c r="AD160" s="33">
        <f t="shared" si="26"/>
        <v>1.5</v>
      </c>
      <c r="AE160" s="2">
        <f t="shared" si="22"/>
        <v>376.5625</v>
      </c>
      <c r="AF160" s="2" t="str">
        <f>IF(ISBLANK(AM160),IF(O160=6,"",IF(O160=1,VLOOKUP(R160,怪物信息配置表!B:H,5,FALSE),IF(O160=2,VLOOKUP(R160,怪物信息配置表!B:H,6,FALSE),IF(OR(O160=3,O160=5),VLOOKUP(R160,怪物信息配置表!B:H,7,FALSE),"")))),AM160)</f>
        <v>1009_tiequan_BOSS</v>
      </c>
      <c r="AG160" s="2"/>
      <c r="AH160" s="15">
        <f>SUMPRODUCT(T160:V160,$AN$3:$AP$3)+ROUNDDOWN(VLOOKUP(P160,CHOOSE({1,2},'[1]消耗&amp;价值&amp;分析'!$C$7:$C$106,'[1]消耗&amp;价值&amp;分析'!$AS$7:$AS$106),2,FALSE)*0.6,0)</f>
        <v>9363.8681077968758</v>
      </c>
      <c r="AJ160" s="80">
        <v>1</v>
      </c>
      <c r="AK160" s="80">
        <v>1</v>
      </c>
      <c r="AL160" s="80">
        <v>1</v>
      </c>
    </row>
    <row r="161" spans="1:38">
      <c r="A161" s="33" t="str">
        <f>怪物并表!$R$7</f>
        <v>普通副本</v>
      </c>
      <c r="B161" s="38">
        <v>1</v>
      </c>
      <c r="C161" s="33">
        <f t="shared" si="25"/>
        <v>4008</v>
      </c>
      <c r="D161" s="33">
        <v>1</v>
      </c>
      <c r="E161" s="33">
        <f>VLOOKUP(A161,怪物并表!$R$7:$S$14,2,FALSE)</f>
        <v>1</v>
      </c>
      <c r="F161" s="38">
        <v>4</v>
      </c>
      <c r="G161" s="38">
        <v>8</v>
      </c>
      <c r="H161" s="38">
        <v>1</v>
      </c>
      <c r="I161" s="33">
        <f t="shared" si="19"/>
        <v>148101</v>
      </c>
      <c r="J161" s="33" t="s">
        <v>480</v>
      </c>
      <c r="K161" s="33"/>
      <c r="L161" s="33">
        <v>0</v>
      </c>
      <c r="M161" s="33">
        <v>1</v>
      </c>
      <c r="N161" s="33"/>
      <c r="O161" s="33">
        <v>1</v>
      </c>
      <c r="P161" s="33">
        <f>VLOOKUP($C161,CHOOSE({1,2},怪物并表!$E$7:$E$1000,怪物并表!$D$7:$D$1000),2,FALSE)</f>
        <v>36</v>
      </c>
      <c r="Q161" s="33" t="s">
        <v>10</v>
      </c>
      <c r="R161" s="33">
        <f>VLOOKUP(Q161,怪物信息配置表!$A$2:$B$118,2,FALSE)</f>
        <v>1001</v>
      </c>
      <c r="S161" s="33">
        <v>1</v>
      </c>
      <c r="T161" s="49">
        <f>VLOOKUP($C161,怪物并表!$E$7:$N$1000,2+($D161-1)*3,FALSE)*S161*AJ161</f>
        <v>46992.99239665216</v>
      </c>
      <c r="U161" s="49">
        <f>VLOOKUP($C161,怪物并表!$E$7:$N$1000,3+($D161-1)*3,FALSE)*S161*AK161</f>
        <v>2538.5016044212689</v>
      </c>
      <c r="V161" s="49">
        <f>VLOOKUP($C161,怪物并表!$E$7:$N$1000,4+($D161-1)*3,FALSE)*S161*AL161</f>
        <v>1166.913919143813</v>
      </c>
      <c r="W161" s="33"/>
      <c r="X161" s="33"/>
      <c r="Y161" s="49">
        <f>VLOOKUP($C161,怪物并表!$E$7:$P$1000,12,FALSE)</f>
        <v>0</v>
      </c>
      <c r="Z161" s="49">
        <f>VLOOKUP($C161,怪物并表!$E$7:$P$1000,11,FALSE)*S161</f>
        <v>2437.808</v>
      </c>
      <c r="AA161" s="33"/>
      <c r="AB161" s="33"/>
      <c r="AC161" s="33"/>
      <c r="AD161" s="33">
        <f t="shared" si="26"/>
        <v>1</v>
      </c>
      <c r="AE161" s="2">
        <f t="shared" si="22"/>
        <v>572.5</v>
      </c>
      <c r="AF161" s="2" t="str">
        <f>IF(ISBLANK(AM161),IF(O161=6,"",IF(O161=1,VLOOKUP(R161,怪物信息配置表!B:H,5,FALSE),IF(O161=2,VLOOKUP(R161,怪物信息配置表!B:H,6,FALSE),IF(OR(O161=3,O161=5),VLOOKUP(R161,怪物信息配置表!B:H,7,FALSE),"")))),AM161)</f>
        <v>ai_monster</v>
      </c>
      <c r="AG161" s="2"/>
      <c r="AH161" s="15">
        <f>SUMPRODUCT(T161:V161,$AN$3:$AP$3)+ROUNDDOWN(VLOOKUP(P161,CHOOSE({1,2},'[1]消耗&amp;价值&amp;分析'!$C$7:$C$106,'[1]消耗&amp;价值&amp;分析'!$AS$7:$AS$106),2,FALSE)*0.6,0)</f>
        <v>6863.1352194311676</v>
      </c>
      <c r="AJ161" s="80">
        <v>1</v>
      </c>
      <c r="AK161" s="80">
        <v>1</v>
      </c>
      <c r="AL161" s="80">
        <v>1</v>
      </c>
    </row>
    <row r="162" spans="1:38">
      <c r="A162" s="33" t="str">
        <f>怪物并表!$R$7</f>
        <v>普通副本</v>
      </c>
      <c r="B162" s="38">
        <v>2</v>
      </c>
      <c r="C162" s="33">
        <f t="shared" si="25"/>
        <v>4008</v>
      </c>
      <c r="D162" s="33">
        <v>1</v>
      </c>
      <c r="E162" s="33">
        <f>VLOOKUP(A162,怪物并表!$R$7:$S$14,2,FALSE)</f>
        <v>1</v>
      </c>
      <c r="F162" s="38">
        <v>4</v>
      </c>
      <c r="G162" s="38">
        <v>8</v>
      </c>
      <c r="H162" s="38">
        <v>1</v>
      </c>
      <c r="I162" s="33">
        <f t="shared" si="19"/>
        <v>148102</v>
      </c>
      <c r="J162" s="33" t="s">
        <v>15</v>
      </c>
      <c r="K162" s="33"/>
      <c r="L162" s="33">
        <v>0</v>
      </c>
      <c r="M162" s="33">
        <v>1</v>
      </c>
      <c r="N162" s="33"/>
      <c r="O162" s="33">
        <v>1</v>
      </c>
      <c r="P162" s="33">
        <f>VLOOKUP($C162,CHOOSE({1,2},怪物并表!$E$7:$E$1000,怪物并表!$D$7:$D$1000),2,FALSE)</f>
        <v>36</v>
      </c>
      <c r="Q162" s="33" t="s">
        <v>15</v>
      </c>
      <c r="R162" s="33">
        <f>VLOOKUP(Q162,怪物信息配置表!$A$2:$B$118,2,FALSE)</f>
        <v>1004</v>
      </c>
      <c r="S162" s="33">
        <v>1</v>
      </c>
      <c r="T162" s="49">
        <f>VLOOKUP($C162,怪物并表!$E$7:$N$1000,2+($D162-1)*3,FALSE)*S162*AJ162</f>
        <v>46992.99239665216</v>
      </c>
      <c r="U162" s="49">
        <f>VLOOKUP($C162,怪物并表!$E$7:$N$1000,3+($D162-1)*3,FALSE)*S162*AK162</f>
        <v>2538.5016044212689</v>
      </c>
      <c r="V162" s="49">
        <f>VLOOKUP($C162,怪物并表!$E$7:$N$1000,4+($D162-1)*3,FALSE)*S162*AL162</f>
        <v>1166.913919143813</v>
      </c>
      <c r="W162" s="33"/>
      <c r="X162" s="33"/>
      <c r="Y162" s="49">
        <f>VLOOKUP($C162,怪物并表!$E$7:$P$1000,12,FALSE)</f>
        <v>0</v>
      </c>
      <c r="Z162" s="49">
        <f>VLOOKUP($C162,怪物并表!$E$7:$P$1000,11,FALSE)*S162</f>
        <v>2437.808</v>
      </c>
      <c r="AA162" s="33"/>
      <c r="AB162" s="33"/>
      <c r="AC162" s="33"/>
      <c r="AD162" s="33">
        <f t="shared" si="26"/>
        <v>1</v>
      </c>
      <c r="AE162" s="2">
        <f t="shared" si="22"/>
        <v>572.5</v>
      </c>
      <c r="AF162" s="2" t="str">
        <f>IF(ISBLANK(AM162),IF(O162=6,"",IF(O162=1,VLOOKUP(R162,怪物信息配置表!B:H,5,FALSE),IF(O162=2,VLOOKUP(R162,怪物信息配置表!B:H,6,FALSE),IF(OR(O162=3,O162=5),VLOOKUP(R162,怪物信息配置表!B:H,7,FALSE),"")))),AM162)</f>
        <v>ai_monster</v>
      </c>
      <c r="AG162" s="2"/>
      <c r="AH162" s="15">
        <f>SUMPRODUCT(T162:V162,$AN$3:$AP$3)+ROUNDDOWN(VLOOKUP(P162,CHOOSE({1,2},'[1]消耗&amp;价值&amp;分析'!$C$7:$C$106,'[1]消耗&amp;价值&amp;分析'!$AS$7:$AS$106),2,FALSE)*0.6,0)</f>
        <v>6863.1352194311676</v>
      </c>
      <c r="AJ162" s="80">
        <v>1</v>
      </c>
      <c r="AK162" s="80">
        <v>1</v>
      </c>
      <c r="AL162" s="80">
        <v>1</v>
      </c>
    </row>
    <row r="163" spans="1:38">
      <c r="A163" s="33" t="str">
        <f>怪物并表!$R$7</f>
        <v>普通副本</v>
      </c>
      <c r="B163" s="38">
        <v>3</v>
      </c>
      <c r="C163" s="33">
        <f t="shared" si="25"/>
        <v>4008</v>
      </c>
      <c r="D163" s="33">
        <v>1</v>
      </c>
      <c r="E163" s="33">
        <f>VLOOKUP(A163,怪物并表!$R$7:$S$14,2,FALSE)</f>
        <v>1</v>
      </c>
      <c r="F163" s="38">
        <v>4</v>
      </c>
      <c r="G163" s="38">
        <v>8</v>
      </c>
      <c r="H163" s="38">
        <v>1</v>
      </c>
      <c r="I163" s="33">
        <f t="shared" si="19"/>
        <v>148103</v>
      </c>
      <c r="J163" s="33" t="s">
        <v>461</v>
      </c>
      <c r="K163" s="33"/>
      <c r="L163" s="33">
        <v>0</v>
      </c>
      <c r="M163" s="33">
        <v>1</v>
      </c>
      <c r="N163" s="33"/>
      <c r="O163" s="33">
        <v>1</v>
      </c>
      <c r="P163" s="33">
        <f>VLOOKUP($C163,CHOOSE({1,2},怪物并表!$E$7:$E$1000,怪物并表!$D$7:$D$1000),2,FALSE)</f>
        <v>36</v>
      </c>
      <c r="Q163" s="33" t="s">
        <v>14</v>
      </c>
      <c r="R163" s="33">
        <f>VLOOKUP(Q163,怪物信息配置表!$A$2:$B$118,2,FALSE)</f>
        <v>1010</v>
      </c>
      <c r="S163" s="33">
        <v>1</v>
      </c>
      <c r="T163" s="49">
        <f>VLOOKUP($C163,怪物并表!$E$7:$N$1000,2+($D163-1)*3,FALSE)*S163*AJ163</f>
        <v>46992.99239665216</v>
      </c>
      <c r="U163" s="49">
        <f>VLOOKUP($C163,怪物并表!$E$7:$N$1000,3+($D163-1)*3,FALSE)*S163*AK163</f>
        <v>2538.5016044212689</v>
      </c>
      <c r="V163" s="49">
        <f>VLOOKUP($C163,怪物并表!$E$7:$N$1000,4+($D163-1)*3,FALSE)*S163*AL163</f>
        <v>1166.913919143813</v>
      </c>
      <c r="W163" s="33"/>
      <c r="X163" s="33"/>
      <c r="Y163" s="49">
        <f>VLOOKUP($C163,怪物并表!$E$7:$P$1000,12,FALSE)</f>
        <v>0</v>
      </c>
      <c r="Z163" s="49">
        <f>VLOOKUP($C163,怪物并表!$E$7:$P$1000,11,FALSE)*S163</f>
        <v>2437.808</v>
      </c>
      <c r="AA163" s="33"/>
      <c r="AB163" s="33"/>
      <c r="AC163" s="33"/>
      <c r="AD163" s="33">
        <f t="shared" si="26"/>
        <v>1</v>
      </c>
      <c r="AE163" s="2">
        <f t="shared" si="22"/>
        <v>572.5</v>
      </c>
      <c r="AF163" s="2" t="str">
        <f>IF(ISBLANK(AM163),IF(O163=6,"",IF(O163=1,VLOOKUP(R163,怪物信息配置表!B:H,5,FALSE),IF(O163=2,VLOOKUP(R163,怪物信息配置表!B:H,6,FALSE),IF(OR(O163=3,O163=5),VLOOKUP(R163,怪物信息配置表!B:H,7,FALSE),"")))),AM163)</f>
        <v>ai_monster</v>
      </c>
      <c r="AG163" s="2"/>
      <c r="AH163" s="15">
        <f>SUMPRODUCT(T163:V163,$AN$3:$AP$3)+ROUNDDOWN(VLOOKUP(P163,CHOOSE({1,2},'[1]消耗&amp;价值&amp;分析'!$C$7:$C$106,'[1]消耗&amp;价值&amp;分析'!$AS$7:$AS$106),2,FALSE)*0.6,0)</f>
        <v>6863.1352194311676</v>
      </c>
      <c r="AJ163" s="80">
        <v>1</v>
      </c>
      <c r="AK163" s="80">
        <v>1</v>
      </c>
      <c r="AL163" s="80">
        <v>1</v>
      </c>
    </row>
    <row r="164" spans="1:38">
      <c r="A164" s="33" t="str">
        <f>怪物并表!$R$7</f>
        <v>普通副本</v>
      </c>
      <c r="B164" s="38">
        <v>4</v>
      </c>
      <c r="C164" s="33">
        <f t="shared" si="25"/>
        <v>4008</v>
      </c>
      <c r="D164" s="33">
        <v>3</v>
      </c>
      <c r="E164" s="33">
        <f>VLOOKUP(A164,怪物并表!$R$7:$S$14,2,FALSE)</f>
        <v>1</v>
      </c>
      <c r="F164" s="38">
        <v>4</v>
      </c>
      <c r="G164" s="38">
        <v>8</v>
      </c>
      <c r="H164" s="38">
        <v>1</v>
      </c>
      <c r="I164" s="33">
        <f t="shared" si="19"/>
        <v>148104</v>
      </c>
      <c r="J164" s="33" t="s">
        <v>687</v>
      </c>
      <c r="K164" s="33"/>
      <c r="L164" s="33">
        <v>1</v>
      </c>
      <c r="M164" s="33">
        <v>1.2</v>
      </c>
      <c r="N164" s="33"/>
      <c r="O164" s="33">
        <v>3</v>
      </c>
      <c r="P164" s="33">
        <f>VLOOKUP($C164,CHOOSE({1,2},怪物并表!$E$7:$E$1000,怪物并表!$D$7:$D$1000),2,FALSE)</f>
        <v>36</v>
      </c>
      <c r="Q164" s="33" t="s">
        <v>24</v>
      </c>
      <c r="R164" s="33">
        <f>VLOOKUP(Q164,怪物信息配置表!$A$2:$B$118,2,FALSE)</f>
        <v>1015</v>
      </c>
      <c r="S164" s="33">
        <v>1</v>
      </c>
      <c r="T164" s="49">
        <f>VLOOKUP($C164,怪物并表!$E$7:$N$1000,2+($D164-1)*3,FALSE)*S164*AJ164</f>
        <v>117482.48099163041</v>
      </c>
      <c r="U164" s="49">
        <f>VLOOKUP($C164,怪物并表!$E$7:$N$1000,3+($D164-1)*3,FALSE)*S164*AK164</f>
        <v>2812.8191414767598</v>
      </c>
      <c r="V164" s="49">
        <f>VLOOKUP($C164,怪物并表!$E$7:$N$1000,4+($D164-1)*3,FALSE)*S164*AL164</f>
        <v>1458.6423989297662</v>
      </c>
      <c r="W164" s="33"/>
      <c r="X164" s="33"/>
      <c r="Y164" s="49">
        <f>VLOOKUP($C164,怪物并表!$E$7:$P$1000,12,FALSE)</f>
        <v>0</v>
      </c>
      <c r="Z164" s="49">
        <f>VLOOKUP($C164,怪物并表!$E$7:$P$1000,11,FALSE)*S164</f>
        <v>2437.808</v>
      </c>
      <c r="AA164" s="33"/>
      <c r="AB164" s="33"/>
      <c r="AC164" s="33"/>
      <c r="AD164" s="33">
        <f t="shared" si="26"/>
        <v>1.5</v>
      </c>
      <c r="AE164" s="2">
        <f t="shared" si="22"/>
        <v>293.75</v>
      </c>
      <c r="AF164" s="2" t="str">
        <f>IF(ISBLANK(AM164),IF(O164=6,"",IF(O164=1,VLOOKUP(R164,怪物信息配置表!B:H,5,FALSE),IF(O164=2,VLOOKUP(R164,怪物信息配置表!B:H,6,FALSE),IF(OR(O164=3,O164=5),VLOOKUP(R164,怪物信息配置表!B:H,7,FALSE),"")))),AM164)</f>
        <v>ai_BOSS_01</v>
      </c>
      <c r="AG164" s="2"/>
      <c r="AH164" s="15">
        <f>SUMPRODUCT(T164:V164,$AN$3:$AP$3)+ROUNDDOWN(VLOOKUP(P164,CHOOSE({1,2},'[1]消耗&amp;价值&amp;分析'!$C$7:$C$106,'[1]消耗&amp;价值&amp;分析'!$AS$7:$AS$106),2,FALSE)*0.6,0)</f>
        <v>10248.760780071741</v>
      </c>
      <c r="AJ164" s="80">
        <v>1</v>
      </c>
      <c r="AK164" s="80">
        <v>1</v>
      </c>
      <c r="AL164" s="80">
        <v>1</v>
      </c>
    </row>
    <row r="165" spans="1:38">
      <c r="A165" s="33" t="str">
        <f>怪物并表!$R$7</f>
        <v>普通副本</v>
      </c>
      <c r="B165" s="38">
        <v>1</v>
      </c>
      <c r="C165" s="33">
        <f t="shared" si="25"/>
        <v>4009</v>
      </c>
      <c r="D165" s="33">
        <v>2</v>
      </c>
      <c r="E165" s="33">
        <f>VLOOKUP(A165,怪物并表!$R$7:$S$14,2,FALSE)</f>
        <v>1</v>
      </c>
      <c r="F165" s="38">
        <v>4</v>
      </c>
      <c r="G165" s="38">
        <v>9</v>
      </c>
      <c r="H165" s="38">
        <v>1</v>
      </c>
      <c r="I165" s="33">
        <f t="shared" si="19"/>
        <v>149101</v>
      </c>
      <c r="J165" s="33" t="s">
        <v>463</v>
      </c>
      <c r="K165" s="33"/>
      <c r="L165" s="33">
        <v>0</v>
      </c>
      <c r="M165" s="33">
        <v>1</v>
      </c>
      <c r="N165" s="33"/>
      <c r="O165" s="33">
        <v>1</v>
      </c>
      <c r="P165" s="33">
        <f>VLOOKUP($C165,CHOOSE({1,2},怪物并表!$E$7:$E$1000,怪物并表!$D$7:$D$1000),2,FALSE)</f>
        <v>37</v>
      </c>
      <c r="Q165" s="33" t="s">
        <v>17</v>
      </c>
      <c r="R165" s="33">
        <f>VLOOKUP(Q165,怪物信息配置表!$A$2:$B$118,2,FALSE)</f>
        <v>1005</v>
      </c>
      <c r="S165" s="33">
        <v>1</v>
      </c>
      <c r="T165" s="49">
        <f>VLOOKUP($C165,怪物并表!$E$7:$N$1000,2+($D165-1)*3,FALSE)*S165*AJ165</f>
        <v>49660.335710006424</v>
      </c>
      <c r="U165" s="49">
        <f>VLOOKUP($C165,怪物并表!$E$7:$N$1000,3+($D165-1)*3,FALSE)*S165*AK165</f>
        <v>2930.6586736193231</v>
      </c>
      <c r="V165" s="49">
        <f>VLOOKUP($C165,怪物并表!$E$7:$N$1000,4+($D165-1)*3,FALSE)*S165*AL165</f>
        <v>1328.8131523926425</v>
      </c>
      <c r="W165" s="33"/>
      <c r="X165" s="33"/>
      <c r="Y165" s="49">
        <f>VLOOKUP($C165,怪物并表!$E$7:$P$1000,12,FALSE)</f>
        <v>0</v>
      </c>
      <c r="Z165" s="49">
        <f>VLOOKUP($C165,怪物并表!$E$7:$P$1000,11,FALSE)*S165</f>
        <v>2496.0360000000001</v>
      </c>
      <c r="AA165" s="33"/>
      <c r="AB165" s="33"/>
      <c r="AC165" s="33"/>
      <c r="AD165" s="33">
        <f t="shared" si="26"/>
        <v>0.8</v>
      </c>
      <c r="AE165" s="2">
        <f t="shared" si="22"/>
        <v>648.5</v>
      </c>
      <c r="AF165" s="2" t="str">
        <f>IF(ISBLANK(AM165),IF(O165=6,"",IF(O165=1,VLOOKUP(R165,怪物信息配置表!B:H,5,FALSE),IF(O165=2,VLOOKUP(R165,怪物信息配置表!B:H,6,FALSE),IF(OR(O165=3,O165=5),VLOOKUP(R165,怪物信息配置表!B:H,7,FALSE),"")))),AM165)</f>
        <v>ai_monster_02</v>
      </c>
      <c r="AG165" s="2"/>
      <c r="AH165" s="15">
        <f>SUMPRODUCT(T165:V165,$AN$3:$AP$3)+ROUNDDOWN(VLOOKUP(P165,CHOOSE({1,2},'[1]消耗&amp;价值&amp;分析'!$C$7:$C$106,'[1]消耗&amp;价值&amp;分析'!$AS$7:$AS$106),2,FALSE)*0.6,0)</f>
        <v>7602.8852544122219</v>
      </c>
      <c r="AJ165" s="80">
        <v>1</v>
      </c>
      <c r="AK165" s="80">
        <v>1</v>
      </c>
      <c r="AL165" s="80">
        <v>1</v>
      </c>
    </row>
    <row r="166" spans="1:38">
      <c r="A166" s="33" t="str">
        <f>怪物并表!$R$7</f>
        <v>普通副本</v>
      </c>
      <c r="B166" s="38">
        <v>2</v>
      </c>
      <c r="C166" s="33">
        <f t="shared" si="25"/>
        <v>4009</v>
      </c>
      <c r="D166" s="33">
        <v>1</v>
      </c>
      <c r="E166" s="33">
        <f>VLOOKUP(A166,怪物并表!$R$7:$S$14,2,FALSE)</f>
        <v>1</v>
      </c>
      <c r="F166" s="38">
        <v>4</v>
      </c>
      <c r="G166" s="38">
        <v>9</v>
      </c>
      <c r="H166" s="38">
        <v>1</v>
      </c>
      <c r="I166" s="33">
        <f t="shared" ref="I166:I229" si="27">SUM(E166*10^5,F166*10^4,G166*10^3,H166*10^2,B166)</f>
        <v>149102</v>
      </c>
      <c r="J166" s="33" t="s">
        <v>7</v>
      </c>
      <c r="K166" s="33"/>
      <c r="L166" s="33">
        <v>0</v>
      </c>
      <c r="M166" s="33">
        <v>1</v>
      </c>
      <c r="N166" s="33"/>
      <c r="O166" s="33">
        <v>1</v>
      </c>
      <c r="P166" s="33">
        <f>VLOOKUP($C166,CHOOSE({1,2},怪物并表!$E$7:$E$1000,怪物并表!$D$7:$D$1000),2,FALSE)</f>
        <v>37</v>
      </c>
      <c r="Q166" s="33" t="s">
        <v>7</v>
      </c>
      <c r="R166" s="33">
        <f>VLOOKUP(Q166,怪物信息配置表!$A$2:$B$118,2,FALSE)</f>
        <v>1002</v>
      </c>
      <c r="S166" s="33">
        <v>1</v>
      </c>
      <c r="T166" s="49">
        <f>VLOOKUP($C166,怪物并表!$E$7:$N$1000,2+($D166-1)*3,FALSE)*S166*AJ166</f>
        <v>62075.419637508028</v>
      </c>
      <c r="U166" s="49">
        <f>VLOOKUP($C166,怪物并表!$E$7:$N$1000,3+($D166-1)*3,FALSE)*S166*AK166</f>
        <v>3115.6722667312429</v>
      </c>
      <c r="V166" s="49">
        <f>VLOOKUP($C166,怪物并表!$E$7:$N$1000,4+($D166-1)*3,FALSE)*S166*AL166</f>
        <v>1581.9204195150503</v>
      </c>
      <c r="W166" s="33"/>
      <c r="X166" s="33"/>
      <c r="Y166" s="49">
        <f>VLOOKUP($C166,怪物并表!$E$7:$P$1000,12,FALSE)</f>
        <v>0</v>
      </c>
      <c r="Z166" s="49">
        <f>VLOOKUP($C166,怪物并表!$E$7:$P$1000,11,FALSE)*S166</f>
        <v>2496.0360000000001</v>
      </c>
      <c r="AA166" s="33"/>
      <c r="AB166" s="33"/>
      <c r="AC166" s="33"/>
      <c r="AD166" s="33">
        <f t="shared" si="26"/>
        <v>1</v>
      </c>
      <c r="AE166" s="2">
        <f t="shared" si="22"/>
        <v>560.625</v>
      </c>
      <c r="AF166" s="2" t="str">
        <f>IF(ISBLANK(AM166),IF(O166=6,"",IF(O166=1,VLOOKUP(R166,怪物信息配置表!B:H,5,FALSE),IF(O166=2,VLOOKUP(R166,怪物信息配置表!B:H,6,FALSE),IF(OR(O166=3,O166=5),VLOOKUP(R166,怪物信息配置表!B:H,7,FALSE),"")))),AM166)</f>
        <v>ai_monster</v>
      </c>
      <c r="AG166" s="2"/>
      <c r="AH166" s="15">
        <f>SUMPRODUCT(T166:V166,$AN$3:$AP$3)+ROUNDDOWN(VLOOKUP(P166,CHOOSE({1,2},'[1]消耗&amp;价值&amp;分析'!$C$7:$C$106,'[1]消耗&amp;价值&amp;分析'!$AS$7:$AS$106),2,FALSE)*0.6,0)</f>
        <v>8537.6094717466149</v>
      </c>
      <c r="AJ166" s="80">
        <v>1</v>
      </c>
      <c r="AK166" s="80">
        <v>1</v>
      </c>
      <c r="AL166" s="80">
        <v>1</v>
      </c>
    </row>
    <row r="167" spans="1:38">
      <c r="A167" s="33" t="str">
        <f>怪物并表!$R$7</f>
        <v>普通副本</v>
      </c>
      <c r="B167" s="38">
        <v>3</v>
      </c>
      <c r="C167" s="33">
        <f t="shared" si="25"/>
        <v>4009</v>
      </c>
      <c r="D167" s="33">
        <v>1</v>
      </c>
      <c r="E167" s="33">
        <f>VLOOKUP(A167,怪物并表!$R$7:$S$14,2,FALSE)</f>
        <v>1</v>
      </c>
      <c r="F167" s="38">
        <v>4</v>
      </c>
      <c r="G167" s="38">
        <v>9</v>
      </c>
      <c r="H167" s="38">
        <v>1</v>
      </c>
      <c r="I167" s="33">
        <f t="shared" si="27"/>
        <v>149103</v>
      </c>
      <c r="J167" s="33" t="s">
        <v>478</v>
      </c>
      <c r="K167" s="33"/>
      <c r="L167" s="33">
        <v>0</v>
      </c>
      <c r="M167" s="33">
        <v>1</v>
      </c>
      <c r="N167" s="33"/>
      <c r="O167" s="33">
        <v>1</v>
      </c>
      <c r="P167" s="33">
        <f>VLOOKUP($C167,CHOOSE({1,2},怪物并表!$E$7:$E$1000,怪物并表!$D$7:$D$1000),2,FALSE)</f>
        <v>37</v>
      </c>
      <c r="Q167" s="33" t="s">
        <v>18</v>
      </c>
      <c r="R167" s="33">
        <f>VLOOKUP(Q167,怪物信息配置表!$A$2:$B$118,2,FALSE)</f>
        <v>1006</v>
      </c>
      <c r="S167" s="33">
        <v>1</v>
      </c>
      <c r="T167" s="49">
        <f>VLOOKUP($C167,怪物并表!$E$7:$N$1000,2+($D167-1)*3,FALSE)*S167*AJ167</f>
        <v>62075.419637508028</v>
      </c>
      <c r="U167" s="49">
        <f>VLOOKUP($C167,怪物并表!$E$7:$N$1000,3+($D167-1)*3,FALSE)*S167*AK167</f>
        <v>3115.6722667312429</v>
      </c>
      <c r="V167" s="49">
        <f>VLOOKUP($C167,怪物并表!$E$7:$N$1000,4+($D167-1)*3,FALSE)*S167*AL167</f>
        <v>1581.9204195150503</v>
      </c>
      <c r="W167" s="33"/>
      <c r="X167" s="33"/>
      <c r="Y167" s="49">
        <f>VLOOKUP($C167,怪物并表!$E$7:$P$1000,12,FALSE)</f>
        <v>0</v>
      </c>
      <c r="Z167" s="49">
        <f>VLOOKUP($C167,怪物并表!$E$7:$P$1000,11,FALSE)*S167</f>
        <v>2496.0360000000001</v>
      </c>
      <c r="AA167" s="33"/>
      <c r="AB167" s="33"/>
      <c r="AC167" s="33"/>
      <c r="AD167" s="33">
        <f t="shared" si="26"/>
        <v>1</v>
      </c>
      <c r="AE167" s="2">
        <f t="shared" si="22"/>
        <v>560.625</v>
      </c>
      <c r="AF167" s="2" t="str">
        <f>IF(ISBLANK(AM167),IF(O167=6,"",IF(O167=1,VLOOKUP(R167,怪物信息配置表!B:H,5,FALSE),IF(O167=2,VLOOKUP(R167,怪物信息配置表!B:H,6,FALSE),IF(OR(O167=3,O167=5),VLOOKUP(R167,怪物信息配置表!B:H,7,FALSE),"")))),AM167)</f>
        <v>ai_monster_03</v>
      </c>
      <c r="AG167" s="2"/>
      <c r="AH167" s="15">
        <f>SUMPRODUCT(T167:V167,$AN$3:$AP$3)+ROUNDDOWN(VLOOKUP(P167,CHOOSE({1,2},'[1]消耗&amp;价值&amp;分析'!$C$7:$C$106,'[1]消耗&amp;价值&amp;分析'!$AS$7:$AS$106),2,FALSE)*0.6,0)</f>
        <v>8537.6094717466149</v>
      </c>
      <c r="AJ167" s="80">
        <v>1</v>
      </c>
      <c r="AK167" s="80">
        <v>1</v>
      </c>
      <c r="AL167" s="80">
        <v>1</v>
      </c>
    </row>
    <row r="168" spans="1:38">
      <c r="A168" s="33" t="str">
        <f>怪物并表!$R$7</f>
        <v>普通副本</v>
      </c>
      <c r="B168" s="38">
        <v>4</v>
      </c>
      <c r="C168" s="33">
        <f t="shared" si="25"/>
        <v>4009</v>
      </c>
      <c r="D168" s="33">
        <v>3</v>
      </c>
      <c r="E168" s="33">
        <f>VLOOKUP(A168,怪物并表!$R$7:$S$14,2,FALSE)</f>
        <v>1</v>
      </c>
      <c r="F168" s="38">
        <v>4</v>
      </c>
      <c r="G168" s="38">
        <v>9</v>
      </c>
      <c r="H168" s="38">
        <v>1</v>
      </c>
      <c r="I168" s="33">
        <f t="shared" si="27"/>
        <v>149104</v>
      </c>
      <c r="J168" s="33" t="s">
        <v>423</v>
      </c>
      <c r="K168" s="33"/>
      <c r="L168" s="33">
        <v>1</v>
      </c>
      <c r="M168" s="33">
        <v>1.2</v>
      </c>
      <c r="N168" s="33" t="s">
        <v>431</v>
      </c>
      <c r="O168" s="33">
        <v>3</v>
      </c>
      <c r="P168" s="33">
        <f>VLOOKUP($C168,CHOOSE({1,2},怪物并表!$E$7:$E$1000,怪物并表!$D$7:$D$1000),2,FALSE)</f>
        <v>37</v>
      </c>
      <c r="Q168" s="33" t="s">
        <v>588</v>
      </c>
      <c r="R168" s="33">
        <f>VLOOKUP(Q168,怪物信息配置表!$A$2:$B$118,2,FALSE)</f>
        <v>1113</v>
      </c>
      <c r="S168" s="33">
        <v>1</v>
      </c>
      <c r="T168" s="49">
        <f>VLOOKUP($C168,怪物并表!$E$7:$N$1000,2+($D168-1)*3,FALSE)*S168*AJ168</f>
        <v>155188.54909377007</v>
      </c>
      <c r="U168" s="49">
        <f>VLOOKUP($C168,怪物并表!$E$7:$N$1000,3+($D168-1)*3,FALSE)*S168*AK168</f>
        <v>3485.699452955083</v>
      </c>
      <c r="V168" s="49">
        <f>VLOOKUP($C168,怪物并表!$E$7:$N$1000,4+($D168-1)*3,FALSE)*S168*AL168</f>
        <v>1835.0276866374584</v>
      </c>
      <c r="W168" s="33"/>
      <c r="X168" s="33"/>
      <c r="Y168" s="49">
        <f>VLOOKUP($C168,怪物并表!$E$7:$P$1000,12,FALSE)</f>
        <v>0</v>
      </c>
      <c r="Z168" s="49">
        <f>VLOOKUP($C168,怪物并表!$E$7:$P$1000,11,FALSE)*S168</f>
        <v>2496.0360000000001</v>
      </c>
      <c r="AA168" s="33"/>
      <c r="AB168" s="33"/>
      <c r="AC168" s="33"/>
      <c r="AD168" s="33">
        <f t="shared" si="26"/>
        <v>1.5</v>
      </c>
      <c r="AE168" s="2">
        <f t="shared" si="22"/>
        <v>187.8125</v>
      </c>
      <c r="AF168" s="2" t="str">
        <f>IF(ISBLANK(AM168),IF(O168=6,"",IF(O168=1,VLOOKUP(R168,怪物信息配置表!B:H,5,FALSE),IF(O168=2,VLOOKUP(R168,怪物信息配置表!B:H,6,FALSE),IF(OR(O168=3,O168=5),VLOOKUP(R168,怪物信息配置表!B:H,7,FALSE),"")))),AM168)</f>
        <v>1102_wuya_BOSS</v>
      </c>
      <c r="AG168" s="2"/>
      <c r="AH168" s="15">
        <f>SUMPRODUCT(T168:V168,$AN$3:$AP$3)+ROUNDDOWN(VLOOKUP(P168,CHOOSE({1,2},'[1]消耗&amp;价值&amp;分析'!$C$7:$C$106,'[1]消耗&amp;价值&amp;分析'!$AS$7:$AS$106),2,FALSE)*0.6,0)</f>
        <v>12885.269103343344</v>
      </c>
      <c r="AJ168" s="80">
        <v>1</v>
      </c>
      <c r="AK168" s="80">
        <v>1</v>
      </c>
      <c r="AL168" s="80">
        <v>1</v>
      </c>
    </row>
    <row r="169" spans="1:38">
      <c r="A169" s="33" t="str">
        <f>怪物并表!$R$7</f>
        <v>普通副本</v>
      </c>
      <c r="B169" s="38">
        <v>1</v>
      </c>
      <c r="C169" s="33">
        <f t="shared" si="18"/>
        <v>5001</v>
      </c>
      <c r="D169" s="33">
        <v>1</v>
      </c>
      <c r="E169" s="33">
        <f>VLOOKUP(A169,怪物并表!$R$7:$S$14,2,FALSE)</f>
        <v>1</v>
      </c>
      <c r="F169" s="38">
        <v>5</v>
      </c>
      <c r="G169" s="38">
        <v>1</v>
      </c>
      <c r="H169" s="38">
        <v>1</v>
      </c>
      <c r="I169" s="33">
        <f t="shared" si="27"/>
        <v>151101</v>
      </c>
      <c r="J169" s="33" t="s">
        <v>214</v>
      </c>
      <c r="K169" s="33"/>
      <c r="L169" s="33">
        <v>0</v>
      </c>
      <c r="M169" s="33">
        <v>1</v>
      </c>
      <c r="N169" s="33"/>
      <c r="O169" s="33">
        <v>1</v>
      </c>
      <c r="P169" s="33">
        <f>VLOOKUP($C169,CHOOSE({1,2},怪物并表!$E$7:$E$1000,怪物并表!$D$7:$D$1000),2,FALSE)</f>
        <v>38</v>
      </c>
      <c r="Q169" s="33" t="s">
        <v>10</v>
      </c>
      <c r="R169" s="33">
        <f>VLOOKUP(Q169,怪物信息配置表!$A$2:$B$118,2,FALSE)</f>
        <v>1001</v>
      </c>
      <c r="S169" s="33">
        <v>1</v>
      </c>
      <c r="T169" s="49">
        <f>VLOOKUP($C169,怪物并表!$E$7:$N$1000,2+($D169-1)*3,FALSE)*S169*AJ169</f>
        <v>56784.51740497836</v>
      </c>
      <c r="U169" s="49">
        <f>VLOOKUP($C169,怪物并表!$E$7:$N$1000,3+($D169-1)*3,FALSE)*S169*AK169</f>
        <v>3096.7779147743777</v>
      </c>
      <c r="V169" s="49">
        <f>VLOOKUP($C169,怪物并表!$E$7:$N$1000,4+($D169-1)*3,FALSE)*S169*AL169</f>
        <v>1369.0462378595321</v>
      </c>
      <c r="W169" s="33"/>
      <c r="X169" s="33"/>
      <c r="Y169" s="49">
        <f>VLOOKUP($C169,怪物并表!$E$7:$P$1000,12,FALSE)</f>
        <v>0</v>
      </c>
      <c r="Z169" s="49">
        <f>VLOOKUP($C169,怪物并表!$E$7:$P$1000,11,FALSE)*S169</f>
        <v>2554.2640000000001</v>
      </c>
      <c r="AA169" s="33"/>
      <c r="AB169" s="33"/>
      <c r="AC169" s="33"/>
      <c r="AD169" s="33">
        <f t="shared" si="17"/>
        <v>1</v>
      </c>
      <c r="AE169" s="2">
        <f t="shared" si="22"/>
        <v>548.75</v>
      </c>
      <c r="AF169" s="2" t="str">
        <f>IF(ISBLANK(AM169),IF(O169=6,"",IF(O169=1,VLOOKUP(R169,怪物信息配置表!B:H,5,FALSE),IF(O169=2,VLOOKUP(R169,怪物信息配置表!B:H,6,FALSE),IF(OR(O169=3,O169=5),VLOOKUP(R169,怪物信息配置表!B:H,7,FALSE),"")))),AM169)</f>
        <v>ai_monster</v>
      </c>
      <c r="AG169" s="2"/>
      <c r="AH169" s="15">
        <f>SUMPRODUCT(T169:V169,$AN$3:$AP$3)+ROUNDDOWN(VLOOKUP(P169,CHOOSE({1,2},'[1]消耗&amp;价值&amp;分析'!$C$7:$C$106,'[1]消耗&amp;价值&amp;分析'!$AS$7:$AS$106),2,FALSE)*0.6,0)</f>
        <v>8191.2048488330447</v>
      </c>
      <c r="AJ169" s="80">
        <v>1</v>
      </c>
      <c r="AK169" s="80">
        <v>1</v>
      </c>
      <c r="AL169" s="80">
        <v>1</v>
      </c>
    </row>
    <row r="170" spans="1:38">
      <c r="A170" s="33" t="str">
        <f>怪物并表!$R$7</f>
        <v>普通副本</v>
      </c>
      <c r="B170" s="38">
        <v>2</v>
      </c>
      <c r="C170" s="33">
        <f t="shared" si="18"/>
        <v>5001</v>
      </c>
      <c r="D170" s="33">
        <v>2</v>
      </c>
      <c r="E170" s="33">
        <f>VLOOKUP(A170,怪物并表!$R$7:$S$14,2,FALSE)</f>
        <v>1</v>
      </c>
      <c r="F170" s="38">
        <v>5</v>
      </c>
      <c r="G170" s="38">
        <v>1</v>
      </c>
      <c r="H170" s="38">
        <v>1</v>
      </c>
      <c r="I170" s="33">
        <f t="shared" si="27"/>
        <v>151102</v>
      </c>
      <c r="J170" s="33" t="s">
        <v>465</v>
      </c>
      <c r="K170" s="33"/>
      <c r="L170" s="33">
        <v>0</v>
      </c>
      <c r="M170" s="33">
        <v>1</v>
      </c>
      <c r="N170" s="33"/>
      <c r="O170" s="33">
        <v>1</v>
      </c>
      <c r="P170" s="33">
        <f>VLOOKUP($C170,CHOOSE({1,2},怪物并表!$E$7:$E$1000,怪物并表!$D$7:$D$1000),2,FALSE)</f>
        <v>38</v>
      </c>
      <c r="Q170" s="33" t="s">
        <v>9</v>
      </c>
      <c r="R170" s="33">
        <f>VLOOKUP(Q170,怪物信息配置表!$A$2:$B$118,2,FALSE)</f>
        <v>1003</v>
      </c>
      <c r="S170" s="33">
        <v>1</v>
      </c>
      <c r="T170" s="49">
        <f>VLOOKUP($C170,怪物并表!$E$7:$N$1000,2+($D170-1)*3,FALSE)*S170*AJ170</f>
        <v>45427.613923982688</v>
      </c>
      <c r="U170" s="49">
        <f>VLOOKUP($C170,怪物并表!$E$7:$N$1000,3+($D170-1)*3,FALSE)*S170*AK170</f>
        <v>2924.0047470828931</v>
      </c>
      <c r="V170" s="49">
        <f>VLOOKUP($C170,怪物并表!$E$7:$N$1000,4+($D170-1)*3,FALSE)*S170*AL170</f>
        <v>1026.7846783946493</v>
      </c>
      <c r="W170" s="33"/>
      <c r="X170" s="33"/>
      <c r="Y170" s="49">
        <f>VLOOKUP($C170,怪物并表!$E$7:$P$1000,12,FALSE)</f>
        <v>0</v>
      </c>
      <c r="Z170" s="49">
        <f>VLOOKUP($C170,怪物并表!$E$7:$P$1000,11,FALSE)*S170</f>
        <v>2554.2640000000001</v>
      </c>
      <c r="AA170" s="33"/>
      <c r="AB170" s="33"/>
      <c r="AC170" s="33"/>
      <c r="AD170" s="33">
        <f t="shared" si="17"/>
        <v>0.8</v>
      </c>
      <c r="AE170" s="2">
        <f t="shared" si="22"/>
        <v>639</v>
      </c>
      <c r="AF170" s="2" t="str">
        <f>IF(ISBLANK(AM170),IF(O170=6,"",IF(O170=1,VLOOKUP(R170,怪物信息配置表!B:H,5,FALSE),IF(O170=2,VLOOKUP(R170,怪物信息配置表!B:H,6,FALSE),IF(OR(O170=3,O170=5),VLOOKUP(R170,怪物信息配置表!B:H,7,FALSE),"")))),AM170)</f>
        <v>ai_monster_02</v>
      </c>
      <c r="AG170" s="2"/>
      <c r="AH170" s="15">
        <f>SUMPRODUCT(T170:V170,$AN$3:$AP$3)+ROUNDDOWN(VLOOKUP(P170,CHOOSE({1,2},'[1]消耗&amp;价值&amp;分析'!$C$7:$C$106,'[1]消耗&amp;价值&amp;分析'!$AS$7:$AS$106),2,FALSE)*0.6,0)</f>
        <v>7221.8939824368499</v>
      </c>
      <c r="AJ170" s="80">
        <v>1</v>
      </c>
      <c r="AK170" s="80">
        <v>1</v>
      </c>
      <c r="AL170" s="80">
        <v>1</v>
      </c>
    </row>
    <row r="171" spans="1:38">
      <c r="A171" s="33" t="str">
        <f>怪物并表!$R$7</f>
        <v>普通副本</v>
      </c>
      <c r="B171" s="38">
        <v>3</v>
      </c>
      <c r="C171" s="33">
        <f t="shared" si="18"/>
        <v>5001</v>
      </c>
      <c r="D171" s="33">
        <v>1</v>
      </c>
      <c r="E171" s="33">
        <f>VLOOKUP(A171,怪物并表!$R$7:$S$14,2,FALSE)</f>
        <v>1</v>
      </c>
      <c r="F171" s="38">
        <v>5</v>
      </c>
      <c r="G171" s="38">
        <v>1</v>
      </c>
      <c r="H171" s="38">
        <v>1</v>
      </c>
      <c r="I171" s="33">
        <f t="shared" si="27"/>
        <v>151103</v>
      </c>
      <c r="J171" s="33" t="s">
        <v>477</v>
      </c>
      <c r="K171" s="33"/>
      <c r="L171" s="33">
        <v>0</v>
      </c>
      <c r="M171" s="33">
        <v>1</v>
      </c>
      <c r="N171" s="33"/>
      <c r="O171" s="33">
        <v>1</v>
      </c>
      <c r="P171" s="33">
        <f>VLOOKUP($C171,CHOOSE({1,2},怪物并表!$E$7:$E$1000,怪物并表!$D$7:$D$1000),2,FALSE)</f>
        <v>38</v>
      </c>
      <c r="Q171" s="33" t="s">
        <v>15</v>
      </c>
      <c r="R171" s="33">
        <f>VLOOKUP(Q171,怪物信息配置表!$A$2:$B$118,2,FALSE)</f>
        <v>1004</v>
      </c>
      <c r="S171" s="33">
        <v>1</v>
      </c>
      <c r="T171" s="49">
        <f>VLOOKUP($C171,怪物并表!$E$7:$N$1000,2+($D171-1)*3,FALSE)*S171*AJ171</f>
        <v>56784.51740497836</v>
      </c>
      <c r="U171" s="49">
        <f>VLOOKUP($C171,怪物并表!$E$7:$N$1000,3+($D171-1)*3,FALSE)*S171*AK171</f>
        <v>3096.7779147743777</v>
      </c>
      <c r="V171" s="49">
        <f>VLOOKUP($C171,怪物并表!$E$7:$N$1000,4+($D171-1)*3,FALSE)*S171*AL171</f>
        <v>1369.0462378595321</v>
      </c>
      <c r="W171" s="33"/>
      <c r="X171" s="33"/>
      <c r="Y171" s="49">
        <f>VLOOKUP($C171,怪物并表!$E$7:$P$1000,12,FALSE)</f>
        <v>0</v>
      </c>
      <c r="Z171" s="49">
        <f>VLOOKUP($C171,怪物并表!$E$7:$P$1000,11,FALSE)*S171</f>
        <v>2554.2640000000001</v>
      </c>
      <c r="AA171" s="33"/>
      <c r="AB171" s="33"/>
      <c r="AC171" s="33"/>
      <c r="AD171" s="33">
        <f t="shared" si="17"/>
        <v>1</v>
      </c>
      <c r="AE171" s="2">
        <f t="shared" si="22"/>
        <v>548.75</v>
      </c>
      <c r="AF171" s="2" t="str">
        <f>IF(ISBLANK(AM171),IF(O171=6,"",IF(O171=1,VLOOKUP(R171,怪物信息配置表!B:H,5,FALSE),IF(O171=2,VLOOKUP(R171,怪物信息配置表!B:H,6,FALSE),IF(OR(O171=3,O171=5),VLOOKUP(R171,怪物信息配置表!B:H,7,FALSE),"")))),AM171)</f>
        <v>ai_monster</v>
      </c>
      <c r="AG171" s="2"/>
      <c r="AH171" s="15">
        <f>SUMPRODUCT(T171:V171,$AN$3:$AP$3)+ROUNDDOWN(VLOOKUP(P171,CHOOSE({1,2},'[1]消耗&amp;价值&amp;分析'!$C$7:$C$106,'[1]消耗&amp;价值&amp;分析'!$AS$7:$AS$106),2,FALSE)*0.6,0)</f>
        <v>8191.2048488330447</v>
      </c>
      <c r="AJ171" s="80">
        <v>1</v>
      </c>
      <c r="AK171" s="80">
        <v>1</v>
      </c>
      <c r="AL171" s="80">
        <v>1</v>
      </c>
    </row>
    <row r="172" spans="1:38">
      <c r="A172" s="33" t="str">
        <f>怪物并表!$R$7</f>
        <v>普通副本</v>
      </c>
      <c r="B172" s="38">
        <v>4</v>
      </c>
      <c r="C172" s="33">
        <f t="shared" si="18"/>
        <v>5001</v>
      </c>
      <c r="D172" s="33">
        <v>3</v>
      </c>
      <c r="E172" s="33">
        <f>VLOOKUP(A172,怪物并表!$R$7:$S$14,2,FALSE)</f>
        <v>1</v>
      </c>
      <c r="F172" s="38">
        <v>5</v>
      </c>
      <c r="G172" s="38">
        <v>1</v>
      </c>
      <c r="H172" s="38">
        <v>1</v>
      </c>
      <c r="I172" s="33">
        <f t="shared" si="27"/>
        <v>151104</v>
      </c>
      <c r="J172" s="33" t="s">
        <v>426</v>
      </c>
      <c r="K172" s="33"/>
      <c r="L172" s="33">
        <v>1</v>
      </c>
      <c r="M172" s="33">
        <v>1.2</v>
      </c>
      <c r="N172" s="33"/>
      <c r="O172" s="33">
        <v>3</v>
      </c>
      <c r="P172" s="33">
        <f>VLOOKUP($C172,CHOOSE({1,2},怪物并表!$E$7:$E$1000,怪物并表!$D$7:$D$1000),2,FALSE)</f>
        <v>38</v>
      </c>
      <c r="Q172" s="33" t="s">
        <v>11</v>
      </c>
      <c r="R172" s="33">
        <f>VLOOKUP(Q172,怪物信息配置表!$A$2:$B$118,2,FALSE)</f>
        <v>1011</v>
      </c>
      <c r="S172" s="33">
        <v>1</v>
      </c>
      <c r="T172" s="49">
        <f>VLOOKUP($C172,怪物并表!$E$7:$N$1000,2+($D172-1)*3,FALSE)*S172*AJ172</f>
        <v>141961.2935124459</v>
      </c>
      <c r="U172" s="49">
        <f>VLOOKUP($C172,怪物并表!$E$7:$N$1000,3+($D172-1)*3,FALSE)*S172*AK172</f>
        <v>3442.3242501573468</v>
      </c>
      <c r="V172" s="49">
        <f>VLOOKUP($C172,怪物并表!$E$7:$N$1000,4+($D172-1)*3,FALSE)*S172*AL172</f>
        <v>1711.3077973244149</v>
      </c>
      <c r="W172" s="33"/>
      <c r="X172" s="33"/>
      <c r="Y172" s="49">
        <f>VLOOKUP($C172,怪物并表!$E$7:$P$1000,12,FALSE)</f>
        <v>0</v>
      </c>
      <c r="Z172" s="49">
        <f>VLOOKUP($C172,怪物并表!$E$7:$P$1000,11,FALSE)*S172</f>
        <v>2554.2640000000001</v>
      </c>
      <c r="AA172" s="33"/>
      <c r="AB172" s="33"/>
      <c r="AC172" s="33"/>
      <c r="AD172" s="33">
        <f t="shared" si="17"/>
        <v>1.5</v>
      </c>
      <c r="AE172" s="2">
        <f t="shared" si="22"/>
        <v>323.125</v>
      </c>
      <c r="AF172" s="2" t="str">
        <f>IF(ISBLANK(AM172),IF(O172=6,"",IF(O172=1,VLOOKUP(R172,怪物信息配置表!B:H,5,FALSE),IF(O172=2,VLOOKUP(R172,怪物信息配置表!B:H,6,FALSE),IF(OR(O172=3,O172=5),VLOOKUP(R172,怪物信息配置表!B:H,7,FALSE),"")))),AM172)</f>
        <v>1011_jichenan_BOSS</v>
      </c>
      <c r="AG172" s="2"/>
      <c r="AH172" s="15">
        <f>SUMPRODUCT(T172:V172,$AN$3:$AP$3)+ROUNDDOWN(VLOOKUP(P172,CHOOSE({1,2},'[1]消耗&amp;价值&amp;分析'!$C$7:$C$106,'[1]消耗&amp;价值&amp;分析'!$AS$7:$AS$106),2,FALSE)*0.6,0)</f>
        <v>12286.083787979598</v>
      </c>
      <c r="AJ172" s="80">
        <v>1</v>
      </c>
      <c r="AK172" s="80">
        <v>1</v>
      </c>
      <c r="AL172" s="80">
        <v>1</v>
      </c>
    </row>
    <row r="173" spans="1:38">
      <c r="A173" s="33" t="str">
        <f>怪物并表!$R$7</f>
        <v>普通副本</v>
      </c>
      <c r="B173" s="38">
        <v>1</v>
      </c>
      <c r="C173" s="33">
        <f t="shared" si="18"/>
        <v>5002</v>
      </c>
      <c r="D173" s="33">
        <v>1</v>
      </c>
      <c r="E173" s="33">
        <f>VLOOKUP(A173,怪物并表!$R$7:$S$14,2,FALSE)</f>
        <v>1</v>
      </c>
      <c r="F173" s="38">
        <v>5</v>
      </c>
      <c r="G173" s="38">
        <v>2</v>
      </c>
      <c r="H173" s="38">
        <v>1</v>
      </c>
      <c r="I173" s="33">
        <f t="shared" si="27"/>
        <v>152101</v>
      </c>
      <c r="J173" s="33" t="s">
        <v>466</v>
      </c>
      <c r="K173" s="33"/>
      <c r="L173" s="33">
        <v>0</v>
      </c>
      <c r="M173" s="33">
        <v>1</v>
      </c>
      <c r="N173" s="33"/>
      <c r="O173" s="33">
        <v>1</v>
      </c>
      <c r="P173" s="33">
        <f>VLOOKUP($C173,CHOOSE({1,2},怪物并表!$E$7:$E$1000,怪物并表!$D$7:$D$1000),2,FALSE)</f>
        <v>39</v>
      </c>
      <c r="Q173" s="33" t="s">
        <v>14</v>
      </c>
      <c r="R173" s="33">
        <f>VLOOKUP(Q173,怪物信息配置表!$A$2:$B$118,2,FALSE)</f>
        <v>1010</v>
      </c>
      <c r="S173" s="33">
        <v>1</v>
      </c>
      <c r="T173" s="49">
        <f>VLOOKUP($C173,怪物并表!$E$7:$N$1000,2+($D173-1)*3,FALSE)*S173*AJ173</f>
        <v>62170.410214863972</v>
      </c>
      <c r="U173" s="49">
        <f>VLOOKUP($C173,怪物并表!$E$7:$N$1000,3+($D173-1)*3,FALSE)*S173*AK173</f>
        <v>3408.0365141425427</v>
      </c>
      <c r="V173" s="49">
        <f>VLOOKUP($C173,怪物并表!$E$7:$N$1000,4+($D173-1)*3,FALSE)*S173*AL173</f>
        <v>1477.5435882541808</v>
      </c>
      <c r="W173" s="33"/>
      <c r="X173" s="33"/>
      <c r="Y173" s="49">
        <f>VLOOKUP($C173,怪物并表!$E$7:$P$1000,12,FALSE)</f>
        <v>0</v>
      </c>
      <c r="Z173" s="49">
        <f>VLOOKUP($C173,怪物并表!$E$7:$P$1000,11,FALSE)*S173</f>
        <v>2612.4920000000002</v>
      </c>
      <c r="AA173" s="33"/>
      <c r="AB173" s="33"/>
      <c r="AC173" s="33"/>
      <c r="AD173" s="33">
        <f t="shared" si="17"/>
        <v>1</v>
      </c>
      <c r="AE173" s="2">
        <f t="shared" si="22"/>
        <v>536.875</v>
      </c>
      <c r="AF173" s="2" t="str">
        <f>IF(ISBLANK(AM173),IF(O173=6,"",IF(O173=1,VLOOKUP(R173,怪物信息配置表!B:H,5,FALSE),IF(O173=2,VLOOKUP(R173,怪物信息配置表!B:H,6,FALSE),IF(OR(O173=3,O173=5),VLOOKUP(R173,怪物信息配置表!B:H,7,FALSE),"")))),AM173)</f>
        <v>ai_monster</v>
      </c>
      <c r="AG173" s="2"/>
      <c r="AH173" s="15">
        <f>SUMPRODUCT(T173:V173,$AN$3:$AP$3)+ROUNDDOWN(VLOOKUP(P173,CHOOSE({1,2},'[1]消耗&amp;价值&amp;分析'!$C$7:$C$106,'[1]消耗&amp;价值&amp;分析'!$AS$7:$AS$106),2,FALSE)*0.6,0)</f>
        <v>8902.3965109912824</v>
      </c>
      <c r="AJ173" s="80">
        <v>1</v>
      </c>
      <c r="AK173" s="80">
        <v>1</v>
      </c>
      <c r="AL173" s="80">
        <v>1</v>
      </c>
    </row>
    <row r="174" spans="1:38">
      <c r="A174" s="33" t="str">
        <f>怪物并表!$R$7</f>
        <v>普通副本</v>
      </c>
      <c r="B174" s="38">
        <v>2</v>
      </c>
      <c r="C174" s="33">
        <f t="shared" si="18"/>
        <v>5002</v>
      </c>
      <c r="D174" s="33">
        <v>2</v>
      </c>
      <c r="E174" s="33">
        <f>VLOOKUP(A174,怪物并表!$R$7:$S$14,2,FALSE)</f>
        <v>1</v>
      </c>
      <c r="F174" s="38">
        <v>5</v>
      </c>
      <c r="G174" s="38">
        <v>2</v>
      </c>
      <c r="H174" s="38">
        <v>1</v>
      </c>
      <c r="I174" s="33">
        <f t="shared" si="27"/>
        <v>152102</v>
      </c>
      <c r="J174" s="33" t="s">
        <v>463</v>
      </c>
      <c r="K174" s="33"/>
      <c r="L174" s="33">
        <v>0</v>
      </c>
      <c r="M174" s="33">
        <v>1</v>
      </c>
      <c r="N174" s="33"/>
      <c r="O174" s="33">
        <v>1</v>
      </c>
      <c r="P174" s="33">
        <f>VLOOKUP($C174,CHOOSE({1,2},怪物并表!$E$7:$E$1000,怪物并表!$D$7:$D$1000),2,FALSE)</f>
        <v>39</v>
      </c>
      <c r="Q174" s="33" t="s">
        <v>17</v>
      </c>
      <c r="R174" s="33">
        <f>VLOOKUP(Q174,怪物信息配置表!$A$2:$B$118,2,FALSE)</f>
        <v>1005</v>
      </c>
      <c r="S174" s="33">
        <v>1</v>
      </c>
      <c r="T174" s="49">
        <f>VLOOKUP($C174,怪物并表!$E$7:$N$1000,2+($D174-1)*3,FALSE)*S174*AJ174</f>
        <v>49736.328171891182</v>
      </c>
      <c r="U174" s="49">
        <f>VLOOKUP($C174,怪物并表!$E$7:$N$1000,3+($D174-1)*3,FALSE)*S174*AK174</f>
        <v>3214.9872215537066</v>
      </c>
      <c r="V174" s="49">
        <f>VLOOKUP($C174,怪物并表!$E$7:$N$1000,4+($D174-1)*3,FALSE)*S174*AL174</f>
        <v>1108.1576911906359</v>
      </c>
      <c r="W174" s="33"/>
      <c r="X174" s="33"/>
      <c r="Y174" s="49">
        <f>VLOOKUP($C174,怪物并表!$E$7:$P$1000,12,FALSE)</f>
        <v>0</v>
      </c>
      <c r="Z174" s="49">
        <f>VLOOKUP($C174,怪物并表!$E$7:$P$1000,11,FALSE)*S174</f>
        <v>2612.4920000000002</v>
      </c>
      <c r="AA174" s="33"/>
      <c r="AB174" s="33"/>
      <c r="AC174" s="33"/>
      <c r="AD174" s="33">
        <f t="shared" si="17"/>
        <v>0.8</v>
      </c>
      <c r="AE174" s="2">
        <f t="shared" si="22"/>
        <v>629.5</v>
      </c>
      <c r="AF174" s="2" t="str">
        <f>IF(ISBLANK(AM174),IF(O174=6,"",IF(O174=1,VLOOKUP(R174,怪物信息配置表!B:H,5,FALSE),IF(O174=2,VLOOKUP(R174,怪物信息配置表!B:H,6,FALSE),IF(OR(O174=3,O174=5),VLOOKUP(R174,怪物信息配置表!B:H,7,FALSE),"")))),AM174)</f>
        <v>ai_monster_02</v>
      </c>
      <c r="AG174" s="2"/>
      <c r="AH174" s="15">
        <f>SUMPRODUCT(T174:V174,$AN$3:$AP$3)+ROUNDDOWN(VLOOKUP(P174,CHOOSE({1,2},'[1]消耗&amp;价值&amp;分析'!$C$7:$C$106,'[1]消耗&amp;价值&amp;分析'!$AS$7:$AS$106),2,FALSE)*0.6,0)</f>
        <v>7842.5980396199902</v>
      </c>
      <c r="AJ174" s="80">
        <v>1</v>
      </c>
      <c r="AK174" s="80">
        <v>1</v>
      </c>
      <c r="AL174" s="80">
        <v>1</v>
      </c>
    </row>
    <row r="175" spans="1:38">
      <c r="A175" s="33" t="str">
        <f>怪物并表!$R$7</f>
        <v>普通副本</v>
      </c>
      <c r="B175" s="38">
        <v>3</v>
      </c>
      <c r="C175" s="33">
        <f t="shared" si="18"/>
        <v>5002</v>
      </c>
      <c r="D175" s="33">
        <v>1</v>
      </c>
      <c r="E175" s="33">
        <f>VLOOKUP(A175,怪物并表!$R$7:$S$14,2,FALSE)</f>
        <v>1</v>
      </c>
      <c r="F175" s="38">
        <v>5</v>
      </c>
      <c r="G175" s="38">
        <v>2</v>
      </c>
      <c r="H175" s="38">
        <v>1</v>
      </c>
      <c r="I175" s="33">
        <f t="shared" si="27"/>
        <v>152103</v>
      </c>
      <c r="J175" s="33" t="s">
        <v>449</v>
      </c>
      <c r="K175" s="33"/>
      <c r="L175" s="33">
        <v>0</v>
      </c>
      <c r="M175" s="33">
        <v>1</v>
      </c>
      <c r="N175" s="33"/>
      <c r="O175" s="33">
        <v>1</v>
      </c>
      <c r="P175" s="33">
        <f>VLOOKUP($C175,CHOOSE({1,2},怪物并表!$E$7:$E$1000,怪物并表!$D$7:$D$1000),2,FALSE)</f>
        <v>39</v>
      </c>
      <c r="Q175" s="33" t="s">
        <v>7</v>
      </c>
      <c r="R175" s="33">
        <f>VLOOKUP(Q175,怪物信息配置表!$A$2:$B$118,2,FALSE)</f>
        <v>1002</v>
      </c>
      <c r="S175" s="33">
        <v>1</v>
      </c>
      <c r="T175" s="49">
        <f>VLOOKUP($C175,怪物并表!$E$7:$N$1000,2+($D175-1)*3,FALSE)*S175*AJ175</f>
        <v>62170.410214863972</v>
      </c>
      <c r="U175" s="49">
        <f>VLOOKUP($C175,怪物并表!$E$7:$N$1000,3+($D175-1)*3,FALSE)*S175*AK175</f>
        <v>3408.0365141425427</v>
      </c>
      <c r="V175" s="49">
        <f>VLOOKUP($C175,怪物并表!$E$7:$N$1000,4+($D175-1)*3,FALSE)*S175*AL175</f>
        <v>1477.5435882541808</v>
      </c>
      <c r="W175" s="33"/>
      <c r="X175" s="33"/>
      <c r="Y175" s="49">
        <f>VLOOKUP($C175,怪物并表!$E$7:$P$1000,12,FALSE)</f>
        <v>0</v>
      </c>
      <c r="Z175" s="49">
        <f>VLOOKUP($C175,怪物并表!$E$7:$P$1000,11,FALSE)*S175</f>
        <v>2612.4920000000002</v>
      </c>
      <c r="AA175" s="33"/>
      <c r="AB175" s="33"/>
      <c r="AC175" s="33"/>
      <c r="AD175" s="33">
        <f t="shared" si="17"/>
        <v>1</v>
      </c>
      <c r="AE175" s="2">
        <f t="shared" si="22"/>
        <v>536.875</v>
      </c>
      <c r="AF175" s="2" t="str">
        <f>IF(ISBLANK(AM175),IF(O175=6,"",IF(O175=1,VLOOKUP(R175,怪物信息配置表!B:H,5,FALSE),IF(O175=2,VLOOKUP(R175,怪物信息配置表!B:H,6,FALSE),IF(OR(O175=3,O175=5),VLOOKUP(R175,怪物信息配置表!B:H,7,FALSE),"")))),AM175)</f>
        <v>ai_monster</v>
      </c>
      <c r="AG175" s="2"/>
      <c r="AH175" s="15">
        <f>SUMPRODUCT(T175:V175,$AN$3:$AP$3)+ROUNDDOWN(VLOOKUP(P175,CHOOSE({1,2},'[1]消耗&amp;价值&amp;分析'!$C$7:$C$106,'[1]消耗&amp;价值&amp;分析'!$AS$7:$AS$106),2,FALSE)*0.6,0)</f>
        <v>8902.3965109912824</v>
      </c>
      <c r="AJ175" s="80">
        <v>1</v>
      </c>
      <c r="AK175" s="80">
        <v>1</v>
      </c>
      <c r="AL175" s="80">
        <v>1</v>
      </c>
    </row>
    <row r="176" spans="1:38">
      <c r="A176" s="33" t="str">
        <f>怪物并表!$R$7</f>
        <v>普通副本</v>
      </c>
      <c r="B176" s="38">
        <v>4</v>
      </c>
      <c r="C176" s="33">
        <f t="shared" si="18"/>
        <v>5002</v>
      </c>
      <c r="D176" s="33">
        <v>3</v>
      </c>
      <c r="E176" s="33">
        <f>VLOOKUP(A176,怪物并表!$R$7:$S$14,2,FALSE)</f>
        <v>1</v>
      </c>
      <c r="F176" s="38">
        <v>5</v>
      </c>
      <c r="G176" s="38">
        <v>2</v>
      </c>
      <c r="H176" s="38">
        <v>1</v>
      </c>
      <c r="I176" s="33">
        <f t="shared" si="27"/>
        <v>152104</v>
      </c>
      <c r="J176" s="33" t="s">
        <v>427</v>
      </c>
      <c r="K176" s="33"/>
      <c r="L176" s="33">
        <v>1</v>
      </c>
      <c r="M176" s="33">
        <v>1.2</v>
      </c>
      <c r="N176" s="33"/>
      <c r="O176" s="33">
        <v>3</v>
      </c>
      <c r="P176" s="33">
        <f>VLOOKUP($C176,CHOOSE({1,2},怪物并表!$E$7:$E$1000,怪物并表!$D$7:$D$1000),2,FALSE)</f>
        <v>39</v>
      </c>
      <c r="Q176" s="33" t="s">
        <v>12</v>
      </c>
      <c r="R176" s="33">
        <f>VLOOKUP(Q176,怪物信息配置表!$A$2:$B$118,2,FALSE)</f>
        <v>1009</v>
      </c>
      <c r="S176" s="33">
        <v>1</v>
      </c>
      <c r="T176" s="49">
        <f>VLOOKUP($C176,怪物并表!$E$7:$N$1000,2+($D176-1)*3,FALSE)*S176*AJ176</f>
        <v>155426.02553715993</v>
      </c>
      <c r="U176" s="49">
        <f>VLOOKUP($C176,怪物并表!$E$7:$N$1000,3+($D176-1)*3,FALSE)*S176*AK176</f>
        <v>3794.135099320215</v>
      </c>
      <c r="V176" s="49">
        <f>VLOOKUP($C176,怪物并表!$E$7:$N$1000,4+($D176-1)*3,FALSE)*S176*AL176</f>
        <v>1846.9294853177259</v>
      </c>
      <c r="W176" s="33"/>
      <c r="X176" s="33"/>
      <c r="Y176" s="49">
        <f>VLOOKUP($C176,怪物并表!$E$7:$P$1000,12,FALSE)</f>
        <v>0</v>
      </c>
      <c r="Z176" s="49">
        <f>VLOOKUP($C176,怪物并表!$E$7:$P$1000,11,FALSE)*S176</f>
        <v>2612.4920000000002</v>
      </c>
      <c r="AA176" s="33"/>
      <c r="AB176" s="33"/>
      <c r="AC176" s="33"/>
      <c r="AD176" s="33">
        <f t="shared" si="17"/>
        <v>1.5</v>
      </c>
      <c r="AE176" s="2">
        <f t="shared" si="22"/>
        <v>305.3125</v>
      </c>
      <c r="AF176" s="2" t="str">
        <f>IF(ISBLANK(AM176),IF(O176=6,"",IF(O176=1,VLOOKUP(R176,怪物信息配置表!B:H,5,FALSE),IF(O176=2,VLOOKUP(R176,怪物信息配置表!B:H,6,FALSE),IF(OR(O176=3,O176=5),VLOOKUP(R176,怪物信息配置表!B:H,7,FALSE),"")))),AM176)</f>
        <v>1009_tiequan_BOSS</v>
      </c>
      <c r="AG176" s="2"/>
      <c r="AH176" s="15">
        <f>SUMPRODUCT(T176:V176,$AN$3:$AP$3)+ROUNDDOWN(VLOOKUP(P176,CHOOSE({1,2},'[1]消耗&amp;价值&amp;分析'!$C$7:$C$106,'[1]消耗&amp;价值&amp;分析'!$AS$7:$AS$106),2,FALSE)*0.6,0)</f>
        <v>13388.105606124338</v>
      </c>
      <c r="AJ176" s="80">
        <v>1</v>
      </c>
      <c r="AK176" s="80">
        <v>1</v>
      </c>
      <c r="AL176" s="80">
        <v>1</v>
      </c>
    </row>
    <row r="177" spans="1:38">
      <c r="A177" s="33" t="str">
        <f>怪物并表!$R$7</f>
        <v>普通副本</v>
      </c>
      <c r="B177" s="38">
        <v>1</v>
      </c>
      <c r="C177" s="33">
        <f t="shared" si="18"/>
        <v>5003</v>
      </c>
      <c r="D177" s="33">
        <v>1</v>
      </c>
      <c r="E177" s="33">
        <f>VLOOKUP(A177,怪物并表!$R$7:$S$14,2,FALSE)</f>
        <v>1</v>
      </c>
      <c r="F177" s="38">
        <v>5</v>
      </c>
      <c r="G177" s="38">
        <v>3</v>
      </c>
      <c r="H177" s="38">
        <v>1</v>
      </c>
      <c r="I177" s="33">
        <f t="shared" si="27"/>
        <v>153101</v>
      </c>
      <c r="J177" s="33" t="s">
        <v>22</v>
      </c>
      <c r="K177" s="33"/>
      <c r="L177" s="33">
        <v>0</v>
      </c>
      <c r="M177" s="33">
        <v>1</v>
      </c>
      <c r="N177" s="33" t="s">
        <v>229</v>
      </c>
      <c r="O177" s="33">
        <v>1</v>
      </c>
      <c r="P177" s="33">
        <f>VLOOKUP($C177,CHOOSE({1,2},怪物并表!$E$7:$E$1000,怪物并表!$D$7:$D$1000),2,FALSE)</f>
        <v>40</v>
      </c>
      <c r="Q177" s="33" t="s">
        <v>14</v>
      </c>
      <c r="R177" s="33">
        <f>VLOOKUP(Q177,怪物信息配置表!$A$2:$B$118,2,FALSE)</f>
        <v>1010</v>
      </c>
      <c r="S177" s="33">
        <v>1</v>
      </c>
      <c r="T177" s="49">
        <f>VLOOKUP($C177,怪物并表!$E$7:$N$1000,2+($D177-1)*3,FALSE)*S177*AJ177</f>
        <v>68511.523503065546</v>
      </c>
      <c r="U177" s="49">
        <f>VLOOKUP($C177,怪物并表!$E$7:$N$1000,3+($D177-1)*3,FALSE)*S177*AK177</f>
        <v>3776.0063478260886</v>
      </c>
      <c r="V177" s="49">
        <f>VLOOKUP($C177,怪物并表!$E$7:$N$1000,4+($D177-1)*3,FALSE)*S177*AL177</f>
        <v>1605.4628387959874</v>
      </c>
      <c r="W177" s="33"/>
      <c r="X177" s="33"/>
      <c r="Y177" s="49">
        <f>VLOOKUP($C177,怪物并表!$E$7:$P$1000,12,FALSE)</f>
        <v>0</v>
      </c>
      <c r="Z177" s="49">
        <f>VLOOKUP($C177,怪物并表!$E$7:$P$1000,11,FALSE)*S177</f>
        <v>2670.72</v>
      </c>
      <c r="AA177" s="33"/>
      <c r="AB177" s="33"/>
      <c r="AC177" s="33"/>
      <c r="AD177" s="33">
        <f t="shared" si="17"/>
        <v>1</v>
      </c>
      <c r="AE177" s="2">
        <f t="shared" si="22"/>
        <v>525</v>
      </c>
      <c r="AF177" s="2" t="str">
        <f>IF(ISBLANK(AM177),IF(O177=6,"",IF(O177=1,VLOOKUP(R177,怪物信息配置表!B:H,5,FALSE),IF(O177=2,VLOOKUP(R177,怪物信息配置表!B:H,6,FALSE),IF(OR(O177=3,O177=5),VLOOKUP(R177,怪物信息配置表!B:H,7,FALSE),"")))),AM177)</f>
        <v>ai_monster</v>
      </c>
      <c r="AG177" s="2"/>
      <c r="AH177" s="15">
        <f>SUMPRODUCT(T177:V177,$AN$3:$AP$3)+ROUNDDOWN(VLOOKUP(P177,CHOOSE({1,2},'[1]消耗&amp;价值&amp;分析'!$C$7:$C$106,'[1]消耗&amp;价值&amp;分析'!$AS$7:$AS$106),2,FALSE)*0.6,0)</f>
        <v>9741.9301267446972</v>
      </c>
      <c r="AJ177" s="80">
        <v>1</v>
      </c>
      <c r="AK177" s="80">
        <v>1</v>
      </c>
      <c r="AL177" s="80">
        <v>1</v>
      </c>
    </row>
    <row r="178" spans="1:38">
      <c r="A178" s="33" t="str">
        <f>怪物并表!$R$7</f>
        <v>普通副本</v>
      </c>
      <c r="B178" s="38">
        <v>2</v>
      </c>
      <c r="C178" s="33">
        <f t="shared" si="18"/>
        <v>5003</v>
      </c>
      <c r="D178" s="33">
        <v>1</v>
      </c>
      <c r="E178" s="33">
        <f>VLOOKUP(A178,怪物并表!$R$7:$S$14,2,FALSE)</f>
        <v>1</v>
      </c>
      <c r="F178" s="38">
        <v>5</v>
      </c>
      <c r="G178" s="38">
        <v>3</v>
      </c>
      <c r="H178" s="38">
        <v>1</v>
      </c>
      <c r="I178" s="33">
        <f t="shared" si="27"/>
        <v>153102</v>
      </c>
      <c r="J178" s="33" t="s">
        <v>482</v>
      </c>
      <c r="K178" s="33"/>
      <c r="L178" s="33">
        <v>0</v>
      </c>
      <c r="M178" s="33">
        <v>1</v>
      </c>
      <c r="N178" s="33"/>
      <c r="O178" s="33">
        <v>1</v>
      </c>
      <c r="P178" s="33">
        <f>VLOOKUP($C178,CHOOSE({1,2},怪物并表!$E$7:$E$1000,怪物并表!$D$7:$D$1000),2,FALSE)</f>
        <v>40</v>
      </c>
      <c r="Q178" s="33" t="s">
        <v>13</v>
      </c>
      <c r="R178" s="33">
        <f>VLOOKUP(Q178,怪物信息配置表!$A$2:$B$118,2,FALSE)</f>
        <v>1007</v>
      </c>
      <c r="S178" s="33">
        <v>1</v>
      </c>
      <c r="T178" s="49">
        <f>VLOOKUP($C178,怪物并表!$E$7:$N$1000,2+($D178-1)*3,FALSE)*S178*AJ178</f>
        <v>68511.523503065546</v>
      </c>
      <c r="U178" s="49">
        <f>VLOOKUP($C178,怪物并表!$E$7:$N$1000,3+($D178-1)*3,FALSE)*S178*AK178</f>
        <v>3776.0063478260886</v>
      </c>
      <c r="V178" s="49">
        <f>VLOOKUP($C178,怪物并表!$E$7:$N$1000,4+($D178-1)*3,FALSE)*S178*AL178</f>
        <v>1605.4628387959874</v>
      </c>
      <c r="W178" s="33"/>
      <c r="X178" s="33"/>
      <c r="Y178" s="49">
        <f>VLOOKUP($C178,怪物并表!$E$7:$P$1000,12,FALSE)</f>
        <v>0</v>
      </c>
      <c r="Z178" s="49">
        <f>VLOOKUP($C178,怪物并表!$E$7:$P$1000,11,FALSE)*S178</f>
        <v>2670.72</v>
      </c>
      <c r="AA178" s="33"/>
      <c r="AB178" s="33"/>
      <c r="AC178" s="33"/>
      <c r="AD178" s="33">
        <f t="shared" si="17"/>
        <v>1</v>
      </c>
      <c r="AE178" s="2">
        <f t="shared" si="22"/>
        <v>525</v>
      </c>
      <c r="AF178" s="2" t="str">
        <f>IF(ISBLANK(AM178),IF(O178=6,"",IF(O178=1,VLOOKUP(R178,怪物信息配置表!B:H,5,FALSE),IF(O178=2,VLOOKUP(R178,怪物信息配置表!B:H,6,FALSE),IF(OR(O178=3,O178=5),VLOOKUP(R178,怪物信息配置表!B:H,7,FALSE),"")))),AM178)</f>
        <v>ai_monster_03</v>
      </c>
      <c r="AG178" s="2"/>
      <c r="AH178" s="15">
        <f>SUMPRODUCT(T178:V178,$AN$3:$AP$3)+ROUNDDOWN(VLOOKUP(P178,CHOOSE({1,2},'[1]消耗&amp;价值&amp;分析'!$C$7:$C$106,'[1]消耗&amp;价值&amp;分析'!$AS$7:$AS$106),2,FALSE)*0.6,0)</f>
        <v>9741.9301267446972</v>
      </c>
      <c r="AJ178" s="80">
        <v>1</v>
      </c>
      <c r="AK178" s="80">
        <v>1</v>
      </c>
      <c r="AL178" s="80">
        <v>1</v>
      </c>
    </row>
    <row r="179" spans="1:38">
      <c r="A179" s="33" t="str">
        <f>怪物并表!$R$7</f>
        <v>普通副本</v>
      </c>
      <c r="B179" s="38">
        <v>3</v>
      </c>
      <c r="C179" s="33">
        <f t="shared" si="18"/>
        <v>5003</v>
      </c>
      <c r="D179" s="33">
        <v>1</v>
      </c>
      <c r="E179" s="33">
        <f>VLOOKUP(A179,怪物并表!$R$7:$S$14,2,FALSE)</f>
        <v>1</v>
      </c>
      <c r="F179" s="38">
        <v>5</v>
      </c>
      <c r="G179" s="38">
        <v>3</v>
      </c>
      <c r="H179" s="38">
        <v>1</v>
      </c>
      <c r="I179" s="33">
        <f t="shared" si="27"/>
        <v>153103</v>
      </c>
      <c r="J179" s="33" t="s">
        <v>462</v>
      </c>
      <c r="K179" s="33"/>
      <c r="L179" s="33">
        <v>0</v>
      </c>
      <c r="M179" s="33">
        <v>1</v>
      </c>
      <c r="N179" s="33" t="s">
        <v>215</v>
      </c>
      <c r="O179" s="33">
        <v>1</v>
      </c>
      <c r="P179" s="33">
        <f>VLOOKUP($C179,CHOOSE({1,2},怪物并表!$E$7:$E$1000,怪物并表!$D$7:$D$1000),2,FALSE)</f>
        <v>40</v>
      </c>
      <c r="Q179" s="33" t="s">
        <v>11</v>
      </c>
      <c r="R179" s="33">
        <f>VLOOKUP(Q179,怪物信息配置表!$A$2:$B$118,2,FALSE)</f>
        <v>1011</v>
      </c>
      <c r="S179" s="33">
        <v>1</v>
      </c>
      <c r="T179" s="49">
        <f>VLOOKUP($C179,怪物并表!$E$7:$N$1000,2+($D179-1)*3,FALSE)*S179*AJ179</f>
        <v>68511.523503065546</v>
      </c>
      <c r="U179" s="49">
        <f>VLOOKUP($C179,怪物并表!$E$7:$N$1000,3+($D179-1)*3,FALSE)*S179*AK179</f>
        <v>3776.0063478260886</v>
      </c>
      <c r="V179" s="49">
        <f>VLOOKUP($C179,怪物并表!$E$7:$N$1000,4+($D179-1)*3,FALSE)*S179*AL179</f>
        <v>1605.4628387959874</v>
      </c>
      <c r="W179" s="33"/>
      <c r="X179" s="33"/>
      <c r="Y179" s="49">
        <f>VLOOKUP($C179,怪物并表!$E$7:$P$1000,12,FALSE)</f>
        <v>0</v>
      </c>
      <c r="Z179" s="49">
        <f>VLOOKUP($C179,怪物并表!$E$7:$P$1000,11,FALSE)*S179</f>
        <v>2670.72</v>
      </c>
      <c r="AA179" s="33"/>
      <c r="AB179" s="33"/>
      <c r="AC179" s="33"/>
      <c r="AD179" s="33">
        <f t="shared" si="17"/>
        <v>1</v>
      </c>
      <c r="AE179" s="2">
        <f t="shared" si="22"/>
        <v>525</v>
      </c>
      <c r="AF179" s="2" t="str">
        <f>IF(ISBLANK(AM179),IF(O179=6,"",IF(O179=1,VLOOKUP(R179,怪物信息配置表!B:H,5,FALSE),IF(O179=2,VLOOKUP(R179,怪物信息配置表!B:H,6,FALSE),IF(OR(O179=3,O179=5),VLOOKUP(R179,怪物信息配置表!B:H,7,FALSE),"")))),AM179)</f>
        <v>ai_monster</v>
      </c>
      <c r="AG179" s="2"/>
      <c r="AH179" s="15">
        <f>SUMPRODUCT(T179:V179,$AN$3:$AP$3)+ROUNDDOWN(VLOOKUP(P179,CHOOSE({1,2},'[1]消耗&amp;价值&amp;分析'!$C$7:$C$106,'[1]消耗&amp;价值&amp;分析'!$AS$7:$AS$106),2,FALSE)*0.6,0)</f>
        <v>9741.9301267446972</v>
      </c>
      <c r="AJ179" s="80">
        <v>1</v>
      </c>
      <c r="AK179" s="80">
        <v>1</v>
      </c>
      <c r="AL179" s="80">
        <v>1</v>
      </c>
    </row>
    <row r="180" spans="1:38">
      <c r="A180" s="33" t="str">
        <f>怪物并表!$R$7</f>
        <v>普通副本</v>
      </c>
      <c r="B180" s="38">
        <v>4</v>
      </c>
      <c r="C180" s="33">
        <f t="shared" si="18"/>
        <v>5003</v>
      </c>
      <c r="D180" s="33">
        <v>3</v>
      </c>
      <c r="E180" s="33">
        <f>VLOOKUP(A180,怪物并表!$R$7:$S$14,2,FALSE)</f>
        <v>1</v>
      </c>
      <c r="F180" s="38">
        <v>5</v>
      </c>
      <c r="G180" s="38">
        <v>3</v>
      </c>
      <c r="H180" s="38">
        <v>1</v>
      </c>
      <c r="I180" s="33">
        <f t="shared" si="27"/>
        <v>153104</v>
      </c>
      <c r="J180" s="33" t="s">
        <v>428</v>
      </c>
      <c r="K180" s="33"/>
      <c r="L180" s="33">
        <v>1</v>
      </c>
      <c r="M180" s="33">
        <v>1.2</v>
      </c>
      <c r="N180" s="33"/>
      <c r="O180" s="33">
        <v>3</v>
      </c>
      <c r="P180" s="33">
        <f>VLOOKUP($C180,CHOOSE({1,2},怪物并表!$E$7:$E$1000,怪物并表!$D$7:$D$1000),2,FALSE)</f>
        <v>40</v>
      </c>
      <c r="Q180" s="33" t="s">
        <v>560</v>
      </c>
      <c r="R180" s="33">
        <f>VLOOKUP(Q180,怪物信息配置表!$A$2:$B$118,2,FALSE)</f>
        <v>1110</v>
      </c>
      <c r="S180" s="33">
        <v>1</v>
      </c>
      <c r="T180" s="49">
        <f>VLOOKUP($C180,怪物并表!$E$7:$N$1000,2+($D180-1)*3,FALSE)*S180*AJ180</f>
        <v>171278.80875766388</v>
      </c>
      <c r="U180" s="49">
        <f>VLOOKUP($C180,怪物并表!$E$7:$N$1000,3+($D180-1)*3,FALSE)*S180*AK180</f>
        <v>4210.1150496321088</v>
      </c>
      <c r="V180" s="49">
        <f>VLOOKUP($C180,怪物并表!$E$7:$N$1000,4+($D180-1)*3,FALSE)*S180*AL180</f>
        <v>2006.828548494984</v>
      </c>
      <c r="W180" s="33"/>
      <c r="X180" s="33"/>
      <c r="Y180" s="49">
        <f>VLOOKUP($C180,怪物并表!$E$7:$P$1000,12,FALSE)</f>
        <v>0</v>
      </c>
      <c r="Z180" s="49">
        <f>VLOOKUP($C180,怪物并表!$E$7:$P$1000,11,FALSE)*S180</f>
        <v>2670.72</v>
      </c>
      <c r="AA180" s="33"/>
      <c r="AB180" s="33"/>
      <c r="AC180" s="33"/>
      <c r="AD180" s="33">
        <f t="shared" si="17"/>
        <v>1.5</v>
      </c>
      <c r="AE180" s="2">
        <f t="shared" si="22"/>
        <v>162.5</v>
      </c>
      <c r="AF180" s="2" t="str">
        <f>IF(ISBLANK(AM180),IF(O180=6,"",IF(O180=1,VLOOKUP(R180,怪物信息配置表!B:H,5,FALSE),IF(O180=2,VLOOKUP(R180,怪物信息配置表!B:H,6,FALSE),IF(OR(O180=3,O180=5),VLOOKUP(R180,怪物信息配置表!B:H,7,FALSE),"")))),AM180)</f>
        <v>1110_babi_BOSS</v>
      </c>
      <c r="AG180" s="2"/>
      <c r="AH180" s="15">
        <f>SUMPRODUCT(T180:V180,$AN$3:$AP$3)+ROUNDDOWN(VLOOKUP(P180,CHOOSE({1,2},'[1]消耗&amp;价值&amp;分析'!$C$7:$C$106,'[1]消耗&amp;价值&amp;分析'!$AS$7:$AS$106),2,FALSE)*0.6,0)</f>
        <v>14688.095948433649</v>
      </c>
      <c r="AJ180" s="80">
        <v>1</v>
      </c>
      <c r="AK180" s="80">
        <v>1</v>
      </c>
      <c r="AL180" s="80">
        <v>1</v>
      </c>
    </row>
    <row r="181" spans="1:38">
      <c r="A181" s="33" t="str">
        <f>怪物并表!$R$7</f>
        <v>普通副本</v>
      </c>
      <c r="B181" s="38">
        <v>1</v>
      </c>
      <c r="C181" s="33">
        <f t="shared" si="18"/>
        <v>5004</v>
      </c>
      <c r="D181" s="33">
        <v>1</v>
      </c>
      <c r="E181" s="33">
        <f>VLOOKUP(A181,怪物并表!$R$7:$S$14,2,FALSE)</f>
        <v>1</v>
      </c>
      <c r="F181" s="38">
        <v>5</v>
      </c>
      <c r="G181" s="38">
        <v>4</v>
      </c>
      <c r="H181" s="38">
        <v>1</v>
      </c>
      <c r="I181" s="33">
        <f t="shared" si="27"/>
        <v>154101</v>
      </c>
      <c r="J181" s="33" t="s">
        <v>483</v>
      </c>
      <c r="K181" s="33"/>
      <c r="L181" s="33">
        <v>0</v>
      </c>
      <c r="M181" s="33">
        <v>1</v>
      </c>
      <c r="N181" s="33"/>
      <c r="O181" s="33">
        <v>1</v>
      </c>
      <c r="P181" s="33">
        <f>VLOOKUP($C181,CHOOSE({1,2},怪物并表!$E$7:$E$1000,怪物并表!$D$7:$D$1000),2,FALSE)</f>
        <v>41</v>
      </c>
      <c r="Q181" s="33" t="s">
        <v>15</v>
      </c>
      <c r="R181" s="33">
        <f>VLOOKUP(Q181,怪物信息配置表!$A$2:$B$118,2,FALSE)</f>
        <v>1004</v>
      </c>
      <c r="S181" s="33">
        <v>1</v>
      </c>
      <c r="T181" s="49">
        <f>VLOOKUP($C181,怪物并表!$E$7:$N$1000,2+($D181-1)*3,FALSE)*S181*AJ181</f>
        <v>75283.541885462531</v>
      </c>
      <c r="U181" s="49">
        <f>VLOOKUP($C181,怪物并表!$E$7:$N$1000,3+($D181-1)*3,FALSE)*S181*AK181</f>
        <v>4172.7400269939562</v>
      </c>
      <c r="V181" s="49">
        <f>VLOOKUP($C181,怪物并表!$E$7:$N$1000,4+($D181-1)*3,FALSE)*S181*AL181</f>
        <v>1739.8987370434788</v>
      </c>
      <c r="W181" s="33"/>
      <c r="X181" s="33"/>
      <c r="Y181" s="49">
        <f>VLOOKUP($C181,怪物并表!$E$7:$P$1000,12,FALSE)</f>
        <v>0</v>
      </c>
      <c r="Z181" s="49">
        <f>VLOOKUP($C181,怪物并表!$E$7:$P$1000,11,FALSE)*S181</f>
        <v>2728.9480000000003</v>
      </c>
      <c r="AA181" s="33"/>
      <c r="AB181" s="33"/>
      <c r="AC181" s="33"/>
      <c r="AD181" s="33">
        <f t="shared" si="17"/>
        <v>1</v>
      </c>
      <c r="AE181" s="2">
        <f t="shared" si="22"/>
        <v>513.125</v>
      </c>
      <c r="AF181" s="2" t="str">
        <f>IF(ISBLANK(AM181),IF(O181=6,"",IF(O181=1,VLOOKUP(R181,怪物信息配置表!B:H,5,FALSE),IF(O181=2,VLOOKUP(R181,怪物信息配置表!B:H,6,FALSE),IF(OR(O181=3,O181=5),VLOOKUP(R181,怪物信息配置表!B:H,7,FALSE),"")))),AM181)</f>
        <v>ai_monster</v>
      </c>
      <c r="AG181" s="2"/>
      <c r="AH181" s="15">
        <f>SUMPRODUCT(T181:V181,$AN$3:$AP$3)+ROUNDDOWN(VLOOKUP(P181,CHOOSE({1,2},'[1]消耗&amp;价值&amp;分析'!$C$7:$C$106,'[1]消耗&amp;价值&amp;分析'!$AS$7:$AS$106),2,FALSE)*0.6,0)</f>
        <v>10627.980439455936</v>
      </c>
      <c r="AJ181" s="80">
        <v>1</v>
      </c>
      <c r="AK181" s="80">
        <v>1</v>
      </c>
      <c r="AL181" s="80">
        <v>1</v>
      </c>
    </row>
    <row r="182" spans="1:38">
      <c r="A182" s="33" t="str">
        <f>怪物并表!$R$7</f>
        <v>普通副本</v>
      </c>
      <c r="B182" s="38">
        <v>2</v>
      </c>
      <c r="C182" s="33">
        <f t="shared" si="18"/>
        <v>5004</v>
      </c>
      <c r="D182" s="33">
        <v>1</v>
      </c>
      <c r="E182" s="33">
        <f>VLOOKUP(A182,怪物并表!$R$7:$S$14,2,FALSE)</f>
        <v>1</v>
      </c>
      <c r="F182" s="38">
        <v>5</v>
      </c>
      <c r="G182" s="38">
        <v>4</v>
      </c>
      <c r="H182" s="38">
        <v>1</v>
      </c>
      <c r="I182" s="33">
        <f t="shared" si="27"/>
        <v>154102</v>
      </c>
      <c r="J182" s="33" t="s">
        <v>44</v>
      </c>
      <c r="K182" s="33"/>
      <c r="L182" s="33">
        <v>0</v>
      </c>
      <c r="M182" s="33">
        <v>1</v>
      </c>
      <c r="N182" s="33"/>
      <c r="O182" s="33">
        <v>1</v>
      </c>
      <c r="P182" s="33">
        <f>VLOOKUP($C182,CHOOSE({1,2},怪物并表!$E$7:$E$1000,怪物并表!$D$7:$D$1000),2,FALSE)</f>
        <v>41</v>
      </c>
      <c r="Q182" s="33" t="s">
        <v>7</v>
      </c>
      <c r="R182" s="33">
        <f>VLOOKUP(Q182,怪物信息配置表!$A$2:$B$118,2,FALSE)</f>
        <v>1002</v>
      </c>
      <c r="S182" s="33">
        <v>1</v>
      </c>
      <c r="T182" s="49">
        <f>VLOOKUP($C182,怪物并表!$E$7:$N$1000,2+($D182-1)*3,FALSE)*S182*AJ182</f>
        <v>75283.541885462531</v>
      </c>
      <c r="U182" s="49">
        <f>VLOOKUP($C182,怪物并表!$E$7:$N$1000,3+($D182-1)*3,FALSE)*S182*AK182</f>
        <v>4172.7400269939562</v>
      </c>
      <c r="V182" s="49">
        <f>VLOOKUP($C182,怪物并表!$E$7:$N$1000,4+($D182-1)*3,FALSE)*S182*AL182</f>
        <v>1739.8987370434788</v>
      </c>
      <c r="W182" s="33"/>
      <c r="X182" s="33"/>
      <c r="Y182" s="49">
        <f>VLOOKUP($C182,怪物并表!$E$7:$P$1000,12,FALSE)</f>
        <v>0</v>
      </c>
      <c r="Z182" s="49">
        <f>VLOOKUP($C182,怪物并表!$E$7:$P$1000,11,FALSE)*S182</f>
        <v>2728.9480000000003</v>
      </c>
      <c r="AA182" s="33"/>
      <c r="AB182" s="33"/>
      <c r="AC182" s="33"/>
      <c r="AD182" s="33">
        <f t="shared" si="17"/>
        <v>1</v>
      </c>
      <c r="AE182" s="2">
        <f t="shared" si="22"/>
        <v>513.125</v>
      </c>
      <c r="AF182" s="2" t="str">
        <f>IF(ISBLANK(AM182),IF(O182=6,"",IF(O182=1,VLOOKUP(R182,怪物信息配置表!B:H,5,FALSE),IF(O182=2,VLOOKUP(R182,怪物信息配置表!B:H,6,FALSE),IF(OR(O182=3,O182=5),VLOOKUP(R182,怪物信息配置表!B:H,7,FALSE),"")))),AM182)</f>
        <v>ai_monster</v>
      </c>
      <c r="AG182" s="2"/>
      <c r="AH182" s="15">
        <f>SUMPRODUCT(T182:V182,$AN$3:$AP$3)+ROUNDDOWN(VLOOKUP(P182,CHOOSE({1,2},'[1]消耗&amp;价值&amp;分析'!$C$7:$C$106,'[1]消耗&amp;价值&amp;分析'!$AS$7:$AS$106),2,FALSE)*0.6,0)</f>
        <v>10627.980439455936</v>
      </c>
      <c r="AJ182" s="80">
        <v>1</v>
      </c>
      <c r="AK182" s="80">
        <v>1</v>
      </c>
      <c r="AL182" s="80">
        <v>1</v>
      </c>
    </row>
    <row r="183" spans="1:38">
      <c r="A183" s="33" t="str">
        <f>怪物并表!$R$7</f>
        <v>普通副本</v>
      </c>
      <c r="B183" s="38">
        <v>3</v>
      </c>
      <c r="C183" s="33">
        <f t="shared" si="18"/>
        <v>5004</v>
      </c>
      <c r="D183" s="33">
        <v>2</v>
      </c>
      <c r="E183" s="33">
        <f>VLOOKUP(A183,怪物并表!$R$7:$S$14,2,FALSE)</f>
        <v>1</v>
      </c>
      <c r="F183" s="38">
        <v>5</v>
      </c>
      <c r="G183" s="38">
        <v>4</v>
      </c>
      <c r="H183" s="38">
        <v>1</v>
      </c>
      <c r="I183" s="33">
        <f t="shared" si="27"/>
        <v>154103</v>
      </c>
      <c r="J183" s="33" t="s">
        <v>463</v>
      </c>
      <c r="K183" s="33"/>
      <c r="L183" s="33">
        <v>0</v>
      </c>
      <c r="M183" s="33">
        <v>1</v>
      </c>
      <c r="N183" s="33"/>
      <c r="O183" s="33">
        <v>1</v>
      </c>
      <c r="P183" s="33">
        <f>VLOOKUP($C183,CHOOSE({1,2},怪物并表!$E$7:$E$1000,怪物并表!$D$7:$D$1000),2,FALSE)</f>
        <v>41</v>
      </c>
      <c r="Q183" s="33" t="s">
        <v>17</v>
      </c>
      <c r="R183" s="33">
        <f>VLOOKUP(Q183,怪物信息配置表!$A$2:$B$118,2,FALSE)</f>
        <v>1005</v>
      </c>
      <c r="S183" s="33">
        <v>1</v>
      </c>
      <c r="T183" s="49">
        <f>VLOOKUP($C183,怪物并表!$E$7:$N$1000,2+($D183-1)*3,FALSE)*S183*AJ183</f>
        <v>60226.833508370029</v>
      </c>
      <c r="U183" s="49">
        <f>VLOOKUP($C183,怪物并表!$E$7:$N$1000,3+($D183-1)*3,FALSE)*S183*AK183</f>
        <v>3929.4558979989088</v>
      </c>
      <c r="V183" s="49">
        <f>VLOOKUP($C183,怪物并表!$E$7:$N$1000,4+($D183-1)*3,FALSE)*S183*AL183</f>
        <v>1304.9240527826091</v>
      </c>
      <c r="W183" s="33"/>
      <c r="X183" s="33"/>
      <c r="Y183" s="49">
        <f>VLOOKUP($C183,怪物并表!$E$7:$P$1000,12,FALSE)</f>
        <v>0</v>
      </c>
      <c r="Z183" s="49">
        <f>VLOOKUP($C183,怪物并表!$E$7:$P$1000,11,FALSE)*S183</f>
        <v>2728.9480000000003</v>
      </c>
      <c r="AA183" s="33"/>
      <c r="AB183" s="33"/>
      <c r="AC183" s="33"/>
      <c r="AD183" s="33">
        <f t="shared" si="17"/>
        <v>0.8</v>
      </c>
      <c r="AE183" s="2">
        <f t="shared" si="22"/>
        <v>610.5</v>
      </c>
      <c r="AF183" s="2" t="str">
        <f>IF(ISBLANK(AM183),IF(O183=6,"",IF(O183=1,VLOOKUP(R183,怪物信息配置表!B:H,5,FALSE),IF(O183=2,VLOOKUP(R183,怪物信息配置表!B:H,6,FALSE),IF(OR(O183=3,O183=5),VLOOKUP(R183,怪物信息配置表!B:H,7,FALSE),"")))),AM183)</f>
        <v>ai_monster_02</v>
      </c>
      <c r="AG183" s="2"/>
      <c r="AH183" s="15">
        <f>SUMPRODUCT(T183:V183,$AN$3:$AP$3)+ROUNDDOWN(VLOOKUP(P183,CHOOSE({1,2},'[1]消耗&amp;价值&amp;分析'!$C$7:$C$106,'[1]消耗&amp;价值&amp;分析'!$AS$7:$AS$106),2,FALSE)*0.6,0)</f>
        <v>9347.4532911163187</v>
      </c>
      <c r="AJ183" s="80">
        <v>1</v>
      </c>
      <c r="AK183" s="80">
        <v>1</v>
      </c>
      <c r="AL183" s="80">
        <v>1</v>
      </c>
    </row>
    <row r="184" spans="1:38">
      <c r="A184" s="33" t="str">
        <f>怪物并表!$R$7</f>
        <v>普通副本</v>
      </c>
      <c r="B184" s="38">
        <v>4</v>
      </c>
      <c r="C184" s="33">
        <f t="shared" si="18"/>
        <v>5004</v>
      </c>
      <c r="D184" s="33">
        <v>3</v>
      </c>
      <c r="E184" s="33">
        <f>VLOOKUP(A184,怪物并表!$R$7:$S$14,2,FALSE)</f>
        <v>1</v>
      </c>
      <c r="F184" s="38">
        <v>5</v>
      </c>
      <c r="G184" s="38">
        <v>4</v>
      </c>
      <c r="H184" s="38">
        <v>1</v>
      </c>
      <c r="I184" s="33">
        <f t="shared" si="27"/>
        <v>154104</v>
      </c>
      <c r="J184" s="33" t="s">
        <v>688</v>
      </c>
      <c r="K184" s="33"/>
      <c r="L184" s="33">
        <v>1</v>
      </c>
      <c r="M184" s="33">
        <v>1.2</v>
      </c>
      <c r="N184" s="33"/>
      <c r="O184" s="33">
        <v>3</v>
      </c>
      <c r="P184" s="33">
        <f>VLOOKUP($C184,CHOOSE({1,2},怪物并表!$E$7:$E$1000,怪物并表!$D$7:$D$1000),2,FALSE)</f>
        <v>41</v>
      </c>
      <c r="Q184" s="33" t="s">
        <v>12</v>
      </c>
      <c r="R184" s="33">
        <f>VLOOKUP(Q184,怪物信息配置表!$A$2:$B$118,2,FALSE)</f>
        <v>1009</v>
      </c>
      <c r="S184" s="33">
        <v>1</v>
      </c>
      <c r="T184" s="49">
        <f>VLOOKUP($C184,怪物并表!$E$7:$N$1000,2+($D184-1)*3,FALSE)*S184*AJ184</f>
        <v>188208.85471365633</v>
      </c>
      <c r="U184" s="49">
        <f>VLOOKUP($C184,怪物并表!$E$7:$N$1000,3+($D184-1)*3,FALSE)*S184*AK184</f>
        <v>4659.3082849840521</v>
      </c>
      <c r="V184" s="49">
        <f>VLOOKUP($C184,怪物并表!$E$7:$N$1000,4+($D184-1)*3,FALSE)*S184*AL184</f>
        <v>2174.8734213043485</v>
      </c>
      <c r="W184" s="33"/>
      <c r="X184" s="33"/>
      <c r="Y184" s="49">
        <f>VLOOKUP($C184,怪物并表!$E$7:$P$1000,12,FALSE)</f>
        <v>0</v>
      </c>
      <c r="Z184" s="49">
        <f>VLOOKUP($C184,怪物并表!$E$7:$P$1000,11,FALSE)*S184</f>
        <v>2728.9480000000003</v>
      </c>
      <c r="AA184" s="33"/>
      <c r="AB184" s="33"/>
      <c r="AC184" s="33"/>
      <c r="AD184" s="33">
        <f t="shared" si="17"/>
        <v>1.5</v>
      </c>
      <c r="AE184" s="2">
        <f t="shared" si="22"/>
        <v>269.6875</v>
      </c>
      <c r="AF184" s="2" t="str">
        <f>IF(ISBLANK(AM184),IF(O184=6,"",IF(O184=1,VLOOKUP(R184,怪物信息配置表!B:H,5,FALSE),IF(O184=2,VLOOKUP(R184,怪物信息配置表!B:H,6,FALSE),IF(OR(O184=3,O184=5),VLOOKUP(R184,怪物信息配置表!B:H,7,FALSE),"")))),AM184)</f>
        <v>1009_tiequan_BOSS</v>
      </c>
      <c r="AG184" s="2"/>
      <c r="AH184" s="15">
        <f>SUMPRODUCT(T184:V184,$AN$3:$AP$3)+ROUNDDOWN(VLOOKUP(P184,CHOOSE({1,2},'[1]消耗&amp;价值&amp;分析'!$C$7:$C$106,'[1]消耗&amp;价值&amp;分析'!$AS$7:$AS$106),2,FALSE)*0.6,0)</f>
        <v>16066.535894834653</v>
      </c>
      <c r="AJ184" s="80">
        <v>1</v>
      </c>
      <c r="AK184" s="80">
        <v>1</v>
      </c>
      <c r="AL184" s="80">
        <v>1</v>
      </c>
    </row>
    <row r="185" spans="1:38">
      <c r="A185" s="33" t="str">
        <f>怪物并表!$R$7</f>
        <v>普通副本</v>
      </c>
      <c r="B185" s="38">
        <v>1</v>
      </c>
      <c r="C185" s="33">
        <f t="shared" si="18"/>
        <v>5005</v>
      </c>
      <c r="D185" s="33">
        <v>1</v>
      </c>
      <c r="E185" s="33">
        <f>VLOOKUP(A185,怪物并表!$R$7:$S$14,2,FALSE)</f>
        <v>1</v>
      </c>
      <c r="F185" s="38">
        <v>5</v>
      </c>
      <c r="G185" s="38">
        <v>5</v>
      </c>
      <c r="H185" s="38">
        <v>1</v>
      </c>
      <c r="I185" s="33">
        <f t="shared" si="27"/>
        <v>155101</v>
      </c>
      <c r="J185" s="33" t="s">
        <v>216</v>
      </c>
      <c r="K185" s="33"/>
      <c r="L185" s="33">
        <v>0</v>
      </c>
      <c r="M185" s="33">
        <v>1</v>
      </c>
      <c r="N185" s="33"/>
      <c r="O185" s="33">
        <v>1</v>
      </c>
      <c r="P185" s="33">
        <f>VLOOKUP($C185,CHOOSE({1,2},怪物并表!$E$7:$E$1000,怪物并表!$D$7:$D$1000),2,FALSE)</f>
        <v>42</v>
      </c>
      <c r="Q185" s="33" t="s">
        <v>12</v>
      </c>
      <c r="R185" s="33">
        <f>VLOOKUP(Q185,怪物信息配置表!$A$2:$B$118,2,FALSE)</f>
        <v>1009</v>
      </c>
      <c r="S185" s="33">
        <v>1</v>
      </c>
      <c r="T185" s="49">
        <f>VLOOKUP($C185,怪物并表!$E$7:$N$1000,2+($D185-1)*3,FALSE)*S185*AJ185</f>
        <v>82503.226288916951</v>
      </c>
      <c r="U185" s="49">
        <f>VLOOKUP($C185,怪物并表!$E$7:$N$1000,3+($D185-1)*3,FALSE)*S185*AK185</f>
        <v>4599.8513238166461</v>
      </c>
      <c r="V185" s="49">
        <f>VLOOKUP($C185,怪物并表!$E$7:$N$1000,4+($D185-1)*3,FALSE)*S185*AL185</f>
        <v>1880.9845661538475</v>
      </c>
      <c r="W185" s="33"/>
      <c r="X185" s="33"/>
      <c r="Y185" s="49">
        <f>VLOOKUP($C185,怪物并表!$E$7:$P$1000,12,FALSE)</f>
        <v>0</v>
      </c>
      <c r="Z185" s="49">
        <f>VLOOKUP($C185,怪物并表!$E$7:$P$1000,11,FALSE)*S185</f>
        <v>2787.1759999999999</v>
      </c>
      <c r="AA185" s="33"/>
      <c r="AB185" s="33"/>
      <c r="AC185" s="33"/>
      <c r="AD185" s="33">
        <f t="shared" si="17"/>
        <v>1</v>
      </c>
      <c r="AE185" s="2">
        <f t="shared" si="22"/>
        <v>501.25</v>
      </c>
      <c r="AF185" s="2" t="str">
        <f>IF(ISBLANK(AM185),IF(O185=6,"",IF(O185=1,VLOOKUP(R185,怪物信息配置表!B:H,5,FALSE),IF(O185=2,VLOOKUP(R185,怪物信息配置表!B:H,6,FALSE),IF(OR(O185=3,O185=5),VLOOKUP(R185,怪物信息配置表!B:H,7,FALSE),"")))),AM185)</f>
        <v>ai_monster</v>
      </c>
      <c r="AG185" s="2"/>
      <c r="AH185" s="15">
        <f>SUMPRODUCT(T185:V185,$AN$3:$AP$3)+ROUNDDOWN(VLOOKUP(P185,CHOOSE({1,2},'[1]消耗&amp;价值&amp;分析'!$C$7:$C$106,'[1]消耗&amp;价值&amp;分析'!$AS$7:$AS$106),2,FALSE)*0.6,0)</f>
        <v>11592.964941527171</v>
      </c>
      <c r="AJ185" s="80">
        <v>1</v>
      </c>
      <c r="AK185" s="80">
        <v>1</v>
      </c>
      <c r="AL185" s="80">
        <v>1</v>
      </c>
    </row>
    <row r="186" spans="1:38">
      <c r="A186" s="33" t="str">
        <f>怪物并表!$R$7</f>
        <v>普通副本</v>
      </c>
      <c r="B186" s="38">
        <v>2</v>
      </c>
      <c r="C186" s="33">
        <f t="shared" si="18"/>
        <v>5005</v>
      </c>
      <c r="D186" s="33">
        <v>1</v>
      </c>
      <c r="E186" s="33">
        <f>VLOOKUP(A186,怪物并表!$R$7:$S$14,2,FALSE)</f>
        <v>1</v>
      </c>
      <c r="F186" s="38">
        <v>5</v>
      </c>
      <c r="G186" s="38">
        <v>5</v>
      </c>
      <c r="H186" s="38">
        <v>1</v>
      </c>
      <c r="I186" s="33">
        <f t="shared" si="27"/>
        <v>155102</v>
      </c>
      <c r="J186" s="33" t="s">
        <v>13</v>
      </c>
      <c r="K186" s="33"/>
      <c r="L186" s="33">
        <v>0</v>
      </c>
      <c r="M186" s="33">
        <v>1</v>
      </c>
      <c r="N186" s="33"/>
      <c r="O186" s="33">
        <v>1</v>
      </c>
      <c r="P186" s="33">
        <f>VLOOKUP($C186,CHOOSE({1,2},怪物并表!$E$7:$E$1000,怪物并表!$D$7:$D$1000),2,FALSE)</f>
        <v>42</v>
      </c>
      <c r="Q186" s="33" t="s">
        <v>13</v>
      </c>
      <c r="R186" s="33">
        <f>VLOOKUP(Q186,怪物信息配置表!$A$2:$B$118,2,FALSE)</f>
        <v>1007</v>
      </c>
      <c r="S186" s="33">
        <v>1</v>
      </c>
      <c r="T186" s="49">
        <f>VLOOKUP($C186,怪物并表!$E$7:$N$1000,2+($D186-1)*3,FALSE)*S186*AJ186</f>
        <v>82503.226288916951</v>
      </c>
      <c r="U186" s="49">
        <f>VLOOKUP($C186,怪物并表!$E$7:$N$1000,3+($D186-1)*3,FALSE)*S186*AK186</f>
        <v>4599.8513238166461</v>
      </c>
      <c r="V186" s="49">
        <f>VLOOKUP($C186,怪物并表!$E$7:$N$1000,4+($D186-1)*3,FALSE)*S186*AL186</f>
        <v>1880.9845661538475</v>
      </c>
      <c r="W186" s="33"/>
      <c r="X186" s="33"/>
      <c r="Y186" s="49">
        <f>VLOOKUP($C186,怪物并表!$E$7:$P$1000,12,FALSE)</f>
        <v>0</v>
      </c>
      <c r="Z186" s="49">
        <f>VLOOKUP($C186,怪物并表!$E$7:$P$1000,11,FALSE)*S186</f>
        <v>2787.1759999999999</v>
      </c>
      <c r="AA186" s="33"/>
      <c r="AB186" s="33"/>
      <c r="AC186" s="33"/>
      <c r="AD186" s="33">
        <f t="shared" si="17"/>
        <v>1</v>
      </c>
      <c r="AE186" s="2">
        <f t="shared" si="22"/>
        <v>501.25</v>
      </c>
      <c r="AF186" s="2" t="str">
        <f>IF(ISBLANK(AM186),IF(O186=6,"",IF(O186=1,VLOOKUP(R186,怪物信息配置表!B:H,5,FALSE),IF(O186=2,VLOOKUP(R186,怪物信息配置表!B:H,6,FALSE),IF(OR(O186=3,O186=5),VLOOKUP(R186,怪物信息配置表!B:H,7,FALSE),"")))),AM186)</f>
        <v>ai_monster_03</v>
      </c>
      <c r="AG186" s="2"/>
      <c r="AH186" s="15">
        <f>SUMPRODUCT(T186:V186,$AN$3:$AP$3)+ROUNDDOWN(VLOOKUP(P186,CHOOSE({1,2},'[1]消耗&amp;价值&amp;分析'!$C$7:$C$106,'[1]消耗&amp;价值&amp;分析'!$AS$7:$AS$106),2,FALSE)*0.6,0)</f>
        <v>11592.964941527171</v>
      </c>
      <c r="AJ186" s="80">
        <v>1</v>
      </c>
      <c r="AK186" s="80">
        <v>1</v>
      </c>
      <c r="AL186" s="80">
        <v>1</v>
      </c>
    </row>
    <row r="187" spans="1:38">
      <c r="A187" s="33" t="str">
        <f>怪物并表!$R$7</f>
        <v>普通副本</v>
      </c>
      <c r="B187" s="38">
        <v>3</v>
      </c>
      <c r="C187" s="33">
        <f t="shared" si="18"/>
        <v>5005</v>
      </c>
      <c r="D187" s="33">
        <v>1</v>
      </c>
      <c r="E187" s="33">
        <f>VLOOKUP(A187,怪物并表!$R$7:$S$14,2,FALSE)</f>
        <v>1</v>
      </c>
      <c r="F187" s="38">
        <v>5</v>
      </c>
      <c r="G187" s="38">
        <v>5</v>
      </c>
      <c r="H187" s="38">
        <v>1</v>
      </c>
      <c r="I187" s="33">
        <f t="shared" si="27"/>
        <v>155103</v>
      </c>
      <c r="J187" s="33" t="s">
        <v>484</v>
      </c>
      <c r="K187" s="33"/>
      <c r="L187" s="33">
        <v>0</v>
      </c>
      <c r="M187" s="33">
        <v>1</v>
      </c>
      <c r="N187" s="33"/>
      <c r="O187" s="33">
        <v>1</v>
      </c>
      <c r="P187" s="33">
        <f>VLOOKUP($C187,CHOOSE({1,2},怪物并表!$E$7:$E$1000,怪物并表!$D$7:$D$1000),2,FALSE)</f>
        <v>42</v>
      </c>
      <c r="Q187" s="33" t="s">
        <v>14</v>
      </c>
      <c r="R187" s="33">
        <f>VLOOKUP(Q187,怪物信息配置表!$A$2:$B$118,2,FALSE)</f>
        <v>1010</v>
      </c>
      <c r="S187" s="33">
        <v>1</v>
      </c>
      <c r="T187" s="49">
        <f>VLOOKUP($C187,怪物并表!$E$7:$N$1000,2+($D187-1)*3,FALSE)*S187*AJ187</f>
        <v>82503.226288916951</v>
      </c>
      <c r="U187" s="49">
        <f>VLOOKUP($C187,怪物并表!$E$7:$N$1000,3+($D187-1)*3,FALSE)*S187*AK187</f>
        <v>4599.8513238166461</v>
      </c>
      <c r="V187" s="49">
        <f>VLOOKUP($C187,怪物并表!$E$7:$N$1000,4+($D187-1)*3,FALSE)*S187*AL187</f>
        <v>1880.9845661538475</v>
      </c>
      <c r="W187" s="33"/>
      <c r="X187" s="33"/>
      <c r="Y187" s="49">
        <f>VLOOKUP($C187,怪物并表!$E$7:$P$1000,12,FALSE)</f>
        <v>0</v>
      </c>
      <c r="Z187" s="49">
        <f>VLOOKUP($C187,怪物并表!$E$7:$P$1000,11,FALSE)*S187</f>
        <v>2787.1759999999999</v>
      </c>
      <c r="AA187" s="33"/>
      <c r="AB187" s="33"/>
      <c r="AC187" s="33"/>
      <c r="AD187" s="33">
        <f t="shared" si="17"/>
        <v>1</v>
      </c>
      <c r="AE187" s="2">
        <f t="shared" si="22"/>
        <v>501.25</v>
      </c>
      <c r="AF187" s="2" t="str">
        <f>IF(ISBLANK(AM187),IF(O187=6,"",IF(O187=1,VLOOKUP(R187,怪物信息配置表!B:H,5,FALSE),IF(O187=2,VLOOKUP(R187,怪物信息配置表!B:H,6,FALSE),IF(OR(O187=3,O187=5),VLOOKUP(R187,怪物信息配置表!B:H,7,FALSE),"")))),AM187)</f>
        <v>ai_monster</v>
      </c>
      <c r="AG187" s="2"/>
      <c r="AH187" s="15">
        <f>SUMPRODUCT(T187:V187,$AN$3:$AP$3)+ROUNDDOWN(VLOOKUP(P187,CHOOSE({1,2},'[1]消耗&amp;价值&amp;分析'!$C$7:$C$106,'[1]消耗&amp;价值&amp;分析'!$AS$7:$AS$106),2,FALSE)*0.6,0)</f>
        <v>11592.964941527171</v>
      </c>
      <c r="AJ187" s="80">
        <v>1</v>
      </c>
      <c r="AK187" s="80">
        <v>1</v>
      </c>
      <c r="AL187" s="80">
        <v>1</v>
      </c>
    </row>
    <row r="188" spans="1:38">
      <c r="A188" s="33" t="str">
        <f>怪物并表!$R$7</f>
        <v>普通副本</v>
      </c>
      <c r="B188" s="38">
        <v>4</v>
      </c>
      <c r="C188" s="33">
        <f t="shared" si="18"/>
        <v>5005</v>
      </c>
      <c r="D188" s="33">
        <v>3</v>
      </c>
      <c r="E188" s="33">
        <f>VLOOKUP(A188,怪物并表!$R$7:$S$14,2,FALSE)</f>
        <v>1</v>
      </c>
      <c r="F188" s="38">
        <v>5</v>
      </c>
      <c r="G188" s="38">
        <v>5</v>
      </c>
      <c r="H188" s="38">
        <v>1</v>
      </c>
      <c r="I188" s="33">
        <f t="shared" si="27"/>
        <v>155104</v>
      </c>
      <c r="J188" s="33" t="s">
        <v>689</v>
      </c>
      <c r="K188" s="33"/>
      <c r="L188" s="33">
        <v>1</v>
      </c>
      <c r="M188" s="33">
        <v>1.2</v>
      </c>
      <c r="N188" s="33"/>
      <c r="O188" s="33">
        <v>3</v>
      </c>
      <c r="P188" s="33">
        <f>VLOOKUP($C188,CHOOSE({1,2},怪物并表!$E$7:$E$1000,怪物并表!$D$7:$D$1000),2,FALSE)</f>
        <v>42</v>
      </c>
      <c r="Q188" s="33" t="s">
        <v>9</v>
      </c>
      <c r="R188" s="33">
        <f>VLOOKUP(Q188,怪物信息配置表!$A$2:$B$118,2,FALSE)</f>
        <v>1003</v>
      </c>
      <c r="S188" s="33">
        <v>1</v>
      </c>
      <c r="T188" s="49">
        <f>VLOOKUP($C188,怪物并表!$E$7:$N$1000,2+($D188-1)*3,FALSE)*S188*AJ188</f>
        <v>206258.06572229238</v>
      </c>
      <c r="U188" s="49">
        <f>VLOOKUP($C188,怪物并表!$E$7:$N$1000,3+($D188-1)*3,FALSE)*S188*AK188</f>
        <v>5143.6246753492051</v>
      </c>
      <c r="V188" s="49">
        <f>VLOOKUP($C188,怪物并表!$E$7:$N$1000,4+($D188-1)*3,FALSE)*S188*AL188</f>
        <v>2351.2307076923089</v>
      </c>
      <c r="W188" s="33"/>
      <c r="X188" s="33"/>
      <c r="Y188" s="49">
        <f>VLOOKUP($C188,怪物并表!$E$7:$P$1000,12,FALSE)</f>
        <v>0</v>
      </c>
      <c r="Z188" s="49">
        <f>VLOOKUP($C188,怪物并表!$E$7:$P$1000,11,FALSE)*S188</f>
        <v>2787.1759999999999</v>
      </c>
      <c r="AA188" s="33"/>
      <c r="AB188" s="33"/>
      <c r="AC188" s="33"/>
      <c r="AD188" s="33">
        <f t="shared" si="17"/>
        <v>1.5</v>
      </c>
      <c r="AE188" s="2">
        <f t="shared" si="22"/>
        <v>251.875</v>
      </c>
      <c r="AF188" s="2" t="str">
        <f>IF(ISBLANK(AM188),IF(O188=6,"",IF(O188=1,VLOOKUP(R188,怪物信息配置表!B:H,5,FALSE),IF(O188=2,VLOOKUP(R188,怪物信息配置表!B:H,6,FALSE),IF(OR(O188=3,O188=5),VLOOKUP(R188,怪物信息配置表!B:H,7,FALSE),"")))),AM188)</f>
        <v>1003_FDB_BOSS</v>
      </c>
      <c r="AG188" s="2"/>
      <c r="AH188" s="15">
        <f>SUMPRODUCT(T188:V188,$AN$3:$AP$3)+ROUNDDOWN(VLOOKUP(P188,CHOOSE({1,2},'[1]消耗&amp;价值&amp;分析'!$C$7:$C$106,'[1]消耗&amp;价值&amp;分析'!$AS$7:$AS$106),2,FALSE)*0.6,0)</f>
        <v>17557.178011933211</v>
      </c>
      <c r="AJ188" s="80">
        <v>1</v>
      </c>
      <c r="AK188" s="80">
        <v>1</v>
      </c>
      <c r="AL188" s="80">
        <v>1</v>
      </c>
    </row>
    <row r="189" spans="1:38">
      <c r="A189" s="33" t="str">
        <f>怪物并表!$R$7</f>
        <v>普通副本</v>
      </c>
      <c r="B189" s="38">
        <v>5</v>
      </c>
      <c r="C189" s="33">
        <f t="shared" si="18"/>
        <v>5005</v>
      </c>
      <c r="D189" s="33">
        <v>3</v>
      </c>
      <c r="E189" s="33">
        <f>VLOOKUP(A189,怪物并表!$R$7:$S$14,2,FALSE)</f>
        <v>1</v>
      </c>
      <c r="F189" s="38">
        <v>5</v>
      </c>
      <c r="G189" s="38">
        <v>5</v>
      </c>
      <c r="H189" s="38">
        <v>1</v>
      </c>
      <c r="I189" s="33">
        <f t="shared" si="27"/>
        <v>155105</v>
      </c>
      <c r="J189" s="33" t="s">
        <v>10</v>
      </c>
      <c r="K189" s="33"/>
      <c r="L189" s="33">
        <v>0</v>
      </c>
      <c r="M189" s="33">
        <v>1</v>
      </c>
      <c r="N189" s="33"/>
      <c r="O189" s="33">
        <v>6</v>
      </c>
      <c r="P189" s="33">
        <f>VLOOKUP($C189,CHOOSE({1,2},怪物并表!$E$7:$E$1000,怪物并表!$D$7:$D$1000),2,FALSE)</f>
        <v>42</v>
      </c>
      <c r="Q189" s="33" t="s">
        <v>10</v>
      </c>
      <c r="R189" s="33">
        <f>VLOOKUP(Q189,怪物信息配置表!$A$2:$B$118,2,FALSE)</f>
        <v>1001</v>
      </c>
      <c r="S189" s="33">
        <v>3</v>
      </c>
      <c r="T189" s="49">
        <f>VLOOKUP($C189,怪物并表!$E$7:$N$1000,2+($D189-1)*3,FALSE)*S189*AJ189</f>
        <v>618774.1971668771</v>
      </c>
      <c r="U189" s="49">
        <f>VLOOKUP($C189,怪物并表!$E$7:$N$1000,3+($D189-1)*3,FALSE)*S189*AK189</f>
        <v>15430.874026047615</v>
      </c>
      <c r="V189" s="49">
        <f>VLOOKUP($C189,怪物并表!$E$7:$N$1000,4+($D189-1)*3,FALSE)*S189*AL189</f>
        <v>7053.6921230769267</v>
      </c>
      <c r="W189" s="33"/>
      <c r="X189" s="33"/>
      <c r="Y189" s="49">
        <f>VLOOKUP($C189,怪物并表!$E$7:$P$1000,12,FALSE)</f>
        <v>0</v>
      </c>
      <c r="Z189" s="49">
        <f>VLOOKUP($C189,怪物并表!$E$7:$P$1000,11,FALSE)*S189</f>
        <v>8361.5280000000002</v>
      </c>
      <c r="AA189" s="33"/>
      <c r="AB189" s="33"/>
      <c r="AC189" s="33"/>
      <c r="AD189" s="33">
        <f t="shared" si="17"/>
        <v>1.5</v>
      </c>
      <c r="AE189" s="2">
        <f t="shared" si="22"/>
        <v>251.875</v>
      </c>
      <c r="AF189" s="2" t="str">
        <f>IF(ISBLANK(AM189),IF(O189=6,"",IF(O189=1,VLOOKUP(R189,怪物信息配置表!B:H,5,FALSE),IF(O189=2,VLOOKUP(R189,怪物信息配置表!B:H,6,FALSE),IF(OR(O189=3,O189=5),VLOOKUP(R189,怪物信息配置表!B:H,7,FALSE),"")))),AM189)</f>
        <v/>
      </c>
      <c r="AG189" s="2"/>
      <c r="AH189" s="15">
        <f>SUMPRODUCT(T189:V189,$AN$3:$AP$3)+ROUNDDOWN(VLOOKUP(P189,CHOOSE({1,2},'[1]消耗&amp;价值&amp;分析'!$C$7:$C$106,'[1]消耗&amp;价值&amp;分析'!$AS$7:$AS$106),2,FALSE)*0.6,0)</f>
        <v>49047.534035799625</v>
      </c>
      <c r="AJ189" s="80">
        <v>1</v>
      </c>
      <c r="AK189" s="80">
        <v>1</v>
      </c>
      <c r="AL189" s="80">
        <v>1</v>
      </c>
    </row>
    <row r="190" spans="1:38">
      <c r="A190" s="33" t="str">
        <f>怪物并表!$R$7</f>
        <v>普通副本</v>
      </c>
      <c r="B190" s="38">
        <v>1</v>
      </c>
      <c r="C190" s="33">
        <f t="shared" si="18"/>
        <v>5006</v>
      </c>
      <c r="D190" s="33">
        <v>1</v>
      </c>
      <c r="E190" s="33">
        <f>VLOOKUP(A190,怪物并表!$R$7:$S$14,2,FALSE)</f>
        <v>1</v>
      </c>
      <c r="F190" s="38">
        <v>5</v>
      </c>
      <c r="G190" s="38">
        <v>6</v>
      </c>
      <c r="H190" s="38">
        <v>1</v>
      </c>
      <c r="I190" s="33">
        <f t="shared" si="27"/>
        <v>156101</v>
      </c>
      <c r="J190" s="33" t="s">
        <v>15</v>
      </c>
      <c r="K190" s="33"/>
      <c r="L190" s="33">
        <v>0</v>
      </c>
      <c r="M190" s="33">
        <v>1</v>
      </c>
      <c r="N190" s="33"/>
      <c r="O190" s="33">
        <v>1</v>
      </c>
      <c r="P190" s="33">
        <f>VLOOKUP($C190,CHOOSE({1,2},怪物并表!$E$7:$E$1000,怪物并表!$D$7:$D$1000),2,FALSE)</f>
        <v>43</v>
      </c>
      <c r="Q190" s="33" t="s">
        <v>15</v>
      </c>
      <c r="R190" s="33">
        <f>VLOOKUP(Q190,怪物信息配置表!$A$2:$B$118,2,FALSE)</f>
        <v>1004</v>
      </c>
      <c r="S190" s="33">
        <v>1</v>
      </c>
      <c r="T190" s="49">
        <f>VLOOKUP($C190,怪物并表!$E$7:$N$1000,2+($D190-1)*3,FALSE)*S190*AJ190</f>
        <v>90187.609011053428</v>
      </c>
      <c r="U190" s="49">
        <f>VLOOKUP($C190,怪物并表!$E$7:$N$1000,3+($D190-1)*3,FALSE)*S190*AK190</f>
        <v>5059.0247993310459</v>
      </c>
      <c r="V190" s="49">
        <f>VLOOKUP($C190,怪物并表!$E$7:$N$1000,4+($D190-1)*3,FALSE)*S190*AL190</f>
        <v>2028.8536092842814</v>
      </c>
      <c r="W190" s="33"/>
      <c r="X190" s="33"/>
      <c r="Y190" s="49">
        <f>VLOOKUP($C190,怪物并表!$E$7:$P$1000,12,FALSE)</f>
        <v>0</v>
      </c>
      <c r="Z190" s="49">
        <f>VLOOKUP($C190,怪物并表!$E$7:$P$1000,11,FALSE)*S190</f>
        <v>2845.404</v>
      </c>
      <c r="AA190" s="33"/>
      <c r="AB190" s="33"/>
      <c r="AC190" s="33"/>
      <c r="AD190" s="33">
        <f t="shared" si="17"/>
        <v>1</v>
      </c>
      <c r="AE190" s="2">
        <f t="shared" si="22"/>
        <v>489.375</v>
      </c>
      <c r="AF190" s="2" t="str">
        <f>IF(ISBLANK(AM190),IF(O190=6,"",IF(O190=1,VLOOKUP(R190,怪物信息配置表!B:H,5,FALSE),IF(O190=2,VLOOKUP(R190,怪物信息配置表!B:H,6,FALSE),IF(OR(O190=3,O190=5),VLOOKUP(R190,怪物信息配置表!B:H,7,FALSE),"")))),AM190)</f>
        <v>ai_monster</v>
      </c>
      <c r="AG190" s="2"/>
      <c r="AH190" s="15">
        <f>SUMPRODUCT(T190:V190,$AN$3:$AP$3)+ROUNDDOWN(VLOOKUP(P190,CHOOSE({1,2},'[1]消耗&amp;价值&amp;分析'!$C$7:$C$106,'[1]消耗&amp;价值&amp;分析'!$AS$7:$AS$106),2,FALSE)*0.6,0)</f>
        <v>12631.382769057465</v>
      </c>
      <c r="AJ190" s="80">
        <v>1</v>
      </c>
      <c r="AK190" s="80">
        <v>1</v>
      </c>
      <c r="AL190" s="80">
        <v>1</v>
      </c>
    </row>
    <row r="191" spans="1:38">
      <c r="A191" s="33" t="str">
        <f>怪物并表!$R$7</f>
        <v>普通副本</v>
      </c>
      <c r="B191" s="38">
        <v>2</v>
      </c>
      <c r="C191" s="33">
        <f t="shared" si="18"/>
        <v>5006</v>
      </c>
      <c r="D191" s="33">
        <v>2</v>
      </c>
      <c r="E191" s="33">
        <f>VLOOKUP(A191,怪物并表!$R$7:$S$14,2,FALSE)</f>
        <v>1</v>
      </c>
      <c r="F191" s="38">
        <v>5</v>
      </c>
      <c r="G191" s="38">
        <v>6</v>
      </c>
      <c r="H191" s="38">
        <v>1</v>
      </c>
      <c r="I191" s="33">
        <f t="shared" si="27"/>
        <v>156102</v>
      </c>
      <c r="J191" s="33" t="s">
        <v>231</v>
      </c>
      <c r="K191" s="33"/>
      <c r="L191" s="33">
        <v>0</v>
      </c>
      <c r="M191" s="33">
        <v>1</v>
      </c>
      <c r="N191" s="33"/>
      <c r="O191" s="33">
        <v>1</v>
      </c>
      <c r="P191" s="33">
        <f>VLOOKUP($C191,CHOOSE({1,2},怪物并表!$E$7:$E$1000,怪物并表!$D$7:$D$1000),2,FALSE)</f>
        <v>43</v>
      </c>
      <c r="Q191" s="33" t="s">
        <v>17</v>
      </c>
      <c r="R191" s="33">
        <f>VLOOKUP(Q191,怪物信息配置表!$A$2:$B$118,2,FALSE)</f>
        <v>1005</v>
      </c>
      <c r="S191" s="33">
        <v>1</v>
      </c>
      <c r="T191" s="49">
        <f>VLOOKUP($C191,怪物并表!$E$7:$N$1000,2+($D191-1)*3,FALSE)*S191*AJ191</f>
        <v>72150.087208842742</v>
      </c>
      <c r="U191" s="49">
        <f>VLOOKUP($C191,怪物并表!$E$7:$N$1000,3+($D191-1)*3,FALSE)*S191*AK191</f>
        <v>4756.0076803263701</v>
      </c>
      <c r="V191" s="49">
        <f>VLOOKUP($C191,怪物并表!$E$7:$N$1000,4+($D191-1)*3,FALSE)*S191*AL191</f>
        <v>1521.6402069632113</v>
      </c>
      <c r="W191" s="33"/>
      <c r="X191" s="33"/>
      <c r="Y191" s="49">
        <f>VLOOKUP($C191,怪物并表!$E$7:$P$1000,12,FALSE)</f>
        <v>0</v>
      </c>
      <c r="Z191" s="49">
        <f>VLOOKUP($C191,怪物并表!$E$7:$P$1000,11,FALSE)*S191</f>
        <v>2845.404</v>
      </c>
      <c r="AA191" s="33"/>
      <c r="AB191" s="33"/>
      <c r="AC191" s="33"/>
      <c r="AD191" s="33">
        <f t="shared" ref="AD191:AD291" si="28">IF(D191=1,1,IF(D191=2,0.8,1.5))</f>
        <v>0.8</v>
      </c>
      <c r="AE191" s="2">
        <f t="shared" si="22"/>
        <v>591.5</v>
      </c>
      <c r="AF191" s="2" t="str">
        <f>IF(ISBLANK(AM191),IF(O191=6,"",IF(O191=1,VLOOKUP(R191,怪物信息配置表!B:H,5,FALSE),IF(O191=2,VLOOKUP(R191,怪物信息配置表!B:H,6,FALSE),IF(OR(O191=3,O191=5),VLOOKUP(R191,怪物信息配置表!B:H,7,FALSE),"")))),AM191)</f>
        <v>ai_monster_02</v>
      </c>
      <c r="AG191" s="2"/>
      <c r="AH191" s="15">
        <f>SUMPRODUCT(T191:V191,$AN$3:$AP$3)+ROUNDDOWN(VLOOKUP(P191,CHOOSE({1,2},'[1]消耗&amp;价值&amp;分析'!$C$7:$C$106,'[1]消耗&amp;价值&amp;分析'!$AS$7:$AS$106),2,FALSE)*0.6,0)</f>
        <v>11099.651375643291</v>
      </c>
      <c r="AJ191" s="80">
        <v>1</v>
      </c>
      <c r="AK191" s="80">
        <v>1</v>
      </c>
      <c r="AL191" s="80">
        <v>1</v>
      </c>
    </row>
    <row r="192" spans="1:38">
      <c r="A192" s="33" t="str">
        <f>怪物并表!$R$7</f>
        <v>普通副本</v>
      </c>
      <c r="B192" s="38">
        <v>3</v>
      </c>
      <c r="C192" s="33">
        <f t="shared" ref="C192:C292" si="29">F192*1000+G192</f>
        <v>5006</v>
      </c>
      <c r="D192" s="33">
        <v>1</v>
      </c>
      <c r="E192" s="33">
        <f>VLOOKUP(A192,怪物并表!$R$7:$S$14,2,FALSE)</f>
        <v>1</v>
      </c>
      <c r="F192" s="38">
        <v>5</v>
      </c>
      <c r="G192" s="38">
        <v>6</v>
      </c>
      <c r="H192" s="38">
        <v>1</v>
      </c>
      <c r="I192" s="33">
        <f t="shared" si="27"/>
        <v>156103</v>
      </c>
      <c r="J192" s="33" t="s">
        <v>462</v>
      </c>
      <c r="K192" s="33"/>
      <c r="L192" s="33">
        <v>0</v>
      </c>
      <c r="M192" s="33">
        <v>1</v>
      </c>
      <c r="N192" s="33" t="s">
        <v>215</v>
      </c>
      <c r="O192" s="33">
        <v>1</v>
      </c>
      <c r="P192" s="33">
        <f>VLOOKUP($C192,CHOOSE({1,2},怪物并表!$E$7:$E$1000,怪物并表!$D$7:$D$1000),2,FALSE)</f>
        <v>43</v>
      </c>
      <c r="Q192" s="33" t="s">
        <v>11</v>
      </c>
      <c r="R192" s="33">
        <f>VLOOKUP(Q192,怪物信息配置表!$A$2:$B$118,2,FALSE)</f>
        <v>1011</v>
      </c>
      <c r="S192" s="33">
        <v>1</v>
      </c>
      <c r="T192" s="49">
        <f>VLOOKUP($C192,怪物并表!$E$7:$N$1000,2+($D192-1)*3,FALSE)*S192*AJ192</f>
        <v>90187.609011053428</v>
      </c>
      <c r="U192" s="49">
        <f>VLOOKUP($C192,怪物并表!$E$7:$N$1000,3+($D192-1)*3,FALSE)*S192*AK192</f>
        <v>5059.0247993310459</v>
      </c>
      <c r="V192" s="49">
        <f>VLOOKUP($C192,怪物并表!$E$7:$N$1000,4+($D192-1)*3,FALSE)*S192*AL192</f>
        <v>2028.8536092842814</v>
      </c>
      <c r="W192" s="33"/>
      <c r="X192" s="33"/>
      <c r="Y192" s="49">
        <f>VLOOKUP($C192,怪物并表!$E$7:$P$1000,12,FALSE)</f>
        <v>0</v>
      </c>
      <c r="Z192" s="49">
        <f>VLOOKUP($C192,怪物并表!$E$7:$P$1000,11,FALSE)*S192</f>
        <v>2845.404</v>
      </c>
      <c r="AA192" s="33"/>
      <c r="AB192" s="33"/>
      <c r="AC192" s="33"/>
      <c r="AD192" s="33">
        <f t="shared" si="28"/>
        <v>1</v>
      </c>
      <c r="AE192" s="2">
        <f t="shared" si="22"/>
        <v>489.375</v>
      </c>
      <c r="AF192" s="2" t="str">
        <f>IF(ISBLANK(AM192),IF(O192=6,"",IF(O192=1,VLOOKUP(R192,怪物信息配置表!B:H,5,FALSE),IF(O192=2,VLOOKUP(R192,怪物信息配置表!B:H,6,FALSE),IF(OR(O192=3,O192=5),VLOOKUP(R192,怪物信息配置表!B:H,7,FALSE),"")))),AM192)</f>
        <v>ai_monster</v>
      </c>
      <c r="AG192" s="2"/>
      <c r="AH192" s="15">
        <f>SUMPRODUCT(T192:V192,$AN$3:$AP$3)+ROUNDDOWN(VLOOKUP(P192,CHOOSE({1,2},'[1]消耗&amp;价值&amp;分析'!$C$7:$C$106,'[1]消耗&amp;价值&amp;分析'!$AS$7:$AS$106),2,FALSE)*0.6,0)</f>
        <v>12631.382769057465</v>
      </c>
      <c r="AJ192" s="80">
        <v>1</v>
      </c>
      <c r="AK192" s="80">
        <v>1</v>
      </c>
      <c r="AL192" s="80">
        <v>1</v>
      </c>
    </row>
    <row r="193" spans="1:39">
      <c r="A193" s="33" t="str">
        <f>怪物并表!$R$7</f>
        <v>普通副本</v>
      </c>
      <c r="B193" s="38">
        <v>4</v>
      </c>
      <c r="C193" s="33">
        <f t="shared" si="29"/>
        <v>5006</v>
      </c>
      <c r="D193" s="33">
        <v>3</v>
      </c>
      <c r="E193" s="33">
        <f>VLOOKUP(A193,怪物并表!$R$7:$S$14,2,FALSE)</f>
        <v>1</v>
      </c>
      <c r="F193" s="38">
        <v>5</v>
      </c>
      <c r="G193" s="38">
        <v>6</v>
      </c>
      <c r="H193" s="38">
        <v>1</v>
      </c>
      <c r="I193" s="33">
        <f t="shared" si="27"/>
        <v>156104</v>
      </c>
      <c r="J193" s="33" t="s">
        <v>690</v>
      </c>
      <c r="K193" s="33"/>
      <c r="L193" s="33">
        <v>1</v>
      </c>
      <c r="M193" s="33">
        <v>1.3</v>
      </c>
      <c r="N193" s="33" t="s">
        <v>430</v>
      </c>
      <c r="O193" s="33">
        <v>3</v>
      </c>
      <c r="P193" s="33">
        <f>VLOOKUP($C193,CHOOSE({1,2},怪物并表!$E$7:$E$1000,怪物并表!$D$7:$D$1000),2,FALSE)</f>
        <v>43</v>
      </c>
      <c r="Q193" s="33" t="s">
        <v>24</v>
      </c>
      <c r="R193" s="33">
        <f>VLOOKUP(Q193,怪物信息配置表!$A$2:$B$118,2,FALSE)</f>
        <v>1015</v>
      </c>
      <c r="S193" s="33">
        <v>1</v>
      </c>
      <c r="T193" s="49">
        <f>VLOOKUP($C193,怪物并表!$E$7:$N$1000,2+($D193-1)*3,FALSE)*S193*AJ193</f>
        <v>225469.02252763358</v>
      </c>
      <c r="U193" s="49">
        <f>VLOOKUP($C193,怪物并表!$E$7:$N$1000,3+($D193-1)*3,FALSE)*S193*AK193</f>
        <v>5665.0590373403993</v>
      </c>
      <c r="V193" s="49">
        <f>VLOOKUP($C193,怪物并表!$E$7:$N$1000,4+($D193-1)*3,FALSE)*S193*AL193</f>
        <v>2536.0670116053516</v>
      </c>
      <c r="W193" s="33"/>
      <c r="X193" s="33"/>
      <c r="Y193" s="49">
        <f>VLOOKUP($C193,怪物并表!$E$7:$P$1000,12,FALSE)</f>
        <v>0</v>
      </c>
      <c r="Z193" s="49">
        <f>VLOOKUP($C193,怪物并表!$E$7:$P$1000,11,FALSE)*S193</f>
        <v>2845.404</v>
      </c>
      <c r="AA193" s="33"/>
      <c r="AB193" s="33"/>
      <c r="AC193" s="33"/>
      <c r="AD193" s="33">
        <f t="shared" si="28"/>
        <v>1.5</v>
      </c>
      <c r="AE193" s="2">
        <f t="shared" si="22"/>
        <v>195.3125</v>
      </c>
      <c r="AF193" s="2" t="str">
        <f>IF(ISBLANK(AM193),IF(O193=6,"",IF(O193=1,VLOOKUP(R193,怪物信息配置表!B:H,5,FALSE),IF(O193=2,VLOOKUP(R193,怪物信息配置表!B:H,6,FALSE),IF(OR(O193=3,O193=5),VLOOKUP(R193,怪物信息配置表!B:H,7,FALSE),"")))),AM193)</f>
        <v>ai_BOSS_01</v>
      </c>
      <c r="AG193" s="2"/>
      <c r="AH193" s="15">
        <f>SUMPRODUCT(T193:V193,$AN$3:$AP$3)+ROUNDDOWN(VLOOKUP(P193,CHOOSE({1,2},'[1]消耗&amp;价值&amp;分析'!$C$7:$C$106,'[1]消耗&amp;价值&amp;分析'!$AS$7:$AS$106),2,FALSE)*0.6,0)</f>
        <v>19155.886950051092</v>
      </c>
      <c r="AJ193" s="80">
        <v>1</v>
      </c>
      <c r="AK193" s="80">
        <v>1</v>
      </c>
      <c r="AL193" s="80">
        <v>1</v>
      </c>
    </row>
    <row r="194" spans="1:39">
      <c r="A194" s="33" t="str">
        <f>怪物并表!$R$7</f>
        <v>普通副本</v>
      </c>
      <c r="B194" s="38">
        <v>1</v>
      </c>
      <c r="C194" s="33">
        <f t="shared" si="29"/>
        <v>5007</v>
      </c>
      <c r="D194" s="33">
        <v>1</v>
      </c>
      <c r="E194" s="33">
        <f>VLOOKUP(A194,怪物并表!$R$7:$S$14,2,FALSE)</f>
        <v>1</v>
      </c>
      <c r="F194" s="38">
        <v>5</v>
      </c>
      <c r="G194" s="38">
        <v>7</v>
      </c>
      <c r="H194" s="38">
        <v>1</v>
      </c>
      <c r="I194" s="33">
        <f t="shared" si="27"/>
        <v>157101</v>
      </c>
      <c r="J194" s="33" t="s">
        <v>483</v>
      </c>
      <c r="K194" s="33"/>
      <c r="L194" s="33">
        <v>0</v>
      </c>
      <c r="M194" s="33">
        <v>1</v>
      </c>
      <c r="N194" s="33"/>
      <c r="O194" s="33">
        <v>1</v>
      </c>
      <c r="P194" s="33">
        <f>VLOOKUP($C194,CHOOSE({1,2},怪物并表!$E$7:$E$1000,怪物并表!$D$7:$D$1000),2,FALSE)</f>
        <v>44</v>
      </c>
      <c r="Q194" s="33" t="s">
        <v>24</v>
      </c>
      <c r="R194" s="33">
        <f>VLOOKUP(Q194,怪物信息配置表!$A$2:$B$118,2,FALSE)</f>
        <v>1015</v>
      </c>
      <c r="S194" s="33">
        <v>1</v>
      </c>
      <c r="T194" s="49">
        <f>VLOOKUP($C194,怪物并表!$E$7:$N$1000,2+($D194-1)*3,FALSE)*S194*AJ194</f>
        <v>98353.993690285599</v>
      </c>
      <c r="U194" s="49">
        <f>VLOOKUP($C194,怪物并表!$E$7:$N$1000,3+($D194-1)*3,FALSE)*S194*AK194</f>
        <v>5552.0186888561893</v>
      </c>
      <c r="V194" s="49">
        <f>VLOOKUP($C194,怪物并表!$E$7:$N$1000,4+($D194-1)*3,FALSE)*S194*AL194</f>
        <v>2183.6391495919738</v>
      </c>
      <c r="W194" s="33"/>
      <c r="X194" s="33"/>
      <c r="Y194" s="49">
        <f>VLOOKUP($C194,怪物并表!$E$7:$P$1000,12,FALSE)</f>
        <v>0</v>
      </c>
      <c r="Z194" s="49">
        <f>VLOOKUP($C194,怪物并表!$E$7:$P$1000,11,FALSE)*S194</f>
        <v>2903.6320000000001</v>
      </c>
      <c r="AA194" s="33"/>
      <c r="AB194" s="33"/>
      <c r="AC194" s="33"/>
      <c r="AD194" s="33">
        <f t="shared" si="28"/>
        <v>1</v>
      </c>
      <c r="AE194" s="2">
        <f t="shared" ref="AE194:AE257" si="30">MAX(VLOOKUP(Q194,怪物信息配置表,3,FALSE)-VLOOKUP(Q194,怪物信息配置表,5,FALSE)*P194*AD194,50)</f>
        <v>387.5</v>
      </c>
      <c r="AF194" s="2" t="str">
        <f>IF(ISBLANK(AM194),IF(O194=6,"",IF(O194=1,VLOOKUP(R194,怪物信息配置表!B:H,5,FALSE),IF(O194=2,VLOOKUP(R194,怪物信息配置表!B:H,6,FALSE),IF(OR(O194=3,O194=5),VLOOKUP(R194,怪物信息配置表!B:H,7,FALSE),"")))),AM194)</f>
        <v>ai_monster_03</v>
      </c>
      <c r="AG194" s="2"/>
      <c r="AH194" s="15">
        <f>SUMPRODUCT(T194:V194,$AN$3:$AP$3)+ROUNDDOWN(VLOOKUP(P194,CHOOSE({1,2},'[1]消耗&amp;价值&amp;分析'!$C$7:$C$106,'[1]消耗&amp;价值&amp;分析'!$AS$7:$AS$106),2,FALSE)*0.6,0)</f>
        <v>13701.817586059587</v>
      </c>
      <c r="AJ194" s="80">
        <v>1</v>
      </c>
      <c r="AK194" s="80">
        <v>1</v>
      </c>
      <c r="AL194" s="80">
        <v>1</v>
      </c>
      <c r="AM194" t="s">
        <v>745</v>
      </c>
    </row>
    <row r="195" spans="1:39">
      <c r="A195" s="33" t="str">
        <f>怪物并表!$R$7</f>
        <v>普通副本</v>
      </c>
      <c r="B195" s="38">
        <v>2</v>
      </c>
      <c r="C195" s="33">
        <f t="shared" si="29"/>
        <v>5007</v>
      </c>
      <c r="D195" s="33">
        <v>1</v>
      </c>
      <c r="E195" s="33">
        <f>VLOOKUP(A195,怪物并表!$R$7:$S$14,2,FALSE)</f>
        <v>1</v>
      </c>
      <c r="F195" s="38">
        <v>5</v>
      </c>
      <c r="G195" s="38">
        <v>7</v>
      </c>
      <c r="H195" s="38">
        <v>1</v>
      </c>
      <c r="I195" s="33">
        <f t="shared" si="27"/>
        <v>157102</v>
      </c>
      <c r="J195" s="33" t="s">
        <v>44</v>
      </c>
      <c r="K195" s="33"/>
      <c r="L195" s="33">
        <v>0</v>
      </c>
      <c r="M195" s="33">
        <v>1</v>
      </c>
      <c r="N195" s="33"/>
      <c r="O195" s="33">
        <v>1</v>
      </c>
      <c r="P195" s="33">
        <f>VLOOKUP($C195,CHOOSE({1,2},怪物并表!$E$7:$E$1000,怪物并表!$D$7:$D$1000),2,FALSE)</f>
        <v>44</v>
      </c>
      <c r="Q195" s="33" t="s">
        <v>25</v>
      </c>
      <c r="R195" s="33">
        <f>VLOOKUP(Q195,怪物信息配置表!$A$2:$B$118,2,FALSE)</f>
        <v>1012</v>
      </c>
      <c r="S195" s="33">
        <v>1</v>
      </c>
      <c r="T195" s="49">
        <f>VLOOKUP($C195,怪物并表!$E$7:$N$1000,2+($D195-1)*3,FALSE)*S195*AJ195</f>
        <v>98353.993690285599</v>
      </c>
      <c r="U195" s="49">
        <f>VLOOKUP($C195,怪物并表!$E$7:$N$1000,3+($D195-1)*3,FALSE)*S195*AK195</f>
        <v>5552.0186888561893</v>
      </c>
      <c r="V195" s="49">
        <f>VLOOKUP($C195,怪物并表!$E$7:$N$1000,4+($D195-1)*3,FALSE)*S195*AL195</f>
        <v>2183.6391495919738</v>
      </c>
      <c r="W195" s="33"/>
      <c r="X195" s="33"/>
      <c r="Y195" s="49">
        <f>VLOOKUP($C195,怪物并表!$E$7:$P$1000,12,FALSE)</f>
        <v>0</v>
      </c>
      <c r="Z195" s="49">
        <f>VLOOKUP($C195,怪物并表!$E$7:$P$1000,11,FALSE)*S195</f>
        <v>2903.6320000000001</v>
      </c>
      <c r="AA195" s="33"/>
      <c r="AB195" s="33"/>
      <c r="AC195" s="33"/>
      <c r="AD195" s="33">
        <f t="shared" si="28"/>
        <v>1</v>
      </c>
      <c r="AE195" s="2">
        <f t="shared" si="30"/>
        <v>477.5</v>
      </c>
      <c r="AF195" s="2" t="str">
        <f>IF(ISBLANK(AM195),IF(O195=6,"",IF(O195=1,VLOOKUP(R195,怪物信息配置表!B:H,5,FALSE),IF(O195=2,VLOOKUP(R195,怪物信息配置表!B:H,6,FALSE),IF(OR(O195=3,O195=5),VLOOKUP(R195,怪物信息配置表!B:H,7,FALSE),"")))),AM195)</f>
        <v>ai_monster_03</v>
      </c>
      <c r="AG195" s="2"/>
      <c r="AH195" s="15">
        <f>SUMPRODUCT(T195:V195,$AN$3:$AP$3)+ROUNDDOWN(VLOOKUP(P195,CHOOSE({1,2},'[1]消耗&amp;价值&amp;分析'!$C$7:$C$106,'[1]消耗&amp;价值&amp;分析'!$AS$7:$AS$106),2,FALSE)*0.6,0)</f>
        <v>13701.817586059587</v>
      </c>
      <c r="AJ195" s="80">
        <v>1</v>
      </c>
      <c r="AK195" s="80">
        <v>1</v>
      </c>
      <c r="AL195" s="80">
        <v>1</v>
      </c>
    </row>
    <row r="196" spans="1:39">
      <c r="A196" s="33" t="str">
        <f>怪物并表!$R$7</f>
        <v>普通副本</v>
      </c>
      <c r="B196" s="38">
        <v>3</v>
      </c>
      <c r="C196" s="33">
        <f t="shared" si="29"/>
        <v>5007</v>
      </c>
      <c r="D196" s="33">
        <v>2</v>
      </c>
      <c r="E196" s="33">
        <f>VLOOKUP(A196,怪物并表!$R$7:$S$14,2,FALSE)</f>
        <v>1</v>
      </c>
      <c r="F196" s="38">
        <v>5</v>
      </c>
      <c r="G196" s="38">
        <v>7</v>
      </c>
      <c r="H196" s="38">
        <v>1</v>
      </c>
      <c r="I196" s="33">
        <f t="shared" si="27"/>
        <v>157103</v>
      </c>
      <c r="J196" s="33" t="s">
        <v>463</v>
      </c>
      <c r="K196" s="33"/>
      <c r="L196" s="33">
        <v>0</v>
      </c>
      <c r="M196" s="33">
        <v>1</v>
      </c>
      <c r="N196" s="33"/>
      <c r="O196" s="33">
        <v>1</v>
      </c>
      <c r="P196" s="33">
        <f>VLOOKUP($C196,CHOOSE({1,2},怪物并表!$E$7:$E$1000,怪物并表!$D$7:$D$1000),2,FALSE)</f>
        <v>44</v>
      </c>
      <c r="Q196" s="33" t="s">
        <v>17</v>
      </c>
      <c r="R196" s="33">
        <f>VLOOKUP(Q196,怪物信息配置表!$A$2:$B$118,2,FALSE)</f>
        <v>1005</v>
      </c>
      <c r="S196" s="33">
        <v>1</v>
      </c>
      <c r="T196" s="49">
        <f>VLOOKUP($C196,怪物并表!$E$7:$N$1000,2+($D196-1)*3,FALSE)*S196*AJ196</f>
        <v>78683.194952228485</v>
      </c>
      <c r="U196" s="49">
        <f>VLOOKUP($C196,怪物并表!$E$7:$N$1000,3+($D196-1)*3,FALSE)*S196*AK196</f>
        <v>5215.1807349297678</v>
      </c>
      <c r="V196" s="49">
        <f>VLOOKUP($C196,怪物并表!$E$7:$N$1000,4+($D196-1)*3,FALSE)*S196*AL196</f>
        <v>1637.7293621939807</v>
      </c>
      <c r="W196" s="33"/>
      <c r="X196" s="33"/>
      <c r="Y196" s="49">
        <f>VLOOKUP($C196,怪物并表!$E$7:$P$1000,12,FALSE)</f>
        <v>0</v>
      </c>
      <c r="Z196" s="49">
        <f>VLOOKUP($C196,怪物并表!$E$7:$P$1000,11,FALSE)*S196</f>
        <v>2903.6320000000001</v>
      </c>
      <c r="AA196" s="33"/>
      <c r="AB196" s="33"/>
      <c r="AC196" s="33"/>
      <c r="AD196" s="33">
        <f t="shared" si="28"/>
        <v>0.8</v>
      </c>
      <c r="AE196" s="2">
        <f t="shared" si="30"/>
        <v>582</v>
      </c>
      <c r="AF196" s="2" t="str">
        <f>IF(ISBLANK(AM196),IF(O196=6,"",IF(O196=1,VLOOKUP(R196,怪物信息配置表!B:H,5,FALSE),IF(O196=2,VLOOKUP(R196,怪物信息配置表!B:H,6,FALSE),IF(OR(O196=3,O196=5),VLOOKUP(R196,怪物信息配置表!B:H,7,FALSE),"")))),AM196)</f>
        <v>ai_monster_02</v>
      </c>
      <c r="AG196" s="2"/>
      <c r="AH196" s="15">
        <f>SUMPRODUCT(T196:V196,$AN$3:$AP$3)+ROUNDDOWN(VLOOKUP(P196,CHOOSE({1,2},'[1]消耗&amp;价值&amp;分析'!$C$7:$C$106,'[1]消耗&amp;价值&amp;分析'!$AS$7:$AS$106),2,FALSE)*0.6,0)</f>
        <v>12032.237895212887</v>
      </c>
      <c r="AJ196" s="80">
        <v>1</v>
      </c>
      <c r="AK196" s="80">
        <v>1</v>
      </c>
      <c r="AL196" s="80">
        <v>1</v>
      </c>
    </row>
    <row r="197" spans="1:39">
      <c r="A197" s="33" t="str">
        <f>怪物并表!$R$7</f>
        <v>普通副本</v>
      </c>
      <c r="B197" s="38">
        <v>4</v>
      </c>
      <c r="C197" s="33">
        <f t="shared" si="29"/>
        <v>5007</v>
      </c>
      <c r="D197" s="33">
        <v>3</v>
      </c>
      <c r="E197" s="33">
        <f>VLOOKUP(A197,怪物并表!$R$7:$S$14,2,FALSE)</f>
        <v>1</v>
      </c>
      <c r="F197" s="38">
        <v>5</v>
      </c>
      <c r="G197" s="38">
        <v>7</v>
      </c>
      <c r="H197" s="38">
        <v>1</v>
      </c>
      <c r="I197" s="33">
        <f t="shared" si="27"/>
        <v>157104</v>
      </c>
      <c r="J197" s="33" t="s">
        <v>691</v>
      </c>
      <c r="K197" s="33"/>
      <c r="L197" s="33">
        <v>1</v>
      </c>
      <c r="M197" s="33">
        <v>1.2</v>
      </c>
      <c r="N197" s="33"/>
      <c r="O197" s="33">
        <v>3</v>
      </c>
      <c r="P197" s="33">
        <f>VLOOKUP($C197,CHOOSE({1,2},怪物并表!$E$7:$E$1000,怪物并表!$D$7:$D$1000),2,FALSE)</f>
        <v>44</v>
      </c>
      <c r="Q197" s="33" t="s">
        <v>10</v>
      </c>
      <c r="R197" s="33">
        <f>VLOOKUP(Q197,怪物信息配置表!$A$2:$B$118,2,FALSE)</f>
        <v>1001</v>
      </c>
      <c r="S197" s="33">
        <v>1</v>
      </c>
      <c r="T197" s="49">
        <f>VLOOKUP($C197,怪物并表!$E$7:$N$1000,2+($D197-1)*3,FALSE)*S197*AJ197</f>
        <v>245884.984225714</v>
      </c>
      <c r="U197" s="49">
        <f>VLOOKUP($C197,怪物并表!$E$7:$N$1000,3+($D197-1)*3,FALSE)*S197*AK197</f>
        <v>6225.6945967090323</v>
      </c>
      <c r="V197" s="49">
        <f>VLOOKUP($C197,怪物并表!$E$7:$N$1000,4+($D197-1)*3,FALSE)*S197*AL197</f>
        <v>2729.5489369899669</v>
      </c>
      <c r="W197" s="33"/>
      <c r="X197" s="33"/>
      <c r="Y197" s="49">
        <f>VLOOKUP($C197,怪物并表!$E$7:$P$1000,12,FALSE)</f>
        <v>0</v>
      </c>
      <c r="Z197" s="49">
        <f>VLOOKUP($C197,怪物并表!$E$7:$P$1000,11,FALSE)*S197</f>
        <v>2903.6320000000001</v>
      </c>
      <c r="AA197" s="33"/>
      <c r="AB197" s="33"/>
      <c r="AC197" s="33"/>
      <c r="AD197" s="33">
        <f t="shared" si="28"/>
        <v>1.5</v>
      </c>
      <c r="AE197" s="2">
        <f t="shared" si="30"/>
        <v>216.25</v>
      </c>
      <c r="AF197" s="2" t="str">
        <f>IF(ISBLANK(AM197),IF(O197=6,"",IF(O197=1,VLOOKUP(R197,怪物信息配置表!B:H,5,FALSE),IF(O197=2,VLOOKUP(R197,怪物信息配置表!B:H,6,FALSE),IF(OR(O197=3,O197=5),VLOOKUP(R197,怪物信息配置表!B:H,7,FALSE),"")))),AM197)</f>
        <v>1001_quanbing_BOSS</v>
      </c>
      <c r="AG197" s="2"/>
      <c r="AH197" s="15">
        <f>SUMPRODUCT(T197:V197,$AN$3:$AP$3)+ROUNDDOWN(VLOOKUP(P197,CHOOSE({1,2},'[1]消耗&amp;价值&amp;分析'!$C$7:$C$106,'[1]消耗&amp;价值&amp;分析'!$AS$7:$AS$106),2,FALSE)*0.6,0)</f>
        <v>20822.642902727559</v>
      </c>
      <c r="AJ197" s="80">
        <v>1</v>
      </c>
      <c r="AK197" s="80">
        <v>1</v>
      </c>
      <c r="AL197" s="80">
        <v>1</v>
      </c>
    </row>
    <row r="198" spans="1:39">
      <c r="A198" s="33" t="str">
        <f>怪物并表!$R$7</f>
        <v>普通副本</v>
      </c>
      <c r="B198" s="38">
        <v>1</v>
      </c>
      <c r="C198" s="33">
        <f t="shared" si="29"/>
        <v>5008</v>
      </c>
      <c r="D198" s="33">
        <v>1</v>
      </c>
      <c r="E198" s="33">
        <f>VLOOKUP(A198,怪物并表!$R$7:$S$14,2,FALSE)</f>
        <v>1</v>
      </c>
      <c r="F198" s="38">
        <v>5</v>
      </c>
      <c r="G198" s="38">
        <v>8</v>
      </c>
      <c r="H198" s="38">
        <v>1</v>
      </c>
      <c r="I198" s="33">
        <f t="shared" si="27"/>
        <v>158101</v>
      </c>
      <c r="J198" s="33" t="s">
        <v>216</v>
      </c>
      <c r="K198" s="33"/>
      <c r="L198" s="33">
        <v>0</v>
      </c>
      <c r="M198" s="33">
        <v>1</v>
      </c>
      <c r="N198" s="33"/>
      <c r="O198" s="33">
        <v>1</v>
      </c>
      <c r="P198" s="33">
        <f>VLOOKUP($C198,CHOOSE({1,2},怪物并表!$E$7:$E$1000,怪物并表!$D$7:$D$1000),2,FALSE)</f>
        <v>45</v>
      </c>
      <c r="Q198" s="33" t="s">
        <v>12</v>
      </c>
      <c r="R198" s="33">
        <f>VLOOKUP(Q198,怪物信息配置表!$A$2:$B$118,2,FALSE)</f>
        <v>1009</v>
      </c>
      <c r="S198" s="33">
        <v>1</v>
      </c>
      <c r="T198" s="49">
        <f>VLOOKUP($C198,怪物并表!$E$7:$N$1000,2+($D198-1)*3,FALSE)*S198*AJ198</f>
        <v>107019.955261108</v>
      </c>
      <c r="U198" s="49">
        <f>VLOOKUP($C198,怪物并表!$E$7:$N$1000,3+($D198-1)*3,FALSE)*S198*AK198</f>
        <v>6080.6679297034661</v>
      </c>
      <c r="V198" s="49">
        <f>VLOOKUP($C198,怪物并表!$E$7:$N$1000,4+($D198-1)*3,FALSE)*S198*AL198</f>
        <v>2345.4744702341145</v>
      </c>
      <c r="W198" s="33"/>
      <c r="X198" s="33"/>
      <c r="Y198" s="49">
        <f>VLOOKUP($C198,怪物并表!$E$7:$P$1000,12,FALSE)</f>
        <v>0</v>
      </c>
      <c r="Z198" s="49">
        <f>VLOOKUP($C198,怪物并表!$E$7:$P$1000,11,FALSE)*S198</f>
        <v>2961.86</v>
      </c>
      <c r="AA198" s="33"/>
      <c r="AB198" s="33"/>
      <c r="AC198" s="33"/>
      <c r="AD198" s="33">
        <f t="shared" si="28"/>
        <v>1</v>
      </c>
      <c r="AE198" s="2">
        <f t="shared" si="30"/>
        <v>465.625</v>
      </c>
      <c r="AF198" s="2" t="str">
        <f>IF(ISBLANK(AM198),IF(O198=6,"",IF(O198=1,VLOOKUP(R198,怪物信息配置表!B:H,5,FALSE),IF(O198=2,VLOOKUP(R198,怪物信息配置表!B:H,6,FALSE),IF(OR(O198=3,O198=5),VLOOKUP(R198,怪物信息配置表!B:H,7,FALSE),"")))),AM198)</f>
        <v>ai_monster</v>
      </c>
      <c r="AG198" s="2"/>
      <c r="AH198" s="15">
        <f>SUMPRODUCT(T198:V198,$AN$3:$AP$3)+ROUNDDOWN(VLOOKUP(P198,CHOOSE({1,2},'[1]消耗&amp;价值&amp;分析'!$C$7:$C$106,'[1]消耗&amp;价值&amp;分析'!$AS$7:$AS$106),2,FALSE)*0.6,0)</f>
        <v>14873.9406103819</v>
      </c>
      <c r="AJ198" s="80">
        <v>1</v>
      </c>
      <c r="AK198" s="80">
        <v>1</v>
      </c>
      <c r="AL198" s="80">
        <v>1</v>
      </c>
    </row>
    <row r="199" spans="1:39">
      <c r="A199" s="33" t="str">
        <f>怪物并表!$R$7</f>
        <v>普通副本</v>
      </c>
      <c r="B199" s="38">
        <v>2</v>
      </c>
      <c r="C199" s="33">
        <f t="shared" si="29"/>
        <v>5008</v>
      </c>
      <c r="D199" s="33">
        <v>1</v>
      </c>
      <c r="E199" s="33">
        <f>VLOOKUP(A199,怪物并表!$R$7:$S$14,2,FALSE)</f>
        <v>1</v>
      </c>
      <c r="F199" s="38">
        <v>5</v>
      </c>
      <c r="G199" s="38">
        <v>8</v>
      </c>
      <c r="H199" s="38">
        <v>1</v>
      </c>
      <c r="I199" s="33">
        <f t="shared" si="27"/>
        <v>158102</v>
      </c>
      <c r="J199" s="33" t="s">
        <v>13</v>
      </c>
      <c r="K199" s="33"/>
      <c r="L199" s="33">
        <v>0</v>
      </c>
      <c r="M199" s="33">
        <v>1</v>
      </c>
      <c r="N199" s="33"/>
      <c r="O199" s="33">
        <v>1</v>
      </c>
      <c r="P199" s="33">
        <f>VLOOKUP($C199,CHOOSE({1,2},怪物并表!$E$7:$E$1000,怪物并表!$D$7:$D$1000),2,FALSE)</f>
        <v>45</v>
      </c>
      <c r="Q199" s="33" t="s">
        <v>13</v>
      </c>
      <c r="R199" s="33">
        <f>VLOOKUP(Q199,怪物信息配置表!$A$2:$B$118,2,FALSE)</f>
        <v>1007</v>
      </c>
      <c r="S199" s="33">
        <v>1</v>
      </c>
      <c r="T199" s="49">
        <f>VLOOKUP($C199,怪物并表!$E$7:$N$1000,2+($D199-1)*3,FALSE)*S199*AJ199</f>
        <v>107019.955261108</v>
      </c>
      <c r="U199" s="49">
        <f>VLOOKUP($C199,怪物并表!$E$7:$N$1000,3+($D199-1)*3,FALSE)*S199*AK199</f>
        <v>6080.6679297034661</v>
      </c>
      <c r="V199" s="49">
        <f>VLOOKUP($C199,怪物并表!$E$7:$N$1000,4+($D199-1)*3,FALSE)*S199*AL199</f>
        <v>2345.4744702341145</v>
      </c>
      <c r="W199" s="33"/>
      <c r="X199" s="33"/>
      <c r="Y199" s="49">
        <f>VLOOKUP($C199,怪物并表!$E$7:$P$1000,12,FALSE)</f>
        <v>0</v>
      </c>
      <c r="Z199" s="49">
        <f>VLOOKUP($C199,怪物并表!$E$7:$P$1000,11,FALSE)*S199</f>
        <v>2961.86</v>
      </c>
      <c r="AA199" s="33"/>
      <c r="AB199" s="33"/>
      <c r="AC199" s="33"/>
      <c r="AD199" s="33">
        <f t="shared" si="28"/>
        <v>1</v>
      </c>
      <c r="AE199" s="2">
        <f t="shared" si="30"/>
        <v>465.625</v>
      </c>
      <c r="AF199" s="2" t="str">
        <f>IF(ISBLANK(AM199),IF(O199=6,"",IF(O199=1,VLOOKUP(R199,怪物信息配置表!B:H,5,FALSE),IF(O199=2,VLOOKUP(R199,怪物信息配置表!B:H,6,FALSE),IF(OR(O199=3,O199=5),VLOOKUP(R199,怪物信息配置表!B:H,7,FALSE),"")))),AM199)</f>
        <v>ai_monster_03</v>
      </c>
      <c r="AG199" s="2"/>
      <c r="AH199" s="15">
        <f>SUMPRODUCT(T199:V199,$AN$3:$AP$3)+ROUNDDOWN(VLOOKUP(P199,CHOOSE({1,2},'[1]消耗&amp;价值&amp;分析'!$C$7:$C$106,'[1]消耗&amp;价值&amp;分析'!$AS$7:$AS$106),2,FALSE)*0.6,0)</f>
        <v>14873.9406103819</v>
      </c>
      <c r="AJ199" s="80">
        <v>1</v>
      </c>
      <c r="AK199" s="80">
        <v>1</v>
      </c>
      <c r="AL199" s="80">
        <v>1</v>
      </c>
    </row>
    <row r="200" spans="1:39">
      <c r="A200" s="33" t="str">
        <f>怪物并表!$R$7</f>
        <v>普通副本</v>
      </c>
      <c r="B200" s="38">
        <v>3</v>
      </c>
      <c r="C200" s="33">
        <f t="shared" si="29"/>
        <v>5008</v>
      </c>
      <c r="D200" s="33">
        <v>1</v>
      </c>
      <c r="E200" s="33">
        <f>VLOOKUP(A200,怪物并表!$R$7:$S$14,2,FALSE)</f>
        <v>1</v>
      </c>
      <c r="F200" s="38">
        <v>5</v>
      </c>
      <c r="G200" s="38">
        <v>8</v>
      </c>
      <c r="H200" s="38">
        <v>1</v>
      </c>
      <c r="I200" s="33">
        <f t="shared" si="27"/>
        <v>158103</v>
      </c>
      <c r="J200" s="33" t="s">
        <v>484</v>
      </c>
      <c r="K200" s="33"/>
      <c r="L200" s="33">
        <v>0</v>
      </c>
      <c r="M200" s="33">
        <v>1</v>
      </c>
      <c r="N200" s="33"/>
      <c r="O200" s="33">
        <v>1</v>
      </c>
      <c r="P200" s="33">
        <f>VLOOKUP($C200,CHOOSE({1,2},怪物并表!$E$7:$E$1000,怪物并表!$D$7:$D$1000),2,FALSE)</f>
        <v>45</v>
      </c>
      <c r="Q200" s="33" t="s">
        <v>14</v>
      </c>
      <c r="R200" s="33">
        <f>VLOOKUP(Q200,怪物信息配置表!$A$2:$B$118,2,FALSE)</f>
        <v>1010</v>
      </c>
      <c r="S200" s="33">
        <v>1</v>
      </c>
      <c r="T200" s="49">
        <f>VLOOKUP($C200,怪物并表!$E$7:$N$1000,2+($D200-1)*3,FALSE)*S200*AJ200</f>
        <v>107019.955261108</v>
      </c>
      <c r="U200" s="49">
        <f>VLOOKUP($C200,怪物并表!$E$7:$N$1000,3+($D200-1)*3,FALSE)*S200*AK200</f>
        <v>6080.6679297034661</v>
      </c>
      <c r="V200" s="49">
        <f>VLOOKUP($C200,怪物并表!$E$7:$N$1000,4+($D200-1)*3,FALSE)*S200*AL200</f>
        <v>2345.4744702341145</v>
      </c>
      <c r="W200" s="33"/>
      <c r="X200" s="33"/>
      <c r="Y200" s="49">
        <f>VLOOKUP($C200,怪物并表!$E$7:$P$1000,12,FALSE)</f>
        <v>0</v>
      </c>
      <c r="Z200" s="49">
        <f>VLOOKUP($C200,怪物并表!$E$7:$P$1000,11,FALSE)*S200</f>
        <v>2961.86</v>
      </c>
      <c r="AA200" s="33"/>
      <c r="AB200" s="33"/>
      <c r="AC200" s="33"/>
      <c r="AD200" s="33">
        <f t="shared" si="28"/>
        <v>1</v>
      </c>
      <c r="AE200" s="2">
        <f t="shared" si="30"/>
        <v>465.625</v>
      </c>
      <c r="AF200" s="2" t="str">
        <f>IF(ISBLANK(AM200),IF(O200=6,"",IF(O200=1,VLOOKUP(R200,怪物信息配置表!B:H,5,FALSE),IF(O200=2,VLOOKUP(R200,怪物信息配置表!B:H,6,FALSE),IF(OR(O200=3,O200=5),VLOOKUP(R200,怪物信息配置表!B:H,7,FALSE),"")))),AM200)</f>
        <v>ai_monster</v>
      </c>
      <c r="AG200" s="2"/>
      <c r="AH200" s="15">
        <f>SUMPRODUCT(T200:V200,$AN$3:$AP$3)+ROUNDDOWN(VLOOKUP(P200,CHOOSE({1,2},'[1]消耗&amp;价值&amp;分析'!$C$7:$C$106,'[1]消耗&amp;价值&amp;分析'!$AS$7:$AS$106),2,FALSE)*0.6,0)</f>
        <v>14873.9406103819</v>
      </c>
      <c r="AJ200" s="80">
        <v>1</v>
      </c>
      <c r="AK200" s="80">
        <v>1</v>
      </c>
      <c r="AL200" s="80">
        <v>1</v>
      </c>
    </row>
    <row r="201" spans="1:39">
      <c r="A201" s="33" t="str">
        <f>怪物并表!$R$7</f>
        <v>普通副本</v>
      </c>
      <c r="B201" s="38">
        <v>4</v>
      </c>
      <c r="C201" s="33">
        <f t="shared" si="29"/>
        <v>5008</v>
      </c>
      <c r="D201" s="33">
        <v>3</v>
      </c>
      <c r="E201" s="33">
        <f>VLOOKUP(A201,怪物并表!$R$7:$S$14,2,FALSE)</f>
        <v>1</v>
      </c>
      <c r="F201" s="38">
        <v>5</v>
      </c>
      <c r="G201" s="38">
        <v>8</v>
      </c>
      <c r="H201" s="38">
        <v>1</v>
      </c>
      <c r="I201" s="33">
        <f t="shared" si="27"/>
        <v>158104</v>
      </c>
      <c r="J201" s="33" t="s">
        <v>692</v>
      </c>
      <c r="K201" s="33"/>
      <c r="L201" s="33">
        <v>1</v>
      </c>
      <c r="M201" s="33">
        <v>1.2</v>
      </c>
      <c r="N201" s="33"/>
      <c r="O201" s="33">
        <v>3</v>
      </c>
      <c r="P201" s="33">
        <f>VLOOKUP($C201,CHOOSE({1,2},怪物并表!$E$7:$E$1000,怪物并表!$D$7:$D$1000),2,FALSE)</f>
        <v>45</v>
      </c>
      <c r="Q201" s="33" t="s">
        <v>18</v>
      </c>
      <c r="R201" s="33">
        <f>VLOOKUP(Q201,怪物信息配置表!$A$2:$B$118,2,FALSE)</f>
        <v>1006</v>
      </c>
      <c r="S201" s="33">
        <v>1</v>
      </c>
      <c r="T201" s="49">
        <f>VLOOKUP($C201,怪物并表!$E$7:$N$1000,2+($D201-1)*3,FALSE)*S201*AJ201</f>
        <v>267549.88815277</v>
      </c>
      <c r="U201" s="49">
        <f>VLOOKUP($C201,怪物并表!$E$7:$N$1000,3+($D201-1)*3,FALSE)*S201*AK201</f>
        <v>6827.7066215973355</v>
      </c>
      <c r="V201" s="49">
        <f>VLOOKUP($C201,怪物并表!$E$7:$N$1000,4+($D201-1)*3,FALSE)*S201*AL201</f>
        <v>2931.843087792643</v>
      </c>
      <c r="W201" s="33"/>
      <c r="X201" s="33"/>
      <c r="Y201" s="49">
        <f>VLOOKUP($C201,怪物并表!$E$7:$P$1000,12,FALSE)</f>
        <v>0</v>
      </c>
      <c r="Z201" s="49">
        <f>VLOOKUP($C201,怪物并表!$E$7:$P$1000,11,FALSE)*S201</f>
        <v>2961.86</v>
      </c>
      <c r="AA201" s="33"/>
      <c r="AB201" s="33"/>
      <c r="AC201" s="33"/>
      <c r="AD201" s="33">
        <f t="shared" si="28"/>
        <v>1.5</v>
      </c>
      <c r="AE201" s="2">
        <f t="shared" si="30"/>
        <v>198.4375</v>
      </c>
      <c r="AF201" s="2" t="str">
        <f>IF(ISBLANK(AM201),IF(O201=6,"",IF(O201=1,VLOOKUP(R201,怪物信息配置表!B:H,5,FALSE),IF(O201=2,VLOOKUP(R201,怪物信息配置表!B:H,6,FALSE),IF(OR(O201=3,O201=5),VLOOKUP(R201,怪物信息配置表!B:H,7,FALSE),"")))),AM201)</f>
        <v>1006_jingcha_BOSS</v>
      </c>
      <c r="AG201" s="2"/>
      <c r="AH201" s="15">
        <f>SUMPRODUCT(T201:V201,$AN$3:$AP$3)+ROUNDDOWN(VLOOKUP(P201,CHOOSE({1,2},'[1]消耗&amp;价值&amp;分析'!$C$7:$C$106,'[1]消耗&amp;价值&amp;分析'!$AS$7:$AS$106),2,FALSE)*0.6,0)</f>
        <v>22628.54523550078</v>
      </c>
      <c r="AJ201" s="80">
        <v>1</v>
      </c>
      <c r="AK201" s="80">
        <v>1</v>
      </c>
      <c r="AL201" s="80">
        <v>1</v>
      </c>
    </row>
    <row r="202" spans="1:39">
      <c r="A202" s="33" t="str">
        <f>怪物并表!$R$7</f>
        <v>普通副本</v>
      </c>
      <c r="B202" s="38">
        <v>5</v>
      </c>
      <c r="C202" s="33">
        <f t="shared" si="29"/>
        <v>5008</v>
      </c>
      <c r="D202" s="33">
        <v>3</v>
      </c>
      <c r="E202" s="33">
        <f>VLOOKUP(A202,怪物并表!$R$7:$S$14,2,FALSE)</f>
        <v>1</v>
      </c>
      <c r="F202" s="38">
        <v>5</v>
      </c>
      <c r="G202" s="38">
        <v>8</v>
      </c>
      <c r="H202" s="38">
        <v>1</v>
      </c>
      <c r="I202" s="33">
        <f t="shared" si="27"/>
        <v>158105</v>
      </c>
      <c r="J202" s="33" t="s">
        <v>10</v>
      </c>
      <c r="K202" s="33"/>
      <c r="L202" s="33">
        <v>0</v>
      </c>
      <c r="M202" s="33">
        <v>1</v>
      </c>
      <c r="N202" s="33"/>
      <c r="O202" s="33">
        <v>6</v>
      </c>
      <c r="P202" s="33">
        <f>VLOOKUP($C202,CHOOSE({1,2},怪物并表!$E$7:$E$1000,怪物并表!$D$7:$D$1000),2,FALSE)</f>
        <v>45</v>
      </c>
      <c r="Q202" s="33" t="s">
        <v>10</v>
      </c>
      <c r="R202" s="33">
        <f>VLOOKUP(Q202,怪物信息配置表!$A$2:$B$118,2,FALSE)</f>
        <v>1001</v>
      </c>
      <c r="S202" s="33">
        <v>3</v>
      </c>
      <c r="T202" s="49">
        <f>VLOOKUP($C202,怪物并表!$E$7:$N$1000,2+($D202-1)*3,FALSE)*S202*AJ202</f>
        <v>802649.66445831</v>
      </c>
      <c r="U202" s="49">
        <f>VLOOKUP($C202,怪物并表!$E$7:$N$1000,3+($D202-1)*3,FALSE)*S202*AK202</f>
        <v>20483.119864792006</v>
      </c>
      <c r="V202" s="49">
        <f>VLOOKUP($C202,怪物并表!$E$7:$N$1000,4+($D202-1)*3,FALSE)*S202*AL202</f>
        <v>8795.5292633779281</v>
      </c>
      <c r="W202" s="33"/>
      <c r="X202" s="33"/>
      <c r="Y202" s="49">
        <f>VLOOKUP($C202,怪物并表!$E$7:$P$1000,12,FALSE)</f>
        <v>0</v>
      </c>
      <c r="Z202" s="49">
        <f>VLOOKUP($C202,怪物并表!$E$7:$P$1000,11,FALSE)*S202</f>
        <v>8885.58</v>
      </c>
      <c r="AA202" s="33"/>
      <c r="AB202" s="33"/>
      <c r="AC202" s="33"/>
      <c r="AD202" s="33">
        <f t="shared" si="28"/>
        <v>1.5</v>
      </c>
      <c r="AE202" s="2">
        <f t="shared" si="30"/>
        <v>198.4375</v>
      </c>
      <c r="AF202" s="2" t="str">
        <f>IF(ISBLANK(AM202),IF(O202=6,"",IF(O202=1,VLOOKUP(R202,怪物信息配置表!B:H,5,FALSE),IF(O202=2,VLOOKUP(R202,怪物信息配置表!B:H,6,FALSE),IF(OR(O202=3,O202=5),VLOOKUP(R202,怪物信息配置表!B:H,7,FALSE),"")))),AM202)</f>
        <v/>
      </c>
      <c r="AG202" s="2"/>
      <c r="AH202" s="15">
        <f>SUMPRODUCT(T202:V202,$AN$3:$AP$3)+ROUNDDOWN(VLOOKUP(P202,CHOOSE({1,2},'[1]消耗&amp;价值&amp;分析'!$C$7:$C$106,'[1]消耗&amp;价值&amp;分析'!$AS$7:$AS$106),2,FALSE)*0.6,0)</f>
        <v>63551.635706502333</v>
      </c>
      <c r="AJ202" s="80">
        <v>1</v>
      </c>
      <c r="AK202" s="80">
        <v>1</v>
      </c>
      <c r="AL202" s="80">
        <v>1</v>
      </c>
    </row>
    <row r="203" spans="1:39">
      <c r="A203" s="33" t="str">
        <f>怪物并表!$R$7</f>
        <v>普通副本</v>
      </c>
      <c r="B203" s="38">
        <v>1</v>
      </c>
      <c r="C203" s="33">
        <f t="shared" si="29"/>
        <v>5009</v>
      </c>
      <c r="D203" s="33">
        <v>1</v>
      </c>
      <c r="E203" s="33">
        <f>VLOOKUP(A203,怪物并表!$R$7:$S$14,2,FALSE)</f>
        <v>1</v>
      </c>
      <c r="F203" s="38">
        <v>5</v>
      </c>
      <c r="G203" s="38">
        <v>9</v>
      </c>
      <c r="H203" s="38">
        <v>1</v>
      </c>
      <c r="I203" s="33">
        <f t="shared" si="27"/>
        <v>159101</v>
      </c>
      <c r="J203" s="33" t="s">
        <v>15</v>
      </c>
      <c r="K203" s="33"/>
      <c r="L203" s="33">
        <v>0</v>
      </c>
      <c r="M203" s="33">
        <v>1</v>
      </c>
      <c r="N203" s="33"/>
      <c r="O203" s="33">
        <v>1</v>
      </c>
      <c r="P203" s="33">
        <f>VLOOKUP($C203,CHOOSE({1,2},怪物并表!$E$7:$E$1000,怪物并表!$D$7:$D$1000),2,FALSE)</f>
        <v>46</v>
      </c>
      <c r="Q203" s="33" t="s">
        <v>15</v>
      </c>
      <c r="R203" s="33">
        <f>VLOOKUP(Q203,怪物信息配置表!$A$2:$B$118,2,FALSE)</f>
        <v>1004</v>
      </c>
      <c r="S203" s="33">
        <v>1</v>
      </c>
      <c r="T203" s="49">
        <f>VLOOKUP($C203,怪物并表!$E$7:$N$1000,2+($D203-1)*3,FALSE)*S203*AJ203</f>
        <v>139444.0078763224</v>
      </c>
      <c r="U203" s="49">
        <f>VLOOKUP($C203,怪物并表!$E$7:$N$1000,3+($D203-1)*3,FALSE)*S203*AK203</f>
        <v>7473.366236449604</v>
      </c>
      <c r="V203" s="49">
        <f>VLOOKUP($C203,怪物并表!$E$7:$N$1000,4+($D203-1)*3,FALSE)*S203*AL203</f>
        <v>3143.1160679598675</v>
      </c>
      <c r="W203" s="33"/>
      <c r="X203" s="33"/>
      <c r="Y203" s="49">
        <f>VLOOKUP($C203,怪物并表!$E$7:$P$1000,12,FALSE)</f>
        <v>0</v>
      </c>
      <c r="Z203" s="49">
        <f>VLOOKUP($C203,怪物并表!$E$7:$P$1000,11,FALSE)*S203</f>
        <v>3020.0879999999997</v>
      </c>
      <c r="AA203" s="33"/>
      <c r="AB203" s="33"/>
      <c r="AC203" s="33"/>
      <c r="AD203" s="33">
        <f t="shared" si="28"/>
        <v>1</v>
      </c>
      <c r="AE203" s="2">
        <f t="shared" si="30"/>
        <v>453.75</v>
      </c>
      <c r="AF203" s="2" t="str">
        <f>IF(ISBLANK(AM203),IF(O203=6,"",IF(O203=1,VLOOKUP(R203,怪物信息配置表!B:H,5,FALSE),IF(O203=2,VLOOKUP(R203,怪物信息配置表!B:H,6,FALSE),IF(OR(O203=3,O203=5),VLOOKUP(R203,怪物信息配置表!B:H,7,FALSE),"")))),AM203)</f>
        <v>ai_monster</v>
      </c>
      <c r="AG203" s="2"/>
      <c r="AH203" s="15">
        <f>SUMPRODUCT(T203:V203,$AN$3:$AP$3)+ROUNDDOWN(VLOOKUP(P203,CHOOSE({1,2},'[1]消耗&amp;价值&amp;分析'!$C$7:$C$106,'[1]消耗&amp;价值&amp;分析'!$AS$7:$AS$106),2,FALSE)*0.6,0)</f>
        <v>18520.242619462369</v>
      </c>
      <c r="AJ203" s="80">
        <v>1</v>
      </c>
      <c r="AK203" s="80">
        <v>1</v>
      </c>
      <c r="AL203" s="80">
        <v>1</v>
      </c>
    </row>
    <row r="204" spans="1:39">
      <c r="A204" s="33" t="str">
        <f>怪物并表!$R$7</f>
        <v>普通副本</v>
      </c>
      <c r="B204" s="38">
        <v>2</v>
      </c>
      <c r="C204" s="33">
        <f t="shared" si="29"/>
        <v>5009</v>
      </c>
      <c r="D204" s="33">
        <v>2</v>
      </c>
      <c r="E204" s="33">
        <f>VLOOKUP(A204,怪物并表!$R$7:$S$14,2,FALSE)</f>
        <v>1</v>
      </c>
      <c r="F204" s="38">
        <v>5</v>
      </c>
      <c r="G204" s="38">
        <v>9</v>
      </c>
      <c r="H204" s="38">
        <v>1</v>
      </c>
      <c r="I204" s="33">
        <f t="shared" si="27"/>
        <v>159102</v>
      </c>
      <c r="J204" s="33" t="s">
        <v>231</v>
      </c>
      <c r="K204" s="33"/>
      <c r="L204" s="33">
        <v>0</v>
      </c>
      <c r="M204" s="33">
        <v>1</v>
      </c>
      <c r="N204" s="33"/>
      <c r="O204" s="33">
        <v>1</v>
      </c>
      <c r="P204" s="33">
        <f>VLOOKUP($C204,CHOOSE({1,2},怪物并表!$E$7:$E$1000,怪物并表!$D$7:$D$1000),2,FALSE)</f>
        <v>46</v>
      </c>
      <c r="Q204" s="33" t="s">
        <v>17</v>
      </c>
      <c r="R204" s="33">
        <f>VLOOKUP(Q204,怪物信息配置表!$A$2:$B$118,2,FALSE)</f>
        <v>1005</v>
      </c>
      <c r="S204" s="33">
        <v>1</v>
      </c>
      <c r="T204" s="49">
        <f>VLOOKUP($C204,怪物并表!$E$7:$N$1000,2+($D204-1)*3,FALSE)*S204*AJ204</f>
        <v>111555.20630105794</v>
      </c>
      <c r="U204" s="49">
        <f>VLOOKUP($C204,怪物并表!$E$7:$N$1000,3+($D204-1)*3,FALSE)*S204*AK204</f>
        <v>6977.4788982414339</v>
      </c>
      <c r="V204" s="49">
        <f>VLOOKUP($C204,怪物并表!$E$7:$N$1000,4+($D204-1)*3,FALSE)*S204*AL204</f>
        <v>2640.2174970862889</v>
      </c>
      <c r="W204" s="33"/>
      <c r="X204" s="33"/>
      <c r="Y204" s="49">
        <f>VLOOKUP($C204,怪物并表!$E$7:$P$1000,12,FALSE)</f>
        <v>0</v>
      </c>
      <c r="Z204" s="49">
        <f>VLOOKUP($C204,怪物并表!$E$7:$P$1000,11,FALSE)*S204</f>
        <v>3020.0879999999997</v>
      </c>
      <c r="AA204" s="33"/>
      <c r="AB204" s="33"/>
      <c r="AC204" s="33"/>
      <c r="AD204" s="33">
        <f t="shared" ref="AD204:AD206" si="31">IF(D204=1,1,IF(D204=2,0.8,1.5))</f>
        <v>0.8</v>
      </c>
      <c r="AE204" s="2">
        <f t="shared" si="30"/>
        <v>563</v>
      </c>
      <c r="AF204" s="2" t="str">
        <f>IF(ISBLANK(AM204),IF(O204=6,"",IF(O204=1,VLOOKUP(R204,怪物信息配置表!B:H,5,FALSE),IF(O204=2,VLOOKUP(R204,怪物信息配置表!B:H,6,FALSE),IF(OR(O204=3,O204=5),VLOOKUP(R204,怪物信息配置表!B:H,7,FALSE),"")))),AM204)</f>
        <v>ai_monster_02</v>
      </c>
      <c r="AG204" s="2"/>
      <c r="AH204" s="15">
        <f>SUMPRODUCT(T204:V204,$AN$3:$AP$3)+ROUNDDOWN(VLOOKUP(P204,CHOOSE({1,2},'[1]消耗&amp;价值&amp;分析'!$C$7:$C$106,'[1]消耗&amp;价值&amp;分析'!$AS$7:$AS$106),2,FALSE)*0.6,0)</f>
        <v>16405.904647370044</v>
      </c>
      <c r="AJ204" s="80">
        <v>1</v>
      </c>
      <c r="AK204" s="80">
        <v>1</v>
      </c>
      <c r="AL204" s="80">
        <v>1</v>
      </c>
    </row>
    <row r="205" spans="1:39">
      <c r="A205" s="33" t="str">
        <f>怪物并表!$R$7</f>
        <v>普通副本</v>
      </c>
      <c r="B205" s="38">
        <v>3</v>
      </c>
      <c r="C205" s="33">
        <f t="shared" ref="C205:C206" si="32">F205*1000+G205</f>
        <v>5009</v>
      </c>
      <c r="D205" s="33">
        <v>1</v>
      </c>
      <c r="E205" s="33">
        <f>VLOOKUP(A205,怪物并表!$R$7:$S$14,2,FALSE)</f>
        <v>1</v>
      </c>
      <c r="F205" s="38">
        <v>5</v>
      </c>
      <c r="G205" s="38">
        <v>9</v>
      </c>
      <c r="H205" s="38">
        <v>1</v>
      </c>
      <c r="I205" s="33">
        <f t="shared" si="27"/>
        <v>159103</v>
      </c>
      <c r="J205" s="33" t="s">
        <v>46</v>
      </c>
      <c r="K205" s="33"/>
      <c r="L205" s="33">
        <v>0</v>
      </c>
      <c r="M205" s="33">
        <v>1</v>
      </c>
      <c r="N205" s="33" t="s">
        <v>215</v>
      </c>
      <c r="O205" s="33">
        <v>1</v>
      </c>
      <c r="P205" s="33">
        <f>VLOOKUP($C205,CHOOSE({1,2},怪物并表!$E$7:$E$1000,怪物并表!$D$7:$D$1000),2,FALSE)</f>
        <v>46</v>
      </c>
      <c r="Q205" s="33" t="s">
        <v>11</v>
      </c>
      <c r="R205" s="33">
        <f>VLOOKUP(Q205,怪物信息配置表!$A$2:$B$118,2,FALSE)</f>
        <v>1011</v>
      </c>
      <c r="S205" s="33">
        <v>1</v>
      </c>
      <c r="T205" s="49">
        <f>VLOOKUP($C205,怪物并表!$E$7:$N$1000,2+($D205-1)*3,FALSE)*S205*AJ205</f>
        <v>139444.0078763224</v>
      </c>
      <c r="U205" s="49">
        <f>VLOOKUP($C205,怪物并表!$E$7:$N$1000,3+($D205-1)*3,FALSE)*S205*AK205</f>
        <v>7473.366236449604</v>
      </c>
      <c r="V205" s="49">
        <f>VLOOKUP($C205,怪物并表!$E$7:$N$1000,4+($D205-1)*3,FALSE)*S205*AL205</f>
        <v>3143.1160679598675</v>
      </c>
      <c r="W205" s="33"/>
      <c r="X205" s="33"/>
      <c r="Y205" s="49">
        <f>VLOOKUP($C205,怪物并表!$E$7:$P$1000,12,FALSE)</f>
        <v>0</v>
      </c>
      <c r="Z205" s="49">
        <f>VLOOKUP($C205,怪物并表!$E$7:$P$1000,11,FALSE)*S205</f>
        <v>3020.0879999999997</v>
      </c>
      <c r="AA205" s="33"/>
      <c r="AB205" s="33"/>
      <c r="AC205" s="33"/>
      <c r="AD205" s="33">
        <f t="shared" si="31"/>
        <v>1</v>
      </c>
      <c r="AE205" s="2">
        <f t="shared" si="30"/>
        <v>453.75</v>
      </c>
      <c r="AF205" s="2" t="str">
        <f>IF(ISBLANK(AM205),IF(O205=6,"",IF(O205=1,VLOOKUP(R205,怪物信息配置表!B:H,5,FALSE),IF(O205=2,VLOOKUP(R205,怪物信息配置表!B:H,6,FALSE),IF(OR(O205=3,O205=5),VLOOKUP(R205,怪物信息配置表!B:H,7,FALSE),"")))),AM205)</f>
        <v>ai_monster</v>
      </c>
      <c r="AG205" s="2"/>
      <c r="AH205" s="15">
        <f>SUMPRODUCT(T205:V205,$AN$3:$AP$3)+ROUNDDOWN(VLOOKUP(P205,CHOOSE({1,2},'[1]消耗&amp;价值&amp;分析'!$C$7:$C$106,'[1]消耗&amp;价值&amp;分析'!$AS$7:$AS$106),2,FALSE)*0.6,0)</f>
        <v>18520.242619462369</v>
      </c>
      <c r="AJ205" s="80">
        <v>1</v>
      </c>
      <c r="AK205" s="80">
        <v>1</v>
      </c>
      <c r="AL205" s="80">
        <v>1</v>
      </c>
    </row>
    <row r="206" spans="1:39">
      <c r="A206" s="33" t="str">
        <f>怪物并表!$R$7</f>
        <v>普通副本</v>
      </c>
      <c r="B206" s="38">
        <v>4</v>
      </c>
      <c r="C206" s="33">
        <f t="shared" si="32"/>
        <v>5009</v>
      </c>
      <c r="D206" s="33">
        <v>3</v>
      </c>
      <c r="E206" s="33">
        <f>VLOOKUP(A206,怪物并表!$R$7:$S$14,2,FALSE)</f>
        <v>1</v>
      </c>
      <c r="F206" s="38">
        <v>5</v>
      </c>
      <c r="G206" s="38">
        <v>9</v>
      </c>
      <c r="H206" s="38">
        <v>1</v>
      </c>
      <c r="I206" s="33">
        <f t="shared" si="27"/>
        <v>159104</v>
      </c>
      <c r="J206" s="33" t="s">
        <v>50</v>
      </c>
      <c r="K206" s="33"/>
      <c r="L206" s="33">
        <v>1</v>
      </c>
      <c r="M206" s="33">
        <v>1.3</v>
      </c>
      <c r="N206" s="33" t="s">
        <v>430</v>
      </c>
      <c r="O206" s="33">
        <v>3</v>
      </c>
      <c r="P206" s="33">
        <f>VLOOKUP($C206,CHOOSE({1,2},怪物并表!$E$7:$E$1000,怪物并表!$D$7:$D$1000),2,FALSE)</f>
        <v>46</v>
      </c>
      <c r="Q206" s="33" t="s">
        <v>20</v>
      </c>
      <c r="R206" s="33">
        <f>VLOOKUP(Q206,怪物信息配置表!$A$2:$B$118,2,FALSE)</f>
        <v>1103</v>
      </c>
      <c r="S206" s="33">
        <v>1</v>
      </c>
      <c r="T206" s="49">
        <f>VLOOKUP($C206,怪物并表!$E$7:$N$1000,2+($D206-1)*3,FALSE)*S206*AJ206</f>
        <v>348610.01969080599</v>
      </c>
      <c r="U206" s="49">
        <f>VLOOKUP($C206,怪物并表!$E$7:$N$1000,3+($D206-1)*3,FALSE)*S206*AK206</f>
        <v>8465.140912865947</v>
      </c>
      <c r="V206" s="49">
        <f>VLOOKUP($C206,怪物并表!$E$7:$N$1000,4+($D206-1)*3,FALSE)*S206*AL206</f>
        <v>3646.014638833446</v>
      </c>
      <c r="W206" s="33"/>
      <c r="X206" s="33"/>
      <c r="Y206" s="49">
        <f>VLOOKUP($C206,怪物并表!$E$7:$P$1000,12,FALSE)</f>
        <v>0</v>
      </c>
      <c r="Z206" s="49">
        <f>VLOOKUP($C206,怪物并表!$E$7:$P$1000,11,FALSE)*S206</f>
        <v>3020.0879999999997</v>
      </c>
      <c r="AA206" s="33"/>
      <c r="AB206" s="33"/>
      <c r="AC206" s="33"/>
      <c r="AD206" s="33">
        <f t="shared" si="31"/>
        <v>1.5</v>
      </c>
      <c r="AE206" s="2">
        <f t="shared" si="30"/>
        <v>153.125</v>
      </c>
      <c r="AF206" s="2" t="str">
        <f>IF(ISBLANK(AM206),IF(O206=6,"",IF(O206=1,VLOOKUP(R206,怪物信息配置表!B:H,5,FALSE),IF(O206=2,VLOOKUP(R206,怪物信息配置表!B:H,6,FALSE),IF(OR(O206=3,O206=5),VLOOKUP(R206,怪物信息配置表!B:H,7,FALSE),"")))),AM206)</f>
        <v>1103_situ_BOSS</v>
      </c>
      <c r="AG206" s="2"/>
      <c r="AH206" s="15">
        <f>SUMPRODUCT(T206:V206,$AN$3:$AP$3)+ROUNDDOWN(VLOOKUP(P206,CHOOSE({1,2},'[1]消耗&amp;价值&amp;分析'!$C$7:$C$106,'[1]消耗&amp;价值&amp;分析'!$AS$7:$AS$106),2,FALSE)*0.6,0)</f>
        <v>28381.556339331633</v>
      </c>
      <c r="AJ206" s="80">
        <v>1</v>
      </c>
      <c r="AK206" s="80">
        <v>1</v>
      </c>
      <c r="AL206" s="80">
        <v>1</v>
      </c>
    </row>
    <row r="207" spans="1:39">
      <c r="A207" s="33" t="str">
        <f>怪物并表!$R$7</f>
        <v>普通副本</v>
      </c>
      <c r="B207" s="38">
        <v>1</v>
      </c>
      <c r="C207" s="33">
        <f t="shared" si="29"/>
        <v>6001</v>
      </c>
      <c r="D207" s="33">
        <v>1</v>
      </c>
      <c r="E207" s="33">
        <f>VLOOKUP(A207,怪物并表!$R$7:$S$14,2,FALSE)</f>
        <v>1</v>
      </c>
      <c r="F207" s="38">
        <v>6</v>
      </c>
      <c r="G207" s="38">
        <v>1</v>
      </c>
      <c r="H207" s="38">
        <v>1</v>
      </c>
      <c r="I207" s="33">
        <f t="shared" si="27"/>
        <v>161101</v>
      </c>
      <c r="J207" s="33" t="s">
        <v>485</v>
      </c>
      <c r="K207" s="33"/>
      <c r="L207" s="33">
        <v>0</v>
      </c>
      <c r="M207" s="33">
        <v>1</v>
      </c>
      <c r="N207" s="33"/>
      <c r="O207" s="33">
        <v>1</v>
      </c>
      <c r="P207" s="33">
        <f>VLOOKUP($C207,CHOOSE({1,2},怪物并表!$E$7:$E$1000,怪物并表!$D$7:$D$1000),2,FALSE)</f>
        <v>47</v>
      </c>
      <c r="Q207" s="33" t="s">
        <v>24</v>
      </c>
      <c r="R207" s="33">
        <f>VLOOKUP(Q207,怪物信息配置表!$A$2:$B$118,2,FALSE)</f>
        <v>1015</v>
      </c>
      <c r="S207" s="33">
        <v>1</v>
      </c>
      <c r="T207" s="49">
        <f>VLOOKUP($C207,怪物并表!$E$7:$N$1000,2+($D207-1)*3,FALSE)*S207*AJ207</f>
        <v>125922.2649424351</v>
      </c>
      <c r="U207" s="49">
        <f>VLOOKUP($C207,怪物并表!$E$7:$N$1000,3+($D207-1)*3,FALSE)*S207*AK207</f>
        <v>7252.6749534835508</v>
      </c>
      <c r="V207" s="49">
        <f>VLOOKUP($C207,怪物并表!$E$7:$N$1000,4+($D207-1)*3,FALSE)*S207*AL207</f>
        <v>2690.8275851505027</v>
      </c>
      <c r="W207" s="33"/>
      <c r="X207" s="33"/>
      <c r="Y207" s="49">
        <f>VLOOKUP($C207,怪物并表!$E$7:$P$1000,12,FALSE)</f>
        <v>0</v>
      </c>
      <c r="Z207" s="49">
        <f>VLOOKUP($C207,怪物并表!$E$7:$P$1000,11,FALSE)*S207</f>
        <v>3078.3160000000003</v>
      </c>
      <c r="AA207" s="33"/>
      <c r="AB207" s="33"/>
      <c r="AC207" s="33"/>
      <c r="AD207" s="33">
        <f t="shared" si="28"/>
        <v>1</v>
      </c>
      <c r="AE207" s="2">
        <f t="shared" si="30"/>
        <v>359.375</v>
      </c>
      <c r="AF207" s="2" t="str">
        <f>IF(ISBLANK(AM207),IF(O207=6,"",IF(O207=1,VLOOKUP(R207,怪物信息配置表!B:H,5,FALSE),IF(O207=2,VLOOKUP(R207,怪物信息配置表!B:H,6,FALSE),IF(OR(O207=3,O207=5),VLOOKUP(R207,怪物信息配置表!B:H,7,FALSE),"")))),AM207)</f>
        <v>ai_monster_03</v>
      </c>
      <c r="AG207" s="2"/>
      <c r="AH207" s="15">
        <f>SUMPRODUCT(T207:V207,$AN$3:$AP$3)+ROUNDDOWN(VLOOKUP(P207,CHOOSE({1,2},'[1]消耗&amp;价值&amp;分析'!$C$7:$C$106,'[1]消耗&amp;价值&amp;分析'!$AS$7:$AS$106),2,FALSE)*0.6,0)</f>
        <v>17374.393136331455</v>
      </c>
      <c r="AJ207" s="80">
        <v>1</v>
      </c>
      <c r="AK207" s="80">
        <v>1</v>
      </c>
      <c r="AL207" s="80">
        <v>1</v>
      </c>
    </row>
    <row r="208" spans="1:39">
      <c r="A208" s="33" t="str">
        <f>怪物并表!$R$7</f>
        <v>普通副本</v>
      </c>
      <c r="B208" s="38">
        <v>2</v>
      </c>
      <c r="C208" s="33">
        <f t="shared" si="29"/>
        <v>6001</v>
      </c>
      <c r="D208" s="33">
        <v>1</v>
      </c>
      <c r="E208" s="33">
        <f>VLOOKUP(A208,怪物并表!$R$7:$S$14,2,FALSE)</f>
        <v>1</v>
      </c>
      <c r="F208" s="38">
        <v>6</v>
      </c>
      <c r="G208" s="38">
        <v>1</v>
      </c>
      <c r="H208" s="38">
        <v>1</v>
      </c>
      <c r="I208" s="33">
        <f t="shared" si="27"/>
        <v>161102</v>
      </c>
      <c r="J208" s="33" t="s">
        <v>42</v>
      </c>
      <c r="K208" s="33"/>
      <c r="L208" s="33">
        <v>0</v>
      </c>
      <c r="M208" s="33">
        <v>1</v>
      </c>
      <c r="N208" s="33" t="s">
        <v>233</v>
      </c>
      <c r="O208" s="33">
        <v>1</v>
      </c>
      <c r="P208" s="33">
        <f>VLOOKUP($C208,CHOOSE({1,2},怪物并表!$E$7:$E$1000,怪物并表!$D$7:$D$1000),2,FALSE)</f>
        <v>47</v>
      </c>
      <c r="Q208" s="33" t="s">
        <v>12</v>
      </c>
      <c r="R208" s="33">
        <f>VLOOKUP(Q208,怪物信息配置表!$A$2:$B$118,2,FALSE)</f>
        <v>1009</v>
      </c>
      <c r="S208" s="33">
        <v>1</v>
      </c>
      <c r="T208" s="49">
        <f>VLOOKUP($C208,怪物并表!$E$7:$N$1000,2+($D208-1)*3,FALSE)*S208*AJ208</f>
        <v>125922.2649424351</v>
      </c>
      <c r="U208" s="49">
        <f>VLOOKUP($C208,怪物并表!$E$7:$N$1000,3+($D208-1)*3,FALSE)*S208*AK208</f>
        <v>7252.6749534835508</v>
      </c>
      <c r="V208" s="49">
        <f>VLOOKUP($C208,怪物并表!$E$7:$N$1000,4+($D208-1)*3,FALSE)*S208*AL208</f>
        <v>2690.8275851505027</v>
      </c>
      <c r="W208" s="33"/>
      <c r="X208" s="33"/>
      <c r="Y208" s="49">
        <f>VLOOKUP($C208,怪物并表!$E$7:$P$1000,12,FALSE)</f>
        <v>0</v>
      </c>
      <c r="Z208" s="49">
        <f>VLOOKUP($C208,怪物并表!$E$7:$P$1000,11,FALSE)*S208</f>
        <v>3078.3160000000003</v>
      </c>
      <c r="AA208" s="33"/>
      <c r="AB208" s="33"/>
      <c r="AC208" s="33"/>
      <c r="AD208" s="33">
        <f t="shared" si="28"/>
        <v>1</v>
      </c>
      <c r="AE208" s="2">
        <f t="shared" si="30"/>
        <v>441.875</v>
      </c>
      <c r="AF208" s="2" t="str">
        <f>IF(ISBLANK(AM208),IF(O208=6,"",IF(O208=1,VLOOKUP(R208,怪物信息配置表!B:H,5,FALSE),IF(O208=2,VLOOKUP(R208,怪物信息配置表!B:H,6,FALSE),IF(OR(O208=3,O208=5),VLOOKUP(R208,怪物信息配置表!B:H,7,FALSE),"")))),AM208)</f>
        <v>ai_monster</v>
      </c>
      <c r="AG208" s="2"/>
      <c r="AH208" s="15">
        <f>SUMPRODUCT(T208:V208,$AN$3:$AP$3)+ROUNDDOWN(VLOOKUP(P208,CHOOSE({1,2},'[1]消耗&amp;价值&amp;分析'!$C$7:$C$106,'[1]消耗&amp;价值&amp;分析'!$AS$7:$AS$106),2,FALSE)*0.6,0)</f>
        <v>17374.393136331455</v>
      </c>
      <c r="AJ208" s="80">
        <v>1</v>
      </c>
      <c r="AK208" s="80">
        <v>1</v>
      </c>
      <c r="AL208" s="80">
        <v>1</v>
      </c>
    </row>
    <row r="209" spans="1:38">
      <c r="A209" s="33" t="str">
        <f>怪物并表!$R$7</f>
        <v>普通副本</v>
      </c>
      <c r="B209" s="38">
        <v>3</v>
      </c>
      <c r="C209" s="33">
        <f t="shared" si="29"/>
        <v>6001</v>
      </c>
      <c r="D209" s="33">
        <v>1</v>
      </c>
      <c r="E209" s="33">
        <f>VLOOKUP(A209,怪物并表!$R$7:$S$14,2,FALSE)</f>
        <v>1</v>
      </c>
      <c r="F209" s="38">
        <v>6</v>
      </c>
      <c r="G209" s="38">
        <v>1</v>
      </c>
      <c r="H209" s="38">
        <v>1</v>
      </c>
      <c r="I209" s="33">
        <f t="shared" si="27"/>
        <v>161103</v>
      </c>
      <c r="J209" s="33" t="s">
        <v>466</v>
      </c>
      <c r="K209" s="33"/>
      <c r="L209" s="33">
        <v>0</v>
      </c>
      <c r="M209" s="33">
        <v>1</v>
      </c>
      <c r="N209" s="33"/>
      <c r="O209" s="33">
        <v>1</v>
      </c>
      <c r="P209" s="33">
        <f>VLOOKUP($C209,CHOOSE({1,2},怪物并表!$E$7:$E$1000,怪物并表!$D$7:$D$1000),2,FALSE)</f>
        <v>47</v>
      </c>
      <c r="Q209" s="33" t="s">
        <v>14</v>
      </c>
      <c r="R209" s="33">
        <f>VLOOKUP(Q209,怪物信息配置表!$A$2:$B$118,2,FALSE)</f>
        <v>1010</v>
      </c>
      <c r="S209" s="33">
        <v>1</v>
      </c>
      <c r="T209" s="49">
        <f>VLOOKUP($C209,怪物并表!$E$7:$N$1000,2+($D209-1)*3,FALSE)*S209*AJ209</f>
        <v>125922.2649424351</v>
      </c>
      <c r="U209" s="49">
        <f>VLOOKUP($C209,怪物并表!$E$7:$N$1000,3+($D209-1)*3,FALSE)*S209*AK209</f>
        <v>7252.6749534835508</v>
      </c>
      <c r="V209" s="49">
        <f>VLOOKUP($C209,怪物并表!$E$7:$N$1000,4+($D209-1)*3,FALSE)*S209*AL209</f>
        <v>2690.8275851505027</v>
      </c>
      <c r="W209" s="33"/>
      <c r="X209" s="33"/>
      <c r="Y209" s="49">
        <f>VLOOKUP($C209,怪物并表!$E$7:$P$1000,12,FALSE)</f>
        <v>0</v>
      </c>
      <c r="Z209" s="49">
        <f>VLOOKUP($C209,怪物并表!$E$7:$P$1000,11,FALSE)*S209</f>
        <v>3078.3160000000003</v>
      </c>
      <c r="AA209" s="33"/>
      <c r="AB209" s="33"/>
      <c r="AC209" s="33"/>
      <c r="AD209" s="33">
        <f t="shared" si="28"/>
        <v>1</v>
      </c>
      <c r="AE209" s="2">
        <f t="shared" si="30"/>
        <v>441.875</v>
      </c>
      <c r="AF209" s="2" t="str">
        <f>IF(ISBLANK(AM209),IF(O209=6,"",IF(O209=1,VLOOKUP(R209,怪物信息配置表!B:H,5,FALSE),IF(O209=2,VLOOKUP(R209,怪物信息配置表!B:H,6,FALSE),IF(OR(O209=3,O209=5),VLOOKUP(R209,怪物信息配置表!B:H,7,FALSE),"")))),AM209)</f>
        <v>ai_monster</v>
      </c>
      <c r="AG209" s="2"/>
      <c r="AH209" s="15">
        <f>SUMPRODUCT(T209:V209,$AN$3:$AP$3)+ROUNDDOWN(VLOOKUP(P209,CHOOSE({1,2},'[1]消耗&amp;价值&amp;分析'!$C$7:$C$106,'[1]消耗&amp;价值&amp;分析'!$AS$7:$AS$106),2,FALSE)*0.6,0)</f>
        <v>17374.393136331455</v>
      </c>
      <c r="AJ209" s="80">
        <v>1</v>
      </c>
      <c r="AK209" s="80">
        <v>1</v>
      </c>
      <c r="AL209" s="80">
        <v>1</v>
      </c>
    </row>
    <row r="210" spans="1:38">
      <c r="A210" s="33" t="str">
        <f>怪物并表!$R$7</f>
        <v>普通副本</v>
      </c>
      <c r="B210" s="38">
        <v>4</v>
      </c>
      <c r="C210" s="33">
        <f t="shared" si="29"/>
        <v>6001</v>
      </c>
      <c r="D210" s="33">
        <v>3</v>
      </c>
      <c r="E210" s="33">
        <f>VLOOKUP(A210,怪物并表!$R$7:$S$14,2,FALSE)</f>
        <v>1</v>
      </c>
      <c r="F210" s="38">
        <v>6</v>
      </c>
      <c r="G210" s="38">
        <v>1</v>
      </c>
      <c r="H210" s="38">
        <v>1</v>
      </c>
      <c r="I210" s="33">
        <f t="shared" si="27"/>
        <v>161104</v>
      </c>
      <c r="J210" s="33" t="s">
        <v>486</v>
      </c>
      <c r="K210" s="33"/>
      <c r="L210" s="33">
        <v>1</v>
      </c>
      <c r="M210" s="33">
        <v>1.1000000000000001</v>
      </c>
      <c r="N210" s="33"/>
      <c r="O210" s="33">
        <v>3</v>
      </c>
      <c r="P210" s="33">
        <f>VLOOKUP($C210,CHOOSE({1,2},怪物并表!$E$7:$E$1000,怪物并表!$D$7:$D$1000),2,FALSE)</f>
        <v>47</v>
      </c>
      <c r="Q210" s="33" t="s">
        <v>399</v>
      </c>
      <c r="R210" s="33">
        <f>VLOOKUP(Q210,怪物信息配置表!$A$2:$B$118,2,FALSE)</f>
        <v>1014</v>
      </c>
      <c r="S210" s="33">
        <v>1</v>
      </c>
      <c r="T210" s="49">
        <f>VLOOKUP($C210,怪物并表!$E$7:$N$1000,2+($D210-1)*3,FALSE)*S210*AJ210</f>
        <v>314805.66235608776</v>
      </c>
      <c r="U210" s="49">
        <f>VLOOKUP($C210,怪物并表!$E$7:$N$1000,3+($D210-1)*3,FALSE)*S210*AK210</f>
        <v>8165.0444271501601</v>
      </c>
      <c r="V210" s="49">
        <f>VLOOKUP($C210,怪物并表!$E$7:$N$1000,4+($D210-1)*3,FALSE)*S210*AL210</f>
        <v>3363.5344814381278</v>
      </c>
      <c r="W210" s="33"/>
      <c r="X210" s="33"/>
      <c r="Y210" s="49">
        <f>VLOOKUP($C210,怪物并表!$E$7:$P$1000,12,FALSE)</f>
        <v>0</v>
      </c>
      <c r="Z210" s="49">
        <f>VLOOKUP($C210,怪物并表!$E$7:$P$1000,11,FALSE)*S210</f>
        <v>3078.3160000000003</v>
      </c>
      <c r="AA210" s="33"/>
      <c r="AB210" s="33"/>
      <c r="AC210" s="33"/>
      <c r="AD210" s="33">
        <f t="shared" si="28"/>
        <v>1.5</v>
      </c>
      <c r="AE210" s="2">
        <f t="shared" si="30"/>
        <v>139.0625</v>
      </c>
      <c r="AF210" s="2" t="str">
        <f>IF(ISBLANK(AM210),IF(O210=6,"",IF(O210=1,VLOOKUP(R210,怪物信息配置表!B:H,5,FALSE),IF(O210=2,VLOOKUP(R210,怪物信息配置表!B:H,6,FALSE),IF(OR(O210=3,O210=5),VLOOKUP(R210,怪物信息配置表!B:H,7,FALSE),"")))),AM210)</f>
        <v>1014_xiangpu_BOSS</v>
      </c>
      <c r="AG210" s="2"/>
      <c r="AH210" s="15">
        <f>SUMPRODUCT(T210:V210,$AN$3:$AP$3)+ROUNDDOWN(VLOOKUP(P210,CHOOSE({1,2},'[1]消耗&amp;价值&amp;分析'!$C$7:$C$106,'[1]消耗&amp;价值&amp;分析'!$AS$7:$AS$106),2,FALSE)*0.6,0)</f>
        <v>26514.805402831797</v>
      </c>
      <c r="AJ210" s="80">
        <v>1</v>
      </c>
      <c r="AK210" s="80">
        <v>1</v>
      </c>
      <c r="AL210" s="80">
        <v>1</v>
      </c>
    </row>
    <row r="211" spans="1:38">
      <c r="A211" s="33" t="str">
        <f>怪物并表!$R$7</f>
        <v>普通副本</v>
      </c>
      <c r="B211" s="38">
        <v>1</v>
      </c>
      <c r="C211" s="33">
        <f t="shared" si="29"/>
        <v>6002</v>
      </c>
      <c r="D211" s="33">
        <v>1</v>
      </c>
      <c r="E211" s="33">
        <f>VLOOKUP(A211,怪物并表!$R$7:$S$14,2,FALSE)</f>
        <v>1</v>
      </c>
      <c r="F211" s="38">
        <v>6</v>
      </c>
      <c r="G211" s="38">
        <v>2</v>
      </c>
      <c r="H211" s="38">
        <v>1</v>
      </c>
      <c r="I211" s="33">
        <f t="shared" si="27"/>
        <v>162101</v>
      </c>
      <c r="J211" s="33" t="s">
        <v>27</v>
      </c>
      <c r="K211" s="33"/>
      <c r="L211" s="33">
        <v>0</v>
      </c>
      <c r="M211" s="33">
        <v>1</v>
      </c>
      <c r="N211" s="33"/>
      <c r="O211" s="33">
        <v>1</v>
      </c>
      <c r="P211" s="33">
        <f>VLOOKUP($C211,CHOOSE({1,2},怪物并表!$E$7:$E$1000,怪物并表!$D$7:$D$1000),2,FALSE)</f>
        <v>48</v>
      </c>
      <c r="Q211" s="33" t="s">
        <v>25</v>
      </c>
      <c r="R211" s="33">
        <f>VLOOKUP(Q211,怪物信息配置表!$A$2:$B$118,2,FALSE)</f>
        <v>1012</v>
      </c>
      <c r="S211" s="33">
        <v>1</v>
      </c>
      <c r="T211" s="49">
        <f>VLOOKUP($C211,怪物并表!$E$7:$N$1000,2+($D211-1)*3,FALSE)*S211*AJ211</f>
        <v>136195.11883701631</v>
      </c>
      <c r="U211" s="49">
        <f>VLOOKUP($C211,怪物并表!$E$7:$N$1000,3+($D211-1)*3,FALSE)*S211*AK211</f>
        <v>7900.1155315134383</v>
      </c>
      <c r="V211" s="49">
        <f>VLOOKUP($C211,怪物并表!$E$7:$N$1000,4+($D211-1)*3,FALSE)*S211*AL211</f>
        <v>2874.6119457391319</v>
      </c>
      <c r="W211" s="33"/>
      <c r="X211" s="33"/>
      <c r="Y211" s="49">
        <f>VLOOKUP($C211,怪物并表!$E$7:$P$1000,12,FALSE)</f>
        <v>0</v>
      </c>
      <c r="Z211" s="49">
        <f>VLOOKUP($C211,怪物并表!$E$7:$P$1000,11,FALSE)*S211</f>
        <v>3136.5439999999999</v>
      </c>
      <c r="AA211" s="33"/>
      <c r="AB211" s="33"/>
      <c r="AC211" s="33"/>
      <c r="AD211" s="33">
        <f t="shared" si="28"/>
        <v>1</v>
      </c>
      <c r="AE211" s="2">
        <f t="shared" si="30"/>
        <v>430</v>
      </c>
      <c r="AF211" s="2" t="str">
        <f>IF(ISBLANK(AM211),IF(O211=6,"",IF(O211=1,VLOOKUP(R211,怪物信息配置表!B:H,5,FALSE),IF(O211=2,VLOOKUP(R211,怪物信息配置表!B:H,6,FALSE),IF(OR(O211=3,O211=5),VLOOKUP(R211,怪物信息配置表!B:H,7,FALSE),"")))),AM211)</f>
        <v>ai_monster_03</v>
      </c>
      <c r="AG211" s="2"/>
      <c r="AH211" s="15">
        <f>SUMPRODUCT(T211:V211,$AN$3:$AP$3)+ROUNDDOWN(VLOOKUP(P211,CHOOSE({1,2},'[1]消耗&amp;价值&amp;分析'!$C$7:$C$106,'[1]消耗&amp;价值&amp;分析'!$AS$7:$AS$106),2,FALSE)*0.6,0)</f>
        <v>18772.532230733224</v>
      </c>
      <c r="AJ211" s="80">
        <v>1</v>
      </c>
      <c r="AK211" s="80">
        <v>1</v>
      </c>
      <c r="AL211" s="80">
        <v>1</v>
      </c>
    </row>
    <row r="212" spans="1:38">
      <c r="A212" s="33" t="str">
        <f>怪物并表!$R$7</f>
        <v>普通副本</v>
      </c>
      <c r="B212" s="38">
        <v>2</v>
      </c>
      <c r="C212" s="33">
        <f t="shared" si="29"/>
        <v>6002</v>
      </c>
      <c r="D212" s="33">
        <v>2</v>
      </c>
      <c r="E212" s="33">
        <f>VLOOKUP(A212,怪物并表!$R$7:$S$14,2,FALSE)</f>
        <v>1</v>
      </c>
      <c r="F212" s="38">
        <v>6</v>
      </c>
      <c r="G212" s="38">
        <v>2</v>
      </c>
      <c r="H212" s="38">
        <v>1</v>
      </c>
      <c r="I212" s="33">
        <f t="shared" si="27"/>
        <v>162102</v>
      </c>
      <c r="J212" s="33" t="s">
        <v>36</v>
      </c>
      <c r="K212" s="33"/>
      <c r="L212" s="33">
        <v>0</v>
      </c>
      <c r="M212" s="33">
        <v>1</v>
      </c>
      <c r="N212" s="33" t="s">
        <v>218</v>
      </c>
      <c r="O212" s="33">
        <v>1</v>
      </c>
      <c r="P212" s="33">
        <f>VLOOKUP($C212,CHOOSE({1,2},怪物并表!$E$7:$E$1000,怪物并表!$D$7:$D$1000),2,FALSE)</f>
        <v>48</v>
      </c>
      <c r="Q212" s="33" t="s">
        <v>9</v>
      </c>
      <c r="R212" s="33">
        <f>VLOOKUP(Q212,怪物信息配置表!$A$2:$B$118,2,FALSE)</f>
        <v>1003</v>
      </c>
      <c r="S212" s="33">
        <v>1</v>
      </c>
      <c r="T212" s="49">
        <f>VLOOKUP($C212,怪物并表!$E$7:$N$1000,2+($D212-1)*3,FALSE)*S212*AJ212</f>
        <v>108956.09506961306</v>
      </c>
      <c r="U212" s="49">
        <f>VLOOKUP($C212,怪物并表!$E$7:$N$1000,3+($D212-1)*3,FALSE)*S212*AK212</f>
        <v>7397.565172936007</v>
      </c>
      <c r="V212" s="49">
        <f>VLOOKUP($C212,怪物并表!$E$7:$N$1000,4+($D212-1)*3,FALSE)*S212*AL212</f>
        <v>2155.9589593043493</v>
      </c>
      <c r="W212" s="33"/>
      <c r="X212" s="33"/>
      <c r="Y212" s="49">
        <f>VLOOKUP($C212,怪物并表!$E$7:$P$1000,12,FALSE)</f>
        <v>0</v>
      </c>
      <c r="Z212" s="49">
        <f>VLOOKUP($C212,怪物并表!$E$7:$P$1000,11,FALSE)*S212</f>
        <v>3136.5439999999999</v>
      </c>
      <c r="AA212" s="33"/>
      <c r="AB212" s="33"/>
      <c r="AC212" s="33"/>
      <c r="AD212" s="33">
        <f t="shared" si="28"/>
        <v>0.8</v>
      </c>
      <c r="AE212" s="2">
        <f t="shared" si="30"/>
        <v>544</v>
      </c>
      <c r="AF212" s="2" t="str">
        <f>IF(ISBLANK(AM212),IF(O212=6,"",IF(O212=1,VLOOKUP(R212,怪物信息配置表!B:H,5,FALSE),IF(O212=2,VLOOKUP(R212,怪物信息配置表!B:H,6,FALSE),IF(OR(O212=3,O212=5),VLOOKUP(R212,怪物信息配置表!B:H,7,FALSE),"")))),AM212)</f>
        <v>ai_monster_02</v>
      </c>
      <c r="AG212" s="2"/>
      <c r="AH212" s="15">
        <f>SUMPRODUCT(T212:V212,$AN$3:$AP$3)+ROUNDDOWN(VLOOKUP(P212,CHOOSE({1,2},'[1]消耗&amp;价值&amp;分析'!$C$7:$C$106,'[1]消耗&amp;价值&amp;分析'!$AS$7:$AS$106),2,FALSE)*0.6,0)</f>
        <v>16461.76793502488</v>
      </c>
      <c r="AJ212" s="80">
        <v>1</v>
      </c>
      <c r="AK212" s="80">
        <v>1</v>
      </c>
      <c r="AL212" s="80">
        <v>1</v>
      </c>
    </row>
    <row r="213" spans="1:38">
      <c r="A213" s="33" t="str">
        <f>怪物并表!$R$7</f>
        <v>普通副本</v>
      </c>
      <c r="B213" s="38">
        <v>3</v>
      </c>
      <c r="C213" s="33">
        <f t="shared" si="29"/>
        <v>6002</v>
      </c>
      <c r="D213" s="33">
        <v>1</v>
      </c>
      <c r="E213" s="33">
        <f>VLOOKUP(A213,怪物并表!$R$7:$S$14,2,FALSE)</f>
        <v>1</v>
      </c>
      <c r="F213" s="38">
        <v>6</v>
      </c>
      <c r="G213" s="38">
        <v>2</v>
      </c>
      <c r="H213" s="38">
        <v>1</v>
      </c>
      <c r="I213" s="33">
        <f t="shared" si="27"/>
        <v>162103</v>
      </c>
      <c r="J213" s="33" t="s">
        <v>487</v>
      </c>
      <c r="K213" s="33"/>
      <c r="L213" s="33">
        <v>0</v>
      </c>
      <c r="M213" s="33">
        <v>1</v>
      </c>
      <c r="N213" s="33"/>
      <c r="O213" s="33">
        <v>1</v>
      </c>
      <c r="P213" s="33">
        <f>VLOOKUP($C213,CHOOSE({1,2},怪物并表!$E$7:$E$1000,怪物并表!$D$7:$D$1000),2,FALSE)</f>
        <v>48</v>
      </c>
      <c r="Q213" s="33" t="s">
        <v>11</v>
      </c>
      <c r="R213" s="33">
        <f>VLOOKUP(Q213,怪物信息配置表!$A$2:$B$118,2,FALSE)</f>
        <v>1011</v>
      </c>
      <c r="S213" s="33">
        <v>1</v>
      </c>
      <c r="T213" s="49">
        <f>VLOOKUP($C213,怪物并表!$E$7:$N$1000,2+($D213-1)*3,FALSE)*S213*AJ213</f>
        <v>136195.11883701631</v>
      </c>
      <c r="U213" s="49">
        <f>VLOOKUP($C213,怪物并表!$E$7:$N$1000,3+($D213-1)*3,FALSE)*S213*AK213</f>
        <v>7900.1155315134383</v>
      </c>
      <c r="V213" s="49">
        <f>VLOOKUP($C213,怪物并表!$E$7:$N$1000,4+($D213-1)*3,FALSE)*S213*AL213</f>
        <v>2874.6119457391319</v>
      </c>
      <c r="W213" s="33"/>
      <c r="X213" s="33"/>
      <c r="Y213" s="49">
        <f>VLOOKUP($C213,怪物并表!$E$7:$P$1000,12,FALSE)</f>
        <v>0</v>
      </c>
      <c r="Z213" s="49">
        <f>VLOOKUP($C213,怪物并表!$E$7:$P$1000,11,FALSE)*S213</f>
        <v>3136.5439999999999</v>
      </c>
      <c r="AA213" s="33"/>
      <c r="AB213" s="33"/>
      <c r="AC213" s="33"/>
      <c r="AD213" s="33">
        <f t="shared" si="28"/>
        <v>1</v>
      </c>
      <c r="AE213" s="2">
        <f t="shared" si="30"/>
        <v>430</v>
      </c>
      <c r="AF213" s="2" t="str">
        <f>IF(ISBLANK(AM213),IF(O213=6,"",IF(O213=1,VLOOKUP(R213,怪物信息配置表!B:H,5,FALSE),IF(O213=2,VLOOKUP(R213,怪物信息配置表!B:H,6,FALSE),IF(OR(O213=3,O213=5),VLOOKUP(R213,怪物信息配置表!B:H,7,FALSE),"")))),AM213)</f>
        <v>ai_monster</v>
      </c>
      <c r="AG213" s="2"/>
      <c r="AH213" s="15">
        <f>SUMPRODUCT(T213:V213,$AN$3:$AP$3)+ROUNDDOWN(VLOOKUP(P213,CHOOSE({1,2},'[1]消耗&amp;价值&amp;分析'!$C$7:$C$106,'[1]消耗&amp;价值&amp;分析'!$AS$7:$AS$106),2,FALSE)*0.6,0)</f>
        <v>18772.532230733224</v>
      </c>
      <c r="AJ213" s="80">
        <v>1</v>
      </c>
      <c r="AK213" s="80">
        <v>1</v>
      </c>
      <c r="AL213" s="80">
        <v>1</v>
      </c>
    </row>
    <row r="214" spans="1:38">
      <c r="A214" s="33" t="str">
        <f>怪物并表!$R$7</f>
        <v>普通副本</v>
      </c>
      <c r="B214" s="38">
        <v>4</v>
      </c>
      <c r="C214" s="33">
        <f t="shared" si="29"/>
        <v>6002</v>
      </c>
      <c r="D214" s="33">
        <v>3</v>
      </c>
      <c r="E214" s="33">
        <f>VLOOKUP(A214,怪物并表!$R$7:$S$14,2,FALSE)</f>
        <v>1</v>
      </c>
      <c r="F214" s="38">
        <v>6</v>
      </c>
      <c r="G214" s="38">
        <v>2</v>
      </c>
      <c r="H214" s="38">
        <v>1</v>
      </c>
      <c r="I214" s="33">
        <f t="shared" si="27"/>
        <v>162104</v>
      </c>
      <c r="J214" s="33" t="s">
        <v>234</v>
      </c>
      <c r="K214" s="33"/>
      <c r="L214" s="33">
        <v>1</v>
      </c>
      <c r="M214" s="33">
        <v>1.2</v>
      </c>
      <c r="N214" s="33"/>
      <c r="O214" s="33">
        <v>3</v>
      </c>
      <c r="P214" s="33">
        <f>VLOOKUP($C214,CHOOSE({1,2},怪物并表!$E$7:$E$1000,怪物并表!$D$7:$D$1000),2,FALSE)</f>
        <v>48</v>
      </c>
      <c r="Q214" s="33" t="s">
        <v>22</v>
      </c>
      <c r="R214" s="33">
        <f>VLOOKUP(Q214,怪物信息配置表!$A$2:$B$118,2,FALSE)</f>
        <v>1013</v>
      </c>
      <c r="S214" s="33">
        <v>1</v>
      </c>
      <c r="T214" s="49">
        <f>VLOOKUP($C214,怪物并表!$E$7:$N$1000,2+($D214-1)*3,FALSE)*S214*AJ214</f>
        <v>340487.79709254077</v>
      </c>
      <c r="U214" s="49">
        <f>VLOOKUP($C214,怪物并表!$E$7:$N$1000,3+($D214-1)*3,FALSE)*S214*AK214</f>
        <v>8905.2162486682992</v>
      </c>
      <c r="V214" s="49">
        <f>VLOOKUP($C214,怪物并表!$E$7:$N$1000,4+($D214-1)*3,FALSE)*S214*AL214</f>
        <v>3593.2649321739145</v>
      </c>
      <c r="W214" s="33"/>
      <c r="X214" s="33"/>
      <c r="Y214" s="49">
        <f>VLOOKUP($C214,怪物并表!$E$7:$P$1000,12,FALSE)</f>
        <v>0</v>
      </c>
      <c r="Z214" s="49">
        <f>VLOOKUP($C214,怪物并表!$E$7:$P$1000,11,FALSE)*S214</f>
        <v>3136.5439999999999</v>
      </c>
      <c r="AA214" s="33"/>
      <c r="AB214" s="33"/>
      <c r="AC214" s="33"/>
      <c r="AD214" s="33">
        <f t="shared" si="28"/>
        <v>1.5</v>
      </c>
      <c r="AE214" s="2">
        <f t="shared" si="30"/>
        <v>145</v>
      </c>
      <c r="AF214" s="2" t="str">
        <f>IF(ISBLANK(AM214),IF(O214=6,"",IF(O214=1,VLOOKUP(R214,怪物信息配置表!B:H,5,FALSE),IF(O214=2,VLOOKUP(R214,怪物信息配置表!B:H,6,FALSE),IF(OR(O214=3,O214=5),VLOOKUP(R214,怪物信息配置表!B:H,7,FALSE),"")))),AM214)</f>
        <v>1013_nvrenzhe_BOSS</v>
      </c>
      <c r="AG214" s="2"/>
      <c r="AH214" s="15">
        <f>SUMPRODUCT(T214:V214,$AN$3:$AP$3)+ROUNDDOWN(VLOOKUP(P214,CHOOSE({1,2},'[1]消耗&amp;价值&amp;分析'!$C$7:$C$106,'[1]消耗&amp;价值&amp;分析'!$AS$7:$AS$106),2,FALSE)*0.6,0)</f>
        <v>28667.993064543844</v>
      </c>
      <c r="AJ214" s="80">
        <v>1</v>
      </c>
      <c r="AK214" s="80">
        <v>1</v>
      </c>
      <c r="AL214" s="80">
        <v>1</v>
      </c>
    </row>
    <row r="215" spans="1:38">
      <c r="A215" s="33" t="str">
        <f>怪物并表!$R$7</f>
        <v>普通副本</v>
      </c>
      <c r="B215" s="38">
        <v>1</v>
      </c>
      <c r="C215" s="33">
        <f t="shared" si="29"/>
        <v>6003</v>
      </c>
      <c r="D215" s="33">
        <v>1</v>
      </c>
      <c r="E215" s="33">
        <f>VLOOKUP(A215,怪物并表!$R$7:$S$14,2,FALSE)</f>
        <v>1</v>
      </c>
      <c r="F215" s="38">
        <v>6</v>
      </c>
      <c r="G215" s="38">
        <v>3</v>
      </c>
      <c r="H215" s="38">
        <v>1</v>
      </c>
      <c r="I215" s="33">
        <f t="shared" si="27"/>
        <v>163101</v>
      </c>
      <c r="J215" s="33" t="s">
        <v>22</v>
      </c>
      <c r="K215" s="33"/>
      <c r="L215" s="33">
        <v>0</v>
      </c>
      <c r="M215" s="33">
        <v>1</v>
      </c>
      <c r="N215" s="33" t="s">
        <v>229</v>
      </c>
      <c r="O215" s="33">
        <v>1</v>
      </c>
      <c r="P215" s="33">
        <f>VLOOKUP($C215,CHOOSE({1,2},怪物并表!$E$7:$E$1000,怪物并表!$D$7:$D$1000),2,FALSE)</f>
        <v>49</v>
      </c>
      <c r="Q215" s="33" t="s">
        <v>22</v>
      </c>
      <c r="R215" s="33">
        <f>VLOOKUP(Q215,怪物信息配置表!$A$2:$B$118,2,FALSE)</f>
        <v>1013</v>
      </c>
      <c r="S215" s="33">
        <v>1</v>
      </c>
      <c r="T215" s="49">
        <f>VLOOKUP($C215,怪物并表!$E$7:$N$1000,2+($D215-1)*3,FALSE)*S215*AJ215</f>
        <v>147040.56103089673</v>
      </c>
      <c r="U215" s="49">
        <f>VLOOKUP($C215,怪物并表!$E$7:$N$1000,3+($D215-1)*3,FALSE)*S215*AK215</f>
        <v>8591.3842425963048</v>
      </c>
      <c r="V215" s="49">
        <f>VLOOKUP($C215,怪物并表!$E$7:$N$1000,4+($D215-1)*3,FALSE)*S215*AL215</f>
        <v>3065.9792192909717</v>
      </c>
      <c r="W215" s="33"/>
      <c r="X215" s="33"/>
      <c r="Y215" s="49">
        <f>VLOOKUP($C215,怪物并表!$E$7:$P$1000,12,FALSE)</f>
        <v>0</v>
      </c>
      <c r="Z215" s="49">
        <f>VLOOKUP($C215,怪物并表!$E$7:$P$1000,11,FALSE)*S215</f>
        <v>3194.7719999999999</v>
      </c>
      <c r="AA215" s="33"/>
      <c r="AB215" s="33"/>
      <c r="AC215" s="33"/>
      <c r="AD215" s="33">
        <f t="shared" si="28"/>
        <v>1</v>
      </c>
      <c r="AE215" s="2">
        <f t="shared" si="30"/>
        <v>418.125</v>
      </c>
      <c r="AF215" s="2" t="str">
        <f>IF(ISBLANK(AM215),IF(O215=6,"",IF(O215=1,VLOOKUP(R215,怪物信息配置表!B:H,5,FALSE),IF(O215=2,VLOOKUP(R215,怪物信息配置表!B:H,6,FALSE),IF(OR(O215=3,O215=5),VLOOKUP(R215,怪物信息配置表!B:H,7,FALSE),"")))),AM215)</f>
        <v>ai_monster_02</v>
      </c>
      <c r="AG215" s="2"/>
      <c r="AH215" s="15">
        <f>SUMPRODUCT(T215:V215,$AN$3:$AP$3)+ROUNDDOWN(VLOOKUP(P215,CHOOSE({1,2},'[1]消耗&amp;价值&amp;分析'!$C$7:$C$106,'[1]消耗&amp;价值&amp;分析'!$AS$7:$AS$106),2,FALSE)*0.6,0)</f>
        <v>20269.985903123146</v>
      </c>
      <c r="AJ215" s="80">
        <v>1</v>
      </c>
      <c r="AK215" s="80">
        <v>1</v>
      </c>
      <c r="AL215" s="80">
        <v>1</v>
      </c>
    </row>
    <row r="216" spans="1:38">
      <c r="A216" s="33" t="str">
        <f>怪物并表!$R$7</f>
        <v>普通副本</v>
      </c>
      <c r="B216" s="38">
        <v>2</v>
      </c>
      <c r="C216" s="33">
        <f t="shared" si="29"/>
        <v>6003</v>
      </c>
      <c r="D216" s="33">
        <v>1</v>
      </c>
      <c r="E216" s="33">
        <f>VLOOKUP(A216,怪物并表!$R$7:$S$14,2,FALSE)</f>
        <v>1</v>
      </c>
      <c r="F216" s="38">
        <v>6</v>
      </c>
      <c r="G216" s="38">
        <v>3</v>
      </c>
      <c r="H216" s="38">
        <v>1</v>
      </c>
      <c r="I216" s="33">
        <f t="shared" si="27"/>
        <v>163102</v>
      </c>
      <c r="J216" s="33" t="s">
        <v>488</v>
      </c>
      <c r="K216" s="33"/>
      <c r="L216" s="33">
        <v>0</v>
      </c>
      <c r="M216" s="33">
        <v>1</v>
      </c>
      <c r="N216" s="33"/>
      <c r="O216" s="33">
        <v>1</v>
      </c>
      <c r="P216" s="33">
        <f>VLOOKUP($C216,CHOOSE({1,2},怪物并表!$E$7:$E$1000,怪物并表!$D$7:$D$1000),2,FALSE)</f>
        <v>49</v>
      </c>
      <c r="Q216" s="33" t="s">
        <v>399</v>
      </c>
      <c r="R216" s="33">
        <f>VLOOKUP(Q216,怪物信息配置表!$A$2:$B$118,2,FALSE)</f>
        <v>1014</v>
      </c>
      <c r="S216" s="33">
        <v>1</v>
      </c>
      <c r="T216" s="49">
        <f>VLOOKUP($C216,怪物并表!$E$7:$N$1000,2+($D216-1)*3,FALSE)*S216*AJ216</f>
        <v>147040.56103089673</v>
      </c>
      <c r="U216" s="49">
        <f>VLOOKUP($C216,怪物并表!$E$7:$N$1000,3+($D216-1)*3,FALSE)*S216*AK216</f>
        <v>8591.3842425963048</v>
      </c>
      <c r="V216" s="49">
        <f>VLOOKUP($C216,怪物并表!$E$7:$N$1000,4+($D216-1)*3,FALSE)*S216*AL216</f>
        <v>3065.9792192909717</v>
      </c>
      <c r="W216" s="33"/>
      <c r="X216" s="33"/>
      <c r="Y216" s="49">
        <f>VLOOKUP($C216,怪物并表!$E$7:$P$1000,12,FALSE)</f>
        <v>0</v>
      </c>
      <c r="Z216" s="49">
        <f>VLOOKUP($C216,怪物并表!$E$7:$P$1000,11,FALSE)*S216</f>
        <v>3194.7719999999999</v>
      </c>
      <c r="AA216" s="33"/>
      <c r="AB216" s="33"/>
      <c r="AC216" s="33"/>
      <c r="AD216" s="33">
        <f t="shared" si="28"/>
        <v>1</v>
      </c>
      <c r="AE216" s="2">
        <f t="shared" si="30"/>
        <v>340.625</v>
      </c>
      <c r="AF216" s="2" t="str">
        <f>IF(ISBLANK(AM216),IF(O216=6,"",IF(O216=1,VLOOKUP(R216,怪物信息配置表!B:H,5,FALSE),IF(O216=2,VLOOKUP(R216,怪物信息配置表!B:H,6,FALSE),IF(OR(O216=3,O216=5),VLOOKUP(R216,怪物信息配置表!B:H,7,FALSE),"")))),AM216)</f>
        <v>ai_monster_03</v>
      </c>
      <c r="AG216" s="2"/>
      <c r="AH216" s="15">
        <f>SUMPRODUCT(T216:V216,$AN$3:$AP$3)+ROUNDDOWN(VLOOKUP(P216,CHOOSE({1,2},'[1]消耗&amp;价值&amp;分析'!$C$7:$C$106,'[1]消耗&amp;价值&amp;分析'!$AS$7:$AS$106),2,FALSE)*0.6,0)</f>
        <v>20269.985903123146</v>
      </c>
      <c r="AJ216" s="80">
        <v>1</v>
      </c>
      <c r="AK216" s="80">
        <v>1</v>
      </c>
      <c r="AL216" s="80">
        <v>1</v>
      </c>
    </row>
    <row r="217" spans="1:38">
      <c r="A217" s="33" t="str">
        <f>怪物并表!$R$7</f>
        <v>普通副本</v>
      </c>
      <c r="B217" s="38">
        <v>3</v>
      </c>
      <c r="C217" s="33">
        <f t="shared" si="29"/>
        <v>6003</v>
      </c>
      <c r="D217" s="33">
        <v>1</v>
      </c>
      <c r="E217" s="33">
        <f>VLOOKUP(A217,怪物并表!$R$7:$S$14,2,FALSE)</f>
        <v>1</v>
      </c>
      <c r="F217" s="38">
        <v>6</v>
      </c>
      <c r="G217" s="38">
        <v>3</v>
      </c>
      <c r="H217" s="38">
        <v>1</v>
      </c>
      <c r="I217" s="33">
        <f t="shared" si="27"/>
        <v>163103</v>
      </c>
      <c r="J217" s="33" t="s">
        <v>10</v>
      </c>
      <c r="K217" s="33"/>
      <c r="L217" s="33">
        <v>0</v>
      </c>
      <c r="M217" s="33">
        <v>1</v>
      </c>
      <c r="N217" s="33"/>
      <c r="O217" s="33">
        <v>1</v>
      </c>
      <c r="P217" s="33">
        <f>VLOOKUP($C217,CHOOSE({1,2},怪物并表!$E$7:$E$1000,怪物并表!$D$7:$D$1000),2,FALSE)</f>
        <v>49</v>
      </c>
      <c r="Q217" s="33" t="s">
        <v>10</v>
      </c>
      <c r="R217" s="33">
        <f>VLOOKUP(Q217,怪物信息配置表!$A$2:$B$118,2,FALSE)</f>
        <v>1001</v>
      </c>
      <c r="S217" s="33">
        <v>1</v>
      </c>
      <c r="T217" s="49">
        <f>VLOOKUP($C217,怪物并表!$E$7:$N$1000,2+($D217-1)*3,FALSE)*S217*AJ217</f>
        <v>147040.56103089673</v>
      </c>
      <c r="U217" s="49">
        <f>VLOOKUP($C217,怪物并表!$E$7:$N$1000,3+($D217-1)*3,FALSE)*S217*AK217</f>
        <v>8591.3842425963048</v>
      </c>
      <c r="V217" s="49">
        <f>VLOOKUP($C217,怪物并表!$E$7:$N$1000,4+($D217-1)*3,FALSE)*S217*AL217</f>
        <v>3065.9792192909717</v>
      </c>
      <c r="W217" s="33"/>
      <c r="X217" s="33"/>
      <c r="Y217" s="49">
        <f>VLOOKUP($C217,怪物并表!$E$7:$P$1000,12,FALSE)</f>
        <v>0</v>
      </c>
      <c r="Z217" s="49">
        <f>VLOOKUP($C217,怪物并表!$E$7:$P$1000,11,FALSE)*S217</f>
        <v>3194.7719999999999</v>
      </c>
      <c r="AA217" s="33"/>
      <c r="AB217" s="33"/>
      <c r="AC217" s="33"/>
      <c r="AD217" s="33">
        <f t="shared" si="28"/>
        <v>1</v>
      </c>
      <c r="AE217" s="2">
        <f t="shared" si="30"/>
        <v>418.125</v>
      </c>
      <c r="AF217" s="2" t="str">
        <f>IF(ISBLANK(AM217),IF(O217=6,"",IF(O217=1,VLOOKUP(R217,怪物信息配置表!B:H,5,FALSE),IF(O217=2,VLOOKUP(R217,怪物信息配置表!B:H,6,FALSE),IF(OR(O217=3,O217=5),VLOOKUP(R217,怪物信息配置表!B:H,7,FALSE),"")))),AM217)</f>
        <v>ai_monster</v>
      </c>
      <c r="AG217" s="2"/>
      <c r="AH217" s="15">
        <f>SUMPRODUCT(T217:V217,$AN$3:$AP$3)+ROUNDDOWN(VLOOKUP(P217,CHOOSE({1,2},'[1]消耗&amp;价值&amp;分析'!$C$7:$C$106,'[1]消耗&amp;价值&amp;分析'!$AS$7:$AS$106),2,FALSE)*0.6,0)</f>
        <v>20269.985903123146</v>
      </c>
      <c r="AJ217" s="80">
        <v>1</v>
      </c>
      <c r="AK217" s="80">
        <v>1</v>
      </c>
      <c r="AL217" s="80">
        <v>1</v>
      </c>
    </row>
    <row r="218" spans="1:38">
      <c r="A218" s="33" t="str">
        <f>怪物并表!$R$7</f>
        <v>普通副本</v>
      </c>
      <c r="B218" s="38">
        <v>4</v>
      </c>
      <c r="C218" s="33">
        <f t="shared" si="29"/>
        <v>6003</v>
      </c>
      <c r="D218" s="33">
        <v>3</v>
      </c>
      <c r="E218" s="33">
        <f>VLOOKUP(A218,怪物并表!$R$7:$S$14,2,FALSE)</f>
        <v>1</v>
      </c>
      <c r="F218" s="38">
        <v>6</v>
      </c>
      <c r="G218" s="38">
        <v>3</v>
      </c>
      <c r="H218" s="38">
        <v>1</v>
      </c>
      <c r="I218" s="33">
        <f t="shared" si="27"/>
        <v>163104</v>
      </c>
      <c r="J218" s="33" t="s">
        <v>235</v>
      </c>
      <c r="K218" s="33"/>
      <c r="L218" s="33">
        <v>1</v>
      </c>
      <c r="M218" s="33">
        <v>1.3</v>
      </c>
      <c r="N218" s="33" t="s">
        <v>236</v>
      </c>
      <c r="O218" s="33">
        <v>3</v>
      </c>
      <c r="P218" s="33">
        <f>VLOOKUP($C218,CHOOSE({1,2},怪物并表!$E$7:$E$1000,怪物并表!$D$7:$D$1000),2,FALSE)</f>
        <v>49</v>
      </c>
      <c r="Q218" s="33" t="s">
        <v>25</v>
      </c>
      <c r="R218" s="33">
        <f>VLOOKUP(Q218,怪物信息配置表!$A$2:$B$118,2,FALSE)</f>
        <v>1012</v>
      </c>
      <c r="S218" s="33">
        <v>1</v>
      </c>
      <c r="T218" s="49">
        <f>VLOOKUP($C218,怪物并表!$E$7:$N$1000,2+($D218-1)*3,FALSE)*S218*AJ218</f>
        <v>367601.40257724182</v>
      </c>
      <c r="U218" s="49">
        <f>VLOOKUP($C218,怪物并表!$E$7:$N$1000,3+($D218-1)*3,FALSE)*S218*AK218</f>
        <v>9696.4652472573725</v>
      </c>
      <c r="V218" s="49">
        <f>VLOOKUP($C218,怪物并表!$E$7:$N$1000,4+($D218-1)*3,FALSE)*S218*AL218</f>
        <v>3832.4740241137142</v>
      </c>
      <c r="W218" s="33"/>
      <c r="X218" s="33"/>
      <c r="Y218" s="49">
        <f>VLOOKUP($C218,怪物并表!$E$7:$P$1000,12,FALSE)</f>
        <v>0</v>
      </c>
      <c r="Z218" s="49">
        <f>VLOOKUP($C218,怪物并表!$E$7:$P$1000,11,FALSE)*S218</f>
        <v>3194.7719999999999</v>
      </c>
      <c r="AA218" s="33"/>
      <c r="AB218" s="33"/>
      <c r="AC218" s="33"/>
      <c r="AD218" s="33">
        <f t="shared" si="28"/>
        <v>1.5</v>
      </c>
      <c r="AE218" s="2">
        <f t="shared" si="30"/>
        <v>127.1875</v>
      </c>
      <c r="AF218" s="2" t="str">
        <f>IF(ISBLANK(AM218),IF(O218=6,"",IF(O218=1,VLOOKUP(R218,怪物信息配置表!B:H,5,FALSE),IF(O218=2,VLOOKUP(R218,怪物信息配置表!B:H,6,FALSE),IF(OR(O218=3,O218=5),VLOOKUP(R218,怪物信息配置表!B:H,7,FALSE),"")))),AM218)</f>
        <v>1012_jianke_BOSS</v>
      </c>
      <c r="AG218" s="2"/>
      <c r="AH218" s="15">
        <f>SUMPRODUCT(T218:V218,$AN$3:$AP$3)+ROUNDDOWN(VLOOKUP(P218,CHOOSE({1,2},'[1]消耗&amp;价值&amp;分析'!$C$7:$C$106,'[1]消耗&amp;价值&amp;分析'!$AS$7:$AS$106),2,FALSE)*0.6,0)</f>
        <v>30963.995374460759</v>
      </c>
      <c r="AJ218" s="80">
        <v>1</v>
      </c>
      <c r="AK218" s="80">
        <v>1</v>
      </c>
      <c r="AL218" s="80">
        <v>1</v>
      </c>
    </row>
    <row r="219" spans="1:38">
      <c r="A219" s="33" t="str">
        <f>怪物并表!$R$7</f>
        <v>普通副本</v>
      </c>
      <c r="B219" s="38">
        <v>1</v>
      </c>
      <c r="C219" s="33">
        <f t="shared" si="29"/>
        <v>6004</v>
      </c>
      <c r="D219" s="33">
        <v>1</v>
      </c>
      <c r="E219" s="33">
        <f>VLOOKUP(A219,怪物并表!$R$7:$S$14,2,FALSE)</f>
        <v>1</v>
      </c>
      <c r="F219" s="38">
        <v>6</v>
      </c>
      <c r="G219" s="38">
        <v>4</v>
      </c>
      <c r="H219" s="38">
        <v>1</v>
      </c>
      <c r="I219" s="33">
        <f t="shared" si="27"/>
        <v>164101</v>
      </c>
      <c r="J219" s="33" t="s">
        <v>26</v>
      </c>
      <c r="K219" s="33"/>
      <c r="L219" s="33">
        <v>0</v>
      </c>
      <c r="M219" s="33">
        <v>1</v>
      </c>
      <c r="N219" s="33" t="s">
        <v>232</v>
      </c>
      <c r="O219" s="33">
        <v>1</v>
      </c>
      <c r="P219" s="33">
        <f>VLOOKUP($C219,CHOOSE({1,2},怪物并表!$E$7:$E$1000,怪物并表!$D$7:$D$1000),2,FALSE)</f>
        <v>50</v>
      </c>
      <c r="Q219" s="33" t="s">
        <v>26</v>
      </c>
      <c r="R219" s="33">
        <f>VLOOKUP(Q219,怪物信息配置表!$A$2:$B$118,2,FALSE)</f>
        <v>1105</v>
      </c>
      <c r="S219" s="33">
        <v>1</v>
      </c>
      <c r="T219" s="49">
        <f>VLOOKUP($C219,怪物并表!$E$7:$N$1000,2+($D219-1)*3,FALSE)*S219*AJ219</f>
        <v>159520.13717059622</v>
      </c>
      <c r="U219" s="49">
        <f>VLOOKUP($C219,怪物并表!$E$7:$N$1000,3+($D219-1)*3,FALSE)*S219*AK219</f>
        <v>9390.1238987099896</v>
      </c>
      <c r="V219" s="49">
        <f>VLOOKUP($C219,怪物并表!$E$7:$N$1000,4+($D219-1)*3,FALSE)*S219*AL219</f>
        <v>3286.5433645484964</v>
      </c>
      <c r="W219" s="33"/>
      <c r="X219" s="33"/>
      <c r="Y219" s="49">
        <f>VLOOKUP($C219,怪物并表!$E$7:$P$1000,12,FALSE)</f>
        <v>0</v>
      </c>
      <c r="Z219" s="49">
        <f>VLOOKUP($C219,怪物并表!$E$7:$P$1000,11,FALSE)*S219</f>
        <v>3253</v>
      </c>
      <c r="AA219" s="33"/>
      <c r="AB219" s="33"/>
      <c r="AC219" s="33"/>
      <c r="AD219" s="33">
        <f t="shared" si="28"/>
        <v>1</v>
      </c>
      <c r="AE219" s="2">
        <f t="shared" si="30"/>
        <v>331.25</v>
      </c>
      <c r="AF219" s="2" t="str">
        <f>IF(ISBLANK(AM219),IF(O219=6,"",IF(O219=1,VLOOKUP(R219,怪物信息配置表!B:H,5,FALSE),IF(O219=2,VLOOKUP(R219,怪物信息配置表!B:H,6,FALSE),IF(OR(O219=3,O219=5),VLOOKUP(R219,怪物信息配置表!B:H,7,FALSE),"")))),AM219)</f>
        <v>ai_monster_02</v>
      </c>
      <c r="AG219" s="2"/>
      <c r="AH219" s="15">
        <f>SUMPRODUCT(T219:V219,$AN$3:$AP$3)+ROUNDDOWN(VLOOKUP(P219,CHOOSE({1,2},'[1]消耗&amp;价值&amp;分析'!$C$7:$C$106,'[1]消耗&amp;价值&amp;分析'!$AS$7:$AS$106),2,FALSE)*0.6,0)</f>
        <v>21892.472750082336</v>
      </c>
      <c r="AJ219" s="80">
        <v>1</v>
      </c>
      <c r="AK219" s="80">
        <v>1</v>
      </c>
      <c r="AL219" s="80">
        <v>1</v>
      </c>
    </row>
    <row r="220" spans="1:38">
      <c r="A220" s="33" t="str">
        <f>怪物并表!$R$7</f>
        <v>普通副本</v>
      </c>
      <c r="B220" s="38">
        <v>2</v>
      </c>
      <c r="C220" s="33">
        <f t="shared" si="29"/>
        <v>6004</v>
      </c>
      <c r="D220" s="33">
        <v>2</v>
      </c>
      <c r="E220" s="33">
        <f>VLOOKUP(A220,怪物并表!$R$7:$S$14,2,FALSE)</f>
        <v>1</v>
      </c>
      <c r="F220" s="38">
        <v>6</v>
      </c>
      <c r="G220" s="38">
        <v>4</v>
      </c>
      <c r="H220" s="38">
        <v>1</v>
      </c>
      <c r="I220" s="33">
        <f t="shared" si="27"/>
        <v>164102</v>
      </c>
      <c r="J220" s="33" t="s">
        <v>489</v>
      </c>
      <c r="K220" s="33"/>
      <c r="L220" s="33">
        <v>0</v>
      </c>
      <c r="M220" s="33">
        <v>1</v>
      </c>
      <c r="N220" s="33"/>
      <c r="O220" s="33">
        <v>1</v>
      </c>
      <c r="P220" s="33">
        <f>VLOOKUP($C220,CHOOSE({1,2},怪物并表!$E$7:$E$1000,怪物并表!$D$7:$D$1000),2,FALSE)</f>
        <v>50</v>
      </c>
      <c r="Q220" s="33" t="s">
        <v>17</v>
      </c>
      <c r="R220" s="33">
        <f>VLOOKUP(Q220,怪物信息配置表!$A$2:$B$118,2,FALSE)</f>
        <v>1005</v>
      </c>
      <c r="S220" s="33">
        <v>1</v>
      </c>
      <c r="T220" s="49">
        <f>VLOOKUP($C220,怪物并表!$E$7:$N$1000,2+($D220-1)*3,FALSE)*S220*AJ220</f>
        <v>127616.10973647698</v>
      </c>
      <c r="U220" s="49">
        <f>VLOOKUP($C220,怪物并表!$E$7:$N$1000,3+($D220-1)*3,FALSE)*S220*AK220</f>
        <v>8779.7658452938413</v>
      </c>
      <c r="V220" s="49">
        <f>VLOOKUP($C220,怪物并表!$E$7:$N$1000,4+($D220-1)*3,FALSE)*S220*AL220</f>
        <v>2464.9075234113725</v>
      </c>
      <c r="W220" s="33"/>
      <c r="X220" s="33"/>
      <c r="Y220" s="49">
        <f>VLOOKUP($C220,怪物并表!$E$7:$P$1000,12,FALSE)</f>
        <v>0</v>
      </c>
      <c r="Z220" s="49">
        <f>VLOOKUP($C220,怪物并表!$E$7:$P$1000,11,FALSE)*S220</f>
        <v>3253</v>
      </c>
      <c r="AA220" s="33"/>
      <c r="AB220" s="33"/>
      <c r="AC220" s="33"/>
      <c r="AD220" s="33">
        <f t="shared" si="28"/>
        <v>0.8</v>
      </c>
      <c r="AE220" s="2">
        <f t="shared" si="30"/>
        <v>525</v>
      </c>
      <c r="AF220" s="2" t="str">
        <f>IF(ISBLANK(AM220),IF(O220=6,"",IF(O220=1,VLOOKUP(R220,怪物信息配置表!B:H,5,FALSE),IF(O220=2,VLOOKUP(R220,怪物信息配置表!B:H,6,FALSE),IF(OR(O220=3,O220=5),VLOOKUP(R220,怪物信息配置表!B:H,7,FALSE),"")))),AM220)</f>
        <v>ai_monster_02</v>
      </c>
      <c r="AG220" s="2"/>
      <c r="AH220" s="15">
        <f>SUMPRODUCT(T220:V220,$AN$3:$AP$3)+ROUNDDOWN(VLOOKUP(P220,CHOOSE({1,2},'[1]消耗&amp;价值&amp;分析'!$C$7:$C$106,'[1]消耗&amp;价值&amp;分析'!$AS$7:$AS$106),2,FALSE)*0.6,0)</f>
        <v>19184.317758164292</v>
      </c>
      <c r="AJ220" s="80">
        <v>1</v>
      </c>
      <c r="AK220" s="80">
        <v>1</v>
      </c>
      <c r="AL220" s="80">
        <v>1</v>
      </c>
    </row>
    <row r="221" spans="1:38">
      <c r="A221" s="33" t="str">
        <f>怪物并表!$R$7</f>
        <v>普通副本</v>
      </c>
      <c r="B221" s="38">
        <v>3</v>
      </c>
      <c r="C221" s="33">
        <f t="shared" si="29"/>
        <v>6004</v>
      </c>
      <c r="D221" s="33">
        <v>1</v>
      </c>
      <c r="E221" s="33">
        <f>VLOOKUP(A221,怪物并表!$R$7:$S$14,2,FALSE)</f>
        <v>1</v>
      </c>
      <c r="F221" s="38">
        <v>6</v>
      </c>
      <c r="G221" s="38">
        <v>4</v>
      </c>
      <c r="H221" s="38">
        <v>1</v>
      </c>
      <c r="I221" s="33">
        <f t="shared" si="27"/>
        <v>164103</v>
      </c>
      <c r="J221" s="33" t="s">
        <v>216</v>
      </c>
      <c r="K221" s="33"/>
      <c r="L221" s="33">
        <v>0</v>
      </c>
      <c r="M221" s="33">
        <v>1</v>
      </c>
      <c r="N221" s="33"/>
      <c r="O221" s="33">
        <v>1</v>
      </c>
      <c r="P221" s="33">
        <f>VLOOKUP($C221,CHOOSE({1,2},怪物并表!$E$7:$E$1000,怪物并表!$D$7:$D$1000),2,FALSE)</f>
        <v>50</v>
      </c>
      <c r="Q221" s="33" t="s">
        <v>12</v>
      </c>
      <c r="R221" s="33">
        <f>VLOOKUP(Q221,怪物信息配置表!$A$2:$B$118,2,FALSE)</f>
        <v>1009</v>
      </c>
      <c r="S221" s="33">
        <v>1</v>
      </c>
      <c r="T221" s="49">
        <f>VLOOKUP($C221,怪物并表!$E$7:$N$1000,2+($D221-1)*3,FALSE)*S221*AJ221</f>
        <v>159520.13717059622</v>
      </c>
      <c r="U221" s="49">
        <f>VLOOKUP($C221,怪物并表!$E$7:$N$1000,3+($D221-1)*3,FALSE)*S221*AK221</f>
        <v>9390.1238987099896</v>
      </c>
      <c r="V221" s="49">
        <f>VLOOKUP($C221,怪物并表!$E$7:$N$1000,4+($D221-1)*3,FALSE)*S221*AL221</f>
        <v>3286.5433645484964</v>
      </c>
      <c r="W221" s="33"/>
      <c r="X221" s="33"/>
      <c r="Y221" s="49">
        <f>VLOOKUP($C221,怪物并表!$E$7:$P$1000,12,FALSE)</f>
        <v>0</v>
      </c>
      <c r="Z221" s="49">
        <f>VLOOKUP($C221,怪物并表!$E$7:$P$1000,11,FALSE)*S221</f>
        <v>3253</v>
      </c>
      <c r="AA221" s="33"/>
      <c r="AB221" s="33"/>
      <c r="AC221" s="33"/>
      <c r="AD221" s="33">
        <f t="shared" si="28"/>
        <v>1</v>
      </c>
      <c r="AE221" s="2">
        <f t="shared" si="30"/>
        <v>406.25</v>
      </c>
      <c r="AF221" s="2" t="str">
        <f>IF(ISBLANK(AM221),IF(O221=6,"",IF(O221=1,VLOOKUP(R221,怪物信息配置表!B:H,5,FALSE),IF(O221=2,VLOOKUP(R221,怪物信息配置表!B:H,6,FALSE),IF(OR(O221=3,O221=5),VLOOKUP(R221,怪物信息配置表!B:H,7,FALSE),"")))),AM221)</f>
        <v>ai_monster</v>
      </c>
      <c r="AG221" s="2"/>
      <c r="AH221" s="15">
        <f>SUMPRODUCT(T221:V221,$AN$3:$AP$3)+ROUNDDOWN(VLOOKUP(P221,CHOOSE({1,2},'[1]消耗&amp;价值&amp;分析'!$C$7:$C$106,'[1]消耗&amp;价值&amp;分析'!$AS$7:$AS$106),2,FALSE)*0.6,0)</f>
        <v>21892.472750082336</v>
      </c>
      <c r="AJ221" s="80">
        <v>1</v>
      </c>
      <c r="AK221" s="80">
        <v>1</v>
      </c>
      <c r="AL221" s="80">
        <v>1</v>
      </c>
    </row>
    <row r="222" spans="1:38">
      <c r="A222" s="33" t="str">
        <f>怪物并表!$R$7</f>
        <v>普通副本</v>
      </c>
      <c r="B222" s="38">
        <v>4</v>
      </c>
      <c r="C222" s="33">
        <f t="shared" si="29"/>
        <v>6004</v>
      </c>
      <c r="D222" s="33">
        <v>3</v>
      </c>
      <c r="E222" s="33">
        <f>VLOOKUP(A222,怪物并表!$R$7:$S$14,2,FALSE)</f>
        <v>1</v>
      </c>
      <c r="F222" s="38">
        <v>6</v>
      </c>
      <c r="G222" s="38">
        <v>4</v>
      </c>
      <c r="H222" s="38">
        <v>1</v>
      </c>
      <c r="I222" s="33">
        <f t="shared" si="27"/>
        <v>164104</v>
      </c>
      <c r="J222" s="33" t="s">
        <v>237</v>
      </c>
      <c r="K222" s="33"/>
      <c r="L222" s="33">
        <v>1</v>
      </c>
      <c r="M222" s="33">
        <v>1.2</v>
      </c>
      <c r="N222" s="33"/>
      <c r="O222" s="33">
        <v>3</v>
      </c>
      <c r="P222" s="33">
        <f>VLOOKUP($C222,CHOOSE({1,2},怪物并表!$E$7:$E$1000,怪物并表!$D$7:$D$1000),2,FALSE)</f>
        <v>50</v>
      </c>
      <c r="Q222" s="33" t="s">
        <v>11</v>
      </c>
      <c r="R222" s="33">
        <f>VLOOKUP(Q222,怪物信息配置表!$A$2:$B$118,2,FALSE)</f>
        <v>1011</v>
      </c>
      <c r="S222" s="33">
        <v>1</v>
      </c>
      <c r="T222" s="49">
        <f>VLOOKUP($C222,怪物并表!$E$7:$N$1000,2+($D222-1)*3,FALSE)*S222*AJ222</f>
        <v>398800.34292649059</v>
      </c>
      <c r="U222" s="49">
        <f>VLOOKUP($C222,怪物并表!$E$7:$N$1000,3+($D222-1)*3,FALSE)*S222*AK222</f>
        <v>10610.840005542288</v>
      </c>
      <c r="V222" s="49">
        <f>VLOOKUP($C222,怪物并表!$E$7:$N$1000,4+($D222-1)*3,FALSE)*S222*AL222</f>
        <v>4108.1792056856202</v>
      </c>
      <c r="W222" s="33"/>
      <c r="X222" s="33"/>
      <c r="Y222" s="49">
        <f>VLOOKUP($C222,怪物并表!$E$7:$P$1000,12,FALSE)</f>
        <v>0</v>
      </c>
      <c r="Z222" s="49">
        <f>VLOOKUP($C222,怪物并表!$E$7:$P$1000,11,FALSE)*S222</f>
        <v>3253</v>
      </c>
      <c r="AA222" s="33"/>
      <c r="AB222" s="33"/>
      <c r="AC222" s="33"/>
      <c r="AD222" s="33">
        <f t="shared" si="28"/>
        <v>1.5</v>
      </c>
      <c r="AE222" s="2">
        <f t="shared" si="30"/>
        <v>109.375</v>
      </c>
      <c r="AF222" s="2" t="str">
        <f>IF(ISBLANK(AM222),IF(O222=6,"",IF(O222=1,VLOOKUP(R222,怪物信息配置表!B:H,5,FALSE),IF(O222=2,VLOOKUP(R222,怪物信息配置表!B:H,6,FALSE),IF(OR(O222=3,O222=5),VLOOKUP(R222,怪物信息配置表!B:H,7,FALSE),"")))),AM222)</f>
        <v>1011_jichenan_BOSS</v>
      </c>
      <c r="AG222" s="2"/>
      <c r="AH222" s="15">
        <f>SUMPRODUCT(T222:V222,$AN$3:$AP$3)+ROUNDDOWN(VLOOKUP(P222,CHOOSE({1,2},'[1]消耗&amp;价值&amp;分析'!$C$7:$C$106,'[1]消耗&amp;价值&amp;分析'!$AS$7:$AS$106),2,FALSE)*0.6,0)</f>
        <v>33506.032928287532</v>
      </c>
      <c r="AJ222" s="80">
        <v>1</v>
      </c>
      <c r="AK222" s="80">
        <v>1</v>
      </c>
      <c r="AL222" s="80">
        <v>1</v>
      </c>
    </row>
    <row r="223" spans="1:38">
      <c r="A223" s="33" t="str">
        <f>怪物并表!$R$7</f>
        <v>普通副本</v>
      </c>
      <c r="B223" s="38">
        <v>1</v>
      </c>
      <c r="C223" s="33">
        <f t="shared" si="29"/>
        <v>6005</v>
      </c>
      <c r="D223" s="33">
        <v>1</v>
      </c>
      <c r="E223" s="33">
        <f>VLOOKUP(A223,怪物并表!$R$7:$S$14,2,FALSE)</f>
        <v>1</v>
      </c>
      <c r="F223" s="38">
        <v>6</v>
      </c>
      <c r="G223" s="38">
        <v>5</v>
      </c>
      <c r="H223" s="38">
        <v>1</v>
      </c>
      <c r="I223" s="33">
        <f t="shared" si="27"/>
        <v>165101</v>
      </c>
      <c r="J223" s="33" t="s">
        <v>7</v>
      </c>
      <c r="K223" s="33"/>
      <c r="L223" s="33">
        <v>0</v>
      </c>
      <c r="M223" s="33">
        <v>1</v>
      </c>
      <c r="N223" s="33"/>
      <c r="O223" s="33">
        <v>1</v>
      </c>
      <c r="P223" s="33">
        <f>VLOOKUP($C223,CHOOSE({1,2},怪物并表!$E$7:$E$1000,怪物并表!$D$7:$D$1000),2,FALSE)</f>
        <v>51</v>
      </c>
      <c r="Q223" s="33" t="s">
        <v>7</v>
      </c>
      <c r="R223" s="33">
        <f>VLOOKUP(Q223,怪物信息配置表!$A$2:$B$118,2,FALSE)</f>
        <v>1002</v>
      </c>
      <c r="S223" s="33">
        <v>1</v>
      </c>
      <c r="T223" s="49">
        <f>VLOOKUP($C223,怪物并表!$E$7:$N$1000,2+($D223-1)*3,FALSE)*S223*AJ223</f>
        <v>169633.39780854934</v>
      </c>
      <c r="U223" s="49">
        <f>VLOOKUP($C223,怪物并表!$E$7:$N$1000,3+($D223-1)*3,FALSE)*S223*AK223</f>
        <v>10244.256367580459</v>
      </c>
      <c r="V223" s="49">
        <f>VLOOKUP($C223,怪物并表!$E$7:$N$1000,4+($D223-1)*3,FALSE)*S223*AL223</f>
        <v>3516.5084025016731</v>
      </c>
      <c r="W223" s="33"/>
      <c r="X223" s="33"/>
      <c r="Y223" s="49">
        <f>VLOOKUP($C223,怪物并表!$E$7:$P$1000,12,FALSE)</f>
        <v>0</v>
      </c>
      <c r="Z223" s="49">
        <f>VLOOKUP($C223,怪物并表!$E$7:$P$1000,11,FALSE)*S223</f>
        <v>3311.2280000000001</v>
      </c>
      <c r="AA223" s="33"/>
      <c r="AB223" s="33"/>
      <c r="AC223" s="33"/>
      <c r="AD223" s="33">
        <f t="shared" si="28"/>
        <v>1</v>
      </c>
      <c r="AE223" s="2">
        <f t="shared" si="30"/>
        <v>394.375</v>
      </c>
      <c r="AF223" s="2" t="str">
        <f>IF(ISBLANK(AM223),IF(O223=6,"",IF(O223=1,VLOOKUP(R223,怪物信息配置表!B:H,5,FALSE),IF(O223=2,VLOOKUP(R223,怪物信息配置表!B:H,6,FALSE),IF(OR(O223=3,O223=5),VLOOKUP(R223,怪物信息配置表!B:H,7,FALSE),"")))),AM223)</f>
        <v>ai_monster</v>
      </c>
      <c r="AG223" s="2"/>
      <c r="AH223" s="15">
        <f>SUMPRODUCT(T223:V223,$AN$3:$AP$3)+ROUNDDOWN(VLOOKUP(P223,CHOOSE({1,2},'[1]消耗&amp;价值&amp;分析'!$C$7:$C$106,'[1]消耗&amp;价值&amp;分析'!$AS$7:$AS$106),2,FALSE)*0.6,0)</f>
        <v>23534.100682424109</v>
      </c>
      <c r="AJ223" s="80">
        <v>1</v>
      </c>
      <c r="AK223" s="80">
        <v>1</v>
      </c>
      <c r="AL223" s="80">
        <v>1</v>
      </c>
    </row>
    <row r="224" spans="1:38">
      <c r="A224" s="33" t="str">
        <f>怪物并表!$R$7</f>
        <v>普通副本</v>
      </c>
      <c r="B224" s="38">
        <v>2</v>
      </c>
      <c r="C224" s="33">
        <f t="shared" si="29"/>
        <v>6005</v>
      </c>
      <c r="D224" s="33">
        <v>1</v>
      </c>
      <c r="E224" s="33">
        <f>VLOOKUP(A224,怪物并表!$R$7:$S$14,2,FALSE)</f>
        <v>1</v>
      </c>
      <c r="F224" s="38">
        <v>6</v>
      </c>
      <c r="G224" s="38">
        <v>5</v>
      </c>
      <c r="H224" s="38">
        <v>1</v>
      </c>
      <c r="I224" s="33">
        <f t="shared" si="27"/>
        <v>165102</v>
      </c>
      <c r="J224" s="33" t="s">
        <v>490</v>
      </c>
      <c r="K224" s="33"/>
      <c r="L224" s="33">
        <v>0</v>
      </c>
      <c r="M224" s="33">
        <v>1</v>
      </c>
      <c r="N224" s="33"/>
      <c r="O224" s="33">
        <v>1</v>
      </c>
      <c r="P224" s="33">
        <f>VLOOKUP($C224,CHOOSE({1,2},怪物并表!$E$7:$E$1000,怪物并表!$D$7:$D$1000),2,FALSE)</f>
        <v>51</v>
      </c>
      <c r="Q224" s="33" t="s">
        <v>25</v>
      </c>
      <c r="R224" s="33">
        <f>VLOOKUP(Q224,怪物信息配置表!$A$2:$B$118,2,FALSE)</f>
        <v>1012</v>
      </c>
      <c r="S224" s="33">
        <v>1</v>
      </c>
      <c r="T224" s="49">
        <f>VLOOKUP($C224,怪物并表!$E$7:$N$1000,2+($D224-1)*3,FALSE)*S224*AJ224</f>
        <v>169633.39780854934</v>
      </c>
      <c r="U224" s="49">
        <f>VLOOKUP($C224,怪物并表!$E$7:$N$1000,3+($D224-1)*3,FALSE)*S224*AK224</f>
        <v>10244.256367580459</v>
      </c>
      <c r="V224" s="49">
        <f>VLOOKUP($C224,怪物并表!$E$7:$N$1000,4+($D224-1)*3,FALSE)*S224*AL224</f>
        <v>3516.5084025016731</v>
      </c>
      <c r="W224" s="33"/>
      <c r="X224" s="33"/>
      <c r="Y224" s="49">
        <f>VLOOKUP($C224,怪物并表!$E$7:$P$1000,12,FALSE)</f>
        <v>0</v>
      </c>
      <c r="Z224" s="49">
        <f>VLOOKUP($C224,怪物并表!$E$7:$P$1000,11,FALSE)*S224</f>
        <v>3311.2280000000001</v>
      </c>
      <c r="AA224" s="33"/>
      <c r="AB224" s="33"/>
      <c r="AC224" s="33"/>
      <c r="AD224" s="33">
        <f t="shared" si="28"/>
        <v>1</v>
      </c>
      <c r="AE224" s="2">
        <f t="shared" si="30"/>
        <v>394.375</v>
      </c>
      <c r="AF224" s="2" t="str">
        <f>IF(ISBLANK(AM224),IF(O224=6,"",IF(O224=1,VLOOKUP(R224,怪物信息配置表!B:H,5,FALSE),IF(O224=2,VLOOKUP(R224,怪物信息配置表!B:H,6,FALSE),IF(OR(O224=3,O224=5),VLOOKUP(R224,怪物信息配置表!B:H,7,FALSE),"")))),AM224)</f>
        <v>ai_monster_03</v>
      </c>
      <c r="AG224" s="2"/>
      <c r="AH224" s="15">
        <f>SUMPRODUCT(T224:V224,$AN$3:$AP$3)+ROUNDDOWN(VLOOKUP(P224,CHOOSE({1,2},'[1]消耗&amp;价值&amp;分析'!$C$7:$C$106,'[1]消耗&amp;价值&amp;分析'!$AS$7:$AS$106),2,FALSE)*0.6,0)</f>
        <v>23534.100682424109</v>
      </c>
      <c r="AJ224" s="80">
        <v>1</v>
      </c>
      <c r="AK224" s="80">
        <v>1</v>
      </c>
      <c r="AL224" s="80">
        <v>1</v>
      </c>
    </row>
    <row r="225" spans="1:38">
      <c r="A225" s="33" t="str">
        <f>怪物并表!$R$7</f>
        <v>普通副本</v>
      </c>
      <c r="B225" s="38">
        <v>3</v>
      </c>
      <c r="C225" s="33">
        <f t="shared" si="29"/>
        <v>6005</v>
      </c>
      <c r="D225" s="33">
        <v>1</v>
      </c>
      <c r="E225" s="33">
        <f>VLOOKUP(A225,怪物并表!$R$7:$S$14,2,FALSE)</f>
        <v>1</v>
      </c>
      <c r="F225" s="38">
        <v>6</v>
      </c>
      <c r="G225" s="38">
        <v>5</v>
      </c>
      <c r="H225" s="38">
        <v>1</v>
      </c>
      <c r="I225" s="33">
        <f t="shared" si="27"/>
        <v>165103</v>
      </c>
      <c r="J225" s="33" t="s">
        <v>485</v>
      </c>
      <c r="K225" s="33"/>
      <c r="L225" s="33">
        <v>0</v>
      </c>
      <c r="M225" s="33">
        <v>1</v>
      </c>
      <c r="N225" s="33"/>
      <c r="O225" s="33">
        <v>1</v>
      </c>
      <c r="P225" s="33">
        <f>VLOOKUP($C225,CHOOSE({1,2},怪物并表!$E$7:$E$1000,怪物并表!$D$7:$D$1000),2,FALSE)</f>
        <v>51</v>
      </c>
      <c r="Q225" s="33" t="s">
        <v>24</v>
      </c>
      <c r="R225" s="33">
        <f>VLOOKUP(Q225,怪物信息配置表!$A$2:$B$118,2,FALSE)</f>
        <v>1015</v>
      </c>
      <c r="S225" s="33">
        <v>1</v>
      </c>
      <c r="T225" s="49">
        <f>VLOOKUP($C225,怪物并表!$E$7:$N$1000,2+($D225-1)*3,FALSE)*S225*AJ225</f>
        <v>169633.39780854934</v>
      </c>
      <c r="U225" s="49">
        <f>VLOOKUP($C225,怪物并表!$E$7:$N$1000,3+($D225-1)*3,FALSE)*S225*AK225</f>
        <v>10244.256367580459</v>
      </c>
      <c r="V225" s="49">
        <f>VLOOKUP($C225,怪物并表!$E$7:$N$1000,4+($D225-1)*3,FALSE)*S225*AL225</f>
        <v>3516.5084025016731</v>
      </c>
      <c r="W225" s="33"/>
      <c r="X225" s="33"/>
      <c r="Y225" s="49">
        <f>VLOOKUP($C225,怪物并表!$E$7:$P$1000,12,FALSE)</f>
        <v>0</v>
      </c>
      <c r="Z225" s="49">
        <f>VLOOKUP($C225,怪物并表!$E$7:$P$1000,11,FALSE)*S225</f>
        <v>3311.2280000000001</v>
      </c>
      <c r="AA225" s="33"/>
      <c r="AB225" s="33"/>
      <c r="AC225" s="33"/>
      <c r="AD225" s="33">
        <f t="shared" si="28"/>
        <v>1</v>
      </c>
      <c r="AE225" s="2">
        <f t="shared" si="30"/>
        <v>321.875</v>
      </c>
      <c r="AF225" s="2" t="str">
        <f>IF(ISBLANK(AM225),IF(O225=6,"",IF(O225=1,VLOOKUP(R225,怪物信息配置表!B:H,5,FALSE),IF(O225=2,VLOOKUP(R225,怪物信息配置表!B:H,6,FALSE),IF(OR(O225=3,O225=5),VLOOKUP(R225,怪物信息配置表!B:H,7,FALSE),"")))),AM225)</f>
        <v>ai_monster_03</v>
      </c>
      <c r="AG225" s="2"/>
      <c r="AH225" s="15">
        <f>SUMPRODUCT(T225:V225,$AN$3:$AP$3)+ROUNDDOWN(VLOOKUP(P225,CHOOSE({1,2},'[1]消耗&amp;价值&amp;分析'!$C$7:$C$106,'[1]消耗&amp;价值&amp;分析'!$AS$7:$AS$106),2,FALSE)*0.6,0)</f>
        <v>23534.100682424109</v>
      </c>
      <c r="AJ225" s="80">
        <v>1</v>
      </c>
      <c r="AK225" s="80">
        <v>1</v>
      </c>
      <c r="AL225" s="80">
        <v>1</v>
      </c>
    </row>
    <row r="226" spans="1:38">
      <c r="A226" s="33" t="str">
        <f>怪物并表!$R$7</f>
        <v>普通副本</v>
      </c>
      <c r="B226" s="38">
        <v>4</v>
      </c>
      <c r="C226" s="33">
        <f t="shared" si="29"/>
        <v>6005</v>
      </c>
      <c r="D226" s="33">
        <v>3</v>
      </c>
      <c r="E226" s="33">
        <f>VLOOKUP(A226,怪物并表!$R$7:$S$14,2,FALSE)</f>
        <v>1</v>
      </c>
      <c r="F226" s="38">
        <v>6</v>
      </c>
      <c r="G226" s="38">
        <v>5</v>
      </c>
      <c r="H226" s="38">
        <v>1</v>
      </c>
      <c r="I226" s="33">
        <f t="shared" si="27"/>
        <v>165104</v>
      </c>
      <c r="J226" s="33" t="s">
        <v>452</v>
      </c>
      <c r="K226" s="33"/>
      <c r="L226" s="33">
        <v>1</v>
      </c>
      <c r="M226" s="33">
        <v>1.2</v>
      </c>
      <c r="N226" s="33" t="s">
        <v>211</v>
      </c>
      <c r="O226" s="33">
        <v>3</v>
      </c>
      <c r="P226" s="33">
        <f>VLOOKUP($C226,CHOOSE({1,2},怪物并表!$E$7:$E$1000,怪物并表!$D$7:$D$1000),2,FALSE)</f>
        <v>51</v>
      </c>
      <c r="Q226" s="33" t="s">
        <v>397</v>
      </c>
      <c r="R226" s="33">
        <f>VLOOKUP(Q226,怪物信息配置表!$A$2:$B$118,2,FALSE)</f>
        <v>1107</v>
      </c>
      <c r="S226" s="33">
        <v>1</v>
      </c>
      <c r="T226" s="49">
        <f>VLOOKUP($C226,怪物并表!$E$7:$N$1000,2+($D226-1)*3,FALSE)*S226*AJ226</f>
        <v>424083.49452137336</v>
      </c>
      <c r="U226" s="49">
        <f>VLOOKUP($C226,怪物并表!$E$7:$N$1000,3+($D226-1)*3,FALSE)*S226*AK226</f>
        <v>11589.805960596215</v>
      </c>
      <c r="V226" s="49">
        <f>VLOOKUP($C226,怪物并表!$E$7:$N$1000,4+($D226-1)*3,FALSE)*S226*AL226</f>
        <v>4379.9678914327769</v>
      </c>
      <c r="W226" s="33"/>
      <c r="X226" s="33"/>
      <c r="Y226" s="49">
        <f>VLOOKUP($C226,怪物并表!$E$7:$P$1000,12,FALSE)</f>
        <v>0</v>
      </c>
      <c r="Z226" s="49">
        <f>VLOOKUP($C226,怪物并表!$E$7:$P$1000,11,FALSE)*S226</f>
        <v>3311.2280000000001</v>
      </c>
      <c r="AA226" s="33"/>
      <c r="AB226" s="33"/>
      <c r="AC226" s="33"/>
      <c r="AD226" s="33">
        <f t="shared" si="28"/>
        <v>1.5</v>
      </c>
      <c r="AE226" s="2">
        <f t="shared" si="30"/>
        <v>69.6875</v>
      </c>
      <c r="AF226" s="2" t="str">
        <f>IF(ISBLANK(AM226),IF(O226=6,"",IF(O226=1,VLOOKUP(R226,怪物信息配置表!B:H,5,FALSE),IF(O226=2,VLOOKUP(R226,怪物信息配置表!B:H,6,FALSE),IF(OR(O226=3,O226=5),VLOOKUP(R226,怪物信息配置表!B:H,7,FALSE),"")))),AM226)</f>
        <v>1107_CHN_BOSS</v>
      </c>
      <c r="AG226" s="2"/>
      <c r="AH226" s="15">
        <f>SUMPRODUCT(T226:V226,$AN$3:$AP$3)+ROUNDDOWN(VLOOKUP(P226,CHOOSE({1,2},'[1]消耗&amp;价值&amp;分析'!$C$7:$C$106,'[1]消耗&amp;价值&amp;分析'!$AS$7:$AS$106),2,FALSE)*0.6,0)</f>
        <v>35921.113632883927</v>
      </c>
      <c r="AJ226" s="80">
        <v>1</v>
      </c>
      <c r="AK226" s="80">
        <v>1</v>
      </c>
      <c r="AL226" s="80">
        <v>1</v>
      </c>
    </row>
    <row r="227" spans="1:38">
      <c r="A227" s="33" t="str">
        <f>怪物并表!$R$7</f>
        <v>普通副本</v>
      </c>
      <c r="B227" s="38">
        <v>1</v>
      </c>
      <c r="C227" s="33">
        <f t="shared" si="29"/>
        <v>6006</v>
      </c>
      <c r="D227" s="33">
        <v>1</v>
      </c>
      <c r="E227" s="33">
        <f>VLOOKUP(A227,怪物并表!$R$7:$S$14,2,FALSE)</f>
        <v>1</v>
      </c>
      <c r="F227" s="38">
        <v>6</v>
      </c>
      <c r="G227" s="38">
        <v>6</v>
      </c>
      <c r="H227" s="38">
        <v>1</v>
      </c>
      <c r="I227" s="33">
        <f t="shared" si="27"/>
        <v>166101</v>
      </c>
      <c r="J227" s="33" t="s">
        <v>22</v>
      </c>
      <c r="K227" s="33"/>
      <c r="L227" s="33">
        <v>0</v>
      </c>
      <c r="M227" s="33">
        <v>1</v>
      </c>
      <c r="N227" s="33" t="s">
        <v>229</v>
      </c>
      <c r="O227" s="33">
        <v>1</v>
      </c>
      <c r="P227" s="33">
        <f>VLOOKUP($C227,CHOOSE({1,2},怪物并表!$E$7:$E$1000,怪物并表!$D$7:$D$1000),2,FALSE)</f>
        <v>52</v>
      </c>
      <c r="Q227" s="33" t="s">
        <v>22</v>
      </c>
      <c r="R227" s="33">
        <f>VLOOKUP(Q227,怪物信息配置表!$A$2:$B$118,2,FALSE)</f>
        <v>1013</v>
      </c>
      <c r="S227" s="33">
        <v>1</v>
      </c>
      <c r="T227" s="49">
        <f>VLOOKUP($C227,怪物并表!$E$7:$N$1000,2+($D227-1)*3,FALSE)*S227*AJ227</f>
        <v>186638.13280369047</v>
      </c>
      <c r="U227" s="49">
        <f>VLOOKUP($C227,怪物并表!$E$7:$N$1000,3+($D227-1)*3,FALSE)*S227*AK227</f>
        <v>11156.687602230384</v>
      </c>
      <c r="V227" s="49">
        <f>VLOOKUP($C227,怪物并表!$E$7:$N$1000,4+($D227-1)*3,FALSE)*S227*AL227</f>
        <v>3756.040937096991</v>
      </c>
      <c r="W227" s="33"/>
      <c r="X227" s="33"/>
      <c r="Y227" s="49">
        <f>VLOOKUP($C227,怪物并表!$E$7:$P$1000,12,FALSE)</f>
        <v>0</v>
      </c>
      <c r="Z227" s="49">
        <f>VLOOKUP($C227,怪物并表!$E$7:$P$1000,11,FALSE)*S227</f>
        <v>3369.4560000000001</v>
      </c>
      <c r="AA227" s="33"/>
      <c r="AB227" s="33"/>
      <c r="AC227" s="33"/>
      <c r="AD227" s="33">
        <f t="shared" si="28"/>
        <v>1</v>
      </c>
      <c r="AE227" s="2">
        <f t="shared" si="30"/>
        <v>382.5</v>
      </c>
      <c r="AF227" s="2" t="str">
        <f>IF(ISBLANK(AM227),IF(O227=6,"",IF(O227=1,VLOOKUP(R227,怪物信息配置表!B:H,5,FALSE),IF(O227=2,VLOOKUP(R227,怪物信息配置表!B:H,6,FALSE),IF(OR(O227=3,O227=5),VLOOKUP(R227,怪物信息配置表!B:H,7,FALSE),"")))),AM227)</f>
        <v>ai_monster_02</v>
      </c>
      <c r="AG227" s="2"/>
      <c r="AH227" s="15">
        <f>SUMPRODUCT(T227:V227,$AN$3:$AP$3)+ROUNDDOWN(VLOOKUP(P227,CHOOSE({1,2},'[1]消耗&amp;价值&amp;分析'!$C$7:$C$106,'[1]消耗&amp;价值&amp;分析'!$AS$7:$AS$106),2,FALSE)*0.6,0)</f>
        <v>25589.253851474994</v>
      </c>
      <c r="AJ227" s="80">
        <v>1</v>
      </c>
      <c r="AK227" s="80">
        <v>1</v>
      </c>
      <c r="AL227" s="80">
        <v>1</v>
      </c>
    </row>
    <row r="228" spans="1:38">
      <c r="A228" s="33" t="str">
        <f>怪物并表!$R$7</f>
        <v>普通副本</v>
      </c>
      <c r="B228" s="38">
        <v>2</v>
      </c>
      <c r="C228" s="33">
        <f t="shared" si="29"/>
        <v>6006</v>
      </c>
      <c r="D228" s="33">
        <v>1</v>
      </c>
      <c r="E228" s="33">
        <f>VLOOKUP(A228,怪物并表!$R$7:$S$14,2,FALSE)</f>
        <v>1</v>
      </c>
      <c r="F228" s="38">
        <v>6</v>
      </c>
      <c r="G228" s="38">
        <v>6</v>
      </c>
      <c r="H228" s="38">
        <v>1</v>
      </c>
      <c r="I228" s="33">
        <f t="shared" si="27"/>
        <v>166102</v>
      </c>
      <c r="J228" s="33" t="s">
        <v>462</v>
      </c>
      <c r="K228" s="33"/>
      <c r="L228" s="33">
        <v>0</v>
      </c>
      <c r="M228" s="33">
        <v>1</v>
      </c>
      <c r="N228" s="33" t="s">
        <v>215</v>
      </c>
      <c r="O228" s="33">
        <v>1</v>
      </c>
      <c r="P228" s="33">
        <f>VLOOKUP($C228,CHOOSE({1,2},怪物并表!$E$7:$E$1000,怪物并表!$D$7:$D$1000),2,FALSE)</f>
        <v>52</v>
      </c>
      <c r="Q228" s="33" t="s">
        <v>11</v>
      </c>
      <c r="R228" s="33">
        <f>VLOOKUP(Q228,怪物信息配置表!$A$2:$B$118,2,FALSE)</f>
        <v>1011</v>
      </c>
      <c r="S228" s="33">
        <v>1</v>
      </c>
      <c r="T228" s="49">
        <f>VLOOKUP($C228,怪物并表!$E$7:$N$1000,2+($D228-1)*3,FALSE)*S228*AJ228</f>
        <v>186638.13280369047</v>
      </c>
      <c r="U228" s="49">
        <f>VLOOKUP($C228,怪物并表!$E$7:$N$1000,3+($D228-1)*3,FALSE)*S228*AK228</f>
        <v>11156.687602230384</v>
      </c>
      <c r="V228" s="49">
        <f>VLOOKUP($C228,怪物并表!$E$7:$N$1000,4+($D228-1)*3,FALSE)*S228*AL228</f>
        <v>3756.040937096991</v>
      </c>
      <c r="W228" s="33"/>
      <c r="X228" s="33"/>
      <c r="Y228" s="49">
        <f>VLOOKUP($C228,怪物并表!$E$7:$P$1000,12,FALSE)</f>
        <v>0</v>
      </c>
      <c r="Z228" s="49">
        <f>VLOOKUP($C228,怪物并表!$E$7:$P$1000,11,FALSE)*S228</f>
        <v>3369.4560000000001</v>
      </c>
      <c r="AA228" s="33"/>
      <c r="AB228" s="33"/>
      <c r="AC228" s="33"/>
      <c r="AD228" s="33">
        <f t="shared" si="28"/>
        <v>1</v>
      </c>
      <c r="AE228" s="2">
        <f t="shared" si="30"/>
        <v>382.5</v>
      </c>
      <c r="AF228" s="2" t="str">
        <f>IF(ISBLANK(AM228),IF(O228=6,"",IF(O228=1,VLOOKUP(R228,怪物信息配置表!B:H,5,FALSE),IF(O228=2,VLOOKUP(R228,怪物信息配置表!B:H,6,FALSE),IF(OR(O228=3,O228=5),VLOOKUP(R228,怪物信息配置表!B:H,7,FALSE),"")))),AM228)</f>
        <v>ai_monster</v>
      </c>
      <c r="AG228" s="2"/>
      <c r="AH228" s="15">
        <f>SUMPRODUCT(T228:V228,$AN$3:$AP$3)+ROUNDDOWN(VLOOKUP(P228,CHOOSE({1,2},'[1]消耗&amp;价值&amp;分析'!$C$7:$C$106,'[1]消耗&amp;价值&amp;分析'!$AS$7:$AS$106),2,FALSE)*0.6,0)</f>
        <v>25589.253851474994</v>
      </c>
      <c r="AJ228" s="80">
        <v>1</v>
      </c>
      <c r="AK228" s="80">
        <v>1</v>
      </c>
      <c r="AL228" s="80">
        <v>1</v>
      </c>
    </row>
    <row r="229" spans="1:38">
      <c r="A229" s="33" t="str">
        <f>怪物并表!$R$7</f>
        <v>普通副本</v>
      </c>
      <c r="B229" s="38">
        <v>3</v>
      </c>
      <c r="C229" s="33">
        <f t="shared" si="29"/>
        <v>6006</v>
      </c>
      <c r="D229" s="33">
        <v>1</v>
      </c>
      <c r="E229" s="33">
        <f>VLOOKUP(A229,怪物并表!$R$7:$S$14,2,FALSE)</f>
        <v>1</v>
      </c>
      <c r="F229" s="38">
        <v>6</v>
      </c>
      <c r="G229" s="38">
        <v>6</v>
      </c>
      <c r="H229" s="38">
        <v>1</v>
      </c>
      <c r="I229" s="33">
        <f t="shared" si="27"/>
        <v>166103</v>
      </c>
      <c r="J229" s="33" t="s">
        <v>482</v>
      </c>
      <c r="K229" s="33"/>
      <c r="L229" s="33">
        <v>0</v>
      </c>
      <c r="M229" s="33">
        <v>1</v>
      </c>
      <c r="N229" s="33"/>
      <c r="O229" s="33">
        <v>1</v>
      </c>
      <c r="P229" s="33">
        <f>VLOOKUP($C229,CHOOSE({1,2},怪物并表!$E$7:$E$1000,怪物并表!$D$7:$D$1000),2,FALSE)</f>
        <v>52</v>
      </c>
      <c r="Q229" s="33" t="s">
        <v>399</v>
      </c>
      <c r="R229" s="33">
        <f>VLOOKUP(Q229,怪物信息配置表!$A$2:$B$118,2,FALSE)</f>
        <v>1014</v>
      </c>
      <c r="S229" s="33">
        <v>1</v>
      </c>
      <c r="T229" s="49">
        <f>VLOOKUP($C229,怪物并表!$E$7:$N$1000,2+($D229-1)*3,FALSE)*S229*AJ229</f>
        <v>186638.13280369047</v>
      </c>
      <c r="U229" s="49">
        <f>VLOOKUP($C229,怪物并表!$E$7:$N$1000,3+($D229-1)*3,FALSE)*S229*AK229</f>
        <v>11156.687602230384</v>
      </c>
      <c r="V229" s="49">
        <f>VLOOKUP($C229,怪物并表!$E$7:$N$1000,4+($D229-1)*3,FALSE)*S229*AL229</f>
        <v>3756.040937096991</v>
      </c>
      <c r="W229" s="33"/>
      <c r="X229" s="33"/>
      <c r="Y229" s="49">
        <f>VLOOKUP($C229,怪物并表!$E$7:$P$1000,12,FALSE)</f>
        <v>0</v>
      </c>
      <c r="Z229" s="49">
        <f>VLOOKUP($C229,怪物并表!$E$7:$P$1000,11,FALSE)*S229</f>
        <v>3369.4560000000001</v>
      </c>
      <c r="AA229" s="33"/>
      <c r="AB229" s="33"/>
      <c r="AC229" s="33"/>
      <c r="AD229" s="33">
        <f t="shared" si="28"/>
        <v>1</v>
      </c>
      <c r="AE229" s="2">
        <f t="shared" si="30"/>
        <v>312.5</v>
      </c>
      <c r="AF229" s="2" t="str">
        <f>IF(ISBLANK(AM229),IF(O229=6,"",IF(O229=1,VLOOKUP(R229,怪物信息配置表!B:H,5,FALSE),IF(O229=2,VLOOKUP(R229,怪物信息配置表!B:H,6,FALSE),IF(OR(O229=3,O229=5),VLOOKUP(R229,怪物信息配置表!B:H,7,FALSE),"")))),AM229)</f>
        <v>ai_monster_03</v>
      </c>
      <c r="AG229" s="2"/>
      <c r="AH229" s="15">
        <f>SUMPRODUCT(T229:V229,$AN$3:$AP$3)+ROUNDDOWN(VLOOKUP(P229,CHOOSE({1,2},'[1]消耗&amp;价值&amp;分析'!$C$7:$C$106,'[1]消耗&amp;价值&amp;分析'!$AS$7:$AS$106),2,FALSE)*0.6,0)</f>
        <v>25589.253851474994</v>
      </c>
      <c r="AJ229" s="80">
        <v>1</v>
      </c>
      <c r="AK229" s="80">
        <v>1</v>
      </c>
      <c r="AL229" s="80">
        <v>1</v>
      </c>
    </row>
    <row r="230" spans="1:38">
      <c r="A230" s="33" t="str">
        <f>怪物并表!$R$7</f>
        <v>普通副本</v>
      </c>
      <c r="B230" s="38">
        <v>4</v>
      </c>
      <c r="C230" s="33">
        <f t="shared" si="29"/>
        <v>6006</v>
      </c>
      <c r="D230" s="33">
        <v>3</v>
      </c>
      <c r="E230" s="33">
        <f>VLOOKUP(A230,怪物并表!$R$7:$S$14,2,FALSE)</f>
        <v>1</v>
      </c>
      <c r="F230" s="38">
        <v>6</v>
      </c>
      <c r="G230" s="38">
        <v>6</v>
      </c>
      <c r="H230" s="38">
        <v>1</v>
      </c>
      <c r="I230" s="33">
        <f t="shared" ref="I230:I293" si="33">SUM(E230*10^5,F230*10^4,G230*10^3,H230*10^2,B230)</f>
        <v>166104</v>
      </c>
      <c r="J230" s="33" t="s">
        <v>603</v>
      </c>
      <c r="K230" s="33"/>
      <c r="L230" s="33">
        <v>1</v>
      </c>
      <c r="M230" s="33">
        <v>1.3</v>
      </c>
      <c r="N230" s="33"/>
      <c r="O230" s="33">
        <v>3</v>
      </c>
      <c r="P230" s="33">
        <f>VLOOKUP($C230,CHOOSE({1,2},怪物并表!$E$7:$E$1000,怪物并表!$D$7:$D$1000),2,FALSE)</f>
        <v>52</v>
      </c>
      <c r="Q230" s="33" t="s">
        <v>14</v>
      </c>
      <c r="R230" s="33">
        <f>VLOOKUP(Q230,怪物信息配置表!$A$2:$B$118,2,FALSE)</f>
        <v>1010</v>
      </c>
      <c r="S230" s="33">
        <v>1</v>
      </c>
      <c r="T230" s="49">
        <f>VLOOKUP($C230,怪物并表!$E$7:$N$1000,2+($D230-1)*3,FALSE)*S230*AJ230</f>
        <v>466595.3320092262</v>
      </c>
      <c r="U230" s="49">
        <f>VLOOKUP($C230,怪物并表!$E$7:$N$1000,3+($D230-1)*3,FALSE)*S230*AK230</f>
        <v>12636.816935257062</v>
      </c>
      <c r="V230" s="49">
        <f>VLOOKUP($C230,怪物并表!$E$7:$N$1000,4+($D230-1)*3,FALSE)*S230*AL230</f>
        <v>4695.0511713712385</v>
      </c>
      <c r="W230" s="33"/>
      <c r="X230" s="33"/>
      <c r="Y230" s="49">
        <f>VLOOKUP($C230,怪物并表!$E$7:$P$1000,12,FALSE)</f>
        <v>0</v>
      </c>
      <c r="Z230" s="49">
        <f>VLOOKUP($C230,怪物并表!$E$7:$P$1000,11,FALSE)*S230</f>
        <v>3369.4560000000001</v>
      </c>
      <c r="AA230" s="33"/>
      <c r="AB230" s="33"/>
      <c r="AC230" s="33"/>
      <c r="AD230" s="33">
        <f t="shared" si="28"/>
        <v>1.5</v>
      </c>
      <c r="AE230" s="2">
        <f t="shared" si="30"/>
        <v>73.75</v>
      </c>
      <c r="AF230" s="2" t="str">
        <f>IF(ISBLANK(AM230),IF(O230=6,"",IF(O230=1,VLOOKUP(R230,怪物信息配置表!B:H,5,FALSE),IF(O230=2,VLOOKUP(R230,怪物信息配置表!B:H,6,FALSE),IF(OR(O230=3,O230=5),VLOOKUP(R230,怪物信息配置表!B:H,7,FALSE),"")))),AM230)</f>
        <v>1010_gunnan_BOSS</v>
      </c>
      <c r="AG230" s="2"/>
      <c r="AH230" s="15">
        <f>SUMPRODUCT(T230:V230,$AN$3:$AP$3)+ROUNDDOWN(VLOOKUP(P230,CHOOSE({1,2},'[1]消耗&amp;价值&amp;分析'!$C$7:$C$106,'[1]消耗&amp;价值&amp;分析'!$AS$7:$AS$106),2,FALSE)*0.6,0)</f>
        <v>39206.681386997348</v>
      </c>
      <c r="AJ230" s="80">
        <v>1</v>
      </c>
      <c r="AK230" s="80">
        <v>1</v>
      </c>
      <c r="AL230" s="80">
        <v>1</v>
      </c>
    </row>
    <row r="231" spans="1:38">
      <c r="A231" s="33" t="str">
        <f>怪物并表!$R$7</f>
        <v>普通副本</v>
      </c>
      <c r="B231" s="38">
        <v>1</v>
      </c>
      <c r="C231" s="33">
        <f t="shared" ref="C231:C242" si="34">F231*1000+G231</f>
        <v>6007</v>
      </c>
      <c r="D231" s="33">
        <v>1</v>
      </c>
      <c r="E231" s="33">
        <f>VLOOKUP(A231,怪物并表!$R$7:$S$14,2,FALSE)</f>
        <v>1</v>
      </c>
      <c r="F231" s="38">
        <v>6</v>
      </c>
      <c r="G231" s="38">
        <v>7</v>
      </c>
      <c r="H231" s="38">
        <v>1</v>
      </c>
      <c r="I231" s="33">
        <f t="shared" si="33"/>
        <v>167101</v>
      </c>
      <c r="J231" s="33" t="s">
        <v>26</v>
      </c>
      <c r="K231" s="33"/>
      <c r="L231" s="33">
        <v>0</v>
      </c>
      <c r="M231" s="33">
        <v>1</v>
      </c>
      <c r="N231" s="33" t="s">
        <v>232</v>
      </c>
      <c r="O231" s="33">
        <v>1</v>
      </c>
      <c r="P231" s="33">
        <f>VLOOKUP($C231,CHOOSE({1,2},怪物并表!$E$7:$E$1000,怪物并表!$D$7:$D$1000),2,FALSE)</f>
        <v>53</v>
      </c>
      <c r="Q231" s="33" t="s">
        <v>26</v>
      </c>
      <c r="R231" s="33">
        <f>VLOOKUP(Q231,怪物信息配置表!$A$2:$B$118,2,FALSE)</f>
        <v>1105</v>
      </c>
      <c r="S231" s="33">
        <v>1</v>
      </c>
      <c r="T231" s="49">
        <f>VLOOKUP($C231,怪物并表!$E$7:$N$1000,2+($D231-1)*3,FALSE)*S231*AJ231</f>
        <v>201324.31814386719</v>
      </c>
      <c r="U231" s="49">
        <f>VLOOKUP($C231,怪物并表!$E$7:$N$1000,3+($D231-1)*3,FALSE)*S231*AK231</f>
        <v>12130.451101695657</v>
      </c>
      <c r="V231" s="49">
        <f>VLOOKUP($C231,怪物并表!$E$7:$N$1000,4+($D231-1)*3,FALSE)*S231*AL231</f>
        <v>4005.3075722809381</v>
      </c>
      <c r="W231" s="33"/>
      <c r="X231" s="33"/>
      <c r="Y231" s="49">
        <f>VLOOKUP($C231,怪物并表!$E$7:$P$1000,12,FALSE)</f>
        <v>0</v>
      </c>
      <c r="Z231" s="49">
        <f>VLOOKUP($C231,怪物并表!$E$7:$P$1000,11,FALSE)*S231</f>
        <v>3427.6839999999997</v>
      </c>
      <c r="AA231" s="33"/>
      <c r="AB231" s="33"/>
      <c r="AC231" s="33"/>
      <c r="AD231" s="33">
        <f t="shared" ref="AD231:AD242" si="35">IF(D231=1,1,IF(D231=2,0.8,1.5))</f>
        <v>1</v>
      </c>
      <c r="AE231" s="2">
        <f t="shared" si="30"/>
        <v>303.125</v>
      </c>
      <c r="AF231" s="2" t="str">
        <f>IF(ISBLANK(AM231),IF(O231=6,"",IF(O231=1,VLOOKUP(R231,怪物信息配置表!B:H,5,FALSE),IF(O231=2,VLOOKUP(R231,怪物信息配置表!B:H,6,FALSE),IF(OR(O231=3,O231=5),VLOOKUP(R231,怪物信息配置表!B:H,7,FALSE),"")))),AM231)</f>
        <v>ai_monster_02</v>
      </c>
      <c r="AG231" s="2"/>
      <c r="AH231" s="15">
        <f>SUMPRODUCT(T231:V231,$AN$3:$AP$3)+ROUNDDOWN(VLOOKUP(P231,CHOOSE({1,2},'[1]消耗&amp;价值&amp;分析'!$C$7:$C$106,'[1]消耗&amp;价值&amp;分析'!$AS$7:$AS$106),2,FALSE)*0.6,0)</f>
        <v>27531.731399731281</v>
      </c>
      <c r="AJ231" s="80">
        <v>1</v>
      </c>
      <c r="AK231" s="80">
        <v>1</v>
      </c>
      <c r="AL231" s="80">
        <v>1</v>
      </c>
    </row>
    <row r="232" spans="1:38">
      <c r="A232" s="33" t="str">
        <f>怪物并表!$R$7</f>
        <v>普通副本</v>
      </c>
      <c r="B232" s="38">
        <v>2</v>
      </c>
      <c r="C232" s="33">
        <f t="shared" si="34"/>
        <v>6007</v>
      </c>
      <c r="D232" s="33">
        <v>2</v>
      </c>
      <c r="E232" s="33">
        <f>VLOOKUP(A232,怪物并表!$R$7:$S$14,2,FALSE)</f>
        <v>1</v>
      </c>
      <c r="F232" s="38">
        <v>6</v>
      </c>
      <c r="G232" s="38">
        <v>7</v>
      </c>
      <c r="H232" s="38">
        <v>1</v>
      </c>
      <c r="I232" s="33">
        <f t="shared" si="33"/>
        <v>167102</v>
      </c>
      <c r="J232" s="33" t="s">
        <v>469</v>
      </c>
      <c r="K232" s="33"/>
      <c r="L232" s="33">
        <v>0</v>
      </c>
      <c r="M232" s="33">
        <v>1</v>
      </c>
      <c r="N232" s="33"/>
      <c r="O232" s="33">
        <v>1</v>
      </c>
      <c r="P232" s="33">
        <f>VLOOKUP($C232,CHOOSE({1,2},怪物并表!$E$7:$E$1000,怪物并表!$D$7:$D$1000),2,FALSE)</f>
        <v>53</v>
      </c>
      <c r="Q232" s="33" t="s">
        <v>17</v>
      </c>
      <c r="R232" s="33">
        <f>VLOOKUP(Q232,怪物信息配置表!$A$2:$B$118,2,FALSE)</f>
        <v>1005</v>
      </c>
      <c r="S232" s="33">
        <v>1</v>
      </c>
      <c r="T232" s="49">
        <f>VLOOKUP($C232,怪物并表!$E$7:$N$1000,2+($D232-1)*3,FALSE)*S232*AJ232</f>
        <v>161059.45451509376</v>
      </c>
      <c r="U232" s="49">
        <f>VLOOKUP($C232,怪物并表!$E$7:$N$1000,3+($D232-1)*3,FALSE)*S232*AK232</f>
        <v>11317.936748754186</v>
      </c>
      <c r="V232" s="49">
        <f>VLOOKUP($C232,怪物并表!$E$7:$N$1000,4+($D232-1)*3,FALSE)*S232*AL232</f>
        <v>3003.9806792107038</v>
      </c>
      <c r="W232" s="33"/>
      <c r="X232" s="33"/>
      <c r="Y232" s="49">
        <f>VLOOKUP($C232,怪物并表!$E$7:$P$1000,12,FALSE)</f>
        <v>0</v>
      </c>
      <c r="Z232" s="49">
        <f>VLOOKUP($C232,怪物并表!$E$7:$P$1000,11,FALSE)*S232</f>
        <v>3427.6839999999997</v>
      </c>
      <c r="AA232" s="33"/>
      <c r="AB232" s="33"/>
      <c r="AC232" s="33"/>
      <c r="AD232" s="33">
        <f t="shared" si="35"/>
        <v>0.8</v>
      </c>
      <c r="AE232" s="2">
        <f t="shared" si="30"/>
        <v>496.5</v>
      </c>
      <c r="AF232" s="2" t="str">
        <f>IF(ISBLANK(AM232),IF(O232=6,"",IF(O232=1,VLOOKUP(R232,怪物信息配置表!B:H,5,FALSE),IF(O232=2,VLOOKUP(R232,怪物信息配置表!B:H,6,FALSE),IF(OR(O232=3,O232=5),VLOOKUP(R232,怪物信息配置表!B:H,7,FALSE),"")))),AM232)</f>
        <v>ai_monster_02</v>
      </c>
      <c r="AG232" s="2"/>
      <c r="AH232" s="15">
        <f>SUMPRODUCT(T232:V232,$AN$3:$AP$3)+ROUNDDOWN(VLOOKUP(P232,CHOOSE({1,2},'[1]消耗&amp;价值&amp;分析'!$C$7:$C$106,'[1]消耗&amp;价值&amp;分析'!$AS$7:$AS$106),2,FALSE)*0.6,0)</f>
        <v>24107.295608568642</v>
      </c>
      <c r="AJ232" s="80">
        <v>1</v>
      </c>
      <c r="AK232" s="80">
        <v>1</v>
      </c>
      <c r="AL232" s="80">
        <v>1</v>
      </c>
    </row>
    <row r="233" spans="1:38">
      <c r="A233" s="33" t="str">
        <f>怪物并表!$R$7</f>
        <v>普通副本</v>
      </c>
      <c r="B233" s="38">
        <v>3</v>
      </c>
      <c r="C233" s="33">
        <f t="shared" si="34"/>
        <v>6007</v>
      </c>
      <c r="D233" s="33">
        <v>1</v>
      </c>
      <c r="E233" s="33">
        <f>VLOOKUP(A233,怪物并表!$R$7:$S$14,2,FALSE)</f>
        <v>1</v>
      </c>
      <c r="F233" s="38">
        <v>6</v>
      </c>
      <c r="G233" s="38">
        <v>7</v>
      </c>
      <c r="H233" s="38">
        <v>1</v>
      </c>
      <c r="I233" s="33">
        <f t="shared" si="33"/>
        <v>167103</v>
      </c>
      <c r="J233" s="33" t="s">
        <v>216</v>
      </c>
      <c r="K233" s="33"/>
      <c r="L233" s="33">
        <v>0</v>
      </c>
      <c r="M233" s="33">
        <v>1</v>
      </c>
      <c r="N233" s="33"/>
      <c r="O233" s="33">
        <v>1</v>
      </c>
      <c r="P233" s="33">
        <f>VLOOKUP($C233,CHOOSE({1,2},怪物并表!$E$7:$E$1000,怪物并表!$D$7:$D$1000),2,FALSE)</f>
        <v>53</v>
      </c>
      <c r="Q233" s="33" t="s">
        <v>12</v>
      </c>
      <c r="R233" s="33">
        <f>VLOOKUP(Q233,怪物信息配置表!$A$2:$B$118,2,FALSE)</f>
        <v>1009</v>
      </c>
      <c r="S233" s="33">
        <v>1</v>
      </c>
      <c r="T233" s="49">
        <f>VLOOKUP($C233,怪物并表!$E$7:$N$1000,2+($D233-1)*3,FALSE)*S233*AJ233</f>
        <v>201324.31814386719</v>
      </c>
      <c r="U233" s="49">
        <f>VLOOKUP($C233,怪物并表!$E$7:$N$1000,3+($D233-1)*3,FALSE)*S233*AK233</f>
        <v>12130.451101695657</v>
      </c>
      <c r="V233" s="49">
        <f>VLOOKUP($C233,怪物并表!$E$7:$N$1000,4+($D233-1)*3,FALSE)*S233*AL233</f>
        <v>4005.3075722809381</v>
      </c>
      <c r="W233" s="33"/>
      <c r="X233" s="33"/>
      <c r="Y233" s="49">
        <f>VLOOKUP($C233,怪物并表!$E$7:$P$1000,12,FALSE)</f>
        <v>0</v>
      </c>
      <c r="Z233" s="49">
        <f>VLOOKUP($C233,怪物并表!$E$7:$P$1000,11,FALSE)*S233</f>
        <v>3427.6839999999997</v>
      </c>
      <c r="AA233" s="33"/>
      <c r="AB233" s="33"/>
      <c r="AC233" s="33"/>
      <c r="AD233" s="33">
        <f t="shared" si="35"/>
        <v>1</v>
      </c>
      <c r="AE233" s="2">
        <f t="shared" si="30"/>
        <v>370.625</v>
      </c>
      <c r="AF233" s="2" t="str">
        <f>IF(ISBLANK(AM233),IF(O233=6,"",IF(O233=1,VLOOKUP(R233,怪物信息配置表!B:H,5,FALSE),IF(O233=2,VLOOKUP(R233,怪物信息配置表!B:H,6,FALSE),IF(OR(O233=3,O233=5),VLOOKUP(R233,怪物信息配置表!B:H,7,FALSE),"")))),AM233)</f>
        <v>ai_monster</v>
      </c>
      <c r="AG233" s="2"/>
      <c r="AH233" s="15">
        <f>SUMPRODUCT(T233:V233,$AN$3:$AP$3)+ROUNDDOWN(VLOOKUP(P233,CHOOSE({1,2},'[1]消耗&amp;价值&amp;分析'!$C$7:$C$106,'[1]消耗&amp;价值&amp;分析'!$AS$7:$AS$106),2,FALSE)*0.6,0)</f>
        <v>27531.731399731281</v>
      </c>
      <c r="AJ233" s="80">
        <v>1</v>
      </c>
      <c r="AK233" s="80">
        <v>1</v>
      </c>
      <c r="AL233" s="80">
        <v>1</v>
      </c>
    </row>
    <row r="234" spans="1:38">
      <c r="A234" s="33" t="str">
        <f>怪物并表!$R$7</f>
        <v>普通副本</v>
      </c>
      <c r="B234" s="38">
        <v>4</v>
      </c>
      <c r="C234" s="33">
        <f t="shared" si="34"/>
        <v>6007</v>
      </c>
      <c r="D234" s="33">
        <v>3</v>
      </c>
      <c r="E234" s="33">
        <f>VLOOKUP(A234,怪物并表!$R$7:$S$14,2,FALSE)</f>
        <v>1</v>
      </c>
      <c r="F234" s="38">
        <v>6</v>
      </c>
      <c r="G234" s="38">
        <v>7</v>
      </c>
      <c r="H234" s="38">
        <v>1</v>
      </c>
      <c r="I234" s="33">
        <f t="shared" si="33"/>
        <v>167104</v>
      </c>
      <c r="J234" s="33" t="s">
        <v>604</v>
      </c>
      <c r="K234" s="33"/>
      <c r="L234" s="33">
        <v>1</v>
      </c>
      <c r="M234" s="33">
        <v>1.2</v>
      </c>
      <c r="N234" s="33"/>
      <c r="O234" s="33">
        <v>3</v>
      </c>
      <c r="P234" s="33">
        <f>VLOOKUP($C234,CHOOSE({1,2},怪物并表!$E$7:$E$1000,怪物并表!$D$7:$D$1000),2,FALSE)</f>
        <v>53</v>
      </c>
      <c r="Q234" s="33" t="s">
        <v>588</v>
      </c>
      <c r="R234" s="33">
        <f>VLOOKUP(Q234,怪物信息配置表!$A$2:$B$118,2,FALSE)</f>
        <v>1113</v>
      </c>
      <c r="S234" s="33">
        <v>1</v>
      </c>
      <c r="T234" s="49">
        <f>VLOOKUP($C234,怪物并表!$E$7:$N$1000,2+($D234-1)*3,FALSE)*S234*AJ234</f>
        <v>503310.79535966797</v>
      </c>
      <c r="U234" s="49">
        <f>VLOOKUP($C234,怪物并表!$E$7:$N$1000,3+($D234-1)*3,FALSE)*S234*AK234</f>
        <v>13755.479807578598</v>
      </c>
      <c r="V234" s="49">
        <f>VLOOKUP($C234,怪物并表!$E$7:$N$1000,4+($D234-1)*3,FALSE)*S234*AL234</f>
        <v>5006.6344653511724</v>
      </c>
      <c r="W234" s="33"/>
      <c r="X234" s="33"/>
      <c r="Y234" s="49">
        <f>VLOOKUP($C234,怪物并表!$E$7:$P$1000,12,FALSE)</f>
        <v>0</v>
      </c>
      <c r="Z234" s="49">
        <f>VLOOKUP($C234,怪物并表!$E$7:$P$1000,11,FALSE)*S234</f>
        <v>3427.6839999999997</v>
      </c>
      <c r="AA234" s="33"/>
      <c r="AB234" s="33"/>
      <c r="AC234" s="33"/>
      <c r="AD234" s="33">
        <f t="shared" si="35"/>
        <v>1.5</v>
      </c>
      <c r="AE234" s="2">
        <f t="shared" si="30"/>
        <v>52.8125</v>
      </c>
      <c r="AF234" s="2" t="str">
        <f>IF(ISBLANK(AM234),IF(O234=6,"",IF(O234=1,VLOOKUP(R234,怪物信息配置表!B:H,5,FALSE),IF(O234=2,VLOOKUP(R234,怪物信息配置表!B:H,6,FALSE),IF(OR(O234=3,O234=5),VLOOKUP(R234,怪物信息配置表!B:H,7,FALSE),"")))),AM234)</f>
        <v>1102_wuya_BOSS</v>
      </c>
      <c r="AG234" s="2"/>
      <c r="AH234" s="15">
        <f>SUMPRODUCT(T234:V234,$AN$3:$AP$3)+ROUNDDOWN(VLOOKUP(P234,CHOOSE({1,2},'[1]消耗&amp;价值&amp;分析'!$C$7:$C$106,'[1]消耗&amp;价值&amp;分析'!$AS$7:$AS$106),2,FALSE)*0.6,0)</f>
        <v>42237.546087316492</v>
      </c>
      <c r="AJ234" s="80">
        <v>1</v>
      </c>
      <c r="AK234" s="80">
        <v>1</v>
      </c>
      <c r="AL234" s="80">
        <v>1</v>
      </c>
    </row>
    <row r="235" spans="1:38">
      <c r="A235" s="33" t="str">
        <f>怪物并表!$R$7</f>
        <v>普通副本</v>
      </c>
      <c r="B235" s="38">
        <v>1</v>
      </c>
      <c r="C235" s="33">
        <f t="shared" si="34"/>
        <v>6008</v>
      </c>
      <c r="D235" s="33">
        <v>1</v>
      </c>
      <c r="E235" s="33">
        <f>VLOOKUP(A235,怪物并表!$R$7:$S$14,2,FALSE)</f>
        <v>1</v>
      </c>
      <c r="F235" s="38">
        <v>6</v>
      </c>
      <c r="G235" s="38">
        <v>8</v>
      </c>
      <c r="H235" s="38">
        <v>1</v>
      </c>
      <c r="I235" s="33">
        <f t="shared" si="33"/>
        <v>168101</v>
      </c>
      <c r="J235" s="33" t="s">
        <v>7</v>
      </c>
      <c r="K235" s="33"/>
      <c r="L235" s="33">
        <v>0</v>
      </c>
      <c r="M235" s="33">
        <v>1</v>
      </c>
      <c r="N235" s="33"/>
      <c r="O235" s="33">
        <v>1</v>
      </c>
      <c r="P235" s="33">
        <f>VLOOKUP($C235,CHOOSE({1,2},怪物并表!$E$7:$E$1000,怪物并表!$D$7:$D$1000),2,FALSE)</f>
        <v>54</v>
      </c>
      <c r="Q235" s="33" t="s">
        <v>7</v>
      </c>
      <c r="R235" s="33">
        <f>VLOOKUP(Q235,怪物信息配置表!$A$2:$B$118,2,FALSE)</f>
        <v>1002</v>
      </c>
      <c r="S235" s="33">
        <v>1</v>
      </c>
      <c r="T235" s="49">
        <f>VLOOKUP($C235,怪物并表!$E$7:$N$1000,2+($D235-1)*3,FALSE)*S235*AJ235</f>
        <v>216794.36946781015</v>
      </c>
      <c r="U235" s="49">
        <f>VLOOKUP($C235,怪物并表!$E$7:$N$1000,3+($D235-1)*3,FALSE)*S235*AK235</f>
        <v>13168.713571351393</v>
      </c>
      <c r="V235" s="49">
        <f>VLOOKUP($C235,怪物并表!$E$7:$N$1000,4+($D235-1)*3,FALSE)*S235*AL235</f>
        <v>4264.4749120000015</v>
      </c>
      <c r="W235" s="33"/>
      <c r="X235" s="33"/>
      <c r="Y235" s="49">
        <f>VLOOKUP($C235,怪物并表!$E$7:$P$1000,12,FALSE)</f>
        <v>0</v>
      </c>
      <c r="Z235" s="49">
        <f>VLOOKUP($C235,怪物并表!$E$7:$P$1000,11,FALSE)*S235</f>
        <v>3485.9119999999998</v>
      </c>
      <c r="AA235" s="33"/>
      <c r="AB235" s="33"/>
      <c r="AC235" s="33"/>
      <c r="AD235" s="33">
        <f t="shared" si="35"/>
        <v>1</v>
      </c>
      <c r="AE235" s="2">
        <f t="shared" si="30"/>
        <v>358.75</v>
      </c>
      <c r="AF235" s="2" t="str">
        <f>IF(ISBLANK(AM235),IF(O235=6,"",IF(O235=1,VLOOKUP(R235,怪物信息配置表!B:H,5,FALSE),IF(O235=2,VLOOKUP(R235,怪物信息配置表!B:H,6,FALSE),IF(OR(O235=3,O235=5),VLOOKUP(R235,怪物信息配置表!B:H,7,FALSE),"")))),AM235)</f>
        <v>ai_monster</v>
      </c>
      <c r="AG235" s="2"/>
      <c r="AH235" s="15">
        <f>SUMPRODUCT(T235:V235,$AN$3:$AP$3)+ROUNDDOWN(VLOOKUP(P235,CHOOSE({1,2},'[1]消耗&amp;价值&amp;分析'!$C$7:$C$106,'[1]消耗&amp;价值&amp;分析'!$AS$7:$AS$106),2,FALSE)*0.6,0)</f>
        <v>29593.9632620638</v>
      </c>
      <c r="AJ235" s="80">
        <v>1</v>
      </c>
      <c r="AK235" s="80">
        <v>1</v>
      </c>
      <c r="AL235" s="80">
        <v>1</v>
      </c>
    </row>
    <row r="236" spans="1:38">
      <c r="A236" s="33" t="str">
        <f>怪物并表!$R$7</f>
        <v>普通副本</v>
      </c>
      <c r="B236" s="38">
        <v>2</v>
      </c>
      <c r="C236" s="33">
        <f t="shared" si="34"/>
        <v>6008</v>
      </c>
      <c r="D236" s="33">
        <v>1</v>
      </c>
      <c r="E236" s="33">
        <f>VLOOKUP(A236,怪物并表!$R$7:$S$14,2,FALSE)</f>
        <v>1</v>
      </c>
      <c r="F236" s="38">
        <v>6</v>
      </c>
      <c r="G236" s="38">
        <v>8</v>
      </c>
      <c r="H236" s="38">
        <v>1</v>
      </c>
      <c r="I236" s="33">
        <f t="shared" si="33"/>
        <v>168102</v>
      </c>
      <c r="J236" s="33" t="s">
        <v>44</v>
      </c>
      <c r="K236" s="33"/>
      <c r="L236" s="33">
        <v>0</v>
      </c>
      <c r="M236" s="33">
        <v>1</v>
      </c>
      <c r="N236" s="33"/>
      <c r="O236" s="33">
        <v>1</v>
      </c>
      <c r="P236" s="33">
        <f>VLOOKUP($C236,CHOOSE({1,2},怪物并表!$E$7:$E$1000,怪物并表!$D$7:$D$1000),2,FALSE)</f>
        <v>54</v>
      </c>
      <c r="Q236" s="33" t="s">
        <v>25</v>
      </c>
      <c r="R236" s="33">
        <f>VLOOKUP(Q236,怪物信息配置表!$A$2:$B$118,2,FALSE)</f>
        <v>1012</v>
      </c>
      <c r="S236" s="33">
        <v>1</v>
      </c>
      <c r="T236" s="49">
        <f>VLOOKUP($C236,怪物并表!$E$7:$N$1000,2+($D236-1)*3,FALSE)*S236*AJ236</f>
        <v>216794.36946781015</v>
      </c>
      <c r="U236" s="49">
        <f>VLOOKUP($C236,怪物并表!$E$7:$N$1000,3+($D236-1)*3,FALSE)*S236*AK236</f>
        <v>13168.713571351393</v>
      </c>
      <c r="V236" s="49">
        <f>VLOOKUP($C236,怪物并表!$E$7:$N$1000,4+($D236-1)*3,FALSE)*S236*AL236</f>
        <v>4264.4749120000015</v>
      </c>
      <c r="W236" s="33"/>
      <c r="X236" s="33"/>
      <c r="Y236" s="49">
        <f>VLOOKUP($C236,怪物并表!$E$7:$P$1000,12,FALSE)</f>
        <v>0</v>
      </c>
      <c r="Z236" s="49">
        <f>VLOOKUP($C236,怪物并表!$E$7:$P$1000,11,FALSE)*S236</f>
        <v>3485.9119999999998</v>
      </c>
      <c r="AA236" s="33"/>
      <c r="AB236" s="33"/>
      <c r="AC236" s="33"/>
      <c r="AD236" s="33">
        <f t="shared" si="35"/>
        <v>1</v>
      </c>
      <c r="AE236" s="2">
        <f t="shared" si="30"/>
        <v>358.75</v>
      </c>
      <c r="AF236" s="2" t="str">
        <f>IF(ISBLANK(AM236),IF(O236=6,"",IF(O236=1,VLOOKUP(R236,怪物信息配置表!B:H,5,FALSE),IF(O236=2,VLOOKUP(R236,怪物信息配置表!B:H,6,FALSE),IF(OR(O236=3,O236=5),VLOOKUP(R236,怪物信息配置表!B:H,7,FALSE),"")))),AM236)</f>
        <v>ai_monster_03</v>
      </c>
      <c r="AG236" s="2"/>
      <c r="AH236" s="15">
        <f>SUMPRODUCT(T236:V236,$AN$3:$AP$3)+ROUNDDOWN(VLOOKUP(P236,CHOOSE({1,2},'[1]消耗&amp;价值&amp;分析'!$C$7:$C$106,'[1]消耗&amp;价值&amp;分析'!$AS$7:$AS$106),2,FALSE)*0.6,0)</f>
        <v>29593.9632620638</v>
      </c>
      <c r="AJ236" s="80">
        <v>1</v>
      </c>
      <c r="AK236" s="80">
        <v>1</v>
      </c>
      <c r="AL236" s="80">
        <v>1</v>
      </c>
    </row>
    <row r="237" spans="1:38">
      <c r="A237" s="33" t="str">
        <f>怪物并表!$R$7</f>
        <v>普通副本</v>
      </c>
      <c r="B237" s="38">
        <v>3</v>
      </c>
      <c r="C237" s="33">
        <f t="shared" si="34"/>
        <v>6008</v>
      </c>
      <c r="D237" s="33">
        <v>1</v>
      </c>
      <c r="E237" s="33">
        <f>VLOOKUP(A237,怪物并表!$R$7:$S$14,2,FALSE)</f>
        <v>1</v>
      </c>
      <c r="F237" s="38">
        <v>6</v>
      </c>
      <c r="G237" s="38">
        <v>8</v>
      </c>
      <c r="H237" s="38">
        <v>1</v>
      </c>
      <c r="I237" s="33">
        <f t="shared" si="33"/>
        <v>168103</v>
      </c>
      <c r="J237" s="33" t="s">
        <v>483</v>
      </c>
      <c r="K237" s="33"/>
      <c r="L237" s="33">
        <v>0</v>
      </c>
      <c r="M237" s="33">
        <v>1</v>
      </c>
      <c r="N237" s="33"/>
      <c r="O237" s="33">
        <v>1</v>
      </c>
      <c r="P237" s="33">
        <f>VLOOKUP($C237,CHOOSE({1,2},怪物并表!$E$7:$E$1000,怪物并表!$D$7:$D$1000),2,FALSE)</f>
        <v>54</v>
      </c>
      <c r="Q237" s="33" t="s">
        <v>24</v>
      </c>
      <c r="R237" s="33">
        <f>VLOOKUP(Q237,怪物信息配置表!$A$2:$B$118,2,FALSE)</f>
        <v>1015</v>
      </c>
      <c r="S237" s="33">
        <v>1</v>
      </c>
      <c r="T237" s="49">
        <f>VLOOKUP($C237,怪物并表!$E$7:$N$1000,2+($D237-1)*3,FALSE)*S237*AJ237</f>
        <v>216794.36946781015</v>
      </c>
      <c r="U237" s="49">
        <f>VLOOKUP($C237,怪物并表!$E$7:$N$1000,3+($D237-1)*3,FALSE)*S237*AK237</f>
        <v>13168.713571351393</v>
      </c>
      <c r="V237" s="49">
        <f>VLOOKUP($C237,怪物并表!$E$7:$N$1000,4+($D237-1)*3,FALSE)*S237*AL237</f>
        <v>4264.4749120000015</v>
      </c>
      <c r="W237" s="33"/>
      <c r="X237" s="33"/>
      <c r="Y237" s="49">
        <f>VLOOKUP($C237,怪物并表!$E$7:$P$1000,12,FALSE)</f>
        <v>0</v>
      </c>
      <c r="Z237" s="49">
        <f>VLOOKUP($C237,怪物并表!$E$7:$P$1000,11,FALSE)*S237</f>
        <v>3485.9119999999998</v>
      </c>
      <c r="AA237" s="33"/>
      <c r="AB237" s="33"/>
      <c r="AC237" s="33"/>
      <c r="AD237" s="33">
        <f t="shared" si="35"/>
        <v>1</v>
      </c>
      <c r="AE237" s="2">
        <f t="shared" si="30"/>
        <v>293.75</v>
      </c>
      <c r="AF237" s="2" t="str">
        <f>IF(ISBLANK(AM237),IF(O237=6,"",IF(O237=1,VLOOKUP(R237,怪物信息配置表!B:H,5,FALSE),IF(O237=2,VLOOKUP(R237,怪物信息配置表!B:H,6,FALSE),IF(OR(O237=3,O237=5),VLOOKUP(R237,怪物信息配置表!B:H,7,FALSE),"")))),AM237)</f>
        <v>ai_monster_03</v>
      </c>
      <c r="AG237" s="2"/>
      <c r="AH237" s="15">
        <f>SUMPRODUCT(T237:V237,$AN$3:$AP$3)+ROUNDDOWN(VLOOKUP(P237,CHOOSE({1,2},'[1]消耗&amp;价值&amp;分析'!$C$7:$C$106,'[1]消耗&amp;价值&amp;分析'!$AS$7:$AS$106),2,FALSE)*0.6,0)</f>
        <v>29593.9632620638</v>
      </c>
      <c r="AJ237" s="80">
        <v>1</v>
      </c>
      <c r="AK237" s="80">
        <v>1</v>
      </c>
      <c r="AL237" s="80">
        <v>1</v>
      </c>
    </row>
    <row r="238" spans="1:38">
      <c r="A238" s="33" t="str">
        <f>怪物并表!$R$7</f>
        <v>普通副本</v>
      </c>
      <c r="B238" s="38">
        <v>4</v>
      </c>
      <c r="C238" s="33">
        <f t="shared" si="34"/>
        <v>6008</v>
      </c>
      <c r="D238" s="33">
        <v>3</v>
      </c>
      <c r="E238" s="33">
        <f>VLOOKUP(A238,怪物并表!$R$7:$S$14,2,FALSE)</f>
        <v>1</v>
      </c>
      <c r="F238" s="38">
        <v>6</v>
      </c>
      <c r="G238" s="38">
        <v>8</v>
      </c>
      <c r="H238" s="38">
        <v>1</v>
      </c>
      <c r="I238" s="33">
        <f t="shared" si="33"/>
        <v>168104</v>
      </c>
      <c r="J238" s="33" t="s">
        <v>605</v>
      </c>
      <c r="K238" s="33"/>
      <c r="L238" s="33">
        <v>1</v>
      </c>
      <c r="M238" s="33">
        <v>1.2</v>
      </c>
      <c r="N238" s="33" t="s">
        <v>211</v>
      </c>
      <c r="O238" s="33">
        <v>3</v>
      </c>
      <c r="P238" s="33">
        <f>VLOOKUP($C238,CHOOSE({1,2},怪物并表!$E$7:$E$1000,怪物并表!$D$7:$D$1000),2,FALSE)</f>
        <v>54</v>
      </c>
      <c r="Q238" s="33" t="s">
        <v>20</v>
      </c>
      <c r="R238" s="33">
        <f>VLOOKUP(Q238,怪物信息配置表!$A$2:$B$118,2,FALSE)</f>
        <v>1103</v>
      </c>
      <c r="S238" s="33">
        <v>1</v>
      </c>
      <c r="T238" s="49">
        <f>VLOOKUP($C238,怪物并表!$E$7:$N$1000,2+($D238-1)*3,FALSE)*S238*AJ238</f>
        <v>541985.92366952542</v>
      </c>
      <c r="U238" s="49">
        <f>VLOOKUP($C238,怪物并表!$E$7:$N$1000,3+($D238-1)*3,FALSE)*S238*AK238</f>
        <v>14949.56130322167</v>
      </c>
      <c r="V238" s="49">
        <f>VLOOKUP($C238,怪物并表!$E$7:$N$1000,4+($D238-1)*3,FALSE)*S238*AL238</f>
        <v>5330.5936400000019</v>
      </c>
      <c r="W238" s="33"/>
      <c r="X238" s="33"/>
      <c r="Y238" s="49">
        <f>VLOOKUP($C238,怪物并表!$E$7:$P$1000,12,FALSE)</f>
        <v>0</v>
      </c>
      <c r="Z238" s="49">
        <f>VLOOKUP($C238,怪物并表!$E$7:$P$1000,11,FALSE)*S238</f>
        <v>3485.9119999999998</v>
      </c>
      <c r="AA238" s="33"/>
      <c r="AB238" s="33"/>
      <c r="AC238" s="33"/>
      <c r="AD238" s="33">
        <f t="shared" si="35"/>
        <v>1.5</v>
      </c>
      <c r="AE238" s="2">
        <f t="shared" si="30"/>
        <v>50</v>
      </c>
      <c r="AF238" s="2" t="str">
        <f>IF(ISBLANK(AM238),IF(O238=6,"",IF(O238=1,VLOOKUP(R238,怪物信息配置表!B:H,5,FALSE),IF(O238=2,VLOOKUP(R238,怪物信息配置表!B:H,6,FALSE),IF(OR(O238=3,O238=5),VLOOKUP(R238,怪物信息配置表!B:H,7,FALSE),"")))),AM238)</f>
        <v>1103_situ_BOSS</v>
      </c>
      <c r="AG238" s="2"/>
      <c r="AH238" s="15">
        <f>SUMPRODUCT(T238:V238,$AN$3:$AP$3)+ROUNDDOWN(VLOOKUP(P238,CHOOSE({1,2},'[1]消耗&amp;价值&amp;分析'!$C$7:$C$106,'[1]消耗&amp;价值&amp;分析'!$AS$7:$AS$106),2,FALSE)*0.6,0)</f>
        <v>45448.591890002688</v>
      </c>
      <c r="AJ238" s="80">
        <v>1</v>
      </c>
      <c r="AK238" s="80">
        <v>1</v>
      </c>
      <c r="AL238" s="80">
        <v>1</v>
      </c>
    </row>
    <row r="239" spans="1:38">
      <c r="A239" s="33" t="str">
        <f>怪物并表!$R$7</f>
        <v>普通副本</v>
      </c>
      <c r="B239" s="38">
        <v>1</v>
      </c>
      <c r="C239" s="33">
        <f t="shared" si="34"/>
        <v>6009</v>
      </c>
      <c r="D239" s="33">
        <v>1</v>
      </c>
      <c r="E239" s="33">
        <f>VLOOKUP(A239,怪物并表!$R$7:$S$14,2,FALSE)</f>
        <v>1</v>
      </c>
      <c r="F239" s="38">
        <v>6</v>
      </c>
      <c r="G239" s="38">
        <v>9</v>
      </c>
      <c r="H239" s="38">
        <v>1</v>
      </c>
      <c r="I239" s="33">
        <f t="shared" si="33"/>
        <v>169101</v>
      </c>
      <c r="J239" s="33" t="s">
        <v>22</v>
      </c>
      <c r="K239" s="33"/>
      <c r="L239" s="33">
        <v>0</v>
      </c>
      <c r="M239" s="33">
        <v>1</v>
      </c>
      <c r="N239" s="33" t="s">
        <v>229</v>
      </c>
      <c r="O239" s="33">
        <v>1</v>
      </c>
      <c r="P239" s="33">
        <f>VLOOKUP($C239,CHOOSE({1,2},怪物并表!$E$7:$E$1000,怪物并表!$D$7:$D$1000),2,FALSE)</f>
        <v>55</v>
      </c>
      <c r="Q239" s="33" t="s">
        <v>22</v>
      </c>
      <c r="R239" s="33">
        <f>VLOOKUP(Q239,怪物信息配置表!$A$2:$B$118,2,FALSE)</f>
        <v>1013</v>
      </c>
      <c r="S239" s="33">
        <v>1</v>
      </c>
      <c r="T239" s="49">
        <f>VLOOKUP($C239,怪物并表!$E$7:$N$1000,2+($D239-1)*3,FALSE)*S239*AJ239</f>
        <v>279687.61815618019</v>
      </c>
      <c r="U239" s="49">
        <f>VLOOKUP($C239,怪物并表!$E$7:$N$1000,3+($D239-1)*3,FALSE)*S239*AK239</f>
        <v>16222.995152809737</v>
      </c>
      <c r="V239" s="49">
        <f>VLOOKUP($C239,怪物并表!$E$7:$N$1000,4+($D239-1)*3,FALSE)*S239*AL239</f>
        <v>5667.1369502508369</v>
      </c>
      <c r="W239" s="33"/>
      <c r="X239" s="33"/>
      <c r="Y239" s="49">
        <f>VLOOKUP($C239,怪物并表!$E$7:$P$1000,12,FALSE)</f>
        <v>0</v>
      </c>
      <c r="Z239" s="49">
        <f>VLOOKUP($C239,怪物并表!$E$7:$P$1000,11,FALSE)*S239</f>
        <v>3544.1399999999994</v>
      </c>
      <c r="AA239" s="33"/>
      <c r="AB239" s="33"/>
      <c r="AC239" s="33"/>
      <c r="AD239" s="33">
        <f t="shared" si="35"/>
        <v>1</v>
      </c>
      <c r="AE239" s="2">
        <f t="shared" si="30"/>
        <v>346.875</v>
      </c>
      <c r="AF239" s="2" t="str">
        <f>IF(ISBLANK(AM239),IF(O239=6,"",IF(O239=1,VLOOKUP(R239,怪物信息配置表!B:H,5,FALSE),IF(O239=2,VLOOKUP(R239,怪物信息配置表!B:H,6,FALSE),IF(OR(O239=3,O239=5),VLOOKUP(R239,怪物信息配置表!B:H,7,FALSE),"")))),AM239)</f>
        <v>ai_monster_02</v>
      </c>
      <c r="AG239" s="2"/>
      <c r="AH239" s="15">
        <f>SUMPRODUCT(T239:V239,$AN$3:$AP$3)+ROUNDDOWN(VLOOKUP(P239,CHOOSE({1,2},'[1]消耗&amp;价值&amp;分析'!$C$7:$C$106,'[1]消耗&amp;价值&amp;分析'!$AS$7:$AS$106),2,FALSE)*0.6,0)</f>
        <v>36771.636829307783</v>
      </c>
      <c r="AJ239" s="80">
        <v>1</v>
      </c>
      <c r="AK239" s="80">
        <v>1</v>
      </c>
      <c r="AL239" s="80">
        <v>1</v>
      </c>
    </row>
    <row r="240" spans="1:38">
      <c r="A240" s="33" t="str">
        <f>怪物并表!$R$7</f>
        <v>普通副本</v>
      </c>
      <c r="B240" s="38">
        <v>2</v>
      </c>
      <c r="C240" s="33">
        <f t="shared" si="34"/>
        <v>6009</v>
      </c>
      <c r="D240" s="33">
        <v>1</v>
      </c>
      <c r="E240" s="33">
        <f>VLOOKUP(A240,怪物并表!$R$7:$S$14,2,FALSE)</f>
        <v>1</v>
      </c>
      <c r="F240" s="38">
        <v>6</v>
      </c>
      <c r="G240" s="38">
        <v>9</v>
      </c>
      <c r="H240" s="38">
        <v>1</v>
      </c>
      <c r="I240" s="33">
        <f t="shared" si="33"/>
        <v>169102</v>
      </c>
      <c r="J240" s="33" t="s">
        <v>462</v>
      </c>
      <c r="K240" s="33"/>
      <c r="L240" s="33">
        <v>0</v>
      </c>
      <c r="M240" s="33">
        <v>1</v>
      </c>
      <c r="N240" s="33" t="s">
        <v>215</v>
      </c>
      <c r="O240" s="33">
        <v>1</v>
      </c>
      <c r="P240" s="33">
        <f>VLOOKUP($C240,CHOOSE({1,2},怪物并表!$E$7:$E$1000,怪物并表!$D$7:$D$1000),2,FALSE)</f>
        <v>55</v>
      </c>
      <c r="Q240" s="33" t="s">
        <v>11</v>
      </c>
      <c r="R240" s="33">
        <f>VLOOKUP(Q240,怪物信息配置表!$A$2:$B$118,2,FALSE)</f>
        <v>1011</v>
      </c>
      <c r="S240" s="33">
        <v>1</v>
      </c>
      <c r="T240" s="49">
        <f>VLOOKUP($C240,怪物并表!$E$7:$N$1000,2+($D240-1)*3,FALSE)*S240*AJ240</f>
        <v>279687.61815618019</v>
      </c>
      <c r="U240" s="49">
        <f>VLOOKUP($C240,怪物并表!$E$7:$N$1000,3+($D240-1)*3,FALSE)*S240*AK240</f>
        <v>16222.995152809737</v>
      </c>
      <c r="V240" s="49">
        <f>VLOOKUP($C240,怪物并表!$E$7:$N$1000,4+($D240-1)*3,FALSE)*S240*AL240</f>
        <v>5667.1369502508369</v>
      </c>
      <c r="W240" s="33"/>
      <c r="X240" s="33"/>
      <c r="Y240" s="49">
        <f>VLOOKUP($C240,怪物并表!$E$7:$P$1000,12,FALSE)</f>
        <v>0</v>
      </c>
      <c r="Z240" s="49">
        <f>VLOOKUP($C240,怪物并表!$E$7:$P$1000,11,FALSE)*S240</f>
        <v>3544.1399999999994</v>
      </c>
      <c r="AA240" s="33"/>
      <c r="AB240" s="33"/>
      <c r="AC240" s="33"/>
      <c r="AD240" s="33">
        <f t="shared" si="35"/>
        <v>1</v>
      </c>
      <c r="AE240" s="2">
        <f t="shared" si="30"/>
        <v>346.875</v>
      </c>
      <c r="AF240" s="2" t="str">
        <f>IF(ISBLANK(AM240),IF(O240=6,"",IF(O240=1,VLOOKUP(R240,怪物信息配置表!B:H,5,FALSE),IF(O240=2,VLOOKUP(R240,怪物信息配置表!B:H,6,FALSE),IF(OR(O240=3,O240=5),VLOOKUP(R240,怪物信息配置表!B:H,7,FALSE),"")))),AM240)</f>
        <v>ai_monster</v>
      </c>
      <c r="AG240" s="2"/>
      <c r="AH240" s="15">
        <f>SUMPRODUCT(T240:V240,$AN$3:$AP$3)+ROUNDDOWN(VLOOKUP(P240,CHOOSE({1,2},'[1]消耗&amp;价值&amp;分析'!$C$7:$C$106,'[1]消耗&amp;价值&amp;分析'!$AS$7:$AS$106),2,FALSE)*0.6,0)</f>
        <v>36771.636829307783</v>
      </c>
      <c r="AJ240" s="80">
        <v>1</v>
      </c>
      <c r="AK240" s="80">
        <v>1</v>
      </c>
      <c r="AL240" s="80">
        <v>1</v>
      </c>
    </row>
    <row r="241" spans="1:38">
      <c r="A241" s="33" t="str">
        <f>怪物并表!$R$7</f>
        <v>普通副本</v>
      </c>
      <c r="B241" s="38">
        <v>3</v>
      </c>
      <c r="C241" s="33">
        <f t="shared" si="34"/>
        <v>6009</v>
      </c>
      <c r="D241" s="33">
        <v>1</v>
      </c>
      <c r="E241" s="33">
        <f>VLOOKUP(A241,怪物并表!$R$7:$S$14,2,FALSE)</f>
        <v>1</v>
      </c>
      <c r="F241" s="38">
        <v>6</v>
      </c>
      <c r="G241" s="38">
        <v>9</v>
      </c>
      <c r="H241" s="38">
        <v>1</v>
      </c>
      <c r="I241" s="33">
        <f t="shared" si="33"/>
        <v>169103</v>
      </c>
      <c r="J241" s="33" t="s">
        <v>482</v>
      </c>
      <c r="K241" s="33"/>
      <c r="L241" s="33">
        <v>0</v>
      </c>
      <c r="M241" s="33">
        <v>1</v>
      </c>
      <c r="N241" s="33"/>
      <c r="O241" s="33">
        <v>1</v>
      </c>
      <c r="P241" s="33">
        <f>VLOOKUP($C241,CHOOSE({1,2},怪物并表!$E$7:$E$1000,怪物并表!$D$7:$D$1000),2,FALSE)</f>
        <v>55</v>
      </c>
      <c r="Q241" s="33" t="s">
        <v>399</v>
      </c>
      <c r="R241" s="33">
        <f>VLOOKUP(Q241,怪物信息配置表!$A$2:$B$118,2,FALSE)</f>
        <v>1014</v>
      </c>
      <c r="S241" s="33">
        <v>1</v>
      </c>
      <c r="T241" s="49">
        <f>VLOOKUP($C241,怪物并表!$E$7:$N$1000,2+($D241-1)*3,FALSE)*S241*AJ241</f>
        <v>279687.61815618019</v>
      </c>
      <c r="U241" s="49">
        <f>VLOOKUP($C241,怪物并表!$E$7:$N$1000,3+($D241-1)*3,FALSE)*S241*AK241</f>
        <v>16222.995152809737</v>
      </c>
      <c r="V241" s="49">
        <f>VLOOKUP($C241,怪物并表!$E$7:$N$1000,4+($D241-1)*3,FALSE)*S241*AL241</f>
        <v>5667.1369502508369</v>
      </c>
      <c r="W241" s="33"/>
      <c r="X241" s="33"/>
      <c r="Y241" s="49">
        <f>VLOOKUP($C241,怪物并表!$E$7:$P$1000,12,FALSE)</f>
        <v>0</v>
      </c>
      <c r="Z241" s="49">
        <f>VLOOKUP($C241,怪物并表!$E$7:$P$1000,11,FALSE)*S241</f>
        <v>3544.1399999999994</v>
      </c>
      <c r="AA241" s="33"/>
      <c r="AB241" s="33"/>
      <c r="AC241" s="33"/>
      <c r="AD241" s="33">
        <f t="shared" si="35"/>
        <v>1</v>
      </c>
      <c r="AE241" s="2">
        <f t="shared" si="30"/>
        <v>284.375</v>
      </c>
      <c r="AF241" s="2" t="str">
        <f>IF(ISBLANK(AM241),IF(O241=6,"",IF(O241=1,VLOOKUP(R241,怪物信息配置表!B:H,5,FALSE),IF(O241=2,VLOOKUP(R241,怪物信息配置表!B:H,6,FALSE),IF(OR(O241=3,O241=5),VLOOKUP(R241,怪物信息配置表!B:H,7,FALSE),"")))),AM241)</f>
        <v>ai_monster_03</v>
      </c>
      <c r="AG241" s="2"/>
      <c r="AH241" s="15">
        <f>SUMPRODUCT(T241:V241,$AN$3:$AP$3)+ROUNDDOWN(VLOOKUP(P241,CHOOSE({1,2},'[1]消耗&amp;价值&amp;分析'!$C$7:$C$106,'[1]消耗&amp;价值&amp;分析'!$AS$7:$AS$106),2,FALSE)*0.6,0)</f>
        <v>36771.636829307783</v>
      </c>
      <c r="AJ241" s="80">
        <v>1</v>
      </c>
      <c r="AK241" s="80">
        <v>1</v>
      </c>
      <c r="AL241" s="80">
        <v>1</v>
      </c>
    </row>
    <row r="242" spans="1:38">
      <c r="A242" s="33" t="str">
        <f>怪物并表!$R$7</f>
        <v>普通副本</v>
      </c>
      <c r="B242" s="38">
        <v>4</v>
      </c>
      <c r="C242" s="33">
        <f t="shared" si="34"/>
        <v>6009</v>
      </c>
      <c r="D242" s="33">
        <v>3</v>
      </c>
      <c r="E242" s="33">
        <f>VLOOKUP(A242,怪物并表!$R$7:$S$14,2,FALSE)</f>
        <v>1</v>
      </c>
      <c r="F242" s="38">
        <v>6</v>
      </c>
      <c r="G242" s="38">
        <v>9</v>
      </c>
      <c r="H242" s="38">
        <v>1</v>
      </c>
      <c r="I242" s="33">
        <f t="shared" si="33"/>
        <v>169104</v>
      </c>
      <c r="J242" s="33" t="s">
        <v>238</v>
      </c>
      <c r="K242" s="33"/>
      <c r="L242" s="33">
        <v>1</v>
      </c>
      <c r="M242" s="33">
        <v>1.3</v>
      </c>
      <c r="N242" s="33"/>
      <c r="O242" s="33">
        <v>3</v>
      </c>
      <c r="P242" s="33">
        <f>VLOOKUP($C242,CHOOSE({1,2},怪物并表!$E$7:$E$1000,怪物并表!$D$7:$D$1000),2,FALSE)</f>
        <v>55</v>
      </c>
      <c r="Q242" s="33" t="s">
        <v>25</v>
      </c>
      <c r="R242" s="33">
        <f>VLOOKUP(Q242,怪物信息配置表!$A$2:$B$118,2,FALSE)</f>
        <v>1012</v>
      </c>
      <c r="S242" s="33">
        <v>1</v>
      </c>
      <c r="T242" s="49">
        <f>VLOOKUP($C242,怪物并表!$E$7:$N$1000,2+($D242-1)*3,FALSE)*S242*AJ242</f>
        <v>699219.04539045051</v>
      </c>
      <c r="U242" s="49">
        <f>VLOOKUP($C242,怪物并表!$E$7:$N$1000,3+($D242-1)*3,FALSE)*S242*AK242</f>
        <v>18560.852271331551</v>
      </c>
      <c r="V242" s="49">
        <f>VLOOKUP($C242,怪物并表!$E$7:$N$1000,4+($D242-1)*3,FALSE)*S242*AL242</f>
        <v>6573.8788622909706</v>
      </c>
      <c r="W242" s="33"/>
      <c r="X242" s="33"/>
      <c r="Y242" s="49">
        <f>VLOOKUP($C242,怪物并表!$E$7:$P$1000,12,FALSE)</f>
        <v>0</v>
      </c>
      <c r="Z242" s="49">
        <f>VLOOKUP($C242,怪物并表!$E$7:$P$1000,11,FALSE)*S242</f>
        <v>3544.1399999999994</v>
      </c>
      <c r="AA242" s="33"/>
      <c r="AB242" s="33"/>
      <c r="AC242" s="33"/>
      <c r="AD242" s="33">
        <f t="shared" si="35"/>
        <v>1.5</v>
      </c>
      <c r="AE242" s="2">
        <f t="shared" si="30"/>
        <v>50</v>
      </c>
      <c r="AF242" s="2" t="str">
        <f>IF(ISBLANK(AM242),IF(O242=6,"",IF(O242=1,VLOOKUP(R242,怪物信息配置表!B:H,5,FALSE),IF(O242=2,VLOOKUP(R242,怪物信息配置表!B:H,6,FALSE),IF(OR(O242=3,O242=5),VLOOKUP(R242,怪物信息配置表!B:H,7,FALSE),"")))),AM242)</f>
        <v>1012_jianke_BOSS</v>
      </c>
      <c r="AG242" s="2"/>
      <c r="AH242" s="15">
        <f>SUMPRODUCT(T242:V242,$AN$3:$AP$3)+ROUNDDOWN(VLOOKUP(P242,CHOOSE({1,2},'[1]消耗&amp;价值&amp;分析'!$C$7:$C$106,'[1]消耗&amp;价值&amp;分析'!$AS$7:$AS$106),2,FALSE)*0.6,0)</f>
        <v>56797.492949240543</v>
      </c>
      <c r="AJ242" s="80">
        <v>1</v>
      </c>
      <c r="AK242" s="80">
        <v>1</v>
      </c>
      <c r="AL242" s="80">
        <v>1</v>
      </c>
    </row>
    <row r="243" spans="1:38">
      <c r="A243" s="33" t="str">
        <f>怪物并表!$R$7</f>
        <v>普通副本</v>
      </c>
      <c r="B243" s="38">
        <v>1</v>
      </c>
      <c r="C243" s="33">
        <f t="shared" si="29"/>
        <v>7001</v>
      </c>
      <c r="D243" s="33">
        <v>1</v>
      </c>
      <c r="E243" s="33">
        <f>VLOOKUP(A243,怪物并表!$R$7:$S$14,2,FALSE)</f>
        <v>1</v>
      </c>
      <c r="F243" s="38">
        <v>7</v>
      </c>
      <c r="G243" s="38">
        <v>1</v>
      </c>
      <c r="H243" s="38">
        <v>1</v>
      </c>
      <c r="I243" s="33">
        <f t="shared" si="33"/>
        <v>171101</v>
      </c>
      <c r="J243" s="33" t="s">
        <v>239</v>
      </c>
      <c r="K243" s="33"/>
      <c r="L243" s="33">
        <v>0</v>
      </c>
      <c r="M243" s="33">
        <v>1</v>
      </c>
      <c r="N243" s="33"/>
      <c r="O243" s="33">
        <v>1</v>
      </c>
      <c r="P243" s="33">
        <f>VLOOKUP($C243,CHOOSE({1,2},怪物并表!$E$7:$E$1000,怪物并表!$D$7:$D$1000),2,FALSE)</f>
        <v>56</v>
      </c>
      <c r="Q243" s="33" t="s">
        <v>367</v>
      </c>
      <c r="R243" s="33">
        <f>VLOOKUP(Q243,怪物信息配置表!$A$2:$B$118,2,FALSE)</f>
        <v>1008</v>
      </c>
      <c r="S243" s="33">
        <v>1</v>
      </c>
      <c r="T243" s="49">
        <f>VLOOKUP($C243,怪物并表!$E$7:$N$1000,2+($D243-1)*3,FALSE)*S243*AJ243</f>
        <v>250185.32144305485</v>
      </c>
      <c r="U243" s="49">
        <f>VLOOKUP($C243,怪物并表!$E$7:$N$1000,3+($D243-1)*3,FALSE)*S243*AK243</f>
        <v>15452.104384583115</v>
      </c>
      <c r="V243" s="49">
        <f>VLOOKUP($C243,怪物并表!$E$7:$N$1000,4+($D243-1)*3,FALSE)*S243*AL243</f>
        <v>4813.1781208294333</v>
      </c>
      <c r="W243" s="33"/>
      <c r="X243" s="33"/>
      <c r="Y243" s="49">
        <f>VLOOKUP($C243,怪物并表!$E$7:$P$1000,12,FALSE)</f>
        <v>0</v>
      </c>
      <c r="Z243" s="49">
        <f>VLOOKUP($C243,怪物并表!$E$7:$P$1000,11,FALSE)*S243</f>
        <v>3602.3680000000004</v>
      </c>
      <c r="AA243" s="33"/>
      <c r="AB243" s="33"/>
      <c r="AC243" s="33"/>
      <c r="AD243" s="33">
        <f t="shared" si="28"/>
        <v>1</v>
      </c>
      <c r="AE243" s="2">
        <f t="shared" si="30"/>
        <v>335</v>
      </c>
      <c r="AF243" s="2" t="str">
        <f>IF(ISBLANK(AM243),IF(O243=6,"",IF(O243=1,VLOOKUP(R243,怪物信息配置表!B:H,5,FALSE),IF(O243=2,VLOOKUP(R243,怪物信息配置表!B:H,6,FALSE),IF(OR(O243=3,O243=5),VLOOKUP(R243,怪物信息配置表!B:H,7,FALSE),"")))),AM243)</f>
        <v>ai_monster</v>
      </c>
      <c r="AG243" s="2"/>
      <c r="AH243" s="15">
        <f>SUMPRODUCT(T243:V243,$AN$3:$AP$3)+ROUNDDOWN(VLOOKUP(P243,CHOOSE({1,2},'[1]消耗&amp;价值&amp;分析'!$C$7:$C$106,'[1]消耗&amp;价值&amp;分析'!$AS$7:$AS$106),2,FALSE)*0.6,0)</f>
        <v>34167.695363134742</v>
      </c>
      <c r="AJ243" s="80">
        <v>1</v>
      </c>
      <c r="AK243" s="80">
        <v>1</v>
      </c>
      <c r="AL243" s="80">
        <v>1</v>
      </c>
    </row>
    <row r="244" spans="1:38">
      <c r="A244" s="33" t="str">
        <f>怪物并表!$R$7</f>
        <v>普通副本</v>
      </c>
      <c r="B244" s="38">
        <v>2</v>
      </c>
      <c r="C244" s="33">
        <f t="shared" si="29"/>
        <v>7001</v>
      </c>
      <c r="D244" s="33">
        <v>2</v>
      </c>
      <c r="E244" s="33">
        <f>VLOOKUP(A244,怪物并表!$R$7:$S$14,2,FALSE)</f>
        <v>1</v>
      </c>
      <c r="F244" s="38">
        <v>7</v>
      </c>
      <c r="G244" s="38">
        <v>1</v>
      </c>
      <c r="H244" s="38">
        <v>1</v>
      </c>
      <c r="I244" s="33">
        <f t="shared" si="33"/>
        <v>171102</v>
      </c>
      <c r="J244" s="33" t="s">
        <v>491</v>
      </c>
      <c r="K244" s="33"/>
      <c r="L244" s="33">
        <v>0</v>
      </c>
      <c r="M244" s="33">
        <v>1</v>
      </c>
      <c r="N244" s="33"/>
      <c r="O244" s="33">
        <v>1</v>
      </c>
      <c r="P244" s="33">
        <f>VLOOKUP($C244,CHOOSE({1,2},怪物并表!$E$7:$E$1000,怪物并表!$D$7:$D$1000),2,FALSE)</f>
        <v>56</v>
      </c>
      <c r="Q244" s="33" t="s">
        <v>9</v>
      </c>
      <c r="R244" s="33">
        <f>VLOOKUP(Q244,怪物信息配置表!$A$2:$B$118,2,FALSE)</f>
        <v>1003</v>
      </c>
      <c r="S244" s="33">
        <v>1</v>
      </c>
      <c r="T244" s="49">
        <f>VLOOKUP($C244,怪物并表!$E$7:$N$1000,2+($D244-1)*3,FALSE)*S244*AJ244</f>
        <v>200148.25715444388</v>
      </c>
      <c r="U244" s="49">
        <f>VLOOKUP($C244,怪物并表!$E$7:$N$1000,3+($D244-1)*3,FALSE)*S244*AK244</f>
        <v>14388.211758207748</v>
      </c>
      <c r="V244" s="49">
        <f>VLOOKUP($C244,怪物并表!$E$7:$N$1000,4+($D244-1)*3,FALSE)*S244*AL244</f>
        <v>3609.8835906220747</v>
      </c>
      <c r="W244" s="33"/>
      <c r="X244" s="33"/>
      <c r="Y244" s="49">
        <f>VLOOKUP($C244,怪物并表!$E$7:$P$1000,12,FALSE)</f>
        <v>0</v>
      </c>
      <c r="Z244" s="49">
        <f>VLOOKUP($C244,怪物并表!$E$7:$P$1000,11,FALSE)*S244</f>
        <v>3602.3680000000004</v>
      </c>
      <c r="AA244" s="33"/>
      <c r="AB244" s="33"/>
      <c r="AC244" s="33"/>
      <c r="AD244" s="33">
        <f t="shared" si="28"/>
        <v>0.8</v>
      </c>
      <c r="AE244" s="2">
        <f t="shared" si="30"/>
        <v>468</v>
      </c>
      <c r="AF244" s="2" t="str">
        <f>IF(ISBLANK(AM244),IF(O244=6,"",IF(O244=1,VLOOKUP(R244,怪物信息配置表!B:H,5,FALSE),IF(O244=2,VLOOKUP(R244,怪物信息配置表!B:H,6,FALSE),IF(OR(O244=3,O244=5),VLOOKUP(R244,怪物信息配置表!B:H,7,FALSE),"")))),AM244)</f>
        <v>ai_monster_02</v>
      </c>
      <c r="AG244" s="2"/>
      <c r="AH244" s="15">
        <f>SUMPRODUCT(T244:V244,$AN$3:$AP$3)+ROUNDDOWN(VLOOKUP(P244,CHOOSE({1,2},'[1]消耗&amp;价值&amp;分析'!$C$7:$C$106,'[1]消耗&amp;价值&amp;分析'!$AS$7:$AS$106),2,FALSE)*0.6,0)</f>
        <v>29899.025635007576</v>
      </c>
      <c r="AJ244" s="80">
        <v>1</v>
      </c>
      <c r="AK244" s="80">
        <v>1</v>
      </c>
      <c r="AL244" s="80">
        <v>1</v>
      </c>
    </row>
    <row r="245" spans="1:38">
      <c r="A245" s="33" t="str">
        <f>怪物并表!$R$7</f>
        <v>普通副本</v>
      </c>
      <c r="B245" s="38">
        <v>3</v>
      </c>
      <c r="C245" s="33">
        <f t="shared" si="29"/>
        <v>7001</v>
      </c>
      <c r="D245" s="33">
        <v>1</v>
      </c>
      <c r="E245" s="33">
        <f>VLOOKUP(A245,怪物并表!$R$7:$S$14,2,FALSE)</f>
        <v>1</v>
      </c>
      <c r="F245" s="38">
        <v>7</v>
      </c>
      <c r="G245" s="38">
        <v>1</v>
      </c>
      <c r="H245" s="38">
        <v>1</v>
      </c>
      <c r="I245" s="33">
        <f t="shared" si="33"/>
        <v>171103</v>
      </c>
      <c r="J245" s="33" t="s">
        <v>492</v>
      </c>
      <c r="K245" s="33"/>
      <c r="L245" s="33">
        <v>0</v>
      </c>
      <c r="M245" s="33">
        <v>1</v>
      </c>
      <c r="N245" s="33"/>
      <c r="O245" s="33">
        <v>1</v>
      </c>
      <c r="P245" s="33">
        <f>VLOOKUP($C245,CHOOSE({1,2},怪物并表!$E$7:$E$1000,怪物并表!$D$7:$D$1000),2,FALSE)</f>
        <v>56</v>
      </c>
      <c r="Q245" s="33" t="s">
        <v>24</v>
      </c>
      <c r="R245" s="33">
        <f>VLOOKUP(Q245,怪物信息配置表!$A$2:$B$118,2,FALSE)</f>
        <v>1015</v>
      </c>
      <c r="S245" s="33">
        <v>1</v>
      </c>
      <c r="T245" s="49">
        <f>VLOOKUP($C245,怪物并表!$E$7:$N$1000,2+($D245-1)*3,FALSE)*S245*AJ245</f>
        <v>250185.32144305485</v>
      </c>
      <c r="U245" s="49">
        <f>VLOOKUP($C245,怪物并表!$E$7:$N$1000,3+($D245-1)*3,FALSE)*S245*AK245</f>
        <v>15452.104384583115</v>
      </c>
      <c r="V245" s="49">
        <f>VLOOKUP($C245,怪物并表!$E$7:$N$1000,4+($D245-1)*3,FALSE)*S245*AL245</f>
        <v>4813.1781208294333</v>
      </c>
      <c r="W245" s="33"/>
      <c r="X245" s="33"/>
      <c r="Y245" s="49">
        <f>VLOOKUP($C245,怪物并表!$E$7:$P$1000,12,FALSE)</f>
        <v>0</v>
      </c>
      <c r="Z245" s="49">
        <f>VLOOKUP($C245,怪物并表!$E$7:$P$1000,11,FALSE)*S245</f>
        <v>3602.3680000000004</v>
      </c>
      <c r="AA245" s="33"/>
      <c r="AB245" s="33"/>
      <c r="AC245" s="33"/>
      <c r="AD245" s="33">
        <f t="shared" si="28"/>
        <v>1</v>
      </c>
      <c r="AE245" s="2">
        <f t="shared" si="30"/>
        <v>275</v>
      </c>
      <c r="AF245" s="2" t="str">
        <f>IF(ISBLANK(AM245),IF(O245=6,"",IF(O245=1,VLOOKUP(R245,怪物信息配置表!B:H,5,FALSE),IF(O245=2,VLOOKUP(R245,怪物信息配置表!B:H,6,FALSE),IF(OR(O245=3,O245=5),VLOOKUP(R245,怪物信息配置表!B:H,7,FALSE),"")))),AM245)</f>
        <v>ai_monster_03</v>
      </c>
      <c r="AG245" s="2"/>
      <c r="AH245" s="15">
        <f>SUMPRODUCT(T245:V245,$AN$3:$AP$3)+ROUNDDOWN(VLOOKUP(P245,CHOOSE({1,2},'[1]消耗&amp;价值&amp;分析'!$C$7:$C$106,'[1]消耗&amp;价值&amp;分析'!$AS$7:$AS$106),2,FALSE)*0.6,0)</f>
        <v>34167.695363134742</v>
      </c>
      <c r="AJ245" s="80">
        <v>1</v>
      </c>
      <c r="AK245" s="80">
        <v>1</v>
      </c>
      <c r="AL245" s="80">
        <v>1</v>
      </c>
    </row>
    <row r="246" spans="1:38">
      <c r="A246" s="33" t="str">
        <f>怪物并表!$R$7</f>
        <v>普通副本</v>
      </c>
      <c r="B246" s="38">
        <v>4</v>
      </c>
      <c r="C246" s="33">
        <f t="shared" si="29"/>
        <v>7001</v>
      </c>
      <c r="D246" s="33">
        <v>3</v>
      </c>
      <c r="E246" s="33">
        <f>VLOOKUP(A246,怪物并表!$R$7:$S$14,2,FALSE)</f>
        <v>1</v>
      </c>
      <c r="F246" s="38">
        <v>7</v>
      </c>
      <c r="G246" s="38">
        <v>1</v>
      </c>
      <c r="H246" s="38">
        <v>1</v>
      </c>
      <c r="I246" s="33">
        <f t="shared" si="33"/>
        <v>171104</v>
      </c>
      <c r="J246" s="33" t="s">
        <v>240</v>
      </c>
      <c r="K246" s="33"/>
      <c r="L246" s="33">
        <v>1</v>
      </c>
      <c r="M246" s="33">
        <v>1.3</v>
      </c>
      <c r="N246" s="33"/>
      <c r="O246" s="33">
        <v>3</v>
      </c>
      <c r="P246" s="33">
        <f>VLOOKUP($C246,CHOOSE({1,2},怪物并表!$E$7:$E$1000,怪物并表!$D$7:$D$1000),2,FALSE)</f>
        <v>56</v>
      </c>
      <c r="Q246" s="33" t="s">
        <v>10</v>
      </c>
      <c r="R246" s="33">
        <f>VLOOKUP(Q246,怪物信息配置表!$A$2:$B$118,2,FALSE)</f>
        <v>1001</v>
      </c>
      <c r="S246" s="33">
        <v>1</v>
      </c>
      <c r="T246" s="49">
        <f>VLOOKUP($C246,怪物并表!$E$7:$N$1000,2+($D246-1)*3,FALSE)*S246*AJ246</f>
        <v>625463.30360763718</v>
      </c>
      <c r="U246" s="49">
        <f>VLOOKUP($C246,怪物并表!$E$7:$N$1000,3+($D246-1)*3,FALSE)*S246*AK246</f>
        <v>17579.88963733385</v>
      </c>
      <c r="V246" s="49">
        <f>VLOOKUP($C246,怪物并表!$E$7:$N$1000,4+($D246-1)*3,FALSE)*S246*AL246</f>
        <v>6016.4726510367918</v>
      </c>
      <c r="W246" s="33"/>
      <c r="X246" s="33"/>
      <c r="Y246" s="49">
        <f>VLOOKUP($C246,怪物并表!$E$7:$P$1000,12,FALSE)</f>
        <v>0</v>
      </c>
      <c r="Z246" s="49">
        <f>VLOOKUP($C246,怪物并表!$E$7:$P$1000,11,FALSE)*S246</f>
        <v>3602.3680000000004</v>
      </c>
      <c r="AA246" s="33"/>
      <c r="AB246" s="33"/>
      <c r="AC246" s="33"/>
      <c r="AD246" s="33">
        <f t="shared" si="28"/>
        <v>1.5</v>
      </c>
      <c r="AE246" s="2">
        <f t="shared" si="30"/>
        <v>50</v>
      </c>
      <c r="AF246" s="2" t="str">
        <f>IF(ISBLANK(AM246),IF(O246=6,"",IF(O246=1,VLOOKUP(R246,怪物信息配置表!B:H,5,FALSE),IF(O246=2,VLOOKUP(R246,怪物信息配置表!B:H,6,FALSE),IF(OR(O246=3,O246=5),VLOOKUP(R246,怪物信息配置表!B:H,7,FALSE),"")))),AM246)</f>
        <v>1001_quanbing_BOSS</v>
      </c>
      <c r="AG246" s="2"/>
      <c r="AH246" s="15">
        <f>SUMPRODUCT(T246:V246,$AN$3:$AP$3)+ROUNDDOWN(VLOOKUP(P246,CHOOSE({1,2},'[1]消耗&amp;价值&amp;分析'!$C$7:$C$106,'[1]消耗&amp;价值&amp;分析'!$AS$7:$AS$106),2,FALSE)*0.6,0)</f>
        <v>52509.894432676127</v>
      </c>
      <c r="AJ246" s="80">
        <v>1</v>
      </c>
      <c r="AK246" s="80">
        <v>1</v>
      </c>
      <c r="AL246" s="80">
        <v>1</v>
      </c>
    </row>
    <row r="247" spans="1:38">
      <c r="A247" s="33" t="str">
        <f>怪物并表!$R$7</f>
        <v>普通副本</v>
      </c>
      <c r="B247" s="38">
        <v>1</v>
      </c>
      <c r="C247" s="33">
        <f t="shared" si="29"/>
        <v>7002</v>
      </c>
      <c r="D247" s="33">
        <v>1</v>
      </c>
      <c r="E247" s="33">
        <f>VLOOKUP(A247,怪物并表!$R$7:$S$14,2,FALSE)</f>
        <v>1</v>
      </c>
      <c r="F247" s="38">
        <v>7</v>
      </c>
      <c r="G247" s="38">
        <v>2</v>
      </c>
      <c r="H247" s="38">
        <v>1</v>
      </c>
      <c r="I247" s="33">
        <f t="shared" si="33"/>
        <v>172101</v>
      </c>
      <c r="J247" s="33" t="s">
        <v>241</v>
      </c>
      <c r="K247" s="33"/>
      <c r="L247" s="33">
        <v>0</v>
      </c>
      <c r="M247" s="33">
        <v>1</v>
      </c>
      <c r="N247" s="33"/>
      <c r="O247" s="33">
        <v>1</v>
      </c>
      <c r="P247" s="33">
        <f>VLOOKUP($C247,CHOOSE({1,2},怪物并表!$E$7:$E$1000,怪物并表!$D$7:$D$1000),2,FALSE)</f>
        <v>57</v>
      </c>
      <c r="Q247" s="33" t="s">
        <v>15</v>
      </c>
      <c r="R247" s="33">
        <f>VLOOKUP(Q247,怪物信息配置表!$A$2:$B$118,2,FALSE)</f>
        <v>1004</v>
      </c>
      <c r="S247" s="33">
        <v>1</v>
      </c>
      <c r="T247" s="49">
        <f>VLOOKUP($C247,怪物并表!$E$7:$N$1000,2+($D247-1)*3,FALSE)*S247*AJ247</f>
        <v>268156.69255101995</v>
      </c>
      <c r="U247" s="49">
        <f>VLOOKUP($C247,怪物并表!$E$7:$N$1000,3+($D247-1)*3,FALSE)*S247*AK247</f>
        <v>16704.287488285485</v>
      </c>
      <c r="V247" s="49">
        <f>VLOOKUP($C247,怪物并表!$E$7:$N$1000,4+($D247-1)*3,FALSE)*S247*AL247</f>
        <v>5103.0471978327778</v>
      </c>
      <c r="W247" s="33"/>
      <c r="X247" s="33"/>
      <c r="Y247" s="49">
        <f>VLOOKUP($C247,怪物并表!$E$7:$P$1000,12,FALSE)</f>
        <v>0</v>
      </c>
      <c r="Z247" s="49">
        <f>VLOOKUP($C247,怪物并表!$E$7:$P$1000,11,FALSE)*S247</f>
        <v>3660.596</v>
      </c>
      <c r="AA247" s="33"/>
      <c r="AB247" s="33"/>
      <c r="AC247" s="33"/>
      <c r="AD247" s="33">
        <f t="shared" si="28"/>
        <v>1</v>
      </c>
      <c r="AE247" s="2">
        <f t="shared" si="30"/>
        <v>323.125</v>
      </c>
      <c r="AF247" s="2" t="str">
        <f>IF(ISBLANK(AM247),IF(O247=6,"",IF(O247=1,VLOOKUP(R247,怪物信息配置表!B:H,5,FALSE),IF(O247=2,VLOOKUP(R247,怪物信息配置表!B:H,6,FALSE),IF(OR(O247=3,O247=5),VLOOKUP(R247,怪物信息配置表!B:H,7,FALSE),"")))),AM247)</f>
        <v>ai_monster</v>
      </c>
      <c r="AG247" s="2"/>
      <c r="AH247" s="15">
        <f>SUMPRODUCT(T247:V247,$AN$3:$AP$3)+ROUNDDOWN(VLOOKUP(P247,CHOOSE({1,2},'[1]消耗&amp;价值&amp;分析'!$C$7:$C$106,'[1]消耗&amp;价值&amp;分析'!$AS$7:$AS$106),2,FALSE)*0.6,0)</f>
        <v>36649.602388159059</v>
      </c>
      <c r="AJ247" s="80">
        <v>1</v>
      </c>
      <c r="AK247" s="80">
        <v>1</v>
      </c>
      <c r="AL247" s="80">
        <v>1</v>
      </c>
    </row>
    <row r="248" spans="1:38">
      <c r="A248" s="33" t="str">
        <f>怪物并表!$R$7</f>
        <v>普通副本</v>
      </c>
      <c r="B248" s="38">
        <v>2</v>
      </c>
      <c r="C248" s="33">
        <f t="shared" si="29"/>
        <v>7002</v>
      </c>
      <c r="D248" s="33">
        <v>1</v>
      </c>
      <c r="E248" s="33">
        <f>VLOOKUP(A248,怪物并表!$R$7:$S$14,2,FALSE)</f>
        <v>1</v>
      </c>
      <c r="F248" s="38">
        <v>7</v>
      </c>
      <c r="G248" s="38">
        <v>2</v>
      </c>
      <c r="H248" s="38">
        <v>1</v>
      </c>
      <c r="I248" s="33">
        <f t="shared" si="33"/>
        <v>172102</v>
      </c>
      <c r="J248" s="33" t="s">
        <v>242</v>
      </c>
      <c r="K248" s="33"/>
      <c r="L248" s="33">
        <v>0</v>
      </c>
      <c r="M248" s="33">
        <v>1</v>
      </c>
      <c r="N248" s="33"/>
      <c r="O248" s="33">
        <v>1</v>
      </c>
      <c r="P248" s="33">
        <f>VLOOKUP($C248,CHOOSE({1,2},怪物并表!$E$7:$E$1000,怪物并表!$D$7:$D$1000),2,FALSE)</f>
        <v>57</v>
      </c>
      <c r="Q248" s="33" t="s">
        <v>10</v>
      </c>
      <c r="R248" s="33">
        <f>VLOOKUP(Q248,怪物信息配置表!$A$2:$B$118,2,FALSE)</f>
        <v>1001</v>
      </c>
      <c r="S248" s="33">
        <v>1</v>
      </c>
      <c r="T248" s="49">
        <f>VLOOKUP($C248,怪物并表!$E$7:$N$1000,2+($D248-1)*3,FALSE)*S248*AJ248</f>
        <v>268156.69255101995</v>
      </c>
      <c r="U248" s="49">
        <f>VLOOKUP($C248,怪物并表!$E$7:$N$1000,3+($D248-1)*3,FALSE)*S248*AK248</f>
        <v>16704.287488285485</v>
      </c>
      <c r="V248" s="49">
        <f>VLOOKUP($C248,怪物并表!$E$7:$N$1000,4+($D248-1)*3,FALSE)*S248*AL248</f>
        <v>5103.0471978327778</v>
      </c>
      <c r="W248" s="33"/>
      <c r="X248" s="33"/>
      <c r="Y248" s="49">
        <f>VLOOKUP($C248,怪物并表!$E$7:$P$1000,12,FALSE)</f>
        <v>0</v>
      </c>
      <c r="Z248" s="49">
        <f>VLOOKUP($C248,怪物并表!$E$7:$P$1000,11,FALSE)*S248</f>
        <v>3660.596</v>
      </c>
      <c r="AA248" s="33"/>
      <c r="AB248" s="33"/>
      <c r="AC248" s="33"/>
      <c r="AD248" s="33">
        <f t="shared" si="28"/>
        <v>1</v>
      </c>
      <c r="AE248" s="2">
        <f t="shared" si="30"/>
        <v>323.125</v>
      </c>
      <c r="AF248" s="2" t="str">
        <f>IF(ISBLANK(AM248),IF(O248=6,"",IF(O248=1,VLOOKUP(R248,怪物信息配置表!B:H,5,FALSE),IF(O248=2,VLOOKUP(R248,怪物信息配置表!B:H,6,FALSE),IF(OR(O248=3,O248=5),VLOOKUP(R248,怪物信息配置表!B:H,7,FALSE),"")))),AM248)</f>
        <v>ai_monster</v>
      </c>
      <c r="AG248" s="2"/>
      <c r="AH248" s="15">
        <f>SUMPRODUCT(T248:V248,$AN$3:$AP$3)+ROUNDDOWN(VLOOKUP(P248,CHOOSE({1,2},'[1]消耗&amp;价值&amp;分析'!$C$7:$C$106,'[1]消耗&amp;价值&amp;分析'!$AS$7:$AS$106),2,FALSE)*0.6,0)</f>
        <v>36649.602388159059</v>
      </c>
      <c r="AJ248" s="80">
        <v>1</v>
      </c>
      <c r="AK248" s="80">
        <v>1</v>
      </c>
      <c r="AL248" s="80">
        <v>1</v>
      </c>
    </row>
    <row r="249" spans="1:38">
      <c r="A249" s="33" t="str">
        <f>怪物并表!$R$7</f>
        <v>普通副本</v>
      </c>
      <c r="B249" s="38">
        <v>3</v>
      </c>
      <c r="C249" s="33">
        <f>F249*1000+G249</f>
        <v>7002</v>
      </c>
      <c r="D249" s="33">
        <v>1</v>
      </c>
      <c r="E249" s="33">
        <f>VLOOKUP(A249,怪物并表!$R$7:$S$14,2,FALSE)</f>
        <v>1</v>
      </c>
      <c r="F249" s="38">
        <v>7</v>
      </c>
      <c r="G249" s="38">
        <v>2</v>
      </c>
      <c r="H249" s="38">
        <v>1</v>
      </c>
      <c r="I249" s="33">
        <f t="shared" si="33"/>
        <v>172103</v>
      </c>
      <c r="J249" s="33" t="s">
        <v>243</v>
      </c>
      <c r="K249" s="33"/>
      <c r="L249" s="33">
        <v>0</v>
      </c>
      <c r="M249" s="33">
        <v>1</v>
      </c>
      <c r="N249" s="33"/>
      <c r="O249" s="33">
        <v>1</v>
      </c>
      <c r="P249" s="33">
        <f>VLOOKUP($C249,CHOOSE({1,2},怪物并表!$E$7:$E$1000,怪物并表!$D$7:$D$1000),2,FALSE)</f>
        <v>57</v>
      </c>
      <c r="Q249" s="33" t="s">
        <v>20</v>
      </c>
      <c r="R249" s="33">
        <f>VLOOKUP(Q249,怪物信息配置表!$A$2:$B$118,2,FALSE)</f>
        <v>1103</v>
      </c>
      <c r="S249" s="33">
        <v>1</v>
      </c>
      <c r="T249" s="49">
        <f>VLOOKUP($C249,怪物并表!$E$7:$N$1000,2+($D249-1)*3,FALSE)*S249*AJ249</f>
        <v>268156.69255101995</v>
      </c>
      <c r="U249" s="49">
        <f>VLOOKUP($C249,怪物并表!$E$7:$N$1000,3+($D249-1)*3,FALSE)*S249*AK249</f>
        <v>16704.287488285485</v>
      </c>
      <c r="V249" s="49">
        <f>VLOOKUP($C249,怪物并表!$E$7:$N$1000,4+($D249-1)*3,FALSE)*S249*AL249</f>
        <v>5103.0471978327778</v>
      </c>
      <c r="W249" s="33"/>
      <c r="X249" s="33"/>
      <c r="Y249" s="49">
        <f>VLOOKUP($C249,怪物并表!$E$7:$P$1000,12,FALSE)</f>
        <v>0</v>
      </c>
      <c r="Z249" s="49">
        <f>VLOOKUP($C249,怪物并表!$E$7:$P$1000,11,FALSE)*S249</f>
        <v>3660.596</v>
      </c>
      <c r="AA249" s="33"/>
      <c r="AB249" s="33"/>
      <c r="AC249" s="33"/>
      <c r="AD249" s="33">
        <f t="shared" si="28"/>
        <v>1</v>
      </c>
      <c r="AE249" s="2">
        <f t="shared" si="30"/>
        <v>265.625</v>
      </c>
      <c r="AF249" s="2" t="str">
        <f>IF(ISBLANK(AM249),IF(O249=6,"",IF(O249=1,VLOOKUP(R249,怪物信息配置表!B:H,5,FALSE),IF(O249=2,VLOOKUP(R249,怪物信息配置表!B:H,6,FALSE),IF(OR(O249=3,O249=5),VLOOKUP(R249,怪物信息配置表!B:H,7,FALSE),"")))),AM249)</f>
        <v>ai_monster</v>
      </c>
      <c r="AG249" s="2"/>
      <c r="AH249" s="15">
        <f>SUMPRODUCT(T249:V249,$AN$3:$AP$3)+ROUNDDOWN(VLOOKUP(P249,CHOOSE({1,2},'[1]消耗&amp;价值&amp;分析'!$C$7:$C$106,'[1]消耗&amp;价值&amp;分析'!$AS$7:$AS$106),2,FALSE)*0.6,0)</f>
        <v>36649.602388159059</v>
      </c>
      <c r="AJ249" s="80">
        <v>1</v>
      </c>
      <c r="AK249" s="80">
        <v>1</v>
      </c>
      <c r="AL249" s="80">
        <v>1</v>
      </c>
    </row>
    <row r="250" spans="1:38">
      <c r="A250" s="33" t="str">
        <f>怪物并表!$R$7</f>
        <v>普通副本</v>
      </c>
      <c r="B250" s="38">
        <v>4</v>
      </c>
      <c r="C250" s="33">
        <f t="shared" si="29"/>
        <v>7002</v>
      </c>
      <c r="D250" s="33">
        <v>3</v>
      </c>
      <c r="E250" s="33">
        <f>VLOOKUP(A250,怪物并表!$R$7:$S$14,2,FALSE)</f>
        <v>1</v>
      </c>
      <c r="F250" s="38">
        <v>7</v>
      </c>
      <c r="G250" s="38">
        <v>2</v>
      </c>
      <c r="H250" s="38">
        <v>1</v>
      </c>
      <c r="I250" s="33">
        <f t="shared" si="33"/>
        <v>172104</v>
      </c>
      <c r="J250" s="33" t="s">
        <v>244</v>
      </c>
      <c r="K250" s="33"/>
      <c r="L250" s="33">
        <v>1</v>
      </c>
      <c r="M250" s="33">
        <v>1.1000000000000001</v>
      </c>
      <c r="N250" s="33"/>
      <c r="O250" s="33">
        <v>3</v>
      </c>
      <c r="P250" s="33">
        <f>VLOOKUP($C250,CHOOSE({1,2},怪物并表!$E$7:$E$1000,怪物并表!$D$7:$D$1000),2,FALSE)</f>
        <v>57</v>
      </c>
      <c r="Q250" s="33" t="s">
        <v>399</v>
      </c>
      <c r="R250" s="33">
        <f>VLOOKUP(Q250,怪物信息配置表!$A$2:$B$118,2,FALSE)</f>
        <v>1014</v>
      </c>
      <c r="S250" s="33">
        <v>1</v>
      </c>
      <c r="T250" s="49">
        <f>VLOOKUP($C250,怪物并表!$E$7:$N$1000,2+($D250-1)*3,FALSE)*S250*AJ250</f>
        <v>670391.73137754994</v>
      </c>
      <c r="U250" s="49">
        <f>VLOOKUP($C250,怪物并表!$E$7:$N$1000,3+($D250-1)*3,FALSE)*S250*AK250</f>
        <v>19024.535546376028</v>
      </c>
      <c r="V250" s="49">
        <f>VLOOKUP($C250,怪物并表!$E$7:$N$1000,4+($D250-1)*3,FALSE)*S250*AL250</f>
        <v>6378.808997290972</v>
      </c>
      <c r="W250" s="33"/>
      <c r="X250" s="33"/>
      <c r="Y250" s="49">
        <f>VLOOKUP($C250,怪物并表!$E$7:$P$1000,12,FALSE)</f>
        <v>0</v>
      </c>
      <c r="Z250" s="49">
        <f>VLOOKUP($C250,怪物并表!$E$7:$P$1000,11,FALSE)*S250</f>
        <v>3660.596</v>
      </c>
      <c r="AA250" s="33"/>
      <c r="AB250" s="33"/>
      <c r="AC250" s="33"/>
      <c r="AD250" s="33">
        <f t="shared" si="28"/>
        <v>1.5</v>
      </c>
      <c r="AE250" s="2">
        <f t="shared" si="30"/>
        <v>50</v>
      </c>
      <c r="AF250" s="2" t="str">
        <f>IF(ISBLANK(AM250),IF(O250=6,"",IF(O250=1,VLOOKUP(R250,怪物信息配置表!B:H,5,FALSE),IF(O250=2,VLOOKUP(R250,怪物信息配置表!B:H,6,FALSE),IF(OR(O250=3,O250=5),VLOOKUP(R250,怪物信息配置表!B:H,7,FALSE),"")))),AM250)</f>
        <v>1014_xiangpu_BOSS</v>
      </c>
      <c r="AG250" s="2"/>
      <c r="AH250" s="15">
        <f>SUMPRODUCT(T250:V250,$AN$3:$AP$3)+ROUNDDOWN(VLOOKUP(P250,CHOOSE({1,2},'[1]消耗&amp;价值&amp;分析'!$C$7:$C$106,'[1]消耗&amp;价值&amp;分析'!$AS$7:$AS$106),2,FALSE)*0.6,0)</f>
        <v>56335.013798769003</v>
      </c>
      <c r="AJ250" s="80">
        <v>1</v>
      </c>
      <c r="AK250" s="80">
        <v>1</v>
      </c>
      <c r="AL250" s="80">
        <v>1</v>
      </c>
    </row>
    <row r="251" spans="1:38">
      <c r="A251" s="33" t="str">
        <f>怪物并表!$R$7</f>
        <v>普通副本</v>
      </c>
      <c r="B251" s="38">
        <v>1</v>
      </c>
      <c r="C251" s="33">
        <f t="shared" si="29"/>
        <v>7003</v>
      </c>
      <c r="D251" s="33">
        <v>1</v>
      </c>
      <c r="E251" s="33">
        <f>VLOOKUP(A251,怪物并表!$R$7:$S$14,2,FALSE)</f>
        <v>1</v>
      </c>
      <c r="F251" s="38">
        <v>7</v>
      </c>
      <c r="G251" s="38">
        <v>3</v>
      </c>
      <c r="H251" s="38">
        <v>1</v>
      </c>
      <c r="I251" s="33">
        <f t="shared" si="33"/>
        <v>173101</v>
      </c>
      <c r="J251" s="33" t="s">
        <v>245</v>
      </c>
      <c r="K251" s="33"/>
      <c r="L251" s="33">
        <v>0</v>
      </c>
      <c r="M251" s="33">
        <v>1</v>
      </c>
      <c r="N251" s="33"/>
      <c r="O251" s="33">
        <v>1</v>
      </c>
      <c r="P251" s="33">
        <f>VLOOKUP($C251,CHOOSE({1,2},怪物并表!$E$7:$E$1000,怪物并表!$D$7:$D$1000),2,FALSE)</f>
        <v>58</v>
      </c>
      <c r="Q251" s="33" t="s">
        <v>7</v>
      </c>
      <c r="R251" s="33">
        <f>VLOOKUP(Q251,怪物信息配置表!$A$2:$B$118,2,FALSE)</f>
        <v>1002</v>
      </c>
      <c r="S251" s="33">
        <v>1</v>
      </c>
      <c r="T251" s="49">
        <f>VLOOKUP($C251,怪物并表!$E$7:$N$1000,2+($D251-1)*3,FALSE)*S251*AJ251</f>
        <v>287012.87030293985</v>
      </c>
      <c r="U251" s="49">
        <f>VLOOKUP($C251,怪物并表!$E$7:$N$1000,3+($D251-1)*3,FALSE)*S251*AK251</f>
        <v>18035.092712312748</v>
      </c>
      <c r="V251" s="49">
        <f>VLOOKUP($C251,怪物并表!$E$7:$N$1000,4+($D251-1)*3,FALSE)*S251*AL251</f>
        <v>5403.4833951571927</v>
      </c>
      <c r="W251" s="33"/>
      <c r="X251" s="33"/>
      <c r="Y251" s="49">
        <f>VLOOKUP($C251,怪物并表!$E$7:$P$1000,12,FALSE)</f>
        <v>0</v>
      </c>
      <c r="Z251" s="49">
        <f>VLOOKUP($C251,怪物并表!$E$7:$P$1000,11,FALSE)*S251</f>
        <v>3718.8240000000001</v>
      </c>
      <c r="AA251" s="33"/>
      <c r="AB251" s="33"/>
      <c r="AC251" s="33"/>
      <c r="AD251" s="33">
        <f t="shared" si="28"/>
        <v>1</v>
      </c>
      <c r="AE251" s="2">
        <f t="shared" si="30"/>
        <v>311.25</v>
      </c>
      <c r="AF251" s="2" t="str">
        <f>IF(ISBLANK(AM251),IF(O251=6,"",IF(O251=1,VLOOKUP(R251,怪物信息配置表!B:H,5,FALSE),IF(O251=2,VLOOKUP(R251,怪物信息配置表!B:H,6,FALSE),IF(OR(O251=3,O251=5),VLOOKUP(R251,怪物信息配置表!B:H,7,FALSE),"")))),AM251)</f>
        <v>ai_monster</v>
      </c>
      <c r="AG251" s="2"/>
      <c r="AH251" s="15">
        <f>SUMPRODUCT(T251:V251,$AN$3:$AP$3)+ROUNDDOWN(VLOOKUP(P251,CHOOSE({1,2},'[1]消耗&amp;价值&amp;分析'!$C$7:$C$106,'[1]消耗&amp;价值&amp;分析'!$AS$7:$AS$106),2,FALSE)*0.6,0)</f>
        <v>39215.090919587536</v>
      </c>
      <c r="AJ251" s="80">
        <v>1</v>
      </c>
      <c r="AK251" s="80">
        <v>1</v>
      </c>
      <c r="AL251" s="80">
        <v>1</v>
      </c>
    </row>
    <row r="252" spans="1:38">
      <c r="A252" s="33" t="str">
        <f>怪物并表!$R$7</f>
        <v>普通副本</v>
      </c>
      <c r="B252" s="38">
        <v>2</v>
      </c>
      <c r="C252" s="33">
        <f t="shared" si="29"/>
        <v>7003</v>
      </c>
      <c r="D252" s="33">
        <v>1</v>
      </c>
      <c r="E252" s="33">
        <f>VLOOKUP(A252,怪物并表!$R$7:$S$14,2,FALSE)</f>
        <v>1</v>
      </c>
      <c r="F252" s="38">
        <v>7</v>
      </c>
      <c r="G252" s="38">
        <v>3</v>
      </c>
      <c r="H252" s="38">
        <v>1</v>
      </c>
      <c r="I252" s="33">
        <f t="shared" si="33"/>
        <v>173102</v>
      </c>
      <c r="J252" s="33" t="s">
        <v>246</v>
      </c>
      <c r="K252" s="33"/>
      <c r="L252" s="33">
        <v>0</v>
      </c>
      <c r="M252" s="33">
        <v>1</v>
      </c>
      <c r="N252" s="33"/>
      <c r="O252" s="33">
        <v>1</v>
      </c>
      <c r="P252" s="33">
        <f>VLOOKUP($C252,CHOOSE({1,2},怪物并表!$E$7:$E$1000,怪物并表!$D$7:$D$1000),2,FALSE)</f>
        <v>58</v>
      </c>
      <c r="Q252" s="33" t="s">
        <v>14</v>
      </c>
      <c r="R252" s="33">
        <f>VLOOKUP(Q252,怪物信息配置表!$A$2:$B$118,2,FALSE)</f>
        <v>1010</v>
      </c>
      <c r="S252" s="33">
        <v>1</v>
      </c>
      <c r="T252" s="49">
        <f>VLOOKUP($C252,怪物并表!$E$7:$N$1000,2+($D252-1)*3,FALSE)*S252*AJ252</f>
        <v>287012.87030293985</v>
      </c>
      <c r="U252" s="49">
        <f>VLOOKUP($C252,怪物并表!$E$7:$N$1000,3+($D252-1)*3,FALSE)*S252*AK252</f>
        <v>18035.092712312748</v>
      </c>
      <c r="V252" s="49">
        <f>VLOOKUP($C252,怪物并表!$E$7:$N$1000,4+($D252-1)*3,FALSE)*S252*AL252</f>
        <v>5403.4833951571927</v>
      </c>
      <c r="W252" s="33"/>
      <c r="X252" s="33"/>
      <c r="Y252" s="49">
        <f>VLOOKUP($C252,怪物并表!$E$7:$P$1000,12,FALSE)</f>
        <v>0</v>
      </c>
      <c r="Z252" s="49">
        <f>VLOOKUP($C252,怪物并表!$E$7:$P$1000,11,FALSE)*S252</f>
        <v>3718.8240000000001</v>
      </c>
      <c r="AA252" s="33"/>
      <c r="AB252" s="33"/>
      <c r="AC252" s="33"/>
      <c r="AD252" s="33">
        <f t="shared" si="28"/>
        <v>1</v>
      </c>
      <c r="AE252" s="2">
        <f t="shared" si="30"/>
        <v>311.25</v>
      </c>
      <c r="AF252" s="2" t="str">
        <f>IF(ISBLANK(AM252),IF(O252=6,"",IF(O252=1,VLOOKUP(R252,怪物信息配置表!B:H,5,FALSE),IF(O252=2,VLOOKUP(R252,怪物信息配置表!B:H,6,FALSE),IF(OR(O252=3,O252=5),VLOOKUP(R252,怪物信息配置表!B:H,7,FALSE),"")))),AM252)</f>
        <v>ai_monster</v>
      </c>
      <c r="AG252" s="2"/>
      <c r="AH252" s="15">
        <f>SUMPRODUCT(T252:V252,$AN$3:$AP$3)+ROUNDDOWN(VLOOKUP(P252,CHOOSE({1,2},'[1]消耗&amp;价值&amp;分析'!$C$7:$C$106,'[1]消耗&amp;价值&amp;分析'!$AS$7:$AS$106),2,FALSE)*0.6,0)</f>
        <v>39215.090919587536</v>
      </c>
      <c r="AJ252" s="80">
        <v>1</v>
      </c>
      <c r="AK252" s="80">
        <v>1</v>
      </c>
      <c r="AL252" s="80">
        <v>1</v>
      </c>
    </row>
    <row r="253" spans="1:38">
      <c r="A253" s="33" t="str">
        <f>怪物并表!$R$7</f>
        <v>普通副本</v>
      </c>
      <c r="B253" s="38">
        <v>3</v>
      </c>
      <c r="C253" s="33">
        <f t="shared" si="29"/>
        <v>7003</v>
      </c>
      <c r="D253" s="33">
        <v>1</v>
      </c>
      <c r="E253" s="33">
        <f>VLOOKUP(A253,怪物并表!$R$7:$S$14,2,FALSE)</f>
        <v>1</v>
      </c>
      <c r="F253" s="38">
        <v>7</v>
      </c>
      <c r="G253" s="38">
        <v>3</v>
      </c>
      <c r="H253" s="38">
        <v>1</v>
      </c>
      <c r="I253" s="33">
        <f t="shared" si="33"/>
        <v>173103</v>
      </c>
      <c r="J253" s="33" t="s">
        <v>493</v>
      </c>
      <c r="K253" s="33"/>
      <c r="L253" s="33">
        <v>0</v>
      </c>
      <c r="M253" s="33">
        <v>1</v>
      </c>
      <c r="N253" s="33"/>
      <c r="O253" s="33">
        <v>1</v>
      </c>
      <c r="P253" s="33">
        <f>VLOOKUP($C253,CHOOSE({1,2},怪物并表!$E$7:$E$1000,怪物并表!$D$7:$D$1000),2,FALSE)</f>
        <v>58</v>
      </c>
      <c r="Q253" s="33" t="s">
        <v>11</v>
      </c>
      <c r="R253" s="33">
        <f>VLOOKUP(Q253,怪物信息配置表!$A$2:$B$118,2,FALSE)</f>
        <v>1011</v>
      </c>
      <c r="S253" s="33">
        <v>1</v>
      </c>
      <c r="T253" s="49">
        <f>VLOOKUP($C253,怪物并表!$E$7:$N$1000,2+($D253-1)*3,FALSE)*S253*AJ253</f>
        <v>287012.87030293985</v>
      </c>
      <c r="U253" s="49">
        <f>VLOOKUP($C253,怪物并表!$E$7:$N$1000,3+($D253-1)*3,FALSE)*S253*AK253</f>
        <v>18035.092712312748</v>
      </c>
      <c r="V253" s="49">
        <f>VLOOKUP($C253,怪物并表!$E$7:$N$1000,4+($D253-1)*3,FALSE)*S253*AL253</f>
        <v>5403.4833951571927</v>
      </c>
      <c r="W253" s="33"/>
      <c r="X253" s="33"/>
      <c r="Y253" s="49">
        <f>VLOOKUP($C253,怪物并表!$E$7:$P$1000,12,FALSE)</f>
        <v>0</v>
      </c>
      <c r="Z253" s="49">
        <f>VLOOKUP($C253,怪物并表!$E$7:$P$1000,11,FALSE)*S253</f>
        <v>3718.8240000000001</v>
      </c>
      <c r="AA253" s="33"/>
      <c r="AB253" s="33"/>
      <c r="AC253" s="33"/>
      <c r="AD253" s="33">
        <f t="shared" si="28"/>
        <v>1</v>
      </c>
      <c r="AE253" s="2">
        <f t="shared" si="30"/>
        <v>311.25</v>
      </c>
      <c r="AF253" s="2" t="str">
        <f>IF(ISBLANK(AM253),IF(O253=6,"",IF(O253=1,VLOOKUP(R253,怪物信息配置表!B:H,5,FALSE),IF(O253=2,VLOOKUP(R253,怪物信息配置表!B:H,6,FALSE),IF(OR(O253=3,O253=5),VLOOKUP(R253,怪物信息配置表!B:H,7,FALSE),"")))),AM253)</f>
        <v>ai_monster</v>
      </c>
      <c r="AG253" s="2"/>
      <c r="AH253" s="15">
        <f>SUMPRODUCT(T253:V253,$AN$3:$AP$3)+ROUNDDOWN(VLOOKUP(P253,CHOOSE({1,2},'[1]消耗&amp;价值&amp;分析'!$C$7:$C$106,'[1]消耗&amp;价值&amp;分析'!$AS$7:$AS$106),2,FALSE)*0.6,0)</f>
        <v>39215.090919587536</v>
      </c>
      <c r="AJ253" s="80">
        <v>1</v>
      </c>
      <c r="AK253" s="80">
        <v>1</v>
      </c>
      <c r="AL253" s="80">
        <v>1</v>
      </c>
    </row>
    <row r="254" spans="1:38">
      <c r="A254" s="33" t="str">
        <f>怪物并表!$R$7</f>
        <v>普通副本</v>
      </c>
      <c r="B254" s="38">
        <v>4</v>
      </c>
      <c r="C254" s="33">
        <f t="shared" si="29"/>
        <v>7003</v>
      </c>
      <c r="D254" s="33">
        <v>3</v>
      </c>
      <c r="E254" s="33">
        <f>VLOOKUP(A254,怪物并表!$R$7:$S$14,2,FALSE)</f>
        <v>1</v>
      </c>
      <c r="F254" s="38">
        <v>7</v>
      </c>
      <c r="G254" s="38">
        <v>3</v>
      </c>
      <c r="H254" s="38">
        <v>1</v>
      </c>
      <c r="I254" s="33">
        <f t="shared" si="33"/>
        <v>173104</v>
      </c>
      <c r="J254" s="33" t="s">
        <v>247</v>
      </c>
      <c r="K254" s="33"/>
      <c r="L254" s="33">
        <v>1</v>
      </c>
      <c r="M254" s="33">
        <v>1.2</v>
      </c>
      <c r="N254" s="33"/>
      <c r="O254" s="33">
        <v>3</v>
      </c>
      <c r="P254" s="33">
        <f>VLOOKUP($C254,CHOOSE({1,2},怪物并表!$E$7:$E$1000,怪物并表!$D$7:$D$1000),2,FALSE)</f>
        <v>58</v>
      </c>
      <c r="Q254" s="33" t="s">
        <v>22</v>
      </c>
      <c r="R254" s="33">
        <f>VLOOKUP(Q254,怪物信息配置表!$A$2:$B$118,2,FALSE)</f>
        <v>1013</v>
      </c>
      <c r="S254" s="33">
        <v>1</v>
      </c>
      <c r="T254" s="49">
        <f>VLOOKUP($C254,怪物并表!$E$7:$N$1000,2+($D254-1)*3,FALSE)*S254*AJ254</f>
        <v>717532.17575734959</v>
      </c>
      <c r="U254" s="49">
        <f>VLOOKUP($C254,怪物并表!$E$7:$N$1000,3+($D254-1)*3,FALSE)*S254*AK254</f>
        <v>20561.41457574386</v>
      </c>
      <c r="V254" s="49">
        <f>VLOOKUP($C254,怪物并表!$E$7:$N$1000,4+($D254-1)*3,FALSE)*S254*AL254</f>
        <v>6754.3542439464909</v>
      </c>
      <c r="W254" s="33"/>
      <c r="X254" s="33"/>
      <c r="Y254" s="49">
        <f>VLOOKUP($C254,怪物并表!$E$7:$P$1000,12,FALSE)</f>
        <v>0</v>
      </c>
      <c r="Z254" s="49">
        <f>VLOOKUP($C254,怪物并表!$E$7:$P$1000,11,FALSE)*S254</f>
        <v>3718.8240000000001</v>
      </c>
      <c r="AA254" s="33"/>
      <c r="AB254" s="33"/>
      <c r="AC254" s="33"/>
      <c r="AD254" s="33">
        <f t="shared" si="28"/>
        <v>1.5</v>
      </c>
      <c r="AE254" s="2">
        <f t="shared" si="30"/>
        <v>50</v>
      </c>
      <c r="AF254" s="2" t="str">
        <f>IF(ISBLANK(AM254),IF(O254=6,"",IF(O254=1,VLOOKUP(R254,怪物信息配置表!B:H,5,FALSE),IF(O254=2,VLOOKUP(R254,怪物信息配置表!B:H,6,FALSE),IF(OR(O254=3,O254=5),VLOOKUP(R254,怪物信息配置表!B:H,7,FALSE),"")))),AM254)</f>
        <v>1013_nvrenzhe_BOSS</v>
      </c>
      <c r="AG254" s="2"/>
      <c r="AH254" s="15">
        <f>SUMPRODUCT(T254:V254,$AN$3:$AP$3)+ROUNDDOWN(VLOOKUP(P254,CHOOSE({1,2},'[1]消耗&amp;价值&amp;分析'!$C$7:$C$106,'[1]消耗&amp;价值&amp;分析'!$AS$7:$AS$106),2,FALSE)*0.6,0)</f>
        <v>60313.055849984332</v>
      </c>
      <c r="AJ254" s="80">
        <v>1</v>
      </c>
      <c r="AK254" s="80">
        <v>1</v>
      </c>
      <c r="AL254" s="80">
        <v>1</v>
      </c>
    </row>
    <row r="255" spans="1:38">
      <c r="A255" s="33" t="str">
        <f>怪物并表!$R$7</f>
        <v>普通副本</v>
      </c>
      <c r="B255" s="38">
        <v>1</v>
      </c>
      <c r="C255" s="33">
        <f t="shared" si="29"/>
        <v>7004</v>
      </c>
      <c r="D255" s="33">
        <v>1</v>
      </c>
      <c r="E255" s="33">
        <f>VLOOKUP(A255,怪物并表!$R$7:$S$14,2,FALSE)</f>
        <v>1</v>
      </c>
      <c r="F255" s="38">
        <v>7</v>
      </c>
      <c r="G255" s="38">
        <v>4</v>
      </c>
      <c r="H255" s="38">
        <v>1</v>
      </c>
      <c r="I255" s="33">
        <f t="shared" si="33"/>
        <v>174101</v>
      </c>
      <c r="J255" s="33" t="s">
        <v>494</v>
      </c>
      <c r="K255" s="33"/>
      <c r="L255" s="33">
        <v>0</v>
      </c>
      <c r="M255" s="33">
        <v>1</v>
      </c>
      <c r="N255" s="33"/>
      <c r="O255" s="33">
        <v>1</v>
      </c>
      <c r="P255" s="33">
        <f>VLOOKUP($C255,CHOOSE({1,2},怪物并表!$E$7:$E$1000,怪物并表!$D$7:$D$1000),2,FALSE)</f>
        <v>59</v>
      </c>
      <c r="Q255" s="33" t="s">
        <v>22</v>
      </c>
      <c r="R255" s="33">
        <f>VLOOKUP(Q255,怪物信息配置表!$A$2:$B$118,2,FALSE)</f>
        <v>1013</v>
      </c>
      <c r="S255" s="33">
        <v>1</v>
      </c>
      <c r="T255" s="49">
        <f>VLOOKUP($C255,怪物并表!$E$7:$N$1000,2+($D255-1)*3,FALSE)*S255*AJ255</f>
        <v>306779.93412203423</v>
      </c>
      <c r="U255" s="49">
        <f>VLOOKUP($C255,怪物并表!$E$7:$N$1000,3+($D255-1)*3,FALSE)*S255*AK255</f>
        <v>19448.449047028778</v>
      </c>
      <c r="V255" s="49">
        <f>VLOOKUP($C255,怪物并表!$E$7:$N$1000,4+($D255-1)*3,FALSE)*S255*AL255</f>
        <v>5714.6533167491662</v>
      </c>
      <c r="W255" s="33"/>
      <c r="X255" s="33"/>
      <c r="Y255" s="49">
        <f>VLOOKUP($C255,怪物并表!$E$7:$P$1000,12,FALSE)</f>
        <v>0</v>
      </c>
      <c r="Z255" s="49">
        <f>VLOOKUP($C255,怪物并表!$E$7:$P$1000,11,FALSE)*S255</f>
        <v>3777.0519999999997</v>
      </c>
      <c r="AA255" s="33"/>
      <c r="AB255" s="33"/>
      <c r="AC255" s="33"/>
      <c r="AD255" s="33">
        <f t="shared" si="28"/>
        <v>1</v>
      </c>
      <c r="AE255" s="2">
        <f t="shared" si="30"/>
        <v>299.375</v>
      </c>
      <c r="AF255" s="2" t="str">
        <f>IF(ISBLANK(AM255),IF(O255=6,"",IF(O255=1,VLOOKUP(R255,怪物信息配置表!B:H,5,FALSE),IF(O255=2,VLOOKUP(R255,怪物信息配置表!B:H,6,FALSE),IF(OR(O255=3,O255=5),VLOOKUP(R255,怪物信息配置表!B:H,7,FALSE),"")))),AM255)</f>
        <v>ai_monster_02</v>
      </c>
      <c r="AG255" s="2"/>
      <c r="AH255" s="15">
        <f>SUMPRODUCT(T255:V255,$AN$3:$AP$3)+ROUNDDOWN(VLOOKUP(P255,CHOOSE({1,2},'[1]消耗&amp;价值&amp;分析'!$C$7:$C$106,'[1]消耗&amp;价值&amp;分析'!$AS$7:$AS$106),2,FALSE)*0.6,0)</f>
        <v>41982.299728659316</v>
      </c>
      <c r="AJ255" s="80">
        <v>1</v>
      </c>
      <c r="AK255" s="80">
        <v>1</v>
      </c>
      <c r="AL255" s="80">
        <v>1</v>
      </c>
    </row>
    <row r="256" spans="1:38">
      <c r="A256" s="33" t="str">
        <f>怪物并表!$R$7</f>
        <v>普通副本</v>
      </c>
      <c r="B256" s="38">
        <v>2</v>
      </c>
      <c r="C256" s="33">
        <f t="shared" si="29"/>
        <v>7004</v>
      </c>
      <c r="D256" s="33">
        <v>1</v>
      </c>
      <c r="E256" s="33">
        <f>VLOOKUP(A256,怪物并表!$R$7:$S$14,2,FALSE)</f>
        <v>1</v>
      </c>
      <c r="F256" s="38">
        <v>7</v>
      </c>
      <c r="G256" s="38">
        <v>4</v>
      </c>
      <c r="H256" s="38">
        <v>1</v>
      </c>
      <c r="I256" s="33">
        <f t="shared" si="33"/>
        <v>174102</v>
      </c>
      <c r="J256" s="33" t="s">
        <v>495</v>
      </c>
      <c r="K256" s="33"/>
      <c r="L256" s="33">
        <v>0</v>
      </c>
      <c r="M256" s="33">
        <v>1</v>
      </c>
      <c r="N256" s="33"/>
      <c r="O256" s="33">
        <v>1</v>
      </c>
      <c r="P256" s="33">
        <f>VLOOKUP($C256,CHOOSE({1,2},怪物并表!$E$7:$E$1000,怪物并表!$D$7:$D$1000),2,FALSE)</f>
        <v>59</v>
      </c>
      <c r="Q256" s="33" t="s">
        <v>12</v>
      </c>
      <c r="R256" s="33">
        <f>VLOOKUP(Q256,怪物信息配置表!$A$2:$B$118,2,FALSE)</f>
        <v>1009</v>
      </c>
      <c r="S256" s="33">
        <v>1</v>
      </c>
      <c r="T256" s="49">
        <f>VLOOKUP($C256,怪物并表!$E$7:$N$1000,2+($D256-1)*3,FALSE)*S256*AJ256</f>
        <v>306779.93412203423</v>
      </c>
      <c r="U256" s="49">
        <f>VLOOKUP($C256,怪物并表!$E$7:$N$1000,3+($D256-1)*3,FALSE)*S256*AK256</f>
        <v>19448.449047028778</v>
      </c>
      <c r="V256" s="49">
        <f>VLOOKUP($C256,怪物并表!$E$7:$N$1000,4+($D256-1)*3,FALSE)*S256*AL256</f>
        <v>5714.6533167491662</v>
      </c>
      <c r="W256" s="33"/>
      <c r="X256" s="33"/>
      <c r="Y256" s="49">
        <f>VLOOKUP($C256,怪物并表!$E$7:$P$1000,12,FALSE)</f>
        <v>0</v>
      </c>
      <c r="Z256" s="49">
        <f>VLOOKUP($C256,怪物并表!$E$7:$P$1000,11,FALSE)*S256</f>
        <v>3777.0519999999997</v>
      </c>
      <c r="AA256" s="33"/>
      <c r="AB256" s="33"/>
      <c r="AC256" s="33"/>
      <c r="AD256" s="33">
        <f t="shared" si="28"/>
        <v>1</v>
      </c>
      <c r="AE256" s="2">
        <f t="shared" si="30"/>
        <v>299.375</v>
      </c>
      <c r="AF256" s="2" t="str">
        <f>IF(ISBLANK(AM256),IF(O256=6,"",IF(O256=1,VLOOKUP(R256,怪物信息配置表!B:H,5,FALSE),IF(O256=2,VLOOKUP(R256,怪物信息配置表!B:H,6,FALSE),IF(OR(O256=3,O256=5),VLOOKUP(R256,怪物信息配置表!B:H,7,FALSE),"")))),AM256)</f>
        <v>ai_monster</v>
      </c>
      <c r="AG256" s="2"/>
      <c r="AH256" s="15">
        <f>SUMPRODUCT(T256:V256,$AN$3:$AP$3)+ROUNDDOWN(VLOOKUP(P256,CHOOSE({1,2},'[1]消耗&amp;价值&amp;分析'!$C$7:$C$106,'[1]消耗&amp;价值&amp;分析'!$AS$7:$AS$106),2,FALSE)*0.6,0)</f>
        <v>41982.299728659316</v>
      </c>
      <c r="AJ256" s="80">
        <v>1</v>
      </c>
      <c r="AK256" s="80">
        <v>1</v>
      </c>
      <c r="AL256" s="80">
        <v>1</v>
      </c>
    </row>
    <row r="257" spans="1:38">
      <c r="A257" s="33" t="str">
        <f>怪物并表!$R$7</f>
        <v>普通副本</v>
      </c>
      <c r="B257" s="38">
        <v>3</v>
      </c>
      <c r="C257" s="33">
        <f t="shared" si="29"/>
        <v>7004</v>
      </c>
      <c r="D257" s="33">
        <v>1</v>
      </c>
      <c r="E257" s="33">
        <f>VLOOKUP(A257,怪物并表!$R$7:$S$14,2,FALSE)</f>
        <v>1</v>
      </c>
      <c r="F257" s="38">
        <v>7</v>
      </c>
      <c r="G257" s="38">
        <v>4</v>
      </c>
      <c r="H257" s="38">
        <v>1</v>
      </c>
      <c r="I257" s="33">
        <f t="shared" si="33"/>
        <v>174103</v>
      </c>
      <c r="J257" s="33" t="s">
        <v>496</v>
      </c>
      <c r="K257" s="33"/>
      <c r="L257" s="33">
        <v>0</v>
      </c>
      <c r="M257" s="33">
        <v>1</v>
      </c>
      <c r="N257" s="33"/>
      <c r="O257" s="33">
        <v>1</v>
      </c>
      <c r="P257" s="33">
        <f>VLOOKUP($C257,CHOOSE({1,2},怪物并表!$E$7:$E$1000,怪物并表!$D$7:$D$1000),2,FALSE)</f>
        <v>59</v>
      </c>
      <c r="Q257" s="33" t="s">
        <v>19</v>
      </c>
      <c r="R257" s="33">
        <f>VLOOKUP(Q257,怪物信息配置表!$A$2:$B$118,2,FALSE)</f>
        <v>1102</v>
      </c>
      <c r="S257" s="33">
        <v>1</v>
      </c>
      <c r="T257" s="49">
        <f>VLOOKUP($C257,怪物并表!$E$7:$N$1000,2+($D257-1)*3,FALSE)*S257*AJ257</f>
        <v>306779.93412203423</v>
      </c>
      <c r="U257" s="49">
        <f>VLOOKUP($C257,怪物并表!$E$7:$N$1000,3+($D257-1)*3,FALSE)*S257*AK257</f>
        <v>19448.449047028778</v>
      </c>
      <c r="V257" s="49">
        <f>VLOOKUP($C257,怪物并表!$E$7:$N$1000,4+($D257-1)*3,FALSE)*S257*AL257</f>
        <v>5714.6533167491662</v>
      </c>
      <c r="W257" s="33"/>
      <c r="X257" s="33"/>
      <c r="Y257" s="49">
        <f>VLOOKUP($C257,怪物并表!$E$7:$P$1000,12,FALSE)</f>
        <v>0</v>
      </c>
      <c r="Z257" s="49">
        <f>VLOOKUP($C257,怪物并表!$E$7:$P$1000,11,FALSE)*S257</f>
        <v>3777.0519999999997</v>
      </c>
      <c r="AA257" s="33"/>
      <c r="AB257" s="33"/>
      <c r="AC257" s="33"/>
      <c r="AD257" s="33">
        <f t="shared" si="28"/>
        <v>1</v>
      </c>
      <c r="AE257" s="2">
        <f t="shared" si="30"/>
        <v>299.375</v>
      </c>
      <c r="AF257" s="2" t="str">
        <f>IF(ISBLANK(AM257),IF(O257=6,"",IF(O257=1,VLOOKUP(R257,怪物信息配置表!B:H,5,FALSE),IF(O257=2,VLOOKUP(R257,怪物信息配置表!B:H,6,FALSE),IF(OR(O257=3,O257=5),VLOOKUP(R257,怪物信息配置表!B:H,7,FALSE),"")))),AM257)</f>
        <v>ai_monster_02</v>
      </c>
      <c r="AG257" s="2"/>
      <c r="AH257" s="15">
        <f>SUMPRODUCT(T257:V257,$AN$3:$AP$3)+ROUNDDOWN(VLOOKUP(P257,CHOOSE({1,2},'[1]消耗&amp;价值&amp;分析'!$C$7:$C$106,'[1]消耗&amp;价值&amp;分析'!$AS$7:$AS$106),2,FALSE)*0.6,0)</f>
        <v>41982.299728659316</v>
      </c>
      <c r="AJ257" s="80">
        <v>1</v>
      </c>
      <c r="AK257" s="80">
        <v>1</v>
      </c>
      <c r="AL257" s="80">
        <v>1</v>
      </c>
    </row>
    <row r="258" spans="1:38">
      <c r="A258" s="33" t="str">
        <f>怪物并表!$R$7</f>
        <v>普通副本</v>
      </c>
      <c r="B258" s="38">
        <v>4</v>
      </c>
      <c r="C258" s="33">
        <f t="shared" si="29"/>
        <v>7004</v>
      </c>
      <c r="D258" s="33">
        <v>3</v>
      </c>
      <c r="E258" s="33">
        <f>VLOOKUP(A258,怪物并表!$R$7:$S$14,2,FALSE)</f>
        <v>1</v>
      </c>
      <c r="F258" s="38">
        <v>7</v>
      </c>
      <c r="G258" s="38">
        <v>4</v>
      </c>
      <c r="H258" s="38">
        <v>1</v>
      </c>
      <c r="I258" s="33">
        <f t="shared" si="33"/>
        <v>174104</v>
      </c>
      <c r="J258" s="33" t="s">
        <v>497</v>
      </c>
      <c r="K258" s="33"/>
      <c r="L258" s="33">
        <v>1</v>
      </c>
      <c r="M258" s="33">
        <v>1.3</v>
      </c>
      <c r="N258" s="33"/>
      <c r="O258" s="33">
        <v>3</v>
      </c>
      <c r="P258" s="33">
        <f>VLOOKUP($C258,CHOOSE({1,2},怪物并表!$E$7:$E$1000,怪物并表!$D$7:$D$1000),2,FALSE)</f>
        <v>59</v>
      </c>
      <c r="Q258" s="33" t="s">
        <v>25</v>
      </c>
      <c r="R258" s="33">
        <f>VLOOKUP(Q258,怪物信息配置表!$A$2:$B$118,2,FALSE)</f>
        <v>1012</v>
      </c>
      <c r="S258" s="33">
        <v>1</v>
      </c>
      <c r="T258" s="49">
        <f>VLOOKUP($C258,怪物并表!$E$7:$N$1000,2+($D258-1)*3,FALSE)*S258*AJ258</f>
        <v>766949.83530508564</v>
      </c>
      <c r="U258" s="49">
        <f>VLOOKUP($C258,怪物并表!$E$7:$N$1000,3+($D258-1)*3,FALSE)*S258*AK258</f>
        <v>22195.208193084702</v>
      </c>
      <c r="V258" s="49">
        <f>VLOOKUP($C258,怪物并表!$E$7:$N$1000,4+($D258-1)*3,FALSE)*S258*AL258</f>
        <v>7143.3166459364575</v>
      </c>
      <c r="W258" s="33"/>
      <c r="X258" s="33"/>
      <c r="Y258" s="49">
        <f>VLOOKUP($C258,怪物并表!$E$7:$P$1000,12,FALSE)</f>
        <v>0</v>
      </c>
      <c r="Z258" s="49">
        <f>VLOOKUP($C258,怪物并表!$E$7:$P$1000,11,FALSE)*S258</f>
        <v>3777.0519999999997</v>
      </c>
      <c r="AA258" s="33"/>
      <c r="AB258" s="33"/>
      <c r="AC258" s="33"/>
      <c r="AD258" s="33">
        <f t="shared" si="28"/>
        <v>1.5</v>
      </c>
      <c r="AE258" s="2">
        <f t="shared" ref="AE258:AE321" si="36">MAX(VLOOKUP(Q258,怪物信息配置表,3,FALSE)-VLOOKUP(Q258,怪物信息配置表,5,FALSE)*P258*AD258,50)</f>
        <v>50</v>
      </c>
      <c r="AF258" s="2" t="str">
        <f>IF(ISBLANK(AM258),IF(O258=6,"",IF(O258=1,VLOOKUP(R258,怪物信息配置表!B:H,5,FALSE),IF(O258=2,VLOOKUP(R258,怪物信息配置表!B:H,6,FALSE),IF(OR(O258=3,O258=5),VLOOKUP(R258,怪物信息配置表!B:H,7,FALSE),"")))),AM258)</f>
        <v>1012_jianke_BOSS</v>
      </c>
      <c r="AG258" s="2"/>
      <c r="AH258" s="15">
        <f>SUMPRODUCT(T258:V258,$AN$3:$AP$3)+ROUNDDOWN(VLOOKUP(P258,CHOOSE({1,2},'[1]消耗&amp;价值&amp;分析'!$C$7:$C$106,'[1]消耗&amp;价值&amp;分析'!$AS$7:$AS$106),2,FALSE)*0.6,0)</f>
        <v>64564.518251224581</v>
      </c>
      <c r="AJ258" s="80">
        <v>1</v>
      </c>
      <c r="AK258" s="80">
        <v>1</v>
      </c>
      <c r="AL258" s="80">
        <v>1</v>
      </c>
    </row>
    <row r="259" spans="1:38">
      <c r="A259" s="33" t="str">
        <f>怪物并表!$R$7</f>
        <v>普通副本</v>
      </c>
      <c r="B259" s="38">
        <v>1</v>
      </c>
      <c r="C259" s="33">
        <f t="shared" si="29"/>
        <v>7005</v>
      </c>
      <c r="D259" s="33">
        <v>1</v>
      </c>
      <c r="E259" s="33">
        <f>VLOOKUP(A259,怪物并表!$R$7:$S$14,2,FALSE)</f>
        <v>1</v>
      </c>
      <c r="F259" s="38">
        <v>7</v>
      </c>
      <c r="G259" s="38">
        <v>5</v>
      </c>
      <c r="H259" s="38">
        <v>1</v>
      </c>
      <c r="I259" s="33">
        <f t="shared" si="33"/>
        <v>175101</v>
      </c>
      <c r="J259" s="33" t="s">
        <v>22</v>
      </c>
      <c r="K259" s="33"/>
      <c r="L259" s="33">
        <v>0</v>
      </c>
      <c r="M259" s="33">
        <v>1</v>
      </c>
      <c r="N259" s="33"/>
      <c r="O259" s="33">
        <v>1</v>
      </c>
      <c r="P259" s="33">
        <f>VLOOKUP($C259,CHOOSE({1,2},怪物并表!$E$7:$E$1000,怪物并表!$D$7:$D$1000),2,FALSE)</f>
        <v>60</v>
      </c>
      <c r="Q259" s="33" t="s">
        <v>22</v>
      </c>
      <c r="R259" s="33">
        <f>VLOOKUP(Q259,怪物信息配置表!$A$2:$B$118,2,FALSE)</f>
        <v>1013</v>
      </c>
      <c r="S259" s="33">
        <v>1</v>
      </c>
      <c r="T259" s="49">
        <f>VLOOKUP($C259,怪物并表!$E$7:$N$1000,2+($D259-1)*3,FALSE)*S259*AJ259</f>
        <v>329097.52403114893</v>
      </c>
      <c r="U259" s="49">
        <f>VLOOKUP($C259,怪物并表!$E$7:$N$1000,3+($D259-1)*3,FALSE)*S259*AK259</f>
        <v>21051.654145986631</v>
      </c>
      <c r="V259" s="49">
        <f>VLOOKUP($C259,怪物并表!$E$7:$N$1000,4+($D259-1)*3,FALSE)*S259*AL259</f>
        <v>6066.4611210702378</v>
      </c>
      <c r="W259" s="33"/>
      <c r="X259" s="33"/>
      <c r="Y259" s="49">
        <f>VLOOKUP($C259,怪物并表!$E$7:$P$1000,12,FALSE)</f>
        <v>0</v>
      </c>
      <c r="Z259" s="49">
        <f>VLOOKUP($C259,怪物并表!$E$7:$P$1000,11,FALSE)*S259</f>
        <v>3835.2799999999997</v>
      </c>
      <c r="AA259" s="33"/>
      <c r="AB259" s="33"/>
      <c r="AC259" s="33"/>
      <c r="AD259" s="33">
        <f t="shared" si="28"/>
        <v>1</v>
      </c>
      <c r="AE259" s="2">
        <f t="shared" si="36"/>
        <v>287.5</v>
      </c>
      <c r="AF259" s="2" t="str">
        <f>IF(ISBLANK(AM259),IF(O259=6,"",IF(O259=1,VLOOKUP(R259,怪物信息配置表!B:H,5,FALSE),IF(O259=2,VLOOKUP(R259,怪物信息配置表!B:H,6,FALSE),IF(OR(O259=3,O259=5),VLOOKUP(R259,怪物信息配置表!B:H,7,FALSE),"")))),AM259)</f>
        <v>ai_monster_02</v>
      </c>
      <c r="AG259" s="2"/>
      <c r="AH259" s="15">
        <f>SUMPRODUCT(T259:V259,$AN$3:$AP$3)+ROUNDDOWN(VLOOKUP(P259,CHOOSE({1,2},'[1]消耗&amp;价值&amp;分析'!$C$7:$C$106,'[1]消耗&amp;价值&amp;分析'!$AS$7:$AS$106),2,FALSE)*0.6,0)</f>
        <v>45062.016228302826</v>
      </c>
      <c r="AJ259" s="80">
        <v>1</v>
      </c>
      <c r="AK259" s="80">
        <v>1</v>
      </c>
      <c r="AL259" s="80">
        <v>1</v>
      </c>
    </row>
    <row r="260" spans="1:38">
      <c r="A260" s="33" t="str">
        <f>怪物并表!$R$7</f>
        <v>普通副本</v>
      </c>
      <c r="B260" s="38">
        <v>2</v>
      </c>
      <c r="C260" s="33">
        <f t="shared" si="29"/>
        <v>7005</v>
      </c>
      <c r="D260" s="33">
        <v>1</v>
      </c>
      <c r="E260" s="33">
        <f>VLOOKUP(A260,怪物并表!$R$7:$S$14,2,FALSE)</f>
        <v>1</v>
      </c>
      <c r="F260" s="38">
        <v>7</v>
      </c>
      <c r="G260" s="38">
        <v>5</v>
      </c>
      <c r="H260" s="38">
        <v>1</v>
      </c>
      <c r="I260" s="33">
        <f t="shared" si="33"/>
        <v>175102</v>
      </c>
      <c r="J260" s="33" t="s">
        <v>482</v>
      </c>
      <c r="K260" s="33"/>
      <c r="L260" s="33">
        <v>0</v>
      </c>
      <c r="M260" s="33">
        <v>1</v>
      </c>
      <c r="N260" s="33"/>
      <c r="O260" s="33">
        <v>1</v>
      </c>
      <c r="P260" s="33">
        <f>VLOOKUP($C260,CHOOSE({1,2},怪物并表!$E$7:$E$1000,怪物并表!$D$7:$D$1000),2,FALSE)</f>
        <v>60</v>
      </c>
      <c r="Q260" s="33" t="s">
        <v>399</v>
      </c>
      <c r="R260" s="33">
        <f>VLOOKUP(Q260,怪物信息配置表!$A$2:$B$118,2,FALSE)</f>
        <v>1014</v>
      </c>
      <c r="S260" s="33">
        <v>1</v>
      </c>
      <c r="T260" s="49">
        <f>VLOOKUP($C260,怪物并表!$E$7:$N$1000,2+($D260-1)*3,FALSE)*S260*AJ260</f>
        <v>329097.52403114893</v>
      </c>
      <c r="U260" s="49">
        <f>VLOOKUP($C260,怪物并表!$E$7:$N$1000,3+($D260-1)*3,FALSE)*S260*AK260</f>
        <v>21051.654145986631</v>
      </c>
      <c r="V260" s="49">
        <f>VLOOKUP($C260,怪物并表!$E$7:$N$1000,4+($D260-1)*3,FALSE)*S260*AL260</f>
        <v>6066.4611210702378</v>
      </c>
      <c r="W260" s="33"/>
      <c r="X260" s="33"/>
      <c r="Y260" s="49">
        <f>VLOOKUP($C260,怪物并表!$E$7:$P$1000,12,FALSE)</f>
        <v>0</v>
      </c>
      <c r="Z260" s="49">
        <f>VLOOKUP($C260,怪物并表!$E$7:$P$1000,11,FALSE)*S260</f>
        <v>3835.2799999999997</v>
      </c>
      <c r="AA260" s="33"/>
      <c r="AB260" s="33"/>
      <c r="AC260" s="33"/>
      <c r="AD260" s="33">
        <f t="shared" si="28"/>
        <v>1</v>
      </c>
      <c r="AE260" s="2">
        <f t="shared" si="36"/>
        <v>237.5</v>
      </c>
      <c r="AF260" s="2" t="str">
        <f>IF(ISBLANK(AM260),IF(O260=6,"",IF(O260=1,VLOOKUP(R260,怪物信息配置表!B:H,5,FALSE),IF(O260=2,VLOOKUP(R260,怪物信息配置表!B:H,6,FALSE),IF(OR(O260=3,O260=5),VLOOKUP(R260,怪物信息配置表!B:H,7,FALSE),"")))),AM260)</f>
        <v>ai_monster_03</v>
      </c>
      <c r="AG260" s="2"/>
      <c r="AH260" s="15">
        <f>SUMPRODUCT(T260:V260,$AN$3:$AP$3)+ROUNDDOWN(VLOOKUP(P260,CHOOSE({1,2},'[1]消耗&amp;价值&amp;分析'!$C$7:$C$106,'[1]消耗&amp;价值&amp;分析'!$AS$7:$AS$106),2,FALSE)*0.6,0)</f>
        <v>45062.016228302826</v>
      </c>
      <c r="AJ260" s="80">
        <v>1</v>
      </c>
      <c r="AK260" s="80">
        <v>1</v>
      </c>
      <c r="AL260" s="80">
        <v>1</v>
      </c>
    </row>
    <row r="261" spans="1:38">
      <c r="A261" s="33" t="str">
        <f>怪物并表!$R$7</f>
        <v>普通副本</v>
      </c>
      <c r="B261" s="38">
        <v>3</v>
      </c>
      <c r="C261" s="33">
        <f t="shared" si="29"/>
        <v>7005</v>
      </c>
      <c r="D261" s="33">
        <v>1</v>
      </c>
      <c r="E261" s="33">
        <f>VLOOKUP(A261,怪物并表!$R$7:$S$14,2,FALSE)</f>
        <v>1</v>
      </c>
      <c r="F261" s="38">
        <v>7</v>
      </c>
      <c r="G261" s="38">
        <v>5</v>
      </c>
      <c r="H261" s="38">
        <v>1</v>
      </c>
      <c r="I261" s="33">
        <f t="shared" si="33"/>
        <v>175103</v>
      </c>
      <c r="J261" s="33" t="s">
        <v>44</v>
      </c>
      <c r="K261" s="33"/>
      <c r="L261" s="33">
        <v>0</v>
      </c>
      <c r="M261" s="33">
        <v>1</v>
      </c>
      <c r="N261" s="33"/>
      <c r="O261" s="33">
        <v>1</v>
      </c>
      <c r="P261" s="33">
        <f>VLOOKUP($C261,CHOOSE({1,2},怪物并表!$E$7:$E$1000,怪物并表!$D$7:$D$1000),2,FALSE)</f>
        <v>60</v>
      </c>
      <c r="Q261" s="33" t="s">
        <v>25</v>
      </c>
      <c r="R261" s="33">
        <f>VLOOKUP(Q261,怪物信息配置表!$A$2:$B$118,2,FALSE)</f>
        <v>1012</v>
      </c>
      <c r="S261" s="33">
        <v>1</v>
      </c>
      <c r="T261" s="49">
        <f>VLOOKUP($C261,怪物并表!$E$7:$N$1000,2+($D261-1)*3,FALSE)*S261*AJ261</f>
        <v>329097.52403114893</v>
      </c>
      <c r="U261" s="49">
        <f>VLOOKUP($C261,怪物并表!$E$7:$N$1000,3+($D261-1)*3,FALSE)*S261*AK261</f>
        <v>21051.654145986631</v>
      </c>
      <c r="V261" s="49">
        <f>VLOOKUP($C261,怪物并表!$E$7:$N$1000,4+($D261-1)*3,FALSE)*S261*AL261</f>
        <v>6066.4611210702378</v>
      </c>
      <c r="W261" s="33"/>
      <c r="X261" s="33"/>
      <c r="Y261" s="49">
        <f>VLOOKUP($C261,怪物并表!$E$7:$P$1000,12,FALSE)</f>
        <v>0</v>
      </c>
      <c r="Z261" s="49">
        <f>VLOOKUP($C261,怪物并表!$E$7:$P$1000,11,FALSE)*S261</f>
        <v>3835.2799999999997</v>
      </c>
      <c r="AA261" s="33"/>
      <c r="AB261" s="33"/>
      <c r="AC261" s="33"/>
      <c r="AD261" s="33">
        <f t="shared" si="28"/>
        <v>1</v>
      </c>
      <c r="AE261" s="2">
        <f t="shared" si="36"/>
        <v>287.5</v>
      </c>
      <c r="AF261" s="2" t="str">
        <f>IF(ISBLANK(AM261),IF(O261=6,"",IF(O261=1,VLOOKUP(R261,怪物信息配置表!B:H,5,FALSE),IF(O261=2,VLOOKUP(R261,怪物信息配置表!B:H,6,FALSE),IF(OR(O261=3,O261=5),VLOOKUP(R261,怪物信息配置表!B:H,7,FALSE),"")))),AM261)</f>
        <v>ai_monster_03</v>
      </c>
      <c r="AG261" s="2"/>
      <c r="AH261" s="15">
        <f>SUMPRODUCT(T261:V261,$AN$3:$AP$3)+ROUNDDOWN(VLOOKUP(P261,CHOOSE({1,2},'[1]消耗&amp;价值&amp;分析'!$C$7:$C$106,'[1]消耗&amp;价值&amp;分析'!$AS$7:$AS$106),2,FALSE)*0.6,0)</f>
        <v>45062.016228302826</v>
      </c>
      <c r="AJ261" s="80">
        <v>1</v>
      </c>
      <c r="AK261" s="80">
        <v>1</v>
      </c>
      <c r="AL261" s="80">
        <v>1</v>
      </c>
    </row>
    <row r="262" spans="1:38">
      <c r="A262" s="33" t="str">
        <f>怪物并表!$R$7</f>
        <v>普通副本</v>
      </c>
      <c r="B262" s="38">
        <v>4</v>
      </c>
      <c r="C262" s="33">
        <f t="shared" si="29"/>
        <v>7005</v>
      </c>
      <c r="D262" s="33">
        <v>3</v>
      </c>
      <c r="E262" s="33">
        <f>VLOOKUP(A262,怪物并表!$R$7:$S$14,2,FALSE)</f>
        <v>1</v>
      </c>
      <c r="F262" s="38">
        <v>7</v>
      </c>
      <c r="G262" s="38">
        <v>5</v>
      </c>
      <c r="H262" s="38">
        <v>1</v>
      </c>
      <c r="I262" s="33">
        <f t="shared" si="33"/>
        <v>175104</v>
      </c>
      <c r="J262" s="33" t="s">
        <v>498</v>
      </c>
      <c r="K262" s="33"/>
      <c r="L262" s="33">
        <v>1</v>
      </c>
      <c r="M262" s="33">
        <v>1.2</v>
      </c>
      <c r="N262" s="33"/>
      <c r="O262" s="33">
        <v>3</v>
      </c>
      <c r="P262" s="33">
        <f>VLOOKUP($C262,CHOOSE({1,2},怪物并表!$E$7:$E$1000,怪物并表!$D$7:$D$1000),2,FALSE)</f>
        <v>60</v>
      </c>
      <c r="Q262" s="33" t="s">
        <v>19</v>
      </c>
      <c r="R262" s="33">
        <f>VLOOKUP(Q262,怪物信息配置表!$A$2:$B$118,2,FALSE)</f>
        <v>1102</v>
      </c>
      <c r="S262" s="33">
        <v>1</v>
      </c>
      <c r="T262" s="49">
        <f>VLOOKUP($C262,怪物并表!$E$7:$N$1000,2+($D262-1)*3,FALSE)*S262*AJ262</f>
        <v>822743.81007787236</v>
      </c>
      <c r="U262" s="49">
        <f>VLOOKUP($C262,怪物并表!$E$7:$N$1000,3+($D262-1)*3,FALSE)*S262*AK262</f>
        <v>24048.692750969909</v>
      </c>
      <c r="V262" s="49">
        <f>VLOOKUP($C262,怪物并表!$E$7:$N$1000,4+($D262-1)*3,FALSE)*S262*AL262</f>
        <v>7583.0764013377966</v>
      </c>
      <c r="W262" s="33"/>
      <c r="X262" s="33"/>
      <c r="Y262" s="49">
        <f>VLOOKUP($C262,怪物并表!$E$7:$P$1000,12,FALSE)</f>
        <v>0</v>
      </c>
      <c r="Z262" s="49">
        <f>VLOOKUP($C262,怪物并表!$E$7:$P$1000,11,FALSE)*S262</f>
        <v>3835.2799999999997</v>
      </c>
      <c r="AA262" s="33"/>
      <c r="AB262" s="33"/>
      <c r="AC262" s="33"/>
      <c r="AD262" s="33">
        <f t="shared" si="28"/>
        <v>1.5</v>
      </c>
      <c r="AE262" s="2">
        <f t="shared" si="36"/>
        <v>50</v>
      </c>
      <c r="AF262" s="2" t="str">
        <f>IF(ISBLANK(AM262),IF(O262=6,"",IF(O262=1,VLOOKUP(R262,怪物信息配置表!B:H,5,FALSE),IF(O262=2,VLOOKUP(R262,怪物信息配置表!B:H,6,FALSE),IF(OR(O262=3,O262=5),VLOOKUP(R262,怪物信息配置表!B:H,7,FALSE),"")))),AM262)</f>
        <v>1102_wuya_BOSS</v>
      </c>
      <c r="AG262" s="2"/>
      <c r="AH262" s="15">
        <f>SUMPRODUCT(T262:V262,$AN$3:$AP$3)+ROUNDDOWN(VLOOKUP(P262,CHOOSE({1,2},'[1]消耗&amp;价值&amp;分析'!$C$7:$C$106,'[1]消耗&amp;价值&amp;分析'!$AS$7:$AS$106),2,FALSE)*0.6,0)</f>
        <v>69321.521555422602</v>
      </c>
      <c r="AJ262" s="80">
        <v>1</v>
      </c>
      <c r="AK262" s="80">
        <v>1</v>
      </c>
      <c r="AL262" s="80">
        <v>1</v>
      </c>
    </row>
    <row r="263" spans="1:38">
      <c r="A263" s="33" t="str">
        <f>怪物并表!$R$7</f>
        <v>普通副本</v>
      </c>
      <c r="B263" s="38">
        <v>1</v>
      </c>
      <c r="C263" s="33">
        <f t="shared" si="29"/>
        <v>7006</v>
      </c>
      <c r="D263" s="33">
        <v>1</v>
      </c>
      <c r="E263" s="33">
        <f>VLOOKUP(A263,怪物并表!$R$7:$S$14,2,FALSE)</f>
        <v>1</v>
      </c>
      <c r="F263" s="38">
        <v>7</v>
      </c>
      <c r="G263" s="38">
        <v>6</v>
      </c>
      <c r="H263" s="38">
        <v>1</v>
      </c>
      <c r="I263" s="33">
        <f t="shared" si="33"/>
        <v>176101</v>
      </c>
      <c r="J263" s="33" t="s">
        <v>42</v>
      </c>
      <c r="K263" s="33"/>
      <c r="L263" s="33">
        <v>0</v>
      </c>
      <c r="M263" s="33">
        <v>1</v>
      </c>
      <c r="N263" s="33"/>
      <c r="O263" s="33">
        <v>1</v>
      </c>
      <c r="P263" s="33">
        <f>VLOOKUP($C263,CHOOSE({1,2},怪物并表!$E$7:$E$1000,怪物并表!$D$7:$D$1000),2,FALSE)</f>
        <v>61</v>
      </c>
      <c r="Q263" s="33" t="s">
        <v>12</v>
      </c>
      <c r="R263" s="33">
        <f>VLOOKUP(Q263,怪物信息配置表!$A$2:$B$118,2,FALSE)</f>
        <v>1009</v>
      </c>
      <c r="S263" s="33">
        <v>1</v>
      </c>
      <c r="T263" s="49">
        <f>VLOOKUP($C263,怪物并表!$E$7:$N$1000,2+($D263-1)*3,FALSE)*S263*AJ263</f>
        <v>352509.96247259458</v>
      </c>
      <c r="U263" s="49">
        <f>VLOOKUP($C263,怪物并表!$E$7:$N$1000,3+($D263-1)*3,FALSE)*S263*AK263</f>
        <v>22756.135759752957</v>
      </c>
      <c r="V263" s="49">
        <f>VLOOKUP($C263,怪物并表!$E$7:$N$1000,4+($D263-1)*3,FALSE)*S263*AL263</f>
        <v>6431.1094095652197</v>
      </c>
      <c r="W263" s="33"/>
      <c r="X263" s="33"/>
      <c r="Y263" s="49">
        <f>VLOOKUP($C263,怪物并表!$E$7:$P$1000,12,FALSE)</f>
        <v>0</v>
      </c>
      <c r="Z263" s="49">
        <f>VLOOKUP($C263,怪物并表!$E$7:$P$1000,11,FALSE)*S263</f>
        <v>3893.5080000000003</v>
      </c>
      <c r="AA263" s="33"/>
      <c r="AB263" s="33"/>
      <c r="AC263" s="33"/>
      <c r="AD263" s="33">
        <f t="shared" si="28"/>
        <v>1</v>
      </c>
      <c r="AE263" s="2">
        <f t="shared" si="36"/>
        <v>275.625</v>
      </c>
      <c r="AF263" s="2" t="str">
        <f>IF(ISBLANK(AM263),IF(O263=6,"",IF(O263=1,VLOOKUP(R263,怪物信息配置表!B:H,5,FALSE),IF(O263=2,VLOOKUP(R263,怪物信息配置表!B:H,6,FALSE),IF(OR(O263=3,O263=5),VLOOKUP(R263,怪物信息配置表!B:H,7,FALSE),"")))),AM263)</f>
        <v>ai_monster</v>
      </c>
      <c r="AG263" s="2"/>
      <c r="AH263" s="15">
        <f>SUMPRODUCT(T263:V263,$AN$3:$AP$3)+ROUNDDOWN(VLOOKUP(P263,CHOOSE({1,2},'[1]消耗&amp;价值&amp;分析'!$C$7:$C$106,'[1]消耗&amp;价值&amp;分析'!$AS$7:$AS$106),2,FALSE)*0.6,0)</f>
        <v>48343.643668221965</v>
      </c>
      <c r="AJ263" s="80">
        <v>1</v>
      </c>
      <c r="AK263" s="80">
        <v>1</v>
      </c>
      <c r="AL263" s="80">
        <v>1</v>
      </c>
    </row>
    <row r="264" spans="1:38">
      <c r="A264" s="33" t="str">
        <f>怪物并表!$R$7</f>
        <v>普通副本</v>
      </c>
      <c r="B264" s="38">
        <v>2</v>
      </c>
      <c r="C264" s="33">
        <f t="shared" si="29"/>
        <v>7006</v>
      </c>
      <c r="D264" s="33">
        <v>1</v>
      </c>
      <c r="E264" s="33">
        <f>VLOOKUP(A264,怪物并表!$R$7:$S$14,2,FALSE)</f>
        <v>1</v>
      </c>
      <c r="F264" s="38">
        <v>7</v>
      </c>
      <c r="G264" s="38">
        <v>6</v>
      </c>
      <c r="H264" s="38">
        <v>1</v>
      </c>
      <c r="I264" s="33">
        <f t="shared" si="33"/>
        <v>176102</v>
      </c>
      <c r="J264" s="33" t="s">
        <v>485</v>
      </c>
      <c r="K264" s="33"/>
      <c r="L264" s="33">
        <v>0</v>
      </c>
      <c r="M264" s="33">
        <v>1</v>
      </c>
      <c r="N264" s="33"/>
      <c r="O264" s="33">
        <v>1</v>
      </c>
      <c r="P264" s="33">
        <f>VLOOKUP($C264,CHOOSE({1,2},怪物并表!$E$7:$E$1000,怪物并表!$D$7:$D$1000),2,FALSE)</f>
        <v>61</v>
      </c>
      <c r="Q264" s="33" t="s">
        <v>24</v>
      </c>
      <c r="R264" s="33">
        <f>VLOOKUP(Q264,怪物信息配置表!$A$2:$B$118,2,FALSE)</f>
        <v>1015</v>
      </c>
      <c r="S264" s="33">
        <v>1</v>
      </c>
      <c r="T264" s="49">
        <f>VLOOKUP($C264,怪物并表!$E$7:$N$1000,2+($D264-1)*3,FALSE)*S264*AJ264</f>
        <v>352509.96247259458</v>
      </c>
      <c r="U264" s="49">
        <f>VLOOKUP($C264,怪物并表!$E$7:$N$1000,3+($D264-1)*3,FALSE)*S264*AK264</f>
        <v>22756.135759752957</v>
      </c>
      <c r="V264" s="49">
        <f>VLOOKUP($C264,怪物并表!$E$7:$N$1000,4+($D264-1)*3,FALSE)*S264*AL264</f>
        <v>6431.1094095652197</v>
      </c>
      <c r="W264" s="33"/>
      <c r="X264" s="33"/>
      <c r="Y264" s="49">
        <f>VLOOKUP($C264,怪物并表!$E$7:$P$1000,12,FALSE)</f>
        <v>0</v>
      </c>
      <c r="Z264" s="49">
        <f>VLOOKUP($C264,怪物并表!$E$7:$P$1000,11,FALSE)*S264</f>
        <v>3893.5080000000003</v>
      </c>
      <c r="AA264" s="33"/>
      <c r="AB264" s="33"/>
      <c r="AC264" s="33"/>
      <c r="AD264" s="33">
        <f t="shared" si="28"/>
        <v>1</v>
      </c>
      <c r="AE264" s="2">
        <f t="shared" si="36"/>
        <v>228.125</v>
      </c>
      <c r="AF264" s="2" t="str">
        <f>IF(ISBLANK(AM264),IF(O264=6,"",IF(O264=1,VLOOKUP(R264,怪物信息配置表!B:H,5,FALSE),IF(O264=2,VLOOKUP(R264,怪物信息配置表!B:H,6,FALSE),IF(OR(O264=3,O264=5),VLOOKUP(R264,怪物信息配置表!B:H,7,FALSE),"")))),AM264)</f>
        <v>ai_monster_03</v>
      </c>
      <c r="AG264" s="2"/>
      <c r="AH264" s="15">
        <f>SUMPRODUCT(T264:V264,$AN$3:$AP$3)+ROUNDDOWN(VLOOKUP(P264,CHOOSE({1,2},'[1]消耗&amp;价值&amp;分析'!$C$7:$C$106,'[1]消耗&amp;价值&amp;分析'!$AS$7:$AS$106),2,FALSE)*0.6,0)</f>
        <v>48343.643668221965</v>
      </c>
      <c r="AJ264" s="80">
        <v>1</v>
      </c>
      <c r="AK264" s="80">
        <v>1</v>
      </c>
      <c r="AL264" s="80">
        <v>1</v>
      </c>
    </row>
    <row r="265" spans="1:38">
      <c r="A265" s="33" t="str">
        <f>怪物并表!$R$7</f>
        <v>普通副本</v>
      </c>
      <c r="B265" s="38">
        <v>3</v>
      </c>
      <c r="C265" s="33">
        <f t="shared" si="29"/>
        <v>7006</v>
      </c>
      <c r="D265" s="33">
        <v>1</v>
      </c>
      <c r="E265" s="33">
        <f>VLOOKUP(A265,怪物并表!$R$7:$S$14,2,FALSE)</f>
        <v>1</v>
      </c>
      <c r="F265" s="38">
        <v>7</v>
      </c>
      <c r="G265" s="38">
        <v>6</v>
      </c>
      <c r="H265" s="38">
        <v>1</v>
      </c>
      <c r="I265" s="33">
        <f t="shared" si="33"/>
        <v>176103</v>
      </c>
      <c r="J265" s="33" t="s">
        <v>44</v>
      </c>
      <c r="K265" s="33"/>
      <c r="L265" s="33">
        <v>0</v>
      </c>
      <c r="M265" s="33">
        <v>1</v>
      </c>
      <c r="N265" s="33"/>
      <c r="O265" s="33">
        <v>1</v>
      </c>
      <c r="P265" s="33">
        <f>VLOOKUP($C265,CHOOSE({1,2},怪物并表!$E$7:$E$1000,怪物并表!$D$7:$D$1000),2,FALSE)</f>
        <v>61</v>
      </c>
      <c r="Q265" s="33" t="s">
        <v>25</v>
      </c>
      <c r="R265" s="33">
        <f>VLOOKUP(Q265,怪物信息配置表!$A$2:$B$118,2,FALSE)</f>
        <v>1012</v>
      </c>
      <c r="S265" s="33">
        <v>1</v>
      </c>
      <c r="T265" s="49">
        <f>VLOOKUP($C265,怪物并表!$E$7:$N$1000,2+($D265-1)*3,FALSE)*S265*AJ265</f>
        <v>352509.96247259458</v>
      </c>
      <c r="U265" s="49">
        <f>VLOOKUP($C265,怪物并表!$E$7:$N$1000,3+($D265-1)*3,FALSE)*S265*AK265</f>
        <v>22756.135759752957</v>
      </c>
      <c r="V265" s="49">
        <f>VLOOKUP($C265,怪物并表!$E$7:$N$1000,4+($D265-1)*3,FALSE)*S265*AL265</f>
        <v>6431.1094095652197</v>
      </c>
      <c r="W265" s="33"/>
      <c r="X265" s="33"/>
      <c r="Y265" s="49">
        <f>VLOOKUP($C265,怪物并表!$E$7:$P$1000,12,FALSE)</f>
        <v>0</v>
      </c>
      <c r="Z265" s="49">
        <f>VLOOKUP($C265,怪物并表!$E$7:$P$1000,11,FALSE)*S265</f>
        <v>3893.5080000000003</v>
      </c>
      <c r="AA265" s="33"/>
      <c r="AB265" s="33"/>
      <c r="AC265" s="33"/>
      <c r="AD265" s="33">
        <f t="shared" si="28"/>
        <v>1</v>
      </c>
      <c r="AE265" s="2">
        <f t="shared" si="36"/>
        <v>275.625</v>
      </c>
      <c r="AF265" s="2" t="str">
        <f>IF(ISBLANK(AM265),IF(O265=6,"",IF(O265=1,VLOOKUP(R265,怪物信息配置表!B:H,5,FALSE),IF(O265=2,VLOOKUP(R265,怪物信息配置表!B:H,6,FALSE),IF(OR(O265=3,O265=5),VLOOKUP(R265,怪物信息配置表!B:H,7,FALSE),"")))),AM265)</f>
        <v>ai_monster_03</v>
      </c>
      <c r="AG265" s="2"/>
      <c r="AH265" s="15">
        <f>SUMPRODUCT(T265:V265,$AN$3:$AP$3)+ROUNDDOWN(VLOOKUP(P265,CHOOSE({1,2},'[1]消耗&amp;价值&amp;分析'!$C$7:$C$106,'[1]消耗&amp;价值&amp;分析'!$AS$7:$AS$106),2,FALSE)*0.6,0)</f>
        <v>48343.643668221965</v>
      </c>
      <c r="AJ265" s="80">
        <v>1</v>
      </c>
      <c r="AK265" s="80">
        <v>1</v>
      </c>
      <c r="AL265" s="80">
        <v>1</v>
      </c>
    </row>
    <row r="266" spans="1:38">
      <c r="A266" s="33" t="str">
        <f>怪物并表!$R$7</f>
        <v>普通副本</v>
      </c>
      <c r="B266" s="38">
        <v>4</v>
      </c>
      <c r="C266" s="33">
        <f t="shared" si="29"/>
        <v>7006</v>
      </c>
      <c r="D266" s="33">
        <v>3</v>
      </c>
      <c r="E266" s="33">
        <f>VLOOKUP(A266,怪物并表!$R$7:$S$14,2,FALSE)</f>
        <v>1</v>
      </c>
      <c r="F266" s="38">
        <v>7</v>
      </c>
      <c r="G266" s="38">
        <v>6</v>
      </c>
      <c r="H266" s="38">
        <v>1</v>
      </c>
      <c r="I266" s="33">
        <f t="shared" si="33"/>
        <v>176104</v>
      </c>
      <c r="J266" s="33" t="s">
        <v>606</v>
      </c>
      <c r="K266" s="33"/>
      <c r="L266" s="33">
        <v>1</v>
      </c>
      <c r="M266" s="33">
        <v>1.3</v>
      </c>
      <c r="N266" s="33"/>
      <c r="O266" s="33">
        <v>3</v>
      </c>
      <c r="P266" s="33">
        <f>VLOOKUP($C266,CHOOSE({1,2},怪物并表!$E$7:$E$1000,怪物并表!$D$7:$D$1000),2,FALSE)</f>
        <v>61</v>
      </c>
      <c r="Q266" s="33" t="s">
        <v>562</v>
      </c>
      <c r="R266" s="33">
        <f>VLOOKUP(Q266,怪物信息配置表!$A$2:$B$118,2,FALSE)</f>
        <v>1111</v>
      </c>
      <c r="S266" s="33">
        <v>1</v>
      </c>
      <c r="T266" s="49">
        <f>VLOOKUP($C266,怪物并表!$E$7:$N$1000,2+($D266-1)*3,FALSE)*S266*AJ266</f>
        <v>881274.90618148644</v>
      </c>
      <c r="U266" s="49">
        <f>VLOOKUP($C266,怪物并表!$E$7:$N$1000,3+($D266-1)*3,FALSE)*S266*AK266</f>
        <v>26021.141029790502</v>
      </c>
      <c r="V266" s="49">
        <f>VLOOKUP($C266,怪物并表!$E$7:$N$1000,4+($D266-1)*3,FALSE)*S266*AL266</f>
        <v>8038.8867619565244</v>
      </c>
      <c r="W266" s="33"/>
      <c r="X266" s="33"/>
      <c r="Y266" s="49">
        <f>VLOOKUP($C266,怪物并表!$E$7:$P$1000,12,FALSE)</f>
        <v>0</v>
      </c>
      <c r="Z266" s="49">
        <f>VLOOKUP($C266,怪物并表!$E$7:$P$1000,11,FALSE)*S266</f>
        <v>3893.5080000000003</v>
      </c>
      <c r="AA266" s="33"/>
      <c r="AB266" s="33"/>
      <c r="AC266" s="33"/>
      <c r="AD266" s="33">
        <f t="shared" si="28"/>
        <v>1.5</v>
      </c>
      <c r="AE266" s="2">
        <f t="shared" si="36"/>
        <v>50</v>
      </c>
      <c r="AF266" s="2" t="str">
        <f>IF(ISBLANK(AM266),IF(O266=6,"",IF(O266=1,VLOOKUP(R266,怪物信息配置表!B:H,5,FALSE),IF(O266=2,VLOOKUP(R266,怪物信息配置表!B:H,6,FALSE),IF(OR(O266=3,O266=5),VLOOKUP(R266,怪物信息配置表!B:H,7,FALSE),"")))),AM266)</f>
        <v>1111_XMH_BOSS</v>
      </c>
      <c r="AG266" s="2"/>
      <c r="AH266" s="15">
        <f>SUMPRODUCT(T266:V266,$AN$3:$AP$3)+ROUNDDOWN(VLOOKUP(P266,CHOOSE({1,2},'[1]消耗&amp;价值&amp;分析'!$C$7:$C$106,'[1]消耗&amp;价值&amp;分析'!$AS$7:$AS$106),2,FALSE)*0.6,0)</f>
        <v>74367.024039006486</v>
      </c>
      <c r="AJ266" s="80">
        <v>1</v>
      </c>
      <c r="AK266" s="80">
        <v>1</v>
      </c>
      <c r="AL266" s="80">
        <v>1</v>
      </c>
    </row>
    <row r="267" spans="1:38">
      <c r="A267" s="33" t="str">
        <f>怪物并表!$R$7</f>
        <v>普通副本</v>
      </c>
      <c r="B267" s="38">
        <v>1</v>
      </c>
      <c r="C267" s="33">
        <f t="shared" ref="C267:C278" si="37">F267*1000+G267</f>
        <v>7007</v>
      </c>
      <c r="D267" s="33">
        <v>1</v>
      </c>
      <c r="E267" s="33">
        <f>VLOOKUP(A267,怪物并表!$R$7:$S$14,2,FALSE)</f>
        <v>1</v>
      </c>
      <c r="F267" s="38">
        <v>7</v>
      </c>
      <c r="G267" s="38">
        <v>7</v>
      </c>
      <c r="H267" s="38">
        <v>1</v>
      </c>
      <c r="I267" s="33">
        <f t="shared" si="33"/>
        <v>177101</v>
      </c>
      <c r="J267" s="33" t="s">
        <v>494</v>
      </c>
      <c r="K267" s="33"/>
      <c r="L267" s="33">
        <v>0</v>
      </c>
      <c r="M267" s="33">
        <v>1</v>
      </c>
      <c r="N267" s="33"/>
      <c r="O267" s="33">
        <v>1</v>
      </c>
      <c r="P267" s="33">
        <f>VLOOKUP($C267,CHOOSE({1,2},怪物并表!$E$7:$E$1000,怪物并表!$D$7:$D$1000),2,FALSE)</f>
        <v>62</v>
      </c>
      <c r="Q267" s="33" t="s">
        <v>22</v>
      </c>
      <c r="R267" s="33">
        <f>VLOOKUP(Q267,怪物信息配置表!$A$2:$B$118,2,FALSE)</f>
        <v>1013</v>
      </c>
      <c r="S267" s="33">
        <v>1</v>
      </c>
      <c r="T267" s="49">
        <f>VLOOKUP($C267,怪物并表!$E$7:$N$1000,2+($D267-1)*3,FALSE)*S267*AJ267</f>
        <v>377049.08997165965</v>
      </c>
      <c r="U267" s="49">
        <f>VLOOKUP($C267,怪物并表!$E$7:$N$1000,3+($D267-1)*3,FALSE)*S267*AK267</f>
        <v>24566.98692539992</v>
      </c>
      <c r="V267" s="49">
        <f>VLOOKUP($C267,怪物并表!$E$7:$N$1000,4+($D267-1)*3,FALSE)*S267*AL267</f>
        <v>6808.7981069699035</v>
      </c>
      <c r="W267" s="33"/>
      <c r="X267" s="33"/>
      <c r="Y267" s="49">
        <f>VLOOKUP($C267,怪物并表!$E$7:$P$1000,12,FALSE)</f>
        <v>0</v>
      </c>
      <c r="Z267" s="49">
        <f>VLOOKUP($C267,怪物并表!$E$7:$P$1000,11,FALSE)*S267</f>
        <v>3951.7360000000003</v>
      </c>
      <c r="AA267" s="33"/>
      <c r="AB267" s="33"/>
      <c r="AC267" s="33"/>
      <c r="AD267" s="33">
        <f t="shared" ref="AD267:AD278" si="38">IF(D267=1,1,IF(D267=2,0.8,1.5))</f>
        <v>1</v>
      </c>
      <c r="AE267" s="2">
        <f t="shared" si="36"/>
        <v>263.75</v>
      </c>
      <c r="AF267" s="2" t="str">
        <f>IF(ISBLANK(AM267),IF(O267=6,"",IF(O267=1,VLOOKUP(R267,怪物信息配置表!B:H,5,FALSE),IF(O267=2,VLOOKUP(R267,怪物信息配置表!B:H,6,FALSE),IF(OR(O267=3,O267=5),VLOOKUP(R267,怪物信息配置表!B:H,7,FALSE),"")))),AM267)</f>
        <v>ai_monster_02</v>
      </c>
      <c r="AG267" s="2"/>
      <c r="AH267" s="15">
        <f>SUMPRODUCT(T267:V267,$AN$3:$AP$3)+ROUNDDOWN(VLOOKUP(P267,CHOOSE({1,2},'[1]消耗&amp;价值&amp;分析'!$C$7:$C$106,'[1]消耗&amp;价值&amp;分析'!$AS$7:$AS$106),2,FALSE)*0.6,0)</f>
        <v>51731.748631236209</v>
      </c>
      <c r="AJ267" s="80">
        <v>1</v>
      </c>
      <c r="AK267" s="80">
        <v>1</v>
      </c>
      <c r="AL267" s="80">
        <v>1</v>
      </c>
    </row>
    <row r="268" spans="1:38">
      <c r="A268" s="33" t="str">
        <f>怪物并表!$R$7</f>
        <v>普通副本</v>
      </c>
      <c r="B268" s="38">
        <v>2</v>
      </c>
      <c r="C268" s="33">
        <f t="shared" si="37"/>
        <v>7007</v>
      </c>
      <c r="D268" s="33">
        <v>1</v>
      </c>
      <c r="E268" s="33">
        <f>VLOOKUP(A268,怪物并表!$R$7:$S$14,2,FALSE)</f>
        <v>1</v>
      </c>
      <c r="F268" s="38">
        <v>7</v>
      </c>
      <c r="G268" s="38">
        <v>7</v>
      </c>
      <c r="H268" s="38">
        <v>1</v>
      </c>
      <c r="I268" s="33">
        <f t="shared" si="33"/>
        <v>177102</v>
      </c>
      <c r="J268" s="33" t="s">
        <v>495</v>
      </c>
      <c r="K268" s="33"/>
      <c r="L268" s="33">
        <v>0</v>
      </c>
      <c r="M268" s="33">
        <v>1</v>
      </c>
      <c r="N268" s="33"/>
      <c r="O268" s="33">
        <v>1</v>
      </c>
      <c r="P268" s="33">
        <f>VLOOKUP($C268,CHOOSE({1,2},怪物并表!$E$7:$E$1000,怪物并表!$D$7:$D$1000),2,FALSE)</f>
        <v>62</v>
      </c>
      <c r="Q268" s="33" t="s">
        <v>12</v>
      </c>
      <c r="R268" s="33">
        <f>VLOOKUP(Q268,怪物信息配置表!$A$2:$B$118,2,FALSE)</f>
        <v>1009</v>
      </c>
      <c r="S268" s="33">
        <v>1</v>
      </c>
      <c r="T268" s="49">
        <f>VLOOKUP($C268,怪物并表!$E$7:$N$1000,2+($D268-1)*3,FALSE)*S268*AJ268</f>
        <v>377049.08997165965</v>
      </c>
      <c r="U268" s="49">
        <f>VLOOKUP($C268,怪物并表!$E$7:$N$1000,3+($D268-1)*3,FALSE)*S268*AK268</f>
        <v>24566.98692539992</v>
      </c>
      <c r="V268" s="49">
        <f>VLOOKUP($C268,怪物并表!$E$7:$N$1000,4+($D268-1)*3,FALSE)*S268*AL268</f>
        <v>6808.7981069699035</v>
      </c>
      <c r="W268" s="33"/>
      <c r="X268" s="33"/>
      <c r="Y268" s="49">
        <f>VLOOKUP($C268,怪物并表!$E$7:$P$1000,12,FALSE)</f>
        <v>0</v>
      </c>
      <c r="Z268" s="49">
        <f>VLOOKUP($C268,怪物并表!$E$7:$P$1000,11,FALSE)*S268</f>
        <v>3951.7360000000003</v>
      </c>
      <c r="AA268" s="33"/>
      <c r="AB268" s="33"/>
      <c r="AC268" s="33"/>
      <c r="AD268" s="33">
        <f t="shared" si="38"/>
        <v>1</v>
      </c>
      <c r="AE268" s="2">
        <f t="shared" si="36"/>
        <v>263.75</v>
      </c>
      <c r="AF268" s="2" t="str">
        <f>IF(ISBLANK(AM268),IF(O268=6,"",IF(O268=1,VLOOKUP(R268,怪物信息配置表!B:H,5,FALSE),IF(O268=2,VLOOKUP(R268,怪物信息配置表!B:H,6,FALSE),IF(OR(O268=3,O268=5),VLOOKUP(R268,怪物信息配置表!B:H,7,FALSE),"")))),AM268)</f>
        <v>ai_monster</v>
      </c>
      <c r="AG268" s="2"/>
      <c r="AH268" s="15">
        <f>SUMPRODUCT(T268:V268,$AN$3:$AP$3)+ROUNDDOWN(VLOOKUP(P268,CHOOSE({1,2},'[1]消耗&amp;价值&amp;分析'!$C$7:$C$106,'[1]消耗&amp;价值&amp;分析'!$AS$7:$AS$106),2,FALSE)*0.6,0)</f>
        <v>51731.748631236209</v>
      </c>
      <c r="AJ268" s="80">
        <v>1</v>
      </c>
      <c r="AK268" s="80">
        <v>1</v>
      </c>
      <c r="AL268" s="80">
        <v>1</v>
      </c>
    </row>
    <row r="269" spans="1:38">
      <c r="A269" s="33" t="str">
        <f>怪物并表!$R$7</f>
        <v>普通副本</v>
      </c>
      <c r="B269" s="38">
        <v>3</v>
      </c>
      <c r="C269" s="33">
        <f t="shared" si="37"/>
        <v>7007</v>
      </c>
      <c r="D269" s="33">
        <v>1</v>
      </c>
      <c r="E269" s="33">
        <f>VLOOKUP(A269,怪物并表!$R$7:$S$14,2,FALSE)</f>
        <v>1</v>
      </c>
      <c r="F269" s="38">
        <v>7</v>
      </c>
      <c r="G269" s="38">
        <v>7</v>
      </c>
      <c r="H269" s="38">
        <v>1</v>
      </c>
      <c r="I269" s="33">
        <f t="shared" si="33"/>
        <v>177103</v>
      </c>
      <c r="J269" s="33" t="s">
        <v>496</v>
      </c>
      <c r="K269" s="33"/>
      <c r="L269" s="33">
        <v>0</v>
      </c>
      <c r="M269" s="33">
        <v>1</v>
      </c>
      <c r="N269" s="33"/>
      <c r="O269" s="33">
        <v>1</v>
      </c>
      <c r="P269" s="33">
        <f>VLOOKUP($C269,CHOOSE({1,2},怪物并表!$E$7:$E$1000,怪物并表!$D$7:$D$1000),2,FALSE)</f>
        <v>62</v>
      </c>
      <c r="Q269" s="33" t="s">
        <v>19</v>
      </c>
      <c r="R269" s="33">
        <f>VLOOKUP(Q269,怪物信息配置表!$A$2:$B$118,2,FALSE)</f>
        <v>1102</v>
      </c>
      <c r="S269" s="33">
        <v>1</v>
      </c>
      <c r="T269" s="49">
        <f>VLOOKUP($C269,怪物并表!$E$7:$N$1000,2+($D269-1)*3,FALSE)*S269*AJ269</f>
        <v>377049.08997165965</v>
      </c>
      <c r="U269" s="49">
        <f>VLOOKUP($C269,怪物并表!$E$7:$N$1000,3+($D269-1)*3,FALSE)*S269*AK269</f>
        <v>24566.98692539992</v>
      </c>
      <c r="V269" s="49">
        <f>VLOOKUP($C269,怪物并表!$E$7:$N$1000,4+($D269-1)*3,FALSE)*S269*AL269</f>
        <v>6808.7981069699035</v>
      </c>
      <c r="W269" s="33"/>
      <c r="X269" s="33"/>
      <c r="Y269" s="49">
        <f>VLOOKUP($C269,怪物并表!$E$7:$P$1000,12,FALSE)</f>
        <v>0</v>
      </c>
      <c r="Z269" s="49">
        <f>VLOOKUP($C269,怪物并表!$E$7:$P$1000,11,FALSE)*S269</f>
        <v>3951.7360000000003</v>
      </c>
      <c r="AA269" s="33"/>
      <c r="AB269" s="33"/>
      <c r="AC269" s="33"/>
      <c r="AD269" s="33">
        <f t="shared" si="38"/>
        <v>1</v>
      </c>
      <c r="AE269" s="2">
        <f t="shared" si="36"/>
        <v>263.75</v>
      </c>
      <c r="AF269" s="2" t="str">
        <f>IF(ISBLANK(AM269),IF(O269=6,"",IF(O269=1,VLOOKUP(R269,怪物信息配置表!B:H,5,FALSE),IF(O269=2,VLOOKUP(R269,怪物信息配置表!B:H,6,FALSE),IF(OR(O269=3,O269=5),VLOOKUP(R269,怪物信息配置表!B:H,7,FALSE),"")))),AM269)</f>
        <v>ai_monster_02</v>
      </c>
      <c r="AG269" s="2"/>
      <c r="AH269" s="15">
        <f>SUMPRODUCT(T269:V269,$AN$3:$AP$3)+ROUNDDOWN(VLOOKUP(P269,CHOOSE({1,2},'[1]消耗&amp;价值&amp;分析'!$C$7:$C$106,'[1]消耗&amp;价值&amp;分析'!$AS$7:$AS$106),2,FALSE)*0.6,0)</f>
        <v>51731.748631236209</v>
      </c>
      <c r="AJ269" s="80">
        <v>1</v>
      </c>
      <c r="AK269" s="80">
        <v>1</v>
      </c>
      <c r="AL269" s="80">
        <v>1</v>
      </c>
    </row>
    <row r="270" spans="1:38">
      <c r="A270" s="33" t="str">
        <f>怪物并表!$R$7</f>
        <v>普通副本</v>
      </c>
      <c r="B270" s="38">
        <v>4</v>
      </c>
      <c r="C270" s="33">
        <f t="shared" si="37"/>
        <v>7007</v>
      </c>
      <c r="D270" s="33">
        <v>3</v>
      </c>
      <c r="E270" s="33">
        <f>VLOOKUP(A270,怪物并表!$R$7:$S$14,2,FALSE)</f>
        <v>1</v>
      </c>
      <c r="F270" s="38">
        <v>7</v>
      </c>
      <c r="G270" s="38">
        <v>7</v>
      </c>
      <c r="H270" s="38">
        <v>1</v>
      </c>
      <c r="I270" s="33">
        <f t="shared" si="33"/>
        <v>177104</v>
      </c>
      <c r="J270" s="33" t="s">
        <v>607</v>
      </c>
      <c r="K270" s="33"/>
      <c r="L270" s="33">
        <v>1</v>
      </c>
      <c r="M270" s="33">
        <v>1.3</v>
      </c>
      <c r="N270" s="33"/>
      <c r="O270" s="33">
        <v>3</v>
      </c>
      <c r="P270" s="33">
        <f>VLOOKUP($C270,CHOOSE({1,2},怪物并表!$E$7:$E$1000,怪物并表!$D$7:$D$1000),2,FALSE)</f>
        <v>62</v>
      </c>
      <c r="Q270" s="33" t="s">
        <v>14</v>
      </c>
      <c r="R270" s="33">
        <f>VLOOKUP(Q270,怪物信息配置表!$A$2:$B$118,2,FALSE)</f>
        <v>1010</v>
      </c>
      <c r="S270" s="33">
        <v>1</v>
      </c>
      <c r="T270" s="49">
        <f>VLOOKUP($C270,怪物并表!$E$7:$N$1000,2+($D270-1)*3,FALSE)*S270*AJ270</f>
        <v>942622.72492914915</v>
      </c>
      <c r="U270" s="49">
        <f>VLOOKUP($C270,怪物并表!$E$7:$N$1000,3+($D270-1)*3,FALSE)*S270*AK270</f>
        <v>28118.624689085926</v>
      </c>
      <c r="V270" s="49">
        <f>VLOOKUP($C270,怪物并表!$E$7:$N$1000,4+($D270-1)*3,FALSE)*S270*AL270</f>
        <v>8510.997633712379</v>
      </c>
      <c r="W270" s="33"/>
      <c r="X270" s="33"/>
      <c r="Y270" s="49">
        <f>VLOOKUP($C270,怪物并表!$E$7:$P$1000,12,FALSE)</f>
        <v>0</v>
      </c>
      <c r="Z270" s="49">
        <f>VLOOKUP($C270,怪物并表!$E$7:$P$1000,11,FALSE)*S270</f>
        <v>3951.7360000000003</v>
      </c>
      <c r="AA270" s="33"/>
      <c r="AB270" s="33"/>
      <c r="AC270" s="33"/>
      <c r="AD270" s="33">
        <f t="shared" si="38"/>
        <v>1.5</v>
      </c>
      <c r="AE270" s="2">
        <f t="shared" si="36"/>
        <v>50</v>
      </c>
      <c r="AF270" s="2" t="str">
        <f>IF(ISBLANK(AM270),IF(O270=6,"",IF(O270=1,VLOOKUP(R270,怪物信息配置表!B:H,5,FALSE),IF(O270=2,VLOOKUP(R270,怪物信息配置表!B:H,6,FALSE),IF(OR(O270=3,O270=5),VLOOKUP(R270,怪物信息配置表!B:H,7,FALSE),"")))),AM270)</f>
        <v>1010_gunnan_BOSS</v>
      </c>
      <c r="AG270" s="2"/>
      <c r="AH270" s="15">
        <f>SUMPRODUCT(T270:V270,$AN$3:$AP$3)+ROUNDDOWN(VLOOKUP(P270,CHOOSE({1,2},'[1]消耗&amp;价值&amp;分析'!$C$7:$C$106,'[1]消耗&amp;价值&amp;分析'!$AS$7:$AS$106),2,FALSE)*0.6,0)</f>
        <v>79608.53131996427</v>
      </c>
      <c r="AJ270" s="80">
        <v>1</v>
      </c>
      <c r="AK270" s="80">
        <v>1</v>
      </c>
      <c r="AL270" s="80">
        <v>1</v>
      </c>
    </row>
    <row r="271" spans="1:38">
      <c r="A271" s="33" t="str">
        <f>怪物并表!$R$7</f>
        <v>普通副本</v>
      </c>
      <c r="B271" s="38">
        <v>1</v>
      </c>
      <c r="C271" s="33">
        <f t="shared" si="37"/>
        <v>7008</v>
      </c>
      <c r="D271" s="33">
        <v>1</v>
      </c>
      <c r="E271" s="33">
        <f>VLOOKUP(A271,怪物并表!$R$7:$S$14,2,FALSE)</f>
        <v>1</v>
      </c>
      <c r="F271" s="38">
        <v>7</v>
      </c>
      <c r="G271" s="38">
        <v>8</v>
      </c>
      <c r="H271" s="38">
        <v>1</v>
      </c>
      <c r="I271" s="33">
        <f t="shared" si="33"/>
        <v>178101</v>
      </c>
      <c r="J271" s="33" t="s">
        <v>22</v>
      </c>
      <c r="K271" s="33"/>
      <c r="L271" s="33">
        <v>0</v>
      </c>
      <c r="M271" s="33">
        <v>1</v>
      </c>
      <c r="N271" s="33"/>
      <c r="O271" s="33">
        <v>1</v>
      </c>
      <c r="P271" s="33">
        <f>VLOOKUP($C271,CHOOSE({1,2},怪物并表!$E$7:$E$1000,怪物并表!$D$7:$D$1000),2,FALSE)</f>
        <v>63</v>
      </c>
      <c r="Q271" s="33" t="s">
        <v>22</v>
      </c>
      <c r="R271" s="33">
        <f>VLOOKUP(Q271,怪物信息配置表!$A$2:$B$118,2,FALSE)</f>
        <v>1013</v>
      </c>
      <c r="S271" s="33">
        <v>1</v>
      </c>
      <c r="T271" s="49">
        <f>VLOOKUP($C271,怪物并表!$E$7:$N$1000,2+($D271-1)*3,FALSE)*S271*AJ271</f>
        <v>402747.15166459483</v>
      </c>
      <c r="U271" s="49">
        <f>VLOOKUP($C271,怪物并表!$E$7:$N$1000,3+($D271-1)*3,FALSE)*S271*AK271</f>
        <v>26489.530463118466</v>
      </c>
      <c r="V271" s="49">
        <f>VLOOKUP($C271,怪物并表!$E$7:$N$1000,4+($D271-1)*3,FALSE)*S271*AL271</f>
        <v>7199.7271380200691</v>
      </c>
      <c r="W271" s="33"/>
      <c r="X271" s="33"/>
      <c r="Y271" s="49">
        <f>VLOOKUP($C271,怪物并表!$E$7:$P$1000,12,FALSE)</f>
        <v>0</v>
      </c>
      <c r="Z271" s="49">
        <f>VLOOKUP($C271,怪物并表!$E$7:$P$1000,11,FALSE)*S271</f>
        <v>4009.9639999999999</v>
      </c>
      <c r="AA271" s="33"/>
      <c r="AB271" s="33"/>
      <c r="AC271" s="33"/>
      <c r="AD271" s="33">
        <f t="shared" si="38"/>
        <v>1</v>
      </c>
      <c r="AE271" s="2">
        <f t="shared" si="36"/>
        <v>251.875</v>
      </c>
      <c r="AF271" s="2" t="str">
        <f>IF(ISBLANK(AM271),IF(O271=6,"",IF(O271=1,VLOOKUP(R271,怪物信息配置表!B:H,5,FALSE),IF(O271=2,VLOOKUP(R271,怪物信息配置表!B:H,6,FALSE),IF(OR(O271=3,O271=5),VLOOKUP(R271,怪物信息配置表!B:H,7,FALSE),"")))),AM271)</f>
        <v>ai_monster_02</v>
      </c>
      <c r="AG271" s="2"/>
      <c r="AH271" s="15">
        <f>SUMPRODUCT(T271:V271,$AN$3:$AP$3)+ROUNDDOWN(VLOOKUP(P271,CHOOSE({1,2},'[1]消耗&amp;价值&amp;分析'!$C$7:$C$106,'[1]消耗&amp;价值&amp;分析'!$AS$7:$AS$106),2,FALSE)*0.6,0)</f>
        <v>55386.143667722325</v>
      </c>
      <c r="AJ271" s="80">
        <v>1</v>
      </c>
      <c r="AK271" s="80">
        <v>1</v>
      </c>
      <c r="AL271" s="80">
        <v>1</v>
      </c>
    </row>
    <row r="272" spans="1:38">
      <c r="A272" s="33" t="str">
        <f>怪物并表!$R$7</f>
        <v>普通副本</v>
      </c>
      <c r="B272" s="38">
        <v>2</v>
      </c>
      <c r="C272" s="33">
        <f t="shared" si="37"/>
        <v>7008</v>
      </c>
      <c r="D272" s="33">
        <v>1</v>
      </c>
      <c r="E272" s="33">
        <f>VLOOKUP(A272,怪物并表!$R$7:$S$14,2,FALSE)</f>
        <v>1</v>
      </c>
      <c r="F272" s="38">
        <v>7</v>
      </c>
      <c r="G272" s="38">
        <v>8</v>
      </c>
      <c r="H272" s="38">
        <v>1</v>
      </c>
      <c r="I272" s="33">
        <f t="shared" si="33"/>
        <v>178102</v>
      </c>
      <c r="J272" s="33" t="s">
        <v>482</v>
      </c>
      <c r="K272" s="33"/>
      <c r="L272" s="33">
        <v>0</v>
      </c>
      <c r="M272" s="33">
        <v>1</v>
      </c>
      <c r="N272" s="33"/>
      <c r="O272" s="33">
        <v>1</v>
      </c>
      <c r="P272" s="33">
        <f>VLOOKUP($C272,CHOOSE({1,2},怪物并表!$E$7:$E$1000,怪物并表!$D$7:$D$1000),2,FALSE)</f>
        <v>63</v>
      </c>
      <c r="Q272" s="33" t="s">
        <v>399</v>
      </c>
      <c r="R272" s="33">
        <f>VLOOKUP(Q272,怪物信息配置表!$A$2:$B$118,2,FALSE)</f>
        <v>1014</v>
      </c>
      <c r="S272" s="33">
        <v>1</v>
      </c>
      <c r="T272" s="49">
        <f>VLOOKUP($C272,怪物并表!$E$7:$N$1000,2+($D272-1)*3,FALSE)*S272*AJ272</f>
        <v>402747.15166459483</v>
      </c>
      <c r="U272" s="49">
        <f>VLOOKUP($C272,怪物并表!$E$7:$N$1000,3+($D272-1)*3,FALSE)*S272*AK272</f>
        <v>26489.530463118466</v>
      </c>
      <c r="V272" s="49">
        <f>VLOOKUP($C272,怪物并表!$E$7:$N$1000,4+($D272-1)*3,FALSE)*S272*AL272</f>
        <v>7199.7271380200691</v>
      </c>
      <c r="W272" s="33"/>
      <c r="X272" s="33"/>
      <c r="Y272" s="49">
        <f>VLOOKUP($C272,怪物并表!$E$7:$P$1000,12,FALSE)</f>
        <v>0</v>
      </c>
      <c r="Z272" s="49">
        <f>VLOOKUP($C272,怪物并表!$E$7:$P$1000,11,FALSE)*S272</f>
        <v>4009.9639999999999</v>
      </c>
      <c r="AA272" s="33"/>
      <c r="AB272" s="33"/>
      <c r="AC272" s="33"/>
      <c r="AD272" s="33">
        <f t="shared" si="38"/>
        <v>1</v>
      </c>
      <c r="AE272" s="2">
        <f t="shared" si="36"/>
        <v>209.375</v>
      </c>
      <c r="AF272" s="2" t="str">
        <f>IF(ISBLANK(AM272),IF(O272=6,"",IF(O272=1,VLOOKUP(R272,怪物信息配置表!B:H,5,FALSE),IF(O272=2,VLOOKUP(R272,怪物信息配置表!B:H,6,FALSE),IF(OR(O272=3,O272=5),VLOOKUP(R272,怪物信息配置表!B:H,7,FALSE),"")))),AM272)</f>
        <v>ai_monster_03</v>
      </c>
      <c r="AG272" s="2"/>
      <c r="AH272" s="15">
        <f>SUMPRODUCT(T272:V272,$AN$3:$AP$3)+ROUNDDOWN(VLOOKUP(P272,CHOOSE({1,2},'[1]消耗&amp;价值&amp;分析'!$C$7:$C$106,'[1]消耗&amp;价值&amp;分析'!$AS$7:$AS$106),2,FALSE)*0.6,0)</f>
        <v>55386.143667722325</v>
      </c>
      <c r="AJ272" s="80">
        <v>1</v>
      </c>
      <c r="AK272" s="80">
        <v>1</v>
      </c>
      <c r="AL272" s="80">
        <v>1</v>
      </c>
    </row>
    <row r="273" spans="1:38">
      <c r="A273" s="33" t="str">
        <f>怪物并表!$R$7</f>
        <v>普通副本</v>
      </c>
      <c r="B273" s="38">
        <v>3</v>
      </c>
      <c r="C273" s="33">
        <f t="shared" si="37"/>
        <v>7008</v>
      </c>
      <c r="D273" s="33">
        <v>1</v>
      </c>
      <c r="E273" s="33">
        <f>VLOOKUP(A273,怪物并表!$R$7:$S$14,2,FALSE)</f>
        <v>1</v>
      </c>
      <c r="F273" s="38">
        <v>7</v>
      </c>
      <c r="G273" s="38">
        <v>8</v>
      </c>
      <c r="H273" s="38">
        <v>1</v>
      </c>
      <c r="I273" s="33">
        <f t="shared" si="33"/>
        <v>178103</v>
      </c>
      <c r="J273" s="33" t="s">
        <v>44</v>
      </c>
      <c r="K273" s="33"/>
      <c r="L273" s="33">
        <v>0</v>
      </c>
      <c r="M273" s="33">
        <v>1</v>
      </c>
      <c r="N273" s="33"/>
      <c r="O273" s="33">
        <v>1</v>
      </c>
      <c r="P273" s="33">
        <f>VLOOKUP($C273,CHOOSE({1,2},怪物并表!$E$7:$E$1000,怪物并表!$D$7:$D$1000),2,FALSE)</f>
        <v>63</v>
      </c>
      <c r="Q273" s="33" t="s">
        <v>25</v>
      </c>
      <c r="R273" s="33">
        <f>VLOOKUP(Q273,怪物信息配置表!$A$2:$B$118,2,FALSE)</f>
        <v>1012</v>
      </c>
      <c r="S273" s="33">
        <v>1</v>
      </c>
      <c r="T273" s="49">
        <f>VLOOKUP($C273,怪物并表!$E$7:$N$1000,2+($D273-1)*3,FALSE)*S273*AJ273</f>
        <v>402747.15166459483</v>
      </c>
      <c r="U273" s="49">
        <f>VLOOKUP($C273,怪物并表!$E$7:$N$1000,3+($D273-1)*3,FALSE)*S273*AK273</f>
        <v>26489.530463118466</v>
      </c>
      <c r="V273" s="49">
        <f>VLOOKUP($C273,怪物并表!$E$7:$N$1000,4+($D273-1)*3,FALSE)*S273*AL273</f>
        <v>7199.7271380200691</v>
      </c>
      <c r="W273" s="33"/>
      <c r="X273" s="33"/>
      <c r="Y273" s="49">
        <f>VLOOKUP($C273,怪物并表!$E$7:$P$1000,12,FALSE)</f>
        <v>0</v>
      </c>
      <c r="Z273" s="49">
        <f>VLOOKUP($C273,怪物并表!$E$7:$P$1000,11,FALSE)*S273</f>
        <v>4009.9639999999999</v>
      </c>
      <c r="AA273" s="33"/>
      <c r="AB273" s="33"/>
      <c r="AC273" s="33"/>
      <c r="AD273" s="33">
        <f t="shared" si="38"/>
        <v>1</v>
      </c>
      <c r="AE273" s="2">
        <f t="shared" si="36"/>
        <v>251.875</v>
      </c>
      <c r="AF273" s="2" t="str">
        <f>IF(ISBLANK(AM273),IF(O273=6,"",IF(O273=1,VLOOKUP(R273,怪物信息配置表!B:H,5,FALSE),IF(O273=2,VLOOKUP(R273,怪物信息配置表!B:H,6,FALSE),IF(OR(O273=3,O273=5),VLOOKUP(R273,怪物信息配置表!B:H,7,FALSE),"")))),AM273)</f>
        <v>ai_monster_03</v>
      </c>
      <c r="AG273" s="2"/>
      <c r="AH273" s="15">
        <f>SUMPRODUCT(T273:V273,$AN$3:$AP$3)+ROUNDDOWN(VLOOKUP(P273,CHOOSE({1,2},'[1]消耗&amp;价值&amp;分析'!$C$7:$C$106,'[1]消耗&amp;价值&amp;分析'!$AS$7:$AS$106),2,FALSE)*0.6,0)</f>
        <v>55386.143667722325</v>
      </c>
      <c r="AJ273" s="80">
        <v>1</v>
      </c>
      <c r="AK273" s="80">
        <v>1</v>
      </c>
      <c r="AL273" s="80">
        <v>1</v>
      </c>
    </row>
    <row r="274" spans="1:38">
      <c r="A274" s="33" t="str">
        <f>怪物并表!$R$7</f>
        <v>普通副本</v>
      </c>
      <c r="B274" s="38">
        <v>4</v>
      </c>
      <c r="C274" s="33">
        <f t="shared" si="37"/>
        <v>7008</v>
      </c>
      <c r="D274" s="33">
        <v>3</v>
      </c>
      <c r="E274" s="33">
        <f>VLOOKUP(A274,怪物并表!$R$7:$S$14,2,FALSE)</f>
        <v>1</v>
      </c>
      <c r="F274" s="38">
        <v>7</v>
      </c>
      <c r="G274" s="38">
        <v>8</v>
      </c>
      <c r="H274" s="38">
        <v>1</v>
      </c>
      <c r="I274" s="33">
        <f t="shared" si="33"/>
        <v>178104</v>
      </c>
      <c r="J274" s="33" t="s">
        <v>608</v>
      </c>
      <c r="K274" s="33"/>
      <c r="L274" s="33">
        <v>1</v>
      </c>
      <c r="M274" s="33">
        <v>1.2</v>
      </c>
      <c r="N274" s="33"/>
      <c r="O274" s="33">
        <v>3</v>
      </c>
      <c r="P274" s="33">
        <f>VLOOKUP($C274,CHOOSE({1,2},怪物并表!$E$7:$E$1000,怪物并表!$D$7:$D$1000),2,FALSE)</f>
        <v>63</v>
      </c>
      <c r="Q274" s="33" t="s">
        <v>19</v>
      </c>
      <c r="R274" s="33">
        <f>VLOOKUP(Q274,怪物信息配置表!$A$2:$B$118,2,FALSE)</f>
        <v>1102</v>
      </c>
      <c r="S274" s="33">
        <v>1</v>
      </c>
      <c r="T274" s="49">
        <f>VLOOKUP($C274,怪物并表!$E$7:$N$1000,2+($D274-1)*3,FALSE)*S274*AJ274</f>
        <v>1006867.8791614871</v>
      </c>
      <c r="U274" s="49">
        <f>VLOOKUP($C274,怪物并表!$E$7:$N$1000,3+($D274-1)*3,FALSE)*S274*AK274</f>
        <v>30347.491128138146</v>
      </c>
      <c r="V274" s="49">
        <f>VLOOKUP($C274,怪物并表!$E$7:$N$1000,4+($D274-1)*3,FALSE)*S274*AL274</f>
        <v>8999.6589225250864</v>
      </c>
      <c r="W274" s="33"/>
      <c r="X274" s="33"/>
      <c r="Y274" s="49">
        <f>VLOOKUP($C274,怪物并表!$E$7:$P$1000,12,FALSE)</f>
        <v>0</v>
      </c>
      <c r="Z274" s="49">
        <f>VLOOKUP($C274,怪物并表!$E$7:$P$1000,11,FALSE)*S274</f>
        <v>4009.9639999999999</v>
      </c>
      <c r="AA274" s="33"/>
      <c r="AB274" s="33"/>
      <c r="AC274" s="33"/>
      <c r="AD274" s="33">
        <f t="shared" si="38"/>
        <v>1.5</v>
      </c>
      <c r="AE274" s="2">
        <f t="shared" si="36"/>
        <v>50</v>
      </c>
      <c r="AF274" s="2" t="str">
        <f>IF(ISBLANK(AM274),IF(O274=6,"",IF(O274=1,VLOOKUP(R274,怪物信息配置表!B:H,5,FALSE),IF(O274=2,VLOOKUP(R274,怪物信息配置表!B:H,6,FALSE),IF(OR(O274=3,O274=5),VLOOKUP(R274,怪物信息配置表!B:H,7,FALSE),"")))),AM274)</f>
        <v>1102_wuya_BOSS</v>
      </c>
      <c r="AG274" s="2"/>
      <c r="AH274" s="15">
        <f>SUMPRODUCT(T274:V274,$AN$3:$AP$3)+ROUNDDOWN(VLOOKUP(P274,CHOOSE({1,2},'[1]消耗&amp;价值&amp;分析'!$C$7:$C$106,'[1]消耗&amp;价值&amp;分析'!$AS$7:$AS$106),2,FALSE)*0.6,0)</f>
        <v>85208.865217122715</v>
      </c>
      <c r="AJ274" s="80">
        <v>1</v>
      </c>
      <c r="AK274" s="80">
        <v>1</v>
      </c>
      <c r="AL274" s="80">
        <v>1</v>
      </c>
    </row>
    <row r="275" spans="1:38">
      <c r="A275" s="33" t="str">
        <f>怪物并表!$R$7</f>
        <v>普通副本</v>
      </c>
      <c r="B275" s="38">
        <v>1</v>
      </c>
      <c r="C275" s="33">
        <f t="shared" si="37"/>
        <v>7009</v>
      </c>
      <c r="D275" s="33">
        <v>1</v>
      </c>
      <c r="E275" s="33">
        <f>VLOOKUP(A275,怪物并表!$R$7:$S$14,2,FALSE)</f>
        <v>1</v>
      </c>
      <c r="F275" s="38">
        <v>7</v>
      </c>
      <c r="G275" s="38">
        <v>9</v>
      </c>
      <c r="H275" s="38">
        <v>1</v>
      </c>
      <c r="I275" s="33">
        <f t="shared" si="33"/>
        <v>179101</v>
      </c>
      <c r="J275" s="33" t="s">
        <v>42</v>
      </c>
      <c r="K275" s="33"/>
      <c r="L275" s="33">
        <v>0</v>
      </c>
      <c r="M275" s="33">
        <v>1</v>
      </c>
      <c r="N275" s="33"/>
      <c r="O275" s="33">
        <v>1</v>
      </c>
      <c r="P275" s="33">
        <f>VLOOKUP($C275,CHOOSE({1,2},怪物并表!$E$7:$E$1000,怪物并表!$D$7:$D$1000),2,FALSE)</f>
        <v>64</v>
      </c>
      <c r="Q275" s="33" t="s">
        <v>12</v>
      </c>
      <c r="R275" s="33">
        <f>VLOOKUP(Q275,怪物信息配置表!$A$2:$B$118,2,FALSE)</f>
        <v>1009</v>
      </c>
      <c r="S275" s="33">
        <v>1</v>
      </c>
      <c r="T275" s="49">
        <f>VLOOKUP($C275,怪物并表!$E$7:$N$1000,2+($D275-1)*3,FALSE)*S275*AJ275</f>
        <v>515564.15657173883</v>
      </c>
      <c r="U275" s="49">
        <f>VLOOKUP($C275,怪物并表!$E$7:$N$1000,3+($D275-1)*3,FALSE)*S275*AK275</f>
        <v>32714.376914855249</v>
      </c>
      <c r="V275" s="49">
        <f>VLOOKUP($C275,怪物并表!$E$7:$N$1000,4+($D275-1)*3,FALSE)*S275*AL275</f>
        <v>9505.1205343143847</v>
      </c>
      <c r="W275" s="33"/>
      <c r="X275" s="33"/>
      <c r="Y275" s="49">
        <f>VLOOKUP($C275,怪物并表!$E$7:$P$1000,12,FALSE)</f>
        <v>0</v>
      </c>
      <c r="Z275" s="49">
        <f>VLOOKUP($C275,怪物并表!$E$7:$P$1000,11,FALSE)*S275</f>
        <v>4068.192</v>
      </c>
      <c r="AA275" s="33"/>
      <c r="AB275" s="33"/>
      <c r="AC275" s="33"/>
      <c r="AD275" s="33">
        <f t="shared" si="38"/>
        <v>1</v>
      </c>
      <c r="AE275" s="2">
        <f t="shared" si="36"/>
        <v>240</v>
      </c>
      <c r="AF275" s="2" t="str">
        <f>IF(ISBLANK(AM275),IF(O275=6,"",IF(O275=1,VLOOKUP(R275,怪物信息配置表!B:H,5,FALSE),IF(O275=2,VLOOKUP(R275,怪物信息配置表!B:H,6,FALSE),IF(OR(O275=3,O275=5),VLOOKUP(R275,怪物信息配置表!B:H,7,FALSE),"")))),AM275)</f>
        <v>ai_monster</v>
      </c>
      <c r="AG275" s="2"/>
      <c r="AH275" s="15">
        <f>SUMPRODUCT(T275:V275,$AN$3:$AP$3)+ROUNDDOWN(VLOOKUP(P275,CHOOSE({1,2},'[1]消耗&amp;价值&amp;分析'!$C$7:$C$106,'[1]消耗&amp;价值&amp;分析'!$AS$7:$AS$106),2,FALSE)*0.6,0)</f>
        <v>68697.063712039191</v>
      </c>
      <c r="AJ275" s="80">
        <v>1</v>
      </c>
      <c r="AK275" s="80">
        <v>1</v>
      </c>
      <c r="AL275" s="80">
        <v>1</v>
      </c>
    </row>
    <row r="276" spans="1:38">
      <c r="A276" s="33" t="str">
        <f>怪物并表!$R$7</f>
        <v>普通副本</v>
      </c>
      <c r="B276" s="38">
        <v>2</v>
      </c>
      <c r="C276" s="33">
        <f t="shared" si="37"/>
        <v>7009</v>
      </c>
      <c r="D276" s="33">
        <v>1</v>
      </c>
      <c r="E276" s="33">
        <f>VLOOKUP(A276,怪物并表!$R$7:$S$14,2,FALSE)</f>
        <v>1</v>
      </c>
      <c r="F276" s="38">
        <v>7</v>
      </c>
      <c r="G276" s="38">
        <v>9</v>
      </c>
      <c r="H276" s="38">
        <v>1</v>
      </c>
      <c r="I276" s="33">
        <f t="shared" si="33"/>
        <v>179102</v>
      </c>
      <c r="J276" s="33" t="s">
        <v>483</v>
      </c>
      <c r="K276" s="33"/>
      <c r="L276" s="33">
        <v>0</v>
      </c>
      <c r="M276" s="33">
        <v>1</v>
      </c>
      <c r="N276" s="33"/>
      <c r="O276" s="33">
        <v>1</v>
      </c>
      <c r="P276" s="33">
        <f>VLOOKUP($C276,CHOOSE({1,2},怪物并表!$E$7:$E$1000,怪物并表!$D$7:$D$1000),2,FALSE)</f>
        <v>64</v>
      </c>
      <c r="Q276" s="33" t="s">
        <v>24</v>
      </c>
      <c r="R276" s="33">
        <f>VLOOKUP(Q276,怪物信息配置表!$A$2:$B$118,2,FALSE)</f>
        <v>1015</v>
      </c>
      <c r="S276" s="33">
        <v>1</v>
      </c>
      <c r="T276" s="49">
        <f>VLOOKUP($C276,怪物并表!$E$7:$N$1000,2+($D276-1)*3,FALSE)*S276*AJ276</f>
        <v>515564.15657173883</v>
      </c>
      <c r="U276" s="49">
        <f>VLOOKUP($C276,怪物并表!$E$7:$N$1000,3+($D276-1)*3,FALSE)*S276*AK276</f>
        <v>32714.376914855249</v>
      </c>
      <c r="V276" s="49">
        <f>VLOOKUP($C276,怪物并表!$E$7:$N$1000,4+($D276-1)*3,FALSE)*S276*AL276</f>
        <v>9505.1205343143847</v>
      </c>
      <c r="W276" s="33"/>
      <c r="X276" s="33"/>
      <c r="Y276" s="49">
        <f>VLOOKUP($C276,怪物并表!$E$7:$P$1000,12,FALSE)</f>
        <v>0</v>
      </c>
      <c r="Z276" s="49">
        <f>VLOOKUP($C276,怪物并表!$E$7:$P$1000,11,FALSE)*S276</f>
        <v>4068.192</v>
      </c>
      <c r="AA276" s="33"/>
      <c r="AB276" s="33"/>
      <c r="AC276" s="33"/>
      <c r="AD276" s="33">
        <f t="shared" si="38"/>
        <v>1</v>
      </c>
      <c r="AE276" s="2">
        <f t="shared" si="36"/>
        <v>200</v>
      </c>
      <c r="AF276" s="2" t="str">
        <f>IF(ISBLANK(AM276),IF(O276=6,"",IF(O276=1,VLOOKUP(R276,怪物信息配置表!B:H,5,FALSE),IF(O276=2,VLOOKUP(R276,怪物信息配置表!B:H,6,FALSE),IF(OR(O276=3,O276=5),VLOOKUP(R276,怪物信息配置表!B:H,7,FALSE),"")))),AM276)</f>
        <v>ai_monster_03</v>
      </c>
      <c r="AG276" s="2"/>
      <c r="AH276" s="15">
        <f>SUMPRODUCT(T276:V276,$AN$3:$AP$3)+ROUNDDOWN(VLOOKUP(P276,CHOOSE({1,2},'[1]消耗&amp;价值&amp;分析'!$C$7:$C$106,'[1]消耗&amp;价值&amp;分析'!$AS$7:$AS$106),2,FALSE)*0.6,0)</f>
        <v>68697.063712039191</v>
      </c>
      <c r="AJ276" s="80">
        <v>1</v>
      </c>
      <c r="AK276" s="80">
        <v>1</v>
      </c>
      <c r="AL276" s="80">
        <v>1</v>
      </c>
    </row>
    <row r="277" spans="1:38">
      <c r="A277" s="33" t="str">
        <f>怪物并表!$R$7</f>
        <v>普通副本</v>
      </c>
      <c r="B277" s="38">
        <v>3</v>
      </c>
      <c r="C277" s="33">
        <f t="shared" si="37"/>
        <v>7009</v>
      </c>
      <c r="D277" s="33">
        <v>1</v>
      </c>
      <c r="E277" s="33">
        <f>VLOOKUP(A277,怪物并表!$R$7:$S$14,2,FALSE)</f>
        <v>1</v>
      </c>
      <c r="F277" s="38">
        <v>7</v>
      </c>
      <c r="G277" s="38">
        <v>9</v>
      </c>
      <c r="H277" s="38">
        <v>1</v>
      </c>
      <c r="I277" s="33">
        <f t="shared" si="33"/>
        <v>179103</v>
      </c>
      <c r="J277" s="33" t="s">
        <v>44</v>
      </c>
      <c r="K277" s="33"/>
      <c r="L277" s="33">
        <v>0</v>
      </c>
      <c r="M277" s="33">
        <v>1</v>
      </c>
      <c r="N277" s="33"/>
      <c r="O277" s="33">
        <v>1</v>
      </c>
      <c r="P277" s="33">
        <f>VLOOKUP($C277,CHOOSE({1,2},怪物并表!$E$7:$E$1000,怪物并表!$D$7:$D$1000),2,FALSE)</f>
        <v>64</v>
      </c>
      <c r="Q277" s="33" t="s">
        <v>25</v>
      </c>
      <c r="R277" s="33">
        <f>VLOOKUP(Q277,怪物信息配置表!$A$2:$B$118,2,FALSE)</f>
        <v>1012</v>
      </c>
      <c r="S277" s="33">
        <v>1</v>
      </c>
      <c r="T277" s="49">
        <f>VLOOKUP($C277,怪物并表!$E$7:$N$1000,2+($D277-1)*3,FALSE)*S277*AJ277</f>
        <v>515564.15657173883</v>
      </c>
      <c r="U277" s="49">
        <f>VLOOKUP($C277,怪物并表!$E$7:$N$1000,3+($D277-1)*3,FALSE)*S277*AK277</f>
        <v>32714.376914855249</v>
      </c>
      <c r="V277" s="49">
        <f>VLOOKUP($C277,怪物并表!$E$7:$N$1000,4+($D277-1)*3,FALSE)*S277*AL277</f>
        <v>9505.1205343143847</v>
      </c>
      <c r="W277" s="33"/>
      <c r="X277" s="33"/>
      <c r="Y277" s="49">
        <f>VLOOKUP($C277,怪物并表!$E$7:$P$1000,12,FALSE)</f>
        <v>0</v>
      </c>
      <c r="Z277" s="49">
        <f>VLOOKUP($C277,怪物并表!$E$7:$P$1000,11,FALSE)*S277</f>
        <v>4068.192</v>
      </c>
      <c r="AA277" s="33"/>
      <c r="AB277" s="33"/>
      <c r="AC277" s="33"/>
      <c r="AD277" s="33">
        <f t="shared" si="38"/>
        <v>1</v>
      </c>
      <c r="AE277" s="2">
        <f t="shared" si="36"/>
        <v>240</v>
      </c>
      <c r="AF277" s="2" t="str">
        <f>IF(ISBLANK(AM277),IF(O277=6,"",IF(O277=1,VLOOKUP(R277,怪物信息配置表!B:H,5,FALSE),IF(O277=2,VLOOKUP(R277,怪物信息配置表!B:H,6,FALSE),IF(OR(O277=3,O277=5),VLOOKUP(R277,怪物信息配置表!B:H,7,FALSE),"")))),AM277)</f>
        <v>ai_monster_03</v>
      </c>
      <c r="AG277" s="2"/>
      <c r="AH277" s="15">
        <f>SUMPRODUCT(T277:V277,$AN$3:$AP$3)+ROUNDDOWN(VLOOKUP(P277,CHOOSE({1,2},'[1]消耗&amp;价值&amp;分析'!$C$7:$C$106,'[1]消耗&amp;价值&amp;分析'!$AS$7:$AS$106),2,FALSE)*0.6,0)</f>
        <v>68697.063712039191</v>
      </c>
      <c r="AJ277" s="80">
        <v>1</v>
      </c>
      <c r="AK277" s="80">
        <v>1</v>
      </c>
      <c r="AL277" s="80">
        <v>1</v>
      </c>
    </row>
    <row r="278" spans="1:38">
      <c r="A278" s="33" t="str">
        <f>怪物并表!$R$7</f>
        <v>普通副本</v>
      </c>
      <c r="B278" s="38">
        <v>4</v>
      </c>
      <c r="C278" s="33">
        <f t="shared" si="37"/>
        <v>7009</v>
      </c>
      <c r="D278" s="33">
        <v>3</v>
      </c>
      <c r="E278" s="33">
        <f>VLOOKUP(A278,怪物并表!$R$7:$S$14,2,FALSE)</f>
        <v>1</v>
      </c>
      <c r="F278" s="38">
        <v>7</v>
      </c>
      <c r="G278" s="38">
        <v>9</v>
      </c>
      <c r="H278" s="38">
        <v>1</v>
      </c>
      <c r="I278" s="33">
        <f t="shared" si="33"/>
        <v>179104</v>
      </c>
      <c r="J278" s="33" t="s">
        <v>499</v>
      </c>
      <c r="K278" s="33"/>
      <c r="L278" s="33">
        <v>1</v>
      </c>
      <c r="M278" s="33">
        <v>1.3</v>
      </c>
      <c r="N278" s="33"/>
      <c r="O278" s="33">
        <v>3</v>
      </c>
      <c r="P278" s="33">
        <f>VLOOKUP($C278,CHOOSE({1,2},怪物并表!$E$7:$E$1000,怪物并表!$D$7:$D$1000),2,FALSE)</f>
        <v>64</v>
      </c>
      <c r="Q278" s="33" t="s">
        <v>369</v>
      </c>
      <c r="R278" s="33">
        <f>VLOOKUP(Q278,怪物信息配置表!$A$2:$B$118,2,FALSE)</f>
        <v>1106</v>
      </c>
      <c r="S278" s="33">
        <v>1</v>
      </c>
      <c r="T278" s="49">
        <f>VLOOKUP($C278,怪物并表!$E$7:$N$1000,2+($D278-1)*3,FALSE)*S278*AJ278</f>
        <v>1288910.3914293472</v>
      </c>
      <c r="U278" s="49">
        <f>VLOOKUP($C278,怪物并表!$E$7:$N$1000,3+($D278-1)*3,FALSE)*S278*AK278</f>
        <v>37736.433012335998</v>
      </c>
      <c r="V278" s="49">
        <f>VLOOKUP($C278,怪物并表!$E$7:$N$1000,4+($D278-1)*3,FALSE)*S278*AL278</f>
        <v>11025.939819804687</v>
      </c>
      <c r="W278" s="33"/>
      <c r="X278" s="33"/>
      <c r="Y278" s="49">
        <f>VLOOKUP($C278,怪物并表!$E$7:$P$1000,12,FALSE)</f>
        <v>0</v>
      </c>
      <c r="Z278" s="49">
        <f>VLOOKUP($C278,怪物并表!$E$7:$P$1000,11,FALSE)*S278</f>
        <v>4068.192</v>
      </c>
      <c r="AA278" s="33"/>
      <c r="AB278" s="33"/>
      <c r="AC278" s="33"/>
      <c r="AD278" s="33">
        <f t="shared" si="38"/>
        <v>1.5</v>
      </c>
      <c r="AE278" s="2">
        <f t="shared" si="36"/>
        <v>50</v>
      </c>
      <c r="AF278" s="2" t="str">
        <f>IF(ISBLANK(AM278),IF(O278=6,"",IF(O278=1,VLOOKUP(R278,怪物信息配置表!B:H,5,FALSE),IF(O278=2,VLOOKUP(R278,怪物信息配置表!B:H,6,FALSE),IF(OR(O278=3,O278=5),VLOOKUP(R278,怪物信息配置表!B:H,7,FALSE),"")))),AM278)</f>
        <v>1106_shankou_BOSS</v>
      </c>
      <c r="AG278" s="2"/>
      <c r="AH278" s="15">
        <f>SUMPRODUCT(T278:V278,$AN$3:$AP$3)+ROUNDDOWN(VLOOKUP(P278,CHOOSE({1,2},'[1]消耗&amp;价值&amp;分析'!$C$7:$C$106,'[1]消耗&amp;价值&amp;分析'!$AS$7:$AS$106),2,FALSE)*0.6,0)</f>
        <v>106173.78848931458</v>
      </c>
      <c r="AJ278" s="80">
        <v>1</v>
      </c>
      <c r="AK278" s="80">
        <v>1</v>
      </c>
      <c r="AL278" s="80">
        <v>1</v>
      </c>
    </row>
    <row r="279" spans="1:38">
      <c r="A279" s="33" t="str">
        <f>怪物并表!$R$7</f>
        <v>普通副本</v>
      </c>
      <c r="B279" s="38">
        <v>1</v>
      </c>
      <c r="C279" s="33">
        <f t="shared" si="29"/>
        <v>8001</v>
      </c>
      <c r="D279" s="33">
        <v>1</v>
      </c>
      <c r="E279" s="33">
        <f>VLOOKUP(A279,怪物并表!$R$7:$S$14,2,FALSE)</f>
        <v>1</v>
      </c>
      <c r="F279" s="38">
        <v>8</v>
      </c>
      <c r="G279" s="38">
        <v>1</v>
      </c>
      <c r="H279" s="38">
        <v>1</v>
      </c>
      <c r="I279" s="33">
        <f t="shared" si="33"/>
        <v>181101</v>
      </c>
      <c r="J279" s="33" t="s">
        <v>248</v>
      </c>
      <c r="K279" s="33"/>
      <c r="L279" s="33">
        <v>0</v>
      </c>
      <c r="M279" s="33">
        <v>1</v>
      </c>
      <c r="N279" s="33"/>
      <c r="O279" s="33">
        <v>1</v>
      </c>
      <c r="P279" s="33">
        <f>VLOOKUP($C279,CHOOSE({1,2},怪物并表!$E$7:$E$1000,怪物并表!$D$7:$D$1000),2,FALSE)</f>
        <v>65</v>
      </c>
      <c r="Q279" s="33" t="s">
        <v>10</v>
      </c>
      <c r="R279" s="33">
        <f>VLOOKUP(Q279,怪物信息配置表!$A$2:$B$118,2,FALSE)</f>
        <v>1001</v>
      </c>
      <c r="S279" s="33">
        <v>1</v>
      </c>
      <c r="T279" s="49">
        <f>VLOOKUP($C279,怪物并表!$E$7:$N$1000,2+($D279-1)*3,FALSE)*S279*AJ279</f>
        <v>457751.08029818488</v>
      </c>
      <c r="U279" s="49">
        <f>VLOOKUP($C279,怪物并表!$E$7:$N$1000,3+($D279-1)*3,FALSE)*S279*AK279</f>
        <v>30692.202655982725</v>
      </c>
      <c r="V279" s="49">
        <f>VLOOKUP($C279,怪物并表!$E$7:$N$1000,4+($D279-1)*3,FALSE)*S279*AL279</f>
        <v>8022.1059000000023</v>
      </c>
      <c r="W279" s="33"/>
      <c r="X279" s="33"/>
      <c r="Y279" s="49">
        <f>VLOOKUP($C279,怪物并表!$E$7:$P$1000,12,FALSE)</f>
        <v>0</v>
      </c>
      <c r="Z279" s="49">
        <f>VLOOKUP($C279,怪物并表!$E$7:$P$1000,11,FALSE)*S279</f>
        <v>4126.42</v>
      </c>
      <c r="AA279" s="33"/>
      <c r="AB279" s="33"/>
      <c r="AC279" s="33"/>
      <c r="AD279" s="33">
        <f t="shared" si="28"/>
        <v>1</v>
      </c>
      <c r="AE279" s="2">
        <f t="shared" si="36"/>
        <v>228.125</v>
      </c>
      <c r="AF279" s="2" t="str">
        <f>IF(ISBLANK(AM279),IF(O279=6,"",IF(O279=1,VLOOKUP(R279,怪物信息配置表!B:H,5,FALSE),IF(O279=2,VLOOKUP(R279,怪物信息配置表!B:H,6,FALSE),IF(OR(O279=3,O279=5),VLOOKUP(R279,怪物信息配置表!B:H,7,FALSE),"")))),AM279)</f>
        <v>ai_monster</v>
      </c>
      <c r="AG279" s="2"/>
      <c r="AH279" s="15">
        <f>SUMPRODUCT(T279:V279,$AN$3:$AP$3)+ROUNDDOWN(VLOOKUP(P279,CHOOSE({1,2},'[1]消耗&amp;价值&amp;分析'!$C$7:$C$106,'[1]消耗&amp;价值&amp;分析'!$AS$7:$AS$106),2,FALSE)*0.6,0)</f>
        <v>63182.351767910128</v>
      </c>
      <c r="AJ279" s="80">
        <v>1</v>
      </c>
      <c r="AK279" s="80">
        <v>1</v>
      </c>
      <c r="AL279" s="80">
        <v>1</v>
      </c>
    </row>
    <row r="280" spans="1:38">
      <c r="A280" s="33" t="str">
        <f>怪物并表!$R$7</f>
        <v>普通副本</v>
      </c>
      <c r="B280" s="38">
        <v>2</v>
      </c>
      <c r="C280" s="33">
        <f t="shared" si="29"/>
        <v>8001</v>
      </c>
      <c r="D280" s="33">
        <v>1</v>
      </c>
      <c r="E280" s="33">
        <f>VLOOKUP(A280,怪物并表!$R$7:$S$14,2,FALSE)</f>
        <v>1</v>
      </c>
      <c r="F280" s="38">
        <v>8</v>
      </c>
      <c r="G280" s="38">
        <v>1</v>
      </c>
      <c r="H280" s="38">
        <v>1</v>
      </c>
      <c r="I280" s="33">
        <f t="shared" si="33"/>
        <v>181102</v>
      </c>
      <c r="J280" s="33" t="s">
        <v>249</v>
      </c>
      <c r="K280" s="33"/>
      <c r="L280" s="33">
        <v>0</v>
      </c>
      <c r="M280" s="33">
        <v>1</v>
      </c>
      <c r="N280" s="33"/>
      <c r="O280" s="33">
        <v>1</v>
      </c>
      <c r="P280" s="33">
        <f>VLOOKUP($C280,CHOOSE({1,2},怪物并表!$E$7:$E$1000,怪物并表!$D$7:$D$1000),2,FALSE)</f>
        <v>65</v>
      </c>
      <c r="Q280" s="33" t="s">
        <v>367</v>
      </c>
      <c r="R280" s="33">
        <f>VLOOKUP(Q280,怪物信息配置表!$A$2:$B$118,2,FALSE)</f>
        <v>1008</v>
      </c>
      <c r="S280" s="33">
        <v>1</v>
      </c>
      <c r="T280" s="49">
        <f>VLOOKUP($C280,怪物并表!$E$7:$N$1000,2+($D280-1)*3,FALSE)*S280*AJ280</f>
        <v>457751.08029818488</v>
      </c>
      <c r="U280" s="49">
        <f>VLOOKUP($C280,怪物并表!$E$7:$N$1000,3+($D280-1)*3,FALSE)*S280*AK280</f>
        <v>30692.202655982725</v>
      </c>
      <c r="V280" s="49">
        <f>VLOOKUP($C280,怪物并表!$E$7:$N$1000,4+($D280-1)*3,FALSE)*S280*AL280</f>
        <v>8022.1059000000023</v>
      </c>
      <c r="W280" s="33"/>
      <c r="X280" s="33"/>
      <c r="Y280" s="49">
        <f>VLOOKUP($C280,怪物并表!$E$7:$P$1000,12,FALSE)</f>
        <v>0</v>
      </c>
      <c r="Z280" s="49">
        <f>VLOOKUP($C280,怪物并表!$E$7:$P$1000,11,FALSE)*S280</f>
        <v>4126.42</v>
      </c>
      <c r="AA280" s="33"/>
      <c r="AB280" s="33"/>
      <c r="AC280" s="33"/>
      <c r="AD280" s="33">
        <f t="shared" si="28"/>
        <v>1</v>
      </c>
      <c r="AE280" s="2">
        <f t="shared" si="36"/>
        <v>228.125</v>
      </c>
      <c r="AF280" s="2" t="str">
        <f>IF(ISBLANK(AM280),IF(O280=6,"",IF(O280=1,VLOOKUP(R280,怪物信息配置表!B:H,5,FALSE),IF(O280=2,VLOOKUP(R280,怪物信息配置表!B:H,6,FALSE),IF(OR(O280=3,O280=5),VLOOKUP(R280,怪物信息配置表!B:H,7,FALSE),"")))),AM280)</f>
        <v>ai_monster</v>
      </c>
      <c r="AG280" s="2"/>
      <c r="AH280" s="15">
        <f>SUMPRODUCT(T280:V280,$AN$3:$AP$3)+ROUNDDOWN(VLOOKUP(P280,CHOOSE({1,2},'[1]消耗&amp;价值&amp;分析'!$C$7:$C$106,'[1]消耗&amp;价值&amp;分析'!$AS$7:$AS$106),2,FALSE)*0.6,0)</f>
        <v>63182.351767910128</v>
      </c>
      <c r="AJ280" s="80">
        <v>1</v>
      </c>
      <c r="AK280" s="80">
        <v>1</v>
      </c>
      <c r="AL280" s="80">
        <v>1</v>
      </c>
    </row>
    <row r="281" spans="1:38">
      <c r="A281" s="33" t="str">
        <f>怪物并表!$R$7</f>
        <v>普通副本</v>
      </c>
      <c r="B281" s="38">
        <v>3</v>
      </c>
      <c r="C281" s="33">
        <f t="shared" si="29"/>
        <v>8001</v>
      </c>
      <c r="D281" s="33">
        <v>2</v>
      </c>
      <c r="E281" s="33">
        <f>VLOOKUP(A281,怪物并表!$R$7:$S$14,2,FALSE)</f>
        <v>1</v>
      </c>
      <c r="F281" s="38">
        <v>8</v>
      </c>
      <c r="G281" s="38">
        <v>1</v>
      </c>
      <c r="H281" s="38">
        <v>1</v>
      </c>
      <c r="I281" s="33">
        <f t="shared" si="33"/>
        <v>181103</v>
      </c>
      <c r="J281" s="33" t="s">
        <v>36</v>
      </c>
      <c r="K281" s="33"/>
      <c r="L281" s="33">
        <v>0</v>
      </c>
      <c r="M281" s="33">
        <v>1</v>
      </c>
      <c r="N281" s="33"/>
      <c r="O281" s="33">
        <v>1</v>
      </c>
      <c r="P281" s="33">
        <f>VLOOKUP($C281,CHOOSE({1,2},怪物并表!$E$7:$E$1000,怪物并表!$D$7:$D$1000),2,FALSE)</f>
        <v>65</v>
      </c>
      <c r="Q281" s="33" t="s">
        <v>9</v>
      </c>
      <c r="R281" s="33">
        <f>VLOOKUP(Q281,怪物信息配置表!$A$2:$B$118,2,FALSE)</f>
        <v>1003</v>
      </c>
      <c r="S281" s="33">
        <v>1</v>
      </c>
      <c r="T281" s="49">
        <f>VLOOKUP($C281,怪物并表!$E$7:$N$1000,2+($D281-1)*3,FALSE)*S281*AJ281</f>
        <v>366200.86423854792</v>
      </c>
      <c r="U281" s="49">
        <f>VLOOKUP($C281,怪物并表!$E$7:$N$1000,3+($D281-1)*3,FALSE)*S281*AK281</f>
        <v>28425.192980384454</v>
      </c>
      <c r="V281" s="49">
        <f>VLOOKUP($C281,怪物并表!$E$7:$N$1000,4+($D281-1)*3,FALSE)*S281*AL281</f>
        <v>6016.5794250000035</v>
      </c>
      <c r="W281" s="33"/>
      <c r="X281" s="33"/>
      <c r="Y281" s="49">
        <f>VLOOKUP($C281,怪物并表!$E$7:$P$1000,12,FALSE)</f>
        <v>0</v>
      </c>
      <c r="Z281" s="49">
        <f>VLOOKUP($C281,怪物并表!$E$7:$P$1000,11,FALSE)*S281</f>
        <v>4126.42</v>
      </c>
      <c r="AA281" s="33"/>
      <c r="AB281" s="33"/>
      <c r="AC281" s="33"/>
      <c r="AD281" s="33">
        <f t="shared" si="28"/>
        <v>0.8</v>
      </c>
      <c r="AE281" s="2">
        <f t="shared" si="36"/>
        <v>382.5</v>
      </c>
      <c r="AF281" s="2" t="str">
        <f>IF(ISBLANK(AM281),IF(O281=6,"",IF(O281=1,VLOOKUP(R281,怪物信息配置表!B:H,5,FALSE),IF(O281=2,VLOOKUP(R281,怪物信息配置表!B:H,6,FALSE),IF(OR(O281=3,O281=5),VLOOKUP(R281,怪物信息配置表!B:H,7,FALSE),"")))),AM281)</f>
        <v>ai_monster_02</v>
      </c>
      <c r="AG281" s="2"/>
      <c r="AH281" s="15">
        <f>SUMPRODUCT(T281:V281,$AN$3:$AP$3)+ROUNDDOWN(VLOOKUP(P281,CHOOSE({1,2},'[1]消耗&amp;价值&amp;分析'!$C$7:$C$106,'[1]消耗&amp;价值&amp;分析'!$AS$7:$AS$106),2,FALSE)*0.6,0)</f>
        <v>55247.806974926374</v>
      </c>
      <c r="AJ281" s="80">
        <v>1</v>
      </c>
      <c r="AK281" s="80">
        <v>1</v>
      </c>
      <c r="AL281" s="80">
        <v>1</v>
      </c>
    </row>
    <row r="282" spans="1:38">
      <c r="A282" s="33" t="str">
        <f>怪物并表!$R$7</f>
        <v>普通副本</v>
      </c>
      <c r="B282" s="38">
        <v>4</v>
      </c>
      <c r="C282" s="33">
        <f t="shared" si="29"/>
        <v>8001</v>
      </c>
      <c r="D282" s="33">
        <v>3</v>
      </c>
      <c r="E282" s="33">
        <f>VLOOKUP(A282,怪物并表!$R$7:$S$14,2,FALSE)</f>
        <v>1</v>
      </c>
      <c r="F282" s="38">
        <v>8</v>
      </c>
      <c r="G282" s="38">
        <v>1</v>
      </c>
      <c r="H282" s="38">
        <v>1</v>
      </c>
      <c r="I282" s="33">
        <f t="shared" si="33"/>
        <v>181104</v>
      </c>
      <c r="J282" s="33" t="s">
        <v>16</v>
      </c>
      <c r="K282" s="33"/>
      <c r="L282" s="33">
        <v>1</v>
      </c>
      <c r="M282" s="33">
        <v>1.2</v>
      </c>
      <c r="N282" s="33"/>
      <c r="O282" s="33">
        <v>3</v>
      </c>
      <c r="P282" s="33">
        <f>VLOOKUP($C282,CHOOSE({1,2},怪物并表!$E$7:$E$1000,怪物并表!$D$7:$D$1000),2,FALSE)</f>
        <v>65</v>
      </c>
      <c r="Q282" s="33" t="s">
        <v>8</v>
      </c>
      <c r="R282" s="33">
        <f>VLOOKUP(Q282,怪物信息配置表!$A$2:$B$118,2,FALSE)</f>
        <v>1101</v>
      </c>
      <c r="S282" s="33">
        <v>1</v>
      </c>
      <c r="T282" s="49">
        <f>VLOOKUP($C282,怪物并表!$E$7:$N$1000,2+($D282-1)*3,FALSE)*S282*AJ282</f>
        <v>1144377.7007454622</v>
      </c>
      <c r="U282" s="49">
        <f>VLOOKUP($C282,怪物并表!$E$7:$N$1000,3+($D282-1)*3,FALSE)*S282*AK282</f>
        <v>35226.222007179269</v>
      </c>
      <c r="V282" s="49">
        <f>VLOOKUP($C282,怪物并表!$E$7:$N$1000,4+($D282-1)*3,FALSE)*S282*AL282</f>
        <v>10027.632375000001</v>
      </c>
      <c r="W282" s="33"/>
      <c r="X282" s="33"/>
      <c r="Y282" s="49">
        <f>VLOOKUP($C282,怪物并表!$E$7:$P$1000,12,FALSE)</f>
        <v>0</v>
      </c>
      <c r="Z282" s="49">
        <f>VLOOKUP($C282,怪物并表!$E$7:$P$1000,11,FALSE)*S282</f>
        <v>4126.42</v>
      </c>
      <c r="AA282" s="33"/>
      <c r="AB282" s="33"/>
      <c r="AC282" s="33"/>
      <c r="AD282" s="33">
        <f t="shared" si="28"/>
        <v>1.5</v>
      </c>
      <c r="AE282" s="2">
        <f t="shared" si="36"/>
        <v>50</v>
      </c>
      <c r="AF282" s="2" t="str">
        <f>IF(ISBLANK(AM282),IF(O282=6,"",IF(O282=1,VLOOKUP(R282,怪物信息配置表!B:H,5,FALSE),IF(O282=2,VLOOKUP(R282,怪物信息配置表!B:H,6,FALSE),IF(OR(O282=3,O282=5),VLOOKUP(R282,怪物信息配置表!B:H,7,FALSE),"")))),AM282)</f>
        <v>1101_liangkun_BOSS</v>
      </c>
      <c r="AG282" s="2"/>
      <c r="AH282" s="15">
        <f>SUMPRODUCT(T282:V282,$AN$3:$AP$3)+ROUNDDOWN(VLOOKUP(P282,CHOOSE({1,2},'[1]消耗&amp;价值&amp;分析'!$C$7:$C$106,'[1]消耗&amp;价值&amp;分析'!$AS$7:$AS$106),2,FALSE)*0.6,0)</f>
        <v>97186.962411997767</v>
      </c>
      <c r="AJ282" s="80">
        <v>1</v>
      </c>
      <c r="AK282" s="80">
        <v>1</v>
      </c>
      <c r="AL282" s="80">
        <v>1</v>
      </c>
    </row>
    <row r="283" spans="1:38">
      <c r="A283" s="33" t="str">
        <f>怪物并表!$R$7</f>
        <v>普通副本</v>
      </c>
      <c r="B283" s="38">
        <v>1</v>
      </c>
      <c r="C283" s="33">
        <f t="shared" si="29"/>
        <v>8002</v>
      </c>
      <c r="D283" s="33">
        <v>1</v>
      </c>
      <c r="E283" s="33">
        <f>VLOOKUP(A283,怪物并表!$R$7:$S$14,2,FALSE)</f>
        <v>1</v>
      </c>
      <c r="F283" s="38">
        <v>8</v>
      </c>
      <c r="G283" s="38">
        <v>2</v>
      </c>
      <c r="H283" s="38">
        <v>1</v>
      </c>
      <c r="I283" s="33">
        <f t="shared" si="33"/>
        <v>182101</v>
      </c>
      <c r="J283" s="33" t="s">
        <v>14</v>
      </c>
      <c r="K283" s="33"/>
      <c r="L283" s="33">
        <v>0</v>
      </c>
      <c r="M283" s="33">
        <v>1</v>
      </c>
      <c r="N283" s="33"/>
      <c r="O283" s="33">
        <v>1</v>
      </c>
      <c r="P283" s="33">
        <f>VLOOKUP($C283,CHOOSE({1,2},怪物并表!$E$7:$E$1000,怪物并表!$D$7:$D$1000),2,FALSE)</f>
        <v>66</v>
      </c>
      <c r="Q283" s="33" t="s">
        <v>14</v>
      </c>
      <c r="R283" s="33">
        <f>VLOOKUP(Q283,怪物信息配置表!$A$2:$B$118,2,FALSE)</f>
        <v>1010</v>
      </c>
      <c r="S283" s="33">
        <v>1</v>
      </c>
      <c r="T283" s="49">
        <f>VLOOKUP($C283,怪物并表!$E$7:$N$1000,2+($D283-1)*3,FALSE)*S283*AJ283</f>
        <v>487123.45916340762</v>
      </c>
      <c r="U283" s="49">
        <f>VLOOKUP($C283,怪物并表!$E$7:$N$1000,3+($D283-1)*3,FALSE)*S283*AK283</f>
        <v>32984.229931839931</v>
      </c>
      <c r="V283" s="49">
        <f>VLOOKUP($C283,怪物并表!$E$7:$N$1000,4+($D283-1)*3,FALSE)*S283*AL283</f>
        <v>8453.9554804013442</v>
      </c>
      <c r="W283" s="33"/>
      <c r="X283" s="33"/>
      <c r="Y283" s="49">
        <f>VLOOKUP($C283,怪物并表!$E$7:$P$1000,12,FALSE)</f>
        <v>0</v>
      </c>
      <c r="Z283" s="49">
        <f>VLOOKUP($C283,怪物并表!$E$7:$P$1000,11,FALSE)*S283</f>
        <v>4184.6480000000001</v>
      </c>
      <c r="AA283" s="33"/>
      <c r="AB283" s="33"/>
      <c r="AC283" s="33"/>
      <c r="AD283" s="33">
        <f t="shared" si="28"/>
        <v>1</v>
      </c>
      <c r="AE283" s="2">
        <f t="shared" si="36"/>
        <v>216.25</v>
      </c>
      <c r="AF283" s="2" t="str">
        <f>IF(ISBLANK(AM283),IF(O283=6,"",IF(O283=1,VLOOKUP(R283,怪物信息配置表!B:H,5,FALSE),IF(O283=2,VLOOKUP(R283,怪物信息配置表!B:H,6,FALSE),IF(OR(O283=3,O283=5),VLOOKUP(R283,怪物信息配置表!B:H,7,FALSE),"")))),AM283)</f>
        <v>ai_monster</v>
      </c>
      <c r="AG283" s="2"/>
      <c r="AH283" s="15">
        <f>SUMPRODUCT(T283:V283,$AN$3:$AP$3)+ROUNDDOWN(VLOOKUP(P283,CHOOSE({1,2},'[1]消耗&amp;价值&amp;分析'!$C$7:$C$106,'[1]消耗&amp;价值&amp;分析'!$AS$7:$AS$106),2,FALSE)*0.6,0)</f>
        <v>67337.123778777575</v>
      </c>
      <c r="AJ283" s="80">
        <v>1</v>
      </c>
      <c r="AK283" s="80">
        <v>1</v>
      </c>
      <c r="AL283" s="80">
        <v>1</v>
      </c>
    </row>
    <row r="284" spans="1:38">
      <c r="A284" s="33" t="str">
        <f>怪物并表!$R$7</f>
        <v>普通副本</v>
      </c>
      <c r="B284" s="38">
        <v>2</v>
      </c>
      <c r="C284" s="33">
        <f t="shared" si="29"/>
        <v>8002</v>
      </c>
      <c r="D284" s="33">
        <v>1</v>
      </c>
      <c r="E284" s="33">
        <f>VLOOKUP(A284,怪物并表!$R$7:$S$14,2,FALSE)</f>
        <v>1</v>
      </c>
      <c r="F284" s="38">
        <v>8</v>
      </c>
      <c r="G284" s="38">
        <v>2</v>
      </c>
      <c r="H284" s="38">
        <v>1</v>
      </c>
      <c r="I284" s="33">
        <f t="shared" si="33"/>
        <v>182102</v>
      </c>
      <c r="J284" s="33" t="s">
        <v>15</v>
      </c>
      <c r="K284" s="33"/>
      <c r="L284" s="33">
        <v>0</v>
      </c>
      <c r="M284" s="33">
        <v>1</v>
      </c>
      <c r="N284" s="33"/>
      <c r="O284" s="33">
        <v>1</v>
      </c>
      <c r="P284" s="33">
        <f>VLOOKUP($C284,CHOOSE({1,2},怪物并表!$E$7:$E$1000,怪物并表!$D$7:$D$1000),2,FALSE)</f>
        <v>66</v>
      </c>
      <c r="Q284" s="33" t="s">
        <v>15</v>
      </c>
      <c r="R284" s="33">
        <f>VLOOKUP(Q284,怪物信息配置表!$A$2:$B$118,2,FALSE)</f>
        <v>1004</v>
      </c>
      <c r="S284" s="33">
        <v>1</v>
      </c>
      <c r="T284" s="49">
        <f>VLOOKUP($C284,怪物并表!$E$7:$N$1000,2+($D284-1)*3,FALSE)*S284*AJ284</f>
        <v>487123.45916340762</v>
      </c>
      <c r="U284" s="49">
        <f>VLOOKUP($C284,怪物并表!$E$7:$N$1000,3+($D284-1)*3,FALSE)*S284*AK284</f>
        <v>32984.229931839931</v>
      </c>
      <c r="V284" s="49">
        <f>VLOOKUP($C284,怪物并表!$E$7:$N$1000,4+($D284-1)*3,FALSE)*S284*AL284</f>
        <v>8453.9554804013442</v>
      </c>
      <c r="W284" s="33"/>
      <c r="X284" s="33"/>
      <c r="Y284" s="49">
        <f>VLOOKUP($C284,怪物并表!$E$7:$P$1000,12,FALSE)</f>
        <v>0</v>
      </c>
      <c r="Z284" s="49">
        <f>VLOOKUP($C284,怪物并表!$E$7:$P$1000,11,FALSE)*S284</f>
        <v>4184.6480000000001</v>
      </c>
      <c r="AA284" s="33"/>
      <c r="AB284" s="33"/>
      <c r="AC284" s="33"/>
      <c r="AD284" s="33">
        <f t="shared" si="28"/>
        <v>1</v>
      </c>
      <c r="AE284" s="2">
        <f t="shared" si="36"/>
        <v>216.25</v>
      </c>
      <c r="AF284" s="2" t="str">
        <f>IF(ISBLANK(AM284),IF(O284=6,"",IF(O284=1,VLOOKUP(R284,怪物信息配置表!B:H,5,FALSE),IF(O284=2,VLOOKUP(R284,怪物信息配置表!B:H,6,FALSE),IF(OR(O284=3,O284=5),VLOOKUP(R284,怪物信息配置表!B:H,7,FALSE),"")))),AM284)</f>
        <v>ai_monster</v>
      </c>
      <c r="AG284" s="2"/>
      <c r="AH284" s="15">
        <f>SUMPRODUCT(T284:V284,$AN$3:$AP$3)+ROUNDDOWN(VLOOKUP(P284,CHOOSE({1,2},'[1]消耗&amp;价值&amp;分析'!$C$7:$C$106,'[1]消耗&amp;价值&amp;分析'!$AS$7:$AS$106),2,FALSE)*0.6,0)</f>
        <v>67337.123778777575</v>
      </c>
      <c r="AJ284" s="80">
        <v>1</v>
      </c>
      <c r="AK284" s="80">
        <v>1</v>
      </c>
      <c r="AL284" s="80">
        <v>1</v>
      </c>
    </row>
    <row r="285" spans="1:38">
      <c r="A285" s="33" t="str">
        <f>怪物并表!$R$7</f>
        <v>普通副本</v>
      </c>
      <c r="B285" s="38">
        <v>3</v>
      </c>
      <c r="C285" s="33">
        <f t="shared" si="29"/>
        <v>8002</v>
      </c>
      <c r="D285" s="33">
        <v>2</v>
      </c>
      <c r="E285" s="33">
        <f>VLOOKUP(A285,怪物并表!$R$7:$S$14,2,FALSE)</f>
        <v>1</v>
      </c>
      <c r="F285" s="38">
        <v>8</v>
      </c>
      <c r="G285" s="38">
        <v>2</v>
      </c>
      <c r="H285" s="38">
        <v>1</v>
      </c>
      <c r="I285" s="33">
        <f t="shared" si="33"/>
        <v>182103</v>
      </c>
      <c r="J285" s="33" t="s">
        <v>500</v>
      </c>
      <c r="K285" s="33"/>
      <c r="L285" s="33">
        <v>0</v>
      </c>
      <c r="M285" s="33">
        <v>1</v>
      </c>
      <c r="N285" s="33"/>
      <c r="O285" s="33">
        <v>1</v>
      </c>
      <c r="P285" s="33">
        <f>VLOOKUP($C285,CHOOSE({1,2},怪物并表!$E$7:$E$1000,怪物并表!$D$7:$D$1000),2,FALSE)</f>
        <v>66</v>
      </c>
      <c r="Q285" s="33" t="s">
        <v>9</v>
      </c>
      <c r="R285" s="33">
        <f>VLOOKUP(Q285,怪物信息配置表!$A$2:$B$118,2,FALSE)</f>
        <v>1003</v>
      </c>
      <c r="S285" s="33">
        <v>1</v>
      </c>
      <c r="T285" s="49">
        <f>VLOOKUP($C285,怪物并表!$E$7:$N$1000,2+($D285-1)*3,FALSE)*S285*AJ285</f>
        <v>389698.76733072614</v>
      </c>
      <c r="U285" s="49">
        <f>VLOOKUP($C285,怪物并表!$E$7:$N$1000,3+($D285-1)*3,FALSE)*S285*AK285</f>
        <v>30531.202486696071</v>
      </c>
      <c r="V285" s="49">
        <f>VLOOKUP($C285,怪物并表!$E$7:$N$1000,4+($D285-1)*3,FALSE)*S285*AL285</f>
        <v>6340.4666103010095</v>
      </c>
      <c r="W285" s="33"/>
      <c r="X285" s="33"/>
      <c r="Y285" s="49">
        <f>VLOOKUP($C285,怪物并表!$E$7:$P$1000,12,FALSE)</f>
        <v>0</v>
      </c>
      <c r="Z285" s="49">
        <f>VLOOKUP($C285,怪物并表!$E$7:$P$1000,11,FALSE)*S285</f>
        <v>4184.6480000000001</v>
      </c>
      <c r="AA285" s="33"/>
      <c r="AB285" s="33"/>
      <c r="AC285" s="33"/>
      <c r="AD285" s="33">
        <f t="shared" si="28"/>
        <v>0.8</v>
      </c>
      <c r="AE285" s="2">
        <f t="shared" si="36"/>
        <v>373</v>
      </c>
      <c r="AF285" s="2" t="str">
        <f>IF(ISBLANK(AM285),IF(O285=6,"",IF(O285=1,VLOOKUP(R285,怪物信息配置表!B:H,5,FALSE),IF(O285=2,VLOOKUP(R285,怪物信息配置表!B:H,6,FALSE),IF(OR(O285=3,O285=5),VLOOKUP(R285,怪物信息配置表!B:H,7,FALSE),"")))),AM285)</f>
        <v>ai_monster_02</v>
      </c>
      <c r="AG285" s="2"/>
      <c r="AH285" s="15">
        <f>SUMPRODUCT(T285:V285,$AN$3:$AP$3)+ROUNDDOWN(VLOOKUP(P285,CHOOSE({1,2},'[1]消耗&amp;价值&amp;分析'!$C$7:$C$106,'[1]消耗&amp;价值&amp;分析'!$AS$7:$AS$106),2,FALSE)*0.6,0)</f>
        <v>58873.619790226126</v>
      </c>
      <c r="AJ285" s="80">
        <v>1</v>
      </c>
      <c r="AK285" s="80">
        <v>1</v>
      </c>
      <c r="AL285" s="80">
        <v>1</v>
      </c>
    </row>
    <row r="286" spans="1:38">
      <c r="A286" s="33" t="str">
        <f>怪物并表!$R$7</f>
        <v>普通副本</v>
      </c>
      <c r="B286" s="38">
        <v>4</v>
      </c>
      <c r="C286" s="33">
        <f t="shared" si="29"/>
        <v>8002</v>
      </c>
      <c r="D286" s="33">
        <v>3</v>
      </c>
      <c r="E286" s="33">
        <f>VLOOKUP(A286,怪物并表!$R$7:$S$14,2,FALSE)</f>
        <v>1</v>
      </c>
      <c r="F286" s="38">
        <v>8</v>
      </c>
      <c r="G286" s="38">
        <v>2</v>
      </c>
      <c r="H286" s="38">
        <v>1</v>
      </c>
      <c r="I286" s="33">
        <f t="shared" si="33"/>
        <v>182104</v>
      </c>
      <c r="J286" s="33" t="s">
        <v>420</v>
      </c>
      <c r="K286" s="33"/>
      <c r="L286" s="33">
        <v>1</v>
      </c>
      <c r="M286" s="33">
        <v>1.2</v>
      </c>
      <c r="N286" s="33"/>
      <c r="O286" s="33">
        <v>3</v>
      </c>
      <c r="P286" s="33">
        <f>VLOOKUP($C286,CHOOSE({1,2},怪物并表!$E$7:$E$1000,怪物并表!$D$7:$D$1000),2,FALSE)</f>
        <v>66</v>
      </c>
      <c r="Q286" s="33" t="s">
        <v>19</v>
      </c>
      <c r="R286" s="33">
        <f>VLOOKUP(Q286,怪物信息配置表!$A$2:$B$118,2,FALSE)</f>
        <v>1102</v>
      </c>
      <c r="S286" s="33">
        <v>1</v>
      </c>
      <c r="T286" s="49">
        <f>VLOOKUP($C286,怪物并表!$E$7:$N$1000,2+($D286-1)*3,FALSE)*S286*AJ286</f>
        <v>1217808.647908519</v>
      </c>
      <c r="U286" s="49">
        <f>VLOOKUP($C286,怪物并表!$E$7:$N$1000,3+($D286-1)*3,FALSE)*S286*AK286</f>
        <v>37890.284822127644</v>
      </c>
      <c r="V286" s="49">
        <f>VLOOKUP($C286,怪物并表!$E$7:$N$1000,4+($D286-1)*3,FALSE)*S286*AL286</f>
        <v>10567.444350501679</v>
      </c>
      <c r="W286" s="33"/>
      <c r="X286" s="33"/>
      <c r="Y286" s="49">
        <f>VLOOKUP($C286,怪物并表!$E$7:$P$1000,12,FALSE)</f>
        <v>0</v>
      </c>
      <c r="Z286" s="49">
        <f>VLOOKUP($C286,怪物并表!$E$7:$P$1000,11,FALSE)*S286</f>
        <v>4184.6480000000001</v>
      </c>
      <c r="AA286" s="33"/>
      <c r="AB286" s="33"/>
      <c r="AC286" s="33"/>
      <c r="AD286" s="33">
        <f t="shared" si="28"/>
        <v>1.5</v>
      </c>
      <c r="AE286" s="2">
        <f t="shared" si="36"/>
        <v>50</v>
      </c>
      <c r="AF286" s="2" t="str">
        <f>IF(ISBLANK(AM286),IF(O286=6,"",IF(O286=1,VLOOKUP(R286,怪物信息配置表!B:H,5,FALSE),IF(O286=2,VLOOKUP(R286,怪物信息配置表!B:H,6,FALSE),IF(OR(O286=3,O286=5),VLOOKUP(R286,怪物信息配置表!B:H,7,FALSE),"")))),AM286)</f>
        <v>1102_wuya_BOSS</v>
      </c>
      <c r="AG286" s="2"/>
      <c r="AH286" s="15">
        <f>SUMPRODUCT(T286:V286,$AN$3:$AP$3)+ROUNDDOWN(VLOOKUP(P286,CHOOSE({1,2},'[1]消耗&amp;价值&amp;分析'!$C$7:$C$106,'[1]消耗&amp;价值&amp;分析'!$AS$7:$AS$106),2,FALSE)*0.6,0)</f>
        <v>103584.07508897009</v>
      </c>
      <c r="AJ286" s="80">
        <v>1</v>
      </c>
      <c r="AK286" s="80">
        <v>1</v>
      </c>
      <c r="AL286" s="80">
        <v>1</v>
      </c>
    </row>
    <row r="287" spans="1:38">
      <c r="A287" s="33" t="str">
        <f>怪物并表!$R$7</f>
        <v>普通副本</v>
      </c>
      <c r="B287" s="38">
        <v>1</v>
      </c>
      <c r="C287" s="33">
        <f t="shared" si="29"/>
        <v>8003</v>
      </c>
      <c r="D287" s="33">
        <v>1</v>
      </c>
      <c r="E287" s="33">
        <f>VLOOKUP(A287,怪物并表!$R$7:$S$14,2,FALSE)</f>
        <v>1</v>
      </c>
      <c r="F287" s="38">
        <v>8</v>
      </c>
      <c r="G287" s="38">
        <v>3</v>
      </c>
      <c r="H287" s="38">
        <v>1</v>
      </c>
      <c r="I287" s="33">
        <f t="shared" si="33"/>
        <v>183101</v>
      </c>
      <c r="J287" s="33" t="s">
        <v>42</v>
      </c>
      <c r="K287" s="33"/>
      <c r="L287" s="33">
        <v>0</v>
      </c>
      <c r="M287" s="33">
        <v>1</v>
      </c>
      <c r="N287" s="33"/>
      <c r="O287" s="33">
        <v>1</v>
      </c>
      <c r="P287" s="33">
        <f>VLOOKUP($C287,CHOOSE({1,2},怪物并表!$E$7:$E$1000,怪物并表!$D$7:$D$1000),2,FALSE)</f>
        <v>67</v>
      </c>
      <c r="Q287" s="33" t="s">
        <v>22</v>
      </c>
      <c r="R287" s="33">
        <f>VLOOKUP(Q287,怪物信息配置表!$A$2:$B$118,2,FALSE)</f>
        <v>1013</v>
      </c>
      <c r="S287" s="33">
        <v>1</v>
      </c>
      <c r="T287" s="49">
        <f>VLOOKUP($C287,怪物并表!$E$7:$N$1000,2+($D287-1)*3,FALSE)*S287*AJ287</f>
        <v>517787.79575834068</v>
      </c>
      <c r="U287" s="49">
        <f>VLOOKUP($C287,怪物并表!$E$7:$N$1000,3+($D287-1)*3,FALSE)*S287*AK287</f>
        <v>35084.464944098821</v>
      </c>
      <c r="V287" s="49">
        <f>VLOOKUP($C287,怪物并表!$E$7:$N$1000,4+($D287-1)*3,FALSE)*S287*AL287</f>
        <v>8899.84509339131</v>
      </c>
      <c r="W287" s="33"/>
      <c r="X287" s="33"/>
      <c r="Y287" s="49">
        <f>VLOOKUP($C287,怪物并表!$E$7:$P$1000,12,FALSE)</f>
        <v>0</v>
      </c>
      <c r="Z287" s="49">
        <f>VLOOKUP($C287,怪物并表!$E$7:$P$1000,11,FALSE)*S287</f>
        <v>4242.8759999999993</v>
      </c>
      <c r="AA287" s="33"/>
      <c r="AB287" s="33"/>
      <c r="AC287" s="33"/>
      <c r="AD287" s="33">
        <f t="shared" si="28"/>
        <v>1</v>
      </c>
      <c r="AE287" s="2">
        <f t="shared" si="36"/>
        <v>204.375</v>
      </c>
      <c r="AF287" s="2" t="str">
        <f>IF(ISBLANK(AM287),IF(O287=6,"",IF(O287=1,VLOOKUP(R287,怪物信息配置表!B:H,5,FALSE),IF(O287=2,VLOOKUP(R287,怪物信息配置表!B:H,6,FALSE),IF(OR(O287=3,O287=5),VLOOKUP(R287,怪物信息配置表!B:H,7,FALSE),"")))),AM287)</f>
        <v>ai_monster_02</v>
      </c>
      <c r="AG287" s="2"/>
      <c r="AH287" s="15">
        <f>SUMPRODUCT(T287:V287,$AN$3:$AP$3)+ROUNDDOWN(VLOOKUP(P287,CHOOSE({1,2},'[1]消耗&amp;价值&amp;分析'!$C$7:$C$106,'[1]消耗&amp;价值&amp;分析'!$AS$7:$AS$106),2,FALSE)*0.6,0)</f>
        <v>71497.821867823761</v>
      </c>
      <c r="AJ287" s="80">
        <v>1</v>
      </c>
      <c r="AK287" s="80">
        <v>1</v>
      </c>
      <c r="AL287" s="80">
        <v>1</v>
      </c>
    </row>
    <row r="288" spans="1:38">
      <c r="A288" s="33" t="str">
        <f>怪物并表!$R$7</f>
        <v>普通副本</v>
      </c>
      <c r="B288" s="38">
        <v>2</v>
      </c>
      <c r="C288" s="33">
        <f t="shared" si="29"/>
        <v>8003</v>
      </c>
      <c r="D288" s="33">
        <v>1</v>
      </c>
      <c r="E288" s="33">
        <f>VLOOKUP(A288,怪物并表!$R$7:$S$14,2,FALSE)</f>
        <v>1</v>
      </c>
      <c r="F288" s="38">
        <v>8</v>
      </c>
      <c r="G288" s="38">
        <v>3</v>
      </c>
      <c r="H288" s="38">
        <v>1</v>
      </c>
      <c r="I288" s="33">
        <f t="shared" si="33"/>
        <v>183102</v>
      </c>
      <c r="J288" s="33" t="s">
        <v>462</v>
      </c>
      <c r="K288" s="33"/>
      <c r="L288" s="33">
        <v>0</v>
      </c>
      <c r="M288" s="33">
        <v>1</v>
      </c>
      <c r="N288" s="33"/>
      <c r="O288" s="33">
        <v>1</v>
      </c>
      <c r="P288" s="33">
        <f>VLOOKUP($C288,CHOOSE({1,2},怪物并表!$E$7:$E$1000,怪物并表!$D$7:$D$1000),2,FALSE)</f>
        <v>67</v>
      </c>
      <c r="Q288" s="33" t="s">
        <v>11</v>
      </c>
      <c r="R288" s="33">
        <f>VLOOKUP(Q288,怪物信息配置表!$A$2:$B$118,2,FALSE)</f>
        <v>1011</v>
      </c>
      <c r="S288" s="33">
        <v>1</v>
      </c>
      <c r="T288" s="49">
        <f>VLOOKUP($C288,怪物并表!$E$7:$N$1000,2+($D288-1)*3,FALSE)*S288*AJ288</f>
        <v>517787.79575834068</v>
      </c>
      <c r="U288" s="49">
        <f>VLOOKUP($C288,怪物并表!$E$7:$N$1000,3+($D288-1)*3,FALSE)*S288*AK288</f>
        <v>35084.464944098821</v>
      </c>
      <c r="V288" s="49">
        <f>VLOOKUP($C288,怪物并表!$E$7:$N$1000,4+($D288-1)*3,FALSE)*S288*AL288</f>
        <v>8899.84509339131</v>
      </c>
      <c r="W288" s="33"/>
      <c r="X288" s="33"/>
      <c r="Y288" s="49">
        <f>VLOOKUP($C288,怪物并表!$E$7:$P$1000,12,FALSE)</f>
        <v>0</v>
      </c>
      <c r="Z288" s="49">
        <f>VLOOKUP($C288,怪物并表!$E$7:$P$1000,11,FALSE)*S288</f>
        <v>4242.8759999999993</v>
      </c>
      <c r="AA288" s="33"/>
      <c r="AB288" s="33"/>
      <c r="AC288" s="33"/>
      <c r="AD288" s="33">
        <f t="shared" si="28"/>
        <v>1</v>
      </c>
      <c r="AE288" s="2">
        <f t="shared" si="36"/>
        <v>204.375</v>
      </c>
      <c r="AF288" s="2" t="str">
        <f>IF(ISBLANK(AM288),IF(O288=6,"",IF(O288=1,VLOOKUP(R288,怪物信息配置表!B:H,5,FALSE),IF(O288=2,VLOOKUP(R288,怪物信息配置表!B:H,6,FALSE),IF(OR(O288=3,O288=5),VLOOKUP(R288,怪物信息配置表!B:H,7,FALSE),"")))),AM288)</f>
        <v>ai_monster</v>
      </c>
      <c r="AG288" s="2"/>
      <c r="AH288" s="15">
        <f>SUMPRODUCT(T288:V288,$AN$3:$AP$3)+ROUNDDOWN(VLOOKUP(P288,CHOOSE({1,2},'[1]消耗&amp;价值&amp;分析'!$C$7:$C$106,'[1]消耗&amp;价值&amp;分析'!$AS$7:$AS$106),2,FALSE)*0.6,0)</f>
        <v>71497.821867823761</v>
      </c>
      <c r="AJ288" s="80">
        <v>1</v>
      </c>
      <c r="AK288" s="80">
        <v>1</v>
      </c>
      <c r="AL288" s="80">
        <v>1</v>
      </c>
    </row>
    <row r="289" spans="1:38">
      <c r="A289" s="33" t="str">
        <f>怪物并表!$R$7</f>
        <v>普通副本</v>
      </c>
      <c r="B289" s="38">
        <v>3</v>
      </c>
      <c r="C289" s="33">
        <f t="shared" si="29"/>
        <v>8003</v>
      </c>
      <c r="D289" s="33">
        <v>2</v>
      </c>
      <c r="E289" s="33">
        <f>VLOOKUP(A289,怪物并表!$R$7:$S$14,2,FALSE)</f>
        <v>1</v>
      </c>
      <c r="F289" s="38">
        <v>8</v>
      </c>
      <c r="G289" s="38">
        <v>3</v>
      </c>
      <c r="H289" s="38">
        <v>1</v>
      </c>
      <c r="I289" s="33">
        <f t="shared" si="33"/>
        <v>183103</v>
      </c>
      <c r="J289" s="33" t="s">
        <v>501</v>
      </c>
      <c r="K289" s="33"/>
      <c r="L289" s="33">
        <v>0</v>
      </c>
      <c r="M289" s="33">
        <v>1</v>
      </c>
      <c r="N289" s="33"/>
      <c r="O289" s="33">
        <v>1</v>
      </c>
      <c r="P289" s="33">
        <f>VLOOKUP($C289,CHOOSE({1,2},怪物并表!$E$7:$E$1000,怪物并表!$D$7:$D$1000),2,FALSE)</f>
        <v>67</v>
      </c>
      <c r="Q289" s="33" t="s">
        <v>17</v>
      </c>
      <c r="R289" s="33">
        <f>VLOOKUP(Q289,怪物信息配置表!$A$2:$B$118,2,FALSE)</f>
        <v>1005</v>
      </c>
      <c r="S289" s="33">
        <v>1</v>
      </c>
      <c r="T289" s="49">
        <f>VLOOKUP($C289,怪物并表!$E$7:$N$1000,2+($D289-1)*3,FALSE)*S289*AJ289</f>
        <v>414230.23660667258</v>
      </c>
      <c r="U289" s="49">
        <f>VLOOKUP($C289,怪物并表!$E$7:$N$1000,3+($D289-1)*3,FALSE)*S289*AK289</f>
        <v>32466.002959028068</v>
      </c>
      <c r="V289" s="49">
        <f>VLOOKUP($C289,怪物并表!$E$7:$N$1000,4+($D289-1)*3,FALSE)*S289*AL289</f>
        <v>6674.883820043482</v>
      </c>
      <c r="W289" s="33"/>
      <c r="X289" s="33"/>
      <c r="Y289" s="49">
        <f>VLOOKUP($C289,怪物并表!$E$7:$P$1000,12,FALSE)</f>
        <v>0</v>
      </c>
      <c r="Z289" s="49">
        <f>VLOOKUP($C289,怪物并表!$E$7:$P$1000,11,FALSE)*S289</f>
        <v>4242.8759999999993</v>
      </c>
      <c r="AA289" s="33"/>
      <c r="AB289" s="33"/>
      <c r="AC289" s="33"/>
      <c r="AD289" s="33">
        <f t="shared" si="28"/>
        <v>0.8</v>
      </c>
      <c r="AE289" s="2">
        <f t="shared" si="36"/>
        <v>363.5</v>
      </c>
      <c r="AF289" s="2" t="str">
        <f>IF(ISBLANK(AM289),IF(O289=6,"",IF(O289=1,VLOOKUP(R289,怪物信息配置表!B:H,5,FALSE),IF(O289=2,VLOOKUP(R289,怪物信息配置表!B:H,6,FALSE),IF(OR(O289=3,O289=5),VLOOKUP(R289,怪物信息配置表!B:H,7,FALSE),"")))),AM289)</f>
        <v>ai_monster_02</v>
      </c>
      <c r="AG289" s="2"/>
      <c r="AH289" s="15">
        <f>SUMPRODUCT(T289:V289,$AN$3:$AP$3)+ROUNDDOWN(VLOOKUP(P289,CHOOSE({1,2},'[1]消耗&amp;价值&amp;分析'!$C$7:$C$106,'[1]消耗&amp;价值&amp;分析'!$AS$7:$AS$106),2,FALSE)*0.6,0)</f>
        <v>62512.096243338456</v>
      </c>
      <c r="AJ289" s="80">
        <v>1</v>
      </c>
      <c r="AK289" s="80">
        <v>1</v>
      </c>
      <c r="AL289" s="80">
        <v>1</v>
      </c>
    </row>
    <row r="290" spans="1:38">
      <c r="A290" s="33" t="str">
        <f>怪物并表!$R$7</f>
        <v>普通副本</v>
      </c>
      <c r="B290" s="38">
        <v>4</v>
      </c>
      <c r="C290" s="33">
        <f t="shared" si="29"/>
        <v>8003</v>
      </c>
      <c r="D290" s="33">
        <v>3</v>
      </c>
      <c r="E290" s="33">
        <f>VLOOKUP(A290,怪物并表!$R$7:$S$14,2,FALSE)</f>
        <v>1</v>
      </c>
      <c r="F290" s="38">
        <v>8</v>
      </c>
      <c r="G290" s="38">
        <v>3</v>
      </c>
      <c r="H290" s="38">
        <v>1</v>
      </c>
      <c r="I290" s="33">
        <f t="shared" si="33"/>
        <v>183104</v>
      </c>
      <c r="J290" s="33" t="s">
        <v>609</v>
      </c>
      <c r="K290" s="33"/>
      <c r="L290" s="33">
        <v>1</v>
      </c>
      <c r="M290" s="33">
        <v>1.3</v>
      </c>
      <c r="N290" s="33"/>
      <c r="O290" s="33">
        <v>3</v>
      </c>
      <c r="P290" s="33">
        <f>VLOOKUP($C290,CHOOSE({1,2},怪物并表!$E$7:$E$1000,怪物并表!$D$7:$D$1000),2,FALSE)</f>
        <v>67</v>
      </c>
      <c r="Q290" s="33" t="s">
        <v>564</v>
      </c>
      <c r="R290" s="33">
        <f>VLOOKUP(Q290,怪物信息配置表!$A$2:$B$118,2,FALSE)</f>
        <v>1112</v>
      </c>
      <c r="S290" s="33">
        <v>1</v>
      </c>
      <c r="T290" s="49">
        <f>VLOOKUP($C290,怪物并表!$E$7:$N$1000,2+($D290-1)*3,FALSE)*S290*AJ290</f>
        <v>1294469.4893958517</v>
      </c>
      <c r="U290" s="49">
        <f>VLOOKUP($C290,怪物并表!$E$7:$N$1000,3+($D290-1)*3,FALSE)*S290*AK290</f>
        <v>40321.38891424032</v>
      </c>
      <c r="V290" s="49">
        <f>VLOOKUP($C290,怪物并表!$E$7:$N$1000,4+($D290-1)*3,FALSE)*S290*AL290</f>
        <v>11124.806366739138</v>
      </c>
      <c r="W290" s="33"/>
      <c r="X290" s="33"/>
      <c r="Y290" s="49">
        <f>VLOOKUP($C290,怪物并表!$E$7:$P$1000,12,FALSE)</f>
        <v>0</v>
      </c>
      <c r="Z290" s="49">
        <f>VLOOKUP($C290,怪物并表!$E$7:$P$1000,11,FALSE)*S290</f>
        <v>4242.8759999999993</v>
      </c>
      <c r="AA290" s="33"/>
      <c r="AB290" s="33"/>
      <c r="AC290" s="33"/>
      <c r="AD290" s="33">
        <f t="shared" si="28"/>
        <v>1.5</v>
      </c>
      <c r="AE290" s="2">
        <f t="shared" si="36"/>
        <v>50</v>
      </c>
      <c r="AF290" s="2" t="str">
        <f>IF(ISBLANK(AM290),IF(O290=6,"",IF(O290=1,VLOOKUP(R290,怪物信息配置表!B:H,5,FALSE),IF(O290=2,VLOOKUP(R290,怪物信息配置表!B:H,6,FALSE),IF(OR(O290=3,O290=5),VLOOKUP(R290,怪物信息配置表!B:H,7,FALSE),"")))),AM290)</f>
        <v>1112_shengfan_BOSS</v>
      </c>
      <c r="AG290" s="2"/>
      <c r="AH290" s="15">
        <f>SUMPRODUCT(T290:V290,$AN$3:$AP$3)+ROUNDDOWN(VLOOKUP(P290,CHOOSE({1,2},'[1]消耗&amp;价值&amp;分析'!$C$7:$C$106,'[1]消耗&amp;价值&amp;分析'!$AS$7:$AS$106),2,FALSE)*0.6,0)</f>
        <v>110026.97485681354</v>
      </c>
      <c r="AJ290" s="80">
        <v>1</v>
      </c>
      <c r="AK290" s="80">
        <v>1</v>
      </c>
      <c r="AL290" s="80">
        <v>1</v>
      </c>
    </row>
    <row r="291" spans="1:38">
      <c r="A291" s="33" t="str">
        <f>怪物并表!$R$7</f>
        <v>普通副本</v>
      </c>
      <c r="B291" s="38">
        <v>1</v>
      </c>
      <c r="C291" s="33">
        <f t="shared" si="29"/>
        <v>8004</v>
      </c>
      <c r="D291" s="33">
        <v>1</v>
      </c>
      <c r="E291" s="33">
        <f>VLOOKUP(A291,怪物并表!$R$7:$S$14,2,FALSE)</f>
        <v>1</v>
      </c>
      <c r="F291" s="38">
        <v>8</v>
      </c>
      <c r="G291" s="38">
        <v>4</v>
      </c>
      <c r="H291" s="38">
        <v>1</v>
      </c>
      <c r="I291" s="33">
        <f t="shared" si="33"/>
        <v>184101</v>
      </c>
      <c r="J291" s="33" t="s">
        <v>7</v>
      </c>
      <c r="K291" s="33"/>
      <c r="L291" s="33">
        <v>0</v>
      </c>
      <c r="M291" s="33">
        <v>1</v>
      </c>
      <c r="N291" s="33"/>
      <c r="O291" s="33">
        <v>1</v>
      </c>
      <c r="P291" s="33">
        <f>VLOOKUP($C291,CHOOSE({1,2},怪物并表!$E$7:$E$1000,怪物并表!$D$7:$D$1000),2,FALSE)</f>
        <v>68</v>
      </c>
      <c r="Q291" s="33" t="s">
        <v>7</v>
      </c>
      <c r="R291" s="33">
        <f>VLOOKUP(Q291,怪物信息配置表!$A$2:$B$118,2,FALSE)</f>
        <v>1002</v>
      </c>
      <c r="S291" s="33">
        <v>1</v>
      </c>
      <c r="T291" s="49">
        <f>VLOOKUP($C291,怪物并表!$E$7:$N$1000,2+($D291-1)*3,FALSE)*S291*AJ291</f>
        <v>549778.35593197402</v>
      </c>
      <c r="U291" s="49">
        <f>VLOOKUP($C291,怪物并表!$E$7:$N$1000,3+($D291-1)*3,FALSE)*S291*AK291</f>
        <v>37283.398849405807</v>
      </c>
      <c r="V291" s="49">
        <f>VLOOKUP($C291,怪物并表!$E$7:$N$1000,4+($D291-1)*3,FALSE)*S291*AL291</f>
        <v>9359.9746637056942</v>
      </c>
      <c r="W291" s="33"/>
      <c r="X291" s="33"/>
      <c r="Y291" s="49">
        <f>VLOOKUP($C291,怪物并表!$E$7:$P$1000,12,FALSE)</f>
        <v>0</v>
      </c>
      <c r="Z291" s="49">
        <f>VLOOKUP($C291,怪物并表!$E$7:$P$1000,11,FALSE)*S291</f>
        <v>4301.1040000000003</v>
      </c>
      <c r="AA291" s="33"/>
      <c r="AB291" s="33"/>
      <c r="AC291" s="33"/>
      <c r="AD291" s="33">
        <f t="shared" si="28"/>
        <v>1</v>
      </c>
      <c r="AE291" s="2">
        <f t="shared" si="36"/>
        <v>192.5</v>
      </c>
      <c r="AF291" s="2" t="str">
        <f>IF(ISBLANK(AM291),IF(O291=6,"",IF(O291=1,VLOOKUP(R291,怪物信息配置表!B:H,5,FALSE),IF(O291=2,VLOOKUP(R291,怪物信息配置表!B:H,6,FALSE),IF(OR(O291=3,O291=5),VLOOKUP(R291,怪物信息配置表!B:H,7,FALSE),"")))),AM291)</f>
        <v>ai_monster</v>
      </c>
      <c r="AG291" s="2"/>
      <c r="AH291" s="15">
        <f>SUMPRODUCT(T291:V291,$AN$3:$AP$3)+ROUNDDOWN(VLOOKUP(P291,CHOOSE({1,2},'[1]消耗&amp;价值&amp;分析'!$C$7:$C$106,'[1]消耗&amp;价值&amp;分析'!$AS$7:$AS$106),2,FALSE)*0.6,0)</f>
        <v>75750.507750390461</v>
      </c>
      <c r="AJ291" s="80">
        <v>1</v>
      </c>
      <c r="AK291" s="80">
        <v>1</v>
      </c>
      <c r="AL291" s="80">
        <v>1</v>
      </c>
    </row>
    <row r="292" spans="1:38">
      <c r="A292" s="33" t="str">
        <f>怪物并表!$R$7</f>
        <v>普通副本</v>
      </c>
      <c r="B292" s="38">
        <v>2</v>
      </c>
      <c r="C292" s="33">
        <f t="shared" si="29"/>
        <v>8004</v>
      </c>
      <c r="D292" s="33">
        <v>1</v>
      </c>
      <c r="E292" s="33">
        <f>VLOOKUP(A292,怪物并表!$R$7:$S$14,2,FALSE)</f>
        <v>1</v>
      </c>
      <c r="F292" s="38">
        <v>8</v>
      </c>
      <c r="G292" s="38">
        <v>4</v>
      </c>
      <c r="H292" s="38">
        <v>1</v>
      </c>
      <c r="I292" s="33">
        <f t="shared" si="33"/>
        <v>184102</v>
      </c>
      <c r="J292" s="33" t="s">
        <v>15</v>
      </c>
      <c r="K292" s="33"/>
      <c r="L292" s="33">
        <v>0</v>
      </c>
      <c r="M292" s="33">
        <v>1</v>
      </c>
      <c r="N292" s="33"/>
      <c r="O292" s="33">
        <v>1</v>
      </c>
      <c r="P292" s="33">
        <f>VLOOKUP($C292,CHOOSE({1,2},怪物并表!$E$7:$E$1000,怪物并表!$D$7:$D$1000),2,FALSE)</f>
        <v>68</v>
      </c>
      <c r="Q292" s="33" t="s">
        <v>15</v>
      </c>
      <c r="R292" s="33">
        <f>VLOOKUP(Q292,怪物信息配置表!$A$2:$B$118,2,FALSE)</f>
        <v>1004</v>
      </c>
      <c r="S292" s="33">
        <v>1</v>
      </c>
      <c r="T292" s="49">
        <f>VLOOKUP($C292,怪物并表!$E$7:$N$1000,2+($D292-1)*3,FALSE)*S292*AJ292</f>
        <v>549778.35593197402</v>
      </c>
      <c r="U292" s="49">
        <f>VLOOKUP($C292,怪物并表!$E$7:$N$1000,3+($D292-1)*3,FALSE)*S292*AK292</f>
        <v>37283.398849405807</v>
      </c>
      <c r="V292" s="49">
        <f>VLOOKUP($C292,怪物并表!$E$7:$N$1000,4+($D292-1)*3,FALSE)*S292*AL292</f>
        <v>9359.9746637056942</v>
      </c>
      <c r="W292" s="33"/>
      <c r="X292" s="33"/>
      <c r="Y292" s="49">
        <f>VLOOKUP($C292,怪物并表!$E$7:$P$1000,12,FALSE)</f>
        <v>0</v>
      </c>
      <c r="Z292" s="49">
        <f>VLOOKUP($C292,怪物并表!$E$7:$P$1000,11,FALSE)*S292</f>
        <v>4301.1040000000003</v>
      </c>
      <c r="AA292" s="33"/>
      <c r="AB292" s="33"/>
      <c r="AC292" s="33"/>
      <c r="AD292" s="33">
        <f t="shared" ref="AD292:AD391" si="39">IF(D292=1,1,IF(D292=2,0.8,1.5))</f>
        <v>1</v>
      </c>
      <c r="AE292" s="2">
        <f t="shared" si="36"/>
        <v>192.5</v>
      </c>
      <c r="AF292" s="2" t="str">
        <f>IF(ISBLANK(AM292),IF(O292=6,"",IF(O292=1,VLOOKUP(R292,怪物信息配置表!B:H,5,FALSE),IF(O292=2,VLOOKUP(R292,怪物信息配置表!B:H,6,FALSE),IF(OR(O292=3,O292=5),VLOOKUP(R292,怪物信息配置表!B:H,7,FALSE),"")))),AM292)</f>
        <v>ai_monster</v>
      </c>
      <c r="AG292" s="2"/>
      <c r="AH292" s="15">
        <f>SUMPRODUCT(T292:V292,$AN$3:$AP$3)+ROUNDDOWN(VLOOKUP(P292,CHOOSE({1,2},'[1]消耗&amp;价值&amp;分析'!$C$7:$C$106,'[1]消耗&amp;价值&amp;分析'!$AS$7:$AS$106),2,FALSE)*0.6,0)</f>
        <v>75750.507750390461</v>
      </c>
      <c r="AJ292" s="80">
        <v>1</v>
      </c>
      <c r="AK292" s="80">
        <v>1</v>
      </c>
      <c r="AL292" s="80">
        <v>1</v>
      </c>
    </row>
    <row r="293" spans="1:38">
      <c r="A293" s="33" t="str">
        <f>怪物并表!$R$7</f>
        <v>普通副本</v>
      </c>
      <c r="B293" s="38">
        <v>3</v>
      </c>
      <c r="C293" s="33">
        <f>F293*1000+G293</f>
        <v>8004</v>
      </c>
      <c r="D293" s="33">
        <v>2</v>
      </c>
      <c r="E293" s="33">
        <f>VLOOKUP(A293,怪物并表!$R$7:$S$14,2,FALSE)</f>
        <v>1</v>
      </c>
      <c r="F293" s="38">
        <v>8</v>
      </c>
      <c r="G293" s="38">
        <v>4</v>
      </c>
      <c r="H293" s="38">
        <v>1</v>
      </c>
      <c r="I293" s="33">
        <f t="shared" si="33"/>
        <v>184103</v>
      </c>
      <c r="J293" s="33" t="s">
        <v>501</v>
      </c>
      <c r="K293" s="33"/>
      <c r="L293" s="33">
        <v>0</v>
      </c>
      <c r="M293" s="33">
        <v>1</v>
      </c>
      <c r="N293" s="33"/>
      <c r="O293" s="33">
        <v>1</v>
      </c>
      <c r="P293" s="33">
        <f>VLOOKUP($C293,CHOOSE({1,2},怪物并表!$E$7:$E$1000,怪物并表!$D$7:$D$1000),2,FALSE)</f>
        <v>68</v>
      </c>
      <c r="Q293" s="33" t="s">
        <v>17</v>
      </c>
      <c r="R293" s="33">
        <f>VLOOKUP(Q293,怪物信息配置表!$A$2:$B$118,2,FALSE)</f>
        <v>1005</v>
      </c>
      <c r="S293" s="33">
        <v>1</v>
      </c>
      <c r="T293" s="49">
        <f>VLOOKUP($C293,怪物并表!$E$7:$N$1000,2+($D293-1)*3,FALSE)*S293*AJ293</f>
        <v>439822.68474557926</v>
      </c>
      <c r="U293" s="49">
        <f>VLOOKUP($C293,怪物并表!$E$7:$N$1000,3+($D293-1)*3,FALSE)*S293*AK293</f>
        <v>34491.056430835793</v>
      </c>
      <c r="V293" s="49">
        <f>VLOOKUP($C293,怪物并表!$E$7:$N$1000,4+($D293-1)*3,FALSE)*S293*AL293</f>
        <v>7019.9809977792702</v>
      </c>
      <c r="W293" s="33"/>
      <c r="X293" s="33"/>
      <c r="Y293" s="49">
        <f>VLOOKUP($C293,怪物并表!$E$7:$P$1000,12,FALSE)</f>
        <v>0</v>
      </c>
      <c r="Z293" s="49">
        <f>VLOOKUP($C293,怪物并表!$E$7:$P$1000,11,FALSE)*S293</f>
        <v>4301.1040000000003</v>
      </c>
      <c r="AA293" s="33"/>
      <c r="AB293" s="33"/>
      <c r="AC293" s="33"/>
      <c r="AD293" s="33">
        <f t="shared" si="39"/>
        <v>0.8</v>
      </c>
      <c r="AE293" s="2">
        <f t="shared" si="36"/>
        <v>354</v>
      </c>
      <c r="AF293" s="2" t="str">
        <f>IF(ISBLANK(AM293),IF(O293=6,"",IF(O293=1,VLOOKUP(R293,怪物信息配置表!B:H,5,FALSE),IF(O293=2,VLOOKUP(R293,怪物信息配置表!B:H,6,FALSE),IF(OR(O293=3,O293=5),VLOOKUP(R293,怪物信息配置表!B:H,7,FALSE),"")))),AM293)</f>
        <v>ai_monster_02</v>
      </c>
      <c r="AG293" s="2"/>
      <c r="AH293" s="15">
        <f>SUMPRODUCT(T293:V293,$AN$3:$AP$3)+ROUNDDOWN(VLOOKUP(P293,CHOOSE({1,2},'[1]消耗&amp;价值&amp;分析'!$C$7:$C$106,'[1]消耗&amp;价值&amp;分析'!$AS$7:$AS$106),2,FALSE)*0.6,0)</f>
        <v>66219.944818438235</v>
      </c>
      <c r="AJ293" s="80">
        <v>1</v>
      </c>
      <c r="AK293" s="80">
        <v>1</v>
      </c>
      <c r="AL293" s="80">
        <v>1</v>
      </c>
    </row>
    <row r="294" spans="1:38">
      <c r="A294" s="33" t="str">
        <f>怪物并表!$R$7</f>
        <v>普通副本</v>
      </c>
      <c r="B294" s="38">
        <v>4</v>
      </c>
      <c r="C294" s="33">
        <f t="shared" ref="C294:C304" si="40">F294*1000+G294</f>
        <v>8004</v>
      </c>
      <c r="D294" s="33">
        <v>3</v>
      </c>
      <c r="E294" s="33">
        <f>VLOOKUP(A294,怪物并表!$R$7:$S$14,2,FALSE)</f>
        <v>1</v>
      </c>
      <c r="F294" s="38">
        <v>8</v>
      </c>
      <c r="G294" s="38">
        <v>4</v>
      </c>
      <c r="H294" s="38">
        <v>1</v>
      </c>
      <c r="I294" s="33">
        <f t="shared" ref="I294:I357" si="41">SUM(E294*10^5,F294*10^4,G294*10^3,H294*10^2,B294)</f>
        <v>184104</v>
      </c>
      <c r="J294" s="33" t="s">
        <v>612</v>
      </c>
      <c r="K294" s="33"/>
      <c r="L294" s="33">
        <v>1</v>
      </c>
      <c r="M294" s="33">
        <v>1.2</v>
      </c>
      <c r="N294" s="33"/>
      <c r="O294" s="33">
        <v>3</v>
      </c>
      <c r="P294" s="33">
        <f>VLOOKUP($C294,CHOOSE({1,2},怪物并表!$E$7:$E$1000,怪物并表!$D$7:$D$1000),2,FALSE)</f>
        <v>68</v>
      </c>
      <c r="Q294" s="33" t="s">
        <v>588</v>
      </c>
      <c r="R294" s="33">
        <f>VLOOKUP(Q294,怪物信息配置表!$A$2:$B$118,2,FALSE)</f>
        <v>1113</v>
      </c>
      <c r="S294" s="33">
        <v>1</v>
      </c>
      <c r="T294" s="49">
        <f>VLOOKUP($C294,怪物并表!$E$7:$N$1000,2+($D294-1)*3,FALSE)*S294*AJ294</f>
        <v>1374445.889829935</v>
      </c>
      <c r="U294" s="49">
        <f>VLOOKUP($C294,怪物并表!$E$7:$N$1000,3+($D294-1)*3,FALSE)*S294*AK294</f>
        <v>42868.083686545826</v>
      </c>
      <c r="V294" s="49">
        <f>VLOOKUP($C294,怪物并表!$E$7:$N$1000,4+($D294-1)*3,FALSE)*S294*AL294</f>
        <v>11699.968329632118</v>
      </c>
      <c r="W294" s="33"/>
      <c r="X294" s="33"/>
      <c r="Y294" s="49">
        <f>VLOOKUP($C294,怪物并表!$E$7:$P$1000,12,FALSE)</f>
        <v>0</v>
      </c>
      <c r="Z294" s="49">
        <f>VLOOKUP($C294,怪物并表!$E$7:$P$1000,11,FALSE)*S294</f>
        <v>4301.1040000000003</v>
      </c>
      <c r="AA294" s="33"/>
      <c r="AB294" s="33"/>
      <c r="AC294" s="33"/>
      <c r="AD294" s="33">
        <f t="shared" si="39"/>
        <v>1.5</v>
      </c>
      <c r="AE294" s="2">
        <f t="shared" si="36"/>
        <v>50</v>
      </c>
      <c r="AF294" s="2" t="str">
        <f>IF(ISBLANK(AM294),IF(O294=6,"",IF(O294=1,VLOOKUP(R294,怪物信息配置表!B:H,5,FALSE),IF(O294=2,VLOOKUP(R294,怪物信息配置表!B:H,6,FALSE),IF(OR(O294=3,O294=5),VLOOKUP(R294,怪物信息配置表!B:H,7,FALSE),"")))),AM294)</f>
        <v>1102_wuya_BOSS</v>
      </c>
      <c r="AG294" s="2"/>
      <c r="AH294" s="15">
        <f>SUMPRODUCT(T294:V294,$AN$3:$AP$3)+ROUNDDOWN(VLOOKUP(P294,CHOOSE({1,2},'[1]消耗&amp;价值&amp;分析'!$C$7:$C$106,'[1]消耗&amp;价值&amp;分析'!$AS$7:$AS$106),2,FALSE)*0.6,0)</f>
        <v>116661.88760937534</v>
      </c>
      <c r="AJ294" s="80">
        <v>1</v>
      </c>
      <c r="AK294" s="80">
        <v>1</v>
      </c>
      <c r="AL294" s="80">
        <v>1</v>
      </c>
    </row>
    <row r="295" spans="1:38">
      <c r="A295" s="33" t="str">
        <f>怪物并表!$R$7</f>
        <v>普通副本</v>
      </c>
      <c r="B295" s="38">
        <v>1</v>
      </c>
      <c r="C295" s="33">
        <f t="shared" si="40"/>
        <v>8005</v>
      </c>
      <c r="D295" s="33">
        <v>1</v>
      </c>
      <c r="E295" s="33">
        <f>VLOOKUP(A295,怪物并表!$R$7:$S$14,2,FALSE)</f>
        <v>1</v>
      </c>
      <c r="F295" s="38">
        <v>8</v>
      </c>
      <c r="G295" s="38">
        <v>5</v>
      </c>
      <c r="H295" s="38">
        <v>1</v>
      </c>
      <c r="I295" s="33">
        <f t="shared" si="41"/>
        <v>185101</v>
      </c>
      <c r="J295" s="33" t="s">
        <v>248</v>
      </c>
      <c r="K295" s="33"/>
      <c r="L295" s="33">
        <v>0</v>
      </c>
      <c r="M295" s="33">
        <v>1</v>
      </c>
      <c r="N295" s="33"/>
      <c r="O295" s="33">
        <v>1</v>
      </c>
      <c r="P295" s="33">
        <f>VLOOKUP($C295,CHOOSE({1,2},怪物并表!$E$7:$E$1000,怪物并表!$D$7:$D$1000),2,FALSE)</f>
        <v>69</v>
      </c>
      <c r="Q295" s="33" t="s">
        <v>10</v>
      </c>
      <c r="R295" s="33">
        <f>VLOOKUP(Q295,怪物信息配置表!$A$2:$B$118,2,FALSE)</f>
        <v>1001</v>
      </c>
      <c r="S295" s="33">
        <v>1</v>
      </c>
      <c r="T295" s="49">
        <f>VLOOKUP($C295,怪物并表!$E$7:$N$1000,2+($D295-1)*3,FALSE)*S295*AJ295</f>
        <v>583129.80920660822</v>
      </c>
      <c r="U295" s="49">
        <f>VLOOKUP($C295,怪物并表!$E$7:$N$1000,3+($D295-1)*3,FALSE)*S295*AK295</f>
        <v>39584.69585392889</v>
      </c>
      <c r="V295" s="49">
        <f>VLOOKUP($C295,怪物并表!$E$7:$N$1000,4+($D295-1)*3,FALSE)*S295*AL295</f>
        <v>9834.5441160802766</v>
      </c>
      <c r="W295" s="33"/>
      <c r="X295" s="33"/>
      <c r="Y295" s="49">
        <f>VLOOKUP($C295,怪物并表!$E$7:$P$1000,12,FALSE)</f>
        <v>0</v>
      </c>
      <c r="Z295" s="49">
        <f>VLOOKUP($C295,怪物并表!$E$7:$P$1000,11,FALSE)*S295</f>
        <v>4359.3320000000003</v>
      </c>
      <c r="AA295" s="33"/>
      <c r="AB295" s="33"/>
      <c r="AC295" s="33"/>
      <c r="AD295" s="33">
        <f t="shared" si="39"/>
        <v>1</v>
      </c>
      <c r="AE295" s="2">
        <f t="shared" si="36"/>
        <v>180.625</v>
      </c>
      <c r="AF295" s="2" t="str">
        <f>IF(ISBLANK(AM295),IF(O295=6,"",IF(O295=1,VLOOKUP(R295,怪物信息配置表!B:H,5,FALSE),IF(O295=2,VLOOKUP(R295,怪物信息配置表!B:H,6,FALSE),IF(OR(O295=3,O295=5),VLOOKUP(R295,怪物信息配置表!B:H,7,FALSE),"")))),AM295)</f>
        <v>ai_monster</v>
      </c>
      <c r="AG295" s="2"/>
      <c r="AH295" s="15">
        <f>SUMPRODUCT(T295:V295,$AN$3:$AP$3)+ROUNDDOWN(VLOOKUP(P295,CHOOSE({1,2},'[1]消耗&amp;价值&amp;分析'!$C$7:$C$106,'[1]消耗&amp;价值&amp;分析'!$AS$7:$AS$106),2,FALSE)*0.6,0)</f>
        <v>80217.432338273487</v>
      </c>
      <c r="AJ295" s="80">
        <v>1</v>
      </c>
      <c r="AK295" s="80">
        <v>1</v>
      </c>
      <c r="AL295" s="80">
        <v>1</v>
      </c>
    </row>
    <row r="296" spans="1:38">
      <c r="A296" s="33" t="str">
        <f>怪物并表!$R$7</f>
        <v>普通副本</v>
      </c>
      <c r="B296" s="38">
        <v>2</v>
      </c>
      <c r="C296" s="33">
        <f t="shared" si="40"/>
        <v>8005</v>
      </c>
      <c r="D296" s="33">
        <v>1</v>
      </c>
      <c r="E296" s="33">
        <f>VLOOKUP(A296,怪物并表!$R$7:$S$14,2,FALSE)</f>
        <v>1</v>
      </c>
      <c r="F296" s="38">
        <v>8</v>
      </c>
      <c r="G296" s="38">
        <v>5</v>
      </c>
      <c r="H296" s="38">
        <v>1</v>
      </c>
      <c r="I296" s="33">
        <f t="shared" si="41"/>
        <v>185102</v>
      </c>
      <c r="J296" s="33" t="s">
        <v>14</v>
      </c>
      <c r="K296" s="33"/>
      <c r="L296" s="33">
        <v>0</v>
      </c>
      <c r="M296" s="33">
        <v>1</v>
      </c>
      <c r="N296" s="33"/>
      <c r="O296" s="33">
        <v>1</v>
      </c>
      <c r="P296" s="33">
        <f>VLOOKUP($C296,CHOOSE({1,2},怪物并表!$E$7:$E$1000,怪物并表!$D$7:$D$1000),2,FALSE)</f>
        <v>69</v>
      </c>
      <c r="Q296" s="33" t="s">
        <v>14</v>
      </c>
      <c r="R296" s="33">
        <f>VLOOKUP(Q296,怪物信息配置表!$A$2:$B$118,2,FALSE)</f>
        <v>1010</v>
      </c>
      <c r="S296" s="33">
        <v>1</v>
      </c>
      <c r="T296" s="49">
        <f>VLOOKUP($C296,怪物并表!$E$7:$N$1000,2+($D296-1)*3,FALSE)*S296*AJ296</f>
        <v>583129.80920660822</v>
      </c>
      <c r="U296" s="49">
        <f>VLOOKUP($C296,怪物并表!$E$7:$N$1000,3+($D296-1)*3,FALSE)*S296*AK296</f>
        <v>39584.69585392889</v>
      </c>
      <c r="V296" s="49">
        <f>VLOOKUP($C296,怪物并表!$E$7:$N$1000,4+($D296-1)*3,FALSE)*S296*AL296</f>
        <v>9834.5441160802766</v>
      </c>
      <c r="W296" s="33"/>
      <c r="X296" s="33"/>
      <c r="Y296" s="49">
        <f>VLOOKUP($C296,怪物并表!$E$7:$P$1000,12,FALSE)</f>
        <v>0</v>
      </c>
      <c r="Z296" s="49">
        <f>VLOOKUP($C296,怪物并表!$E$7:$P$1000,11,FALSE)*S296</f>
        <v>4359.3320000000003</v>
      </c>
      <c r="AA296" s="33"/>
      <c r="AB296" s="33"/>
      <c r="AC296" s="33"/>
      <c r="AD296" s="33">
        <f t="shared" si="39"/>
        <v>1</v>
      </c>
      <c r="AE296" s="2">
        <f t="shared" si="36"/>
        <v>180.625</v>
      </c>
      <c r="AF296" s="2" t="str">
        <f>IF(ISBLANK(AM296),IF(O296=6,"",IF(O296=1,VLOOKUP(R296,怪物信息配置表!B:H,5,FALSE),IF(O296=2,VLOOKUP(R296,怪物信息配置表!B:H,6,FALSE),IF(OR(O296=3,O296=5),VLOOKUP(R296,怪物信息配置表!B:H,7,FALSE),"")))),AM296)</f>
        <v>ai_monster</v>
      </c>
      <c r="AG296" s="2"/>
      <c r="AH296" s="15">
        <f>SUMPRODUCT(T296:V296,$AN$3:$AP$3)+ROUNDDOWN(VLOOKUP(P296,CHOOSE({1,2},'[1]消耗&amp;价值&amp;分析'!$C$7:$C$106,'[1]消耗&amp;价值&amp;分析'!$AS$7:$AS$106),2,FALSE)*0.6,0)</f>
        <v>80217.432338273487</v>
      </c>
      <c r="AJ296" s="80">
        <v>1</v>
      </c>
      <c r="AK296" s="80">
        <v>1</v>
      </c>
      <c r="AL296" s="80">
        <v>1</v>
      </c>
    </row>
    <row r="297" spans="1:38">
      <c r="A297" s="33" t="str">
        <f>怪物并表!$R$7</f>
        <v>普通副本</v>
      </c>
      <c r="B297" s="38">
        <v>3</v>
      </c>
      <c r="C297" s="33">
        <f t="shared" si="40"/>
        <v>8005</v>
      </c>
      <c r="D297" s="33">
        <v>1</v>
      </c>
      <c r="E297" s="33">
        <f>VLOOKUP(A297,怪物并表!$R$7:$S$14,2,FALSE)</f>
        <v>1</v>
      </c>
      <c r="F297" s="38">
        <v>8</v>
      </c>
      <c r="G297" s="38">
        <v>5</v>
      </c>
      <c r="H297" s="38">
        <v>1</v>
      </c>
      <c r="I297" s="33">
        <f t="shared" si="41"/>
        <v>185103</v>
      </c>
      <c r="J297" s="33" t="s">
        <v>502</v>
      </c>
      <c r="K297" s="33"/>
      <c r="L297" s="33">
        <v>0</v>
      </c>
      <c r="M297" s="33">
        <v>1</v>
      </c>
      <c r="N297" s="33"/>
      <c r="O297" s="33">
        <v>1</v>
      </c>
      <c r="P297" s="33">
        <f>VLOOKUP($C297,CHOOSE({1,2},怪物并表!$E$7:$E$1000,怪物并表!$D$7:$D$1000),2,FALSE)</f>
        <v>69</v>
      </c>
      <c r="Q297" s="33" t="s">
        <v>11</v>
      </c>
      <c r="R297" s="33">
        <f>VLOOKUP(Q297,怪物信息配置表!$A$2:$B$118,2,FALSE)</f>
        <v>1011</v>
      </c>
      <c r="S297" s="33">
        <v>1</v>
      </c>
      <c r="T297" s="49">
        <f>VLOOKUP($C297,怪物并表!$E$7:$N$1000,2+($D297-1)*3,FALSE)*S297*AJ297</f>
        <v>583129.80920660822</v>
      </c>
      <c r="U297" s="49">
        <f>VLOOKUP($C297,怪物并表!$E$7:$N$1000,3+($D297-1)*3,FALSE)*S297*AK297</f>
        <v>39584.69585392889</v>
      </c>
      <c r="V297" s="49">
        <f>VLOOKUP($C297,怪物并表!$E$7:$N$1000,4+($D297-1)*3,FALSE)*S297*AL297</f>
        <v>9834.5441160802766</v>
      </c>
      <c r="W297" s="33"/>
      <c r="X297" s="33"/>
      <c r="Y297" s="49">
        <f>VLOOKUP($C297,怪物并表!$E$7:$P$1000,12,FALSE)</f>
        <v>0</v>
      </c>
      <c r="Z297" s="49">
        <f>VLOOKUP($C297,怪物并表!$E$7:$P$1000,11,FALSE)*S297</f>
        <v>4359.3320000000003</v>
      </c>
      <c r="AA297" s="33"/>
      <c r="AB297" s="33"/>
      <c r="AC297" s="33"/>
      <c r="AD297" s="33">
        <f t="shared" si="39"/>
        <v>1</v>
      </c>
      <c r="AE297" s="2">
        <f t="shared" si="36"/>
        <v>180.625</v>
      </c>
      <c r="AF297" s="2" t="str">
        <f>IF(ISBLANK(AM297),IF(O297=6,"",IF(O297=1,VLOOKUP(R297,怪物信息配置表!B:H,5,FALSE),IF(O297=2,VLOOKUP(R297,怪物信息配置表!B:H,6,FALSE),IF(OR(O297=3,O297=5),VLOOKUP(R297,怪物信息配置表!B:H,7,FALSE),"")))),AM297)</f>
        <v>ai_monster</v>
      </c>
      <c r="AG297" s="2"/>
      <c r="AH297" s="15">
        <f>SUMPRODUCT(T297:V297,$AN$3:$AP$3)+ROUNDDOWN(VLOOKUP(P297,CHOOSE({1,2},'[1]消耗&amp;价值&amp;分析'!$C$7:$C$106,'[1]消耗&amp;价值&amp;分析'!$AS$7:$AS$106),2,FALSE)*0.6,0)</f>
        <v>80217.432338273487</v>
      </c>
      <c r="AJ297" s="80">
        <v>1</v>
      </c>
      <c r="AK297" s="80">
        <v>1</v>
      </c>
      <c r="AL297" s="80">
        <v>1</v>
      </c>
    </row>
    <row r="298" spans="1:38">
      <c r="A298" s="33" t="str">
        <f>怪物并表!$R$7</f>
        <v>普通副本</v>
      </c>
      <c r="B298" s="38">
        <v>4</v>
      </c>
      <c r="C298" s="33">
        <f t="shared" si="40"/>
        <v>8005</v>
      </c>
      <c r="D298" s="33">
        <v>3</v>
      </c>
      <c r="E298" s="33">
        <f>VLOOKUP(A298,怪物并表!$R$7:$S$14,2,FALSE)</f>
        <v>1</v>
      </c>
      <c r="F298" s="38">
        <v>8</v>
      </c>
      <c r="G298" s="38">
        <v>5</v>
      </c>
      <c r="H298" s="38">
        <v>1</v>
      </c>
      <c r="I298" s="33">
        <f t="shared" si="41"/>
        <v>185104</v>
      </c>
      <c r="J298" s="33" t="s">
        <v>611</v>
      </c>
      <c r="K298" s="33"/>
      <c r="L298" s="33">
        <v>1</v>
      </c>
      <c r="M298" s="33">
        <v>1.2</v>
      </c>
      <c r="N298" s="33"/>
      <c r="O298" s="33">
        <v>3</v>
      </c>
      <c r="P298" s="33">
        <f>VLOOKUP($C298,CHOOSE({1,2},怪物并表!$E$7:$E$1000,怪物并表!$D$7:$D$1000),2,FALSE)</f>
        <v>69</v>
      </c>
      <c r="Q298" s="33" t="s">
        <v>21</v>
      </c>
      <c r="R298" s="33">
        <f>VLOOKUP(Q298,怪物信息配置表!$A$2:$B$118,2,FALSE)</f>
        <v>1104</v>
      </c>
      <c r="S298" s="33">
        <v>1</v>
      </c>
      <c r="T298" s="49">
        <f>VLOOKUP($C298,怪物并表!$E$7:$N$1000,2+($D298-1)*3,FALSE)*S298*AJ298</f>
        <v>1457824.5230165205</v>
      </c>
      <c r="U298" s="49">
        <f>VLOOKUP($C298,怪物并表!$E$7:$N$1000,3+($D298-1)*3,FALSE)*S298*AK298</f>
        <v>45534.726201498604</v>
      </c>
      <c r="V298" s="49">
        <f>VLOOKUP($C298,怪物并表!$E$7:$N$1000,4+($D298-1)*3,FALSE)*S298*AL298</f>
        <v>12293.180145100345</v>
      </c>
      <c r="W298" s="33"/>
      <c r="X298" s="33"/>
      <c r="Y298" s="49">
        <f>VLOOKUP($C298,怪物并表!$E$7:$P$1000,12,FALSE)</f>
        <v>0</v>
      </c>
      <c r="Z298" s="49">
        <f>VLOOKUP($C298,怪物并表!$E$7:$P$1000,11,FALSE)*S298</f>
        <v>4359.3320000000003</v>
      </c>
      <c r="AA298" s="33"/>
      <c r="AB298" s="33"/>
      <c r="AC298" s="33"/>
      <c r="AD298" s="33">
        <f t="shared" si="39"/>
        <v>1.5</v>
      </c>
      <c r="AE298" s="2">
        <f t="shared" si="36"/>
        <v>50</v>
      </c>
      <c r="AF298" s="2" t="str">
        <f>IF(ISBLANK(AM298),IF(O298=6,"",IF(O298=1,VLOOKUP(R298,怪物信息配置表!B:H,5,FALSE),IF(O298=2,VLOOKUP(R298,怪物信息配置表!B:H,6,FALSE),IF(OR(O298=3,O298=5),VLOOKUP(R298,怪物信息配置表!B:H,7,FALSE),"")))),AM298)</f>
        <v>1104_duwang_BOSS</v>
      </c>
      <c r="AG298" s="2"/>
      <c r="AH298" s="15">
        <f>SUMPRODUCT(T298:V298,$AN$3:$AP$3)+ROUNDDOWN(VLOOKUP(P298,CHOOSE({1,2},'[1]消耗&amp;价值&amp;分析'!$C$7:$C$106,'[1]消耗&amp;价值&amp;分析'!$AS$7:$AS$106),2,FALSE)*0.6,0)</f>
        <v>123613.88726725976</v>
      </c>
      <c r="AJ298" s="80">
        <v>1</v>
      </c>
      <c r="AK298" s="80">
        <v>1</v>
      </c>
      <c r="AL298" s="80">
        <v>1</v>
      </c>
    </row>
    <row r="299" spans="1:38">
      <c r="A299" s="33" t="str">
        <f>怪物并表!$R$7</f>
        <v>普通副本</v>
      </c>
      <c r="B299" s="38">
        <v>1</v>
      </c>
      <c r="C299" s="33">
        <f t="shared" si="40"/>
        <v>8006</v>
      </c>
      <c r="D299" s="33">
        <v>1</v>
      </c>
      <c r="E299" s="33">
        <f>VLOOKUP(A299,怪物并表!$R$7:$S$14,2,FALSE)</f>
        <v>1</v>
      </c>
      <c r="F299" s="38">
        <v>8</v>
      </c>
      <c r="G299" s="38">
        <v>6</v>
      </c>
      <c r="H299" s="38">
        <v>1</v>
      </c>
      <c r="I299" s="33">
        <f t="shared" si="41"/>
        <v>186101</v>
      </c>
      <c r="J299" s="33" t="s">
        <v>42</v>
      </c>
      <c r="K299" s="33"/>
      <c r="L299" s="33">
        <v>0</v>
      </c>
      <c r="M299" s="33">
        <v>1</v>
      </c>
      <c r="N299" s="33"/>
      <c r="O299" s="33">
        <v>1</v>
      </c>
      <c r="P299" s="33">
        <f>VLOOKUP($C299,CHOOSE({1,2},怪物并表!$E$7:$E$1000,怪物并表!$D$7:$D$1000),2,FALSE)</f>
        <v>70</v>
      </c>
      <c r="Q299" s="33" t="s">
        <v>12</v>
      </c>
      <c r="R299" s="33">
        <f>VLOOKUP(Q299,怪物信息配置表!$A$2:$B$118,2,FALSE)</f>
        <v>1009</v>
      </c>
      <c r="S299" s="33">
        <v>1</v>
      </c>
      <c r="T299" s="49">
        <f>VLOOKUP($C299,怪物并表!$E$7:$N$1000,2+($D299-1)*3,FALSE)*S299*AJ299</f>
        <v>620217.67267013376</v>
      </c>
      <c r="U299" s="49">
        <f>VLOOKUP($C299,怪物并表!$E$7:$N$1000,3+($D299-1)*3,FALSE)*S299*AK299</f>
        <v>42151.224738842153</v>
      </c>
      <c r="V299" s="49">
        <f>VLOOKUP($C299,怪物并表!$E$7:$N$1000,4+($D299-1)*3,FALSE)*S299*AL299</f>
        <v>10362.85850167225</v>
      </c>
      <c r="W299" s="33"/>
      <c r="X299" s="33"/>
      <c r="Y299" s="49">
        <f>VLOOKUP($C299,怪物并表!$E$7:$P$1000,12,FALSE)</f>
        <v>0</v>
      </c>
      <c r="Z299" s="49">
        <f>VLOOKUP($C299,怪物并表!$E$7:$P$1000,11,FALSE)*S299</f>
        <v>4417.5600000000004</v>
      </c>
      <c r="AA299" s="33"/>
      <c r="AB299" s="33"/>
      <c r="AC299" s="33"/>
      <c r="AD299" s="33">
        <f t="shared" si="39"/>
        <v>1</v>
      </c>
      <c r="AE299" s="2">
        <f t="shared" si="36"/>
        <v>168.75</v>
      </c>
      <c r="AF299" s="2" t="str">
        <f>IF(ISBLANK(AM299),IF(O299=6,"",IF(O299=1,VLOOKUP(R299,怪物信息配置表!B:H,5,FALSE),IF(O299=2,VLOOKUP(R299,怪物信息配置表!B:H,6,FALSE),IF(OR(O299=3,O299=5),VLOOKUP(R299,怪物信息配置表!B:H,7,FALSE),"")))),AM299)</f>
        <v>ai_monster</v>
      </c>
      <c r="AG299" s="2"/>
      <c r="AH299" s="15">
        <f>SUMPRODUCT(T299:V299,$AN$3:$AP$3)+ROUNDDOWN(VLOOKUP(P299,CHOOSE({1,2},'[1]消耗&amp;价值&amp;分析'!$C$7:$C$106,'[1]消耗&amp;价值&amp;分析'!$AS$7:$AS$106),2,FALSE)*0.6,0)</f>
        <v>85244.790147319756</v>
      </c>
      <c r="AJ299" s="80">
        <v>1</v>
      </c>
      <c r="AK299" s="80">
        <v>1</v>
      </c>
      <c r="AL299" s="80">
        <v>1</v>
      </c>
    </row>
    <row r="300" spans="1:38">
      <c r="A300" s="33" t="str">
        <f>怪物并表!$R$7</f>
        <v>普通副本</v>
      </c>
      <c r="B300" s="38">
        <v>2</v>
      </c>
      <c r="C300" s="33">
        <f t="shared" si="40"/>
        <v>8006</v>
      </c>
      <c r="D300" s="33">
        <v>2</v>
      </c>
      <c r="E300" s="33">
        <f>VLOOKUP(A300,怪物并表!$R$7:$S$14,2,FALSE)</f>
        <v>1</v>
      </c>
      <c r="F300" s="38">
        <v>8</v>
      </c>
      <c r="G300" s="38">
        <v>6</v>
      </c>
      <c r="H300" s="38">
        <v>1</v>
      </c>
      <c r="I300" s="33">
        <f t="shared" si="41"/>
        <v>186102</v>
      </c>
      <c r="J300" s="33" t="s">
        <v>501</v>
      </c>
      <c r="K300" s="33"/>
      <c r="L300" s="33">
        <v>0</v>
      </c>
      <c r="M300" s="33">
        <v>1</v>
      </c>
      <c r="N300" s="33"/>
      <c r="O300" s="33">
        <v>1</v>
      </c>
      <c r="P300" s="33">
        <f>VLOOKUP($C300,CHOOSE({1,2},怪物并表!$E$7:$E$1000,怪物并表!$D$7:$D$1000),2,FALSE)</f>
        <v>70</v>
      </c>
      <c r="Q300" s="33" t="s">
        <v>17</v>
      </c>
      <c r="R300" s="33">
        <f>VLOOKUP(Q300,怪物信息配置表!$A$2:$B$118,2,FALSE)</f>
        <v>1005</v>
      </c>
      <c r="S300" s="33">
        <v>1</v>
      </c>
      <c r="T300" s="49">
        <f>VLOOKUP($C300,怪物并表!$E$7:$N$1000,2+($D300-1)*3,FALSE)*S300*AJ300</f>
        <v>496174.13813610701</v>
      </c>
      <c r="U300" s="49">
        <f>VLOOKUP($C300,怪物并表!$E$7:$N$1000,3+($D300-1)*3,FALSE)*S300*AK300</f>
        <v>38972.388115125163</v>
      </c>
      <c r="V300" s="49">
        <f>VLOOKUP($C300,怪物并表!$E$7:$N$1000,4+($D300-1)*3,FALSE)*S300*AL300</f>
        <v>7772.1438762541875</v>
      </c>
      <c r="W300" s="33"/>
      <c r="X300" s="33"/>
      <c r="Y300" s="49">
        <f>VLOOKUP($C300,怪物并表!$E$7:$P$1000,12,FALSE)</f>
        <v>0</v>
      </c>
      <c r="Z300" s="49">
        <f>VLOOKUP($C300,怪物并表!$E$7:$P$1000,11,FALSE)*S300</f>
        <v>4417.5600000000004</v>
      </c>
      <c r="AA300" s="33"/>
      <c r="AB300" s="33"/>
      <c r="AC300" s="33"/>
      <c r="AD300" s="33">
        <f t="shared" si="39"/>
        <v>0.8</v>
      </c>
      <c r="AE300" s="2">
        <f t="shared" si="36"/>
        <v>335</v>
      </c>
      <c r="AF300" s="2" t="str">
        <f>IF(ISBLANK(AM300),IF(O300=6,"",IF(O300=1,VLOOKUP(R300,怪物信息配置表!B:H,5,FALSE),IF(O300=2,VLOOKUP(R300,怪物信息配置表!B:H,6,FALSE),IF(OR(O300=3,O300=5),VLOOKUP(R300,怪物信息配置表!B:H,7,FALSE),"")))),AM300)</f>
        <v>ai_monster_02</v>
      </c>
      <c r="AG300" s="2"/>
      <c r="AH300" s="15">
        <f>SUMPRODUCT(T300:V300,$AN$3:$AP$3)+ROUNDDOWN(VLOOKUP(P300,CHOOSE({1,2},'[1]消耗&amp;价值&amp;分析'!$C$7:$C$106,'[1]消耗&amp;价值&amp;分析'!$AS$7:$AS$106),2,FALSE)*0.6,0)</f>
        <v>74513.497516823641</v>
      </c>
      <c r="AJ300" s="80">
        <v>1</v>
      </c>
      <c r="AK300" s="80">
        <v>1</v>
      </c>
      <c r="AL300" s="80">
        <v>1</v>
      </c>
    </row>
    <row r="301" spans="1:38">
      <c r="A301" s="33" t="str">
        <f>怪物并表!$R$7</f>
        <v>普通副本</v>
      </c>
      <c r="B301" s="38">
        <v>3</v>
      </c>
      <c r="C301" s="33">
        <f t="shared" si="40"/>
        <v>8006</v>
      </c>
      <c r="D301" s="33">
        <v>1</v>
      </c>
      <c r="E301" s="33">
        <f>VLOOKUP(A301,怪物并表!$R$7:$S$14,2,FALSE)</f>
        <v>1</v>
      </c>
      <c r="F301" s="38">
        <v>8</v>
      </c>
      <c r="G301" s="38">
        <v>6</v>
      </c>
      <c r="H301" s="38">
        <v>1</v>
      </c>
      <c r="I301" s="33">
        <f t="shared" si="41"/>
        <v>186103</v>
      </c>
      <c r="J301" s="33" t="s">
        <v>7</v>
      </c>
      <c r="K301" s="33"/>
      <c r="L301" s="33">
        <v>0</v>
      </c>
      <c r="M301" s="33">
        <v>1</v>
      </c>
      <c r="N301" s="33"/>
      <c r="O301" s="33">
        <v>1</v>
      </c>
      <c r="P301" s="33">
        <f>VLOOKUP($C301,CHOOSE({1,2},怪物并表!$E$7:$E$1000,怪物并表!$D$7:$D$1000),2,FALSE)</f>
        <v>70</v>
      </c>
      <c r="Q301" s="33" t="s">
        <v>7</v>
      </c>
      <c r="R301" s="33">
        <f>VLOOKUP(Q301,怪物信息配置表!$A$2:$B$118,2,FALSE)</f>
        <v>1002</v>
      </c>
      <c r="S301" s="33">
        <v>1</v>
      </c>
      <c r="T301" s="49">
        <f>VLOOKUP($C301,怪物并表!$E$7:$N$1000,2+($D301-1)*3,FALSE)*S301*AJ301</f>
        <v>620217.67267013376</v>
      </c>
      <c r="U301" s="49">
        <f>VLOOKUP($C301,怪物并表!$E$7:$N$1000,3+($D301-1)*3,FALSE)*S301*AK301</f>
        <v>42151.224738842153</v>
      </c>
      <c r="V301" s="49">
        <f>VLOOKUP($C301,怪物并表!$E$7:$N$1000,4+($D301-1)*3,FALSE)*S301*AL301</f>
        <v>10362.85850167225</v>
      </c>
      <c r="W301" s="33"/>
      <c r="X301" s="33"/>
      <c r="Y301" s="49">
        <f>VLOOKUP($C301,怪物并表!$E$7:$P$1000,12,FALSE)</f>
        <v>0</v>
      </c>
      <c r="Z301" s="49">
        <f>VLOOKUP($C301,怪物并表!$E$7:$P$1000,11,FALSE)*S301</f>
        <v>4417.5600000000004</v>
      </c>
      <c r="AA301" s="33"/>
      <c r="AB301" s="33"/>
      <c r="AC301" s="33"/>
      <c r="AD301" s="33">
        <f t="shared" si="39"/>
        <v>1</v>
      </c>
      <c r="AE301" s="2">
        <f t="shared" si="36"/>
        <v>168.75</v>
      </c>
      <c r="AF301" s="2" t="str">
        <f>IF(ISBLANK(AM301),IF(O301=6,"",IF(O301=1,VLOOKUP(R301,怪物信息配置表!B:H,5,FALSE),IF(O301=2,VLOOKUP(R301,怪物信息配置表!B:H,6,FALSE),IF(OR(O301=3,O301=5),VLOOKUP(R301,怪物信息配置表!B:H,7,FALSE),"")))),AM301)</f>
        <v>ai_monster</v>
      </c>
      <c r="AG301" s="2"/>
      <c r="AH301" s="15">
        <f>SUMPRODUCT(T301:V301,$AN$3:$AP$3)+ROUNDDOWN(VLOOKUP(P301,CHOOSE({1,2},'[1]消耗&amp;价值&amp;分析'!$C$7:$C$106,'[1]消耗&amp;价值&amp;分析'!$AS$7:$AS$106),2,FALSE)*0.6,0)</f>
        <v>85244.790147319756</v>
      </c>
      <c r="AJ301" s="80">
        <v>1</v>
      </c>
      <c r="AK301" s="80">
        <v>1</v>
      </c>
      <c r="AL301" s="80">
        <v>1</v>
      </c>
    </row>
    <row r="302" spans="1:38">
      <c r="A302" s="33" t="str">
        <f>怪物并表!$R$7</f>
        <v>普通副本</v>
      </c>
      <c r="B302" s="38">
        <v>4</v>
      </c>
      <c r="C302" s="33">
        <f t="shared" si="40"/>
        <v>8006</v>
      </c>
      <c r="D302" s="33">
        <v>3</v>
      </c>
      <c r="E302" s="33">
        <f>VLOOKUP(A302,怪物并表!$R$7:$S$14,2,FALSE)</f>
        <v>1</v>
      </c>
      <c r="F302" s="38">
        <v>8</v>
      </c>
      <c r="G302" s="38">
        <v>6</v>
      </c>
      <c r="H302" s="38">
        <v>1</v>
      </c>
      <c r="I302" s="33">
        <f t="shared" si="41"/>
        <v>186104</v>
      </c>
      <c r="J302" s="33" t="s">
        <v>610</v>
      </c>
      <c r="K302" s="33"/>
      <c r="L302" s="33">
        <v>1</v>
      </c>
      <c r="M302" s="33">
        <v>1.3</v>
      </c>
      <c r="N302" s="33"/>
      <c r="O302" s="33">
        <v>3</v>
      </c>
      <c r="P302" s="33">
        <f>VLOOKUP($C302,CHOOSE({1,2},怪物并表!$E$7:$E$1000,怪物并表!$D$7:$D$1000),2,FALSE)</f>
        <v>70</v>
      </c>
      <c r="Q302" s="33" t="s">
        <v>20</v>
      </c>
      <c r="R302" s="33">
        <f>VLOOKUP(Q302,怪物信息配置表!$A$2:$B$118,2,FALSE)</f>
        <v>1103</v>
      </c>
      <c r="S302" s="33">
        <v>1</v>
      </c>
      <c r="T302" s="49">
        <f>VLOOKUP($C302,怪物并表!$E$7:$N$1000,2+($D302-1)*3,FALSE)*S302*AJ302</f>
        <v>1550544.1816753345</v>
      </c>
      <c r="U302" s="49">
        <f>VLOOKUP($C302,怪物并表!$E$7:$N$1000,3+($D302-1)*3,FALSE)*S302*AK302</f>
        <v>48508.897986276133</v>
      </c>
      <c r="V302" s="49">
        <f>VLOOKUP($C302,怪物并表!$E$7:$N$1000,4+($D302-1)*3,FALSE)*S302*AL302</f>
        <v>12953.573127090312</v>
      </c>
      <c r="W302" s="33"/>
      <c r="X302" s="33"/>
      <c r="Y302" s="49">
        <f>VLOOKUP($C302,怪物并表!$E$7:$P$1000,12,FALSE)</f>
        <v>0</v>
      </c>
      <c r="Z302" s="49">
        <f>VLOOKUP($C302,怪物并表!$E$7:$P$1000,11,FALSE)*S302</f>
        <v>4417.5600000000004</v>
      </c>
      <c r="AA302" s="33"/>
      <c r="AB302" s="33"/>
      <c r="AC302" s="33"/>
      <c r="AD302" s="33">
        <f t="shared" si="39"/>
        <v>1.5</v>
      </c>
      <c r="AE302" s="2">
        <f t="shared" si="36"/>
        <v>50</v>
      </c>
      <c r="AF302" s="2" t="str">
        <f>IF(ISBLANK(AM302),IF(O302=6,"",IF(O302=1,VLOOKUP(R302,怪物信息配置表!B:H,5,FALSE),IF(O302=2,VLOOKUP(R302,怪物信息配置表!B:H,6,FALSE),IF(OR(O302=3,O302=5),VLOOKUP(R302,怪物信息配置表!B:H,7,FALSE),"")))),AM302)</f>
        <v>1103_situ_BOSS</v>
      </c>
      <c r="AG302" s="2"/>
      <c r="AH302" s="15">
        <f>SUMPRODUCT(T302:V302,$AN$3:$AP$3)+ROUNDDOWN(VLOOKUP(P302,CHOOSE({1,2},'[1]消耗&amp;价值&amp;分析'!$C$7:$C$106,'[1]消耗&amp;价值&amp;分析'!$AS$7:$AS$106),2,FALSE)*0.6,0)</f>
        <v>131406.23838037983</v>
      </c>
      <c r="AJ302" s="80">
        <v>1</v>
      </c>
      <c r="AK302" s="80">
        <v>1</v>
      </c>
      <c r="AL302" s="80">
        <v>1</v>
      </c>
    </row>
    <row r="303" spans="1:38">
      <c r="A303" s="33" t="str">
        <f>怪物并表!$R$7</f>
        <v>普通副本</v>
      </c>
      <c r="B303" s="38">
        <v>1</v>
      </c>
      <c r="C303" s="33">
        <f t="shared" si="40"/>
        <v>8007</v>
      </c>
      <c r="D303" s="33">
        <v>1</v>
      </c>
      <c r="E303" s="33">
        <f>VLOOKUP(A303,怪物并表!$R$7:$S$14,2,FALSE)</f>
        <v>1</v>
      </c>
      <c r="F303" s="38">
        <v>8</v>
      </c>
      <c r="G303" s="38">
        <v>7</v>
      </c>
      <c r="H303" s="38">
        <v>1</v>
      </c>
      <c r="I303" s="33">
        <f t="shared" si="41"/>
        <v>187101</v>
      </c>
      <c r="J303" s="33" t="s">
        <v>7</v>
      </c>
      <c r="K303" s="33"/>
      <c r="L303" s="33">
        <v>0</v>
      </c>
      <c r="M303" s="33">
        <v>1</v>
      </c>
      <c r="N303" s="33"/>
      <c r="O303" s="33">
        <v>1</v>
      </c>
      <c r="P303" s="33">
        <f>VLOOKUP($C303,CHOOSE({1,2},怪物并表!$E$7:$E$1000,怪物并表!$D$7:$D$1000),2,FALSE)</f>
        <v>71</v>
      </c>
      <c r="Q303" s="33" t="s">
        <v>7</v>
      </c>
      <c r="R303" s="33">
        <f>VLOOKUP(Q303,怪物信息配置表!$A$2:$B$118,2,FALSE)</f>
        <v>1002</v>
      </c>
      <c r="S303" s="33">
        <v>1</v>
      </c>
      <c r="T303" s="49">
        <f>VLOOKUP($C303,怪物并表!$E$7:$N$1000,2+($D303-1)*3,FALSE)*S303*AJ303</f>
        <v>658900.95051244006</v>
      </c>
      <c r="U303" s="49">
        <f>VLOOKUP($C303,怪物并表!$E$7:$N$1000,3+($D303-1)*3,FALSE)*S303*AK303</f>
        <v>44839.462152910943</v>
      </c>
      <c r="V303" s="49">
        <f>VLOOKUP($C303,怪物并表!$E$7:$N$1000,4+($D303-1)*3,FALSE)*S303*AL303</f>
        <v>10908.008309404689</v>
      </c>
      <c r="W303" s="33"/>
      <c r="X303" s="33"/>
      <c r="Y303" s="49">
        <f>VLOOKUP($C303,怪物并表!$E$7:$P$1000,12,FALSE)</f>
        <v>0</v>
      </c>
      <c r="Z303" s="49">
        <f>VLOOKUP($C303,怪物并表!$E$7:$P$1000,11,FALSE)*S303</f>
        <v>4475.7879999999996</v>
      </c>
      <c r="AA303" s="33"/>
      <c r="AB303" s="33"/>
      <c r="AC303" s="33"/>
      <c r="AD303" s="33">
        <f t="shared" si="39"/>
        <v>1</v>
      </c>
      <c r="AE303" s="2">
        <f t="shared" si="36"/>
        <v>156.875</v>
      </c>
      <c r="AF303" s="2" t="str">
        <f>IF(ISBLANK(AM303),IF(O303=6,"",IF(O303=1,VLOOKUP(R303,怪物信息配置表!B:H,5,FALSE),IF(O303=2,VLOOKUP(R303,怪物信息配置表!B:H,6,FALSE),IF(OR(O303=3,O303=5),VLOOKUP(R303,怪物信息配置表!B:H,7,FALSE),"")))),AM303)</f>
        <v>ai_monster</v>
      </c>
      <c r="AG303" s="2"/>
      <c r="AH303" s="15">
        <f>SUMPRODUCT(T303:V303,$AN$3:$AP$3)+ROUNDDOWN(VLOOKUP(P303,CHOOSE({1,2},'[1]消耗&amp;价值&amp;分析'!$C$7:$C$106,'[1]消耗&amp;价值&amp;分析'!$AS$7:$AS$106),2,FALSE)*0.6,0)</f>
        <v>90317.508482813224</v>
      </c>
      <c r="AJ303" s="80">
        <v>1</v>
      </c>
      <c r="AK303" s="80">
        <v>1</v>
      </c>
      <c r="AL303" s="80">
        <v>1</v>
      </c>
    </row>
    <row r="304" spans="1:38">
      <c r="A304" s="33" t="str">
        <f>怪物并表!$R$7</f>
        <v>普通副本</v>
      </c>
      <c r="B304" s="38">
        <v>2</v>
      </c>
      <c r="C304" s="33">
        <f t="shared" si="40"/>
        <v>8007</v>
      </c>
      <c r="D304" s="33">
        <v>1</v>
      </c>
      <c r="E304" s="33">
        <f>VLOOKUP(A304,怪物并表!$R$7:$S$14,2,FALSE)</f>
        <v>1</v>
      </c>
      <c r="F304" s="38">
        <v>8</v>
      </c>
      <c r="G304" s="38">
        <v>7</v>
      </c>
      <c r="H304" s="38">
        <v>1</v>
      </c>
      <c r="I304" s="33">
        <f t="shared" si="41"/>
        <v>187102</v>
      </c>
      <c r="J304" s="33" t="s">
        <v>15</v>
      </c>
      <c r="K304" s="33"/>
      <c r="L304" s="33">
        <v>0</v>
      </c>
      <c r="M304" s="33">
        <v>1</v>
      </c>
      <c r="N304" s="33"/>
      <c r="O304" s="33">
        <v>1</v>
      </c>
      <c r="P304" s="33">
        <f>VLOOKUP($C304,CHOOSE({1,2},怪物并表!$E$7:$E$1000,怪物并表!$D$7:$D$1000),2,FALSE)</f>
        <v>71</v>
      </c>
      <c r="Q304" s="33" t="s">
        <v>15</v>
      </c>
      <c r="R304" s="33">
        <f>VLOOKUP(Q304,怪物信息配置表!$A$2:$B$118,2,FALSE)</f>
        <v>1004</v>
      </c>
      <c r="S304" s="33">
        <v>1</v>
      </c>
      <c r="T304" s="49">
        <f>VLOOKUP($C304,怪物并表!$E$7:$N$1000,2+($D304-1)*3,FALSE)*S304*AJ304</f>
        <v>658900.95051244006</v>
      </c>
      <c r="U304" s="49">
        <f>VLOOKUP($C304,怪物并表!$E$7:$N$1000,3+($D304-1)*3,FALSE)*S304*AK304</f>
        <v>44839.462152910943</v>
      </c>
      <c r="V304" s="49">
        <f>VLOOKUP($C304,怪物并表!$E$7:$N$1000,4+($D304-1)*3,FALSE)*S304*AL304</f>
        <v>10908.008309404689</v>
      </c>
      <c r="W304" s="33"/>
      <c r="X304" s="33"/>
      <c r="Y304" s="49">
        <f>VLOOKUP($C304,怪物并表!$E$7:$P$1000,12,FALSE)</f>
        <v>0</v>
      </c>
      <c r="Z304" s="49">
        <f>VLOOKUP($C304,怪物并表!$E$7:$P$1000,11,FALSE)*S304</f>
        <v>4475.7879999999996</v>
      </c>
      <c r="AA304" s="33"/>
      <c r="AB304" s="33"/>
      <c r="AC304" s="33"/>
      <c r="AD304" s="33">
        <f t="shared" ref="AD304:AD314" si="42">IF(D304=1,1,IF(D304=2,0.8,1.5))</f>
        <v>1</v>
      </c>
      <c r="AE304" s="2">
        <f t="shared" si="36"/>
        <v>156.875</v>
      </c>
      <c r="AF304" s="2" t="str">
        <f>IF(ISBLANK(AM304),IF(O304=6,"",IF(O304=1,VLOOKUP(R304,怪物信息配置表!B:H,5,FALSE),IF(O304=2,VLOOKUP(R304,怪物信息配置表!B:H,6,FALSE),IF(OR(O304=3,O304=5),VLOOKUP(R304,怪物信息配置表!B:H,7,FALSE),"")))),AM304)</f>
        <v>ai_monster</v>
      </c>
      <c r="AG304" s="2"/>
      <c r="AH304" s="15">
        <f>SUMPRODUCT(T304:V304,$AN$3:$AP$3)+ROUNDDOWN(VLOOKUP(P304,CHOOSE({1,2},'[1]消耗&amp;价值&amp;分析'!$C$7:$C$106,'[1]消耗&amp;价值&amp;分析'!$AS$7:$AS$106),2,FALSE)*0.6,0)</f>
        <v>90317.508482813224</v>
      </c>
      <c r="AJ304" s="80">
        <v>1</v>
      </c>
      <c r="AK304" s="80">
        <v>1</v>
      </c>
      <c r="AL304" s="80">
        <v>1</v>
      </c>
    </row>
    <row r="305" spans="1:39">
      <c r="A305" s="33" t="str">
        <f>怪物并表!$R$7</f>
        <v>普通副本</v>
      </c>
      <c r="B305" s="38">
        <v>3</v>
      </c>
      <c r="C305" s="33">
        <f>F305*1000+G305</f>
        <v>8007</v>
      </c>
      <c r="D305" s="33">
        <v>2</v>
      </c>
      <c r="E305" s="33">
        <f>VLOOKUP(A305,怪物并表!$R$7:$S$14,2,FALSE)</f>
        <v>1</v>
      </c>
      <c r="F305" s="38">
        <v>8</v>
      </c>
      <c r="G305" s="38">
        <v>7</v>
      </c>
      <c r="H305" s="38">
        <v>1</v>
      </c>
      <c r="I305" s="33">
        <f t="shared" si="41"/>
        <v>187103</v>
      </c>
      <c r="J305" s="33" t="s">
        <v>501</v>
      </c>
      <c r="K305" s="33"/>
      <c r="L305" s="33">
        <v>0</v>
      </c>
      <c r="M305" s="33">
        <v>1</v>
      </c>
      <c r="N305" s="33"/>
      <c r="O305" s="33">
        <v>1</v>
      </c>
      <c r="P305" s="33">
        <f>VLOOKUP($C305,CHOOSE({1,2},怪物并表!$E$7:$E$1000,怪物并表!$D$7:$D$1000),2,FALSE)</f>
        <v>71</v>
      </c>
      <c r="Q305" s="33" t="s">
        <v>17</v>
      </c>
      <c r="R305" s="33">
        <f>VLOOKUP(Q305,怪物信息配置表!$A$2:$B$118,2,FALSE)</f>
        <v>1005</v>
      </c>
      <c r="S305" s="33">
        <v>1</v>
      </c>
      <c r="T305" s="49">
        <f>VLOOKUP($C305,怪物并表!$E$7:$N$1000,2+($D305-1)*3,FALSE)*S305*AJ305</f>
        <v>527120.76040995202</v>
      </c>
      <c r="U305" s="49">
        <f>VLOOKUP($C305,怪物并表!$E$7:$N$1000,3+($D305-1)*3,FALSE)*S305*AK305</f>
        <v>41446.316768560326</v>
      </c>
      <c r="V305" s="49">
        <f>VLOOKUP($C305,怪物并表!$E$7:$N$1000,4+($D305-1)*3,FALSE)*S305*AL305</f>
        <v>8181.006232053518</v>
      </c>
      <c r="W305" s="33"/>
      <c r="X305" s="33"/>
      <c r="Y305" s="49">
        <f>VLOOKUP($C305,怪物并表!$E$7:$P$1000,12,FALSE)</f>
        <v>0</v>
      </c>
      <c r="Z305" s="49">
        <f>VLOOKUP($C305,怪物并表!$E$7:$P$1000,11,FALSE)*S305</f>
        <v>4475.7879999999996</v>
      </c>
      <c r="AA305" s="33"/>
      <c r="AB305" s="33"/>
      <c r="AC305" s="33"/>
      <c r="AD305" s="33">
        <f t="shared" si="42"/>
        <v>0.8</v>
      </c>
      <c r="AE305" s="2">
        <f t="shared" si="36"/>
        <v>325.5</v>
      </c>
      <c r="AF305" s="2" t="str">
        <f>IF(ISBLANK(AM305),IF(O305=6,"",IF(O305=1,VLOOKUP(R305,怪物信息配置表!B:H,5,FALSE),IF(O305=2,VLOOKUP(R305,怪物信息配置表!B:H,6,FALSE),IF(OR(O305=3,O305=5),VLOOKUP(R305,怪物信息配置表!B:H,7,FALSE),"")))),AM305)</f>
        <v>ai_monster_02</v>
      </c>
      <c r="AG305" s="2"/>
      <c r="AH305" s="15">
        <f>SUMPRODUCT(T305:V305,$AN$3:$AP$3)+ROUNDDOWN(VLOOKUP(P305,CHOOSE({1,2},'[1]消耗&amp;价值&amp;分析'!$C$7:$C$106,'[1]消耗&amp;价值&amp;分析'!$AS$7:$AS$106),2,FALSE)*0.6,0)</f>
        <v>78926.153417011927</v>
      </c>
      <c r="AJ305" s="80">
        <v>1</v>
      </c>
      <c r="AK305" s="80">
        <v>1</v>
      </c>
      <c r="AL305" s="80">
        <v>1</v>
      </c>
    </row>
    <row r="306" spans="1:39">
      <c r="A306" s="33" t="str">
        <f>怪物并表!$R$7</f>
        <v>普通副本</v>
      </c>
      <c r="B306" s="38">
        <v>4</v>
      </c>
      <c r="C306" s="33">
        <f t="shared" ref="C306:C314" si="43">F306*1000+G306</f>
        <v>8007</v>
      </c>
      <c r="D306" s="33">
        <v>3</v>
      </c>
      <c r="E306" s="33">
        <f>VLOOKUP(A306,怪物并表!$R$7:$S$14,2,FALSE)</f>
        <v>1</v>
      </c>
      <c r="F306" s="38">
        <v>8</v>
      </c>
      <c r="G306" s="38">
        <v>7</v>
      </c>
      <c r="H306" s="38">
        <v>1</v>
      </c>
      <c r="I306" s="33">
        <f t="shared" si="41"/>
        <v>187104</v>
      </c>
      <c r="J306" s="33" t="s">
        <v>230</v>
      </c>
      <c r="K306" s="33"/>
      <c r="L306" s="33">
        <v>1</v>
      </c>
      <c r="M306" s="33">
        <v>1.2</v>
      </c>
      <c r="N306" s="33"/>
      <c r="O306" s="33">
        <v>3</v>
      </c>
      <c r="P306" s="33">
        <f>VLOOKUP($C306,CHOOSE({1,2},怪物并表!$E$7:$E$1000,怪物并表!$D$7:$D$1000),2,FALSE)</f>
        <v>71</v>
      </c>
      <c r="Q306" s="33" t="s">
        <v>18</v>
      </c>
      <c r="R306" s="33">
        <f>VLOOKUP(Q306,怪物信息配置表!$A$2:$B$118,2,FALSE)</f>
        <v>1006</v>
      </c>
      <c r="S306" s="33">
        <v>1</v>
      </c>
      <c r="T306" s="49">
        <f>VLOOKUP($C306,怪物并表!$E$7:$N$1000,2+($D306-1)*3,FALSE)*S306*AJ306</f>
        <v>1647252.3762811001</v>
      </c>
      <c r="U306" s="49">
        <f>VLOOKUP($C306,怪物并表!$E$7:$N$1000,3+($D306-1)*3,FALSE)*S306*AK306</f>
        <v>51625.752921612191</v>
      </c>
      <c r="V306" s="49">
        <f>VLOOKUP($C306,怪物并表!$E$7:$N$1000,4+($D306-1)*3,FALSE)*S306*AL306</f>
        <v>13635.010386755861</v>
      </c>
      <c r="W306" s="33"/>
      <c r="X306" s="33"/>
      <c r="Y306" s="49">
        <f>VLOOKUP($C306,怪物并表!$E$7:$P$1000,12,FALSE)</f>
        <v>0</v>
      </c>
      <c r="Z306" s="49">
        <f>VLOOKUP($C306,怪物并表!$E$7:$P$1000,11,FALSE)*S306</f>
        <v>4475.7879999999996</v>
      </c>
      <c r="AA306" s="33"/>
      <c r="AB306" s="33"/>
      <c r="AC306" s="33"/>
      <c r="AD306" s="33">
        <f t="shared" si="42"/>
        <v>1.5</v>
      </c>
      <c r="AE306" s="2">
        <f t="shared" si="36"/>
        <v>50</v>
      </c>
      <c r="AF306" s="2" t="str">
        <f>IF(ISBLANK(AM306),IF(O306=6,"",IF(O306=1,VLOOKUP(R306,怪物信息配置表!B:H,5,FALSE),IF(O306=2,VLOOKUP(R306,怪物信息配置表!B:H,6,FALSE),IF(OR(O306=3,O306=5),VLOOKUP(R306,怪物信息配置表!B:H,7,FALSE),"")))),AM306)</f>
        <v>1006_jingcha_BOSS</v>
      </c>
      <c r="AG306" s="2"/>
      <c r="AH306" s="15">
        <f>SUMPRODUCT(T306:V306,$AN$3:$AP$3)+ROUNDDOWN(VLOOKUP(P306,CHOOSE({1,2},'[1]消耗&amp;价值&amp;分析'!$C$7:$C$106,'[1]消耗&amp;价值&amp;分析'!$AS$7:$AS$106),2,FALSE)*0.6,0)</f>
        <v>139364.85835961206</v>
      </c>
      <c r="AJ306" s="80">
        <v>1</v>
      </c>
      <c r="AK306" s="80">
        <v>1</v>
      </c>
      <c r="AL306" s="80">
        <v>1</v>
      </c>
    </row>
    <row r="307" spans="1:39">
      <c r="A307" s="33" t="str">
        <f>怪物并表!$R$7</f>
        <v>普通副本</v>
      </c>
      <c r="B307" s="38">
        <v>1</v>
      </c>
      <c r="C307" s="33">
        <f t="shared" si="43"/>
        <v>8008</v>
      </c>
      <c r="D307" s="33">
        <v>1</v>
      </c>
      <c r="E307" s="33">
        <f>VLOOKUP(A307,怪物并表!$R$7:$S$14,2,FALSE)</f>
        <v>1</v>
      </c>
      <c r="F307" s="38">
        <v>8</v>
      </c>
      <c r="G307" s="38">
        <v>8</v>
      </c>
      <c r="H307" s="38">
        <v>1</v>
      </c>
      <c r="I307" s="33">
        <f t="shared" si="41"/>
        <v>188101</v>
      </c>
      <c r="J307" s="33" t="s">
        <v>248</v>
      </c>
      <c r="K307" s="33"/>
      <c r="L307" s="33">
        <v>0</v>
      </c>
      <c r="M307" s="33">
        <v>1</v>
      </c>
      <c r="N307" s="33"/>
      <c r="O307" s="33">
        <v>1</v>
      </c>
      <c r="P307" s="33">
        <f>VLOOKUP($C307,CHOOSE({1,2},怪物并表!$E$7:$E$1000,怪物并表!$D$7:$D$1000),2,FALSE)</f>
        <v>72</v>
      </c>
      <c r="Q307" s="33" t="s">
        <v>10</v>
      </c>
      <c r="R307" s="33">
        <f>VLOOKUP(Q307,怪物信息配置表!$A$2:$B$118,2,FALSE)</f>
        <v>1001</v>
      </c>
      <c r="S307" s="33">
        <v>1</v>
      </c>
      <c r="T307" s="49">
        <f>VLOOKUP($C307,怪物并表!$E$7:$N$1000,2+($D307-1)*3,FALSE)*S307*AJ307</f>
        <v>699220.77768433432</v>
      </c>
      <c r="U307" s="49">
        <f>VLOOKUP($C307,怪物并表!$E$7:$N$1000,3+($D307-1)*3,FALSE)*S307*AK307</f>
        <v>47654.011926194202</v>
      </c>
      <c r="V307" s="49">
        <f>VLOOKUP($C307,怪物并表!$E$7:$N$1000,4+($D307-1)*3,FALSE)*S307*AL307</f>
        <v>11470.226784802682</v>
      </c>
      <c r="W307" s="33"/>
      <c r="X307" s="33"/>
      <c r="Y307" s="49">
        <f>VLOOKUP($C307,怪物并表!$E$7:$P$1000,12,FALSE)</f>
        <v>0</v>
      </c>
      <c r="Z307" s="49">
        <f>VLOOKUP($C307,怪物并表!$E$7:$P$1000,11,FALSE)*S307</f>
        <v>4534.0159999999996</v>
      </c>
      <c r="AA307" s="33"/>
      <c r="AB307" s="33"/>
      <c r="AC307" s="33"/>
      <c r="AD307" s="33">
        <f t="shared" si="42"/>
        <v>1</v>
      </c>
      <c r="AE307" s="2">
        <f t="shared" si="36"/>
        <v>145</v>
      </c>
      <c r="AF307" s="2" t="str">
        <f>IF(ISBLANK(AM307),IF(O307=6,"",IF(O307=1,VLOOKUP(R307,怪物信息配置表!B:H,5,FALSE),IF(O307=2,VLOOKUP(R307,怪物信息配置表!B:H,6,FALSE),IF(OR(O307=3,O307=5),VLOOKUP(R307,怪物信息配置表!B:H,7,FALSE),"")))),AM307)</f>
        <v>ai_monster</v>
      </c>
      <c r="AG307" s="2"/>
      <c r="AH307" s="15">
        <f>SUMPRODUCT(T307:V307,$AN$3:$AP$3)+ROUNDDOWN(VLOOKUP(P307,CHOOSE({1,2},'[1]消耗&amp;价值&amp;分析'!$C$7:$C$106,'[1]消耗&amp;价值&amp;分析'!$AS$7:$AS$106),2,FALSE)*0.6,0)</f>
        <v>95717.069818370263</v>
      </c>
      <c r="AJ307" s="80">
        <v>1</v>
      </c>
      <c r="AK307" s="80">
        <v>1</v>
      </c>
      <c r="AL307" s="80">
        <v>1</v>
      </c>
    </row>
    <row r="308" spans="1:39">
      <c r="A308" s="33" t="str">
        <f>怪物并表!$R$7</f>
        <v>普通副本</v>
      </c>
      <c r="B308" s="38">
        <v>2</v>
      </c>
      <c r="C308" s="33">
        <f t="shared" si="43"/>
        <v>8008</v>
      </c>
      <c r="D308" s="33">
        <v>1</v>
      </c>
      <c r="E308" s="33">
        <f>VLOOKUP(A308,怪物并表!$R$7:$S$14,2,FALSE)</f>
        <v>1</v>
      </c>
      <c r="F308" s="38">
        <v>8</v>
      </c>
      <c r="G308" s="38">
        <v>8</v>
      </c>
      <c r="H308" s="38">
        <v>1</v>
      </c>
      <c r="I308" s="33">
        <f t="shared" si="41"/>
        <v>188102</v>
      </c>
      <c r="J308" s="33" t="s">
        <v>14</v>
      </c>
      <c r="K308" s="33"/>
      <c r="L308" s="33">
        <v>0</v>
      </c>
      <c r="M308" s="33">
        <v>1</v>
      </c>
      <c r="N308" s="33"/>
      <c r="O308" s="33">
        <v>1</v>
      </c>
      <c r="P308" s="33">
        <f>VLOOKUP($C308,CHOOSE({1,2},怪物并表!$E$7:$E$1000,怪物并表!$D$7:$D$1000),2,FALSE)</f>
        <v>72</v>
      </c>
      <c r="Q308" s="33" t="s">
        <v>14</v>
      </c>
      <c r="R308" s="33">
        <f>VLOOKUP(Q308,怪物信息配置表!$A$2:$B$118,2,FALSE)</f>
        <v>1010</v>
      </c>
      <c r="S308" s="33">
        <v>1</v>
      </c>
      <c r="T308" s="49">
        <f>VLOOKUP($C308,怪物并表!$E$7:$N$1000,2+($D308-1)*3,FALSE)*S308*AJ308</f>
        <v>699220.77768433432</v>
      </c>
      <c r="U308" s="49">
        <f>VLOOKUP($C308,怪物并表!$E$7:$N$1000,3+($D308-1)*3,FALSE)*S308*AK308</f>
        <v>47654.011926194202</v>
      </c>
      <c r="V308" s="49">
        <f>VLOOKUP($C308,怪物并表!$E$7:$N$1000,4+($D308-1)*3,FALSE)*S308*AL308</f>
        <v>11470.226784802682</v>
      </c>
      <c r="W308" s="33"/>
      <c r="X308" s="33"/>
      <c r="Y308" s="49">
        <f>VLOOKUP($C308,怪物并表!$E$7:$P$1000,12,FALSE)</f>
        <v>0</v>
      </c>
      <c r="Z308" s="49">
        <f>VLOOKUP($C308,怪物并表!$E$7:$P$1000,11,FALSE)*S308</f>
        <v>4534.0159999999996</v>
      </c>
      <c r="AA308" s="33"/>
      <c r="AB308" s="33"/>
      <c r="AC308" s="33"/>
      <c r="AD308" s="33">
        <f t="shared" si="42"/>
        <v>1</v>
      </c>
      <c r="AE308" s="2">
        <f t="shared" si="36"/>
        <v>145</v>
      </c>
      <c r="AF308" s="2" t="str">
        <f>IF(ISBLANK(AM308),IF(O308=6,"",IF(O308=1,VLOOKUP(R308,怪物信息配置表!B:H,5,FALSE),IF(O308=2,VLOOKUP(R308,怪物信息配置表!B:H,6,FALSE),IF(OR(O308=3,O308=5),VLOOKUP(R308,怪物信息配置表!B:H,7,FALSE),"")))),AM308)</f>
        <v>ai_monster</v>
      </c>
      <c r="AG308" s="2"/>
      <c r="AH308" s="15">
        <f>SUMPRODUCT(T308:V308,$AN$3:$AP$3)+ROUNDDOWN(VLOOKUP(P308,CHOOSE({1,2},'[1]消耗&amp;价值&amp;分析'!$C$7:$C$106,'[1]消耗&amp;价值&amp;分析'!$AS$7:$AS$106),2,FALSE)*0.6,0)</f>
        <v>95717.069818370263</v>
      </c>
      <c r="AJ308" s="80">
        <v>1</v>
      </c>
      <c r="AK308" s="80">
        <v>1</v>
      </c>
      <c r="AL308" s="80">
        <v>1</v>
      </c>
    </row>
    <row r="309" spans="1:39">
      <c r="A309" s="33" t="str">
        <f>怪物并表!$R$7</f>
        <v>普通副本</v>
      </c>
      <c r="B309" s="38">
        <v>3</v>
      </c>
      <c r="C309" s="33">
        <f t="shared" si="43"/>
        <v>8008</v>
      </c>
      <c r="D309" s="33">
        <v>1</v>
      </c>
      <c r="E309" s="33">
        <f>VLOOKUP(A309,怪物并表!$R$7:$S$14,2,FALSE)</f>
        <v>1</v>
      </c>
      <c r="F309" s="38">
        <v>8</v>
      </c>
      <c r="G309" s="38">
        <v>8</v>
      </c>
      <c r="H309" s="38">
        <v>1</v>
      </c>
      <c r="I309" s="33">
        <f t="shared" si="41"/>
        <v>188103</v>
      </c>
      <c r="J309" s="33" t="s">
        <v>462</v>
      </c>
      <c r="K309" s="33"/>
      <c r="L309" s="33">
        <v>0</v>
      </c>
      <c r="M309" s="33">
        <v>1</v>
      </c>
      <c r="N309" s="33"/>
      <c r="O309" s="33">
        <v>1</v>
      </c>
      <c r="P309" s="33">
        <f>VLOOKUP($C309,CHOOSE({1,2},怪物并表!$E$7:$E$1000,怪物并表!$D$7:$D$1000),2,FALSE)</f>
        <v>72</v>
      </c>
      <c r="Q309" s="33" t="s">
        <v>11</v>
      </c>
      <c r="R309" s="33">
        <f>VLOOKUP(Q309,怪物信息配置表!$A$2:$B$118,2,FALSE)</f>
        <v>1011</v>
      </c>
      <c r="S309" s="33">
        <v>1</v>
      </c>
      <c r="T309" s="49">
        <f>VLOOKUP($C309,怪物并表!$E$7:$N$1000,2+($D309-1)*3,FALSE)*S309*AJ309</f>
        <v>699220.77768433432</v>
      </c>
      <c r="U309" s="49">
        <f>VLOOKUP($C309,怪物并表!$E$7:$N$1000,3+($D309-1)*3,FALSE)*S309*AK309</f>
        <v>47654.011926194202</v>
      </c>
      <c r="V309" s="49">
        <f>VLOOKUP($C309,怪物并表!$E$7:$N$1000,4+($D309-1)*3,FALSE)*S309*AL309</f>
        <v>11470.226784802682</v>
      </c>
      <c r="W309" s="33"/>
      <c r="X309" s="33"/>
      <c r="Y309" s="49">
        <f>VLOOKUP($C309,怪物并表!$E$7:$P$1000,12,FALSE)</f>
        <v>0</v>
      </c>
      <c r="Z309" s="49">
        <f>VLOOKUP($C309,怪物并表!$E$7:$P$1000,11,FALSE)*S309</f>
        <v>4534.0159999999996</v>
      </c>
      <c r="AA309" s="33"/>
      <c r="AB309" s="33"/>
      <c r="AC309" s="33"/>
      <c r="AD309" s="33">
        <f t="shared" si="42"/>
        <v>1</v>
      </c>
      <c r="AE309" s="2">
        <f t="shared" si="36"/>
        <v>145</v>
      </c>
      <c r="AF309" s="2" t="str">
        <f>IF(ISBLANK(AM309),IF(O309=6,"",IF(O309=1,VLOOKUP(R309,怪物信息配置表!B:H,5,FALSE),IF(O309=2,VLOOKUP(R309,怪物信息配置表!B:H,6,FALSE),IF(OR(O309=3,O309=5),VLOOKUP(R309,怪物信息配置表!B:H,7,FALSE),"")))),AM309)</f>
        <v>ai_monster</v>
      </c>
      <c r="AG309" s="2"/>
      <c r="AH309" s="15">
        <f>SUMPRODUCT(T309:V309,$AN$3:$AP$3)+ROUNDDOWN(VLOOKUP(P309,CHOOSE({1,2},'[1]消耗&amp;价值&amp;分析'!$C$7:$C$106,'[1]消耗&amp;价值&amp;分析'!$AS$7:$AS$106),2,FALSE)*0.6,0)</f>
        <v>95717.069818370263</v>
      </c>
      <c r="AJ309" s="80">
        <v>1</v>
      </c>
      <c r="AK309" s="80">
        <v>1</v>
      </c>
      <c r="AL309" s="80">
        <v>1</v>
      </c>
    </row>
    <row r="310" spans="1:39">
      <c r="A310" s="33" t="str">
        <f>怪物并表!$R$7</f>
        <v>普通副本</v>
      </c>
      <c r="B310" s="38">
        <v>4</v>
      </c>
      <c r="C310" s="33">
        <f t="shared" si="43"/>
        <v>8008</v>
      </c>
      <c r="D310" s="33">
        <v>3</v>
      </c>
      <c r="E310" s="33">
        <f>VLOOKUP(A310,怪物并表!$R$7:$S$14,2,FALSE)</f>
        <v>1</v>
      </c>
      <c r="F310" s="38">
        <v>8</v>
      </c>
      <c r="G310" s="38">
        <v>8</v>
      </c>
      <c r="H310" s="38">
        <v>1</v>
      </c>
      <c r="I310" s="33">
        <f t="shared" si="41"/>
        <v>188104</v>
      </c>
      <c r="J310" s="33" t="s">
        <v>55</v>
      </c>
      <c r="K310" s="33"/>
      <c r="L310" s="33">
        <v>1</v>
      </c>
      <c r="M310" s="33">
        <v>1.2</v>
      </c>
      <c r="N310" s="33"/>
      <c r="O310" s="33">
        <v>3</v>
      </c>
      <c r="P310" s="33">
        <f>VLOOKUP($C310,CHOOSE({1,2},怪物并表!$E$7:$E$1000,怪物并表!$D$7:$D$1000),2,FALSE)</f>
        <v>72</v>
      </c>
      <c r="Q310" s="33" t="s">
        <v>398</v>
      </c>
      <c r="R310" s="33">
        <f>VLOOKUP(Q310,怪物信息配置表!$A$2:$B$118,2,FALSE)</f>
        <v>1108</v>
      </c>
      <c r="S310" s="33">
        <v>1</v>
      </c>
      <c r="T310" s="49">
        <f>VLOOKUP($C310,怪物并表!$E$7:$N$1000,2+($D310-1)*3,FALSE)*S310*AJ310</f>
        <v>1748051.9442108357</v>
      </c>
      <c r="U310" s="49">
        <f>VLOOKUP($C310,怪物并表!$E$7:$N$1000,3+($D310-1)*3,FALSE)*S310*AK310</f>
        <v>54890.768954472507</v>
      </c>
      <c r="V310" s="49">
        <f>VLOOKUP($C310,怪物并表!$E$7:$N$1000,4+($D310-1)*3,FALSE)*S310*AL310</f>
        <v>14337.783481003353</v>
      </c>
      <c r="W310" s="33"/>
      <c r="X310" s="33"/>
      <c r="Y310" s="49">
        <f>VLOOKUP($C310,怪物并表!$E$7:$P$1000,12,FALSE)</f>
        <v>0</v>
      </c>
      <c r="Z310" s="49">
        <f>VLOOKUP($C310,怪物并表!$E$7:$P$1000,11,FALSE)*S310</f>
        <v>4534.0159999999996</v>
      </c>
      <c r="AA310" s="33"/>
      <c r="AB310" s="33"/>
      <c r="AC310" s="33"/>
      <c r="AD310" s="33">
        <f t="shared" si="42"/>
        <v>1.5</v>
      </c>
      <c r="AE310" s="2">
        <f t="shared" si="36"/>
        <v>50</v>
      </c>
      <c r="AF310" s="2" t="str">
        <f>IF(ISBLANK(AM310),IF(O310=6,"",IF(O310=1,VLOOKUP(R310,怪物信息配置表!B:H,5,FALSE),IF(O310=2,VLOOKUP(R310,怪物信息配置表!B:H,6,FALSE),IF(OR(O310=3,O310=5),VLOOKUP(R310,怪物信息配置表!B:H,7,FALSE),"")))),AM310)</f>
        <v>1108_shanji_BOSS</v>
      </c>
      <c r="AG310" s="2"/>
      <c r="AH310" s="15">
        <f>SUMPRODUCT(T310:V310,$AN$3:$AP$3)+ROUNDDOWN(VLOOKUP(P310,CHOOSE({1,2},'[1]消耗&amp;价值&amp;分析'!$C$7:$C$106,'[1]消耗&amp;价值&amp;分析'!$AS$7:$AS$106),2,FALSE)*0.6,0)</f>
        <v>147774.6302039093</v>
      </c>
      <c r="AJ310" s="80">
        <v>1</v>
      </c>
      <c r="AK310" s="80">
        <v>1</v>
      </c>
      <c r="AL310" s="80">
        <v>1</v>
      </c>
    </row>
    <row r="311" spans="1:39">
      <c r="A311" s="33" t="str">
        <f>怪物并表!$R$7</f>
        <v>普通副本</v>
      </c>
      <c r="B311" s="38">
        <v>1</v>
      </c>
      <c r="C311" s="33">
        <f t="shared" si="43"/>
        <v>8009</v>
      </c>
      <c r="D311" s="33">
        <v>1</v>
      </c>
      <c r="E311" s="33">
        <f>VLOOKUP(A311,怪物并表!$R$7:$S$14,2,FALSE)</f>
        <v>1</v>
      </c>
      <c r="F311" s="38">
        <v>8</v>
      </c>
      <c r="G311" s="38">
        <v>9</v>
      </c>
      <c r="H311" s="38">
        <v>1</v>
      </c>
      <c r="I311" s="33">
        <f t="shared" si="41"/>
        <v>189101</v>
      </c>
      <c r="J311" s="33" t="s">
        <v>42</v>
      </c>
      <c r="K311" s="33"/>
      <c r="L311" s="33">
        <v>0</v>
      </c>
      <c r="M311" s="33">
        <v>1</v>
      </c>
      <c r="N311" s="33"/>
      <c r="O311" s="33">
        <v>1</v>
      </c>
      <c r="P311" s="33">
        <f>VLOOKUP($C311,CHOOSE({1,2},怪物并表!$E$7:$E$1000,怪物并表!$D$7:$D$1000),2,FALSE)</f>
        <v>73</v>
      </c>
      <c r="Q311" s="33" t="s">
        <v>12</v>
      </c>
      <c r="R311" s="33">
        <f>VLOOKUP(Q311,怪物信息配置表!$A$2:$B$118,2,FALSE)</f>
        <v>1009</v>
      </c>
      <c r="S311" s="33">
        <v>1</v>
      </c>
      <c r="T311" s="49">
        <f>VLOOKUP($C311,怪物并表!$E$7:$N$1000,2+($D311-1)*3,FALSE)*S311*AJ311</f>
        <v>889462.51149343839</v>
      </c>
      <c r="U311" s="49">
        <f>VLOOKUP($C311,怪物并表!$E$7:$N$1000,3+($D311-1)*3,FALSE)*S311*AK311</f>
        <v>58309.648004838025</v>
      </c>
      <c r="V311" s="49">
        <f>VLOOKUP($C311,怪物并表!$E$7:$N$1000,4+($D311-1)*3,FALSE)*S311*AL311</f>
        <v>15062.18396673914</v>
      </c>
      <c r="W311" s="33"/>
      <c r="X311" s="33"/>
      <c r="Y311" s="49">
        <f>VLOOKUP($C311,怪物并表!$E$7:$P$1000,12,FALSE)</f>
        <v>0</v>
      </c>
      <c r="Z311" s="49">
        <f>VLOOKUP($C311,怪物并表!$E$7:$P$1000,11,FALSE)*S311</f>
        <v>4592.2439999999997</v>
      </c>
      <c r="AA311" s="33"/>
      <c r="AB311" s="33"/>
      <c r="AC311" s="33"/>
      <c r="AD311" s="33">
        <f t="shared" si="42"/>
        <v>1</v>
      </c>
      <c r="AE311" s="2">
        <f t="shared" si="36"/>
        <v>133.125</v>
      </c>
      <c r="AF311" s="2" t="str">
        <f>IF(ISBLANK(AM311),IF(O311=6,"",IF(O311=1,VLOOKUP(R311,怪物信息配置表!B:H,5,FALSE),IF(O311=2,VLOOKUP(R311,怪物信息配置表!B:H,6,FALSE),IF(OR(O311=3,O311=5),VLOOKUP(R311,怪物信息配置表!B:H,7,FALSE),"")))),AM311)</f>
        <v>ai_monster</v>
      </c>
      <c r="AG311" s="2"/>
      <c r="AH311" s="15">
        <f>SUMPRODUCT(T311:V311,$AN$3:$AP$3)+ROUNDDOWN(VLOOKUP(P311,CHOOSE({1,2},'[1]消耗&amp;价值&amp;分析'!$C$7:$C$106,'[1]消耗&amp;价值&amp;分析'!$AS$7:$AS$106),2,FALSE)*0.6,0)</f>
        <v>118131.33243131469</v>
      </c>
      <c r="AJ311" s="80">
        <v>1</v>
      </c>
      <c r="AK311" s="80">
        <v>1</v>
      </c>
      <c r="AL311" s="80">
        <v>1</v>
      </c>
    </row>
    <row r="312" spans="1:39">
      <c r="A312" s="33" t="str">
        <f>怪物并表!$R$7</f>
        <v>普通副本</v>
      </c>
      <c r="B312" s="38">
        <v>2</v>
      </c>
      <c r="C312" s="33">
        <f t="shared" si="43"/>
        <v>8009</v>
      </c>
      <c r="D312" s="33">
        <v>2</v>
      </c>
      <c r="E312" s="33">
        <f>VLOOKUP(A312,怪物并表!$R$7:$S$14,2,FALSE)</f>
        <v>1</v>
      </c>
      <c r="F312" s="38">
        <v>8</v>
      </c>
      <c r="G312" s="38">
        <v>9</v>
      </c>
      <c r="H312" s="38">
        <v>1</v>
      </c>
      <c r="I312" s="33">
        <f t="shared" si="41"/>
        <v>189102</v>
      </c>
      <c r="J312" s="33" t="s">
        <v>501</v>
      </c>
      <c r="K312" s="33"/>
      <c r="L312" s="33">
        <v>0</v>
      </c>
      <c r="M312" s="33">
        <v>1</v>
      </c>
      <c r="N312" s="33"/>
      <c r="O312" s="33">
        <v>1</v>
      </c>
      <c r="P312" s="33">
        <f>VLOOKUP($C312,CHOOSE({1,2},怪物并表!$E$7:$E$1000,怪物并表!$D$7:$D$1000),2,FALSE)</f>
        <v>73</v>
      </c>
      <c r="Q312" s="33" t="s">
        <v>17</v>
      </c>
      <c r="R312" s="33">
        <f>VLOOKUP(Q312,怪物信息配置表!$A$2:$B$118,2,FALSE)</f>
        <v>1005</v>
      </c>
      <c r="S312" s="33">
        <v>1</v>
      </c>
      <c r="T312" s="49">
        <f>VLOOKUP($C312,怪物并表!$E$7:$N$1000,2+($D312-1)*3,FALSE)*S312*AJ312</f>
        <v>711570.0091947508</v>
      </c>
      <c r="U312" s="49">
        <f>VLOOKUP($C312,怪物并表!$E$7:$N$1000,3+($D312-1)*3,FALSE)*S312*AK312</f>
        <v>53683.657921693361</v>
      </c>
      <c r="V312" s="49">
        <f>VLOOKUP($C312,怪物并表!$E$7:$N$1000,4+($D312-1)*3,FALSE)*S312*AL312</f>
        <v>12652.23453206088</v>
      </c>
      <c r="W312" s="33"/>
      <c r="X312" s="33"/>
      <c r="Y312" s="49">
        <f>VLOOKUP($C312,怪物并表!$E$7:$P$1000,12,FALSE)</f>
        <v>0</v>
      </c>
      <c r="Z312" s="49">
        <f>VLOOKUP($C312,怪物并表!$E$7:$P$1000,11,FALSE)*S312</f>
        <v>4592.2439999999997</v>
      </c>
      <c r="AA312" s="33"/>
      <c r="AB312" s="33"/>
      <c r="AC312" s="33"/>
      <c r="AD312" s="33">
        <f t="shared" si="42"/>
        <v>0.8</v>
      </c>
      <c r="AE312" s="2">
        <f t="shared" si="36"/>
        <v>306.5</v>
      </c>
      <c r="AF312" s="2" t="str">
        <f>IF(ISBLANK(AM312),IF(O312=6,"",IF(O312=1,VLOOKUP(R312,怪物信息配置表!B:H,5,FALSE),IF(O312=2,VLOOKUP(R312,怪物信息配置表!B:H,6,FALSE),IF(OR(O312=3,O312=5),VLOOKUP(R312,怪物信息配置表!B:H,7,FALSE),"")))),AM312)</f>
        <v>ai_monster_02</v>
      </c>
      <c r="AG312" s="2"/>
      <c r="AH312" s="15">
        <f>SUMPRODUCT(T312:V312,$AN$3:$AP$3)+ROUNDDOWN(VLOOKUP(P312,CHOOSE({1,2},'[1]消耗&amp;价值&amp;分析'!$C$7:$C$106,'[1]消耗&amp;价值&amp;分析'!$AS$7:$AS$106),2,FALSE)*0.6,0)</f>
        <v>103979.69282154427</v>
      </c>
      <c r="AJ312" s="80">
        <v>1</v>
      </c>
      <c r="AK312" s="80">
        <v>1</v>
      </c>
      <c r="AL312" s="80">
        <v>1</v>
      </c>
    </row>
    <row r="313" spans="1:39">
      <c r="A313" s="33" t="str">
        <f>怪物并表!$R$7</f>
        <v>普通副本</v>
      </c>
      <c r="B313" s="38">
        <v>3</v>
      </c>
      <c r="C313" s="33">
        <f t="shared" si="43"/>
        <v>8009</v>
      </c>
      <c r="D313" s="33">
        <v>1</v>
      </c>
      <c r="E313" s="33">
        <f>VLOOKUP(A313,怪物并表!$R$7:$S$14,2,FALSE)</f>
        <v>1</v>
      </c>
      <c r="F313" s="38">
        <v>8</v>
      </c>
      <c r="G313" s="38">
        <v>9</v>
      </c>
      <c r="H313" s="38">
        <v>1</v>
      </c>
      <c r="I313" s="33">
        <f t="shared" si="41"/>
        <v>189103</v>
      </c>
      <c r="J313" s="33" t="s">
        <v>7</v>
      </c>
      <c r="K313" s="33"/>
      <c r="L313" s="33">
        <v>0</v>
      </c>
      <c r="M313" s="33">
        <v>1</v>
      </c>
      <c r="N313" s="33"/>
      <c r="O313" s="33">
        <v>1</v>
      </c>
      <c r="P313" s="33">
        <f>VLOOKUP($C313,CHOOSE({1,2},怪物并表!$E$7:$E$1000,怪物并表!$D$7:$D$1000),2,FALSE)</f>
        <v>73</v>
      </c>
      <c r="Q313" s="33" t="s">
        <v>7</v>
      </c>
      <c r="R313" s="33">
        <f>VLOOKUP(Q313,怪物信息配置表!$A$2:$B$118,2,FALSE)</f>
        <v>1002</v>
      </c>
      <c r="S313" s="33">
        <v>1</v>
      </c>
      <c r="T313" s="49">
        <f>VLOOKUP($C313,怪物并表!$E$7:$N$1000,2+($D313-1)*3,FALSE)*S313*AJ313</f>
        <v>889462.51149343839</v>
      </c>
      <c r="U313" s="49">
        <f>VLOOKUP($C313,怪物并表!$E$7:$N$1000,3+($D313-1)*3,FALSE)*S313*AK313</f>
        <v>58309.648004838025</v>
      </c>
      <c r="V313" s="49">
        <f>VLOOKUP($C313,怪物并表!$E$7:$N$1000,4+($D313-1)*3,FALSE)*S313*AL313</f>
        <v>15062.18396673914</v>
      </c>
      <c r="W313" s="33"/>
      <c r="X313" s="33"/>
      <c r="Y313" s="49">
        <f>VLOOKUP($C313,怪物并表!$E$7:$P$1000,12,FALSE)</f>
        <v>0</v>
      </c>
      <c r="Z313" s="49">
        <f>VLOOKUP($C313,怪物并表!$E$7:$P$1000,11,FALSE)*S313</f>
        <v>4592.2439999999997</v>
      </c>
      <c r="AA313" s="33"/>
      <c r="AB313" s="33"/>
      <c r="AC313" s="33"/>
      <c r="AD313" s="33">
        <f t="shared" si="42"/>
        <v>1</v>
      </c>
      <c r="AE313" s="2">
        <f t="shared" si="36"/>
        <v>133.125</v>
      </c>
      <c r="AF313" s="2" t="str">
        <f>IF(ISBLANK(AM313),IF(O313=6,"",IF(O313=1,VLOOKUP(R313,怪物信息配置表!B:H,5,FALSE),IF(O313=2,VLOOKUP(R313,怪物信息配置表!B:H,6,FALSE),IF(OR(O313=3,O313=5),VLOOKUP(R313,怪物信息配置表!B:H,7,FALSE),"")))),AM313)</f>
        <v>ai_monster</v>
      </c>
      <c r="AG313" s="2"/>
      <c r="AH313" s="15">
        <f>SUMPRODUCT(T313:V313,$AN$3:$AP$3)+ROUNDDOWN(VLOOKUP(P313,CHOOSE({1,2},'[1]消耗&amp;价值&amp;分析'!$C$7:$C$106,'[1]消耗&amp;价值&amp;分析'!$AS$7:$AS$106),2,FALSE)*0.6,0)</f>
        <v>118131.33243131469</v>
      </c>
      <c r="AJ313" s="80">
        <v>1</v>
      </c>
      <c r="AK313" s="80">
        <v>1</v>
      </c>
      <c r="AL313" s="80">
        <v>1</v>
      </c>
    </row>
    <row r="314" spans="1:39">
      <c r="A314" s="33" t="str">
        <f>怪物并表!$R$7</f>
        <v>普通副本</v>
      </c>
      <c r="B314" s="38">
        <v>4</v>
      </c>
      <c r="C314" s="33">
        <f t="shared" si="43"/>
        <v>8009</v>
      </c>
      <c r="D314" s="33">
        <v>3</v>
      </c>
      <c r="E314" s="33">
        <f>VLOOKUP(A314,怪物并表!$R$7:$S$14,2,FALSE)</f>
        <v>1</v>
      </c>
      <c r="F314" s="38">
        <v>8</v>
      </c>
      <c r="G314" s="38">
        <v>9</v>
      </c>
      <c r="H314" s="38">
        <v>1</v>
      </c>
      <c r="I314" s="33">
        <f t="shared" si="41"/>
        <v>189104</v>
      </c>
      <c r="J314" s="33" t="s">
        <v>550</v>
      </c>
      <c r="K314" s="33"/>
      <c r="L314" s="33">
        <v>1</v>
      </c>
      <c r="M314" s="33">
        <v>1.3</v>
      </c>
      <c r="N314" s="33"/>
      <c r="O314" s="33">
        <v>3</v>
      </c>
      <c r="P314" s="33">
        <f>VLOOKUP($C314,CHOOSE({1,2},怪物并表!$E$7:$E$1000,怪物并表!$D$7:$D$1000),2,FALSE)</f>
        <v>73</v>
      </c>
      <c r="Q314" s="33" t="s">
        <v>26</v>
      </c>
      <c r="R314" s="33">
        <f>VLOOKUP(Q314,怪物信息配置表!$A$2:$B$118,2,FALSE)</f>
        <v>1105</v>
      </c>
      <c r="S314" s="33">
        <v>1</v>
      </c>
      <c r="T314" s="49">
        <f>VLOOKUP($C314,怪物并表!$E$7:$N$1000,2+($D314-1)*3,FALSE)*S314*AJ314</f>
        <v>2223656.2787335957</v>
      </c>
      <c r="U314" s="49">
        <f>VLOOKUP($C314,怪物并表!$E$7:$N$1000,3+($D314-1)*3,FALSE)*S314*AK314</f>
        <v>67561.628171127377</v>
      </c>
      <c r="V314" s="49">
        <f>VLOOKUP($C314,怪物并表!$E$7:$N$1000,4+($D314-1)*3,FALSE)*S314*AL314</f>
        <v>17472.133401417399</v>
      </c>
      <c r="W314" s="33"/>
      <c r="X314" s="33"/>
      <c r="Y314" s="49">
        <f>VLOOKUP($C314,怪物并表!$E$7:$P$1000,12,FALSE)</f>
        <v>0</v>
      </c>
      <c r="Z314" s="49">
        <f>VLOOKUP($C314,怪物并表!$E$7:$P$1000,11,FALSE)*S314</f>
        <v>4592.2439999999997</v>
      </c>
      <c r="AA314" s="33"/>
      <c r="AB314" s="33"/>
      <c r="AC314" s="33"/>
      <c r="AD314" s="33">
        <f t="shared" si="42"/>
        <v>1.5</v>
      </c>
      <c r="AE314" s="2">
        <f t="shared" si="36"/>
        <v>50</v>
      </c>
      <c r="AF314" s="2" t="str">
        <f>IF(ISBLANK(AM314),IF(O314=6,"",IF(O314=1,VLOOKUP(R314,怪物信息配置表!B:H,5,FALSE),IF(O314=2,VLOOKUP(R314,怪物信息配置表!B:H,6,FALSE),IF(OR(O314=3,O314=5),VLOOKUP(R314,怪物信息配置表!B:H,7,FALSE),"")))),AM314)</f>
        <v>1105_leigong_BOSS</v>
      </c>
      <c r="AG314" s="2"/>
      <c r="AH314" s="15">
        <f>SUMPRODUCT(T314:V314,$AN$3:$AP$3)+ROUNDDOWN(VLOOKUP(P314,CHOOSE({1,2},'[1]消耗&amp;价值&amp;分析'!$C$7:$C$106,'[1]消耗&amp;价值&amp;分析'!$AS$7:$AS$106),2,FALSE)*0.6,0)</f>
        <v>183161.0127218886</v>
      </c>
      <c r="AJ314" s="80">
        <v>1</v>
      </c>
      <c r="AK314" s="80">
        <v>1</v>
      </c>
      <c r="AL314" s="80">
        <v>1</v>
      </c>
    </row>
    <row r="315" spans="1:39" s="120" customFormat="1">
      <c r="A315" s="33" t="str">
        <f>怪物并表!$R$14</f>
        <v>英雄之路</v>
      </c>
      <c r="B315" s="119">
        <v>1</v>
      </c>
      <c r="C315" s="109">
        <v>1901</v>
      </c>
      <c r="D315" s="109">
        <v>1</v>
      </c>
      <c r="E315" s="109">
        <v>2</v>
      </c>
      <c r="F315" s="119">
        <v>1</v>
      </c>
      <c r="G315" s="119">
        <v>1</v>
      </c>
      <c r="H315" s="119">
        <v>2</v>
      </c>
      <c r="I315" s="109">
        <f t="shared" si="41"/>
        <v>211201</v>
      </c>
      <c r="J315" s="109" t="s">
        <v>592</v>
      </c>
      <c r="K315" s="109"/>
      <c r="L315" s="109">
        <v>0</v>
      </c>
      <c r="M315" s="109">
        <v>1</v>
      </c>
      <c r="N315" s="109"/>
      <c r="O315" s="109">
        <v>3</v>
      </c>
      <c r="P315" s="109">
        <f>VLOOKUP($C315,CHOOSE({1,2},怪物并表!$E$7:$E$1000,怪物并表!$D$7:$D$1000),2,FALSE)</f>
        <v>20</v>
      </c>
      <c r="Q315" s="109" t="s">
        <v>741</v>
      </c>
      <c r="R315" s="109">
        <f>VLOOKUP(Q315,怪物信息配置表!$A$2:$B$118,2,FALSE)</f>
        <v>1114</v>
      </c>
      <c r="S315" s="109">
        <v>1</v>
      </c>
      <c r="T315" s="110">
        <f>VLOOKUP($C315,怪物并表!$E$7:$N$1000,2+($D315-1)*3,FALSE)*S315*AJ315</f>
        <v>1016113.8781513227</v>
      </c>
      <c r="U315" s="110">
        <f>VLOOKUP($C315,怪物并表!$E$7:$N$1000,3+($D315-1)*3,FALSE)*S315*AK315</f>
        <v>579.148043478261</v>
      </c>
      <c r="V315" s="110">
        <f>VLOOKUP($C315,怪物并表!$E$7:$N$1000,4+($D315-1)*3,FALSE)*S315*AL315</f>
        <v>337.46086956521748</v>
      </c>
      <c r="W315" s="109"/>
      <c r="X315" s="109"/>
      <c r="Y315" s="110">
        <f>VLOOKUP($C315,怪物并表!$E$7:$P$1000,12,FALSE)</f>
        <v>0</v>
      </c>
      <c r="Z315" s="49">
        <f>VLOOKUP($C315,怪物并表!$E$7:$P$1000,11,FALSE)*S315</f>
        <v>1506.1599999999999</v>
      </c>
      <c r="AA315" s="109"/>
      <c r="AB315" s="109"/>
      <c r="AC315" s="109"/>
      <c r="AD315" s="109">
        <f t="shared" si="39"/>
        <v>1</v>
      </c>
      <c r="AE315" s="111">
        <f t="shared" si="36"/>
        <v>387.5</v>
      </c>
      <c r="AF315" s="111" t="str">
        <f>IF(ISBLANK(AM315),IF(O315=6,"",IF(O315=1,VLOOKUP(R315,怪物信息配置表!B:H,5,FALSE),IF(O315=2,VLOOKUP(R315,怪物信息配置表!B:H,6,FALSE),IF(OR(O315=3,O315=5),VLOOKUP(R315,怪物信息配置表!B:H,7,FALSE),"")))),AM315)</f>
        <v>muzhuang</v>
      </c>
      <c r="AG315" s="111"/>
      <c r="AH315" s="115">
        <f>SUMPRODUCT(T315:V315,$AN$3:$AP$3)+ROUNDDOWN(VLOOKUP(P315,CHOOSE({1,2},'[1]消耗&amp;价值&amp;分析'!$C$7:$C$106,'[1]消耗&amp;价值&amp;分析'!$AS$7:$AS$106),2,FALSE)*0.6,0)</f>
        <v>41921.164039096395</v>
      </c>
      <c r="AJ315" s="117">
        <v>100</v>
      </c>
      <c r="AK315" s="117">
        <v>1</v>
      </c>
      <c r="AL315" s="117">
        <v>1</v>
      </c>
      <c r="AM315" s="120" t="s">
        <v>743</v>
      </c>
    </row>
    <row r="316" spans="1:39">
      <c r="A316" s="33" t="str">
        <f>怪物并表!$R$8</f>
        <v>精英副本</v>
      </c>
      <c r="B316" s="38">
        <v>1</v>
      </c>
      <c r="C316" s="33">
        <f t="shared" ref="C316:C321" si="44">1000*F316+200+G316</f>
        <v>1201</v>
      </c>
      <c r="D316" s="33">
        <v>1</v>
      </c>
      <c r="E316" s="33">
        <f>VLOOKUP(A316,怪物并表!$R$7:$S$14,2,FALSE)</f>
        <v>2</v>
      </c>
      <c r="F316" s="38">
        <v>1</v>
      </c>
      <c r="G316" s="38">
        <v>1</v>
      </c>
      <c r="H316" s="38">
        <v>0</v>
      </c>
      <c r="I316" s="33">
        <f t="shared" si="41"/>
        <v>211001</v>
      </c>
      <c r="J316" s="33" t="s">
        <v>448</v>
      </c>
      <c r="K316" s="33"/>
      <c r="L316" s="33">
        <v>1</v>
      </c>
      <c r="M316" s="33">
        <v>1</v>
      </c>
      <c r="N316" s="33"/>
      <c r="O316" s="33">
        <v>1</v>
      </c>
      <c r="P316" s="33">
        <f>VLOOKUP($C316,CHOOSE({1,2},怪物并表!$E$7:$E$1000,怪物并表!$D$7:$D$1000),2,FALSE)</f>
        <v>13</v>
      </c>
      <c r="Q316" s="33" t="s">
        <v>367</v>
      </c>
      <c r="R316" s="33">
        <f>VLOOKUP(Q316,怪物信息配置表!$A$2:$B$118,2,FALSE)</f>
        <v>1008</v>
      </c>
      <c r="S316" s="33">
        <v>1</v>
      </c>
      <c r="T316" s="110">
        <f>VLOOKUP($C316,怪物并表!$E$7:$N$1000,2+($D316-1)*3,FALSE)*S316*AJ316</f>
        <v>3094.6851411110956</v>
      </c>
      <c r="U316" s="110">
        <f>VLOOKUP($C316,怪物并表!$E$7:$N$1000,3+($D316-1)*3,FALSE)*S316*AK316</f>
        <v>201.25647319685464</v>
      </c>
      <c r="V316" s="110">
        <f>VLOOKUP($C316,怪物并表!$E$7:$N$1000,4+($D316-1)*3,FALSE)*S316*AL316</f>
        <v>123.07679999999999</v>
      </c>
      <c r="W316" s="33"/>
      <c r="X316" s="33"/>
      <c r="Y316" s="49">
        <f>VLOOKUP($C316,怪物并表!$E$7:$P$1000,12,FALSE)</f>
        <v>0</v>
      </c>
      <c r="Z316" s="49">
        <f>VLOOKUP($C316,怪物并表!$E$7:$P$1000,11,FALSE)*S316</f>
        <v>1098.5640000000001</v>
      </c>
      <c r="AA316" s="33"/>
      <c r="AB316" s="33"/>
      <c r="AC316" s="33"/>
      <c r="AD316" s="33">
        <f t="shared" si="39"/>
        <v>1</v>
      </c>
      <c r="AE316" s="2">
        <f t="shared" si="36"/>
        <v>845.625</v>
      </c>
      <c r="AF316" s="2" t="str">
        <f>IF(ISBLANK(AM316),IF(O316=6,"",IF(O316=1,VLOOKUP(R316,怪物信息配置表!B:H,5,FALSE),IF(O316=2,VLOOKUP(R316,怪物信息配置表!B:H,6,FALSE),IF(OR(O316=3,O316=5),VLOOKUP(R316,怪物信息配置表!B:H,7,FALSE),"")))),AM316)</f>
        <v>ai_monster</v>
      </c>
      <c r="AG316" s="2"/>
      <c r="AH316" s="15">
        <f>SUMPRODUCT(T316:V316,$AN$3:$AP$3)+ROUNDDOWN(VLOOKUP(P316,CHOOSE({1,2},'[1]消耗&amp;价值&amp;分析'!$C$7:$C$106,'[1]消耗&amp;价值&amp;分析'!$AS$7:$AS$106),2,FALSE)*0.6,0)</f>
        <v>588.12067884129851</v>
      </c>
      <c r="AJ316" s="80">
        <v>1</v>
      </c>
      <c r="AK316" s="80">
        <v>1</v>
      </c>
      <c r="AL316" s="80">
        <v>1</v>
      </c>
    </row>
    <row r="317" spans="1:39">
      <c r="A317" s="33" t="str">
        <f>怪物并表!$R$8</f>
        <v>精英副本</v>
      </c>
      <c r="B317" s="38">
        <v>2</v>
      </c>
      <c r="C317" s="33">
        <f t="shared" si="44"/>
        <v>1201</v>
      </c>
      <c r="D317" s="33">
        <v>1</v>
      </c>
      <c r="E317" s="33">
        <f>VLOOKUP(A317,怪物并表!$R$7:$S$14,2,FALSE)</f>
        <v>2</v>
      </c>
      <c r="F317" s="38">
        <v>1</v>
      </c>
      <c r="G317" s="38">
        <v>1</v>
      </c>
      <c r="H317" s="38">
        <v>0</v>
      </c>
      <c r="I317" s="33">
        <f t="shared" si="41"/>
        <v>211002</v>
      </c>
      <c r="J317" s="33" t="s">
        <v>449</v>
      </c>
      <c r="K317" s="33"/>
      <c r="L317" s="33">
        <v>1</v>
      </c>
      <c r="M317" s="33">
        <v>1</v>
      </c>
      <c r="N317" s="33"/>
      <c r="O317" s="33">
        <v>1</v>
      </c>
      <c r="P317" s="33">
        <f>VLOOKUP($C317,CHOOSE({1,2},怪物并表!$E$7:$E$1000,怪物并表!$D$7:$D$1000),2,FALSE)</f>
        <v>13</v>
      </c>
      <c r="Q317" s="33" t="s">
        <v>7</v>
      </c>
      <c r="R317" s="33">
        <f>VLOOKUP(Q317,怪物信息配置表!$A$2:$B$118,2,FALSE)</f>
        <v>1002</v>
      </c>
      <c r="S317" s="33">
        <v>1</v>
      </c>
      <c r="T317" s="110">
        <f>VLOOKUP($C317,怪物并表!$E$7:$N$1000,2+($D317-1)*3,FALSE)*S317*AJ317</f>
        <v>3094.6851411110956</v>
      </c>
      <c r="U317" s="110">
        <f>VLOOKUP($C317,怪物并表!$E$7:$N$1000,3+($D317-1)*3,FALSE)*S317*AK317</f>
        <v>201.25647319685464</v>
      </c>
      <c r="V317" s="110">
        <f>VLOOKUP($C317,怪物并表!$E$7:$N$1000,4+($D317-1)*3,FALSE)*S317*AL317</f>
        <v>123.07679999999999</v>
      </c>
      <c r="W317" s="33"/>
      <c r="X317" s="33"/>
      <c r="Y317" s="49">
        <f>VLOOKUP($C317,怪物并表!$E$7:$P$1000,12,FALSE)</f>
        <v>0</v>
      </c>
      <c r="Z317" s="49">
        <f>VLOOKUP($C317,怪物并表!$E$7:$P$1000,11,FALSE)*S317</f>
        <v>1098.5640000000001</v>
      </c>
      <c r="AA317" s="33"/>
      <c r="AB317" s="33"/>
      <c r="AC317" s="33"/>
      <c r="AD317" s="33">
        <f t="shared" si="39"/>
        <v>1</v>
      </c>
      <c r="AE317" s="2">
        <f t="shared" si="36"/>
        <v>845.625</v>
      </c>
      <c r="AF317" s="2" t="str">
        <f>IF(ISBLANK(AM317),IF(O317=6,"",IF(O317=1,VLOOKUP(R317,怪物信息配置表!B:H,5,FALSE),IF(O317=2,VLOOKUP(R317,怪物信息配置表!B:H,6,FALSE),IF(OR(O317=3,O317=5),VLOOKUP(R317,怪物信息配置表!B:H,7,FALSE),"")))),AM317)</f>
        <v>ai_monster</v>
      </c>
      <c r="AG317" s="2"/>
      <c r="AH317" s="15">
        <f>SUMPRODUCT(T317:V317,$AN$3:$AP$3)+ROUNDDOWN(VLOOKUP(P317,CHOOSE({1,2},'[1]消耗&amp;价值&amp;分析'!$C$7:$C$106,'[1]消耗&amp;价值&amp;分析'!$AS$7:$AS$106),2,FALSE)*0.6,0)</f>
        <v>588.12067884129851</v>
      </c>
      <c r="AJ317" s="80">
        <v>1</v>
      </c>
      <c r="AK317" s="80">
        <v>1</v>
      </c>
      <c r="AL317" s="80">
        <v>1</v>
      </c>
    </row>
    <row r="318" spans="1:39">
      <c r="A318" s="33" t="str">
        <f>怪物并表!$R$8</f>
        <v>精英副本</v>
      </c>
      <c r="B318" s="38">
        <v>3</v>
      </c>
      <c r="C318" s="33">
        <f t="shared" si="44"/>
        <v>1201</v>
      </c>
      <c r="D318" s="33">
        <v>2</v>
      </c>
      <c r="E318" s="33">
        <f>VLOOKUP(A318,怪物并表!$R$7:$S$14,2,FALSE)</f>
        <v>2</v>
      </c>
      <c r="F318" s="38">
        <v>1</v>
      </c>
      <c r="G318" s="38">
        <v>1</v>
      </c>
      <c r="H318" s="38">
        <v>0</v>
      </c>
      <c r="I318" s="33">
        <f t="shared" si="41"/>
        <v>211003</v>
      </c>
      <c r="J318" s="33">
        <v>0</v>
      </c>
      <c r="K318" s="33"/>
      <c r="L318" s="33">
        <v>1</v>
      </c>
      <c r="M318" s="33">
        <v>1</v>
      </c>
      <c r="N318" s="33"/>
      <c r="O318" s="33">
        <v>1</v>
      </c>
      <c r="P318" s="33">
        <f>VLOOKUP($C318,CHOOSE({1,2},怪物并表!$E$7:$E$1000,怪物并表!$D$7:$D$1000),2,FALSE)</f>
        <v>13</v>
      </c>
      <c r="Q318" s="33" t="s">
        <v>9</v>
      </c>
      <c r="R318" s="33">
        <f>VLOOKUP(Q318,怪物信息配置表!$A$2:$B$118,2,FALSE)</f>
        <v>1003</v>
      </c>
      <c r="S318" s="33">
        <v>1</v>
      </c>
      <c r="T318" s="110">
        <f>VLOOKUP($C318,怪物并表!$E$7:$N$1000,2+($D318-1)*3,FALSE)*S318*AJ318</f>
        <v>2475.7481128888767</v>
      </c>
      <c r="U318" s="110">
        <f>VLOOKUP($C318,怪物并表!$E$7:$N$1000,3+($D318-1)*3,FALSE)*S318*AK318</f>
        <v>193.43850587716918</v>
      </c>
      <c r="V318" s="110">
        <f>VLOOKUP($C318,怪物并表!$E$7:$N$1000,4+($D318-1)*3,FALSE)*S318*AL318</f>
        <v>92.307600000000008</v>
      </c>
      <c r="W318" s="33"/>
      <c r="X318" s="33"/>
      <c r="Y318" s="49">
        <f>VLOOKUP($C318,怪物并表!$E$7:$P$1000,12,FALSE)</f>
        <v>0</v>
      </c>
      <c r="Z318" s="49">
        <f>VLOOKUP($C318,怪物并表!$E$7:$P$1000,11,FALSE)*S318</f>
        <v>1098.5640000000001</v>
      </c>
      <c r="AA318" s="33"/>
      <c r="AB318" s="33"/>
      <c r="AC318" s="33"/>
      <c r="AD318" s="33">
        <f t="shared" si="39"/>
        <v>0.8</v>
      </c>
      <c r="AE318" s="2">
        <f t="shared" si="36"/>
        <v>876.5</v>
      </c>
      <c r="AF318" s="2" t="str">
        <f>IF(ISBLANK(AM318),IF(O318=6,"",IF(O318=1,VLOOKUP(R318,怪物信息配置表!B:H,5,FALSE),IF(O318=2,VLOOKUP(R318,怪物信息配置表!B:H,6,FALSE),IF(OR(O318=3,O318=5),VLOOKUP(R318,怪物信息配置表!B:H,7,FALSE),"")))),AM318)</f>
        <v>ai_monster_02</v>
      </c>
      <c r="AG318" s="2"/>
      <c r="AH318" s="15">
        <f>SUMPRODUCT(T318:V318,$AN$3:$AP$3)+ROUNDDOWN(VLOOKUP(P318,CHOOSE({1,2},'[1]消耗&amp;价值&amp;分析'!$C$7:$C$106,'[1]消耗&amp;价值&amp;分析'!$AS$7:$AS$106),2,FALSE)*0.6,0)</f>
        <v>524.77603039272424</v>
      </c>
      <c r="AJ318" s="80">
        <v>1</v>
      </c>
      <c r="AK318" s="80">
        <v>1</v>
      </c>
      <c r="AL318" s="80">
        <v>1</v>
      </c>
    </row>
    <row r="319" spans="1:39">
      <c r="A319" s="33" t="str">
        <f>怪物并表!$R$8</f>
        <v>精英副本</v>
      </c>
      <c r="B319" s="38">
        <v>4</v>
      </c>
      <c r="C319" s="33">
        <f t="shared" si="44"/>
        <v>1201</v>
      </c>
      <c r="D319" s="33">
        <v>3</v>
      </c>
      <c r="E319" s="33">
        <f>VLOOKUP(A319,怪物并表!$R$7:$S$14,2,FALSE)</f>
        <v>2</v>
      </c>
      <c r="F319" s="38">
        <v>1</v>
      </c>
      <c r="G319" s="38">
        <v>1</v>
      </c>
      <c r="H319" s="38">
        <v>0</v>
      </c>
      <c r="I319" s="33">
        <f t="shared" si="41"/>
        <v>211004</v>
      </c>
      <c r="J319" s="33" t="s">
        <v>408</v>
      </c>
      <c r="K319" s="33"/>
      <c r="L319" s="33">
        <v>3</v>
      </c>
      <c r="M319" s="33">
        <v>1.3</v>
      </c>
      <c r="N319" s="33"/>
      <c r="O319" s="33">
        <v>3</v>
      </c>
      <c r="P319" s="33">
        <f>VLOOKUP($C319,CHOOSE({1,2},怪物并表!$E$7:$E$1000,怪物并表!$D$7:$D$1000),2,FALSE)</f>
        <v>13</v>
      </c>
      <c r="Q319" s="33" t="s">
        <v>560</v>
      </c>
      <c r="R319" s="33">
        <f>VLOOKUP(Q319,怪物信息配置表!$A$2:$B$118,2,FALSE)</f>
        <v>1110</v>
      </c>
      <c r="S319" s="33">
        <v>1</v>
      </c>
      <c r="T319" s="110">
        <f>VLOOKUP($C319,怪物并表!$E$7:$N$1000,2+($D319-1)*3,FALSE)*S319*AJ319</f>
        <v>7736.7128527777386</v>
      </c>
      <c r="U319" s="110">
        <f>VLOOKUP($C319,怪物并表!$E$7:$N$1000,3+($D319-1)*3,FALSE)*S319*AK319</f>
        <v>216.89240783622557</v>
      </c>
      <c r="V319" s="110">
        <f>VLOOKUP($C319,怪物并表!$E$7:$N$1000,4+($D319-1)*3,FALSE)*S319*AL319</f>
        <v>153.846</v>
      </c>
      <c r="W319" s="33"/>
      <c r="X319" s="33"/>
      <c r="Y319" s="49">
        <f>VLOOKUP($C319,怪物并表!$E$7:$P$1000,12,FALSE)</f>
        <v>0</v>
      </c>
      <c r="Z319" s="49">
        <f>VLOOKUP($C319,怪物并表!$E$7:$P$1000,11,FALSE)*S319</f>
        <v>1098.5640000000001</v>
      </c>
      <c r="AA319" s="33"/>
      <c r="AB319" s="33"/>
      <c r="AC319" s="33"/>
      <c r="AD319" s="33">
        <f t="shared" si="39"/>
        <v>1.5</v>
      </c>
      <c r="AE319" s="2">
        <f t="shared" si="36"/>
        <v>390.3125</v>
      </c>
      <c r="AF319" s="2" t="str">
        <f>IF(ISBLANK(AM319),IF(O319=6,"",IF(O319=1,VLOOKUP(R319,怪物信息配置表!B:H,5,FALSE),IF(O319=2,VLOOKUP(R319,怪物信息配置表!B:H,6,FALSE),IF(OR(O319=3,O319=5),VLOOKUP(R319,怪物信息配置表!B:H,7,FALSE),"")))),AM319)</f>
        <v>1110_babi_BOSS</v>
      </c>
      <c r="AG319" s="2"/>
      <c r="AH319" s="15">
        <f>SUMPRODUCT(T319:V319,$AN$3:$AP$3)+ROUNDDOWN(VLOOKUP(P319,CHOOSE({1,2},'[1]消耗&amp;价值&amp;分析'!$C$7:$C$106,'[1]消耗&amp;价值&amp;分析'!$AS$7:$AS$106),2,FALSE)*0.6,0)</f>
        <v>820.2069219473351</v>
      </c>
      <c r="AJ319" s="80">
        <v>1</v>
      </c>
      <c r="AK319" s="80">
        <v>1</v>
      </c>
      <c r="AL319" s="80">
        <v>1</v>
      </c>
    </row>
    <row r="320" spans="1:39">
      <c r="A320" s="33" t="str">
        <f>怪物并表!$R$8</f>
        <v>精英副本</v>
      </c>
      <c r="B320" s="38">
        <v>1</v>
      </c>
      <c r="C320" s="33">
        <f t="shared" si="44"/>
        <v>1202</v>
      </c>
      <c r="D320" s="33">
        <v>2</v>
      </c>
      <c r="E320" s="33">
        <f>VLOOKUP(A320,怪物并表!$R$7:$S$14,2,FALSE)</f>
        <v>2</v>
      </c>
      <c r="F320" s="38">
        <v>1</v>
      </c>
      <c r="G320" s="38">
        <v>2</v>
      </c>
      <c r="H320" s="38">
        <v>0</v>
      </c>
      <c r="I320" s="33">
        <f t="shared" si="41"/>
        <v>212001</v>
      </c>
      <c r="J320" s="33" t="s">
        <v>465</v>
      </c>
      <c r="K320" s="33"/>
      <c r="L320" s="33">
        <v>3</v>
      </c>
      <c r="M320" s="33">
        <v>1</v>
      </c>
      <c r="N320" s="33"/>
      <c r="O320" s="33">
        <v>1</v>
      </c>
      <c r="P320" s="33">
        <f>VLOOKUP($C320,CHOOSE({1,2},怪物并表!$E$7:$E$1000,怪物并表!$D$7:$D$1000),2,FALSE)</f>
        <v>14</v>
      </c>
      <c r="Q320" s="33" t="s">
        <v>9</v>
      </c>
      <c r="R320" s="33">
        <f>VLOOKUP(Q320,怪物信息配置表!$A$2:$B$118,2,FALSE)</f>
        <v>1003</v>
      </c>
      <c r="S320" s="33">
        <v>1</v>
      </c>
      <c r="T320" s="110">
        <f>VLOOKUP($C320,怪物并表!$E$7:$N$1000,2+($D320-1)*3,FALSE)*S320*AJ320</f>
        <v>2977.2787464334028</v>
      </c>
      <c r="U320" s="110">
        <f>VLOOKUP($C320,怪物并表!$E$7:$N$1000,3+($D320-1)*3,FALSE)*S320*AK320</f>
        <v>226.59749900892356</v>
      </c>
      <c r="V320" s="110">
        <f>VLOOKUP($C320,怪物并表!$E$7:$N$1000,4+($D320-1)*3,FALSE)*S320*AL320</f>
        <v>109.92904904347833</v>
      </c>
      <c r="W320" s="33"/>
      <c r="X320" s="33"/>
      <c r="Y320" s="49">
        <f>VLOOKUP($C320,怪物并表!$E$7:$P$1000,12,FALSE)</f>
        <v>0</v>
      </c>
      <c r="Z320" s="49">
        <f>VLOOKUP($C320,怪物并表!$E$7:$P$1000,11,FALSE)*S320</f>
        <v>1156.7920000000001</v>
      </c>
      <c r="AA320" s="33"/>
      <c r="AB320" s="33"/>
      <c r="AC320" s="33"/>
      <c r="AD320" s="33">
        <f t="shared" si="39"/>
        <v>0.8</v>
      </c>
      <c r="AE320" s="2">
        <f t="shared" si="36"/>
        <v>867</v>
      </c>
      <c r="AF320" s="2" t="str">
        <f>IF(ISBLANK(AM320),IF(O320=6,"",IF(O320=1,VLOOKUP(R320,怪物信息配置表!B:H,5,FALSE),IF(O320=2,VLOOKUP(R320,怪物信息配置表!B:H,6,FALSE),IF(OR(O320=3,O320=5),VLOOKUP(R320,怪物信息配置表!B:H,7,FALSE),"")))),AM320)</f>
        <v>ai_monster_02</v>
      </c>
      <c r="AG320" s="2"/>
      <c r="AH320" s="15">
        <f>SUMPRODUCT(T320:V320,$AN$3:$AP$3)+ROUNDDOWN(VLOOKUP(P320,CHOOSE({1,2},'[1]消耗&amp;价值&amp;分析'!$C$7:$C$106,'[1]消耗&amp;价值&amp;分析'!$AS$7:$AS$106),2,FALSE)*0.6,0)</f>
        <v>616.61769790973801</v>
      </c>
      <c r="AJ320" s="80">
        <v>1</v>
      </c>
      <c r="AK320" s="80">
        <v>1</v>
      </c>
      <c r="AL320" s="80">
        <v>1</v>
      </c>
    </row>
    <row r="321" spans="1:38">
      <c r="A321" s="33" t="str">
        <f>怪物并表!$R$8</f>
        <v>精英副本</v>
      </c>
      <c r="B321" s="38">
        <v>2</v>
      </c>
      <c r="C321" s="33">
        <f t="shared" si="44"/>
        <v>1202</v>
      </c>
      <c r="D321" s="33">
        <v>1</v>
      </c>
      <c r="E321" s="33">
        <f>VLOOKUP(A321,怪物并表!$R$7:$S$14,2,FALSE)</f>
        <v>2</v>
      </c>
      <c r="F321" s="38">
        <v>1</v>
      </c>
      <c r="G321" s="38">
        <v>2</v>
      </c>
      <c r="H321" s="38">
        <v>0</v>
      </c>
      <c r="I321" s="33">
        <f t="shared" si="41"/>
        <v>212002</v>
      </c>
      <c r="J321" s="33" t="s">
        <v>214</v>
      </c>
      <c r="K321" s="33"/>
      <c r="L321" s="33">
        <v>3</v>
      </c>
      <c r="M321" s="33">
        <v>1</v>
      </c>
      <c r="N321" s="33"/>
      <c r="O321" s="33">
        <v>1</v>
      </c>
      <c r="P321" s="33">
        <f>VLOOKUP($C321,CHOOSE({1,2},怪物并表!$E$7:$E$1000,怪物并表!$D$7:$D$1000),2,FALSE)</f>
        <v>14</v>
      </c>
      <c r="Q321" s="33" t="s">
        <v>10</v>
      </c>
      <c r="R321" s="33">
        <f>VLOOKUP(Q321,怪物信息配置表!$A$2:$B$118,2,FALSE)</f>
        <v>1001</v>
      </c>
      <c r="S321" s="33">
        <v>1</v>
      </c>
      <c r="T321" s="110">
        <f>VLOOKUP($C321,怪物并表!$E$7:$N$1000,2+($D321-1)*3,FALSE)*S321*AJ321</f>
        <v>3721.5984330417537</v>
      </c>
      <c r="U321" s="110">
        <f>VLOOKUP($C321,怪物并表!$E$7:$N$1000,3+($D321-1)*3,FALSE)*S321*AK321</f>
        <v>236.11559020315178</v>
      </c>
      <c r="V321" s="110">
        <f>VLOOKUP($C321,怪物并表!$E$7:$N$1000,4+($D321-1)*3,FALSE)*S321*AL321</f>
        <v>144.45804521739137</v>
      </c>
      <c r="W321" s="33"/>
      <c r="X321" s="33"/>
      <c r="Y321" s="49">
        <f>VLOOKUP($C321,怪物并表!$E$7:$P$1000,12,FALSE)</f>
        <v>0</v>
      </c>
      <c r="Z321" s="49">
        <f>VLOOKUP($C321,怪物并表!$E$7:$P$1000,11,FALSE)*S321</f>
        <v>1156.7920000000001</v>
      </c>
      <c r="AA321" s="33"/>
      <c r="AB321" s="33"/>
      <c r="AC321" s="33"/>
      <c r="AD321" s="33">
        <f t="shared" si="39"/>
        <v>1</v>
      </c>
      <c r="AE321" s="2">
        <f t="shared" si="36"/>
        <v>833.75</v>
      </c>
      <c r="AF321" s="2" t="str">
        <f>IF(ISBLANK(AM321),IF(O321=6,"",IF(O321=1,VLOOKUP(R321,怪物信息配置表!B:H,5,FALSE),IF(O321=2,VLOOKUP(R321,怪物信息配置表!B:H,6,FALSE),IF(OR(O321=3,O321=5),VLOOKUP(R321,怪物信息配置表!B:H,7,FALSE),"")))),AM321)</f>
        <v>ai_monster</v>
      </c>
      <c r="AG321" s="2"/>
      <c r="AH321" s="15">
        <f>SUMPRODUCT(T321:V321,$AN$3:$AP$3)+ROUNDDOWN(VLOOKUP(P321,CHOOSE({1,2},'[1]消耗&amp;价值&amp;分析'!$C$7:$C$106,'[1]消耗&amp;价值&amp;分析'!$AS$7:$AS$106),2,FALSE)*0.6,0)</f>
        <v>690.43757274221332</v>
      </c>
      <c r="AJ321" s="80">
        <v>1</v>
      </c>
      <c r="AK321" s="80">
        <v>1</v>
      </c>
      <c r="AL321" s="80">
        <v>1</v>
      </c>
    </row>
    <row r="322" spans="1:38">
      <c r="A322" s="33" t="str">
        <f>怪物并表!$R$8</f>
        <v>精英副本</v>
      </c>
      <c r="B322" s="38">
        <v>3</v>
      </c>
      <c r="C322" s="33">
        <f t="shared" ref="C322:C409" si="45">1000*F322+200+G322</f>
        <v>1202</v>
      </c>
      <c r="D322" s="33">
        <v>1</v>
      </c>
      <c r="E322" s="33">
        <f>VLOOKUP(A322,怪物并表!$R$7:$S$14,2,FALSE)</f>
        <v>2</v>
      </c>
      <c r="F322" s="38">
        <v>1</v>
      </c>
      <c r="G322" s="38">
        <v>2</v>
      </c>
      <c r="H322" s="38">
        <v>0</v>
      </c>
      <c r="I322" s="33">
        <f t="shared" si="41"/>
        <v>212003</v>
      </c>
      <c r="J322" s="33">
        <v>0</v>
      </c>
      <c r="K322" s="33"/>
      <c r="L322" s="33">
        <v>3</v>
      </c>
      <c r="M322" s="33">
        <v>1</v>
      </c>
      <c r="N322" s="33"/>
      <c r="O322" s="33">
        <v>1</v>
      </c>
      <c r="P322" s="33">
        <f>VLOOKUP($C322,CHOOSE({1,2},怪物并表!$E$7:$E$1000,怪物并表!$D$7:$D$1000),2,FALSE)</f>
        <v>14</v>
      </c>
      <c r="Q322" s="33" t="s">
        <v>7</v>
      </c>
      <c r="R322" s="33">
        <f>VLOOKUP(Q322,怪物信息配置表!$A$2:$B$118,2,FALSE)</f>
        <v>1002</v>
      </c>
      <c r="S322" s="33">
        <v>1</v>
      </c>
      <c r="T322" s="110">
        <f>VLOOKUP($C322,怪物并表!$E$7:$N$1000,2+($D322-1)*3,FALSE)*S322*AJ322</f>
        <v>3721.5984330417537</v>
      </c>
      <c r="U322" s="110">
        <f>VLOOKUP($C322,怪物并表!$E$7:$N$1000,3+($D322-1)*3,FALSE)*S322*AK322</f>
        <v>236.11559020315178</v>
      </c>
      <c r="V322" s="110">
        <f>VLOOKUP($C322,怪物并表!$E$7:$N$1000,4+($D322-1)*3,FALSE)*S322*AL322</f>
        <v>144.45804521739137</v>
      </c>
      <c r="W322" s="33"/>
      <c r="X322" s="33"/>
      <c r="Y322" s="49">
        <f>VLOOKUP($C322,怪物并表!$E$7:$P$1000,12,FALSE)</f>
        <v>0</v>
      </c>
      <c r="Z322" s="49">
        <f>VLOOKUP($C322,怪物并表!$E$7:$P$1000,11,FALSE)*S322</f>
        <v>1156.7920000000001</v>
      </c>
      <c r="AA322" s="33"/>
      <c r="AB322" s="33"/>
      <c r="AC322" s="33"/>
      <c r="AD322" s="33">
        <f t="shared" si="39"/>
        <v>1</v>
      </c>
      <c r="AE322" s="2">
        <f t="shared" ref="AE322:AE385" si="46">MAX(VLOOKUP(Q322,怪物信息配置表,3,FALSE)-VLOOKUP(Q322,怪物信息配置表,5,FALSE)*P322*AD322,50)</f>
        <v>833.75</v>
      </c>
      <c r="AF322" s="2" t="str">
        <f>IF(ISBLANK(AM322),IF(O322=6,"",IF(O322=1,VLOOKUP(R322,怪物信息配置表!B:H,5,FALSE),IF(O322=2,VLOOKUP(R322,怪物信息配置表!B:H,6,FALSE),IF(OR(O322=3,O322=5),VLOOKUP(R322,怪物信息配置表!B:H,7,FALSE),"")))),AM322)</f>
        <v>ai_monster</v>
      </c>
      <c r="AG322" s="2"/>
      <c r="AH322" s="15">
        <f>SUMPRODUCT(T322:V322,$AN$3:$AP$3)+ROUNDDOWN(VLOOKUP(P322,CHOOSE({1,2},'[1]消耗&amp;价值&amp;分析'!$C$7:$C$106,'[1]消耗&amp;价值&amp;分析'!$AS$7:$AS$106),2,FALSE)*0.6,0)</f>
        <v>690.43757274221332</v>
      </c>
      <c r="AJ322" s="80">
        <v>1</v>
      </c>
      <c r="AK322" s="80">
        <v>1</v>
      </c>
      <c r="AL322" s="80">
        <v>1</v>
      </c>
    </row>
    <row r="323" spans="1:38">
      <c r="A323" s="33" t="str">
        <f>怪物并表!$R$8</f>
        <v>精英副本</v>
      </c>
      <c r="B323" s="38">
        <v>4</v>
      </c>
      <c r="C323" s="33">
        <f t="shared" si="45"/>
        <v>1202</v>
      </c>
      <c r="D323" s="33">
        <v>3</v>
      </c>
      <c r="E323" s="33">
        <f>VLOOKUP(A323,怪物并表!$R$7:$S$14,2,FALSE)</f>
        <v>2</v>
      </c>
      <c r="F323" s="38">
        <v>1</v>
      </c>
      <c r="G323" s="38">
        <v>2</v>
      </c>
      <c r="H323" s="38">
        <v>0</v>
      </c>
      <c r="I323" s="33">
        <f t="shared" si="41"/>
        <v>212004</v>
      </c>
      <c r="J323" s="33" t="s">
        <v>409</v>
      </c>
      <c r="K323" s="33"/>
      <c r="L323" s="33">
        <v>3</v>
      </c>
      <c r="M323" s="33">
        <v>1.3</v>
      </c>
      <c r="N323" s="33"/>
      <c r="O323" s="33">
        <v>3</v>
      </c>
      <c r="P323" s="33">
        <f>VLOOKUP($C323,CHOOSE({1,2},怪物并表!$E$7:$E$1000,怪物并表!$D$7:$D$1000),2,FALSE)</f>
        <v>14</v>
      </c>
      <c r="Q323" s="33" t="s">
        <v>11</v>
      </c>
      <c r="R323" s="33">
        <f>VLOOKUP(Q323,怪物信息配置表!$A$2:$B$118,2,FALSE)</f>
        <v>1011</v>
      </c>
      <c r="S323" s="33">
        <v>1</v>
      </c>
      <c r="T323" s="110">
        <f>VLOOKUP($C323,怪物并表!$E$7:$N$1000,2+($D323-1)*3,FALSE)*S323*AJ323</f>
        <v>9303.9960826043825</v>
      </c>
      <c r="U323" s="110">
        <f>VLOOKUP($C323,怪物并表!$E$7:$N$1000,3+($D323-1)*3,FALSE)*S323*AK323</f>
        <v>255.15177259160822</v>
      </c>
      <c r="V323" s="110">
        <f>VLOOKUP($C323,怪物并表!$E$7:$N$1000,4+($D323-1)*3,FALSE)*S323*AL323</f>
        <v>178.98704139130439</v>
      </c>
      <c r="W323" s="33"/>
      <c r="X323" s="33"/>
      <c r="Y323" s="49">
        <f>VLOOKUP($C323,怪物并表!$E$7:$P$1000,12,FALSE)</f>
        <v>0</v>
      </c>
      <c r="Z323" s="49">
        <f>VLOOKUP($C323,怪物并表!$E$7:$P$1000,11,FALSE)*S323</f>
        <v>1156.7920000000001</v>
      </c>
      <c r="AA323" s="33"/>
      <c r="AB323" s="33"/>
      <c r="AC323" s="33"/>
      <c r="AD323" s="33">
        <f t="shared" si="39"/>
        <v>1.5</v>
      </c>
      <c r="AE323" s="2">
        <f t="shared" si="46"/>
        <v>750.625</v>
      </c>
      <c r="AF323" s="2" t="str">
        <f>IF(ISBLANK(AM323),IF(O323=6,"",IF(O323=1,VLOOKUP(R323,怪物信息配置表!B:H,5,FALSE),IF(O323=2,VLOOKUP(R323,怪物信息配置表!B:H,6,FALSE),IF(OR(O323=3,O323=5),VLOOKUP(R323,怪物信息配置表!B:H,7,FALSE),"")))),AM323)</f>
        <v>1011_jichenan_BOSS</v>
      </c>
      <c r="AG323" s="2"/>
      <c r="AH323" s="15">
        <f>SUMPRODUCT(T323:V323,$AN$3:$AP$3)+ROUNDDOWN(VLOOKUP(P323,CHOOSE({1,2},'[1]消耗&amp;价值&amp;分析'!$C$7:$C$106,'[1]消耗&amp;价值&amp;分析'!$AS$7:$AS$106),2,FALSE)*0.6,0)</f>
        <v>967.29865728708785</v>
      </c>
      <c r="AJ323" s="80">
        <v>1</v>
      </c>
      <c r="AK323" s="80">
        <v>1</v>
      </c>
      <c r="AL323" s="80">
        <v>1</v>
      </c>
    </row>
    <row r="324" spans="1:38">
      <c r="A324" s="33" t="str">
        <f>怪物并表!$R$8</f>
        <v>精英副本</v>
      </c>
      <c r="B324" s="38">
        <v>1</v>
      </c>
      <c r="C324" s="33">
        <f t="shared" si="45"/>
        <v>1203</v>
      </c>
      <c r="D324" s="33">
        <v>1</v>
      </c>
      <c r="E324" s="33">
        <f>VLOOKUP(A324,怪物并表!$R$7:$S$14,2,FALSE)</f>
        <v>2</v>
      </c>
      <c r="F324" s="38">
        <v>1</v>
      </c>
      <c r="G324" s="38">
        <v>3</v>
      </c>
      <c r="H324" s="38">
        <v>0</v>
      </c>
      <c r="I324" s="33">
        <f t="shared" si="41"/>
        <v>213001</v>
      </c>
      <c r="J324" s="33" t="s">
        <v>448</v>
      </c>
      <c r="K324" s="33"/>
      <c r="L324" s="33">
        <v>3</v>
      </c>
      <c r="M324" s="33">
        <v>1</v>
      </c>
      <c r="N324" s="33"/>
      <c r="O324" s="33">
        <v>1</v>
      </c>
      <c r="P324" s="33">
        <f>VLOOKUP($C324,CHOOSE({1,2},怪物并表!$E$7:$E$1000,怪物并表!$D$7:$D$1000),2,FALSE)</f>
        <v>15</v>
      </c>
      <c r="Q324" s="33" t="s">
        <v>367</v>
      </c>
      <c r="R324" s="33">
        <f>VLOOKUP(Q324,怪物信息配置表!$A$2:$B$118,2,FALSE)</f>
        <v>1008</v>
      </c>
      <c r="S324" s="33">
        <v>1</v>
      </c>
      <c r="T324" s="110">
        <f>VLOOKUP($C324,怪物并表!$E$7:$N$1000,2+($D324-1)*3,FALSE)*S324*AJ324</f>
        <v>4424.8772200063731</v>
      </c>
      <c r="U324" s="110">
        <f>VLOOKUP($C324,怪物并表!$E$7:$N$1000,3+($D324-1)*3,FALSE)*S324*AK324</f>
        <v>274.42100789835166</v>
      </c>
      <c r="V324" s="110">
        <f>VLOOKUP($C324,怪物并表!$E$7:$N$1000,4+($D324-1)*3,FALSE)*S324*AL324</f>
        <v>167.82652173913047</v>
      </c>
      <c r="W324" s="33"/>
      <c r="X324" s="33"/>
      <c r="Y324" s="49">
        <f>VLOOKUP($C324,怪物并表!$E$7:$P$1000,12,FALSE)</f>
        <v>0</v>
      </c>
      <c r="Z324" s="49">
        <f>VLOOKUP($C324,怪物并表!$E$7:$P$1000,11,FALSE)*S324</f>
        <v>1215.02</v>
      </c>
      <c r="AA324" s="33"/>
      <c r="AB324" s="33"/>
      <c r="AC324" s="33"/>
      <c r="AD324" s="33">
        <f t="shared" si="39"/>
        <v>1</v>
      </c>
      <c r="AE324" s="2">
        <f t="shared" si="46"/>
        <v>821.875</v>
      </c>
      <c r="AF324" s="2" t="str">
        <f>IF(ISBLANK(AM324),IF(O324=6,"",IF(O324=1,VLOOKUP(R324,怪物信息配置表!B:H,5,FALSE),IF(O324=2,VLOOKUP(R324,怪物信息配置表!B:H,6,FALSE),IF(OR(O324=3,O324=5),VLOOKUP(R324,怪物信息配置表!B:H,7,FALSE),"")))),AM324)</f>
        <v>ai_monster</v>
      </c>
      <c r="AG324" s="2"/>
      <c r="AH324" s="15">
        <f>SUMPRODUCT(T324:V324,$AN$3:$AP$3)+ROUNDDOWN(VLOOKUP(P324,CHOOSE({1,2},'[1]消耗&amp;价值&amp;分析'!$C$7:$C$106,'[1]消耗&amp;价值&amp;分析'!$AS$7:$AS$106),2,FALSE)*0.6,0)</f>
        <v>821.24261843773706</v>
      </c>
      <c r="AJ324" s="80">
        <v>1</v>
      </c>
      <c r="AK324" s="80">
        <v>1</v>
      </c>
      <c r="AL324" s="80">
        <v>1</v>
      </c>
    </row>
    <row r="325" spans="1:38">
      <c r="A325" s="33" t="str">
        <f>怪物并表!$R$8</f>
        <v>精英副本</v>
      </c>
      <c r="B325" s="38">
        <v>2</v>
      </c>
      <c r="C325" s="33">
        <f t="shared" si="45"/>
        <v>1203</v>
      </c>
      <c r="D325" s="33">
        <v>2</v>
      </c>
      <c r="E325" s="33">
        <f>VLOOKUP(A325,怪物并表!$R$7:$S$14,2,FALSE)</f>
        <v>2</v>
      </c>
      <c r="F325" s="38">
        <v>1</v>
      </c>
      <c r="G325" s="38">
        <v>3</v>
      </c>
      <c r="H325" s="38">
        <v>0</v>
      </c>
      <c r="I325" s="33">
        <f t="shared" si="41"/>
        <v>213002</v>
      </c>
      <c r="J325" s="33" t="s">
        <v>456</v>
      </c>
      <c r="K325" s="33"/>
      <c r="L325" s="33">
        <v>3</v>
      </c>
      <c r="M325" s="33">
        <v>1</v>
      </c>
      <c r="N325" s="33"/>
      <c r="O325" s="33">
        <v>1</v>
      </c>
      <c r="P325" s="33">
        <f>VLOOKUP($C325,CHOOSE({1,2},怪物并表!$E$7:$E$1000,怪物并表!$D$7:$D$1000),2,FALSE)</f>
        <v>15</v>
      </c>
      <c r="Q325" s="33" t="s">
        <v>9</v>
      </c>
      <c r="R325" s="33">
        <f>VLOOKUP(Q325,怪物信息配置表!$A$2:$B$118,2,FALSE)</f>
        <v>1003</v>
      </c>
      <c r="S325" s="33">
        <v>1</v>
      </c>
      <c r="T325" s="110">
        <f>VLOOKUP($C325,怪物并表!$E$7:$N$1000,2+($D325-1)*3,FALSE)*S325*AJ325</f>
        <v>3539.9017760050988</v>
      </c>
      <c r="U325" s="110">
        <f>VLOOKUP($C325,怪物并表!$E$7:$N$1000,3+($D325-1)*3,FALSE)*S325*AK325</f>
        <v>262.96238536938608</v>
      </c>
      <c r="V325" s="110">
        <f>VLOOKUP($C325,怪物并表!$E$7:$N$1000,4+($D325-1)*3,FALSE)*S325*AL325</f>
        <v>129.46617391304355</v>
      </c>
      <c r="W325" s="33"/>
      <c r="X325" s="33"/>
      <c r="Y325" s="49">
        <f>VLOOKUP($C325,怪物并表!$E$7:$P$1000,12,FALSE)</f>
        <v>0</v>
      </c>
      <c r="Z325" s="49">
        <f>VLOOKUP($C325,怪物并表!$E$7:$P$1000,11,FALSE)*S325</f>
        <v>1215.02</v>
      </c>
      <c r="AA325" s="33"/>
      <c r="AB325" s="33"/>
      <c r="AC325" s="33"/>
      <c r="AD325" s="33">
        <f t="shared" si="39"/>
        <v>0.8</v>
      </c>
      <c r="AE325" s="2">
        <f t="shared" si="46"/>
        <v>857.5</v>
      </c>
      <c r="AF325" s="2" t="str">
        <f>IF(ISBLANK(AM325),IF(O325=6,"",IF(O325=1,VLOOKUP(R325,怪物信息配置表!B:H,5,FALSE),IF(O325=2,VLOOKUP(R325,怪物信息配置表!B:H,6,FALSE),IF(OR(O325=3,O325=5),VLOOKUP(R325,怪物信息配置表!B:H,7,FALSE),"")))),AM325)</f>
        <v>ai_monster_02</v>
      </c>
      <c r="AG325" s="2"/>
      <c r="AH325" s="15">
        <f>SUMPRODUCT(T325:V325,$AN$3:$AP$3)+ROUNDDOWN(VLOOKUP(P325,CHOOSE({1,2},'[1]消耗&amp;价值&amp;分析'!$C$7:$C$106,'[1]消耗&amp;价值&amp;分析'!$AS$7:$AS$106),2,FALSE)*0.6,0)</f>
        <v>736.02463032263358</v>
      </c>
      <c r="AJ325" s="80">
        <v>1</v>
      </c>
      <c r="AK325" s="80">
        <v>1</v>
      </c>
      <c r="AL325" s="80">
        <v>1</v>
      </c>
    </row>
    <row r="326" spans="1:38">
      <c r="A326" s="33" t="str">
        <f>怪物并表!$R$8</f>
        <v>精英副本</v>
      </c>
      <c r="B326" s="38">
        <v>3</v>
      </c>
      <c r="C326" s="33">
        <f t="shared" si="45"/>
        <v>1203</v>
      </c>
      <c r="D326" s="33">
        <v>1</v>
      </c>
      <c r="E326" s="33">
        <f>VLOOKUP(A326,怪物并表!$R$7:$S$14,2,FALSE)</f>
        <v>2</v>
      </c>
      <c r="F326" s="38">
        <v>1</v>
      </c>
      <c r="G326" s="38">
        <v>3</v>
      </c>
      <c r="H326" s="38">
        <v>0</v>
      </c>
      <c r="I326" s="33">
        <f t="shared" si="41"/>
        <v>213003</v>
      </c>
      <c r="J326" s="33">
        <v>0</v>
      </c>
      <c r="K326" s="33"/>
      <c r="L326" s="33">
        <v>3</v>
      </c>
      <c r="M326" s="33">
        <v>1</v>
      </c>
      <c r="N326" s="33"/>
      <c r="O326" s="33">
        <v>1</v>
      </c>
      <c r="P326" s="33">
        <f>VLOOKUP($C326,CHOOSE({1,2},怪物并表!$E$7:$E$1000,怪物并表!$D$7:$D$1000),2,FALSE)</f>
        <v>15</v>
      </c>
      <c r="Q326" s="33" t="s">
        <v>7</v>
      </c>
      <c r="R326" s="33">
        <f>VLOOKUP(Q326,怪物信息配置表!$A$2:$B$118,2,FALSE)</f>
        <v>1002</v>
      </c>
      <c r="S326" s="33">
        <v>1</v>
      </c>
      <c r="T326" s="110">
        <f>VLOOKUP($C326,怪物并表!$E$7:$N$1000,2+($D326-1)*3,FALSE)*S326*AJ326</f>
        <v>4424.8772200063731</v>
      </c>
      <c r="U326" s="110">
        <f>VLOOKUP($C326,怪物并表!$E$7:$N$1000,3+($D326-1)*3,FALSE)*S326*AK326</f>
        <v>274.42100789835166</v>
      </c>
      <c r="V326" s="110">
        <f>VLOOKUP($C326,怪物并表!$E$7:$N$1000,4+($D326-1)*3,FALSE)*S326*AL326</f>
        <v>167.82652173913047</v>
      </c>
      <c r="W326" s="33"/>
      <c r="X326" s="33"/>
      <c r="Y326" s="49">
        <f>VLOOKUP($C326,怪物并表!$E$7:$P$1000,12,FALSE)</f>
        <v>0</v>
      </c>
      <c r="Z326" s="49">
        <f>VLOOKUP($C326,怪物并表!$E$7:$P$1000,11,FALSE)*S326</f>
        <v>1215.02</v>
      </c>
      <c r="AA326" s="33"/>
      <c r="AB326" s="33"/>
      <c r="AC326" s="33"/>
      <c r="AD326" s="33">
        <f t="shared" si="39"/>
        <v>1</v>
      </c>
      <c r="AE326" s="2">
        <f t="shared" si="46"/>
        <v>821.875</v>
      </c>
      <c r="AF326" s="2" t="str">
        <f>IF(ISBLANK(AM326),IF(O326=6,"",IF(O326=1,VLOOKUP(R326,怪物信息配置表!B:H,5,FALSE),IF(O326=2,VLOOKUP(R326,怪物信息配置表!B:H,6,FALSE),IF(OR(O326=3,O326=5),VLOOKUP(R326,怪物信息配置表!B:H,7,FALSE),"")))),AM326)</f>
        <v>ai_monster</v>
      </c>
      <c r="AG326" s="2"/>
      <c r="AH326" s="15">
        <f>SUMPRODUCT(T326:V326,$AN$3:$AP$3)+ROUNDDOWN(VLOOKUP(P326,CHOOSE({1,2},'[1]消耗&amp;价值&amp;分析'!$C$7:$C$106,'[1]消耗&amp;价值&amp;分析'!$AS$7:$AS$106),2,FALSE)*0.6,0)</f>
        <v>821.24261843773706</v>
      </c>
      <c r="AJ326" s="80">
        <v>1</v>
      </c>
      <c r="AK326" s="80">
        <v>1</v>
      </c>
      <c r="AL326" s="80">
        <v>1</v>
      </c>
    </row>
    <row r="327" spans="1:38">
      <c r="A327" s="33" t="str">
        <f>怪物并表!$R$8</f>
        <v>精英副本</v>
      </c>
      <c r="B327" s="38">
        <v>4</v>
      </c>
      <c r="C327" s="33">
        <f t="shared" si="45"/>
        <v>1203</v>
      </c>
      <c r="D327" s="33">
        <v>3</v>
      </c>
      <c r="E327" s="33">
        <f>VLOOKUP(A327,怪物并表!$R$7:$S$14,2,FALSE)</f>
        <v>2</v>
      </c>
      <c r="F327" s="38">
        <v>1</v>
      </c>
      <c r="G327" s="38">
        <v>3</v>
      </c>
      <c r="H327" s="38">
        <v>0</v>
      </c>
      <c r="I327" s="33">
        <f t="shared" si="41"/>
        <v>213004</v>
      </c>
      <c r="J327" s="33" t="s">
        <v>704</v>
      </c>
      <c r="K327" s="33"/>
      <c r="L327" s="33">
        <v>3</v>
      </c>
      <c r="M327" s="33">
        <v>1.3</v>
      </c>
      <c r="N327" s="33"/>
      <c r="O327" s="33">
        <v>3</v>
      </c>
      <c r="P327" s="33">
        <f>VLOOKUP($C327,CHOOSE({1,2},怪物并表!$E$7:$E$1000,怪物并表!$D$7:$D$1000),2,FALSE)</f>
        <v>15</v>
      </c>
      <c r="Q327" s="33" t="s">
        <v>7</v>
      </c>
      <c r="R327" s="33">
        <f>VLOOKUP(Q327,怪物信息配置表!$A$2:$B$118,2,FALSE)</f>
        <v>1002</v>
      </c>
      <c r="S327" s="33">
        <v>1</v>
      </c>
      <c r="T327" s="110">
        <f>VLOOKUP($C327,怪物并表!$E$7:$N$1000,2+($D327-1)*3,FALSE)*S327*AJ327</f>
        <v>11062.193050015934</v>
      </c>
      <c r="U327" s="110">
        <f>VLOOKUP($C327,怪物并表!$E$7:$N$1000,3+($D327-1)*3,FALSE)*S327*AK327</f>
        <v>297.33825295628287</v>
      </c>
      <c r="V327" s="110">
        <f>VLOOKUP($C327,怪物并表!$E$7:$N$1000,4+($D327-1)*3,FALSE)*S327*AL327</f>
        <v>206.18686956521742</v>
      </c>
      <c r="W327" s="33"/>
      <c r="X327" s="33"/>
      <c r="Y327" s="49">
        <f>VLOOKUP($C327,怪物并表!$E$7:$P$1000,12,FALSE)</f>
        <v>0</v>
      </c>
      <c r="Z327" s="49">
        <f>VLOOKUP($C327,怪物并表!$E$7:$P$1000,11,FALSE)*S327</f>
        <v>1215.02</v>
      </c>
      <c r="AA327" s="33"/>
      <c r="AB327" s="33"/>
      <c r="AC327" s="33"/>
      <c r="AD327" s="33">
        <f t="shared" si="39"/>
        <v>1.5</v>
      </c>
      <c r="AE327" s="2">
        <f t="shared" si="46"/>
        <v>732.8125</v>
      </c>
      <c r="AF327" s="2" t="str">
        <f>IF(ISBLANK(AM327),IF(O327=6,"",IF(O327=1,VLOOKUP(R327,怪物信息配置表!B:H,5,FALSE),IF(O327=2,VLOOKUP(R327,怪物信息配置表!B:H,6,FALSE),IF(OR(O327=3,O327=5),VLOOKUP(R327,怪物信息配置表!B:H,7,FALSE),"")))),AM327)</f>
        <v>1002_nvjiubao_BOSS</v>
      </c>
      <c r="AG327" s="2"/>
      <c r="AH327" s="15">
        <f>SUMPRODUCT(T327:V327,$AN$3:$AP$3)+ROUNDDOWN(VLOOKUP(P327,CHOOSE({1,2},'[1]消耗&amp;价值&amp;分析'!$C$7:$C$106,'[1]消耗&amp;价值&amp;分析'!$AS$7:$AS$106),2,FALSE)*0.6,0)</f>
        <v>1148.0128445221376</v>
      </c>
      <c r="AJ327" s="80">
        <v>1</v>
      </c>
      <c r="AK327" s="80">
        <v>1</v>
      </c>
      <c r="AL327" s="80">
        <v>1</v>
      </c>
    </row>
    <row r="328" spans="1:38">
      <c r="A328" s="33" t="str">
        <f>怪物并表!$R$8</f>
        <v>精英副本</v>
      </c>
      <c r="B328" s="38">
        <v>1</v>
      </c>
      <c r="C328" s="33">
        <f t="shared" si="45"/>
        <v>1204</v>
      </c>
      <c r="D328" s="33">
        <v>1</v>
      </c>
      <c r="E328" s="33">
        <f>VLOOKUP(A328,怪物并表!$R$7:$S$14,2,FALSE)</f>
        <v>2</v>
      </c>
      <c r="F328" s="38">
        <v>1</v>
      </c>
      <c r="G328" s="38">
        <v>4</v>
      </c>
      <c r="H328" s="38">
        <v>0</v>
      </c>
      <c r="I328" s="33">
        <f t="shared" si="41"/>
        <v>214001</v>
      </c>
      <c r="J328" s="33" t="s">
        <v>13</v>
      </c>
      <c r="K328" s="33"/>
      <c r="L328" s="33">
        <v>1</v>
      </c>
      <c r="M328" s="33">
        <v>1</v>
      </c>
      <c r="N328" s="33"/>
      <c r="O328" s="33">
        <v>1</v>
      </c>
      <c r="P328" s="33">
        <f>VLOOKUP($C328,CHOOSE({1,2},怪物并表!$E$7:$E$1000,怪物并表!$D$7:$D$1000),2,FALSE)</f>
        <v>16</v>
      </c>
      <c r="Q328" s="33" t="s">
        <v>13</v>
      </c>
      <c r="R328" s="33">
        <f>VLOOKUP(Q328,怪物信息配置表!$A$2:$B$118,2,FALSE)</f>
        <v>1007</v>
      </c>
      <c r="S328" s="33">
        <v>1</v>
      </c>
      <c r="T328" s="110">
        <f>VLOOKUP($C328,怪物并表!$E$7:$N$1000,2+($D328-1)*3,FALSE)*S328*AJ328</f>
        <v>5209.5362374956539</v>
      </c>
      <c r="U328" s="110">
        <f>VLOOKUP($C328,怪物并表!$E$7:$N$1000,3+($D328-1)*3,FALSE)*S328*AK328</f>
        <v>316.38733493651409</v>
      </c>
      <c r="V328" s="110">
        <f>VLOOKUP($C328,怪物并表!$E$7:$N$1000,4+($D328-1)*3,FALSE)*S328*AL328</f>
        <v>193.26039652173918</v>
      </c>
      <c r="W328" s="33"/>
      <c r="X328" s="33"/>
      <c r="Y328" s="49">
        <f>VLOOKUP($C328,怪物并表!$E$7:$P$1000,12,FALSE)</f>
        <v>0</v>
      </c>
      <c r="Z328" s="49">
        <f>VLOOKUP($C328,怪物并表!$E$7:$P$1000,11,FALSE)*S328</f>
        <v>1273.248</v>
      </c>
      <c r="AA328" s="33"/>
      <c r="AB328" s="33"/>
      <c r="AC328" s="33"/>
      <c r="AD328" s="33">
        <f t="shared" si="39"/>
        <v>1</v>
      </c>
      <c r="AE328" s="2">
        <f t="shared" si="46"/>
        <v>810</v>
      </c>
      <c r="AF328" s="2" t="str">
        <f>IF(ISBLANK(AM328),IF(O328=6,"",IF(O328=1,VLOOKUP(R328,怪物信息配置表!B:H,5,FALSE),IF(O328=2,VLOOKUP(R328,怪物信息配置表!B:H,6,FALSE),IF(OR(O328=3,O328=5),VLOOKUP(R328,怪物信息配置表!B:H,7,FALSE),"")))),AM328)</f>
        <v>ai_monster_03</v>
      </c>
      <c r="AG328" s="2"/>
      <c r="AH328" s="15">
        <f>SUMPRODUCT(T328:V328,$AN$3:$AP$3)+ROUNDDOWN(VLOOKUP(P328,CHOOSE({1,2},'[1]消耗&amp;价值&amp;分析'!$C$7:$C$106,'[1]消耗&amp;价值&amp;分析'!$AS$7:$AS$106),2,FALSE)*0.6,0)</f>
        <v>941.02918095807945</v>
      </c>
      <c r="AJ328" s="80">
        <v>1</v>
      </c>
      <c r="AK328" s="80">
        <v>1</v>
      </c>
      <c r="AL328" s="80">
        <v>1</v>
      </c>
    </row>
    <row r="329" spans="1:38">
      <c r="A329" s="33" t="str">
        <f>怪物并表!$R$8</f>
        <v>精英副本</v>
      </c>
      <c r="B329" s="38">
        <v>2</v>
      </c>
      <c r="C329" s="33">
        <f t="shared" si="45"/>
        <v>1204</v>
      </c>
      <c r="D329" s="33">
        <v>1</v>
      </c>
      <c r="E329" s="33">
        <f>VLOOKUP(A329,怪物并表!$R$7:$S$14,2,FALSE)</f>
        <v>2</v>
      </c>
      <c r="F329" s="38">
        <v>1</v>
      </c>
      <c r="G329" s="38">
        <v>4</v>
      </c>
      <c r="H329" s="38">
        <v>0</v>
      </c>
      <c r="I329" s="33">
        <f t="shared" si="41"/>
        <v>214002</v>
      </c>
      <c r="J329" s="33" t="s">
        <v>214</v>
      </c>
      <c r="K329" s="33"/>
      <c r="L329" s="33">
        <v>1</v>
      </c>
      <c r="M329" s="33">
        <v>1</v>
      </c>
      <c r="N329" s="33"/>
      <c r="O329" s="33">
        <v>1</v>
      </c>
      <c r="P329" s="33">
        <f>VLOOKUP($C329,CHOOSE({1,2},怪物并表!$E$7:$E$1000,怪物并表!$D$7:$D$1000),2,FALSE)</f>
        <v>16</v>
      </c>
      <c r="Q329" s="33" t="s">
        <v>10</v>
      </c>
      <c r="R329" s="33">
        <f>VLOOKUP(Q329,怪物信息配置表!$A$2:$B$118,2,FALSE)</f>
        <v>1001</v>
      </c>
      <c r="S329" s="33">
        <v>1</v>
      </c>
      <c r="T329" s="110">
        <f>VLOOKUP($C329,怪物并表!$E$7:$N$1000,2+($D329-1)*3,FALSE)*S329*AJ329</f>
        <v>5209.5362374956539</v>
      </c>
      <c r="U329" s="110">
        <f>VLOOKUP($C329,怪物并表!$E$7:$N$1000,3+($D329-1)*3,FALSE)*S329*AK329</f>
        <v>316.38733493651409</v>
      </c>
      <c r="V329" s="110">
        <f>VLOOKUP($C329,怪物并表!$E$7:$N$1000,4+($D329-1)*3,FALSE)*S329*AL329</f>
        <v>193.26039652173918</v>
      </c>
      <c r="W329" s="33"/>
      <c r="X329" s="33"/>
      <c r="Y329" s="49">
        <f>VLOOKUP($C329,怪物并表!$E$7:$P$1000,12,FALSE)</f>
        <v>0</v>
      </c>
      <c r="Z329" s="49">
        <f>VLOOKUP($C329,怪物并表!$E$7:$P$1000,11,FALSE)*S329</f>
        <v>1273.248</v>
      </c>
      <c r="AA329" s="33"/>
      <c r="AB329" s="33"/>
      <c r="AC329" s="33"/>
      <c r="AD329" s="33">
        <f t="shared" si="39"/>
        <v>1</v>
      </c>
      <c r="AE329" s="2">
        <f t="shared" si="46"/>
        <v>810</v>
      </c>
      <c r="AF329" s="2" t="str">
        <f>IF(ISBLANK(AM329),IF(O329=6,"",IF(O329=1,VLOOKUP(R329,怪物信息配置表!B:H,5,FALSE),IF(O329=2,VLOOKUP(R329,怪物信息配置表!B:H,6,FALSE),IF(OR(O329=3,O329=5),VLOOKUP(R329,怪物信息配置表!B:H,7,FALSE),"")))),AM329)</f>
        <v>ai_monster</v>
      </c>
      <c r="AG329" s="2"/>
      <c r="AH329" s="15">
        <f>SUMPRODUCT(T329:V329,$AN$3:$AP$3)+ROUNDDOWN(VLOOKUP(P329,CHOOSE({1,2},'[1]消耗&amp;价值&amp;分析'!$C$7:$C$106,'[1]消耗&amp;价值&amp;分析'!$AS$7:$AS$106),2,FALSE)*0.6,0)</f>
        <v>941.02918095807945</v>
      </c>
      <c r="AJ329" s="80">
        <v>1</v>
      </c>
      <c r="AK329" s="80">
        <v>1</v>
      </c>
      <c r="AL329" s="80">
        <v>1</v>
      </c>
    </row>
    <row r="330" spans="1:38">
      <c r="A330" s="33" t="str">
        <f>怪物并表!$R$8</f>
        <v>精英副本</v>
      </c>
      <c r="B330" s="38">
        <v>3</v>
      </c>
      <c r="C330" s="33">
        <f t="shared" si="45"/>
        <v>1204</v>
      </c>
      <c r="D330" s="33">
        <v>1</v>
      </c>
      <c r="E330" s="33">
        <f>VLOOKUP(A330,怪物并表!$R$7:$S$14,2,FALSE)</f>
        <v>2</v>
      </c>
      <c r="F330" s="38">
        <v>1</v>
      </c>
      <c r="G330" s="38">
        <v>4</v>
      </c>
      <c r="H330" s="38">
        <v>0</v>
      </c>
      <c r="I330" s="33">
        <f t="shared" si="41"/>
        <v>214003</v>
      </c>
      <c r="J330" s="33">
        <v>0</v>
      </c>
      <c r="K330" s="33"/>
      <c r="L330" s="33">
        <v>1</v>
      </c>
      <c r="M330" s="33">
        <v>1</v>
      </c>
      <c r="N330" s="33"/>
      <c r="O330" s="33">
        <v>1</v>
      </c>
      <c r="P330" s="33">
        <f>VLOOKUP($C330,CHOOSE({1,2},怪物并表!$E$7:$E$1000,怪物并表!$D$7:$D$1000),2,FALSE)</f>
        <v>16</v>
      </c>
      <c r="Q330" s="33" t="s">
        <v>10</v>
      </c>
      <c r="R330" s="33">
        <f>VLOOKUP(Q330,怪物信息配置表!$A$2:$B$118,2,FALSE)</f>
        <v>1001</v>
      </c>
      <c r="S330" s="33">
        <v>1</v>
      </c>
      <c r="T330" s="110">
        <f>VLOOKUP($C330,怪物并表!$E$7:$N$1000,2+($D330-1)*3,FALSE)*S330*AJ330</f>
        <v>5209.5362374956539</v>
      </c>
      <c r="U330" s="110">
        <f>VLOOKUP($C330,怪物并表!$E$7:$N$1000,3+($D330-1)*3,FALSE)*S330*AK330</f>
        <v>316.38733493651409</v>
      </c>
      <c r="V330" s="110">
        <f>VLOOKUP($C330,怪物并表!$E$7:$N$1000,4+($D330-1)*3,FALSE)*S330*AL330</f>
        <v>193.26039652173918</v>
      </c>
      <c r="W330" s="33"/>
      <c r="X330" s="33"/>
      <c r="Y330" s="49">
        <f>VLOOKUP($C330,怪物并表!$E$7:$P$1000,12,FALSE)</f>
        <v>0</v>
      </c>
      <c r="Z330" s="49">
        <f>VLOOKUP($C330,怪物并表!$E$7:$P$1000,11,FALSE)*S330</f>
        <v>1273.248</v>
      </c>
      <c r="AA330" s="33"/>
      <c r="AB330" s="33"/>
      <c r="AC330" s="33"/>
      <c r="AD330" s="33">
        <f t="shared" si="39"/>
        <v>1</v>
      </c>
      <c r="AE330" s="2">
        <f t="shared" si="46"/>
        <v>810</v>
      </c>
      <c r="AF330" s="2" t="str">
        <f>IF(ISBLANK(AM330),IF(O330=6,"",IF(O330=1,VLOOKUP(R330,怪物信息配置表!B:H,5,FALSE),IF(O330=2,VLOOKUP(R330,怪物信息配置表!B:H,6,FALSE),IF(OR(O330=3,O330=5),VLOOKUP(R330,怪物信息配置表!B:H,7,FALSE),"")))),AM330)</f>
        <v>ai_monster</v>
      </c>
      <c r="AG330" s="2"/>
      <c r="AH330" s="15">
        <f>SUMPRODUCT(T330:V330,$AN$3:$AP$3)+ROUNDDOWN(VLOOKUP(P330,CHOOSE({1,2},'[1]消耗&amp;价值&amp;分析'!$C$7:$C$106,'[1]消耗&amp;价值&amp;分析'!$AS$7:$AS$106),2,FALSE)*0.6,0)</f>
        <v>941.02918095807945</v>
      </c>
      <c r="AJ330" s="80">
        <v>1</v>
      </c>
      <c r="AK330" s="80">
        <v>1</v>
      </c>
      <c r="AL330" s="80">
        <v>1</v>
      </c>
    </row>
    <row r="331" spans="1:38">
      <c r="A331" s="33" t="str">
        <f>怪物并表!$R$8</f>
        <v>精英副本</v>
      </c>
      <c r="B331" s="38">
        <v>4</v>
      </c>
      <c r="C331" s="33">
        <f t="shared" si="45"/>
        <v>1204</v>
      </c>
      <c r="D331" s="33">
        <v>3</v>
      </c>
      <c r="E331" s="33">
        <f>VLOOKUP(A331,怪物并表!$R$7:$S$14,2,FALSE)</f>
        <v>2</v>
      </c>
      <c r="F331" s="38">
        <v>1</v>
      </c>
      <c r="G331" s="38">
        <v>4</v>
      </c>
      <c r="H331" s="38">
        <v>0</v>
      </c>
      <c r="I331" s="33">
        <f t="shared" si="41"/>
        <v>214004</v>
      </c>
      <c r="J331" s="33" t="s">
        <v>698</v>
      </c>
      <c r="K331" s="33"/>
      <c r="L331" s="33">
        <v>1</v>
      </c>
      <c r="M331" s="33">
        <v>1.2</v>
      </c>
      <c r="N331" s="33"/>
      <c r="O331" s="33">
        <v>3</v>
      </c>
      <c r="P331" s="33">
        <f>VLOOKUP($C331,CHOOSE({1,2},怪物并表!$E$7:$E$1000,怪物并表!$D$7:$D$1000),2,FALSE)</f>
        <v>16</v>
      </c>
      <c r="Q331" s="33" t="s">
        <v>10</v>
      </c>
      <c r="R331" s="33">
        <f>VLOOKUP(Q331,怪物信息配置表!$A$2:$B$118,2,FALSE)</f>
        <v>1001</v>
      </c>
      <c r="S331" s="33">
        <v>1</v>
      </c>
      <c r="T331" s="110">
        <f>VLOOKUP($C331,怪物并表!$E$7:$N$1000,2+($D331-1)*3,FALSE)*S331*AJ331</f>
        <v>13023.840593739136</v>
      </c>
      <c r="U331" s="110">
        <f>VLOOKUP($C331,怪物并表!$E$7:$N$1000,3+($D331-1)*3,FALSE)*S331*AK331</f>
        <v>343.70937931512117</v>
      </c>
      <c r="V331" s="110">
        <f>VLOOKUP($C331,怪物并表!$E$7:$N$1000,4+($D331-1)*3,FALSE)*S331*AL331</f>
        <v>235.50801808695658</v>
      </c>
      <c r="W331" s="33"/>
      <c r="X331" s="33"/>
      <c r="Y331" s="49">
        <f>VLOOKUP($C331,怪物并表!$E$7:$P$1000,12,FALSE)</f>
        <v>0</v>
      </c>
      <c r="Z331" s="49">
        <f>VLOOKUP($C331,怪物并表!$E$7:$P$1000,11,FALSE)*S331</f>
        <v>1273.248</v>
      </c>
      <c r="AA331" s="33"/>
      <c r="AB331" s="33"/>
      <c r="AC331" s="33"/>
      <c r="AD331" s="33">
        <f t="shared" si="39"/>
        <v>1.5</v>
      </c>
      <c r="AE331" s="2">
        <f t="shared" si="46"/>
        <v>715</v>
      </c>
      <c r="AF331" s="2" t="str">
        <f>IF(ISBLANK(AM331),IF(O331=6,"",IF(O331=1,VLOOKUP(R331,怪物信息配置表!B:H,5,FALSE),IF(O331=2,VLOOKUP(R331,怪物信息配置表!B:H,6,FALSE),IF(OR(O331=3,O331=5),VLOOKUP(R331,怪物信息配置表!B:H,7,FALSE),"")))),AM331)</f>
        <v>1001_quanbing_BOSS</v>
      </c>
      <c r="AG331" s="2"/>
      <c r="AH331" s="15">
        <f>SUMPRODUCT(T331:V331,$AN$3:$AP$3)+ROUNDDOWN(VLOOKUP(P331,CHOOSE({1,2},'[1]消耗&amp;价值&amp;分析'!$C$7:$C$106,'[1]消耗&amp;价值&amp;分析'!$AS$7:$AS$106),2,FALSE)*0.6,0)</f>
        <v>1323.1710211516433</v>
      </c>
      <c r="AJ331" s="80">
        <v>1</v>
      </c>
      <c r="AK331" s="80">
        <v>1</v>
      </c>
      <c r="AL331" s="80">
        <v>1</v>
      </c>
    </row>
    <row r="332" spans="1:38">
      <c r="A332" s="33" t="str">
        <f>怪物并表!$R$8</f>
        <v>精英副本</v>
      </c>
      <c r="B332" s="38">
        <v>1</v>
      </c>
      <c r="C332" s="33">
        <f t="shared" si="45"/>
        <v>1205</v>
      </c>
      <c r="D332" s="33">
        <v>1</v>
      </c>
      <c r="E332" s="33">
        <f>VLOOKUP(A332,怪物并表!$R$7:$S$14,2,FALSE)</f>
        <v>2</v>
      </c>
      <c r="F332" s="38">
        <v>1</v>
      </c>
      <c r="G332" s="38">
        <v>5</v>
      </c>
      <c r="H332" s="38">
        <v>0</v>
      </c>
      <c r="I332" s="33">
        <f t="shared" si="41"/>
        <v>215001</v>
      </c>
      <c r="J332" s="33" t="s">
        <v>449</v>
      </c>
      <c r="K332" s="33"/>
      <c r="L332" s="33">
        <v>1</v>
      </c>
      <c r="M332" s="33">
        <v>1</v>
      </c>
      <c r="N332" s="33"/>
      <c r="O332" s="33">
        <v>1</v>
      </c>
      <c r="P332" s="33">
        <f>VLOOKUP($C332,CHOOSE({1,2},怪物并表!$E$7:$E$1000,怪物并表!$D$7:$D$1000),2,FALSE)</f>
        <v>17</v>
      </c>
      <c r="Q332" s="33" t="s">
        <v>7</v>
      </c>
      <c r="R332" s="33">
        <f>VLOOKUP(Q332,怪物信息配置表!$A$2:$B$118,2,FALSE)</f>
        <v>1002</v>
      </c>
      <c r="S332" s="33">
        <v>1</v>
      </c>
      <c r="T332" s="110">
        <f>VLOOKUP($C332,怪物并表!$E$7:$N$1000,2+($D332-1)*3,FALSE)*S332*AJ332</f>
        <v>6080.7246165838169</v>
      </c>
      <c r="U332" s="110">
        <f>VLOOKUP($C332,怪物并表!$E$7:$N$1000,3+($D332-1)*3,FALSE)*S332*AK332</f>
        <v>362.24046477256223</v>
      </c>
      <c r="V332" s="110">
        <f>VLOOKUP($C332,怪物并表!$E$7:$N$1000,4+($D332-1)*3,FALSE)*S332*AL332</f>
        <v>220.83783652173918</v>
      </c>
      <c r="W332" s="33"/>
      <c r="X332" s="33"/>
      <c r="Y332" s="49">
        <f>VLOOKUP($C332,怪物并表!$E$7:$P$1000,12,FALSE)</f>
        <v>0</v>
      </c>
      <c r="Z332" s="49">
        <f>VLOOKUP($C332,怪物并表!$E$7:$P$1000,11,FALSE)*S332</f>
        <v>1331.4760000000001</v>
      </c>
      <c r="AA332" s="33"/>
      <c r="AB332" s="33"/>
      <c r="AC332" s="33"/>
      <c r="AD332" s="33">
        <f t="shared" si="39"/>
        <v>1</v>
      </c>
      <c r="AE332" s="2">
        <f t="shared" si="46"/>
        <v>798.125</v>
      </c>
      <c r="AF332" s="2" t="str">
        <f>IF(ISBLANK(AM332),IF(O332=6,"",IF(O332=1,VLOOKUP(R332,怪物信息配置表!B:H,5,FALSE),IF(O332=2,VLOOKUP(R332,怪物信息配置表!B:H,6,FALSE),IF(OR(O332=3,O332=5),VLOOKUP(R332,怪物信息配置表!B:H,7,FALSE),"")))),AM332)</f>
        <v>ai_monster</v>
      </c>
      <c r="AG332" s="2"/>
      <c r="AH332" s="15">
        <f>SUMPRODUCT(T332:V332,$AN$3:$AP$3)+ROUNDDOWN(VLOOKUP(P332,CHOOSE({1,2},'[1]消耗&amp;价值&amp;分析'!$C$7:$C$106,'[1]消耗&amp;价值&amp;分析'!$AS$7:$AS$106),2,FALSE)*0.6,0)</f>
        <v>1081.3072859576541</v>
      </c>
      <c r="AJ332" s="80">
        <v>1</v>
      </c>
      <c r="AK332" s="80">
        <v>1</v>
      </c>
      <c r="AL332" s="80">
        <v>1</v>
      </c>
    </row>
    <row r="333" spans="1:38">
      <c r="A333" s="33" t="str">
        <f>怪物并表!$R$8</f>
        <v>精英副本</v>
      </c>
      <c r="B333" s="38">
        <v>2</v>
      </c>
      <c r="C333" s="33">
        <f t="shared" si="45"/>
        <v>1205</v>
      </c>
      <c r="D333" s="33">
        <v>1</v>
      </c>
      <c r="E333" s="33">
        <f>VLOOKUP(A333,怪物并表!$R$7:$S$14,2,FALSE)</f>
        <v>2</v>
      </c>
      <c r="F333" s="38">
        <v>1</v>
      </c>
      <c r="G333" s="38">
        <v>5</v>
      </c>
      <c r="H333" s="38">
        <v>0</v>
      </c>
      <c r="I333" s="33">
        <f t="shared" si="41"/>
        <v>215002</v>
      </c>
      <c r="J333" s="33" t="s">
        <v>465</v>
      </c>
      <c r="K333" s="33"/>
      <c r="L333" s="33">
        <v>1</v>
      </c>
      <c r="M333" s="33">
        <v>1</v>
      </c>
      <c r="N333" s="33"/>
      <c r="O333" s="33">
        <v>1</v>
      </c>
      <c r="P333" s="33">
        <f>VLOOKUP($C333,CHOOSE({1,2},怪物并表!$E$7:$E$1000,怪物并表!$D$7:$D$1000),2,FALSE)</f>
        <v>17</v>
      </c>
      <c r="Q333" s="33" t="s">
        <v>10</v>
      </c>
      <c r="R333" s="33">
        <f>VLOOKUP(Q333,怪物信息配置表!$A$2:$B$118,2,FALSE)</f>
        <v>1001</v>
      </c>
      <c r="S333" s="33">
        <v>1</v>
      </c>
      <c r="T333" s="110">
        <f>VLOOKUP($C333,怪物并表!$E$7:$N$1000,2+($D333-1)*3,FALSE)*S333*AJ333</f>
        <v>6080.7246165838169</v>
      </c>
      <c r="U333" s="110">
        <f>VLOOKUP($C333,怪物并表!$E$7:$N$1000,3+($D333-1)*3,FALSE)*S333*AK333</f>
        <v>362.24046477256223</v>
      </c>
      <c r="V333" s="110">
        <f>VLOOKUP($C333,怪物并表!$E$7:$N$1000,4+($D333-1)*3,FALSE)*S333*AL333</f>
        <v>220.83783652173918</v>
      </c>
      <c r="W333" s="33"/>
      <c r="X333" s="33"/>
      <c r="Y333" s="49">
        <f>VLOOKUP($C333,怪物并表!$E$7:$P$1000,12,FALSE)</f>
        <v>0</v>
      </c>
      <c r="Z333" s="49">
        <f>VLOOKUP($C333,怪物并表!$E$7:$P$1000,11,FALSE)*S333</f>
        <v>1331.4760000000001</v>
      </c>
      <c r="AA333" s="33"/>
      <c r="AB333" s="33"/>
      <c r="AC333" s="33"/>
      <c r="AD333" s="33">
        <f t="shared" si="39"/>
        <v>1</v>
      </c>
      <c r="AE333" s="2">
        <f t="shared" si="46"/>
        <v>798.125</v>
      </c>
      <c r="AF333" s="2" t="str">
        <f>IF(ISBLANK(AM333),IF(O333=6,"",IF(O333=1,VLOOKUP(R333,怪物信息配置表!B:H,5,FALSE),IF(O333=2,VLOOKUP(R333,怪物信息配置表!B:H,6,FALSE),IF(OR(O333=3,O333=5),VLOOKUP(R333,怪物信息配置表!B:H,7,FALSE),"")))),AM333)</f>
        <v>ai_monster</v>
      </c>
      <c r="AG333" s="2"/>
      <c r="AH333" s="15">
        <f>SUMPRODUCT(T333:V333,$AN$3:$AP$3)+ROUNDDOWN(VLOOKUP(P333,CHOOSE({1,2},'[1]消耗&amp;价值&amp;分析'!$C$7:$C$106,'[1]消耗&amp;价值&amp;分析'!$AS$7:$AS$106),2,FALSE)*0.6,0)</f>
        <v>1081.3072859576541</v>
      </c>
      <c r="AJ333" s="80">
        <v>1</v>
      </c>
      <c r="AK333" s="80">
        <v>1</v>
      </c>
      <c r="AL333" s="80">
        <v>1</v>
      </c>
    </row>
    <row r="334" spans="1:38">
      <c r="A334" s="33" t="str">
        <f>怪物并表!$R$8</f>
        <v>精英副本</v>
      </c>
      <c r="B334" s="38">
        <v>3</v>
      </c>
      <c r="C334" s="33">
        <f t="shared" si="45"/>
        <v>1205</v>
      </c>
      <c r="D334" s="33">
        <v>1</v>
      </c>
      <c r="E334" s="33">
        <f>VLOOKUP(A334,怪物并表!$R$7:$S$14,2,FALSE)</f>
        <v>2</v>
      </c>
      <c r="F334" s="38">
        <v>1</v>
      </c>
      <c r="G334" s="38">
        <v>5</v>
      </c>
      <c r="H334" s="38">
        <v>0</v>
      </c>
      <c r="I334" s="33">
        <f t="shared" si="41"/>
        <v>215003</v>
      </c>
      <c r="J334" s="33">
        <v>0</v>
      </c>
      <c r="K334" s="33"/>
      <c r="L334" s="33">
        <v>1</v>
      </c>
      <c r="M334" s="33">
        <v>1</v>
      </c>
      <c r="N334" s="33"/>
      <c r="O334" s="33">
        <v>1</v>
      </c>
      <c r="P334" s="33">
        <f>VLOOKUP($C334,CHOOSE({1,2},怪物并表!$E$7:$E$1000,怪物并表!$D$7:$D$1000),2,FALSE)</f>
        <v>17</v>
      </c>
      <c r="Q334" s="33" t="s">
        <v>15</v>
      </c>
      <c r="R334" s="33">
        <f>VLOOKUP(Q334,怪物信息配置表!$A$2:$B$118,2,FALSE)</f>
        <v>1004</v>
      </c>
      <c r="S334" s="33">
        <v>1</v>
      </c>
      <c r="T334" s="110">
        <f>VLOOKUP($C334,怪物并表!$E$7:$N$1000,2+($D334-1)*3,FALSE)*S334*AJ334</f>
        <v>6080.7246165838169</v>
      </c>
      <c r="U334" s="110">
        <f>VLOOKUP($C334,怪物并表!$E$7:$N$1000,3+($D334-1)*3,FALSE)*S334*AK334</f>
        <v>362.24046477256223</v>
      </c>
      <c r="V334" s="110">
        <f>VLOOKUP($C334,怪物并表!$E$7:$N$1000,4+($D334-1)*3,FALSE)*S334*AL334</f>
        <v>220.83783652173918</v>
      </c>
      <c r="W334" s="33"/>
      <c r="X334" s="33"/>
      <c r="Y334" s="49">
        <f>VLOOKUP($C334,怪物并表!$E$7:$P$1000,12,FALSE)</f>
        <v>0</v>
      </c>
      <c r="Z334" s="49">
        <f>VLOOKUP($C334,怪物并表!$E$7:$P$1000,11,FALSE)*S334</f>
        <v>1331.4760000000001</v>
      </c>
      <c r="AA334" s="33"/>
      <c r="AB334" s="33"/>
      <c r="AC334" s="33"/>
      <c r="AD334" s="33">
        <f t="shared" si="39"/>
        <v>1</v>
      </c>
      <c r="AE334" s="2">
        <f t="shared" si="46"/>
        <v>798.125</v>
      </c>
      <c r="AF334" s="2" t="str">
        <f>IF(ISBLANK(AM334),IF(O334=6,"",IF(O334=1,VLOOKUP(R334,怪物信息配置表!B:H,5,FALSE),IF(O334=2,VLOOKUP(R334,怪物信息配置表!B:H,6,FALSE),IF(OR(O334=3,O334=5),VLOOKUP(R334,怪物信息配置表!B:H,7,FALSE),"")))),AM334)</f>
        <v>ai_monster</v>
      </c>
      <c r="AG334" s="2"/>
      <c r="AH334" s="15">
        <f>SUMPRODUCT(T334:V334,$AN$3:$AP$3)+ROUNDDOWN(VLOOKUP(P334,CHOOSE({1,2},'[1]消耗&amp;价值&amp;分析'!$C$7:$C$106,'[1]消耗&amp;价值&amp;分析'!$AS$7:$AS$106),2,FALSE)*0.6,0)</f>
        <v>1081.3072859576541</v>
      </c>
      <c r="AJ334" s="80">
        <v>1</v>
      </c>
      <c r="AK334" s="80">
        <v>1</v>
      </c>
      <c r="AL334" s="80">
        <v>1</v>
      </c>
    </row>
    <row r="335" spans="1:38">
      <c r="A335" s="33" t="str">
        <f>怪物并表!$R$8</f>
        <v>精英副本</v>
      </c>
      <c r="B335" s="38">
        <v>4</v>
      </c>
      <c r="C335" s="33">
        <f t="shared" si="45"/>
        <v>1205</v>
      </c>
      <c r="D335" s="33">
        <v>3</v>
      </c>
      <c r="E335" s="33">
        <f>VLOOKUP(A335,怪物并表!$R$7:$S$14,2,FALSE)</f>
        <v>2</v>
      </c>
      <c r="F335" s="38">
        <v>1</v>
      </c>
      <c r="G335" s="38">
        <v>5</v>
      </c>
      <c r="H335" s="38">
        <v>0</v>
      </c>
      <c r="I335" s="33">
        <f t="shared" si="41"/>
        <v>215004</v>
      </c>
      <c r="J335" s="33" t="s">
        <v>699</v>
      </c>
      <c r="K335" s="33"/>
      <c r="L335" s="33">
        <v>1</v>
      </c>
      <c r="M335" s="33">
        <v>1.2</v>
      </c>
      <c r="N335" s="33"/>
      <c r="O335" s="33">
        <v>3</v>
      </c>
      <c r="P335" s="33">
        <f>VLOOKUP($C335,CHOOSE({1,2},怪物并表!$E$7:$E$1000,怪物并表!$D$7:$D$1000),2,FALSE)</f>
        <v>17</v>
      </c>
      <c r="Q335" s="33" t="s">
        <v>14</v>
      </c>
      <c r="R335" s="33">
        <f>VLOOKUP(Q335,怪物信息配置表!$A$2:$B$118,2,FALSE)</f>
        <v>1010</v>
      </c>
      <c r="S335" s="33">
        <v>1</v>
      </c>
      <c r="T335" s="110">
        <f>VLOOKUP($C335,怪物并表!$E$7:$N$1000,2+($D335-1)*3,FALSE)*S335*AJ335</f>
        <v>15201.811541459543</v>
      </c>
      <c r="U335" s="110">
        <f>VLOOKUP($C335,怪物并表!$E$7:$N$1000,3+($D335-1)*3,FALSE)*S335*AK335</f>
        <v>394.53622381403113</v>
      </c>
      <c r="V335" s="110">
        <f>VLOOKUP($C335,怪物并表!$E$7:$N$1000,4+($D335-1)*3,FALSE)*S335*AL335</f>
        <v>267.01302052173912</v>
      </c>
      <c r="W335" s="33"/>
      <c r="X335" s="33"/>
      <c r="Y335" s="49">
        <f>VLOOKUP($C335,怪物并表!$E$7:$P$1000,12,FALSE)</f>
        <v>0</v>
      </c>
      <c r="Z335" s="49">
        <f>VLOOKUP($C335,怪物并表!$E$7:$P$1000,11,FALSE)*S335</f>
        <v>1331.4760000000001</v>
      </c>
      <c r="AA335" s="33"/>
      <c r="AB335" s="33"/>
      <c r="AC335" s="33"/>
      <c r="AD335" s="33">
        <f t="shared" si="39"/>
        <v>1.5</v>
      </c>
      <c r="AE335" s="2">
        <f t="shared" si="46"/>
        <v>697.1875</v>
      </c>
      <c r="AF335" s="2" t="str">
        <f>IF(ISBLANK(AM335),IF(O335=6,"",IF(O335=1,VLOOKUP(R335,怪物信息配置表!B:H,5,FALSE),IF(O335=2,VLOOKUP(R335,怪物信息配置表!B:H,6,FALSE),IF(OR(O335=3,O335=5),VLOOKUP(R335,怪物信息配置表!B:H,7,FALSE),"")))),AM335)</f>
        <v>1010_gunnan_BOSS</v>
      </c>
      <c r="AG335" s="2"/>
      <c r="AH335" s="15">
        <f>SUMPRODUCT(T335:V335,$AN$3:$AP$3)+ROUNDDOWN(VLOOKUP(P335,CHOOSE({1,2},'[1]消耗&amp;价值&amp;分析'!$C$7:$C$106,'[1]消耗&amp;价值&amp;分析'!$AS$7:$AS$106),2,FALSE)*0.6,0)</f>
        <v>1524.6217059941519</v>
      </c>
      <c r="AJ335" s="80">
        <v>1</v>
      </c>
      <c r="AK335" s="80">
        <v>1</v>
      </c>
      <c r="AL335" s="80">
        <v>1</v>
      </c>
    </row>
    <row r="336" spans="1:38">
      <c r="A336" s="33" t="str">
        <f>怪物并表!$R$8</f>
        <v>精英副本</v>
      </c>
      <c r="B336" s="38">
        <v>1</v>
      </c>
      <c r="C336" s="33">
        <f t="shared" si="45"/>
        <v>1206</v>
      </c>
      <c r="D336" s="33">
        <v>1</v>
      </c>
      <c r="E336" s="33">
        <f>VLOOKUP(A336,怪物并表!$R$7:$S$14,2,FALSE)</f>
        <v>2</v>
      </c>
      <c r="F336" s="38">
        <v>1</v>
      </c>
      <c r="G336" s="38">
        <v>6</v>
      </c>
      <c r="H336" s="38">
        <v>0</v>
      </c>
      <c r="I336" s="33">
        <f t="shared" si="41"/>
        <v>216001</v>
      </c>
      <c r="J336" s="33" t="s">
        <v>216</v>
      </c>
      <c r="K336" s="33"/>
      <c r="L336" s="33">
        <v>1</v>
      </c>
      <c r="M336" s="33">
        <v>1</v>
      </c>
      <c r="N336" s="33"/>
      <c r="O336" s="33">
        <v>1</v>
      </c>
      <c r="P336" s="33">
        <f>VLOOKUP($C336,CHOOSE({1,2},怪物并表!$E$7:$E$1000,怪物并表!$D$7:$D$1000),2,FALSE)</f>
        <v>18</v>
      </c>
      <c r="Q336" s="33" t="s">
        <v>12</v>
      </c>
      <c r="R336" s="33">
        <f>VLOOKUP(Q336,怪物信息配置表!$A$2:$B$118,2,FALSE)</f>
        <v>1009</v>
      </c>
      <c r="S336" s="33">
        <v>1</v>
      </c>
      <c r="T336" s="110">
        <f>VLOOKUP($C336,怪物并表!$E$7:$N$1000,2+($D336-1)*3,FALSE)*S336*AJ336</f>
        <v>7043.7251387910801</v>
      </c>
      <c r="U336" s="110">
        <f>VLOOKUP($C336,怪物并表!$E$7:$N$1000,3+($D336-1)*3,FALSE)*S336*AK336</f>
        <v>412.2179551959448</v>
      </c>
      <c r="V336" s="110">
        <f>VLOOKUP($C336,怪物并表!$E$7:$N$1000,4+($D336-1)*3,FALSE)*S336*AL336</f>
        <v>250.6370086956523</v>
      </c>
      <c r="W336" s="33"/>
      <c r="X336" s="33"/>
      <c r="Y336" s="49">
        <f>VLOOKUP($C336,怪物并表!$E$7:$P$1000,12,FALSE)</f>
        <v>0</v>
      </c>
      <c r="Z336" s="49">
        <f>VLOOKUP($C336,怪物并表!$E$7:$P$1000,11,FALSE)*S336</f>
        <v>1389.704</v>
      </c>
      <c r="AA336" s="33"/>
      <c r="AB336" s="33"/>
      <c r="AC336" s="33"/>
      <c r="AD336" s="33">
        <f t="shared" si="39"/>
        <v>1</v>
      </c>
      <c r="AE336" s="2">
        <f t="shared" si="46"/>
        <v>786.25</v>
      </c>
      <c r="AF336" s="2" t="str">
        <f>IF(ISBLANK(AM336),IF(O336=6,"",IF(O336=1,VLOOKUP(R336,怪物信息配置表!B:H,5,FALSE),IF(O336=2,VLOOKUP(R336,怪物信息配置表!B:H,6,FALSE),IF(OR(O336=3,O336=5),VLOOKUP(R336,怪物信息配置表!B:H,7,FALSE),"")))),AM336)</f>
        <v>ai_monster</v>
      </c>
      <c r="AG336" s="2"/>
      <c r="AH336" s="15">
        <f>SUMPRODUCT(T336:V336,$AN$3:$AP$3)+ROUNDDOWN(VLOOKUP(P336,CHOOSE({1,2},'[1]消耗&amp;价值&amp;分析'!$C$7:$C$106,'[1]消耗&amp;价值&amp;分析'!$AS$7:$AS$106),2,FALSE)*0.6,0)</f>
        <v>1242.6039694432402</v>
      </c>
      <c r="AJ336" s="80">
        <v>1</v>
      </c>
      <c r="AK336" s="80">
        <v>1</v>
      </c>
      <c r="AL336" s="80">
        <v>1</v>
      </c>
    </row>
    <row r="337" spans="1:38">
      <c r="A337" s="33" t="str">
        <f>怪物并表!$R$8</f>
        <v>精英副本</v>
      </c>
      <c r="B337" s="38">
        <v>2</v>
      </c>
      <c r="C337" s="33">
        <f t="shared" si="45"/>
        <v>1206</v>
      </c>
      <c r="D337" s="33">
        <v>1</v>
      </c>
      <c r="E337" s="33">
        <f>VLOOKUP(A337,怪物并表!$R$7:$S$14,2,FALSE)</f>
        <v>2</v>
      </c>
      <c r="F337" s="38">
        <v>1</v>
      </c>
      <c r="G337" s="38">
        <v>6</v>
      </c>
      <c r="H337" s="38">
        <v>0</v>
      </c>
      <c r="I337" s="33">
        <f t="shared" si="41"/>
        <v>216002</v>
      </c>
      <c r="J337" s="33" t="s">
        <v>214</v>
      </c>
      <c r="K337" s="33"/>
      <c r="L337" s="33">
        <v>1</v>
      </c>
      <c r="M337" s="33">
        <v>1</v>
      </c>
      <c r="N337" s="33"/>
      <c r="O337" s="33">
        <v>1</v>
      </c>
      <c r="P337" s="33">
        <f>VLOOKUP($C337,CHOOSE({1,2},怪物并表!$E$7:$E$1000,怪物并表!$D$7:$D$1000),2,FALSE)</f>
        <v>18</v>
      </c>
      <c r="Q337" s="33" t="s">
        <v>10</v>
      </c>
      <c r="R337" s="33">
        <f>VLOOKUP(Q337,怪物信息配置表!$A$2:$B$118,2,FALSE)</f>
        <v>1001</v>
      </c>
      <c r="S337" s="33">
        <v>1</v>
      </c>
      <c r="T337" s="110">
        <f>VLOOKUP($C337,怪物并表!$E$7:$N$1000,2+($D337-1)*3,FALSE)*S337*AJ337</f>
        <v>7043.7251387910801</v>
      </c>
      <c r="U337" s="110">
        <f>VLOOKUP($C337,怪物并表!$E$7:$N$1000,3+($D337-1)*3,FALSE)*S337*AK337</f>
        <v>412.2179551959448</v>
      </c>
      <c r="V337" s="110">
        <f>VLOOKUP($C337,怪物并表!$E$7:$N$1000,4+($D337-1)*3,FALSE)*S337*AL337</f>
        <v>250.6370086956523</v>
      </c>
      <c r="W337" s="33"/>
      <c r="X337" s="33"/>
      <c r="Y337" s="49">
        <f>VLOOKUP($C337,怪物并表!$E$7:$P$1000,12,FALSE)</f>
        <v>0</v>
      </c>
      <c r="Z337" s="49">
        <f>VLOOKUP($C337,怪物并表!$E$7:$P$1000,11,FALSE)*S337</f>
        <v>1389.704</v>
      </c>
      <c r="AA337" s="33"/>
      <c r="AB337" s="33"/>
      <c r="AC337" s="33"/>
      <c r="AD337" s="33">
        <f t="shared" si="39"/>
        <v>1</v>
      </c>
      <c r="AE337" s="2">
        <f t="shared" si="46"/>
        <v>786.25</v>
      </c>
      <c r="AF337" s="2" t="str">
        <f>IF(ISBLANK(AM337),IF(O337=6,"",IF(O337=1,VLOOKUP(R337,怪物信息配置表!B:H,5,FALSE),IF(O337=2,VLOOKUP(R337,怪物信息配置表!B:H,6,FALSE),IF(OR(O337=3,O337=5),VLOOKUP(R337,怪物信息配置表!B:H,7,FALSE),"")))),AM337)</f>
        <v>ai_monster</v>
      </c>
      <c r="AG337" s="2"/>
      <c r="AH337" s="15">
        <f>SUMPRODUCT(T337:V337,$AN$3:$AP$3)+ROUNDDOWN(VLOOKUP(P337,CHOOSE({1,2},'[1]消耗&amp;价值&amp;分析'!$C$7:$C$106,'[1]消耗&amp;价值&amp;分析'!$AS$7:$AS$106),2,FALSE)*0.6,0)</f>
        <v>1242.6039694432402</v>
      </c>
      <c r="AJ337" s="80">
        <v>1</v>
      </c>
      <c r="AK337" s="80">
        <v>1</v>
      </c>
      <c r="AL337" s="80">
        <v>1</v>
      </c>
    </row>
    <row r="338" spans="1:38">
      <c r="A338" s="33" t="str">
        <f>怪物并表!$R$8</f>
        <v>精英副本</v>
      </c>
      <c r="B338" s="38">
        <v>3</v>
      </c>
      <c r="C338" s="33">
        <f t="shared" si="45"/>
        <v>1206</v>
      </c>
      <c r="D338" s="33">
        <v>1</v>
      </c>
      <c r="E338" s="33">
        <f>VLOOKUP(A338,怪物并表!$R$7:$S$14,2,FALSE)</f>
        <v>2</v>
      </c>
      <c r="F338" s="38">
        <v>1</v>
      </c>
      <c r="G338" s="38">
        <v>6</v>
      </c>
      <c r="H338" s="38">
        <v>0</v>
      </c>
      <c r="I338" s="33">
        <f t="shared" si="41"/>
        <v>216003</v>
      </c>
      <c r="J338" s="33">
        <v>0</v>
      </c>
      <c r="K338" s="33"/>
      <c r="L338" s="33">
        <v>1</v>
      </c>
      <c r="M338" s="33">
        <v>1</v>
      </c>
      <c r="N338" s="33"/>
      <c r="O338" s="33">
        <v>1</v>
      </c>
      <c r="P338" s="33">
        <f>VLOOKUP($C338,CHOOSE({1,2},怪物并表!$E$7:$E$1000,怪物并表!$D$7:$D$1000),2,FALSE)</f>
        <v>18</v>
      </c>
      <c r="Q338" s="33" t="s">
        <v>7</v>
      </c>
      <c r="R338" s="33">
        <f>VLOOKUP(Q338,怪物信息配置表!$A$2:$B$118,2,FALSE)</f>
        <v>1002</v>
      </c>
      <c r="S338" s="33">
        <v>1</v>
      </c>
      <c r="T338" s="110">
        <f>VLOOKUP($C338,怪物并表!$E$7:$N$1000,2+($D338-1)*3,FALSE)*S338*AJ338</f>
        <v>7043.7251387910801</v>
      </c>
      <c r="U338" s="110">
        <f>VLOOKUP($C338,怪物并表!$E$7:$N$1000,3+($D338-1)*3,FALSE)*S338*AK338</f>
        <v>412.2179551959448</v>
      </c>
      <c r="V338" s="110">
        <f>VLOOKUP($C338,怪物并表!$E$7:$N$1000,4+($D338-1)*3,FALSE)*S338*AL338</f>
        <v>250.6370086956523</v>
      </c>
      <c r="W338" s="33"/>
      <c r="X338" s="33"/>
      <c r="Y338" s="49">
        <f>VLOOKUP($C338,怪物并表!$E$7:$P$1000,12,FALSE)</f>
        <v>0</v>
      </c>
      <c r="Z338" s="49">
        <f>VLOOKUP($C338,怪物并表!$E$7:$P$1000,11,FALSE)*S338</f>
        <v>1389.704</v>
      </c>
      <c r="AA338" s="33"/>
      <c r="AB338" s="33"/>
      <c r="AC338" s="33"/>
      <c r="AD338" s="33">
        <f t="shared" si="39"/>
        <v>1</v>
      </c>
      <c r="AE338" s="2">
        <f t="shared" si="46"/>
        <v>786.25</v>
      </c>
      <c r="AF338" s="2" t="str">
        <f>IF(ISBLANK(AM338),IF(O338=6,"",IF(O338=1,VLOOKUP(R338,怪物信息配置表!B:H,5,FALSE),IF(O338=2,VLOOKUP(R338,怪物信息配置表!B:H,6,FALSE),IF(OR(O338=3,O338=5),VLOOKUP(R338,怪物信息配置表!B:H,7,FALSE),"")))),AM338)</f>
        <v>ai_monster</v>
      </c>
      <c r="AG338" s="2"/>
      <c r="AH338" s="15">
        <f>SUMPRODUCT(T338:V338,$AN$3:$AP$3)+ROUNDDOWN(VLOOKUP(P338,CHOOSE({1,2},'[1]消耗&amp;价值&amp;分析'!$C$7:$C$106,'[1]消耗&amp;价值&amp;分析'!$AS$7:$AS$106),2,FALSE)*0.6,0)</f>
        <v>1242.6039694432402</v>
      </c>
      <c r="AJ338" s="80">
        <v>1</v>
      </c>
      <c r="AK338" s="80">
        <v>1</v>
      </c>
      <c r="AL338" s="80">
        <v>1</v>
      </c>
    </row>
    <row r="339" spans="1:38">
      <c r="A339" s="33" t="str">
        <f>怪物并表!$R$8</f>
        <v>精英副本</v>
      </c>
      <c r="B339" s="38">
        <v>4</v>
      </c>
      <c r="C339" s="33">
        <f t="shared" si="45"/>
        <v>1206</v>
      </c>
      <c r="D339" s="33">
        <v>3</v>
      </c>
      <c r="E339" s="33">
        <f>VLOOKUP(A339,怪物并表!$R$7:$S$14,2,FALSE)</f>
        <v>2</v>
      </c>
      <c r="F339" s="38">
        <v>1</v>
      </c>
      <c r="G339" s="38">
        <v>6</v>
      </c>
      <c r="H339" s="38">
        <v>0</v>
      </c>
      <c r="I339" s="33">
        <f t="shared" si="41"/>
        <v>216004</v>
      </c>
      <c r="J339" s="33" t="s">
        <v>700</v>
      </c>
      <c r="K339" s="33"/>
      <c r="L339" s="33">
        <v>1</v>
      </c>
      <c r="M339" s="33">
        <v>1.2</v>
      </c>
      <c r="N339" s="33"/>
      <c r="O339" s="33">
        <v>3</v>
      </c>
      <c r="P339" s="33">
        <f>VLOOKUP($C339,CHOOSE({1,2},怪物并表!$E$7:$E$1000,怪物并表!$D$7:$D$1000),2,FALSE)</f>
        <v>18</v>
      </c>
      <c r="Q339" s="33" t="s">
        <v>9</v>
      </c>
      <c r="R339" s="33">
        <f>VLOOKUP(Q339,怪物信息配置表!$A$2:$B$118,2,FALSE)</f>
        <v>1003</v>
      </c>
      <c r="S339" s="33">
        <v>1</v>
      </c>
      <c r="T339" s="110">
        <f>VLOOKUP($C339,怪物并表!$E$7:$N$1000,2+($D339-1)*3,FALSE)*S339*AJ339</f>
        <v>17609.3128469777</v>
      </c>
      <c r="U339" s="110">
        <f>VLOOKUP($C339,怪物并表!$E$7:$N$1000,3+($D339-1)*3,FALSE)*S339*AK339</f>
        <v>450.10385580035108</v>
      </c>
      <c r="V339" s="110">
        <f>VLOOKUP($C339,怪物并表!$E$7:$N$1000,4+($D339-1)*3,FALSE)*S339*AL339</f>
        <v>300.76441043478275</v>
      </c>
      <c r="W339" s="33"/>
      <c r="X339" s="33"/>
      <c r="Y339" s="49">
        <f>VLOOKUP($C339,怪物并表!$E$7:$P$1000,12,FALSE)</f>
        <v>0</v>
      </c>
      <c r="Z339" s="49">
        <f>VLOOKUP($C339,怪物并表!$E$7:$P$1000,11,FALSE)*S339</f>
        <v>1389.704</v>
      </c>
      <c r="AA339" s="33"/>
      <c r="AB339" s="33"/>
      <c r="AC339" s="33"/>
      <c r="AD339" s="33">
        <f t="shared" si="39"/>
        <v>1.5</v>
      </c>
      <c r="AE339" s="2">
        <f t="shared" si="46"/>
        <v>679.375</v>
      </c>
      <c r="AF339" s="2" t="str">
        <f>IF(ISBLANK(AM339),IF(O339=6,"",IF(O339=1,VLOOKUP(R339,怪物信息配置表!B:H,5,FALSE),IF(O339=2,VLOOKUP(R339,怪物信息配置表!B:H,6,FALSE),IF(OR(O339=3,O339=5),VLOOKUP(R339,怪物信息配置表!B:H,7,FALSE),"")))),AM339)</f>
        <v>1003_FDB_BOSS</v>
      </c>
      <c r="AG339" s="2"/>
      <c r="AH339" s="15">
        <f>SUMPRODUCT(T339:V339,$AN$3:$AP$3)+ROUNDDOWN(VLOOKUP(P339,CHOOSE({1,2},'[1]消耗&amp;价值&amp;分析'!$C$7:$C$106,'[1]消耗&amp;价值&amp;分析'!$AS$7:$AS$106),2,FALSE)*0.6,0)</f>
        <v>1753.2407801142419</v>
      </c>
      <c r="AJ339" s="80">
        <v>1</v>
      </c>
      <c r="AK339" s="80">
        <v>1</v>
      </c>
      <c r="AL339" s="80">
        <v>1</v>
      </c>
    </row>
    <row r="340" spans="1:38">
      <c r="A340" s="33" t="str">
        <f>怪物并表!$R$8</f>
        <v>精英副本</v>
      </c>
      <c r="B340" s="38">
        <v>1</v>
      </c>
      <c r="C340" s="33">
        <f t="shared" ref="C340:C351" si="47">1000*F340+200+G340</f>
        <v>1207</v>
      </c>
      <c r="D340" s="33">
        <v>1</v>
      </c>
      <c r="E340" s="33">
        <f>VLOOKUP(A340,怪物并表!$R$7:$S$14,2,FALSE)</f>
        <v>2</v>
      </c>
      <c r="F340" s="38">
        <v>1</v>
      </c>
      <c r="G340" s="38">
        <v>7</v>
      </c>
      <c r="H340" s="38">
        <v>0</v>
      </c>
      <c r="I340" s="33">
        <f t="shared" si="41"/>
        <v>217001</v>
      </c>
      <c r="J340" s="33" t="s">
        <v>13</v>
      </c>
      <c r="K340" s="33"/>
      <c r="L340" s="33">
        <v>1</v>
      </c>
      <c r="M340" s="33">
        <v>1</v>
      </c>
      <c r="N340" s="33"/>
      <c r="O340" s="33">
        <v>1</v>
      </c>
      <c r="P340" s="33">
        <f>VLOOKUP($C340,CHOOSE({1,2},怪物并表!$E$7:$E$1000,怪物并表!$D$7:$D$1000),2,FALSE)</f>
        <v>19</v>
      </c>
      <c r="Q340" s="33" t="s">
        <v>13</v>
      </c>
      <c r="R340" s="33">
        <f>VLOOKUP(Q340,怪物信息配置表!$A$2:$B$118,2,FALSE)</f>
        <v>1007</v>
      </c>
      <c r="S340" s="33">
        <v>1</v>
      </c>
      <c r="T340" s="110">
        <f>VLOOKUP($C340,怪物并表!$E$7:$N$1000,2+($D340-1)*3,FALSE)*S340*AJ340</f>
        <v>8103.95364765661</v>
      </c>
      <c r="U340" s="110">
        <f>VLOOKUP($C340,怪物并表!$E$7:$N$1000,3+($D340-1)*3,FALSE)*S340*AK340</f>
        <v>462.95119439346365</v>
      </c>
      <c r="V340" s="110">
        <f>VLOOKUP($C340,怪物并表!$E$7:$N$1000,4+($D340-1)*3,FALSE)*S340*AL340</f>
        <v>282.73608000000013</v>
      </c>
      <c r="W340" s="33"/>
      <c r="X340" s="33"/>
      <c r="Y340" s="49">
        <f>VLOOKUP($C340,怪物并表!$E$7:$P$1000,12,FALSE)</f>
        <v>0</v>
      </c>
      <c r="Z340" s="49">
        <f>VLOOKUP($C340,怪物并表!$E$7:$P$1000,11,FALSE)*S340</f>
        <v>1447.932</v>
      </c>
      <c r="AA340" s="33"/>
      <c r="AB340" s="33"/>
      <c r="AC340" s="33"/>
      <c r="AD340" s="33">
        <f t="shared" ref="AD340:AD351" si="48">IF(D340=1,1,IF(D340=2,0.8,1.5))</f>
        <v>1</v>
      </c>
      <c r="AE340" s="2">
        <f t="shared" si="46"/>
        <v>774.375</v>
      </c>
      <c r="AF340" s="2" t="str">
        <f>IF(ISBLANK(AM340),IF(O340=6,"",IF(O340=1,VLOOKUP(R340,怪物信息配置表!B:H,5,FALSE),IF(O340=2,VLOOKUP(R340,怪物信息配置表!B:H,6,FALSE),IF(OR(O340=3,O340=5),VLOOKUP(R340,怪物信息配置表!B:H,7,FALSE),"")))),AM340)</f>
        <v>ai_monster_03</v>
      </c>
      <c r="AG340" s="2"/>
      <c r="AH340" s="15">
        <f>SUMPRODUCT(T340:V340,$AN$3:$AP$3)+ROUNDDOWN(VLOOKUP(P340,CHOOSE({1,2},'[1]消耗&amp;价值&amp;分析'!$C$7:$C$106,'[1]消耗&amp;价值&amp;分析'!$AS$7:$AS$106),2,FALSE)*0.6,0)</f>
        <v>1398.8454202997282</v>
      </c>
      <c r="AJ340" s="80">
        <v>1</v>
      </c>
      <c r="AK340" s="80">
        <v>1</v>
      </c>
      <c r="AL340" s="80">
        <v>1</v>
      </c>
    </row>
    <row r="341" spans="1:38">
      <c r="A341" s="33" t="str">
        <f>怪物并表!$R$8</f>
        <v>精英副本</v>
      </c>
      <c r="B341" s="38">
        <v>2</v>
      </c>
      <c r="C341" s="33">
        <f t="shared" si="47"/>
        <v>1207</v>
      </c>
      <c r="D341" s="33">
        <v>1</v>
      </c>
      <c r="E341" s="33">
        <f>VLOOKUP(A341,怪物并表!$R$7:$S$14,2,FALSE)</f>
        <v>2</v>
      </c>
      <c r="F341" s="38">
        <v>1</v>
      </c>
      <c r="G341" s="38">
        <v>7</v>
      </c>
      <c r="H341" s="38">
        <v>0</v>
      </c>
      <c r="I341" s="33">
        <f t="shared" si="41"/>
        <v>217002</v>
      </c>
      <c r="J341" s="33" t="s">
        <v>214</v>
      </c>
      <c r="K341" s="33"/>
      <c r="L341" s="33">
        <v>1</v>
      </c>
      <c r="M341" s="33">
        <v>1</v>
      </c>
      <c r="N341" s="33"/>
      <c r="O341" s="33">
        <v>1</v>
      </c>
      <c r="P341" s="33">
        <f>VLOOKUP($C341,CHOOSE({1,2},怪物并表!$E$7:$E$1000,怪物并表!$D$7:$D$1000),2,FALSE)</f>
        <v>19</v>
      </c>
      <c r="Q341" s="33" t="s">
        <v>10</v>
      </c>
      <c r="R341" s="33">
        <f>VLOOKUP(Q341,怪物信息配置表!$A$2:$B$118,2,FALSE)</f>
        <v>1001</v>
      </c>
      <c r="S341" s="33">
        <v>1</v>
      </c>
      <c r="T341" s="110">
        <f>VLOOKUP($C341,怪物并表!$E$7:$N$1000,2+($D341-1)*3,FALSE)*S341*AJ341</f>
        <v>8103.95364765661</v>
      </c>
      <c r="U341" s="110">
        <f>VLOOKUP($C341,怪物并表!$E$7:$N$1000,3+($D341-1)*3,FALSE)*S341*AK341</f>
        <v>462.95119439346365</v>
      </c>
      <c r="V341" s="110">
        <f>VLOOKUP($C341,怪物并表!$E$7:$N$1000,4+($D341-1)*3,FALSE)*S341*AL341</f>
        <v>282.73608000000013</v>
      </c>
      <c r="W341" s="33"/>
      <c r="X341" s="33"/>
      <c r="Y341" s="49">
        <f>VLOOKUP($C341,怪物并表!$E$7:$P$1000,12,FALSE)</f>
        <v>0</v>
      </c>
      <c r="Z341" s="49">
        <f>VLOOKUP($C341,怪物并表!$E$7:$P$1000,11,FALSE)*S341</f>
        <v>1447.932</v>
      </c>
      <c r="AA341" s="33"/>
      <c r="AB341" s="33"/>
      <c r="AC341" s="33"/>
      <c r="AD341" s="33">
        <f t="shared" si="48"/>
        <v>1</v>
      </c>
      <c r="AE341" s="2">
        <f t="shared" si="46"/>
        <v>774.375</v>
      </c>
      <c r="AF341" s="2" t="str">
        <f>IF(ISBLANK(AM341),IF(O341=6,"",IF(O341=1,VLOOKUP(R341,怪物信息配置表!B:H,5,FALSE),IF(O341=2,VLOOKUP(R341,怪物信息配置表!B:H,6,FALSE),IF(OR(O341=3,O341=5),VLOOKUP(R341,怪物信息配置表!B:H,7,FALSE),"")))),AM341)</f>
        <v>ai_monster</v>
      </c>
      <c r="AG341" s="2"/>
      <c r="AH341" s="15">
        <f>SUMPRODUCT(T341:V341,$AN$3:$AP$3)+ROUNDDOWN(VLOOKUP(P341,CHOOSE({1,2},'[1]消耗&amp;价值&amp;分析'!$C$7:$C$106,'[1]消耗&amp;价值&amp;分析'!$AS$7:$AS$106),2,FALSE)*0.6,0)</f>
        <v>1398.8454202997282</v>
      </c>
      <c r="AJ341" s="80">
        <v>1</v>
      </c>
      <c r="AK341" s="80">
        <v>1</v>
      </c>
      <c r="AL341" s="80">
        <v>1</v>
      </c>
    </row>
    <row r="342" spans="1:38">
      <c r="A342" s="33" t="str">
        <f>怪物并表!$R$8</f>
        <v>精英副本</v>
      </c>
      <c r="B342" s="38">
        <v>3</v>
      </c>
      <c r="C342" s="33">
        <f t="shared" si="47"/>
        <v>1207</v>
      </c>
      <c r="D342" s="33">
        <v>1</v>
      </c>
      <c r="E342" s="33">
        <f>VLOOKUP(A342,怪物并表!$R$7:$S$14,2,FALSE)</f>
        <v>2</v>
      </c>
      <c r="F342" s="38">
        <v>1</v>
      </c>
      <c r="G342" s="38">
        <v>7</v>
      </c>
      <c r="H342" s="38">
        <v>0</v>
      </c>
      <c r="I342" s="33">
        <f t="shared" si="41"/>
        <v>217003</v>
      </c>
      <c r="J342" s="33">
        <v>0</v>
      </c>
      <c r="K342" s="33"/>
      <c r="L342" s="33">
        <v>1</v>
      </c>
      <c r="M342" s="33">
        <v>1</v>
      </c>
      <c r="N342" s="33"/>
      <c r="O342" s="33">
        <v>1</v>
      </c>
      <c r="P342" s="33">
        <f>VLOOKUP($C342,CHOOSE({1,2},怪物并表!$E$7:$E$1000,怪物并表!$D$7:$D$1000),2,FALSE)</f>
        <v>19</v>
      </c>
      <c r="Q342" s="33" t="s">
        <v>10</v>
      </c>
      <c r="R342" s="33">
        <f>VLOOKUP(Q342,怪物信息配置表!$A$2:$B$118,2,FALSE)</f>
        <v>1001</v>
      </c>
      <c r="S342" s="33">
        <v>1</v>
      </c>
      <c r="T342" s="110">
        <f>VLOOKUP($C342,怪物并表!$E$7:$N$1000,2+($D342-1)*3,FALSE)*S342*AJ342</f>
        <v>8103.95364765661</v>
      </c>
      <c r="U342" s="110">
        <f>VLOOKUP($C342,怪物并表!$E$7:$N$1000,3+($D342-1)*3,FALSE)*S342*AK342</f>
        <v>462.95119439346365</v>
      </c>
      <c r="V342" s="110">
        <f>VLOOKUP($C342,怪物并表!$E$7:$N$1000,4+($D342-1)*3,FALSE)*S342*AL342</f>
        <v>282.73608000000013</v>
      </c>
      <c r="W342" s="33"/>
      <c r="X342" s="33"/>
      <c r="Y342" s="49">
        <f>VLOOKUP($C342,怪物并表!$E$7:$P$1000,12,FALSE)</f>
        <v>0</v>
      </c>
      <c r="Z342" s="49">
        <f>VLOOKUP($C342,怪物并表!$E$7:$P$1000,11,FALSE)*S342</f>
        <v>1447.932</v>
      </c>
      <c r="AA342" s="33"/>
      <c r="AB342" s="33"/>
      <c r="AC342" s="33"/>
      <c r="AD342" s="33">
        <f t="shared" si="48"/>
        <v>1</v>
      </c>
      <c r="AE342" s="2">
        <f t="shared" si="46"/>
        <v>774.375</v>
      </c>
      <c r="AF342" s="2" t="str">
        <f>IF(ISBLANK(AM342),IF(O342=6,"",IF(O342=1,VLOOKUP(R342,怪物信息配置表!B:H,5,FALSE),IF(O342=2,VLOOKUP(R342,怪物信息配置表!B:H,6,FALSE),IF(OR(O342=3,O342=5),VLOOKUP(R342,怪物信息配置表!B:H,7,FALSE),"")))),AM342)</f>
        <v>ai_monster</v>
      </c>
      <c r="AG342" s="2"/>
      <c r="AH342" s="15">
        <f>SUMPRODUCT(T342:V342,$AN$3:$AP$3)+ROUNDDOWN(VLOOKUP(P342,CHOOSE({1,2},'[1]消耗&amp;价值&amp;分析'!$C$7:$C$106,'[1]消耗&amp;价值&amp;分析'!$AS$7:$AS$106),2,FALSE)*0.6,0)</f>
        <v>1398.8454202997282</v>
      </c>
      <c r="AJ342" s="80">
        <v>1</v>
      </c>
      <c r="AK342" s="80">
        <v>1</v>
      </c>
      <c r="AL342" s="80">
        <v>1</v>
      </c>
    </row>
    <row r="343" spans="1:38">
      <c r="A343" s="33" t="str">
        <f>怪物并表!$R$8</f>
        <v>精英副本</v>
      </c>
      <c r="B343" s="38">
        <v>4</v>
      </c>
      <c r="C343" s="33">
        <f t="shared" si="47"/>
        <v>1207</v>
      </c>
      <c r="D343" s="33">
        <v>3</v>
      </c>
      <c r="E343" s="33">
        <f>VLOOKUP(A343,怪物并表!$R$7:$S$14,2,FALSE)</f>
        <v>2</v>
      </c>
      <c r="F343" s="38">
        <v>1</v>
      </c>
      <c r="G343" s="38">
        <v>7</v>
      </c>
      <c r="H343" s="38">
        <v>0</v>
      </c>
      <c r="I343" s="33">
        <f t="shared" si="41"/>
        <v>217004</v>
      </c>
      <c r="J343" s="33" t="s">
        <v>701</v>
      </c>
      <c r="K343" s="33"/>
      <c r="L343" s="33">
        <v>1</v>
      </c>
      <c r="M343" s="33">
        <v>1.2</v>
      </c>
      <c r="N343" s="33"/>
      <c r="O343" s="33">
        <v>3</v>
      </c>
      <c r="P343" s="33">
        <f>VLOOKUP($C343,CHOOSE({1,2},怪物并表!$E$7:$E$1000,怪物并表!$D$7:$D$1000),2,FALSE)</f>
        <v>19</v>
      </c>
      <c r="Q343" s="33" t="s">
        <v>15</v>
      </c>
      <c r="R343" s="33">
        <f>VLOOKUP(Q343,怪物信息配置表!$A$2:$B$118,2,FALSE)</f>
        <v>1004</v>
      </c>
      <c r="S343" s="33">
        <v>1</v>
      </c>
      <c r="T343" s="110">
        <f>VLOOKUP($C343,怪物并表!$E$7:$N$1000,2+($D343-1)*3,FALSE)*S343*AJ343</f>
        <v>20259.884119141523</v>
      </c>
      <c r="U343" s="110">
        <f>VLOOKUP($C343,怪物并表!$E$7:$N$1000,3+($D343-1)*3,FALSE)*S343*AK343</f>
        <v>506.36994109824332</v>
      </c>
      <c r="V343" s="110">
        <f>VLOOKUP($C343,怪物并表!$E$7:$N$1000,4+($D343-1)*3,FALSE)*S343*AL343</f>
        <v>336.82472139130448</v>
      </c>
      <c r="W343" s="33"/>
      <c r="X343" s="33"/>
      <c r="Y343" s="49">
        <f>VLOOKUP($C343,怪物并表!$E$7:$P$1000,12,FALSE)</f>
        <v>0</v>
      </c>
      <c r="Z343" s="49">
        <f>VLOOKUP($C343,怪物并表!$E$7:$P$1000,11,FALSE)*S343</f>
        <v>1447.932</v>
      </c>
      <c r="AA343" s="33"/>
      <c r="AB343" s="33"/>
      <c r="AC343" s="33"/>
      <c r="AD343" s="33">
        <f t="shared" si="48"/>
        <v>1.5</v>
      </c>
      <c r="AE343" s="2">
        <f t="shared" si="46"/>
        <v>661.5625</v>
      </c>
      <c r="AF343" s="2" t="str">
        <f>IF(ISBLANK(AM343),IF(O343=6,"",IF(O343=1,VLOOKUP(R343,怪物信息配置表!B:H,5,FALSE),IF(O343=2,VLOOKUP(R343,怪物信息配置表!B:H,6,FALSE),IF(OR(O343=3,O343=5),VLOOKUP(R343,怪物信息配置表!B:H,7,FALSE),"")))),AM343)</f>
        <v>1004_pangzi_BOSS</v>
      </c>
      <c r="AG343" s="2"/>
      <c r="AH343" s="15">
        <f>SUMPRODUCT(T343:V343,$AN$3:$AP$3)+ROUNDDOWN(VLOOKUP(P343,CHOOSE({1,2},'[1]消耗&amp;价值&amp;分析'!$C$7:$C$106,'[1]消耗&amp;价值&amp;分析'!$AS$7:$AS$106),2,FALSE)*0.6,0)</f>
        <v>1982.590027255209</v>
      </c>
      <c r="AJ343" s="80">
        <v>1</v>
      </c>
      <c r="AK343" s="80">
        <v>1</v>
      </c>
      <c r="AL343" s="80">
        <v>1</v>
      </c>
    </row>
    <row r="344" spans="1:38">
      <c r="A344" s="33" t="str">
        <f>怪物并表!$R$8</f>
        <v>精英副本</v>
      </c>
      <c r="B344" s="38">
        <v>1</v>
      </c>
      <c r="C344" s="33">
        <f t="shared" si="47"/>
        <v>1208</v>
      </c>
      <c r="D344" s="33">
        <v>1</v>
      </c>
      <c r="E344" s="33">
        <f>VLOOKUP(A344,怪物并表!$R$7:$S$14,2,FALSE)</f>
        <v>2</v>
      </c>
      <c r="F344" s="38">
        <v>1</v>
      </c>
      <c r="G344" s="38">
        <v>8</v>
      </c>
      <c r="H344" s="38">
        <v>0</v>
      </c>
      <c r="I344" s="33">
        <f t="shared" si="41"/>
        <v>218001</v>
      </c>
      <c r="J344" s="33" t="s">
        <v>449</v>
      </c>
      <c r="K344" s="33"/>
      <c r="L344" s="33">
        <v>1</v>
      </c>
      <c r="M344" s="33">
        <v>1</v>
      </c>
      <c r="N344" s="33"/>
      <c r="O344" s="33">
        <v>1</v>
      </c>
      <c r="P344" s="33">
        <f>VLOOKUP($C344,CHOOSE({1,2},怪物并表!$E$7:$E$1000,怪物并表!$D$7:$D$1000),2,FALSE)</f>
        <v>20</v>
      </c>
      <c r="Q344" s="33" t="s">
        <v>7</v>
      </c>
      <c r="R344" s="33">
        <f>VLOOKUP(Q344,怪物信息配置表!$A$2:$B$118,2,FALSE)</f>
        <v>1002</v>
      </c>
      <c r="S344" s="33">
        <v>1</v>
      </c>
      <c r="T344" s="110">
        <f>VLOOKUP($C344,怪物并表!$E$7:$N$1000,2+($D344-1)*3,FALSE)*S344*AJ344</f>
        <v>9266.9585687400631</v>
      </c>
      <c r="U344" s="110">
        <f>VLOOKUP($C344,怪物并表!$E$7:$N$1000,3+($D344-1)*3,FALSE)*S344*AK344</f>
        <v>537.92413043478268</v>
      </c>
      <c r="V344" s="110">
        <f>VLOOKUP($C344,怪物并表!$E$7:$N$1000,4+($D344-1)*3,FALSE)*S344*AL344</f>
        <v>317.2132173913044</v>
      </c>
      <c r="W344" s="33"/>
      <c r="X344" s="33"/>
      <c r="Y344" s="49">
        <f>VLOOKUP($C344,怪物并表!$E$7:$P$1000,12,FALSE)</f>
        <v>0</v>
      </c>
      <c r="Z344" s="49">
        <f>VLOOKUP($C344,怪物并表!$E$7:$P$1000,11,FALSE)*S344</f>
        <v>1506.1599999999999</v>
      </c>
      <c r="AA344" s="33"/>
      <c r="AB344" s="33"/>
      <c r="AC344" s="33"/>
      <c r="AD344" s="33">
        <f t="shared" si="48"/>
        <v>1</v>
      </c>
      <c r="AE344" s="2">
        <f t="shared" si="46"/>
        <v>762.5</v>
      </c>
      <c r="AF344" s="2" t="str">
        <f>IF(ISBLANK(AM344),IF(O344=6,"",IF(O344=1,VLOOKUP(R344,怪物信息配置表!B:H,5,FALSE),IF(O344=2,VLOOKUP(R344,怪物信息配置表!B:H,6,FALSE),IF(OR(O344=3,O344=5),VLOOKUP(R344,怪物信息配置表!B:H,7,FALSE),"")))),AM344)</f>
        <v>ai_monster</v>
      </c>
      <c r="AG344" s="2"/>
      <c r="AH344" s="15">
        <f>SUMPRODUCT(T344:V344,$AN$3:$AP$3)+ROUNDDOWN(VLOOKUP(P344,CHOOSE({1,2},'[1]消耗&amp;价值&amp;分析'!$C$7:$C$106,'[1]消耗&amp;价值&amp;分析'!$AS$7:$AS$106),2,FALSE)*0.6,0)</f>
        <v>1585.8156905756896</v>
      </c>
      <c r="AJ344" s="80">
        <v>1</v>
      </c>
      <c r="AK344" s="80">
        <v>1</v>
      </c>
      <c r="AL344" s="80">
        <v>1</v>
      </c>
    </row>
    <row r="345" spans="1:38">
      <c r="A345" s="33" t="str">
        <f>怪物并表!$R$8</f>
        <v>精英副本</v>
      </c>
      <c r="B345" s="38">
        <v>2</v>
      </c>
      <c r="C345" s="33">
        <f t="shared" si="47"/>
        <v>1208</v>
      </c>
      <c r="D345" s="33">
        <v>1</v>
      </c>
      <c r="E345" s="33">
        <f>VLOOKUP(A345,怪物并表!$R$7:$S$14,2,FALSE)</f>
        <v>2</v>
      </c>
      <c r="F345" s="38">
        <v>1</v>
      </c>
      <c r="G345" s="38">
        <v>8</v>
      </c>
      <c r="H345" s="38">
        <v>0</v>
      </c>
      <c r="I345" s="33">
        <f t="shared" si="41"/>
        <v>218002</v>
      </c>
      <c r="J345" s="33" t="s">
        <v>455</v>
      </c>
      <c r="K345" s="33"/>
      <c r="L345" s="33">
        <v>1</v>
      </c>
      <c r="M345" s="33">
        <v>1</v>
      </c>
      <c r="N345" s="33"/>
      <c r="O345" s="33">
        <v>1</v>
      </c>
      <c r="P345" s="33">
        <f>VLOOKUP($C345,CHOOSE({1,2},怪物并表!$E$7:$E$1000,怪物并表!$D$7:$D$1000),2,FALSE)</f>
        <v>20</v>
      </c>
      <c r="Q345" s="33" t="s">
        <v>10</v>
      </c>
      <c r="R345" s="33">
        <f>VLOOKUP(Q345,怪物信息配置表!$A$2:$B$118,2,FALSE)</f>
        <v>1001</v>
      </c>
      <c r="S345" s="33">
        <v>1</v>
      </c>
      <c r="T345" s="110">
        <f>VLOOKUP($C345,怪物并表!$E$7:$N$1000,2+($D345-1)*3,FALSE)*S345*AJ345</f>
        <v>9266.9585687400631</v>
      </c>
      <c r="U345" s="110">
        <f>VLOOKUP($C345,怪物并表!$E$7:$N$1000,3+($D345-1)*3,FALSE)*S345*AK345</f>
        <v>537.92413043478268</v>
      </c>
      <c r="V345" s="110">
        <f>VLOOKUP($C345,怪物并表!$E$7:$N$1000,4+($D345-1)*3,FALSE)*S345*AL345</f>
        <v>317.2132173913044</v>
      </c>
      <c r="W345" s="33"/>
      <c r="X345" s="33"/>
      <c r="Y345" s="49">
        <f>VLOOKUP($C345,怪物并表!$E$7:$P$1000,12,FALSE)</f>
        <v>0</v>
      </c>
      <c r="Z345" s="49">
        <f>VLOOKUP($C345,怪物并表!$E$7:$P$1000,11,FALSE)*S345</f>
        <v>1506.1599999999999</v>
      </c>
      <c r="AA345" s="33"/>
      <c r="AB345" s="33"/>
      <c r="AC345" s="33"/>
      <c r="AD345" s="33">
        <f t="shared" si="48"/>
        <v>1</v>
      </c>
      <c r="AE345" s="2">
        <f t="shared" si="46"/>
        <v>762.5</v>
      </c>
      <c r="AF345" s="2" t="str">
        <f>IF(ISBLANK(AM345),IF(O345=6,"",IF(O345=1,VLOOKUP(R345,怪物信息配置表!B:H,5,FALSE),IF(O345=2,VLOOKUP(R345,怪物信息配置表!B:H,6,FALSE),IF(OR(O345=3,O345=5),VLOOKUP(R345,怪物信息配置表!B:H,7,FALSE),"")))),AM345)</f>
        <v>ai_monster</v>
      </c>
      <c r="AG345" s="2"/>
      <c r="AH345" s="15">
        <f>SUMPRODUCT(T345:V345,$AN$3:$AP$3)+ROUNDDOWN(VLOOKUP(P345,CHOOSE({1,2},'[1]消耗&amp;价值&amp;分析'!$C$7:$C$106,'[1]消耗&amp;价值&amp;分析'!$AS$7:$AS$106),2,FALSE)*0.6,0)</f>
        <v>1585.8156905756896</v>
      </c>
      <c r="AJ345" s="80">
        <v>1</v>
      </c>
      <c r="AK345" s="80">
        <v>1</v>
      </c>
      <c r="AL345" s="80">
        <v>1</v>
      </c>
    </row>
    <row r="346" spans="1:38">
      <c r="A346" s="33" t="str">
        <f>怪物并表!$R$8</f>
        <v>精英副本</v>
      </c>
      <c r="B346" s="38">
        <v>3</v>
      </c>
      <c r="C346" s="33">
        <f t="shared" si="47"/>
        <v>1208</v>
      </c>
      <c r="D346" s="33">
        <v>1</v>
      </c>
      <c r="E346" s="33">
        <f>VLOOKUP(A346,怪物并表!$R$7:$S$14,2,FALSE)</f>
        <v>2</v>
      </c>
      <c r="F346" s="38">
        <v>1</v>
      </c>
      <c r="G346" s="38">
        <v>8</v>
      </c>
      <c r="H346" s="38">
        <v>0</v>
      </c>
      <c r="I346" s="33">
        <f t="shared" si="41"/>
        <v>218003</v>
      </c>
      <c r="J346" s="33">
        <v>0</v>
      </c>
      <c r="K346" s="33"/>
      <c r="L346" s="33">
        <v>1</v>
      </c>
      <c r="M346" s="33">
        <v>1</v>
      </c>
      <c r="N346" s="33"/>
      <c r="O346" s="33">
        <v>1</v>
      </c>
      <c r="P346" s="33">
        <f>VLOOKUP($C346,CHOOSE({1,2},怪物并表!$E$7:$E$1000,怪物并表!$D$7:$D$1000),2,FALSE)</f>
        <v>20</v>
      </c>
      <c r="Q346" s="33" t="s">
        <v>15</v>
      </c>
      <c r="R346" s="33">
        <f>VLOOKUP(Q346,怪物信息配置表!$A$2:$B$118,2,FALSE)</f>
        <v>1004</v>
      </c>
      <c r="S346" s="33">
        <v>1</v>
      </c>
      <c r="T346" s="110">
        <f>VLOOKUP($C346,怪物并表!$E$7:$N$1000,2+($D346-1)*3,FALSE)*S346*AJ346</f>
        <v>9266.9585687400631</v>
      </c>
      <c r="U346" s="110">
        <f>VLOOKUP($C346,怪物并表!$E$7:$N$1000,3+($D346-1)*3,FALSE)*S346*AK346</f>
        <v>537.92413043478268</v>
      </c>
      <c r="V346" s="110">
        <f>VLOOKUP($C346,怪物并表!$E$7:$N$1000,4+($D346-1)*3,FALSE)*S346*AL346</f>
        <v>317.2132173913044</v>
      </c>
      <c r="W346" s="33"/>
      <c r="X346" s="33"/>
      <c r="Y346" s="49">
        <f>VLOOKUP($C346,怪物并表!$E$7:$P$1000,12,FALSE)</f>
        <v>0</v>
      </c>
      <c r="Z346" s="49">
        <f>VLOOKUP($C346,怪物并表!$E$7:$P$1000,11,FALSE)*S346</f>
        <v>1506.1599999999999</v>
      </c>
      <c r="AA346" s="33"/>
      <c r="AB346" s="33"/>
      <c r="AC346" s="33"/>
      <c r="AD346" s="33">
        <f t="shared" si="48"/>
        <v>1</v>
      </c>
      <c r="AE346" s="2">
        <f t="shared" si="46"/>
        <v>762.5</v>
      </c>
      <c r="AF346" s="2" t="str">
        <f>IF(ISBLANK(AM346),IF(O346=6,"",IF(O346=1,VLOOKUP(R346,怪物信息配置表!B:H,5,FALSE),IF(O346=2,VLOOKUP(R346,怪物信息配置表!B:H,6,FALSE),IF(OR(O346=3,O346=5),VLOOKUP(R346,怪物信息配置表!B:H,7,FALSE),"")))),AM346)</f>
        <v>ai_monster</v>
      </c>
      <c r="AG346" s="2"/>
      <c r="AH346" s="15">
        <f>SUMPRODUCT(T346:V346,$AN$3:$AP$3)+ROUNDDOWN(VLOOKUP(P346,CHOOSE({1,2},'[1]消耗&amp;价值&amp;分析'!$C$7:$C$106,'[1]消耗&amp;价值&amp;分析'!$AS$7:$AS$106),2,FALSE)*0.6,0)</f>
        <v>1585.8156905756896</v>
      </c>
      <c r="AJ346" s="80">
        <v>1</v>
      </c>
      <c r="AK346" s="80">
        <v>1</v>
      </c>
      <c r="AL346" s="80">
        <v>1</v>
      </c>
    </row>
    <row r="347" spans="1:38">
      <c r="A347" s="33" t="str">
        <f>怪物并表!$R$8</f>
        <v>精英副本</v>
      </c>
      <c r="B347" s="38">
        <v>4</v>
      </c>
      <c r="C347" s="33">
        <f t="shared" si="47"/>
        <v>1208</v>
      </c>
      <c r="D347" s="33">
        <v>3</v>
      </c>
      <c r="E347" s="33">
        <f>VLOOKUP(A347,怪物并表!$R$7:$S$14,2,FALSE)</f>
        <v>2</v>
      </c>
      <c r="F347" s="38">
        <v>1</v>
      </c>
      <c r="G347" s="38">
        <v>8</v>
      </c>
      <c r="H347" s="38">
        <v>0</v>
      </c>
      <c r="I347" s="33">
        <f t="shared" si="41"/>
        <v>218004</v>
      </c>
      <c r="J347" s="33" t="s">
        <v>702</v>
      </c>
      <c r="K347" s="33"/>
      <c r="L347" s="33">
        <v>1</v>
      </c>
      <c r="M347" s="33">
        <v>1.2</v>
      </c>
      <c r="N347" s="33"/>
      <c r="O347" s="33">
        <v>3</v>
      </c>
      <c r="P347" s="33">
        <f>VLOOKUP($C347,CHOOSE({1,2},怪物并表!$E$7:$E$1000,怪物并表!$D$7:$D$1000),2,FALSE)</f>
        <v>20</v>
      </c>
      <c r="Q347" s="33" t="s">
        <v>12</v>
      </c>
      <c r="R347" s="33">
        <f>VLOOKUP(Q347,怪物信息配置表!$A$2:$B$118,2,FALSE)</f>
        <v>1009</v>
      </c>
      <c r="S347" s="33">
        <v>1</v>
      </c>
      <c r="T347" s="110">
        <f>VLOOKUP($C347,怪物并表!$E$7:$N$1000,2+($D347-1)*3,FALSE)*S347*AJ347</f>
        <v>23167.396421850157</v>
      </c>
      <c r="U347" s="110">
        <f>VLOOKUP($C347,怪物并表!$E$7:$N$1000,3+($D347-1)*3,FALSE)*S347*AK347</f>
        <v>591.51521739130453</v>
      </c>
      <c r="V347" s="110">
        <f>VLOOKUP($C347,怪物并表!$E$7:$N$1000,4+($D347-1)*3,FALSE)*S347*AL347</f>
        <v>375.25648695652183</v>
      </c>
      <c r="W347" s="33"/>
      <c r="X347" s="33"/>
      <c r="Y347" s="49">
        <f>VLOOKUP($C347,怪物并表!$E$7:$P$1000,12,FALSE)</f>
        <v>0</v>
      </c>
      <c r="Z347" s="49">
        <f>VLOOKUP($C347,怪物并表!$E$7:$P$1000,11,FALSE)*S347</f>
        <v>1506.1599999999999</v>
      </c>
      <c r="AA347" s="33"/>
      <c r="AB347" s="33"/>
      <c r="AC347" s="33"/>
      <c r="AD347" s="33">
        <f t="shared" si="48"/>
        <v>1.5</v>
      </c>
      <c r="AE347" s="2">
        <f t="shared" si="46"/>
        <v>643.75</v>
      </c>
      <c r="AF347" s="2" t="str">
        <f>IF(ISBLANK(AM347),IF(O347=6,"",IF(O347=1,VLOOKUP(R347,怪物信息配置表!B:H,5,FALSE),IF(O347=2,VLOOKUP(R347,怪物信息配置表!B:H,6,FALSE),IF(OR(O347=3,O347=5),VLOOKUP(R347,怪物信息配置表!B:H,7,FALSE),"")))),AM347)</f>
        <v>1009_tiequan_BOSS</v>
      </c>
      <c r="AG347" s="2"/>
      <c r="AH347" s="15">
        <f>SUMPRODUCT(T347:V347,$AN$3:$AP$3)+ROUNDDOWN(VLOOKUP(P347,CHOOSE({1,2},'[1]消耗&amp;价值&amp;分析'!$C$7:$C$106,'[1]消耗&amp;价值&amp;分析'!$AS$7:$AS$106),2,FALSE)*0.6,0)</f>
        <v>2253.4675612218325</v>
      </c>
      <c r="AJ347" s="80">
        <v>1</v>
      </c>
      <c r="AK347" s="80">
        <v>1</v>
      </c>
      <c r="AL347" s="80">
        <v>1</v>
      </c>
    </row>
    <row r="348" spans="1:38">
      <c r="A348" s="33" t="str">
        <f>怪物并表!$R$8</f>
        <v>精英副本</v>
      </c>
      <c r="B348" s="38">
        <v>1</v>
      </c>
      <c r="C348" s="33">
        <f t="shared" si="47"/>
        <v>1209</v>
      </c>
      <c r="D348" s="33">
        <v>1</v>
      </c>
      <c r="E348" s="33">
        <f>VLOOKUP(A348,怪物并表!$R$7:$S$14,2,FALSE)</f>
        <v>2</v>
      </c>
      <c r="F348" s="38">
        <v>1</v>
      </c>
      <c r="G348" s="38">
        <v>9</v>
      </c>
      <c r="H348" s="38">
        <v>0</v>
      </c>
      <c r="I348" s="33">
        <f t="shared" si="41"/>
        <v>219001</v>
      </c>
      <c r="J348" s="33" t="s">
        <v>216</v>
      </c>
      <c r="K348" s="33"/>
      <c r="L348" s="33">
        <v>1</v>
      </c>
      <c r="M348" s="33">
        <v>1</v>
      </c>
      <c r="N348" s="33"/>
      <c r="O348" s="33">
        <v>1</v>
      </c>
      <c r="P348" s="33">
        <f>VLOOKUP($C348,CHOOSE({1,2},怪物并表!$E$7:$E$1000,怪物并表!$D$7:$D$1000),2,FALSE)</f>
        <v>21</v>
      </c>
      <c r="Q348" s="33" t="s">
        <v>12</v>
      </c>
      <c r="R348" s="33">
        <f>VLOOKUP(Q348,怪物信息配置表!$A$2:$B$118,2,FALSE)</f>
        <v>1009</v>
      </c>
      <c r="S348" s="33">
        <v>1</v>
      </c>
      <c r="T348" s="110">
        <f>VLOOKUP($C348,怪物并表!$E$7:$N$1000,2+($D348-1)*3,FALSE)*S348*AJ348</f>
        <v>10538.420506583165</v>
      </c>
      <c r="U348" s="110">
        <f>VLOOKUP($C348,怪物并表!$E$7:$N$1000,3+($D348-1)*3,FALSE)*S348*AK348</f>
        <v>598.79945779462264</v>
      </c>
      <c r="V348" s="110">
        <f>VLOOKUP($C348,怪物并表!$E$7:$N$1000,4+($D348-1)*3,FALSE)*S348*AL348</f>
        <v>354.14658782608711</v>
      </c>
      <c r="W348" s="33"/>
      <c r="X348" s="33"/>
      <c r="Y348" s="49">
        <f>VLOOKUP($C348,怪物并表!$E$7:$P$1000,12,FALSE)</f>
        <v>0</v>
      </c>
      <c r="Z348" s="49">
        <f>VLOOKUP($C348,怪物并表!$E$7:$P$1000,11,FALSE)*S348</f>
        <v>1564.3879999999999</v>
      </c>
      <c r="AA348" s="33"/>
      <c r="AB348" s="33"/>
      <c r="AC348" s="33"/>
      <c r="AD348" s="33">
        <f t="shared" si="48"/>
        <v>1</v>
      </c>
      <c r="AE348" s="2">
        <f t="shared" si="46"/>
        <v>750.625</v>
      </c>
      <c r="AF348" s="2" t="str">
        <f>IF(ISBLANK(AM348),IF(O348=6,"",IF(O348=1,VLOOKUP(R348,怪物信息配置表!B:H,5,FALSE),IF(O348=2,VLOOKUP(R348,怪物信息配置表!B:H,6,FALSE),IF(OR(O348=3,O348=5),VLOOKUP(R348,怪物信息配置表!B:H,7,FALSE),"")))),AM348)</f>
        <v>ai_monster</v>
      </c>
      <c r="AG348" s="2"/>
      <c r="AH348" s="15">
        <f>SUMPRODUCT(T348:V348,$AN$3:$AP$3)+ROUNDDOWN(VLOOKUP(P348,CHOOSE({1,2},'[1]消耗&amp;价值&amp;分析'!$C$7:$C$106,'[1]消耗&amp;价值&amp;分析'!$AS$7:$AS$106),2,FALSE)*0.6,0)</f>
        <v>1789.4828658840363</v>
      </c>
      <c r="AJ348" s="80">
        <v>1</v>
      </c>
      <c r="AK348" s="80">
        <v>1</v>
      </c>
      <c r="AL348" s="80">
        <v>1</v>
      </c>
    </row>
    <row r="349" spans="1:38">
      <c r="A349" s="33" t="str">
        <f>怪物并表!$R$8</f>
        <v>精英副本</v>
      </c>
      <c r="B349" s="38">
        <v>2</v>
      </c>
      <c r="C349" s="33">
        <f t="shared" si="47"/>
        <v>1209</v>
      </c>
      <c r="D349" s="33">
        <v>1</v>
      </c>
      <c r="E349" s="33">
        <f>VLOOKUP(A349,怪物并表!$R$7:$S$14,2,FALSE)</f>
        <v>2</v>
      </c>
      <c r="F349" s="38">
        <v>1</v>
      </c>
      <c r="G349" s="38">
        <v>9</v>
      </c>
      <c r="H349" s="38">
        <v>0</v>
      </c>
      <c r="I349" s="33">
        <f t="shared" si="41"/>
        <v>219002</v>
      </c>
      <c r="J349" s="33" t="s">
        <v>214</v>
      </c>
      <c r="K349" s="33"/>
      <c r="L349" s="33">
        <v>1</v>
      </c>
      <c r="M349" s="33">
        <v>1</v>
      </c>
      <c r="N349" s="33"/>
      <c r="O349" s="33">
        <v>1</v>
      </c>
      <c r="P349" s="33">
        <f>VLOOKUP($C349,CHOOSE({1,2},怪物并表!$E$7:$E$1000,怪物并表!$D$7:$D$1000),2,FALSE)</f>
        <v>21</v>
      </c>
      <c r="Q349" s="33" t="s">
        <v>10</v>
      </c>
      <c r="R349" s="33">
        <f>VLOOKUP(Q349,怪物信息配置表!$A$2:$B$118,2,FALSE)</f>
        <v>1001</v>
      </c>
      <c r="S349" s="33">
        <v>1</v>
      </c>
      <c r="T349" s="110">
        <f>VLOOKUP($C349,怪物并表!$E$7:$N$1000,2+($D349-1)*3,FALSE)*S349*AJ349</f>
        <v>10538.420506583165</v>
      </c>
      <c r="U349" s="110">
        <f>VLOOKUP($C349,怪物并表!$E$7:$N$1000,3+($D349-1)*3,FALSE)*S349*AK349</f>
        <v>598.79945779462264</v>
      </c>
      <c r="V349" s="110">
        <f>VLOOKUP($C349,怪物并表!$E$7:$N$1000,4+($D349-1)*3,FALSE)*S349*AL349</f>
        <v>354.14658782608711</v>
      </c>
      <c r="W349" s="33"/>
      <c r="X349" s="33"/>
      <c r="Y349" s="49">
        <f>VLOOKUP($C349,怪物并表!$E$7:$P$1000,12,FALSE)</f>
        <v>0</v>
      </c>
      <c r="Z349" s="49">
        <f>VLOOKUP($C349,怪物并表!$E$7:$P$1000,11,FALSE)*S349</f>
        <v>1564.3879999999999</v>
      </c>
      <c r="AA349" s="33"/>
      <c r="AB349" s="33"/>
      <c r="AC349" s="33"/>
      <c r="AD349" s="33">
        <f t="shared" si="48"/>
        <v>1</v>
      </c>
      <c r="AE349" s="2">
        <f t="shared" si="46"/>
        <v>750.625</v>
      </c>
      <c r="AF349" s="2" t="str">
        <f>IF(ISBLANK(AM349),IF(O349=6,"",IF(O349=1,VLOOKUP(R349,怪物信息配置表!B:H,5,FALSE),IF(O349=2,VLOOKUP(R349,怪物信息配置表!B:H,6,FALSE),IF(OR(O349=3,O349=5),VLOOKUP(R349,怪物信息配置表!B:H,7,FALSE),"")))),AM349)</f>
        <v>ai_monster</v>
      </c>
      <c r="AG349" s="2"/>
      <c r="AH349" s="15">
        <f>SUMPRODUCT(T349:V349,$AN$3:$AP$3)+ROUNDDOWN(VLOOKUP(P349,CHOOSE({1,2},'[1]消耗&amp;价值&amp;分析'!$C$7:$C$106,'[1]消耗&amp;价值&amp;分析'!$AS$7:$AS$106),2,FALSE)*0.6,0)</f>
        <v>1789.4828658840363</v>
      </c>
      <c r="AJ349" s="80">
        <v>1</v>
      </c>
      <c r="AK349" s="80">
        <v>1</v>
      </c>
      <c r="AL349" s="80">
        <v>1</v>
      </c>
    </row>
    <row r="350" spans="1:38">
      <c r="A350" s="33" t="str">
        <f>怪物并表!$R$8</f>
        <v>精英副本</v>
      </c>
      <c r="B350" s="38">
        <v>3</v>
      </c>
      <c r="C350" s="33">
        <f t="shared" si="47"/>
        <v>1209</v>
      </c>
      <c r="D350" s="33">
        <v>1</v>
      </c>
      <c r="E350" s="33">
        <f>VLOOKUP(A350,怪物并表!$R$7:$S$14,2,FALSE)</f>
        <v>2</v>
      </c>
      <c r="F350" s="38">
        <v>1</v>
      </c>
      <c r="G350" s="38">
        <v>9</v>
      </c>
      <c r="H350" s="38">
        <v>0</v>
      </c>
      <c r="I350" s="33">
        <f t="shared" si="41"/>
        <v>219003</v>
      </c>
      <c r="J350" s="33">
        <v>0</v>
      </c>
      <c r="K350" s="33"/>
      <c r="L350" s="33">
        <v>1</v>
      </c>
      <c r="M350" s="33">
        <v>1</v>
      </c>
      <c r="N350" s="33"/>
      <c r="O350" s="33">
        <v>1</v>
      </c>
      <c r="P350" s="33">
        <f>VLOOKUP($C350,CHOOSE({1,2},怪物并表!$E$7:$E$1000,怪物并表!$D$7:$D$1000),2,FALSE)</f>
        <v>21</v>
      </c>
      <c r="Q350" s="33" t="s">
        <v>7</v>
      </c>
      <c r="R350" s="33">
        <f>VLOOKUP(Q350,怪物信息配置表!$A$2:$B$118,2,FALSE)</f>
        <v>1002</v>
      </c>
      <c r="S350" s="33">
        <v>1</v>
      </c>
      <c r="T350" s="110">
        <f>VLOOKUP($C350,怪物并表!$E$7:$N$1000,2+($D350-1)*3,FALSE)*S350*AJ350</f>
        <v>10538.420506583165</v>
      </c>
      <c r="U350" s="110">
        <f>VLOOKUP($C350,怪物并表!$E$7:$N$1000,3+($D350-1)*3,FALSE)*S350*AK350</f>
        <v>598.79945779462264</v>
      </c>
      <c r="V350" s="110">
        <f>VLOOKUP($C350,怪物并表!$E$7:$N$1000,4+($D350-1)*3,FALSE)*S350*AL350</f>
        <v>354.14658782608711</v>
      </c>
      <c r="W350" s="33"/>
      <c r="X350" s="33"/>
      <c r="Y350" s="49">
        <f>VLOOKUP($C350,怪物并表!$E$7:$P$1000,12,FALSE)</f>
        <v>0</v>
      </c>
      <c r="Z350" s="49">
        <f>VLOOKUP($C350,怪物并表!$E$7:$P$1000,11,FALSE)*S350</f>
        <v>1564.3879999999999</v>
      </c>
      <c r="AA350" s="33"/>
      <c r="AB350" s="33"/>
      <c r="AC350" s="33"/>
      <c r="AD350" s="33">
        <f t="shared" si="48"/>
        <v>1</v>
      </c>
      <c r="AE350" s="2">
        <f t="shared" si="46"/>
        <v>750.625</v>
      </c>
      <c r="AF350" s="2" t="str">
        <f>IF(ISBLANK(AM350),IF(O350=6,"",IF(O350=1,VLOOKUP(R350,怪物信息配置表!B:H,5,FALSE),IF(O350=2,VLOOKUP(R350,怪物信息配置表!B:H,6,FALSE),IF(OR(O350=3,O350=5),VLOOKUP(R350,怪物信息配置表!B:H,7,FALSE),"")))),AM350)</f>
        <v>ai_monster</v>
      </c>
      <c r="AG350" s="2"/>
      <c r="AH350" s="15">
        <f>SUMPRODUCT(T350:V350,$AN$3:$AP$3)+ROUNDDOWN(VLOOKUP(P350,CHOOSE({1,2},'[1]消耗&amp;价值&amp;分析'!$C$7:$C$106,'[1]消耗&amp;价值&amp;分析'!$AS$7:$AS$106),2,FALSE)*0.6,0)</f>
        <v>1789.4828658840363</v>
      </c>
      <c r="AJ350" s="80">
        <v>1</v>
      </c>
      <c r="AK350" s="80">
        <v>1</v>
      </c>
      <c r="AL350" s="80">
        <v>1</v>
      </c>
    </row>
    <row r="351" spans="1:38">
      <c r="A351" s="33" t="str">
        <f>怪物并表!$R$8</f>
        <v>精英副本</v>
      </c>
      <c r="B351" s="38">
        <v>4</v>
      </c>
      <c r="C351" s="33">
        <f t="shared" si="47"/>
        <v>1209</v>
      </c>
      <c r="D351" s="33">
        <v>3</v>
      </c>
      <c r="E351" s="33">
        <f>VLOOKUP(A351,怪物并表!$R$7:$S$14,2,FALSE)</f>
        <v>2</v>
      </c>
      <c r="F351" s="38">
        <v>1</v>
      </c>
      <c r="G351" s="38">
        <v>9</v>
      </c>
      <c r="H351" s="38">
        <v>0</v>
      </c>
      <c r="I351" s="33">
        <f t="shared" si="41"/>
        <v>219004</v>
      </c>
      <c r="J351" s="33" t="s">
        <v>503</v>
      </c>
      <c r="K351" s="33"/>
      <c r="L351" s="33">
        <v>1</v>
      </c>
      <c r="M351" s="33">
        <v>1.2</v>
      </c>
      <c r="N351" s="33"/>
      <c r="O351" s="33">
        <v>3</v>
      </c>
      <c r="P351" s="33">
        <f>VLOOKUP($C351,CHOOSE({1,2},怪物并表!$E$7:$E$1000,怪物并表!$D$7:$D$1000),2,FALSE)</f>
        <v>21</v>
      </c>
      <c r="Q351" s="33" t="s">
        <v>8</v>
      </c>
      <c r="R351" s="33">
        <f>VLOOKUP(Q351,怪物信息配置表!$A$2:$B$118,2,FALSE)</f>
        <v>1101</v>
      </c>
      <c r="S351" s="33">
        <v>1</v>
      </c>
      <c r="T351" s="110">
        <f>VLOOKUP($C351,怪物并表!$E$7:$N$1000,2+($D351-1)*3,FALSE)*S351*AJ351</f>
        <v>26346.051266457911</v>
      </c>
      <c r="U351" s="110">
        <f>VLOOKUP($C351,怪物并表!$E$7:$N$1000,3+($D351-1)*3,FALSE)*S351*AK351</f>
        <v>659.5349180491994</v>
      </c>
      <c r="V351" s="110">
        <f>VLOOKUP($C351,怪物并表!$E$7:$N$1000,4+($D351-1)*3,FALSE)*S351*AL351</f>
        <v>416.12224069565235</v>
      </c>
      <c r="W351" s="33"/>
      <c r="X351" s="33"/>
      <c r="Y351" s="49">
        <f>VLOOKUP($C351,怪物并表!$E$7:$P$1000,12,FALSE)</f>
        <v>0</v>
      </c>
      <c r="Z351" s="49">
        <f>VLOOKUP($C351,怪物并表!$E$7:$P$1000,11,FALSE)*S351</f>
        <v>1564.3879999999999</v>
      </c>
      <c r="AA351" s="33"/>
      <c r="AB351" s="33"/>
      <c r="AC351" s="33"/>
      <c r="AD351" s="33">
        <f t="shared" si="48"/>
        <v>1.5</v>
      </c>
      <c r="AE351" s="2">
        <f t="shared" si="46"/>
        <v>625.9375</v>
      </c>
      <c r="AF351" s="2" t="str">
        <f>IF(ISBLANK(AM351),IF(O351=6,"",IF(O351=1,VLOOKUP(R351,怪物信息配置表!B:H,5,FALSE),IF(O351=2,VLOOKUP(R351,怪物信息配置表!B:H,6,FALSE),IF(OR(O351=3,O351=5),VLOOKUP(R351,怪物信息配置表!B:H,7,FALSE),"")))),AM351)</f>
        <v>1101_liangkun_BOSS</v>
      </c>
      <c r="AG351" s="2"/>
      <c r="AH351" s="15">
        <f>SUMPRODUCT(T351:V351,$AN$3:$AP$3)+ROUNDDOWN(VLOOKUP(P351,CHOOSE({1,2},'[1]消耗&amp;价值&amp;分析'!$C$7:$C$106,'[1]消耗&amp;价值&amp;分析'!$AS$7:$AS$106),2,FALSE)*0.6,0)</f>
        <v>2544.4992094031682</v>
      </c>
      <c r="AJ351" s="80">
        <v>1</v>
      </c>
      <c r="AK351" s="80">
        <v>1</v>
      </c>
      <c r="AL351" s="80">
        <v>1</v>
      </c>
    </row>
    <row r="352" spans="1:38">
      <c r="A352" s="33" t="str">
        <f>怪物并表!$R$8</f>
        <v>精英副本</v>
      </c>
      <c r="B352" s="38">
        <v>1</v>
      </c>
      <c r="C352" s="33">
        <f t="shared" si="45"/>
        <v>2201</v>
      </c>
      <c r="D352" s="33">
        <v>1</v>
      </c>
      <c r="E352" s="33">
        <f>VLOOKUP(A352,怪物并表!$R$7:$S$14,2,FALSE)</f>
        <v>2</v>
      </c>
      <c r="F352" s="38">
        <v>2</v>
      </c>
      <c r="G352" s="38">
        <v>1</v>
      </c>
      <c r="H352" s="38">
        <v>0</v>
      </c>
      <c r="I352" s="33">
        <f t="shared" si="41"/>
        <v>221001</v>
      </c>
      <c r="J352" s="33" t="s">
        <v>448</v>
      </c>
      <c r="K352" s="33"/>
      <c r="L352" s="33">
        <v>0</v>
      </c>
      <c r="M352" s="33">
        <v>1</v>
      </c>
      <c r="N352" s="33"/>
      <c r="O352" s="33">
        <v>1</v>
      </c>
      <c r="P352" s="33">
        <f>VLOOKUP($C352,CHOOSE({1,2},怪物并表!$E$7:$E$1000,怪物并表!$D$7:$D$1000),2,FALSE)</f>
        <v>22</v>
      </c>
      <c r="Q352" s="33" t="s">
        <v>367</v>
      </c>
      <c r="R352" s="33">
        <f>VLOOKUP(Q352,怪物信息配置表!$A$2:$B$118,2,FALSE)</f>
        <v>1008</v>
      </c>
      <c r="S352" s="33">
        <v>1</v>
      </c>
      <c r="T352" s="110">
        <f>VLOOKUP($C352,怪物并表!$E$7:$N$1000,2+($D352-1)*3,FALSE)*S352*AJ352</f>
        <v>10105.2134725859</v>
      </c>
      <c r="U352" s="110">
        <f>VLOOKUP($C352,怪物并表!$E$7:$N$1000,3+($D352-1)*3,FALSE)*S352*AK352</f>
        <v>611.12974129432996</v>
      </c>
      <c r="V352" s="110">
        <f>VLOOKUP($C352,怪物并表!$E$7:$N$1000,4+($D352-1)*3,FALSE)*S352*AL352</f>
        <v>321.31784347826095</v>
      </c>
      <c r="W352" s="33"/>
      <c r="X352" s="33"/>
      <c r="Y352" s="49">
        <f>VLOOKUP($C352,怪物并表!$E$7:$P$1000,12,FALSE)</f>
        <v>0</v>
      </c>
      <c r="Z352" s="49">
        <f>VLOOKUP($C352,怪物并表!$E$7:$P$1000,11,FALSE)*S352</f>
        <v>1622.616</v>
      </c>
      <c r="AA352" s="33"/>
      <c r="AB352" s="33"/>
      <c r="AC352" s="33"/>
      <c r="AD352" s="33">
        <f t="shared" si="39"/>
        <v>1</v>
      </c>
      <c r="AE352" s="2">
        <f t="shared" si="46"/>
        <v>738.75</v>
      </c>
      <c r="AF352" s="2" t="str">
        <f>IF(ISBLANK(AM352),IF(O352=6,"",IF(O352=1,VLOOKUP(R352,怪物信息配置表!B:H,5,FALSE),IF(O352=2,VLOOKUP(R352,怪物信息配置表!B:H,6,FALSE),IF(OR(O352=3,O352=5),VLOOKUP(R352,怪物信息配置表!B:H,7,FALSE),"")))),AM352)</f>
        <v>ai_monster</v>
      </c>
      <c r="AG352" s="2"/>
      <c r="AH352" s="15">
        <f>SUMPRODUCT(T352:V352,$AN$3:$AP$3)+ROUNDDOWN(VLOOKUP(P352,CHOOSE({1,2},'[1]消耗&amp;价值&amp;分析'!$C$7:$C$106,'[1]消耗&amp;价值&amp;分析'!$AS$7:$AS$106),2,FALSE)*0.6,0)</f>
        <v>1781.6561236760269</v>
      </c>
      <c r="AJ352" s="80">
        <v>1</v>
      </c>
      <c r="AK352" s="80">
        <v>1</v>
      </c>
      <c r="AL352" s="80">
        <v>1</v>
      </c>
    </row>
    <row r="353" spans="1:38">
      <c r="A353" s="33" t="str">
        <f>怪物并表!$R$8</f>
        <v>精英副本</v>
      </c>
      <c r="B353" s="38">
        <v>2</v>
      </c>
      <c r="C353" s="33">
        <f t="shared" si="45"/>
        <v>2201</v>
      </c>
      <c r="D353" s="33">
        <v>1</v>
      </c>
      <c r="E353" s="33">
        <f>VLOOKUP(A353,怪物并表!$R$7:$S$14,2,FALSE)</f>
        <v>2</v>
      </c>
      <c r="F353" s="38">
        <v>2</v>
      </c>
      <c r="G353" s="38">
        <v>1</v>
      </c>
      <c r="H353" s="38">
        <v>0</v>
      </c>
      <c r="I353" s="33">
        <f t="shared" si="41"/>
        <v>221002</v>
      </c>
      <c r="J353" s="33" t="s">
        <v>449</v>
      </c>
      <c r="K353" s="33"/>
      <c r="L353" s="33">
        <v>0</v>
      </c>
      <c r="M353" s="33">
        <v>1</v>
      </c>
      <c r="N353" s="33"/>
      <c r="O353" s="33">
        <v>1</v>
      </c>
      <c r="P353" s="33">
        <f>VLOOKUP($C353,CHOOSE({1,2},怪物并表!$E$7:$E$1000,怪物并表!$D$7:$D$1000),2,FALSE)</f>
        <v>22</v>
      </c>
      <c r="Q353" s="33" t="s">
        <v>7</v>
      </c>
      <c r="R353" s="33">
        <f>VLOOKUP(Q353,怪物信息配置表!$A$2:$B$118,2,FALSE)</f>
        <v>1002</v>
      </c>
      <c r="S353" s="33">
        <v>1</v>
      </c>
      <c r="T353" s="110">
        <f>VLOOKUP($C353,怪物并表!$E$7:$N$1000,2+($D353-1)*3,FALSE)*S353*AJ353</f>
        <v>10105.2134725859</v>
      </c>
      <c r="U353" s="110">
        <f>VLOOKUP($C353,怪物并表!$E$7:$N$1000,3+($D353-1)*3,FALSE)*S353*AK353</f>
        <v>611.12974129432996</v>
      </c>
      <c r="V353" s="110">
        <f>VLOOKUP($C353,怪物并表!$E$7:$N$1000,4+($D353-1)*3,FALSE)*S353*AL353</f>
        <v>321.31784347826095</v>
      </c>
      <c r="W353" s="33"/>
      <c r="X353" s="33"/>
      <c r="Y353" s="49">
        <f>VLOOKUP($C353,怪物并表!$E$7:$P$1000,12,FALSE)</f>
        <v>0</v>
      </c>
      <c r="Z353" s="49">
        <f>VLOOKUP($C353,怪物并表!$E$7:$P$1000,11,FALSE)*S353</f>
        <v>1622.616</v>
      </c>
      <c r="AA353" s="33"/>
      <c r="AB353" s="33"/>
      <c r="AC353" s="33"/>
      <c r="AD353" s="33">
        <f t="shared" si="39"/>
        <v>1</v>
      </c>
      <c r="AE353" s="2">
        <f t="shared" si="46"/>
        <v>738.75</v>
      </c>
      <c r="AF353" s="2" t="str">
        <f>IF(ISBLANK(AM353),IF(O353=6,"",IF(O353=1,VLOOKUP(R353,怪物信息配置表!B:H,5,FALSE),IF(O353=2,VLOOKUP(R353,怪物信息配置表!B:H,6,FALSE),IF(OR(O353=3,O353=5),VLOOKUP(R353,怪物信息配置表!B:H,7,FALSE),"")))),AM353)</f>
        <v>ai_monster</v>
      </c>
      <c r="AG353" s="2"/>
      <c r="AH353" s="15">
        <f>SUMPRODUCT(T353:V353,$AN$3:$AP$3)+ROUNDDOWN(VLOOKUP(P353,CHOOSE({1,2},'[1]消耗&amp;价值&amp;分析'!$C$7:$C$106,'[1]消耗&amp;价值&amp;分析'!$AS$7:$AS$106),2,FALSE)*0.6,0)</f>
        <v>1781.6561236760269</v>
      </c>
      <c r="AJ353" s="80">
        <v>1</v>
      </c>
      <c r="AK353" s="80">
        <v>1</v>
      </c>
      <c r="AL353" s="80">
        <v>1</v>
      </c>
    </row>
    <row r="354" spans="1:38">
      <c r="A354" s="33" t="str">
        <f>怪物并表!$R$8</f>
        <v>精英副本</v>
      </c>
      <c r="B354" s="38">
        <v>3</v>
      </c>
      <c r="C354" s="33">
        <f t="shared" si="45"/>
        <v>2201</v>
      </c>
      <c r="D354" s="33">
        <v>1</v>
      </c>
      <c r="E354" s="33">
        <f>VLOOKUP(A354,怪物并表!$R$7:$S$14,2,FALSE)</f>
        <v>2</v>
      </c>
      <c r="F354" s="38">
        <v>2</v>
      </c>
      <c r="G354" s="38">
        <v>1</v>
      </c>
      <c r="H354" s="38">
        <v>0</v>
      </c>
      <c r="I354" s="33">
        <f t="shared" si="41"/>
        <v>221003</v>
      </c>
      <c r="J354" s="33" t="s">
        <v>466</v>
      </c>
      <c r="K354" s="33"/>
      <c r="L354" s="33">
        <v>0</v>
      </c>
      <c r="M354" s="33">
        <v>1</v>
      </c>
      <c r="N354" s="33"/>
      <c r="O354" s="33">
        <v>1</v>
      </c>
      <c r="P354" s="33">
        <f>VLOOKUP($C354,CHOOSE({1,2},怪物并表!$E$7:$E$1000,怪物并表!$D$7:$D$1000),2,FALSE)</f>
        <v>22</v>
      </c>
      <c r="Q354" s="33" t="s">
        <v>14</v>
      </c>
      <c r="R354" s="33">
        <f>VLOOKUP(Q354,怪物信息配置表!$A$2:$B$118,2,FALSE)</f>
        <v>1010</v>
      </c>
      <c r="S354" s="33">
        <v>1</v>
      </c>
      <c r="T354" s="110">
        <f>VLOOKUP($C354,怪物并表!$E$7:$N$1000,2+($D354-1)*3,FALSE)*S354*AJ354</f>
        <v>10105.2134725859</v>
      </c>
      <c r="U354" s="110">
        <f>VLOOKUP($C354,怪物并表!$E$7:$N$1000,3+($D354-1)*3,FALSE)*S354*AK354</f>
        <v>611.12974129432996</v>
      </c>
      <c r="V354" s="110">
        <f>VLOOKUP($C354,怪物并表!$E$7:$N$1000,4+($D354-1)*3,FALSE)*S354*AL354</f>
        <v>321.31784347826095</v>
      </c>
      <c r="W354" s="33"/>
      <c r="X354" s="33"/>
      <c r="Y354" s="49">
        <f>VLOOKUP($C354,怪物并表!$E$7:$P$1000,12,FALSE)</f>
        <v>0</v>
      </c>
      <c r="Z354" s="49">
        <f>VLOOKUP($C354,怪物并表!$E$7:$P$1000,11,FALSE)*S354</f>
        <v>1622.616</v>
      </c>
      <c r="AA354" s="33"/>
      <c r="AB354" s="33"/>
      <c r="AC354" s="33"/>
      <c r="AD354" s="33">
        <f t="shared" si="39"/>
        <v>1</v>
      </c>
      <c r="AE354" s="2">
        <f t="shared" si="46"/>
        <v>738.75</v>
      </c>
      <c r="AF354" s="2" t="str">
        <f>IF(ISBLANK(AM354),IF(O354=6,"",IF(O354=1,VLOOKUP(R354,怪物信息配置表!B:H,5,FALSE),IF(O354=2,VLOOKUP(R354,怪物信息配置表!B:H,6,FALSE),IF(OR(O354=3,O354=5),VLOOKUP(R354,怪物信息配置表!B:H,7,FALSE),"")))),AM354)</f>
        <v>ai_monster</v>
      </c>
      <c r="AG354" s="2"/>
      <c r="AH354" s="15">
        <f>SUMPRODUCT(T354:V354,$AN$3:$AP$3)+ROUNDDOWN(VLOOKUP(P354,CHOOSE({1,2},'[1]消耗&amp;价值&amp;分析'!$C$7:$C$106,'[1]消耗&amp;价值&amp;分析'!$AS$7:$AS$106),2,FALSE)*0.6,0)</f>
        <v>1781.6561236760269</v>
      </c>
      <c r="AJ354" s="80">
        <v>1</v>
      </c>
      <c r="AK354" s="80">
        <v>1</v>
      </c>
      <c r="AL354" s="80">
        <v>1</v>
      </c>
    </row>
    <row r="355" spans="1:38">
      <c r="A355" s="33" t="str">
        <f>怪物并表!$R$8</f>
        <v>精英副本</v>
      </c>
      <c r="B355" s="38">
        <v>4</v>
      </c>
      <c r="C355" s="33">
        <f t="shared" si="45"/>
        <v>2201</v>
      </c>
      <c r="D355" s="33">
        <v>3</v>
      </c>
      <c r="E355" s="33">
        <f>VLOOKUP(A355,怪物并表!$R$7:$S$14,2,FALSE)</f>
        <v>2</v>
      </c>
      <c r="F355" s="38">
        <v>2</v>
      </c>
      <c r="G355" s="38">
        <v>1</v>
      </c>
      <c r="H355" s="38">
        <v>0</v>
      </c>
      <c r="I355" s="33">
        <f t="shared" si="41"/>
        <v>221004</v>
      </c>
      <c r="J355" s="33" t="s">
        <v>538</v>
      </c>
      <c r="K355" s="33"/>
      <c r="L355" s="33">
        <v>1</v>
      </c>
      <c r="M355" s="33">
        <v>1.2</v>
      </c>
      <c r="N355" s="33"/>
      <c r="O355" s="33">
        <v>3</v>
      </c>
      <c r="P355" s="33">
        <f>VLOOKUP($C355,CHOOSE({1,2},怪物并表!$E$7:$E$1000,怪物并表!$D$7:$D$1000),2,FALSE)</f>
        <v>22</v>
      </c>
      <c r="Q355" s="33" t="s">
        <v>18</v>
      </c>
      <c r="R355" s="33">
        <f>VLOOKUP(Q355,怪物信息配置表!$A$2:$B$118,2,FALSE)</f>
        <v>1006</v>
      </c>
      <c r="S355" s="33">
        <v>1</v>
      </c>
      <c r="T355" s="110">
        <f>VLOOKUP($C355,怪物并表!$E$7:$N$1000,2+($D355-1)*3,FALSE)*S355*AJ355</f>
        <v>25263.033681464749</v>
      </c>
      <c r="U355" s="110">
        <f>VLOOKUP($C355,怪物并表!$E$7:$N$1000,3+($D355-1)*3,FALSE)*S355*AK355</f>
        <v>669.0921208575437</v>
      </c>
      <c r="V355" s="110">
        <f>VLOOKUP($C355,怪物并表!$E$7:$N$1000,4+($D355-1)*3,FALSE)*S355*AL355</f>
        <v>401.64730434782615</v>
      </c>
      <c r="W355" s="33"/>
      <c r="X355" s="33"/>
      <c r="Y355" s="49">
        <f>VLOOKUP($C355,怪物并表!$E$7:$P$1000,12,FALSE)</f>
        <v>0</v>
      </c>
      <c r="Z355" s="49">
        <f>VLOOKUP($C355,怪物并表!$E$7:$P$1000,11,FALSE)*S355</f>
        <v>1622.616</v>
      </c>
      <c r="AA355" s="33"/>
      <c r="AB355" s="33"/>
      <c r="AC355" s="33"/>
      <c r="AD355" s="33">
        <f t="shared" si="39"/>
        <v>1.5</v>
      </c>
      <c r="AE355" s="2">
        <f t="shared" si="46"/>
        <v>608.125</v>
      </c>
      <c r="AF355" s="2" t="str">
        <f>IF(ISBLANK(AM355),IF(O355=6,"",IF(O355=1,VLOOKUP(R355,怪物信息配置表!B:H,5,FALSE),IF(O355=2,VLOOKUP(R355,怪物信息配置表!B:H,6,FALSE),IF(OR(O355=3,O355=5),VLOOKUP(R355,怪物信息配置表!B:H,7,FALSE),"")))),AM355)</f>
        <v>1006_jingcha_BOSS</v>
      </c>
      <c r="AG355" s="2"/>
      <c r="AH355" s="15">
        <f>SUMPRODUCT(T355:V355,$AN$3:$AP$3)+ROUNDDOWN(VLOOKUP(P355,CHOOSE({1,2},'[1]消耗&amp;价值&amp;分析'!$C$7:$C$106,'[1]消耗&amp;价值&amp;分析'!$AS$7:$AS$106),2,FALSE)*0.6,0)</f>
        <v>2526.2607724639602</v>
      </c>
      <c r="AJ355" s="80">
        <v>1</v>
      </c>
      <c r="AK355" s="80">
        <v>1</v>
      </c>
      <c r="AL355" s="80">
        <v>1</v>
      </c>
    </row>
    <row r="356" spans="1:38">
      <c r="A356" s="33" t="str">
        <f>怪物并表!$R$8</f>
        <v>精英副本</v>
      </c>
      <c r="B356" s="38">
        <v>1</v>
      </c>
      <c r="C356" s="33">
        <f t="shared" si="45"/>
        <v>2202</v>
      </c>
      <c r="D356" s="33">
        <v>2</v>
      </c>
      <c r="E356" s="33">
        <f>VLOOKUP(A356,怪物并表!$R$7:$S$14,2,FALSE)</f>
        <v>2</v>
      </c>
      <c r="F356" s="38">
        <v>2</v>
      </c>
      <c r="G356" s="38">
        <v>2</v>
      </c>
      <c r="H356" s="38">
        <v>0</v>
      </c>
      <c r="I356" s="33">
        <f t="shared" si="41"/>
        <v>222001</v>
      </c>
      <c r="J356" s="33" t="s">
        <v>36</v>
      </c>
      <c r="K356" s="33"/>
      <c r="L356" s="33">
        <v>0</v>
      </c>
      <c r="M356" s="33">
        <v>1</v>
      </c>
      <c r="N356" s="33"/>
      <c r="O356" s="33">
        <v>1</v>
      </c>
      <c r="P356" s="33">
        <f>VLOOKUP($C356,CHOOSE({1,2},怪物并表!$E$7:$E$1000,怪物并表!$D$7:$D$1000),2,FALSE)</f>
        <v>23</v>
      </c>
      <c r="Q356" s="33" t="s">
        <v>9</v>
      </c>
      <c r="R356" s="33">
        <f>VLOOKUP(Q356,怪物信息配置表!$A$2:$B$118,2,FALSE)</f>
        <v>1003</v>
      </c>
      <c r="S356" s="33">
        <v>1</v>
      </c>
      <c r="T356" s="110">
        <f>VLOOKUP($C356,怪物并表!$E$7:$N$1000,2+($D356-1)*3,FALSE)*S356*AJ356</f>
        <v>9302.7311369544859</v>
      </c>
      <c r="U356" s="110">
        <f>VLOOKUP($C356,怪物并表!$E$7:$N$1000,3+($D356-1)*3,FALSE)*S356*AK356</f>
        <v>658.82482911650618</v>
      </c>
      <c r="V356" s="110">
        <f>VLOOKUP($C356,怪物并表!$E$7:$N$1000,4+($D356-1)*3,FALSE)*S356*AL356</f>
        <v>276.94229008695675</v>
      </c>
      <c r="W356" s="33"/>
      <c r="X356" s="33"/>
      <c r="Y356" s="49">
        <f>VLOOKUP($C356,怪物并表!$E$7:$P$1000,12,FALSE)</f>
        <v>0</v>
      </c>
      <c r="Z356" s="49">
        <f>VLOOKUP($C356,怪物并表!$E$7:$P$1000,11,FALSE)*S356</f>
        <v>1680.8440000000001</v>
      </c>
      <c r="AA356" s="33"/>
      <c r="AB356" s="33"/>
      <c r="AC356" s="33"/>
      <c r="AD356" s="33">
        <f t="shared" si="39"/>
        <v>0.8</v>
      </c>
      <c r="AE356" s="2">
        <f t="shared" si="46"/>
        <v>781.5</v>
      </c>
      <c r="AF356" s="2" t="str">
        <f>IF(ISBLANK(AM356),IF(O356=6,"",IF(O356=1,VLOOKUP(R356,怪物信息配置表!B:H,5,FALSE),IF(O356=2,VLOOKUP(R356,怪物信息配置表!B:H,6,FALSE),IF(OR(O356=3,O356=5),VLOOKUP(R356,怪物信息配置表!B:H,7,FALSE),"")))),AM356)</f>
        <v>ai_monster_02</v>
      </c>
      <c r="AG356" s="2"/>
      <c r="AH356" s="15">
        <f>SUMPRODUCT(T356:V356,$AN$3:$AP$3)+ROUNDDOWN(VLOOKUP(P356,CHOOSE({1,2},'[1]消耗&amp;价值&amp;分析'!$C$7:$C$106,'[1]消耗&amp;价值&amp;分析'!$AS$7:$AS$106),2,FALSE)*0.6,0)</f>
        <v>1793.8763646816424</v>
      </c>
      <c r="AJ356" s="80">
        <v>1</v>
      </c>
      <c r="AK356" s="80">
        <v>1</v>
      </c>
      <c r="AL356" s="80">
        <v>1</v>
      </c>
    </row>
    <row r="357" spans="1:38">
      <c r="A357" s="33" t="str">
        <f>怪物并表!$R$8</f>
        <v>精英副本</v>
      </c>
      <c r="B357" s="38">
        <v>2</v>
      </c>
      <c r="C357" s="33">
        <f t="shared" si="45"/>
        <v>2202</v>
      </c>
      <c r="D357" s="33">
        <v>1</v>
      </c>
      <c r="E357" s="33">
        <f>VLOOKUP(A357,怪物并表!$R$7:$S$14,2,FALSE)</f>
        <v>2</v>
      </c>
      <c r="F357" s="38">
        <v>2</v>
      </c>
      <c r="G357" s="38">
        <v>2</v>
      </c>
      <c r="H357" s="38">
        <v>0</v>
      </c>
      <c r="I357" s="33">
        <f t="shared" si="41"/>
        <v>222002</v>
      </c>
      <c r="J357" s="33" t="s">
        <v>214</v>
      </c>
      <c r="K357" s="33"/>
      <c r="L357" s="33">
        <v>0</v>
      </c>
      <c r="M357" s="33">
        <v>1</v>
      </c>
      <c r="N357" s="33"/>
      <c r="O357" s="33">
        <v>1</v>
      </c>
      <c r="P357" s="33">
        <f>VLOOKUP($C357,CHOOSE({1,2},怪物并表!$E$7:$E$1000,怪物并表!$D$7:$D$1000),2,FALSE)</f>
        <v>23</v>
      </c>
      <c r="Q357" s="33" t="s">
        <v>10</v>
      </c>
      <c r="R357" s="33">
        <f>VLOOKUP(Q357,怪物信息配置表!$A$2:$B$118,2,FALSE)</f>
        <v>1001</v>
      </c>
      <c r="S357" s="33">
        <v>1</v>
      </c>
      <c r="T357" s="110">
        <f>VLOOKUP($C357,怪物并表!$E$7:$N$1000,2+($D357-1)*3,FALSE)*S357*AJ357</f>
        <v>11628.413921193107</v>
      </c>
      <c r="U357" s="110">
        <f>VLOOKUP($C357,怪物并表!$E$7:$N$1000,3+($D357-1)*3,FALSE)*S357*AK357</f>
        <v>692.57711923387342</v>
      </c>
      <c r="V357" s="110">
        <f>VLOOKUP($C357,怪物并表!$E$7:$N$1000,4+($D357-1)*3,FALSE)*S357*AL357</f>
        <v>363.93057351170586</v>
      </c>
      <c r="W357" s="33"/>
      <c r="X357" s="33"/>
      <c r="Y357" s="49">
        <f>VLOOKUP($C357,怪物并表!$E$7:$P$1000,12,FALSE)</f>
        <v>0</v>
      </c>
      <c r="Z357" s="49">
        <f>VLOOKUP($C357,怪物并表!$E$7:$P$1000,11,FALSE)*S357</f>
        <v>1680.8440000000001</v>
      </c>
      <c r="AA357" s="33"/>
      <c r="AB357" s="33"/>
      <c r="AC357" s="33"/>
      <c r="AD357" s="33">
        <f t="shared" si="39"/>
        <v>1</v>
      </c>
      <c r="AE357" s="2">
        <f t="shared" si="46"/>
        <v>726.875</v>
      </c>
      <c r="AF357" s="2" t="str">
        <f>IF(ISBLANK(AM357),IF(O357=6,"",IF(O357=1,VLOOKUP(R357,怪物信息配置表!B:H,5,FALSE),IF(O357=2,VLOOKUP(R357,怪物信息配置表!B:H,6,FALSE),IF(OR(O357=3,O357=5),VLOOKUP(R357,怪物信息配置表!B:H,7,FALSE),"")))),AM357)</f>
        <v>ai_monster</v>
      </c>
      <c r="AG357" s="2"/>
      <c r="AH357" s="15">
        <f>SUMPRODUCT(T357:V357,$AN$3:$AP$3)+ROUNDDOWN(VLOOKUP(P357,CHOOSE({1,2},'[1]消耗&amp;价值&amp;分析'!$C$7:$C$106,'[1]消耗&amp;价值&amp;分析'!$AS$7:$AS$106),2,FALSE)*0.6,0)</f>
        <v>2007.6442495933036</v>
      </c>
      <c r="AJ357" s="80">
        <v>1</v>
      </c>
      <c r="AK357" s="80">
        <v>1</v>
      </c>
      <c r="AL357" s="80">
        <v>1</v>
      </c>
    </row>
    <row r="358" spans="1:38">
      <c r="A358" s="33" t="str">
        <f>怪物并表!$R$8</f>
        <v>精英副本</v>
      </c>
      <c r="B358" s="38">
        <v>3</v>
      </c>
      <c r="C358" s="33">
        <f t="shared" si="45"/>
        <v>2202</v>
      </c>
      <c r="D358" s="33">
        <v>1</v>
      </c>
      <c r="E358" s="33">
        <f>VLOOKUP(A358,怪物并表!$R$7:$S$14,2,FALSE)</f>
        <v>2</v>
      </c>
      <c r="F358" s="38">
        <v>2</v>
      </c>
      <c r="G358" s="38">
        <v>2</v>
      </c>
      <c r="H358" s="38">
        <v>0</v>
      </c>
      <c r="I358" s="33">
        <f t="shared" ref="I358:I421" si="49">SUM(E358*10^5,F358*10^4,G358*10^3,H358*10^2,B358)</f>
        <v>222003</v>
      </c>
      <c r="J358" s="33" t="s">
        <v>462</v>
      </c>
      <c r="K358" s="33"/>
      <c r="L358" s="33">
        <v>0</v>
      </c>
      <c r="M358" s="33">
        <v>1</v>
      </c>
      <c r="N358" s="33"/>
      <c r="O358" s="33">
        <v>1</v>
      </c>
      <c r="P358" s="33">
        <f>VLOOKUP($C358,CHOOSE({1,2},怪物并表!$E$7:$E$1000,怪物并表!$D$7:$D$1000),2,FALSE)</f>
        <v>23</v>
      </c>
      <c r="Q358" s="33" t="s">
        <v>11</v>
      </c>
      <c r="R358" s="33">
        <f>VLOOKUP(Q358,怪物信息配置表!$A$2:$B$118,2,FALSE)</f>
        <v>1011</v>
      </c>
      <c r="S358" s="33">
        <v>1</v>
      </c>
      <c r="T358" s="110">
        <f>VLOOKUP($C358,怪物并表!$E$7:$N$1000,2+($D358-1)*3,FALSE)*S358*AJ358</f>
        <v>11628.413921193107</v>
      </c>
      <c r="U358" s="110">
        <f>VLOOKUP($C358,怪物并表!$E$7:$N$1000,3+($D358-1)*3,FALSE)*S358*AK358</f>
        <v>692.57711923387342</v>
      </c>
      <c r="V358" s="110">
        <f>VLOOKUP($C358,怪物并表!$E$7:$N$1000,4+($D358-1)*3,FALSE)*S358*AL358</f>
        <v>363.93057351170586</v>
      </c>
      <c r="W358" s="33"/>
      <c r="X358" s="33"/>
      <c r="Y358" s="49">
        <f>VLOOKUP($C358,怪物并表!$E$7:$P$1000,12,FALSE)</f>
        <v>0</v>
      </c>
      <c r="Z358" s="49">
        <f>VLOOKUP($C358,怪物并表!$E$7:$P$1000,11,FALSE)*S358</f>
        <v>1680.8440000000001</v>
      </c>
      <c r="AA358" s="33"/>
      <c r="AB358" s="33"/>
      <c r="AC358" s="33"/>
      <c r="AD358" s="33">
        <f t="shared" si="39"/>
        <v>1</v>
      </c>
      <c r="AE358" s="2">
        <f t="shared" si="46"/>
        <v>726.875</v>
      </c>
      <c r="AF358" s="2" t="str">
        <f>IF(ISBLANK(AM358),IF(O358=6,"",IF(O358=1,VLOOKUP(R358,怪物信息配置表!B:H,5,FALSE),IF(O358=2,VLOOKUP(R358,怪物信息配置表!B:H,6,FALSE),IF(OR(O358=3,O358=5),VLOOKUP(R358,怪物信息配置表!B:H,7,FALSE),"")))),AM358)</f>
        <v>ai_monster</v>
      </c>
      <c r="AG358" s="2"/>
      <c r="AH358" s="15">
        <f>SUMPRODUCT(T358:V358,$AN$3:$AP$3)+ROUNDDOWN(VLOOKUP(P358,CHOOSE({1,2},'[1]消耗&amp;价值&amp;分析'!$C$7:$C$106,'[1]消耗&amp;价值&amp;分析'!$AS$7:$AS$106),2,FALSE)*0.6,0)</f>
        <v>2007.6442495933036</v>
      </c>
      <c r="AJ358" s="80">
        <v>1</v>
      </c>
      <c r="AK358" s="80">
        <v>1</v>
      </c>
      <c r="AL358" s="80">
        <v>1</v>
      </c>
    </row>
    <row r="359" spans="1:38">
      <c r="A359" s="33" t="str">
        <f>怪物并表!$R$8</f>
        <v>精英副本</v>
      </c>
      <c r="B359" s="38">
        <v>4</v>
      </c>
      <c r="C359" s="33">
        <f t="shared" si="45"/>
        <v>2202</v>
      </c>
      <c r="D359" s="33">
        <v>3</v>
      </c>
      <c r="E359" s="33">
        <f>VLOOKUP(A359,怪物并表!$R$7:$S$14,2,FALSE)</f>
        <v>2</v>
      </c>
      <c r="F359" s="38">
        <v>2</v>
      </c>
      <c r="G359" s="38">
        <v>2</v>
      </c>
      <c r="H359" s="38">
        <v>0</v>
      </c>
      <c r="I359" s="33">
        <f t="shared" si="49"/>
        <v>222004</v>
      </c>
      <c r="J359" s="33" t="s">
        <v>539</v>
      </c>
      <c r="K359" s="33"/>
      <c r="L359" s="33">
        <v>1</v>
      </c>
      <c r="M359" s="33">
        <v>1.2</v>
      </c>
      <c r="N359" s="33"/>
      <c r="O359" s="33">
        <v>3</v>
      </c>
      <c r="P359" s="33">
        <f>VLOOKUP($C359,CHOOSE({1,2},怪物并表!$E$7:$E$1000,怪物并表!$D$7:$D$1000),2,FALSE)</f>
        <v>23</v>
      </c>
      <c r="Q359" s="33" t="s">
        <v>12</v>
      </c>
      <c r="R359" s="33">
        <f>VLOOKUP(Q359,怪物信息配置表!$A$2:$B$118,2,FALSE)</f>
        <v>1009</v>
      </c>
      <c r="S359" s="33">
        <v>1</v>
      </c>
      <c r="T359" s="110">
        <f>VLOOKUP($C359,怪物并表!$E$7:$N$1000,2+($D359-1)*3,FALSE)*S359*AJ359</f>
        <v>29071.034802982766</v>
      </c>
      <c r="U359" s="110">
        <f>VLOOKUP($C359,怪物并表!$E$7:$N$1000,3+($D359-1)*3,FALSE)*S359*AK359</f>
        <v>760.08169946860801</v>
      </c>
      <c r="V359" s="110">
        <f>VLOOKUP($C359,怪物并表!$E$7:$N$1000,4+($D359-1)*3,FALSE)*S359*AL359</f>
        <v>450.91885693645497</v>
      </c>
      <c r="W359" s="33"/>
      <c r="X359" s="33"/>
      <c r="Y359" s="49">
        <f>VLOOKUP($C359,怪物并表!$E$7:$P$1000,12,FALSE)</f>
        <v>0</v>
      </c>
      <c r="Z359" s="49">
        <f>VLOOKUP($C359,怪物并表!$E$7:$P$1000,11,FALSE)*S359</f>
        <v>1680.8440000000001</v>
      </c>
      <c r="AA359" s="33"/>
      <c r="AB359" s="33"/>
      <c r="AC359" s="33"/>
      <c r="AD359" s="33">
        <f t="shared" si="39"/>
        <v>1.5</v>
      </c>
      <c r="AE359" s="2">
        <f t="shared" si="46"/>
        <v>590.3125</v>
      </c>
      <c r="AF359" s="2" t="str">
        <f>IF(ISBLANK(AM359),IF(O359=6,"",IF(O359=1,VLOOKUP(R359,怪物信息配置表!B:H,5,FALSE),IF(O359=2,VLOOKUP(R359,怪物信息配置表!B:H,6,FALSE),IF(OR(O359=3,O359=5),VLOOKUP(R359,怪物信息配置表!B:H,7,FALSE),"")))),AM359)</f>
        <v>1009_tiequan_BOSS</v>
      </c>
      <c r="AG359" s="2"/>
      <c r="AH359" s="15">
        <f>SUMPRODUCT(T359:V359,$AN$3:$AP$3)+ROUNDDOWN(VLOOKUP(P359,CHOOSE({1,2},'[1]消耗&amp;价值&amp;分析'!$C$7:$C$106,'[1]消耗&amp;价值&amp;分析'!$AS$7:$AS$106),2,FALSE)*0.6,0)</f>
        <v>2859.8419485243739</v>
      </c>
      <c r="AJ359" s="80">
        <v>1</v>
      </c>
      <c r="AK359" s="80">
        <v>1</v>
      </c>
      <c r="AL359" s="80">
        <v>1</v>
      </c>
    </row>
    <row r="360" spans="1:38">
      <c r="A360" s="33" t="str">
        <f>怪物并表!$R$8</f>
        <v>精英副本</v>
      </c>
      <c r="B360" s="38">
        <v>1</v>
      </c>
      <c r="C360" s="33">
        <f t="shared" si="45"/>
        <v>2203</v>
      </c>
      <c r="D360" s="33">
        <v>2</v>
      </c>
      <c r="E360" s="33">
        <f>VLOOKUP(A360,怪物并表!$R$7:$S$14,2,FALSE)</f>
        <v>2</v>
      </c>
      <c r="F360" s="38">
        <v>2</v>
      </c>
      <c r="G360" s="38">
        <v>3</v>
      </c>
      <c r="H360" s="38">
        <v>0</v>
      </c>
      <c r="I360" s="33">
        <f t="shared" si="49"/>
        <v>223001</v>
      </c>
      <c r="J360" s="33" t="s">
        <v>463</v>
      </c>
      <c r="K360" s="33"/>
      <c r="L360" s="33">
        <v>0</v>
      </c>
      <c r="M360" s="33">
        <v>1</v>
      </c>
      <c r="N360" s="33"/>
      <c r="O360" s="33">
        <v>1</v>
      </c>
      <c r="P360" s="33">
        <f>VLOOKUP($C360,CHOOSE({1,2},怪物并表!$E$7:$E$1000,怪物并表!$D$7:$D$1000),2,FALSE)</f>
        <v>24</v>
      </c>
      <c r="Q360" s="33" t="s">
        <v>17</v>
      </c>
      <c r="R360" s="33">
        <f>VLOOKUP(Q360,怪物信息配置表!$A$2:$B$118,2,FALSE)</f>
        <v>1005</v>
      </c>
      <c r="S360" s="33">
        <v>1</v>
      </c>
      <c r="T360" s="110">
        <f>VLOOKUP($C360,怪物并表!$E$7:$N$1000,2+($D360-1)*3,FALSE)*S360*AJ360</f>
        <v>10637.028804758071</v>
      </c>
      <c r="U360" s="110">
        <f>VLOOKUP($C360,怪物并表!$E$7:$N$1000,3+($D360-1)*3,FALSE)*S360*AK360</f>
        <v>741.7511984688839</v>
      </c>
      <c r="V360" s="110">
        <f>VLOOKUP($C360,怪物并表!$E$7:$N$1000,4+($D360-1)*3,FALSE)*S360*AL360</f>
        <v>316.08359855518404</v>
      </c>
      <c r="W360" s="33"/>
      <c r="X360" s="33"/>
      <c r="Y360" s="49">
        <f>VLOOKUP($C360,怪物并表!$E$7:$P$1000,12,FALSE)</f>
        <v>0</v>
      </c>
      <c r="Z360" s="49">
        <f>VLOOKUP($C360,怪物并表!$E$7:$P$1000,11,FALSE)*S360</f>
        <v>1739.0720000000001</v>
      </c>
      <c r="AA360" s="33"/>
      <c r="AB360" s="33"/>
      <c r="AC360" s="33"/>
      <c r="AD360" s="33">
        <f t="shared" si="39"/>
        <v>0.8</v>
      </c>
      <c r="AE360" s="2">
        <f t="shared" si="46"/>
        <v>772</v>
      </c>
      <c r="AF360" s="2" t="str">
        <f>IF(ISBLANK(AM360),IF(O360=6,"",IF(O360=1,VLOOKUP(R360,怪物信息配置表!B:H,5,FALSE),IF(O360=2,VLOOKUP(R360,怪物信息配置表!B:H,6,FALSE),IF(OR(O360=3,O360=5),VLOOKUP(R360,怪物信息配置表!B:H,7,FALSE),"")))),AM360)</f>
        <v>ai_monster_02</v>
      </c>
      <c r="AG360" s="2"/>
      <c r="AH360" s="15">
        <f>SUMPRODUCT(T360:V360,$AN$3:$AP$3)+ROUNDDOWN(VLOOKUP(P360,CHOOSE({1,2},'[1]消耗&amp;价值&amp;分析'!$C$7:$C$106,'[1]消耗&amp;价值&amp;分析'!$AS$7:$AS$106),2,FALSE)*0.6,0)</f>
        <v>2029.3159492143909</v>
      </c>
      <c r="AJ360" s="80">
        <v>1</v>
      </c>
      <c r="AK360" s="80">
        <v>1</v>
      </c>
      <c r="AL360" s="80">
        <v>1</v>
      </c>
    </row>
    <row r="361" spans="1:38">
      <c r="A361" s="33" t="str">
        <f>怪物并表!$R$8</f>
        <v>精英副本</v>
      </c>
      <c r="B361" s="38">
        <v>2</v>
      </c>
      <c r="C361" s="33">
        <f t="shared" si="45"/>
        <v>2203</v>
      </c>
      <c r="D361" s="33">
        <v>1</v>
      </c>
      <c r="E361" s="33">
        <f>VLOOKUP(A361,怪物并表!$R$7:$S$14,2,FALSE)</f>
        <v>2</v>
      </c>
      <c r="F361" s="38">
        <v>2</v>
      </c>
      <c r="G361" s="38">
        <v>3</v>
      </c>
      <c r="H361" s="38">
        <v>0</v>
      </c>
      <c r="I361" s="33">
        <f t="shared" si="49"/>
        <v>223002</v>
      </c>
      <c r="J361" s="33" t="s">
        <v>464</v>
      </c>
      <c r="K361" s="33"/>
      <c r="L361" s="33">
        <v>0</v>
      </c>
      <c r="M361" s="33">
        <v>1</v>
      </c>
      <c r="N361" s="33"/>
      <c r="O361" s="33">
        <v>1</v>
      </c>
      <c r="P361" s="33">
        <f>VLOOKUP($C361,CHOOSE({1,2},怪物并表!$E$7:$E$1000,怪物并表!$D$7:$D$1000),2,FALSE)</f>
        <v>24</v>
      </c>
      <c r="Q361" s="33" t="s">
        <v>367</v>
      </c>
      <c r="R361" s="33">
        <f>VLOOKUP(Q361,怪物信息配置表!$A$2:$B$118,2,FALSE)</f>
        <v>1008</v>
      </c>
      <c r="S361" s="33">
        <v>1</v>
      </c>
      <c r="T361" s="110">
        <f>VLOOKUP($C361,怪物并表!$E$7:$N$1000,2+($D361-1)*3,FALSE)*S361*AJ361</f>
        <v>13296.286005947588</v>
      </c>
      <c r="U361" s="110">
        <f>VLOOKUP($C361,怪物并表!$E$7:$N$1000,3+($D361-1)*3,FALSE)*S361*AK361</f>
        <v>780.80947997843282</v>
      </c>
      <c r="V361" s="110">
        <f>VLOOKUP($C361,怪物并表!$E$7:$N$1000,4+($D361-1)*3,FALSE)*S361*AL361</f>
        <v>409.73799812709035</v>
      </c>
      <c r="W361" s="33"/>
      <c r="X361" s="33"/>
      <c r="Y361" s="49">
        <f>VLOOKUP($C361,怪物并表!$E$7:$P$1000,12,FALSE)</f>
        <v>0</v>
      </c>
      <c r="Z361" s="49">
        <f>VLOOKUP($C361,怪物并表!$E$7:$P$1000,11,FALSE)*S361</f>
        <v>1739.0720000000001</v>
      </c>
      <c r="AA361" s="33"/>
      <c r="AB361" s="33"/>
      <c r="AC361" s="33"/>
      <c r="AD361" s="33">
        <f t="shared" si="39"/>
        <v>1</v>
      </c>
      <c r="AE361" s="2">
        <f t="shared" si="46"/>
        <v>715</v>
      </c>
      <c r="AF361" s="2" t="str">
        <f>IF(ISBLANK(AM361),IF(O361=6,"",IF(O361=1,VLOOKUP(R361,怪物信息配置表!B:H,5,FALSE),IF(O361=2,VLOOKUP(R361,怪物信息配置表!B:H,6,FALSE),IF(OR(O361=3,O361=5),VLOOKUP(R361,怪物信息配置表!B:H,7,FALSE),"")))),AM361)</f>
        <v>ai_monster</v>
      </c>
      <c r="AG361" s="2"/>
      <c r="AH361" s="15">
        <f>SUMPRODUCT(T361:V361,$AN$3:$AP$3)+ROUNDDOWN(VLOOKUP(P361,CHOOSE({1,2},'[1]消耗&amp;价值&amp;分析'!$C$7:$C$106,'[1]消耗&amp;价值&amp;分析'!$AS$7:$AS$106),2,FALSE)*0.6,0)</f>
        <v>2268.3989183434269</v>
      </c>
      <c r="AJ361" s="80">
        <v>1</v>
      </c>
      <c r="AK361" s="80">
        <v>1</v>
      </c>
      <c r="AL361" s="80">
        <v>1</v>
      </c>
    </row>
    <row r="362" spans="1:38">
      <c r="A362" s="33" t="str">
        <f>怪物并表!$R$8</f>
        <v>精英副本</v>
      </c>
      <c r="B362" s="38">
        <v>3</v>
      </c>
      <c r="C362" s="33">
        <f t="shared" si="45"/>
        <v>2203</v>
      </c>
      <c r="D362" s="33">
        <v>1</v>
      </c>
      <c r="E362" s="33">
        <f>VLOOKUP(A362,怪物并表!$R$7:$S$14,2,FALSE)</f>
        <v>2</v>
      </c>
      <c r="F362" s="38">
        <v>2</v>
      </c>
      <c r="G362" s="38">
        <v>3</v>
      </c>
      <c r="H362" s="38">
        <v>0</v>
      </c>
      <c r="I362" s="33">
        <f t="shared" si="49"/>
        <v>223003</v>
      </c>
      <c r="J362" s="33" t="s">
        <v>465</v>
      </c>
      <c r="K362" s="33"/>
      <c r="L362" s="33">
        <v>0</v>
      </c>
      <c r="M362" s="33">
        <v>1</v>
      </c>
      <c r="N362" s="33"/>
      <c r="O362" s="33">
        <v>1</v>
      </c>
      <c r="P362" s="33">
        <f>VLOOKUP($C362,CHOOSE({1,2},怪物并表!$E$7:$E$1000,怪物并表!$D$7:$D$1000),2,FALSE)</f>
        <v>24</v>
      </c>
      <c r="Q362" s="33" t="s">
        <v>7</v>
      </c>
      <c r="R362" s="33">
        <f>VLOOKUP(Q362,怪物信息配置表!$A$2:$B$118,2,FALSE)</f>
        <v>1002</v>
      </c>
      <c r="S362" s="33">
        <v>1</v>
      </c>
      <c r="T362" s="110">
        <f>VLOOKUP($C362,怪物并表!$E$7:$N$1000,2+($D362-1)*3,FALSE)*S362*AJ362</f>
        <v>13296.286005947588</v>
      </c>
      <c r="U362" s="110">
        <f>VLOOKUP($C362,怪物并表!$E$7:$N$1000,3+($D362-1)*3,FALSE)*S362*AK362</f>
        <v>780.80947997843282</v>
      </c>
      <c r="V362" s="110">
        <f>VLOOKUP($C362,怪物并表!$E$7:$N$1000,4+($D362-1)*3,FALSE)*S362*AL362</f>
        <v>409.73799812709035</v>
      </c>
      <c r="W362" s="33"/>
      <c r="X362" s="33"/>
      <c r="Y362" s="49">
        <f>VLOOKUP($C362,怪物并表!$E$7:$P$1000,12,FALSE)</f>
        <v>0</v>
      </c>
      <c r="Z362" s="49">
        <f>VLOOKUP($C362,怪物并表!$E$7:$P$1000,11,FALSE)*S362</f>
        <v>1739.0720000000001</v>
      </c>
      <c r="AA362" s="33"/>
      <c r="AB362" s="33"/>
      <c r="AC362" s="33"/>
      <c r="AD362" s="33">
        <f t="shared" si="39"/>
        <v>1</v>
      </c>
      <c r="AE362" s="2">
        <f t="shared" si="46"/>
        <v>715</v>
      </c>
      <c r="AF362" s="2" t="str">
        <f>IF(ISBLANK(AM362),IF(O362=6,"",IF(O362=1,VLOOKUP(R362,怪物信息配置表!B:H,5,FALSE),IF(O362=2,VLOOKUP(R362,怪物信息配置表!B:H,6,FALSE),IF(OR(O362=3,O362=5),VLOOKUP(R362,怪物信息配置表!B:H,7,FALSE),"")))),AM362)</f>
        <v>ai_monster</v>
      </c>
      <c r="AG362" s="2"/>
      <c r="AH362" s="15">
        <f>SUMPRODUCT(T362:V362,$AN$3:$AP$3)+ROUNDDOWN(VLOOKUP(P362,CHOOSE({1,2},'[1]消耗&amp;价值&amp;分析'!$C$7:$C$106,'[1]消耗&amp;价值&amp;分析'!$AS$7:$AS$106),2,FALSE)*0.6,0)</f>
        <v>2268.3989183434269</v>
      </c>
      <c r="AJ362" s="80">
        <v>1</v>
      </c>
      <c r="AK362" s="80">
        <v>1</v>
      </c>
      <c r="AL362" s="80">
        <v>1</v>
      </c>
    </row>
    <row r="363" spans="1:38">
      <c r="A363" s="33" t="str">
        <f>怪物并表!$R$8</f>
        <v>精英副本</v>
      </c>
      <c r="B363" s="38">
        <v>4</v>
      </c>
      <c r="C363" s="33">
        <f t="shared" si="45"/>
        <v>2203</v>
      </c>
      <c r="D363" s="33">
        <v>3</v>
      </c>
      <c r="E363" s="33">
        <f>VLOOKUP(A363,怪物并表!$R$7:$S$14,2,FALSE)</f>
        <v>2</v>
      </c>
      <c r="F363" s="38">
        <v>2</v>
      </c>
      <c r="G363" s="38">
        <v>3</v>
      </c>
      <c r="H363" s="38">
        <v>0</v>
      </c>
      <c r="I363" s="33">
        <f t="shared" si="49"/>
        <v>223004</v>
      </c>
      <c r="J363" s="33" t="s">
        <v>447</v>
      </c>
      <c r="K363" s="33"/>
      <c r="L363" s="33">
        <v>1</v>
      </c>
      <c r="M363" s="33">
        <v>1.2</v>
      </c>
      <c r="N363" s="33"/>
      <c r="O363" s="33">
        <v>3</v>
      </c>
      <c r="P363" s="33">
        <f>VLOOKUP($C363,CHOOSE({1,2},怪物并表!$E$7:$E$1000,怪物并表!$D$7:$D$1000),2,FALSE)</f>
        <v>24</v>
      </c>
      <c r="Q363" s="33" t="s">
        <v>17</v>
      </c>
      <c r="R363" s="33">
        <f>VLOOKUP(Q363,怪物信息配置表!$A$2:$B$118,2,FALSE)</f>
        <v>1005</v>
      </c>
      <c r="S363" s="33">
        <v>1</v>
      </c>
      <c r="T363" s="110">
        <f>VLOOKUP($C363,怪物并表!$E$7:$N$1000,2+($D363-1)*3,FALSE)*S363*AJ363</f>
        <v>33240.715014868969</v>
      </c>
      <c r="U363" s="110">
        <f>VLOOKUP($C363,怪物并表!$E$7:$N$1000,3+($D363-1)*3,FALSE)*S363*AK363</f>
        <v>858.92604299753077</v>
      </c>
      <c r="V363" s="110">
        <f>VLOOKUP($C363,怪物并表!$E$7:$N$1000,4+($D363-1)*3,FALSE)*S363*AL363</f>
        <v>503.39239769899672</v>
      </c>
      <c r="W363" s="33"/>
      <c r="X363" s="33"/>
      <c r="Y363" s="49">
        <f>VLOOKUP($C363,怪物并表!$E$7:$P$1000,12,FALSE)</f>
        <v>0</v>
      </c>
      <c r="Z363" s="49">
        <f>VLOOKUP($C363,怪物并表!$E$7:$P$1000,11,FALSE)*S363</f>
        <v>1739.0720000000001</v>
      </c>
      <c r="AA363" s="33"/>
      <c r="AB363" s="33"/>
      <c r="AC363" s="33"/>
      <c r="AD363" s="33">
        <f t="shared" si="39"/>
        <v>1.5</v>
      </c>
      <c r="AE363" s="2">
        <f t="shared" si="46"/>
        <v>572.5</v>
      </c>
      <c r="AF363" s="2" t="str">
        <f>IF(ISBLANK(AM363),IF(O363=6,"",IF(O363=1,VLOOKUP(R363,怪物信息配置表!B:H,5,FALSE),IF(O363=2,VLOOKUP(R363,怪物信息配置表!B:H,6,FALSE),IF(OR(O363=3,O363=5),VLOOKUP(R363,怪物信息配置表!B:H,7,FALSE),"")))),AM363)</f>
        <v>1005_JQB_BOSS</v>
      </c>
      <c r="AG363" s="2"/>
      <c r="AH363" s="15">
        <f>SUMPRODUCT(T363:V363,$AN$3:$AP$3)+ROUNDDOWN(VLOOKUP(P363,CHOOSE({1,2},'[1]消耗&amp;价值&amp;分析'!$C$7:$C$106,'[1]消耗&amp;价值&amp;分析'!$AS$7:$AS$106),2,FALSE)*0.6,0)</f>
        <v>3237.9470412912865</v>
      </c>
      <c r="AJ363" s="80">
        <v>1</v>
      </c>
      <c r="AK363" s="80">
        <v>1</v>
      </c>
      <c r="AL363" s="80">
        <v>1</v>
      </c>
    </row>
    <row r="364" spans="1:38">
      <c r="A364" s="33" t="str">
        <f>怪物并表!$R$8</f>
        <v>精英副本</v>
      </c>
      <c r="B364" s="38">
        <v>1</v>
      </c>
      <c r="C364" s="33">
        <f t="shared" si="45"/>
        <v>2204</v>
      </c>
      <c r="D364" s="33">
        <v>1</v>
      </c>
      <c r="E364" s="33">
        <f>VLOOKUP(A364,怪物并表!$R$7:$S$14,2,FALSE)</f>
        <v>2</v>
      </c>
      <c r="F364" s="38">
        <v>2</v>
      </c>
      <c r="G364" s="38">
        <v>4</v>
      </c>
      <c r="H364" s="38">
        <v>0</v>
      </c>
      <c r="I364" s="33">
        <f t="shared" si="49"/>
        <v>224001</v>
      </c>
      <c r="J364" s="33" t="s">
        <v>466</v>
      </c>
      <c r="K364" s="33"/>
      <c r="L364" s="33">
        <v>0</v>
      </c>
      <c r="M364" s="33">
        <v>1</v>
      </c>
      <c r="N364" s="33"/>
      <c r="O364" s="33">
        <v>1</v>
      </c>
      <c r="P364" s="33">
        <f>VLOOKUP($C364,CHOOSE({1,2},怪物并表!$E$7:$E$1000,怪物并表!$D$7:$D$1000),2,FALSE)</f>
        <v>25</v>
      </c>
      <c r="Q364" s="33" t="s">
        <v>14</v>
      </c>
      <c r="R364" s="33">
        <f>VLOOKUP(Q364,怪物信息配置表!$A$2:$B$118,2,FALSE)</f>
        <v>1010</v>
      </c>
      <c r="S364" s="33">
        <v>1</v>
      </c>
      <c r="T364" s="110">
        <f>VLOOKUP($C364,怪物并表!$E$7:$N$1000,2+($D364-1)*3,FALSE)*S364*AJ364</f>
        <v>15116.710754450263</v>
      </c>
      <c r="U364" s="110">
        <f>VLOOKUP($C364,怪物并表!$E$7:$N$1000,3+($D364-1)*3,FALSE)*S364*AK364</f>
        <v>876.22829351514883</v>
      </c>
      <c r="V364" s="110">
        <f>VLOOKUP($C364,怪物并表!$E$7:$N$1000,4+($D364-1)*3,FALSE)*S364*AL364</f>
        <v>458.8478227424751</v>
      </c>
      <c r="W364" s="33"/>
      <c r="X364" s="33"/>
      <c r="Y364" s="49">
        <f>VLOOKUP($C364,怪物并表!$E$7:$P$1000,12,FALSE)</f>
        <v>0</v>
      </c>
      <c r="Z364" s="49">
        <f>VLOOKUP($C364,怪物并表!$E$7:$P$1000,11,FALSE)*S364</f>
        <v>1797.3000000000002</v>
      </c>
      <c r="AA364" s="33"/>
      <c r="AB364" s="33"/>
      <c r="AC364" s="33"/>
      <c r="AD364" s="33">
        <f t="shared" si="39"/>
        <v>1</v>
      </c>
      <c r="AE364" s="2">
        <f t="shared" si="46"/>
        <v>703.125</v>
      </c>
      <c r="AF364" s="2" t="str">
        <f>IF(ISBLANK(AM364),IF(O364=6,"",IF(O364=1,VLOOKUP(R364,怪物信息配置表!B:H,5,FALSE),IF(O364=2,VLOOKUP(R364,怪物信息配置表!B:H,6,FALSE),IF(OR(O364=3,O364=5),VLOOKUP(R364,怪物信息配置表!B:H,7,FALSE),"")))),AM364)</f>
        <v>ai_monster</v>
      </c>
      <c r="AG364" s="2"/>
      <c r="AH364" s="15">
        <f>SUMPRODUCT(T364:V364,$AN$3:$AP$3)+ROUNDDOWN(VLOOKUP(P364,CHOOSE({1,2},'[1]消耗&amp;价值&amp;分析'!$C$7:$C$106,'[1]消耗&amp;价值&amp;分析'!$AS$7:$AS$106),2,FALSE)*0.6,0)</f>
        <v>2516.7445464356342</v>
      </c>
      <c r="AJ364" s="80">
        <v>1</v>
      </c>
      <c r="AK364" s="80">
        <v>1</v>
      </c>
      <c r="AL364" s="80">
        <v>1</v>
      </c>
    </row>
    <row r="365" spans="1:38">
      <c r="A365" s="33" t="str">
        <f>怪物并表!$R$8</f>
        <v>精英副本</v>
      </c>
      <c r="B365" s="38">
        <v>2</v>
      </c>
      <c r="C365" s="33">
        <f t="shared" si="45"/>
        <v>2204</v>
      </c>
      <c r="D365" s="33">
        <v>1</v>
      </c>
      <c r="E365" s="33">
        <f>VLOOKUP(A365,怪物并表!$R$7:$S$14,2,FALSE)</f>
        <v>2</v>
      </c>
      <c r="F365" s="38">
        <v>2</v>
      </c>
      <c r="G365" s="38">
        <v>4</v>
      </c>
      <c r="H365" s="38">
        <v>0</v>
      </c>
      <c r="I365" s="33">
        <f t="shared" si="49"/>
        <v>224002</v>
      </c>
      <c r="J365" s="33" t="s">
        <v>448</v>
      </c>
      <c r="K365" s="33"/>
      <c r="L365" s="33">
        <v>0</v>
      </c>
      <c r="M365" s="33">
        <v>1</v>
      </c>
      <c r="N365" s="33"/>
      <c r="O365" s="33">
        <v>1</v>
      </c>
      <c r="P365" s="33">
        <f>VLOOKUP($C365,CHOOSE({1,2},怪物并表!$E$7:$E$1000,怪物并表!$D$7:$D$1000),2,FALSE)</f>
        <v>25</v>
      </c>
      <c r="Q365" s="33" t="s">
        <v>10</v>
      </c>
      <c r="R365" s="33">
        <f>VLOOKUP(Q365,怪物信息配置表!$A$2:$B$118,2,FALSE)</f>
        <v>1001</v>
      </c>
      <c r="S365" s="33">
        <v>1</v>
      </c>
      <c r="T365" s="110">
        <f>VLOOKUP($C365,怪物并表!$E$7:$N$1000,2+($D365-1)*3,FALSE)*S365*AJ365</f>
        <v>15116.710754450263</v>
      </c>
      <c r="U365" s="110">
        <f>VLOOKUP($C365,怪物并表!$E$7:$N$1000,3+($D365-1)*3,FALSE)*S365*AK365</f>
        <v>876.22829351514883</v>
      </c>
      <c r="V365" s="110">
        <f>VLOOKUP($C365,怪物并表!$E$7:$N$1000,4+($D365-1)*3,FALSE)*S365*AL365</f>
        <v>458.8478227424751</v>
      </c>
      <c r="W365" s="33"/>
      <c r="X365" s="33"/>
      <c r="Y365" s="49">
        <f>VLOOKUP($C365,怪物并表!$E$7:$P$1000,12,FALSE)</f>
        <v>0</v>
      </c>
      <c r="Z365" s="49">
        <f>VLOOKUP($C365,怪物并表!$E$7:$P$1000,11,FALSE)*S365</f>
        <v>1797.3000000000002</v>
      </c>
      <c r="AA365" s="33"/>
      <c r="AB365" s="33"/>
      <c r="AC365" s="33"/>
      <c r="AD365" s="33">
        <f t="shared" si="39"/>
        <v>1</v>
      </c>
      <c r="AE365" s="2">
        <f t="shared" si="46"/>
        <v>703.125</v>
      </c>
      <c r="AF365" s="2" t="str">
        <f>IF(ISBLANK(AM365),IF(O365=6,"",IF(O365=1,VLOOKUP(R365,怪物信息配置表!B:H,5,FALSE),IF(O365=2,VLOOKUP(R365,怪物信息配置表!B:H,6,FALSE),IF(OR(O365=3,O365=5),VLOOKUP(R365,怪物信息配置表!B:H,7,FALSE),"")))),AM365)</f>
        <v>ai_monster</v>
      </c>
      <c r="AG365" s="2"/>
      <c r="AH365" s="15">
        <f>SUMPRODUCT(T365:V365,$AN$3:$AP$3)+ROUNDDOWN(VLOOKUP(P365,CHOOSE({1,2},'[1]消耗&amp;价值&amp;分析'!$C$7:$C$106,'[1]消耗&amp;价值&amp;分析'!$AS$7:$AS$106),2,FALSE)*0.6,0)</f>
        <v>2516.7445464356342</v>
      </c>
      <c r="AJ365" s="80">
        <v>1</v>
      </c>
      <c r="AK365" s="80">
        <v>1</v>
      </c>
      <c r="AL365" s="80">
        <v>1</v>
      </c>
    </row>
    <row r="366" spans="1:38">
      <c r="A366" s="33" t="str">
        <f>怪物并表!$R$8</f>
        <v>精英副本</v>
      </c>
      <c r="B366" s="38">
        <v>3</v>
      </c>
      <c r="C366" s="33">
        <f t="shared" si="45"/>
        <v>2204</v>
      </c>
      <c r="D366" s="33">
        <v>1</v>
      </c>
      <c r="E366" s="33">
        <f>VLOOKUP(A366,怪物并表!$R$7:$S$14,2,FALSE)</f>
        <v>2</v>
      </c>
      <c r="F366" s="38">
        <v>2</v>
      </c>
      <c r="G366" s="38">
        <v>4</v>
      </c>
      <c r="H366" s="38">
        <v>0</v>
      </c>
      <c r="I366" s="33">
        <f t="shared" si="49"/>
        <v>224003</v>
      </c>
      <c r="J366" s="33" t="s">
        <v>13</v>
      </c>
      <c r="K366" s="33"/>
      <c r="L366" s="33">
        <v>0</v>
      </c>
      <c r="M366" s="33">
        <v>1</v>
      </c>
      <c r="N366" s="33"/>
      <c r="O366" s="33">
        <v>1</v>
      </c>
      <c r="P366" s="33">
        <f>VLOOKUP($C366,CHOOSE({1,2},怪物并表!$E$7:$E$1000,怪物并表!$D$7:$D$1000),2,FALSE)</f>
        <v>25</v>
      </c>
      <c r="Q366" s="33" t="s">
        <v>7</v>
      </c>
      <c r="R366" s="33">
        <f>VLOOKUP(Q366,怪物信息配置表!$A$2:$B$118,2,FALSE)</f>
        <v>1002</v>
      </c>
      <c r="S366" s="33">
        <v>1</v>
      </c>
      <c r="T366" s="110">
        <f>VLOOKUP($C366,怪物并表!$E$7:$N$1000,2+($D366-1)*3,FALSE)*S366*AJ366</f>
        <v>15116.710754450263</v>
      </c>
      <c r="U366" s="110">
        <f>VLOOKUP($C366,怪物并表!$E$7:$N$1000,3+($D366-1)*3,FALSE)*S366*AK366</f>
        <v>876.22829351514883</v>
      </c>
      <c r="V366" s="110">
        <f>VLOOKUP($C366,怪物并表!$E$7:$N$1000,4+($D366-1)*3,FALSE)*S366*AL366</f>
        <v>458.8478227424751</v>
      </c>
      <c r="W366" s="33"/>
      <c r="X366" s="33"/>
      <c r="Y366" s="49">
        <f>VLOOKUP($C366,怪物并表!$E$7:$P$1000,12,FALSE)</f>
        <v>0</v>
      </c>
      <c r="Z366" s="49">
        <f>VLOOKUP($C366,怪物并表!$E$7:$P$1000,11,FALSE)*S366</f>
        <v>1797.3000000000002</v>
      </c>
      <c r="AA366" s="33"/>
      <c r="AB366" s="33"/>
      <c r="AC366" s="33"/>
      <c r="AD366" s="33">
        <f t="shared" si="39"/>
        <v>1</v>
      </c>
      <c r="AE366" s="2">
        <f t="shared" si="46"/>
        <v>703.125</v>
      </c>
      <c r="AF366" s="2" t="str">
        <f>IF(ISBLANK(AM366),IF(O366=6,"",IF(O366=1,VLOOKUP(R366,怪物信息配置表!B:H,5,FALSE),IF(O366=2,VLOOKUP(R366,怪物信息配置表!B:H,6,FALSE),IF(OR(O366=3,O366=5),VLOOKUP(R366,怪物信息配置表!B:H,7,FALSE),"")))),AM366)</f>
        <v>ai_monster</v>
      </c>
      <c r="AG366" s="2"/>
      <c r="AH366" s="15">
        <f>SUMPRODUCT(T366:V366,$AN$3:$AP$3)+ROUNDDOWN(VLOOKUP(P366,CHOOSE({1,2},'[1]消耗&amp;价值&amp;分析'!$C$7:$C$106,'[1]消耗&amp;价值&amp;分析'!$AS$7:$AS$106),2,FALSE)*0.6,0)</f>
        <v>2516.7445464356342</v>
      </c>
      <c r="AJ366" s="80">
        <v>1</v>
      </c>
      <c r="AK366" s="80">
        <v>1</v>
      </c>
      <c r="AL366" s="80">
        <v>1</v>
      </c>
    </row>
    <row r="367" spans="1:38">
      <c r="A367" s="33" t="str">
        <f>怪物并表!$R$8</f>
        <v>精英副本</v>
      </c>
      <c r="B367" s="38">
        <v>4</v>
      </c>
      <c r="C367" s="33">
        <f t="shared" si="45"/>
        <v>2204</v>
      </c>
      <c r="D367" s="33">
        <v>3</v>
      </c>
      <c r="E367" s="33">
        <f>VLOOKUP(A367,怪物并表!$R$7:$S$14,2,FALSE)</f>
        <v>2</v>
      </c>
      <c r="F367" s="38">
        <v>2</v>
      </c>
      <c r="G367" s="38">
        <v>4</v>
      </c>
      <c r="H367" s="38">
        <v>0</v>
      </c>
      <c r="I367" s="33">
        <f t="shared" si="49"/>
        <v>224004</v>
      </c>
      <c r="J367" s="33" t="s">
        <v>535</v>
      </c>
      <c r="K367" s="33"/>
      <c r="L367" s="33">
        <v>1</v>
      </c>
      <c r="M367" s="33">
        <v>1.2</v>
      </c>
      <c r="N367" s="33"/>
      <c r="O367" s="33">
        <v>3</v>
      </c>
      <c r="P367" s="33">
        <f>VLOOKUP($C367,CHOOSE({1,2},怪物并表!$E$7:$E$1000,怪物并表!$D$7:$D$1000),2,FALSE)</f>
        <v>25</v>
      </c>
      <c r="Q367" s="33" t="s">
        <v>13</v>
      </c>
      <c r="R367" s="33">
        <f>VLOOKUP(Q367,怪物信息配置表!$A$2:$B$118,2,FALSE)</f>
        <v>1007</v>
      </c>
      <c r="S367" s="33">
        <v>1</v>
      </c>
      <c r="T367" s="110">
        <f>VLOOKUP($C367,怪物并表!$E$7:$N$1000,2+($D367-1)*3,FALSE)*S367*AJ367</f>
        <v>37791.776886125663</v>
      </c>
      <c r="U367" s="110">
        <f>VLOOKUP($C367,怪物并表!$E$7:$N$1000,3+($D367-1)*3,FALSE)*S367*AK367</f>
        <v>966.10691542888094</v>
      </c>
      <c r="V367" s="110">
        <f>VLOOKUP($C367,怪物并表!$E$7:$N$1000,4+($D367-1)*3,FALSE)*S367*AL367</f>
        <v>559.15409096989993</v>
      </c>
      <c r="W367" s="33"/>
      <c r="X367" s="33"/>
      <c r="Y367" s="49">
        <f>VLOOKUP($C367,怪物并表!$E$7:$P$1000,12,FALSE)</f>
        <v>0</v>
      </c>
      <c r="Z367" s="49">
        <f>VLOOKUP($C367,怪物并表!$E$7:$P$1000,11,FALSE)*S367</f>
        <v>1797.3000000000002</v>
      </c>
      <c r="AA367" s="33"/>
      <c r="AB367" s="33"/>
      <c r="AC367" s="33"/>
      <c r="AD367" s="33">
        <f t="shared" si="39"/>
        <v>1.5</v>
      </c>
      <c r="AE367" s="2">
        <f t="shared" si="46"/>
        <v>554.6875</v>
      </c>
      <c r="AF367" s="2" t="str">
        <f>IF(ISBLANK(AM367),IF(O367=6,"",IF(O367=1,VLOOKUP(R367,怪物信息配置表!B:H,5,FALSE),IF(O367=2,VLOOKUP(R367,怪物信息配置表!B:H,6,FALSE),IF(OR(O367=3,O367=5),VLOOKUP(R367,怪物信息配置表!B:H,7,FALSE),"")))),AM367)</f>
        <v>ai_BOSS_01</v>
      </c>
      <c r="AG367" s="2"/>
      <c r="AH367" s="15">
        <f>SUMPRODUCT(T367:V367,$AN$3:$AP$3)+ROUNDDOWN(VLOOKUP(P367,CHOOSE({1,2},'[1]消耗&amp;价值&amp;分析'!$C$7:$C$106,'[1]消耗&amp;价值&amp;分析'!$AS$7:$AS$106),2,FALSE)*0.6,0)</f>
        <v>3613.9320818438073</v>
      </c>
      <c r="AJ367" s="80">
        <v>1</v>
      </c>
      <c r="AK367" s="80">
        <v>1</v>
      </c>
      <c r="AL367" s="80">
        <v>1</v>
      </c>
    </row>
    <row r="368" spans="1:38">
      <c r="A368" s="33" t="str">
        <f>怪物并表!$R$8</f>
        <v>精英副本</v>
      </c>
      <c r="B368" s="38">
        <v>1</v>
      </c>
      <c r="C368" s="33">
        <f t="shared" si="45"/>
        <v>2205</v>
      </c>
      <c r="D368" s="33">
        <v>1</v>
      </c>
      <c r="E368" s="33">
        <f>VLOOKUP(A368,怪物并表!$R$7:$S$14,2,FALSE)</f>
        <v>2</v>
      </c>
      <c r="F368" s="38">
        <v>2</v>
      </c>
      <c r="G368" s="38">
        <v>5</v>
      </c>
      <c r="H368" s="38">
        <v>0</v>
      </c>
      <c r="I368" s="33">
        <f t="shared" si="49"/>
        <v>225001</v>
      </c>
      <c r="J368" s="33" t="s">
        <v>15</v>
      </c>
      <c r="K368" s="33"/>
      <c r="L368" s="33">
        <v>0</v>
      </c>
      <c r="M368" s="33">
        <v>1</v>
      </c>
      <c r="N368" s="33"/>
      <c r="O368" s="33">
        <v>1</v>
      </c>
      <c r="P368" s="33">
        <f>VLOOKUP($C368,CHOOSE({1,2},怪物并表!$E$7:$E$1000,怪物并表!$D$7:$D$1000),2,FALSE)</f>
        <v>26</v>
      </c>
      <c r="Q368" s="33" t="s">
        <v>15</v>
      </c>
      <c r="R368" s="33">
        <f>VLOOKUP(Q368,怪物信息配置表!$A$2:$B$118,2,FALSE)</f>
        <v>1004</v>
      </c>
      <c r="S368" s="33">
        <v>1</v>
      </c>
      <c r="T368" s="110">
        <f>VLOOKUP($C368,怪物并表!$E$7:$N$1000,2+($D368-1)*3,FALSE)*S368*AJ368</f>
        <v>17314.682010028191</v>
      </c>
      <c r="U368" s="110">
        <f>VLOOKUP($C368,怪物并表!$E$7:$N$1000,3+($D368-1)*3,FALSE)*S368*AK368</f>
        <v>991.67903786444572</v>
      </c>
      <c r="V368" s="110">
        <f>VLOOKUP($C368,怪物并表!$E$7:$N$1000,4+($D368-1)*3,FALSE)*S368*AL368</f>
        <v>517.85581677591995</v>
      </c>
      <c r="W368" s="33"/>
      <c r="X368" s="33"/>
      <c r="Y368" s="49">
        <f>VLOOKUP($C368,怪物并表!$E$7:$P$1000,12,FALSE)</f>
        <v>0</v>
      </c>
      <c r="Z368" s="49">
        <f>VLOOKUP($C368,怪物并表!$E$7:$P$1000,11,FALSE)*S368</f>
        <v>1855.528</v>
      </c>
      <c r="AA368" s="33"/>
      <c r="AB368" s="33"/>
      <c r="AC368" s="33"/>
      <c r="AD368" s="33">
        <f t="shared" si="39"/>
        <v>1</v>
      </c>
      <c r="AE368" s="2">
        <f t="shared" si="46"/>
        <v>691.25</v>
      </c>
      <c r="AF368" s="2" t="str">
        <f>IF(ISBLANK(AM368),IF(O368=6,"",IF(O368=1,VLOOKUP(R368,怪物信息配置表!B:H,5,FALSE),IF(O368=2,VLOOKUP(R368,怪物信息配置表!B:H,6,FALSE),IF(OR(O368=3,O368=5),VLOOKUP(R368,怪物信息配置表!B:H,7,FALSE),"")))),AM368)</f>
        <v>ai_monster</v>
      </c>
      <c r="AG368" s="2"/>
      <c r="AH368" s="15">
        <f>SUMPRODUCT(T368:V368,$AN$3:$AP$3)+ROUNDDOWN(VLOOKUP(P368,CHOOSE({1,2},'[1]消耗&amp;价值&amp;分析'!$C$7:$C$106,'[1]消耗&amp;价值&amp;分析'!$AS$7:$AS$106),2,FALSE)*0.6,0)</f>
        <v>2841.1221350414935</v>
      </c>
      <c r="AJ368" s="80">
        <v>1</v>
      </c>
      <c r="AK368" s="80">
        <v>1</v>
      </c>
      <c r="AL368" s="80">
        <v>1</v>
      </c>
    </row>
    <row r="369" spans="1:38">
      <c r="A369" s="33" t="str">
        <f>怪物并表!$R$8</f>
        <v>精英副本</v>
      </c>
      <c r="B369" s="38">
        <v>2</v>
      </c>
      <c r="C369" s="33">
        <f t="shared" si="45"/>
        <v>2205</v>
      </c>
      <c r="D369" s="33">
        <v>1</v>
      </c>
      <c r="E369" s="33">
        <f>VLOOKUP(A369,怪物并表!$R$7:$S$14,2,FALSE)</f>
        <v>2</v>
      </c>
      <c r="F369" s="38">
        <v>2</v>
      </c>
      <c r="G369" s="38">
        <v>5</v>
      </c>
      <c r="H369" s="38">
        <v>0</v>
      </c>
      <c r="I369" s="33">
        <f t="shared" si="49"/>
        <v>225002</v>
      </c>
      <c r="J369" s="33" t="s">
        <v>466</v>
      </c>
      <c r="K369" s="33"/>
      <c r="L369" s="33">
        <v>0</v>
      </c>
      <c r="M369" s="33">
        <v>1</v>
      </c>
      <c r="N369" s="33"/>
      <c r="O369" s="33">
        <v>1</v>
      </c>
      <c r="P369" s="33">
        <f>VLOOKUP($C369,CHOOSE({1,2},怪物并表!$E$7:$E$1000,怪物并表!$D$7:$D$1000),2,FALSE)</f>
        <v>26</v>
      </c>
      <c r="Q369" s="33" t="s">
        <v>14</v>
      </c>
      <c r="R369" s="33">
        <f>VLOOKUP(Q369,怪物信息配置表!$A$2:$B$118,2,FALSE)</f>
        <v>1010</v>
      </c>
      <c r="S369" s="33">
        <v>1</v>
      </c>
      <c r="T369" s="110">
        <f>VLOOKUP($C369,怪物并表!$E$7:$N$1000,2+($D369-1)*3,FALSE)*S369*AJ369</f>
        <v>17314.682010028191</v>
      </c>
      <c r="U369" s="110">
        <f>VLOOKUP($C369,怪物并表!$E$7:$N$1000,3+($D369-1)*3,FALSE)*S369*AK369</f>
        <v>991.67903786444572</v>
      </c>
      <c r="V369" s="110">
        <f>VLOOKUP($C369,怪物并表!$E$7:$N$1000,4+($D369-1)*3,FALSE)*S369*AL369</f>
        <v>517.85581677591995</v>
      </c>
      <c r="W369" s="33"/>
      <c r="X369" s="33"/>
      <c r="Y369" s="49">
        <f>VLOOKUP($C369,怪物并表!$E$7:$P$1000,12,FALSE)</f>
        <v>0</v>
      </c>
      <c r="Z369" s="49">
        <f>VLOOKUP($C369,怪物并表!$E$7:$P$1000,11,FALSE)*S369</f>
        <v>1855.528</v>
      </c>
      <c r="AA369" s="33"/>
      <c r="AB369" s="33"/>
      <c r="AC369" s="33"/>
      <c r="AD369" s="33">
        <f t="shared" si="39"/>
        <v>1</v>
      </c>
      <c r="AE369" s="2">
        <f t="shared" si="46"/>
        <v>691.25</v>
      </c>
      <c r="AF369" s="2" t="str">
        <f>IF(ISBLANK(AM369),IF(O369=6,"",IF(O369=1,VLOOKUP(R369,怪物信息配置表!B:H,5,FALSE),IF(O369=2,VLOOKUP(R369,怪物信息配置表!B:H,6,FALSE),IF(OR(O369=3,O369=5),VLOOKUP(R369,怪物信息配置表!B:H,7,FALSE),"")))),AM369)</f>
        <v>ai_monster</v>
      </c>
      <c r="AG369" s="2"/>
      <c r="AH369" s="15">
        <f>SUMPRODUCT(T369:V369,$AN$3:$AP$3)+ROUNDDOWN(VLOOKUP(P369,CHOOSE({1,2},'[1]消耗&amp;价值&amp;分析'!$C$7:$C$106,'[1]消耗&amp;价值&amp;分析'!$AS$7:$AS$106),2,FALSE)*0.6,0)</f>
        <v>2841.1221350414935</v>
      </c>
      <c r="AJ369" s="80">
        <v>1</v>
      </c>
      <c r="AK369" s="80">
        <v>1</v>
      </c>
      <c r="AL369" s="80">
        <v>1</v>
      </c>
    </row>
    <row r="370" spans="1:38">
      <c r="A370" s="33" t="str">
        <f>怪物并表!$R$8</f>
        <v>精英副本</v>
      </c>
      <c r="B370" s="38">
        <v>3</v>
      </c>
      <c r="C370" s="33">
        <f t="shared" si="45"/>
        <v>2205</v>
      </c>
      <c r="D370" s="33">
        <v>2</v>
      </c>
      <c r="E370" s="33">
        <f>VLOOKUP(A370,怪物并表!$R$7:$S$14,2,FALSE)</f>
        <v>2</v>
      </c>
      <c r="F370" s="38">
        <v>2</v>
      </c>
      <c r="G370" s="38">
        <v>5</v>
      </c>
      <c r="H370" s="38">
        <v>0</v>
      </c>
      <c r="I370" s="33">
        <f t="shared" si="49"/>
        <v>225003</v>
      </c>
      <c r="J370" s="33" t="s">
        <v>465</v>
      </c>
      <c r="K370" s="33"/>
      <c r="L370" s="33">
        <v>0</v>
      </c>
      <c r="M370" s="33">
        <v>1</v>
      </c>
      <c r="N370" s="33"/>
      <c r="O370" s="33">
        <v>1</v>
      </c>
      <c r="P370" s="33">
        <f>VLOOKUP($C370,CHOOSE({1,2},怪物并表!$E$7:$E$1000,怪物并表!$D$7:$D$1000),2,FALSE)</f>
        <v>26</v>
      </c>
      <c r="Q370" s="33" t="s">
        <v>9</v>
      </c>
      <c r="R370" s="33">
        <f>VLOOKUP(Q370,怪物信息配置表!$A$2:$B$118,2,FALSE)</f>
        <v>1003</v>
      </c>
      <c r="S370" s="33">
        <v>1</v>
      </c>
      <c r="T370" s="110">
        <f>VLOOKUP($C370,怪物并表!$E$7:$N$1000,2+($D370-1)*3,FALSE)*S370*AJ370</f>
        <v>13851.745608022555</v>
      </c>
      <c r="U370" s="110">
        <f>VLOOKUP($C370,怪物并表!$E$7:$N$1000,3+($D370-1)*3,FALSE)*S370*AK370</f>
        <v>939.58893560308479</v>
      </c>
      <c r="V370" s="110">
        <f>VLOOKUP($C370,怪物并表!$E$7:$N$1000,4+($D370-1)*3,FALSE)*S370*AL370</f>
        <v>409.57687326822759</v>
      </c>
      <c r="W370" s="33"/>
      <c r="X370" s="33"/>
      <c r="Y370" s="49">
        <f>VLOOKUP($C370,怪物并表!$E$7:$P$1000,12,FALSE)</f>
        <v>0</v>
      </c>
      <c r="Z370" s="49">
        <f>VLOOKUP($C370,怪物并表!$E$7:$P$1000,11,FALSE)*S370</f>
        <v>1855.528</v>
      </c>
      <c r="AA370" s="33"/>
      <c r="AB370" s="33"/>
      <c r="AC370" s="33"/>
      <c r="AD370" s="33">
        <f t="shared" si="39"/>
        <v>0.8</v>
      </c>
      <c r="AE370" s="2">
        <f t="shared" si="46"/>
        <v>753</v>
      </c>
      <c r="AF370" s="2" t="str">
        <f>IF(ISBLANK(AM370),IF(O370=6,"",IF(O370=1,VLOOKUP(R370,怪物信息配置表!B:H,5,FALSE),IF(O370=2,VLOOKUP(R370,怪物信息配置表!B:H,6,FALSE),IF(OR(O370=3,O370=5),VLOOKUP(R370,怪物信息配置表!B:H,7,FALSE),"")))),AM370)</f>
        <v>ai_monster_02</v>
      </c>
      <c r="AG370" s="2"/>
      <c r="AH370" s="15">
        <f>SUMPRODUCT(T370:V370,$AN$3:$AP$3)+ROUNDDOWN(VLOOKUP(P370,CHOOSE({1,2},'[1]消耗&amp;价值&amp;分析'!$C$7:$C$106,'[1]消耗&amp;价值&amp;分析'!$AS$7:$AS$106),2,FALSE)*0.6,0)</f>
        <v>2542.2356331922147</v>
      </c>
      <c r="AJ370" s="80">
        <v>1</v>
      </c>
      <c r="AK370" s="80">
        <v>1</v>
      </c>
      <c r="AL370" s="80">
        <v>1</v>
      </c>
    </row>
    <row r="371" spans="1:38">
      <c r="A371" s="33" t="str">
        <f>怪物并表!$R$8</f>
        <v>精英副本</v>
      </c>
      <c r="B371" s="38">
        <v>4</v>
      </c>
      <c r="C371" s="33">
        <f t="shared" si="45"/>
        <v>2205</v>
      </c>
      <c r="D371" s="33">
        <v>3</v>
      </c>
      <c r="E371" s="33">
        <f>VLOOKUP(A371,怪物并表!$R$7:$S$14,2,FALSE)</f>
        <v>2</v>
      </c>
      <c r="F371" s="38">
        <v>2</v>
      </c>
      <c r="G371" s="38">
        <v>5</v>
      </c>
      <c r="H371" s="38">
        <v>0</v>
      </c>
      <c r="I371" s="33">
        <f t="shared" si="49"/>
        <v>225004</v>
      </c>
      <c r="J371" s="33" t="s">
        <v>705</v>
      </c>
      <c r="K371" s="33"/>
      <c r="L371" s="33">
        <v>1</v>
      </c>
      <c r="M371" s="33">
        <v>1.2</v>
      </c>
      <c r="N371" s="33"/>
      <c r="O371" s="33">
        <v>3</v>
      </c>
      <c r="P371" s="33">
        <f>VLOOKUP($C371,CHOOSE({1,2},怪物并表!$E$7:$E$1000,怪物并表!$D$7:$D$1000),2,FALSE)</f>
        <v>26</v>
      </c>
      <c r="Q371" s="33" t="s">
        <v>10</v>
      </c>
      <c r="R371" s="33">
        <f>VLOOKUP(Q371,怪物信息配置表!$A$2:$B$118,2,FALSE)</f>
        <v>1001</v>
      </c>
      <c r="S371" s="33">
        <v>1</v>
      </c>
      <c r="T371" s="110">
        <f>VLOOKUP($C371,怪物并表!$E$7:$N$1000,2+($D371-1)*3,FALSE)*S371*AJ371</f>
        <v>43286.705025070478</v>
      </c>
      <c r="U371" s="110">
        <f>VLOOKUP($C371,怪物并表!$E$7:$N$1000,3+($D371-1)*3,FALSE)*S371*AK371</f>
        <v>1095.8592423871676</v>
      </c>
      <c r="V371" s="110">
        <f>VLOOKUP($C371,怪物并表!$E$7:$N$1000,4+($D371-1)*3,FALSE)*S371*AL371</f>
        <v>626.1347602836122</v>
      </c>
      <c r="W371" s="33"/>
      <c r="X371" s="33"/>
      <c r="Y371" s="49">
        <f>VLOOKUP($C371,怪物并表!$E$7:$P$1000,12,FALSE)</f>
        <v>0</v>
      </c>
      <c r="Z371" s="49">
        <f>VLOOKUP($C371,怪物并表!$E$7:$P$1000,11,FALSE)*S371</f>
        <v>1855.528</v>
      </c>
      <c r="AA371" s="33"/>
      <c r="AB371" s="33"/>
      <c r="AC371" s="33"/>
      <c r="AD371" s="33">
        <f t="shared" si="39"/>
        <v>1.5</v>
      </c>
      <c r="AE371" s="2">
        <f t="shared" si="46"/>
        <v>536.875</v>
      </c>
      <c r="AF371" s="2" t="str">
        <f>IF(ISBLANK(AM371),IF(O371=6,"",IF(O371=1,VLOOKUP(R371,怪物信息配置表!B:H,5,FALSE),IF(O371=2,VLOOKUP(R371,怪物信息配置表!B:H,6,FALSE),IF(OR(O371=3,O371=5),VLOOKUP(R371,怪物信息配置表!B:H,7,FALSE),"")))),AM371)</f>
        <v>1001_quanbing_BOSS</v>
      </c>
      <c r="AG371" s="2"/>
      <c r="AH371" s="15">
        <f>SUMPRODUCT(T371:V371,$AN$3:$AP$3)+ROUNDDOWN(VLOOKUP(P371,CHOOSE({1,2},'[1]消耗&amp;价值&amp;分析'!$C$7:$C$106,'[1]消耗&amp;价值&amp;分析'!$AS$7:$AS$106),2,FALSE)*0.6,0)</f>
        <v>4092.4622036735991</v>
      </c>
      <c r="AJ371" s="80">
        <v>1</v>
      </c>
      <c r="AK371" s="80">
        <v>1</v>
      </c>
      <c r="AL371" s="80">
        <v>1</v>
      </c>
    </row>
    <row r="372" spans="1:38">
      <c r="A372" s="33" t="str">
        <f>怪物并表!$R$8</f>
        <v>精英副本</v>
      </c>
      <c r="B372" s="38">
        <v>1</v>
      </c>
      <c r="C372" s="33">
        <f t="shared" si="45"/>
        <v>2206</v>
      </c>
      <c r="D372" s="33">
        <v>1</v>
      </c>
      <c r="E372" s="33">
        <f>VLOOKUP(A372,怪物并表!$R$7:$S$14,2,FALSE)</f>
        <v>2</v>
      </c>
      <c r="F372" s="38">
        <v>2</v>
      </c>
      <c r="G372" s="38">
        <v>6</v>
      </c>
      <c r="H372" s="38">
        <v>0</v>
      </c>
      <c r="I372" s="33">
        <f t="shared" si="49"/>
        <v>226001</v>
      </c>
      <c r="J372" s="33" t="s">
        <v>216</v>
      </c>
      <c r="K372" s="33"/>
      <c r="L372" s="33">
        <v>0</v>
      </c>
      <c r="M372" s="33">
        <v>1</v>
      </c>
      <c r="N372" s="33"/>
      <c r="O372" s="33">
        <v>1</v>
      </c>
      <c r="P372" s="33">
        <f>VLOOKUP($C372,CHOOSE({1,2},怪物并表!$E$7:$E$1000,怪物并表!$D$7:$D$1000),2,FALSE)</f>
        <v>27</v>
      </c>
      <c r="Q372" s="33" t="s">
        <v>12</v>
      </c>
      <c r="R372" s="33">
        <f>VLOOKUP(Q372,怪物信息配置表!$A$2:$B$118,2,FALSE)</f>
        <v>1009</v>
      </c>
      <c r="S372" s="33">
        <v>1</v>
      </c>
      <c r="T372" s="110">
        <f>VLOOKUP($C372,怪物并表!$E$7:$N$1000,2+($D372-1)*3,FALSE)*S372*AJ372</f>
        <v>19710.34129093419</v>
      </c>
      <c r="U372" s="110">
        <f>VLOOKUP($C372,怪物并表!$E$7:$N$1000,3+($D372-1)*3,FALSE)*S372*AK372</f>
        <v>1116.5397030430397</v>
      </c>
      <c r="V372" s="110">
        <f>VLOOKUP($C372,怪物并表!$E$7:$N$1000,4+($D372-1)*3,FALSE)*S372*AL372</f>
        <v>581.04517364548519</v>
      </c>
      <c r="W372" s="33"/>
      <c r="X372" s="33"/>
      <c r="Y372" s="49">
        <f>VLOOKUP($C372,怪物并表!$E$7:$P$1000,12,FALSE)</f>
        <v>0</v>
      </c>
      <c r="Z372" s="49">
        <f>VLOOKUP($C372,怪物并表!$E$7:$P$1000,11,FALSE)*S372</f>
        <v>1913.7559999999999</v>
      </c>
      <c r="AA372" s="33"/>
      <c r="AB372" s="33"/>
      <c r="AC372" s="33"/>
      <c r="AD372" s="33">
        <f t="shared" si="39"/>
        <v>1</v>
      </c>
      <c r="AE372" s="2">
        <f t="shared" si="46"/>
        <v>679.375</v>
      </c>
      <c r="AF372" s="2" t="str">
        <f>IF(ISBLANK(AM372),IF(O372=6,"",IF(O372=1,VLOOKUP(R372,怪物信息配置表!B:H,5,FALSE),IF(O372=2,VLOOKUP(R372,怪物信息配置表!B:H,6,FALSE),IF(OR(O372=3,O372=5),VLOOKUP(R372,怪物信息配置表!B:H,7,FALSE),"")))),AM372)</f>
        <v>ai_monster</v>
      </c>
      <c r="AG372" s="2"/>
      <c r="AH372" s="15">
        <f>SUMPRODUCT(T372:V372,$AN$3:$AP$3)+ROUNDDOWN(VLOOKUP(P372,CHOOSE({1,2},'[1]消耗&amp;价值&amp;分析'!$C$7:$C$106,'[1]消耗&amp;价值&amp;分析'!$AS$7:$AS$106),2,FALSE)*0.6,0)</f>
        <v>3171.9985283258925</v>
      </c>
      <c r="AJ372" s="80">
        <v>1</v>
      </c>
      <c r="AK372" s="80">
        <v>1</v>
      </c>
      <c r="AL372" s="80">
        <v>1</v>
      </c>
    </row>
    <row r="373" spans="1:38">
      <c r="A373" s="33" t="str">
        <f>怪物并表!$R$8</f>
        <v>精英副本</v>
      </c>
      <c r="B373" s="38">
        <v>2</v>
      </c>
      <c r="C373" s="33">
        <f t="shared" si="45"/>
        <v>2206</v>
      </c>
      <c r="D373" s="33">
        <v>1</v>
      </c>
      <c r="E373" s="33">
        <f>VLOOKUP(A373,怪物并表!$R$7:$S$14,2,FALSE)</f>
        <v>2</v>
      </c>
      <c r="F373" s="38">
        <v>2</v>
      </c>
      <c r="G373" s="38">
        <v>6</v>
      </c>
      <c r="H373" s="38">
        <v>0</v>
      </c>
      <c r="I373" s="33">
        <f t="shared" si="49"/>
        <v>226002</v>
      </c>
      <c r="J373" s="33" t="s">
        <v>464</v>
      </c>
      <c r="K373" s="33"/>
      <c r="L373" s="33">
        <v>0</v>
      </c>
      <c r="M373" s="33">
        <v>1</v>
      </c>
      <c r="N373" s="33"/>
      <c r="O373" s="33">
        <v>1</v>
      </c>
      <c r="P373" s="33">
        <f>VLOOKUP($C373,CHOOSE({1,2},怪物并表!$E$7:$E$1000,怪物并表!$D$7:$D$1000),2,FALSE)</f>
        <v>27</v>
      </c>
      <c r="Q373" s="33" t="s">
        <v>367</v>
      </c>
      <c r="R373" s="33">
        <f>VLOOKUP(Q373,怪物信息配置表!$A$2:$B$118,2,FALSE)</f>
        <v>1008</v>
      </c>
      <c r="S373" s="33">
        <v>1</v>
      </c>
      <c r="T373" s="110">
        <f>VLOOKUP($C373,怪物并表!$E$7:$N$1000,2+($D373-1)*3,FALSE)*S373*AJ373</f>
        <v>19710.34129093419</v>
      </c>
      <c r="U373" s="110">
        <f>VLOOKUP($C373,怪物并表!$E$7:$N$1000,3+($D373-1)*3,FALSE)*S373*AK373</f>
        <v>1116.5397030430397</v>
      </c>
      <c r="V373" s="110">
        <f>VLOOKUP($C373,怪物并表!$E$7:$N$1000,4+($D373-1)*3,FALSE)*S373*AL373</f>
        <v>581.04517364548519</v>
      </c>
      <c r="W373" s="33"/>
      <c r="X373" s="33"/>
      <c r="Y373" s="49">
        <f>VLOOKUP($C373,怪物并表!$E$7:$P$1000,12,FALSE)</f>
        <v>0</v>
      </c>
      <c r="Z373" s="49">
        <f>VLOOKUP($C373,怪物并表!$E$7:$P$1000,11,FALSE)*S373</f>
        <v>1913.7559999999999</v>
      </c>
      <c r="AA373" s="33"/>
      <c r="AB373" s="33"/>
      <c r="AC373" s="33"/>
      <c r="AD373" s="33">
        <f t="shared" si="39"/>
        <v>1</v>
      </c>
      <c r="AE373" s="2">
        <f t="shared" si="46"/>
        <v>679.375</v>
      </c>
      <c r="AF373" s="2" t="str">
        <f>IF(ISBLANK(AM373),IF(O373=6,"",IF(O373=1,VLOOKUP(R373,怪物信息配置表!B:H,5,FALSE),IF(O373=2,VLOOKUP(R373,怪物信息配置表!B:H,6,FALSE),IF(OR(O373=3,O373=5),VLOOKUP(R373,怪物信息配置表!B:H,7,FALSE),"")))),AM373)</f>
        <v>ai_monster</v>
      </c>
      <c r="AG373" s="2"/>
      <c r="AH373" s="15">
        <f>SUMPRODUCT(T373:V373,$AN$3:$AP$3)+ROUNDDOWN(VLOOKUP(P373,CHOOSE({1,2},'[1]消耗&amp;价值&amp;分析'!$C$7:$C$106,'[1]消耗&amp;价值&amp;分析'!$AS$7:$AS$106),2,FALSE)*0.6,0)</f>
        <v>3171.9985283258925</v>
      </c>
      <c r="AJ373" s="80">
        <v>1</v>
      </c>
      <c r="AK373" s="80">
        <v>1</v>
      </c>
      <c r="AL373" s="80">
        <v>1</v>
      </c>
    </row>
    <row r="374" spans="1:38">
      <c r="A374" s="33" t="str">
        <f>怪物并表!$R$8</f>
        <v>精英副本</v>
      </c>
      <c r="B374" s="38">
        <v>3</v>
      </c>
      <c r="C374" s="33">
        <f t="shared" si="45"/>
        <v>2206</v>
      </c>
      <c r="D374" s="33">
        <v>1</v>
      </c>
      <c r="E374" s="33">
        <f>VLOOKUP(A374,怪物并表!$R$7:$S$14,2,FALSE)</f>
        <v>2</v>
      </c>
      <c r="F374" s="38">
        <v>2</v>
      </c>
      <c r="G374" s="38">
        <v>6</v>
      </c>
      <c r="H374" s="38">
        <v>0</v>
      </c>
      <c r="I374" s="33">
        <f t="shared" si="49"/>
        <v>226003</v>
      </c>
      <c r="J374" s="33" t="s">
        <v>214</v>
      </c>
      <c r="K374" s="33"/>
      <c r="L374" s="33">
        <v>0</v>
      </c>
      <c r="M374" s="33">
        <v>1</v>
      </c>
      <c r="N374" s="33"/>
      <c r="O374" s="33">
        <v>1</v>
      </c>
      <c r="P374" s="33">
        <f>VLOOKUP($C374,CHOOSE({1,2},怪物并表!$E$7:$E$1000,怪物并表!$D$7:$D$1000),2,FALSE)</f>
        <v>27</v>
      </c>
      <c r="Q374" s="33" t="s">
        <v>10</v>
      </c>
      <c r="R374" s="33">
        <f>VLOOKUP(Q374,怪物信息配置表!$A$2:$B$118,2,FALSE)</f>
        <v>1001</v>
      </c>
      <c r="S374" s="33">
        <v>1</v>
      </c>
      <c r="T374" s="110">
        <f>VLOOKUP($C374,怪物并表!$E$7:$N$1000,2+($D374-1)*3,FALSE)*S374*AJ374</f>
        <v>19710.34129093419</v>
      </c>
      <c r="U374" s="110">
        <f>VLOOKUP($C374,怪物并表!$E$7:$N$1000,3+($D374-1)*3,FALSE)*S374*AK374</f>
        <v>1116.5397030430397</v>
      </c>
      <c r="V374" s="110">
        <f>VLOOKUP($C374,怪物并表!$E$7:$N$1000,4+($D374-1)*3,FALSE)*S374*AL374</f>
        <v>581.04517364548519</v>
      </c>
      <c r="W374" s="33"/>
      <c r="X374" s="33"/>
      <c r="Y374" s="49">
        <f>VLOOKUP($C374,怪物并表!$E$7:$P$1000,12,FALSE)</f>
        <v>0</v>
      </c>
      <c r="Z374" s="49">
        <f>VLOOKUP($C374,怪物并表!$E$7:$P$1000,11,FALSE)*S374</f>
        <v>1913.7559999999999</v>
      </c>
      <c r="AA374" s="33"/>
      <c r="AB374" s="33"/>
      <c r="AC374" s="33"/>
      <c r="AD374" s="33">
        <f t="shared" si="39"/>
        <v>1</v>
      </c>
      <c r="AE374" s="2">
        <f t="shared" si="46"/>
        <v>679.375</v>
      </c>
      <c r="AF374" s="2" t="str">
        <f>IF(ISBLANK(AM374),IF(O374=6,"",IF(O374=1,VLOOKUP(R374,怪物信息配置表!B:H,5,FALSE),IF(O374=2,VLOOKUP(R374,怪物信息配置表!B:H,6,FALSE),IF(OR(O374=3,O374=5),VLOOKUP(R374,怪物信息配置表!B:H,7,FALSE),"")))),AM374)</f>
        <v>ai_monster</v>
      </c>
      <c r="AG374" s="2"/>
      <c r="AH374" s="15">
        <f>SUMPRODUCT(T374:V374,$AN$3:$AP$3)+ROUNDDOWN(VLOOKUP(P374,CHOOSE({1,2},'[1]消耗&amp;价值&amp;分析'!$C$7:$C$106,'[1]消耗&amp;价值&amp;分析'!$AS$7:$AS$106),2,FALSE)*0.6,0)</f>
        <v>3171.9985283258925</v>
      </c>
      <c r="AJ374" s="80">
        <v>1</v>
      </c>
      <c r="AK374" s="80">
        <v>1</v>
      </c>
      <c r="AL374" s="80">
        <v>1</v>
      </c>
    </row>
    <row r="375" spans="1:38">
      <c r="A375" s="33" t="str">
        <f>怪物并表!$R$8</f>
        <v>精英副本</v>
      </c>
      <c r="B375" s="38">
        <v>4</v>
      </c>
      <c r="C375" s="33">
        <f t="shared" si="45"/>
        <v>2206</v>
      </c>
      <c r="D375" s="33">
        <v>3</v>
      </c>
      <c r="E375" s="33">
        <f>VLOOKUP(A375,怪物并表!$R$7:$S$14,2,FALSE)</f>
        <v>2</v>
      </c>
      <c r="F375" s="38">
        <v>2</v>
      </c>
      <c r="G375" s="38">
        <v>6</v>
      </c>
      <c r="H375" s="38">
        <v>0</v>
      </c>
      <c r="I375" s="33">
        <f t="shared" si="49"/>
        <v>226004</v>
      </c>
      <c r="J375" s="33" t="s">
        <v>706</v>
      </c>
      <c r="K375" s="33"/>
      <c r="L375" s="33">
        <v>1</v>
      </c>
      <c r="M375" s="33">
        <v>1.2</v>
      </c>
      <c r="N375" s="33"/>
      <c r="O375" s="33">
        <v>3</v>
      </c>
      <c r="P375" s="33">
        <f>VLOOKUP($C375,CHOOSE({1,2},怪物并表!$E$7:$E$1000,怪物并表!$D$7:$D$1000),2,FALSE)</f>
        <v>27</v>
      </c>
      <c r="Q375" s="33" t="s">
        <v>15</v>
      </c>
      <c r="R375" s="33">
        <f>VLOOKUP(Q375,怪物信息配置表!$A$2:$B$118,2,FALSE)</f>
        <v>1004</v>
      </c>
      <c r="S375" s="33">
        <v>1</v>
      </c>
      <c r="T375" s="110">
        <f>VLOOKUP($C375,怪物并表!$E$7:$N$1000,2+($D375-1)*3,FALSE)*S375*AJ375</f>
        <v>49275.853227335472</v>
      </c>
      <c r="U375" s="110">
        <f>VLOOKUP($C375,怪物并表!$E$7:$N$1000,3+($D375-1)*3,FALSE)*S375*AK375</f>
        <v>1236.5507238924502</v>
      </c>
      <c r="V375" s="110">
        <f>VLOOKUP($C375,怪物并表!$E$7:$N$1000,4+($D375-1)*3,FALSE)*S375*AL375</f>
        <v>697.25420837458216</v>
      </c>
      <c r="W375" s="33"/>
      <c r="X375" s="33"/>
      <c r="Y375" s="49">
        <f>VLOOKUP($C375,怪物并表!$E$7:$P$1000,12,FALSE)</f>
        <v>0</v>
      </c>
      <c r="Z375" s="49">
        <f>VLOOKUP($C375,怪物并表!$E$7:$P$1000,11,FALSE)*S375</f>
        <v>1913.7559999999999</v>
      </c>
      <c r="AA375" s="33"/>
      <c r="AB375" s="33"/>
      <c r="AC375" s="33"/>
      <c r="AD375" s="33">
        <f t="shared" si="39"/>
        <v>1.5</v>
      </c>
      <c r="AE375" s="2">
        <f t="shared" si="46"/>
        <v>519.0625</v>
      </c>
      <c r="AF375" s="2" t="str">
        <f>IF(ISBLANK(AM375),IF(O375=6,"",IF(O375=1,VLOOKUP(R375,怪物信息配置表!B:H,5,FALSE),IF(O375=2,VLOOKUP(R375,怪物信息配置表!B:H,6,FALSE),IF(OR(O375=3,O375=5),VLOOKUP(R375,怪物信息配置表!B:H,7,FALSE),"")))),AM375)</f>
        <v>1004_pangzi_BOSS</v>
      </c>
      <c r="AG375" s="2"/>
      <c r="AH375" s="15">
        <f>SUMPRODUCT(T375:V375,$AN$3:$AP$3)+ROUNDDOWN(VLOOKUP(P375,CHOOSE({1,2},'[1]消耗&amp;价值&amp;分析'!$C$7:$C$106,'[1]消耗&amp;价值&amp;分析'!$AS$7:$AS$106),2,FALSE)*0.6,0)</f>
        <v>4590.8390613604515</v>
      </c>
      <c r="AJ375" s="80">
        <v>1</v>
      </c>
      <c r="AK375" s="80">
        <v>1</v>
      </c>
      <c r="AL375" s="80">
        <v>1</v>
      </c>
    </row>
    <row r="376" spans="1:38">
      <c r="A376" s="33" t="str">
        <f>怪物并表!$R$8</f>
        <v>精英副本</v>
      </c>
      <c r="B376" s="38">
        <v>1</v>
      </c>
      <c r="C376" s="33">
        <f t="shared" ref="C376:C387" si="50">1000*F376+200+G376</f>
        <v>2207</v>
      </c>
      <c r="D376" s="33">
        <v>1</v>
      </c>
      <c r="E376" s="33">
        <f>VLOOKUP(A376,怪物并表!$R$7:$S$14,2,FALSE)</f>
        <v>2</v>
      </c>
      <c r="F376" s="38">
        <v>2</v>
      </c>
      <c r="G376" s="38">
        <v>7</v>
      </c>
      <c r="H376" s="38">
        <v>0</v>
      </c>
      <c r="I376" s="33">
        <f t="shared" si="49"/>
        <v>227001</v>
      </c>
      <c r="J376" s="33" t="s">
        <v>461</v>
      </c>
      <c r="K376" s="33"/>
      <c r="L376" s="33">
        <v>0</v>
      </c>
      <c r="M376" s="33">
        <v>1</v>
      </c>
      <c r="N376" s="33"/>
      <c r="O376" s="33">
        <v>1</v>
      </c>
      <c r="P376" s="33">
        <f>VLOOKUP($C376,CHOOSE({1,2},怪物并表!$E$7:$E$1000,怪物并表!$D$7:$D$1000),2,FALSE)</f>
        <v>28</v>
      </c>
      <c r="Q376" s="33" t="s">
        <v>14</v>
      </c>
      <c r="R376" s="33">
        <f>VLOOKUP(Q376,怪物信息配置表!$A$2:$B$118,2,FALSE)</f>
        <v>1010</v>
      </c>
      <c r="S376" s="33">
        <v>1</v>
      </c>
      <c r="T376" s="110">
        <f>VLOOKUP($C376,怪物并表!$E$7:$N$1000,2+($D376-1)*3,FALSE)*S376*AJ376</f>
        <v>22313.860368402035</v>
      </c>
      <c r="U376" s="110">
        <f>VLOOKUP($C376,怪物并表!$E$7:$N$1000,3+($D376-1)*3,FALSE)*S376*AK376</f>
        <v>1240.0908086750708</v>
      </c>
      <c r="V376" s="110">
        <f>VLOOKUP($C376,怪物并表!$E$7:$N$1000,4+($D376-1)*3,FALSE)*S376*AL376</f>
        <v>648.54817476923097</v>
      </c>
      <c r="W376" s="33"/>
      <c r="X376" s="33"/>
      <c r="Y376" s="49">
        <f>VLOOKUP($C376,怪物并表!$E$7:$P$1000,12,FALSE)</f>
        <v>0</v>
      </c>
      <c r="Z376" s="49">
        <f>VLOOKUP($C376,怪物并表!$E$7:$P$1000,11,FALSE)*S376</f>
        <v>1971.9840000000002</v>
      </c>
      <c r="AA376" s="33"/>
      <c r="AB376" s="33"/>
      <c r="AC376" s="33"/>
      <c r="AD376" s="33">
        <f t="shared" ref="AD376:AD387" si="51">IF(D376=1,1,IF(D376=2,0.8,1.5))</f>
        <v>1</v>
      </c>
      <c r="AE376" s="2">
        <f t="shared" si="46"/>
        <v>667.5</v>
      </c>
      <c r="AF376" s="2" t="str">
        <f>IF(ISBLANK(AM376),IF(O376=6,"",IF(O376=1,VLOOKUP(R376,怪物信息配置表!B:H,5,FALSE),IF(O376=2,VLOOKUP(R376,怪物信息配置表!B:H,6,FALSE),IF(OR(O376=3,O376=5),VLOOKUP(R376,怪物信息配置表!B:H,7,FALSE),"")))),AM376)</f>
        <v>ai_monster</v>
      </c>
      <c r="AG376" s="2"/>
      <c r="AH376" s="15">
        <f>SUMPRODUCT(T376:V376,$AN$3:$AP$3)+ROUNDDOWN(VLOOKUP(P376,CHOOSE({1,2},'[1]消耗&amp;价值&amp;分析'!$C$7:$C$106,'[1]消耗&amp;价值&amp;分析'!$AS$7:$AS$106),2,FALSE)*0.6,0)</f>
        <v>3510.1933981803832</v>
      </c>
      <c r="AJ376" s="80">
        <v>1</v>
      </c>
      <c r="AK376" s="80">
        <v>1</v>
      </c>
      <c r="AL376" s="80">
        <v>1</v>
      </c>
    </row>
    <row r="377" spans="1:38">
      <c r="A377" s="33" t="str">
        <f>怪物并表!$R$8</f>
        <v>精英副本</v>
      </c>
      <c r="B377" s="38">
        <v>2</v>
      </c>
      <c r="C377" s="33">
        <f t="shared" si="50"/>
        <v>2207</v>
      </c>
      <c r="D377" s="33">
        <v>1</v>
      </c>
      <c r="E377" s="33">
        <f>VLOOKUP(A377,怪物并表!$R$7:$S$14,2,FALSE)</f>
        <v>2</v>
      </c>
      <c r="F377" s="38">
        <v>2</v>
      </c>
      <c r="G377" s="38">
        <v>7</v>
      </c>
      <c r="H377" s="38">
        <v>0</v>
      </c>
      <c r="I377" s="33">
        <f t="shared" si="49"/>
        <v>227002</v>
      </c>
      <c r="J377" s="33" t="s">
        <v>448</v>
      </c>
      <c r="K377" s="33"/>
      <c r="L377" s="33">
        <v>0</v>
      </c>
      <c r="M377" s="33">
        <v>1</v>
      </c>
      <c r="N377" s="33"/>
      <c r="O377" s="33">
        <v>1</v>
      </c>
      <c r="P377" s="33">
        <f>VLOOKUP($C377,CHOOSE({1,2},怪物并表!$E$7:$E$1000,怪物并表!$D$7:$D$1000),2,FALSE)</f>
        <v>28</v>
      </c>
      <c r="Q377" s="33" t="s">
        <v>10</v>
      </c>
      <c r="R377" s="33">
        <f>VLOOKUP(Q377,怪物信息配置表!$A$2:$B$118,2,FALSE)</f>
        <v>1001</v>
      </c>
      <c r="S377" s="33">
        <v>1</v>
      </c>
      <c r="T377" s="110">
        <f>VLOOKUP($C377,怪物并表!$E$7:$N$1000,2+($D377-1)*3,FALSE)*S377*AJ377</f>
        <v>22313.860368402035</v>
      </c>
      <c r="U377" s="110">
        <f>VLOOKUP($C377,怪物并表!$E$7:$N$1000,3+($D377-1)*3,FALSE)*S377*AK377</f>
        <v>1240.0908086750708</v>
      </c>
      <c r="V377" s="110">
        <f>VLOOKUP($C377,怪物并表!$E$7:$N$1000,4+($D377-1)*3,FALSE)*S377*AL377</f>
        <v>648.54817476923097</v>
      </c>
      <c r="W377" s="33"/>
      <c r="X377" s="33"/>
      <c r="Y377" s="49">
        <f>VLOOKUP($C377,怪物并表!$E$7:$P$1000,12,FALSE)</f>
        <v>0</v>
      </c>
      <c r="Z377" s="49">
        <f>VLOOKUP($C377,怪物并表!$E$7:$P$1000,11,FALSE)*S377</f>
        <v>1971.9840000000002</v>
      </c>
      <c r="AA377" s="33"/>
      <c r="AB377" s="33"/>
      <c r="AC377" s="33"/>
      <c r="AD377" s="33">
        <f t="shared" si="51"/>
        <v>1</v>
      </c>
      <c r="AE377" s="2">
        <f t="shared" si="46"/>
        <v>667.5</v>
      </c>
      <c r="AF377" s="2" t="str">
        <f>IF(ISBLANK(AM377),IF(O377=6,"",IF(O377=1,VLOOKUP(R377,怪物信息配置表!B:H,5,FALSE),IF(O377=2,VLOOKUP(R377,怪物信息配置表!B:H,6,FALSE),IF(OR(O377=3,O377=5),VLOOKUP(R377,怪物信息配置表!B:H,7,FALSE),"")))),AM377)</f>
        <v>ai_monster</v>
      </c>
      <c r="AG377" s="2"/>
      <c r="AH377" s="15">
        <f>SUMPRODUCT(T377:V377,$AN$3:$AP$3)+ROUNDDOWN(VLOOKUP(P377,CHOOSE({1,2},'[1]消耗&amp;价值&amp;分析'!$C$7:$C$106,'[1]消耗&amp;价值&amp;分析'!$AS$7:$AS$106),2,FALSE)*0.6,0)</f>
        <v>3510.1933981803832</v>
      </c>
      <c r="AJ377" s="80">
        <v>1</v>
      </c>
      <c r="AK377" s="80">
        <v>1</v>
      </c>
      <c r="AL377" s="80">
        <v>1</v>
      </c>
    </row>
    <row r="378" spans="1:38">
      <c r="A378" s="33" t="str">
        <f>怪物并表!$R$8</f>
        <v>精英副本</v>
      </c>
      <c r="B378" s="38">
        <v>3</v>
      </c>
      <c r="C378" s="33">
        <f t="shared" si="50"/>
        <v>2207</v>
      </c>
      <c r="D378" s="33">
        <v>1</v>
      </c>
      <c r="E378" s="33">
        <f>VLOOKUP(A378,怪物并表!$R$7:$S$14,2,FALSE)</f>
        <v>2</v>
      </c>
      <c r="F378" s="38">
        <v>2</v>
      </c>
      <c r="G378" s="38">
        <v>7</v>
      </c>
      <c r="H378" s="38">
        <v>0</v>
      </c>
      <c r="I378" s="33">
        <f t="shared" si="49"/>
        <v>227003</v>
      </c>
      <c r="J378" s="33" t="s">
        <v>13</v>
      </c>
      <c r="K378" s="33"/>
      <c r="L378" s="33">
        <v>0</v>
      </c>
      <c r="M378" s="33">
        <v>1</v>
      </c>
      <c r="N378" s="33"/>
      <c r="O378" s="33">
        <v>1</v>
      </c>
      <c r="P378" s="33">
        <f>VLOOKUP($C378,CHOOSE({1,2},怪物并表!$E$7:$E$1000,怪物并表!$D$7:$D$1000),2,FALSE)</f>
        <v>28</v>
      </c>
      <c r="Q378" s="33" t="s">
        <v>13</v>
      </c>
      <c r="R378" s="33">
        <f>VLOOKUP(Q378,怪物信息配置表!$A$2:$B$118,2,FALSE)</f>
        <v>1007</v>
      </c>
      <c r="S378" s="33">
        <v>1</v>
      </c>
      <c r="T378" s="110">
        <f>VLOOKUP($C378,怪物并表!$E$7:$N$1000,2+($D378-1)*3,FALSE)*S378*AJ378</f>
        <v>22313.860368402035</v>
      </c>
      <c r="U378" s="110">
        <f>VLOOKUP($C378,怪物并表!$E$7:$N$1000,3+($D378-1)*3,FALSE)*S378*AK378</f>
        <v>1240.0908086750708</v>
      </c>
      <c r="V378" s="110">
        <f>VLOOKUP($C378,怪物并表!$E$7:$N$1000,4+($D378-1)*3,FALSE)*S378*AL378</f>
        <v>648.54817476923097</v>
      </c>
      <c r="W378" s="33"/>
      <c r="X378" s="33"/>
      <c r="Y378" s="49">
        <f>VLOOKUP($C378,怪物并表!$E$7:$P$1000,12,FALSE)</f>
        <v>0</v>
      </c>
      <c r="Z378" s="49">
        <f>VLOOKUP($C378,怪物并表!$E$7:$P$1000,11,FALSE)*S378</f>
        <v>1971.9840000000002</v>
      </c>
      <c r="AA378" s="33"/>
      <c r="AB378" s="33"/>
      <c r="AC378" s="33"/>
      <c r="AD378" s="33">
        <f t="shared" si="51"/>
        <v>1</v>
      </c>
      <c r="AE378" s="2">
        <f t="shared" si="46"/>
        <v>667.5</v>
      </c>
      <c r="AF378" s="2" t="str">
        <f>IF(ISBLANK(AM378),IF(O378=6,"",IF(O378=1,VLOOKUP(R378,怪物信息配置表!B:H,5,FALSE),IF(O378=2,VLOOKUP(R378,怪物信息配置表!B:H,6,FALSE),IF(OR(O378=3,O378=5),VLOOKUP(R378,怪物信息配置表!B:H,7,FALSE),"")))),AM378)</f>
        <v>ai_monster_03</v>
      </c>
      <c r="AG378" s="2"/>
      <c r="AH378" s="15">
        <f>SUMPRODUCT(T378:V378,$AN$3:$AP$3)+ROUNDDOWN(VLOOKUP(P378,CHOOSE({1,2},'[1]消耗&amp;价值&amp;分析'!$C$7:$C$106,'[1]消耗&amp;价值&amp;分析'!$AS$7:$AS$106),2,FALSE)*0.6,0)</f>
        <v>3510.1933981803832</v>
      </c>
      <c r="AJ378" s="80">
        <v>1</v>
      </c>
      <c r="AK378" s="80">
        <v>1</v>
      </c>
      <c r="AL378" s="80">
        <v>1</v>
      </c>
    </row>
    <row r="379" spans="1:38">
      <c r="A379" s="33" t="str">
        <f>怪物并表!$R$8</f>
        <v>精英副本</v>
      </c>
      <c r="B379" s="38">
        <v>4</v>
      </c>
      <c r="C379" s="33">
        <f t="shared" si="50"/>
        <v>2207</v>
      </c>
      <c r="D379" s="33">
        <v>3</v>
      </c>
      <c r="E379" s="33">
        <f>VLOOKUP(A379,怪物并表!$R$7:$S$14,2,FALSE)</f>
        <v>2</v>
      </c>
      <c r="F379" s="38">
        <v>2</v>
      </c>
      <c r="G379" s="38">
        <v>7</v>
      </c>
      <c r="H379" s="38">
        <v>0</v>
      </c>
      <c r="I379" s="33">
        <f t="shared" si="49"/>
        <v>227004</v>
      </c>
      <c r="J379" s="33" t="s">
        <v>707</v>
      </c>
      <c r="K379" s="33"/>
      <c r="L379" s="33">
        <v>1</v>
      </c>
      <c r="M379" s="33">
        <v>1.2</v>
      </c>
      <c r="N379" s="33"/>
      <c r="O379" s="33">
        <v>3</v>
      </c>
      <c r="P379" s="33">
        <f>VLOOKUP($C379,CHOOSE({1,2},怪物并表!$E$7:$E$1000,怪物并表!$D$7:$D$1000),2,FALSE)</f>
        <v>28</v>
      </c>
      <c r="Q379" s="33" t="s">
        <v>7</v>
      </c>
      <c r="R379" s="33">
        <f>VLOOKUP(Q379,怪物信息配置表!$A$2:$B$118,2,FALSE)</f>
        <v>1002</v>
      </c>
      <c r="S379" s="33">
        <v>1</v>
      </c>
      <c r="T379" s="110">
        <f>VLOOKUP($C379,怪物并表!$E$7:$N$1000,2+($D379-1)*3,FALSE)*S379*AJ379</f>
        <v>55784.650921005086</v>
      </c>
      <c r="U379" s="110">
        <f>VLOOKUP($C379,怪物并表!$E$7:$N$1000,3+($D379-1)*3,FALSE)*S379*AK379</f>
        <v>1375.3179834936968</v>
      </c>
      <c r="V379" s="110">
        <f>VLOOKUP($C379,怪物并表!$E$7:$N$1000,4+($D379-1)*3,FALSE)*S379*AL379</f>
        <v>772.6182603772578</v>
      </c>
      <c r="W379" s="33"/>
      <c r="X379" s="33"/>
      <c r="Y379" s="49">
        <f>VLOOKUP($C379,怪物并表!$E$7:$P$1000,12,FALSE)</f>
        <v>0</v>
      </c>
      <c r="Z379" s="49">
        <f>VLOOKUP($C379,怪物并表!$E$7:$P$1000,11,FALSE)*S379</f>
        <v>1971.9840000000002</v>
      </c>
      <c r="AA379" s="33"/>
      <c r="AB379" s="33"/>
      <c r="AC379" s="33"/>
      <c r="AD379" s="33">
        <f t="shared" si="51"/>
        <v>1.5</v>
      </c>
      <c r="AE379" s="2">
        <f t="shared" si="46"/>
        <v>501.25</v>
      </c>
      <c r="AF379" s="2" t="str">
        <f>IF(ISBLANK(AM379),IF(O379=6,"",IF(O379=1,VLOOKUP(R379,怪物信息配置表!B:H,5,FALSE),IF(O379=2,VLOOKUP(R379,怪物信息配置表!B:H,6,FALSE),IF(OR(O379=3,O379=5),VLOOKUP(R379,怪物信息配置表!B:H,7,FALSE),"")))),AM379)</f>
        <v>1002_nvjiubao_BOSS</v>
      </c>
      <c r="AG379" s="2"/>
      <c r="AH379" s="15">
        <f>SUMPRODUCT(T379:V379,$AN$3:$AP$3)+ROUNDDOWN(VLOOKUP(P379,CHOOSE({1,2},'[1]消耗&amp;价值&amp;分析'!$C$7:$C$106,'[1]消耗&amp;价值&amp;分析'!$AS$7:$AS$106),2,FALSE)*0.6,0)</f>
        <v>5108.3222807111579</v>
      </c>
      <c r="AJ379" s="80">
        <v>1</v>
      </c>
      <c r="AK379" s="80">
        <v>1</v>
      </c>
      <c r="AL379" s="80">
        <v>1</v>
      </c>
    </row>
    <row r="380" spans="1:38">
      <c r="A380" s="33" t="str">
        <f>怪物并表!$R$8</f>
        <v>精英副本</v>
      </c>
      <c r="B380" s="38">
        <v>1</v>
      </c>
      <c r="C380" s="33">
        <f t="shared" si="50"/>
        <v>2208</v>
      </c>
      <c r="D380" s="33">
        <v>1</v>
      </c>
      <c r="E380" s="33">
        <f>VLOOKUP(A380,怪物并表!$R$7:$S$14,2,FALSE)</f>
        <v>2</v>
      </c>
      <c r="F380" s="38">
        <v>2</v>
      </c>
      <c r="G380" s="38">
        <v>8</v>
      </c>
      <c r="H380" s="38">
        <v>0</v>
      </c>
      <c r="I380" s="33">
        <f t="shared" si="49"/>
        <v>228001</v>
      </c>
      <c r="J380" s="33" t="s">
        <v>15</v>
      </c>
      <c r="K380" s="33"/>
      <c r="L380" s="33">
        <v>0</v>
      </c>
      <c r="M380" s="33">
        <v>1</v>
      </c>
      <c r="N380" s="33"/>
      <c r="O380" s="33">
        <v>1</v>
      </c>
      <c r="P380" s="33">
        <f>VLOOKUP($C380,CHOOSE({1,2},怪物并表!$E$7:$E$1000,怪物并表!$D$7:$D$1000),2,FALSE)</f>
        <v>29</v>
      </c>
      <c r="Q380" s="33" t="s">
        <v>15</v>
      </c>
      <c r="R380" s="33">
        <f>VLOOKUP(Q380,怪物信息配置表!$A$2:$B$118,2,FALSE)</f>
        <v>1004</v>
      </c>
      <c r="S380" s="33">
        <v>1</v>
      </c>
      <c r="T380" s="110">
        <f>VLOOKUP($C380,怪物并表!$E$7:$N$1000,2+($D380-1)*3,FALSE)*S380*AJ380</f>
        <v>25135.633771933622</v>
      </c>
      <c r="U380" s="110">
        <f>VLOOKUP($C380,怪物并表!$E$7:$N$1000,3+($D380-1)*3,FALSE)*S380*AK380</f>
        <v>1434.6273096961531</v>
      </c>
      <c r="V380" s="110">
        <f>VLOOKUP($C380,怪物并表!$E$7:$N$1000,4+($D380-1)*3,FALSE)*S380*AL380</f>
        <v>720.4971015652178</v>
      </c>
      <c r="W380" s="33"/>
      <c r="X380" s="33"/>
      <c r="Y380" s="49">
        <f>VLOOKUP($C380,怪物并表!$E$7:$P$1000,12,FALSE)</f>
        <v>0</v>
      </c>
      <c r="Z380" s="49">
        <f>VLOOKUP($C380,怪物并表!$E$7:$P$1000,11,FALSE)*S380</f>
        <v>2030.212</v>
      </c>
      <c r="AA380" s="33"/>
      <c r="AB380" s="33"/>
      <c r="AC380" s="33"/>
      <c r="AD380" s="33">
        <f t="shared" si="51"/>
        <v>1</v>
      </c>
      <c r="AE380" s="2">
        <f t="shared" si="46"/>
        <v>655.625</v>
      </c>
      <c r="AF380" s="2" t="str">
        <f>IF(ISBLANK(AM380),IF(O380=6,"",IF(O380=1,VLOOKUP(R380,怪物信息配置表!B:H,5,FALSE),IF(O380=2,VLOOKUP(R380,怪物信息配置表!B:H,6,FALSE),IF(OR(O380=3,O380=5),VLOOKUP(R380,怪物信息配置表!B:H,7,FALSE),"")))),AM380)</f>
        <v>ai_monster</v>
      </c>
      <c r="AG380" s="2"/>
      <c r="AH380" s="15">
        <f>SUMPRODUCT(T380:V380,$AN$3:$AP$3)+ROUNDDOWN(VLOOKUP(P380,CHOOSE({1,2},'[1]消耗&amp;价值&amp;分析'!$C$7:$C$106,'[1]消耗&amp;价值&amp;分析'!$AS$7:$AS$106),2,FALSE)*0.6,0)</f>
        <v>3958.5497621387158</v>
      </c>
      <c r="AJ380" s="80">
        <v>1</v>
      </c>
      <c r="AK380" s="80">
        <v>1</v>
      </c>
      <c r="AL380" s="80">
        <v>1</v>
      </c>
    </row>
    <row r="381" spans="1:38">
      <c r="A381" s="33" t="str">
        <f>怪物并表!$R$8</f>
        <v>精英副本</v>
      </c>
      <c r="B381" s="38">
        <v>2</v>
      </c>
      <c r="C381" s="33">
        <f t="shared" si="50"/>
        <v>2208</v>
      </c>
      <c r="D381" s="33">
        <v>1</v>
      </c>
      <c r="E381" s="33">
        <f>VLOOKUP(A381,怪物并表!$R$7:$S$14,2,FALSE)</f>
        <v>2</v>
      </c>
      <c r="F381" s="38">
        <v>2</v>
      </c>
      <c r="G381" s="38">
        <v>8</v>
      </c>
      <c r="H381" s="38">
        <v>0</v>
      </c>
      <c r="I381" s="33">
        <f t="shared" si="49"/>
        <v>228002</v>
      </c>
      <c r="J381" s="33" t="s">
        <v>461</v>
      </c>
      <c r="K381" s="33"/>
      <c r="L381" s="33">
        <v>0</v>
      </c>
      <c r="M381" s="33">
        <v>1</v>
      </c>
      <c r="N381" s="33"/>
      <c r="O381" s="33">
        <v>1</v>
      </c>
      <c r="P381" s="33">
        <f>VLOOKUP($C381,CHOOSE({1,2},怪物并表!$E$7:$E$1000,怪物并表!$D$7:$D$1000),2,FALSE)</f>
        <v>29</v>
      </c>
      <c r="Q381" s="33" t="s">
        <v>14</v>
      </c>
      <c r="R381" s="33">
        <f>VLOOKUP(Q381,怪物信息配置表!$A$2:$B$118,2,FALSE)</f>
        <v>1010</v>
      </c>
      <c r="S381" s="33">
        <v>1</v>
      </c>
      <c r="T381" s="110">
        <f>VLOOKUP($C381,怪物并表!$E$7:$N$1000,2+($D381-1)*3,FALSE)*S381*AJ381</f>
        <v>25135.633771933622</v>
      </c>
      <c r="U381" s="110">
        <f>VLOOKUP($C381,怪物并表!$E$7:$N$1000,3+($D381-1)*3,FALSE)*S381*AK381</f>
        <v>1434.6273096961531</v>
      </c>
      <c r="V381" s="110">
        <f>VLOOKUP($C381,怪物并表!$E$7:$N$1000,4+($D381-1)*3,FALSE)*S381*AL381</f>
        <v>720.4971015652178</v>
      </c>
      <c r="W381" s="33"/>
      <c r="X381" s="33"/>
      <c r="Y381" s="49">
        <f>VLOOKUP($C381,怪物并表!$E$7:$P$1000,12,FALSE)</f>
        <v>0</v>
      </c>
      <c r="Z381" s="49">
        <f>VLOOKUP($C381,怪物并表!$E$7:$P$1000,11,FALSE)*S381</f>
        <v>2030.212</v>
      </c>
      <c r="AA381" s="33"/>
      <c r="AB381" s="33"/>
      <c r="AC381" s="33"/>
      <c r="AD381" s="33">
        <f t="shared" si="51"/>
        <v>1</v>
      </c>
      <c r="AE381" s="2">
        <f t="shared" si="46"/>
        <v>655.625</v>
      </c>
      <c r="AF381" s="2" t="str">
        <f>IF(ISBLANK(AM381),IF(O381=6,"",IF(O381=1,VLOOKUP(R381,怪物信息配置表!B:H,5,FALSE),IF(O381=2,VLOOKUP(R381,怪物信息配置表!B:H,6,FALSE),IF(OR(O381=3,O381=5),VLOOKUP(R381,怪物信息配置表!B:H,7,FALSE),"")))),AM381)</f>
        <v>ai_monster</v>
      </c>
      <c r="AG381" s="2"/>
      <c r="AH381" s="15">
        <f>SUMPRODUCT(T381:V381,$AN$3:$AP$3)+ROUNDDOWN(VLOOKUP(P381,CHOOSE({1,2},'[1]消耗&amp;价值&amp;分析'!$C$7:$C$106,'[1]消耗&amp;价值&amp;分析'!$AS$7:$AS$106),2,FALSE)*0.6,0)</f>
        <v>3958.5497621387158</v>
      </c>
      <c r="AJ381" s="80">
        <v>1</v>
      </c>
      <c r="AK381" s="80">
        <v>1</v>
      </c>
      <c r="AL381" s="80">
        <v>1</v>
      </c>
    </row>
    <row r="382" spans="1:38">
      <c r="A382" s="33" t="str">
        <f>怪物并表!$R$8</f>
        <v>精英副本</v>
      </c>
      <c r="B382" s="38">
        <v>3</v>
      </c>
      <c r="C382" s="33">
        <f t="shared" si="50"/>
        <v>2208</v>
      </c>
      <c r="D382" s="33">
        <v>2</v>
      </c>
      <c r="E382" s="33">
        <f>VLOOKUP(A382,怪物并表!$R$7:$S$14,2,FALSE)</f>
        <v>2</v>
      </c>
      <c r="F382" s="38">
        <v>2</v>
      </c>
      <c r="G382" s="38">
        <v>8</v>
      </c>
      <c r="H382" s="38">
        <v>0</v>
      </c>
      <c r="I382" s="33">
        <f t="shared" si="49"/>
        <v>228003</v>
      </c>
      <c r="J382" s="33" t="s">
        <v>455</v>
      </c>
      <c r="K382" s="33"/>
      <c r="L382" s="33">
        <v>0</v>
      </c>
      <c r="M382" s="33">
        <v>1</v>
      </c>
      <c r="N382" s="33"/>
      <c r="O382" s="33">
        <v>1</v>
      </c>
      <c r="P382" s="33">
        <f>VLOOKUP($C382,CHOOSE({1,2},怪物并表!$E$7:$E$1000,怪物并表!$D$7:$D$1000),2,FALSE)</f>
        <v>29</v>
      </c>
      <c r="Q382" s="33" t="s">
        <v>9</v>
      </c>
      <c r="R382" s="33">
        <f>VLOOKUP(Q382,怪物信息配置表!$A$2:$B$118,2,FALSE)</f>
        <v>1003</v>
      </c>
      <c r="S382" s="33">
        <v>1</v>
      </c>
      <c r="T382" s="110">
        <f>VLOOKUP($C382,怪物并表!$E$7:$N$1000,2+($D382-1)*3,FALSE)*S382*AJ382</f>
        <v>20108.507017546901</v>
      </c>
      <c r="U382" s="110">
        <f>VLOOKUP($C382,怪物并表!$E$7:$N$1000,3+($D382-1)*3,FALSE)*S382*AK382</f>
        <v>1352.4834809874073</v>
      </c>
      <c r="V382" s="110">
        <f>VLOOKUP($C382,怪物并表!$E$7:$N$1000,4+($D382-1)*3,FALSE)*S382*AL382</f>
        <v>588.6614617043482</v>
      </c>
      <c r="W382" s="33"/>
      <c r="X382" s="33"/>
      <c r="Y382" s="49">
        <f>VLOOKUP($C382,怪物并表!$E$7:$P$1000,12,FALSE)</f>
        <v>0</v>
      </c>
      <c r="Z382" s="49">
        <f>VLOOKUP($C382,怪物并表!$E$7:$P$1000,11,FALSE)*S382</f>
        <v>2030.212</v>
      </c>
      <c r="AA382" s="33"/>
      <c r="AB382" s="33"/>
      <c r="AC382" s="33"/>
      <c r="AD382" s="33">
        <f t="shared" si="51"/>
        <v>0.8</v>
      </c>
      <c r="AE382" s="2">
        <f t="shared" si="46"/>
        <v>724.5</v>
      </c>
      <c r="AF382" s="2" t="str">
        <f>IF(ISBLANK(AM382),IF(O382=6,"",IF(O382=1,VLOOKUP(R382,怪物信息配置表!B:H,5,FALSE),IF(O382=2,VLOOKUP(R382,怪物信息配置表!B:H,6,FALSE),IF(OR(O382=3,O382=5),VLOOKUP(R382,怪物信息配置表!B:H,7,FALSE),"")))),AM382)</f>
        <v>ai_monster_02</v>
      </c>
      <c r="AG382" s="2"/>
      <c r="AH382" s="15">
        <f>SUMPRODUCT(T382:V382,$AN$3:$AP$3)+ROUNDDOWN(VLOOKUP(P382,CHOOSE({1,2},'[1]消耗&amp;价值&amp;分析'!$C$7:$C$106,'[1]消耗&amp;价值&amp;分析'!$AS$7:$AS$106),2,FALSE)*0.6,0)</f>
        <v>3543.4852233936317</v>
      </c>
      <c r="AJ382" s="80">
        <v>1</v>
      </c>
      <c r="AK382" s="80">
        <v>1</v>
      </c>
      <c r="AL382" s="80">
        <v>1</v>
      </c>
    </row>
    <row r="383" spans="1:38">
      <c r="A383" s="33" t="str">
        <f>怪物并表!$R$8</f>
        <v>精英副本</v>
      </c>
      <c r="B383" s="38">
        <v>4</v>
      </c>
      <c r="C383" s="33">
        <f t="shared" si="50"/>
        <v>2208</v>
      </c>
      <c r="D383" s="33">
        <v>3</v>
      </c>
      <c r="E383" s="33">
        <f>VLOOKUP(A383,怪物并表!$R$7:$S$14,2,FALSE)</f>
        <v>2</v>
      </c>
      <c r="F383" s="38">
        <v>2</v>
      </c>
      <c r="G383" s="38">
        <v>8</v>
      </c>
      <c r="H383" s="38">
        <v>0</v>
      </c>
      <c r="I383" s="33">
        <f t="shared" si="49"/>
        <v>228004</v>
      </c>
      <c r="J383" s="33" t="s">
        <v>708</v>
      </c>
      <c r="K383" s="33"/>
      <c r="L383" s="33">
        <v>1</v>
      </c>
      <c r="M383" s="33">
        <v>1.2</v>
      </c>
      <c r="N383" s="33"/>
      <c r="O383" s="33">
        <v>3</v>
      </c>
      <c r="P383" s="33">
        <f>VLOOKUP($C383,CHOOSE({1,2},怪物并表!$E$7:$E$1000,怪物并表!$D$7:$D$1000),2,FALSE)</f>
        <v>29</v>
      </c>
      <c r="Q383" s="33" t="s">
        <v>18</v>
      </c>
      <c r="R383" s="33">
        <f>VLOOKUP(Q383,怪物信息配置表!$A$2:$B$118,2,FALSE)</f>
        <v>1006</v>
      </c>
      <c r="S383" s="33">
        <v>1</v>
      </c>
      <c r="T383" s="110">
        <f>VLOOKUP($C383,怪物并表!$E$7:$N$1000,2+($D383-1)*3,FALSE)*S383*AJ383</f>
        <v>62839.084429834053</v>
      </c>
      <c r="U383" s="110">
        <f>VLOOKUP($C383,怪物并表!$E$7:$N$1000,3+($D383-1)*3,FALSE)*S383*AK383</f>
        <v>1598.9149671136445</v>
      </c>
      <c r="V383" s="110">
        <f>VLOOKUP($C383,怪物并表!$E$7:$N$1000,4+($D383-1)*3,FALSE)*S383*AL383</f>
        <v>852.33274142608741</v>
      </c>
      <c r="W383" s="33"/>
      <c r="X383" s="33"/>
      <c r="Y383" s="49">
        <f>VLOOKUP($C383,怪物并表!$E$7:$P$1000,12,FALSE)</f>
        <v>0</v>
      </c>
      <c r="Z383" s="49">
        <f>VLOOKUP($C383,怪物并表!$E$7:$P$1000,11,FALSE)*S383</f>
        <v>2030.212</v>
      </c>
      <c r="AA383" s="33"/>
      <c r="AB383" s="33"/>
      <c r="AC383" s="33"/>
      <c r="AD383" s="33">
        <f t="shared" si="51"/>
        <v>1.5</v>
      </c>
      <c r="AE383" s="2">
        <f t="shared" si="46"/>
        <v>483.4375</v>
      </c>
      <c r="AF383" s="2" t="str">
        <f>IF(ISBLANK(AM383),IF(O383=6,"",IF(O383=1,VLOOKUP(R383,怪物信息配置表!B:H,5,FALSE),IF(O383=2,VLOOKUP(R383,怪物信息配置表!B:H,6,FALSE),IF(OR(O383=3,O383=5),VLOOKUP(R383,怪物信息配置表!B:H,7,FALSE),"")))),AM383)</f>
        <v>1006_jingcha_BOSS</v>
      </c>
      <c r="AG383" s="2"/>
      <c r="AH383" s="15">
        <f>SUMPRODUCT(T383:V383,$AN$3:$AP$3)+ROUNDDOWN(VLOOKUP(P383,CHOOSE({1,2},'[1]消耗&amp;价值&amp;分析'!$C$7:$C$106,'[1]消耗&amp;价值&amp;分析'!$AS$7:$AS$106),2,FALSE)*0.6,0)</f>
        <v>5762.8110857330939</v>
      </c>
      <c r="AJ383" s="80">
        <v>1</v>
      </c>
      <c r="AK383" s="80">
        <v>1</v>
      </c>
      <c r="AL383" s="80">
        <v>1</v>
      </c>
    </row>
    <row r="384" spans="1:38">
      <c r="A384" s="33" t="str">
        <f>怪物并表!$R$8</f>
        <v>精英副本</v>
      </c>
      <c r="B384" s="38">
        <v>1</v>
      </c>
      <c r="C384" s="33">
        <f t="shared" si="50"/>
        <v>2209</v>
      </c>
      <c r="D384" s="33">
        <v>1</v>
      </c>
      <c r="E384" s="33">
        <f>VLOOKUP(A384,怪物并表!$R$7:$S$14,2,FALSE)</f>
        <v>2</v>
      </c>
      <c r="F384" s="38">
        <v>2</v>
      </c>
      <c r="G384" s="38">
        <v>9</v>
      </c>
      <c r="H384" s="38">
        <v>0</v>
      </c>
      <c r="I384" s="33">
        <f t="shared" si="49"/>
        <v>229001</v>
      </c>
      <c r="J384" s="33" t="s">
        <v>216</v>
      </c>
      <c r="K384" s="33"/>
      <c r="L384" s="33">
        <v>0</v>
      </c>
      <c r="M384" s="33">
        <v>1</v>
      </c>
      <c r="N384" s="33"/>
      <c r="O384" s="33">
        <v>1</v>
      </c>
      <c r="P384" s="33">
        <f>VLOOKUP($C384,CHOOSE({1,2},怪物并表!$E$7:$E$1000,怪物并表!$D$7:$D$1000),2,FALSE)</f>
        <v>30</v>
      </c>
      <c r="Q384" s="33" t="s">
        <v>12</v>
      </c>
      <c r="R384" s="33">
        <f>VLOOKUP(Q384,怪物信息配置表!$A$2:$B$118,2,FALSE)</f>
        <v>1009</v>
      </c>
      <c r="S384" s="33">
        <v>1</v>
      </c>
      <c r="T384" s="110">
        <f>VLOOKUP($C384,怪物并表!$E$7:$N$1000,2+($D384-1)*3,FALSE)*S384*AJ384</f>
        <v>28538.606824209299</v>
      </c>
      <c r="U384" s="110">
        <f>VLOOKUP($C384,怪物并表!$E$7:$N$1000,3+($D384-1)*3,FALSE)*S384*AK384</f>
        <v>1601.1983197186769</v>
      </c>
      <c r="V384" s="110">
        <f>VLOOKUP($C384,怪物并表!$E$7:$N$1000,4+($D384-1)*3,FALSE)*S384*AL384</f>
        <v>806.98703839464918</v>
      </c>
      <c r="W384" s="33"/>
      <c r="X384" s="33"/>
      <c r="Y384" s="49">
        <f>VLOOKUP($C384,怪物并表!$E$7:$P$1000,12,FALSE)</f>
        <v>0</v>
      </c>
      <c r="Z384" s="49">
        <f>VLOOKUP($C384,怪物并表!$E$7:$P$1000,11,FALSE)*S384</f>
        <v>2088.44</v>
      </c>
      <c r="AA384" s="33"/>
      <c r="AB384" s="33"/>
      <c r="AC384" s="33"/>
      <c r="AD384" s="33">
        <f t="shared" si="51"/>
        <v>1</v>
      </c>
      <c r="AE384" s="2">
        <f t="shared" si="46"/>
        <v>643.75</v>
      </c>
      <c r="AF384" s="2" t="str">
        <f>IF(ISBLANK(AM384),IF(O384=6,"",IF(O384=1,VLOOKUP(R384,怪物信息配置表!B:H,5,FALSE),IF(O384=2,VLOOKUP(R384,怪物信息配置表!B:H,6,FALSE),IF(OR(O384=3,O384=5),VLOOKUP(R384,怪物信息配置表!B:H,7,FALSE),"")))),AM384)</f>
        <v>ai_monster</v>
      </c>
      <c r="AG384" s="2"/>
      <c r="AH384" s="15">
        <f>SUMPRODUCT(T384:V384,$AN$3:$AP$3)+ROUNDDOWN(VLOOKUP(P384,CHOOSE({1,2},'[1]消耗&amp;价值&amp;分析'!$C$7:$C$106,'[1]消耗&amp;价值&amp;分析'!$AS$7:$AS$106),2,FALSE)*0.6,0)</f>
        <v>4403.7296310816982</v>
      </c>
      <c r="AJ384" s="80">
        <v>1</v>
      </c>
      <c r="AK384" s="80">
        <v>1</v>
      </c>
      <c r="AL384" s="80">
        <v>1</v>
      </c>
    </row>
    <row r="385" spans="1:38">
      <c r="A385" s="33" t="str">
        <f>怪物并表!$R$8</f>
        <v>精英副本</v>
      </c>
      <c r="B385" s="38">
        <v>2</v>
      </c>
      <c r="C385" s="33">
        <f t="shared" si="50"/>
        <v>2209</v>
      </c>
      <c r="D385" s="33">
        <v>1</v>
      </c>
      <c r="E385" s="33">
        <f>VLOOKUP(A385,怪物并表!$R$7:$S$14,2,FALSE)</f>
        <v>2</v>
      </c>
      <c r="F385" s="38">
        <v>2</v>
      </c>
      <c r="G385" s="38">
        <v>9</v>
      </c>
      <c r="H385" s="38">
        <v>0</v>
      </c>
      <c r="I385" s="33">
        <f t="shared" si="49"/>
        <v>229002</v>
      </c>
      <c r="J385" s="33" t="s">
        <v>464</v>
      </c>
      <c r="K385" s="33"/>
      <c r="L385" s="33">
        <v>0</v>
      </c>
      <c r="M385" s="33">
        <v>1</v>
      </c>
      <c r="N385" s="33"/>
      <c r="O385" s="33">
        <v>1</v>
      </c>
      <c r="P385" s="33">
        <f>VLOOKUP($C385,CHOOSE({1,2},怪物并表!$E$7:$E$1000,怪物并表!$D$7:$D$1000),2,FALSE)</f>
        <v>30</v>
      </c>
      <c r="Q385" s="33" t="s">
        <v>367</v>
      </c>
      <c r="R385" s="33">
        <f>VLOOKUP(Q385,怪物信息配置表!$A$2:$B$118,2,FALSE)</f>
        <v>1008</v>
      </c>
      <c r="S385" s="33">
        <v>1</v>
      </c>
      <c r="T385" s="110">
        <f>VLOOKUP($C385,怪物并表!$E$7:$N$1000,2+($D385-1)*3,FALSE)*S385*AJ385</f>
        <v>28538.606824209299</v>
      </c>
      <c r="U385" s="110">
        <f>VLOOKUP($C385,怪物并表!$E$7:$N$1000,3+($D385-1)*3,FALSE)*S385*AK385</f>
        <v>1601.1983197186769</v>
      </c>
      <c r="V385" s="110">
        <f>VLOOKUP($C385,怪物并表!$E$7:$N$1000,4+($D385-1)*3,FALSE)*S385*AL385</f>
        <v>806.98703839464918</v>
      </c>
      <c r="W385" s="33"/>
      <c r="X385" s="33"/>
      <c r="Y385" s="49">
        <f>VLOOKUP($C385,怪物并表!$E$7:$P$1000,12,FALSE)</f>
        <v>0</v>
      </c>
      <c r="Z385" s="49">
        <f>VLOOKUP($C385,怪物并表!$E$7:$P$1000,11,FALSE)*S385</f>
        <v>2088.44</v>
      </c>
      <c r="AA385" s="33"/>
      <c r="AB385" s="33"/>
      <c r="AC385" s="33"/>
      <c r="AD385" s="33">
        <f t="shared" si="51"/>
        <v>1</v>
      </c>
      <c r="AE385" s="2">
        <f t="shared" si="46"/>
        <v>643.75</v>
      </c>
      <c r="AF385" s="2" t="str">
        <f>IF(ISBLANK(AM385),IF(O385=6,"",IF(O385=1,VLOOKUP(R385,怪物信息配置表!B:H,5,FALSE),IF(O385=2,VLOOKUP(R385,怪物信息配置表!B:H,6,FALSE),IF(OR(O385=3,O385=5),VLOOKUP(R385,怪物信息配置表!B:H,7,FALSE),"")))),AM385)</f>
        <v>ai_monster</v>
      </c>
      <c r="AG385" s="2"/>
      <c r="AH385" s="15">
        <f>SUMPRODUCT(T385:V385,$AN$3:$AP$3)+ROUNDDOWN(VLOOKUP(P385,CHOOSE({1,2},'[1]消耗&amp;价值&amp;分析'!$C$7:$C$106,'[1]消耗&amp;价值&amp;分析'!$AS$7:$AS$106),2,FALSE)*0.6,0)</f>
        <v>4403.7296310816982</v>
      </c>
      <c r="AJ385" s="80">
        <v>1</v>
      </c>
      <c r="AK385" s="80">
        <v>1</v>
      </c>
      <c r="AL385" s="80">
        <v>1</v>
      </c>
    </row>
    <row r="386" spans="1:38">
      <c r="A386" s="33" t="str">
        <f>怪物并表!$R$8</f>
        <v>精英副本</v>
      </c>
      <c r="B386" s="38">
        <v>3</v>
      </c>
      <c r="C386" s="33">
        <f t="shared" si="50"/>
        <v>2209</v>
      </c>
      <c r="D386" s="33">
        <v>1</v>
      </c>
      <c r="E386" s="33">
        <f>VLOOKUP(A386,怪物并表!$R$7:$S$14,2,FALSE)</f>
        <v>2</v>
      </c>
      <c r="F386" s="38">
        <v>2</v>
      </c>
      <c r="G386" s="38">
        <v>9</v>
      </c>
      <c r="H386" s="38">
        <v>0</v>
      </c>
      <c r="I386" s="33">
        <f t="shared" si="49"/>
        <v>229003</v>
      </c>
      <c r="J386" s="33" t="s">
        <v>214</v>
      </c>
      <c r="K386" s="33"/>
      <c r="L386" s="33">
        <v>0</v>
      </c>
      <c r="M386" s="33">
        <v>1</v>
      </c>
      <c r="N386" s="33"/>
      <c r="O386" s="33">
        <v>1</v>
      </c>
      <c r="P386" s="33">
        <f>VLOOKUP($C386,CHOOSE({1,2},怪物并表!$E$7:$E$1000,怪物并表!$D$7:$D$1000),2,FALSE)</f>
        <v>30</v>
      </c>
      <c r="Q386" s="33" t="s">
        <v>10</v>
      </c>
      <c r="R386" s="33">
        <f>VLOOKUP(Q386,怪物信息配置表!$A$2:$B$118,2,FALSE)</f>
        <v>1001</v>
      </c>
      <c r="S386" s="33">
        <v>1</v>
      </c>
      <c r="T386" s="110">
        <f>VLOOKUP($C386,怪物并表!$E$7:$N$1000,2+($D386-1)*3,FALSE)*S386*AJ386</f>
        <v>28538.606824209299</v>
      </c>
      <c r="U386" s="110">
        <f>VLOOKUP($C386,怪物并表!$E$7:$N$1000,3+($D386-1)*3,FALSE)*S386*AK386</f>
        <v>1601.1983197186769</v>
      </c>
      <c r="V386" s="110">
        <f>VLOOKUP($C386,怪物并表!$E$7:$N$1000,4+($D386-1)*3,FALSE)*S386*AL386</f>
        <v>806.98703839464918</v>
      </c>
      <c r="W386" s="33"/>
      <c r="X386" s="33"/>
      <c r="Y386" s="49">
        <f>VLOOKUP($C386,怪物并表!$E$7:$P$1000,12,FALSE)</f>
        <v>0</v>
      </c>
      <c r="Z386" s="49">
        <f>VLOOKUP($C386,怪物并表!$E$7:$P$1000,11,FALSE)*S386</f>
        <v>2088.44</v>
      </c>
      <c r="AA386" s="33"/>
      <c r="AB386" s="33"/>
      <c r="AC386" s="33"/>
      <c r="AD386" s="33">
        <f t="shared" si="51"/>
        <v>1</v>
      </c>
      <c r="AE386" s="2">
        <f t="shared" ref="AE386:AE449" si="52">MAX(VLOOKUP(Q386,怪物信息配置表,3,FALSE)-VLOOKUP(Q386,怪物信息配置表,5,FALSE)*P386*AD386,50)</f>
        <v>643.75</v>
      </c>
      <c r="AF386" s="2" t="str">
        <f>IF(ISBLANK(AM386),IF(O386=6,"",IF(O386=1,VLOOKUP(R386,怪物信息配置表!B:H,5,FALSE),IF(O386=2,VLOOKUP(R386,怪物信息配置表!B:H,6,FALSE),IF(OR(O386=3,O386=5),VLOOKUP(R386,怪物信息配置表!B:H,7,FALSE),"")))),AM386)</f>
        <v>ai_monster</v>
      </c>
      <c r="AG386" s="2"/>
      <c r="AH386" s="15">
        <f>SUMPRODUCT(T386:V386,$AN$3:$AP$3)+ROUNDDOWN(VLOOKUP(P386,CHOOSE({1,2},'[1]消耗&amp;价值&amp;分析'!$C$7:$C$106,'[1]消耗&amp;价值&amp;分析'!$AS$7:$AS$106),2,FALSE)*0.6,0)</f>
        <v>4403.7296310816982</v>
      </c>
      <c r="AJ386" s="80">
        <v>1</v>
      </c>
      <c r="AK386" s="80">
        <v>1</v>
      </c>
      <c r="AL386" s="80">
        <v>1</v>
      </c>
    </row>
    <row r="387" spans="1:38">
      <c r="A387" s="33" t="str">
        <f>怪物并表!$R$8</f>
        <v>精英副本</v>
      </c>
      <c r="B387" s="38">
        <v>4</v>
      </c>
      <c r="C387" s="33">
        <f t="shared" si="50"/>
        <v>2209</v>
      </c>
      <c r="D387" s="33">
        <v>3</v>
      </c>
      <c r="E387" s="33">
        <f>VLOOKUP(A387,怪物并表!$R$7:$S$14,2,FALSE)</f>
        <v>2</v>
      </c>
      <c r="F387" s="38">
        <v>2</v>
      </c>
      <c r="G387" s="38">
        <v>9</v>
      </c>
      <c r="H387" s="38">
        <v>0</v>
      </c>
      <c r="I387" s="33">
        <f t="shared" si="49"/>
        <v>229004</v>
      </c>
      <c r="J387" s="33" t="s">
        <v>584</v>
      </c>
      <c r="K387" s="33"/>
      <c r="L387" s="33">
        <v>1</v>
      </c>
      <c r="M387" s="33">
        <v>1.2</v>
      </c>
      <c r="N387" s="33"/>
      <c r="O387" s="33">
        <v>3</v>
      </c>
      <c r="P387" s="33">
        <f>VLOOKUP($C387,CHOOSE({1,2},怪物并表!$E$7:$E$1000,怪物并表!$D$7:$D$1000),2,FALSE)</f>
        <v>30</v>
      </c>
      <c r="Q387" s="33" t="s">
        <v>26</v>
      </c>
      <c r="R387" s="33">
        <f>VLOOKUP(Q387,怪物信息配置表!$A$2:$B$118,2,FALSE)</f>
        <v>1105</v>
      </c>
      <c r="S387" s="33">
        <v>1</v>
      </c>
      <c r="T387" s="110">
        <f>VLOOKUP($C387,怪物并表!$E$7:$N$1000,2+($D387-1)*3,FALSE)*S387*AJ387</f>
        <v>71346.517060523256</v>
      </c>
      <c r="U387" s="110">
        <f>VLOOKUP($C387,怪物并表!$E$7:$N$1000,3+($D387-1)*3,FALSE)*S387*AK387</f>
        <v>1786.9401439299709</v>
      </c>
      <c r="V387" s="110">
        <f>VLOOKUP($C387,怪物并表!$E$7:$N$1000,4+($D387-1)*3,FALSE)*S387*AL387</f>
        <v>948.20977011371281</v>
      </c>
      <c r="W387" s="33"/>
      <c r="X387" s="33"/>
      <c r="Y387" s="49">
        <f>VLOOKUP($C387,怪物并表!$E$7:$P$1000,12,FALSE)</f>
        <v>0</v>
      </c>
      <c r="Z387" s="49">
        <f>VLOOKUP($C387,怪物并表!$E$7:$P$1000,11,FALSE)*S387</f>
        <v>2088.44</v>
      </c>
      <c r="AA387" s="33"/>
      <c r="AB387" s="33"/>
      <c r="AC387" s="33"/>
      <c r="AD387" s="33">
        <f t="shared" si="51"/>
        <v>1.5</v>
      </c>
      <c r="AE387" s="2">
        <f t="shared" si="52"/>
        <v>378.125</v>
      </c>
      <c r="AF387" s="2" t="str">
        <f>IF(ISBLANK(AM387),IF(O387=6,"",IF(O387=1,VLOOKUP(R387,怪物信息配置表!B:H,5,FALSE),IF(O387=2,VLOOKUP(R387,怪物信息配置表!B:H,6,FALSE),IF(OR(O387=3,O387=5),VLOOKUP(R387,怪物信息配置表!B:H,7,FALSE),"")))),AM387)</f>
        <v>1105_leigong_BOSS</v>
      </c>
      <c r="AG387" s="2"/>
      <c r="AH387" s="15">
        <f>SUMPRODUCT(T387:V387,$AN$3:$AP$3)+ROUNDDOWN(VLOOKUP(P387,CHOOSE({1,2},'[1]消耗&amp;价值&amp;分析'!$C$7:$C$106,'[1]消耗&amp;价值&amp;分析'!$AS$7:$AS$106),2,FALSE)*0.6,0)</f>
        <v>6443.0105964646145</v>
      </c>
      <c r="AJ387" s="80">
        <v>1</v>
      </c>
      <c r="AK387" s="80">
        <v>1</v>
      </c>
      <c r="AL387" s="80">
        <v>1</v>
      </c>
    </row>
    <row r="388" spans="1:38">
      <c r="A388" s="33" t="str">
        <f>怪物并表!$R$8</f>
        <v>精英副本</v>
      </c>
      <c r="B388" s="38">
        <v>1</v>
      </c>
      <c r="C388" s="33">
        <f t="shared" si="45"/>
        <v>3201</v>
      </c>
      <c r="D388" s="33">
        <v>2</v>
      </c>
      <c r="E388" s="33">
        <f>VLOOKUP(A388,怪物并表!$R$7:$S$14,2,FALSE)</f>
        <v>2</v>
      </c>
      <c r="F388" s="38">
        <v>3</v>
      </c>
      <c r="G388" s="38">
        <v>1</v>
      </c>
      <c r="H388" s="38">
        <v>0</v>
      </c>
      <c r="I388" s="33">
        <f t="shared" si="49"/>
        <v>231001</v>
      </c>
      <c r="J388" s="33" t="s">
        <v>471</v>
      </c>
      <c r="K388" s="33"/>
      <c r="L388" s="33">
        <v>0</v>
      </c>
      <c r="M388" s="33">
        <v>1</v>
      </c>
      <c r="N388" s="33"/>
      <c r="O388" s="33">
        <v>1</v>
      </c>
      <c r="P388" s="33">
        <f>VLOOKUP($C388,CHOOSE({1,2},怪物并表!$E$7:$E$1000,怪物并表!$D$7:$D$1000),2,FALSE)</f>
        <v>31</v>
      </c>
      <c r="Q388" s="33" t="s">
        <v>17</v>
      </c>
      <c r="R388" s="33">
        <f>VLOOKUP(Q388,怪物信息配置表!$A$2:$B$118,2,FALSE)</f>
        <v>1005</v>
      </c>
      <c r="S388" s="33">
        <v>1</v>
      </c>
      <c r="T388" s="110">
        <f>VLOOKUP($C388,怪物并表!$E$7:$N$1000,2+($D388-1)*3,FALSE)*S388*AJ388</f>
        <v>22133.837305681358</v>
      </c>
      <c r="U388" s="110">
        <f>VLOOKUP($C388,怪物并表!$E$7:$N$1000,3+($D388-1)*3,FALSE)*S388*AK388</f>
        <v>1539.4988959662169</v>
      </c>
      <c r="V388" s="110">
        <f>VLOOKUP($C388,怪物并表!$E$7:$N$1000,4+($D388-1)*3,FALSE)*S388*AL388</f>
        <v>557.71158046153869</v>
      </c>
      <c r="W388" s="33"/>
      <c r="X388" s="33"/>
      <c r="Y388" s="49">
        <f>VLOOKUP($C388,怪物并表!$E$7:$P$1000,12,FALSE)</f>
        <v>0</v>
      </c>
      <c r="Z388" s="49">
        <f>VLOOKUP($C388,怪物并表!$E$7:$P$1000,11,FALSE)*S388</f>
        <v>2146.6680000000001</v>
      </c>
      <c r="AA388" s="33"/>
      <c r="AB388" s="33"/>
      <c r="AC388" s="33"/>
      <c r="AD388" s="33">
        <f t="shared" si="39"/>
        <v>0.8</v>
      </c>
      <c r="AE388" s="2">
        <f t="shared" si="52"/>
        <v>705.5</v>
      </c>
      <c r="AF388" s="2" t="str">
        <f>IF(ISBLANK(AM388),IF(O388=6,"",IF(O388=1,VLOOKUP(R388,怪物信息配置表!B:H,5,FALSE),IF(O388=2,VLOOKUP(R388,怪物信息配置表!B:H,6,FALSE),IF(OR(O388=3,O388=5),VLOOKUP(R388,怪物信息配置表!B:H,7,FALSE),"")))),AM388)</f>
        <v>ai_monster_02</v>
      </c>
      <c r="AG388" s="2"/>
      <c r="AH388" s="15">
        <f>SUMPRODUCT(T388:V388,$AN$3:$AP$3)+ROUNDDOWN(VLOOKUP(P388,CHOOSE({1,2},'[1]消耗&amp;价值&amp;分析'!$C$7:$C$106,'[1]消耗&amp;价值&amp;分析'!$AS$7:$AS$106),2,FALSE)*0.6,0)</f>
        <v>3906.5639686550098</v>
      </c>
      <c r="AJ388" s="80">
        <v>1</v>
      </c>
      <c r="AK388" s="80">
        <v>1</v>
      </c>
      <c r="AL388" s="80">
        <v>1</v>
      </c>
    </row>
    <row r="389" spans="1:38">
      <c r="A389" s="33" t="str">
        <f>怪物并表!$R$8</f>
        <v>精英副本</v>
      </c>
      <c r="B389" s="38">
        <v>2</v>
      </c>
      <c r="C389" s="33">
        <f t="shared" si="45"/>
        <v>3201</v>
      </c>
      <c r="D389" s="33">
        <v>1</v>
      </c>
      <c r="E389" s="33">
        <f>VLOOKUP(A389,怪物并表!$R$7:$S$14,2,FALSE)</f>
        <v>2</v>
      </c>
      <c r="F389" s="38">
        <v>3</v>
      </c>
      <c r="G389" s="38">
        <v>1</v>
      </c>
      <c r="H389" s="38">
        <v>0</v>
      </c>
      <c r="I389" s="33">
        <f t="shared" si="49"/>
        <v>231002</v>
      </c>
      <c r="J389" s="33" t="s">
        <v>15</v>
      </c>
      <c r="K389" s="33"/>
      <c r="L389" s="33">
        <v>0</v>
      </c>
      <c r="M389" s="33">
        <v>1</v>
      </c>
      <c r="N389" s="33"/>
      <c r="O389" s="33">
        <v>1</v>
      </c>
      <c r="P389" s="33">
        <f>VLOOKUP($C389,CHOOSE({1,2},怪物并表!$E$7:$E$1000,怪物并表!$D$7:$D$1000),2,FALSE)</f>
        <v>31</v>
      </c>
      <c r="Q389" s="33" t="s">
        <v>15</v>
      </c>
      <c r="R389" s="33">
        <f>VLOOKUP(Q389,怪物信息配置表!$A$2:$B$118,2,FALSE)</f>
        <v>1004</v>
      </c>
      <c r="S389" s="33">
        <v>1</v>
      </c>
      <c r="T389" s="110">
        <f>VLOOKUP($C389,怪物并表!$E$7:$N$1000,2+($D389-1)*3,FALSE)*S389*AJ389</f>
        <v>27667.296632101697</v>
      </c>
      <c r="U389" s="110">
        <f>VLOOKUP($C389,怪物并表!$E$7:$N$1000,3+($D389-1)*3,FALSE)*S389*AK389</f>
        <v>1627.9303910051981</v>
      </c>
      <c r="V389" s="110">
        <f>VLOOKUP($C389,怪物并表!$E$7:$N$1000,4+($D389-1)*3,FALSE)*S389*AL389</f>
        <v>743.61544061538484</v>
      </c>
      <c r="W389" s="33"/>
      <c r="X389" s="33"/>
      <c r="Y389" s="49">
        <f>VLOOKUP($C389,怪物并表!$E$7:$P$1000,12,FALSE)</f>
        <v>0</v>
      </c>
      <c r="Z389" s="49">
        <f>VLOOKUP($C389,怪物并表!$E$7:$P$1000,11,FALSE)*S389</f>
        <v>2146.6680000000001</v>
      </c>
      <c r="AA389" s="33"/>
      <c r="AB389" s="33"/>
      <c r="AC389" s="33"/>
      <c r="AD389" s="33">
        <f t="shared" si="39"/>
        <v>1</v>
      </c>
      <c r="AE389" s="2">
        <f t="shared" si="52"/>
        <v>631.875</v>
      </c>
      <c r="AF389" s="2" t="str">
        <f>IF(ISBLANK(AM389),IF(O389=6,"",IF(O389=1,VLOOKUP(R389,怪物信息配置表!B:H,5,FALSE),IF(O389=2,VLOOKUP(R389,怪物信息配置表!B:H,6,FALSE),IF(OR(O389=3,O389=5),VLOOKUP(R389,怪物信息配置表!B:H,7,FALSE),"")))),AM389)</f>
        <v>ai_monster</v>
      </c>
      <c r="AG389" s="2"/>
      <c r="AH389" s="15">
        <f>SUMPRODUCT(T389:V389,$AN$3:$AP$3)+ROUNDDOWN(VLOOKUP(P389,CHOOSE({1,2},'[1]消耗&amp;价值&amp;分析'!$C$7:$C$106,'[1]消耗&amp;价值&amp;分析'!$AS$7:$AS$106),2,FALSE)*0.6,0)</f>
        <v>4402.2376969046509</v>
      </c>
      <c r="AJ389" s="80">
        <v>1</v>
      </c>
      <c r="AK389" s="80">
        <v>1</v>
      </c>
      <c r="AL389" s="80">
        <v>1</v>
      </c>
    </row>
    <row r="390" spans="1:38">
      <c r="A390" s="33" t="str">
        <f>怪物并表!$R$8</f>
        <v>精英副本</v>
      </c>
      <c r="B390" s="38">
        <v>3</v>
      </c>
      <c r="C390" s="33">
        <f t="shared" si="45"/>
        <v>3201</v>
      </c>
      <c r="D390" s="33">
        <v>1</v>
      </c>
      <c r="E390" s="33">
        <f>VLOOKUP(A390,怪物并表!$R$7:$S$14,2,FALSE)</f>
        <v>2</v>
      </c>
      <c r="F390" s="38">
        <v>3</v>
      </c>
      <c r="G390" s="38">
        <v>1</v>
      </c>
      <c r="H390" s="38">
        <v>0</v>
      </c>
      <c r="I390" s="33">
        <f t="shared" si="49"/>
        <v>231003</v>
      </c>
      <c r="J390" s="33" t="s">
        <v>465</v>
      </c>
      <c r="K390" s="33"/>
      <c r="L390" s="33">
        <v>0</v>
      </c>
      <c r="M390" s="33">
        <v>1</v>
      </c>
      <c r="N390" s="33"/>
      <c r="O390" s="33">
        <v>1</v>
      </c>
      <c r="P390" s="33">
        <f>VLOOKUP($C390,CHOOSE({1,2},怪物并表!$E$7:$E$1000,怪物并表!$D$7:$D$1000),2,FALSE)</f>
        <v>31</v>
      </c>
      <c r="Q390" s="33" t="s">
        <v>10</v>
      </c>
      <c r="R390" s="33">
        <f>VLOOKUP(Q390,怪物信息配置表!$A$2:$B$118,2,FALSE)</f>
        <v>1001</v>
      </c>
      <c r="S390" s="33">
        <v>1</v>
      </c>
      <c r="T390" s="110">
        <f>VLOOKUP($C390,怪物并表!$E$7:$N$1000,2+($D390-1)*3,FALSE)*S390*AJ390</f>
        <v>27667.296632101697</v>
      </c>
      <c r="U390" s="110">
        <f>VLOOKUP($C390,怪物并表!$E$7:$N$1000,3+($D390-1)*3,FALSE)*S390*AK390</f>
        <v>1627.9303910051981</v>
      </c>
      <c r="V390" s="110">
        <f>VLOOKUP($C390,怪物并表!$E$7:$N$1000,4+($D390-1)*3,FALSE)*S390*AL390</f>
        <v>743.61544061538484</v>
      </c>
      <c r="W390" s="33"/>
      <c r="X390" s="33"/>
      <c r="Y390" s="49">
        <f>VLOOKUP($C390,怪物并表!$E$7:$P$1000,12,FALSE)</f>
        <v>0</v>
      </c>
      <c r="Z390" s="49">
        <f>VLOOKUP($C390,怪物并表!$E$7:$P$1000,11,FALSE)*S390</f>
        <v>2146.6680000000001</v>
      </c>
      <c r="AA390" s="33"/>
      <c r="AB390" s="33"/>
      <c r="AC390" s="33"/>
      <c r="AD390" s="33">
        <f t="shared" si="39"/>
        <v>1</v>
      </c>
      <c r="AE390" s="2">
        <f t="shared" si="52"/>
        <v>631.875</v>
      </c>
      <c r="AF390" s="2" t="str">
        <f>IF(ISBLANK(AM390),IF(O390=6,"",IF(O390=1,VLOOKUP(R390,怪物信息配置表!B:H,5,FALSE),IF(O390=2,VLOOKUP(R390,怪物信息配置表!B:H,6,FALSE),IF(OR(O390=3,O390=5),VLOOKUP(R390,怪物信息配置表!B:H,7,FALSE),"")))),AM390)</f>
        <v>ai_monster</v>
      </c>
      <c r="AG390" s="2"/>
      <c r="AH390" s="15">
        <f>SUMPRODUCT(T390:V390,$AN$3:$AP$3)+ROUNDDOWN(VLOOKUP(P390,CHOOSE({1,2},'[1]消耗&amp;价值&amp;分析'!$C$7:$C$106,'[1]消耗&amp;价值&amp;分析'!$AS$7:$AS$106),2,FALSE)*0.6,0)</f>
        <v>4402.2376969046509</v>
      </c>
      <c r="AJ390" s="80">
        <v>1</v>
      </c>
      <c r="AK390" s="80">
        <v>1</v>
      </c>
      <c r="AL390" s="80">
        <v>1</v>
      </c>
    </row>
    <row r="391" spans="1:38">
      <c r="A391" s="33" t="str">
        <f>怪物并表!$R$8</f>
        <v>精英副本</v>
      </c>
      <c r="B391" s="38">
        <v>4</v>
      </c>
      <c r="C391" s="33">
        <f t="shared" si="45"/>
        <v>3201</v>
      </c>
      <c r="D391" s="33">
        <v>3</v>
      </c>
      <c r="E391" s="33">
        <f>VLOOKUP(A391,怪物并表!$R$7:$S$14,2,FALSE)</f>
        <v>2</v>
      </c>
      <c r="F391" s="38">
        <v>3</v>
      </c>
      <c r="G391" s="38">
        <v>1</v>
      </c>
      <c r="H391" s="38">
        <v>0</v>
      </c>
      <c r="I391" s="33">
        <f t="shared" si="49"/>
        <v>231004</v>
      </c>
      <c r="J391" s="33" t="s">
        <v>536</v>
      </c>
      <c r="K391" s="33"/>
      <c r="L391" s="33">
        <v>1</v>
      </c>
      <c r="M391" s="33">
        <v>1.2</v>
      </c>
      <c r="N391" s="33"/>
      <c r="O391" s="33">
        <v>3</v>
      </c>
      <c r="P391" s="33">
        <f>VLOOKUP($C391,CHOOSE({1,2},怪物并表!$E$7:$E$1000,怪物并表!$D$7:$D$1000),2,FALSE)</f>
        <v>31</v>
      </c>
      <c r="Q391" s="33" t="s">
        <v>11</v>
      </c>
      <c r="R391" s="33">
        <f>VLOOKUP(Q391,怪物信息配置表!$A$2:$B$118,2,FALSE)</f>
        <v>1011</v>
      </c>
      <c r="S391" s="33">
        <v>1</v>
      </c>
      <c r="T391" s="110">
        <f>VLOOKUP($C391,怪物并表!$E$7:$N$1000,2+($D391-1)*3,FALSE)*S391*AJ391</f>
        <v>69168.241580254238</v>
      </c>
      <c r="U391" s="110">
        <f>VLOOKUP($C391,怪物并表!$E$7:$N$1000,3+($D391-1)*3,FALSE)*S391*AK391</f>
        <v>1804.7933810831607</v>
      </c>
      <c r="V391" s="110">
        <f>VLOOKUP($C391,怪物并表!$E$7:$N$1000,4+($D391-1)*3,FALSE)*S391*AL391</f>
        <v>929.51930076923099</v>
      </c>
      <c r="W391" s="33"/>
      <c r="X391" s="33"/>
      <c r="Y391" s="49">
        <f>VLOOKUP($C391,怪物并表!$E$7:$P$1000,12,FALSE)</f>
        <v>0</v>
      </c>
      <c r="Z391" s="49">
        <f>VLOOKUP($C391,怪物并表!$E$7:$P$1000,11,FALSE)*S391</f>
        <v>2146.6680000000001</v>
      </c>
      <c r="AA391" s="33"/>
      <c r="AB391" s="33"/>
      <c r="AC391" s="33"/>
      <c r="AD391" s="33">
        <f t="shared" si="39"/>
        <v>1.5</v>
      </c>
      <c r="AE391" s="2">
        <f t="shared" si="52"/>
        <v>447.8125</v>
      </c>
      <c r="AF391" s="2" t="str">
        <f>IF(ISBLANK(AM391),IF(O391=6,"",IF(O391=1,VLOOKUP(R391,怪物信息配置表!B:H,5,FALSE),IF(O391=2,VLOOKUP(R391,怪物信息配置表!B:H,6,FALSE),IF(OR(O391=3,O391=5),VLOOKUP(R391,怪物信息配置表!B:H,7,FALSE),"")))),AM391)</f>
        <v>1011_jichenan_BOSS</v>
      </c>
      <c r="AG391" s="2"/>
      <c r="AH391" s="15">
        <f>SUMPRODUCT(T391:V391,$AN$3:$AP$3)+ROUNDDOWN(VLOOKUP(P391,CHOOSE({1,2},'[1]消耗&amp;价值&amp;分析'!$C$7:$C$106,'[1]消耗&amp;价值&amp;分析'!$AS$7:$AS$106),2,FALSE)*0.6,0)</f>
        <v>6425.0423450625622</v>
      </c>
      <c r="AJ391" s="80">
        <v>1</v>
      </c>
      <c r="AK391" s="80">
        <v>1</v>
      </c>
      <c r="AL391" s="80">
        <v>1</v>
      </c>
    </row>
    <row r="392" spans="1:38">
      <c r="A392" s="33" t="str">
        <f>怪物并表!$R$8</f>
        <v>精英副本</v>
      </c>
      <c r="B392" s="38">
        <v>1</v>
      </c>
      <c r="C392" s="33">
        <f t="shared" si="45"/>
        <v>3202</v>
      </c>
      <c r="D392" s="33">
        <v>2</v>
      </c>
      <c r="E392" s="33">
        <f>VLOOKUP(A392,怪物并表!$R$7:$S$14,2,FALSE)</f>
        <v>2</v>
      </c>
      <c r="F392" s="38">
        <v>3</v>
      </c>
      <c r="G392" s="38">
        <v>2</v>
      </c>
      <c r="H392" s="38">
        <v>0</v>
      </c>
      <c r="I392" s="33">
        <f t="shared" si="49"/>
        <v>232001</v>
      </c>
      <c r="J392" s="33" t="s">
        <v>540</v>
      </c>
      <c r="K392" s="33"/>
      <c r="L392" s="33">
        <v>0</v>
      </c>
      <c r="M392" s="33">
        <v>1</v>
      </c>
      <c r="N392" s="33" t="s">
        <v>218</v>
      </c>
      <c r="O392" s="33">
        <v>1</v>
      </c>
      <c r="P392" s="33">
        <f>VLOOKUP($C392,CHOOSE({1,2},怪物并表!$E$7:$E$1000,怪物并表!$D$7:$D$1000),2,FALSE)</f>
        <v>32</v>
      </c>
      <c r="Q392" s="33" t="s">
        <v>13</v>
      </c>
      <c r="R392" s="33">
        <f>VLOOKUP(Q392,怪物信息配置表!$A$2:$B$118,2,FALSE)</f>
        <v>1007</v>
      </c>
      <c r="S392" s="33">
        <v>1</v>
      </c>
      <c r="T392" s="110">
        <f>VLOOKUP($C392,怪物并表!$E$7:$N$1000,2+($D392-1)*3,FALSE)*S392*AJ392</f>
        <v>25288.259778479227</v>
      </c>
      <c r="U392" s="110">
        <f>VLOOKUP($C392,怪物并表!$E$7:$N$1000,3+($D392-1)*3,FALSE)*S392*AK392</f>
        <v>1727.6572862499429</v>
      </c>
      <c r="V392" s="110">
        <f>VLOOKUP($C392,怪物并表!$E$7:$N$1000,4+($D392-1)*3,FALSE)*S392*AL392</f>
        <v>639.05389369043496</v>
      </c>
      <c r="W392" s="33"/>
      <c r="X392" s="33"/>
      <c r="Y392" s="49">
        <f>VLOOKUP($C392,怪物并表!$E$7:$P$1000,12,FALSE)</f>
        <v>0</v>
      </c>
      <c r="Z392" s="49">
        <f>VLOOKUP($C392,怪物并表!$E$7:$P$1000,11,FALSE)*S392</f>
        <v>2204.8960000000002</v>
      </c>
      <c r="AA392" s="33"/>
      <c r="AB392" s="33"/>
      <c r="AC392" s="33"/>
      <c r="AD392" s="33">
        <f t="shared" ref="AD392:AD479" si="53">IF(D392=1,1,IF(D392=2,0.8,1.5))</f>
        <v>0.8</v>
      </c>
      <c r="AE392" s="2">
        <f t="shared" si="52"/>
        <v>696</v>
      </c>
      <c r="AF392" s="2" t="str">
        <f>IF(ISBLANK(AM392),IF(O392=6,"",IF(O392=1,VLOOKUP(R392,怪物信息配置表!B:H,5,FALSE),IF(O392=2,VLOOKUP(R392,怪物信息配置表!B:H,6,FALSE),IF(OR(O392=3,O392=5),VLOOKUP(R392,怪物信息配置表!B:H,7,FALSE),"")))),AM392)</f>
        <v>ai_monster_03</v>
      </c>
      <c r="AG392" s="2"/>
      <c r="AH392" s="15">
        <f>SUMPRODUCT(T392:V392,$AN$3:$AP$3)+ROUNDDOWN(VLOOKUP(P392,CHOOSE({1,2},'[1]消耗&amp;价值&amp;分析'!$C$7:$C$106,'[1]消耗&amp;价值&amp;分析'!$AS$7:$AS$106),2,FALSE)*0.6,0)</f>
        <v>4360.2415710795467</v>
      </c>
      <c r="AJ392" s="80">
        <v>1</v>
      </c>
      <c r="AK392" s="80">
        <v>1</v>
      </c>
      <c r="AL392" s="80">
        <v>1</v>
      </c>
    </row>
    <row r="393" spans="1:38">
      <c r="A393" s="33" t="str">
        <f>怪物并表!$R$8</f>
        <v>精英副本</v>
      </c>
      <c r="B393" s="38">
        <v>2</v>
      </c>
      <c r="C393" s="33">
        <f t="shared" si="45"/>
        <v>3202</v>
      </c>
      <c r="D393" s="33">
        <v>1</v>
      </c>
      <c r="E393" s="33">
        <f>VLOOKUP(A393,怪物并表!$R$7:$S$14,2,FALSE)</f>
        <v>2</v>
      </c>
      <c r="F393" s="38">
        <v>3</v>
      </c>
      <c r="G393" s="38">
        <v>2</v>
      </c>
      <c r="H393" s="38">
        <v>0</v>
      </c>
      <c r="I393" s="33">
        <f t="shared" si="49"/>
        <v>232002</v>
      </c>
      <c r="J393" s="33" t="s">
        <v>224</v>
      </c>
      <c r="K393" s="33"/>
      <c r="L393" s="33">
        <v>0</v>
      </c>
      <c r="M393" s="33">
        <v>1</v>
      </c>
      <c r="N393" s="33"/>
      <c r="O393" s="33">
        <v>1</v>
      </c>
      <c r="P393" s="33">
        <f>VLOOKUP($C393,CHOOSE({1,2},怪物并表!$E$7:$E$1000,怪物并表!$D$7:$D$1000),2,FALSE)</f>
        <v>32</v>
      </c>
      <c r="Q393" s="33" t="s">
        <v>7</v>
      </c>
      <c r="R393" s="33">
        <f>VLOOKUP(Q393,怪物信息配置表!$A$2:$B$118,2,FALSE)</f>
        <v>1002</v>
      </c>
      <c r="S393" s="33">
        <v>1</v>
      </c>
      <c r="T393" s="110">
        <f>VLOOKUP($C393,怪物并表!$E$7:$N$1000,2+($D393-1)*3,FALSE)*S393*AJ393</f>
        <v>31610.324723099031</v>
      </c>
      <c r="U393" s="110">
        <f>VLOOKUP($C393,怪物并表!$E$7:$N$1000,3+($D393-1)*3,FALSE)*S393*AK393</f>
        <v>1828.5858887548602</v>
      </c>
      <c r="V393" s="110">
        <f>VLOOKUP($C393,怪物并表!$E$7:$N$1000,4+($D393-1)*3,FALSE)*S393*AL393</f>
        <v>839.78236029832794</v>
      </c>
      <c r="W393" s="33"/>
      <c r="X393" s="33"/>
      <c r="Y393" s="49">
        <f>VLOOKUP($C393,怪物并表!$E$7:$P$1000,12,FALSE)</f>
        <v>0</v>
      </c>
      <c r="Z393" s="49">
        <f>VLOOKUP($C393,怪物并表!$E$7:$P$1000,11,FALSE)*S393</f>
        <v>2204.8960000000002</v>
      </c>
      <c r="AA393" s="33"/>
      <c r="AB393" s="33"/>
      <c r="AC393" s="33"/>
      <c r="AD393" s="33">
        <f t="shared" si="53"/>
        <v>1</v>
      </c>
      <c r="AE393" s="2">
        <f t="shared" si="52"/>
        <v>620</v>
      </c>
      <c r="AF393" s="2" t="str">
        <f>IF(ISBLANK(AM393),IF(O393=6,"",IF(O393=1,VLOOKUP(R393,怪物信息配置表!B:H,5,FALSE),IF(O393=2,VLOOKUP(R393,怪物信息配置表!B:H,6,FALSE),IF(OR(O393=3,O393=5),VLOOKUP(R393,怪物信息配置表!B:H,7,FALSE),"")))),AM393)</f>
        <v>ai_monster</v>
      </c>
      <c r="AG393" s="2"/>
      <c r="AH393" s="15">
        <f>SUMPRODUCT(T393:V393,$AN$3:$AP$3)+ROUNDDOWN(VLOOKUP(P393,CHOOSE({1,2},'[1]消耗&amp;价值&amp;分析'!$C$7:$C$106,'[1]消耗&amp;价值&amp;分析'!$AS$7:$AS$106),2,FALSE)*0.6,0)</f>
        <v>4914.7812379771494</v>
      </c>
      <c r="AJ393" s="80">
        <v>1</v>
      </c>
      <c r="AK393" s="80">
        <v>1</v>
      </c>
      <c r="AL393" s="80">
        <v>1</v>
      </c>
    </row>
    <row r="394" spans="1:38">
      <c r="A394" s="33" t="str">
        <f>怪物并表!$R$8</f>
        <v>精英副本</v>
      </c>
      <c r="B394" s="38">
        <v>3</v>
      </c>
      <c r="C394" s="33">
        <f t="shared" si="45"/>
        <v>3202</v>
      </c>
      <c r="D394" s="33">
        <v>2</v>
      </c>
      <c r="E394" s="33">
        <f>VLOOKUP(A394,怪物并表!$R$7:$S$14,2,FALSE)</f>
        <v>2</v>
      </c>
      <c r="F394" s="38">
        <v>3</v>
      </c>
      <c r="G394" s="38">
        <v>2</v>
      </c>
      <c r="H394" s="38">
        <v>0</v>
      </c>
      <c r="I394" s="33">
        <f t="shared" si="49"/>
        <v>232003</v>
      </c>
      <c r="J394" s="33" t="s">
        <v>470</v>
      </c>
      <c r="K394" s="33"/>
      <c r="L394" s="33">
        <v>0</v>
      </c>
      <c r="M394" s="33">
        <v>1</v>
      </c>
      <c r="N394" s="33" t="s">
        <v>215</v>
      </c>
      <c r="O394" s="33">
        <v>1</v>
      </c>
      <c r="P394" s="33">
        <f>VLOOKUP($C394,CHOOSE({1,2},怪物并表!$E$7:$E$1000,怪物并表!$D$7:$D$1000),2,FALSE)</f>
        <v>32</v>
      </c>
      <c r="Q394" s="33" t="s">
        <v>367</v>
      </c>
      <c r="R394" s="33">
        <f>VLOOKUP(Q394,怪物信息配置表!$A$2:$B$118,2,FALSE)</f>
        <v>1008</v>
      </c>
      <c r="S394" s="33">
        <v>1</v>
      </c>
      <c r="T394" s="110">
        <f>VLOOKUP($C394,怪物并表!$E$7:$N$1000,2+($D394-1)*3,FALSE)*S394*AJ394</f>
        <v>25288.259778479227</v>
      </c>
      <c r="U394" s="110">
        <f>VLOOKUP($C394,怪物并表!$E$7:$N$1000,3+($D394-1)*3,FALSE)*S394*AK394</f>
        <v>1727.6572862499429</v>
      </c>
      <c r="V394" s="110">
        <f>VLOOKUP($C394,怪物并表!$E$7:$N$1000,4+($D394-1)*3,FALSE)*S394*AL394</f>
        <v>639.05389369043496</v>
      </c>
      <c r="W394" s="33"/>
      <c r="X394" s="33"/>
      <c r="Y394" s="49">
        <f>VLOOKUP($C394,怪物并表!$E$7:$P$1000,12,FALSE)</f>
        <v>0</v>
      </c>
      <c r="Z394" s="49">
        <f>VLOOKUP($C394,怪物并表!$E$7:$P$1000,11,FALSE)*S394</f>
        <v>2204.8960000000002</v>
      </c>
      <c r="AA394" s="33"/>
      <c r="AB394" s="33"/>
      <c r="AC394" s="33"/>
      <c r="AD394" s="33">
        <f t="shared" si="53"/>
        <v>0.8</v>
      </c>
      <c r="AE394" s="2">
        <f t="shared" si="52"/>
        <v>696</v>
      </c>
      <c r="AF394" s="2" t="str">
        <f>IF(ISBLANK(AM394),IF(O394=6,"",IF(O394=1,VLOOKUP(R394,怪物信息配置表!B:H,5,FALSE),IF(O394=2,VLOOKUP(R394,怪物信息配置表!B:H,6,FALSE),IF(OR(O394=3,O394=5),VLOOKUP(R394,怪物信息配置表!B:H,7,FALSE),"")))),AM394)</f>
        <v>ai_monster</v>
      </c>
      <c r="AG394" s="2"/>
      <c r="AH394" s="15">
        <f>SUMPRODUCT(T394:V394,$AN$3:$AP$3)+ROUNDDOWN(VLOOKUP(P394,CHOOSE({1,2},'[1]消耗&amp;价值&amp;分析'!$C$7:$C$106,'[1]消耗&amp;价值&amp;分析'!$AS$7:$AS$106),2,FALSE)*0.6,0)</f>
        <v>4360.2415710795467</v>
      </c>
      <c r="AJ394" s="80">
        <v>1</v>
      </c>
      <c r="AK394" s="80">
        <v>1</v>
      </c>
      <c r="AL394" s="80">
        <v>1</v>
      </c>
    </row>
    <row r="395" spans="1:38">
      <c r="A395" s="33" t="str">
        <f>怪物并表!$R$8</f>
        <v>精英副本</v>
      </c>
      <c r="B395" s="38">
        <v>4</v>
      </c>
      <c r="C395" s="33">
        <f t="shared" si="45"/>
        <v>3202</v>
      </c>
      <c r="D395" s="33">
        <v>3</v>
      </c>
      <c r="E395" s="33">
        <f>VLOOKUP(A395,怪物并表!$R$7:$S$14,2,FALSE)</f>
        <v>2</v>
      </c>
      <c r="F395" s="38">
        <v>3</v>
      </c>
      <c r="G395" s="38">
        <v>2</v>
      </c>
      <c r="H395" s="38">
        <v>0</v>
      </c>
      <c r="I395" s="33">
        <f t="shared" si="49"/>
        <v>232004</v>
      </c>
      <c r="J395" s="33" t="s">
        <v>541</v>
      </c>
      <c r="K395" s="33"/>
      <c r="L395" s="33">
        <v>1</v>
      </c>
      <c r="M395" s="33">
        <v>1.3</v>
      </c>
      <c r="N395" s="33"/>
      <c r="O395" s="33">
        <v>3</v>
      </c>
      <c r="P395" s="33">
        <f>VLOOKUP($C395,CHOOSE({1,2},怪物并表!$E$7:$E$1000,怪物并表!$D$7:$D$1000),2,FALSE)</f>
        <v>32</v>
      </c>
      <c r="Q395" s="33" t="s">
        <v>562</v>
      </c>
      <c r="R395" s="33">
        <f>VLOOKUP(Q395,怪物信息配置表!$A$2:$B$118,2,FALSE)</f>
        <v>1111</v>
      </c>
      <c r="S395" s="33">
        <v>1</v>
      </c>
      <c r="T395" s="110">
        <f>VLOOKUP($C395,怪物并表!$E$7:$N$1000,2+($D395-1)*3,FALSE)*S395*AJ395</f>
        <v>79025.811807747581</v>
      </c>
      <c r="U395" s="110">
        <f>VLOOKUP($C395,怪物并表!$E$7:$N$1000,3+($D395-1)*3,FALSE)*S395*AK395</f>
        <v>2030.4430937646948</v>
      </c>
      <c r="V395" s="110">
        <f>VLOOKUP($C395,怪物并表!$E$7:$N$1000,4+($D395-1)*3,FALSE)*S395*AL395</f>
        <v>1040.5108269062209</v>
      </c>
      <c r="W395" s="33"/>
      <c r="X395" s="33"/>
      <c r="Y395" s="49">
        <f>VLOOKUP($C395,怪物并表!$E$7:$P$1000,12,FALSE)</f>
        <v>0</v>
      </c>
      <c r="Z395" s="49">
        <f>VLOOKUP($C395,怪物并表!$E$7:$P$1000,11,FALSE)*S395</f>
        <v>2204.8960000000002</v>
      </c>
      <c r="AA395" s="33"/>
      <c r="AB395" s="33"/>
      <c r="AC395" s="33"/>
      <c r="AD395" s="33">
        <f t="shared" si="53"/>
        <v>1.5</v>
      </c>
      <c r="AE395" s="2">
        <f t="shared" si="52"/>
        <v>230</v>
      </c>
      <c r="AF395" s="2" t="str">
        <f>IF(ISBLANK(AM395),IF(O395=6,"",IF(O395=1,VLOOKUP(R395,怪物信息配置表!B:H,5,FALSE),IF(O395=2,VLOOKUP(R395,怪物信息配置表!B:H,6,FALSE),IF(OR(O395=3,O395=5),VLOOKUP(R395,怪物信息配置表!B:H,7,FALSE),"")))),AM395)</f>
        <v>1111_XMH_BOSS</v>
      </c>
      <c r="AG395" s="2"/>
      <c r="AH395" s="15">
        <f>SUMPRODUCT(T395:V395,$AN$3:$AP$3)+ROUNDDOWN(VLOOKUP(P395,CHOOSE({1,2},'[1]消耗&amp;价值&amp;分析'!$C$7:$C$106,'[1]消耗&amp;价值&amp;分析'!$AS$7:$AS$106),2,FALSE)*0.6,0)</f>
        <v>7213.9863929808189</v>
      </c>
      <c r="AJ395" s="80">
        <v>1</v>
      </c>
      <c r="AK395" s="80">
        <v>1</v>
      </c>
      <c r="AL395" s="80">
        <v>1</v>
      </c>
    </row>
    <row r="396" spans="1:38">
      <c r="A396" s="33" t="str">
        <f>怪物并表!$R$8</f>
        <v>精英副本</v>
      </c>
      <c r="B396" s="38">
        <v>1</v>
      </c>
      <c r="C396" s="33">
        <f t="shared" si="45"/>
        <v>3203</v>
      </c>
      <c r="D396" s="33">
        <v>2</v>
      </c>
      <c r="E396" s="33">
        <f>VLOOKUP(A396,怪物并表!$R$7:$S$14,2,FALSE)</f>
        <v>2</v>
      </c>
      <c r="F396" s="38">
        <v>3</v>
      </c>
      <c r="G396" s="38">
        <v>3</v>
      </c>
      <c r="H396" s="38">
        <v>0</v>
      </c>
      <c r="I396" s="33">
        <f t="shared" si="49"/>
        <v>233001</v>
      </c>
      <c r="J396" s="33" t="s">
        <v>225</v>
      </c>
      <c r="K396" s="33"/>
      <c r="L396" s="33">
        <v>0</v>
      </c>
      <c r="M396" s="33">
        <v>1</v>
      </c>
      <c r="N396" s="33"/>
      <c r="O396" s="33">
        <v>1</v>
      </c>
      <c r="P396" s="33">
        <f>VLOOKUP($C396,CHOOSE({1,2},怪物并表!$E$7:$E$1000,怪物并表!$D$7:$D$1000),2,FALSE)</f>
        <v>33</v>
      </c>
      <c r="Q396" s="33" t="s">
        <v>14</v>
      </c>
      <c r="R396" s="33">
        <f>VLOOKUP(Q396,怪物信息配置表!$A$2:$B$118,2,FALSE)</f>
        <v>1010</v>
      </c>
      <c r="S396" s="33">
        <v>1</v>
      </c>
      <c r="T396" s="110">
        <f>VLOOKUP($C396,怪物并表!$E$7:$N$1000,2+($D396-1)*3,FALSE)*S396*AJ396</f>
        <v>28764.899398941288</v>
      </c>
      <c r="U396" s="110">
        <f>VLOOKUP($C396,怪物并表!$E$7:$N$1000,3+($D396-1)*3,FALSE)*S396*AK396</f>
        <v>1931.6776190188475</v>
      </c>
      <c r="V396" s="110">
        <f>VLOOKUP($C396,怪物并表!$E$7:$N$1000,4+($D396-1)*3,FALSE)*S396*AL396</f>
        <v>728.49128819598741</v>
      </c>
      <c r="W396" s="33"/>
      <c r="X396" s="33"/>
      <c r="Y396" s="49">
        <f>VLOOKUP($C396,怪物并表!$E$7:$P$1000,12,FALSE)</f>
        <v>0</v>
      </c>
      <c r="Z396" s="49">
        <f>VLOOKUP($C396,怪物并表!$E$7:$P$1000,11,FALSE)*S396</f>
        <v>2263.1239999999998</v>
      </c>
      <c r="AA396" s="33"/>
      <c r="AB396" s="33"/>
      <c r="AC396" s="33"/>
      <c r="AD396" s="33">
        <f t="shared" si="53"/>
        <v>0.8</v>
      </c>
      <c r="AE396" s="2">
        <f t="shared" si="52"/>
        <v>686.5</v>
      </c>
      <c r="AF396" s="2" t="str">
        <f>IF(ISBLANK(AM396),IF(O396=6,"",IF(O396=1,VLOOKUP(R396,怪物信息配置表!B:H,5,FALSE),IF(O396=2,VLOOKUP(R396,怪物信息配置表!B:H,6,FALSE),IF(OR(O396=3,O396=5),VLOOKUP(R396,怪物信息配置表!B:H,7,FALSE),"")))),AM396)</f>
        <v>ai_monster</v>
      </c>
      <c r="AG396" s="2"/>
      <c r="AH396" s="15">
        <f>SUMPRODUCT(T396:V396,$AN$3:$AP$3)+ROUNDDOWN(VLOOKUP(P396,CHOOSE({1,2},'[1]消耗&amp;价值&amp;分析'!$C$7:$C$106,'[1]消耗&amp;价值&amp;分析'!$AS$7:$AS$106),2,FALSE)*0.6,0)</f>
        <v>4855.7648831724864</v>
      </c>
      <c r="AJ396" s="80">
        <v>1</v>
      </c>
      <c r="AK396" s="80">
        <v>1</v>
      </c>
      <c r="AL396" s="80">
        <v>1</v>
      </c>
    </row>
    <row r="397" spans="1:38">
      <c r="A397" s="33" t="str">
        <f>怪物并表!$R$8</f>
        <v>精英副本</v>
      </c>
      <c r="B397" s="38">
        <v>2</v>
      </c>
      <c r="C397" s="33">
        <f t="shared" si="45"/>
        <v>3203</v>
      </c>
      <c r="D397" s="33">
        <v>2</v>
      </c>
      <c r="E397" s="33">
        <f>VLOOKUP(A397,怪物并表!$R$7:$S$14,2,FALSE)</f>
        <v>2</v>
      </c>
      <c r="F397" s="38">
        <v>3</v>
      </c>
      <c r="G397" s="38">
        <v>3</v>
      </c>
      <c r="H397" s="38">
        <v>0</v>
      </c>
      <c r="I397" s="33">
        <f t="shared" si="49"/>
        <v>233002</v>
      </c>
      <c r="J397" s="33" t="s">
        <v>226</v>
      </c>
      <c r="K397" s="33"/>
      <c r="L397" s="33">
        <v>0</v>
      </c>
      <c r="M397" s="33">
        <v>1</v>
      </c>
      <c r="N397" s="33"/>
      <c r="O397" s="33">
        <v>1</v>
      </c>
      <c r="P397" s="33">
        <f>VLOOKUP($C397,CHOOSE({1,2},怪物并表!$E$7:$E$1000,怪物并表!$D$7:$D$1000),2,FALSE)</f>
        <v>33</v>
      </c>
      <c r="Q397" s="33" t="s">
        <v>9</v>
      </c>
      <c r="R397" s="33">
        <f>VLOOKUP(Q397,怪物信息配置表!$A$2:$B$118,2,FALSE)</f>
        <v>1003</v>
      </c>
      <c r="S397" s="33">
        <v>1</v>
      </c>
      <c r="T397" s="110">
        <f>VLOOKUP($C397,怪物并表!$E$7:$N$1000,2+($D397-1)*3,FALSE)*S397*AJ397</f>
        <v>28764.899398941288</v>
      </c>
      <c r="U397" s="110">
        <f>VLOOKUP($C397,怪物并表!$E$7:$N$1000,3+($D397-1)*3,FALSE)*S397*AK397</f>
        <v>1931.6776190188475</v>
      </c>
      <c r="V397" s="110">
        <f>VLOOKUP($C397,怪物并表!$E$7:$N$1000,4+($D397-1)*3,FALSE)*S397*AL397</f>
        <v>728.49128819598741</v>
      </c>
      <c r="W397" s="33"/>
      <c r="X397" s="33"/>
      <c r="Y397" s="49">
        <f>VLOOKUP($C397,怪物并表!$E$7:$P$1000,12,FALSE)</f>
        <v>0</v>
      </c>
      <c r="Z397" s="49">
        <f>VLOOKUP($C397,怪物并表!$E$7:$P$1000,11,FALSE)*S397</f>
        <v>2263.1239999999998</v>
      </c>
      <c r="AA397" s="33"/>
      <c r="AB397" s="33"/>
      <c r="AC397" s="33"/>
      <c r="AD397" s="33">
        <f t="shared" si="53"/>
        <v>0.8</v>
      </c>
      <c r="AE397" s="2">
        <f t="shared" si="52"/>
        <v>686.5</v>
      </c>
      <c r="AF397" s="2" t="str">
        <f>IF(ISBLANK(AM397),IF(O397=6,"",IF(O397=1,VLOOKUP(R397,怪物信息配置表!B:H,5,FALSE),IF(O397=2,VLOOKUP(R397,怪物信息配置表!B:H,6,FALSE),IF(OR(O397=3,O397=5),VLOOKUP(R397,怪物信息配置表!B:H,7,FALSE),"")))),AM397)</f>
        <v>ai_monster_02</v>
      </c>
      <c r="AG397" s="2"/>
      <c r="AH397" s="15">
        <f>SUMPRODUCT(T397:V397,$AN$3:$AP$3)+ROUNDDOWN(VLOOKUP(P397,CHOOSE({1,2},'[1]消耗&amp;价值&amp;分析'!$C$7:$C$106,'[1]消耗&amp;价值&amp;分析'!$AS$7:$AS$106),2,FALSE)*0.6,0)</f>
        <v>4855.7648831724864</v>
      </c>
      <c r="AJ397" s="80">
        <v>1</v>
      </c>
      <c r="AK397" s="80">
        <v>1</v>
      </c>
      <c r="AL397" s="80">
        <v>1</v>
      </c>
    </row>
    <row r="398" spans="1:38">
      <c r="A398" s="33" t="str">
        <f>怪物并表!$R$8</f>
        <v>精英副本</v>
      </c>
      <c r="B398" s="38">
        <v>3</v>
      </c>
      <c r="C398" s="33">
        <f t="shared" si="45"/>
        <v>3203</v>
      </c>
      <c r="D398" s="33">
        <v>2</v>
      </c>
      <c r="E398" s="33">
        <f>VLOOKUP(A398,怪物并表!$R$7:$S$14,2,FALSE)</f>
        <v>2</v>
      </c>
      <c r="F398" s="38">
        <v>3</v>
      </c>
      <c r="G398" s="38">
        <v>3</v>
      </c>
      <c r="H398" s="38">
        <v>0</v>
      </c>
      <c r="I398" s="33">
        <f t="shared" si="49"/>
        <v>233003</v>
      </c>
      <c r="J398" s="33" t="s">
        <v>463</v>
      </c>
      <c r="K398" s="33"/>
      <c r="L398" s="33">
        <v>0</v>
      </c>
      <c r="M398" s="33">
        <v>1</v>
      </c>
      <c r="N398" s="33"/>
      <c r="O398" s="33">
        <v>1</v>
      </c>
      <c r="P398" s="33">
        <f>VLOOKUP($C398,CHOOSE({1,2},怪物并表!$E$7:$E$1000,怪物并表!$D$7:$D$1000),2,FALSE)</f>
        <v>33</v>
      </c>
      <c r="Q398" s="33" t="s">
        <v>17</v>
      </c>
      <c r="R398" s="33">
        <f>VLOOKUP(Q398,怪物信息配置表!$A$2:$B$118,2,FALSE)</f>
        <v>1005</v>
      </c>
      <c r="S398" s="33">
        <v>1</v>
      </c>
      <c r="T398" s="110">
        <f>VLOOKUP($C398,怪物并表!$E$7:$N$1000,2+($D398-1)*3,FALSE)*S398*AJ398</f>
        <v>28764.899398941288</v>
      </c>
      <c r="U398" s="110">
        <f>VLOOKUP($C398,怪物并表!$E$7:$N$1000,3+($D398-1)*3,FALSE)*S398*AK398</f>
        <v>1931.6776190188475</v>
      </c>
      <c r="V398" s="110">
        <f>VLOOKUP($C398,怪物并表!$E$7:$N$1000,4+($D398-1)*3,FALSE)*S398*AL398</f>
        <v>728.49128819598741</v>
      </c>
      <c r="W398" s="33"/>
      <c r="X398" s="33"/>
      <c r="Y398" s="49">
        <f>VLOOKUP($C398,怪物并表!$E$7:$P$1000,12,FALSE)</f>
        <v>0</v>
      </c>
      <c r="Z398" s="49">
        <f>VLOOKUP($C398,怪物并表!$E$7:$P$1000,11,FALSE)*S398</f>
        <v>2263.1239999999998</v>
      </c>
      <c r="AA398" s="33"/>
      <c r="AB398" s="33"/>
      <c r="AC398" s="33"/>
      <c r="AD398" s="33">
        <f t="shared" si="53"/>
        <v>0.8</v>
      </c>
      <c r="AE398" s="2">
        <f t="shared" si="52"/>
        <v>686.5</v>
      </c>
      <c r="AF398" s="2" t="str">
        <f>IF(ISBLANK(AM398),IF(O398=6,"",IF(O398=1,VLOOKUP(R398,怪物信息配置表!B:H,5,FALSE),IF(O398=2,VLOOKUP(R398,怪物信息配置表!B:H,6,FALSE),IF(OR(O398=3,O398=5),VLOOKUP(R398,怪物信息配置表!B:H,7,FALSE),"")))),AM398)</f>
        <v>ai_monster_02</v>
      </c>
      <c r="AG398" s="2"/>
      <c r="AH398" s="15">
        <f>SUMPRODUCT(T398:V398,$AN$3:$AP$3)+ROUNDDOWN(VLOOKUP(P398,CHOOSE({1,2},'[1]消耗&amp;价值&amp;分析'!$C$7:$C$106,'[1]消耗&amp;价值&amp;分析'!$AS$7:$AS$106),2,FALSE)*0.6,0)</f>
        <v>4855.7648831724864</v>
      </c>
      <c r="AJ398" s="80">
        <v>1</v>
      </c>
      <c r="AK398" s="80">
        <v>1</v>
      </c>
      <c r="AL398" s="80">
        <v>1</v>
      </c>
    </row>
    <row r="399" spans="1:38">
      <c r="A399" s="33" t="str">
        <f>怪物并表!$R$8</f>
        <v>精英副本</v>
      </c>
      <c r="B399" s="38">
        <v>4</v>
      </c>
      <c r="C399" s="33">
        <f t="shared" si="45"/>
        <v>3203</v>
      </c>
      <c r="D399" s="33">
        <v>3</v>
      </c>
      <c r="E399" s="33">
        <f>VLOOKUP(A399,怪物并表!$R$7:$S$14,2,FALSE)</f>
        <v>2</v>
      </c>
      <c r="F399" s="38">
        <v>3</v>
      </c>
      <c r="G399" s="38">
        <v>3</v>
      </c>
      <c r="H399" s="38">
        <v>0</v>
      </c>
      <c r="I399" s="33">
        <f t="shared" si="49"/>
        <v>233004</v>
      </c>
      <c r="J399" s="33" t="s">
        <v>542</v>
      </c>
      <c r="K399" s="33"/>
      <c r="L399" s="33">
        <v>1</v>
      </c>
      <c r="M399" s="33">
        <v>1.4</v>
      </c>
      <c r="N399" s="33"/>
      <c r="O399" s="33">
        <v>3</v>
      </c>
      <c r="P399" s="33">
        <f>VLOOKUP($C399,CHOOSE({1,2},怪物并表!$E$7:$E$1000,怪物并表!$D$7:$D$1000),2,FALSE)</f>
        <v>33</v>
      </c>
      <c r="Q399" s="33" t="s">
        <v>15</v>
      </c>
      <c r="R399" s="33">
        <f>VLOOKUP(Q399,怪物信息配置表!$A$2:$B$118,2,FALSE)</f>
        <v>1004</v>
      </c>
      <c r="S399" s="33">
        <v>1</v>
      </c>
      <c r="T399" s="110">
        <f>VLOOKUP($C399,怪物并表!$E$7:$N$1000,2+($D399-1)*3,FALSE)*S399*AJ399</f>
        <v>89890.310621691533</v>
      </c>
      <c r="U399" s="110">
        <f>VLOOKUP($C399,怪物并表!$E$7:$N$1000,3+($D399-1)*3,FALSE)*S399*AK399</f>
        <v>2275.7795051132007</v>
      </c>
      <c r="V399" s="110">
        <f>VLOOKUP($C399,怪物并表!$E$7:$N$1000,4+($D399-1)*3,FALSE)*S399*AL399</f>
        <v>1160.1898293491645</v>
      </c>
      <c r="W399" s="33"/>
      <c r="X399" s="33"/>
      <c r="Y399" s="49">
        <f>VLOOKUP($C399,怪物并表!$E$7:$P$1000,12,FALSE)</f>
        <v>0</v>
      </c>
      <c r="Z399" s="49">
        <f>VLOOKUP($C399,怪物并表!$E$7:$P$1000,11,FALSE)*S399</f>
        <v>2263.1239999999998</v>
      </c>
      <c r="AA399" s="33"/>
      <c r="AB399" s="33"/>
      <c r="AC399" s="33"/>
      <c r="AD399" s="33">
        <f t="shared" si="53"/>
        <v>1.5</v>
      </c>
      <c r="AE399" s="2">
        <f t="shared" si="52"/>
        <v>412.1875</v>
      </c>
      <c r="AF399" s="2" t="str">
        <f>IF(ISBLANK(AM399),IF(O399=6,"",IF(O399=1,VLOOKUP(R399,怪物信息配置表!B:H,5,FALSE),IF(O399=2,VLOOKUP(R399,怪物信息配置表!B:H,6,FALSE),IF(OR(O399=3,O399=5),VLOOKUP(R399,怪物信息配置表!B:H,7,FALSE),"")))),AM399)</f>
        <v>1004_pangzi_BOSS</v>
      </c>
      <c r="AG399" s="2"/>
      <c r="AH399" s="15">
        <f>SUMPRODUCT(T399:V399,$AN$3:$AP$3)+ROUNDDOWN(VLOOKUP(P399,CHOOSE({1,2},'[1]消耗&amp;价值&amp;分析'!$C$7:$C$106,'[1]消耗&amp;价值&amp;分析'!$AS$7:$AS$106),2,FALSE)*0.6,0)</f>
        <v>8076.5817593300271</v>
      </c>
      <c r="AJ399" s="80">
        <v>1</v>
      </c>
      <c r="AK399" s="80">
        <v>1</v>
      </c>
      <c r="AL399" s="80">
        <v>1</v>
      </c>
    </row>
    <row r="400" spans="1:38">
      <c r="A400" s="33" t="str">
        <f>怪物并表!$R$8</f>
        <v>精英副本</v>
      </c>
      <c r="B400" s="38">
        <v>1</v>
      </c>
      <c r="C400" s="33">
        <f t="shared" si="45"/>
        <v>3204</v>
      </c>
      <c r="D400" s="33">
        <v>1</v>
      </c>
      <c r="E400" s="33">
        <f>VLOOKUP(A400,怪物并表!$R$7:$S$14,2,FALSE)</f>
        <v>2</v>
      </c>
      <c r="F400" s="38">
        <v>3</v>
      </c>
      <c r="G400" s="38">
        <v>4</v>
      </c>
      <c r="H400" s="38">
        <v>0</v>
      </c>
      <c r="I400" s="33">
        <f t="shared" si="49"/>
        <v>234001</v>
      </c>
      <c r="J400" s="33" t="s">
        <v>464</v>
      </c>
      <c r="K400" s="33"/>
      <c r="L400" s="33">
        <v>0</v>
      </c>
      <c r="M400" s="33">
        <v>1</v>
      </c>
      <c r="N400" s="33"/>
      <c r="O400" s="33">
        <v>1</v>
      </c>
      <c r="P400" s="33">
        <f>VLOOKUP($C400,CHOOSE({1,2},怪物并表!$E$7:$E$1000,怪物并表!$D$7:$D$1000),2,FALSE)</f>
        <v>34</v>
      </c>
      <c r="Q400" s="33" t="s">
        <v>367</v>
      </c>
      <c r="R400" s="33">
        <f>VLOOKUP(Q400,怪物信息配置表!$A$2:$B$118,2,FALSE)</f>
        <v>1008</v>
      </c>
      <c r="S400" s="33">
        <v>1</v>
      </c>
      <c r="T400" s="110">
        <f>VLOOKUP($C400,怪物并表!$E$7:$N$1000,2+($D400-1)*3,FALSE)*S400*AJ400</f>
        <v>40732.341234963795</v>
      </c>
      <c r="U400" s="110">
        <f>VLOOKUP($C400,怪物并表!$E$7:$N$1000,3+($D400-1)*3,FALSE)*S400*AK400</f>
        <v>2282.309792861372</v>
      </c>
      <c r="V400" s="110">
        <f>VLOOKUP($C400,怪物并表!$E$7:$N$1000,4+($D400-1)*3,FALSE)*S400*AL400</f>
        <v>1057.7265711290975</v>
      </c>
      <c r="W400" s="33"/>
      <c r="X400" s="33"/>
      <c r="Y400" s="49">
        <f>VLOOKUP($C400,怪物并表!$E$7:$P$1000,12,FALSE)</f>
        <v>0</v>
      </c>
      <c r="Z400" s="49">
        <f>VLOOKUP($C400,怪物并表!$E$7:$P$1000,11,FALSE)*S400</f>
        <v>2321.3520000000003</v>
      </c>
      <c r="AA400" s="33"/>
      <c r="AB400" s="33"/>
      <c r="AC400" s="33"/>
      <c r="AD400" s="33">
        <f t="shared" si="53"/>
        <v>1</v>
      </c>
      <c r="AE400" s="2">
        <f t="shared" si="52"/>
        <v>596.25</v>
      </c>
      <c r="AF400" s="2" t="str">
        <f>IF(ISBLANK(AM400),IF(O400=6,"",IF(O400=1,VLOOKUP(R400,怪物信息配置表!B:H,5,FALSE),IF(O400=2,VLOOKUP(R400,怪物信息配置表!B:H,6,FALSE),IF(OR(O400=3,O400=5),VLOOKUP(R400,怪物信息配置表!B:H,7,FALSE),"")))),AM400)</f>
        <v>ai_monster</v>
      </c>
      <c r="AG400" s="2"/>
      <c r="AH400" s="15">
        <f>SUMPRODUCT(T400:V400,$AN$3:$AP$3)+ROUNDDOWN(VLOOKUP(P400,CHOOSE({1,2},'[1]消耗&amp;价值&amp;分析'!$C$7:$C$106,'[1]消耗&amp;价值&amp;分析'!$AS$7:$AS$106),2,FALSE)*0.6,0)</f>
        <v>6095.3300133890216</v>
      </c>
      <c r="AJ400" s="80">
        <v>1</v>
      </c>
      <c r="AK400" s="80">
        <v>1</v>
      </c>
      <c r="AL400" s="80">
        <v>1</v>
      </c>
    </row>
    <row r="401" spans="1:38">
      <c r="A401" s="33" t="str">
        <f>怪物并表!$R$8</f>
        <v>精英副本</v>
      </c>
      <c r="B401" s="38">
        <v>2</v>
      </c>
      <c r="C401" s="33">
        <f t="shared" si="45"/>
        <v>3204</v>
      </c>
      <c r="D401" s="33">
        <v>2</v>
      </c>
      <c r="E401" s="33">
        <f>VLOOKUP(A401,怪物并表!$R$7:$S$14,2,FALSE)</f>
        <v>2</v>
      </c>
      <c r="F401" s="38">
        <v>3</v>
      </c>
      <c r="G401" s="38">
        <v>4</v>
      </c>
      <c r="H401" s="38">
        <v>0</v>
      </c>
      <c r="I401" s="33">
        <f t="shared" si="49"/>
        <v>234002</v>
      </c>
      <c r="J401" s="33" t="s">
        <v>471</v>
      </c>
      <c r="K401" s="33"/>
      <c r="L401" s="33">
        <v>0</v>
      </c>
      <c r="M401" s="33">
        <v>1</v>
      </c>
      <c r="N401" s="33"/>
      <c r="O401" s="33">
        <v>1</v>
      </c>
      <c r="P401" s="33">
        <f>VLOOKUP($C401,CHOOSE({1,2},怪物并表!$E$7:$E$1000,怪物并表!$D$7:$D$1000),2,FALSE)</f>
        <v>34</v>
      </c>
      <c r="Q401" s="33" t="s">
        <v>17</v>
      </c>
      <c r="R401" s="33">
        <f>VLOOKUP(Q401,怪物信息配置表!$A$2:$B$118,2,FALSE)</f>
        <v>1005</v>
      </c>
      <c r="S401" s="33">
        <v>1</v>
      </c>
      <c r="T401" s="110">
        <f>VLOOKUP($C401,怪物并表!$E$7:$N$1000,2+($D401-1)*3,FALSE)*S401*AJ401</f>
        <v>32585.872987971037</v>
      </c>
      <c r="U401" s="110">
        <f>VLOOKUP($C401,怪物并表!$E$7:$N$1000,3+($D401-1)*3,FALSE)*S401*AK401</f>
        <v>2152.4719829825926</v>
      </c>
      <c r="V401" s="110">
        <f>VLOOKUP($C401,怪物并表!$E$7:$N$1000,4+($D401-1)*3,FALSE)*S401*AL401</f>
        <v>826.50262302180636</v>
      </c>
      <c r="W401" s="33"/>
      <c r="X401" s="33"/>
      <c r="Y401" s="49">
        <f>VLOOKUP($C401,怪物并表!$E$7:$P$1000,12,FALSE)</f>
        <v>0</v>
      </c>
      <c r="Z401" s="49">
        <f>VLOOKUP($C401,怪物并表!$E$7:$P$1000,11,FALSE)*S401</f>
        <v>2321.3520000000003</v>
      </c>
      <c r="AA401" s="33"/>
      <c r="AB401" s="33"/>
      <c r="AC401" s="33"/>
      <c r="AD401" s="33">
        <f t="shared" si="53"/>
        <v>0.8</v>
      </c>
      <c r="AE401" s="2">
        <f t="shared" si="52"/>
        <v>677</v>
      </c>
      <c r="AF401" s="2" t="str">
        <f>IF(ISBLANK(AM401),IF(O401=6,"",IF(O401=1,VLOOKUP(R401,怪物信息配置表!B:H,5,FALSE),IF(O401=2,VLOOKUP(R401,怪物信息配置表!B:H,6,FALSE),IF(OR(O401=3,O401=5),VLOOKUP(R401,怪物信息配置表!B:H,7,FALSE),"")))),AM401)</f>
        <v>ai_monster_02</v>
      </c>
      <c r="AG401" s="2"/>
      <c r="AH401" s="15">
        <f>SUMPRODUCT(T401:V401,$AN$3:$AP$3)+ROUNDDOWN(VLOOKUP(P401,CHOOSE({1,2},'[1]消耗&amp;价值&amp;分析'!$C$7:$C$106,'[1]消耗&amp;价值&amp;分析'!$AS$7:$AS$106),2,FALSE)*0.6,0)</f>
        <v>5408.4095255232405</v>
      </c>
      <c r="AJ401" s="80">
        <v>1</v>
      </c>
      <c r="AK401" s="80">
        <v>1</v>
      </c>
      <c r="AL401" s="80">
        <v>1</v>
      </c>
    </row>
    <row r="402" spans="1:38">
      <c r="A402" s="33" t="str">
        <f>怪物并表!$R$8</f>
        <v>精英副本</v>
      </c>
      <c r="B402" s="38">
        <v>3</v>
      </c>
      <c r="C402" s="33">
        <f t="shared" si="45"/>
        <v>3204</v>
      </c>
      <c r="D402" s="33">
        <v>1</v>
      </c>
      <c r="E402" s="33">
        <f>VLOOKUP(A402,怪物并表!$R$7:$S$14,2,FALSE)</f>
        <v>2</v>
      </c>
      <c r="F402" s="38">
        <v>3</v>
      </c>
      <c r="G402" s="38">
        <v>4</v>
      </c>
      <c r="H402" s="38">
        <v>0</v>
      </c>
      <c r="I402" s="33">
        <f t="shared" si="49"/>
        <v>234003</v>
      </c>
      <c r="J402" s="33" t="s">
        <v>13</v>
      </c>
      <c r="K402" s="33"/>
      <c r="L402" s="33">
        <v>0</v>
      </c>
      <c r="M402" s="33">
        <v>1</v>
      </c>
      <c r="N402" s="33"/>
      <c r="O402" s="33">
        <v>1</v>
      </c>
      <c r="P402" s="33">
        <f>VLOOKUP($C402,CHOOSE({1,2},怪物并表!$E$7:$E$1000,怪物并表!$D$7:$D$1000),2,FALSE)</f>
        <v>34</v>
      </c>
      <c r="Q402" s="33" t="s">
        <v>13</v>
      </c>
      <c r="R402" s="33">
        <f>VLOOKUP(Q402,怪物信息配置表!$A$2:$B$118,2,FALSE)</f>
        <v>1007</v>
      </c>
      <c r="S402" s="33">
        <v>1</v>
      </c>
      <c r="T402" s="110">
        <f>VLOOKUP($C402,怪物并表!$E$7:$N$1000,2+($D402-1)*3,FALSE)*S402*AJ402</f>
        <v>40732.341234963795</v>
      </c>
      <c r="U402" s="110">
        <f>VLOOKUP($C402,怪物并表!$E$7:$N$1000,3+($D402-1)*3,FALSE)*S402*AK402</f>
        <v>2282.309792861372</v>
      </c>
      <c r="V402" s="110">
        <f>VLOOKUP($C402,怪物并表!$E$7:$N$1000,4+($D402-1)*3,FALSE)*S402*AL402</f>
        <v>1057.7265711290975</v>
      </c>
      <c r="W402" s="33"/>
      <c r="X402" s="33"/>
      <c r="Y402" s="49">
        <f>VLOOKUP($C402,怪物并表!$E$7:$P$1000,12,FALSE)</f>
        <v>0</v>
      </c>
      <c r="Z402" s="49">
        <f>VLOOKUP($C402,怪物并表!$E$7:$P$1000,11,FALSE)*S402</f>
        <v>2321.3520000000003</v>
      </c>
      <c r="AA402" s="33"/>
      <c r="AB402" s="33"/>
      <c r="AC402" s="33"/>
      <c r="AD402" s="33">
        <f t="shared" si="53"/>
        <v>1</v>
      </c>
      <c r="AE402" s="2">
        <f t="shared" si="52"/>
        <v>596.25</v>
      </c>
      <c r="AF402" s="2" t="str">
        <f>IF(ISBLANK(AM402),IF(O402=6,"",IF(O402=1,VLOOKUP(R402,怪物信息配置表!B:H,5,FALSE),IF(O402=2,VLOOKUP(R402,怪物信息配置表!B:H,6,FALSE),IF(OR(O402=3,O402=5),VLOOKUP(R402,怪物信息配置表!B:H,7,FALSE),"")))),AM402)</f>
        <v>ai_monster_03</v>
      </c>
      <c r="AG402" s="2"/>
      <c r="AH402" s="15">
        <f>SUMPRODUCT(T402:V402,$AN$3:$AP$3)+ROUNDDOWN(VLOOKUP(P402,CHOOSE({1,2},'[1]消耗&amp;价值&amp;分析'!$C$7:$C$106,'[1]消耗&amp;价值&amp;分析'!$AS$7:$AS$106),2,FALSE)*0.6,0)</f>
        <v>6095.3300133890216</v>
      </c>
      <c r="AJ402" s="80">
        <v>1</v>
      </c>
      <c r="AK402" s="80">
        <v>1</v>
      </c>
      <c r="AL402" s="80">
        <v>1</v>
      </c>
    </row>
    <row r="403" spans="1:38">
      <c r="A403" s="33" t="str">
        <f>怪物并表!$R$8</f>
        <v>精英副本</v>
      </c>
      <c r="B403" s="38">
        <v>4</v>
      </c>
      <c r="C403" s="33">
        <f t="shared" si="45"/>
        <v>3204</v>
      </c>
      <c r="D403" s="33">
        <v>3</v>
      </c>
      <c r="E403" s="33">
        <f>VLOOKUP(A403,怪物并表!$R$7:$S$14,2,FALSE)</f>
        <v>2</v>
      </c>
      <c r="F403" s="38">
        <v>3</v>
      </c>
      <c r="G403" s="38">
        <v>4</v>
      </c>
      <c r="H403" s="38">
        <v>0</v>
      </c>
      <c r="I403" s="33">
        <f t="shared" si="49"/>
        <v>234004</v>
      </c>
      <c r="J403" s="33" t="s">
        <v>709</v>
      </c>
      <c r="K403" s="33"/>
      <c r="L403" s="33">
        <v>1</v>
      </c>
      <c r="M403" s="33">
        <v>1.2</v>
      </c>
      <c r="N403" s="33"/>
      <c r="O403" s="33">
        <v>3</v>
      </c>
      <c r="P403" s="33">
        <f>VLOOKUP($C403,CHOOSE({1,2},怪物并表!$E$7:$E$1000,怪物并表!$D$7:$D$1000),2,FALSE)</f>
        <v>34</v>
      </c>
      <c r="Q403" s="33" t="s">
        <v>18</v>
      </c>
      <c r="R403" s="33">
        <f>VLOOKUP(Q403,怪物信息配置表!$A$2:$B$118,2,FALSE)</f>
        <v>1006</v>
      </c>
      <c r="S403" s="33">
        <v>1</v>
      </c>
      <c r="T403" s="110">
        <f>VLOOKUP($C403,怪物并表!$E$7:$N$1000,2+($D403-1)*3,FALSE)*S403*AJ403</f>
        <v>101830.85308740949</v>
      </c>
      <c r="U403" s="110">
        <f>VLOOKUP($C403,怪物并表!$E$7:$N$1000,3+($D403-1)*3,FALSE)*S403*AK403</f>
        <v>2541.9854126189302</v>
      </c>
      <c r="V403" s="110">
        <f>VLOOKUP($C403,怪物并表!$E$7:$N$1000,4+($D403-1)*3,FALSE)*S403*AL403</f>
        <v>1288.9505192363886</v>
      </c>
      <c r="W403" s="33"/>
      <c r="X403" s="33"/>
      <c r="Y403" s="49">
        <f>VLOOKUP($C403,怪物并表!$E$7:$P$1000,12,FALSE)</f>
        <v>0</v>
      </c>
      <c r="Z403" s="49">
        <f>VLOOKUP($C403,怪物并表!$E$7:$P$1000,11,FALSE)*S403</f>
        <v>2321.3520000000003</v>
      </c>
      <c r="AA403" s="33"/>
      <c r="AB403" s="33"/>
      <c r="AC403" s="33"/>
      <c r="AD403" s="33">
        <f t="shared" si="53"/>
        <v>1.5</v>
      </c>
      <c r="AE403" s="2">
        <f t="shared" si="52"/>
        <v>394.375</v>
      </c>
      <c r="AF403" s="2" t="str">
        <f>IF(ISBLANK(AM403),IF(O403=6,"",IF(O403=1,VLOOKUP(R403,怪物信息配置表!B:H,5,FALSE),IF(O403=2,VLOOKUP(R403,怪物信息配置表!B:H,6,FALSE),IF(OR(O403=3,O403=5),VLOOKUP(R403,怪物信息配置表!B:H,7,FALSE),"")))),AM403)</f>
        <v>1006_jingcha_BOSS</v>
      </c>
      <c r="AG403" s="2"/>
      <c r="AH403" s="15">
        <f>SUMPRODUCT(T403:V403,$AN$3:$AP$3)+ROUNDDOWN(VLOOKUP(P403,CHOOSE({1,2},'[1]消耗&amp;价值&amp;分析'!$C$7:$C$106,'[1]消耗&amp;价值&amp;分析'!$AS$7:$AS$106),2,FALSE)*0.6,0)</f>
        <v>9030.1700553516985</v>
      </c>
      <c r="AJ403" s="80">
        <v>1</v>
      </c>
      <c r="AK403" s="80">
        <v>1</v>
      </c>
      <c r="AL403" s="80">
        <v>1</v>
      </c>
    </row>
    <row r="404" spans="1:38">
      <c r="A404" s="33" t="str">
        <f>怪物并表!$R$8</f>
        <v>精英副本</v>
      </c>
      <c r="B404" s="38">
        <v>1</v>
      </c>
      <c r="C404" s="33">
        <f t="shared" si="45"/>
        <v>3205</v>
      </c>
      <c r="D404" s="33">
        <v>1</v>
      </c>
      <c r="E404" s="33">
        <f>VLOOKUP(A404,怪物并表!$R$7:$S$14,2,FALSE)</f>
        <v>2</v>
      </c>
      <c r="F404" s="38">
        <v>3</v>
      </c>
      <c r="G404" s="38">
        <v>5</v>
      </c>
      <c r="H404" s="38">
        <v>0</v>
      </c>
      <c r="I404" s="33">
        <f t="shared" si="49"/>
        <v>235001</v>
      </c>
      <c r="J404" s="33" t="s">
        <v>472</v>
      </c>
      <c r="K404" s="33"/>
      <c r="L404" s="33">
        <v>0</v>
      </c>
      <c r="M404" s="33">
        <v>1</v>
      </c>
      <c r="N404" s="33"/>
      <c r="O404" s="33">
        <v>1</v>
      </c>
      <c r="P404" s="33">
        <f>VLOOKUP($C404,CHOOSE({1,2},怪物并表!$E$7:$E$1000,怪物并表!$D$7:$D$1000),2,FALSE)</f>
        <v>35</v>
      </c>
      <c r="Q404" s="33" t="s">
        <v>10</v>
      </c>
      <c r="R404" s="33">
        <f>VLOOKUP(Q404,怪物信息配置表!$A$2:$B$118,2,FALSE)</f>
        <v>1001</v>
      </c>
      <c r="S404" s="33">
        <v>1</v>
      </c>
      <c r="T404" s="110">
        <f>VLOOKUP($C404,怪物并表!$E$7:$N$1000,2+($D404-1)*3,FALSE)*S404*AJ404</f>
        <v>45967.753609599749</v>
      </c>
      <c r="U404" s="110">
        <f>VLOOKUP($C404,怪物并表!$E$7:$N$1000,3+($D404-1)*3,FALSE)*S404*AK404</f>
        <v>2537.4263958723177</v>
      </c>
      <c r="V404" s="110">
        <f>VLOOKUP($C404,怪物并表!$E$7:$N$1000,4+($D404-1)*3,FALSE)*S404*AL404</f>
        <v>1180.3869286956526</v>
      </c>
      <c r="W404" s="33"/>
      <c r="X404" s="33"/>
      <c r="Y404" s="49">
        <f>VLOOKUP($C404,怪物并表!$E$7:$P$1000,12,FALSE)</f>
        <v>0</v>
      </c>
      <c r="Z404" s="49">
        <f>VLOOKUP($C404,怪物并表!$E$7:$P$1000,11,FALSE)*S404</f>
        <v>2379.58</v>
      </c>
      <c r="AA404" s="33"/>
      <c r="AB404" s="33"/>
      <c r="AC404" s="33"/>
      <c r="AD404" s="33">
        <f t="shared" si="53"/>
        <v>1</v>
      </c>
      <c r="AE404" s="2">
        <f t="shared" si="52"/>
        <v>584.375</v>
      </c>
      <c r="AF404" s="2" t="str">
        <f>IF(ISBLANK(AM404),IF(O404=6,"",IF(O404=1,VLOOKUP(R404,怪物信息配置表!B:H,5,FALSE),IF(O404=2,VLOOKUP(R404,怪物信息配置表!B:H,6,FALSE),IF(OR(O404=3,O404=5),VLOOKUP(R404,怪物信息配置表!B:H,7,FALSE),"")))),AM404)</f>
        <v>ai_monster</v>
      </c>
      <c r="AG404" s="2"/>
      <c r="AH404" s="15">
        <f>SUMPRODUCT(T404:V404,$AN$3:$AP$3)+ROUNDDOWN(VLOOKUP(P404,CHOOSE({1,2},'[1]消耗&amp;价值&amp;分析'!$C$7:$C$106,'[1]消耗&amp;价值&amp;分析'!$AS$7:$AS$106),2,FALSE)*0.6,0)</f>
        <v>6760.5234689519602</v>
      </c>
      <c r="AJ404" s="80">
        <v>1</v>
      </c>
      <c r="AK404" s="80">
        <v>1</v>
      </c>
      <c r="AL404" s="80">
        <v>1</v>
      </c>
    </row>
    <row r="405" spans="1:38">
      <c r="A405" s="33" t="str">
        <f>怪物并表!$R$8</f>
        <v>精英副本</v>
      </c>
      <c r="B405" s="38">
        <v>2</v>
      </c>
      <c r="C405" s="33">
        <f t="shared" si="45"/>
        <v>3205</v>
      </c>
      <c r="D405" s="33">
        <v>2</v>
      </c>
      <c r="E405" s="33">
        <f>VLOOKUP(A405,怪物并表!$R$7:$S$14,2,FALSE)</f>
        <v>2</v>
      </c>
      <c r="F405" s="38">
        <v>3</v>
      </c>
      <c r="G405" s="38">
        <v>5</v>
      </c>
      <c r="H405" s="38">
        <v>0</v>
      </c>
      <c r="I405" s="33">
        <f t="shared" si="49"/>
        <v>235002</v>
      </c>
      <c r="J405" s="33" t="s">
        <v>36</v>
      </c>
      <c r="K405" s="33"/>
      <c r="L405" s="33">
        <v>0</v>
      </c>
      <c r="M405" s="33">
        <v>1</v>
      </c>
      <c r="N405" s="33"/>
      <c r="O405" s="33">
        <v>1</v>
      </c>
      <c r="P405" s="33">
        <f>VLOOKUP($C405,CHOOSE({1,2},怪物并表!$E$7:$E$1000,怪物并表!$D$7:$D$1000),2,FALSE)</f>
        <v>35</v>
      </c>
      <c r="Q405" s="33" t="s">
        <v>9</v>
      </c>
      <c r="R405" s="33">
        <f>VLOOKUP(Q405,怪物信息配置表!$A$2:$B$118,2,FALSE)</f>
        <v>1003</v>
      </c>
      <c r="S405" s="33">
        <v>1</v>
      </c>
      <c r="T405" s="110">
        <f>VLOOKUP($C405,怪物并表!$E$7:$N$1000,2+($D405-1)*3,FALSE)*S405*AJ405</f>
        <v>36774.202887679799</v>
      </c>
      <c r="U405" s="110">
        <f>VLOOKUP($C405,怪物并表!$E$7:$N$1000,3+($D405-1)*3,FALSE)*S405*AK405</f>
        <v>2390.9916588937813</v>
      </c>
      <c r="V405" s="110">
        <f>VLOOKUP($C405,怪物并表!$E$7:$N$1000,4+($D405-1)*3,FALSE)*S405*AL405</f>
        <v>933.57875269565284</v>
      </c>
      <c r="W405" s="33"/>
      <c r="X405" s="33"/>
      <c r="Y405" s="49">
        <f>VLOOKUP($C405,怪物并表!$E$7:$P$1000,12,FALSE)</f>
        <v>0</v>
      </c>
      <c r="Z405" s="49">
        <f>VLOOKUP($C405,怪物并表!$E$7:$P$1000,11,FALSE)*S405</f>
        <v>2379.58</v>
      </c>
      <c r="AA405" s="33"/>
      <c r="AB405" s="33"/>
      <c r="AC405" s="33"/>
      <c r="AD405" s="33">
        <f t="shared" si="53"/>
        <v>0.8</v>
      </c>
      <c r="AE405" s="2">
        <f t="shared" si="52"/>
        <v>667.5</v>
      </c>
      <c r="AF405" s="2" t="str">
        <f>IF(ISBLANK(AM405),IF(O405=6,"",IF(O405=1,VLOOKUP(R405,怪物信息配置表!B:H,5,FALSE),IF(O405=2,VLOOKUP(R405,怪物信息配置表!B:H,6,FALSE),IF(OR(O405=3,O405=5),VLOOKUP(R405,怪物信息配置表!B:H,7,FALSE),"")))),AM405)</f>
        <v>ai_monster_02</v>
      </c>
      <c r="AG405" s="2"/>
      <c r="AH405" s="15">
        <f>SUMPRODUCT(T405:V405,$AN$3:$AP$3)+ROUNDDOWN(VLOOKUP(P405,CHOOSE({1,2},'[1]消耗&amp;价值&amp;分析'!$C$7:$C$106,'[1]消耗&amp;价值&amp;分析'!$AS$7:$AS$106),2,FALSE)*0.6,0)</f>
        <v>5999.5385270966262</v>
      </c>
      <c r="AJ405" s="80">
        <v>1</v>
      </c>
      <c r="AK405" s="80">
        <v>1</v>
      </c>
      <c r="AL405" s="80">
        <v>1</v>
      </c>
    </row>
    <row r="406" spans="1:38">
      <c r="A406" s="33" t="str">
        <f>怪物并表!$R$8</f>
        <v>精英副本</v>
      </c>
      <c r="B406" s="38">
        <v>3</v>
      </c>
      <c r="C406" s="33">
        <f t="shared" si="45"/>
        <v>3205</v>
      </c>
      <c r="D406" s="33">
        <v>1</v>
      </c>
      <c r="E406" s="33">
        <f>VLOOKUP(A406,怪物并表!$R$7:$S$14,2,FALSE)</f>
        <v>2</v>
      </c>
      <c r="F406" s="38">
        <v>3</v>
      </c>
      <c r="G406" s="38">
        <v>5</v>
      </c>
      <c r="H406" s="38">
        <v>0</v>
      </c>
      <c r="I406" s="33">
        <f t="shared" si="49"/>
        <v>235003</v>
      </c>
      <c r="J406" s="33" t="s">
        <v>466</v>
      </c>
      <c r="K406" s="33"/>
      <c r="L406" s="33">
        <v>0</v>
      </c>
      <c r="M406" s="33">
        <v>1</v>
      </c>
      <c r="N406" s="33"/>
      <c r="O406" s="33">
        <v>1</v>
      </c>
      <c r="P406" s="33">
        <f>VLOOKUP($C406,CHOOSE({1,2},怪物并表!$E$7:$E$1000,怪物并表!$D$7:$D$1000),2,FALSE)</f>
        <v>35</v>
      </c>
      <c r="Q406" s="33" t="s">
        <v>14</v>
      </c>
      <c r="R406" s="33">
        <f>VLOOKUP(Q406,怪物信息配置表!$A$2:$B$118,2,FALSE)</f>
        <v>1010</v>
      </c>
      <c r="S406" s="33">
        <v>1</v>
      </c>
      <c r="T406" s="110">
        <f>VLOOKUP($C406,怪物并表!$E$7:$N$1000,2+($D406-1)*3,FALSE)*S406*AJ406</f>
        <v>45967.753609599749</v>
      </c>
      <c r="U406" s="110">
        <f>VLOOKUP($C406,怪物并表!$E$7:$N$1000,3+($D406-1)*3,FALSE)*S406*AK406</f>
        <v>2537.4263958723177</v>
      </c>
      <c r="V406" s="110">
        <f>VLOOKUP($C406,怪物并表!$E$7:$N$1000,4+($D406-1)*3,FALSE)*S406*AL406</f>
        <v>1180.3869286956526</v>
      </c>
      <c r="W406" s="33"/>
      <c r="X406" s="33"/>
      <c r="Y406" s="49">
        <f>VLOOKUP($C406,怪物并表!$E$7:$P$1000,12,FALSE)</f>
        <v>0</v>
      </c>
      <c r="Z406" s="49">
        <f>VLOOKUP($C406,怪物并表!$E$7:$P$1000,11,FALSE)*S406</f>
        <v>2379.58</v>
      </c>
      <c r="AA406" s="33"/>
      <c r="AB406" s="33"/>
      <c r="AC406" s="33"/>
      <c r="AD406" s="33">
        <f t="shared" si="53"/>
        <v>1</v>
      </c>
      <c r="AE406" s="2">
        <f t="shared" si="52"/>
        <v>584.375</v>
      </c>
      <c r="AF406" s="2" t="str">
        <f>IF(ISBLANK(AM406),IF(O406=6,"",IF(O406=1,VLOOKUP(R406,怪物信息配置表!B:H,5,FALSE),IF(O406=2,VLOOKUP(R406,怪物信息配置表!B:H,6,FALSE),IF(OR(O406=3,O406=5),VLOOKUP(R406,怪物信息配置表!B:H,7,FALSE),"")))),AM406)</f>
        <v>ai_monster</v>
      </c>
      <c r="AG406" s="2"/>
      <c r="AH406" s="15">
        <f>SUMPRODUCT(T406:V406,$AN$3:$AP$3)+ROUNDDOWN(VLOOKUP(P406,CHOOSE({1,2},'[1]消耗&amp;价值&amp;分析'!$C$7:$C$106,'[1]消耗&amp;价值&amp;分析'!$AS$7:$AS$106),2,FALSE)*0.6,0)</f>
        <v>6760.5234689519602</v>
      </c>
      <c r="AJ406" s="80">
        <v>1</v>
      </c>
      <c r="AK406" s="80">
        <v>1</v>
      </c>
      <c r="AL406" s="80">
        <v>1</v>
      </c>
    </row>
    <row r="407" spans="1:38">
      <c r="A407" s="33" t="str">
        <f>怪物并表!$R$8</f>
        <v>精英副本</v>
      </c>
      <c r="B407" s="38">
        <v>4</v>
      </c>
      <c r="C407" s="33">
        <f t="shared" si="45"/>
        <v>3205</v>
      </c>
      <c r="D407" s="33">
        <v>3</v>
      </c>
      <c r="E407" s="33">
        <f>VLOOKUP(A407,怪物并表!$R$7:$S$14,2,FALSE)</f>
        <v>2</v>
      </c>
      <c r="F407" s="38">
        <v>3</v>
      </c>
      <c r="G407" s="38">
        <v>5</v>
      </c>
      <c r="H407" s="38">
        <v>0</v>
      </c>
      <c r="I407" s="33">
        <f t="shared" si="49"/>
        <v>235004</v>
      </c>
      <c r="J407" s="33" t="s">
        <v>710</v>
      </c>
      <c r="K407" s="33"/>
      <c r="L407" s="33">
        <v>1</v>
      </c>
      <c r="M407" s="33">
        <v>1.2</v>
      </c>
      <c r="N407" s="33"/>
      <c r="O407" s="33">
        <v>3</v>
      </c>
      <c r="P407" s="33">
        <f>VLOOKUP($C407,CHOOSE({1,2},怪物并表!$E$7:$E$1000,怪物并表!$D$7:$D$1000),2,FALSE)</f>
        <v>35</v>
      </c>
      <c r="Q407" s="33" t="s">
        <v>11</v>
      </c>
      <c r="R407" s="33">
        <f>VLOOKUP(Q407,怪物信息配置表!$A$2:$B$118,2,FALSE)</f>
        <v>1011</v>
      </c>
      <c r="S407" s="33">
        <v>1</v>
      </c>
      <c r="T407" s="110">
        <f>VLOOKUP($C407,怪物并表!$E$7:$N$1000,2+($D407-1)*3,FALSE)*S407*AJ407</f>
        <v>114919.38402399937</v>
      </c>
      <c r="U407" s="110">
        <f>VLOOKUP($C407,怪物并表!$E$7:$N$1000,3+($D407-1)*3,FALSE)*S407*AK407</f>
        <v>2830.2958698293896</v>
      </c>
      <c r="V407" s="110">
        <f>VLOOKUP($C407,怪物并表!$E$7:$N$1000,4+($D407-1)*3,FALSE)*S407*AL407</f>
        <v>1427.1951046956524</v>
      </c>
      <c r="W407" s="33"/>
      <c r="X407" s="33"/>
      <c r="Y407" s="49">
        <f>VLOOKUP($C407,怪物并表!$E$7:$P$1000,12,FALSE)</f>
        <v>0</v>
      </c>
      <c r="Z407" s="49">
        <f>VLOOKUP($C407,怪物并表!$E$7:$P$1000,11,FALSE)*S407</f>
        <v>2379.58</v>
      </c>
      <c r="AA407" s="33"/>
      <c r="AB407" s="33"/>
      <c r="AC407" s="33"/>
      <c r="AD407" s="33">
        <f t="shared" si="53"/>
        <v>1.5</v>
      </c>
      <c r="AE407" s="2">
        <f t="shared" si="52"/>
        <v>376.5625</v>
      </c>
      <c r="AF407" s="2" t="str">
        <f>IF(ISBLANK(AM407),IF(O407=6,"",IF(O407=1,VLOOKUP(R407,怪物信息配置表!B:H,5,FALSE),IF(O407=2,VLOOKUP(R407,怪物信息配置表!B:H,6,FALSE),IF(OR(O407=3,O407=5),VLOOKUP(R407,怪物信息配置表!B:H,7,FALSE),"")))),AM407)</f>
        <v>1011_jichenan_BOSS</v>
      </c>
      <c r="AG407" s="2"/>
      <c r="AH407" s="15">
        <f>SUMPRODUCT(T407:V407,$AN$3:$AP$3)+ROUNDDOWN(VLOOKUP(P407,CHOOSE({1,2},'[1]消耗&amp;价值&amp;分析'!$C$7:$C$106,'[1]消耗&amp;价值&amp;分析'!$AS$7:$AS$106),2,FALSE)*0.6,0)</f>
        <v>10058.266335485017</v>
      </c>
      <c r="AJ407" s="80">
        <v>1</v>
      </c>
      <c r="AK407" s="80">
        <v>1</v>
      </c>
      <c r="AL407" s="80">
        <v>1</v>
      </c>
    </row>
    <row r="408" spans="1:38">
      <c r="A408" s="33" t="str">
        <f>怪物并表!$R$8</f>
        <v>精英副本</v>
      </c>
      <c r="B408" s="38">
        <v>1</v>
      </c>
      <c r="C408" s="33">
        <f t="shared" si="45"/>
        <v>3206</v>
      </c>
      <c r="D408" s="33">
        <v>1</v>
      </c>
      <c r="E408" s="33">
        <f>VLOOKUP(A408,怪物并表!$R$7:$S$14,2,FALSE)</f>
        <v>2</v>
      </c>
      <c r="F408" s="38">
        <v>3</v>
      </c>
      <c r="G408" s="38">
        <v>6</v>
      </c>
      <c r="H408" s="38">
        <v>0</v>
      </c>
      <c r="I408" s="33">
        <f t="shared" si="49"/>
        <v>236001</v>
      </c>
      <c r="J408" s="33" t="s">
        <v>464</v>
      </c>
      <c r="K408" s="33"/>
      <c r="L408" s="33">
        <v>0</v>
      </c>
      <c r="M408" s="33">
        <v>1</v>
      </c>
      <c r="N408" s="33"/>
      <c r="O408" s="33">
        <v>1</v>
      </c>
      <c r="P408" s="33">
        <f>VLOOKUP($C408,CHOOSE({1,2},怪物并表!$E$7:$E$1000,怪物并表!$D$7:$D$1000),2,FALSE)</f>
        <v>36</v>
      </c>
      <c r="Q408" s="33" t="s">
        <v>367</v>
      </c>
      <c r="R408" s="33">
        <f>VLOOKUP(Q408,怪物信息配置表!$A$2:$B$118,2,FALSE)</f>
        <v>1008</v>
      </c>
      <c r="S408" s="33">
        <v>1</v>
      </c>
      <c r="T408" s="110">
        <f>VLOOKUP($C408,怪物并表!$E$7:$N$1000,2+($D408-1)*3,FALSE)*S408*AJ408</f>
        <v>51692.291636317379</v>
      </c>
      <c r="U408" s="110">
        <f>VLOOKUP($C408,怪物并表!$E$7:$N$1000,3+($D408-1)*3,FALSE)*S408*AK408</f>
        <v>2812.8191414767598</v>
      </c>
      <c r="V408" s="110">
        <f>VLOOKUP($C408,怪物并表!$E$7:$N$1000,4+($D408-1)*3,FALSE)*S408*AL408</f>
        <v>1312.7781590367897</v>
      </c>
      <c r="W408" s="33"/>
      <c r="X408" s="33"/>
      <c r="Y408" s="49">
        <f>VLOOKUP($C408,怪物并表!$E$7:$P$1000,12,FALSE)</f>
        <v>0</v>
      </c>
      <c r="Z408" s="49">
        <f>VLOOKUP($C408,怪物并表!$E$7:$P$1000,11,FALSE)*S408</f>
        <v>2437.808</v>
      </c>
      <c r="AA408" s="33"/>
      <c r="AB408" s="33"/>
      <c r="AC408" s="33"/>
      <c r="AD408" s="33">
        <f t="shared" si="53"/>
        <v>1</v>
      </c>
      <c r="AE408" s="2">
        <f t="shared" si="52"/>
        <v>572.5</v>
      </c>
      <c r="AF408" s="2" t="str">
        <f>IF(ISBLANK(AM408),IF(O408=6,"",IF(O408=1,VLOOKUP(R408,怪物信息配置表!B:H,5,FALSE),IF(O408=2,VLOOKUP(R408,怪物信息配置表!B:H,6,FALSE),IF(OR(O408=3,O408=5),VLOOKUP(R408,怪物信息配置表!B:H,7,FALSE),"")))),AM408)</f>
        <v>ai_monster</v>
      </c>
      <c r="AG408" s="2"/>
      <c r="AH408" s="15">
        <f>SUMPRODUCT(T408:V408,$AN$3:$AP$3)+ROUNDDOWN(VLOOKUP(P408,CHOOSE({1,2},'[1]消耗&amp;价值&amp;分析'!$C$7:$C$106,'[1]消耗&amp;价值&amp;分析'!$AS$7:$AS$106),2,FALSE)*0.6,0)</f>
        <v>7471.2889659662442</v>
      </c>
      <c r="AJ408" s="80">
        <v>1</v>
      </c>
      <c r="AK408" s="80">
        <v>1</v>
      </c>
      <c r="AL408" s="80">
        <v>1</v>
      </c>
    </row>
    <row r="409" spans="1:38">
      <c r="A409" s="33" t="str">
        <f>怪物并表!$R$8</f>
        <v>精英副本</v>
      </c>
      <c r="B409" s="38">
        <v>2</v>
      </c>
      <c r="C409" s="33">
        <f t="shared" si="45"/>
        <v>3206</v>
      </c>
      <c r="D409" s="33">
        <v>1</v>
      </c>
      <c r="E409" s="33">
        <f>VLOOKUP(A409,怪物并表!$R$7:$S$14,2,FALSE)</f>
        <v>2</v>
      </c>
      <c r="F409" s="38">
        <v>3</v>
      </c>
      <c r="G409" s="38">
        <v>6</v>
      </c>
      <c r="H409" s="38">
        <v>0</v>
      </c>
      <c r="I409" s="33">
        <f t="shared" si="49"/>
        <v>236002</v>
      </c>
      <c r="J409" s="33" t="s">
        <v>15</v>
      </c>
      <c r="K409" s="33"/>
      <c r="L409" s="33">
        <v>0</v>
      </c>
      <c r="M409" s="33">
        <v>1</v>
      </c>
      <c r="N409" s="33"/>
      <c r="O409" s="33">
        <v>1</v>
      </c>
      <c r="P409" s="33">
        <f>VLOOKUP($C409,CHOOSE({1,2},怪物并表!$E$7:$E$1000,怪物并表!$D$7:$D$1000),2,FALSE)</f>
        <v>36</v>
      </c>
      <c r="Q409" s="33" t="s">
        <v>15</v>
      </c>
      <c r="R409" s="33">
        <f>VLOOKUP(Q409,怪物信息配置表!$A$2:$B$118,2,FALSE)</f>
        <v>1004</v>
      </c>
      <c r="S409" s="33">
        <v>1</v>
      </c>
      <c r="T409" s="110">
        <f>VLOOKUP($C409,怪物并表!$E$7:$N$1000,2+($D409-1)*3,FALSE)*S409*AJ409</f>
        <v>51692.291636317379</v>
      </c>
      <c r="U409" s="110">
        <f>VLOOKUP($C409,怪物并表!$E$7:$N$1000,3+($D409-1)*3,FALSE)*S409*AK409</f>
        <v>2812.8191414767598</v>
      </c>
      <c r="V409" s="110">
        <f>VLOOKUP($C409,怪物并表!$E$7:$N$1000,4+($D409-1)*3,FALSE)*S409*AL409</f>
        <v>1312.7781590367897</v>
      </c>
      <c r="W409" s="33"/>
      <c r="X409" s="33"/>
      <c r="Y409" s="49">
        <f>VLOOKUP($C409,怪物并表!$E$7:$P$1000,12,FALSE)</f>
        <v>0</v>
      </c>
      <c r="Z409" s="49">
        <f>VLOOKUP($C409,怪物并表!$E$7:$P$1000,11,FALSE)*S409</f>
        <v>2437.808</v>
      </c>
      <c r="AA409" s="33"/>
      <c r="AB409" s="33"/>
      <c r="AC409" s="33"/>
      <c r="AD409" s="33">
        <f t="shared" si="53"/>
        <v>1</v>
      </c>
      <c r="AE409" s="2">
        <f t="shared" si="52"/>
        <v>572.5</v>
      </c>
      <c r="AF409" s="2" t="str">
        <f>IF(ISBLANK(AM409),IF(O409=6,"",IF(O409=1,VLOOKUP(R409,怪物信息配置表!B:H,5,FALSE),IF(O409=2,VLOOKUP(R409,怪物信息配置表!B:H,6,FALSE),IF(OR(O409=3,O409=5),VLOOKUP(R409,怪物信息配置表!B:H,7,FALSE),"")))),AM409)</f>
        <v>ai_monster</v>
      </c>
      <c r="AG409" s="2"/>
      <c r="AH409" s="15">
        <f>SUMPRODUCT(T409:V409,$AN$3:$AP$3)+ROUNDDOWN(VLOOKUP(P409,CHOOSE({1,2},'[1]消耗&amp;价值&amp;分析'!$C$7:$C$106,'[1]消耗&amp;价值&amp;分析'!$AS$7:$AS$106),2,FALSE)*0.6,0)</f>
        <v>7471.2889659662442</v>
      </c>
      <c r="AJ409" s="80">
        <v>1</v>
      </c>
      <c r="AK409" s="80">
        <v>1</v>
      </c>
      <c r="AL409" s="80">
        <v>1</v>
      </c>
    </row>
    <row r="410" spans="1:38">
      <c r="A410" s="33" t="str">
        <f>怪物并表!$R$8</f>
        <v>精英副本</v>
      </c>
      <c r="B410" s="38">
        <v>3</v>
      </c>
      <c r="C410" s="33">
        <f t="shared" ref="C410:C509" si="54">1000*F410+200+G410</f>
        <v>3206</v>
      </c>
      <c r="D410" s="33">
        <v>1</v>
      </c>
      <c r="E410" s="33">
        <f>VLOOKUP(A410,怪物并表!$R$7:$S$14,2,FALSE)</f>
        <v>2</v>
      </c>
      <c r="F410" s="38">
        <v>3</v>
      </c>
      <c r="G410" s="38">
        <v>6</v>
      </c>
      <c r="H410" s="38">
        <v>0</v>
      </c>
      <c r="I410" s="33">
        <f t="shared" si="49"/>
        <v>236003</v>
      </c>
      <c r="J410" s="33" t="s">
        <v>462</v>
      </c>
      <c r="K410" s="33"/>
      <c r="L410" s="33">
        <v>0</v>
      </c>
      <c r="M410" s="33">
        <v>1</v>
      </c>
      <c r="N410" s="33"/>
      <c r="O410" s="33">
        <v>1</v>
      </c>
      <c r="P410" s="33">
        <f>VLOOKUP($C410,CHOOSE({1,2},怪物并表!$E$7:$E$1000,怪物并表!$D$7:$D$1000),2,FALSE)</f>
        <v>36</v>
      </c>
      <c r="Q410" s="33" t="s">
        <v>11</v>
      </c>
      <c r="R410" s="33">
        <f>VLOOKUP(Q410,怪物信息配置表!$A$2:$B$118,2,FALSE)</f>
        <v>1011</v>
      </c>
      <c r="S410" s="33">
        <v>1</v>
      </c>
      <c r="T410" s="110">
        <f>VLOOKUP($C410,怪物并表!$E$7:$N$1000,2+($D410-1)*3,FALSE)*S410*AJ410</f>
        <v>51692.291636317379</v>
      </c>
      <c r="U410" s="110">
        <f>VLOOKUP($C410,怪物并表!$E$7:$N$1000,3+($D410-1)*3,FALSE)*S410*AK410</f>
        <v>2812.8191414767598</v>
      </c>
      <c r="V410" s="110">
        <f>VLOOKUP($C410,怪物并表!$E$7:$N$1000,4+($D410-1)*3,FALSE)*S410*AL410</f>
        <v>1312.7781590367897</v>
      </c>
      <c r="W410" s="33"/>
      <c r="X410" s="33"/>
      <c r="Y410" s="49">
        <f>VLOOKUP($C410,怪物并表!$E$7:$P$1000,12,FALSE)</f>
        <v>0</v>
      </c>
      <c r="Z410" s="49">
        <f>VLOOKUP($C410,怪物并表!$E$7:$P$1000,11,FALSE)*S410</f>
        <v>2437.808</v>
      </c>
      <c r="AA410" s="33"/>
      <c r="AB410" s="33"/>
      <c r="AC410" s="33"/>
      <c r="AD410" s="33">
        <f t="shared" si="53"/>
        <v>1</v>
      </c>
      <c r="AE410" s="2">
        <f t="shared" si="52"/>
        <v>572.5</v>
      </c>
      <c r="AF410" s="2" t="str">
        <f>IF(ISBLANK(AM410),IF(O410=6,"",IF(O410=1,VLOOKUP(R410,怪物信息配置表!B:H,5,FALSE),IF(O410=2,VLOOKUP(R410,怪物信息配置表!B:H,6,FALSE),IF(OR(O410=3,O410=5),VLOOKUP(R410,怪物信息配置表!B:H,7,FALSE),"")))),AM410)</f>
        <v>ai_monster</v>
      </c>
      <c r="AG410" s="2"/>
      <c r="AH410" s="15">
        <f>SUMPRODUCT(T410:V410,$AN$3:$AP$3)+ROUNDDOWN(VLOOKUP(P410,CHOOSE({1,2},'[1]消耗&amp;价值&amp;分析'!$C$7:$C$106,'[1]消耗&amp;价值&amp;分析'!$AS$7:$AS$106),2,FALSE)*0.6,0)</f>
        <v>7471.2889659662442</v>
      </c>
      <c r="AJ410" s="80">
        <v>1</v>
      </c>
      <c r="AK410" s="80">
        <v>1</v>
      </c>
      <c r="AL410" s="80">
        <v>1</v>
      </c>
    </row>
    <row r="411" spans="1:38">
      <c r="A411" s="33" t="str">
        <f>怪物并表!$R$8</f>
        <v>精英副本</v>
      </c>
      <c r="B411" s="38">
        <v>4</v>
      </c>
      <c r="C411" s="33">
        <f t="shared" si="54"/>
        <v>3206</v>
      </c>
      <c r="D411" s="33">
        <v>3</v>
      </c>
      <c r="E411" s="33">
        <f>VLOOKUP(A411,怪物并表!$R$7:$S$14,2,FALSE)</f>
        <v>2</v>
      </c>
      <c r="F411" s="38">
        <v>3</v>
      </c>
      <c r="G411" s="38">
        <v>6</v>
      </c>
      <c r="H411" s="38">
        <v>0</v>
      </c>
      <c r="I411" s="33">
        <f t="shared" si="49"/>
        <v>236004</v>
      </c>
      <c r="J411" s="33" t="s">
        <v>711</v>
      </c>
      <c r="K411" s="33"/>
      <c r="L411" s="33">
        <v>1</v>
      </c>
      <c r="M411" s="33">
        <v>1.2</v>
      </c>
      <c r="N411" s="33"/>
      <c r="O411" s="33">
        <v>3</v>
      </c>
      <c r="P411" s="33">
        <f>VLOOKUP($C411,CHOOSE({1,2},怪物并表!$E$7:$E$1000,怪物并表!$D$7:$D$1000),2,FALSE)</f>
        <v>36</v>
      </c>
      <c r="Q411" s="33" t="s">
        <v>13</v>
      </c>
      <c r="R411" s="33">
        <f>VLOOKUP(Q411,怪物信息配置表!$A$2:$B$118,2,FALSE)</f>
        <v>1007</v>
      </c>
      <c r="S411" s="33">
        <v>1</v>
      </c>
      <c r="T411" s="110">
        <f>VLOOKUP($C411,怪物并表!$E$7:$N$1000,2+($D411-1)*3,FALSE)*S411*AJ411</f>
        <v>129230.72909079347</v>
      </c>
      <c r="U411" s="110">
        <f>VLOOKUP($C411,怪物并表!$E$7:$N$1000,3+($D411-1)*3,FALSE)*S411*AK411</f>
        <v>3142.0001859433496</v>
      </c>
      <c r="V411" s="110">
        <f>VLOOKUP($C411,怪物并表!$E$7:$N$1000,4+($D411-1)*3,FALSE)*S411*AL411</f>
        <v>1575.3337908441476</v>
      </c>
      <c r="W411" s="33"/>
      <c r="X411" s="33"/>
      <c r="Y411" s="49">
        <f>VLOOKUP($C411,怪物并表!$E$7:$P$1000,12,FALSE)</f>
        <v>0</v>
      </c>
      <c r="Z411" s="49">
        <f>VLOOKUP($C411,怪物并表!$E$7:$P$1000,11,FALSE)*S411</f>
        <v>2437.808</v>
      </c>
      <c r="AA411" s="33"/>
      <c r="AB411" s="33"/>
      <c r="AC411" s="33"/>
      <c r="AD411" s="33">
        <f t="shared" si="53"/>
        <v>1.5</v>
      </c>
      <c r="AE411" s="2">
        <f t="shared" si="52"/>
        <v>358.75</v>
      </c>
      <c r="AF411" s="2" t="str">
        <f>IF(ISBLANK(AM411),IF(O411=6,"",IF(O411=1,VLOOKUP(R411,怪物信息配置表!B:H,5,FALSE),IF(O411=2,VLOOKUP(R411,怪物信息配置表!B:H,6,FALSE),IF(OR(O411=3,O411=5),VLOOKUP(R411,怪物信息配置表!B:H,7,FALSE),"")))),AM411)</f>
        <v>ai_BOSS_01</v>
      </c>
      <c r="AG411" s="2"/>
      <c r="AH411" s="15">
        <f>SUMPRODUCT(T411:V411,$AN$3:$AP$3)+ROUNDDOWN(VLOOKUP(P411,CHOOSE({1,2},'[1]消耗&amp;价值&amp;分析'!$C$7:$C$106,'[1]消耗&amp;价值&amp;分析'!$AS$7:$AS$106),2,FALSE)*0.6,0)</f>
        <v>11164.563140419237</v>
      </c>
      <c r="AJ411" s="80">
        <v>1</v>
      </c>
      <c r="AK411" s="80">
        <v>1</v>
      </c>
      <c r="AL411" s="80">
        <v>1</v>
      </c>
    </row>
    <row r="412" spans="1:38">
      <c r="A412" s="33" t="str">
        <f>怪物并表!$R$8</f>
        <v>精英副本</v>
      </c>
      <c r="B412" s="38">
        <v>1</v>
      </c>
      <c r="C412" s="33">
        <f t="shared" si="54"/>
        <v>3207</v>
      </c>
      <c r="D412" s="33">
        <v>1</v>
      </c>
      <c r="E412" s="33">
        <f>VLOOKUP(A412,怪物并表!$R$7:$S$14,2,FALSE)</f>
        <v>2</v>
      </c>
      <c r="F412" s="38">
        <v>3</v>
      </c>
      <c r="G412" s="38">
        <v>7</v>
      </c>
      <c r="H412" s="38">
        <v>0</v>
      </c>
      <c r="I412" s="33">
        <f t="shared" si="49"/>
        <v>237001</v>
      </c>
      <c r="J412" s="33" t="s">
        <v>464</v>
      </c>
      <c r="K412" s="33"/>
      <c r="L412" s="33">
        <v>0</v>
      </c>
      <c r="M412" s="33">
        <v>1</v>
      </c>
      <c r="N412" s="33"/>
      <c r="O412" s="33">
        <v>1</v>
      </c>
      <c r="P412" s="33">
        <f>VLOOKUP($C412,CHOOSE({1,2},怪物并表!$E$7:$E$1000,怪物并表!$D$7:$D$1000),2,FALSE)</f>
        <v>37</v>
      </c>
      <c r="Q412" s="33" t="s">
        <v>367</v>
      </c>
      <c r="R412" s="33">
        <f>VLOOKUP(Q412,怪物信息配置表!$A$2:$B$118,2,FALSE)</f>
        <v>1008</v>
      </c>
      <c r="S412" s="33">
        <v>1</v>
      </c>
      <c r="T412" s="110">
        <f>VLOOKUP($C412,怪物并表!$E$7:$N$1000,2+($D412-1)*3,FALSE)*S412*AJ412</f>
        <v>57937.058328340834</v>
      </c>
      <c r="U412" s="110">
        <f>VLOOKUP($C412,怪物并表!$E$7:$N$1000,3+($D412-1)*3,FALSE)*S412*AK412</f>
        <v>3115.6722667312429</v>
      </c>
      <c r="V412" s="110">
        <f>VLOOKUP($C412,怪物并表!$E$7:$N$1000,4+($D412-1)*3,FALSE)*S412*AL412</f>
        <v>1455.3667859538466</v>
      </c>
      <c r="W412" s="33"/>
      <c r="X412" s="33"/>
      <c r="Y412" s="49">
        <f>VLOOKUP($C412,怪物并表!$E$7:$P$1000,12,FALSE)</f>
        <v>0</v>
      </c>
      <c r="Z412" s="49">
        <f>VLOOKUP($C412,怪物并表!$E$7:$P$1000,11,FALSE)*S412</f>
        <v>2496.0360000000001</v>
      </c>
      <c r="AA412" s="33"/>
      <c r="AB412" s="33"/>
      <c r="AC412" s="33"/>
      <c r="AD412" s="33">
        <f t="shared" ref="AD412:AD423" si="55">IF(D412=1,1,IF(D412=2,0.8,1.5))</f>
        <v>1</v>
      </c>
      <c r="AE412" s="2">
        <f t="shared" si="52"/>
        <v>560.625</v>
      </c>
      <c r="AF412" s="2" t="str">
        <f>IF(ISBLANK(AM412),IF(O412=6,"",IF(O412=1,VLOOKUP(R412,怪物信息配置表!B:H,5,FALSE),IF(O412=2,VLOOKUP(R412,怪物信息配置表!B:H,6,FALSE),IF(OR(O412=3,O412=5),VLOOKUP(R412,怪物信息配置表!B:H,7,FALSE),"")))),AM412)</f>
        <v>ai_monster</v>
      </c>
      <c r="AG412" s="2"/>
      <c r="AH412" s="15">
        <f>SUMPRODUCT(T412:V412,$AN$3:$AP$3)+ROUNDDOWN(VLOOKUP(P412,CHOOSE({1,2},'[1]消耗&amp;价值&amp;分析'!$C$7:$C$106,'[1]消耗&amp;价值&amp;分析'!$AS$7:$AS$106),2,FALSE)*0.6,0)</f>
        <v>8245.5213858187235</v>
      </c>
      <c r="AJ412" s="80">
        <v>1</v>
      </c>
      <c r="AK412" s="80">
        <v>1</v>
      </c>
      <c r="AL412" s="80">
        <v>1</v>
      </c>
    </row>
    <row r="413" spans="1:38">
      <c r="A413" s="33" t="str">
        <f>怪物并表!$R$8</f>
        <v>精英副本</v>
      </c>
      <c r="B413" s="38">
        <v>2</v>
      </c>
      <c r="C413" s="33">
        <f t="shared" si="54"/>
        <v>3207</v>
      </c>
      <c r="D413" s="33">
        <v>2</v>
      </c>
      <c r="E413" s="33">
        <f>VLOOKUP(A413,怪物并表!$R$7:$S$14,2,FALSE)</f>
        <v>2</v>
      </c>
      <c r="F413" s="38">
        <v>3</v>
      </c>
      <c r="G413" s="38">
        <v>7</v>
      </c>
      <c r="H413" s="38">
        <v>0</v>
      </c>
      <c r="I413" s="33">
        <f t="shared" si="49"/>
        <v>237002</v>
      </c>
      <c r="J413" s="33" t="s">
        <v>469</v>
      </c>
      <c r="K413" s="33"/>
      <c r="L413" s="33">
        <v>0</v>
      </c>
      <c r="M413" s="33">
        <v>1</v>
      </c>
      <c r="N413" s="33"/>
      <c r="O413" s="33">
        <v>1</v>
      </c>
      <c r="P413" s="33">
        <f>VLOOKUP($C413,CHOOSE({1,2},怪物并表!$E$7:$E$1000,怪物并表!$D$7:$D$1000),2,FALSE)</f>
        <v>37</v>
      </c>
      <c r="Q413" s="33" t="s">
        <v>17</v>
      </c>
      <c r="R413" s="33">
        <f>VLOOKUP(Q413,怪物信息配置表!$A$2:$B$118,2,FALSE)</f>
        <v>1005</v>
      </c>
      <c r="S413" s="33">
        <v>1</v>
      </c>
      <c r="T413" s="110">
        <f>VLOOKUP($C413,怪物并表!$E$7:$N$1000,2+($D413-1)*3,FALSE)*S413*AJ413</f>
        <v>46349.646662672669</v>
      </c>
      <c r="U413" s="110">
        <f>VLOOKUP($C413,怪物并表!$E$7:$N$1000,3+($D413-1)*3,FALSE)*S413*AK413</f>
        <v>2930.6586736193231</v>
      </c>
      <c r="V413" s="110">
        <f>VLOOKUP($C413,怪物并表!$E$7:$N$1000,4+($D413-1)*3,FALSE)*S413*AL413</f>
        <v>1176.9487921191978</v>
      </c>
      <c r="W413" s="33"/>
      <c r="X413" s="33"/>
      <c r="Y413" s="49">
        <f>VLOOKUP($C413,怪物并表!$E$7:$P$1000,12,FALSE)</f>
        <v>0</v>
      </c>
      <c r="Z413" s="49">
        <f>VLOOKUP($C413,怪物并表!$E$7:$P$1000,11,FALSE)*S413</f>
        <v>2496.0360000000001</v>
      </c>
      <c r="AA413" s="33"/>
      <c r="AB413" s="33"/>
      <c r="AC413" s="33"/>
      <c r="AD413" s="33">
        <f t="shared" si="55"/>
        <v>0.8</v>
      </c>
      <c r="AE413" s="2">
        <f t="shared" si="52"/>
        <v>648.5</v>
      </c>
      <c r="AF413" s="2" t="str">
        <f>IF(ISBLANK(AM413),IF(O413=6,"",IF(O413=1,VLOOKUP(R413,怪物信息配置表!B:H,5,FALSE),IF(O413=2,VLOOKUP(R413,怪物信息配置表!B:H,6,FALSE),IF(OR(O413=3,O413=5),VLOOKUP(R413,怪物信息配置表!B:H,7,FALSE),"")))),AM413)</f>
        <v>ai_monster_02</v>
      </c>
      <c r="AG413" s="2"/>
      <c r="AH413" s="15">
        <f>SUMPRODUCT(T413:V413,$AN$3:$AP$3)+ROUNDDOWN(VLOOKUP(P413,CHOOSE({1,2},'[1]消耗&amp;价值&amp;分析'!$C$7:$C$106,'[1]消耗&amp;价值&amp;分析'!$AS$7:$AS$106),2,FALSE)*0.6,0)</f>
        <v>7318.5933322454275</v>
      </c>
      <c r="AJ413" s="80">
        <v>1</v>
      </c>
      <c r="AK413" s="80">
        <v>1</v>
      </c>
      <c r="AL413" s="80">
        <v>1</v>
      </c>
    </row>
    <row r="414" spans="1:38">
      <c r="A414" s="33" t="str">
        <f>怪物并表!$R$8</f>
        <v>精英副本</v>
      </c>
      <c r="B414" s="38">
        <v>3</v>
      </c>
      <c r="C414" s="33">
        <f t="shared" si="54"/>
        <v>3207</v>
      </c>
      <c r="D414" s="33">
        <v>1</v>
      </c>
      <c r="E414" s="33">
        <f>VLOOKUP(A414,怪物并表!$R$7:$S$14,2,FALSE)</f>
        <v>2</v>
      </c>
      <c r="F414" s="38">
        <v>3</v>
      </c>
      <c r="G414" s="38">
        <v>7</v>
      </c>
      <c r="H414" s="38">
        <v>0</v>
      </c>
      <c r="I414" s="33">
        <f t="shared" si="49"/>
        <v>237003</v>
      </c>
      <c r="J414" s="33" t="s">
        <v>13</v>
      </c>
      <c r="K414" s="33"/>
      <c r="L414" s="33">
        <v>0</v>
      </c>
      <c r="M414" s="33">
        <v>1</v>
      </c>
      <c r="N414" s="33"/>
      <c r="O414" s="33">
        <v>1</v>
      </c>
      <c r="P414" s="33">
        <f>VLOOKUP($C414,CHOOSE({1,2},怪物并表!$E$7:$E$1000,怪物并表!$D$7:$D$1000),2,FALSE)</f>
        <v>37</v>
      </c>
      <c r="Q414" s="33" t="s">
        <v>13</v>
      </c>
      <c r="R414" s="33">
        <f>VLOOKUP(Q414,怪物信息配置表!$A$2:$B$118,2,FALSE)</f>
        <v>1007</v>
      </c>
      <c r="S414" s="33">
        <v>1</v>
      </c>
      <c r="T414" s="110">
        <f>VLOOKUP($C414,怪物并表!$E$7:$N$1000,2+($D414-1)*3,FALSE)*S414*AJ414</f>
        <v>57937.058328340834</v>
      </c>
      <c r="U414" s="110">
        <f>VLOOKUP($C414,怪物并表!$E$7:$N$1000,3+($D414-1)*3,FALSE)*S414*AK414</f>
        <v>3115.6722667312429</v>
      </c>
      <c r="V414" s="110">
        <f>VLOOKUP($C414,怪物并表!$E$7:$N$1000,4+($D414-1)*3,FALSE)*S414*AL414</f>
        <v>1455.3667859538466</v>
      </c>
      <c r="W414" s="33"/>
      <c r="X414" s="33"/>
      <c r="Y414" s="49">
        <f>VLOOKUP($C414,怪物并表!$E$7:$P$1000,12,FALSE)</f>
        <v>0</v>
      </c>
      <c r="Z414" s="49">
        <f>VLOOKUP($C414,怪物并表!$E$7:$P$1000,11,FALSE)*S414</f>
        <v>2496.0360000000001</v>
      </c>
      <c r="AA414" s="33"/>
      <c r="AB414" s="33"/>
      <c r="AC414" s="33"/>
      <c r="AD414" s="33">
        <f t="shared" si="55"/>
        <v>1</v>
      </c>
      <c r="AE414" s="2">
        <f t="shared" si="52"/>
        <v>560.625</v>
      </c>
      <c r="AF414" s="2" t="str">
        <f>IF(ISBLANK(AM414),IF(O414=6,"",IF(O414=1,VLOOKUP(R414,怪物信息配置表!B:H,5,FALSE),IF(O414=2,VLOOKUP(R414,怪物信息配置表!B:H,6,FALSE),IF(OR(O414=3,O414=5),VLOOKUP(R414,怪物信息配置表!B:H,7,FALSE),"")))),AM414)</f>
        <v>ai_monster_03</v>
      </c>
      <c r="AG414" s="2"/>
      <c r="AH414" s="15">
        <f>SUMPRODUCT(T414:V414,$AN$3:$AP$3)+ROUNDDOWN(VLOOKUP(P414,CHOOSE({1,2},'[1]消耗&amp;价值&amp;分析'!$C$7:$C$106,'[1]消耗&amp;价值&amp;分析'!$AS$7:$AS$106),2,FALSE)*0.6,0)</f>
        <v>8245.5213858187235</v>
      </c>
      <c r="AJ414" s="80">
        <v>1</v>
      </c>
      <c r="AK414" s="80">
        <v>1</v>
      </c>
      <c r="AL414" s="80">
        <v>1</v>
      </c>
    </row>
    <row r="415" spans="1:38">
      <c r="A415" s="33" t="str">
        <f>怪物并表!$R$8</f>
        <v>精英副本</v>
      </c>
      <c r="B415" s="38">
        <v>4</v>
      </c>
      <c r="C415" s="33">
        <f t="shared" si="54"/>
        <v>3207</v>
      </c>
      <c r="D415" s="33">
        <v>3</v>
      </c>
      <c r="E415" s="33">
        <f>VLOOKUP(A415,怪物并表!$R$7:$S$14,2,FALSE)</f>
        <v>2</v>
      </c>
      <c r="F415" s="38">
        <v>3</v>
      </c>
      <c r="G415" s="38">
        <v>7</v>
      </c>
      <c r="H415" s="38">
        <v>0</v>
      </c>
      <c r="I415" s="33">
        <f t="shared" si="49"/>
        <v>237004</v>
      </c>
      <c r="J415" s="33" t="s">
        <v>712</v>
      </c>
      <c r="K415" s="33"/>
      <c r="L415" s="33">
        <v>1</v>
      </c>
      <c r="M415" s="33">
        <v>1.2</v>
      </c>
      <c r="N415" s="33"/>
      <c r="O415" s="33">
        <v>3</v>
      </c>
      <c r="P415" s="33">
        <f>VLOOKUP($C415,CHOOSE({1,2},怪物并表!$E$7:$E$1000,怪物并表!$D$7:$D$1000),2,FALSE)</f>
        <v>37</v>
      </c>
      <c r="Q415" s="33" t="s">
        <v>12</v>
      </c>
      <c r="R415" s="33">
        <f>VLOOKUP(Q415,怪物信息配置表!$A$2:$B$118,2,FALSE)</f>
        <v>1009</v>
      </c>
      <c r="S415" s="33">
        <v>1</v>
      </c>
      <c r="T415" s="110">
        <f>VLOOKUP($C415,怪物并表!$E$7:$N$1000,2+($D415-1)*3,FALSE)*S415*AJ415</f>
        <v>144842.64582085208</v>
      </c>
      <c r="U415" s="110">
        <f>VLOOKUP($C415,怪物并表!$E$7:$N$1000,3+($D415-1)*3,FALSE)*S415*AK415</f>
        <v>3485.699452955083</v>
      </c>
      <c r="V415" s="110">
        <f>VLOOKUP($C415,怪物并表!$E$7:$N$1000,4+($D415-1)*3,FALSE)*S415*AL415</f>
        <v>1733.7847797884954</v>
      </c>
      <c r="W415" s="33"/>
      <c r="X415" s="33"/>
      <c r="Y415" s="49">
        <f>VLOOKUP($C415,怪物并表!$E$7:$P$1000,12,FALSE)</f>
        <v>0</v>
      </c>
      <c r="Z415" s="49">
        <f>VLOOKUP($C415,怪物并表!$E$7:$P$1000,11,FALSE)*S415</f>
        <v>2496.0360000000001</v>
      </c>
      <c r="AA415" s="33"/>
      <c r="AB415" s="33"/>
      <c r="AC415" s="33"/>
      <c r="AD415" s="33">
        <f t="shared" si="55"/>
        <v>1.5</v>
      </c>
      <c r="AE415" s="2">
        <f t="shared" si="52"/>
        <v>340.9375</v>
      </c>
      <c r="AF415" s="2" t="str">
        <f>IF(ISBLANK(AM415),IF(O415=6,"",IF(O415=1,VLOOKUP(R415,怪物信息配置表!B:H,5,FALSE),IF(O415=2,VLOOKUP(R415,怪物信息配置表!B:H,6,FALSE),IF(OR(O415=3,O415=5),VLOOKUP(R415,怪物信息配置表!B:H,7,FALSE),"")))),AM415)</f>
        <v>1009_tiequan_BOSS</v>
      </c>
      <c r="AG415" s="2"/>
      <c r="AH415" s="15">
        <f>SUMPRODUCT(T415:V415,$AN$3:$AP$3)+ROUNDDOWN(VLOOKUP(P415,CHOOSE({1,2},'[1]消耗&amp;价值&amp;分析'!$C$7:$C$106,'[1]消耗&amp;价值&amp;分析'!$AS$7:$AS$106),2,FALSE)*0.6,0)</f>
        <v>12370.190065577661</v>
      </c>
      <c r="AJ415" s="80">
        <v>1</v>
      </c>
      <c r="AK415" s="80">
        <v>1</v>
      </c>
      <c r="AL415" s="80">
        <v>1</v>
      </c>
    </row>
    <row r="416" spans="1:38">
      <c r="A416" s="33" t="str">
        <f>怪物并表!$R$8</f>
        <v>精英副本</v>
      </c>
      <c r="B416" s="38">
        <v>1</v>
      </c>
      <c r="C416" s="33">
        <f t="shared" si="54"/>
        <v>3208</v>
      </c>
      <c r="D416" s="33">
        <v>1</v>
      </c>
      <c r="E416" s="33">
        <f>VLOOKUP(A416,怪物并表!$R$7:$S$14,2,FALSE)</f>
        <v>2</v>
      </c>
      <c r="F416" s="38">
        <v>3</v>
      </c>
      <c r="G416" s="38">
        <v>8</v>
      </c>
      <c r="H416" s="38">
        <v>0</v>
      </c>
      <c r="I416" s="33">
        <f t="shared" si="49"/>
        <v>238001</v>
      </c>
      <c r="J416" s="33" t="s">
        <v>472</v>
      </c>
      <c r="K416" s="33"/>
      <c r="L416" s="33">
        <v>0</v>
      </c>
      <c r="M416" s="33">
        <v>1</v>
      </c>
      <c r="N416" s="33"/>
      <c r="O416" s="33">
        <v>1</v>
      </c>
      <c r="P416" s="33">
        <f>VLOOKUP($C416,CHOOSE({1,2},怪物并表!$E$7:$E$1000,怪物并表!$D$7:$D$1000),2,FALSE)</f>
        <v>38</v>
      </c>
      <c r="Q416" s="33" t="s">
        <v>10</v>
      </c>
      <c r="R416" s="33">
        <f>VLOOKUP(Q416,怪物信息配置表!$A$2:$B$118,2,FALSE)</f>
        <v>1001</v>
      </c>
      <c r="S416" s="33">
        <v>1</v>
      </c>
      <c r="T416" s="110">
        <f>VLOOKUP($C416,怪物并表!$E$7:$N$1000,2+($D416-1)*3,FALSE)*S416*AJ416</f>
        <v>64734.349841675328</v>
      </c>
      <c r="U416" s="110">
        <f>VLOOKUP($C416,怪物并表!$E$7:$N$1000,3+($D416-1)*3,FALSE)*S416*AK416</f>
        <v>3615.0974178488314</v>
      </c>
      <c r="V416" s="110">
        <f>VLOOKUP($C416,怪物并表!$E$7:$N$1000,4+($D416-1)*3,FALSE)*S416*AL416</f>
        <v>1608.6293294849499</v>
      </c>
      <c r="W416" s="33"/>
      <c r="X416" s="33"/>
      <c r="Y416" s="49">
        <f>VLOOKUP($C416,怪物并表!$E$7:$P$1000,12,FALSE)</f>
        <v>0</v>
      </c>
      <c r="Z416" s="49">
        <f>VLOOKUP($C416,怪物并表!$E$7:$P$1000,11,FALSE)*S416</f>
        <v>2554.2640000000001</v>
      </c>
      <c r="AA416" s="33"/>
      <c r="AB416" s="33"/>
      <c r="AC416" s="33"/>
      <c r="AD416" s="33">
        <f t="shared" si="55"/>
        <v>1</v>
      </c>
      <c r="AE416" s="2">
        <f t="shared" si="52"/>
        <v>548.75</v>
      </c>
      <c r="AF416" s="2" t="str">
        <f>IF(ISBLANK(AM416),IF(O416=6,"",IF(O416=1,VLOOKUP(R416,怪物信息配置表!B:H,5,FALSE),IF(O416=2,VLOOKUP(R416,怪物信息配置表!B:H,6,FALSE),IF(OR(O416=3,O416=5),VLOOKUP(R416,怪物信息配置表!B:H,7,FALSE),"")))),AM416)</f>
        <v>ai_monster</v>
      </c>
      <c r="AG416" s="2"/>
      <c r="AH416" s="15">
        <f>SUMPRODUCT(T416:V416,$AN$3:$AP$3)+ROUNDDOWN(VLOOKUP(P416,CHOOSE({1,2},'[1]消耗&amp;价值&amp;分析'!$C$7:$C$106,'[1]消耗&amp;价值&amp;分析'!$AS$7:$AS$106),2,FALSE)*0.6,0)</f>
        <v>9267.1007410007951</v>
      </c>
      <c r="AJ416" s="80">
        <v>1</v>
      </c>
      <c r="AK416" s="80">
        <v>1</v>
      </c>
      <c r="AL416" s="80">
        <v>1</v>
      </c>
    </row>
    <row r="417" spans="1:38">
      <c r="A417" s="33" t="str">
        <f>怪物并表!$R$8</f>
        <v>精英副本</v>
      </c>
      <c r="B417" s="38">
        <v>2</v>
      </c>
      <c r="C417" s="33">
        <f t="shared" si="54"/>
        <v>3208</v>
      </c>
      <c r="D417" s="33">
        <v>2</v>
      </c>
      <c r="E417" s="33">
        <f>VLOOKUP(A417,怪物并表!$R$7:$S$14,2,FALSE)</f>
        <v>2</v>
      </c>
      <c r="F417" s="38">
        <v>3</v>
      </c>
      <c r="G417" s="38">
        <v>8</v>
      </c>
      <c r="H417" s="38">
        <v>0</v>
      </c>
      <c r="I417" s="33">
        <f t="shared" si="49"/>
        <v>238002</v>
      </c>
      <c r="J417" s="33" t="s">
        <v>36</v>
      </c>
      <c r="K417" s="33"/>
      <c r="L417" s="33">
        <v>0</v>
      </c>
      <c r="M417" s="33">
        <v>1</v>
      </c>
      <c r="N417" s="33"/>
      <c r="O417" s="33">
        <v>1</v>
      </c>
      <c r="P417" s="33">
        <f>VLOOKUP($C417,CHOOSE({1,2},怪物并表!$E$7:$E$1000,怪物并表!$D$7:$D$1000),2,FALSE)</f>
        <v>38</v>
      </c>
      <c r="Q417" s="33" t="s">
        <v>9</v>
      </c>
      <c r="R417" s="33">
        <f>VLOOKUP(Q417,怪物信息配置表!$A$2:$B$118,2,FALSE)</f>
        <v>1003</v>
      </c>
      <c r="S417" s="33">
        <v>1</v>
      </c>
      <c r="T417" s="110">
        <f>VLOOKUP($C417,怪物并表!$E$7:$N$1000,2+($D417-1)*3,FALSE)*S417*AJ417</f>
        <v>51787.479873340257</v>
      </c>
      <c r="U417" s="110">
        <f>VLOOKUP($C417,怪物并表!$E$7:$N$1000,3+($D417-1)*3,FALSE)*S417*AK417</f>
        <v>3390.4922998499014</v>
      </c>
      <c r="V417" s="110">
        <f>VLOOKUP($C417,怪物并表!$E$7:$N$1000,4+($D417-1)*3,FALSE)*S417*AL417</f>
        <v>1314.2843883451508</v>
      </c>
      <c r="W417" s="33"/>
      <c r="X417" s="33"/>
      <c r="Y417" s="49">
        <f>VLOOKUP($C417,怪物并表!$E$7:$P$1000,12,FALSE)</f>
        <v>0</v>
      </c>
      <c r="Z417" s="49">
        <f>VLOOKUP($C417,怪物并表!$E$7:$P$1000,11,FALSE)*S417</f>
        <v>2554.2640000000001</v>
      </c>
      <c r="AA417" s="33"/>
      <c r="AB417" s="33"/>
      <c r="AC417" s="33"/>
      <c r="AD417" s="33">
        <f t="shared" si="55"/>
        <v>0.8</v>
      </c>
      <c r="AE417" s="2">
        <f t="shared" si="52"/>
        <v>639</v>
      </c>
      <c r="AF417" s="2" t="str">
        <f>IF(ISBLANK(AM417),IF(O417=6,"",IF(O417=1,VLOOKUP(R417,怪物信息配置表!B:H,5,FALSE),IF(O417=2,VLOOKUP(R417,怪物信息配置表!B:H,6,FALSE),IF(OR(O417=3,O417=5),VLOOKUP(R417,怪物信息配置表!B:H,7,FALSE),"")))),AM417)</f>
        <v>ai_monster_02</v>
      </c>
      <c r="AG417" s="2"/>
      <c r="AH417" s="15">
        <f>SUMPRODUCT(T417:V417,$AN$3:$AP$3)+ROUNDDOWN(VLOOKUP(P417,CHOOSE({1,2},'[1]消耗&amp;价值&amp;分析'!$C$7:$C$106,'[1]消耗&amp;价值&amp;分析'!$AS$7:$AS$106),2,FALSE)*0.6,0)</f>
        <v>8230.2758831286628</v>
      </c>
      <c r="AJ417" s="80">
        <v>1</v>
      </c>
      <c r="AK417" s="80">
        <v>1</v>
      </c>
      <c r="AL417" s="80">
        <v>1</v>
      </c>
    </row>
    <row r="418" spans="1:38">
      <c r="A418" s="33" t="str">
        <f>怪物并表!$R$8</f>
        <v>精英副本</v>
      </c>
      <c r="B418" s="38">
        <v>3</v>
      </c>
      <c r="C418" s="33">
        <f t="shared" si="54"/>
        <v>3208</v>
      </c>
      <c r="D418" s="33">
        <v>1</v>
      </c>
      <c r="E418" s="33">
        <f>VLOOKUP(A418,怪物并表!$R$7:$S$14,2,FALSE)</f>
        <v>2</v>
      </c>
      <c r="F418" s="38">
        <v>3</v>
      </c>
      <c r="G418" s="38">
        <v>8</v>
      </c>
      <c r="H418" s="38">
        <v>0</v>
      </c>
      <c r="I418" s="33">
        <f t="shared" si="49"/>
        <v>238003</v>
      </c>
      <c r="J418" s="33" t="s">
        <v>461</v>
      </c>
      <c r="K418" s="33"/>
      <c r="L418" s="33">
        <v>0</v>
      </c>
      <c r="M418" s="33">
        <v>1</v>
      </c>
      <c r="N418" s="33"/>
      <c r="O418" s="33">
        <v>1</v>
      </c>
      <c r="P418" s="33">
        <f>VLOOKUP($C418,CHOOSE({1,2},怪物并表!$E$7:$E$1000,怪物并表!$D$7:$D$1000),2,FALSE)</f>
        <v>38</v>
      </c>
      <c r="Q418" s="33" t="s">
        <v>14</v>
      </c>
      <c r="R418" s="33">
        <f>VLOOKUP(Q418,怪物信息配置表!$A$2:$B$118,2,FALSE)</f>
        <v>1010</v>
      </c>
      <c r="S418" s="33">
        <v>1</v>
      </c>
      <c r="T418" s="110">
        <f>VLOOKUP($C418,怪物并表!$E$7:$N$1000,2+($D418-1)*3,FALSE)*S418*AJ418</f>
        <v>64734.349841675328</v>
      </c>
      <c r="U418" s="110">
        <f>VLOOKUP($C418,怪物并表!$E$7:$N$1000,3+($D418-1)*3,FALSE)*S418*AK418</f>
        <v>3615.0974178488314</v>
      </c>
      <c r="V418" s="110">
        <f>VLOOKUP($C418,怪物并表!$E$7:$N$1000,4+($D418-1)*3,FALSE)*S418*AL418</f>
        <v>1608.6293294849499</v>
      </c>
      <c r="W418" s="33"/>
      <c r="X418" s="33"/>
      <c r="Y418" s="49">
        <f>VLOOKUP($C418,怪物并表!$E$7:$P$1000,12,FALSE)</f>
        <v>0</v>
      </c>
      <c r="Z418" s="49">
        <f>VLOOKUP($C418,怪物并表!$E$7:$P$1000,11,FALSE)*S418</f>
        <v>2554.2640000000001</v>
      </c>
      <c r="AA418" s="33"/>
      <c r="AB418" s="33"/>
      <c r="AC418" s="33"/>
      <c r="AD418" s="33">
        <f t="shared" si="55"/>
        <v>1</v>
      </c>
      <c r="AE418" s="2">
        <f t="shared" si="52"/>
        <v>548.75</v>
      </c>
      <c r="AF418" s="2" t="str">
        <f>IF(ISBLANK(AM418),IF(O418=6,"",IF(O418=1,VLOOKUP(R418,怪物信息配置表!B:H,5,FALSE),IF(O418=2,VLOOKUP(R418,怪物信息配置表!B:H,6,FALSE),IF(OR(O418=3,O418=5),VLOOKUP(R418,怪物信息配置表!B:H,7,FALSE),"")))),AM418)</f>
        <v>ai_monster</v>
      </c>
      <c r="AG418" s="2"/>
      <c r="AH418" s="15">
        <f>SUMPRODUCT(T418:V418,$AN$3:$AP$3)+ROUNDDOWN(VLOOKUP(P418,CHOOSE({1,2},'[1]消耗&amp;价值&amp;分析'!$C$7:$C$106,'[1]消耗&amp;价值&amp;分析'!$AS$7:$AS$106),2,FALSE)*0.6,0)</f>
        <v>9267.1007410007951</v>
      </c>
      <c r="AJ418" s="80">
        <v>1</v>
      </c>
      <c r="AK418" s="80">
        <v>1</v>
      </c>
      <c r="AL418" s="80">
        <v>1</v>
      </c>
    </row>
    <row r="419" spans="1:38">
      <c r="A419" s="33" t="str">
        <f>怪物并表!$R$8</f>
        <v>精英副本</v>
      </c>
      <c r="B419" s="38">
        <v>4</v>
      </c>
      <c r="C419" s="33">
        <f t="shared" si="54"/>
        <v>3208</v>
      </c>
      <c r="D419" s="33">
        <v>3</v>
      </c>
      <c r="E419" s="33">
        <f>VLOOKUP(A419,怪物并表!$R$7:$S$14,2,FALSE)</f>
        <v>2</v>
      </c>
      <c r="F419" s="38">
        <v>3</v>
      </c>
      <c r="G419" s="38">
        <v>8</v>
      </c>
      <c r="H419" s="38">
        <v>0</v>
      </c>
      <c r="I419" s="33">
        <f t="shared" si="49"/>
        <v>238004</v>
      </c>
      <c r="J419" s="33" t="s">
        <v>713</v>
      </c>
      <c r="K419" s="33"/>
      <c r="L419" s="33">
        <v>1</v>
      </c>
      <c r="M419" s="33">
        <v>1.2</v>
      </c>
      <c r="N419" s="33"/>
      <c r="O419" s="33">
        <v>3</v>
      </c>
      <c r="P419" s="33">
        <f>VLOOKUP($C419,CHOOSE({1,2},怪物并表!$E$7:$E$1000,怪物并表!$D$7:$D$1000),2,FALSE)</f>
        <v>38</v>
      </c>
      <c r="Q419" s="33" t="s">
        <v>7</v>
      </c>
      <c r="R419" s="33">
        <f>VLOOKUP(Q419,怪物信息配置表!$A$2:$B$118,2,FALSE)</f>
        <v>1002</v>
      </c>
      <c r="S419" s="33">
        <v>1</v>
      </c>
      <c r="T419" s="110">
        <f>VLOOKUP($C419,怪物并表!$E$7:$N$1000,2+($D419-1)*3,FALSE)*S419*AJ419</f>
        <v>161835.87460418831</v>
      </c>
      <c r="U419" s="110">
        <f>VLOOKUP($C419,怪物并表!$E$7:$N$1000,3+($D419-1)*3,FALSE)*S419*AK419</f>
        <v>4064.3076538466912</v>
      </c>
      <c r="V419" s="110">
        <f>VLOOKUP($C419,怪物并表!$E$7:$N$1000,4+($D419-1)*3,FALSE)*S419*AL419</f>
        <v>1902.9742706247491</v>
      </c>
      <c r="W419" s="33"/>
      <c r="X419" s="33"/>
      <c r="Y419" s="49">
        <f>VLOOKUP($C419,怪物并表!$E$7:$P$1000,12,FALSE)</f>
        <v>0</v>
      </c>
      <c r="Z419" s="49">
        <f>VLOOKUP($C419,怪物并表!$E$7:$P$1000,11,FALSE)*S419</f>
        <v>2554.2640000000001</v>
      </c>
      <c r="AA419" s="33"/>
      <c r="AB419" s="33"/>
      <c r="AC419" s="33"/>
      <c r="AD419" s="33">
        <f t="shared" si="55"/>
        <v>1.5</v>
      </c>
      <c r="AE419" s="2">
        <f t="shared" si="52"/>
        <v>323.125</v>
      </c>
      <c r="AF419" s="2" t="str">
        <f>IF(ISBLANK(AM419),IF(O419=6,"",IF(O419=1,VLOOKUP(R419,怪物信息配置表!B:H,5,FALSE),IF(O419=2,VLOOKUP(R419,怪物信息配置表!B:H,6,FALSE),IF(OR(O419=3,O419=5),VLOOKUP(R419,怪物信息配置表!B:H,7,FALSE),"")))),AM419)</f>
        <v>1002_nvjiubao_BOSS</v>
      </c>
      <c r="AG419" s="2"/>
      <c r="AH419" s="15">
        <f>SUMPRODUCT(T419:V419,$AN$3:$AP$3)+ROUNDDOWN(VLOOKUP(P419,CHOOSE({1,2},'[1]消耗&amp;价值&amp;分析'!$C$7:$C$106,'[1]消耗&amp;价值&amp;分析'!$AS$7:$AS$106),2,FALSE)*0.6,0)</f>
        <v>13894.716908638973</v>
      </c>
      <c r="AJ419" s="80">
        <v>1</v>
      </c>
      <c r="AK419" s="80">
        <v>1</v>
      </c>
      <c r="AL419" s="80">
        <v>1</v>
      </c>
    </row>
    <row r="420" spans="1:38">
      <c r="A420" s="33" t="str">
        <f>怪物并表!$R$8</f>
        <v>精英副本</v>
      </c>
      <c r="B420" s="38">
        <v>1</v>
      </c>
      <c r="C420" s="33">
        <f t="shared" si="54"/>
        <v>3209</v>
      </c>
      <c r="D420" s="33">
        <v>1</v>
      </c>
      <c r="E420" s="33">
        <f>VLOOKUP(A420,怪物并表!$R$7:$S$14,2,FALSE)</f>
        <v>2</v>
      </c>
      <c r="F420" s="38">
        <v>3</v>
      </c>
      <c r="G420" s="38">
        <v>9</v>
      </c>
      <c r="H420" s="38">
        <v>0</v>
      </c>
      <c r="I420" s="33">
        <f t="shared" si="49"/>
        <v>239001</v>
      </c>
      <c r="J420" s="33" t="s">
        <v>464</v>
      </c>
      <c r="K420" s="33"/>
      <c r="L420" s="33">
        <v>0</v>
      </c>
      <c r="M420" s="33">
        <v>1</v>
      </c>
      <c r="N420" s="33"/>
      <c r="O420" s="33">
        <v>1</v>
      </c>
      <c r="P420" s="33">
        <f>VLOOKUP($C420,CHOOSE({1,2},怪物并表!$E$7:$E$1000,怪物并表!$D$7:$D$1000),2,FALSE)</f>
        <v>39</v>
      </c>
      <c r="Q420" s="33" t="s">
        <v>367</v>
      </c>
      <c r="R420" s="33">
        <f>VLOOKUP(Q420,怪物信息配置表!$A$2:$B$118,2,FALSE)</f>
        <v>1008</v>
      </c>
      <c r="S420" s="33">
        <v>1</v>
      </c>
      <c r="T420" s="110">
        <f>VLOOKUP($C420,怪物并表!$E$7:$N$1000,2+($D420-1)*3,FALSE)*S420*AJ420</f>
        <v>72117.675849242209</v>
      </c>
      <c r="U420" s="110">
        <f>VLOOKUP($C420,怪物并表!$E$7:$N$1000,3+($D420-1)*3,FALSE)*S420*AK420</f>
        <v>3987.1843919090516</v>
      </c>
      <c r="V420" s="110">
        <f>VLOOKUP($C420,怪物并表!$E$7:$N$1000,4+($D420-1)*3,FALSE)*S420*AL420</f>
        <v>1773.0523059050167</v>
      </c>
      <c r="W420" s="33"/>
      <c r="X420" s="33"/>
      <c r="Y420" s="49">
        <f>VLOOKUP($C420,怪物并表!$E$7:$P$1000,12,FALSE)</f>
        <v>0</v>
      </c>
      <c r="Z420" s="49">
        <f>VLOOKUP($C420,怪物并表!$E$7:$P$1000,11,FALSE)*S420</f>
        <v>2612.4920000000002</v>
      </c>
      <c r="AA420" s="33"/>
      <c r="AB420" s="33"/>
      <c r="AC420" s="33"/>
      <c r="AD420" s="33">
        <f t="shared" si="55"/>
        <v>1</v>
      </c>
      <c r="AE420" s="2">
        <f t="shared" si="52"/>
        <v>536.875</v>
      </c>
      <c r="AF420" s="2" t="str">
        <f>IF(ISBLANK(AM420),IF(O420=6,"",IF(O420=1,VLOOKUP(R420,怪物信息配置表!B:H,5,FALSE),IF(O420=2,VLOOKUP(R420,怪物信息配置表!B:H,6,FALSE),IF(OR(O420=3,O420=5),VLOOKUP(R420,怪物信息配置表!B:H,7,FALSE),"")))),AM420)</f>
        <v>ai_monster</v>
      </c>
      <c r="AG420" s="2"/>
      <c r="AH420" s="15">
        <f>SUMPRODUCT(T420:V420,$AN$3:$AP$3)+ROUNDDOWN(VLOOKUP(P420,CHOOSE({1,2},'[1]消耗&amp;价值&amp;分析'!$C$7:$C$106,'[1]消耗&amp;价值&amp;分析'!$AS$7:$AS$106),2,FALSE)*0.6,0)</f>
        <v>10174.943731783756</v>
      </c>
      <c r="AJ420" s="80">
        <v>1</v>
      </c>
      <c r="AK420" s="80">
        <v>1</v>
      </c>
      <c r="AL420" s="80">
        <v>1</v>
      </c>
    </row>
    <row r="421" spans="1:38">
      <c r="A421" s="33" t="str">
        <f>怪物并表!$R$8</f>
        <v>精英副本</v>
      </c>
      <c r="B421" s="38">
        <v>2</v>
      </c>
      <c r="C421" s="33">
        <f t="shared" si="54"/>
        <v>3209</v>
      </c>
      <c r="D421" s="33">
        <v>1</v>
      </c>
      <c r="E421" s="33">
        <f>VLOOKUP(A421,怪物并表!$R$7:$S$14,2,FALSE)</f>
        <v>2</v>
      </c>
      <c r="F421" s="38">
        <v>3</v>
      </c>
      <c r="G421" s="38">
        <v>9</v>
      </c>
      <c r="H421" s="38">
        <v>0</v>
      </c>
      <c r="I421" s="33">
        <f t="shared" si="49"/>
        <v>239002</v>
      </c>
      <c r="J421" s="33" t="s">
        <v>15</v>
      </c>
      <c r="K421" s="33"/>
      <c r="L421" s="33">
        <v>0</v>
      </c>
      <c r="M421" s="33">
        <v>1</v>
      </c>
      <c r="N421" s="33"/>
      <c r="O421" s="33">
        <v>1</v>
      </c>
      <c r="P421" s="33">
        <f>VLOOKUP($C421,CHOOSE({1,2},怪物并表!$E$7:$E$1000,怪物并表!$D$7:$D$1000),2,FALSE)</f>
        <v>39</v>
      </c>
      <c r="Q421" s="33" t="s">
        <v>15</v>
      </c>
      <c r="R421" s="33">
        <f>VLOOKUP(Q421,怪物信息配置表!$A$2:$B$118,2,FALSE)</f>
        <v>1004</v>
      </c>
      <c r="S421" s="33">
        <v>1</v>
      </c>
      <c r="T421" s="110">
        <f>VLOOKUP($C421,怪物并表!$E$7:$N$1000,2+($D421-1)*3,FALSE)*S421*AJ421</f>
        <v>72117.675849242209</v>
      </c>
      <c r="U421" s="110">
        <f>VLOOKUP($C421,怪物并表!$E$7:$N$1000,3+($D421-1)*3,FALSE)*S421*AK421</f>
        <v>3987.1843919090516</v>
      </c>
      <c r="V421" s="110">
        <f>VLOOKUP($C421,怪物并表!$E$7:$N$1000,4+($D421-1)*3,FALSE)*S421*AL421</f>
        <v>1773.0523059050167</v>
      </c>
      <c r="W421" s="33"/>
      <c r="X421" s="33"/>
      <c r="Y421" s="49">
        <f>VLOOKUP($C421,怪物并表!$E$7:$P$1000,12,FALSE)</f>
        <v>0</v>
      </c>
      <c r="Z421" s="49">
        <f>VLOOKUP($C421,怪物并表!$E$7:$P$1000,11,FALSE)*S421</f>
        <v>2612.4920000000002</v>
      </c>
      <c r="AA421" s="33"/>
      <c r="AB421" s="33"/>
      <c r="AC421" s="33"/>
      <c r="AD421" s="33">
        <f t="shared" si="55"/>
        <v>1</v>
      </c>
      <c r="AE421" s="2">
        <f t="shared" si="52"/>
        <v>536.875</v>
      </c>
      <c r="AF421" s="2" t="str">
        <f>IF(ISBLANK(AM421),IF(O421=6,"",IF(O421=1,VLOOKUP(R421,怪物信息配置表!B:H,5,FALSE),IF(O421=2,VLOOKUP(R421,怪物信息配置表!B:H,6,FALSE),IF(OR(O421=3,O421=5),VLOOKUP(R421,怪物信息配置表!B:H,7,FALSE),"")))),AM421)</f>
        <v>ai_monster</v>
      </c>
      <c r="AG421" s="2"/>
      <c r="AH421" s="15">
        <f>SUMPRODUCT(T421:V421,$AN$3:$AP$3)+ROUNDDOWN(VLOOKUP(P421,CHOOSE({1,2},'[1]消耗&amp;价值&amp;分析'!$C$7:$C$106,'[1]消耗&amp;价值&amp;分析'!$AS$7:$AS$106),2,FALSE)*0.6,0)</f>
        <v>10174.943731783756</v>
      </c>
      <c r="AJ421" s="80">
        <v>1</v>
      </c>
      <c r="AK421" s="80">
        <v>1</v>
      </c>
      <c r="AL421" s="80">
        <v>1</v>
      </c>
    </row>
    <row r="422" spans="1:38">
      <c r="A422" s="33" t="str">
        <f>怪物并表!$R$8</f>
        <v>精英副本</v>
      </c>
      <c r="B422" s="38">
        <v>3</v>
      </c>
      <c r="C422" s="33">
        <f t="shared" ref="C422:C423" si="56">1000*F422+200+G422</f>
        <v>3209</v>
      </c>
      <c r="D422" s="33">
        <v>1</v>
      </c>
      <c r="E422" s="33">
        <f>VLOOKUP(A422,怪物并表!$R$7:$S$14,2,FALSE)</f>
        <v>2</v>
      </c>
      <c r="F422" s="38">
        <v>3</v>
      </c>
      <c r="G422" s="38">
        <v>9</v>
      </c>
      <c r="H422" s="38">
        <v>0</v>
      </c>
      <c r="I422" s="33">
        <f t="shared" ref="I422:I485" si="57">SUM(E422*10^5,F422*10^4,G422*10^3,H422*10^2,B422)</f>
        <v>239003</v>
      </c>
      <c r="J422" s="33" t="s">
        <v>46</v>
      </c>
      <c r="K422" s="33"/>
      <c r="L422" s="33">
        <v>0</v>
      </c>
      <c r="M422" s="33">
        <v>1</v>
      </c>
      <c r="N422" s="33"/>
      <c r="O422" s="33">
        <v>1</v>
      </c>
      <c r="P422" s="33">
        <f>VLOOKUP($C422,CHOOSE({1,2},怪物并表!$E$7:$E$1000,怪物并表!$D$7:$D$1000),2,FALSE)</f>
        <v>39</v>
      </c>
      <c r="Q422" s="33" t="s">
        <v>11</v>
      </c>
      <c r="R422" s="33">
        <f>VLOOKUP(Q422,怪物信息配置表!$A$2:$B$118,2,FALSE)</f>
        <v>1011</v>
      </c>
      <c r="S422" s="33">
        <v>1</v>
      </c>
      <c r="T422" s="110">
        <f>VLOOKUP($C422,怪物并表!$E$7:$N$1000,2+($D422-1)*3,FALSE)*S422*AJ422</f>
        <v>72117.675849242209</v>
      </c>
      <c r="U422" s="110">
        <f>VLOOKUP($C422,怪物并表!$E$7:$N$1000,3+($D422-1)*3,FALSE)*S422*AK422</f>
        <v>3987.1843919090516</v>
      </c>
      <c r="V422" s="110">
        <f>VLOOKUP($C422,怪物并表!$E$7:$N$1000,4+($D422-1)*3,FALSE)*S422*AL422</f>
        <v>1773.0523059050167</v>
      </c>
      <c r="W422" s="33"/>
      <c r="X422" s="33"/>
      <c r="Y422" s="49">
        <f>VLOOKUP($C422,怪物并表!$E$7:$P$1000,12,FALSE)</f>
        <v>0</v>
      </c>
      <c r="Z422" s="49">
        <f>VLOOKUP($C422,怪物并表!$E$7:$P$1000,11,FALSE)*S422</f>
        <v>2612.4920000000002</v>
      </c>
      <c r="AA422" s="33"/>
      <c r="AB422" s="33"/>
      <c r="AC422" s="33"/>
      <c r="AD422" s="33">
        <f t="shared" si="55"/>
        <v>1</v>
      </c>
      <c r="AE422" s="2">
        <f t="shared" si="52"/>
        <v>536.875</v>
      </c>
      <c r="AF422" s="2" t="str">
        <f>IF(ISBLANK(AM422),IF(O422=6,"",IF(O422=1,VLOOKUP(R422,怪物信息配置表!B:H,5,FALSE),IF(O422=2,VLOOKUP(R422,怪物信息配置表!B:H,6,FALSE),IF(OR(O422=3,O422=5),VLOOKUP(R422,怪物信息配置表!B:H,7,FALSE),"")))),AM422)</f>
        <v>ai_monster</v>
      </c>
      <c r="AG422" s="2"/>
      <c r="AH422" s="15">
        <f>SUMPRODUCT(T422:V422,$AN$3:$AP$3)+ROUNDDOWN(VLOOKUP(P422,CHOOSE({1,2},'[1]消耗&amp;价值&amp;分析'!$C$7:$C$106,'[1]消耗&amp;价值&amp;分析'!$AS$7:$AS$106),2,FALSE)*0.6,0)</f>
        <v>10174.943731783756</v>
      </c>
      <c r="AJ422" s="80">
        <v>1</v>
      </c>
      <c r="AK422" s="80">
        <v>1</v>
      </c>
      <c r="AL422" s="80">
        <v>1</v>
      </c>
    </row>
    <row r="423" spans="1:38">
      <c r="A423" s="33" t="str">
        <f>怪物并表!$R$8</f>
        <v>精英副本</v>
      </c>
      <c r="B423" s="38">
        <v>4</v>
      </c>
      <c r="C423" s="33">
        <f t="shared" si="56"/>
        <v>3209</v>
      </c>
      <c r="D423" s="33">
        <v>3</v>
      </c>
      <c r="E423" s="33">
        <f>VLOOKUP(A423,怪物并表!$R$7:$S$14,2,FALSE)</f>
        <v>2</v>
      </c>
      <c r="F423" s="38">
        <v>3</v>
      </c>
      <c r="G423" s="38">
        <v>9</v>
      </c>
      <c r="H423" s="38">
        <v>0</v>
      </c>
      <c r="I423" s="33">
        <f t="shared" si="57"/>
        <v>239004</v>
      </c>
      <c r="J423" s="33" t="s">
        <v>504</v>
      </c>
      <c r="K423" s="33"/>
      <c r="L423" s="33">
        <v>1</v>
      </c>
      <c r="M423" s="33">
        <v>1.2</v>
      </c>
      <c r="N423" s="33"/>
      <c r="O423" s="33">
        <v>3</v>
      </c>
      <c r="P423" s="33">
        <f>VLOOKUP($C423,CHOOSE({1,2},怪物并表!$E$7:$E$1000,怪物并表!$D$7:$D$1000),2,FALSE)</f>
        <v>39</v>
      </c>
      <c r="Q423" s="33" t="s">
        <v>19</v>
      </c>
      <c r="R423" s="33">
        <f>VLOOKUP(Q423,怪物信息配置表!$A$2:$B$118,2,FALSE)</f>
        <v>1102</v>
      </c>
      <c r="S423" s="33">
        <v>1</v>
      </c>
      <c r="T423" s="110">
        <f>VLOOKUP($C423,怪物并表!$E$7:$N$1000,2+($D423-1)*3,FALSE)*S423*AJ423</f>
        <v>180294.18962310551</v>
      </c>
      <c r="U423" s="110">
        <f>VLOOKUP($C423,怪物并表!$E$7:$N$1000,3+($D423-1)*3,FALSE)*S423*AK423</f>
        <v>4489.1125526400256</v>
      </c>
      <c r="V423" s="110">
        <f>VLOOKUP($C423,怪物并表!$E$7:$N$1000,4+($D423-1)*3,FALSE)*S423*AL423</f>
        <v>2083.3364594383947</v>
      </c>
      <c r="W423" s="33"/>
      <c r="X423" s="33"/>
      <c r="Y423" s="49">
        <f>VLOOKUP($C423,怪物并表!$E$7:$P$1000,12,FALSE)</f>
        <v>0</v>
      </c>
      <c r="Z423" s="49">
        <f>VLOOKUP($C423,怪物并表!$E$7:$P$1000,11,FALSE)*S423</f>
        <v>2612.4920000000002</v>
      </c>
      <c r="AA423" s="33"/>
      <c r="AB423" s="33"/>
      <c r="AC423" s="33"/>
      <c r="AD423" s="33">
        <f t="shared" si="55"/>
        <v>1.5</v>
      </c>
      <c r="AE423" s="2">
        <f t="shared" si="52"/>
        <v>305.3125</v>
      </c>
      <c r="AF423" s="2" t="str">
        <f>IF(ISBLANK(AM423),IF(O423=6,"",IF(O423=1,VLOOKUP(R423,怪物信息配置表!B:H,5,FALSE),IF(O423=2,VLOOKUP(R423,怪物信息配置表!B:H,6,FALSE),IF(OR(O423=3,O423=5),VLOOKUP(R423,怪物信息配置表!B:H,7,FALSE),"")))),AM423)</f>
        <v>1102_wuya_BOSS</v>
      </c>
      <c r="AG423" s="2"/>
      <c r="AH423" s="15">
        <f>SUMPRODUCT(T423:V423,$AN$3:$AP$3)+ROUNDDOWN(VLOOKUP(P423,CHOOSE({1,2},'[1]消耗&amp;价值&amp;分析'!$C$7:$C$106,'[1]消耗&amp;价值&amp;分析'!$AS$7:$AS$106),2,FALSE)*0.6,0)</f>
        <v>15314.216597002642</v>
      </c>
      <c r="AJ423" s="80">
        <v>1</v>
      </c>
      <c r="AK423" s="80">
        <v>1</v>
      </c>
      <c r="AL423" s="80">
        <v>1</v>
      </c>
    </row>
    <row r="424" spans="1:38">
      <c r="A424" s="33" t="str">
        <f>怪物并表!$R$8</f>
        <v>精英副本</v>
      </c>
      <c r="B424" s="38">
        <v>1</v>
      </c>
      <c r="C424" s="33">
        <f t="shared" si="54"/>
        <v>4201</v>
      </c>
      <c r="D424" s="33">
        <v>2</v>
      </c>
      <c r="E424" s="33">
        <f>VLOOKUP(A424,怪物并表!$R$7:$S$14,2,FALSE)</f>
        <v>2</v>
      </c>
      <c r="F424" s="38">
        <v>4</v>
      </c>
      <c r="G424" s="38">
        <v>1</v>
      </c>
      <c r="H424" s="38">
        <v>0</v>
      </c>
      <c r="I424" s="33">
        <f t="shared" si="57"/>
        <v>241001</v>
      </c>
      <c r="J424" s="33" t="s">
        <v>7</v>
      </c>
      <c r="K424" s="33"/>
      <c r="L424" s="33">
        <v>0</v>
      </c>
      <c r="M424" s="33">
        <v>1</v>
      </c>
      <c r="N424" s="33"/>
      <c r="O424" s="33">
        <v>1</v>
      </c>
      <c r="P424" s="33">
        <f>VLOOKUP($C424,CHOOSE({1,2},怪物并表!$E$7:$E$1000,怪物并表!$D$7:$D$1000),2,FALSE)</f>
        <v>40</v>
      </c>
      <c r="Q424" s="33" t="s">
        <v>7</v>
      </c>
      <c r="R424" s="33">
        <f>VLOOKUP(Q424,怪物信息配置表!$A$2:$B$118,2,FALSE)</f>
        <v>1002</v>
      </c>
      <c r="S424" s="33">
        <v>1</v>
      </c>
      <c r="T424" s="110">
        <f>VLOOKUP($C424,怪物并表!$E$7:$N$1000,2+($D424-1)*3,FALSE)*S424*AJ424</f>
        <v>54809.218802452437</v>
      </c>
      <c r="U424" s="110">
        <f>VLOOKUP($C424,怪物并表!$E$7:$N$1000,3+($D424-1)*3,FALSE)*S424*AK424</f>
        <v>3754.3009127357877</v>
      </c>
      <c r="V424" s="110">
        <f>VLOOKUP($C424,怪物并表!$E$7:$N$1000,4+($D424-1)*3,FALSE)*S424*AL424</f>
        <v>1204.0971290969906</v>
      </c>
      <c r="W424" s="33"/>
      <c r="X424" s="33"/>
      <c r="Y424" s="49">
        <f>VLOOKUP($C424,怪物并表!$E$7:$P$1000,12,FALSE)</f>
        <v>0</v>
      </c>
      <c r="Z424" s="49">
        <f>VLOOKUP($C424,怪物并表!$E$7:$P$1000,11,FALSE)*S424</f>
        <v>2670.72</v>
      </c>
      <c r="AA424" s="33"/>
      <c r="AB424" s="33"/>
      <c r="AC424" s="33"/>
      <c r="AD424" s="33">
        <f t="shared" si="53"/>
        <v>0.8</v>
      </c>
      <c r="AE424" s="2">
        <f t="shared" si="52"/>
        <v>620</v>
      </c>
      <c r="AF424" s="2" t="str">
        <f>IF(ISBLANK(AM424),IF(O424=6,"",IF(O424=1,VLOOKUP(R424,怪物信息配置表!B:H,5,FALSE),IF(O424=2,VLOOKUP(R424,怪物信息配置表!B:H,6,FALSE),IF(OR(O424=3,O424=5),VLOOKUP(R424,怪物信息配置表!B:H,7,FALSE),"")))),AM424)</f>
        <v>ai_monster</v>
      </c>
      <c r="AG424" s="2"/>
      <c r="AH424" s="15">
        <f>SUMPRODUCT(T424:V424,$AN$3:$AP$3)+ROUNDDOWN(VLOOKUP(P424,CHOOSE({1,2},'[1]消耗&amp;价值&amp;分析'!$C$7:$C$106,'[1]消耗&amp;价值&amp;分析'!$AS$7:$AS$106),2,FALSE)*0.6,0)</f>
        <v>8770.7667939308758</v>
      </c>
      <c r="AJ424" s="80">
        <v>1</v>
      </c>
      <c r="AK424" s="80">
        <v>1</v>
      </c>
      <c r="AL424" s="80">
        <v>1</v>
      </c>
    </row>
    <row r="425" spans="1:38">
      <c r="A425" s="33" t="str">
        <f>怪物并表!$R$8</f>
        <v>精英副本</v>
      </c>
      <c r="B425" s="38">
        <v>2</v>
      </c>
      <c r="C425" s="33">
        <f t="shared" si="54"/>
        <v>4201</v>
      </c>
      <c r="D425" s="33">
        <v>2</v>
      </c>
      <c r="E425" s="33">
        <f>VLOOKUP(A425,怪物并表!$R$7:$S$14,2,FALSE)</f>
        <v>2</v>
      </c>
      <c r="F425" s="38">
        <v>4</v>
      </c>
      <c r="G425" s="38">
        <v>1</v>
      </c>
      <c r="H425" s="38">
        <v>0</v>
      </c>
      <c r="I425" s="33">
        <f t="shared" si="57"/>
        <v>241002</v>
      </c>
      <c r="J425" s="33" t="s">
        <v>474</v>
      </c>
      <c r="K425" s="33"/>
      <c r="L425" s="33">
        <v>0</v>
      </c>
      <c r="M425" s="33">
        <v>1</v>
      </c>
      <c r="N425" s="33"/>
      <c r="O425" s="33">
        <v>1</v>
      </c>
      <c r="P425" s="33">
        <f>VLOOKUP($C425,CHOOSE({1,2},怪物并表!$E$7:$E$1000,怪物并表!$D$7:$D$1000),2,FALSE)</f>
        <v>40</v>
      </c>
      <c r="Q425" s="33" t="s">
        <v>17</v>
      </c>
      <c r="R425" s="33">
        <f>VLOOKUP(Q425,怪物信息配置表!$A$2:$B$118,2,FALSE)</f>
        <v>1005</v>
      </c>
      <c r="S425" s="33">
        <v>1</v>
      </c>
      <c r="T425" s="110">
        <f>VLOOKUP($C425,怪物并表!$E$7:$N$1000,2+($D425-1)*3,FALSE)*S425*AJ425</f>
        <v>54809.218802452437</v>
      </c>
      <c r="U425" s="110">
        <f>VLOOKUP($C425,怪物并表!$E$7:$N$1000,3+($D425-1)*3,FALSE)*S425*AK425</f>
        <v>3754.3009127357877</v>
      </c>
      <c r="V425" s="110">
        <f>VLOOKUP($C425,怪物并表!$E$7:$N$1000,4+($D425-1)*3,FALSE)*S425*AL425</f>
        <v>1204.0971290969906</v>
      </c>
      <c r="W425" s="33"/>
      <c r="X425" s="33"/>
      <c r="Y425" s="49">
        <f>VLOOKUP($C425,怪物并表!$E$7:$P$1000,12,FALSE)</f>
        <v>0</v>
      </c>
      <c r="Z425" s="49">
        <f>VLOOKUP($C425,怪物并表!$E$7:$P$1000,11,FALSE)*S425</f>
        <v>2670.72</v>
      </c>
      <c r="AA425" s="33"/>
      <c r="AB425" s="33"/>
      <c r="AC425" s="33"/>
      <c r="AD425" s="33">
        <f t="shared" si="53"/>
        <v>0.8</v>
      </c>
      <c r="AE425" s="2">
        <f t="shared" si="52"/>
        <v>620</v>
      </c>
      <c r="AF425" s="2" t="str">
        <f>IF(ISBLANK(AM425),IF(O425=6,"",IF(O425=1,VLOOKUP(R425,怪物信息配置表!B:H,5,FALSE),IF(O425=2,VLOOKUP(R425,怪物信息配置表!B:H,6,FALSE),IF(OR(O425=3,O425=5),VLOOKUP(R425,怪物信息配置表!B:H,7,FALSE),"")))),AM425)</f>
        <v>ai_monster_02</v>
      </c>
      <c r="AG425" s="2"/>
      <c r="AH425" s="15">
        <f>SUMPRODUCT(T425:V425,$AN$3:$AP$3)+ROUNDDOWN(VLOOKUP(P425,CHOOSE({1,2},'[1]消耗&amp;价值&amp;分析'!$C$7:$C$106,'[1]消耗&amp;价值&amp;分析'!$AS$7:$AS$106),2,FALSE)*0.6,0)</f>
        <v>8770.7667939308758</v>
      </c>
      <c r="AJ425" s="80">
        <v>1</v>
      </c>
      <c r="AK425" s="80">
        <v>1</v>
      </c>
      <c r="AL425" s="80">
        <v>1</v>
      </c>
    </row>
    <row r="426" spans="1:38">
      <c r="A426" s="33" t="str">
        <f>怪物并表!$R$8</f>
        <v>精英副本</v>
      </c>
      <c r="B426" s="38">
        <v>3</v>
      </c>
      <c r="C426" s="33">
        <f t="shared" si="54"/>
        <v>4201</v>
      </c>
      <c r="D426" s="33">
        <v>1</v>
      </c>
      <c r="E426" s="33">
        <f>VLOOKUP(A426,怪物并表!$R$7:$S$14,2,FALSE)</f>
        <v>2</v>
      </c>
      <c r="F426" s="38">
        <v>4</v>
      </c>
      <c r="G426" s="38">
        <v>1</v>
      </c>
      <c r="H426" s="38">
        <v>0</v>
      </c>
      <c r="I426" s="33">
        <f t="shared" si="57"/>
        <v>241003</v>
      </c>
      <c r="J426" s="33" t="s">
        <v>13</v>
      </c>
      <c r="K426" s="33"/>
      <c r="L426" s="33">
        <v>0</v>
      </c>
      <c r="M426" s="33">
        <v>1</v>
      </c>
      <c r="N426" s="33"/>
      <c r="O426" s="33">
        <v>1</v>
      </c>
      <c r="P426" s="33">
        <f>VLOOKUP($C426,CHOOSE({1,2},怪物并表!$E$7:$E$1000,怪物并表!$D$7:$D$1000),2,FALSE)</f>
        <v>40</v>
      </c>
      <c r="Q426" s="33" t="s">
        <v>13</v>
      </c>
      <c r="R426" s="33">
        <f>VLOOKUP(Q426,怪物信息配置表!$A$2:$B$118,2,FALSE)</f>
        <v>1007</v>
      </c>
      <c r="S426" s="33">
        <v>1</v>
      </c>
      <c r="T426" s="110">
        <f>VLOOKUP($C426,怪物并表!$E$7:$N$1000,2+($D426-1)*3,FALSE)*S426*AJ426</f>
        <v>68511.523503065546</v>
      </c>
      <c r="U426" s="110">
        <f>VLOOKUP($C426,怪物并表!$E$7:$N$1000,3+($D426-1)*3,FALSE)*S426*AK426</f>
        <v>3993.0606987290989</v>
      </c>
      <c r="V426" s="110">
        <f>VLOOKUP($C426,怪物并表!$E$7:$N$1000,4+($D426-1)*3,FALSE)*S426*AL426</f>
        <v>1605.4628387959874</v>
      </c>
      <c r="W426" s="33"/>
      <c r="X426" s="33"/>
      <c r="Y426" s="49">
        <f>VLOOKUP($C426,怪物并表!$E$7:$P$1000,12,FALSE)</f>
        <v>0</v>
      </c>
      <c r="Z426" s="49">
        <f>VLOOKUP($C426,怪物并表!$E$7:$P$1000,11,FALSE)*S426</f>
        <v>2670.72</v>
      </c>
      <c r="AA426" s="33"/>
      <c r="AB426" s="33"/>
      <c r="AC426" s="33"/>
      <c r="AD426" s="33">
        <f t="shared" si="53"/>
        <v>1</v>
      </c>
      <c r="AE426" s="2">
        <f t="shared" si="52"/>
        <v>525</v>
      </c>
      <c r="AF426" s="2" t="str">
        <f>IF(ISBLANK(AM426),IF(O426=6,"",IF(O426=1,VLOOKUP(R426,怪物信息配置表!B:H,5,FALSE),IF(O426=2,VLOOKUP(R426,怪物信息配置表!B:H,6,FALSE),IF(OR(O426=3,O426=5),VLOOKUP(R426,怪物信息配置表!B:H,7,FALSE),"")))),AM426)</f>
        <v>ai_monster_03</v>
      </c>
      <c r="AG426" s="2"/>
      <c r="AH426" s="15">
        <f>SUMPRODUCT(T426:V426,$AN$3:$AP$3)+ROUNDDOWN(VLOOKUP(P426,CHOOSE({1,2},'[1]消耗&amp;价值&amp;分析'!$C$7:$C$106,'[1]消耗&amp;价值&amp;分析'!$AS$7:$AS$106),2,FALSE)*0.6,0)</f>
        <v>9958.9844776477075</v>
      </c>
      <c r="AJ426" s="80">
        <v>1</v>
      </c>
      <c r="AK426" s="80">
        <v>1</v>
      </c>
      <c r="AL426" s="80">
        <v>1</v>
      </c>
    </row>
    <row r="427" spans="1:38">
      <c r="A427" s="33" t="str">
        <f>怪物并表!$R$8</f>
        <v>精英副本</v>
      </c>
      <c r="B427" s="38">
        <v>4</v>
      </c>
      <c r="C427" s="33">
        <f t="shared" si="54"/>
        <v>4201</v>
      </c>
      <c r="D427" s="33">
        <v>3</v>
      </c>
      <c r="E427" s="33">
        <f>VLOOKUP(A427,怪物并表!$R$7:$S$14,2,FALSE)</f>
        <v>2</v>
      </c>
      <c r="F427" s="38">
        <v>4</v>
      </c>
      <c r="G427" s="38">
        <v>1</v>
      </c>
      <c r="H427" s="38">
        <v>0</v>
      </c>
      <c r="I427" s="33">
        <f t="shared" si="57"/>
        <v>241004</v>
      </c>
      <c r="J427" s="33" t="s">
        <v>505</v>
      </c>
      <c r="K427" s="33"/>
      <c r="L427" s="33">
        <v>1</v>
      </c>
      <c r="M427" s="33">
        <v>1.2</v>
      </c>
      <c r="N427" s="33"/>
      <c r="O427" s="33">
        <v>3</v>
      </c>
      <c r="P427" s="33">
        <f>VLOOKUP($C427,CHOOSE({1,2},怪物并表!$E$7:$E$1000,怪物并表!$D$7:$D$1000),2,FALSE)</f>
        <v>40</v>
      </c>
      <c r="Q427" s="33" t="s">
        <v>11</v>
      </c>
      <c r="R427" s="33">
        <f>VLOOKUP(Q427,怪物信息配置表!$A$2:$B$118,2,FALSE)</f>
        <v>1011</v>
      </c>
      <c r="S427" s="33">
        <v>1</v>
      </c>
      <c r="T427" s="110">
        <f>VLOOKUP($C427,怪物并表!$E$7:$N$1000,2+($D427-1)*3,FALSE)*S427*AJ427</f>
        <v>171278.80875766388</v>
      </c>
      <c r="U427" s="110">
        <f>VLOOKUP($C427,怪物并表!$E$7:$N$1000,3+($D427-1)*3,FALSE)*S427*AK427</f>
        <v>4470.5802707157218</v>
      </c>
      <c r="V427" s="110">
        <f>VLOOKUP($C427,怪物并表!$E$7:$N$1000,4+($D427-1)*3,FALSE)*S427*AL427</f>
        <v>2006.828548494984</v>
      </c>
      <c r="W427" s="33"/>
      <c r="X427" s="33"/>
      <c r="Y427" s="49">
        <f>VLOOKUP($C427,怪物并表!$E$7:$P$1000,12,FALSE)</f>
        <v>0</v>
      </c>
      <c r="Z427" s="49">
        <f>VLOOKUP($C427,怪物并表!$E$7:$P$1000,11,FALSE)*S427</f>
        <v>2670.72</v>
      </c>
      <c r="AA427" s="33"/>
      <c r="AB427" s="33"/>
      <c r="AC427" s="33"/>
      <c r="AD427" s="33">
        <f t="shared" si="53"/>
        <v>1.5</v>
      </c>
      <c r="AE427" s="2">
        <f t="shared" si="52"/>
        <v>287.5</v>
      </c>
      <c r="AF427" s="2" t="str">
        <f>IF(ISBLANK(AM427),IF(O427=6,"",IF(O427=1,VLOOKUP(R427,怪物信息配置表!B:H,5,FALSE),IF(O427=2,VLOOKUP(R427,怪物信息配置表!B:H,6,FALSE),IF(OR(O427=3,O427=5),VLOOKUP(R427,怪物信息配置表!B:H,7,FALSE),"")))),AM427)</f>
        <v>1011_jichenan_BOSS</v>
      </c>
      <c r="AG427" s="2"/>
      <c r="AH427" s="15">
        <f>SUMPRODUCT(T427:V427,$AN$3:$AP$3)+ROUNDDOWN(VLOOKUP(P427,CHOOSE({1,2},'[1]消耗&amp;价值&amp;分析'!$C$7:$C$106,'[1]消耗&amp;价值&amp;分析'!$AS$7:$AS$106),2,FALSE)*0.6,0)</f>
        <v>14948.561169517263</v>
      </c>
      <c r="AJ427" s="80">
        <v>1</v>
      </c>
      <c r="AK427" s="80">
        <v>1</v>
      </c>
      <c r="AL427" s="80">
        <v>1</v>
      </c>
    </row>
    <row r="428" spans="1:38">
      <c r="A428" s="33" t="str">
        <f>怪物并表!$R$8</f>
        <v>精英副本</v>
      </c>
      <c r="B428" s="38">
        <v>1</v>
      </c>
      <c r="C428" s="33">
        <f t="shared" si="54"/>
        <v>4202</v>
      </c>
      <c r="D428" s="33">
        <v>1</v>
      </c>
      <c r="E428" s="33">
        <f>VLOOKUP(A428,怪物并表!$R$7:$S$14,2,FALSE)</f>
        <v>2</v>
      </c>
      <c r="F428" s="38">
        <v>4</v>
      </c>
      <c r="G428" s="38">
        <v>2</v>
      </c>
      <c r="H428" s="38">
        <v>0</v>
      </c>
      <c r="I428" s="33">
        <f t="shared" si="57"/>
        <v>242001</v>
      </c>
      <c r="J428" s="33" t="s">
        <v>506</v>
      </c>
      <c r="K428" s="33"/>
      <c r="L428" s="33">
        <v>0</v>
      </c>
      <c r="M428" s="33">
        <v>1</v>
      </c>
      <c r="N428" s="33"/>
      <c r="O428" s="33">
        <v>1</v>
      </c>
      <c r="P428" s="33">
        <f>VLOOKUP($C428,CHOOSE({1,2},怪物并表!$E$7:$E$1000,怪物并表!$D$7:$D$1000),2,FALSE)</f>
        <v>41</v>
      </c>
      <c r="Q428" s="33" t="s">
        <v>13</v>
      </c>
      <c r="R428" s="33">
        <f>VLOOKUP(Q428,怪物信息配置表!$A$2:$B$118,2,FALSE)</f>
        <v>1007</v>
      </c>
      <c r="S428" s="33">
        <v>1</v>
      </c>
      <c r="T428" s="110">
        <f>VLOOKUP($C428,怪物并表!$E$7:$N$1000,2+($D428-1)*3,FALSE)*S428*AJ428</f>
        <v>76789.21272317179</v>
      </c>
      <c r="U428" s="110">
        <f>VLOOKUP($C428,怪物并表!$E$7:$N$1000,3+($D428-1)*3,FALSE)*S428*AK428</f>
        <v>4464.6809817880139</v>
      </c>
      <c r="V428" s="110">
        <f>VLOOKUP($C428,怪物并表!$E$7:$N$1000,4+($D428-1)*3,FALSE)*S428*AL428</f>
        <v>1783.3962054695658</v>
      </c>
      <c r="W428" s="33"/>
      <c r="X428" s="33"/>
      <c r="Y428" s="49">
        <f>VLOOKUP($C428,怪物并表!$E$7:$P$1000,12,FALSE)</f>
        <v>0</v>
      </c>
      <c r="Z428" s="49">
        <f>VLOOKUP($C428,怪物并表!$E$7:$P$1000,11,FALSE)*S428</f>
        <v>2728.9480000000003</v>
      </c>
      <c r="AA428" s="33"/>
      <c r="AB428" s="33"/>
      <c r="AC428" s="33"/>
      <c r="AD428" s="33">
        <f t="shared" si="53"/>
        <v>1</v>
      </c>
      <c r="AE428" s="2">
        <f t="shared" si="52"/>
        <v>513.125</v>
      </c>
      <c r="AF428" s="2" t="str">
        <f>IF(ISBLANK(AM428),IF(O428=6,"",IF(O428=1,VLOOKUP(R428,怪物信息配置表!B:H,5,FALSE),IF(O428=2,VLOOKUP(R428,怪物信息配置表!B:H,6,FALSE),IF(OR(O428=3,O428=5),VLOOKUP(R428,怪物信息配置表!B:H,7,FALSE),"")))),AM428)</f>
        <v>ai_monster_03</v>
      </c>
      <c r="AG428" s="2"/>
      <c r="AH428" s="15">
        <f>SUMPRODUCT(T428:V428,$AN$3:$AP$3)+ROUNDDOWN(VLOOKUP(P428,CHOOSE({1,2},'[1]消耗&amp;价值&amp;分析'!$C$7:$C$106,'[1]消耗&amp;价值&amp;分析'!$AS$7:$AS$106),2,FALSE)*0.6,0)</f>
        <v>11023.645696184452</v>
      </c>
      <c r="AJ428" s="80">
        <v>1</v>
      </c>
      <c r="AK428" s="80">
        <v>1</v>
      </c>
      <c r="AL428" s="80">
        <v>1</v>
      </c>
    </row>
    <row r="429" spans="1:38">
      <c r="A429" s="33" t="str">
        <f>怪物并表!$R$8</f>
        <v>精英副本</v>
      </c>
      <c r="B429" s="38">
        <v>2</v>
      </c>
      <c r="C429" s="33">
        <f t="shared" si="54"/>
        <v>4202</v>
      </c>
      <c r="D429" s="33">
        <v>2</v>
      </c>
      <c r="E429" s="33">
        <f>VLOOKUP(A429,怪物并表!$R$7:$S$14,2,FALSE)</f>
        <v>2</v>
      </c>
      <c r="F429" s="38">
        <v>4</v>
      </c>
      <c r="G429" s="38">
        <v>2</v>
      </c>
      <c r="H429" s="38">
        <v>0</v>
      </c>
      <c r="I429" s="33">
        <f t="shared" si="57"/>
        <v>242002</v>
      </c>
      <c r="J429" s="33" t="s">
        <v>477</v>
      </c>
      <c r="K429" s="33"/>
      <c r="L429" s="33">
        <v>0</v>
      </c>
      <c r="M429" s="33">
        <v>1</v>
      </c>
      <c r="N429" s="33"/>
      <c r="O429" s="33">
        <v>1</v>
      </c>
      <c r="P429" s="33">
        <f>VLOOKUP($C429,CHOOSE({1,2},怪物并表!$E$7:$E$1000,怪物并表!$D$7:$D$1000),2,FALSE)</f>
        <v>41</v>
      </c>
      <c r="Q429" s="33" t="s">
        <v>15</v>
      </c>
      <c r="R429" s="33">
        <f>VLOOKUP(Q429,怪物信息配置表!$A$2:$B$118,2,FALSE)</f>
        <v>1004</v>
      </c>
      <c r="S429" s="33">
        <v>1</v>
      </c>
      <c r="T429" s="110">
        <f>VLOOKUP($C429,怪物并表!$E$7:$N$1000,2+($D429-1)*3,FALSE)*S429*AJ429</f>
        <v>61431.370178537429</v>
      </c>
      <c r="U429" s="110">
        <f>VLOOKUP($C429,怪物并表!$E$7:$N$1000,3+($D429-1)*3,FALSE)*S429*AK429</f>
        <v>4192.2027573135601</v>
      </c>
      <c r="V429" s="110">
        <f>VLOOKUP($C429,怪物并表!$E$7:$N$1000,4+($D429-1)*3,FALSE)*S429*AL429</f>
        <v>1357.1210148939135</v>
      </c>
      <c r="W429" s="33"/>
      <c r="X429" s="33"/>
      <c r="Y429" s="49">
        <f>VLOOKUP($C429,怪物并表!$E$7:$P$1000,12,FALSE)</f>
        <v>0</v>
      </c>
      <c r="Z429" s="49">
        <f>VLOOKUP($C429,怪物并表!$E$7:$P$1000,11,FALSE)*S429</f>
        <v>2728.9480000000003</v>
      </c>
      <c r="AA429" s="33"/>
      <c r="AB429" s="33"/>
      <c r="AC429" s="33"/>
      <c r="AD429" s="33">
        <f t="shared" si="53"/>
        <v>0.8</v>
      </c>
      <c r="AE429" s="2">
        <f t="shared" si="52"/>
        <v>610.5</v>
      </c>
      <c r="AF429" s="2" t="str">
        <f>IF(ISBLANK(AM429),IF(O429=6,"",IF(O429=1,VLOOKUP(R429,怪物信息配置表!B:H,5,FALSE),IF(O429=2,VLOOKUP(R429,怪物信息配置表!B:H,6,FALSE),IF(OR(O429=3,O429=5),VLOOKUP(R429,怪物信息配置表!B:H,7,FALSE),"")))),AM429)</f>
        <v>ai_monster</v>
      </c>
      <c r="AG429" s="2"/>
      <c r="AH429" s="15">
        <f>SUMPRODUCT(T429:V429,$AN$3:$AP$3)+ROUNDDOWN(VLOOKUP(P429,CHOOSE({1,2},'[1]消耗&amp;价值&amp;分析'!$C$7:$C$106,'[1]消耗&amp;价值&amp;分析'!$AS$7:$AS$106),2,FALSE)*0.6,0)</f>
        <v>9710.5785793489704</v>
      </c>
      <c r="AJ429" s="80">
        <v>1</v>
      </c>
      <c r="AK429" s="80">
        <v>1</v>
      </c>
      <c r="AL429" s="80">
        <v>1</v>
      </c>
    </row>
    <row r="430" spans="1:38">
      <c r="A430" s="33" t="str">
        <f>怪物并表!$R$8</f>
        <v>精英副本</v>
      </c>
      <c r="B430" s="38">
        <v>3</v>
      </c>
      <c r="C430" s="33">
        <f t="shared" si="54"/>
        <v>4202</v>
      </c>
      <c r="D430" s="33">
        <v>2</v>
      </c>
      <c r="E430" s="33">
        <f>VLOOKUP(A430,怪物并表!$R$7:$S$14,2,FALSE)</f>
        <v>2</v>
      </c>
      <c r="F430" s="38">
        <v>4</v>
      </c>
      <c r="G430" s="38">
        <v>2</v>
      </c>
      <c r="H430" s="38">
        <v>0</v>
      </c>
      <c r="I430" s="33">
        <f t="shared" si="57"/>
        <v>242003</v>
      </c>
      <c r="J430" s="33" t="s">
        <v>36</v>
      </c>
      <c r="K430" s="33"/>
      <c r="L430" s="33">
        <v>0</v>
      </c>
      <c r="M430" s="33">
        <v>1</v>
      </c>
      <c r="N430" s="33"/>
      <c r="O430" s="33">
        <v>1</v>
      </c>
      <c r="P430" s="33">
        <f>VLOOKUP($C430,CHOOSE({1,2},怪物并表!$E$7:$E$1000,怪物并表!$D$7:$D$1000),2,FALSE)</f>
        <v>41</v>
      </c>
      <c r="Q430" s="33" t="s">
        <v>9</v>
      </c>
      <c r="R430" s="33">
        <f>VLOOKUP(Q430,怪物信息配置表!$A$2:$B$118,2,FALSE)</f>
        <v>1003</v>
      </c>
      <c r="S430" s="33">
        <v>1</v>
      </c>
      <c r="T430" s="110">
        <f>VLOOKUP($C430,怪物并表!$E$7:$N$1000,2+($D430-1)*3,FALSE)*S430*AJ430</f>
        <v>61431.370178537429</v>
      </c>
      <c r="U430" s="110">
        <f>VLOOKUP($C430,怪物并表!$E$7:$N$1000,3+($D430-1)*3,FALSE)*S430*AK430</f>
        <v>4192.2027573135601</v>
      </c>
      <c r="V430" s="110">
        <f>VLOOKUP($C430,怪物并表!$E$7:$N$1000,4+($D430-1)*3,FALSE)*S430*AL430</f>
        <v>1357.1210148939135</v>
      </c>
      <c r="W430" s="33"/>
      <c r="X430" s="33"/>
      <c r="Y430" s="49">
        <f>VLOOKUP($C430,怪物并表!$E$7:$P$1000,12,FALSE)</f>
        <v>0</v>
      </c>
      <c r="Z430" s="49">
        <f>VLOOKUP($C430,怪物并表!$E$7:$P$1000,11,FALSE)*S430</f>
        <v>2728.9480000000003</v>
      </c>
      <c r="AA430" s="33"/>
      <c r="AB430" s="33"/>
      <c r="AC430" s="33"/>
      <c r="AD430" s="33">
        <f t="shared" si="53"/>
        <v>0.8</v>
      </c>
      <c r="AE430" s="2">
        <f t="shared" si="52"/>
        <v>610.5</v>
      </c>
      <c r="AF430" s="2" t="str">
        <f>IF(ISBLANK(AM430),IF(O430=6,"",IF(O430=1,VLOOKUP(R430,怪物信息配置表!B:H,5,FALSE),IF(O430=2,VLOOKUP(R430,怪物信息配置表!B:H,6,FALSE),IF(OR(O430=3,O430=5),VLOOKUP(R430,怪物信息配置表!B:H,7,FALSE),"")))),AM430)</f>
        <v>ai_monster_02</v>
      </c>
      <c r="AG430" s="2"/>
      <c r="AH430" s="15">
        <f>SUMPRODUCT(T430:V430,$AN$3:$AP$3)+ROUNDDOWN(VLOOKUP(P430,CHOOSE({1,2},'[1]消耗&amp;价值&amp;分析'!$C$7:$C$106,'[1]消耗&amp;价值&amp;分析'!$AS$7:$AS$106),2,FALSE)*0.6,0)</f>
        <v>9710.5785793489704</v>
      </c>
      <c r="AJ430" s="80">
        <v>1</v>
      </c>
      <c r="AK430" s="80">
        <v>1</v>
      </c>
      <c r="AL430" s="80">
        <v>1</v>
      </c>
    </row>
    <row r="431" spans="1:38">
      <c r="A431" s="33" t="str">
        <f>怪物并表!$R$8</f>
        <v>精英副本</v>
      </c>
      <c r="B431" s="38">
        <v>4</v>
      </c>
      <c r="C431" s="33">
        <f t="shared" si="54"/>
        <v>4202</v>
      </c>
      <c r="D431" s="33">
        <v>3</v>
      </c>
      <c r="E431" s="33">
        <f>VLOOKUP(A431,怪物并表!$R$7:$S$14,2,FALSE)</f>
        <v>2</v>
      </c>
      <c r="F431" s="38">
        <v>4</v>
      </c>
      <c r="G431" s="38">
        <v>2</v>
      </c>
      <c r="H431" s="38">
        <v>0</v>
      </c>
      <c r="I431" s="33">
        <f t="shared" si="57"/>
        <v>242004</v>
      </c>
      <c r="J431" s="33" t="s">
        <v>543</v>
      </c>
      <c r="K431" s="33"/>
      <c r="L431" s="33">
        <v>1</v>
      </c>
      <c r="M431" s="33">
        <v>1.2</v>
      </c>
      <c r="N431" s="33"/>
      <c r="O431" s="33">
        <v>3</v>
      </c>
      <c r="P431" s="33">
        <f>VLOOKUP($C431,CHOOSE({1,2},怪物并表!$E$7:$E$1000,怪物并表!$D$7:$D$1000),2,FALSE)</f>
        <v>41</v>
      </c>
      <c r="Q431" s="33" t="s">
        <v>14</v>
      </c>
      <c r="R431" s="33">
        <f>VLOOKUP(Q431,怪物信息配置表!$A$2:$B$118,2,FALSE)</f>
        <v>1010</v>
      </c>
      <c r="S431" s="33">
        <v>1</v>
      </c>
      <c r="T431" s="110">
        <f>VLOOKUP($C431,怪物并表!$E$7:$N$1000,2+($D431-1)*3,FALSE)*S431*AJ431</f>
        <v>191973.03180792945</v>
      </c>
      <c r="U431" s="110">
        <f>VLOOKUP($C431,怪物并表!$E$7:$N$1000,3+($D431-1)*3,FALSE)*S431*AK431</f>
        <v>5009.6374307369206</v>
      </c>
      <c r="V431" s="110">
        <f>VLOOKUP($C431,怪物并表!$E$7:$N$1000,4+($D431-1)*3,FALSE)*S431*AL431</f>
        <v>2209.671396045218</v>
      </c>
      <c r="W431" s="33"/>
      <c r="X431" s="33"/>
      <c r="Y431" s="49">
        <f>VLOOKUP($C431,怪物并表!$E$7:$P$1000,12,FALSE)</f>
        <v>0</v>
      </c>
      <c r="Z431" s="49">
        <f>VLOOKUP($C431,怪物并表!$E$7:$P$1000,11,FALSE)*S431</f>
        <v>2728.9480000000003</v>
      </c>
      <c r="AA431" s="33"/>
      <c r="AB431" s="33"/>
      <c r="AC431" s="33"/>
      <c r="AD431" s="33">
        <f t="shared" si="53"/>
        <v>1.5</v>
      </c>
      <c r="AE431" s="2">
        <f t="shared" si="52"/>
        <v>269.6875</v>
      </c>
      <c r="AF431" s="2" t="str">
        <f>IF(ISBLANK(AM431),IF(O431=6,"",IF(O431=1,VLOOKUP(R431,怪物信息配置表!B:H,5,FALSE),IF(O431=2,VLOOKUP(R431,怪物信息配置表!B:H,6,FALSE),IF(OR(O431=3,O431=5),VLOOKUP(R431,怪物信息配置表!B:H,7,FALSE),"")))),AM431)</f>
        <v>1010_gunnan_BOSS</v>
      </c>
      <c r="AG431" s="2"/>
      <c r="AH431" s="15">
        <f>SUMPRODUCT(T431:V431,$AN$3:$AP$3)+ROUNDDOWN(VLOOKUP(P431,CHOOSE({1,2},'[1]消耗&amp;价值&amp;分析'!$C$7:$C$106,'[1]消耗&amp;价值&amp;分析'!$AS$7:$AS$106),2,FALSE)*0.6,0)</f>
        <v>16602.230099099317</v>
      </c>
      <c r="AJ431" s="80">
        <v>1</v>
      </c>
      <c r="AK431" s="80">
        <v>1</v>
      </c>
      <c r="AL431" s="80">
        <v>1</v>
      </c>
    </row>
    <row r="432" spans="1:38">
      <c r="A432" s="33" t="str">
        <f>怪物并表!$R$8</f>
        <v>精英副本</v>
      </c>
      <c r="B432" s="38">
        <v>1</v>
      </c>
      <c r="C432" s="33">
        <f t="shared" si="54"/>
        <v>4203</v>
      </c>
      <c r="D432" s="33">
        <v>1</v>
      </c>
      <c r="E432" s="33">
        <f>VLOOKUP(A432,怪物并表!$R$7:$S$14,2,FALSE)</f>
        <v>2</v>
      </c>
      <c r="F432" s="38">
        <v>4</v>
      </c>
      <c r="G432" s="38">
        <v>3</v>
      </c>
      <c r="H432" s="38">
        <v>0</v>
      </c>
      <c r="I432" s="33">
        <f t="shared" si="57"/>
        <v>243001</v>
      </c>
      <c r="J432" s="33" t="s">
        <v>478</v>
      </c>
      <c r="K432" s="33"/>
      <c r="L432" s="33">
        <v>0</v>
      </c>
      <c r="M432" s="33">
        <v>1</v>
      </c>
      <c r="N432" s="33"/>
      <c r="O432" s="33">
        <v>1</v>
      </c>
      <c r="P432" s="33">
        <f>VLOOKUP($C432,CHOOSE({1,2},怪物并表!$E$7:$E$1000,怪物并表!$D$7:$D$1000),2,FALSE)</f>
        <v>42</v>
      </c>
      <c r="Q432" s="33" t="s">
        <v>18</v>
      </c>
      <c r="R432" s="33">
        <f>VLOOKUP(Q432,怪物信息配置表!$A$2:$B$118,2,FALSE)</f>
        <v>1006</v>
      </c>
      <c r="S432" s="33">
        <v>1</v>
      </c>
      <c r="T432" s="110">
        <f>VLOOKUP($C432,怪物并表!$E$7:$N$1000,2+($D432-1)*3,FALSE)*S432*AJ432</f>
        <v>85803.35534047363</v>
      </c>
      <c r="U432" s="110">
        <f>VLOOKUP($C432,怪物并表!$E$7:$N$1000,3+($D432-1)*3,FALSE)*S432*AK432</f>
        <v>4980.4926698894378</v>
      </c>
      <c r="V432" s="110">
        <f>VLOOKUP($C432,怪物并表!$E$7:$N$1000,4+($D432-1)*3,FALSE)*S432*AL432</f>
        <v>1975.0337944615399</v>
      </c>
      <c r="W432" s="33"/>
      <c r="X432" s="33"/>
      <c r="Y432" s="49">
        <f>VLOOKUP($C432,怪物并表!$E$7:$P$1000,12,FALSE)</f>
        <v>0</v>
      </c>
      <c r="Z432" s="49">
        <f>VLOOKUP($C432,怪物并表!$E$7:$P$1000,11,FALSE)*S432</f>
        <v>2787.1759999999999</v>
      </c>
      <c r="AA432" s="33"/>
      <c r="AB432" s="33"/>
      <c r="AC432" s="33"/>
      <c r="AD432" s="33">
        <f t="shared" si="53"/>
        <v>1</v>
      </c>
      <c r="AE432" s="2">
        <f t="shared" si="52"/>
        <v>501.25</v>
      </c>
      <c r="AF432" s="2" t="str">
        <f>IF(ISBLANK(AM432),IF(O432=6,"",IF(O432=1,VLOOKUP(R432,怪物信息配置表!B:H,5,FALSE),IF(O432=2,VLOOKUP(R432,怪物信息配置表!B:H,6,FALSE),IF(OR(O432=3,O432=5),VLOOKUP(R432,怪物信息配置表!B:H,7,FALSE),"")))),AM432)</f>
        <v>ai_monster_03</v>
      </c>
      <c r="AG432" s="2"/>
      <c r="AH432" s="15">
        <f>SUMPRODUCT(T432:V432,$AN$3:$AP$3)+ROUNDDOWN(VLOOKUP(P432,CHOOSE({1,2},'[1]消耗&amp;价值&amp;分析'!$C$7:$C$106,'[1]消耗&amp;价值&amp;分析'!$AS$7:$AS$106),2,FALSE)*0.6,0)</f>
        <v>12199.660677969923</v>
      </c>
      <c r="AJ432" s="80">
        <v>1</v>
      </c>
      <c r="AK432" s="80">
        <v>1</v>
      </c>
      <c r="AL432" s="80">
        <v>1</v>
      </c>
    </row>
    <row r="433" spans="1:38">
      <c r="A433" s="33" t="str">
        <f>怪物并表!$R$8</f>
        <v>精英副本</v>
      </c>
      <c r="B433" s="38">
        <v>2</v>
      </c>
      <c r="C433" s="33">
        <f t="shared" si="54"/>
        <v>4203</v>
      </c>
      <c r="D433" s="33">
        <v>1</v>
      </c>
      <c r="E433" s="33">
        <f>VLOOKUP(A433,怪物并表!$R$7:$S$14,2,FALSE)</f>
        <v>2</v>
      </c>
      <c r="F433" s="38">
        <v>4</v>
      </c>
      <c r="G433" s="38">
        <v>3</v>
      </c>
      <c r="H433" s="38">
        <v>0</v>
      </c>
      <c r="I433" s="33">
        <f t="shared" si="57"/>
        <v>243002</v>
      </c>
      <c r="J433" s="33" t="s">
        <v>479</v>
      </c>
      <c r="K433" s="33"/>
      <c r="L433" s="33">
        <v>0</v>
      </c>
      <c r="M433" s="33">
        <v>1</v>
      </c>
      <c r="N433" s="33"/>
      <c r="O433" s="33">
        <v>1</v>
      </c>
      <c r="P433" s="33">
        <f>VLOOKUP($C433,CHOOSE({1,2},怪物并表!$E$7:$E$1000,怪物并表!$D$7:$D$1000),2,FALSE)</f>
        <v>42</v>
      </c>
      <c r="Q433" s="33" t="s">
        <v>7</v>
      </c>
      <c r="R433" s="33">
        <f>VLOOKUP(Q433,怪物信息配置表!$A$2:$B$118,2,FALSE)</f>
        <v>1002</v>
      </c>
      <c r="S433" s="33">
        <v>1</v>
      </c>
      <c r="T433" s="110">
        <f>VLOOKUP($C433,怪物并表!$E$7:$N$1000,2+($D433-1)*3,FALSE)*S433*AJ433</f>
        <v>85803.35534047363</v>
      </c>
      <c r="U433" s="110">
        <f>VLOOKUP($C433,怪物并表!$E$7:$N$1000,3+($D433-1)*3,FALSE)*S433*AK433</f>
        <v>4980.4926698894378</v>
      </c>
      <c r="V433" s="110">
        <f>VLOOKUP($C433,怪物并表!$E$7:$N$1000,4+($D433-1)*3,FALSE)*S433*AL433</f>
        <v>1975.0337944615399</v>
      </c>
      <c r="W433" s="33"/>
      <c r="X433" s="33"/>
      <c r="Y433" s="49">
        <f>VLOOKUP($C433,怪物并表!$E$7:$P$1000,12,FALSE)</f>
        <v>0</v>
      </c>
      <c r="Z433" s="49">
        <f>VLOOKUP($C433,怪物并表!$E$7:$P$1000,11,FALSE)*S433</f>
        <v>2787.1759999999999</v>
      </c>
      <c r="AA433" s="33"/>
      <c r="AB433" s="33"/>
      <c r="AC433" s="33"/>
      <c r="AD433" s="33">
        <f t="shared" si="53"/>
        <v>1</v>
      </c>
      <c r="AE433" s="2">
        <f t="shared" si="52"/>
        <v>501.25</v>
      </c>
      <c r="AF433" s="2" t="str">
        <f>IF(ISBLANK(AM433),IF(O433=6,"",IF(O433=1,VLOOKUP(R433,怪物信息配置表!B:H,5,FALSE),IF(O433=2,VLOOKUP(R433,怪物信息配置表!B:H,6,FALSE),IF(OR(O433=3,O433=5),VLOOKUP(R433,怪物信息配置表!B:H,7,FALSE),"")))),AM433)</f>
        <v>ai_monster</v>
      </c>
      <c r="AG433" s="2"/>
      <c r="AH433" s="15">
        <f>SUMPRODUCT(T433:V433,$AN$3:$AP$3)+ROUNDDOWN(VLOOKUP(P433,CHOOSE({1,2},'[1]消耗&amp;价值&amp;分析'!$C$7:$C$106,'[1]消耗&amp;价值&amp;分析'!$AS$7:$AS$106),2,FALSE)*0.6,0)</f>
        <v>12199.660677969923</v>
      </c>
      <c r="AJ433" s="80">
        <v>1</v>
      </c>
      <c r="AK433" s="80">
        <v>1</v>
      </c>
      <c r="AL433" s="80">
        <v>1</v>
      </c>
    </row>
    <row r="434" spans="1:38">
      <c r="A434" s="33" t="str">
        <f>怪物并表!$R$8</f>
        <v>精英副本</v>
      </c>
      <c r="B434" s="38">
        <v>3</v>
      </c>
      <c r="C434" s="33">
        <f t="shared" si="54"/>
        <v>4203</v>
      </c>
      <c r="D434" s="33">
        <v>2</v>
      </c>
      <c r="E434" s="33">
        <f>VLOOKUP(A434,怪物并表!$R$7:$S$14,2,FALSE)</f>
        <v>2</v>
      </c>
      <c r="F434" s="38">
        <v>4</v>
      </c>
      <c r="G434" s="38">
        <v>3</v>
      </c>
      <c r="H434" s="38">
        <v>0</v>
      </c>
      <c r="I434" s="33">
        <f t="shared" si="57"/>
        <v>243003</v>
      </c>
      <c r="J434" s="33" t="s">
        <v>214</v>
      </c>
      <c r="K434" s="33"/>
      <c r="L434" s="33">
        <v>0</v>
      </c>
      <c r="M434" s="33">
        <v>1</v>
      </c>
      <c r="N434" s="33"/>
      <c r="O434" s="33">
        <v>1</v>
      </c>
      <c r="P434" s="33">
        <f>VLOOKUP($C434,CHOOSE({1,2},怪物并表!$E$7:$E$1000,怪物并表!$D$7:$D$1000),2,FALSE)</f>
        <v>42</v>
      </c>
      <c r="Q434" s="33" t="s">
        <v>367</v>
      </c>
      <c r="R434" s="33">
        <f>VLOOKUP(Q434,怪物信息配置表!$A$2:$B$118,2,FALSE)</f>
        <v>1008</v>
      </c>
      <c r="S434" s="33">
        <v>1</v>
      </c>
      <c r="T434" s="110">
        <f>VLOOKUP($C434,怪物并表!$E$7:$N$1000,2+($D434-1)*3,FALSE)*S434*AJ434</f>
        <v>68642.684272378916</v>
      </c>
      <c r="U434" s="110">
        <f>VLOOKUP($C434,怪物并表!$E$7:$N$1000,3+($D434-1)*3,FALSE)*S434*AK434</f>
        <v>4670.5418595158781</v>
      </c>
      <c r="V434" s="110">
        <f>VLOOKUP($C434,怪物并表!$E$7:$N$1000,4+($D434-1)*3,FALSE)*S434*AL434</f>
        <v>1523.5974985846169</v>
      </c>
      <c r="W434" s="33"/>
      <c r="X434" s="33"/>
      <c r="Y434" s="49">
        <f>VLOOKUP($C434,怪物并表!$E$7:$P$1000,12,FALSE)</f>
        <v>0</v>
      </c>
      <c r="Z434" s="49">
        <f>VLOOKUP($C434,怪物并表!$E$7:$P$1000,11,FALSE)*S434</f>
        <v>2787.1759999999999</v>
      </c>
      <c r="AA434" s="33"/>
      <c r="AB434" s="33"/>
      <c r="AC434" s="33"/>
      <c r="AD434" s="33">
        <f t="shared" si="53"/>
        <v>0.8</v>
      </c>
      <c r="AE434" s="2">
        <f t="shared" si="52"/>
        <v>601</v>
      </c>
      <c r="AF434" s="2" t="str">
        <f>IF(ISBLANK(AM434),IF(O434=6,"",IF(O434=1,VLOOKUP(R434,怪物信息配置表!B:H,5,FALSE),IF(O434=2,VLOOKUP(R434,怪物信息配置表!B:H,6,FALSE),IF(OR(O434=3,O434=5),VLOOKUP(R434,怪物信息配置表!B:H,7,FALSE),"")))),AM434)</f>
        <v>ai_monster</v>
      </c>
      <c r="AG434" s="2"/>
      <c r="AH434" s="15">
        <f>SUMPRODUCT(T434:V434,$AN$3:$AP$3)+ROUNDDOWN(VLOOKUP(P434,CHOOSE({1,2},'[1]消耗&amp;价值&amp;分析'!$C$7:$C$106,'[1]消耗&amp;价值&amp;分析'!$AS$7:$AS$106),2,FALSE)*0.6,0)</f>
        <v>10751.846728995652</v>
      </c>
      <c r="AJ434" s="80">
        <v>1</v>
      </c>
      <c r="AK434" s="80">
        <v>1</v>
      </c>
      <c r="AL434" s="80">
        <v>1</v>
      </c>
    </row>
    <row r="435" spans="1:38">
      <c r="A435" s="33" t="str">
        <f>怪物并表!$R$8</f>
        <v>精英副本</v>
      </c>
      <c r="B435" s="38">
        <v>4</v>
      </c>
      <c r="C435" s="33">
        <f t="shared" si="54"/>
        <v>4203</v>
      </c>
      <c r="D435" s="33">
        <v>3</v>
      </c>
      <c r="E435" s="33">
        <f>VLOOKUP(A435,怪物并表!$R$7:$S$14,2,FALSE)</f>
        <v>2</v>
      </c>
      <c r="F435" s="38">
        <v>4</v>
      </c>
      <c r="G435" s="38">
        <v>3</v>
      </c>
      <c r="H435" s="38">
        <v>0</v>
      </c>
      <c r="I435" s="33">
        <f t="shared" si="57"/>
        <v>243004</v>
      </c>
      <c r="J435" s="33" t="s">
        <v>544</v>
      </c>
      <c r="K435" s="33"/>
      <c r="L435" s="33">
        <v>1</v>
      </c>
      <c r="M435" s="33">
        <v>1.4</v>
      </c>
      <c r="N435" s="33"/>
      <c r="O435" s="33">
        <v>3</v>
      </c>
      <c r="P435" s="33">
        <f>VLOOKUP($C435,CHOOSE({1,2},怪物并表!$E$7:$E$1000,怪物并表!$D$7:$D$1000),2,FALSE)</f>
        <v>42</v>
      </c>
      <c r="Q435" s="33" t="s">
        <v>10</v>
      </c>
      <c r="R435" s="33">
        <f>VLOOKUP(Q435,怪物信息配置表!$A$2:$B$118,2,FALSE)</f>
        <v>1001</v>
      </c>
      <c r="S435" s="33">
        <v>1</v>
      </c>
      <c r="T435" s="110">
        <f>VLOOKUP($C435,怪物并表!$E$7:$N$1000,2+($D435-1)*3,FALSE)*S435*AJ435</f>
        <v>214508.38835118408</v>
      </c>
      <c r="U435" s="110">
        <f>VLOOKUP($C435,怪物并表!$E$7:$N$1000,3+($D435-1)*3,FALSE)*S435*AK435</f>
        <v>5600.3942906365555</v>
      </c>
      <c r="V435" s="110">
        <f>VLOOKUP($C435,怪物并表!$E$7:$N$1000,4+($D435-1)*3,FALSE)*S435*AL435</f>
        <v>2426.4700903384628</v>
      </c>
      <c r="W435" s="33"/>
      <c r="X435" s="33"/>
      <c r="Y435" s="49">
        <f>VLOOKUP($C435,怪物并表!$E$7:$P$1000,12,FALSE)</f>
        <v>0</v>
      </c>
      <c r="Z435" s="49">
        <f>VLOOKUP($C435,怪物并表!$E$7:$P$1000,11,FALSE)*S435</f>
        <v>2787.1759999999999</v>
      </c>
      <c r="AA435" s="33"/>
      <c r="AB435" s="33"/>
      <c r="AC435" s="33"/>
      <c r="AD435" s="33">
        <f t="shared" si="53"/>
        <v>1.5</v>
      </c>
      <c r="AE435" s="2">
        <f t="shared" si="52"/>
        <v>251.875</v>
      </c>
      <c r="AF435" s="2" t="str">
        <f>IF(ISBLANK(AM435),IF(O435=6,"",IF(O435=1,VLOOKUP(R435,怪物信息配置表!B:H,5,FALSE),IF(O435=2,VLOOKUP(R435,怪物信息配置表!B:H,6,FALSE),IF(OR(O435=3,O435=5),VLOOKUP(R435,怪物信息配置表!B:H,7,FALSE),"")))),AM435)</f>
        <v>1001_quanbing_BOSS</v>
      </c>
      <c r="AG435" s="2"/>
      <c r="AH435" s="15">
        <f>SUMPRODUCT(T435:V435,$AN$3:$AP$3)+ROUNDDOWN(VLOOKUP(P435,CHOOSE({1,2},'[1]消耗&amp;价值&amp;分析'!$C$7:$C$106,'[1]消耗&amp;价值&amp;分析'!$AS$7:$AS$106),2,FALSE)*0.6,0)</f>
        <v>18419.199915022382</v>
      </c>
      <c r="AJ435" s="80">
        <v>1</v>
      </c>
      <c r="AK435" s="80">
        <v>1</v>
      </c>
      <c r="AL435" s="80">
        <v>1</v>
      </c>
    </row>
    <row r="436" spans="1:38">
      <c r="A436" s="33" t="str">
        <f>怪物并表!$R$8</f>
        <v>精英副本</v>
      </c>
      <c r="B436" s="38">
        <v>1</v>
      </c>
      <c r="C436" s="33">
        <f t="shared" si="54"/>
        <v>4204</v>
      </c>
      <c r="D436" s="33">
        <v>1</v>
      </c>
      <c r="E436" s="33">
        <f>VLOOKUP(A436,怪物并表!$R$7:$S$14,2,FALSE)</f>
        <v>2</v>
      </c>
      <c r="F436" s="38">
        <v>4</v>
      </c>
      <c r="G436" s="38">
        <v>4</v>
      </c>
      <c r="H436" s="38">
        <v>0</v>
      </c>
      <c r="I436" s="33">
        <f t="shared" si="57"/>
        <v>244001</v>
      </c>
      <c r="J436" s="33" t="s">
        <v>228</v>
      </c>
      <c r="K436" s="33"/>
      <c r="L436" s="33">
        <v>0</v>
      </c>
      <c r="M436" s="33">
        <v>1</v>
      </c>
      <c r="N436" s="33"/>
      <c r="O436" s="33">
        <v>1</v>
      </c>
      <c r="P436" s="33">
        <f>VLOOKUP($C436,CHOOSE({1,2},怪物并表!$E$7:$E$1000,怪物并表!$D$7:$D$1000),2,FALSE)</f>
        <v>43</v>
      </c>
      <c r="Q436" s="33" t="s">
        <v>13</v>
      </c>
      <c r="R436" s="33">
        <f>VLOOKUP(Q436,怪物信息配置表!$A$2:$B$118,2,FALSE)</f>
        <v>1007</v>
      </c>
      <c r="S436" s="33">
        <v>1</v>
      </c>
      <c r="T436" s="110">
        <f>VLOOKUP($C436,怪物并表!$E$7:$N$1000,2+($D436-1)*3,FALSE)*S436*AJ436</f>
        <v>95598.865551716633</v>
      </c>
      <c r="U436" s="110">
        <f>VLOOKUP($C436,怪物并表!$E$7:$N$1000,3+($D436-1)*3,FALSE)*S436*AK436</f>
        <v>5543.8521897385281</v>
      </c>
      <c r="V436" s="110">
        <f>VLOOKUP($C436,怪物并表!$E$7:$N$1000,4+($D436-1)*3,FALSE)*S436*AL436</f>
        <v>2181.0176299806026</v>
      </c>
      <c r="W436" s="33"/>
      <c r="X436" s="33"/>
      <c r="Y436" s="49">
        <f>VLOOKUP($C436,怪物并表!$E$7:$P$1000,12,FALSE)</f>
        <v>0</v>
      </c>
      <c r="Z436" s="49">
        <f>VLOOKUP($C436,怪物并表!$E$7:$P$1000,11,FALSE)*S436</f>
        <v>2845.404</v>
      </c>
      <c r="AA436" s="33"/>
      <c r="AB436" s="33"/>
      <c r="AC436" s="33"/>
      <c r="AD436" s="33">
        <f t="shared" si="53"/>
        <v>1</v>
      </c>
      <c r="AE436" s="2">
        <f t="shared" si="52"/>
        <v>489.375</v>
      </c>
      <c r="AF436" s="2" t="str">
        <f>IF(ISBLANK(AM436),IF(O436=6,"",IF(O436=1,VLOOKUP(R436,怪物信息配置表!B:H,5,FALSE),IF(O436=2,VLOOKUP(R436,怪物信息配置表!B:H,6,FALSE),IF(OR(O436=3,O436=5),VLOOKUP(R436,怪物信息配置表!B:H,7,FALSE),"")))),AM436)</f>
        <v>ai_monster_03</v>
      </c>
      <c r="AG436" s="2"/>
      <c r="AH436" s="15">
        <f>SUMPRODUCT(T436:V436,$AN$3:$AP$3)+ROUNDDOWN(VLOOKUP(P436,CHOOSE({1,2},'[1]消耗&amp;价值&amp;分析'!$C$7:$C$106,'[1]消耗&amp;价值&amp;分析'!$AS$7:$AS$106),2,FALSE)*0.6,0)</f>
        <v>13484.824441787796</v>
      </c>
      <c r="AJ436" s="80">
        <v>1</v>
      </c>
      <c r="AK436" s="80">
        <v>1</v>
      </c>
      <c r="AL436" s="80">
        <v>1</v>
      </c>
    </row>
    <row r="437" spans="1:38">
      <c r="A437" s="33" t="str">
        <f>怪物并表!$R$8</f>
        <v>精英副本</v>
      </c>
      <c r="B437" s="38">
        <v>2</v>
      </c>
      <c r="C437" s="33">
        <f t="shared" si="54"/>
        <v>4204</v>
      </c>
      <c r="D437" s="33">
        <v>2</v>
      </c>
      <c r="E437" s="33">
        <f>VLOOKUP(A437,怪物并表!$R$7:$S$14,2,FALSE)</f>
        <v>2</v>
      </c>
      <c r="F437" s="38">
        <v>4</v>
      </c>
      <c r="G437" s="38">
        <v>4</v>
      </c>
      <c r="H437" s="38">
        <v>0</v>
      </c>
      <c r="I437" s="33">
        <f t="shared" si="57"/>
        <v>244002</v>
      </c>
      <c r="J437" s="33" t="s">
        <v>463</v>
      </c>
      <c r="K437" s="33"/>
      <c r="L437" s="33">
        <v>0</v>
      </c>
      <c r="M437" s="33">
        <v>1</v>
      </c>
      <c r="N437" s="33"/>
      <c r="O437" s="33">
        <v>1</v>
      </c>
      <c r="P437" s="33">
        <f>VLOOKUP($C437,CHOOSE({1,2},怪物并表!$E$7:$E$1000,怪物并表!$D$7:$D$1000),2,FALSE)</f>
        <v>43</v>
      </c>
      <c r="Q437" s="33" t="s">
        <v>17</v>
      </c>
      <c r="R437" s="33">
        <f>VLOOKUP(Q437,怪物信息配置表!$A$2:$B$118,2,FALSE)</f>
        <v>1005</v>
      </c>
      <c r="S437" s="33">
        <v>1</v>
      </c>
      <c r="T437" s="110">
        <f>VLOOKUP($C437,怪物并表!$E$7:$N$1000,2+($D437-1)*3,FALSE)*S437*AJ437</f>
        <v>76479.092441373316</v>
      </c>
      <c r="U437" s="110">
        <f>VLOOKUP($C437,怪物并表!$E$7:$N$1000,3+($D437-1)*3,FALSE)*S437*AK437</f>
        <v>5192.3523316931041</v>
      </c>
      <c r="V437" s="110">
        <f>VLOOKUP($C437,怪物并表!$E$7:$N$1000,4+($D437-1)*3,FALSE)*S437*AL437</f>
        <v>1704.2370317987966</v>
      </c>
      <c r="W437" s="33"/>
      <c r="X437" s="33"/>
      <c r="Y437" s="49">
        <f>VLOOKUP($C437,怪物并表!$E$7:$P$1000,12,FALSE)</f>
        <v>0</v>
      </c>
      <c r="Z437" s="49">
        <f>VLOOKUP($C437,怪物并表!$E$7:$P$1000,11,FALSE)*S437</f>
        <v>2845.404</v>
      </c>
      <c r="AA437" s="33"/>
      <c r="AB437" s="33"/>
      <c r="AC437" s="33"/>
      <c r="AD437" s="33">
        <f t="shared" si="53"/>
        <v>0.8</v>
      </c>
      <c r="AE437" s="2">
        <f t="shared" si="52"/>
        <v>591.5</v>
      </c>
      <c r="AF437" s="2" t="str">
        <f>IF(ISBLANK(AM437),IF(O437=6,"",IF(O437=1,VLOOKUP(R437,怪物信息配置表!B:H,5,FALSE),IF(O437=2,VLOOKUP(R437,怪物信息配置表!B:H,6,FALSE),IF(OR(O437=3,O437=5),VLOOKUP(R437,怪物信息配置表!B:H,7,FALSE),"")))),AM437)</f>
        <v>ai_monster_02</v>
      </c>
      <c r="AG437" s="2"/>
      <c r="AH437" s="15">
        <f>SUMPRODUCT(T437:V437,$AN$3:$AP$3)+ROUNDDOWN(VLOOKUP(P437,CHOOSE({1,2},'[1]消耗&amp;价值&amp;分析'!$C$7:$C$106,'[1]消耗&amp;价值&amp;分析'!$AS$7:$AS$106),2,FALSE)*0.6,0)</f>
        <v>11891.753061146834</v>
      </c>
      <c r="AJ437" s="80">
        <v>1</v>
      </c>
      <c r="AK437" s="80">
        <v>1</v>
      </c>
      <c r="AL437" s="80">
        <v>1</v>
      </c>
    </row>
    <row r="438" spans="1:38">
      <c r="A438" s="33" t="str">
        <f>怪物并表!$R$8</f>
        <v>精英副本</v>
      </c>
      <c r="B438" s="38">
        <v>3</v>
      </c>
      <c r="C438" s="33">
        <f t="shared" si="54"/>
        <v>4204</v>
      </c>
      <c r="D438" s="33">
        <v>1</v>
      </c>
      <c r="E438" s="33">
        <f>VLOOKUP(A438,怪物并表!$R$7:$S$14,2,FALSE)</f>
        <v>2</v>
      </c>
      <c r="F438" s="38">
        <v>4</v>
      </c>
      <c r="G438" s="38">
        <v>4</v>
      </c>
      <c r="H438" s="38">
        <v>0</v>
      </c>
      <c r="I438" s="33">
        <f t="shared" si="57"/>
        <v>244003</v>
      </c>
      <c r="J438" s="33" t="s">
        <v>462</v>
      </c>
      <c r="K438" s="33"/>
      <c r="L438" s="33">
        <v>0</v>
      </c>
      <c r="M438" s="33">
        <v>1</v>
      </c>
      <c r="N438" s="33"/>
      <c r="O438" s="33">
        <v>1</v>
      </c>
      <c r="P438" s="33">
        <f>VLOOKUP($C438,CHOOSE({1,2},怪物并表!$E$7:$E$1000,怪物并表!$D$7:$D$1000),2,FALSE)</f>
        <v>43</v>
      </c>
      <c r="Q438" s="33" t="s">
        <v>11</v>
      </c>
      <c r="R438" s="33">
        <f>VLOOKUP(Q438,怪物信息配置表!$A$2:$B$118,2,FALSE)</f>
        <v>1011</v>
      </c>
      <c r="S438" s="33">
        <v>1</v>
      </c>
      <c r="T438" s="110">
        <f>VLOOKUP($C438,怪物并表!$E$7:$N$1000,2+($D438-1)*3,FALSE)*S438*AJ438</f>
        <v>95598.865551716633</v>
      </c>
      <c r="U438" s="110">
        <f>VLOOKUP($C438,怪物并表!$E$7:$N$1000,3+($D438-1)*3,FALSE)*S438*AK438</f>
        <v>5543.8521897385281</v>
      </c>
      <c r="V438" s="110">
        <f>VLOOKUP($C438,怪物并表!$E$7:$N$1000,4+($D438-1)*3,FALSE)*S438*AL438</f>
        <v>2181.0176299806026</v>
      </c>
      <c r="W438" s="33"/>
      <c r="X438" s="33"/>
      <c r="Y438" s="49">
        <f>VLOOKUP($C438,怪物并表!$E$7:$P$1000,12,FALSE)</f>
        <v>0</v>
      </c>
      <c r="Z438" s="49">
        <f>VLOOKUP($C438,怪物并表!$E$7:$P$1000,11,FALSE)*S438</f>
        <v>2845.404</v>
      </c>
      <c r="AA438" s="33"/>
      <c r="AB438" s="33"/>
      <c r="AC438" s="33"/>
      <c r="AD438" s="33">
        <f t="shared" si="53"/>
        <v>1</v>
      </c>
      <c r="AE438" s="2">
        <f t="shared" si="52"/>
        <v>489.375</v>
      </c>
      <c r="AF438" s="2" t="str">
        <f>IF(ISBLANK(AM438),IF(O438=6,"",IF(O438=1,VLOOKUP(R438,怪物信息配置表!B:H,5,FALSE),IF(O438=2,VLOOKUP(R438,怪物信息配置表!B:H,6,FALSE),IF(OR(O438=3,O438=5),VLOOKUP(R438,怪物信息配置表!B:H,7,FALSE),"")))),AM438)</f>
        <v>ai_monster</v>
      </c>
      <c r="AG438" s="2"/>
      <c r="AH438" s="15">
        <f>SUMPRODUCT(T438:V438,$AN$3:$AP$3)+ROUNDDOWN(VLOOKUP(P438,CHOOSE({1,2},'[1]消耗&amp;价值&amp;分析'!$C$7:$C$106,'[1]消耗&amp;价值&amp;分析'!$AS$7:$AS$106),2,FALSE)*0.6,0)</f>
        <v>13484.824441787796</v>
      </c>
      <c r="AJ438" s="80">
        <v>1</v>
      </c>
      <c r="AK438" s="80">
        <v>1</v>
      </c>
      <c r="AL438" s="80">
        <v>1</v>
      </c>
    </row>
    <row r="439" spans="1:38">
      <c r="A439" s="33" t="str">
        <f>怪物并表!$R$8</f>
        <v>精英副本</v>
      </c>
      <c r="B439" s="38">
        <v>4</v>
      </c>
      <c r="C439" s="33">
        <f t="shared" si="54"/>
        <v>4204</v>
      </c>
      <c r="D439" s="33">
        <v>3</v>
      </c>
      <c r="E439" s="33">
        <f>VLOOKUP(A439,怪物并表!$R$7:$S$14,2,FALSE)</f>
        <v>2</v>
      </c>
      <c r="F439" s="38">
        <v>4</v>
      </c>
      <c r="G439" s="38">
        <v>4</v>
      </c>
      <c r="H439" s="38">
        <v>0</v>
      </c>
      <c r="I439" s="33">
        <f t="shared" si="57"/>
        <v>244004</v>
      </c>
      <c r="J439" s="33" t="s">
        <v>714</v>
      </c>
      <c r="K439" s="33"/>
      <c r="L439" s="33">
        <v>1</v>
      </c>
      <c r="M439" s="33">
        <v>1.2</v>
      </c>
      <c r="N439" s="33"/>
      <c r="O439" s="33">
        <v>3</v>
      </c>
      <c r="P439" s="33">
        <f>VLOOKUP($C439,CHOOSE({1,2},怪物并表!$E$7:$E$1000,怪物并表!$D$7:$D$1000),2,FALSE)</f>
        <v>43</v>
      </c>
      <c r="Q439" s="33" t="s">
        <v>14</v>
      </c>
      <c r="R439" s="33">
        <f>VLOOKUP(Q439,怪物信息配置表!$A$2:$B$118,2,FALSE)</f>
        <v>1010</v>
      </c>
      <c r="S439" s="33">
        <v>1</v>
      </c>
      <c r="T439" s="110">
        <f>VLOOKUP($C439,怪物并表!$E$7:$N$1000,2+($D439-1)*3,FALSE)*S439*AJ439</f>
        <v>238997.16387929162</v>
      </c>
      <c r="U439" s="110">
        <f>VLOOKUP($C439,怪物并表!$E$7:$N$1000,3+($D439-1)*3,FALSE)*S439*AK439</f>
        <v>6246.8519058293778</v>
      </c>
      <c r="V439" s="110">
        <f>VLOOKUP($C439,怪物并表!$E$7:$N$1000,4+($D439-1)*3,FALSE)*S439*AL439</f>
        <v>2657.7982281624086</v>
      </c>
      <c r="W439" s="33"/>
      <c r="X439" s="33"/>
      <c r="Y439" s="49">
        <f>VLOOKUP($C439,怪物并表!$E$7:$P$1000,12,FALSE)</f>
        <v>0</v>
      </c>
      <c r="Z439" s="49">
        <f>VLOOKUP($C439,怪物并表!$E$7:$P$1000,11,FALSE)*S439</f>
        <v>2845.404</v>
      </c>
      <c r="AA439" s="33"/>
      <c r="AB439" s="33"/>
      <c r="AC439" s="33"/>
      <c r="AD439" s="33">
        <f t="shared" si="53"/>
        <v>1.5</v>
      </c>
      <c r="AE439" s="2">
        <f t="shared" si="52"/>
        <v>234.0625</v>
      </c>
      <c r="AF439" s="2" t="str">
        <f>IF(ISBLANK(AM439),IF(O439=6,"",IF(O439=1,VLOOKUP(R439,怪物信息配置表!B:H,5,FALSE),IF(O439=2,VLOOKUP(R439,怪物信息配置表!B:H,6,FALSE),IF(OR(O439=3,O439=5),VLOOKUP(R439,怪物信息配置表!B:H,7,FALSE),"")))),AM439)</f>
        <v>1010_gunnan_BOSS</v>
      </c>
      <c r="AG439" s="2"/>
      <c r="AH439" s="15">
        <f>SUMPRODUCT(T439:V439,$AN$3:$AP$3)+ROUNDDOWN(VLOOKUP(P439,CHOOSE({1,2},'[1]消耗&amp;价值&amp;分析'!$C$7:$C$106,'[1]消耗&amp;价值&amp;分析'!$AS$7:$AS$106),2,FALSE)*0.6,0)</f>
        <v>20400.536689163451</v>
      </c>
      <c r="AJ439" s="80">
        <v>1</v>
      </c>
      <c r="AK439" s="80">
        <v>1</v>
      </c>
      <c r="AL439" s="80">
        <v>1</v>
      </c>
    </row>
    <row r="440" spans="1:38">
      <c r="A440" s="33" t="str">
        <f>怪物并表!$R$8</f>
        <v>精英副本</v>
      </c>
      <c r="B440" s="38">
        <v>1</v>
      </c>
      <c r="C440" s="33">
        <f t="shared" si="54"/>
        <v>4205</v>
      </c>
      <c r="D440" s="33">
        <v>2</v>
      </c>
      <c r="E440" s="33">
        <f>VLOOKUP(A440,怪物并表!$R$7:$S$14,2,FALSE)</f>
        <v>2</v>
      </c>
      <c r="F440" s="38">
        <v>4</v>
      </c>
      <c r="G440" s="38">
        <v>5</v>
      </c>
      <c r="H440" s="38">
        <v>0</v>
      </c>
      <c r="I440" s="33">
        <f t="shared" si="57"/>
        <v>245001</v>
      </c>
      <c r="J440" s="33" t="s">
        <v>480</v>
      </c>
      <c r="K440" s="33"/>
      <c r="L440" s="33">
        <v>0</v>
      </c>
      <c r="M440" s="33">
        <v>1</v>
      </c>
      <c r="N440" s="33"/>
      <c r="O440" s="33">
        <v>1</v>
      </c>
      <c r="P440" s="33">
        <f>VLOOKUP($C440,CHOOSE({1,2},怪物并表!$E$7:$E$1000,怪物并表!$D$7:$D$1000),2,FALSE)</f>
        <v>44</v>
      </c>
      <c r="Q440" s="33" t="s">
        <v>10</v>
      </c>
      <c r="R440" s="33">
        <f>VLOOKUP(Q440,怪物信息配置表!$A$2:$B$118,2,FALSE)</f>
        <v>1001</v>
      </c>
      <c r="S440" s="33">
        <v>1</v>
      </c>
      <c r="T440" s="110">
        <f>VLOOKUP($C440,怪物并表!$E$7:$N$1000,2+($D440-1)*3,FALSE)*S440*AJ440</f>
        <v>84977.850548406772</v>
      </c>
      <c r="U440" s="110">
        <f>VLOOKUP($C440,怪物并表!$E$7:$N$1000,3+($D440-1)*3,FALSE)*S440*AK440</f>
        <v>5760.8582202905709</v>
      </c>
      <c r="V440" s="110">
        <f>VLOOKUP($C440,怪物并表!$E$7:$N$1000,4+($D440-1)*3,FALSE)*S440*AL440</f>
        <v>1899.7660601450175</v>
      </c>
      <c r="W440" s="33"/>
      <c r="X440" s="33"/>
      <c r="Y440" s="49">
        <f>VLOOKUP($C440,怪物并表!$E$7:$P$1000,12,FALSE)</f>
        <v>0</v>
      </c>
      <c r="Z440" s="49">
        <f>VLOOKUP($C440,怪物并表!$E$7:$P$1000,11,FALSE)*S440</f>
        <v>2903.6320000000001</v>
      </c>
      <c r="AA440" s="33"/>
      <c r="AB440" s="33"/>
      <c r="AC440" s="33"/>
      <c r="AD440" s="33">
        <f t="shared" si="53"/>
        <v>0.8</v>
      </c>
      <c r="AE440" s="2">
        <f t="shared" si="52"/>
        <v>582</v>
      </c>
      <c r="AF440" s="2" t="str">
        <f>IF(ISBLANK(AM440),IF(O440=6,"",IF(O440=1,VLOOKUP(R440,怪物信息配置表!B:H,5,FALSE),IF(O440=2,VLOOKUP(R440,怪物信息配置表!B:H,6,FALSE),IF(OR(O440=3,O440=5),VLOOKUP(R440,怪物信息配置表!B:H,7,FALSE),"")))),AM440)</f>
        <v>ai_monster</v>
      </c>
      <c r="AG440" s="2"/>
      <c r="AH440" s="15">
        <f>SUMPRODUCT(T440:V440,$AN$3:$AP$3)+ROUNDDOWN(VLOOKUP(P440,CHOOSE({1,2},'[1]消耗&amp;价值&amp;分析'!$C$7:$C$106,'[1]消耗&amp;价值&amp;分析'!$AS$7:$AS$106),2,FALSE)*0.6,0)</f>
        <v>13091.738302371859</v>
      </c>
      <c r="AJ440" s="80">
        <v>1</v>
      </c>
      <c r="AK440" s="80">
        <v>1</v>
      </c>
      <c r="AL440" s="80">
        <v>1</v>
      </c>
    </row>
    <row r="441" spans="1:38">
      <c r="A441" s="33" t="str">
        <f>怪物并表!$R$8</f>
        <v>精英副本</v>
      </c>
      <c r="B441" s="38">
        <v>2</v>
      </c>
      <c r="C441" s="33">
        <f t="shared" si="54"/>
        <v>4205</v>
      </c>
      <c r="D441" s="33">
        <v>2</v>
      </c>
      <c r="E441" s="33">
        <f>VLOOKUP(A441,怪物并表!$R$7:$S$14,2,FALSE)</f>
        <v>2</v>
      </c>
      <c r="F441" s="38">
        <v>4</v>
      </c>
      <c r="G441" s="38">
        <v>5</v>
      </c>
      <c r="H441" s="38">
        <v>0</v>
      </c>
      <c r="I441" s="33">
        <f t="shared" si="57"/>
        <v>245002</v>
      </c>
      <c r="J441" s="33" t="s">
        <v>15</v>
      </c>
      <c r="K441" s="33"/>
      <c r="L441" s="33">
        <v>0</v>
      </c>
      <c r="M441" s="33">
        <v>1</v>
      </c>
      <c r="N441" s="33" t="s">
        <v>218</v>
      </c>
      <c r="O441" s="33">
        <v>1</v>
      </c>
      <c r="P441" s="33">
        <f>VLOOKUP($C441,CHOOSE({1,2},怪物并表!$E$7:$E$1000,怪物并表!$D$7:$D$1000),2,FALSE)</f>
        <v>44</v>
      </c>
      <c r="Q441" s="33" t="s">
        <v>15</v>
      </c>
      <c r="R441" s="33">
        <f>VLOOKUP(Q441,怪物信息配置表!$A$2:$B$118,2,FALSE)</f>
        <v>1004</v>
      </c>
      <c r="S441" s="33">
        <v>1</v>
      </c>
      <c r="T441" s="110">
        <f>VLOOKUP($C441,怪物并表!$E$7:$N$1000,2+($D441-1)*3,FALSE)*S441*AJ441</f>
        <v>84977.850548406772</v>
      </c>
      <c r="U441" s="110">
        <f>VLOOKUP($C441,怪物并表!$E$7:$N$1000,3+($D441-1)*3,FALSE)*S441*AK441</f>
        <v>5760.8582202905709</v>
      </c>
      <c r="V441" s="110">
        <f>VLOOKUP($C441,怪物并表!$E$7:$N$1000,4+($D441-1)*3,FALSE)*S441*AL441</f>
        <v>1899.7660601450175</v>
      </c>
      <c r="W441" s="33"/>
      <c r="X441" s="33"/>
      <c r="Y441" s="49">
        <f>VLOOKUP($C441,怪物并表!$E$7:$P$1000,12,FALSE)</f>
        <v>0</v>
      </c>
      <c r="Z441" s="49">
        <f>VLOOKUP($C441,怪物并表!$E$7:$P$1000,11,FALSE)*S441</f>
        <v>2903.6320000000001</v>
      </c>
      <c r="AA441" s="33"/>
      <c r="AB441" s="33"/>
      <c r="AC441" s="33"/>
      <c r="AD441" s="33">
        <f t="shared" si="53"/>
        <v>0.8</v>
      </c>
      <c r="AE441" s="2">
        <f t="shared" si="52"/>
        <v>582</v>
      </c>
      <c r="AF441" s="2" t="str">
        <f>IF(ISBLANK(AM441),IF(O441=6,"",IF(O441=1,VLOOKUP(R441,怪物信息配置表!B:H,5,FALSE),IF(O441=2,VLOOKUP(R441,怪物信息配置表!B:H,6,FALSE),IF(OR(O441=3,O441=5),VLOOKUP(R441,怪物信息配置表!B:H,7,FALSE),"")))),AM441)</f>
        <v>ai_monster</v>
      </c>
      <c r="AG441" s="2"/>
      <c r="AH441" s="15">
        <f>SUMPRODUCT(T441:V441,$AN$3:$AP$3)+ROUNDDOWN(VLOOKUP(P441,CHOOSE({1,2},'[1]消耗&amp;价值&amp;分析'!$C$7:$C$106,'[1]消耗&amp;价值&amp;分析'!$AS$7:$AS$106),2,FALSE)*0.6,0)</f>
        <v>13091.738302371859</v>
      </c>
      <c r="AJ441" s="80">
        <v>1</v>
      </c>
      <c r="AK441" s="80">
        <v>1</v>
      </c>
      <c r="AL441" s="80">
        <v>1</v>
      </c>
    </row>
    <row r="442" spans="1:38">
      <c r="A442" s="33" t="str">
        <f>怪物并表!$R$8</f>
        <v>精英副本</v>
      </c>
      <c r="B442" s="38">
        <v>3</v>
      </c>
      <c r="C442" s="33">
        <f t="shared" si="54"/>
        <v>4205</v>
      </c>
      <c r="D442" s="33">
        <v>2</v>
      </c>
      <c r="E442" s="33">
        <f>VLOOKUP(A442,怪物并表!$R$7:$S$14,2,FALSE)</f>
        <v>2</v>
      </c>
      <c r="F442" s="38">
        <v>4</v>
      </c>
      <c r="G442" s="38">
        <v>5</v>
      </c>
      <c r="H442" s="38">
        <v>0</v>
      </c>
      <c r="I442" s="33">
        <f t="shared" si="57"/>
        <v>245003</v>
      </c>
      <c r="J442" s="33" t="s">
        <v>466</v>
      </c>
      <c r="K442" s="33"/>
      <c r="L442" s="33">
        <v>0</v>
      </c>
      <c r="M442" s="33">
        <v>1</v>
      </c>
      <c r="N442" s="33"/>
      <c r="O442" s="33">
        <v>1</v>
      </c>
      <c r="P442" s="33">
        <f>VLOOKUP($C442,CHOOSE({1,2},怪物并表!$E$7:$E$1000,怪物并表!$D$7:$D$1000),2,FALSE)</f>
        <v>44</v>
      </c>
      <c r="Q442" s="33" t="s">
        <v>14</v>
      </c>
      <c r="R442" s="33">
        <f>VLOOKUP(Q442,怪物信息配置表!$A$2:$B$118,2,FALSE)</f>
        <v>1010</v>
      </c>
      <c r="S442" s="33">
        <v>1</v>
      </c>
      <c r="T442" s="110">
        <f>VLOOKUP($C442,怪物并表!$E$7:$N$1000,2+($D442-1)*3,FALSE)*S442*AJ442</f>
        <v>84977.850548406772</v>
      </c>
      <c r="U442" s="110">
        <f>VLOOKUP($C442,怪物并表!$E$7:$N$1000,3+($D442-1)*3,FALSE)*S442*AK442</f>
        <v>5760.8582202905709</v>
      </c>
      <c r="V442" s="110">
        <f>VLOOKUP($C442,怪物并表!$E$7:$N$1000,4+($D442-1)*3,FALSE)*S442*AL442</f>
        <v>1899.7660601450175</v>
      </c>
      <c r="W442" s="33"/>
      <c r="X442" s="33"/>
      <c r="Y442" s="49">
        <f>VLOOKUP($C442,怪物并表!$E$7:$P$1000,12,FALSE)</f>
        <v>0</v>
      </c>
      <c r="Z442" s="49">
        <f>VLOOKUP($C442,怪物并表!$E$7:$P$1000,11,FALSE)*S442</f>
        <v>2903.6320000000001</v>
      </c>
      <c r="AA442" s="33"/>
      <c r="AB442" s="33"/>
      <c r="AC442" s="33"/>
      <c r="AD442" s="33">
        <f t="shared" si="53"/>
        <v>0.8</v>
      </c>
      <c r="AE442" s="2">
        <f t="shared" si="52"/>
        <v>582</v>
      </c>
      <c r="AF442" s="2" t="str">
        <f>IF(ISBLANK(AM442),IF(O442=6,"",IF(O442=1,VLOOKUP(R442,怪物信息配置表!B:H,5,FALSE),IF(O442=2,VLOOKUP(R442,怪物信息配置表!B:H,6,FALSE),IF(OR(O442=3,O442=5),VLOOKUP(R442,怪物信息配置表!B:H,7,FALSE),"")))),AM442)</f>
        <v>ai_monster</v>
      </c>
      <c r="AG442" s="2"/>
      <c r="AH442" s="15">
        <f>SUMPRODUCT(T442:V442,$AN$3:$AP$3)+ROUNDDOWN(VLOOKUP(P442,CHOOSE({1,2},'[1]消耗&amp;价值&amp;分析'!$C$7:$C$106,'[1]消耗&amp;价值&amp;分析'!$AS$7:$AS$106),2,FALSE)*0.6,0)</f>
        <v>13091.738302371859</v>
      </c>
      <c r="AJ442" s="80">
        <v>1</v>
      </c>
      <c r="AK442" s="80">
        <v>1</v>
      </c>
      <c r="AL442" s="80">
        <v>1</v>
      </c>
    </row>
    <row r="443" spans="1:38">
      <c r="A443" s="33" t="str">
        <f>怪物并表!$R$8</f>
        <v>精英副本</v>
      </c>
      <c r="B443" s="38">
        <v>4</v>
      </c>
      <c r="C443" s="33">
        <f t="shared" si="54"/>
        <v>4205</v>
      </c>
      <c r="D443" s="33">
        <v>3</v>
      </c>
      <c r="E443" s="33">
        <f>VLOOKUP(A443,怪物并表!$R$7:$S$14,2,FALSE)</f>
        <v>2</v>
      </c>
      <c r="F443" s="38">
        <v>4</v>
      </c>
      <c r="G443" s="38">
        <v>5</v>
      </c>
      <c r="H443" s="38">
        <v>0</v>
      </c>
      <c r="I443" s="33">
        <f t="shared" si="57"/>
        <v>245004</v>
      </c>
      <c r="J443" s="33" t="s">
        <v>715</v>
      </c>
      <c r="K443" s="33"/>
      <c r="L443" s="33">
        <v>1</v>
      </c>
      <c r="M443" s="33">
        <v>1.2</v>
      </c>
      <c r="N443" s="33"/>
      <c r="O443" s="33">
        <v>3</v>
      </c>
      <c r="P443" s="33">
        <f>VLOOKUP($C443,CHOOSE({1,2},怪物并表!$E$7:$E$1000,怪物并表!$D$7:$D$1000),2,FALSE)</f>
        <v>44</v>
      </c>
      <c r="Q443" s="33" t="s">
        <v>564</v>
      </c>
      <c r="R443" s="33">
        <f>VLOOKUP(Q443,怪物信息配置表!$A$2:$B$118,2,FALSE)</f>
        <v>1112</v>
      </c>
      <c r="S443" s="33">
        <v>1</v>
      </c>
      <c r="T443" s="110">
        <f>VLOOKUP($C443,怪物并表!$E$7:$N$1000,2+($D443-1)*3,FALSE)*S443*AJ443</f>
        <v>265555.78296377114</v>
      </c>
      <c r="U443" s="110">
        <f>VLOOKUP($C443,怪物并表!$E$7:$N$1000,3+($D443-1)*3,FALSE)*S443*AK443</f>
        <v>6953.2645771901025</v>
      </c>
      <c r="V443" s="110">
        <f>VLOOKUP($C443,怪物并表!$E$7:$N$1000,4+($D443-1)*3,FALSE)*S443*AL443</f>
        <v>2904.2400689573251</v>
      </c>
      <c r="W443" s="33"/>
      <c r="X443" s="33"/>
      <c r="Y443" s="49">
        <f>VLOOKUP($C443,怪物并表!$E$7:$P$1000,12,FALSE)</f>
        <v>0</v>
      </c>
      <c r="Z443" s="49">
        <f>VLOOKUP($C443,怪物并表!$E$7:$P$1000,11,FALSE)*S443</f>
        <v>2903.6320000000001</v>
      </c>
      <c r="AA443" s="33"/>
      <c r="AB443" s="33"/>
      <c r="AC443" s="33"/>
      <c r="AD443" s="33">
        <f t="shared" si="53"/>
        <v>1.5</v>
      </c>
      <c r="AE443" s="2">
        <f t="shared" si="52"/>
        <v>128.75</v>
      </c>
      <c r="AF443" s="2" t="str">
        <f>IF(ISBLANK(AM443),IF(O443=6,"",IF(O443=1,VLOOKUP(R443,怪物信息配置表!B:H,5,FALSE),IF(O443=2,VLOOKUP(R443,怪物信息配置表!B:H,6,FALSE),IF(OR(O443=3,O443=5),VLOOKUP(R443,怪物信息配置表!B:H,7,FALSE),"")))),AM443)</f>
        <v>1112_shengfan_BOSS</v>
      </c>
      <c r="AG443" s="2"/>
      <c r="AH443" s="15">
        <f>SUMPRODUCT(T443:V443,$AN$3:$AP$3)+ROUNDDOWN(VLOOKUP(P443,CHOOSE({1,2},'[1]消耗&amp;价值&amp;分析'!$C$7:$C$106,'[1]消耗&amp;价值&amp;分析'!$AS$7:$AS$106),2,FALSE)*0.6,0)</f>
        <v>22511.735964698273</v>
      </c>
      <c r="AJ443" s="80">
        <v>1</v>
      </c>
      <c r="AK443" s="80">
        <v>1</v>
      </c>
      <c r="AL443" s="80">
        <v>1</v>
      </c>
    </row>
    <row r="444" spans="1:38">
      <c r="A444" s="33" t="str">
        <f>怪物并表!$R$8</f>
        <v>精英副本</v>
      </c>
      <c r="B444" s="38">
        <v>1</v>
      </c>
      <c r="C444" s="33">
        <f t="shared" si="54"/>
        <v>4206</v>
      </c>
      <c r="D444" s="33">
        <v>2</v>
      </c>
      <c r="E444" s="33">
        <f>VLOOKUP(A444,怪物并表!$R$7:$S$14,2,FALSE)</f>
        <v>2</v>
      </c>
      <c r="F444" s="38">
        <v>4</v>
      </c>
      <c r="G444" s="38">
        <v>6</v>
      </c>
      <c r="H444" s="38">
        <v>0</v>
      </c>
      <c r="I444" s="33">
        <f t="shared" si="57"/>
        <v>246001</v>
      </c>
      <c r="J444" s="33" t="s">
        <v>463</v>
      </c>
      <c r="K444" s="33"/>
      <c r="L444" s="33">
        <v>0</v>
      </c>
      <c r="M444" s="33">
        <v>1</v>
      </c>
      <c r="N444" s="33"/>
      <c r="O444" s="33">
        <v>1</v>
      </c>
      <c r="P444" s="33">
        <f>VLOOKUP($C444,CHOOSE({1,2},怪物并表!$E$7:$E$1000,怪物并表!$D$7:$D$1000),2,FALSE)</f>
        <v>45</v>
      </c>
      <c r="Q444" s="33" t="s">
        <v>17</v>
      </c>
      <c r="R444" s="33">
        <f>VLOOKUP(Q444,怪物信息配置表!$A$2:$B$118,2,FALSE)</f>
        <v>1005</v>
      </c>
      <c r="S444" s="33">
        <v>1</v>
      </c>
      <c r="T444" s="110">
        <f>VLOOKUP($C444,怪物并表!$E$7:$N$1000,2+($D444-1)*3,FALSE)*S444*AJ444</f>
        <v>94177.560629775049</v>
      </c>
      <c r="U444" s="110">
        <f>VLOOKUP($C444,怪物并表!$E$7:$N$1000,3+($D444-1)*3,FALSE)*S444*AK444</f>
        <v>6379.4834064610141</v>
      </c>
      <c r="V444" s="110">
        <f>VLOOKUP($C444,怪物并表!$E$7:$N$1000,4+($D444-1)*3,FALSE)*S444*AL444</f>
        <v>2110.9270232107033</v>
      </c>
      <c r="W444" s="33"/>
      <c r="X444" s="33"/>
      <c r="Y444" s="49">
        <f>VLOOKUP($C444,怪物并表!$E$7:$P$1000,12,FALSE)</f>
        <v>0</v>
      </c>
      <c r="Z444" s="49">
        <f>VLOOKUP($C444,怪物并表!$E$7:$P$1000,11,FALSE)*S444</f>
        <v>2961.86</v>
      </c>
      <c r="AA444" s="33"/>
      <c r="AB444" s="33"/>
      <c r="AC444" s="33"/>
      <c r="AD444" s="33">
        <f t="shared" si="53"/>
        <v>0.8</v>
      </c>
      <c r="AE444" s="2">
        <f t="shared" si="52"/>
        <v>572.5</v>
      </c>
      <c r="AF444" s="2" t="str">
        <f>IF(ISBLANK(AM444),IF(O444=6,"",IF(O444=1,VLOOKUP(R444,怪物信息配置表!B:H,5,FALSE),IF(O444=2,VLOOKUP(R444,怪物信息配置表!B:H,6,FALSE),IF(OR(O444=3,O444=5),VLOOKUP(R444,怪物信息配置表!B:H,7,FALSE),"")))),AM444)</f>
        <v>ai_monster_02</v>
      </c>
      <c r="AG444" s="2"/>
      <c r="AH444" s="15">
        <f>SUMPRODUCT(T444:V444,$AN$3:$AP$3)+ROUNDDOWN(VLOOKUP(P444,CHOOSE({1,2},'[1]消耗&amp;价值&amp;分析'!$C$7:$C$106,'[1]消耗&amp;价值&amp;分析'!$AS$7:$AS$106),2,FALSE)*0.6,0)</f>
        <v>14424.51285486272</v>
      </c>
      <c r="AJ444" s="80">
        <v>1</v>
      </c>
      <c r="AK444" s="80">
        <v>1</v>
      </c>
      <c r="AL444" s="80">
        <v>1</v>
      </c>
    </row>
    <row r="445" spans="1:38">
      <c r="A445" s="33" t="str">
        <f>怪物并表!$R$8</f>
        <v>精英副本</v>
      </c>
      <c r="B445" s="38">
        <v>2</v>
      </c>
      <c r="C445" s="33">
        <f t="shared" si="54"/>
        <v>4206</v>
      </c>
      <c r="D445" s="33">
        <v>2</v>
      </c>
      <c r="E445" s="33">
        <f>VLOOKUP(A445,怪物并表!$R$7:$S$14,2,FALSE)</f>
        <v>2</v>
      </c>
      <c r="F445" s="38">
        <v>4</v>
      </c>
      <c r="G445" s="38">
        <v>6</v>
      </c>
      <c r="H445" s="38">
        <v>0</v>
      </c>
      <c r="I445" s="33">
        <f t="shared" si="57"/>
        <v>246002</v>
      </c>
      <c r="J445" s="33" t="s">
        <v>7</v>
      </c>
      <c r="K445" s="33"/>
      <c r="L445" s="33">
        <v>0</v>
      </c>
      <c r="M445" s="33">
        <v>1</v>
      </c>
      <c r="N445" s="33"/>
      <c r="O445" s="33">
        <v>1</v>
      </c>
      <c r="P445" s="33">
        <f>VLOOKUP($C445,CHOOSE({1,2},怪物并表!$E$7:$E$1000,怪物并表!$D$7:$D$1000),2,FALSE)</f>
        <v>45</v>
      </c>
      <c r="Q445" s="33" t="s">
        <v>7</v>
      </c>
      <c r="R445" s="33">
        <f>VLOOKUP(Q445,怪物信息配置表!$A$2:$B$118,2,FALSE)</f>
        <v>1002</v>
      </c>
      <c r="S445" s="33">
        <v>1</v>
      </c>
      <c r="T445" s="110">
        <f>VLOOKUP($C445,怪物并表!$E$7:$N$1000,2+($D445-1)*3,FALSE)*S445*AJ445</f>
        <v>94177.560629775049</v>
      </c>
      <c r="U445" s="110">
        <f>VLOOKUP($C445,怪物并表!$E$7:$N$1000,3+($D445-1)*3,FALSE)*S445*AK445</f>
        <v>6379.4834064610141</v>
      </c>
      <c r="V445" s="110">
        <f>VLOOKUP($C445,怪物并表!$E$7:$N$1000,4+($D445-1)*3,FALSE)*S445*AL445</f>
        <v>2110.9270232107033</v>
      </c>
      <c r="W445" s="33"/>
      <c r="X445" s="33"/>
      <c r="Y445" s="49">
        <f>VLOOKUP($C445,怪物并表!$E$7:$P$1000,12,FALSE)</f>
        <v>0</v>
      </c>
      <c r="Z445" s="49">
        <f>VLOOKUP($C445,怪物并表!$E$7:$P$1000,11,FALSE)*S445</f>
        <v>2961.86</v>
      </c>
      <c r="AA445" s="33"/>
      <c r="AB445" s="33"/>
      <c r="AC445" s="33"/>
      <c r="AD445" s="33">
        <f t="shared" si="53"/>
        <v>0.8</v>
      </c>
      <c r="AE445" s="2">
        <f t="shared" si="52"/>
        <v>572.5</v>
      </c>
      <c r="AF445" s="2" t="str">
        <f>IF(ISBLANK(AM445),IF(O445=6,"",IF(O445=1,VLOOKUP(R445,怪物信息配置表!B:H,5,FALSE),IF(O445=2,VLOOKUP(R445,怪物信息配置表!B:H,6,FALSE),IF(OR(O445=3,O445=5),VLOOKUP(R445,怪物信息配置表!B:H,7,FALSE),"")))),AM445)</f>
        <v>ai_monster</v>
      </c>
      <c r="AG445" s="2"/>
      <c r="AH445" s="15">
        <f>SUMPRODUCT(T445:V445,$AN$3:$AP$3)+ROUNDDOWN(VLOOKUP(P445,CHOOSE({1,2},'[1]消耗&amp;价值&amp;分析'!$C$7:$C$106,'[1]消耗&amp;价值&amp;分析'!$AS$7:$AS$106),2,FALSE)*0.6,0)</f>
        <v>14424.51285486272</v>
      </c>
      <c r="AJ445" s="80">
        <v>1</v>
      </c>
      <c r="AK445" s="80">
        <v>1</v>
      </c>
      <c r="AL445" s="80">
        <v>1</v>
      </c>
    </row>
    <row r="446" spans="1:38">
      <c r="A446" s="33" t="str">
        <f>怪物并表!$R$8</f>
        <v>精英副本</v>
      </c>
      <c r="B446" s="38">
        <v>3</v>
      </c>
      <c r="C446" s="33">
        <f t="shared" si="54"/>
        <v>4206</v>
      </c>
      <c r="D446" s="33">
        <v>2</v>
      </c>
      <c r="E446" s="33">
        <f>VLOOKUP(A446,怪物并表!$R$7:$S$14,2,FALSE)</f>
        <v>2</v>
      </c>
      <c r="F446" s="38">
        <v>4</v>
      </c>
      <c r="G446" s="38">
        <v>6</v>
      </c>
      <c r="H446" s="38">
        <v>0</v>
      </c>
      <c r="I446" s="33">
        <f t="shared" si="57"/>
        <v>246003</v>
      </c>
      <c r="J446" s="33" t="s">
        <v>478</v>
      </c>
      <c r="K446" s="33"/>
      <c r="L446" s="33">
        <v>0</v>
      </c>
      <c r="M446" s="33">
        <v>1</v>
      </c>
      <c r="N446" s="33" t="s">
        <v>215</v>
      </c>
      <c r="O446" s="33">
        <v>1</v>
      </c>
      <c r="P446" s="33">
        <f>VLOOKUP($C446,CHOOSE({1,2},怪物并表!$E$7:$E$1000,怪物并表!$D$7:$D$1000),2,FALSE)</f>
        <v>45</v>
      </c>
      <c r="Q446" s="33" t="s">
        <v>18</v>
      </c>
      <c r="R446" s="33">
        <f>VLOOKUP(Q446,怪物信息配置表!$A$2:$B$118,2,FALSE)</f>
        <v>1006</v>
      </c>
      <c r="S446" s="33">
        <v>1</v>
      </c>
      <c r="T446" s="110">
        <f>VLOOKUP($C446,怪物并表!$E$7:$N$1000,2+($D446-1)*3,FALSE)*S446*AJ446</f>
        <v>94177.560629775049</v>
      </c>
      <c r="U446" s="110">
        <f>VLOOKUP($C446,怪物并表!$E$7:$N$1000,3+($D446-1)*3,FALSE)*S446*AK446</f>
        <v>6379.4834064610141</v>
      </c>
      <c r="V446" s="110">
        <f>VLOOKUP($C446,怪物并表!$E$7:$N$1000,4+($D446-1)*3,FALSE)*S446*AL446</f>
        <v>2110.9270232107033</v>
      </c>
      <c r="W446" s="33"/>
      <c r="X446" s="33"/>
      <c r="Y446" s="49">
        <f>VLOOKUP($C446,怪物并表!$E$7:$P$1000,12,FALSE)</f>
        <v>0</v>
      </c>
      <c r="Z446" s="49">
        <f>VLOOKUP($C446,怪物并表!$E$7:$P$1000,11,FALSE)*S446</f>
        <v>2961.86</v>
      </c>
      <c r="AA446" s="33"/>
      <c r="AB446" s="33"/>
      <c r="AC446" s="33"/>
      <c r="AD446" s="33">
        <f t="shared" si="53"/>
        <v>0.8</v>
      </c>
      <c r="AE446" s="2">
        <f t="shared" si="52"/>
        <v>572.5</v>
      </c>
      <c r="AF446" s="2" t="str">
        <f>IF(ISBLANK(AM446),IF(O446=6,"",IF(O446=1,VLOOKUP(R446,怪物信息配置表!B:H,5,FALSE),IF(O446=2,VLOOKUP(R446,怪物信息配置表!B:H,6,FALSE),IF(OR(O446=3,O446=5),VLOOKUP(R446,怪物信息配置表!B:H,7,FALSE),"")))),AM446)</f>
        <v>ai_monster_03</v>
      </c>
      <c r="AG446" s="2"/>
      <c r="AH446" s="15">
        <f>SUMPRODUCT(T446:V446,$AN$3:$AP$3)+ROUNDDOWN(VLOOKUP(P446,CHOOSE({1,2},'[1]消耗&amp;价值&amp;分析'!$C$7:$C$106,'[1]消耗&amp;价值&amp;分析'!$AS$7:$AS$106),2,FALSE)*0.6,0)</f>
        <v>14424.51285486272</v>
      </c>
      <c r="AJ446" s="80">
        <v>1</v>
      </c>
      <c r="AK446" s="80">
        <v>1</v>
      </c>
      <c r="AL446" s="80">
        <v>1</v>
      </c>
    </row>
    <row r="447" spans="1:38">
      <c r="A447" s="33" t="str">
        <f>怪物并表!$R$8</f>
        <v>精英副本</v>
      </c>
      <c r="B447" s="38">
        <v>4</v>
      </c>
      <c r="C447" s="33">
        <f t="shared" si="54"/>
        <v>4206</v>
      </c>
      <c r="D447" s="33">
        <v>3</v>
      </c>
      <c r="E447" s="33">
        <f>VLOOKUP(A447,怪物并表!$R$7:$S$14,2,FALSE)</f>
        <v>2</v>
      </c>
      <c r="F447" s="38">
        <v>4</v>
      </c>
      <c r="G447" s="38">
        <v>6</v>
      </c>
      <c r="H447" s="38">
        <v>0</v>
      </c>
      <c r="I447" s="33">
        <f t="shared" si="57"/>
        <v>246004</v>
      </c>
      <c r="J447" s="33" t="s">
        <v>716</v>
      </c>
      <c r="K447" s="33"/>
      <c r="L447" s="33">
        <v>1</v>
      </c>
      <c r="M447" s="33">
        <v>1.3</v>
      </c>
      <c r="N447" s="33"/>
      <c r="O447" s="33">
        <v>3</v>
      </c>
      <c r="P447" s="33">
        <f>VLOOKUP($C447,CHOOSE({1,2},怪物并表!$E$7:$E$1000,怪物并表!$D$7:$D$1000),2,FALSE)</f>
        <v>45</v>
      </c>
      <c r="Q447" s="33" t="s">
        <v>15</v>
      </c>
      <c r="R447" s="33">
        <f>VLOOKUP(Q447,怪物信息配置表!$A$2:$B$118,2,FALSE)</f>
        <v>1004</v>
      </c>
      <c r="S447" s="33">
        <v>1</v>
      </c>
      <c r="T447" s="110">
        <f>VLOOKUP($C447,怪物并表!$E$7:$N$1000,2+($D447-1)*3,FALSE)*S447*AJ447</f>
        <v>294304.876968047</v>
      </c>
      <c r="U447" s="110">
        <f>VLOOKUP($C447,怪物并表!$E$7:$N$1000,3+($D447-1)*3,FALSE)*S447*AK447</f>
        <v>7724.1530518699801</v>
      </c>
      <c r="V447" s="110">
        <f>VLOOKUP($C447,怪物并表!$E$7:$N$1000,4+($D447-1)*3,FALSE)*S447*AL447</f>
        <v>3166.3905348160547</v>
      </c>
      <c r="W447" s="33"/>
      <c r="X447" s="33"/>
      <c r="Y447" s="49">
        <f>VLOOKUP($C447,怪物并表!$E$7:$P$1000,12,FALSE)</f>
        <v>0</v>
      </c>
      <c r="Z447" s="49">
        <f>VLOOKUP($C447,怪物并表!$E$7:$P$1000,11,FALSE)*S447</f>
        <v>2961.86</v>
      </c>
      <c r="AA447" s="33"/>
      <c r="AB447" s="33"/>
      <c r="AC447" s="33"/>
      <c r="AD447" s="33">
        <f t="shared" si="53"/>
        <v>1.5</v>
      </c>
      <c r="AE447" s="2">
        <f t="shared" si="52"/>
        <v>198.4375</v>
      </c>
      <c r="AF447" s="2" t="str">
        <f>IF(ISBLANK(AM447),IF(O447=6,"",IF(O447=1,VLOOKUP(R447,怪物信息配置表!B:H,5,FALSE),IF(O447=2,VLOOKUP(R447,怪物信息配置表!B:H,6,FALSE),IF(OR(O447=3,O447=5),VLOOKUP(R447,怪物信息配置表!B:H,7,FALSE),"")))),AM447)</f>
        <v>1004_pangzi_BOSS</v>
      </c>
      <c r="AG447" s="2"/>
      <c r="AH447" s="15">
        <f>SUMPRODUCT(T447:V447,$AN$3:$AP$3)+ROUNDDOWN(VLOOKUP(P447,CHOOSE({1,2},'[1]消耗&amp;价值&amp;分析'!$C$7:$C$106,'[1]消耗&amp;价值&amp;分析'!$AS$7:$AS$106),2,FALSE)*0.6,0)</f>
        <v>24829.738665407916</v>
      </c>
      <c r="AJ447" s="80">
        <v>1</v>
      </c>
      <c r="AK447" s="80">
        <v>1</v>
      </c>
      <c r="AL447" s="80">
        <v>1</v>
      </c>
    </row>
    <row r="448" spans="1:38">
      <c r="A448" s="33" t="str">
        <f>怪物并表!$R$8</f>
        <v>精英副本</v>
      </c>
      <c r="B448" s="38">
        <v>1</v>
      </c>
      <c r="C448" s="33">
        <f t="shared" ref="C448:C459" si="58">1000*F448+200+G448</f>
        <v>4207</v>
      </c>
      <c r="D448" s="33">
        <v>1</v>
      </c>
      <c r="E448" s="33">
        <f>VLOOKUP(A448,怪物并表!$R$7:$S$14,2,FALSE)</f>
        <v>2</v>
      </c>
      <c r="F448" s="38">
        <v>4</v>
      </c>
      <c r="G448" s="38">
        <v>7</v>
      </c>
      <c r="H448" s="38">
        <v>0</v>
      </c>
      <c r="I448" s="33">
        <f t="shared" si="57"/>
        <v>247001</v>
      </c>
      <c r="J448" s="33" t="s">
        <v>228</v>
      </c>
      <c r="K448" s="33"/>
      <c r="L448" s="33">
        <v>0</v>
      </c>
      <c r="M448" s="33">
        <v>1</v>
      </c>
      <c r="N448" s="33"/>
      <c r="O448" s="33">
        <v>1</v>
      </c>
      <c r="P448" s="33">
        <f>VLOOKUP($C448,CHOOSE({1,2},怪物并表!$E$7:$E$1000,怪物并表!$D$7:$D$1000),2,FALSE)</f>
        <v>46</v>
      </c>
      <c r="Q448" s="33" t="s">
        <v>13</v>
      </c>
      <c r="R448" s="33">
        <f>VLOOKUP(Q448,怪物信息配置表!$A$2:$B$118,2,FALSE)</f>
        <v>1007</v>
      </c>
      <c r="S448" s="33">
        <v>1</v>
      </c>
      <c r="T448" s="110">
        <f>VLOOKUP($C448,怪物并表!$E$7:$N$1000,2+($D448-1)*3,FALSE)*S448*AJ448</f>
        <v>130147.7406845676</v>
      </c>
      <c r="U448" s="110">
        <f>VLOOKUP($C448,怪物并表!$E$7:$N$1000,3+($D448-1)*3,FALSE)*S448*AK448</f>
        <v>7473.366236449604</v>
      </c>
      <c r="V448" s="110">
        <f>VLOOKUP($C448,怪物并表!$E$7:$N$1000,4+($D448-1)*3,FALSE)*S448*AL448</f>
        <v>2891.6667825230788</v>
      </c>
      <c r="W448" s="33"/>
      <c r="X448" s="33"/>
      <c r="Y448" s="49">
        <f>VLOOKUP($C448,怪物并表!$E$7:$P$1000,12,FALSE)</f>
        <v>0</v>
      </c>
      <c r="Z448" s="49">
        <f>VLOOKUP($C448,怪物并表!$E$7:$P$1000,11,FALSE)*S448</f>
        <v>3020.0879999999997</v>
      </c>
      <c r="AA448" s="33"/>
      <c r="AB448" s="33"/>
      <c r="AC448" s="33"/>
      <c r="AD448" s="33">
        <f t="shared" ref="AD448:AD459" si="59">IF(D448=1,1,IF(D448=2,0.8,1.5))</f>
        <v>1</v>
      </c>
      <c r="AE448" s="2">
        <f t="shared" si="52"/>
        <v>453.75</v>
      </c>
      <c r="AF448" s="2" t="str">
        <f>IF(ISBLANK(AM448),IF(O448=6,"",IF(O448=1,VLOOKUP(R448,怪物信息配置表!B:H,5,FALSE),IF(O448=2,VLOOKUP(R448,怪物信息配置表!B:H,6,FALSE),IF(OR(O448=3,O448=5),VLOOKUP(R448,怪物信息配置表!B:H,7,FALSE),"")))),AM448)</f>
        <v>ai_monster_03</v>
      </c>
      <c r="AG448" s="2"/>
      <c r="AH448" s="15">
        <f>SUMPRODUCT(T448:V448,$AN$3:$AP$3)+ROUNDDOWN(VLOOKUP(P448,CHOOSE({1,2},'[1]消耗&amp;价值&amp;分析'!$C$7:$C$106,'[1]消耗&amp;价值&amp;分析'!$AS$7:$AS$106),2,FALSE)*0.6,0)</f>
        <v>17896.942646355386</v>
      </c>
      <c r="AJ448" s="80">
        <v>1</v>
      </c>
      <c r="AK448" s="80">
        <v>1</v>
      </c>
      <c r="AL448" s="80">
        <v>1</v>
      </c>
    </row>
    <row r="449" spans="1:38">
      <c r="A449" s="33" t="str">
        <f>怪物并表!$R$8</f>
        <v>精英副本</v>
      </c>
      <c r="B449" s="38">
        <v>2</v>
      </c>
      <c r="C449" s="33">
        <f t="shared" si="58"/>
        <v>4207</v>
      </c>
      <c r="D449" s="33">
        <v>2</v>
      </c>
      <c r="E449" s="33">
        <f>VLOOKUP(A449,怪物并表!$R$7:$S$14,2,FALSE)</f>
        <v>2</v>
      </c>
      <c r="F449" s="38">
        <v>4</v>
      </c>
      <c r="G449" s="38">
        <v>7</v>
      </c>
      <c r="H449" s="38">
        <v>0</v>
      </c>
      <c r="I449" s="33">
        <f t="shared" si="57"/>
        <v>247002</v>
      </c>
      <c r="J449" s="33" t="s">
        <v>463</v>
      </c>
      <c r="K449" s="33"/>
      <c r="L449" s="33">
        <v>0</v>
      </c>
      <c r="M449" s="33">
        <v>1</v>
      </c>
      <c r="N449" s="33"/>
      <c r="O449" s="33">
        <v>1</v>
      </c>
      <c r="P449" s="33">
        <f>VLOOKUP($C449,CHOOSE({1,2},怪物并表!$E$7:$E$1000,怪物并表!$D$7:$D$1000),2,FALSE)</f>
        <v>46</v>
      </c>
      <c r="Q449" s="33" t="s">
        <v>17</v>
      </c>
      <c r="R449" s="33">
        <f>VLOOKUP(Q449,怪物信息配置表!$A$2:$B$118,2,FALSE)</f>
        <v>1005</v>
      </c>
      <c r="S449" s="33">
        <v>1</v>
      </c>
      <c r="T449" s="110">
        <f>VLOOKUP($C449,怪物并表!$E$7:$N$1000,2+($D449-1)*3,FALSE)*S449*AJ449</f>
        <v>104118.19254765409</v>
      </c>
      <c r="U449" s="110">
        <f>VLOOKUP($C449,怪物并表!$E$7:$N$1000,3+($D449-1)*3,FALSE)*S449*AK449</f>
        <v>6977.4788982414339</v>
      </c>
      <c r="V449" s="110">
        <f>VLOOKUP($C449,怪物并表!$E$7:$N$1000,4+($D449-1)*3,FALSE)*S449*AL449</f>
        <v>2338.4783545621426</v>
      </c>
      <c r="W449" s="33"/>
      <c r="X449" s="33"/>
      <c r="Y449" s="49">
        <f>VLOOKUP($C449,怪物并表!$E$7:$P$1000,12,FALSE)</f>
        <v>0</v>
      </c>
      <c r="Z449" s="49">
        <f>VLOOKUP($C449,怪物并表!$E$7:$P$1000,11,FALSE)*S449</f>
        <v>3020.0879999999997</v>
      </c>
      <c r="AA449" s="33"/>
      <c r="AB449" s="33"/>
      <c r="AC449" s="33"/>
      <c r="AD449" s="33">
        <f t="shared" si="59"/>
        <v>0.8</v>
      </c>
      <c r="AE449" s="2">
        <f t="shared" si="52"/>
        <v>563</v>
      </c>
      <c r="AF449" s="2" t="str">
        <f>IF(ISBLANK(AM449),IF(O449=6,"",IF(O449=1,VLOOKUP(R449,怪物信息配置表!B:H,5,FALSE),IF(O449=2,VLOOKUP(R449,怪物信息配置表!B:H,6,FALSE),IF(OR(O449=3,O449=5),VLOOKUP(R449,怪物信息配置表!B:H,7,FALSE),"")))),AM449)</f>
        <v>ai_monster_02</v>
      </c>
      <c r="AG449" s="2"/>
      <c r="AH449" s="15">
        <f>SUMPRODUCT(T449:V449,$AN$3:$AP$3)+ROUNDDOWN(VLOOKUP(P449,CHOOSE({1,2},'[1]消耗&amp;价值&amp;分析'!$C$7:$C$106,'[1]消耗&amp;价值&amp;分析'!$AS$7:$AS$106),2,FALSE)*0.6,0)</f>
        <v>15806.684954709741</v>
      </c>
      <c r="AJ449" s="80">
        <v>1</v>
      </c>
      <c r="AK449" s="80">
        <v>1</v>
      </c>
      <c r="AL449" s="80">
        <v>1</v>
      </c>
    </row>
    <row r="450" spans="1:38">
      <c r="A450" s="33" t="str">
        <f>怪物并表!$R$8</f>
        <v>精英副本</v>
      </c>
      <c r="B450" s="38">
        <v>3</v>
      </c>
      <c r="C450" s="33">
        <f t="shared" si="58"/>
        <v>4207</v>
      </c>
      <c r="D450" s="33">
        <v>1</v>
      </c>
      <c r="E450" s="33">
        <f>VLOOKUP(A450,怪物并表!$R$7:$S$14,2,FALSE)</f>
        <v>2</v>
      </c>
      <c r="F450" s="38">
        <v>4</v>
      </c>
      <c r="G450" s="38">
        <v>7</v>
      </c>
      <c r="H450" s="38">
        <v>0</v>
      </c>
      <c r="I450" s="33">
        <f t="shared" si="57"/>
        <v>247003</v>
      </c>
      <c r="J450" s="33" t="s">
        <v>46</v>
      </c>
      <c r="K450" s="33"/>
      <c r="L450" s="33">
        <v>0</v>
      </c>
      <c r="M450" s="33">
        <v>1</v>
      </c>
      <c r="N450" s="33"/>
      <c r="O450" s="33">
        <v>1</v>
      </c>
      <c r="P450" s="33">
        <f>VLOOKUP($C450,CHOOSE({1,2},怪物并表!$E$7:$E$1000,怪物并表!$D$7:$D$1000),2,FALSE)</f>
        <v>46</v>
      </c>
      <c r="Q450" s="33" t="s">
        <v>11</v>
      </c>
      <c r="R450" s="33">
        <f>VLOOKUP(Q450,怪物信息配置表!$A$2:$B$118,2,FALSE)</f>
        <v>1011</v>
      </c>
      <c r="S450" s="33">
        <v>1</v>
      </c>
      <c r="T450" s="110">
        <f>VLOOKUP($C450,怪物并表!$E$7:$N$1000,2+($D450-1)*3,FALSE)*S450*AJ450</f>
        <v>130147.7406845676</v>
      </c>
      <c r="U450" s="110">
        <f>VLOOKUP($C450,怪物并表!$E$7:$N$1000,3+($D450-1)*3,FALSE)*S450*AK450</f>
        <v>7473.366236449604</v>
      </c>
      <c r="V450" s="110">
        <f>VLOOKUP($C450,怪物并表!$E$7:$N$1000,4+($D450-1)*3,FALSE)*S450*AL450</f>
        <v>2891.6667825230788</v>
      </c>
      <c r="W450" s="33"/>
      <c r="X450" s="33"/>
      <c r="Y450" s="49">
        <f>VLOOKUP($C450,怪物并表!$E$7:$P$1000,12,FALSE)</f>
        <v>0</v>
      </c>
      <c r="Z450" s="49">
        <f>VLOOKUP($C450,怪物并表!$E$7:$P$1000,11,FALSE)*S450</f>
        <v>3020.0879999999997</v>
      </c>
      <c r="AA450" s="33"/>
      <c r="AB450" s="33"/>
      <c r="AC450" s="33"/>
      <c r="AD450" s="33">
        <f t="shared" si="59"/>
        <v>1</v>
      </c>
      <c r="AE450" s="2">
        <f t="shared" ref="AE450:AE513" si="60">MAX(VLOOKUP(Q450,怪物信息配置表,3,FALSE)-VLOOKUP(Q450,怪物信息配置表,5,FALSE)*P450*AD450,50)</f>
        <v>453.75</v>
      </c>
      <c r="AF450" s="2" t="str">
        <f>IF(ISBLANK(AM450),IF(O450=6,"",IF(O450=1,VLOOKUP(R450,怪物信息配置表!B:H,5,FALSE),IF(O450=2,VLOOKUP(R450,怪物信息配置表!B:H,6,FALSE),IF(OR(O450=3,O450=5),VLOOKUP(R450,怪物信息配置表!B:H,7,FALSE),"")))),AM450)</f>
        <v>ai_monster</v>
      </c>
      <c r="AG450" s="2"/>
      <c r="AH450" s="15">
        <f>SUMPRODUCT(T450:V450,$AN$3:$AP$3)+ROUNDDOWN(VLOOKUP(P450,CHOOSE({1,2},'[1]消耗&amp;价值&amp;分析'!$C$7:$C$106,'[1]消耗&amp;价值&amp;分析'!$AS$7:$AS$106),2,FALSE)*0.6,0)</f>
        <v>17896.942646355386</v>
      </c>
      <c r="AJ450" s="80">
        <v>1</v>
      </c>
      <c r="AK450" s="80">
        <v>1</v>
      </c>
      <c r="AL450" s="80">
        <v>1</v>
      </c>
    </row>
    <row r="451" spans="1:38">
      <c r="A451" s="33" t="str">
        <f>怪物并表!$R$8</f>
        <v>精英副本</v>
      </c>
      <c r="B451" s="38">
        <v>4</v>
      </c>
      <c r="C451" s="33">
        <f t="shared" si="58"/>
        <v>4207</v>
      </c>
      <c r="D451" s="33">
        <v>3</v>
      </c>
      <c r="E451" s="33">
        <f>VLOOKUP(A451,怪物并表!$R$7:$S$14,2,FALSE)</f>
        <v>2</v>
      </c>
      <c r="F451" s="38">
        <v>4</v>
      </c>
      <c r="G451" s="38">
        <v>7</v>
      </c>
      <c r="H451" s="38">
        <v>0</v>
      </c>
      <c r="I451" s="33">
        <f t="shared" si="57"/>
        <v>247004</v>
      </c>
      <c r="J451" s="33" t="s">
        <v>717</v>
      </c>
      <c r="K451" s="33"/>
      <c r="L451" s="33">
        <v>1</v>
      </c>
      <c r="M451" s="33">
        <v>1.2</v>
      </c>
      <c r="N451" s="33"/>
      <c r="O451" s="33">
        <v>3</v>
      </c>
      <c r="P451" s="33">
        <f>VLOOKUP($C451,CHOOSE({1,2},怪物并表!$E$7:$E$1000,怪物并表!$D$7:$D$1000),2,FALSE)</f>
        <v>46</v>
      </c>
      <c r="Q451" s="33" t="s">
        <v>12</v>
      </c>
      <c r="R451" s="33">
        <f>VLOOKUP(Q451,怪物信息配置表!$A$2:$B$118,2,FALSE)</f>
        <v>1009</v>
      </c>
      <c r="S451" s="33">
        <v>1</v>
      </c>
      <c r="T451" s="110">
        <f>VLOOKUP($C451,怪物并表!$E$7:$N$1000,2+($D451-1)*3,FALSE)*S451*AJ451</f>
        <v>325369.351711419</v>
      </c>
      <c r="U451" s="110">
        <f>VLOOKUP($C451,怪物并表!$E$7:$N$1000,3+($D451-1)*3,FALSE)*S451*AK451</f>
        <v>8465.140912865947</v>
      </c>
      <c r="V451" s="110">
        <f>VLOOKUP($C451,怪物并表!$E$7:$N$1000,4+($D451-1)*3,FALSE)*S451*AL451</f>
        <v>3444.8552104840151</v>
      </c>
      <c r="W451" s="33"/>
      <c r="X451" s="33"/>
      <c r="Y451" s="49">
        <f>VLOOKUP($C451,怪物并表!$E$7:$P$1000,12,FALSE)</f>
        <v>0</v>
      </c>
      <c r="Z451" s="49">
        <f>VLOOKUP($C451,怪物并表!$E$7:$P$1000,11,FALSE)*S451</f>
        <v>3020.0879999999997</v>
      </c>
      <c r="AA451" s="33"/>
      <c r="AB451" s="33"/>
      <c r="AC451" s="33"/>
      <c r="AD451" s="33">
        <f t="shared" si="59"/>
        <v>1.5</v>
      </c>
      <c r="AE451" s="2">
        <f t="shared" si="60"/>
        <v>180.625</v>
      </c>
      <c r="AF451" s="2" t="str">
        <f>IF(ISBLANK(AM451),IF(O451=6,"",IF(O451=1,VLOOKUP(R451,怪物信息配置表!B:H,5,FALSE),IF(O451=2,VLOOKUP(R451,怪物信息配置表!B:H,6,FALSE),IF(OR(O451=3,O451=5),VLOOKUP(R451,怪物信息配置表!B:H,7,FALSE),"")))),AM451)</f>
        <v>1009_tiequan_BOSS</v>
      </c>
      <c r="AG451" s="2"/>
      <c r="AH451" s="15">
        <f>SUMPRODUCT(T451:V451,$AN$3:$AP$3)+ROUNDDOWN(VLOOKUP(P451,CHOOSE({1,2},'[1]消耗&amp;价值&amp;分析'!$C$7:$C$106,'[1]消耗&amp;价值&amp;分析'!$AS$7:$AS$106),2,FALSE)*0.6,0)</f>
        <v>27250.770191806721</v>
      </c>
      <c r="AJ451" s="80">
        <v>1</v>
      </c>
      <c r="AK451" s="80">
        <v>1</v>
      </c>
      <c r="AL451" s="80">
        <v>1</v>
      </c>
    </row>
    <row r="452" spans="1:38">
      <c r="A452" s="33" t="str">
        <f>怪物并表!$R$8</f>
        <v>精英副本</v>
      </c>
      <c r="B452" s="38">
        <v>1</v>
      </c>
      <c r="C452" s="33">
        <f t="shared" si="58"/>
        <v>4208</v>
      </c>
      <c r="D452" s="33">
        <v>2</v>
      </c>
      <c r="E452" s="33">
        <f>VLOOKUP(A452,怪物并表!$R$7:$S$14,2,FALSE)</f>
        <v>2</v>
      </c>
      <c r="F452" s="38">
        <v>4</v>
      </c>
      <c r="G452" s="38">
        <v>8</v>
      </c>
      <c r="H452" s="38">
        <v>0</v>
      </c>
      <c r="I452" s="33">
        <f t="shared" si="57"/>
        <v>248001</v>
      </c>
      <c r="J452" s="33" t="s">
        <v>480</v>
      </c>
      <c r="K452" s="33"/>
      <c r="L452" s="33">
        <v>0</v>
      </c>
      <c r="M452" s="33">
        <v>1</v>
      </c>
      <c r="N452" s="33"/>
      <c r="O452" s="33">
        <v>1</v>
      </c>
      <c r="P452" s="33">
        <f>VLOOKUP($C452,CHOOSE({1,2},怪物并表!$E$7:$E$1000,怪物并表!$D$7:$D$1000),2,FALSE)</f>
        <v>47</v>
      </c>
      <c r="Q452" s="33" t="s">
        <v>10</v>
      </c>
      <c r="R452" s="33">
        <f>VLOOKUP(Q452,怪物信息配置表!$A$2:$B$118,2,FALSE)</f>
        <v>1001</v>
      </c>
      <c r="S452" s="33">
        <v>1</v>
      </c>
      <c r="T452" s="110">
        <f>VLOOKUP($C452,怪物并表!$E$7:$N$1000,2+($D452-1)*3,FALSE)*S452*AJ452</f>
        <v>114841.1056275008</v>
      </c>
      <c r="U452" s="110">
        <f>VLOOKUP($C452,怪物并表!$E$7:$N$1000,3+($D452-1)*3,FALSE)*S452*AK452</f>
        <v>8028.1890061001704</v>
      </c>
      <c r="V452" s="110">
        <f>VLOOKUP($C452,怪物并表!$E$7:$N$1000,4+($D452-1)*3,FALSE)*S452*AL452</f>
        <v>2583.1944817444823</v>
      </c>
      <c r="W452" s="33"/>
      <c r="X452" s="33"/>
      <c r="Y452" s="49">
        <f>VLOOKUP($C452,怪物并表!$E$7:$P$1000,12,FALSE)</f>
        <v>0</v>
      </c>
      <c r="Z452" s="49">
        <f>VLOOKUP($C452,怪物并表!$E$7:$P$1000,11,FALSE)*S452</f>
        <v>3078.3160000000003</v>
      </c>
      <c r="AA452" s="33"/>
      <c r="AB452" s="33"/>
      <c r="AC452" s="33"/>
      <c r="AD452" s="33">
        <f t="shared" si="59"/>
        <v>0.8</v>
      </c>
      <c r="AE452" s="2">
        <f t="shared" si="60"/>
        <v>553.5</v>
      </c>
      <c r="AF452" s="2" t="str">
        <f>IF(ISBLANK(AM452),IF(O452=6,"",IF(O452=1,VLOOKUP(R452,怪物信息配置表!B:H,5,FALSE),IF(O452=2,VLOOKUP(R452,怪物信息配置表!B:H,6,FALSE),IF(OR(O452=3,O452=5),VLOOKUP(R452,怪物信息配置表!B:H,7,FALSE),"")))),AM452)</f>
        <v>ai_monster</v>
      </c>
      <c r="AG452" s="2"/>
      <c r="AH452" s="15">
        <f>SUMPRODUCT(T452:V452,$AN$3:$AP$3)+ROUNDDOWN(VLOOKUP(P452,CHOOSE({1,2},'[1]消耗&amp;价值&amp;分析'!$C$7:$C$106,'[1]消耗&amp;价值&amp;分析'!$AS$7:$AS$106),2,FALSE)*0.6,0)</f>
        <v>17599.027712944684</v>
      </c>
      <c r="AJ452" s="80">
        <v>1</v>
      </c>
      <c r="AK452" s="80">
        <v>1</v>
      </c>
      <c r="AL452" s="80">
        <v>1</v>
      </c>
    </row>
    <row r="453" spans="1:38">
      <c r="A453" s="33" t="str">
        <f>怪物并表!$R$8</f>
        <v>精英副本</v>
      </c>
      <c r="B453" s="38">
        <v>2</v>
      </c>
      <c r="C453" s="33">
        <f t="shared" si="58"/>
        <v>4208</v>
      </c>
      <c r="D453" s="33">
        <v>2</v>
      </c>
      <c r="E453" s="33">
        <f>VLOOKUP(A453,怪物并表!$R$7:$S$14,2,FALSE)</f>
        <v>2</v>
      </c>
      <c r="F453" s="38">
        <v>4</v>
      </c>
      <c r="G453" s="38">
        <v>8</v>
      </c>
      <c r="H453" s="38">
        <v>0</v>
      </c>
      <c r="I453" s="33">
        <f t="shared" si="57"/>
        <v>248002</v>
      </c>
      <c r="J453" s="33" t="s">
        <v>15</v>
      </c>
      <c r="K453" s="33"/>
      <c r="L453" s="33">
        <v>0</v>
      </c>
      <c r="M453" s="33">
        <v>1</v>
      </c>
      <c r="N453" s="33" t="s">
        <v>218</v>
      </c>
      <c r="O453" s="33">
        <v>1</v>
      </c>
      <c r="P453" s="33">
        <f>VLOOKUP($C453,CHOOSE({1,2},怪物并表!$E$7:$E$1000,怪物并表!$D$7:$D$1000),2,FALSE)</f>
        <v>47</v>
      </c>
      <c r="Q453" s="33" t="s">
        <v>15</v>
      </c>
      <c r="R453" s="33">
        <f>VLOOKUP(Q453,怪物信息配置表!$A$2:$B$118,2,FALSE)</f>
        <v>1004</v>
      </c>
      <c r="S453" s="33">
        <v>1</v>
      </c>
      <c r="T453" s="110">
        <f>VLOOKUP($C453,怪物并表!$E$7:$N$1000,2+($D453-1)*3,FALSE)*S453*AJ453</f>
        <v>114841.1056275008</v>
      </c>
      <c r="U453" s="110">
        <f>VLOOKUP($C453,怪物并表!$E$7:$N$1000,3+($D453-1)*3,FALSE)*S453*AK453</f>
        <v>8028.1890061001704</v>
      </c>
      <c r="V453" s="110">
        <f>VLOOKUP($C453,怪物并表!$E$7:$N$1000,4+($D453-1)*3,FALSE)*S453*AL453</f>
        <v>2583.1944817444823</v>
      </c>
      <c r="W453" s="33"/>
      <c r="X453" s="33"/>
      <c r="Y453" s="49">
        <f>VLOOKUP($C453,怪物并表!$E$7:$P$1000,12,FALSE)</f>
        <v>0</v>
      </c>
      <c r="Z453" s="49">
        <f>VLOOKUP($C453,怪物并表!$E$7:$P$1000,11,FALSE)*S453</f>
        <v>3078.3160000000003</v>
      </c>
      <c r="AA453" s="33"/>
      <c r="AB453" s="33"/>
      <c r="AC453" s="33"/>
      <c r="AD453" s="33">
        <f t="shared" si="59"/>
        <v>0.8</v>
      </c>
      <c r="AE453" s="2">
        <f t="shared" si="60"/>
        <v>553.5</v>
      </c>
      <c r="AF453" s="2" t="str">
        <f>IF(ISBLANK(AM453),IF(O453=6,"",IF(O453=1,VLOOKUP(R453,怪物信息配置表!B:H,5,FALSE),IF(O453=2,VLOOKUP(R453,怪物信息配置表!B:H,6,FALSE),IF(OR(O453=3,O453=5),VLOOKUP(R453,怪物信息配置表!B:H,7,FALSE),"")))),AM453)</f>
        <v>ai_monster</v>
      </c>
      <c r="AG453" s="2"/>
      <c r="AH453" s="15">
        <f>SUMPRODUCT(T453:V453,$AN$3:$AP$3)+ROUNDDOWN(VLOOKUP(P453,CHOOSE({1,2},'[1]消耗&amp;价值&amp;分析'!$C$7:$C$106,'[1]消耗&amp;价值&amp;分析'!$AS$7:$AS$106),2,FALSE)*0.6,0)</f>
        <v>17599.027712944684</v>
      </c>
      <c r="AJ453" s="80">
        <v>1</v>
      </c>
      <c r="AK453" s="80">
        <v>1</v>
      </c>
      <c r="AL453" s="80">
        <v>1</v>
      </c>
    </row>
    <row r="454" spans="1:38">
      <c r="A454" s="33" t="str">
        <f>怪物并表!$R$8</f>
        <v>精英副本</v>
      </c>
      <c r="B454" s="38">
        <v>3</v>
      </c>
      <c r="C454" s="33">
        <f t="shared" si="58"/>
        <v>4208</v>
      </c>
      <c r="D454" s="33">
        <v>2</v>
      </c>
      <c r="E454" s="33">
        <f>VLOOKUP(A454,怪物并表!$R$7:$S$14,2,FALSE)</f>
        <v>2</v>
      </c>
      <c r="F454" s="38">
        <v>4</v>
      </c>
      <c r="G454" s="38">
        <v>8</v>
      </c>
      <c r="H454" s="38">
        <v>0</v>
      </c>
      <c r="I454" s="33">
        <f t="shared" si="57"/>
        <v>248003</v>
      </c>
      <c r="J454" s="33" t="s">
        <v>461</v>
      </c>
      <c r="K454" s="33"/>
      <c r="L454" s="33">
        <v>0</v>
      </c>
      <c r="M454" s="33">
        <v>1</v>
      </c>
      <c r="N454" s="33"/>
      <c r="O454" s="33">
        <v>1</v>
      </c>
      <c r="P454" s="33">
        <f>VLOOKUP($C454,CHOOSE({1,2},怪物并表!$E$7:$E$1000,怪物并表!$D$7:$D$1000),2,FALSE)</f>
        <v>47</v>
      </c>
      <c r="Q454" s="33" t="s">
        <v>14</v>
      </c>
      <c r="R454" s="33">
        <f>VLOOKUP(Q454,怪物信息配置表!$A$2:$B$118,2,FALSE)</f>
        <v>1010</v>
      </c>
      <c r="S454" s="33">
        <v>1</v>
      </c>
      <c r="T454" s="110">
        <f>VLOOKUP($C454,怪物并表!$E$7:$N$1000,2+($D454-1)*3,FALSE)*S454*AJ454</f>
        <v>114841.1056275008</v>
      </c>
      <c r="U454" s="110">
        <f>VLOOKUP($C454,怪物并表!$E$7:$N$1000,3+($D454-1)*3,FALSE)*S454*AK454</f>
        <v>8028.1890061001704</v>
      </c>
      <c r="V454" s="110">
        <f>VLOOKUP($C454,怪物并表!$E$7:$N$1000,4+($D454-1)*3,FALSE)*S454*AL454</f>
        <v>2583.1944817444823</v>
      </c>
      <c r="W454" s="33"/>
      <c r="X454" s="33"/>
      <c r="Y454" s="49">
        <f>VLOOKUP($C454,怪物并表!$E$7:$P$1000,12,FALSE)</f>
        <v>0</v>
      </c>
      <c r="Z454" s="49">
        <f>VLOOKUP($C454,怪物并表!$E$7:$P$1000,11,FALSE)*S454</f>
        <v>3078.3160000000003</v>
      </c>
      <c r="AA454" s="33"/>
      <c r="AB454" s="33"/>
      <c r="AC454" s="33"/>
      <c r="AD454" s="33">
        <f t="shared" si="59"/>
        <v>0.8</v>
      </c>
      <c r="AE454" s="2">
        <f t="shared" si="60"/>
        <v>553.5</v>
      </c>
      <c r="AF454" s="2" t="str">
        <f>IF(ISBLANK(AM454),IF(O454=6,"",IF(O454=1,VLOOKUP(R454,怪物信息配置表!B:H,5,FALSE),IF(O454=2,VLOOKUP(R454,怪物信息配置表!B:H,6,FALSE),IF(OR(O454=3,O454=5),VLOOKUP(R454,怪物信息配置表!B:H,7,FALSE),"")))),AM454)</f>
        <v>ai_monster</v>
      </c>
      <c r="AG454" s="2"/>
      <c r="AH454" s="15">
        <f>SUMPRODUCT(T454:V454,$AN$3:$AP$3)+ROUNDDOWN(VLOOKUP(P454,CHOOSE({1,2},'[1]消耗&amp;价值&amp;分析'!$C$7:$C$106,'[1]消耗&amp;价值&amp;分析'!$AS$7:$AS$106),2,FALSE)*0.6,0)</f>
        <v>17599.027712944684</v>
      </c>
      <c r="AJ454" s="80">
        <v>1</v>
      </c>
      <c r="AK454" s="80">
        <v>1</v>
      </c>
      <c r="AL454" s="80">
        <v>1</v>
      </c>
    </row>
    <row r="455" spans="1:38">
      <c r="A455" s="33" t="str">
        <f>怪物并表!$R$8</f>
        <v>精英副本</v>
      </c>
      <c r="B455" s="38">
        <v>4</v>
      </c>
      <c r="C455" s="33">
        <f t="shared" si="58"/>
        <v>4208</v>
      </c>
      <c r="D455" s="33">
        <v>3</v>
      </c>
      <c r="E455" s="33">
        <f>VLOOKUP(A455,怪物并表!$R$7:$S$14,2,FALSE)</f>
        <v>2</v>
      </c>
      <c r="F455" s="38">
        <v>4</v>
      </c>
      <c r="G455" s="38">
        <v>8</v>
      </c>
      <c r="H455" s="38">
        <v>0</v>
      </c>
      <c r="I455" s="33">
        <f t="shared" si="57"/>
        <v>248004</v>
      </c>
      <c r="J455" s="33" t="s">
        <v>718</v>
      </c>
      <c r="K455" s="33"/>
      <c r="L455" s="33">
        <v>1</v>
      </c>
      <c r="M455" s="33">
        <v>1.2</v>
      </c>
      <c r="N455" s="33"/>
      <c r="O455" s="33">
        <v>3</v>
      </c>
      <c r="P455" s="33">
        <f>VLOOKUP($C455,CHOOSE({1,2},怪物并表!$E$7:$E$1000,怪物并表!$D$7:$D$1000),2,FALSE)</f>
        <v>47</v>
      </c>
      <c r="Q455" s="33" t="s">
        <v>24</v>
      </c>
      <c r="R455" s="33">
        <f>VLOOKUP(Q455,怪物信息配置表!$A$2:$B$118,2,FALSE)</f>
        <v>1015</v>
      </c>
      <c r="S455" s="33">
        <v>1</v>
      </c>
      <c r="T455" s="110">
        <f>VLOOKUP($C455,怪物并表!$E$7:$N$1000,2+($D455-1)*3,FALSE)*S455*AJ455</f>
        <v>358878.45508594002</v>
      </c>
      <c r="U455" s="110">
        <f>VLOOKUP($C455,怪物并表!$E$7:$N$1000,3+($D455-1)*3,FALSE)*S455*AK455</f>
        <v>9807.309479750058</v>
      </c>
      <c r="V455" s="110">
        <f>VLOOKUP($C455,怪物并表!$E$7:$N$1000,4+($D455-1)*3,FALSE)*S455*AL455</f>
        <v>3740.2503433591978</v>
      </c>
      <c r="W455" s="33"/>
      <c r="X455" s="33"/>
      <c r="Y455" s="49">
        <f>VLOOKUP($C455,怪物并表!$E$7:$P$1000,12,FALSE)</f>
        <v>0</v>
      </c>
      <c r="Z455" s="49">
        <f>VLOOKUP($C455,怪物并表!$E$7:$P$1000,11,FALSE)*S455</f>
        <v>3078.3160000000003</v>
      </c>
      <c r="AA455" s="33"/>
      <c r="AB455" s="33"/>
      <c r="AC455" s="33"/>
      <c r="AD455" s="33">
        <f t="shared" si="59"/>
        <v>1.5</v>
      </c>
      <c r="AE455" s="2">
        <f t="shared" si="60"/>
        <v>139.0625</v>
      </c>
      <c r="AF455" s="2" t="str">
        <f>IF(ISBLANK(AM455),IF(O455=6,"",IF(O455=1,VLOOKUP(R455,怪物信息配置表!B:H,5,FALSE),IF(O455=2,VLOOKUP(R455,怪物信息配置表!B:H,6,FALSE),IF(OR(O455=3,O455=5),VLOOKUP(R455,怪物信息配置表!B:H,7,FALSE),"")))),AM455)</f>
        <v>ai_BOSS_01</v>
      </c>
      <c r="AG455" s="2"/>
      <c r="AH455" s="15">
        <f>SUMPRODUCT(T455:V455,$AN$3:$AP$3)+ROUNDDOWN(VLOOKUP(P455,CHOOSE({1,2},'[1]消耗&amp;价值&amp;分析'!$C$7:$C$106,'[1]消耗&amp;价值&amp;分析'!$AS$7:$AS$106),2,FALSE)*0.6,0)</f>
        <v>30296.698026546859</v>
      </c>
      <c r="AJ455" s="80">
        <v>1</v>
      </c>
      <c r="AK455" s="80">
        <v>1</v>
      </c>
      <c r="AL455" s="80">
        <v>1</v>
      </c>
    </row>
    <row r="456" spans="1:38">
      <c r="A456" s="33" t="str">
        <f>怪物并表!$R$8</f>
        <v>精英副本</v>
      </c>
      <c r="B456" s="38">
        <v>1</v>
      </c>
      <c r="C456" s="33">
        <f t="shared" si="58"/>
        <v>4209</v>
      </c>
      <c r="D456" s="33">
        <v>2</v>
      </c>
      <c r="E456" s="33">
        <f>VLOOKUP(A456,怪物并表!$R$7:$S$14,2,FALSE)</f>
        <v>2</v>
      </c>
      <c r="F456" s="38">
        <v>4</v>
      </c>
      <c r="G456" s="38">
        <v>9</v>
      </c>
      <c r="H456" s="38">
        <v>0</v>
      </c>
      <c r="I456" s="33">
        <f t="shared" si="57"/>
        <v>249001</v>
      </c>
      <c r="J456" s="33" t="s">
        <v>463</v>
      </c>
      <c r="K456" s="33"/>
      <c r="L456" s="33">
        <v>0</v>
      </c>
      <c r="M456" s="33">
        <v>1</v>
      </c>
      <c r="N456" s="33"/>
      <c r="O456" s="33">
        <v>1</v>
      </c>
      <c r="P456" s="33">
        <f>VLOOKUP($C456,CHOOSE({1,2},怪物并表!$E$7:$E$1000,怪物并表!$D$7:$D$1000),2,FALSE)</f>
        <v>48</v>
      </c>
      <c r="Q456" s="33" t="s">
        <v>17</v>
      </c>
      <c r="R456" s="33">
        <f>VLOOKUP(Q456,怪物信息配置表!$A$2:$B$118,2,FALSE)</f>
        <v>1005</v>
      </c>
      <c r="S456" s="33">
        <v>1</v>
      </c>
      <c r="T456" s="110">
        <f>VLOOKUP($C456,怪物并表!$E$7:$N$1000,2+($D456-1)*3,FALSE)*S456*AJ456</f>
        <v>126389.07028075114</v>
      </c>
      <c r="U456" s="110">
        <f>VLOOKUP($C456,怪物并表!$E$7:$N$1000,3+($D456-1)*3,FALSE)*S456*AK456</f>
        <v>8754.4511410950709</v>
      </c>
      <c r="V456" s="110">
        <f>VLOOKUP($C456,怪物并表!$E$7:$N$1000,4+($D456-1)*3,FALSE)*S456*AL456</f>
        <v>2845.8658262817407</v>
      </c>
      <c r="W456" s="33"/>
      <c r="X456" s="33"/>
      <c r="Y456" s="49">
        <f>VLOOKUP($C456,怪物并表!$E$7:$P$1000,12,FALSE)</f>
        <v>0</v>
      </c>
      <c r="Z456" s="49">
        <f>VLOOKUP($C456,怪物并表!$E$7:$P$1000,11,FALSE)*S456</f>
        <v>3136.5439999999999</v>
      </c>
      <c r="AA456" s="33"/>
      <c r="AB456" s="33"/>
      <c r="AC456" s="33"/>
      <c r="AD456" s="33">
        <f t="shared" si="59"/>
        <v>0.8</v>
      </c>
      <c r="AE456" s="2">
        <f t="shared" si="60"/>
        <v>544</v>
      </c>
      <c r="AF456" s="2" t="str">
        <f>IF(ISBLANK(AM456),IF(O456=6,"",IF(O456=1,VLOOKUP(R456,怪物信息配置表!B:H,5,FALSE),IF(O456=2,VLOOKUP(R456,怪物信息配置表!B:H,6,FALSE),IF(OR(O456=3,O456=5),VLOOKUP(R456,怪物信息配置表!B:H,7,FALSE),"")))),AM456)</f>
        <v>ai_monster_02</v>
      </c>
      <c r="AG456" s="2"/>
      <c r="AH456" s="15">
        <f>SUMPRODUCT(T456:V456,$AN$3:$AP$3)+ROUNDDOWN(VLOOKUP(P456,CHOOSE({1,2},'[1]消耗&amp;价值&amp;分析'!$C$7:$C$106,'[1]消耗&amp;价值&amp;分析'!$AS$7:$AS$106),2,FALSE)*0.6,0)</f>
        <v>19205.879778606857</v>
      </c>
      <c r="AJ456" s="80">
        <v>1</v>
      </c>
      <c r="AK456" s="80">
        <v>1</v>
      </c>
      <c r="AL456" s="80">
        <v>1</v>
      </c>
    </row>
    <row r="457" spans="1:38">
      <c r="A457" s="33" t="str">
        <f>怪物并表!$R$8</f>
        <v>精英副本</v>
      </c>
      <c r="B457" s="38">
        <v>2</v>
      </c>
      <c r="C457" s="33">
        <f t="shared" si="58"/>
        <v>4209</v>
      </c>
      <c r="D457" s="33">
        <v>2</v>
      </c>
      <c r="E457" s="33">
        <f>VLOOKUP(A457,怪物并表!$R$7:$S$14,2,FALSE)</f>
        <v>2</v>
      </c>
      <c r="F457" s="38">
        <v>4</v>
      </c>
      <c r="G457" s="38">
        <v>9</v>
      </c>
      <c r="H457" s="38">
        <v>0</v>
      </c>
      <c r="I457" s="33">
        <f t="shared" si="57"/>
        <v>249002</v>
      </c>
      <c r="J457" s="33" t="s">
        <v>7</v>
      </c>
      <c r="K457" s="33"/>
      <c r="L457" s="33">
        <v>0</v>
      </c>
      <c r="M457" s="33">
        <v>1</v>
      </c>
      <c r="N457" s="33"/>
      <c r="O457" s="33">
        <v>1</v>
      </c>
      <c r="P457" s="33">
        <f>VLOOKUP($C457,CHOOSE({1,2},怪物并表!$E$7:$E$1000,怪物并表!$D$7:$D$1000),2,FALSE)</f>
        <v>48</v>
      </c>
      <c r="Q457" s="33" t="s">
        <v>7</v>
      </c>
      <c r="R457" s="33">
        <f>VLOOKUP(Q457,怪物信息配置表!$A$2:$B$118,2,FALSE)</f>
        <v>1002</v>
      </c>
      <c r="S457" s="33">
        <v>1</v>
      </c>
      <c r="T457" s="110">
        <f>VLOOKUP($C457,怪物并表!$E$7:$N$1000,2+($D457-1)*3,FALSE)*S457*AJ457</f>
        <v>126389.07028075114</v>
      </c>
      <c r="U457" s="110">
        <f>VLOOKUP($C457,怪物并表!$E$7:$N$1000,3+($D457-1)*3,FALSE)*S457*AK457</f>
        <v>8754.4511410950709</v>
      </c>
      <c r="V457" s="110">
        <f>VLOOKUP($C457,怪物并表!$E$7:$N$1000,4+($D457-1)*3,FALSE)*S457*AL457</f>
        <v>2845.8658262817407</v>
      </c>
      <c r="W457" s="33"/>
      <c r="X457" s="33"/>
      <c r="Y457" s="49">
        <f>VLOOKUP($C457,怪物并表!$E$7:$P$1000,12,FALSE)</f>
        <v>0</v>
      </c>
      <c r="Z457" s="49">
        <f>VLOOKUP($C457,怪物并表!$E$7:$P$1000,11,FALSE)*S457</f>
        <v>3136.5439999999999</v>
      </c>
      <c r="AA457" s="33"/>
      <c r="AB457" s="33"/>
      <c r="AC457" s="33"/>
      <c r="AD457" s="33">
        <f t="shared" si="59"/>
        <v>0.8</v>
      </c>
      <c r="AE457" s="2">
        <f t="shared" si="60"/>
        <v>544</v>
      </c>
      <c r="AF457" s="2" t="str">
        <f>IF(ISBLANK(AM457),IF(O457=6,"",IF(O457=1,VLOOKUP(R457,怪物信息配置表!B:H,5,FALSE),IF(O457=2,VLOOKUP(R457,怪物信息配置表!B:H,6,FALSE),IF(OR(O457=3,O457=5),VLOOKUP(R457,怪物信息配置表!B:H,7,FALSE),"")))),AM457)</f>
        <v>ai_monster</v>
      </c>
      <c r="AG457" s="2"/>
      <c r="AH457" s="15">
        <f>SUMPRODUCT(T457:V457,$AN$3:$AP$3)+ROUNDDOWN(VLOOKUP(P457,CHOOSE({1,2},'[1]消耗&amp;价值&amp;分析'!$C$7:$C$106,'[1]消耗&amp;价值&amp;分析'!$AS$7:$AS$106),2,FALSE)*0.6,0)</f>
        <v>19205.879778606857</v>
      </c>
      <c r="AJ457" s="80">
        <v>1</v>
      </c>
      <c r="AK457" s="80">
        <v>1</v>
      </c>
      <c r="AL457" s="80">
        <v>1</v>
      </c>
    </row>
    <row r="458" spans="1:38">
      <c r="A458" s="33" t="str">
        <f>怪物并表!$R$8</f>
        <v>精英副本</v>
      </c>
      <c r="B458" s="38">
        <v>3</v>
      </c>
      <c r="C458" s="33">
        <f t="shared" si="58"/>
        <v>4209</v>
      </c>
      <c r="D458" s="33">
        <v>2</v>
      </c>
      <c r="E458" s="33">
        <f>VLOOKUP(A458,怪物并表!$R$7:$S$14,2,FALSE)</f>
        <v>2</v>
      </c>
      <c r="F458" s="38">
        <v>4</v>
      </c>
      <c r="G458" s="38">
        <v>9</v>
      </c>
      <c r="H458" s="38">
        <v>0</v>
      </c>
      <c r="I458" s="33">
        <f t="shared" si="57"/>
        <v>249003</v>
      </c>
      <c r="J458" s="33" t="s">
        <v>478</v>
      </c>
      <c r="K458" s="33"/>
      <c r="L458" s="33">
        <v>0</v>
      </c>
      <c r="M458" s="33">
        <v>1</v>
      </c>
      <c r="N458" s="33" t="s">
        <v>215</v>
      </c>
      <c r="O458" s="33">
        <v>1</v>
      </c>
      <c r="P458" s="33">
        <f>VLOOKUP($C458,CHOOSE({1,2},怪物并表!$E$7:$E$1000,怪物并表!$D$7:$D$1000),2,FALSE)</f>
        <v>48</v>
      </c>
      <c r="Q458" s="33" t="s">
        <v>18</v>
      </c>
      <c r="R458" s="33">
        <f>VLOOKUP(Q458,怪物信息配置表!$A$2:$B$118,2,FALSE)</f>
        <v>1006</v>
      </c>
      <c r="S458" s="33">
        <v>1</v>
      </c>
      <c r="T458" s="110">
        <f>VLOOKUP($C458,怪物并表!$E$7:$N$1000,2+($D458-1)*3,FALSE)*S458*AJ458</f>
        <v>126389.07028075114</v>
      </c>
      <c r="U458" s="110">
        <f>VLOOKUP($C458,怪物并表!$E$7:$N$1000,3+($D458-1)*3,FALSE)*S458*AK458</f>
        <v>8754.4511410950709</v>
      </c>
      <c r="V458" s="110">
        <f>VLOOKUP($C458,怪物并表!$E$7:$N$1000,4+($D458-1)*3,FALSE)*S458*AL458</f>
        <v>2845.8658262817407</v>
      </c>
      <c r="W458" s="33"/>
      <c r="X458" s="33"/>
      <c r="Y458" s="49">
        <f>VLOOKUP($C458,怪物并表!$E$7:$P$1000,12,FALSE)</f>
        <v>0</v>
      </c>
      <c r="Z458" s="49">
        <f>VLOOKUP($C458,怪物并表!$E$7:$P$1000,11,FALSE)*S458</f>
        <v>3136.5439999999999</v>
      </c>
      <c r="AA458" s="33"/>
      <c r="AB458" s="33"/>
      <c r="AC458" s="33"/>
      <c r="AD458" s="33">
        <f t="shared" si="59"/>
        <v>0.8</v>
      </c>
      <c r="AE458" s="2">
        <f t="shared" si="60"/>
        <v>544</v>
      </c>
      <c r="AF458" s="2" t="str">
        <f>IF(ISBLANK(AM458),IF(O458=6,"",IF(O458=1,VLOOKUP(R458,怪物信息配置表!B:H,5,FALSE),IF(O458=2,VLOOKUP(R458,怪物信息配置表!B:H,6,FALSE),IF(OR(O458=3,O458=5),VLOOKUP(R458,怪物信息配置表!B:H,7,FALSE),"")))),AM458)</f>
        <v>ai_monster_03</v>
      </c>
      <c r="AG458" s="2"/>
      <c r="AH458" s="15">
        <f>SUMPRODUCT(T458:V458,$AN$3:$AP$3)+ROUNDDOWN(VLOOKUP(P458,CHOOSE({1,2},'[1]消耗&amp;价值&amp;分析'!$C$7:$C$106,'[1]消耗&amp;价值&amp;分析'!$AS$7:$AS$106),2,FALSE)*0.6,0)</f>
        <v>19205.879778606857</v>
      </c>
      <c r="AJ458" s="80">
        <v>1</v>
      </c>
      <c r="AK458" s="80">
        <v>1</v>
      </c>
      <c r="AL458" s="80">
        <v>1</v>
      </c>
    </row>
    <row r="459" spans="1:38">
      <c r="A459" s="33" t="str">
        <f>怪物并表!$R$8</f>
        <v>精英副本</v>
      </c>
      <c r="B459" s="38">
        <v>4</v>
      </c>
      <c r="C459" s="33">
        <f t="shared" si="58"/>
        <v>4209</v>
      </c>
      <c r="D459" s="33">
        <v>3</v>
      </c>
      <c r="E459" s="33">
        <f>VLOOKUP(A459,怪物并表!$R$7:$S$14,2,FALSE)</f>
        <v>2</v>
      </c>
      <c r="F459" s="38">
        <v>4</v>
      </c>
      <c r="G459" s="38">
        <v>9</v>
      </c>
      <c r="H459" s="38">
        <v>0</v>
      </c>
      <c r="I459" s="33">
        <f t="shared" si="57"/>
        <v>249004</v>
      </c>
      <c r="J459" s="33" t="s">
        <v>545</v>
      </c>
      <c r="K459" s="33"/>
      <c r="L459" s="33">
        <v>1</v>
      </c>
      <c r="M459" s="33">
        <v>1.2</v>
      </c>
      <c r="N459" s="33"/>
      <c r="O459" s="33">
        <v>3</v>
      </c>
      <c r="P459" s="33">
        <f>VLOOKUP($C459,CHOOSE({1,2},怪物并表!$E$7:$E$1000,怪物并表!$D$7:$D$1000),2,FALSE)</f>
        <v>48</v>
      </c>
      <c r="Q459" s="33" t="s">
        <v>588</v>
      </c>
      <c r="R459" s="33">
        <f>VLOOKUP(Q459,怪物信息配置表!$A$2:$B$118,2,FALSE)</f>
        <v>1113</v>
      </c>
      <c r="S459" s="33">
        <v>1</v>
      </c>
      <c r="T459" s="110">
        <f>VLOOKUP($C459,怪物并表!$E$7:$N$1000,2+($D459-1)*3,FALSE)*S459*AJ459</f>
        <v>394965.84462734725</v>
      </c>
      <c r="U459" s="110">
        <f>VLOOKUP($C459,怪物并表!$E$7:$N$1000,3+($D459-1)*3,FALSE)*S459*AK459</f>
        <v>10714.39753954705</v>
      </c>
      <c r="V459" s="110">
        <f>VLOOKUP($C459,怪物并表!$E$7:$N$1000,4+($D459-1)*3,FALSE)*S459*AL459</f>
        <v>4053.2028434921754</v>
      </c>
      <c r="W459" s="33"/>
      <c r="X459" s="33"/>
      <c r="Y459" s="49">
        <f>VLOOKUP($C459,怪物并表!$E$7:$P$1000,12,FALSE)</f>
        <v>0</v>
      </c>
      <c r="Z459" s="49">
        <f>VLOOKUP($C459,怪物并表!$E$7:$P$1000,11,FALSE)*S459</f>
        <v>3136.5439999999999</v>
      </c>
      <c r="AA459" s="33"/>
      <c r="AB459" s="33"/>
      <c r="AC459" s="33"/>
      <c r="AD459" s="33">
        <f t="shared" si="59"/>
        <v>1.5</v>
      </c>
      <c r="AE459" s="2">
        <f t="shared" si="60"/>
        <v>95</v>
      </c>
      <c r="AF459" s="2" t="str">
        <f>IF(ISBLANK(AM459),IF(O459=6,"",IF(O459=1,VLOOKUP(R459,怪物信息配置表!B:H,5,FALSE),IF(O459=2,VLOOKUP(R459,怪物信息配置表!B:H,6,FALSE),IF(OR(O459=3,O459=5),VLOOKUP(R459,怪物信息配置表!B:H,7,FALSE),"")))),AM459)</f>
        <v>1102_wuya_BOSS</v>
      </c>
      <c r="AG459" s="2"/>
      <c r="AH459" s="15">
        <f>SUMPRODUCT(T459:V459,$AN$3:$AP$3)+ROUNDDOWN(VLOOKUP(P459,CHOOSE({1,2},'[1]消耗&amp;价值&amp;分析'!$C$7:$C$106,'[1]消耗&amp;价值&amp;分析'!$AS$7:$AS$106),2,FALSE)*0.6,0)</f>
        <v>33116.234168133116</v>
      </c>
      <c r="AJ459" s="80">
        <v>1</v>
      </c>
      <c r="AK459" s="80">
        <v>1</v>
      </c>
      <c r="AL459" s="80">
        <v>1</v>
      </c>
    </row>
    <row r="460" spans="1:38">
      <c r="A460" s="33" t="str">
        <f>怪物并表!$R$8</f>
        <v>精英副本</v>
      </c>
      <c r="B460" s="38">
        <v>1</v>
      </c>
      <c r="C460" s="33">
        <f t="shared" si="54"/>
        <v>5201</v>
      </c>
      <c r="D460" s="33">
        <v>1</v>
      </c>
      <c r="E460" s="33">
        <f>VLOOKUP(A460,怪物并表!$R$7:$S$14,2,FALSE)</f>
        <v>2</v>
      </c>
      <c r="F460" s="38">
        <v>5</v>
      </c>
      <c r="G460" s="38">
        <v>1</v>
      </c>
      <c r="H460" s="38">
        <v>0</v>
      </c>
      <c r="I460" s="33">
        <f t="shared" si="57"/>
        <v>251001</v>
      </c>
      <c r="J460" s="33" t="s">
        <v>214</v>
      </c>
      <c r="K460" s="33"/>
      <c r="L460" s="33">
        <v>0</v>
      </c>
      <c r="M460" s="33">
        <v>1</v>
      </c>
      <c r="N460" s="33"/>
      <c r="O460" s="33">
        <v>1</v>
      </c>
      <c r="P460" s="33">
        <f>VLOOKUP($C460,CHOOSE({1,2},怪物并表!$E$7:$E$1000,怪物并表!$D$7:$D$1000),2,FALSE)</f>
        <v>49</v>
      </c>
      <c r="Q460" s="33" t="s">
        <v>10</v>
      </c>
      <c r="R460" s="33">
        <f>VLOOKUP(Q460,怪物信息配置表!$A$2:$B$118,2,FALSE)</f>
        <v>1001</v>
      </c>
      <c r="S460" s="33">
        <v>1</v>
      </c>
      <c r="T460" s="110">
        <f>VLOOKUP($C460,怪物并表!$E$7:$N$1000,2+($D460-1)*3,FALSE)*S460*AJ460</f>
        <v>147040.56103089673</v>
      </c>
      <c r="U460" s="110">
        <f>VLOOKUP($C460,怪物并表!$E$7:$N$1000,3+($D460-1)*3,FALSE)*S460*AK460</f>
        <v>9143.9247449268387</v>
      </c>
      <c r="V460" s="110">
        <f>VLOOKUP($C460,怪物并表!$E$7:$N$1000,4+($D460-1)*3,FALSE)*S460*AL460</f>
        <v>3065.9792192909717</v>
      </c>
      <c r="W460" s="33"/>
      <c r="X460" s="33"/>
      <c r="Y460" s="49">
        <f>VLOOKUP($C460,怪物并表!$E$7:$P$1000,12,FALSE)</f>
        <v>0</v>
      </c>
      <c r="Z460" s="49">
        <f>VLOOKUP($C460,怪物并表!$E$7:$P$1000,11,FALSE)*S460</f>
        <v>3194.7719999999999</v>
      </c>
      <c r="AA460" s="33"/>
      <c r="AB460" s="33"/>
      <c r="AC460" s="33"/>
      <c r="AD460" s="33">
        <f t="shared" si="53"/>
        <v>1</v>
      </c>
      <c r="AE460" s="2">
        <f t="shared" si="60"/>
        <v>418.125</v>
      </c>
      <c r="AF460" s="2" t="str">
        <f>IF(ISBLANK(AM460),IF(O460=6,"",IF(O460=1,VLOOKUP(R460,怪物信息配置表!B:H,5,FALSE),IF(O460=2,VLOOKUP(R460,怪物信息配置表!B:H,6,FALSE),IF(OR(O460=3,O460=5),VLOOKUP(R460,怪物信息配置表!B:H,7,FALSE),"")))),AM460)</f>
        <v>ai_monster</v>
      </c>
      <c r="AG460" s="2"/>
      <c r="AH460" s="15">
        <f>SUMPRODUCT(T460:V460,$AN$3:$AP$3)+ROUNDDOWN(VLOOKUP(P460,CHOOSE({1,2},'[1]消耗&amp;价值&amp;分析'!$C$7:$C$106,'[1]消耗&amp;价值&amp;分析'!$AS$7:$AS$106),2,FALSE)*0.6,0)</f>
        <v>20822.526405453682</v>
      </c>
      <c r="AJ460" s="80">
        <v>1</v>
      </c>
      <c r="AK460" s="80">
        <v>1</v>
      </c>
      <c r="AL460" s="80">
        <v>1</v>
      </c>
    </row>
    <row r="461" spans="1:38">
      <c r="A461" s="33" t="str">
        <f>怪物并表!$R$8</f>
        <v>精英副本</v>
      </c>
      <c r="B461" s="38">
        <v>2</v>
      </c>
      <c r="C461" s="33">
        <f t="shared" si="54"/>
        <v>5201</v>
      </c>
      <c r="D461" s="33">
        <v>2</v>
      </c>
      <c r="E461" s="33">
        <f>VLOOKUP(A461,怪物并表!$R$7:$S$14,2,FALSE)</f>
        <v>2</v>
      </c>
      <c r="F461" s="38">
        <v>5</v>
      </c>
      <c r="G461" s="38">
        <v>1</v>
      </c>
      <c r="H461" s="38">
        <v>0</v>
      </c>
      <c r="I461" s="33">
        <f t="shared" si="57"/>
        <v>251002</v>
      </c>
      <c r="J461" s="33" t="s">
        <v>465</v>
      </c>
      <c r="K461" s="33"/>
      <c r="L461" s="33">
        <v>0</v>
      </c>
      <c r="M461" s="33">
        <v>1</v>
      </c>
      <c r="N461" s="33"/>
      <c r="O461" s="33">
        <v>1</v>
      </c>
      <c r="P461" s="33">
        <f>VLOOKUP($C461,CHOOSE({1,2},怪物并表!$E$7:$E$1000,怪物并表!$D$7:$D$1000),2,FALSE)</f>
        <v>49</v>
      </c>
      <c r="Q461" s="33" t="s">
        <v>9</v>
      </c>
      <c r="R461" s="33">
        <f>VLOOKUP(Q461,怪物信息配置表!$A$2:$B$118,2,FALSE)</f>
        <v>1003</v>
      </c>
      <c r="S461" s="33">
        <v>1</v>
      </c>
      <c r="T461" s="110">
        <f>VLOOKUP($C461,怪物并表!$E$7:$N$1000,2+($D461-1)*3,FALSE)*S461*AJ461</f>
        <v>117632.44882471739</v>
      </c>
      <c r="U461" s="110">
        <f>VLOOKUP($C461,怪物并表!$E$7:$N$1000,3+($D461-1)*3,FALSE)*S461*AK461</f>
        <v>8536.1301923632527</v>
      </c>
      <c r="V461" s="110">
        <f>VLOOKUP($C461,怪物并表!$E$7:$N$1000,4+($D461-1)*3,FALSE)*S461*AL461</f>
        <v>2299.4844144682293</v>
      </c>
      <c r="W461" s="33"/>
      <c r="X461" s="33"/>
      <c r="Y461" s="49">
        <f>VLOOKUP($C461,怪物并表!$E$7:$P$1000,12,FALSE)</f>
        <v>0</v>
      </c>
      <c r="Z461" s="49">
        <f>VLOOKUP($C461,怪物并表!$E$7:$P$1000,11,FALSE)*S461</f>
        <v>3194.7719999999999</v>
      </c>
      <c r="AA461" s="33"/>
      <c r="AB461" s="33"/>
      <c r="AC461" s="33"/>
      <c r="AD461" s="33">
        <f t="shared" si="53"/>
        <v>0.8</v>
      </c>
      <c r="AE461" s="2">
        <f t="shared" si="60"/>
        <v>534.5</v>
      </c>
      <c r="AF461" s="2" t="str">
        <f>IF(ISBLANK(AM461),IF(O461=6,"",IF(O461=1,VLOOKUP(R461,怪物信息配置表!B:H,5,FALSE),IF(O461=2,VLOOKUP(R461,怪物信息配置表!B:H,6,FALSE),IF(OR(O461=3,O461=5),VLOOKUP(R461,怪物信息配置表!B:H,7,FALSE),"")))),AM461)</f>
        <v>ai_monster_02</v>
      </c>
      <c r="AG461" s="2"/>
      <c r="AH461" s="15">
        <f>SUMPRODUCT(T461:V461,$AN$3:$AP$3)+ROUNDDOWN(VLOOKUP(P461,CHOOSE({1,2},'[1]消耗&amp;价值&amp;分析'!$C$7:$C$106,'[1]消耗&amp;价值&amp;分析'!$AS$7:$AS$106),2,FALSE)*0.6,0)</f>
        <v>18271.912559820175</v>
      </c>
      <c r="AJ461" s="80">
        <v>1</v>
      </c>
      <c r="AK461" s="80">
        <v>1</v>
      </c>
      <c r="AL461" s="80">
        <v>1</v>
      </c>
    </row>
    <row r="462" spans="1:38">
      <c r="A462" s="33" t="str">
        <f>怪物并表!$R$8</f>
        <v>精英副本</v>
      </c>
      <c r="B462" s="38">
        <v>3</v>
      </c>
      <c r="C462" s="33">
        <f t="shared" si="54"/>
        <v>5201</v>
      </c>
      <c r="D462" s="33">
        <v>1</v>
      </c>
      <c r="E462" s="33">
        <f>VLOOKUP(A462,怪物并表!$R$7:$S$14,2,FALSE)</f>
        <v>2</v>
      </c>
      <c r="F462" s="38">
        <v>5</v>
      </c>
      <c r="G462" s="38">
        <v>1</v>
      </c>
      <c r="H462" s="38">
        <v>0</v>
      </c>
      <c r="I462" s="33">
        <f t="shared" si="57"/>
        <v>251003</v>
      </c>
      <c r="J462" s="33" t="s">
        <v>477</v>
      </c>
      <c r="K462" s="33"/>
      <c r="L462" s="33">
        <v>0</v>
      </c>
      <c r="M462" s="33">
        <v>1</v>
      </c>
      <c r="N462" s="33"/>
      <c r="O462" s="33">
        <v>1</v>
      </c>
      <c r="P462" s="33">
        <f>VLOOKUP($C462,CHOOSE({1,2},怪物并表!$E$7:$E$1000,怪物并表!$D$7:$D$1000),2,FALSE)</f>
        <v>49</v>
      </c>
      <c r="Q462" s="33" t="s">
        <v>15</v>
      </c>
      <c r="R462" s="33">
        <f>VLOOKUP(Q462,怪物信息配置表!$A$2:$B$118,2,FALSE)</f>
        <v>1004</v>
      </c>
      <c r="S462" s="33">
        <v>1</v>
      </c>
      <c r="T462" s="110">
        <f>VLOOKUP($C462,怪物并表!$E$7:$N$1000,2+($D462-1)*3,FALSE)*S462*AJ462</f>
        <v>147040.56103089673</v>
      </c>
      <c r="U462" s="110">
        <f>VLOOKUP($C462,怪物并表!$E$7:$N$1000,3+($D462-1)*3,FALSE)*S462*AK462</f>
        <v>9143.9247449268387</v>
      </c>
      <c r="V462" s="110">
        <f>VLOOKUP($C462,怪物并表!$E$7:$N$1000,4+($D462-1)*3,FALSE)*S462*AL462</f>
        <v>3065.9792192909717</v>
      </c>
      <c r="W462" s="33"/>
      <c r="X462" s="33"/>
      <c r="Y462" s="49">
        <f>VLOOKUP($C462,怪物并表!$E$7:$P$1000,12,FALSE)</f>
        <v>0</v>
      </c>
      <c r="Z462" s="49">
        <f>VLOOKUP($C462,怪物并表!$E$7:$P$1000,11,FALSE)*S462</f>
        <v>3194.7719999999999</v>
      </c>
      <c r="AA462" s="33"/>
      <c r="AB462" s="33"/>
      <c r="AC462" s="33"/>
      <c r="AD462" s="33">
        <f t="shared" si="53"/>
        <v>1</v>
      </c>
      <c r="AE462" s="2">
        <f t="shared" si="60"/>
        <v>418.125</v>
      </c>
      <c r="AF462" s="2" t="str">
        <f>IF(ISBLANK(AM462),IF(O462=6,"",IF(O462=1,VLOOKUP(R462,怪物信息配置表!B:H,5,FALSE),IF(O462=2,VLOOKUP(R462,怪物信息配置表!B:H,6,FALSE),IF(OR(O462=3,O462=5),VLOOKUP(R462,怪物信息配置表!B:H,7,FALSE),"")))),AM462)</f>
        <v>ai_monster</v>
      </c>
      <c r="AG462" s="2"/>
      <c r="AH462" s="15">
        <f>SUMPRODUCT(T462:V462,$AN$3:$AP$3)+ROUNDDOWN(VLOOKUP(P462,CHOOSE({1,2},'[1]消耗&amp;价值&amp;分析'!$C$7:$C$106,'[1]消耗&amp;价值&amp;分析'!$AS$7:$AS$106),2,FALSE)*0.6,0)</f>
        <v>20822.526405453682</v>
      </c>
      <c r="AJ462" s="80">
        <v>1</v>
      </c>
      <c r="AK462" s="80">
        <v>1</v>
      </c>
      <c r="AL462" s="80">
        <v>1</v>
      </c>
    </row>
    <row r="463" spans="1:38">
      <c r="A463" s="33" t="str">
        <f>怪物并表!$R$8</f>
        <v>精英副本</v>
      </c>
      <c r="B463" s="38">
        <v>4</v>
      </c>
      <c r="C463" s="33">
        <f t="shared" si="54"/>
        <v>5201</v>
      </c>
      <c r="D463" s="33">
        <v>3</v>
      </c>
      <c r="E463" s="33">
        <f>VLOOKUP(A463,怪物并表!$R$7:$S$14,2,FALSE)</f>
        <v>2</v>
      </c>
      <c r="F463" s="38">
        <v>5</v>
      </c>
      <c r="G463" s="38">
        <v>1</v>
      </c>
      <c r="H463" s="38">
        <v>0</v>
      </c>
      <c r="I463" s="33">
        <f t="shared" si="57"/>
        <v>251004</v>
      </c>
      <c r="J463" s="33" t="s">
        <v>546</v>
      </c>
      <c r="K463" s="33"/>
      <c r="L463" s="33">
        <v>1</v>
      </c>
      <c r="M463" s="33">
        <v>1.2</v>
      </c>
      <c r="N463" s="33"/>
      <c r="O463" s="33">
        <v>3</v>
      </c>
      <c r="P463" s="33">
        <f>VLOOKUP($C463,CHOOSE({1,2},怪物并表!$E$7:$E$1000,怪物并表!$D$7:$D$1000),2,FALSE)</f>
        <v>49</v>
      </c>
      <c r="Q463" s="33" t="s">
        <v>11</v>
      </c>
      <c r="R463" s="33">
        <f>VLOOKUP(Q463,怪物信息配置表!$A$2:$B$118,2,FALSE)</f>
        <v>1011</v>
      </c>
      <c r="S463" s="33">
        <v>1</v>
      </c>
      <c r="T463" s="110">
        <f>VLOOKUP($C463,怪物并表!$E$7:$N$1000,2+($D463-1)*3,FALSE)*S463*AJ463</f>
        <v>367601.40257724182</v>
      </c>
      <c r="U463" s="110">
        <f>VLOOKUP($C463,怪物并表!$E$7:$N$1000,3+($D463-1)*3,FALSE)*S463*AK463</f>
        <v>10359.513850054012</v>
      </c>
      <c r="V463" s="110">
        <f>VLOOKUP($C463,怪物并表!$E$7:$N$1000,4+($D463-1)*3,FALSE)*S463*AL463</f>
        <v>3832.4740241137142</v>
      </c>
      <c r="W463" s="33"/>
      <c r="X463" s="33"/>
      <c r="Y463" s="49">
        <f>VLOOKUP($C463,怪物并表!$E$7:$P$1000,12,FALSE)</f>
        <v>0</v>
      </c>
      <c r="Z463" s="49">
        <f>VLOOKUP($C463,怪物并表!$E$7:$P$1000,11,FALSE)*S463</f>
        <v>3194.7719999999999</v>
      </c>
      <c r="AA463" s="33"/>
      <c r="AB463" s="33"/>
      <c r="AC463" s="33"/>
      <c r="AD463" s="33">
        <f t="shared" si="53"/>
        <v>1.5</v>
      </c>
      <c r="AE463" s="2">
        <f t="shared" si="60"/>
        <v>127.1875</v>
      </c>
      <c r="AF463" s="2" t="str">
        <f>IF(ISBLANK(AM463),IF(O463=6,"",IF(O463=1,VLOOKUP(R463,怪物信息配置表!B:H,5,FALSE),IF(O463=2,VLOOKUP(R463,怪物信息配置表!B:H,6,FALSE),IF(OR(O463=3,O463=5),VLOOKUP(R463,怪物信息配置表!B:H,7,FALSE),"")))),AM463)</f>
        <v>1011_jichenan_BOSS</v>
      </c>
      <c r="AG463" s="2"/>
      <c r="AH463" s="15">
        <f>SUMPRODUCT(T463:V463,$AN$3:$AP$3)+ROUNDDOWN(VLOOKUP(P463,CHOOSE({1,2},'[1]消耗&amp;价值&amp;分析'!$C$7:$C$106,'[1]消耗&amp;价值&amp;分析'!$AS$7:$AS$106),2,FALSE)*0.6,0)</f>
        <v>31627.043977257399</v>
      </c>
      <c r="AJ463" s="80">
        <v>1</v>
      </c>
      <c r="AK463" s="80">
        <v>1</v>
      </c>
      <c r="AL463" s="80">
        <v>1</v>
      </c>
    </row>
    <row r="464" spans="1:38">
      <c r="A464" s="33" t="str">
        <f>怪物并表!$R$8</f>
        <v>精英副本</v>
      </c>
      <c r="B464" s="38">
        <v>1</v>
      </c>
      <c r="C464" s="33">
        <f t="shared" si="54"/>
        <v>5202</v>
      </c>
      <c r="D464" s="33">
        <v>1</v>
      </c>
      <c r="E464" s="33">
        <f>VLOOKUP(A464,怪物并表!$R$7:$S$14,2,FALSE)</f>
        <v>2</v>
      </c>
      <c r="F464" s="38">
        <v>5</v>
      </c>
      <c r="G464" s="38">
        <v>2</v>
      </c>
      <c r="H464" s="38">
        <v>0</v>
      </c>
      <c r="I464" s="33">
        <f t="shared" si="57"/>
        <v>252001</v>
      </c>
      <c r="J464" s="33" t="s">
        <v>466</v>
      </c>
      <c r="K464" s="33"/>
      <c r="L464" s="33">
        <v>0</v>
      </c>
      <c r="M464" s="33">
        <v>1</v>
      </c>
      <c r="N464" s="33"/>
      <c r="O464" s="33">
        <v>1</v>
      </c>
      <c r="P464" s="33">
        <f>VLOOKUP($C464,CHOOSE({1,2},怪物并表!$E$7:$E$1000,怪物并表!$D$7:$D$1000),2,FALSE)</f>
        <v>50</v>
      </c>
      <c r="Q464" s="33" t="s">
        <v>14</v>
      </c>
      <c r="R464" s="33">
        <f>VLOOKUP(Q464,怪物信息配置表!$A$2:$B$118,2,FALSE)</f>
        <v>1010</v>
      </c>
      <c r="S464" s="33">
        <v>1</v>
      </c>
      <c r="T464" s="110">
        <f>VLOOKUP($C464,怪物并表!$E$7:$N$1000,2+($D464-1)*3,FALSE)*S464*AJ464</f>
        <v>162710.53991400814</v>
      </c>
      <c r="U464" s="110">
        <f>VLOOKUP($C464,怪物并表!$E$7:$N$1000,3+($D464-1)*3,FALSE)*S464*AK464</f>
        <v>10122.553562809369</v>
      </c>
      <c r="V464" s="110">
        <f>VLOOKUP($C464,怪物并表!$E$7:$N$1000,4+($D464-1)*3,FALSE)*S464*AL464</f>
        <v>3368.706948662209</v>
      </c>
      <c r="W464" s="33"/>
      <c r="X464" s="33"/>
      <c r="Y464" s="49">
        <f>VLOOKUP($C464,怪物并表!$E$7:$P$1000,12,FALSE)</f>
        <v>0</v>
      </c>
      <c r="Z464" s="49">
        <f>VLOOKUP($C464,怪物并表!$E$7:$P$1000,11,FALSE)*S464</f>
        <v>3253</v>
      </c>
      <c r="AA464" s="33"/>
      <c r="AB464" s="33"/>
      <c r="AC464" s="33"/>
      <c r="AD464" s="33">
        <f t="shared" si="53"/>
        <v>1</v>
      </c>
      <c r="AE464" s="2">
        <f t="shared" si="60"/>
        <v>406.25</v>
      </c>
      <c r="AF464" s="2" t="str">
        <f>IF(ISBLANK(AM464),IF(O464=6,"",IF(O464=1,VLOOKUP(R464,怪物信息配置表!B:H,5,FALSE),IF(O464=2,VLOOKUP(R464,怪物信息配置表!B:H,6,FALSE),IF(OR(O464=3,O464=5),VLOOKUP(R464,怪物信息配置表!B:H,7,FALSE),"")))),AM464)</f>
        <v>ai_monster</v>
      </c>
      <c r="AG464" s="2"/>
      <c r="AH464" s="15">
        <f>SUMPRODUCT(T464:V464,$AN$3:$AP$3)+ROUNDDOWN(VLOOKUP(P464,CHOOSE({1,2},'[1]消耗&amp;价值&amp;分析'!$C$7:$C$106,'[1]消耗&amp;价值&amp;分析'!$AS$7:$AS$106),2,FALSE)*0.6,0)</f>
        <v>22834.682108031906</v>
      </c>
      <c r="AJ464" s="80">
        <v>1</v>
      </c>
      <c r="AK464" s="80">
        <v>1</v>
      </c>
      <c r="AL464" s="80">
        <v>1</v>
      </c>
    </row>
    <row r="465" spans="1:38">
      <c r="A465" s="33" t="str">
        <f>怪物并表!$R$8</f>
        <v>精英副本</v>
      </c>
      <c r="B465" s="38">
        <v>2</v>
      </c>
      <c r="C465" s="33">
        <f t="shared" si="54"/>
        <v>5202</v>
      </c>
      <c r="D465" s="33">
        <v>2</v>
      </c>
      <c r="E465" s="33">
        <f>VLOOKUP(A465,怪物并表!$R$7:$S$14,2,FALSE)</f>
        <v>2</v>
      </c>
      <c r="F465" s="38">
        <v>5</v>
      </c>
      <c r="G465" s="38">
        <v>2</v>
      </c>
      <c r="H465" s="38">
        <v>0</v>
      </c>
      <c r="I465" s="33">
        <f t="shared" si="57"/>
        <v>252002</v>
      </c>
      <c r="J465" s="33" t="s">
        <v>463</v>
      </c>
      <c r="K465" s="33"/>
      <c r="L465" s="33">
        <v>0</v>
      </c>
      <c r="M465" s="33">
        <v>1</v>
      </c>
      <c r="N465" s="33"/>
      <c r="O465" s="33">
        <v>1</v>
      </c>
      <c r="P465" s="33">
        <f>VLOOKUP($C465,CHOOSE({1,2},怪物并表!$E$7:$E$1000,怪物并表!$D$7:$D$1000),2,FALSE)</f>
        <v>50</v>
      </c>
      <c r="Q465" s="33" t="s">
        <v>17</v>
      </c>
      <c r="R465" s="33">
        <f>VLOOKUP(Q465,怪物信息配置表!$A$2:$B$118,2,FALSE)</f>
        <v>1005</v>
      </c>
      <c r="S465" s="33">
        <v>1</v>
      </c>
      <c r="T465" s="110">
        <f>VLOOKUP($C465,怪物并表!$E$7:$N$1000,2+($D465-1)*3,FALSE)*S465*AJ465</f>
        <v>130168.43193120652</v>
      </c>
      <c r="U465" s="110">
        <f>VLOOKUP($C465,怪物并表!$E$7:$N$1000,3+($D465-1)*3,FALSE)*S465*AK465</f>
        <v>9438.9525429832829</v>
      </c>
      <c r="V465" s="110">
        <f>VLOOKUP($C465,怪物并表!$E$7:$N$1000,4+($D465-1)*3,FALSE)*S465*AL465</f>
        <v>2563.5038243478275</v>
      </c>
      <c r="W465" s="33"/>
      <c r="X465" s="33"/>
      <c r="Y465" s="49">
        <f>VLOOKUP($C465,怪物并表!$E$7:$P$1000,12,FALSE)</f>
        <v>0</v>
      </c>
      <c r="Z465" s="49">
        <f>VLOOKUP($C465,怪物并表!$E$7:$P$1000,11,FALSE)*S465</f>
        <v>3253</v>
      </c>
      <c r="AA465" s="33"/>
      <c r="AB465" s="33"/>
      <c r="AC465" s="33"/>
      <c r="AD465" s="33">
        <f t="shared" si="53"/>
        <v>0.8</v>
      </c>
      <c r="AE465" s="2">
        <f t="shared" si="60"/>
        <v>525</v>
      </c>
      <c r="AF465" s="2" t="str">
        <f>IF(ISBLANK(AM465),IF(O465=6,"",IF(O465=1,VLOOKUP(R465,怪物信息配置表!B:H,5,FALSE),IF(O465=2,VLOOKUP(R465,怪物信息配置表!B:H,6,FALSE),IF(OR(O465=3,O465=5),VLOOKUP(R465,怪物信息配置表!B:H,7,FALSE),"")))),AM465)</f>
        <v>ai_monster_02</v>
      </c>
      <c r="AG465" s="2"/>
      <c r="AH465" s="15">
        <f>SUMPRODUCT(T465:V465,$AN$3:$AP$3)+ROUNDDOWN(VLOOKUP(P465,CHOOSE({1,2},'[1]消耗&amp;价值&amp;分析'!$C$7:$C$106,'[1]消耗&amp;价值&amp;分析'!$AS$7:$AS$106),2,FALSE)*0.6,0)</f>
        <v>20044.193644579373</v>
      </c>
      <c r="AJ465" s="80">
        <v>1</v>
      </c>
      <c r="AK465" s="80">
        <v>1</v>
      </c>
      <c r="AL465" s="80">
        <v>1</v>
      </c>
    </row>
    <row r="466" spans="1:38">
      <c r="A466" s="33" t="str">
        <f>怪物并表!$R$8</f>
        <v>精英副本</v>
      </c>
      <c r="B466" s="38">
        <v>3</v>
      </c>
      <c r="C466" s="33">
        <f t="shared" si="54"/>
        <v>5202</v>
      </c>
      <c r="D466" s="33">
        <v>1</v>
      </c>
      <c r="E466" s="33">
        <f>VLOOKUP(A466,怪物并表!$R$7:$S$14,2,FALSE)</f>
        <v>2</v>
      </c>
      <c r="F466" s="38">
        <v>5</v>
      </c>
      <c r="G466" s="38">
        <v>2</v>
      </c>
      <c r="H466" s="38">
        <v>0</v>
      </c>
      <c r="I466" s="33">
        <f t="shared" si="57"/>
        <v>252003</v>
      </c>
      <c r="J466" s="33" t="s">
        <v>449</v>
      </c>
      <c r="K466" s="33"/>
      <c r="L466" s="33">
        <v>0</v>
      </c>
      <c r="M466" s="33">
        <v>1</v>
      </c>
      <c r="N466" s="33" t="s">
        <v>218</v>
      </c>
      <c r="O466" s="33">
        <v>1</v>
      </c>
      <c r="P466" s="33">
        <f>VLOOKUP($C466,CHOOSE({1,2},怪物并表!$E$7:$E$1000,怪物并表!$D$7:$D$1000),2,FALSE)</f>
        <v>50</v>
      </c>
      <c r="Q466" s="33" t="s">
        <v>7</v>
      </c>
      <c r="R466" s="33">
        <f>VLOOKUP(Q466,怪物信息配置表!$A$2:$B$118,2,FALSE)</f>
        <v>1002</v>
      </c>
      <c r="S466" s="33">
        <v>1</v>
      </c>
      <c r="T466" s="110">
        <f>VLOOKUP($C466,怪物并表!$E$7:$N$1000,2+($D466-1)*3,FALSE)*S466*AJ466</f>
        <v>162710.53991400814</v>
      </c>
      <c r="U466" s="110">
        <f>VLOOKUP($C466,怪物并表!$E$7:$N$1000,3+($D466-1)*3,FALSE)*S466*AK466</f>
        <v>10122.553562809369</v>
      </c>
      <c r="V466" s="110">
        <f>VLOOKUP($C466,怪物并表!$E$7:$N$1000,4+($D466-1)*3,FALSE)*S466*AL466</f>
        <v>3368.706948662209</v>
      </c>
      <c r="W466" s="33"/>
      <c r="X466" s="33"/>
      <c r="Y466" s="49">
        <f>VLOOKUP($C466,怪物并表!$E$7:$P$1000,12,FALSE)</f>
        <v>0</v>
      </c>
      <c r="Z466" s="49">
        <f>VLOOKUP($C466,怪物并表!$E$7:$P$1000,11,FALSE)*S466</f>
        <v>3253</v>
      </c>
      <c r="AA466" s="33"/>
      <c r="AB466" s="33"/>
      <c r="AC466" s="33"/>
      <c r="AD466" s="33">
        <f t="shared" si="53"/>
        <v>1</v>
      </c>
      <c r="AE466" s="2">
        <f t="shared" si="60"/>
        <v>406.25</v>
      </c>
      <c r="AF466" s="2" t="str">
        <f>IF(ISBLANK(AM466),IF(O466=6,"",IF(O466=1,VLOOKUP(R466,怪物信息配置表!B:H,5,FALSE),IF(O466=2,VLOOKUP(R466,怪物信息配置表!B:H,6,FALSE),IF(OR(O466=3,O466=5),VLOOKUP(R466,怪物信息配置表!B:H,7,FALSE),"")))),AM466)</f>
        <v>ai_monster</v>
      </c>
      <c r="AG466" s="2"/>
      <c r="AH466" s="15">
        <f>SUMPRODUCT(T466:V466,$AN$3:$AP$3)+ROUNDDOWN(VLOOKUP(P466,CHOOSE({1,2},'[1]消耗&amp;价值&amp;分析'!$C$7:$C$106,'[1]消耗&amp;价值&amp;分析'!$AS$7:$AS$106),2,FALSE)*0.6,0)</f>
        <v>22834.682108031906</v>
      </c>
      <c r="AJ466" s="80">
        <v>1</v>
      </c>
      <c r="AK466" s="80">
        <v>1</v>
      </c>
      <c r="AL466" s="80">
        <v>1</v>
      </c>
    </row>
    <row r="467" spans="1:38">
      <c r="A467" s="33" t="str">
        <f>怪物并表!$R$8</f>
        <v>精英副本</v>
      </c>
      <c r="B467" s="38">
        <v>4</v>
      </c>
      <c r="C467" s="33">
        <f t="shared" si="54"/>
        <v>5202</v>
      </c>
      <c r="D467" s="33">
        <v>3</v>
      </c>
      <c r="E467" s="33">
        <f>VLOOKUP(A467,怪物并表!$R$7:$S$14,2,FALSE)</f>
        <v>2</v>
      </c>
      <c r="F467" s="38">
        <v>5</v>
      </c>
      <c r="G467" s="38">
        <v>2</v>
      </c>
      <c r="H467" s="38">
        <v>0</v>
      </c>
      <c r="I467" s="33">
        <f t="shared" si="57"/>
        <v>252004</v>
      </c>
      <c r="J467" s="33" t="s">
        <v>547</v>
      </c>
      <c r="K467" s="33"/>
      <c r="L467" s="33">
        <v>1</v>
      </c>
      <c r="M467" s="33">
        <v>1.2</v>
      </c>
      <c r="N467" s="33"/>
      <c r="O467" s="33">
        <v>3</v>
      </c>
      <c r="P467" s="33">
        <f>VLOOKUP($C467,CHOOSE({1,2},怪物并表!$E$7:$E$1000,怪物并表!$D$7:$D$1000),2,FALSE)</f>
        <v>50</v>
      </c>
      <c r="Q467" s="33" t="s">
        <v>8</v>
      </c>
      <c r="R467" s="33">
        <f>VLOOKUP(Q467,怪物信息配置表!$A$2:$B$118,2,FALSE)</f>
        <v>1101</v>
      </c>
      <c r="S467" s="33">
        <v>1</v>
      </c>
      <c r="T467" s="110">
        <f>VLOOKUP($C467,怪物并表!$E$7:$N$1000,2+($D467-1)*3,FALSE)*S467*AJ467</f>
        <v>406776.3497850204</v>
      </c>
      <c r="U467" s="110">
        <f>VLOOKUP($C467,怪物并表!$E$7:$N$1000,3+($D467-1)*3,FALSE)*S467*AK467</f>
        <v>11489.755602461544</v>
      </c>
      <c r="V467" s="110">
        <f>VLOOKUP($C467,怪物并表!$E$7:$N$1000,4+($D467-1)*3,FALSE)*S467*AL467</f>
        <v>4173.9100729765905</v>
      </c>
      <c r="W467" s="33"/>
      <c r="X467" s="33"/>
      <c r="Y467" s="49">
        <f>VLOOKUP($C467,怪物并表!$E$7:$P$1000,12,FALSE)</f>
        <v>0</v>
      </c>
      <c r="Z467" s="49">
        <f>VLOOKUP($C467,怪物并表!$E$7:$P$1000,11,FALSE)*S467</f>
        <v>3253</v>
      </c>
      <c r="AA467" s="33"/>
      <c r="AB467" s="33"/>
      <c r="AC467" s="33"/>
      <c r="AD467" s="33">
        <f t="shared" si="53"/>
        <v>1.5</v>
      </c>
      <c r="AE467" s="2">
        <f t="shared" si="60"/>
        <v>109.375</v>
      </c>
      <c r="AF467" s="2" t="str">
        <f>IF(ISBLANK(AM467),IF(O467=6,"",IF(O467=1,VLOOKUP(R467,怪物信息配置表!B:H,5,FALSE),IF(O467=2,VLOOKUP(R467,怪物信息配置表!B:H,6,FALSE),IF(OR(O467=3,O467=5),VLOOKUP(R467,怪物信息配置表!B:H,7,FALSE),"")))),AM467)</f>
        <v>1101_liangkun_BOSS</v>
      </c>
      <c r="AG467" s="2"/>
      <c r="AH467" s="15">
        <f>SUMPRODUCT(T467:V467,$AN$3:$AP$3)+ROUNDDOWN(VLOOKUP(P467,CHOOSE({1,2},'[1]消耗&amp;价值&amp;分析'!$C$7:$C$106,'[1]消耗&amp;价值&amp;分析'!$AS$7:$AS$106),2,FALSE)*0.6,0)</f>
        <v>34769.719666838952</v>
      </c>
      <c r="AJ467" s="80">
        <v>1</v>
      </c>
      <c r="AK467" s="80">
        <v>1</v>
      </c>
      <c r="AL467" s="80">
        <v>1</v>
      </c>
    </row>
    <row r="468" spans="1:38">
      <c r="A468" s="33" t="str">
        <f>怪物并表!$R$8</f>
        <v>精英副本</v>
      </c>
      <c r="B468" s="38">
        <v>1</v>
      </c>
      <c r="C468" s="33">
        <f t="shared" si="54"/>
        <v>5203</v>
      </c>
      <c r="D468" s="33">
        <v>1</v>
      </c>
      <c r="E468" s="33">
        <f>VLOOKUP(A468,怪物并表!$R$7:$S$14,2,FALSE)</f>
        <v>2</v>
      </c>
      <c r="F468" s="38">
        <v>5</v>
      </c>
      <c r="G468" s="38">
        <v>3</v>
      </c>
      <c r="H468" s="38">
        <v>0</v>
      </c>
      <c r="I468" s="33">
        <f t="shared" si="57"/>
        <v>253001</v>
      </c>
      <c r="J468" s="33" t="s">
        <v>22</v>
      </c>
      <c r="K468" s="33"/>
      <c r="L468" s="33">
        <v>0</v>
      </c>
      <c r="M468" s="33">
        <v>1</v>
      </c>
      <c r="N468" s="33"/>
      <c r="O468" s="33">
        <v>1</v>
      </c>
      <c r="P468" s="33">
        <f>VLOOKUP($C468,CHOOSE({1,2},怪物并表!$E$7:$E$1000,怪物并表!$D$7:$D$1000),2,FALSE)</f>
        <v>51</v>
      </c>
      <c r="Q468" s="33" t="s">
        <v>22</v>
      </c>
      <c r="R468" s="33">
        <f>VLOOKUP(Q468,怪物信息配置表!$A$2:$B$118,2,FALSE)</f>
        <v>1013</v>
      </c>
      <c r="S468" s="33">
        <v>1</v>
      </c>
      <c r="T468" s="110">
        <f>VLOOKUP($C468,怪物并表!$E$7:$N$1000,2+($D468-1)*3,FALSE)*S468*AJ468</f>
        <v>176418.73372089132</v>
      </c>
      <c r="U468" s="110">
        <f>VLOOKUP($C468,怪物并表!$E$7:$N$1000,3+($D468-1)*3,FALSE)*S468*AK468</f>
        <v>11186.141082691489</v>
      </c>
      <c r="V468" s="110">
        <f>VLOOKUP($C468,怪物并表!$E$7:$N$1000,4+($D468-1)*3,FALSE)*S468*AL468</f>
        <v>3689.2003002878937</v>
      </c>
      <c r="W468" s="33"/>
      <c r="X468" s="33"/>
      <c r="Y468" s="49">
        <f>VLOOKUP($C468,怪物并表!$E$7:$P$1000,12,FALSE)</f>
        <v>0</v>
      </c>
      <c r="Z468" s="49">
        <f>VLOOKUP($C468,怪物并表!$E$7:$P$1000,11,FALSE)*S468</f>
        <v>3311.2280000000001</v>
      </c>
      <c r="AA468" s="33"/>
      <c r="AB468" s="33"/>
      <c r="AC468" s="33"/>
      <c r="AD468" s="33">
        <f t="shared" si="53"/>
        <v>1</v>
      </c>
      <c r="AE468" s="2">
        <f t="shared" si="60"/>
        <v>394.375</v>
      </c>
      <c r="AF468" s="2" t="str">
        <f>IF(ISBLANK(AM468),IF(O468=6,"",IF(O468=1,VLOOKUP(R468,怪物信息配置表!B:H,5,FALSE),IF(O468=2,VLOOKUP(R468,怪物信息配置表!B:H,6,FALSE),IF(OR(O468=3,O468=5),VLOOKUP(R468,怪物信息配置表!B:H,7,FALSE),"")))),AM468)</f>
        <v>ai_monster_02</v>
      </c>
      <c r="AG468" s="2"/>
      <c r="AH468" s="15">
        <f>SUMPRODUCT(T468:V468,$AN$3:$AP$3)+ROUNDDOWN(VLOOKUP(P468,CHOOSE({1,2},'[1]消耗&amp;价值&amp;分析'!$C$7:$C$106,'[1]消耗&amp;价值&amp;分析'!$AS$7:$AS$106),2,FALSE)*0.6,0)</f>
        <v>24920.090731815035</v>
      </c>
      <c r="AJ468" s="80">
        <v>1</v>
      </c>
      <c r="AK468" s="80">
        <v>1</v>
      </c>
      <c r="AL468" s="80">
        <v>1</v>
      </c>
    </row>
    <row r="469" spans="1:38">
      <c r="A469" s="33" t="str">
        <f>怪物并表!$R$8</f>
        <v>精英副本</v>
      </c>
      <c r="B469" s="38">
        <v>2</v>
      </c>
      <c r="C469" s="33">
        <f t="shared" si="54"/>
        <v>5203</v>
      </c>
      <c r="D469" s="33">
        <v>1</v>
      </c>
      <c r="E469" s="33">
        <f>VLOOKUP(A469,怪物并表!$R$7:$S$14,2,FALSE)</f>
        <v>2</v>
      </c>
      <c r="F469" s="38">
        <v>5</v>
      </c>
      <c r="G469" s="38">
        <v>3</v>
      </c>
      <c r="H469" s="38">
        <v>0</v>
      </c>
      <c r="I469" s="33">
        <f t="shared" si="57"/>
        <v>253002</v>
      </c>
      <c r="J469" s="33" t="s">
        <v>482</v>
      </c>
      <c r="K469" s="33"/>
      <c r="L469" s="33">
        <v>0</v>
      </c>
      <c r="M469" s="33">
        <v>1</v>
      </c>
      <c r="N469" s="33"/>
      <c r="O469" s="33">
        <v>1</v>
      </c>
      <c r="P469" s="33">
        <f>VLOOKUP($C469,CHOOSE({1,2},怪物并表!$E$7:$E$1000,怪物并表!$D$7:$D$1000),2,FALSE)</f>
        <v>51</v>
      </c>
      <c r="Q469" s="33" t="s">
        <v>399</v>
      </c>
      <c r="R469" s="33">
        <f>VLOOKUP(Q469,怪物信息配置表!$A$2:$B$118,2,FALSE)</f>
        <v>1014</v>
      </c>
      <c r="S469" s="33">
        <v>1</v>
      </c>
      <c r="T469" s="110">
        <f>VLOOKUP($C469,怪物并表!$E$7:$N$1000,2+($D469-1)*3,FALSE)*S469*AJ469</f>
        <v>176418.73372089132</v>
      </c>
      <c r="U469" s="110">
        <f>VLOOKUP($C469,怪物并表!$E$7:$N$1000,3+($D469-1)*3,FALSE)*S469*AK469</f>
        <v>11186.141082691489</v>
      </c>
      <c r="V469" s="110">
        <f>VLOOKUP($C469,怪物并表!$E$7:$N$1000,4+($D469-1)*3,FALSE)*S469*AL469</f>
        <v>3689.2003002878937</v>
      </c>
      <c r="W469" s="33"/>
      <c r="X469" s="33"/>
      <c r="Y469" s="49">
        <f>VLOOKUP($C469,怪物并表!$E$7:$P$1000,12,FALSE)</f>
        <v>0</v>
      </c>
      <c r="Z469" s="49">
        <f>VLOOKUP($C469,怪物并表!$E$7:$P$1000,11,FALSE)*S469</f>
        <v>3311.2280000000001</v>
      </c>
      <c r="AA469" s="33"/>
      <c r="AB469" s="33"/>
      <c r="AC469" s="33"/>
      <c r="AD469" s="33">
        <f t="shared" si="53"/>
        <v>1</v>
      </c>
      <c r="AE469" s="2">
        <f t="shared" si="60"/>
        <v>321.875</v>
      </c>
      <c r="AF469" s="2" t="str">
        <f>IF(ISBLANK(AM469),IF(O469=6,"",IF(O469=1,VLOOKUP(R469,怪物信息配置表!B:H,5,FALSE),IF(O469=2,VLOOKUP(R469,怪物信息配置表!B:H,6,FALSE),IF(OR(O469=3,O469=5),VLOOKUP(R469,怪物信息配置表!B:H,7,FALSE),"")))),AM469)</f>
        <v>ai_monster_03</v>
      </c>
      <c r="AG469" s="2"/>
      <c r="AH469" s="15">
        <f>SUMPRODUCT(T469:V469,$AN$3:$AP$3)+ROUNDDOWN(VLOOKUP(P469,CHOOSE({1,2},'[1]消耗&amp;价值&amp;分析'!$C$7:$C$106,'[1]消耗&amp;价值&amp;分析'!$AS$7:$AS$106),2,FALSE)*0.6,0)</f>
        <v>24920.090731815035</v>
      </c>
      <c r="AJ469" s="80">
        <v>1</v>
      </c>
      <c r="AK469" s="80">
        <v>1</v>
      </c>
      <c r="AL469" s="80">
        <v>1</v>
      </c>
    </row>
    <row r="470" spans="1:38">
      <c r="A470" s="33" t="str">
        <f>怪物并表!$R$8</f>
        <v>精英副本</v>
      </c>
      <c r="B470" s="38">
        <v>3</v>
      </c>
      <c r="C470" s="33">
        <f t="shared" si="54"/>
        <v>5203</v>
      </c>
      <c r="D470" s="33">
        <v>1</v>
      </c>
      <c r="E470" s="33">
        <f>VLOOKUP(A470,怪物并表!$R$7:$S$14,2,FALSE)</f>
        <v>2</v>
      </c>
      <c r="F470" s="38">
        <v>5</v>
      </c>
      <c r="G470" s="38">
        <v>3</v>
      </c>
      <c r="H470" s="38">
        <v>0</v>
      </c>
      <c r="I470" s="33">
        <f t="shared" si="57"/>
        <v>253003</v>
      </c>
      <c r="J470" s="33" t="s">
        <v>462</v>
      </c>
      <c r="K470" s="33"/>
      <c r="L470" s="33">
        <v>0</v>
      </c>
      <c r="M470" s="33">
        <v>1</v>
      </c>
      <c r="N470" s="33"/>
      <c r="O470" s="33">
        <v>1</v>
      </c>
      <c r="P470" s="33">
        <f>VLOOKUP($C470,CHOOSE({1,2},怪物并表!$E$7:$E$1000,怪物并表!$D$7:$D$1000),2,FALSE)</f>
        <v>51</v>
      </c>
      <c r="Q470" s="33" t="s">
        <v>11</v>
      </c>
      <c r="R470" s="33">
        <f>VLOOKUP(Q470,怪物信息配置表!$A$2:$B$118,2,FALSE)</f>
        <v>1011</v>
      </c>
      <c r="S470" s="33">
        <v>1</v>
      </c>
      <c r="T470" s="110">
        <f>VLOOKUP($C470,怪物并表!$E$7:$N$1000,2+($D470-1)*3,FALSE)*S470*AJ470</f>
        <v>176418.73372089132</v>
      </c>
      <c r="U470" s="110">
        <f>VLOOKUP($C470,怪物并表!$E$7:$N$1000,3+($D470-1)*3,FALSE)*S470*AK470</f>
        <v>11186.141082691489</v>
      </c>
      <c r="V470" s="110">
        <f>VLOOKUP($C470,怪物并表!$E$7:$N$1000,4+($D470-1)*3,FALSE)*S470*AL470</f>
        <v>3689.2003002878937</v>
      </c>
      <c r="W470" s="33"/>
      <c r="X470" s="33"/>
      <c r="Y470" s="49">
        <f>VLOOKUP($C470,怪物并表!$E$7:$P$1000,12,FALSE)</f>
        <v>0</v>
      </c>
      <c r="Z470" s="49">
        <f>VLOOKUP($C470,怪物并表!$E$7:$P$1000,11,FALSE)*S470</f>
        <v>3311.2280000000001</v>
      </c>
      <c r="AA470" s="33"/>
      <c r="AB470" s="33"/>
      <c r="AC470" s="33"/>
      <c r="AD470" s="33">
        <f t="shared" si="53"/>
        <v>1</v>
      </c>
      <c r="AE470" s="2">
        <f t="shared" si="60"/>
        <v>394.375</v>
      </c>
      <c r="AF470" s="2" t="str">
        <f>IF(ISBLANK(AM470),IF(O470=6,"",IF(O470=1,VLOOKUP(R470,怪物信息配置表!B:H,5,FALSE),IF(O470=2,VLOOKUP(R470,怪物信息配置表!B:H,6,FALSE),IF(OR(O470=3,O470=5),VLOOKUP(R470,怪物信息配置表!B:H,7,FALSE),"")))),AM470)</f>
        <v>ai_monster</v>
      </c>
      <c r="AG470" s="2"/>
      <c r="AH470" s="15">
        <f>SUMPRODUCT(T470:V470,$AN$3:$AP$3)+ROUNDDOWN(VLOOKUP(P470,CHOOSE({1,2},'[1]消耗&amp;价值&amp;分析'!$C$7:$C$106,'[1]消耗&amp;价值&amp;分析'!$AS$7:$AS$106),2,FALSE)*0.6,0)</f>
        <v>24920.090731815035</v>
      </c>
      <c r="AJ470" s="80">
        <v>1</v>
      </c>
      <c r="AK470" s="80">
        <v>1</v>
      </c>
      <c r="AL470" s="80">
        <v>1</v>
      </c>
    </row>
    <row r="471" spans="1:38">
      <c r="A471" s="33" t="str">
        <f>怪物并表!$R$8</f>
        <v>精英副本</v>
      </c>
      <c r="B471" s="38">
        <v>4</v>
      </c>
      <c r="C471" s="33">
        <f t="shared" si="54"/>
        <v>5203</v>
      </c>
      <c r="D471" s="33">
        <v>3</v>
      </c>
      <c r="E471" s="33">
        <f>VLOOKUP(A471,怪物并表!$R$7:$S$14,2,FALSE)</f>
        <v>2</v>
      </c>
      <c r="F471" s="38">
        <v>5</v>
      </c>
      <c r="G471" s="38">
        <v>3</v>
      </c>
      <c r="H471" s="38">
        <v>0</v>
      </c>
      <c r="I471" s="33">
        <f t="shared" si="57"/>
        <v>253004</v>
      </c>
      <c r="J471" s="33" t="s">
        <v>548</v>
      </c>
      <c r="K471" s="33"/>
      <c r="L471" s="33">
        <v>1</v>
      </c>
      <c r="M471" s="33">
        <v>1.2</v>
      </c>
      <c r="N471" s="33"/>
      <c r="O471" s="33">
        <v>3</v>
      </c>
      <c r="P471" s="33">
        <f>VLOOKUP($C471,CHOOSE({1,2},怪物并表!$E$7:$E$1000,怪物并表!$D$7:$D$1000),2,FALSE)</f>
        <v>51</v>
      </c>
      <c r="Q471" s="33" t="s">
        <v>12</v>
      </c>
      <c r="R471" s="33">
        <f>VLOOKUP(Q471,怪物信息配置表!$A$2:$B$118,2,FALSE)</f>
        <v>1009</v>
      </c>
      <c r="S471" s="33">
        <v>1</v>
      </c>
      <c r="T471" s="110">
        <f>VLOOKUP($C471,怪物并表!$E$7:$N$1000,2+($D471-1)*3,FALSE)*S471*AJ471</f>
        <v>441046.83430222829</v>
      </c>
      <c r="U471" s="110">
        <f>VLOOKUP($C471,怪物并表!$E$7:$N$1000,3+($D471-1)*3,FALSE)*S471*AK471</f>
        <v>12720.067618729452</v>
      </c>
      <c r="V471" s="110">
        <f>VLOOKUP($C471,怪物并表!$E$7:$N$1000,4+($D471-1)*3,FALSE)*S471*AL471</f>
        <v>4518.1214096617532</v>
      </c>
      <c r="W471" s="33"/>
      <c r="X471" s="33"/>
      <c r="Y471" s="49">
        <f>VLOOKUP($C471,怪物并表!$E$7:$P$1000,12,FALSE)</f>
        <v>0</v>
      </c>
      <c r="Z471" s="49">
        <f>VLOOKUP($C471,怪物并表!$E$7:$P$1000,11,FALSE)*S471</f>
        <v>3311.2280000000001</v>
      </c>
      <c r="AA471" s="33"/>
      <c r="AB471" s="33"/>
      <c r="AC471" s="33"/>
      <c r="AD471" s="33">
        <f t="shared" si="53"/>
        <v>1.5</v>
      </c>
      <c r="AE471" s="2">
        <f t="shared" si="60"/>
        <v>91.5625</v>
      </c>
      <c r="AF471" s="2" t="str">
        <f>IF(ISBLANK(AM471),IF(O471=6,"",IF(O471=1,VLOOKUP(R471,怪物信息配置表!B:H,5,FALSE),IF(O471=2,VLOOKUP(R471,怪物信息配置表!B:H,6,FALSE),IF(OR(O471=3,O471=5),VLOOKUP(R471,怪物信息配置表!B:H,7,FALSE),"")))),AM471)</f>
        <v>1009_tiequan_BOSS</v>
      </c>
      <c r="AG471" s="2"/>
      <c r="AH471" s="15">
        <f>SUMPRODUCT(T471:V471,$AN$3:$AP$3)+ROUNDDOWN(VLOOKUP(P471,CHOOSE({1,2},'[1]消耗&amp;价值&amp;分析'!$C$7:$C$106,'[1]消耗&amp;价值&amp;分析'!$AS$7:$AS$106),2,FALSE)*0.6,0)</f>
        <v>37868.062400480339</v>
      </c>
      <c r="AJ471" s="80">
        <v>1</v>
      </c>
      <c r="AK471" s="80">
        <v>1</v>
      </c>
      <c r="AL471" s="80">
        <v>1</v>
      </c>
    </row>
    <row r="472" spans="1:38">
      <c r="A472" s="33" t="str">
        <f>怪物并表!$R$8</f>
        <v>精英副本</v>
      </c>
      <c r="B472" s="38">
        <v>1</v>
      </c>
      <c r="C472" s="33">
        <f t="shared" si="54"/>
        <v>5204</v>
      </c>
      <c r="D472" s="33">
        <v>1</v>
      </c>
      <c r="E472" s="33">
        <f>VLOOKUP(A472,怪物并表!$R$7:$S$14,2,FALSE)</f>
        <v>2</v>
      </c>
      <c r="F472" s="38">
        <v>5</v>
      </c>
      <c r="G472" s="38">
        <v>4</v>
      </c>
      <c r="H472" s="38">
        <v>0</v>
      </c>
      <c r="I472" s="33">
        <f t="shared" si="57"/>
        <v>254001</v>
      </c>
      <c r="J472" s="33" t="s">
        <v>485</v>
      </c>
      <c r="K472" s="33"/>
      <c r="L472" s="33">
        <v>0</v>
      </c>
      <c r="M472" s="33">
        <v>1</v>
      </c>
      <c r="N472" s="33"/>
      <c r="O472" s="33">
        <v>1</v>
      </c>
      <c r="P472" s="33">
        <f>VLOOKUP($C472,CHOOSE({1,2},怪物并表!$E$7:$E$1000,怪物并表!$D$7:$D$1000),2,FALSE)</f>
        <v>52</v>
      </c>
      <c r="Q472" s="33" t="s">
        <v>24</v>
      </c>
      <c r="R472" s="33">
        <f>VLOOKUP(Q472,怪物信息配置表!$A$2:$B$118,2,FALSE)</f>
        <v>1015</v>
      </c>
      <c r="S472" s="33">
        <v>1</v>
      </c>
      <c r="T472" s="110">
        <f>VLOOKUP($C472,怪物并表!$E$7:$N$1000,2+($D472-1)*3,FALSE)*S472*AJ472</f>
        <v>197836.42077191191</v>
      </c>
      <c r="U472" s="110">
        <f>VLOOKUP($C472,怪物并表!$E$7:$N$1000,3+($D472-1)*3,FALSE)*S472*AK472</f>
        <v>12340.791068651728</v>
      </c>
      <c r="V472" s="110">
        <f>VLOOKUP($C472,怪物并表!$E$7:$N$1000,4+($D472-1)*3,FALSE)*S472*AL472</f>
        <v>4037.7440073792659</v>
      </c>
      <c r="W472" s="33"/>
      <c r="X472" s="33"/>
      <c r="Y472" s="49">
        <f>VLOOKUP($C472,怪物并表!$E$7:$P$1000,12,FALSE)</f>
        <v>0</v>
      </c>
      <c r="Z472" s="49">
        <f>VLOOKUP($C472,怪物并表!$E$7:$P$1000,11,FALSE)*S472</f>
        <v>3369.4560000000001</v>
      </c>
      <c r="AA472" s="33"/>
      <c r="AB472" s="33"/>
      <c r="AC472" s="33"/>
      <c r="AD472" s="33">
        <f t="shared" si="53"/>
        <v>1</v>
      </c>
      <c r="AE472" s="2">
        <f t="shared" si="60"/>
        <v>312.5</v>
      </c>
      <c r="AF472" s="2" t="str">
        <f>IF(ISBLANK(AM472),IF(O472=6,"",IF(O472=1,VLOOKUP(R472,怪物信息配置表!B:H,5,FALSE),IF(O472=2,VLOOKUP(R472,怪物信息配置表!B:H,6,FALSE),IF(OR(O472=3,O472=5),VLOOKUP(R472,怪物信息配置表!B:H,7,FALSE),"")))),AM472)</f>
        <v>ai_monster_03</v>
      </c>
      <c r="AG472" s="2"/>
      <c r="AH472" s="15">
        <f>SUMPRODUCT(T472:V472,$AN$3:$AP$3)+ROUNDDOWN(VLOOKUP(P472,CHOOSE({1,2},'[1]消耗&amp;价值&amp;分析'!$C$7:$C$106,'[1]消耗&amp;价值&amp;分析'!$AS$7:$AS$106),2,FALSE)*0.6,0)</f>
        <v>27502.991906907468</v>
      </c>
      <c r="AJ472" s="80">
        <v>1</v>
      </c>
      <c r="AK472" s="80">
        <v>1</v>
      </c>
      <c r="AL472" s="80">
        <v>1</v>
      </c>
    </row>
    <row r="473" spans="1:38">
      <c r="A473" s="33" t="str">
        <f>怪物并表!$R$8</f>
        <v>精英副本</v>
      </c>
      <c r="B473" s="38">
        <v>2</v>
      </c>
      <c r="C473" s="33">
        <f t="shared" si="54"/>
        <v>5204</v>
      </c>
      <c r="D473" s="33">
        <v>1</v>
      </c>
      <c r="E473" s="33">
        <f>VLOOKUP(A473,怪物并表!$R$7:$S$14,2,FALSE)</f>
        <v>2</v>
      </c>
      <c r="F473" s="38">
        <v>5</v>
      </c>
      <c r="G473" s="38">
        <v>4</v>
      </c>
      <c r="H473" s="38">
        <v>0</v>
      </c>
      <c r="I473" s="33">
        <f t="shared" si="57"/>
        <v>254002</v>
      </c>
      <c r="J473" s="33" t="s">
        <v>44</v>
      </c>
      <c r="K473" s="33"/>
      <c r="L473" s="33">
        <v>0</v>
      </c>
      <c r="M473" s="33">
        <v>1</v>
      </c>
      <c r="N473" s="33"/>
      <c r="O473" s="33">
        <v>1</v>
      </c>
      <c r="P473" s="33">
        <f>VLOOKUP($C473,CHOOSE({1,2},怪物并表!$E$7:$E$1000,怪物并表!$D$7:$D$1000),2,FALSE)</f>
        <v>52</v>
      </c>
      <c r="Q473" s="33" t="s">
        <v>25</v>
      </c>
      <c r="R473" s="33">
        <f>VLOOKUP(Q473,怪物信息配置表!$A$2:$B$118,2,FALSE)</f>
        <v>1012</v>
      </c>
      <c r="S473" s="33">
        <v>1</v>
      </c>
      <c r="T473" s="110">
        <f>VLOOKUP($C473,怪物并表!$E$7:$N$1000,2+($D473-1)*3,FALSE)*S473*AJ473</f>
        <v>197836.42077191191</v>
      </c>
      <c r="U473" s="110">
        <f>VLOOKUP($C473,怪物并表!$E$7:$N$1000,3+($D473-1)*3,FALSE)*S473*AK473</f>
        <v>12340.791068651728</v>
      </c>
      <c r="V473" s="110">
        <f>VLOOKUP($C473,怪物并表!$E$7:$N$1000,4+($D473-1)*3,FALSE)*S473*AL473</f>
        <v>4037.7440073792659</v>
      </c>
      <c r="W473" s="33"/>
      <c r="X473" s="33"/>
      <c r="Y473" s="49">
        <f>VLOOKUP($C473,怪物并表!$E$7:$P$1000,12,FALSE)</f>
        <v>0</v>
      </c>
      <c r="Z473" s="49">
        <f>VLOOKUP($C473,怪物并表!$E$7:$P$1000,11,FALSE)*S473</f>
        <v>3369.4560000000001</v>
      </c>
      <c r="AA473" s="33"/>
      <c r="AB473" s="33"/>
      <c r="AC473" s="33"/>
      <c r="AD473" s="33">
        <f t="shared" si="53"/>
        <v>1</v>
      </c>
      <c r="AE473" s="2">
        <f t="shared" si="60"/>
        <v>382.5</v>
      </c>
      <c r="AF473" s="2" t="str">
        <f>IF(ISBLANK(AM473),IF(O473=6,"",IF(O473=1,VLOOKUP(R473,怪物信息配置表!B:H,5,FALSE),IF(O473=2,VLOOKUP(R473,怪物信息配置表!B:H,6,FALSE),IF(OR(O473=3,O473=5),VLOOKUP(R473,怪物信息配置表!B:H,7,FALSE),"")))),AM473)</f>
        <v>ai_monster_03</v>
      </c>
      <c r="AG473" s="2"/>
      <c r="AH473" s="15">
        <f>SUMPRODUCT(T473:V473,$AN$3:$AP$3)+ROUNDDOWN(VLOOKUP(P473,CHOOSE({1,2},'[1]消耗&amp;价值&amp;分析'!$C$7:$C$106,'[1]消耗&amp;价值&amp;分析'!$AS$7:$AS$106),2,FALSE)*0.6,0)</f>
        <v>27502.991906907468</v>
      </c>
      <c r="AJ473" s="80">
        <v>1</v>
      </c>
      <c r="AK473" s="80">
        <v>1</v>
      </c>
      <c r="AL473" s="80">
        <v>1</v>
      </c>
    </row>
    <row r="474" spans="1:38">
      <c r="A474" s="33" t="str">
        <f>怪物并表!$R$8</f>
        <v>精英副本</v>
      </c>
      <c r="B474" s="38">
        <v>3</v>
      </c>
      <c r="C474" s="33">
        <f t="shared" si="54"/>
        <v>5204</v>
      </c>
      <c r="D474" s="33">
        <v>2</v>
      </c>
      <c r="E474" s="33">
        <f>VLOOKUP(A474,怪物并表!$R$7:$S$14,2,FALSE)</f>
        <v>2</v>
      </c>
      <c r="F474" s="38">
        <v>5</v>
      </c>
      <c r="G474" s="38">
        <v>4</v>
      </c>
      <c r="H474" s="38">
        <v>0</v>
      </c>
      <c r="I474" s="33">
        <f t="shared" si="57"/>
        <v>254003</v>
      </c>
      <c r="J474" s="33" t="s">
        <v>463</v>
      </c>
      <c r="K474" s="33"/>
      <c r="L474" s="33">
        <v>0</v>
      </c>
      <c r="M474" s="33">
        <v>1</v>
      </c>
      <c r="N474" s="33" t="s">
        <v>215</v>
      </c>
      <c r="O474" s="33">
        <v>1</v>
      </c>
      <c r="P474" s="33">
        <f>VLOOKUP($C474,CHOOSE({1,2},怪物并表!$E$7:$E$1000,怪物并表!$D$7:$D$1000),2,FALSE)</f>
        <v>52</v>
      </c>
      <c r="Q474" s="33" t="s">
        <v>17</v>
      </c>
      <c r="R474" s="33">
        <f>VLOOKUP(Q474,怪物信息配置表!$A$2:$B$118,2,FALSE)</f>
        <v>1005</v>
      </c>
      <c r="S474" s="33">
        <v>1</v>
      </c>
      <c r="T474" s="110">
        <f>VLOOKUP($C474,怪物并表!$E$7:$N$1000,2+($D474-1)*3,FALSE)*S474*AJ474</f>
        <v>158269.13661752956</v>
      </c>
      <c r="U474" s="110">
        <f>VLOOKUP($C474,怪物并表!$E$7:$N$1000,3+($D474-1)*3,FALSE)*S474*AK474</f>
        <v>11482.316055496252</v>
      </c>
      <c r="V474" s="110">
        <f>VLOOKUP($C474,怪物并表!$E$7:$N$1000,4+($D474-1)*3,FALSE)*S474*AL474</f>
        <v>3155.0743871614732</v>
      </c>
      <c r="W474" s="33"/>
      <c r="X474" s="33"/>
      <c r="Y474" s="49">
        <f>VLOOKUP($C474,怪物并表!$E$7:$P$1000,12,FALSE)</f>
        <v>0</v>
      </c>
      <c r="Z474" s="49">
        <f>VLOOKUP($C474,怪物并表!$E$7:$P$1000,11,FALSE)*S474</f>
        <v>3369.4560000000001</v>
      </c>
      <c r="AA474" s="33"/>
      <c r="AB474" s="33"/>
      <c r="AC474" s="33"/>
      <c r="AD474" s="33">
        <f t="shared" si="53"/>
        <v>0.8</v>
      </c>
      <c r="AE474" s="2">
        <f t="shared" si="60"/>
        <v>506</v>
      </c>
      <c r="AF474" s="2" t="str">
        <f>IF(ISBLANK(AM474),IF(O474=6,"",IF(O474=1,VLOOKUP(R474,怪物信息配置表!B:H,5,FALSE),IF(O474=2,VLOOKUP(R474,怪物信息配置表!B:H,6,FALSE),IF(OR(O474=3,O474=5),VLOOKUP(R474,怪物信息配置表!B:H,7,FALSE),"")))),AM474)</f>
        <v>ai_monster_02</v>
      </c>
      <c r="AG474" s="2"/>
      <c r="AH474" s="15">
        <f>SUMPRODUCT(T474:V474,$AN$3:$AP$3)+ROUNDDOWN(VLOOKUP(P474,CHOOSE({1,2},'[1]消耗&amp;价值&amp;分析'!$C$7:$C$106,'[1]消耗&amp;价值&amp;分析'!$AS$7:$AS$106),2,FALSE)*0.6,0)</f>
        <v>24179.155907358905</v>
      </c>
      <c r="AJ474" s="80">
        <v>1</v>
      </c>
      <c r="AK474" s="80">
        <v>1</v>
      </c>
      <c r="AL474" s="80">
        <v>1</v>
      </c>
    </row>
    <row r="475" spans="1:38">
      <c r="A475" s="33" t="str">
        <f>怪物并表!$R$8</f>
        <v>精英副本</v>
      </c>
      <c r="B475" s="38">
        <v>4</v>
      </c>
      <c r="C475" s="33">
        <f t="shared" si="54"/>
        <v>5204</v>
      </c>
      <c r="D475" s="33">
        <v>3</v>
      </c>
      <c r="E475" s="33">
        <f>VLOOKUP(A475,怪物并表!$R$7:$S$14,2,FALSE)</f>
        <v>2</v>
      </c>
      <c r="F475" s="38">
        <v>5</v>
      </c>
      <c r="G475" s="38">
        <v>4</v>
      </c>
      <c r="H475" s="38">
        <v>0</v>
      </c>
      <c r="I475" s="33">
        <f t="shared" si="57"/>
        <v>254004</v>
      </c>
      <c r="J475" s="33" t="s">
        <v>719</v>
      </c>
      <c r="K475" s="33"/>
      <c r="L475" s="33">
        <v>1</v>
      </c>
      <c r="M475" s="33">
        <v>1.2</v>
      </c>
      <c r="N475" s="33"/>
      <c r="O475" s="33">
        <v>3</v>
      </c>
      <c r="P475" s="33">
        <f>VLOOKUP($C475,CHOOSE({1,2},怪物并表!$E$7:$E$1000,怪物并表!$D$7:$D$1000),2,FALSE)</f>
        <v>52</v>
      </c>
      <c r="Q475" s="33" t="s">
        <v>12</v>
      </c>
      <c r="R475" s="33">
        <f>VLOOKUP(Q475,怪物信息配置表!$A$2:$B$118,2,FALSE)</f>
        <v>1009</v>
      </c>
      <c r="S475" s="33">
        <v>1</v>
      </c>
      <c r="T475" s="110">
        <f>VLOOKUP($C475,怪物并表!$E$7:$N$1000,2+($D475-1)*3,FALSE)*S475*AJ475</f>
        <v>494591.05192977982</v>
      </c>
      <c r="U475" s="110">
        <f>VLOOKUP($C475,怪物并表!$E$7:$N$1000,3+($D475-1)*3,FALSE)*S475*AK475</f>
        <v>14057.741094962676</v>
      </c>
      <c r="V475" s="110">
        <f>VLOOKUP($C475,怪物并表!$E$7:$N$1000,4+($D475-1)*3,FALSE)*S475*AL475</f>
        <v>4920.4136275970577</v>
      </c>
      <c r="W475" s="33"/>
      <c r="X475" s="33"/>
      <c r="Y475" s="49">
        <f>VLOOKUP($C475,怪物并表!$E$7:$P$1000,12,FALSE)</f>
        <v>0</v>
      </c>
      <c r="Z475" s="49">
        <f>VLOOKUP($C475,怪物并表!$E$7:$P$1000,11,FALSE)*S475</f>
        <v>3369.4560000000001</v>
      </c>
      <c r="AA475" s="33"/>
      <c r="AB475" s="33"/>
      <c r="AC475" s="33"/>
      <c r="AD475" s="33">
        <f t="shared" si="53"/>
        <v>1.5</v>
      </c>
      <c r="AE475" s="2">
        <f t="shared" si="60"/>
        <v>73.75</v>
      </c>
      <c r="AF475" s="2" t="str">
        <f>IF(ISBLANK(AM475),IF(O475=6,"",IF(O475=1,VLOOKUP(R475,怪物信息配置表!B:H,5,FALSE),IF(O475=2,VLOOKUP(R475,怪物信息配置表!B:H,6,FALSE),IF(OR(O475=3,O475=5),VLOOKUP(R475,怪物信息配置表!B:H,7,FALSE),"")))),AM475)</f>
        <v>1009_tiequan_BOSS</v>
      </c>
      <c r="AG475" s="2"/>
      <c r="AH475" s="15">
        <f>SUMPRODUCT(T475:V475,$AN$3:$AP$3)+ROUNDDOWN(VLOOKUP(P475,CHOOSE({1,2},'[1]消耗&amp;价值&amp;分析'!$C$7:$C$106,'[1]消耗&amp;价值&amp;分析'!$AS$7:$AS$106),2,FALSE)*0.6,0)</f>
        <v>41972.796799750933</v>
      </c>
      <c r="AJ475" s="80">
        <v>1</v>
      </c>
      <c r="AK475" s="80">
        <v>1</v>
      </c>
      <c r="AL475" s="80">
        <v>1</v>
      </c>
    </row>
    <row r="476" spans="1:38">
      <c r="A476" s="33" t="str">
        <f>怪物并表!$R$8</f>
        <v>精英副本</v>
      </c>
      <c r="B476" s="38">
        <v>1</v>
      </c>
      <c r="C476" s="33">
        <f t="shared" si="54"/>
        <v>5205</v>
      </c>
      <c r="D476" s="33">
        <v>1</v>
      </c>
      <c r="E476" s="33">
        <f>VLOOKUP(A476,怪物并表!$R$7:$S$14,2,FALSE)</f>
        <v>2</v>
      </c>
      <c r="F476" s="38">
        <v>5</v>
      </c>
      <c r="G476" s="38">
        <v>5</v>
      </c>
      <c r="H476" s="38">
        <v>0</v>
      </c>
      <c r="I476" s="33">
        <f t="shared" si="57"/>
        <v>255001</v>
      </c>
      <c r="J476" s="33" t="s">
        <v>216</v>
      </c>
      <c r="K476" s="33"/>
      <c r="L476" s="33">
        <v>0</v>
      </c>
      <c r="M476" s="33">
        <v>1</v>
      </c>
      <c r="N476" s="33"/>
      <c r="O476" s="33">
        <v>1</v>
      </c>
      <c r="P476" s="33">
        <f>VLOOKUP($C476,CHOOSE({1,2},怪物并表!$E$7:$E$1000,怪物并表!$D$7:$D$1000),2,FALSE)</f>
        <v>53</v>
      </c>
      <c r="Q476" s="33" t="s">
        <v>12</v>
      </c>
      <c r="R476" s="33">
        <f>VLOOKUP(Q476,怪物信息配置表!$A$2:$B$118,2,FALSE)</f>
        <v>1009</v>
      </c>
      <c r="S476" s="33">
        <v>1</v>
      </c>
      <c r="T476" s="110">
        <f>VLOOKUP($C476,怪物并表!$E$7:$N$1000,2+($D476-1)*3,FALSE)*S476*AJ476</f>
        <v>217430.26359537657</v>
      </c>
      <c r="U476" s="110">
        <f>VLOOKUP($C476,怪物并表!$E$7:$N$1000,3+($D476-1)*3,FALSE)*S476*AK476</f>
        <v>13592.976936990304</v>
      </c>
      <c r="V476" s="110">
        <f>VLOOKUP($C476,怪物并表!$E$7:$N$1000,4+($D476-1)*3,FALSE)*S476*AL476</f>
        <v>4405.8383295090325</v>
      </c>
      <c r="W476" s="33"/>
      <c r="X476" s="33"/>
      <c r="Y476" s="49">
        <f>VLOOKUP($C476,怪物并表!$E$7:$P$1000,12,FALSE)</f>
        <v>0</v>
      </c>
      <c r="Z476" s="49">
        <f>VLOOKUP($C476,怪物并表!$E$7:$P$1000,11,FALSE)*S476</f>
        <v>3427.6839999999997</v>
      </c>
      <c r="AA476" s="33"/>
      <c r="AB476" s="33"/>
      <c r="AC476" s="33"/>
      <c r="AD476" s="33">
        <f t="shared" si="53"/>
        <v>1</v>
      </c>
      <c r="AE476" s="2">
        <f t="shared" si="60"/>
        <v>370.625</v>
      </c>
      <c r="AF476" s="2" t="str">
        <f>IF(ISBLANK(AM476),IF(O476=6,"",IF(O476=1,VLOOKUP(R476,怪物信息配置表!B:H,5,FALSE),IF(O476=2,VLOOKUP(R476,怪物信息配置表!B:H,6,FALSE),IF(OR(O476=3,O476=5),VLOOKUP(R476,怪物信息配置表!B:H,7,FALSE),"")))),AM476)</f>
        <v>ai_monster</v>
      </c>
      <c r="AG476" s="2"/>
      <c r="AH476" s="15">
        <f>SUMPRODUCT(T476:V476,$AN$3:$AP$3)+ROUNDDOWN(VLOOKUP(P476,CHOOSE({1,2},'[1]消耗&amp;价值&amp;分析'!$C$7:$C$106,'[1]消耗&amp;价值&amp;分析'!$AS$7:$AS$106),2,FALSE)*0.6,0)</f>
        <v>30039.025810314401</v>
      </c>
      <c r="AJ476" s="80">
        <v>1</v>
      </c>
      <c r="AK476" s="80">
        <v>1</v>
      </c>
      <c r="AL476" s="80">
        <v>1</v>
      </c>
    </row>
    <row r="477" spans="1:38">
      <c r="A477" s="33" t="str">
        <f>怪物并表!$R$8</f>
        <v>精英副本</v>
      </c>
      <c r="B477" s="38">
        <v>2</v>
      </c>
      <c r="C477" s="33">
        <f t="shared" si="54"/>
        <v>5205</v>
      </c>
      <c r="D477" s="33">
        <v>1</v>
      </c>
      <c r="E477" s="33">
        <f>VLOOKUP(A477,怪物并表!$R$7:$S$14,2,FALSE)</f>
        <v>2</v>
      </c>
      <c r="F477" s="38">
        <v>5</v>
      </c>
      <c r="G477" s="38">
        <v>5</v>
      </c>
      <c r="H477" s="38">
        <v>0</v>
      </c>
      <c r="I477" s="33">
        <f t="shared" si="57"/>
        <v>255002</v>
      </c>
      <c r="J477" s="33" t="s">
        <v>13</v>
      </c>
      <c r="K477" s="33"/>
      <c r="L477" s="33">
        <v>0</v>
      </c>
      <c r="M477" s="33">
        <v>1</v>
      </c>
      <c r="N477" s="33"/>
      <c r="O477" s="33">
        <v>1</v>
      </c>
      <c r="P477" s="33">
        <f>VLOOKUP($C477,CHOOSE({1,2},怪物并表!$E$7:$E$1000,怪物并表!$D$7:$D$1000),2,FALSE)</f>
        <v>53</v>
      </c>
      <c r="Q477" s="33" t="s">
        <v>13</v>
      </c>
      <c r="R477" s="33">
        <f>VLOOKUP(Q477,怪物信息配置表!$A$2:$B$118,2,FALSE)</f>
        <v>1007</v>
      </c>
      <c r="S477" s="33">
        <v>1</v>
      </c>
      <c r="T477" s="110">
        <f>VLOOKUP($C477,怪物并表!$E$7:$N$1000,2+($D477-1)*3,FALSE)*S477*AJ477</f>
        <v>217430.26359537657</v>
      </c>
      <c r="U477" s="110">
        <f>VLOOKUP($C477,怪物并表!$E$7:$N$1000,3+($D477-1)*3,FALSE)*S477*AK477</f>
        <v>13592.976936990304</v>
      </c>
      <c r="V477" s="110">
        <f>VLOOKUP($C477,怪物并表!$E$7:$N$1000,4+($D477-1)*3,FALSE)*S477*AL477</f>
        <v>4405.8383295090325</v>
      </c>
      <c r="W477" s="33"/>
      <c r="X477" s="33"/>
      <c r="Y477" s="49">
        <f>VLOOKUP($C477,怪物并表!$E$7:$P$1000,12,FALSE)</f>
        <v>0</v>
      </c>
      <c r="Z477" s="49">
        <f>VLOOKUP($C477,怪物并表!$E$7:$P$1000,11,FALSE)*S477</f>
        <v>3427.6839999999997</v>
      </c>
      <c r="AA477" s="33"/>
      <c r="AB477" s="33"/>
      <c r="AC477" s="33"/>
      <c r="AD477" s="33">
        <f t="shared" si="53"/>
        <v>1</v>
      </c>
      <c r="AE477" s="2">
        <f t="shared" si="60"/>
        <v>370.625</v>
      </c>
      <c r="AF477" s="2" t="str">
        <f>IF(ISBLANK(AM477),IF(O477=6,"",IF(O477=1,VLOOKUP(R477,怪物信息配置表!B:H,5,FALSE),IF(O477=2,VLOOKUP(R477,怪物信息配置表!B:H,6,FALSE),IF(OR(O477=3,O477=5),VLOOKUP(R477,怪物信息配置表!B:H,7,FALSE),"")))),AM477)</f>
        <v>ai_monster_03</v>
      </c>
      <c r="AG477" s="2"/>
      <c r="AH477" s="15">
        <f>SUMPRODUCT(T477:V477,$AN$3:$AP$3)+ROUNDDOWN(VLOOKUP(P477,CHOOSE({1,2},'[1]消耗&amp;价值&amp;分析'!$C$7:$C$106,'[1]消耗&amp;价值&amp;分析'!$AS$7:$AS$106),2,FALSE)*0.6,0)</f>
        <v>30039.025810314401</v>
      </c>
      <c r="AJ477" s="80">
        <v>1</v>
      </c>
      <c r="AK477" s="80">
        <v>1</v>
      </c>
      <c r="AL477" s="80">
        <v>1</v>
      </c>
    </row>
    <row r="478" spans="1:38">
      <c r="A478" s="33" t="str">
        <f>怪物并表!$R$8</f>
        <v>精英副本</v>
      </c>
      <c r="B478" s="38">
        <v>3</v>
      </c>
      <c r="C478" s="33">
        <f t="shared" si="54"/>
        <v>5205</v>
      </c>
      <c r="D478" s="33">
        <v>1</v>
      </c>
      <c r="E478" s="33">
        <f>VLOOKUP(A478,怪物并表!$R$7:$S$14,2,FALSE)</f>
        <v>2</v>
      </c>
      <c r="F478" s="38">
        <v>5</v>
      </c>
      <c r="G478" s="38">
        <v>5</v>
      </c>
      <c r="H478" s="38">
        <v>0</v>
      </c>
      <c r="I478" s="33">
        <f t="shared" si="57"/>
        <v>255003</v>
      </c>
      <c r="J478" s="33" t="s">
        <v>508</v>
      </c>
      <c r="K478" s="33"/>
      <c r="L478" s="33">
        <v>0</v>
      </c>
      <c r="M478" s="33">
        <v>1</v>
      </c>
      <c r="N478" s="33"/>
      <c r="O478" s="33">
        <v>1</v>
      </c>
      <c r="P478" s="33">
        <f>VLOOKUP($C478,CHOOSE({1,2},怪物并表!$E$7:$E$1000,怪物并表!$D$7:$D$1000),2,FALSE)</f>
        <v>53</v>
      </c>
      <c r="Q478" s="33" t="s">
        <v>14</v>
      </c>
      <c r="R478" s="33">
        <f>VLOOKUP(Q478,怪物信息配置表!$A$2:$B$118,2,FALSE)</f>
        <v>1010</v>
      </c>
      <c r="S478" s="33">
        <v>1</v>
      </c>
      <c r="T478" s="110">
        <f>VLOOKUP($C478,怪物并表!$E$7:$N$1000,2+($D478-1)*3,FALSE)*S478*AJ478</f>
        <v>217430.26359537657</v>
      </c>
      <c r="U478" s="110">
        <f>VLOOKUP($C478,怪物并表!$E$7:$N$1000,3+($D478-1)*3,FALSE)*S478*AK478</f>
        <v>13592.976936990304</v>
      </c>
      <c r="V478" s="110">
        <f>VLOOKUP($C478,怪物并表!$E$7:$N$1000,4+($D478-1)*3,FALSE)*S478*AL478</f>
        <v>4405.8383295090325</v>
      </c>
      <c r="W478" s="33"/>
      <c r="X478" s="33"/>
      <c r="Y478" s="49">
        <f>VLOOKUP($C478,怪物并表!$E$7:$P$1000,12,FALSE)</f>
        <v>0</v>
      </c>
      <c r="Z478" s="49">
        <f>VLOOKUP($C478,怪物并表!$E$7:$P$1000,11,FALSE)*S478</f>
        <v>3427.6839999999997</v>
      </c>
      <c r="AA478" s="33"/>
      <c r="AB478" s="33"/>
      <c r="AC478" s="33"/>
      <c r="AD478" s="33">
        <f t="shared" si="53"/>
        <v>1</v>
      </c>
      <c r="AE478" s="2">
        <f t="shared" si="60"/>
        <v>370.625</v>
      </c>
      <c r="AF478" s="2" t="str">
        <f>IF(ISBLANK(AM478),IF(O478=6,"",IF(O478=1,VLOOKUP(R478,怪物信息配置表!B:H,5,FALSE),IF(O478=2,VLOOKUP(R478,怪物信息配置表!B:H,6,FALSE),IF(OR(O478=3,O478=5),VLOOKUP(R478,怪物信息配置表!B:H,7,FALSE),"")))),AM478)</f>
        <v>ai_monster</v>
      </c>
      <c r="AG478" s="2"/>
      <c r="AH478" s="15">
        <f>SUMPRODUCT(T478:V478,$AN$3:$AP$3)+ROUNDDOWN(VLOOKUP(P478,CHOOSE({1,2},'[1]消耗&amp;价值&amp;分析'!$C$7:$C$106,'[1]消耗&amp;价值&amp;分析'!$AS$7:$AS$106),2,FALSE)*0.6,0)</f>
        <v>30039.025810314401</v>
      </c>
      <c r="AJ478" s="80">
        <v>1</v>
      </c>
      <c r="AK478" s="80">
        <v>1</v>
      </c>
      <c r="AL478" s="80">
        <v>1</v>
      </c>
    </row>
    <row r="479" spans="1:38">
      <c r="A479" s="33" t="str">
        <f>怪物并表!$R$8</f>
        <v>精英副本</v>
      </c>
      <c r="B479" s="38">
        <v>4</v>
      </c>
      <c r="C479" s="33">
        <f t="shared" si="54"/>
        <v>5205</v>
      </c>
      <c r="D479" s="33">
        <v>3</v>
      </c>
      <c r="E479" s="33">
        <f>VLOOKUP(A479,怪物并表!$R$7:$S$14,2,FALSE)</f>
        <v>2</v>
      </c>
      <c r="F479" s="38">
        <v>5</v>
      </c>
      <c r="G479" s="38">
        <v>5</v>
      </c>
      <c r="H479" s="38">
        <v>0</v>
      </c>
      <c r="I479" s="33">
        <f t="shared" si="57"/>
        <v>255004</v>
      </c>
      <c r="J479" s="33" t="s">
        <v>720</v>
      </c>
      <c r="K479" s="33"/>
      <c r="L479" s="33">
        <v>1</v>
      </c>
      <c r="M479" s="33">
        <v>1.2</v>
      </c>
      <c r="N479" s="33"/>
      <c r="O479" s="33">
        <v>3</v>
      </c>
      <c r="P479" s="33">
        <f>VLOOKUP($C479,CHOOSE({1,2},怪物并表!$E$7:$E$1000,怪物并表!$D$7:$D$1000),2,FALSE)</f>
        <v>53</v>
      </c>
      <c r="Q479" s="33" t="s">
        <v>9</v>
      </c>
      <c r="R479" s="33">
        <f>VLOOKUP(Q479,怪物信息配置表!$A$2:$B$118,2,FALSE)</f>
        <v>1003</v>
      </c>
      <c r="S479" s="33">
        <v>1</v>
      </c>
      <c r="T479" s="110">
        <f>VLOOKUP($C479,怪物并表!$E$7:$N$1000,2+($D479-1)*3,FALSE)*S479*AJ479</f>
        <v>543575.65898844146</v>
      </c>
      <c r="U479" s="110">
        <f>VLOOKUP($C479,怪物并表!$E$7:$N$1000,3+($D479-1)*3,FALSE)*S479*AK479</f>
        <v>15510.510809932177</v>
      </c>
      <c r="V479" s="110">
        <f>VLOOKUP($C479,怪物并表!$E$7:$N$1000,4+($D479-1)*3,FALSE)*S479*AL479</f>
        <v>5327.0590711336481</v>
      </c>
      <c r="W479" s="33"/>
      <c r="X479" s="33"/>
      <c r="Y479" s="49">
        <f>VLOOKUP($C479,怪物并表!$E$7:$P$1000,12,FALSE)</f>
        <v>0</v>
      </c>
      <c r="Z479" s="49">
        <f>VLOOKUP($C479,怪物并表!$E$7:$P$1000,11,FALSE)*S479</f>
        <v>3427.6839999999997</v>
      </c>
      <c r="AA479" s="33"/>
      <c r="AB479" s="33"/>
      <c r="AC479" s="33"/>
      <c r="AD479" s="33">
        <f t="shared" si="53"/>
        <v>1.5</v>
      </c>
      <c r="AE479" s="2">
        <f t="shared" si="60"/>
        <v>55.9375</v>
      </c>
      <c r="AF479" s="2" t="str">
        <f>IF(ISBLANK(AM479),IF(O479=6,"",IF(O479=1,VLOOKUP(R479,怪物信息配置表!B:H,5,FALSE),IF(O479=2,VLOOKUP(R479,怪物信息配置表!B:H,6,FALSE),IF(OR(O479=3,O479=5),VLOOKUP(R479,怪物信息配置表!B:H,7,FALSE),"")))),AM479)</f>
        <v>1003_FDB_BOSS</v>
      </c>
      <c r="AG479" s="2"/>
      <c r="AH479" s="15">
        <f>SUMPRODUCT(T479:V479,$AN$3:$AP$3)+ROUNDDOWN(VLOOKUP(P479,CHOOSE({1,2},'[1]消耗&amp;价值&amp;分析'!$C$7:$C$106,'[1]消耗&amp;价值&amp;分析'!$AS$7:$AS$106),2,FALSE)*0.6,0)</f>
        <v>45923.596240603489</v>
      </c>
      <c r="AJ479" s="80">
        <v>1</v>
      </c>
      <c r="AK479" s="80">
        <v>1</v>
      </c>
      <c r="AL479" s="80">
        <v>1</v>
      </c>
    </row>
    <row r="480" spans="1:38">
      <c r="A480" s="33" t="str">
        <f>怪物并表!$R$8</f>
        <v>精英副本</v>
      </c>
      <c r="B480" s="38">
        <v>1</v>
      </c>
      <c r="C480" s="33">
        <f t="shared" si="54"/>
        <v>5206</v>
      </c>
      <c r="D480" s="33">
        <v>1</v>
      </c>
      <c r="E480" s="33">
        <f>VLOOKUP(A480,怪物并表!$R$7:$S$14,2,FALSE)</f>
        <v>2</v>
      </c>
      <c r="F480" s="38">
        <v>5</v>
      </c>
      <c r="G480" s="38">
        <v>6</v>
      </c>
      <c r="H480" s="38">
        <v>0</v>
      </c>
      <c r="I480" s="33">
        <f t="shared" si="57"/>
        <v>256001</v>
      </c>
      <c r="J480" s="33" t="s">
        <v>15</v>
      </c>
      <c r="K480" s="33"/>
      <c r="L480" s="33">
        <v>0</v>
      </c>
      <c r="M480" s="33">
        <v>1</v>
      </c>
      <c r="N480" s="33"/>
      <c r="O480" s="33">
        <v>1</v>
      </c>
      <c r="P480" s="33">
        <f>VLOOKUP($C480,CHOOSE({1,2},怪物并表!$E$7:$E$1000,怪物并表!$D$7:$D$1000),2,FALSE)</f>
        <v>54</v>
      </c>
      <c r="Q480" s="33" t="s">
        <v>15</v>
      </c>
      <c r="R480" s="33">
        <f>VLOOKUP(Q480,怪物信息配置表!$A$2:$B$118,2,FALSE)</f>
        <v>1004</v>
      </c>
      <c r="S480" s="33">
        <v>1</v>
      </c>
      <c r="T480" s="110">
        <f>VLOOKUP($C480,怪物并表!$E$7:$N$1000,2+($D480-1)*3,FALSE)*S480*AJ480</f>
        <v>238473.80641459118</v>
      </c>
      <c r="U480" s="110">
        <f>VLOOKUP($C480,怪物并表!$E$7:$N$1000,3+($D480-1)*3,FALSE)*S480*AK480</f>
        <v>14949.56130322167</v>
      </c>
      <c r="V480" s="110">
        <f>VLOOKUP($C480,怪物并表!$E$7:$N$1000,4+($D480-1)*3,FALSE)*S480*AL480</f>
        <v>4797.5342760000021</v>
      </c>
      <c r="W480" s="33"/>
      <c r="X480" s="33"/>
      <c r="Y480" s="49">
        <f>VLOOKUP($C480,怪物并表!$E$7:$P$1000,12,FALSE)</f>
        <v>0</v>
      </c>
      <c r="Z480" s="49">
        <f>VLOOKUP($C480,怪物并表!$E$7:$P$1000,11,FALSE)*S480</f>
        <v>3485.9119999999998</v>
      </c>
      <c r="AA480" s="33"/>
      <c r="AB480" s="33"/>
      <c r="AC480" s="33"/>
      <c r="AD480" s="33">
        <f t="shared" ref="AD480:AD579" si="61">IF(D480=1,1,IF(D480=2,0.8,1.5))</f>
        <v>1</v>
      </c>
      <c r="AE480" s="2">
        <f t="shared" si="60"/>
        <v>358.75</v>
      </c>
      <c r="AF480" s="2" t="str">
        <f>IF(ISBLANK(AM480),IF(O480=6,"",IF(O480=1,VLOOKUP(R480,怪物信息配置表!B:H,5,FALSE),IF(O480=2,VLOOKUP(R480,怪物信息配置表!B:H,6,FALSE),IF(OR(O480=3,O480=5),VLOOKUP(R480,怪物信息配置表!B:H,7,FALSE),"")))),AM480)</f>
        <v>ai_monster</v>
      </c>
      <c r="AG480" s="2"/>
      <c r="AH480" s="15">
        <f>SUMPRODUCT(T480:V480,$AN$3:$AP$3)+ROUNDDOWN(VLOOKUP(P480,CHOOSE({1,2},'[1]消耗&amp;价值&amp;分析'!$C$7:$C$106,'[1]消耗&amp;价值&amp;分析'!$AS$7:$AS$106),2,FALSE)*0.6,0)</f>
        <v>32775.047835805322</v>
      </c>
      <c r="AJ480" s="80">
        <v>1</v>
      </c>
      <c r="AK480" s="80">
        <v>1</v>
      </c>
      <c r="AL480" s="80">
        <v>1</v>
      </c>
    </row>
    <row r="481" spans="1:38">
      <c r="A481" s="33" t="str">
        <f>怪物并表!$R$8</f>
        <v>精英副本</v>
      </c>
      <c r="B481" s="38">
        <v>2</v>
      </c>
      <c r="C481" s="33">
        <f t="shared" si="54"/>
        <v>5206</v>
      </c>
      <c r="D481" s="33">
        <v>2</v>
      </c>
      <c r="E481" s="33">
        <f>VLOOKUP(A481,怪物并表!$R$7:$S$14,2,FALSE)</f>
        <v>2</v>
      </c>
      <c r="F481" s="38">
        <v>5</v>
      </c>
      <c r="G481" s="38">
        <v>6</v>
      </c>
      <c r="H481" s="38">
        <v>0</v>
      </c>
      <c r="I481" s="33">
        <f t="shared" si="57"/>
        <v>256002</v>
      </c>
      <c r="J481" s="33" t="s">
        <v>231</v>
      </c>
      <c r="K481" s="33"/>
      <c r="L481" s="33">
        <v>0</v>
      </c>
      <c r="M481" s="33">
        <v>1</v>
      </c>
      <c r="N481" s="33"/>
      <c r="O481" s="33">
        <v>1</v>
      </c>
      <c r="P481" s="33">
        <f>VLOOKUP($C481,CHOOSE({1,2},怪物并表!$E$7:$E$1000,怪物并表!$D$7:$D$1000),2,FALSE)</f>
        <v>54</v>
      </c>
      <c r="Q481" s="33" t="s">
        <v>17</v>
      </c>
      <c r="R481" s="33">
        <f>VLOOKUP(Q481,怪物信息配置表!$A$2:$B$118,2,FALSE)</f>
        <v>1005</v>
      </c>
      <c r="S481" s="33">
        <v>1</v>
      </c>
      <c r="T481" s="110">
        <f>VLOOKUP($C481,怪物并表!$E$7:$N$1000,2+($D481-1)*3,FALSE)*S481*AJ481</f>
        <v>190779.04513167296</v>
      </c>
      <c r="U481" s="110">
        <f>VLOOKUP($C481,怪物并表!$E$7:$N$1000,3+($D481-1)*3,FALSE)*S481*AK481</f>
        <v>13881.052664099505</v>
      </c>
      <c r="V481" s="110">
        <f>VLOOKUP($C481,怪物并表!$E$7:$N$1000,4+($D481-1)*3,FALSE)*S481*AL481</f>
        <v>3838.0274208000019</v>
      </c>
      <c r="W481" s="33"/>
      <c r="X481" s="33"/>
      <c r="Y481" s="49">
        <f>VLOOKUP($C481,怪物并表!$E$7:$P$1000,12,FALSE)</f>
        <v>0</v>
      </c>
      <c r="Z481" s="49">
        <f>VLOOKUP($C481,怪物并表!$E$7:$P$1000,11,FALSE)*S481</f>
        <v>3485.9119999999998</v>
      </c>
      <c r="AA481" s="33"/>
      <c r="AB481" s="33"/>
      <c r="AC481" s="33"/>
      <c r="AD481" s="33">
        <f t="shared" si="61"/>
        <v>0.8</v>
      </c>
      <c r="AE481" s="2">
        <f t="shared" si="60"/>
        <v>487</v>
      </c>
      <c r="AF481" s="2" t="str">
        <f>IF(ISBLANK(AM481),IF(O481=6,"",IF(O481=1,VLOOKUP(R481,怪物信息配置表!B:H,5,FALSE),IF(O481=2,VLOOKUP(R481,怪物信息配置表!B:H,6,FALSE),IF(OR(O481=3,O481=5),VLOOKUP(R481,怪物信息配置表!B:H,7,FALSE),"")))),AM481)</f>
        <v>ai_monster_02</v>
      </c>
      <c r="AG481" s="2"/>
      <c r="AH481" s="15">
        <f>SUMPRODUCT(T481:V481,$AN$3:$AP$3)+ROUNDDOWN(VLOOKUP(P481,CHOOSE({1,2},'[1]消耗&amp;价值&amp;分析'!$C$7:$C$106,'[1]消耗&amp;价值&amp;分析'!$AS$7:$AS$106),2,FALSE)*0.6,0)</f>
        <v>28839.241890166424</v>
      </c>
      <c r="AJ481" s="80">
        <v>1</v>
      </c>
      <c r="AK481" s="80">
        <v>1</v>
      </c>
      <c r="AL481" s="80">
        <v>1</v>
      </c>
    </row>
    <row r="482" spans="1:38">
      <c r="A482" s="33" t="str">
        <f>怪物并表!$R$8</f>
        <v>精英副本</v>
      </c>
      <c r="B482" s="38">
        <v>3</v>
      </c>
      <c r="C482" s="33">
        <f t="shared" si="54"/>
        <v>5206</v>
      </c>
      <c r="D482" s="33">
        <v>1</v>
      </c>
      <c r="E482" s="33">
        <f>VLOOKUP(A482,怪物并表!$R$7:$S$14,2,FALSE)</f>
        <v>2</v>
      </c>
      <c r="F482" s="38">
        <v>5</v>
      </c>
      <c r="G482" s="38">
        <v>6</v>
      </c>
      <c r="H482" s="38">
        <v>0</v>
      </c>
      <c r="I482" s="33">
        <f t="shared" si="57"/>
        <v>256003</v>
      </c>
      <c r="J482" s="33" t="s">
        <v>462</v>
      </c>
      <c r="K482" s="33"/>
      <c r="L482" s="33">
        <v>0</v>
      </c>
      <c r="M482" s="33">
        <v>1</v>
      </c>
      <c r="N482" s="33"/>
      <c r="O482" s="33">
        <v>1</v>
      </c>
      <c r="P482" s="33">
        <f>VLOOKUP($C482,CHOOSE({1,2},怪物并表!$E$7:$E$1000,怪物并表!$D$7:$D$1000),2,FALSE)</f>
        <v>54</v>
      </c>
      <c r="Q482" s="33" t="s">
        <v>11</v>
      </c>
      <c r="R482" s="33">
        <f>VLOOKUP(Q482,怪物信息配置表!$A$2:$B$118,2,FALSE)</f>
        <v>1011</v>
      </c>
      <c r="S482" s="33">
        <v>1</v>
      </c>
      <c r="T482" s="110">
        <f>VLOOKUP($C482,怪物并表!$E$7:$N$1000,2+($D482-1)*3,FALSE)*S482*AJ482</f>
        <v>238473.80641459118</v>
      </c>
      <c r="U482" s="110">
        <f>VLOOKUP($C482,怪物并表!$E$7:$N$1000,3+($D482-1)*3,FALSE)*S482*AK482</f>
        <v>14949.56130322167</v>
      </c>
      <c r="V482" s="110">
        <f>VLOOKUP($C482,怪物并表!$E$7:$N$1000,4+($D482-1)*3,FALSE)*S482*AL482</f>
        <v>4797.5342760000021</v>
      </c>
      <c r="W482" s="33"/>
      <c r="X482" s="33"/>
      <c r="Y482" s="49">
        <f>VLOOKUP($C482,怪物并表!$E$7:$P$1000,12,FALSE)</f>
        <v>0</v>
      </c>
      <c r="Z482" s="49">
        <f>VLOOKUP($C482,怪物并表!$E$7:$P$1000,11,FALSE)*S482</f>
        <v>3485.9119999999998</v>
      </c>
      <c r="AA482" s="33"/>
      <c r="AB482" s="33"/>
      <c r="AC482" s="33"/>
      <c r="AD482" s="33">
        <f t="shared" si="61"/>
        <v>1</v>
      </c>
      <c r="AE482" s="2">
        <f t="shared" si="60"/>
        <v>358.75</v>
      </c>
      <c r="AF482" s="2" t="str">
        <f>IF(ISBLANK(AM482),IF(O482=6,"",IF(O482=1,VLOOKUP(R482,怪物信息配置表!B:H,5,FALSE),IF(O482=2,VLOOKUP(R482,怪物信息配置表!B:H,6,FALSE),IF(OR(O482=3,O482=5),VLOOKUP(R482,怪物信息配置表!B:H,7,FALSE),"")))),AM482)</f>
        <v>ai_monster</v>
      </c>
      <c r="AG482" s="2"/>
      <c r="AH482" s="15">
        <f>SUMPRODUCT(T482:V482,$AN$3:$AP$3)+ROUNDDOWN(VLOOKUP(P482,CHOOSE({1,2},'[1]消耗&amp;价值&amp;分析'!$C$7:$C$106,'[1]消耗&amp;价值&amp;分析'!$AS$7:$AS$106),2,FALSE)*0.6,0)</f>
        <v>32775.047835805322</v>
      </c>
      <c r="AJ482" s="80">
        <v>1</v>
      </c>
      <c r="AK482" s="80">
        <v>1</v>
      </c>
      <c r="AL482" s="80">
        <v>1</v>
      </c>
    </row>
    <row r="483" spans="1:38">
      <c r="A483" s="33" t="str">
        <f>怪物并表!$R$8</f>
        <v>精英副本</v>
      </c>
      <c r="B483" s="38">
        <v>4</v>
      </c>
      <c r="C483" s="33">
        <f t="shared" si="54"/>
        <v>5206</v>
      </c>
      <c r="D483" s="33">
        <v>3</v>
      </c>
      <c r="E483" s="33">
        <f>VLOOKUP(A483,怪物并表!$R$7:$S$14,2,FALSE)</f>
        <v>2</v>
      </c>
      <c r="F483" s="38">
        <v>5</v>
      </c>
      <c r="G483" s="38">
        <v>6</v>
      </c>
      <c r="H483" s="38">
        <v>0</v>
      </c>
      <c r="I483" s="33">
        <f t="shared" si="57"/>
        <v>256004</v>
      </c>
      <c r="J483" s="33" t="s">
        <v>721</v>
      </c>
      <c r="K483" s="33"/>
      <c r="L483" s="33">
        <v>1</v>
      </c>
      <c r="M483" s="33">
        <v>1.3</v>
      </c>
      <c r="N483" s="33"/>
      <c r="O483" s="33">
        <v>3</v>
      </c>
      <c r="P483" s="33">
        <f>VLOOKUP($C483,CHOOSE({1,2},怪物并表!$E$7:$E$1000,怪物并表!$D$7:$D$1000),2,FALSE)</f>
        <v>54</v>
      </c>
      <c r="Q483" s="33" t="s">
        <v>24</v>
      </c>
      <c r="R483" s="33">
        <f>VLOOKUP(Q483,怪物信息配置表!$A$2:$B$118,2,FALSE)</f>
        <v>1015</v>
      </c>
      <c r="S483" s="33">
        <v>1</v>
      </c>
      <c r="T483" s="110">
        <f>VLOOKUP($C483,怪物并表!$E$7:$N$1000,2+($D483-1)*3,FALSE)*S483*AJ483</f>
        <v>596184.51603647799</v>
      </c>
      <c r="U483" s="110">
        <f>VLOOKUP($C483,怪物并表!$E$7:$N$1000,3+($D483-1)*3,FALSE)*S483*AK483</f>
        <v>17086.578581466005</v>
      </c>
      <c r="V483" s="110">
        <f>VLOOKUP($C483,怪物并表!$E$7:$N$1000,4+($D483-1)*3,FALSE)*S483*AL483</f>
        <v>5757.0411312000024</v>
      </c>
      <c r="W483" s="33"/>
      <c r="X483" s="33"/>
      <c r="Y483" s="49">
        <f>VLOOKUP($C483,怪物并表!$E$7:$P$1000,12,FALSE)</f>
        <v>0</v>
      </c>
      <c r="Z483" s="49">
        <f>VLOOKUP($C483,怪物并表!$E$7:$P$1000,11,FALSE)*S483</f>
        <v>3485.9119999999998</v>
      </c>
      <c r="AA483" s="33"/>
      <c r="AB483" s="33"/>
      <c r="AC483" s="33"/>
      <c r="AD483" s="33">
        <f t="shared" si="61"/>
        <v>1.5</v>
      </c>
      <c r="AE483" s="2">
        <f t="shared" si="60"/>
        <v>50</v>
      </c>
      <c r="AF483" s="2" t="str">
        <f>IF(ISBLANK(AM483),IF(O483=6,"",IF(O483=1,VLOOKUP(R483,怪物信息配置表!B:H,5,FALSE),IF(O483=2,VLOOKUP(R483,怪物信息配置表!B:H,6,FALSE),IF(OR(O483=3,O483=5),VLOOKUP(R483,怪物信息配置表!B:H,7,FALSE),"")))),AM483)</f>
        <v>ai_BOSS_01</v>
      </c>
      <c r="AG483" s="2"/>
      <c r="AH483" s="15">
        <f>SUMPRODUCT(T483:V483,$AN$3:$AP$3)+ROUNDDOWN(VLOOKUP(P483,CHOOSE({1,2},'[1]消耗&amp;价值&amp;分析'!$C$7:$C$106,'[1]消耗&amp;价值&amp;分析'!$AS$7:$AS$106),2,FALSE)*0.6,0)</f>
        <v>50180.000354125128</v>
      </c>
      <c r="AJ483" s="80">
        <v>1</v>
      </c>
      <c r="AK483" s="80">
        <v>1</v>
      </c>
      <c r="AL483" s="80">
        <v>1</v>
      </c>
    </row>
    <row r="484" spans="1:38">
      <c r="A484" s="33" t="str">
        <f>怪物并表!$R$8</f>
        <v>精英副本</v>
      </c>
      <c r="B484" s="38">
        <v>1</v>
      </c>
      <c r="C484" s="33">
        <f t="shared" ref="C484:C495" si="62">1000*F484+200+G484</f>
        <v>5207</v>
      </c>
      <c r="D484" s="33">
        <v>1</v>
      </c>
      <c r="E484" s="33">
        <f>VLOOKUP(A484,怪物并表!$R$7:$S$14,2,FALSE)</f>
        <v>2</v>
      </c>
      <c r="F484" s="38">
        <v>5</v>
      </c>
      <c r="G484" s="38">
        <v>7</v>
      </c>
      <c r="H484" s="38">
        <v>0</v>
      </c>
      <c r="I484" s="33">
        <f t="shared" si="57"/>
        <v>257001</v>
      </c>
      <c r="J484" s="33" t="s">
        <v>483</v>
      </c>
      <c r="K484" s="33"/>
      <c r="L484" s="33">
        <v>0</v>
      </c>
      <c r="M484" s="33">
        <v>1</v>
      </c>
      <c r="N484" s="33"/>
      <c r="O484" s="33">
        <v>1</v>
      </c>
      <c r="P484" s="33">
        <f>VLOOKUP($C484,CHOOSE({1,2},怪物并表!$E$7:$E$1000,怪物并表!$D$7:$D$1000),2,FALSE)</f>
        <v>55</v>
      </c>
      <c r="Q484" s="33" t="s">
        <v>24</v>
      </c>
      <c r="R484" s="33">
        <f>VLOOKUP(Q484,怪物信息配置表!$A$2:$B$118,2,FALSE)</f>
        <v>1015</v>
      </c>
      <c r="S484" s="33">
        <v>1</v>
      </c>
      <c r="T484" s="110">
        <f>VLOOKUP($C484,怪物并表!$E$7:$N$1000,2+($D484-1)*3,FALSE)*S484*AJ484</f>
        <v>261041.77694576822</v>
      </c>
      <c r="U484" s="110">
        <f>VLOOKUP($C484,怪物并表!$E$7:$N$1000,3+($D484-1)*3,FALSE)*S484*AK484</f>
        <v>16222.995152809737</v>
      </c>
      <c r="V484" s="110">
        <f>VLOOKUP($C484,怪物并表!$E$7:$N$1000,4+($D484-1)*3,FALSE)*S484*AL484</f>
        <v>5213.76599423077</v>
      </c>
      <c r="W484" s="33"/>
      <c r="X484" s="33"/>
      <c r="Y484" s="49">
        <f>VLOOKUP($C484,怪物并表!$E$7:$P$1000,12,FALSE)</f>
        <v>0</v>
      </c>
      <c r="Z484" s="49">
        <f>VLOOKUP($C484,怪物并表!$E$7:$P$1000,11,FALSE)*S484</f>
        <v>3544.1399999999994</v>
      </c>
      <c r="AA484" s="33"/>
      <c r="AB484" s="33"/>
      <c r="AC484" s="33"/>
      <c r="AD484" s="33">
        <f t="shared" si="61"/>
        <v>1</v>
      </c>
      <c r="AE484" s="2">
        <f t="shared" si="60"/>
        <v>284.375</v>
      </c>
      <c r="AF484" s="2" t="str">
        <f>IF(ISBLANK(AM484),IF(O484=6,"",IF(O484=1,VLOOKUP(R484,怪物信息配置表!B:H,5,FALSE),IF(O484=2,VLOOKUP(R484,怪物信息配置表!B:H,6,FALSE),IF(OR(O484=3,O484=5),VLOOKUP(R484,怪物信息配置表!B:H,7,FALSE),"")))),AM484)</f>
        <v>ai_monster_03</v>
      </c>
      <c r="AG484" s="2"/>
      <c r="AH484" s="15">
        <f>SUMPRODUCT(T484:V484,$AN$3:$AP$3)+ROUNDDOWN(VLOOKUP(P484,CHOOSE({1,2},'[1]消耗&amp;价值&amp;分析'!$C$7:$C$106,'[1]消耗&amp;价值&amp;分析'!$AS$7:$AS$106),2,FALSE)*0.6,0)</f>
        <v>35572.432224871241</v>
      </c>
      <c r="AJ484" s="80">
        <v>1</v>
      </c>
      <c r="AK484" s="80">
        <v>1</v>
      </c>
      <c r="AL484" s="80">
        <v>1</v>
      </c>
    </row>
    <row r="485" spans="1:38">
      <c r="A485" s="33" t="str">
        <f>怪物并表!$R$8</f>
        <v>精英副本</v>
      </c>
      <c r="B485" s="38">
        <v>2</v>
      </c>
      <c r="C485" s="33">
        <f t="shared" si="62"/>
        <v>5207</v>
      </c>
      <c r="D485" s="33">
        <v>1</v>
      </c>
      <c r="E485" s="33">
        <f>VLOOKUP(A485,怪物并表!$R$7:$S$14,2,FALSE)</f>
        <v>2</v>
      </c>
      <c r="F485" s="38">
        <v>5</v>
      </c>
      <c r="G485" s="38">
        <v>7</v>
      </c>
      <c r="H485" s="38">
        <v>0</v>
      </c>
      <c r="I485" s="33">
        <f t="shared" si="57"/>
        <v>257002</v>
      </c>
      <c r="J485" s="33" t="s">
        <v>44</v>
      </c>
      <c r="K485" s="33"/>
      <c r="L485" s="33">
        <v>0</v>
      </c>
      <c r="M485" s="33">
        <v>1</v>
      </c>
      <c r="N485" s="33"/>
      <c r="O485" s="33">
        <v>1</v>
      </c>
      <c r="P485" s="33">
        <f>VLOOKUP($C485,CHOOSE({1,2},怪物并表!$E$7:$E$1000,怪物并表!$D$7:$D$1000),2,FALSE)</f>
        <v>55</v>
      </c>
      <c r="Q485" s="33" t="s">
        <v>25</v>
      </c>
      <c r="R485" s="33">
        <f>VLOOKUP(Q485,怪物信息配置表!$A$2:$B$118,2,FALSE)</f>
        <v>1012</v>
      </c>
      <c r="S485" s="33">
        <v>1</v>
      </c>
      <c r="T485" s="110">
        <f>VLOOKUP($C485,怪物并表!$E$7:$N$1000,2+($D485-1)*3,FALSE)*S485*AJ485</f>
        <v>261041.77694576822</v>
      </c>
      <c r="U485" s="110">
        <f>VLOOKUP($C485,怪物并表!$E$7:$N$1000,3+($D485-1)*3,FALSE)*S485*AK485</f>
        <v>16222.995152809737</v>
      </c>
      <c r="V485" s="110">
        <f>VLOOKUP($C485,怪物并表!$E$7:$N$1000,4+($D485-1)*3,FALSE)*S485*AL485</f>
        <v>5213.76599423077</v>
      </c>
      <c r="W485" s="33"/>
      <c r="X485" s="33"/>
      <c r="Y485" s="49">
        <f>VLOOKUP($C485,怪物并表!$E$7:$P$1000,12,FALSE)</f>
        <v>0</v>
      </c>
      <c r="Z485" s="49">
        <f>VLOOKUP($C485,怪物并表!$E$7:$P$1000,11,FALSE)*S485</f>
        <v>3544.1399999999994</v>
      </c>
      <c r="AA485" s="33"/>
      <c r="AB485" s="33"/>
      <c r="AC485" s="33"/>
      <c r="AD485" s="33">
        <f t="shared" si="61"/>
        <v>1</v>
      </c>
      <c r="AE485" s="2">
        <f t="shared" si="60"/>
        <v>346.875</v>
      </c>
      <c r="AF485" s="2" t="str">
        <f>IF(ISBLANK(AM485),IF(O485=6,"",IF(O485=1,VLOOKUP(R485,怪物信息配置表!B:H,5,FALSE),IF(O485=2,VLOOKUP(R485,怪物信息配置表!B:H,6,FALSE),IF(OR(O485=3,O485=5),VLOOKUP(R485,怪物信息配置表!B:H,7,FALSE),"")))),AM485)</f>
        <v>ai_monster_03</v>
      </c>
      <c r="AG485" s="2"/>
      <c r="AH485" s="15">
        <f>SUMPRODUCT(T485:V485,$AN$3:$AP$3)+ROUNDDOWN(VLOOKUP(P485,CHOOSE({1,2},'[1]消耗&amp;价值&amp;分析'!$C$7:$C$106,'[1]消耗&amp;价值&amp;分析'!$AS$7:$AS$106),2,FALSE)*0.6,0)</f>
        <v>35572.432224871241</v>
      </c>
      <c r="AJ485" s="80">
        <v>1</v>
      </c>
      <c r="AK485" s="80">
        <v>1</v>
      </c>
      <c r="AL485" s="80">
        <v>1</v>
      </c>
    </row>
    <row r="486" spans="1:38">
      <c r="A486" s="33" t="str">
        <f>怪物并表!$R$8</f>
        <v>精英副本</v>
      </c>
      <c r="B486" s="38">
        <v>3</v>
      </c>
      <c r="C486" s="33">
        <f t="shared" si="62"/>
        <v>5207</v>
      </c>
      <c r="D486" s="33">
        <v>2</v>
      </c>
      <c r="E486" s="33">
        <f>VLOOKUP(A486,怪物并表!$R$7:$S$14,2,FALSE)</f>
        <v>2</v>
      </c>
      <c r="F486" s="38">
        <v>5</v>
      </c>
      <c r="G486" s="38">
        <v>7</v>
      </c>
      <c r="H486" s="38">
        <v>0</v>
      </c>
      <c r="I486" s="33">
        <f t="shared" ref="I486:I549" si="63">SUM(E486*10^5,F486*10^4,G486*10^3,H486*10^2,B486)</f>
        <v>257003</v>
      </c>
      <c r="J486" s="33" t="s">
        <v>463</v>
      </c>
      <c r="K486" s="33"/>
      <c r="L486" s="33">
        <v>0</v>
      </c>
      <c r="M486" s="33">
        <v>1</v>
      </c>
      <c r="N486" s="33" t="s">
        <v>215</v>
      </c>
      <c r="O486" s="33">
        <v>1</v>
      </c>
      <c r="P486" s="33">
        <f>VLOOKUP($C486,CHOOSE({1,2},怪物并表!$E$7:$E$1000,怪物并表!$D$7:$D$1000),2,FALSE)</f>
        <v>55</v>
      </c>
      <c r="Q486" s="33" t="s">
        <v>17</v>
      </c>
      <c r="R486" s="33">
        <f>VLOOKUP(Q486,怪物信息配置表!$A$2:$B$118,2,FALSE)</f>
        <v>1005</v>
      </c>
      <c r="S486" s="33">
        <v>1</v>
      </c>
      <c r="T486" s="110">
        <f>VLOOKUP($C486,怪物并表!$E$7:$N$1000,2+($D486-1)*3,FALSE)*S486*AJ486</f>
        <v>208833.42155661457</v>
      </c>
      <c r="U486" s="110">
        <f>VLOOKUP($C486,怪物并表!$E$7:$N$1000,3+($D486-1)*3,FALSE)*S486*AK486</f>
        <v>15054.066593548832</v>
      </c>
      <c r="V486" s="110">
        <f>VLOOKUP($C486,怪物并表!$E$7:$N$1000,4+($D486-1)*3,FALSE)*S486*AL486</f>
        <v>4216.349890986623</v>
      </c>
      <c r="W486" s="33"/>
      <c r="X486" s="33"/>
      <c r="Y486" s="49">
        <f>VLOOKUP($C486,怪物并表!$E$7:$P$1000,12,FALSE)</f>
        <v>0</v>
      </c>
      <c r="Z486" s="49">
        <f>VLOOKUP($C486,怪物并表!$E$7:$P$1000,11,FALSE)*S486</f>
        <v>3544.1399999999994</v>
      </c>
      <c r="AA486" s="33"/>
      <c r="AB486" s="33"/>
      <c r="AC486" s="33"/>
      <c r="AD486" s="33">
        <f t="shared" si="61"/>
        <v>0.8</v>
      </c>
      <c r="AE486" s="2">
        <f t="shared" si="60"/>
        <v>477.5</v>
      </c>
      <c r="AF486" s="2" t="str">
        <f>IF(ISBLANK(AM486),IF(O486=6,"",IF(O486=1,VLOOKUP(R486,怪物信息配置表!B:H,5,FALSE),IF(O486=2,VLOOKUP(R486,怪物信息配置表!B:H,6,FALSE),IF(OR(O486=3,O486=5),VLOOKUP(R486,怪物信息配置表!B:H,7,FALSE),"")))),AM486)</f>
        <v>ai_monster_02</v>
      </c>
      <c r="AG486" s="2"/>
      <c r="AH486" s="15">
        <f>SUMPRODUCT(T486:V486,$AN$3:$AP$3)+ROUNDDOWN(VLOOKUP(P486,CHOOSE({1,2},'[1]消耗&amp;价值&amp;分析'!$C$7:$C$106,'[1]消耗&amp;价值&amp;分析'!$AS$7:$AS$106),2,FALSE)*0.6,0)</f>
        <v>31317.75334680004</v>
      </c>
      <c r="AJ486" s="80">
        <v>1</v>
      </c>
      <c r="AK486" s="80">
        <v>1</v>
      </c>
      <c r="AL486" s="80">
        <v>1</v>
      </c>
    </row>
    <row r="487" spans="1:38">
      <c r="A487" s="33" t="str">
        <f>怪物并表!$R$8</f>
        <v>精英副本</v>
      </c>
      <c r="B487" s="38">
        <v>4</v>
      </c>
      <c r="C487" s="33">
        <f t="shared" si="62"/>
        <v>5207</v>
      </c>
      <c r="D487" s="33">
        <v>3</v>
      </c>
      <c r="E487" s="33">
        <f>VLOOKUP(A487,怪物并表!$R$7:$S$14,2,FALSE)</f>
        <v>2</v>
      </c>
      <c r="F487" s="38">
        <v>5</v>
      </c>
      <c r="G487" s="38">
        <v>7</v>
      </c>
      <c r="H487" s="38">
        <v>0</v>
      </c>
      <c r="I487" s="33">
        <f t="shared" si="63"/>
        <v>257004</v>
      </c>
      <c r="J487" s="33" t="s">
        <v>722</v>
      </c>
      <c r="K487" s="33"/>
      <c r="L487" s="33">
        <v>1</v>
      </c>
      <c r="M487" s="33">
        <v>1.2</v>
      </c>
      <c r="N487" s="33"/>
      <c r="O487" s="33">
        <v>3</v>
      </c>
      <c r="P487" s="33">
        <f>VLOOKUP($C487,CHOOSE({1,2},怪物并表!$E$7:$E$1000,怪物并表!$D$7:$D$1000),2,FALSE)</f>
        <v>55</v>
      </c>
      <c r="Q487" s="33" t="s">
        <v>10</v>
      </c>
      <c r="R487" s="33">
        <f>VLOOKUP(Q487,怪物信息配置表!$A$2:$B$118,2,FALSE)</f>
        <v>1001</v>
      </c>
      <c r="S487" s="33">
        <v>1</v>
      </c>
      <c r="T487" s="110">
        <f>VLOOKUP($C487,怪物并表!$E$7:$N$1000,2+($D487-1)*3,FALSE)*S487*AJ487</f>
        <v>652604.44236442051</v>
      </c>
      <c r="U487" s="110">
        <f>VLOOKUP($C487,怪物并表!$E$7:$N$1000,3+($D487-1)*3,FALSE)*S487*AK487</f>
        <v>18560.852271331551</v>
      </c>
      <c r="V487" s="110">
        <f>VLOOKUP($C487,怪物并表!$E$7:$N$1000,4+($D487-1)*3,FALSE)*S487*AL487</f>
        <v>6211.182097474918</v>
      </c>
      <c r="W487" s="33"/>
      <c r="X487" s="33"/>
      <c r="Y487" s="49">
        <f>VLOOKUP($C487,怪物并表!$E$7:$P$1000,12,FALSE)</f>
        <v>0</v>
      </c>
      <c r="Z487" s="49">
        <f>VLOOKUP($C487,怪物并表!$E$7:$P$1000,11,FALSE)*S487</f>
        <v>3544.1399999999994</v>
      </c>
      <c r="AA487" s="33"/>
      <c r="AB487" s="33"/>
      <c r="AC487" s="33"/>
      <c r="AD487" s="33">
        <f t="shared" si="61"/>
        <v>1.5</v>
      </c>
      <c r="AE487" s="2">
        <f t="shared" si="60"/>
        <v>50</v>
      </c>
      <c r="AF487" s="2" t="str">
        <f>IF(ISBLANK(AM487),IF(O487=6,"",IF(O487=1,VLOOKUP(R487,怪物信息配置表!B:H,5,FALSE),IF(O487=2,VLOOKUP(R487,怪物信息配置表!B:H,6,FALSE),IF(OR(O487=3,O487=5),VLOOKUP(R487,怪物信息配置表!B:H,7,FALSE),"")))),AM487)</f>
        <v>1001_quanbing_BOSS</v>
      </c>
      <c r="AG487" s="2"/>
      <c r="AH487" s="15">
        <f>SUMPRODUCT(T487:V487,$AN$3:$AP$3)+ROUNDDOWN(VLOOKUP(P487,CHOOSE({1,2},'[1]消耗&amp;价值&amp;分析'!$C$7:$C$106,'[1]消耗&amp;价值&amp;分析'!$AS$7:$AS$106),2,FALSE)*0.6,0)</f>
        <v>54570.212063383289</v>
      </c>
      <c r="AJ487" s="80">
        <v>1</v>
      </c>
      <c r="AK487" s="80">
        <v>1</v>
      </c>
      <c r="AL487" s="80">
        <v>1</v>
      </c>
    </row>
    <row r="488" spans="1:38">
      <c r="A488" s="33" t="str">
        <f>怪物并表!$R$8</f>
        <v>精英副本</v>
      </c>
      <c r="B488" s="38">
        <v>1</v>
      </c>
      <c r="C488" s="33">
        <f t="shared" si="62"/>
        <v>5208</v>
      </c>
      <c r="D488" s="33">
        <v>1</v>
      </c>
      <c r="E488" s="33">
        <f>VLOOKUP(A488,怪物并表!$R$7:$S$14,2,FALSE)</f>
        <v>2</v>
      </c>
      <c r="F488" s="38">
        <v>5</v>
      </c>
      <c r="G488" s="38">
        <v>8</v>
      </c>
      <c r="H488" s="38">
        <v>0</v>
      </c>
      <c r="I488" s="33">
        <f t="shared" si="63"/>
        <v>258001</v>
      </c>
      <c r="J488" s="33" t="s">
        <v>216</v>
      </c>
      <c r="K488" s="33"/>
      <c r="L488" s="33">
        <v>0</v>
      </c>
      <c r="M488" s="33">
        <v>1</v>
      </c>
      <c r="N488" s="33"/>
      <c r="O488" s="33">
        <v>1</v>
      </c>
      <c r="P488" s="33">
        <f>VLOOKUP($C488,CHOOSE({1,2},怪物并表!$E$7:$E$1000,怪物并表!$D$7:$D$1000),2,FALSE)</f>
        <v>56</v>
      </c>
      <c r="Q488" s="33" t="s">
        <v>12</v>
      </c>
      <c r="R488" s="33">
        <f>VLOOKUP(Q488,怪物信息配置表!$A$2:$B$118,2,FALSE)</f>
        <v>1009</v>
      </c>
      <c r="S488" s="33">
        <v>1</v>
      </c>
      <c r="T488" s="110">
        <f>VLOOKUP($C488,怪物并表!$E$7:$N$1000,2+($D488-1)*3,FALSE)*S488*AJ488</f>
        <v>285211.2664450825</v>
      </c>
      <c r="U488" s="110">
        <f>VLOOKUP($C488,怪物并表!$E$7:$N$1000,3+($D488-1)*3,FALSE)*S488*AK488</f>
        <v>18643.782263709218</v>
      </c>
      <c r="V488" s="110">
        <f>VLOOKUP($C488,怪物并表!$E$7:$N$1000,4+($D488-1)*3,FALSE)*S488*AL488</f>
        <v>5655.4842919745834</v>
      </c>
      <c r="W488" s="33"/>
      <c r="X488" s="33"/>
      <c r="Y488" s="49">
        <f>VLOOKUP($C488,怪物并表!$E$7:$P$1000,12,FALSE)</f>
        <v>0</v>
      </c>
      <c r="Z488" s="49">
        <f>VLOOKUP($C488,怪物并表!$E$7:$P$1000,11,FALSE)*S488</f>
        <v>3602.3680000000004</v>
      </c>
      <c r="AA488" s="33"/>
      <c r="AB488" s="33"/>
      <c r="AC488" s="33"/>
      <c r="AD488" s="33">
        <f t="shared" si="61"/>
        <v>1</v>
      </c>
      <c r="AE488" s="2">
        <f t="shared" si="60"/>
        <v>335</v>
      </c>
      <c r="AF488" s="2" t="str">
        <f>IF(ISBLANK(AM488),IF(O488=6,"",IF(O488=1,VLOOKUP(R488,怪物信息配置表!B:H,5,FALSE),IF(O488=2,VLOOKUP(R488,怪物信息配置表!B:H,6,FALSE),IF(OR(O488=3,O488=5),VLOOKUP(R488,怪物信息配置表!B:H,7,FALSE),"")))),AM488)</f>
        <v>ai_monster</v>
      </c>
      <c r="AG488" s="2"/>
      <c r="AH488" s="15">
        <f>SUMPRODUCT(T488:V488,$AN$3:$AP$3)+ROUNDDOWN(VLOOKUP(P488,CHOOSE({1,2},'[1]消耗&amp;价值&amp;分析'!$C$7:$C$106,'[1]消耗&amp;价值&amp;分析'!$AS$7:$AS$106),2,FALSE)*0.6,0)</f>
        <v>39602.7172134871</v>
      </c>
      <c r="AJ488" s="80">
        <v>1</v>
      </c>
      <c r="AK488" s="80">
        <v>1</v>
      </c>
      <c r="AL488" s="80">
        <v>1</v>
      </c>
    </row>
    <row r="489" spans="1:38">
      <c r="A489" s="33" t="str">
        <f>怪物并表!$R$8</f>
        <v>精英副本</v>
      </c>
      <c r="B489" s="38">
        <v>2</v>
      </c>
      <c r="C489" s="33">
        <f t="shared" si="62"/>
        <v>5208</v>
      </c>
      <c r="D489" s="33">
        <v>1</v>
      </c>
      <c r="E489" s="33">
        <f>VLOOKUP(A489,怪物并表!$R$7:$S$14,2,FALSE)</f>
        <v>2</v>
      </c>
      <c r="F489" s="38">
        <v>5</v>
      </c>
      <c r="G489" s="38">
        <v>8</v>
      </c>
      <c r="H489" s="38">
        <v>0</v>
      </c>
      <c r="I489" s="33">
        <f t="shared" si="63"/>
        <v>258002</v>
      </c>
      <c r="J489" s="33" t="s">
        <v>13</v>
      </c>
      <c r="K489" s="33"/>
      <c r="L489" s="33">
        <v>0</v>
      </c>
      <c r="M489" s="33">
        <v>1</v>
      </c>
      <c r="N489" s="33"/>
      <c r="O489" s="33">
        <v>1</v>
      </c>
      <c r="P489" s="33">
        <f>VLOOKUP($C489,CHOOSE({1,2},怪物并表!$E$7:$E$1000,怪物并表!$D$7:$D$1000),2,FALSE)</f>
        <v>56</v>
      </c>
      <c r="Q489" s="33" t="s">
        <v>13</v>
      </c>
      <c r="R489" s="33">
        <f>VLOOKUP(Q489,怪物信息配置表!$A$2:$B$118,2,FALSE)</f>
        <v>1007</v>
      </c>
      <c r="S489" s="33">
        <v>1</v>
      </c>
      <c r="T489" s="110">
        <f>VLOOKUP($C489,怪物并表!$E$7:$N$1000,2+($D489-1)*3,FALSE)*S489*AJ489</f>
        <v>285211.2664450825</v>
      </c>
      <c r="U489" s="110">
        <f>VLOOKUP($C489,怪物并表!$E$7:$N$1000,3+($D489-1)*3,FALSE)*S489*AK489</f>
        <v>18643.782263709218</v>
      </c>
      <c r="V489" s="110">
        <f>VLOOKUP($C489,怪物并表!$E$7:$N$1000,4+($D489-1)*3,FALSE)*S489*AL489</f>
        <v>5655.4842919745834</v>
      </c>
      <c r="W489" s="33"/>
      <c r="X489" s="33"/>
      <c r="Y489" s="49">
        <f>VLOOKUP($C489,怪物并表!$E$7:$P$1000,12,FALSE)</f>
        <v>0</v>
      </c>
      <c r="Z489" s="49">
        <f>VLOOKUP($C489,怪物并表!$E$7:$P$1000,11,FALSE)*S489</f>
        <v>3602.3680000000004</v>
      </c>
      <c r="AA489" s="33"/>
      <c r="AB489" s="33"/>
      <c r="AC489" s="33"/>
      <c r="AD489" s="33">
        <f t="shared" si="61"/>
        <v>1</v>
      </c>
      <c r="AE489" s="2">
        <f t="shared" si="60"/>
        <v>335</v>
      </c>
      <c r="AF489" s="2" t="str">
        <f>IF(ISBLANK(AM489),IF(O489=6,"",IF(O489=1,VLOOKUP(R489,怪物信息配置表!B:H,5,FALSE),IF(O489=2,VLOOKUP(R489,怪物信息配置表!B:H,6,FALSE),IF(OR(O489=3,O489=5),VLOOKUP(R489,怪物信息配置表!B:H,7,FALSE),"")))),AM489)</f>
        <v>ai_monster_03</v>
      </c>
      <c r="AG489" s="2"/>
      <c r="AH489" s="15">
        <f>SUMPRODUCT(T489:V489,$AN$3:$AP$3)+ROUNDDOWN(VLOOKUP(P489,CHOOSE({1,2},'[1]消耗&amp;价值&amp;分析'!$C$7:$C$106,'[1]消耗&amp;价值&amp;分析'!$AS$7:$AS$106),2,FALSE)*0.6,0)</f>
        <v>39602.7172134871</v>
      </c>
      <c r="AJ489" s="80">
        <v>1</v>
      </c>
      <c r="AK489" s="80">
        <v>1</v>
      </c>
      <c r="AL489" s="80">
        <v>1</v>
      </c>
    </row>
    <row r="490" spans="1:38">
      <c r="A490" s="33" t="str">
        <f>怪物并表!$R$8</f>
        <v>精英副本</v>
      </c>
      <c r="B490" s="38">
        <v>3</v>
      </c>
      <c r="C490" s="33">
        <f t="shared" si="62"/>
        <v>5208</v>
      </c>
      <c r="D490" s="33">
        <v>1</v>
      </c>
      <c r="E490" s="33">
        <f>VLOOKUP(A490,怪物并表!$R$7:$S$14,2,FALSE)</f>
        <v>2</v>
      </c>
      <c r="F490" s="38">
        <v>5</v>
      </c>
      <c r="G490" s="38">
        <v>8</v>
      </c>
      <c r="H490" s="38">
        <v>0</v>
      </c>
      <c r="I490" s="33">
        <f t="shared" si="63"/>
        <v>258003</v>
      </c>
      <c r="J490" s="33" t="s">
        <v>484</v>
      </c>
      <c r="K490" s="33"/>
      <c r="L490" s="33">
        <v>0</v>
      </c>
      <c r="M490" s="33">
        <v>1</v>
      </c>
      <c r="N490" s="33"/>
      <c r="O490" s="33">
        <v>1</v>
      </c>
      <c r="P490" s="33">
        <f>VLOOKUP($C490,CHOOSE({1,2},怪物并表!$E$7:$E$1000,怪物并表!$D$7:$D$1000),2,FALSE)</f>
        <v>56</v>
      </c>
      <c r="Q490" s="33" t="s">
        <v>14</v>
      </c>
      <c r="R490" s="33">
        <f>VLOOKUP(Q490,怪物信息配置表!$A$2:$B$118,2,FALSE)</f>
        <v>1010</v>
      </c>
      <c r="S490" s="33">
        <v>1</v>
      </c>
      <c r="T490" s="110">
        <f>VLOOKUP($C490,怪物并表!$E$7:$N$1000,2+($D490-1)*3,FALSE)*S490*AJ490</f>
        <v>285211.2664450825</v>
      </c>
      <c r="U490" s="110">
        <f>VLOOKUP($C490,怪物并表!$E$7:$N$1000,3+($D490-1)*3,FALSE)*S490*AK490</f>
        <v>18643.782263709218</v>
      </c>
      <c r="V490" s="110">
        <f>VLOOKUP($C490,怪物并表!$E$7:$N$1000,4+($D490-1)*3,FALSE)*S490*AL490</f>
        <v>5655.4842919745834</v>
      </c>
      <c r="W490" s="33"/>
      <c r="X490" s="33"/>
      <c r="Y490" s="49">
        <f>VLOOKUP($C490,怪物并表!$E$7:$P$1000,12,FALSE)</f>
        <v>0</v>
      </c>
      <c r="Z490" s="49">
        <f>VLOOKUP($C490,怪物并表!$E$7:$P$1000,11,FALSE)*S490</f>
        <v>3602.3680000000004</v>
      </c>
      <c r="AA490" s="33"/>
      <c r="AB490" s="33"/>
      <c r="AC490" s="33"/>
      <c r="AD490" s="33">
        <f t="shared" si="61"/>
        <v>1</v>
      </c>
      <c r="AE490" s="2">
        <f t="shared" si="60"/>
        <v>335</v>
      </c>
      <c r="AF490" s="2" t="str">
        <f>IF(ISBLANK(AM490),IF(O490=6,"",IF(O490=1,VLOOKUP(R490,怪物信息配置表!B:H,5,FALSE),IF(O490=2,VLOOKUP(R490,怪物信息配置表!B:H,6,FALSE),IF(OR(O490=3,O490=5),VLOOKUP(R490,怪物信息配置表!B:H,7,FALSE),"")))),AM490)</f>
        <v>ai_monster</v>
      </c>
      <c r="AG490" s="2"/>
      <c r="AH490" s="15">
        <f>SUMPRODUCT(T490:V490,$AN$3:$AP$3)+ROUNDDOWN(VLOOKUP(P490,CHOOSE({1,2},'[1]消耗&amp;价值&amp;分析'!$C$7:$C$106,'[1]消耗&amp;价值&amp;分析'!$AS$7:$AS$106),2,FALSE)*0.6,0)</f>
        <v>39602.7172134871</v>
      </c>
      <c r="AJ490" s="80">
        <v>1</v>
      </c>
      <c r="AK490" s="80">
        <v>1</v>
      </c>
      <c r="AL490" s="80">
        <v>1</v>
      </c>
    </row>
    <row r="491" spans="1:38">
      <c r="A491" s="33" t="str">
        <f>怪物并表!$R$8</f>
        <v>精英副本</v>
      </c>
      <c r="B491" s="38">
        <v>4</v>
      </c>
      <c r="C491" s="33">
        <f t="shared" si="62"/>
        <v>5208</v>
      </c>
      <c r="D491" s="33">
        <v>3</v>
      </c>
      <c r="E491" s="33">
        <f>VLOOKUP(A491,怪物并表!$R$7:$S$14,2,FALSE)</f>
        <v>2</v>
      </c>
      <c r="F491" s="38">
        <v>5</v>
      </c>
      <c r="G491" s="38">
        <v>8</v>
      </c>
      <c r="H491" s="38">
        <v>0</v>
      </c>
      <c r="I491" s="33">
        <f t="shared" si="63"/>
        <v>258004</v>
      </c>
      <c r="J491" s="33" t="s">
        <v>723</v>
      </c>
      <c r="K491" s="33"/>
      <c r="L491" s="33">
        <v>1</v>
      </c>
      <c r="M491" s="33">
        <v>1.2</v>
      </c>
      <c r="N491" s="33"/>
      <c r="O491" s="33">
        <v>3</v>
      </c>
      <c r="P491" s="33">
        <f>VLOOKUP($C491,CHOOSE({1,2},怪物并表!$E$7:$E$1000,怪物并表!$D$7:$D$1000),2,FALSE)</f>
        <v>56</v>
      </c>
      <c r="Q491" s="33" t="s">
        <v>18</v>
      </c>
      <c r="R491" s="33">
        <f>VLOOKUP(Q491,怪物信息配置表!$A$2:$B$118,2,FALSE)</f>
        <v>1006</v>
      </c>
      <c r="S491" s="33">
        <v>1</v>
      </c>
      <c r="T491" s="110">
        <f>VLOOKUP($C491,怪物并表!$E$7:$N$1000,2+($D491-1)*3,FALSE)*S491*AJ491</f>
        <v>713028.1661127063</v>
      </c>
      <c r="U491" s="110">
        <f>VLOOKUP($C491,怪物并表!$E$7:$N$1000,3+($D491-1)*3,FALSE)*S491*AK491</f>
        <v>21409.903092285178</v>
      </c>
      <c r="V491" s="110">
        <f>VLOOKUP($C491,怪物并表!$E$7:$N$1000,4+($D491-1)*3,FALSE)*S491*AL491</f>
        <v>6690.3175879529117</v>
      </c>
      <c r="W491" s="33"/>
      <c r="X491" s="33"/>
      <c r="Y491" s="49">
        <f>VLOOKUP($C491,怪物并表!$E$7:$P$1000,12,FALSE)</f>
        <v>0</v>
      </c>
      <c r="Z491" s="49">
        <f>VLOOKUP($C491,怪物并表!$E$7:$P$1000,11,FALSE)*S491</f>
        <v>3602.3680000000004</v>
      </c>
      <c r="AA491" s="33"/>
      <c r="AB491" s="33"/>
      <c r="AC491" s="33"/>
      <c r="AD491" s="33">
        <f t="shared" si="61"/>
        <v>1.5</v>
      </c>
      <c r="AE491" s="2">
        <f t="shared" si="60"/>
        <v>50</v>
      </c>
      <c r="AF491" s="2" t="str">
        <f>IF(ISBLANK(AM491),IF(O491=6,"",IF(O491=1,VLOOKUP(R491,怪物信息配置表!B:H,5,FALSE),IF(O491=2,VLOOKUP(R491,怪物信息配置表!B:H,6,FALSE),IF(OR(O491=3,O491=5),VLOOKUP(R491,怪物信息配置表!B:H,7,FALSE),"")))),AM491)</f>
        <v>1006_jingcha_BOSS</v>
      </c>
      <c r="AG491" s="2"/>
      <c r="AH491" s="15">
        <f>SUMPRODUCT(T491:V491,$AN$3:$AP$3)+ROUNDDOWN(VLOOKUP(P491,CHOOSE({1,2},'[1]消耗&amp;价值&amp;分析'!$C$7:$C$106,'[1]消耗&amp;价值&amp;分析'!$AS$7:$AS$106),2,FALSE)*0.6,0)</f>
        <v>60516.347324746341</v>
      </c>
      <c r="AJ491" s="80">
        <v>1</v>
      </c>
      <c r="AK491" s="80">
        <v>1</v>
      </c>
      <c r="AL491" s="80">
        <v>1</v>
      </c>
    </row>
    <row r="492" spans="1:38">
      <c r="A492" s="33" t="str">
        <f>怪物并表!$R$8</f>
        <v>精英副本</v>
      </c>
      <c r="B492" s="38">
        <v>1</v>
      </c>
      <c r="C492" s="33">
        <f t="shared" si="62"/>
        <v>5209</v>
      </c>
      <c r="D492" s="33">
        <v>1</v>
      </c>
      <c r="E492" s="33">
        <f>VLOOKUP(A492,怪物并表!$R$7:$S$14,2,FALSE)</f>
        <v>2</v>
      </c>
      <c r="F492" s="38">
        <v>5</v>
      </c>
      <c r="G492" s="38">
        <v>9</v>
      </c>
      <c r="H492" s="38">
        <v>0</v>
      </c>
      <c r="I492" s="33">
        <f t="shared" si="63"/>
        <v>259001</v>
      </c>
      <c r="J492" s="33" t="s">
        <v>15</v>
      </c>
      <c r="K492" s="33"/>
      <c r="L492" s="33">
        <v>0</v>
      </c>
      <c r="M492" s="33">
        <v>1</v>
      </c>
      <c r="N492" s="33"/>
      <c r="O492" s="33">
        <v>1</v>
      </c>
      <c r="P492" s="33">
        <f>VLOOKUP($C492,CHOOSE({1,2},怪物并表!$E$7:$E$1000,怪物并表!$D$7:$D$1000),2,FALSE)</f>
        <v>57</v>
      </c>
      <c r="Q492" s="33" t="s">
        <v>15</v>
      </c>
      <c r="R492" s="33">
        <f>VLOOKUP(Q492,怪物信息配置表!$A$2:$B$118,2,FALSE)</f>
        <v>1004</v>
      </c>
      <c r="S492" s="33">
        <v>1</v>
      </c>
      <c r="T492" s="110">
        <f>VLOOKUP($C492,怪物并表!$E$7:$N$1000,2+($D492-1)*3,FALSE)*S492*AJ492</f>
        <v>311061.7633591831</v>
      </c>
      <c r="U492" s="110">
        <f>VLOOKUP($C492,怪物并表!$E$7:$N$1000,3+($D492-1)*3,FALSE)*S492*AK492</f>
        <v>20184.659575421298</v>
      </c>
      <c r="V492" s="110">
        <f>VLOOKUP($C492,怪物并表!$E$7:$N$1000,4+($D492-1)*3,FALSE)*S492*AL492</f>
        <v>6123.6566373993328</v>
      </c>
      <c r="W492" s="33"/>
      <c r="X492" s="33"/>
      <c r="Y492" s="49">
        <f>VLOOKUP($C492,怪物并表!$E$7:$P$1000,12,FALSE)</f>
        <v>0</v>
      </c>
      <c r="Z492" s="49">
        <f>VLOOKUP($C492,怪物并表!$E$7:$P$1000,11,FALSE)*S492</f>
        <v>3660.596</v>
      </c>
      <c r="AA492" s="33"/>
      <c r="AB492" s="33"/>
      <c r="AC492" s="33"/>
      <c r="AD492" s="33">
        <f t="shared" ref="AD492:AD495" si="64">IF(D492=1,1,IF(D492=2,0.8,1.5))</f>
        <v>1</v>
      </c>
      <c r="AE492" s="2">
        <f t="shared" si="60"/>
        <v>323.125</v>
      </c>
      <c r="AF492" s="2" t="str">
        <f>IF(ISBLANK(AM492),IF(O492=6,"",IF(O492=1,VLOOKUP(R492,怪物信息配置表!B:H,5,FALSE),IF(O492=2,VLOOKUP(R492,怪物信息配置表!B:H,6,FALSE),IF(OR(O492=3,O492=5),VLOOKUP(R492,怪物信息配置表!B:H,7,FALSE),"")))),AM492)</f>
        <v>ai_monster</v>
      </c>
      <c r="AG492" s="2"/>
      <c r="AH492" s="15">
        <f>SUMPRODUCT(T492:V492,$AN$3:$AP$3)+ROUNDDOWN(VLOOKUP(P492,CHOOSE({1,2},'[1]消耗&amp;价值&amp;分析'!$C$7:$C$106,'[1]消耗&amp;价值&amp;分析'!$AS$7:$AS$106),2,FALSE)*0.6,0)</f>
        <v>42866.786747187958</v>
      </c>
      <c r="AJ492" s="80">
        <v>1</v>
      </c>
      <c r="AK492" s="80">
        <v>1</v>
      </c>
      <c r="AL492" s="80">
        <v>1</v>
      </c>
    </row>
    <row r="493" spans="1:38">
      <c r="A493" s="33" t="str">
        <f>怪物并表!$R$8</f>
        <v>精英副本</v>
      </c>
      <c r="B493" s="38">
        <v>2</v>
      </c>
      <c r="C493" s="33">
        <f t="shared" si="62"/>
        <v>5209</v>
      </c>
      <c r="D493" s="33">
        <v>2</v>
      </c>
      <c r="E493" s="33">
        <f>VLOOKUP(A493,怪物并表!$R$7:$S$14,2,FALSE)</f>
        <v>2</v>
      </c>
      <c r="F493" s="38">
        <v>5</v>
      </c>
      <c r="G493" s="38">
        <v>9</v>
      </c>
      <c r="H493" s="38">
        <v>0</v>
      </c>
      <c r="I493" s="33">
        <f t="shared" si="63"/>
        <v>259002</v>
      </c>
      <c r="J493" s="33" t="s">
        <v>231</v>
      </c>
      <c r="K493" s="33"/>
      <c r="L493" s="33">
        <v>0</v>
      </c>
      <c r="M493" s="33">
        <v>1</v>
      </c>
      <c r="N493" s="33"/>
      <c r="O493" s="33">
        <v>1</v>
      </c>
      <c r="P493" s="33">
        <f>VLOOKUP($C493,CHOOSE({1,2},怪物并表!$E$7:$E$1000,怪物并表!$D$7:$D$1000),2,FALSE)</f>
        <v>57</v>
      </c>
      <c r="Q493" s="33" t="s">
        <v>17</v>
      </c>
      <c r="R493" s="33">
        <f>VLOOKUP(Q493,怪物信息配置表!$A$2:$B$118,2,FALSE)</f>
        <v>1005</v>
      </c>
      <c r="S493" s="33">
        <v>1</v>
      </c>
      <c r="T493" s="110">
        <f>VLOOKUP($C493,怪物并表!$E$7:$N$1000,2+($D493-1)*3,FALSE)*S493*AJ493</f>
        <v>248849.41068734651</v>
      </c>
      <c r="U493" s="110">
        <f>VLOOKUP($C493,怪物并表!$E$7:$N$1000,3+($D493-1)*3,FALSE)*S493*AK493</f>
        <v>18676.498337662448</v>
      </c>
      <c r="V493" s="110">
        <f>VLOOKUP($C493,怪物并表!$E$7:$N$1000,4+($D493-1)*3,FALSE)*S493*AL493</f>
        <v>5052.0167258544498</v>
      </c>
      <c r="W493" s="33"/>
      <c r="X493" s="33"/>
      <c r="Y493" s="49">
        <f>VLOOKUP($C493,怪物并表!$E$7:$P$1000,12,FALSE)</f>
        <v>0</v>
      </c>
      <c r="Z493" s="49">
        <f>VLOOKUP($C493,怪物并表!$E$7:$P$1000,11,FALSE)*S493</f>
        <v>3660.596</v>
      </c>
      <c r="AA493" s="33"/>
      <c r="AB493" s="33"/>
      <c r="AC493" s="33"/>
      <c r="AD493" s="33">
        <f t="shared" si="64"/>
        <v>0.8</v>
      </c>
      <c r="AE493" s="2">
        <f t="shared" si="60"/>
        <v>458.5</v>
      </c>
      <c r="AF493" s="2" t="str">
        <f>IF(ISBLANK(AM493),IF(O493=6,"",IF(O493=1,VLOOKUP(R493,怪物信息配置表!B:H,5,FALSE),IF(O493=2,VLOOKUP(R493,怪物信息配置表!B:H,6,FALSE),IF(OR(O493=3,O493=5),VLOOKUP(R493,怪物信息配置表!B:H,7,FALSE),"")))),AM493)</f>
        <v>ai_monster_02</v>
      </c>
      <c r="AG493" s="2"/>
      <c r="AH493" s="15">
        <f>SUMPRODUCT(T493:V493,$AN$3:$AP$3)+ROUNDDOWN(VLOOKUP(P493,CHOOSE({1,2},'[1]消耗&amp;价值&amp;分析'!$C$7:$C$106,'[1]消耗&amp;价值&amp;分析'!$AS$7:$AS$106),2,FALSE)*0.6,0)</f>
        <v>37798.491491010762</v>
      </c>
      <c r="AJ493" s="80">
        <v>1</v>
      </c>
      <c r="AK493" s="80">
        <v>1</v>
      </c>
      <c r="AL493" s="80">
        <v>1</v>
      </c>
    </row>
    <row r="494" spans="1:38">
      <c r="A494" s="33" t="str">
        <f>怪物并表!$R$8</f>
        <v>精英副本</v>
      </c>
      <c r="B494" s="38">
        <v>3</v>
      </c>
      <c r="C494" s="33">
        <f t="shared" si="62"/>
        <v>5209</v>
      </c>
      <c r="D494" s="33">
        <v>1</v>
      </c>
      <c r="E494" s="33">
        <f>VLOOKUP(A494,怪物并表!$R$7:$S$14,2,FALSE)</f>
        <v>2</v>
      </c>
      <c r="F494" s="38">
        <v>5</v>
      </c>
      <c r="G494" s="38">
        <v>9</v>
      </c>
      <c r="H494" s="38">
        <v>0</v>
      </c>
      <c r="I494" s="33">
        <f t="shared" si="63"/>
        <v>259003</v>
      </c>
      <c r="J494" s="33" t="s">
        <v>46</v>
      </c>
      <c r="K494" s="33"/>
      <c r="L494" s="33">
        <v>0</v>
      </c>
      <c r="M494" s="33">
        <v>1</v>
      </c>
      <c r="N494" s="33"/>
      <c r="O494" s="33">
        <v>1</v>
      </c>
      <c r="P494" s="33">
        <f>VLOOKUP($C494,CHOOSE({1,2},怪物并表!$E$7:$E$1000,怪物并表!$D$7:$D$1000),2,FALSE)</f>
        <v>57</v>
      </c>
      <c r="Q494" s="33" t="s">
        <v>11</v>
      </c>
      <c r="R494" s="33">
        <f>VLOOKUP(Q494,怪物信息配置表!$A$2:$B$118,2,FALSE)</f>
        <v>1011</v>
      </c>
      <c r="S494" s="33">
        <v>1</v>
      </c>
      <c r="T494" s="110">
        <f>VLOOKUP($C494,怪物并表!$E$7:$N$1000,2+($D494-1)*3,FALSE)*S494*AJ494</f>
        <v>311061.7633591831</v>
      </c>
      <c r="U494" s="110">
        <f>VLOOKUP($C494,怪物并表!$E$7:$N$1000,3+($D494-1)*3,FALSE)*S494*AK494</f>
        <v>20184.659575421298</v>
      </c>
      <c r="V494" s="110">
        <f>VLOOKUP($C494,怪物并表!$E$7:$N$1000,4+($D494-1)*3,FALSE)*S494*AL494</f>
        <v>6123.6566373993328</v>
      </c>
      <c r="W494" s="33"/>
      <c r="X494" s="33"/>
      <c r="Y494" s="49">
        <f>VLOOKUP($C494,怪物并表!$E$7:$P$1000,12,FALSE)</f>
        <v>0</v>
      </c>
      <c r="Z494" s="49">
        <f>VLOOKUP($C494,怪物并表!$E$7:$P$1000,11,FALSE)*S494</f>
        <v>3660.596</v>
      </c>
      <c r="AA494" s="33"/>
      <c r="AB494" s="33"/>
      <c r="AC494" s="33"/>
      <c r="AD494" s="33">
        <f t="shared" si="64"/>
        <v>1</v>
      </c>
      <c r="AE494" s="2">
        <f t="shared" si="60"/>
        <v>323.125</v>
      </c>
      <c r="AF494" s="2" t="str">
        <f>IF(ISBLANK(AM494),IF(O494=6,"",IF(O494=1,VLOOKUP(R494,怪物信息配置表!B:H,5,FALSE),IF(O494=2,VLOOKUP(R494,怪物信息配置表!B:H,6,FALSE),IF(OR(O494=3,O494=5),VLOOKUP(R494,怪物信息配置表!B:H,7,FALSE),"")))),AM494)</f>
        <v>ai_monster</v>
      </c>
      <c r="AG494" s="2"/>
      <c r="AH494" s="15">
        <f>SUMPRODUCT(T494:V494,$AN$3:$AP$3)+ROUNDDOWN(VLOOKUP(P494,CHOOSE({1,2},'[1]消耗&amp;价值&amp;分析'!$C$7:$C$106,'[1]消耗&amp;价值&amp;分析'!$AS$7:$AS$106),2,FALSE)*0.6,0)</f>
        <v>42866.786747187958</v>
      </c>
      <c r="AJ494" s="80">
        <v>1</v>
      </c>
      <c r="AK494" s="80">
        <v>1</v>
      </c>
      <c r="AL494" s="80">
        <v>1</v>
      </c>
    </row>
    <row r="495" spans="1:38">
      <c r="A495" s="33" t="str">
        <f>怪物并表!$R$8</f>
        <v>精英副本</v>
      </c>
      <c r="B495" s="38">
        <v>4</v>
      </c>
      <c r="C495" s="33">
        <f t="shared" si="62"/>
        <v>5209</v>
      </c>
      <c r="D495" s="33">
        <v>3</v>
      </c>
      <c r="E495" s="33">
        <f>VLOOKUP(A495,怪物并表!$R$7:$S$14,2,FALSE)</f>
        <v>2</v>
      </c>
      <c r="F495" s="38">
        <v>5</v>
      </c>
      <c r="G495" s="38">
        <v>9</v>
      </c>
      <c r="H495" s="38">
        <v>0</v>
      </c>
      <c r="I495" s="33">
        <f t="shared" si="63"/>
        <v>259004</v>
      </c>
      <c r="J495" s="33" t="s">
        <v>549</v>
      </c>
      <c r="K495" s="33"/>
      <c r="L495" s="33">
        <v>1</v>
      </c>
      <c r="M495" s="33">
        <v>1.3</v>
      </c>
      <c r="N495" s="33"/>
      <c r="O495" s="33">
        <v>3</v>
      </c>
      <c r="P495" s="33">
        <f>VLOOKUP($C495,CHOOSE({1,2},怪物并表!$E$7:$E$1000,怪物并表!$D$7:$D$1000),2,FALSE)</f>
        <v>57</v>
      </c>
      <c r="Q495" s="33" t="s">
        <v>20</v>
      </c>
      <c r="R495" s="33">
        <f>VLOOKUP(Q495,怪物信息配置表!$A$2:$B$118,2,FALSE)</f>
        <v>1103</v>
      </c>
      <c r="S495" s="33">
        <v>1</v>
      </c>
      <c r="T495" s="110">
        <f>VLOOKUP($C495,怪物并表!$E$7:$N$1000,2+($D495-1)*3,FALSE)*S495*AJ495</f>
        <v>777654.40839795792</v>
      </c>
      <c r="U495" s="110">
        <f>VLOOKUP($C495,怪物并表!$E$7:$N$1000,3+($D495-1)*3,FALSE)*S495*AK495</f>
        <v>23200.982050939001</v>
      </c>
      <c r="V495" s="110">
        <f>VLOOKUP($C495,怪物并表!$E$7:$N$1000,4+($D495-1)*3,FALSE)*S495*AL495</f>
        <v>7195.2965489442158</v>
      </c>
      <c r="W495" s="33"/>
      <c r="X495" s="33"/>
      <c r="Y495" s="49">
        <f>VLOOKUP($C495,怪物并表!$E$7:$P$1000,12,FALSE)</f>
        <v>0</v>
      </c>
      <c r="Z495" s="49">
        <f>VLOOKUP($C495,怪物并表!$E$7:$P$1000,11,FALSE)*S495</f>
        <v>3660.596</v>
      </c>
      <c r="AA495" s="33"/>
      <c r="AB495" s="33"/>
      <c r="AC495" s="33"/>
      <c r="AD495" s="33">
        <f t="shared" si="64"/>
        <v>1.5</v>
      </c>
      <c r="AE495" s="2">
        <f t="shared" si="60"/>
        <v>50</v>
      </c>
      <c r="AF495" s="2" t="str">
        <f>IF(ISBLANK(AM495),IF(O495=6,"",IF(O495=1,VLOOKUP(R495,怪物信息配置表!B:H,5,FALSE),IF(O495=2,VLOOKUP(R495,怪物信息配置表!B:H,6,FALSE),IF(OR(O495=3,O495=5),VLOOKUP(R495,怪物信息配置表!B:H,7,FALSE),"")))),AM495)</f>
        <v>1103_situ_BOSS</v>
      </c>
      <c r="AG495" s="2"/>
      <c r="AH495" s="15">
        <f>SUMPRODUCT(T495:V495,$AN$3:$AP$3)+ROUNDDOWN(VLOOKUP(P495,CHOOSE({1,2},'[1]消耗&amp;价值&amp;分析'!$C$7:$C$106,'[1]消耗&amp;价值&amp;分析'!$AS$7:$AS$106),2,FALSE)*0.6,0)</f>
        <v>65618.454935801536</v>
      </c>
      <c r="AJ495" s="80">
        <v>1</v>
      </c>
      <c r="AK495" s="80">
        <v>1</v>
      </c>
      <c r="AL495" s="80">
        <v>1</v>
      </c>
    </row>
    <row r="496" spans="1:38">
      <c r="A496" s="33" t="str">
        <f>怪物并表!$R$8</f>
        <v>精英副本</v>
      </c>
      <c r="B496" s="38">
        <v>1</v>
      </c>
      <c r="C496" s="33">
        <f t="shared" si="54"/>
        <v>6201</v>
      </c>
      <c r="D496" s="33">
        <v>1</v>
      </c>
      <c r="E496" s="33">
        <f>VLOOKUP(A496,怪物并表!$R$7:$S$14,2,FALSE)</f>
        <v>2</v>
      </c>
      <c r="F496" s="38">
        <v>6</v>
      </c>
      <c r="G496" s="38">
        <v>1</v>
      </c>
      <c r="H496" s="38">
        <v>0</v>
      </c>
      <c r="I496" s="33">
        <f t="shared" si="63"/>
        <v>261001</v>
      </c>
      <c r="J496" s="33" t="s">
        <v>485</v>
      </c>
      <c r="K496" s="33"/>
      <c r="L496" s="33">
        <v>0</v>
      </c>
      <c r="M496" s="33">
        <v>1</v>
      </c>
      <c r="N496" s="33"/>
      <c r="O496" s="33">
        <v>1</v>
      </c>
      <c r="P496" s="33">
        <f>VLOOKUP($C496,CHOOSE({1,2},怪物并表!$E$7:$E$1000,怪物并表!$D$7:$D$1000),2,FALSE)</f>
        <v>58</v>
      </c>
      <c r="Q496" s="33" t="s">
        <v>24</v>
      </c>
      <c r="R496" s="33">
        <f>VLOOKUP(Q496,怪物信息配置表!$A$2:$B$118,2,FALSE)</f>
        <v>1015</v>
      </c>
      <c r="S496" s="33">
        <v>1</v>
      </c>
      <c r="T496" s="110">
        <f>VLOOKUP($C496,怪物并表!$E$7:$N$1000,2+($D496-1)*3,FALSE)*S496*AJ496</f>
        <v>287012.87030293985</v>
      </c>
      <c r="U496" s="110">
        <f>VLOOKUP($C496,怪物并表!$E$7:$N$1000,3+($D496-1)*3,FALSE)*S496*AK496</f>
        <v>19298.253644028304</v>
      </c>
      <c r="V496" s="110">
        <f>VLOOKUP($C496,怪物并表!$E$7:$N$1000,4+($D496-1)*3,FALSE)*S496*AL496</f>
        <v>5403.4833951571927</v>
      </c>
      <c r="W496" s="33"/>
      <c r="X496" s="33"/>
      <c r="Y496" s="49">
        <f>VLOOKUP($C496,怪物并表!$E$7:$P$1000,12,FALSE)</f>
        <v>0</v>
      </c>
      <c r="Z496" s="49">
        <f>VLOOKUP($C496,怪物并表!$E$7:$P$1000,11,FALSE)*S496</f>
        <v>3718.8240000000001</v>
      </c>
      <c r="AA496" s="33"/>
      <c r="AB496" s="33"/>
      <c r="AC496" s="33"/>
      <c r="AD496" s="33">
        <f t="shared" si="61"/>
        <v>1</v>
      </c>
      <c r="AE496" s="2">
        <f t="shared" si="60"/>
        <v>256.25</v>
      </c>
      <c r="AF496" s="2" t="str">
        <f>IF(ISBLANK(AM496),IF(O496=6,"",IF(O496=1,VLOOKUP(R496,怪物信息配置表!B:H,5,FALSE),IF(O496=2,VLOOKUP(R496,怪物信息配置表!B:H,6,FALSE),IF(OR(O496=3,O496=5),VLOOKUP(R496,怪物信息配置表!B:H,7,FALSE),"")))),AM496)</f>
        <v>ai_monster_03</v>
      </c>
      <c r="AG496" s="2"/>
      <c r="AH496" s="15">
        <f>SUMPRODUCT(T496:V496,$AN$3:$AP$3)+ROUNDDOWN(VLOOKUP(P496,CHOOSE({1,2},'[1]消耗&amp;价值&amp;分析'!$C$7:$C$106,'[1]消耗&amp;价值&amp;分析'!$AS$7:$AS$106),2,FALSE)*0.6,0)</f>
        <v>40478.251851303088</v>
      </c>
      <c r="AJ496" s="80">
        <v>1</v>
      </c>
      <c r="AK496" s="80">
        <v>1</v>
      </c>
      <c r="AL496" s="80">
        <v>1</v>
      </c>
    </row>
    <row r="497" spans="1:38">
      <c r="A497" s="33" t="str">
        <f>怪物并表!$R$8</f>
        <v>精英副本</v>
      </c>
      <c r="B497" s="38">
        <v>2</v>
      </c>
      <c r="C497" s="33">
        <f t="shared" si="54"/>
        <v>6201</v>
      </c>
      <c r="D497" s="33">
        <v>1</v>
      </c>
      <c r="E497" s="33">
        <f>VLOOKUP(A497,怪物并表!$R$7:$S$14,2,FALSE)</f>
        <v>2</v>
      </c>
      <c r="F497" s="38">
        <v>6</v>
      </c>
      <c r="G497" s="38">
        <v>1</v>
      </c>
      <c r="H497" s="38">
        <v>0</v>
      </c>
      <c r="I497" s="33">
        <f t="shared" si="63"/>
        <v>261002</v>
      </c>
      <c r="J497" s="33" t="s">
        <v>42</v>
      </c>
      <c r="K497" s="33"/>
      <c r="L497" s="33">
        <v>0</v>
      </c>
      <c r="M497" s="33">
        <v>1</v>
      </c>
      <c r="N497" s="33"/>
      <c r="O497" s="33">
        <v>1</v>
      </c>
      <c r="P497" s="33">
        <f>VLOOKUP($C497,CHOOSE({1,2},怪物并表!$E$7:$E$1000,怪物并表!$D$7:$D$1000),2,FALSE)</f>
        <v>58</v>
      </c>
      <c r="Q497" s="33" t="s">
        <v>12</v>
      </c>
      <c r="R497" s="33">
        <f>VLOOKUP(Q497,怪物信息配置表!$A$2:$B$118,2,FALSE)</f>
        <v>1009</v>
      </c>
      <c r="S497" s="33">
        <v>1</v>
      </c>
      <c r="T497" s="110">
        <f>VLOOKUP($C497,怪物并表!$E$7:$N$1000,2+($D497-1)*3,FALSE)*S497*AJ497</f>
        <v>287012.87030293985</v>
      </c>
      <c r="U497" s="110">
        <f>VLOOKUP($C497,怪物并表!$E$7:$N$1000,3+($D497-1)*3,FALSE)*S497*AK497</f>
        <v>19298.253644028304</v>
      </c>
      <c r="V497" s="110">
        <f>VLOOKUP($C497,怪物并表!$E$7:$N$1000,4+($D497-1)*3,FALSE)*S497*AL497</f>
        <v>5403.4833951571927</v>
      </c>
      <c r="W497" s="33"/>
      <c r="X497" s="33"/>
      <c r="Y497" s="49">
        <f>VLOOKUP($C497,怪物并表!$E$7:$P$1000,12,FALSE)</f>
        <v>0</v>
      </c>
      <c r="Z497" s="49">
        <f>VLOOKUP($C497,怪物并表!$E$7:$P$1000,11,FALSE)*S497</f>
        <v>3718.8240000000001</v>
      </c>
      <c r="AA497" s="33"/>
      <c r="AB497" s="33"/>
      <c r="AC497" s="33"/>
      <c r="AD497" s="33">
        <f t="shared" si="61"/>
        <v>1</v>
      </c>
      <c r="AE497" s="2">
        <f t="shared" si="60"/>
        <v>311.25</v>
      </c>
      <c r="AF497" s="2" t="str">
        <f>IF(ISBLANK(AM497),IF(O497=6,"",IF(O497=1,VLOOKUP(R497,怪物信息配置表!B:H,5,FALSE),IF(O497=2,VLOOKUP(R497,怪物信息配置表!B:H,6,FALSE),IF(OR(O497=3,O497=5),VLOOKUP(R497,怪物信息配置表!B:H,7,FALSE),"")))),AM497)</f>
        <v>ai_monster</v>
      </c>
      <c r="AG497" s="2"/>
      <c r="AH497" s="15">
        <f>SUMPRODUCT(T497:V497,$AN$3:$AP$3)+ROUNDDOWN(VLOOKUP(P497,CHOOSE({1,2},'[1]消耗&amp;价值&amp;分析'!$C$7:$C$106,'[1]消耗&amp;价值&amp;分析'!$AS$7:$AS$106),2,FALSE)*0.6,0)</f>
        <v>40478.251851303088</v>
      </c>
      <c r="AJ497" s="80">
        <v>1</v>
      </c>
      <c r="AK497" s="80">
        <v>1</v>
      </c>
      <c r="AL497" s="80">
        <v>1</v>
      </c>
    </row>
    <row r="498" spans="1:38">
      <c r="A498" s="33" t="str">
        <f>怪物并表!$R$8</f>
        <v>精英副本</v>
      </c>
      <c r="B498" s="38">
        <v>3</v>
      </c>
      <c r="C498" s="33">
        <f t="shared" si="54"/>
        <v>6201</v>
      </c>
      <c r="D498" s="33">
        <v>1</v>
      </c>
      <c r="E498" s="33">
        <f>VLOOKUP(A498,怪物并表!$R$7:$S$14,2,FALSE)</f>
        <v>2</v>
      </c>
      <c r="F498" s="38">
        <v>6</v>
      </c>
      <c r="G498" s="38">
        <v>1</v>
      </c>
      <c r="H498" s="38">
        <v>0</v>
      </c>
      <c r="I498" s="33">
        <f t="shared" si="63"/>
        <v>261003</v>
      </c>
      <c r="J498" s="33" t="s">
        <v>466</v>
      </c>
      <c r="K498" s="33"/>
      <c r="L498" s="33">
        <v>0</v>
      </c>
      <c r="M498" s="33">
        <v>1</v>
      </c>
      <c r="N498" s="33"/>
      <c r="O498" s="33">
        <v>1</v>
      </c>
      <c r="P498" s="33">
        <f>VLOOKUP($C498,CHOOSE({1,2},怪物并表!$E$7:$E$1000,怪物并表!$D$7:$D$1000),2,FALSE)</f>
        <v>58</v>
      </c>
      <c r="Q498" s="33" t="s">
        <v>14</v>
      </c>
      <c r="R498" s="33">
        <f>VLOOKUP(Q498,怪物信息配置表!$A$2:$B$118,2,FALSE)</f>
        <v>1010</v>
      </c>
      <c r="S498" s="33">
        <v>1</v>
      </c>
      <c r="T498" s="110">
        <f>VLOOKUP($C498,怪物并表!$E$7:$N$1000,2+($D498-1)*3,FALSE)*S498*AJ498</f>
        <v>287012.87030293985</v>
      </c>
      <c r="U498" s="110">
        <f>VLOOKUP($C498,怪物并表!$E$7:$N$1000,3+($D498-1)*3,FALSE)*S498*AK498</f>
        <v>19298.253644028304</v>
      </c>
      <c r="V498" s="110">
        <f>VLOOKUP($C498,怪物并表!$E$7:$N$1000,4+($D498-1)*3,FALSE)*S498*AL498</f>
        <v>5403.4833951571927</v>
      </c>
      <c r="W498" s="33"/>
      <c r="X498" s="33"/>
      <c r="Y498" s="49">
        <f>VLOOKUP($C498,怪物并表!$E$7:$P$1000,12,FALSE)</f>
        <v>0</v>
      </c>
      <c r="Z498" s="49">
        <f>VLOOKUP($C498,怪物并表!$E$7:$P$1000,11,FALSE)*S498</f>
        <v>3718.8240000000001</v>
      </c>
      <c r="AA498" s="33"/>
      <c r="AB498" s="33"/>
      <c r="AC498" s="33"/>
      <c r="AD498" s="33">
        <f t="shared" si="61"/>
        <v>1</v>
      </c>
      <c r="AE498" s="2">
        <f t="shared" si="60"/>
        <v>311.25</v>
      </c>
      <c r="AF498" s="2" t="str">
        <f>IF(ISBLANK(AM498),IF(O498=6,"",IF(O498=1,VLOOKUP(R498,怪物信息配置表!B:H,5,FALSE),IF(O498=2,VLOOKUP(R498,怪物信息配置表!B:H,6,FALSE),IF(OR(O498=3,O498=5),VLOOKUP(R498,怪物信息配置表!B:H,7,FALSE),"")))),AM498)</f>
        <v>ai_monster</v>
      </c>
      <c r="AG498" s="2"/>
      <c r="AH498" s="15">
        <f>SUMPRODUCT(T498:V498,$AN$3:$AP$3)+ROUNDDOWN(VLOOKUP(P498,CHOOSE({1,2},'[1]消耗&amp;价值&amp;分析'!$C$7:$C$106,'[1]消耗&amp;价值&amp;分析'!$AS$7:$AS$106),2,FALSE)*0.6,0)</f>
        <v>40478.251851303088</v>
      </c>
      <c r="AJ498" s="80">
        <v>1</v>
      </c>
      <c r="AK498" s="80">
        <v>1</v>
      </c>
      <c r="AL498" s="80">
        <v>1</v>
      </c>
    </row>
    <row r="499" spans="1:38">
      <c r="A499" s="33" t="str">
        <f>怪物并表!$R$8</f>
        <v>精英副本</v>
      </c>
      <c r="B499" s="38">
        <v>4</v>
      </c>
      <c r="C499" s="33">
        <f t="shared" si="54"/>
        <v>6201</v>
      </c>
      <c r="D499" s="33">
        <v>3</v>
      </c>
      <c r="E499" s="33">
        <f>VLOOKUP(A499,怪物并表!$R$7:$S$14,2,FALSE)</f>
        <v>2</v>
      </c>
      <c r="F499" s="38">
        <v>6</v>
      </c>
      <c r="G499" s="38">
        <v>1</v>
      </c>
      <c r="H499" s="38">
        <v>0</v>
      </c>
      <c r="I499" s="33">
        <f t="shared" si="63"/>
        <v>261004</v>
      </c>
      <c r="J499" s="33" t="s">
        <v>509</v>
      </c>
      <c r="K499" s="33"/>
      <c r="L499" s="33">
        <v>1</v>
      </c>
      <c r="M499" s="33">
        <v>1.3</v>
      </c>
      <c r="N499" s="33"/>
      <c r="O499" s="33">
        <v>3</v>
      </c>
      <c r="P499" s="33">
        <f>VLOOKUP($C499,CHOOSE({1,2},怪物并表!$E$7:$E$1000,怪物并表!$D$7:$D$1000),2,FALSE)</f>
        <v>58</v>
      </c>
      <c r="Q499" s="33" t="s">
        <v>399</v>
      </c>
      <c r="R499" s="33">
        <f>VLOOKUP(Q499,怪物信息配置表!$A$2:$B$118,2,FALSE)</f>
        <v>1014</v>
      </c>
      <c r="S499" s="33">
        <v>1</v>
      </c>
      <c r="T499" s="110">
        <f>VLOOKUP($C499,怪物并表!$E$7:$N$1000,2+($D499-1)*3,FALSE)*S499*AJ499</f>
        <v>717532.17575734959</v>
      </c>
      <c r="U499" s="110">
        <f>VLOOKUP($C499,怪物并表!$E$7:$N$1000,3+($D499-1)*3,FALSE)*S499*AK499</f>
        <v>22077.207693802528</v>
      </c>
      <c r="V499" s="110">
        <f>VLOOKUP($C499,怪物并表!$E$7:$N$1000,4+($D499-1)*3,FALSE)*S499*AL499</f>
        <v>6754.3542439464909</v>
      </c>
      <c r="W499" s="33"/>
      <c r="X499" s="33"/>
      <c r="Y499" s="49">
        <f>VLOOKUP($C499,怪物并表!$E$7:$P$1000,12,FALSE)</f>
        <v>0</v>
      </c>
      <c r="Z499" s="49">
        <f>VLOOKUP($C499,怪物并表!$E$7:$P$1000,11,FALSE)*S499</f>
        <v>3718.8240000000001</v>
      </c>
      <c r="AA499" s="33"/>
      <c r="AB499" s="33"/>
      <c r="AC499" s="33"/>
      <c r="AD499" s="33">
        <f t="shared" si="61"/>
        <v>1.5</v>
      </c>
      <c r="AE499" s="2">
        <f t="shared" si="60"/>
        <v>50</v>
      </c>
      <c r="AF499" s="2" t="str">
        <f>IF(ISBLANK(AM499),IF(O499=6,"",IF(O499=1,VLOOKUP(R499,怪物信息配置表!B:H,5,FALSE),IF(O499=2,VLOOKUP(R499,怪物信息配置表!B:H,6,FALSE),IF(OR(O499=3,O499=5),VLOOKUP(R499,怪物信息配置表!B:H,7,FALSE),"")))),AM499)</f>
        <v>1014_xiangpu_BOSS</v>
      </c>
      <c r="AG499" s="2"/>
      <c r="AH499" s="15">
        <f>SUMPRODUCT(T499:V499,$AN$3:$AP$3)+ROUNDDOWN(VLOOKUP(P499,CHOOSE({1,2},'[1]消耗&amp;价值&amp;分析'!$C$7:$C$106,'[1]消耗&amp;价值&amp;分析'!$AS$7:$AS$106),2,FALSE)*0.6,0)</f>
        <v>61828.848968043007</v>
      </c>
      <c r="AJ499" s="80">
        <v>1</v>
      </c>
      <c r="AK499" s="80">
        <v>1</v>
      </c>
      <c r="AL499" s="80">
        <v>1</v>
      </c>
    </row>
    <row r="500" spans="1:38">
      <c r="A500" s="33" t="str">
        <f>怪物并表!$R$8</f>
        <v>精英副本</v>
      </c>
      <c r="B500" s="38">
        <v>1</v>
      </c>
      <c r="C500" s="33">
        <f t="shared" si="54"/>
        <v>6202</v>
      </c>
      <c r="D500" s="33">
        <v>1</v>
      </c>
      <c r="E500" s="33">
        <f>VLOOKUP(A500,怪物并表!$R$7:$S$14,2,FALSE)</f>
        <v>2</v>
      </c>
      <c r="F500" s="38">
        <v>6</v>
      </c>
      <c r="G500" s="38">
        <v>2</v>
      </c>
      <c r="H500" s="38">
        <v>0</v>
      </c>
      <c r="I500" s="33">
        <f t="shared" si="63"/>
        <v>262001</v>
      </c>
      <c r="J500" s="33" t="s">
        <v>27</v>
      </c>
      <c r="K500" s="33"/>
      <c r="L500" s="33">
        <v>0</v>
      </c>
      <c r="M500" s="33">
        <v>1</v>
      </c>
      <c r="N500" s="33"/>
      <c r="O500" s="33">
        <v>1</v>
      </c>
      <c r="P500" s="33">
        <f>VLOOKUP($C500,CHOOSE({1,2},怪物并表!$E$7:$E$1000,怪物并表!$D$7:$D$1000),2,FALSE)</f>
        <v>59</v>
      </c>
      <c r="Q500" s="33" t="s">
        <v>25</v>
      </c>
      <c r="R500" s="33">
        <f>VLOOKUP(Q500,怪物信息配置表!$A$2:$B$118,2,FALSE)</f>
        <v>1012</v>
      </c>
      <c r="S500" s="33">
        <v>1</v>
      </c>
      <c r="T500" s="110">
        <f>VLOOKUP($C500,怪物并表!$E$7:$N$1000,2+($D500-1)*3,FALSE)*S500*AJ500</f>
        <v>312915.53280447493</v>
      </c>
      <c r="U500" s="110">
        <f>VLOOKUP($C500,怪物并表!$E$7:$N$1000,3+($D500-1)*3,FALSE)*S500*AK500</f>
        <v>21096.504534662334</v>
      </c>
      <c r="V500" s="110">
        <f>VLOOKUP($C500,怪物并表!$E$7:$N$1000,4+($D500-1)*3,FALSE)*S500*AL500</f>
        <v>5857.5196496678955</v>
      </c>
      <c r="W500" s="33"/>
      <c r="X500" s="33"/>
      <c r="Y500" s="49">
        <f>VLOOKUP($C500,怪物并表!$E$7:$P$1000,12,FALSE)</f>
        <v>0</v>
      </c>
      <c r="Z500" s="49">
        <f>VLOOKUP($C500,怪物并表!$E$7:$P$1000,11,FALSE)*S500</f>
        <v>3777.0519999999997</v>
      </c>
      <c r="AA500" s="33"/>
      <c r="AB500" s="33"/>
      <c r="AC500" s="33"/>
      <c r="AD500" s="33">
        <f t="shared" si="61"/>
        <v>1</v>
      </c>
      <c r="AE500" s="2">
        <f t="shared" si="60"/>
        <v>299.375</v>
      </c>
      <c r="AF500" s="2" t="str">
        <f>IF(ISBLANK(AM500),IF(O500=6,"",IF(O500=1,VLOOKUP(R500,怪物信息配置表!B:H,5,FALSE),IF(O500=2,VLOOKUP(R500,怪物信息配置表!B:H,6,FALSE),IF(OR(O500=3,O500=5),VLOOKUP(R500,怪物信息配置表!B:H,7,FALSE),"")))),AM500)</f>
        <v>ai_monster_03</v>
      </c>
      <c r="AG500" s="2"/>
      <c r="AH500" s="15">
        <f>SUMPRODUCT(T500:V500,$AN$3:$AP$3)+ROUNDDOWN(VLOOKUP(P500,CHOOSE({1,2},'[1]消耗&amp;价值&amp;分析'!$C$7:$C$106,'[1]消耗&amp;价值&amp;分析'!$AS$7:$AS$106),2,FALSE)*0.6,0)</f>
        <v>44018.645496509227</v>
      </c>
      <c r="AJ500" s="80">
        <v>1</v>
      </c>
      <c r="AK500" s="80">
        <v>1</v>
      </c>
      <c r="AL500" s="80">
        <v>1</v>
      </c>
    </row>
    <row r="501" spans="1:38">
      <c r="A501" s="33" t="str">
        <f>怪物并表!$R$8</f>
        <v>精英副本</v>
      </c>
      <c r="B501" s="38">
        <v>2</v>
      </c>
      <c r="C501" s="33">
        <f t="shared" si="54"/>
        <v>6202</v>
      </c>
      <c r="D501" s="33">
        <v>2</v>
      </c>
      <c r="E501" s="33">
        <f>VLOOKUP(A501,怪物并表!$R$7:$S$14,2,FALSE)</f>
        <v>2</v>
      </c>
      <c r="F501" s="38">
        <v>6</v>
      </c>
      <c r="G501" s="38">
        <v>2</v>
      </c>
      <c r="H501" s="38">
        <v>0</v>
      </c>
      <c r="I501" s="33">
        <f t="shared" si="63"/>
        <v>262002</v>
      </c>
      <c r="J501" s="33" t="s">
        <v>36</v>
      </c>
      <c r="K501" s="33"/>
      <c r="L501" s="33">
        <v>0</v>
      </c>
      <c r="M501" s="33">
        <v>1</v>
      </c>
      <c r="N501" s="33"/>
      <c r="O501" s="33">
        <v>1</v>
      </c>
      <c r="P501" s="33">
        <f>VLOOKUP($C501,CHOOSE({1,2},怪物并表!$E$7:$E$1000,怪物并表!$D$7:$D$1000),2,FALSE)</f>
        <v>59</v>
      </c>
      <c r="Q501" s="33" t="s">
        <v>9</v>
      </c>
      <c r="R501" s="33">
        <f>VLOOKUP(Q501,怪物信息配置表!$A$2:$B$118,2,FALSE)</f>
        <v>1003</v>
      </c>
      <c r="S501" s="33">
        <v>1</v>
      </c>
      <c r="T501" s="110">
        <f>VLOOKUP($C501,怪物并表!$E$7:$N$1000,2+($D501-1)*3,FALSE)*S501*AJ501</f>
        <v>250332.42624357995</v>
      </c>
      <c r="U501" s="110">
        <f>VLOOKUP($C501,怪物并表!$E$7:$N$1000,3+($D501-1)*3,FALSE)*S501*AK501</f>
        <v>19558.319412871017</v>
      </c>
      <c r="V501" s="110">
        <f>VLOOKUP($C501,怪物并表!$E$7:$N$1000,4+($D501-1)*3,FALSE)*S501*AL501</f>
        <v>4457.4295870643509</v>
      </c>
      <c r="W501" s="33"/>
      <c r="X501" s="33"/>
      <c r="Y501" s="49">
        <f>VLOOKUP($C501,怪物并表!$E$7:$P$1000,12,FALSE)</f>
        <v>0</v>
      </c>
      <c r="Z501" s="49">
        <f>VLOOKUP($C501,怪物并表!$E$7:$P$1000,11,FALSE)*S501</f>
        <v>3777.0519999999997</v>
      </c>
      <c r="AA501" s="33"/>
      <c r="AB501" s="33"/>
      <c r="AC501" s="33"/>
      <c r="AD501" s="33">
        <f t="shared" si="61"/>
        <v>0.8</v>
      </c>
      <c r="AE501" s="2">
        <f t="shared" si="60"/>
        <v>439.5</v>
      </c>
      <c r="AF501" s="2" t="str">
        <f>IF(ISBLANK(AM501),IF(O501=6,"",IF(O501=1,VLOOKUP(R501,怪物信息配置表!B:H,5,FALSE),IF(O501=2,VLOOKUP(R501,怪物信息配置表!B:H,6,FALSE),IF(OR(O501=3,O501=5),VLOOKUP(R501,怪物信息配置表!B:H,7,FALSE),"")))),AM501)</f>
        <v>ai_monster_02</v>
      </c>
      <c r="AG501" s="2"/>
      <c r="AH501" s="15">
        <f>SUMPRODUCT(T501:V501,$AN$3:$AP$3)+ROUNDDOWN(VLOOKUP(P501,CHOOSE({1,2},'[1]消耗&amp;价值&amp;分析'!$C$7:$C$106,'[1]消耗&amp;价值&amp;分析'!$AS$7:$AS$106),2,FALSE)*0.6,0)</f>
        <v>38577.046049678567</v>
      </c>
      <c r="AJ501" s="80">
        <v>1</v>
      </c>
      <c r="AK501" s="80">
        <v>1</v>
      </c>
      <c r="AL501" s="80">
        <v>1</v>
      </c>
    </row>
    <row r="502" spans="1:38">
      <c r="A502" s="33" t="str">
        <f>怪物并表!$R$8</f>
        <v>精英副本</v>
      </c>
      <c r="B502" s="38">
        <v>3</v>
      </c>
      <c r="C502" s="33">
        <f t="shared" si="54"/>
        <v>6202</v>
      </c>
      <c r="D502" s="33">
        <v>1</v>
      </c>
      <c r="E502" s="33">
        <f>VLOOKUP(A502,怪物并表!$R$7:$S$14,2,FALSE)</f>
        <v>2</v>
      </c>
      <c r="F502" s="38">
        <v>6</v>
      </c>
      <c r="G502" s="38">
        <v>2</v>
      </c>
      <c r="H502" s="38">
        <v>0</v>
      </c>
      <c r="I502" s="33">
        <f t="shared" si="63"/>
        <v>262003</v>
      </c>
      <c r="J502" s="33" t="s">
        <v>487</v>
      </c>
      <c r="K502" s="33"/>
      <c r="L502" s="33">
        <v>0</v>
      </c>
      <c r="M502" s="33">
        <v>1</v>
      </c>
      <c r="N502" s="33"/>
      <c r="O502" s="33">
        <v>1</v>
      </c>
      <c r="P502" s="33">
        <f>VLOOKUP($C502,CHOOSE({1,2},怪物并表!$E$7:$E$1000,怪物并表!$D$7:$D$1000),2,FALSE)</f>
        <v>59</v>
      </c>
      <c r="Q502" s="33" t="s">
        <v>11</v>
      </c>
      <c r="R502" s="33">
        <f>VLOOKUP(Q502,怪物信息配置表!$A$2:$B$118,2,FALSE)</f>
        <v>1011</v>
      </c>
      <c r="S502" s="33">
        <v>1</v>
      </c>
      <c r="T502" s="110">
        <f>VLOOKUP($C502,怪物并表!$E$7:$N$1000,2+($D502-1)*3,FALSE)*S502*AJ502</f>
        <v>312915.53280447493</v>
      </c>
      <c r="U502" s="110">
        <f>VLOOKUP($C502,怪物并表!$E$7:$N$1000,3+($D502-1)*3,FALSE)*S502*AK502</f>
        <v>21096.504534662334</v>
      </c>
      <c r="V502" s="110">
        <f>VLOOKUP($C502,怪物并表!$E$7:$N$1000,4+($D502-1)*3,FALSE)*S502*AL502</f>
        <v>5857.5196496678955</v>
      </c>
      <c r="W502" s="33"/>
      <c r="X502" s="33"/>
      <c r="Y502" s="49">
        <f>VLOOKUP($C502,怪物并表!$E$7:$P$1000,12,FALSE)</f>
        <v>0</v>
      </c>
      <c r="Z502" s="49">
        <f>VLOOKUP($C502,怪物并表!$E$7:$P$1000,11,FALSE)*S502</f>
        <v>3777.0519999999997</v>
      </c>
      <c r="AA502" s="33"/>
      <c r="AB502" s="33"/>
      <c r="AC502" s="33"/>
      <c r="AD502" s="33">
        <f t="shared" si="61"/>
        <v>1</v>
      </c>
      <c r="AE502" s="2">
        <f t="shared" si="60"/>
        <v>299.375</v>
      </c>
      <c r="AF502" s="2" t="str">
        <f>IF(ISBLANK(AM502),IF(O502=6,"",IF(O502=1,VLOOKUP(R502,怪物信息配置表!B:H,5,FALSE),IF(O502=2,VLOOKUP(R502,怪物信息配置表!B:H,6,FALSE),IF(OR(O502=3,O502=5),VLOOKUP(R502,怪物信息配置表!B:H,7,FALSE),"")))),AM502)</f>
        <v>ai_monster</v>
      </c>
      <c r="AG502" s="2"/>
      <c r="AH502" s="15">
        <f>SUMPRODUCT(T502:V502,$AN$3:$AP$3)+ROUNDDOWN(VLOOKUP(P502,CHOOSE({1,2},'[1]消耗&amp;价值&amp;分析'!$C$7:$C$106,'[1]消耗&amp;价值&amp;分析'!$AS$7:$AS$106),2,FALSE)*0.6,0)</f>
        <v>44018.645496509227</v>
      </c>
      <c r="AJ502" s="80">
        <v>1</v>
      </c>
      <c r="AK502" s="80">
        <v>1</v>
      </c>
      <c r="AL502" s="80">
        <v>1</v>
      </c>
    </row>
    <row r="503" spans="1:38">
      <c r="A503" s="33" t="str">
        <f>怪物并表!$R$8</f>
        <v>精英副本</v>
      </c>
      <c r="B503" s="38">
        <v>4</v>
      </c>
      <c r="C503" s="33">
        <f t="shared" si="54"/>
        <v>6202</v>
      </c>
      <c r="D503" s="33">
        <v>3</v>
      </c>
      <c r="E503" s="33">
        <f>VLOOKUP(A503,怪物并表!$R$7:$S$14,2,FALSE)</f>
        <v>2</v>
      </c>
      <c r="F503" s="38">
        <v>6</v>
      </c>
      <c r="G503" s="38">
        <v>2</v>
      </c>
      <c r="H503" s="38">
        <v>0</v>
      </c>
      <c r="I503" s="33">
        <f t="shared" si="63"/>
        <v>262004</v>
      </c>
      <c r="J503" s="33" t="s">
        <v>251</v>
      </c>
      <c r="K503" s="33"/>
      <c r="L503" s="33">
        <v>1</v>
      </c>
      <c r="M503" s="33">
        <v>1.3</v>
      </c>
      <c r="N503" s="33"/>
      <c r="O503" s="33">
        <v>3</v>
      </c>
      <c r="P503" s="33">
        <f>VLOOKUP($C503,CHOOSE({1,2},怪物并表!$E$7:$E$1000,怪物并表!$D$7:$D$1000),2,FALSE)</f>
        <v>59</v>
      </c>
      <c r="Q503" s="33" t="s">
        <v>22</v>
      </c>
      <c r="R503" s="33">
        <f>VLOOKUP(Q503,怪物信息配置表!$A$2:$B$118,2,FALSE)</f>
        <v>1013</v>
      </c>
      <c r="S503" s="33">
        <v>1</v>
      </c>
      <c r="T503" s="110">
        <f>VLOOKUP($C503,怪物并表!$E$7:$N$1000,2+($D503-1)*3,FALSE)*S503*AJ503</f>
        <v>782288.83201118733</v>
      </c>
      <c r="U503" s="110">
        <f>VLOOKUP($C503,怪物并表!$E$7:$N$1000,3+($D503-1)*3,FALSE)*S503*AK503</f>
        <v>24172.874778244968</v>
      </c>
      <c r="V503" s="110">
        <f>VLOOKUP($C503,怪物并表!$E$7:$N$1000,4+($D503-1)*3,FALSE)*S503*AL503</f>
        <v>7257.6097122714409</v>
      </c>
      <c r="W503" s="33"/>
      <c r="X503" s="33"/>
      <c r="Y503" s="49">
        <f>VLOOKUP($C503,怪物并表!$E$7:$P$1000,12,FALSE)</f>
        <v>0</v>
      </c>
      <c r="Z503" s="49">
        <f>VLOOKUP($C503,怪物并表!$E$7:$P$1000,11,FALSE)*S503</f>
        <v>3777.0519999999997</v>
      </c>
      <c r="AA503" s="33"/>
      <c r="AB503" s="33"/>
      <c r="AC503" s="33"/>
      <c r="AD503" s="33">
        <f t="shared" si="61"/>
        <v>1.5</v>
      </c>
      <c r="AE503" s="2">
        <f t="shared" si="60"/>
        <v>50</v>
      </c>
      <c r="AF503" s="2" t="str">
        <f>IF(ISBLANK(AM503),IF(O503=6,"",IF(O503=1,VLOOKUP(R503,怪物信息配置表!B:H,5,FALSE),IF(O503=2,VLOOKUP(R503,怪物信息配置表!B:H,6,FALSE),IF(OR(O503=3,O503=5),VLOOKUP(R503,怪物信息配置表!B:H,7,FALSE),"")))),AM503)</f>
        <v>1013_nvrenzhe_BOSS</v>
      </c>
      <c r="AG503" s="2"/>
      <c r="AH503" s="15">
        <f>SUMPRODUCT(T503:V503,$AN$3:$AP$3)+ROUNDDOWN(VLOOKUP(P503,CHOOSE({1,2},'[1]消耗&amp;价值&amp;分析'!$C$7:$C$106,'[1]消耗&amp;价值&amp;分析'!$AS$7:$AS$106),2,FALSE)*0.6,0)</f>
        <v>67270.0377709639</v>
      </c>
      <c r="AJ503" s="80">
        <v>1</v>
      </c>
      <c r="AK503" s="80">
        <v>1</v>
      </c>
      <c r="AL503" s="80">
        <v>1</v>
      </c>
    </row>
    <row r="504" spans="1:38">
      <c r="A504" s="33" t="str">
        <f>怪物并表!$R$8</f>
        <v>精英副本</v>
      </c>
      <c r="B504" s="38">
        <v>1</v>
      </c>
      <c r="C504" s="33">
        <f t="shared" si="54"/>
        <v>6203</v>
      </c>
      <c r="D504" s="33">
        <v>1</v>
      </c>
      <c r="E504" s="33">
        <f>VLOOKUP(A504,怪物并表!$R$7:$S$14,2,FALSE)</f>
        <v>2</v>
      </c>
      <c r="F504" s="38">
        <v>6</v>
      </c>
      <c r="G504" s="38">
        <v>3</v>
      </c>
      <c r="H504" s="38">
        <v>0</v>
      </c>
      <c r="I504" s="33">
        <f t="shared" si="63"/>
        <v>263001</v>
      </c>
      <c r="J504" s="33" t="s">
        <v>22</v>
      </c>
      <c r="K504" s="33"/>
      <c r="L504" s="33">
        <v>0</v>
      </c>
      <c r="M504" s="33">
        <v>1</v>
      </c>
      <c r="N504" s="33"/>
      <c r="O504" s="33">
        <v>1</v>
      </c>
      <c r="P504" s="33">
        <f>VLOOKUP($C504,CHOOSE({1,2},怪物并表!$E$7:$E$1000,怪物并表!$D$7:$D$1000),2,FALSE)</f>
        <v>60</v>
      </c>
      <c r="Q504" s="33" t="s">
        <v>22</v>
      </c>
      <c r="R504" s="33">
        <f>VLOOKUP(Q504,怪物信息配置表!$A$2:$B$118,2,FALSE)</f>
        <v>1013</v>
      </c>
      <c r="S504" s="33">
        <v>1</v>
      </c>
      <c r="T504" s="110">
        <f>VLOOKUP($C504,怪物并表!$E$7:$N$1000,2+($D504-1)*3,FALSE)*S504*AJ504</f>
        <v>342261.42499239492</v>
      </c>
      <c r="U504" s="110">
        <f>VLOOKUP($C504,怪物并表!$E$7:$N$1000,3+($D504-1)*3,FALSE)*S504*AK504</f>
        <v>23149.581169474925</v>
      </c>
      <c r="V504" s="110">
        <f>VLOOKUP($C504,怪物并表!$E$7:$N$1000,4+($D504-1)*3,FALSE)*S504*AL504</f>
        <v>6369.7841771237499</v>
      </c>
      <c r="W504" s="33"/>
      <c r="X504" s="33"/>
      <c r="Y504" s="49">
        <f>VLOOKUP($C504,怪物并表!$E$7:$P$1000,12,FALSE)</f>
        <v>0</v>
      </c>
      <c r="Z504" s="49">
        <f>VLOOKUP($C504,怪物并表!$E$7:$P$1000,11,FALSE)*S504</f>
        <v>3835.2799999999997</v>
      </c>
      <c r="AA504" s="33"/>
      <c r="AB504" s="33"/>
      <c r="AC504" s="33"/>
      <c r="AD504" s="33">
        <f t="shared" si="61"/>
        <v>1</v>
      </c>
      <c r="AE504" s="2">
        <f t="shared" si="60"/>
        <v>287.5</v>
      </c>
      <c r="AF504" s="2" t="str">
        <f>IF(ISBLANK(AM504),IF(O504=6,"",IF(O504=1,VLOOKUP(R504,怪物信息配置表!B:H,5,FALSE),IF(O504=2,VLOOKUP(R504,怪物信息配置表!B:H,6,FALSE),IF(OR(O504=3,O504=5),VLOOKUP(R504,怪物信息配置表!B:H,7,FALSE),"")))),AM504)</f>
        <v>ai_monster_02</v>
      </c>
      <c r="AG504" s="2"/>
      <c r="AH504" s="15">
        <f>SUMPRODUCT(T504:V504,$AN$3:$AP$3)+ROUNDDOWN(VLOOKUP(P504,CHOOSE({1,2},'[1]消耗&amp;价值&amp;分析'!$C$7:$C$106,'[1]消耗&amp;价值&amp;分析'!$AS$7:$AS$106),2,FALSE)*0.6,0)</f>
        <v>47989.822346294473</v>
      </c>
      <c r="AJ504" s="80">
        <v>1</v>
      </c>
      <c r="AK504" s="80">
        <v>1</v>
      </c>
      <c r="AL504" s="80">
        <v>1</v>
      </c>
    </row>
    <row r="505" spans="1:38">
      <c r="A505" s="33" t="str">
        <f>怪物并表!$R$8</f>
        <v>精英副本</v>
      </c>
      <c r="B505" s="38">
        <v>2</v>
      </c>
      <c r="C505" s="33">
        <f t="shared" si="54"/>
        <v>6203</v>
      </c>
      <c r="D505" s="33">
        <v>1</v>
      </c>
      <c r="E505" s="33">
        <f>VLOOKUP(A505,怪物并表!$R$7:$S$14,2,FALSE)</f>
        <v>2</v>
      </c>
      <c r="F505" s="38">
        <v>6</v>
      </c>
      <c r="G505" s="38">
        <v>3</v>
      </c>
      <c r="H505" s="38">
        <v>0</v>
      </c>
      <c r="I505" s="33">
        <f t="shared" si="63"/>
        <v>263002</v>
      </c>
      <c r="J505" s="33" t="s">
        <v>482</v>
      </c>
      <c r="K505" s="33"/>
      <c r="L505" s="33">
        <v>0</v>
      </c>
      <c r="M505" s="33">
        <v>1</v>
      </c>
      <c r="N505" s="33"/>
      <c r="O505" s="33">
        <v>1</v>
      </c>
      <c r="P505" s="33">
        <f>VLOOKUP($C505,CHOOSE({1,2},怪物并表!$E$7:$E$1000,怪物并表!$D$7:$D$1000),2,FALSE)</f>
        <v>60</v>
      </c>
      <c r="Q505" s="33" t="s">
        <v>399</v>
      </c>
      <c r="R505" s="33">
        <f>VLOOKUP(Q505,怪物信息配置表!$A$2:$B$118,2,FALSE)</f>
        <v>1014</v>
      </c>
      <c r="S505" s="33">
        <v>1</v>
      </c>
      <c r="T505" s="110">
        <f>VLOOKUP($C505,怪物并表!$E$7:$N$1000,2+($D505-1)*3,FALSE)*S505*AJ505</f>
        <v>342261.42499239492</v>
      </c>
      <c r="U505" s="110">
        <f>VLOOKUP($C505,怪物并表!$E$7:$N$1000,3+($D505-1)*3,FALSE)*S505*AK505</f>
        <v>23149.581169474925</v>
      </c>
      <c r="V505" s="110">
        <f>VLOOKUP($C505,怪物并表!$E$7:$N$1000,4+($D505-1)*3,FALSE)*S505*AL505</f>
        <v>6369.7841771237499</v>
      </c>
      <c r="W505" s="33"/>
      <c r="X505" s="33"/>
      <c r="Y505" s="49">
        <f>VLOOKUP($C505,怪物并表!$E$7:$P$1000,12,FALSE)</f>
        <v>0</v>
      </c>
      <c r="Z505" s="49">
        <f>VLOOKUP($C505,怪物并表!$E$7:$P$1000,11,FALSE)*S505</f>
        <v>3835.2799999999997</v>
      </c>
      <c r="AA505" s="33"/>
      <c r="AB505" s="33"/>
      <c r="AC505" s="33"/>
      <c r="AD505" s="33">
        <f t="shared" si="61"/>
        <v>1</v>
      </c>
      <c r="AE505" s="2">
        <f t="shared" si="60"/>
        <v>237.5</v>
      </c>
      <c r="AF505" s="2" t="str">
        <f>IF(ISBLANK(AM505),IF(O505=6,"",IF(O505=1,VLOOKUP(R505,怪物信息配置表!B:H,5,FALSE),IF(O505=2,VLOOKUP(R505,怪物信息配置表!B:H,6,FALSE),IF(OR(O505=3,O505=5),VLOOKUP(R505,怪物信息配置表!B:H,7,FALSE),"")))),AM505)</f>
        <v>ai_monster_03</v>
      </c>
      <c r="AG505" s="2"/>
      <c r="AH505" s="15">
        <f>SUMPRODUCT(T505:V505,$AN$3:$AP$3)+ROUNDDOWN(VLOOKUP(P505,CHOOSE({1,2},'[1]消耗&amp;价值&amp;分析'!$C$7:$C$106,'[1]消耗&amp;价值&amp;分析'!$AS$7:$AS$106),2,FALSE)*0.6,0)</f>
        <v>47989.822346294473</v>
      </c>
      <c r="AJ505" s="80">
        <v>1</v>
      </c>
      <c r="AK505" s="80">
        <v>1</v>
      </c>
      <c r="AL505" s="80">
        <v>1</v>
      </c>
    </row>
    <row r="506" spans="1:38">
      <c r="A506" s="33" t="str">
        <f>怪物并表!$R$8</f>
        <v>精英副本</v>
      </c>
      <c r="B506" s="38">
        <v>3</v>
      </c>
      <c r="C506" s="33">
        <f t="shared" si="54"/>
        <v>6203</v>
      </c>
      <c r="D506" s="33">
        <v>1</v>
      </c>
      <c r="E506" s="33">
        <f>VLOOKUP(A506,怪物并表!$R$7:$S$14,2,FALSE)</f>
        <v>2</v>
      </c>
      <c r="F506" s="38">
        <v>6</v>
      </c>
      <c r="G506" s="38">
        <v>3</v>
      </c>
      <c r="H506" s="38">
        <v>0</v>
      </c>
      <c r="I506" s="33">
        <f t="shared" si="63"/>
        <v>263003</v>
      </c>
      <c r="J506" s="33" t="s">
        <v>10</v>
      </c>
      <c r="K506" s="33"/>
      <c r="L506" s="33">
        <v>0</v>
      </c>
      <c r="M506" s="33">
        <v>1</v>
      </c>
      <c r="N506" s="33"/>
      <c r="O506" s="33">
        <v>1</v>
      </c>
      <c r="P506" s="33">
        <f>VLOOKUP($C506,CHOOSE({1,2},怪物并表!$E$7:$E$1000,怪物并表!$D$7:$D$1000),2,FALSE)</f>
        <v>60</v>
      </c>
      <c r="Q506" s="33" t="s">
        <v>10</v>
      </c>
      <c r="R506" s="33">
        <f>VLOOKUP(Q506,怪物信息配置表!$A$2:$B$118,2,FALSE)</f>
        <v>1001</v>
      </c>
      <c r="S506" s="33">
        <v>1</v>
      </c>
      <c r="T506" s="110">
        <f>VLOOKUP($C506,怪物并表!$E$7:$N$1000,2+($D506-1)*3,FALSE)*S506*AJ506</f>
        <v>342261.42499239492</v>
      </c>
      <c r="U506" s="110">
        <f>VLOOKUP($C506,怪物并表!$E$7:$N$1000,3+($D506-1)*3,FALSE)*S506*AK506</f>
        <v>23149.581169474925</v>
      </c>
      <c r="V506" s="110">
        <f>VLOOKUP($C506,怪物并表!$E$7:$N$1000,4+($D506-1)*3,FALSE)*S506*AL506</f>
        <v>6369.7841771237499</v>
      </c>
      <c r="W506" s="33"/>
      <c r="X506" s="33"/>
      <c r="Y506" s="49">
        <f>VLOOKUP($C506,怪物并表!$E$7:$P$1000,12,FALSE)</f>
        <v>0</v>
      </c>
      <c r="Z506" s="49">
        <f>VLOOKUP($C506,怪物并表!$E$7:$P$1000,11,FALSE)*S506</f>
        <v>3835.2799999999997</v>
      </c>
      <c r="AA506" s="33"/>
      <c r="AB506" s="33"/>
      <c r="AC506" s="33"/>
      <c r="AD506" s="33">
        <f t="shared" si="61"/>
        <v>1</v>
      </c>
      <c r="AE506" s="2">
        <f t="shared" si="60"/>
        <v>287.5</v>
      </c>
      <c r="AF506" s="2" t="str">
        <f>IF(ISBLANK(AM506),IF(O506=6,"",IF(O506=1,VLOOKUP(R506,怪物信息配置表!B:H,5,FALSE),IF(O506=2,VLOOKUP(R506,怪物信息配置表!B:H,6,FALSE),IF(OR(O506=3,O506=5),VLOOKUP(R506,怪物信息配置表!B:H,7,FALSE),"")))),AM506)</f>
        <v>ai_monster</v>
      </c>
      <c r="AG506" s="2"/>
      <c r="AH506" s="15">
        <f>SUMPRODUCT(T506:V506,$AN$3:$AP$3)+ROUNDDOWN(VLOOKUP(P506,CHOOSE({1,2},'[1]消耗&amp;价值&amp;分析'!$C$7:$C$106,'[1]消耗&amp;价值&amp;分析'!$AS$7:$AS$106),2,FALSE)*0.6,0)</f>
        <v>47989.822346294473</v>
      </c>
      <c r="AJ506" s="80">
        <v>1</v>
      </c>
      <c r="AK506" s="80">
        <v>1</v>
      </c>
      <c r="AL506" s="80">
        <v>1</v>
      </c>
    </row>
    <row r="507" spans="1:38">
      <c r="A507" s="33" t="str">
        <f>怪物并表!$R$8</f>
        <v>精英副本</v>
      </c>
      <c r="B507" s="38">
        <v>4</v>
      </c>
      <c r="C507" s="33">
        <f t="shared" si="54"/>
        <v>6203</v>
      </c>
      <c r="D507" s="33">
        <v>3</v>
      </c>
      <c r="E507" s="33">
        <f>VLOOKUP(A507,怪物并表!$R$7:$S$14,2,FALSE)</f>
        <v>2</v>
      </c>
      <c r="F507" s="38">
        <v>6</v>
      </c>
      <c r="G507" s="38">
        <v>3</v>
      </c>
      <c r="H507" s="38">
        <v>0</v>
      </c>
      <c r="I507" s="33">
        <f t="shared" si="63"/>
        <v>263004</v>
      </c>
      <c r="J507" s="33" t="s">
        <v>252</v>
      </c>
      <c r="K507" s="33"/>
      <c r="L507" s="33">
        <v>1</v>
      </c>
      <c r="M507" s="33">
        <v>1.3</v>
      </c>
      <c r="N507" s="33"/>
      <c r="O507" s="33">
        <v>3</v>
      </c>
      <c r="P507" s="33">
        <f>VLOOKUP($C507,CHOOSE({1,2},怪物并表!$E$7:$E$1000,怪物并表!$D$7:$D$1000),2,FALSE)</f>
        <v>60</v>
      </c>
      <c r="Q507" s="33" t="s">
        <v>25</v>
      </c>
      <c r="R507" s="33">
        <f>VLOOKUP(Q507,怪物信息配置表!$A$2:$B$118,2,FALSE)</f>
        <v>1012</v>
      </c>
      <c r="S507" s="33">
        <v>1</v>
      </c>
      <c r="T507" s="110">
        <f>VLOOKUP($C507,怪物并表!$E$7:$N$1000,2+($D507-1)*3,FALSE)*S507*AJ507</f>
        <v>855653.56248098728</v>
      </c>
      <c r="U507" s="110">
        <f>VLOOKUP($C507,怪物并表!$E$7:$N$1000,3+($D507-1)*3,FALSE)*S507*AK507</f>
        <v>26566.205179155862</v>
      </c>
      <c r="V507" s="110">
        <f>VLOOKUP($C507,怪物并表!$E$7:$N$1000,4+($D507-1)*3,FALSE)*S507*AL507</f>
        <v>7825.7348461806059</v>
      </c>
      <c r="W507" s="33"/>
      <c r="X507" s="33"/>
      <c r="Y507" s="49">
        <f>VLOOKUP($C507,怪物并表!$E$7:$P$1000,12,FALSE)</f>
        <v>0</v>
      </c>
      <c r="Z507" s="49">
        <f>VLOOKUP($C507,怪物并表!$E$7:$P$1000,11,FALSE)*S507</f>
        <v>3835.2799999999997</v>
      </c>
      <c r="AA507" s="33"/>
      <c r="AB507" s="33"/>
      <c r="AC507" s="33"/>
      <c r="AD507" s="33">
        <f t="shared" si="61"/>
        <v>1.5</v>
      </c>
      <c r="AE507" s="2">
        <f t="shared" si="60"/>
        <v>50</v>
      </c>
      <c r="AF507" s="2" t="str">
        <f>IF(ISBLANK(AM507),IF(O507=6,"",IF(O507=1,VLOOKUP(R507,怪物信息配置表!B:H,5,FALSE),IF(O507=2,VLOOKUP(R507,怪物信息配置表!B:H,6,FALSE),IF(OR(O507=3,O507=5),VLOOKUP(R507,怪物信息配置表!B:H,7,FALSE),"")))),AM507)</f>
        <v>1012_jianke_BOSS</v>
      </c>
      <c r="AG507" s="2"/>
      <c r="AH507" s="15">
        <f>SUMPRODUCT(T507:V507,$AN$3:$AP$3)+ROUNDDOWN(VLOOKUP(P507,CHOOSE({1,2},'[1]消耗&amp;价值&amp;分析'!$C$7:$C$106,'[1]消耗&amp;价值&amp;分析'!$AS$7:$AS$106),2,FALSE)*0.6,0)</f>
        <v>73398.082524575962</v>
      </c>
      <c r="AJ507" s="80">
        <v>1</v>
      </c>
      <c r="AK507" s="80">
        <v>1</v>
      </c>
      <c r="AL507" s="80">
        <v>1</v>
      </c>
    </row>
    <row r="508" spans="1:38">
      <c r="A508" s="33" t="str">
        <f>怪物并表!$R$8</f>
        <v>精英副本</v>
      </c>
      <c r="B508" s="38">
        <v>1</v>
      </c>
      <c r="C508" s="33">
        <f t="shared" si="54"/>
        <v>6204</v>
      </c>
      <c r="D508" s="33">
        <v>1</v>
      </c>
      <c r="E508" s="33">
        <f>VLOOKUP(A508,怪物并表!$R$7:$S$14,2,FALSE)</f>
        <v>2</v>
      </c>
      <c r="F508" s="38">
        <v>6</v>
      </c>
      <c r="G508" s="38">
        <v>4</v>
      </c>
      <c r="H508" s="38">
        <v>0</v>
      </c>
      <c r="I508" s="33">
        <f t="shared" si="63"/>
        <v>264001</v>
      </c>
      <c r="J508" s="33" t="s">
        <v>26</v>
      </c>
      <c r="K508" s="33"/>
      <c r="L508" s="33">
        <v>0</v>
      </c>
      <c r="M508" s="33">
        <v>1</v>
      </c>
      <c r="N508" s="33"/>
      <c r="O508" s="33">
        <v>1</v>
      </c>
      <c r="P508" s="33">
        <f>VLOOKUP($C508,CHOOSE({1,2},怪物并表!$E$7:$E$1000,怪物并表!$D$7:$D$1000),2,FALSE)</f>
        <v>61</v>
      </c>
      <c r="Q508" s="33" t="s">
        <v>26</v>
      </c>
      <c r="R508" s="33">
        <f>VLOOKUP(Q508,怪物信息配置表!$A$2:$B$118,2,FALSE)</f>
        <v>1105</v>
      </c>
      <c r="S508" s="33">
        <v>1</v>
      </c>
      <c r="T508" s="110">
        <f>VLOOKUP($C508,怪物并表!$E$7:$N$1000,2+($D508-1)*3,FALSE)*S508*AJ508</f>
        <v>373660.56022095028</v>
      </c>
      <c r="U508" s="110">
        <f>VLOOKUP($C508,怪物并表!$E$7:$N$1000,3+($D508-1)*3,FALSE)*S508*AK508</f>
        <v>25368.139975782993</v>
      </c>
      <c r="V508" s="110">
        <f>VLOOKUP($C508,怪物并表!$E$7:$N$1000,4+($D508-1)*3,FALSE)*S508*AL508</f>
        <v>6913.4426152826118</v>
      </c>
      <c r="W508" s="33"/>
      <c r="X508" s="33"/>
      <c r="Y508" s="49">
        <f>VLOOKUP($C508,怪物并表!$E$7:$P$1000,12,FALSE)</f>
        <v>0</v>
      </c>
      <c r="Z508" s="49">
        <f>VLOOKUP($C508,怪物并表!$E$7:$P$1000,11,FALSE)*S508</f>
        <v>3893.5080000000003</v>
      </c>
      <c r="AA508" s="33"/>
      <c r="AB508" s="33"/>
      <c r="AC508" s="33"/>
      <c r="AD508" s="33">
        <f t="shared" si="61"/>
        <v>1</v>
      </c>
      <c r="AE508" s="2">
        <f t="shared" si="60"/>
        <v>228.125</v>
      </c>
      <c r="AF508" s="2" t="str">
        <f>IF(ISBLANK(AM508),IF(O508=6,"",IF(O508=1,VLOOKUP(R508,怪物信息配置表!B:H,5,FALSE),IF(O508=2,VLOOKUP(R508,怪物信息配置表!B:H,6,FALSE),IF(OR(O508=3,O508=5),VLOOKUP(R508,怪物信息配置表!B:H,7,FALSE),"")))),AM508)</f>
        <v>ai_monster_02</v>
      </c>
      <c r="AG508" s="2"/>
      <c r="AH508" s="15">
        <f>SUMPRODUCT(T508:V508,$AN$3:$AP$3)+ROUNDDOWN(VLOOKUP(P508,CHOOSE({1,2},'[1]消耗&amp;价值&amp;分析'!$C$7:$C$106,'[1]消耗&amp;价值&amp;分析'!$AS$7:$AS$106),2,FALSE)*0.6,0)</f>
        <v>52284.00499990362</v>
      </c>
      <c r="AJ508" s="80">
        <v>1</v>
      </c>
      <c r="AK508" s="80">
        <v>1</v>
      </c>
      <c r="AL508" s="80">
        <v>1</v>
      </c>
    </row>
    <row r="509" spans="1:38">
      <c r="A509" s="33" t="str">
        <f>怪物并表!$R$8</f>
        <v>精英副本</v>
      </c>
      <c r="B509" s="38">
        <v>2</v>
      </c>
      <c r="C509" s="33">
        <f t="shared" si="54"/>
        <v>6204</v>
      </c>
      <c r="D509" s="33">
        <v>2</v>
      </c>
      <c r="E509" s="33">
        <f>VLOOKUP(A509,怪物并表!$R$7:$S$14,2,FALSE)</f>
        <v>2</v>
      </c>
      <c r="F509" s="38">
        <v>6</v>
      </c>
      <c r="G509" s="38">
        <v>4</v>
      </c>
      <c r="H509" s="38">
        <v>0</v>
      </c>
      <c r="I509" s="33">
        <f t="shared" si="63"/>
        <v>264002</v>
      </c>
      <c r="J509" s="33" t="s">
        <v>471</v>
      </c>
      <c r="K509" s="33"/>
      <c r="L509" s="33">
        <v>0</v>
      </c>
      <c r="M509" s="33">
        <v>1</v>
      </c>
      <c r="N509" s="33"/>
      <c r="O509" s="33">
        <v>1</v>
      </c>
      <c r="P509" s="33">
        <f>VLOOKUP($C509,CHOOSE({1,2},怪物并表!$E$7:$E$1000,怪物并表!$D$7:$D$1000),2,FALSE)</f>
        <v>61</v>
      </c>
      <c r="Q509" s="33" t="s">
        <v>17</v>
      </c>
      <c r="R509" s="33">
        <f>VLOOKUP(Q509,怪物信息配置表!$A$2:$B$118,2,FALSE)</f>
        <v>1005</v>
      </c>
      <c r="S509" s="33">
        <v>1</v>
      </c>
      <c r="T509" s="110">
        <f>VLOOKUP($C509,怪物并表!$E$7:$N$1000,2+($D509-1)*3,FALSE)*S509*AJ509</f>
        <v>298928.44817676023</v>
      </c>
      <c r="U509" s="110">
        <f>VLOOKUP($C509,怪物并表!$E$7:$N$1000,3+($D509-1)*3,FALSE)*S509*AK509</f>
        <v>23474.436919161217</v>
      </c>
      <c r="V509" s="110">
        <f>VLOOKUP($C509,怪物并表!$E$7:$N$1000,4+($D509-1)*3,FALSE)*S509*AL509</f>
        <v>5402.1319040347862</v>
      </c>
      <c r="W509" s="33"/>
      <c r="X509" s="33"/>
      <c r="Y509" s="49">
        <f>VLOOKUP($C509,怪物并表!$E$7:$P$1000,12,FALSE)</f>
        <v>0</v>
      </c>
      <c r="Z509" s="49">
        <f>VLOOKUP($C509,怪物并表!$E$7:$P$1000,11,FALSE)*S509</f>
        <v>3893.5080000000003</v>
      </c>
      <c r="AA509" s="33"/>
      <c r="AB509" s="33"/>
      <c r="AC509" s="33"/>
      <c r="AD509" s="33">
        <f t="shared" si="61"/>
        <v>0.8</v>
      </c>
      <c r="AE509" s="2">
        <f t="shared" si="60"/>
        <v>420.5</v>
      </c>
      <c r="AF509" s="2" t="str">
        <f>IF(ISBLANK(AM509),IF(O509=6,"",IF(O509=1,VLOOKUP(R509,怪物信息配置表!B:H,5,FALSE),IF(O509=2,VLOOKUP(R509,怪物信息配置表!B:H,6,FALSE),IF(OR(O509=3,O509=5),VLOOKUP(R509,怪物信息配置表!B:H,7,FALSE),"")))),AM509)</f>
        <v>ai_monster_02</v>
      </c>
      <c r="AG509" s="2"/>
      <c r="AH509" s="15">
        <f>SUMPRODUCT(T509:V509,$AN$3:$AP$3)+ROUNDDOWN(VLOOKUP(P509,CHOOSE({1,2},'[1]消耗&amp;价值&amp;分析'!$C$7:$C$106,'[1]消耗&amp;价值&amp;分析'!$AS$7:$AS$106),2,FALSE)*0.6,0)</f>
        <v>45889.706750266414</v>
      </c>
      <c r="AJ509" s="80">
        <v>1</v>
      </c>
      <c r="AK509" s="80">
        <v>1</v>
      </c>
      <c r="AL509" s="80">
        <v>1</v>
      </c>
    </row>
    <row r="510" spans="1:38">
      <c r="A510" s="33" t="str">
        <f>怪物并表!$R$8</f>
        <v>精英副本</v>
      </c>
      <c r="B510" s="38">
        <v>3</v>
      </c>
      <c r="C510" s="33">
        <f t="shared" ref="C510:C591" si="65">1000*F510+200+G510</f>
        <v>6204</v>
      </c>
      <c r="D510" s="33">
        <v>1</v>
      </c>
      <c r="E510" s="33">
        <f>VLOOKUP(A510,怪物并表!$R$7:$S$14,2,FALSE)</f>
        <v>2</v>
      </c>
      <c r="F510" s="38">
        <v>6</v>
      </c>
      <c r="G510" s="38">
        <v>4</v>
      </c>
      <c r="H510" s="38">
        <v>0</v>
      </c>
      <c r="I510" s="33">
        <f t="shared" si="63"/>
        <v>264003</v>
      </c>
      <c r="J510" s="33" t="s">
        <v>216</v>
      </c>
      <c r="K510" s="33"/>
      <c r="L510" s="33">
        <v>0</v>
      </c>
      <c r="M510" s="33">
        <v>1</v>
      </c>
      <c r="N510" s="33"/>
      <c r="O510" s="33">
        <v>1</v>
      </c>
      <c r="P510" s="33">
        <f>VLOOKUP($C510,CHOOSE({1,2},怪物并表!$E$7:$E$1000,怪物并表!$D$7:$D$1000),2,FALSE)</f>
        <v>61</v>
      </c>
      <c r="Q510" s="33" t="s">
        <v>12</v>
      </c>
      <c r="R510" s="33">
        <f>VLOOKUP(Q510,怪物信息配置表!$A$2:$B$118,2,FALSE)</f>
        <v>1009</v>
      </c>
      <c r="S510" s="33">
        <v>1</v>
      </c>
      <c r="T510" s="110">
        <f>VLOOKUP($C510,怪物并表!$E$7:$N$1000,2+($D510-1)*3,FALSE)*S510*AJ510</f>
        <v>373660.56022095028</v>
      </c>
      <c r="U510" s="110">
        <f>VLOOKUP($C510,怪物并表!$E$7:$N$1000,3+($D510-1)*3,FALSE)*S510*AK510</f>
        <v>25368.139975782993</v>
      </c>
      <c r="V510" s="110">
        <f>VLOOKUP($C510,怪物并表!$E$7:$N$1000,4+($D510-1)*3,FALSE)*S510*AL510</f>
        <v>6913.4426152826118</v>
      </c>
      <c r="W510" s="33"/>
      <c r="X510" s="33"/>
      <c r="Y510" s="49">
        <f>VLOOKUP($C510,怪物并表!$E$7:$P$1000,12,FALSE)</f>
        <v>0</v>
      </c>
      <c r="Z510" s="49">
        <f>VLOOKUP($C510,怪物并表!$E$7:$P$1000,11,FALSE)*S510</f>
        <v>3893.5080000000003</v>
      </c>
      <c r="AA510" s="33"/>
      <c r="AB510" s="33"/>
      <c r="AC510" s="33"/>
      <c r="AD510" s="33">
        <f t="shared" si="61"/>
        <v>1</v>
      </c>
      <c r="AE510" s="2">
        <f t="shared" si="60"/>
        <v>275.625</v>
      </c>
      <c r="AF510" s="2" t="str">
        <f>IF(ISBLANK(AM510),IF(O510=6,"",IF(O510=1,VLOOKUP(R510,怪物信息配置表!B:H,5,FALSE),IF(O510=2,VLOOKUP(R510,怪物信息配置表!B:H,6,FALSE),IF(OR(O510=3,O510=5),VLOOKUP(R510,怪物信息配置表!B:H,7,FALSE),"")))),AM510)</f>
        <v>ai_monster</v>
      </c>
      <c r="AG510" s="2"/>
      <c r="AH510" s="15">
        <f>SUMPRODUCT(T510:V510,$AN$3:$AP$3)+ROUNDDOWN(VLOOKUP(P510,CHOOSE({1,2},'[1]消耗&amp;价值&amp;分析'!$C$7:$C$106,'[1]消耗&amp;价值&amp;分析'!$AS$7:$AS$106),2,FALSE)*0.6,0)</f>
        <v>52284.00499990362</v>
      </c>
      <c r="AJ510" s="80">
        <v>1</v>
      </c>
      <c r="AK510" s="80">
        <v>1</v>
      </c>
      <c r="AL510" s="80">
        <v>1</v>
      </c>
    </row>
    <row r="511" spans="1:38">
      <c r="A511" s="33" t="str">
        <f>怪物并表!$R$8</f>
        <v>精英副本</v>
      </c>
      <c r="B511" s="38">
        <v>4</v>
      </c>
      <c r="C511" s="33">
        <f t="shared" si="65"/>
        <v>6204</v>
      </c>
      <c r="D511" s="33">
        <v>3</v>
      </c>
      <c r="E511" s="33">
        <f>VLOOKUP(A511,怪物并表!$R$7:$S$14,2,FALSE)</f>
        <v>2</v>
      </c>
      <c r="F511" s="38">
        <v>6</v>
      </c>
      <c r="G511" s="38">
        <v>4</v>
      </c>
      <c r="H511" s="38">
        <v>0</v>
      </c>
      <c r="I511" s="33">
        <f t="shared" si="63"/>
        <v>264004</v>
      </c>
      <c r="J511" s="33" t="s">
        <v>253</v>
      </c>
      <c r="K511" s="33"/>
      <c r="L511" s="33">
        <v>1</v>
      </c>
      <c r="M511" s="33">
        <v>1.3</v>
      </c>
      <c r="N511" s="33"/>
      <c r="O511" s="33">
        <v>3</v>
      </c>
      <c r="P511" s="33">
        <f>VLOOKUP($C511,CHOOSE({1,2},怪物并表!$E$7:$E$1000,怪物并表!$D$7:$D$1000),2,FALSE)</f>
        <v>61</v>
      </c>
      <c r="Q511" s="33" t="s">
        <v>11</v>
      </c>
      <c r="R511" s="33">
        <f>VLOOKUP(Q511,怪物信息配置表!$A$2:$B$118,2,FALSE)</f>
        <v>1011</v>
      </c>
      <c r="S511" s="33">
        <v>1</v>
      </c>
      <c r="T511" s="110">
        <f>VLOOKUP($C511,怪物并表!$E$7:$N$1000,2+($D511-1)*3,FALSE)*S511*AJ511</f>
        <v>934151.40055237571</v>
      </c>
      <c r="U511" s="110">
        <f>VLOOKUP($C511,怪物并表!$E$7:$N$1000,3+($D511-1)*3,FALSE)*S511*AK511</f>
        <v>29155.546089026546</v>
      </c>
      <c r="V511" s="110">
        <f>VLOOKUP($C511,怪物并表!$E$7:$N$1000,4+($D511-1)*3,FALSE)*S511*AL511</f>
        <v>8424.7533265304373</v>
      </c>
      <c r="W511" s="33"/>
      <c r="X511" s="33"/>
      <c r="Y511" s="49">
        <f>VLOOKUP($C511,怪物并表!$E$7:$P$1000,12,FALSE)</f>
        <v>0</v>
      </c>
      <c r="Z511" s="49">
        <f>VLOOKUP($C511,怪物并表!$E$7:$P$1000,11,FALSE)*S511</f>
        <v>3893.5080000000003</v>
      </c>
      <c r="AA511" s="33"/>
      <c r="AB511" s="33"/>
      <c r="AC511" s="33"/>
      <c r="AD511" s="33">
        <f t="shared" si="61"/>
        <v>1.5</v>
      </c>
      <c r="AE511" s="2">
        <f t="shared" si="60"/>
        <v>50</v>
      </c>
      <c r="AF511" s="2" t="str">
        <f>IF(ISBLANK(AM511),IF(O511=6,"",IF(O511=1,VLOOKUP(R511,怪物信息配置表!B:H,5,FALSE),IF(O511=2,VLOOKUP(R511,怪物信息配置表!B:H,6,FALSE),IF(OR(O511=3,O511=5),VLOOKUP(R511,怪物信息配置表!B:H,7,FALSE),"")))),AM511)</f>
        <v>1011_jichenan_BOSS</v>
      </c>
      <c r="AG511" s="2"/>
      <c r="AH511" s="15">
        <f>SUMPRODUCT(T511:V511,$AN$3:$AP$3)+ROUNDDOWN(VLOOKUP(P511,CHOOSE({1,2},'[1]消耗&amp;价值&amp;分析'!$C$7:$C$106,'[1]消耗&amp;价值&amp;分析'!$AS$7:$AS$106),2,FALSE)*0.6,0)</f>
        <v>80002.355437652019</v>
      </c>
      <c r="AJ511" s="80">
        <v>1</v>
      </c>
      <c r="AK511" s="80">
        <v>1</v>
      </c>
      <c r="AL511" s="80">
        <v>1</v>
      </c>
    </row>
    <row r="512" spans="1:38">
      <c r="A512" s="33" t="str">
        <f>怪物并表!$R$8</f>
        <v>精英副本</v>
      </c>
      <c r="B512" s="38">
        <v>1</v>
      </c>
      <c r="C512" s="33">
        <f t="shared" si="65"/>
        <v>6205</v>
      </c>
      <c r="D512" s="33">
        <v>1</v>
      </c>
      <c r="E512" s="33">
        <f>VLOOKUP(A512,怪物并表!$R$7:$S$14,2,FALSE)</f>
        <v>2</v>
      </c>
      <c r="F512" s="38">
        <v>6</v>
      </c>
      <c r="G512" s="38">
        <v>5</v>
      </c>
      <c r="H512" s="38">
        <v>0</v>
      </c>
      <c r="I512" s="33">
        <f t="shared" si="63"/>
        <v>265001</v>
      </c>
      <c r="J512" s="33" t="s">
        <v>7</v>
      </c>
      <c r="K512" s="33"/>
      <c r="L512" s="33">
        <v>0</v>
      </c>
      <c r="M512" s="33">
        <v>1</v>
      </c>
      <c r="N512" s="33"/>
      <c r="O512" s="33">
        <v>1</v>
      </c>
      <c r="P512" s="33">
        <f>VLOOKUP($C512,CHOOSE({1,2},怪物并表!$E$7:$E$1000,怪物并表!$D$7:$D$1000),2,FALSE)</f>
        <v>62</v>
      </c>
      <c r="Q512" s="33" t="s">
        <v>7</v>
      </c>
      <c r="R512" s="33">
        <f>VLOOKUP(Q512,怪物信息配置表!$A$2:$B$118,2,FALSE)</f>
        <v>1002</v>
      </c>
      <c r="S512" s="33">
        <v>1</v>
      </c>
      <c r="T512" s="110">
        <f>VLOOKUP($C512,怪物并表!$E$7:$N$1000,2+($D512-1)*3,FALSE)*S512*AJ512</f>
        <v>407213.01716939243</v>
      </c>
      <c r="U512" s="110">
        <f>VLOOKUP($C512,怪物并表!$E$7:$N$1000,3+($D512-1)*3,FALSE)*S512*AK512</f>
        <v>27763.460912717324</v>
      </c>
      <c r="V512" s="110">
        <f>VLOOKUP($C512,怪物并表!$E$7:$N$1000,4+($D512-1)*3,FALSE)*S512*AL512</f>
        <v>7489.6779176668942</v>
      </c>
      <c r="W512" s="33"/>
      <c r="X512" s="33"/>
      <c r="Y512" s="49">
        <f>VLOOKUP($C512,怪物并表!$E$7:$P$1000,12,FALSE)</f>
        <v>0</v>
      </c>
      <c r="Z512" s="49">
        <f>VLOOKUP($C512,怪物并表!$E$7:$P$1000,11,FALSE)*S512</f>
        <v>3951.7360000000003</v>
      </c>
      <c r="AA512" s="33"/>
      <c r="AB512" s="33"/>
      <c r="AC512" s="33"/>
      <c r="AD512" s="33">
        <f t="shared" si="61"/>
        <v>1</v>
      </c>
      <c r="AE512" s="2">
        <f t="shared" si="60"/>
        <v>263.75</v>
      </c>
      <c r="AF512" s="2" t="str">
        <f>IF(ISBLANK(AM512),IF(O512=6,"",IF(O512=1,VLOOKUP(R512,怪物信息配置表!B:H,5,FALSE),IF(O512=2,VLOOKUP(R512,怪物信息配置表!B:H,6,FALSE),IF(OR(O512=3,O512=5),VLOOKUP(R512,怪物信息配置表!B:H,7,FALSE),"")))),AM512)</f>
        <v>ai_monster</v>
      </c>
      <c r="AG512" s="2"/>
      <c r="AH512" s="15">
        <f>SUMPRODUCT(T512:V512,$AN$3:$AP$3)+ROUNDDOWN(VLOOKUP(P512,CHOOSE({1,2},'[1]消耗&amp;价值&amp;分析'!$C$7:$C$106,'[1]消耗&amp;价值&amp;分析'!$AS$7:$AS$106),2,FALSE)*0.6,0)</f>
        <v>56815.659517159918</v>
      </c>
      <c r="AJ512" s="80">
        <v>1</v>
      </c>
      <c r="AK512" s="80">
        <v>1</v>
      </c>
      <c r="AL512" s="80">
        <v>1</v>
      </c>
    </row>
    <row r="513" spans="1:38">
      <c r="A513" s="33" t="str">
        <f>怪物并表!$R$8</f>
        <v>精英副本</v>
      </c>
      <c r="B513" s="38">
        <v>2</v>
      </c>
      <c r="C513" s="33">
        <f t="shared" si="65"/>
        <v>6205</v>
      </c>
      <c r="D513" s="33">
        <v>1</v>
      </c>
      <c r="E513" s="33">
        <f>VLOOKUP(A513,怪物并表!$R$7:$S$14,2,FALSE)</f>
        <v>2</v>
      </c>
      <c r="F513" s="38">
        <v>6</v>
      </c>
      <c r="G513" s="38">
        <v>5</v>
      </c>
      <c r="H513" s="38">
        <v>0</v>
      </c>
      <c r="I513" s="33">
        <f t="shared" si="63"/>
        <v>265002</v>
      </c>
      <c r="J513" s="33" t="s">
        <v>44</v>
      </c>
      <c r="K513" s="33"/>
      <c r="L513" s="33">
        <v>0</v>
      </c>
      <c r="M513" s="33">
        <v>1</v>
      </c>
      <c r="N513" s="33"/>
      <c r="O513" s="33">
        <v>1</v>
      </c>
      <c r="P513" s="33">
        <f>VLOOKUP($C513,CHOOSE({1,2},怪物并表!$E$7:$E$1000,怪物并表!$D$7:$D$1000),2,FALSE)</f>
        <v>62</v>
      </c>
      <c r="Q513" s="33" t="s">
        <v>25</v>
      </c>
      <c r="R513" s="33">
        <f>VLOOKUP(Q513,怪物信息配置表!$A$2:$B$118,2,FALSE)</f>
        <v>1012</v>
      </c>
      <c r="S513" s="33">
        <v>1</v>
      </c>
      <c r="T513" s="110">
        <f>VLOOKUP($C513,怪物并表!$E$7:$N$1000,2+($D513-1)*3,FALSE)*S513*AJ513</f>
        <v>407213.01716939243</v>
      </c>
      <c r="U513" s="110">
        <f>VLOOKUP($C513,怪物并表!$E$7:$N$1000,3+($D513-1)*3,FALSE)*S513*AK513</f>
        <v>27763.460912717324</v>
      </c>
      <c r="V513" s="110">
        <f>VLOOKUP($C513,怪物并表!$E$7:$N$1000,4+($D513-1)*3,FALSE)*S513*AL513</f>
        <v>7489.6779176668942</v>
      </c>
      <c r="W513" s="33"/>
      <c r="X513" s="33"/>
      <c r="Y513" s="49">
        <f>VLOOKUP($C513,怪物并表!$E$7:$P$1000,12,FALSE)</f>
        <v>0</v>
      </c>
      <c r="Z513" s="49">
        <f>VLOOKUP($C513,怪物并表!$E$7:$P$1000,11,FALSE)*S513</f>
        <v>3951.7360000000003</v>
      </c>
      <c r="AA513" s="33"/>
      <c r="AB513" s="33"/>
      <c r="AC513" s="33"/>
      <c r="AD513" s="33">
        <f t="shared" si="61"/>
        <v>1</v>
      </c>
      <c r="AE513" s="2">
        <f t="shared" si="60"/>
        <v>263.75</v>
      </c>
      <c r="AF513" s="2" t="str">
        <f>IF(ISBLANK(AM513),IF(O513=6,"",IF(O513=1,VLOOKUP(R513,怪物信息配置表!B:H,5,FALSE),IF(O513=2,VLOOKUP(R513,怪物信息配置表!B:H,6,FALSE),IF(OR(O513=3,O513=5),VLOOKUP(R513,怪物信息配置表!B:H,7,FALSE),"")))),AM513)</f>
        <v>ai_monster_03</v>
      </c>
      <c r="AG513" s="2"/>
      <c r="AH513" s="15">
        <f>SUMPRODUCT(T513:V513,$AN$3:$AP$3)+ROUNDDOWN(VLOOKUP(P513,CHOOSE({1,2},'[1]消耗&amp;价值&amp;分析'!$C$7:$C$106,'[1]消耗&amp;价值&amp;分析'!$AS$7:$AS$106),2,FALSE)*0.6,0)</f>
        <v>56815.659517159918</v>
      </c>
      <c r="AJ513" s="80">
        <v>1</v>
      </c>
      <c r="AK513" s="80">
        <v>1</v>
      </c>
      <c r="AL513" s="80">
        <v>1</v>
      </c>
    </row>
    <row r="514" spans="1:38">
      <c r="A514" s="33" t="str">
        <f>怪物并表!$R$8</f>
        <v>精英副本</v>
      </c>
      <c r="B514" s="38">
        <v>3</v>
      </c>
      <c r="C514" s="33">
        <f t="shared" si="65"/>
        <v>6205</v>
      </c>
      <c r="D514" s="33">
        <v>1</v>
      </c>
      <c r="E514" s="33">
        <f>VLOOKUP(A514,怪物并表!$R$7:$S$14,2,FALSE)</f>
        <v>2</v>
      </c>
      <c r="F514" s="38">
        <v>6</v>
      </c>
      <c r="G514" s="38">
        <v>5</v>
      </c>
      <c r="H514" s="38">
        <v>0</v>
      </c>
      <c r="I514" s="33">
        <f t="shared" si="63"/>
        <v>265003</v>
      </c>
      <c r="J514" s="33" t="s">
        <v>485</v>
      </c>
      <c r="K514" s="33"/>
      <c r="L514" s="33">
        <v>0</v>
      </c>
      <c r="M514" s="33">
        <v>1</v>
      </c>
      <c r="N514" s="33"/>
      <c r="O514" s="33">
        <v>1</v>
      </c>
      <c r="P514" s="33">
        <f>VLOOKUP($C514,CHOOSE({1,2},怪物并表!$E$7:$E$1000,怪物并表!$D$7:$D$1000),2,FALSE)</f>
        <v>62</v>
      </c>
      <c r="Q514" s="33" t="s">
        <v>24</v>
      </c>
      <c r="R514" s="33">
        <f>VLOOKUP(Q514,怪物信息配置表!$A$2:$B$118,2,FALSE)</f>
        <v>1015</v>
      </c>
      <c r="S514" s="33">
        <v>1</v>
      </c>
      <c r="T514" s="110">
        <f>VLOOKUP($C514,怪物并表!$E$7:$N$1000,2+($D514-1)*3,FALSE)*S514*AJ514</f>
        <v>407213.01716939243</v>
      </c>
      <c r="U514" s="110">
        <f>VLOOKUP($C514,怪物并表!$E$7:$N$1000,3+($D514-1)*3,FALSE)*S514*AK514</f>
        <v>27763.460912717324</v>
      </c>
      <c r="V514" s="110">
        <f>VLOOKUP($C514,怪物并表!$E$7:$N$1000,4+($D514-1)*3,FALSE)*S514*AL514</f>
        <v>7489.6779176668942</v>
      </c>
      <c r="W514" s="33"/>
      <c r="X514" s="33"/>
      <c r="Y514" s="49">
        <f>VLOOKUP($C514,怪物并表!$E$7:$P$1000,12,FALSE)</f>
        <v>0</v>
      </c>
      <c r="Z514" s="49">
        <f>VLOOKUP($C514,怪物并表!$E$7:$P$1000,11,FALSE)*S514</f>
        <v>3951.7360000000003</v>
      </c>
      <c r="AA514" s="33"/>
      <c r="AB514" s="33"/>
      <c r="AC514" s="33"/>
      <c r="AD514" s="33">
        <f t="shared" si="61"/>
        <v>1</v>
      </c>
      <c r="AE514" s="2">
        <f t="shared" ref="AE514:AE577" si="66">MAX(VLOOKUP(Q514,怪物信息配置表,3,FALSE)-VLOOKUP(Q514,怪物信息配置表,5,FALSE)*P514*AD514,50)</f>
        <v>218.75</v>
      </c>
      <c r="AF514" s="2" t="str">
        <f>IF(ISBLANK(AM514),IF(O514=6,"",IF(O514=1,VLOOKUP(R514,怪物信息配置表!B:H,5,FALSE),IF(O514=2,VLOOKUP(R514,怪物信息配置表!B:H,6,FALSE),IF(OR(O514=3,O514=5),VLOOKUP(R514,怪物信息配置表!B:H,7,FALSE),"")))),AM514)</f>
        <v>ai_monster_03</v>
      </c>
      <c r="AG514" s="2"/>
      <c r="AH514" s="15">
        <f>SUMPRODUCT(T514:V514,$AN$3:$AP$3)+ROUNDDOWN(VLOOKUP(P514,CHOOSE({1,2},'[1]消耗&amp;价值&amp;分析'!$C$7:$C$106,'[1]消耗&amp;价值&amp;分析'!$AS$7:$AS$106),2,FALSE)*0.6,0)</f>
        <v>56815.659517159918</v>
      </c>
      <c r="AJ514" s="80">
        <v>1</v>
      </c>
      <c r="AK514" s="80">
        <v>1</v>
      </c>
      <c r="AL514" s="80">
        <v>1</v>
      </c>
    </row>
    <row r="515" spans="1:38">
      <c r="A515" s="33" t="str">
        <f>怪物并表!$R$8</f>
        <v>精英副本</v>
      </c>
      <c r="B515" s="38">
        <v>4</v>
      </c>
      <c r="C515" s="33">
        <f t="shared" si="65"/>
        <v>6205</v>
      </c>
      <c r="D515" s="33">
        <v>3</v>
      </c>
      <c r="E515" s="33">
        <f>VLOOKUP(A515,怪物并表!$R$7:$S$14,2,FALSE)</f>
        <v>2</v>
      </c>
      <c r="F515" s="38">
        <v>6</v>
      </c>
      <c r="G515" s="38">
        <v>5</v>
      </c>
      <c r="H515" s="38">
        <v>0</v>
      </c>
      <c r="I515" s="33">
        <f t="shared" si="63"/>
        <v>265004</v>
      </c>
      <c r="J515" s="33" t="s">
        <v>510</v>
      </c>
      <c r="K515" s="33"/>
      <c r="L515" s="33">
        <v>1</v>
      </c>
      <c r="M515" s="33">
        <v>1.3</v>
      </c>
      <c r="N515" s="33"/>
      <c r="O515" s="33">
        <v>3</v>
      </c>
      <c r="P515" s="33">
        <f>VLOOKUP($C515,CHOOSE({1,2},怪物并表!$E$7:$E$1000,怪物并表!$D$7:$D$1000),2,FALSE)</f>
        <v>62</v>
      </c>
      <c r="Q515" s="33" t="s">
        <v>397</v>
      </c>
      <c r="R515" s="33">
        <f>VLOOKUP(Q515,怪物信息配置表!$A$2:$B$118,2,FALSE)</f>
        <v>1107</v>
      </c>
      <c r="S515" s="33">
        <v>1</v>
      </c>
      <c r="T515" s="110">
        <f>VLOOKUP($C515,怪物并表!$E$7:$N$1000,2+($D515-1)*3,FALSE)*S515*AJ515</f>
        <v>1018032.5429234811</v>
      </c>
      <c r="U515" s="110">
        <f>VLOOKUP($C515,怪物并表!$E$7:$N$1000,3+($D515-1)*3,FALSE)*S515*AK515</f>
        <v>31954.393473866803</v>
      </c>
      <c r="V515" s="110">
        <f>VLOOKUP($C515,怪物并表!$E$7:$N$1000,4+($D515-1)*3,FALSE)*S515*AL515</f>
        <v>9055.7014822699712</v>
      </c>
      <c r="W515" s="33"/>
      <c r="X515" s="33"/>
      <c r="Y515" s="49">
        <f>VLOOKUP($C515,怪物并表!$E$7:$P$1000,12,FALSE)</f>
        <v>0</v>
      </c>
      <c r="Z515" s="49">
        <f>VLOOKUP($C515,怪物并表!$E$7:$P$1000,11,FALSE)*S515</f>
        <v>3951.7360000000003</v>
      </c>
      <c r="AA515" s="33"/>
      <c r="AB515" s="33"/>
      <c r="AC515" s="33"/>
      <c r="AD515" s="33">
        <f t="shared" si="61"/>
        <v>1.5</v>
      </c>
      <c r="AE515" s="2">
        <f t="shared" si="66"/>
        <v>50</v>
      </c>
      <c r="AF515" s="2" t="str">
        <f>IF(ISBLANK(AM515),IF(O515=6,"",IF(O515=1,VLOOKUP(R515,怪物信息配置表!B:H,5,FALSE),IF(O515=2,VLOOKUP(R515,怪物信息配置表!B:H,6,FALSE),IF(OR(O515=3,O515=5),VLOOKUP(R515,怪物信息配置表!B:H,7,FALSE),"")))),AM515)</f>
        <v>1107_CHN_BOSS</v>
      </c>
      <c r="AG515" s="2"/>
      <c r="AH515" s="15">
        <f>SUMPRODUCT(T515:V515,$AN$3:$AP$3)+ROUNDDOWN(VLOOKUP(P515,CHOOSE({1,2},'[1]消耗&amp;价值&amp;分析'!$C$7:$C$106,'[1]消耗&amp;价值&amp;分析'!$AS$7:$AS$106),2,FALSE)*0.6,0)</f>
        <v>87005.396673076029</v>
      </c>
      <c r="AJ515" s="80">
        <v>1</v>
      </c>
      <c r="AK515" s="80">
        <v>1</v>
      </c>
      <c r="AL515" s="80">
        <v>1</v>
      </c>
    </row>
    <row r="516" spans="1:38">
      <c r="A516" s="33" t="str">
        <f>怪物并表!$R$8</f>
        <v>精英副本</v>
      </c>
      <c r="B516" s="38">
        <v>1</v>
      </c>
      <c r="C516" s="33">
        <f t="shared" si="65"/>
        <v>6206</v>
      </c>
      <c r="D516" s="33">
        <v>1</v>
      </c>
      <c r="E516" s="33">
        <f>VLOOKUP(A516,怪物并表!$R$7:$S$14,2,FALSE)</f>
        <v>2</v>
      </c>
      <c r="F516" s="38">
        <v>6</v>
      </c>
      <c r="G516" s="38">
        <v>6</v>
      </c>
      <c r="H516" s="38">
        <v>0</v>
      </c>
      <c r="I516" s="33">
        <f t="shared" si="63"/>
        <v>266001</v>
      </c>
      <c r="J516" s="33" t="s">
        <v>22</v>
      </c>
      <c r="K516" s="33"/>
      <c r="L516" s="33">
        <v>0</v>
      </c>
      <c r="M516" s="33">
        <v>1</v>
      </c>
      <c r="N516" s="33"/>
      <c r="O516" s="33">
        <v>1</v>
      </c>
      <c r="P516" s="33">
        <f>VLOOKUP($C516,CHOOSE({1,2},怪物并表!$E$7:$E$1000,怪物并表!$D$7:$D$1000),2,FALSE)</f>
        <v>63</v>
      </c>
      <c r="Q516" s="33" t="s">
        <v>22</v>
      </c>
      <c r="R516" s="33">
        <f>VLOOKUP(Q516,怪物信息配置表!$A$2:$B$118,2,FALSE)</f>
        <v>1013</v>
      </c>
      <c r="S516" s="33">
        <v>1</v>
      </c>
      <c r="T516" s="110">
        <f>VLOOKUP($C516,怪物并表!$E$7:$N$1000,2+($D516-1)*3,FALSE)*S516*AJ516</f>
        <v>443021.86683105433</v>
      </c>
      <c r="U516" s="110">
        <f>VLOOKUP($C516,怪物并表!$E$7:$N$1000,3+($D516-1)*3,FALSE)*S516*AK516</f>
        <v>30347.491128138146</v>
      </c>
      <c r="V516" s="110">
        <f>VLOOKUP($C516,怪物并表!$E$7:$N$1000,4+($D516-1)*3,FALSE)*S516*AL516</f>
        <v>8099.6930302725787</v>
      </c>
      <c r="W516" s="33"/>
      <c r="X516" s="33"/>
      <c r="Y516" s="49">
        <f>VLOOKUP($C516,怪物并表!$E$7:$P$1000,12,FALSE)</f>
        <v>0</v>
      </c>
      <c r="Z516" s="49">
        <f>VLOOKUP($C516,怪物并表!$E$7:$P$1000,11,FALSE)*S516</f>
        <v>4009.9639999999999</v>
      </c>
      <c r="AA516" s="33"/>
      <c r="AB516" s="33"/>
      <c r="AC516" s="33"/>
      <c r="AD516" s="33">
        <f t="shared" si="61"/>
        <v>1</v>
      </c>
      <c r="AE516" s="2">
        <f t="shared" si="66"/>
        <v>251.875</v>
      </c>
      <c r="AF516" s="2" t="str">
        <f>IF(ISBLANK(AM516),IF(O516=6,"",IF(O516=1,VLOOKUP(R516,怪物信息配置表!B:H,5,FALSE),IF(O516=2,VLOOKUP(R516,怪物信息配置表!B:H,6,FALSE),IF(OR(O516=3,O516=5),VLOOKUP(R516,怪物信息配置表!B:H,7,FALSE),"")))),AM516)</f>
        <v>ai_monster_02</v>
      </c>
      <c r="AG516" s="2"/>
      <c r="AH516" s="15">
        <f>SUMPRODUCT(T516:V516,$AN$3:$AP$3)+ROUNDDOWN(VLOOKUP(P516,CHOOSE({1,2},'[1]消耗&amp;价值&amp;分析'!$C$7:$C$106,'[1]消耗&amp;价值&amp;分析'!$AS$7:$AS$106),2,FALSE)*0.6,0)</f>
        <v>61755.058831652903</v>
      </c>
      <c r="AJ516" s="80">
        <v>1</v>
      </c>
      <c r="AK516" s="80">
        <v>1</v>
      </c>
      <c r="AL516" s="80">
        <v>1</v>
      </c>
    </row>
    <row r="517" spans="1:38">
      <c r="A517" s="33" t="str">
        <f>怪物并表!$R$8</f>
        <v>精英副本</v>
      </c>
      <c r="B517" s="38">
        <v>2</v>
      </c>
      <c r="C517" s="33">
        <f t="shared" si="65"/>
        <v>6206</v>
      </c>
      <c r="D517" s="33">
        <v>1</v>
      </c>
      <c r="E517" s="33">
        <f>VLOOKUP(A517,怪物并表!$R$7:$S$14,2,FALSE)</f>
        <v>2</v>
      </c>
      <c r="F517" s="38">
        <v>6</v>
      </c>
      <c r="G517" s="38">
        <v>6</v>
      </c>
      <c r="H517" s="38">
        <v>0</v>
      </c>
      <c r="I517" s="33">
        <f t="shared" si="63"/>
        <v>266002</v>
      </c>
      <c r="J517" s="33" t="s">
        <v>462</v>
      </c>
      <c r="K517" s="33"/>
      <c r="L517" s="33">
        <v>0</v>
      </c>
      <c r="M517" s="33">
        <v>1</v>
      </c>
      <c r="N517" s="33"/>
      <c r="O517" s="33">
        <v>1</v>
      </c>
      <c r="P517" s="33">
        <f>VLOOKUP($C517,CHOOSE({1,2},怪物并表!$E$7:$E$1000,怪物并表!$D$7:$D$1000),2,FALSE)</f>
        <v>63</v>
      </c>
      <c r="Q517" s="33" t="s">
        <v>11</v>
      </c>
      <c r="R517" s="33">
        <f>VLOOKUP(Q517,怪物信息配置表!$A$2:$B$118,2,FALSE)</f>
        <v>1011</v>
      </c>
      <c r="S517" s="33">
        <v>1</v>
      </c>
      <c r="T517" s="110">
        <f>VLOOKUP($C517,怪物并表!$E$7:$N$1000,2+($D517-1)*3,FALSE)*S517*AJ517</f>
        <v>443021.86683105433</v>
      </c>
      <c r="U517" s="110">
        <f>VLOOKUP($C517,怪物并表!$E$7:$N$1000,3+($D517-1)*3,FALSE)*S517*AK517</f>
        <v>30347.491128138146</v>
      </c>
      <c r="V517" s="110">
        <f>VLOOKUP($C517,怪物并表!$E$7:$N$1000,4+($D517-1)*3,FALSE)*S517*AL517</f>
        <v>8099.6930302725787</v>
      </c>
      <c r="W517" s="33"/>
      <c r="X517" s="33"/>
      <c r="Y517" s="49">
        <f>VLOOKUP($C517,怪物并表!$E$7:$P$1000,12,FALSE)</f>
        <v>0</v>
      </c>
      <c r="Z517" s="49">
        <f>VLOOKUP($C517,怪物并表!$E$7:$P$1000,11,FALSE)*S517</f>
        <v>4009.9639999999999</v>
      </c>
      <c r="AA517" s="33"/>
      <c r="AB517" s="33"/>
      <c r="AC517" s="33"/>
      <c r="AD517" s="33">
        <f t="shared" si="61"/>
        <v>1</v>
      </c>
      <c r="AE517" s="2">
        <f t="shared" si="66"/>
        <v>251.875</v>
      </c>
      <c r="AF517" s="2" t="str">
        <f>IF(ISBLANK(AM517),IF(O517=6,"",IF(O517=1,VLOOKUP(R517,怪物信息配置表!B:H,5,FALSE),IF(O517=2,VLOOKUP(R517,怪物信息配置表!B:H,6,FALSE),IF(OR(O517=3,O517=5),VLOOKUP(R517,怪物信息配置表!B:H,7,FALSE),"")))),AM517)</f>
        <v>ai_monster</v>
      </c>
      <c r="AG517" s="2"/>
      <c r="AH517" s="15">
        <f>SUMPRODUCT(T517:V517,$AN$3:$AP$3)+ROUNDDOWN(VLOOKUP(P517,CHOOSE({1,2},'[1]消耗&amp;价值&amp;分析'!$C$7:$C$106,'[1]消耗&amp;价值&amp;分析'!$AS$7:$AS$106),2,FALSE)*0.6,0)</f>
        <v>61755.058831652903</v>
      </c>
      <c r="AJ517" s="80">
        <v>1</v>
      </c>
      <c r="AK517" s="80">
        <v>1</v>
      </c>
      <c r="AL517" s="80">
        <v>1</v>
      </c>
    </row>
    <row r="518" spans="1:38">
      <c r="A518" s="33" t="str">
        <f>怪物并表!$R$8</f>
        <v>精英副本</v>
      </c>
      <c r="B518" s="38">
        <v>3</v>
      </c>
      <c r="C518" s="33">
        <f t="shared" si="65"/>
        <v>6206</v>
      </c>
      <c r="D518" s="33">
        <v>1</v>
      </c>
      <c r="E518" s="33">
        <f>VLOOKUP(A518,怪物并表!$R$7:$S$14,2,FALSE)</f>
        <v>2</v>
      </c>
      <c r="F518" s="38">
        <v>6</v>
      </c>
      <c r="G518" s="38">
        <v>6</v>
      </c>
      <c r="H518" s="38">
        <v>0</v>
      </c>
      <c r="I518" s="33">
        <f t="shared" si="63"/>
        <v>266003</v>
      </c>
      <c r="J518" s="33" t="s">
        <v>482</v>
      </c>
      <c r="K518" s="33"/>
      <c r="L518" s="33">
        <v>0</v>
      </c>
      <c r="M518" s="33">
        <v>1</v>
      </c>
      <c r="N518" s="33"/>
      <c r="O518" s="33">
        <v>1</v>
      </c>
      <c r="P518" s="33">
        <f>VLOOKUP($C518,CHOOSE({1,2},怪物并表!$E$7:$E$1000,怪物并表!$D$7:$D$1000),2,FALSE)</f>
        <v>63</v>
      </c>
      <c r="Q518" s="33" t="s">
        <v>399</v>
      </c>
      <c r="R518" s="33">
        <f>VLOOKUP(Q518,怪物信息配置表!$A$2:$B$118,2,FALSE)</f>
        <v>1014</v>
      </c>
      <c r="S518" s="33">
        <v>1</v>
      </c>
      <c r="T518" s="110">
        <f>VLOOKUP($C518,怪物并表!$E$7:$N$1000,2+($D518-1)*3,FALSE)*S518*AJ518</f>
        <v>443021.86683105433</v>
      </c>
      <c r="U518" s="110">
        <f>VLOOKUP($C518,怪物并表!$E$7:$N$1000,3+($D518-1)*3,FALSE)*S518*AK518</f>
        <v>30347.491128138146</v>
      </c>
      <c r="V518" s="110">
        <f>VLOOKUP($C518,怪物并表!$E$7:$N$1000,4+($D518-1)*3,FALSE)*S518*AL518</f>
        <v>8099.6930302725787</v>
      </c>
      <c r="W518" s="33"/>
      <c r="X518" s="33"/>
      <c r="Y518" s="49">
        <f>VLOOKUP($C518,怪物并表!$E$7:$P$1000,12,FALSE)</f>
        <v>0</v>
      </c>
      <c r="Z518" s="49">
        <f>VLOOKUP($C518,怪物并表!$E$7:$P$1000,11,FALSE)*S518</f>
        <v>4009.9639999999999</v>
      </c>
      <c r="AA518" s="33"/>
      <c r="AB518" s="33"/>
      <c r="AC518" s="33"/>
      <c r="AD518" s="33">
        <f t="shared" si="61"/>
        <v>1</v>
      </c>
      <c r="AE518" s="2">
        <f t="shared" si="66"/>
        <v>209.375</v>
      </c>
      <c r="AF518" s="2" t="str">
        <f>IF(ISBLANK(AM518),IF(O518=6,"",IF(O518=1,VLOOKUP(R518,怪物信息配置表!B:H,5,FALSE),IF(O518=2,VLOOKUP(R518,怪物信息配置表!B:H,6,FALSE),IF(OR(O518=3,O518=5),VLOOKUP(R518,怪物信息配置表!B:H,7,FALSE),"")))),AM518)</f>
        <v>ai_monster_03</v>
      </c>
      <c r="AG518" s="2"/>
      <c r="AH518" s="15">
        <f>SUMPRODUCT(T518:V518,$AN$3:$AP$3)+ROUNDDOWN(VLOOKUP(P518,CHOOSE({1,2},'[1]消耗&amp;价值&amp;分析'!$C$7:$C$106,'[1]消耗&amp;价值&amp;分析'!$AS$7:$AS$106),2,FALSE)*0.6,0)</f>
        <v>61755.058831652903</v>
      </c>
      <c r="AJ518" s="80">
        <v>1</v>
      </c>
      <c r="AK518" s="80">
        <v>1</v>
      </c>
      <c r="AL518" s="80">
        <v>1</v>
      </c>
    </row>
    <row r="519" spans="1:38">
      <c r="A519" s="33" t="str">
        <f>怪物并表!$R$8</f>
        <v>精英副本</v>
      </c>
      <c r="B519" s="38">
        <v>4</v>
      </c>
      <c r="C519" s="33">
        <f t="shared" si="65"/>
        <v>6206</v>
      </c>
      <c r="D519" s="33">
        <v>3</v>
      </c>
      <c r="E519" s="33">
        <f>VLOOKUP(A519,怪物并表!$R$7:$S$14,2,FALSE)</f>
        <v>2</v>
      </c>
      <c r="F519" s="38">
        <v>6</v>
      </c>
      <c r="G519" s="38">
        <v>6</v>
      </c>
      <c r="H519" s="38">
        <v>0</v>
      </c>
      <c r="I519" s="33">
        <f t="shared" si="63"/>
        <v>266004</v>
      </c>
      <c r="J519" s="33" t="s">
        <v>613</v>
      </c>
      <c r="K519" s="33"/>
      <c r="L519" s="33">
        <v>1</v>
      </c>
      <c r="M519" s="33">
        <v>1.3</v>
      </c>
      <c r="N519" s="33"/>
      <c r="O519" s="33">
        <v>3</v>
      </c>
      <c r="P519" s="33">
        <f>VLOOKUP($C519,CHOOSE({1,2},怪物并表!$E$7:$E$1000,怪物并表!$D$7:$D$1000),2,FALSE)</f>
        <v>63</v>
      </c>
      <c r="Q519" s="33" t="s">
        <v>14</v>
      </c>
      <c r="R519" s="33">
        <f>VLOOKUP(Q519,怪物信息配置表!$A$2:$B$118,2,FALSE)</f>
        <v>1010</v>
      </c>
      <c r="S519" s="33">
        <v>1</v>
      </c>
      <c r="T519" s="110">
        <f>VLOOKUP($C519,怪物并表!$E$7:$N$1000,2+($D519-1)*3,FALSE)*S519*AJ519</f>
        <v>1107554.6670776359</v>
      </c>
      <c r="U519" s="110">
        <f>VLOOKUP($C519,怪物并表!$E$7:$N$1000,3+($D519-1)*3,FALSE)*S519*AK519</f>
        <v>34977.043926161758</v>
      </c>
      <c r="V519" s="110">
        <f>VLOOKUP($C519,怪物并表!$E$7:$N$1000,4+($D519-1)*3,FALSE)*S519*AL519</f>
        <v>9719.6316363270944</v>
      </c>
      <c r="W519" s="33"/>
      <c r="X519" s="33"/>
      <c r="Y519" s="49">
        <f>VLOOKUP($C519,怪物并表!$E$7:$P$1000,12,FALSE)</f>
        <v>0</v>
      </c>
      <c r="Z519" s="49">
        <f>VLOOKUP($C519,怪物并表!$E$7:$P$1000,11,FALSE)*S519</f>
        <v>4009.9639999999999</v>
      </c>
      <c r="AA519" s="33"/>
      <c r="AB519" s="33"/>
      <c r="AC519" s="33"/>
      <c r="AD519" s="33">
        <f t="shared" si="61"/>
        <v>1.5</v>
      </c>
      <c r="AE519" s="2">
        <f t="shared" si="66"/>
        <v>50</v>
      </c>
      <c r="AF519" s="2" t="str">
        <f>IF(ISBLANK(AM519),IF(O519=6,"",IF(O519=1,VLOOKUP(R519,怪物信息配置表!B:H,5,FALSE),IF(O519=2,VLOOKUP(R519,怪物信息配置表!B:H,6,FALSE),IF(OR(O519=3,O519=5),VLOOKUP(R519,怪物信息配置表!B:H,7,FALSE),"")))),AM519)</f>
        <v>1010_gunnan_BOSS</v>
      </c>
      <c r="AG519" s="2"/>
      <c r="AH519" s="15">
        <f>SUMPRODUCT(T519:V519,$AN$3:$AP$3)+ROUNDDOWN(VLOOKUP(P519,CHOOSE({1,2},'[1]消耗&amp;价值&amp;分析'!$C$7:$C$106,'[1]消耗&amp;价值&amp;分析'!$AS$7:$AS$106),2,FALSE)*0.6,0)</f>
        <v>94585.862245594282</v>
      </c>
      <c r="AJ519" s="80">
        <v>1</v>
      </c>
      <c r="AK519" s="80">
        <v>1</v>
      </c>
      <c r="AL519" s="80">
        <v>1</v>
      </c>
    </row>
    <row r="520" spans="1:38">
      <c r="A520" s="33" t="str">
        <f>怪物并表!$R$8</f>
        <v>精英副本</v>
      </c>
      <c r="B520" s="38">
        <v>1</v>
      </c>
      <c r="C520" s="33">
        <f t="shared" si="65"/>
        <v>6207</v>
      </c>
      <c r="D520" s="33">
        <v>1</v>
      </c>
      <c r="E520" s="33">
        <f>VLOOKUP(A520,怪物并表!$R$7:$S$14,2,FALSE)</f>
        <v>2</v>
      </c>
      <c r="F520" s="38">
        <v>6</v>
      </c>
      <c r="G520" s="38">
        <v>7</v>
      </c>
      <c r="H520" s="38">
        <v>0</v>
      </c>
      <c r="I520" s="33">
        <f t="shared" si="63"/>
        <v>267001</v>
      </c>
      <c r="J520" s="33" t="s">
        <v>26</v>
      </c>
      <c r="K520" s="33"/>
      <c r="L520" s="33">
        <v>0</v>
      </c>
      <c r="M520" s="33">
        <v>1</v>
      </c>
      <c r="N520" s="33"/>
      <c r="O520" s="33">
        <v>1</v>
      </c>
      <c r="P520" s="33">
        <f>VLOOKUP($C520,CHOOSE({1,2},怪物并表!$E$7:$E$1000,怪物并表!$D$7:$D$1000),2,FALSE)</f>
        <v>64</v>
      </c>
      <c r="Q520" s="33" t="s">
        <v>26</v>
      </c>
      <c r="R520" s="33">
        <f>VLOOKUP(Q520,怪物信息配置表!$A$2:$B$118,2,FALSE)</f>
        <v>1105</v>
      </c>
      <c r="S520" s="33">
        <v>1</v>
      </c>
      <c r="T520" s="110">
        <f>VLOOKUP($C520,怪物并表!$E$7:$N$1000,2+($D520-1)*3,FALSE)*S520*AJ520</f>
        <v>481193.21280028968</v>
      </c>
      <c r="U520" s="110">
        <f>VLOOKUP($C520,怪物并表!$E$7:$N$1000,3+($D520-1)*3,FALSE)*S520*AK520</f>
        <v>32714.376914855249</v>
      </c>
      <c r="V520" s="110">
        <f>VLOOKUP($C520,怪物并表!$E$7:$N$1000,4+($D520-1)*3,FALSE)*S520*AL520</f>
        <v>8744.710891569237</v>
      </c>
      <c r="W520" s="33"/>
      <c r="X520" s="33"/>
      <c r="Y520" s="49">
        <f>VLOOKUP($C520,怪物并表!$E$7:$P$1000,12,FALSE)</f>
        <v>0</v>
      </c>
      <c r="Z520" s="49">
        <f>VLOOKUP($C520,怪物并表!$E$7:$P$1000,11,FALSE)*S520</f>
        <v>4068.192</v>
      </c>
      <c r="AA520" s="33"/>
      <c r="AB520" s="33"/>
      <c r="AC520" s="33"/>
      <c r="AD520" s="33">
        <f t="shared" ref="AD520:AD531" si="67">IF(D520=1,1,IF(D520=2,0.8,1.5))</f>
        <v>1</v>
      </c>
      <c r="AE520" s="2">
        <f t="shared" si="66"/>
        <v>200</v>
      </c>
      <c r="AF520" s="2" t="str">
        <f>IF(ISBLANK(AM520),IF(O520=6,"",IF(O520=1,VLOOKUP(R520,怪物信息配置表!B:H,5,FALSE),IF(O520=2,VLOOKUP(R520,怪物信息配置表!B:H,6,FALSE),IF(OR(O520=3,O520=5),VLOOKUP(R520,怪物信息配置表!B:H,7,FALSE),"")))),AM520)</f>
        <v>ai_monster_02</v>
      </c>
      <c r="AG520" s="2"/>
      <c r="AH520" s="15">
        <f>SUMPRODUCT(T520:V520,$AN$3:$AP$3)+ROUNDDOWN(VLOOKUP(P520,CHOOSE({1,2},'[1]消耗&amp;价值&amp;分析'!$C$7:$C$106,'[1]消耗&amp;价值&amp;分析'!$AS$7:$AS$106),2,FALSE)*0.6,0)</f>
        <v>66561.816318436075</v>
      </c>
      <c r="AJ520" s="80">
        <v>1</v>
      </c>
      <c r="AK520" s="80">
        <v>1</v>
      </c>
      <c r="AL520" s="80">
        <v>1</v>
      </c>
    </row>
    <row r="521" spans="1:38">
      <c r="A521" s="33" t="str">
        <f>怪物并表!$R$8</f>
        <v>精英副本</v>
      </c>
      <c r="B521" s="38">
        <v>2</v>
      </c>
      <c r="C521" s="33">
        <f t="shared" si="65"/>
        <v>6207</v>
      </c>
      <c r="D521" s="33">
        <v>2</v>
      </c>
      <c r="E521" s="33">
        <f>VLOOKUP(A521,怪物并表!$R$7:$S$14,2,FALSE)</f>
        <v>2</v>
      </c>
      <c r="F521" s="38">
        <v>6</v>
      </c>
      <c r="G521" s="38">
        <v>7</v>
      </c>
      <c r="H521" s="38">
        <v>0</v>
      </c>
      <c r="I521" s="33">
        <f t="shared" si="63"/>
        <v>267002</v>
      </c>
      <c r="J521" s="33" t="s">
        <v>469</v>
      </c>
      <c r="K521" s="33"/>
      <c r="L521" s="33">
        <v>0</v>
      </c>
      <c r="M521" s="33">
        <v>1</v>
      </c>
      <c r="N521" s="33"/>
      <c r="O521" s="33">
        <v>1</v>
      </c>
      <c r="P521" s="33">
        <f>VLOOKUP($C521,CHOOSE({1,2},怪物并表!$E$7:$E$1000,怪物并表!$D$7:$D$1000),2,FALSE)</f>
        <v>64</v>
      </c>
      <c r="Q521" s="33" t="s">
        <v>17</v>
      </c>
      <c r="R521" s="33">
        <f>VLOOKUP(Q521,怪物信息配置表!$A$2:$B$118,2,FALSE)</f>
        <v>1005</v>
      </c>
      <c r="S521" s="33">
        <v>1</v>
      </c>
      <c r="T521" s="110">
        <f>VLOOKUP($C521,怪物并表!$E$7:$N$1000,2+($D521-1)*3,FALSE)*S521*AJ521</f>
        <v>384954.57024023175</v>
      </c>
      <c r="U521" s="110">
        <f>VLOOKUP($C521,怪物并表!$E$7:$N$1000,3+($D521-1)*3,FALSE)*S521*AK521</f>
        <v>30203.348866114873</v>
      </c>
      <c r="V521" s="110">
        <f>VLOOKUP($C521,怪物并表!$E$7:$N$1000,4+($D521-1)*3,FALSE)*S521*AL521</f>
        <v>7071.8096775299055</v>
      </c>
      <c r="W521" s="33"/>
      <c r="X521" s="33"/>
      <c r="Y521" s="49">
        <f>VLOOKUP($C521,怪物并表!$E$7:$P$1000,12,FALSE)</f>
        <v>0</v>
      </c>
      <c r="Z521" s="49">
        <f>VLOOKUP($C521,怪物并表!$E$7:$P$1000,11,FALSE)*S521</f>
        <v>4068.192</v>
      </c>
      <c r="AA521" s="33"/>
      <c r="AB521" s="33"/>
      <c r="AC521" s="33"/>
      <c r="AD521" s="33">
        <f t="shared" si="67"/>
        <v>0.8</v>
      </c>
      <c r="AE521" s="2">
        <f t="shared" si="66"/>
        <v>392</v>
      </c>
      <c r="AF521" s="2" t="str">
        <f>IF(ISBLANK(AM521),IF(O521=6,"",IF(O521=1,VLOOKUP(R521,怪物信息配置表!B:H,5,FALSE),IF(O521=2,VLOOKUP(R521,怪物信息配置表!B:H,6,FALSE),IF(OR(O521=3,O521=5),VLOOKUP(R521,怪物信息配置表!B:H,7,FALSE),"")))),AM521)</f>
        <v>ai_monster_02</v>
      </c>
      <c r="AG521" s="2"/>
      <c r="AH521" s="15">
        <f>SUMPRODUCT(T521:V521,$AN$3:$AP$3)+ROUNDDOWN(VLOOKUP(P521,CHOOSE({1,2},'[1]消耗&amp;价值&amp;分析'!$C$7:$C$106,'[1]消耗&amp;价值&amp;分析'!$AS$7:$AS$106),2,FALSE)*0.6,0)</f>
        <v>58528.341353254051</v>
      </c>
      <c r="AJ521" s="80">
        <v>1</v>
      </c>
      <c r="AK521" s="80">
        <v>1</v>
      </c>
      <c r="AL521" s="80">
        <v>1</v>
      </c>
    </row>
    <row r="522" spans="1:38">
      <c r="A522" s="33" t="str">
        <f>怪物并表!$R$8</f>
        <v>精英副本</v>
      </c>
      <c r="B522" s="38">
        <v>3</v>
      </c>
      <c r="C522" s="33">
        <f t="shared" ref="C522:C531" si="68">1000*F522+200+G522</f>
        <v>6207</v>
      </c>
      <c r="D522" s="33">
        <v>1</v>
      </c>
      <c r="E522" s="33">
        <f>VLOOKUP(A522,怪物并表!$R$7:$S$14,2,FALSE)</f>
        <v>2</v>
      </c>
      <c r="F522" s="38">
        <v>6</v>
      </c>
      <c r="G522" s="38">
        <v>7</v>
      </c>
      <c r="H522" s="38">
        <v>0</v>
      </c>
      <c r="I522" s="33">
        <f t="shared" si="63"/>
        <v>267003</v>
      </c>
      <c r="J522" s="33" t="s">
        <v>216</v>
      </c>
      <c r="K522" s="33"/>
      <c r="L522" s="33">
        <v>0</v>
      </c>
      <c r="M522" s="33">
        <v>1</v>
      </c>
      <c r="N522" s="33"/>
      <c r="O522" s="33">
        <v>1</v>
      </c>
      <c r="P522" s="33">
        <f>VLOOKUP($C522,CHOOSE({1,2},怪物并表!$E$7:$E$1000,怪物并表!$D$7:$D$1000),2,FALSE)</f>
        <v>64</v>
      </c>
      <c r="Q522" s="33" t="s">
        <v>12</v>
      </c>
      <c r="R522" s="33">
        <f>VLOOKUP(Q522,怪物信息配置表!$A$2:$B$118,2,FALSE)</f>
        <v>1009</v>
      </c>
      <c r="S522" s="33">
        <v>1</v>
      </c>
      <c r="T522" s="110">
        <f>VLOOKUP($C522,怪物并表!$E$7:$N$1000,2+($D522-1)*3,FALSE)*S522*AJ522</f>
        <v>481193.21280028968</v>
      </c>
      <c r="U522" s="110">
        <f>VLOOKUP($C522,怪物并表!$E$7:$N$1000,3+($D522-1)*3,FALSE)*S522*AK522</f>
        <v>32714.376914855249</v>
      </c>
      <c r="V522" s="110">
        <f>VLOOKUP($C522,怪物并表!$E$7:$N$1000,4+($D522-1)*3,FALSE)*S522*AL522</f>
        <v>8744.710891569237</v>
      </c>
      <c r="W522" s="33"/>
      <c r="X522" s="33"/>
      <c r="Y522" s="49">
        <f>VLOOKUP($C522,怪物并表!$E$7:$P$1000,12,FALSE)</f>
        <v>0</v>
      </c>
      <c r="Z522" s="49">
        <f>VLOOKUP($C522,怪物并表!$E$7:$P$1000,11,FALSE)*S522</f>
        <v>4068.192</v>
      </c>
      <c r="AA522" s="33"/>
      <c r="AB522" s="33"/>
      <c r="AC522" s="33"/>
      <c r="AD522" s="33">
        <f t="shared" si="67"/>
        <v>1</v>
      </c>
      <c r="AE522" s="2">
        <f t="shared" si="66"/>
        <v>240</v>
      </c>
      <c r="AF522" s="2" t="str">
        <f>IF(ISBLANK(AM522),IF(O522=6,"",IF(O522=1,VLOOKUP(R522,怪物信息配置表!B:H,5,FALSE),IF(O522=2,VLOOKUP(R522,怪物信息配置表!B:H,6,FALSE),IF(OR(O522=3,O522=5),VLOOKUP(R522,怪物信息配置表!B:H,7,FALSE),"")))),AM522)</f>
        <v>ai_monster</v>
      </c>
      <c r="AG522" s="2"/>
      <c r="AH522" s="15">
        <f>SUMPRODUCT(T522:V522,$AN$3:$AP$3)+ROUNDDOWN(VLOOKUP(P522,CHOOSE({1,2},'[1]消耗&amp;价值&amp;分析'!$C$7:$C$106,'[1]消耗&amp;价值&amp;分析'!$AS$7:$AS$106),2,FALSE)*0.6,0)</f>
        <v>66561.816318436075</v>
      </c>
      <c r="AJ522" s="80">
        <v>1</v>
      </c>
      <c r="AK522" s="80">
        <v>1</v>
      </c>
      <c r="AL522" s="80">
        <v>1</v>
      </c>
    </row>
    <row r="523" spans="1:38">
      <c r="A523" s="33" t="str">
        <f>怪物并表!$R$8</f>
        <v>精英副本</v>
      </c>
      <c r="B523" s="38">
        <v>4</v>
      </c>
      <c r="C523" s="33">
        <f t="shared" si="68"/>
        <v>6207</v>
      </c>
      <c r="D523" s="33">
        <v>3</v>
      </c>
      <c r="E523" s="33">
        <f>VLOOKUP(A523,怪物并表!$R$7:$S$14,2,FALSE)</f>
        <v>2</v>
      </c>
      <c r="F523" s="38">
        <v>6</v>
      </c>
      <c r="G523" s="38">
        <v>7</v>
      </c>
      <c r="H523" s="38">
        <v>0</v>
      </c>
      <c r="I523" s="33">
        <f t="shared" si="63"/>
        <v>267004</v>
      </c>
      <c r="J523" s="33" t="s">
        <v>614</v>
      </c>
      <c r="K523" s="33"/>
      <c r="L523" s="33">
        <v>1</v>
      </c>
      <c r="M523" s="33">
        <v>1.2</v>
      </c>
      <c r="N523" s="33"/>
      <c r="O523" s="33">
        <v>3</v>
      </c>
      <c r="P523" s="33">
        <f>VLOOKUP($C523,CHOOSE({1,2},怪物并表!$E$7:$E$1000,怪物并表!$D$7:$D$1000),2,FALSE)</f>
        <v>64</v>
      </c>
      <c r="Q523" s="33" t="s">
        <v>588</v>
      </c>
      <c r="R523" s="33">
        <f>VLOOKUP(Q523,怪物信息配置表!$A$2:$B$118,2,FALSE)</f>
        <v>1113</v>
      </c>
      <c r="S523" s="33">
        <v>1</v>
      </c>
      <c r="T523" s="110">
        <f>VLOOKUP($C523,怪物并表!$E$7:$N$1000,2+($D523-1)*3,FALSE)*S523*AJ523</f>
        <v>1202983.0320007242</v>
      </c>
      <c r="U523" s="110">
        <f>VLOOKUP($C523,怪物并表!$E$7:$N$1000,3+($D523-1)*3,FALSE)*S523*AK523</f>
        <v>37736.433012335998</v>
      </c>
      <c r="V523" s="110">
        <f>VLOOKUP($C523,怪物并表!$E$7:$N$1000,4+($D523-1)*3,FALSE)*S523*AL523</f>
        <v>10417.612105608567</v>
      </c>
      <c r="W523" s="33"/>
      <c r="X523" s="33"/>
      <c r="Y523" s="49">
        <f>VLOOKUP($C523,怪物并表!$E$7:$P$1000,12,FALSE)</f>
        <v>0</v>
      </c>
      <c r="Z523" s="49">
        <f>VLOOKUP($C523,怪物并表!$E$7:$P$1000,11,FALSE)*S523</f>
        <v>4068.192</v>
      </c>
      <c r="AA523" s="33"/>
      <c r="AB523" s="33"/>
      <c r="AC523" s="33"/>
      <c r="AD523" s="33">
        <f t="shared" si="67"/>
        <v>1.5</v>
      </c>
      <c r="AE523" s="2">
        <f t="shared" si="66"/>
        <v>50</v>
      </c>
      <c r="AF523" s="2" t="str">
        <f>IF(ISBLANK(AM523),IF(O523=6,"",IF(O523=1,VLOOKUP(R523,怪物信息配置表!B:H,5,FALSE),IF(O523=2,VLOOKUP(R523,怪物信息配置表!B:H,6,FALSE),IF(OR(O523=3,O523=5),VLOOKUP(R523,怪物信息配置表!B:H,7,FALSE),"")))),AM523)</f>
        <v>1102_wuya_BOSS</v>
      </c>
      <c r="AG523" s="2"/>
      <c r="AH523" s="15">
        <f>SUMPRODUCT(T523:V523,$AN$3:$AP$3)+ROUNDDOWN(VLOOKUP(P523,CHOOSE({1,2},'[1]消耗&amp;价值&amp;分析'!$C$7:$C$106,'[1]消耗&amp;价值&amp;分析'!$AS$7:$AS$106),2,FALSE)*0.6,0)</f>
        <v>102128.36639797353</v>
      </c>
      <c r="AJ523" s="80">
        <v>1</v>
      </c>
      <c r="AK523" s="80">
        <v>1</v>
      </c>
      <c r="AL523" s="80">
        <v>1</v>
      </c>
    </row>
    <row r="524" spans="1:38">
      <c r="A524" s="33" t="str">
        <f>怪物并表!$R$8</f>
        <v>精英副本</v>
      </c>
      <c r="B524" s="38">
        <v>1</v>
      </c>
      <c r="C524" s="33">
        <f t="shared" si="68"/>
        <v>6208</v>
      </c>
      <c r="D524" s="33">
        <v>1</v>
      </c>
      <c r="E524" s="33">
        <f>VLOOKUP(A524,怪物并表!$R$7:$S$14,2,FALSE)</f>
        <v>2</v>
      </c>
      <c r="F524" s="38">
        <v>6</v>
      </c>
      <c r="G524" s="38">
        <v>8</v>
      </c>
      <c r="H524" s="38">
        <v>0</v>
      </c>
      <c r="I524" s="33">
        <f t="shared" si="63"/>
        <v>268001</v>
      </c>
      <c r="J524" s="33" t="s">
        <v>7</v>
      </c>
      <c r="K524" s="33"/>
      <c r="L524" s="33">
        <v>0</v>
      </c>
      <c r="M524" s="33">
        <v>1</v>
      </c>
      <c r="N524" s="33"/>
      <c r="O524" s="33">
        <v>1</v>
      </c>
      <c r="P524" s="33">
        <f>VLOOKUP($C524,CHOOSE({1,2},怪物并表!$E$7:$E$1000,怪物并表!$D$7:$D$1000),2,FALSE)</f>
        <v>65</v>
      </c>
      <c r="Q524" s="33" t="s">
        <v>7</v>
      </c>
      <c r="R524" s="33">
        <f>VLOOKUP(Q524,怪物信息配置表!$A$2:$B$118,2,FALSE)</f>
        <v>1002</v>
      </c>
      <c r="S524" s="33">
        <v>1</v>
      </c>
      <c r="T524" s="110">
        <f>VLOOKUP($C524,怪物并表!$E$7:$N$1000,2+($D524-1)*3,FALSE)*S524*AJ524</f>
        <v>521836.23153993074</v>
      </c>
      <c r="U524" s="110">
        <f>VLOOKUP($C524,怪物并表!$E$7:$N$1000,3+($D524-1)*3,FALSE)*S524*AK524</f>
        <v>37493.231682777543</v>
      </c>
      <c r="V524" s="110">
        <f>VLOOKUP($C524,怪物并表!$E$7:$N$1000,4+($D524-1)*3,FALSE)*S524*AL524</f>
        <v>9425.9744325000011</v>
      </c>
      <c r="W524" s="33"/>
      <c r="X524" s="33"/>
      <c r="Y524" s="49">
        <f>VLOOKUP($C524,怪物并表!$E$7:$P$1000,12,FALSE)</f>
        <v>0</v>
      </c>
      <c r="Z524" s="49">
        <f>VLOOKUP($C524,怪物并表!$E$7:$P$1000,11,FALSE)*S524</f>
        <v>4126.42</v>
      </c>
      <c r="AA524" s="33"/>
      <c r="AB524" s="33"/>
      <c r="AC524" s="33"/>
      <c r="AD524" s="33">
        <f t="shared" si="67"/>
        <v>1</v>
      </c>
      <c r="AE524" s="2">
        <f t="shared" si="66"/>
        <v>228.125</v>
      </c>
      <c r="AF524" s="2" t="str">
        <f>IF(ISBLANK(AM524),IF(O524=6,"",IF(O524=1,VLOOKUP(R524,怪物信息配置表!B:H,5,FALSE),IF(O524=2,VLOOKUP(R524,怪物信息配置表!B:H,6,FALSE),IF(OR(O524=3,O524=5),VLOOKUP(R524,怪物信息配置表!B:H,7,FALSE),"")))),AM524)</f>
        <v>ai_monster</v>
      </c>
      <c r="AG524" s="2"/>
      <c r="AH524" s="15">
        <f>SUMPRODUCT(T524:V524,$AN$3:$AP$3)+ROUNDDOWN(VLOOKUP(P524,CHOOSE({1,2},'[1]消耗&amp;价值&amp;分析'!$C$7:$C$106,'[1]消耗&amp;价值&amp;分析'!$AS$7:$AS$106),2,FALSE)*0.6,0)</f>
        <v>73950.655376874784</v>
      </c>
      <c r="AJ524" s="80">
        <v>1</v>
      </c>
      <c r="AK524" s="80">
        <v>1</v>
      </c>
      <c r="AL524" s="80">
        <v>1</v>
      </c>
    </row>
    <row r="525" spans="1:38">
      <c r="A525" s="33" t="str">
        <f>怪物并表!$R$8</f>
        <v>精英副本</v>
      </c>
      <c r="B525" s="38">
        <v>2</v>
      </c>
      <c r="C525" s="33">
        <f t="shared" si="68"/>
        <v>6208</v>
      </c>
      <c r="D525" s="33">
        <v>1</v>
      </c>
      <c r="E525" s="33">
        <f>VLOOKUP(A525,怪物并表!$R$7:$S$14,2,FALSE)</f>
        <v>2</v>
      </c>
      <c r="F525" s="38">
        <v>6</v>
      </c>
      <c r="G525" s="38">
        <v>8</v>
      </c>
      <c r="H525" s="38">
        <v>0</v>
      </c>
      <c r="I525" s="33">
        <f t="shared" si="63"/>
        <v>268002</v>
      </c>
      <c r="J525" s="33" t="s">
        <v>44</v>
      </c>
      <c r="K525" s="33"/>
      <c r="L525" s="33">
        <v>0</v>
      </c>
      <c r="M525" s="33">
        <v>1</v>
      </c>
      <c r="N525" s="33"/>
      <c r="O525" s="33">
        <v>1</v>
      </c>
      <c r="P525" s="33">
        <f>VLOOKUP($C525,CHOOSE({1,2},怪物并表!$E$7:$E$1000,怪物并表!$D$7:$D$1000),2,FALSE)</f>
        <v>65</v>
      </c>
      <c r="Q525" s="33" t="s">
        <v>25</v>
      </c>
      <c r="R525" s="33">
        <f>VLOOKUP(Q525,怪物信息配置表!$A$2:$B$118,2,FALSE)</f>
        <v>1012</v>
      </c>
      <c r="S525" s="33">
        <v>1</v>
      </c>
      <c r="T525" s="110">
        <f>VLOOKUP($C525,怪物并表!$E$7:$N$1000,2+($D525-1)*3,FALSE)*S525*AJ525</f>
        <v>521836.23153993074</v>
      </c>
      <c r="U525" s="110">
        <f>VLOOKUP($C525,怪物并表!$E$7:$N$1000,3+($D525-1)*3,FALSE)*S525*AK525</f>
        <v>37493.231682777543</v>
      </c>
      <c r="V525" s="110">
        <f>VLOOKUP($C525,怪物并表!$E$7:$N$1000,4+($D525-1)*3,FALSE)*S525*AL525</f>
        <v>9425.9744325000011</v>
      </c>
      <c r="W525" s="33"/>
      <c r="X525" s="33"/>
      <c r="Y525" s="49">
        <f>VLOOKUP($C525,怪物并表!$E$7:$P$1000,12,FALSE)</f>
        <v>0</v>
      </c>
      <c r="Z525" s="49">
        <f>VLOOKUP($C525,怪物并表!$E$7:$P$1000,11,FALSE)*S525</f>
        <v>4126.42</v>
      </c>
      <c r="AA525" s="33"/>
      <c r="AB525" s="33"/>
      <c r="AC525" s="33"/>
      <c r="AD525" s="33">
        <f t="shared" si="67"/>
        <v>1</v>
      </c>
      <c r="AE525" s="2">
        <f t="shared" si="66"/>
        <v>228.125</v>
      </c>
      <c r="AF525" s="2" t="str">
        <f>IF(ISBLANK(AM525),IF(O525=6,"",IF(O525=1,VLOOKUP(R525,怪物信息配置表!B:H,5,FALSE),IF(O525=2,VLOOKUP(R525,怪物信息配置表!B:H,6,FALSE),IF(OR(O525=3,O525=5),VLOOKUP(R525,怪物信息配置表!B:H,7,FALSE),"")))),AM525)</f>
        <v>ai_monster_03</v>
      </c>
      <c r="AG525" s="2"/>
      <c r="AH525" s="15">
        <f>SUMPRODUCT(T525:V525,$AN$3:$AP$3)+ROUNDDOWN(VLOOKUP(P525,CHOOSE({1,2},'[1]消耗&amp;价值&amp;分析'!$C$7:$C$106,'[1]消耗&amp;价值&amp;分析'!$AS$7:$AS$106),2,FALSE)*0.6,0)</f>
        <v>73950.655376874784</v>
      </c>
      <c r="AJ525" s="80">
        <v>1</v>
      </c>
      <c r="AK525" s="80">
        <v>1</v>
      </c>
      <c r="AL525" s="80">
        <v>1</v>
      </c>
    </row>
    <row r="526" spans="1:38">
      <c r="A526" s="33" t="str">
        <f>怪物并表!$R$8</f>
        <v>精英副本</v>
      </c>
      <c r="B526" s="38">
        <v>3</v>
      </c>
      <c r="C526" s="33">
        <f t="shared" si="68"/>
        <v>6208</v>
      </c>
      <c r="D526" s="33">
        <v>1</v>
      </c>
      <c r="E526" s="33">
        <f>VLOOKUP(A526,怪物并表!$R$7:$S$14,2,FALSE)</f>
        <v>2</v>
      </c>
      <c r="F526" s="38">
        <v>6</v>
      </c>
      <c r="G526" s="38">
        <v>8</v>
      </c>
      <c r="H526" s="38">
        <v>0</v>
      </c>
      <c r="I526" s="33">
        <f t="shared" si="63"/>
        <v>268003</v>
      </c>
      <c r="J526" s="33" t="s">
        <v>483</v>
      </c>
      <c r="K526" s="33"/>
      <c r="L526" s="33">
        <v>0</v>
      </c>
      <c r="M526" s="33">
        <v>1</v>
      </c>
      <c r="N526" s="33"/>
      <c r="O526" s="33">
        <v>1</v>
      </c>
      <c r="P526" s="33">
        <f>VLOOKUP($C526,CHOOSE({1,2},怪物并表!$E$7:$E$1000,怪物并表!$D$7:$D$1000),2,FALSE)</f>
        <v>65</v>
      </c>
      <c r="Q526" s="33" t="s">
        <v>24</v>
      </c>
      <c r="R526" s="33">
        <f>VLOOKUP(Q526,怪物信息配置表!$A$2:$B$118,2,FALSE)</f>
        <v>1015</v>
      </c>
      <c r="S526" s="33">
        <v>1</v>
      </c>
      <c r="T526" s="110">
        <f>VLOOKUP($C526,怪物并表!$E$7:$N$1000,2+($D526-1)*3,FALSE)*S526*AJ526</f>
        <v>521836.23153993074</v>
      </c>
      <c r="U526" s="110">
        <f>VLOOKUP($C526,怪物并表!$E$7:$N$1000,3+($D526-1)*3,FALSE)*S526*AK526</f>
        <v>37493.231682777543</v>
      </c>
      <c r="V526" s="110">
        <f>VLOOKUP($C526,怪物并表!$E$7:$N$1000,4+($D526-1)*3,FALSE)*S526*AL526</f>
        <v>9425.9744325000011</v>
      </c>
      <c r="W526" s="33"/>
      <c r="X526" s="33"/>
      <c r="Y526" s="49">
        <f>VLOOKUP($C526,怪物并表!$E$7:$P$1000,12,FALSE)</f>
        <v>0</v>
      </c>
      <c r="Z526" s="49">
        <f>VLOOKUP($C526,怪物并表!$E$7:$P$1000,11,FALSE)*S526</f>
        <v>4126.42</v>
      </c>
      <c r="AA526" s="33"/>
      <c r="AB526" s="33"/>
      <c r="AC526" s="33"/>
      <c r="AD526" s="33">
        <f t="shared" si="67"/>
        <v>1</v>
      </c>
      <c r="AE526" s="2">
        <f t="shared" si="66"/>
        <v>190.625</v>
      </c>
      <c r="AF526" s="2" t="str">
        <f>IF(ISBLANK(AM526),IF(O526=6,"",IF(O526=1,VLOOKUP(R526,怪物信息配置表!B:H,5,FALSE),IF(O526=2,VLOOKUP(R526,怪物信息配置表!B:H,6,FALSE),IF(OR(O526=3,O526=5),VLOOKUP(R526,怪物信息配置表!B:H,7,FALSE),"")))),AM526)</f>
        <v>ai_monster_03</v>
      </c>
      <c r="AG526" s="2"/>
      <c r="AH526" s="15">
        <f>SUMPRODUCT(T526:V526,$AN$3:$AP$3)+ROUNDDOWN(VLOOKUP(P526,CHOOSE({1,2},'[1]消耗&amp;价值&amp;分析'!$C$7:$C$106,'[1]消耗&amp;价值&amp;分析'!$AS$7:$AS$106),2,FALSE)*0.6,0)</f>
        <v>73950.655376874784</v>
      </c>
      <c r="AJ526" s="80">
        <v>1</v>
      </c>
      <c r="AK526" s="80">
        <v>1</v>
      </c>
      <c r="AL526" s="80">
        <v>1</v>
      </c>
    </row>
    <row r="527" spans="1:38">
      <c r="A527" s="33" t="str">
        <f>怪物并表!$R$8</f>
        <v>精英副本</v>
      </c>
      <c r="B527" s="38">
        <v>4</v>
      </c>
      <c r="C527" s="33">
        <f t="shared" si="68"/>
        <v>6208</v>
      </c>
      <c r="D527" s="33">
        <v>3</v>
      </c>
      <c r="E527" s="33">
        <f>VLOOKUP(A527,怪物并表!$R$7:$S$14,2,FALSE)</f>
        <v>2</v>
      </c>
      <c r="F527" s="38">
        <v>6</v>
      </c>
      <c r="G527" s="38">
        <v>8</v>
      </c>
      <c r="H527" s="38">
        <v>0</v>
      </c>
      <c r="I527" s="33">
        <f t="shared" si="63"/>
        <v>268004</v>
      </c>
      <c r="J527" s="33" t="s">
        <v>615</v>
      </c>
      <c r="K527" s="33"/>
      <c r="L527" s="33">
        <v>1</v>
      </c>
      <c r="M527" s="33">
        <v>1.3</v>
      </c>
      <c r="N527" s="33"/>
      <c r="O527" s="33">
        <v>3</v>
      </c>
      <c r="P527" s="33">
        <f>VLOOKUP($C527,CHOOSE({1,2},怪物并表!$E$7:$E$1000,怪物并表!$D$7:$D$1000),2,FALSE)</f>
        <v>65</v>
      </c>
      <c r="Q527" s="33" t="s">
        <v>20</v>
      </c>
      <c r="R527" s="33">
        <f>VLOOKUP(Q527,怪物信息配置表!$A$2:$B$118,2,FALSE)</f>
        <v>1103</v>
      </c>
      <c r="S527" s="33">
        <v>1</v>
      </c>
      <c r="T527" s="110">
        <f>VLOOKUP($C527,怪物并表!$E$7:$N$1000,2+($D527-1)*3,FALSE)*S527*AJ527</f>
        <v>1304590.5788498267</v>
      </c>
      <c r="U527" s="110">
        <f>VLOOKUP($C527,怪物并表!$E$7:$N$1000,3+($D527-1)*3,FALSE)*S527*AK527</f>
        <v>43387.456839333048</v>
      </c>
      <c r="V527" s="110">
        <f>VLOOKUP($C527,怪物并表!$E$7:$N$1000,4+($D527-1)*3,FALSE)*S527*AL527</f>
        <v>11150.727201</v>
      </c>
      <c r="W527" s="33"/>
      <c r="X527" s="33"/>
      <c r="Y527" s="49">
        <f>VLOOKUP($C527,怪物并表!$E$7:$P$1000,12,FALSE)</f>
        <v>0</v>
      </c>
      <c r="Z527" s="49">
        <f>VLOOKUP($C527,怪物并表!$E$7:$P$1000,11,FALSE)*S527</f>
        <v>4126.42</v>
      </c>
      <c r="AA527" s="33"/>
      <c r="AB527" s="33"/>
      <c r="AC527" s="33"/>
      <c r="AD527" s="33">
        <f t="shared" si="67"/>
        <v>1.5</v>
      </c>
      <c r="AE527" s="2">
        <f t="shared" si="66"/>
        <v>50</v>
      </c>
      <c r="AF527" s="2" t="str">
        <f>IF(ISBLANK(AM527),IF(O527=6,"",IF(O527=1,VLOOKUP(R527,怪物信息配置表!B:H,5,FALSE),IF(O527=2,VLOOKUP(R527,怪物信息配置表!B:H,6,FALSE),IF(OR(O527=3,O527=5),VLOOKUP(R527,怪物信息配置表!B:H,7,FALSE),"")))),AM527)</f>
        <v>1103_situ_BOSS</v>
      </c>
      <c r="AG527" s="2"/>
      <c r="AH527" s="15">
        <f>SUMPRODUCT(T527:V527,$AN$3:$AP$3)+ROUNDDOWN(VLOOKUP(P527,CHOOSE({1,2},'[1]消耗&amp;价值&amp;分析'!$C$7:$C$106,'[1]消耗&amp;价值&amp;分析'!$AS$7:$AS$106),2,FALSE)*0.6,0)</f>
        <v>112879.80719432612</v>
      </c>
      <c r="AJ527" s="80">
        <v>1</v>
      </c>
      <c r="AK527" s="80">
        <v>1</v>
      </c>
      <c r="AL527" s="80">
        <v>1</v>
      </c>
    </row>
    <row r="528" spans="1:38">
      <c r="A528" s="33" t="str">
        <f>怪物并表!$R$8</f>
        <v>精英副本</v>
      </c>
      <c r="B528" s="38">
        <v>1</v>
      </c>
      <c r="C528" s="33">
        <f t="shared" si="68"/>
        <v>6209</v>
      </c>
      <c r="D528" s="33">
        <v>1</v>
      </c>
      <c r="E528" s="33">
        <f>VLOOKUP(A528,怪物并表!$R$7:$S$14,2,FALSE)</f>
        <v>2</v>
      </c>
      <c r="F528" s="38">
        <v>6</v>
      </c>
      <c r="G528" s="38">
        <v>9</v>
      </c>
      <c r="H528" s="38">
        <v>0</v>
      </c>
      <c r="I528" s="33">
        <f t="shared" si="63"/>
        <v>269001</v>
      </c>
      <c r="J528" s="33" t="s">
        <v>22</v>
      </c>
      <c r="K528" s="33"/>
      <c r="L528" s="33">
        <v>0</v>
      </c>
      <c r="M528" s="33">
        <v>1</v>
      </c>
      <c r="N528" s="33"/>
      <c r="O528" s="33">
        <v>1</v>
      </c>
      <c r="P528" s="33">
        <f>VLOOKUP($C528,CHOOSE({1,2},怪物并表!$E$7:$E$1000,怪物并表!$D$7:$D$1000),2,FALSE)</f>
        <v>66</v>
      </c>
      <c r="Q528" s="33" t="s">
        <v>22</v>
      </c>
      <c r="R528" s="33">
        <f>VLOOKUP(Q528,怪物信息配置表!$A$2:$B$118,2,FALSE)</f>
        <v>1013</v>
      </c>
      <c r="S528" s="33">
        <v>1</v>
      </c>
      <c r="T528" s="110">
        <f>VLOOKUP($C528,怪物并表!$E$7:$N$1000,2+($D528-1)*3,FALSE)*S528*AJ528</f>
        <v>565063.21262955281</v>
      </c>
      <c r="U528" s="110">
        <f>VLOOKUP($C528,怪物并表!$E$7:$N$1000,3+($D528-1)*3,FALSE)*S528*AK528</f>
        <v>40343.312267271504</v>
      </c>
      <c r="V528" s="110">
        <f>VLOOKUP($C528,怪物并表!$E$7:$N$1000,4+($D528-1)*3,FALSE)*S528*AL528</f>
        <v>10144.746576481612</v>
      </c>
      <c r="W528" s="33"/>
      <c r="X528" s="33"/>
      <c r="Y528" s="49">
        <f>VLOOKUP($C528,怪物并表!$E$7:$P$1000,12,FALSE)</f>
        <v>0</v>
      </c>
      <c r="Z528" s="49">
        <f>VLOOKUP($C528,怪物并表!$E$7:$P$1000,11,FALSE)*S528</f>
        <v>4184.6480000000001</v>
      </c>
      <c r="AA528" s="33"/>
      <c r="AB528" s="33"/>
      <c r="AC528" s="33"/>
      <c r="AD528" s="33">
        <f t="shared" si="67"/>
        <v>1</v>
      </c>
      <c r="AE528" s="2">
        <f t="shared" si="66"/>
        <v>216.25</v>
      </c>
      <c r="AF528" s="2" t="str">
        <f>IF(ISBLANK(AM528),IF(O528=6,"",IF(O528=1,VLOOKUP(R528,怪物信息配置表!B:H,5,FALSE),IF(O528=2,VLOOKUP(R528,怪物信息配置表!B:H,6,FALSE),IF(OR(O528=3,O528=5),VLOOKUP(R528,怪物信息配置表!B:H,7,FALSE),"")))),AM528)</f>
        <v>ai_monster_02</v>
      </c>
      <c r="AG528" s="2"/>
      <c r="AH528" s="15">
        <f>SUMPRODUCT(T528:V528,$AN$3:$AP$3)+ROUNDDOWN(VLOOKUP(P528,CHOOSE({1,2},'[1]消耗&amp;价值&amp;分析'!$C$7:$C$106,'[1]消耗&amp;价值&amp;分析'!$AS$7:$AS$106),2,FALSE)*0.6,0)</f>
        <v>79504.587348935223</v>
      </c>
      <c r="AJ528" s="80">
        <v>1</v>
      </c>
      <c r="AK528" s="80">
        <v>1</v>
      </c>
      <c r="AL528" s="80">
        <v>1</v>
      </c>
    </row>
    <row r="529" spans="1:38">
      <c r="A529" s="33" t="str">
        <f>怪物并表!$R$8</f>
        <v>精英副本</v>
      </c>
      <c r="B529" s="38">
        <v>2</v>
      </c>
      <c r="C529" s="33">
        <f t="shared" si="68"/>
        <v>6209</v>
      </c>
      <c r="D529" s="33">
        <v>1</v>
      </c>
      <c r="E529" s="33">
        <f>VLOOKUP(A529,怪物并表!$R$7:$S$14,2,FALSE)</f>
        <v>2</v>
      </c>
      <c r="F529" s="38">
        <v>6</v>
      </c>
      <c r="G529" s="38">
        <v>9</v>
      </c>
      <c r="H529" s="38">
        <v>0</v>
      </c>
      <c r="I529" s="33">
        <f t="shared" si="63"/>
        <v>269002</v>
      </c>
      <c r="J529" s="33" t="s">
        <v>462</v>
      </c>
      <c r="K529" s="33"/>
      <c r="L529" s="33">
        <v>0</v>
      </c>
      <c r="M529" s="33">
        <v>1</v>
      </c>
      <c r="N529" s="33"/>
      <c r="O529" s="33">
        <v>1</v>
      </c>
      <c r="P529" s="33">
        <f>VLOOKUP($C529,CHOOSE({1,2},怪物并表!$E$7:$E$1000,怪物并表!$D$7:$D$1000),2,FALSE)</f>
        <v>66</v>
      </c>
      <c r="Q529" s="33" t="s">
        <v>11</v>
      </c>
      <c r="R529" s="33">
        <f>VLOOKUP(Q529,怪物信息配置表!$A$2:$B$118,2,FALSE)</f>
        <v>1011</v>
      </c>
      <c r="S529" s="33">
        <v>1</v>
      </c>
      <c r="T529" s="110">
        <f>VLOOKUP($C529,怪物并表!$E$7:$N$1000,2+($D529-1)*3,FALSE)*S529*AJ529</f>
        <v>565063.21262955281</v>
      </c>
      <c r="U529" s="110">
        <f>VLOOKUP($C529,怪物并表!$E$7:$N$1000,3+($D529-1)*3,FALSE)*S529*AK529</f>
        <v>40343.312267271504</v>
      </c>
      <c r="V529" s="110">
        <f>VLOOKUP($C529,怪物并表!$E$7:$N$1000,4+($D529-1)*3,FALSE)*S529*AL529</f>
        <v>10144.746576481612</v>
      </c>
      <c r="W529" s="33"/>
      <c r="X529" s="33"/>
      <c r="Y529" s="49">
        <f>VLOOKUP($C529,怪物并表!$E$7:$P$1000,12,FALSE)</f>
        <v>0</v>
      </c>
      <c r="Z529" s="49">
        <f>VLOOKUP($C529,怪物并表!$E$7:$P$1000,11,FALSE)*S529</f>
        <v>4184.6480000000001</v>
      </c>
      <c r="AA529" s="33"/>
      <c r="AB529" s="33"/>
      <c r="AC529" s="33"/>
      <c r="AD529" s="33">
        <f t="shared" si="67"/>
        <v>1</v>
      </c>
      <c r="AE529" s="2">
        <f t="shared" si="66"/>
        <v>216.25</v>
      </c>
      <c r="AF529" s="2" t="str">
        <f>IF(ISBLANK(AM529),IF(O529=6,"",IF(O529=1,VLOOKUP(R529,怪物信息配置表!B:H,5,FALSE),IF(O529=2,VLOOKUP(R529,怪物信息配置表!B:H,6,FALSE),IF(OR(O529=3,O529=5),VLOOKUP(R529,怪物信息配置表!B:H,7,FALSE),"")))),AM529)</f>
        <v>ai_monster</v>
      </c>
      <c r="AG529" s="2"/>
      <c r="AH529" s="15">
        <f>SUMPRODUCT(T529:V529,$AN$3:$AP$3)+ROUNDDOWN(VLOOKUP(P529,CHOOSE({1,2},'[1]消耗&amp;价值&amp;分析'!$C$7:$C$106,'[1]消耗&amp;价值&amp;分析'!$AS$7:$AS$106),2,FALSE)*0.6,0)</f>
        <v>79504.587348935223</v>
      </c>
      <c r="AJ529" s="80">
        <v>1</v>
      </c>
      <c r="AK529" s="80">
        <v>1</v>
      </c>
      <c r="AL529" s="80">
        <v>1</v>
      </c>
    </row>
    <row r="530" spans="1:38">
      <c r="A530" s="33" t="str">
        <f>怪物并表!$R$8</f>
        <v>精英副本</v>
      </c>
      <c r="B530" s="38">
        <v>3</v>
      </c>
      <c r="C530" s="33">
        <f t="shared" si="68"/>
        <v>6209</v>
      </c>
      <c r="D530" s="33">
        <v>1</v>
      </c>
      <c r="E530" s="33">
        <f>VLOOKUP(A530,怪物并表!$R$7:$S$14,2,FALSE)</f>
        <v>2</v>
      </c>
      <c r="F530" s="38">
        <v>6</v>
      </c>
      <c r="G530" s="38">
        <v>9</v>
      </c>
      <c r="H530" s="38">
        <v>0</v>
      </c>
      <c r="I530" s="33">
        <f t="shared" si="63"/>
        <v>269003</v>
      </c>
      <c r="J530" s="33" t="s">
        <v>482</v>
      </c>
      <c r="K530" s="33"/>
      <c r="L530" s="33">
        <v>0</v>
      </c>
      <c r="M530" s="33">
        <v>1</v>
      </c>
      <c r="N530" s="33"/>
      <c r="O530" s="33">
        <v>1</v>
      </c>
      <c r="P530" s="33">
        <f>VLOOKUP($C530,CHOOSE({1,2},怪物并表!$E$7:$E$1000,怪物并表!$D$7:$D$1000),2,FALSE)</f>
        <v>66</v>
      </c>
      <c r="Q530" s="33" t="s">
        <v>399</v>
      </c>
      <c r="R530" s="33">
        <f>VLOOKUP(Q530,怪物信息配置表!$A$2:$B$118,2,FALSE)</f>
        <v>1014</v>
      </c>
      <c r="S530" s="33">
        <v>1</v>
      </c>
      <c r="T530" s="110">
        <f>VLOOKUP($C530,怪物并表!$E$7:$N$1000,2+($D530-1)*3,FALSE)*S530*AJ530</f>
        <v>565063.21262955281</v>
      </c>
      <c r="U530" s="110">
        <f>VLOOKUP($C530,怪物并表!$E$7:$N$1000,3+($D530-1)*3,FALSE)*S530*AK530</f>
        <v>40343.312267271504</v>
      </c>
      <c r="V530" s="110">
        <f>VLOOKUP($C530,怪物并表!$E$7:$N$1000,4+($D530-1)*3,FALSE)*S530*AL530</f>
        <v>10144.746576481612</v>
      </c>
      <c r="W530" s="33"/>
      <c r="X530" s="33"/>
      <c r="Y530" s="49">
        <f>VLOOKUP($C530,怪物并表!$E$7:$P$1000,12,FALSE)</f>
        <v>0</v>
      </c>
      <c r="Z530" s="49">
        <f>VLOOKUP($C530,怪物并表!$E$7:$P$1000,11,FALSE)*S530</f>
        <v>4184.6480000000001</v>
      </c>
      <c r="AA530" s="33"/>
      <c r="AB530" s="33"/>
      <c r="AC530" s="33"/>
      <c r="AD530" s="33">
        <f t="shared" si="67"/>
        <v>1</v>
      </c>
      <c r="AE530" s="2">
        <f t="shared" si="66"/>
        <v>181.25</v>
      </c>
      <c r="AF530" s="2" t="str">
        <f>IF(ISBLANK(AM530),IF(O530=6,"",IF(O530=1,VLOOKUP(R530,怪物信息配置表!B:H,5,FALSE),IF(O530=2,VLOOKUP(R530,怪物信息配置表!B:H,6,FALSE),IF(OR(O530=3,O530=5),VLOOKUP(R530,怪物信息配置表!B:H,7,FALSE),"")))),AM530)</f>
        <v>ai_monster_03</v>
      </c>
      <c r="AG530" s="2"/>
      <c r="AH530" s="15">
        <f>SUMPRODUCT(T530:V530,$AN$3:$AP$3)+ROUNDDOWN(VLOOKUP(P530,CHOOSE({1,2},'[1]消耗&amp;价值&amp;分析'!$C$7:$C$106,'[1]消耗&amp;价值&amp;分析'!$AS$7:$AS$106),2,FALSE)*0.6,0)</f>
        <v>79504.587348935223</v>
      </c>
      <c r="AJ530" s="80">
        <v>1</v>
      </c>
      <c r="AK530" s="80">
        <v>1</v>
      </c>
      <c r="AL530" s="80">
        <v>1</v>
      </c>
    </row>
    <row r="531" spans="1:38">
      <c r="A531" s="33" t="str">
        <f>怪物并表!$R$8</f>
        <v>精英副本</v>
      </c>
      <c r="B531" s="38">
        <v>4</v>
      </c>
      <c r="C531" s="33">
        <f t="shared" si="68"/>
        <v>6209</v>
      </c>
      <c r="D531" s="33">
        <v>3</v>
      </c>
      <c r="E531" s="33">
        <f>VLOOKUP(A531,怪物并表!$R$7:$S$14,2,FALSE)</f>
        <v>2</v>
      </c>
      <c r="F531" s="38">
        <v>6</v>
      </c>
      <c r="G531" s="38">
        <v>9</v>
      </c>
      <c r="H531" s="38">
        <v>0</v>
      </c>
      <c r="I531" s="33">
        <f t="shared" si="63"/>
        <v>269004</v>
      </c>
      <c r="J531" s="33" t="s">
        <v>254</v>
      </c>
      <c r="K531" s="33"/>
      <c r="L531" s="33">
        <v>1</v>
      </c>
      <c r="M531" s="33">
        <v>1.3</v>
      </c>
      <c r="N531" s="33"/>
      <c r="O531" s="33">
        <v>3</v>
      </c>
      <c r="P531" s="33">
        <f>VLOOKUP($C531,CHOOSE({1,2},怪物并表!$E$7:$E$1000,怪物并表!$D$7:$D$1000),2,FALSE)</f>
        <v>66</v>
      </c>
      <c r="Q531" s="33" t="s">
        <v>25</v>
      </c>
      <c r="R531" s="33">
        <f>VLOOKUP(Q531,怪物信息配置表!$A$2:$B$118,2,FALSE)</f>
        <v>1012</v>
      </c>
      <c r="S531" s="33">
        <v>1</v>
      </c>
      <c r="T531" s="110">
        <f>VLOOKUP($C531,怪物并表!$E$7:$N$1000,2+($D531-1)*3,FALSE)*S531*AJ531</f>
        <v>1412658.0315738819</v>
      </c>
      <c r="U531" s="110">
        <f>VLOOKUP($C531,怪物并表!$E$7:$N$1000,3+($D531-1)*3,FALSE)*S531*AK531</f>
        <v>46721.183624645542</v>
      </c>
      <c r="V531" s="110">
        <f>VLOOKUP($C531,怪物并表!$E$7:$N$1000,4+($D531-1)*3,FALSE)*S531*AL531</f>
        <v>11920.077227365893</v>
      </c>
      <c r="W531" s="33"/>
      <c r="X531" s="33"/>
      <c r="Y531" s="49">
        <f>VLOOKUP($C531,怪物并表!$E$7:$P$1000,12,FALSE)</f>
        <v>0</v>
      </c>
      <c r="Z531" s="49">
        <f>VLOOKUP($C531,怪物并表!$E$7:$P$1000,11,FALSE)*S531</f>
        <v>4184.6480000000001</v>
      </c>
      <c r="AA531" s="33"/>
      <c r="AB531" s="33"/>
      <c r="AC531" s="33"/>
      <c r="AD531" s="33">
        <f t="shared" si="67"/>
        <v>1.5</v>
      </c>
      <c r="AE531" s="2">
        <f t="shared" si="66"/>
        <v>50</v>
      </c>
      <c r="AF531" s="2" t="str">
        <f>IF(ISBLANK(AM531),IF(O531=6,"",IF(O531=1,VLOOKUP(R531,怪物信息配置表!B:H,5,FALSE),IF(O531=2,VLOOKUP(R531,怪物信息配置表!B:H,6,FALSE),IF(OR(O531=3,O531=5),VLOOKUP(R531,怪物信息配置表!B:H,7,FALSE),"")))),AM531)</f>
        <v>1012_jianke_BOSS</v>
      </c>
      <c r="AG531" s="2"/>
      <c r="AH531" s="15">
        <f>SUMPRODUCT(T531:V531,$AN$3:$AP$3)+ROUNDDOWN(VLOOKUP(P531,CHOOSE({1,2},'[1]消耗&amp;价值&amp;分析'!$C$7:$C$106,'[1]消耗&amp;价值&amp;分析'!$AS$7:$AS$106),2,FALSE)*0.6,0)</f>
        <v>121561.5821149667</v>
      </c>
      <c r="AJ531" s="80">
        <v>1</v>
      </c>
      <c r="AK531" s="80">
        <v>1</v>
      </c>
      <c r="AL531" s="80">
        <v>1</v>
      </c>
    </row>
    <row r="532" spans="1:38">
      <c r="A532" s="33" t="str">
        <f>怪物并表!$R$8</f>
        <v>精英副本</v>
      </c>
      <c r="B532" s="38">
        <v>1</v>
      </c>
      <c r="C532" s="33">
        <f t="shared" si="65"/>
        <v>7201</v>
      </c>
      <c r="D532" s="33">
        <v>1</v>
      </c>
      <c r="E532" s="33">
        <f>VLOOKUP(A532,怪物并表!$R$7:$S$14,2,FALSE)</f>
        <v>2</v>
      </c>
      <c r="F532" s="38">
        <v>7</v>
      </c>
      <c r="G532" s="38">
        <v>1</v>
      </c>
      <c r="H532" s="38">
        <v>0</v>
      </c>
      <c r="I532" s="33">
        <f t="shared" si="63"/>
        <v>271001</v>
      </c>
      <c r="J532" s="33" t="s">
        <v>239</v>
      </c>
      <c r="K532" s="33"/>
      <c r="L532" s="33">
        <v>0</v>
      </c>
      <c r="M532" s="33">
        <v>1</v>
      </c>
      <c r="N532" s="33"/>
      <c r="O532" s="33">
        <v>1</v>
      </c>
      <c r="P532" s="33">
        <f>VLOOKUP($C532,CHOOSE({1,2},怪物并表!$E$7:$E$1000,怪物并表!$D$7:$D$1000),2,FALSE)</f>
        <v>67</v>
      </c>
      <c r="Q532" s="33" t="s">
        <v>367</v>
      </c>
      <c r="R532" s="33">
        <f>VLOOKUP(Q532,怪物信息配置表!$A$2:$B$118,2,FALSE)</f>
        <v>1008</v>
      </c>
      <c r="S532" s="33">
        <v>1</v>
      </c>
      <c r="T532" s="110">
        <f>VLOOKUP($C532,怪物并表!$E$7:$N$1000,2+($D532-1)*3,FALSE)*S532*AJ532</f>
        <v>517787.79575834068</v>
      </c>
      <c r="U532" s="110">
        <f>VLOOKUP($C532,怪物并表!$E$7:$N$1000,3+($D532-1)*3,FALSE)*S532*AK532</f>
        <v>37702.926929169575</v>
      </c>
      <c r="V532" s="110">
        <f>VLOOKUP($C532,怪物并表!$E$7:$N$1000,4+($D532-1)*3,FALSE)*S532*AL532</f>
        <v>8899.84509339131</v>
      </c>
      <c r="W532" s="33"/>
      <c r="X532" s="33"/>
      <c r="Y532" s="49">
        <f>VLOOKUP($C532,怪物并表!$E$7:$P$1000,12,FALSE)</f>
        <v>0</v>
      </c>
      <c r="Z532" s="49">
        <f>VLOOKUP($C532,怪物并表!$E$7:$P$1000,11,FALSE)*S532</f>
        <v>4242.8759999999993</v>
      </c>
      <c r="AA532" s="33"/>
      <c r="AB532" s="33"/>
      <c r="AC532" s="33"/>
      <c r="AD532" s="33">
        <f t="shared" si="61"/>
        <v>1</v>
      </c>
      <c r="AE532" s="2">
        <f t="shared" si="66"/>
        <v>204.375</v>
      </c>
      <c r="AF532" s="2" t="str">
        <f>IF(ISBLANK(AM532),IF(O532=6,"",IF(O532=1,VLOOKUP(R532,怪物信息配置表!B:H,5,FALSE),IF(O532=2,VLOOKUP(R532,怪物信息配置表!B:H,6,FALSE),IF(OR(O532=3,O532=5),VLOOKUP(R532,怪物信息配置表!B:H,7,FALSE),"")))),AM532)</f>
        <v>ai_monster</v>
      </c>
      <c r="AG532" s="2"/>
      <c r="AH532" s="15">
        <f>SUMPRODUCT(T532:V532,$AN$3:$AP$3)+ROUNDDOWN(VLOOKUP(P532,CHOOSE({1,2},'[1]消耗&amp;价值&amp;分析'!$C$7:$C$106,'[1]消耗&amp;价值&amp;分析'!$AS$7:$AS$106),2,FALSE)*0.6,0)</f>
        <v>74116.283852894514</v>
      </c>
      <c r="AJ532" s="80">
        <v>1</v>
      </c>
      <c r="AK532" s="80">
        <v>1</v>
      </c>
      <c r="AL532" s="80">
        <v>1</v>
      </c>
    </row>
    <row r="533" spans="1:38">
      <c r="A533" s="33" t="str">
        <f>怪物并表!$R$8</f>
        <v>精英副本</v>
      </c>
      <c r="B533" s="38">
        <v>2</v>
      </c>
      <c r="C533" s="33">
        <f t="shared" si="65"/>
        <v>7201</v>
      </c>
      <c r="D533" s="33">
        <v>2</v>
      </c>
      <c r="E533" s="33">
        <f>VLOOKUP(A533,怪物并表!$R$7:$S$14,2,FALSE)</f>
        <v>2</v>
      </c>
      <c r="F533" s="38">
        <v>7</v>
      </c>
      <c r="G533" s="38">
        <v>1</v>
      </c>
      <c r="H533" s="38">
        <v>0</v>
      </c>
      <c r="I533" s="33">
        <f t="shared" si="63"/>
        <v>271002</v>
      </c>
      <c r="J533" s="33" t="s">
        <v>511</v>
      </c>
      <c r="K533" s="33"/>
      <c r="L533" s="33">
        <v>0</v>
      </c>
      <c r="M533" s="33">
        <v>1</v>
      </c>
      <c r="N533" s="33"/>
      <c r="O533" s="33">
        <v>1</v>
      </c>
      <c r="P533" s="33">
        <f>VLOOKUP($C533,CHOOSE({1,2},怪物并表!$E$7:$E$1000,怪物并表!$D$7:$D$1000),2,FALSE)</f>
        <v>67</v>
      </c>
      <c r="Q533" s="33" t="s">
        <v>9</v>
      </c>
      <c r="R533" s="33">
        <f>VLOOKUP(Q533,怪物信息配置表!$A$2:$B$118,2,FALSE)</f>
        <v>1003</v>
      </c>
      <c r="S533" s="33">
        <v>1</v>
      </c>
      <c r="T533" s="110">
        <f>VLOOKUP($C533,怪物并表!$E$7:$N$1000,2+($D533-1)*3,FALSE)*S533*AJ533</f>
        <v>414230.23660667258</v>
      </c>
      <c r="U533" s="110">
        <f>VLOOKUP($C533,怪物并表!$E$7:$N$1000,3+($D533-1)*3,FALSE)*S533*AK533</f>
        <v>34822.618745591746</v>
      </c>
      <c r="V533" s="110">
        <f>VLOOKUP($C533,怪物并表!$E$7:$N$1000,4+($D533-1)*3,FALSE)*S533*AL533</f>
        <v>6674.883820043482</v>
      </c>
      <c r="W533" s="33"/>
      <c r="X533" s="33"/>
      <c r="Y533" s="49">
        <f>VLOOKUP($C533,怪物并表!$E$7:$P$1000,12,FALSE)</f>
        <v>0</v>
      </c>
      <c r="Z533" s="49">
        <f>VLOOKUP($C533,怪物并表!$E$7:$P$1000,11,FALSE)*S533</f>
        <v>4242.8759999999993</v>
      </c>
      <c r="AA533" s="33"/>
      <c r="AB533" s="33"/>
      <c r="AC533" s="33"/>
      <c r="AD533" s="33">
        <f t="shared" si="61"/>
        <v>0.8</v>
      </c>
      <c r="AE533" s="2">
        <f t="shared" si="66"/>
        <v>363.5</v>
      </c>
      <c r="AF533" s="2" t="str">
        <f>IF(ISBLANK(AM533),IF(O533=6,"",IF(O533=1,VLOOKUP(R533,怪物信息配置表!B:H,5,FALSE),IF(O533=2,VLOOKUP(R533,怪物信息配置表!B:H,6,FALSE),IF(OR(O533=3,O533=5),VLOOKUP(R533,怪物信息配置表!B:H,7,FALSE),"")))),AM533)</f>
        <v>ai_monster_02</v>
      </c>
      <c r="AG533" s="2"/>
      <c r="AH533" s="15">
        <f>SUMPRODUCT(T533:V533,$AN$3:$AP$3)+ROUNDDOWN(VLOOKUP(P533,CHOOSE({1,2},'[1]消耗&amp;价值&amp;分析'!$C$7:$C$106,'[1]消耗&amp;价值&amp;分析'!$AS$7:$AS$106),2,FALSE)*0.6,0)</f>
        <v>64868.712029902134</v>
      </c>
      <c r="AJ533" s="80">
        <v>1</v>
      </c>
      <c r="AK533" s="80">
        <v>1</v>
      </c>
      <c r="AL533" s="80">
        <v>1</v>
      </c>
    </row>
    <row r="534" spans="1:38">
      <c r="A534" s="33" t="str">
        <f>怪物并表!$R$8</f>
        <v>精英副本</v>
      </c>
      <c r="B534" s="38">
        <v>3</v>
      </c>
      <c r="C534" s="33">
        <f t="shared" si="65"/>
        <v>7201</v>
      </c>
      <c r="D534" s="33">
        <v>1</v>
      </c>
      <c r="E534" s="33">
        <f>VLOOKUP(A534,怪物并表!$R$7:$S$14,2,FALSE)</f>
        <v>2</v>
      </c>
      <c r="F534" s="38">
        <v>7</v>
      </c>
      <c r="G534" s="38">
        <v>1</v>
      </c>
      <c r="H534" s="38">
        <v>0</v>
      </c>
      <c r="I534" s="33">
        <f t="shared" si="63"/>
        <v>271003</v>
      </c>
      <c r="J534" s="33" t="s">
        <v>492</v>
      </c>
      <c r="K534" s="33"/>
      <c r="L534" s="33">
        <v>0</v>
      </c>
      <c r="M534" s="33">
        <v>1</v>
      </c>
      <c r="N534" s="33"/>
      <c r="O534" s="33">
        <v>1</v>
      </c>
      <c r="P534" s="33">
        <f>VLOOKUP($C534,CHOOSE({1,2},怪物并表!$E$7:$E$1000,怪物并表!$D$7:$D$1000),2,FALSE)</f>
        <v>67</v>
      </c>
      <c r="Q534" s="33" t="s">
        <v>24</v>
      </c>
      <c r="R534" s="33">
        <f>VLOOKUP(Q534,怪物信息配置表!$A$2:$B$118,2,FALSE)</f>
        <v>1015</v>
      </c>
      <c r="S534" s="33">
        <v>1</v>
      </c>
      <c r="T534" s="110">
        <f>VLOOKUP($C534,怪物并表!$E$7:$N$1000,2+($D534-1)*3,FALSE)*S534*AJ534</f>
        <v>517787.79575834068</v>
      </c>
      <c r="U534" s="110">
        <f>VLOOKUP($C534,怪物并表!$E$7:$N$1000,3+($D534-1)*3,FALSE)*S534*AK534</f>
        <v>37702.926929169575</v>
      </c>
      <c r="V534" s="110">
        <f>VLOOKUP($C534,怪物并表!$E$7:$N$1000,4+($D534-1)*3,FALSE)*S534*AL534</f>
        <v>8899.84509339131</v>
      </c>
      <c r="W534" s="33"/>
      <c r="X534" s="33"/>
      <c r="Y534" s="49">
        <f>VLOOKUP($C534,怪物并表!$E$7:$P$1000,12,FALSE)</f>
        <v>0</v>
      </c>
      <c r="Z534" s="49">
        <f>VLOOKUP($C534,怪物并表!$E$7:$P$1000,11,FALSE)*S534</f>
        <v>4242.8759999999993</v>
      </c>
      <c r="AA534" s="33"/>
      <c r="AB534" s="33"/>
      <c r="AC534" s="33"/>
      <c r="AD534" s="33">
        <f t="shared" si="61"/>
        <v>1</v>
      </c>
      <c r="AE534" s="2">
        <f t="shared" si="66"/>
        <v>171.875</v>
      </c>
      <c r="AF534" s="2" t="str">
        <f>IF(ISBLANK(AM534),IF(O534=6,"",IF(O534=1,VLOOKUP(R534,怪物信息配置表!B:H,5,FALSE),IF(O534=2,VLOOKUP(R534,怪物信息配置表!B:H,6,FALSE),IF(OR(O534=3,O534=5),VLOOKUP(R534,怪物信息配置表!B:H,7,FALSE),"")))),AM534)</f>
        <v>ai_monster_03</v>
      </c>
      <c r="AG534" s="2"/>
      <c r="AH534" s="15">
        <f>SUMPRODUCT(T534:V534,$AN$3:$AP$3)+ROUNDDOWN(VLOOKUP(P534,CHOOSE({1,2},'[1]消耗&amp;价值&amp;分析'!$C$7:$C$106,'[1]消耗&amp;价值&amp;分析'!$AS$7:$AS$106),2,FALSE)*0.6,0)</f>
        <v>74116.283852894514</v>
      </c>
      <c r="AJ534" s="80">
        <v>1</v>
      </c>
      <c r="AK534" s="80">
        <v>1</v>
      </c>
      <c r="AL534" s="80">
        <v>1</v>
      </c>
    </row>
    <row r="535" spans="1:38">
      <c r="A535" s="33" t="str">
        <f>怪物并表!$R$8</f>
        <v>精英副本</v>
      </c>
      <c r="B535" s="38">
        <v>4</v>
      </c>
      <c r="C535" s="33">
        <f t="shared" si="65"/>
        <v>7201</v>
      </c>
      <c r="D535" s="33">
        <v>3</v>
      </c>
      <c r="E535" s="33">
        <f>VLOOKUP(A535,怪物并表!$R$7:$S$14,2,FALSE)</f>
        <v>2</v>
      </c>
      <c r="F535" s="38">
        <v>7</v>
      </c>
      <c r="G535" s="38">
        <v>1</v>
      </c>
      <c r="H535" s="38">
        <v>0</v>
      </c>
      <c r="I535" s="33">
        <f t="shared" si="63"/>
        <v>271004</v>
      </c>
      <c r="J535" s="33" t="s">
        <v>255</v>
      </c>
      <c r="K535" s="33"/>
      <c r="L535" s="33">
        <v>1</v>
      </c>
      <c r="M535" s="33">
        <v>1.1000000000000001</v>
      </c>
      <c r="N535" s="33"/>
      <c r="O535" s="33">
        <v>3</v>
      </c>
      <c r="P535" s="33">
        <f>VLOOKUP($C535,CHOOSE({1,2},怪物并表!$E$7:$E$1000,怪物并表!$D$7:$D$1000),2,FALSE)</f>
        <v>67</v>
      </c>
      <c r="Q535" s="33" t="s">
        <v>10</v>
      </c>
      <c r="R535" s="33">
        <f>VLOOKUP(Q535,怪物信息配置表!$A$2:$B$118,2,FALSE)</f>
        <v>1001</v>
      </c>
      <c r="S535" s="33">
        <v>1</v>
      </c>
      <c r="T535" s="110">
        <f>VLOOKUP($C535,怪物并表!$E$7:$N$1000,2+($D535-1)*3,FALSE)*S535*AJ535</f>
        <v>1294469.4893958517</v>
      </c>
      <c r="U535" s="110">
        <f>VLOOKUP($C535,怪物并表!$E$7:$N$1000,3+($D535-1)*3,FALSE)*S535*AK535</f>
        <v>43463.543296325224</v>
      </c>
      <c r="V535" s="110">
        <f>VLOOKUP($C535,怪物并表!$E$7:$N$1000,4+($D535-1)*3,FALSE)*S535*AL535</f>
        <v>11124.806366739138</v>
      </c>
      <c r="W535" s="33"/>
      <c r="X535" s="33"/>
      <c r="Y535" s="49">
        <f>VLOOKUP($C535,怪物并表!$E$7:$P$1000,12,FALSE)</f>
        <v>0</v>
      </c>
      <c r="Z535" s="49">
        <f>VLOOKUP($C535,怪物并表!$E$7:$P$1000,11,FALSE)*S535</f>
        <v>4242.8759999999993</v>
      </c>
      <c r="AA535" s="33"/>
      <c r="AB535" s="33"/>
      <c r="AC535" s="33"/>
      <c r="AD535" s="33">
        <f t="shared" si="61"/>
        <v>1.5</v>
      </c>
      <c r="AE535" s="2">
        <f t="shared" si="66"/>
        <v>50</v>
      </c>
      <c r="AF535" s="2" t="str">
        <f>IF(ISBLANK(AM535),IF(O535=6,"",IF(O535=1,VLOOKUP(R535,怪物信息配置表!B:H,5,FALSE),IF(O535=2,VLOOKUP(R535,怪物信息配置表!B:H,6,FALSE),IF(OR(O535=3,O535=5),VLOOKUP(R535,怪物信息配置表!B:H,7,FALSE),"")))),AM535)</f>
        <v>1001_quanbing_BOSS</v>
      </c>
      <c r="AG535" s="2"/>
      <c r="AH535" s="15">
        <f>SUMPRODUCT(T535:V535,$AN$3:$AP$3)+ROUNDDOWN(VLOOKUP(P535,CHOOSE({1,2},'[1]消耗&amp;价值&amp;分析'!$C$7:$C$106,'[1]消耗&amp;价值&amp;分析'!$AS$7:$AS$106),2,FALSE)*0.6,0)</f>
        <v>113169.12923889844</v>
      </c>
      <c r="AJ535" s="80">
        <v>1</v>
      </c>
      <c r="AK535" s="80">
        <v>1</v>
      </c>
      <c r="AL535" s="80">
        <v>1</v>
      </c>
    </row>
    <row r="536" spans="1:38">
      <c r="A536" s="33" t="str">
        <f>怪物并表!$R$8</f>
        <v>精英副本</v>
      </c>
      <c r="B536" s="38">
        <v>1</v>
      </c>
      <c r="C536" s="33">
        <f t="shared" si="65"/>
        <v>7202</v>
      </c>
      <c r="D536" s="33">
        <v>1</v>
      </c>
      <c r="E536" s="33">
        <f>VLOOKUP(A536,怪物并表!$R$7:$S$14,2,FALSE)</f>
        <v>2</v>
      </c>
      <c r="F536" s="38">
        <v>7</v>
      </c>
      <c r="G536" s="38">
        <v>2</v>
      </c>
      <c r="H536" s="38">
        <v>0</v>
      </c>
      <c r="I536" s="33">
        <f t="shared" si="63"/>
        <v>272001</v>
      </c>
      <c r="J536" s="33" t="s">
        <v>241</v>
      </c>
      <c r="K536" s="33"/>
      <c r="L536" s="33">
        <v>0</v>
      </c>
      <c r="M536" s="33">
        <v>1</v>
      </c>
      <c r="N536" s="33"/>
      <c r="O536" s="33">
        <v>1</v>
      </c>
      <c r="P536" s="33">
        <f>VLOOKUP($C536,CHOOSE({1,2},怪物并表!$E$7:$E$1000,怪物并表!$D$7:$D$1000),2,FALSE)</f>
        <v>68</v>
      </c>
      <c r="Q536" s="33" t="s">
        <v>15</v>
      </c>
      <c r="R536" s="33">
        <f>VLOOKUP(Q536,怪物信息配置表!$A$2:$B$118,2,FALSE)</f>
        <v>1004</v>
      </c>
      <c r="S536" s="33">
        <v>1</v>
      </c>
      <c r="T536" s="110">
        <f>VLOOKUP($C536,怪物并表!$E$7:$N$1000,2+($D536-1)*3,FALSE)*S536*AJ536</f>
        <v>560773.92305061349</v>
      </c>
      <c r="U536" s="110">
        <f>VLOOKUP($C536,怪物并表!$E$7:$N$1000,3+($D536-1)*3,FALSE)*S536*AK536</f>
        <v>40634.209751689821</v>
      </c>
      <c r="V536" s="110">
        <f>VLOOKUP($C536,怪物并表!$E$7:$N$1000,4+($D536-1)*3,FALSE)*S536*AL536</f>
        <v>9593.9740302983373</v>
      </c>
      <c r="W536" s="33"/>
      <c r="X536" s="33"/>
      <c r="Y536" s="49">
        <f>VLOOKUP($C536,怪物并表!$E$7:$P$1000,12,FALSE)</f>
        <v>0</v>
      </c>
      <c r="Z536" s="49">
        <f>VLOOKUP($C536,怪物并表!$E$7:$P$1000,11,FALSE)*S536</f>
        <v>4301.1040000000003</v>
      </c>
      <c r="AA536" s="33"/>
      <c r="AB536" s="33"/>
      <c r="AC536" s="33"/>
      <c r="AD536" s="33">
        <f t="shared" si="61"/>
        <v>1</v>
      </c>
      <c r="AE536" s="2">
        <f t="shared" si="66"/>
        <v>192.5</v>
      </c>
      <c r="AF536" s="2" t="str">
        <f>IF(ISBLANK(AM536),IF(O536=6,"",IF(O536=1,VLOOKUP(R536,怪物信息配置表!B:H,5,FALSE),IF(O536=2,VLOOKUP(R536,怪物信息配置表!B:H,6,FALSE),IF(OR(O536=3,O536=5),VLOOKUP(R536,怪物信息配置表!B:H,7,FALSE),"")))),AM536)</f>
        <v>ai_monster</v>
      </c>
      <c r="AG536" s="2"/>
      <c r="AH536" s="15">
        <f>SUMPRODUCT(T536:V536,$AN$3:$AP$3)+ROUNDDOWN(VLOOKUP(P536,CHOOSE({1,2},'[1]消耗&amp;价值&amp;分析'!$C$7:$C$106,'[1]消耗&amp;价值&amp;分析'!$AS$7:$AS$106),2,FALSE)*0.6,0)</f>
        <v>79775.140704012694</v>
      </c>
      <c r="AJ536" s="80">
        <v>1</v>
      </c>
      <c r="AK536" s="80">
        <v>1</v>
      </c>
      <c r="AL536" s="80">
        <v>1</v>
      </c>
    </row>
    <row r="537" spans="1:38">
      <c r="A537" s="33" t="str">
        <f>怪物并表!$R$8</f>
        <v>精英副本</v>
      </c>
      <c r="B537" s="38">
        <v>2</v>
      </c>
      <c r="C537" s="33">
        <f t="shared" si="65"/>
        <v>7202</v>
      </c>
      <c r="D537" s="33">
        <v>1</v>
      </c>
      <c r="E537" s="33">
        <f>VLOOKUP(A537,怪物并表!$R$7:$S$14,2,FALSE)</f>
        <v>2</v>
      </c>
      <c r="F537" s="38">
        <v>7</v>
      </c>
      <c r="G537" s="38">
        <v>2</v>
      </c>
      <c r="H537" s="38">
        <v>0</v>
      </c>
      <c r="I537" s="33">
        <f t="shared" si="63"/>
        <v>272002</v>
      </c>
      <c r="J537" s="33" t="s">
        <v>242</v>
      </c>
      <c r="K537" s="33"/>
      <c r="L537" s="33">
        <v>0</v>
      </c>
      <c r="M537" s="33">
        <v>1</v>
      </c>
      <c r="N537" s="33"/>
      <c r="O537" s="33">
        <v>1</v>
      </c>
      <c r="P537" s="33">
        <f>VLOOKUP($C537,CHOOSE({1,2},怪物并表!$E$7:$E$1000,怪物并表!$D$7:$D$1000),2,FALSE)</f>
        <v>68</v>
      </c>
      <c r="Q537" s="33" t="s">
        <v>10</v>
      </c>
      <c r="R537" s="33">
        <f>VLOOKUP(Q537,怪物信息配置表!$A$2:$B$118,2,FALSE)</f>
        <v>1001</v>
      </c>
      <c r="S537" s="33">
        <v>1</v>
      </c>
      <c r="T537" s="110">
        <f>VLOOKUP($C537,怪物并表!$E$7:$N$1000,2+($D537-1)*3,FALSE)*S537*AJ537</f>
        <v>560773.92305061349</v>
      </c>
      <c r="U537" s="110">
        <f>VLOOKUP($C537,怪物并表!$E$7:$N$1000,3+($D537-1)*3,FALSE)*S537*AK537</f>
        <v>40634.209751689821</v>
      </c>
      <c r="V537" s="110">
        <f>VLOOKUP($C537,怪物并表!$E$7:$N$1000,4+($D537-1)*3,FALSE)*S537*AL537</f>
        <v>9593.9740302983373</v>
      </c>
      <c r="W537" s="33"/>
      <c r="X537" s="33"/>
      <c r="Y537" s="49">
        <f>VLOOKUP($C537,怪物并表!$E$7:$P$1000,12,FALSE)</f>
        <v>0</v>
      </c>
      <c r="Z537" s="49">
        <f>VLOOKUP($C537,怪物并表!$E$7:$P$1000,11,FALSE)*S537</f>
        <v>4301.1040000000003</v>
      </c>
      <c r="AA537" s="33"/>
      <c r="AB537" s="33"/>
      <c r="AC537" s="33"/>
      <c r="AD537" s="33">
        <f t="shared" si="61"/>
        <v>1</v>
      </c>
      <c r="AE537" s="2">
        <f t="shared" si="66"/>
        <v>192.5</v>
      </c>
      <c r="AF537" s="2" t="str">
        <f>IF(ISBLANK(AM537),IF(O537=6,"",IF(O537=1,VLOOKUP(R537,怪物信息配置表!B:H,5,FALSE),IF(O537=2,VLOOKUP(R537,怪物信息配置表!B:H,6,FALSE),IF(OR(O537=3,O537=5),VLOOKUP(R537,怪物信息配置表!B:H,7,FALSE),"")))),AM537)</f>
        <v>ai_monster</v>
      </c>
      <c r="AG537" s="2"/>
      <c r="AH537" s="15">
        <f>SUMPRODUCT(T537:V537,$AN$3:$AP$3)+ROUNDDOWN(VLOOKUP(P537,CHOOSE({1,2},'[1]消耗&amp;价值&amp;分析'!$C$7:$C$106,'[1]消耗&amp;价值&amp;分析'!$AS$7:$AS$106),2,FALSE)*0.6,0)</f>
        <v>79775.140704012694</v>
      </c>
      <c r="AJ537" s="80">
        <v>1</v>
      </c>
      <c r="AK537" s="80">
        <v>1</v>
      </c>
      <c r="AL537" s="80">
        <v>1</v>
      </c>
    </row>
    <row r="538" spans="1:38">
      <c r="A538" s="33" t="str">
        <f>怪物并表!$R$8</f>
        <v>精英副本</v>
      </c>
      <c r="B538" s="38">
        <v>3</v>
      </c>
      <c r="C538" s="33">
        <f t="shared" si="65"/>
        <v>7202</v>
      </c>
      <c r="D538" s="33">
        <v>1</v>
      </c>
      <c r="E538" s="33">
        <f>VLOOKUP(A538,怪物并表!$R$7:$S$14,2,FALSE)</f>
        <v>2</v>
      </c>
      <c r="F538" s="38">
        <v>7</v>
      </c>
      <c r="G538" s="38">
        <v>2</v>
      </c>
      <c r="H538" s="38">
        <v>0</v>
      </c>
      <c r="I538" s="33">
        <f t="shared" si="63"/>
        <v>272003</v>
      </c>
      <c r="J538" s="33" t="s">
        <v>243</v>
      </c>
      <c r="K538" s="33"/>
      <c r="L538" s="33">
        <v>0</v>
      </c>
      <c r="M538" s="33">
        <v>1</v>
      </c>
      <c r="N538" s="33"/>
      <c r="O538" s="33">
        <v>1</v>
      </c>
      <c r="P538" s="33">
        <f>VLOOKUP($C538,CHOOSE({1,2},怪物并表!$E$7:$E$1000,怪物并表!$D$7:$D$1000),2,FALSE)</f>
        <v>68</v>
      </c>
      <c r="Q538" s="33" t="s">
        <v>20</v>
      </c>
      <c r="R538" s="33">
        <f>VLOOKUP(Q538,怪物信息配置表!$A$2:$B$118,2,FALSE)</f>
        <v>1103</v>
      </c>
      <c r="S538" s="33">
        <v>1</v>
      </c>
      <c r="T538" s="110">
        <f>VLOOKUP($C538,怪物并表!$E$7:$N$1000,2+($D538-1)*3,FALSE)*S538*AJ538</f>
        <v>560773.92305061349</v>
      </c>
      <c r="U538" s="110">
        <f>VLOOKUP($C538,怪物并表!$E$7:$N$1000,3+($D538-1)*3,FALSE)*S538*AK538</f>
        <v>40634.209751689821</v>
      </c>
      <c r="V538" s="110">
        <f>VLOOKUP($C538,怪物并表!$E$7:$N$1000,4+($D538-1)*3,FALSE)*S538*AL538</f>
        <v>9593.9740302983373</v>
      </c>
      <c r="W538" s="33"/>
      <c r="X538" s="33"/>
      <c r="Y538" s="49">
        <f>VLOOKUP($C538,怪物并表!$E$7:$P$1000,12,FALSE)</f>
        <v>0</v>
      </c>
      <c r="Z538" s="49">
        <f>VLOOKUP($C538,怪物并表!$E$7:$P$1000,11,FALSE)*S538</f>
        <v>4301.1040000000003</v>
      </c>
      <c r="AA538" s="33"/>
      <c r="AB538" s="33"/>
      <c r="AC538" s="33"/>
      <c r="AD538" s="33">
        <f t="shared" si="61"/>
        <v>1</v>
      </c>
      <c r="AE538" s="2">
        <f t="shared" si="66"/>
        <v>162.5</v>
      </c>
      <c r="AF538" s="2" t="str">
        <f>IF(ISBLANK(AM538),IF(O538=6,"",IF(O538=1,VLOOKUP(R538,怪物信息配置表!B:H,5,FALSE),IF(O538=2,VLOOKUP(R538,怪物信息配置表!B:H,6,FALSE),IF(OR(O538=3,O538=5),VLOOKUP(R538,怪物信息配置表!B:H,7,FALSE),"")))),AM538)</f>
        <v>ai_monster</v>
      </c>
      <c r="AG538" s="2"/>
      <c r="AH538" s="15">
        <f>SUMPRODUCT(T538:V538,$AN$3:$AP$3)+ROUNDDOWN(VLOOKUP(P538,CHOOSE({1,2},'[1]消耗&amp;价值&amp;分析'!$C$7:$C$106,'[1]消耗&amp;价值&amp;分析'!$AS$7:$AS$106),2,FALSE)*0.6,0)</f>
        <v>79775.140704012694</v>
      </c>
      <c r="AJ538" s="80">
        <v>1</v>
      </c>
      <c r="AK538" s="80">
        <v>1</v>
      </c>
      <c r="AL538" s="80">
        <v>1</v>
      </c>
    </row>
    <row r="539" spans="1:38">
      <c r="A539" s="33" t="str">
        <f>怪物并表!$R$8</f>
        <v>精英副本</v>
      </c>
      <c r="B539" s="38">
        <v>4</v>
      </c>
      <c r="C539" s="33">
        <f t="shared" si="65"/>
        <v>7202</v>
      </c>
      <c r="D539" s="33">
        <v>3</v>
      </c>
      <c r="E539" s="33">
        <f>VLOOKUP(A539,怪物并表!$R$7:$S$14,2,FALSE)</f>
        <v>2</v>
      </c>
      <c r="F539" s="38">
        <v>7</v>
      </c>
      <c r="G539" s="38">
        <v>2</v>
      </c>
      <c r="H539" s="38">
        <v>0</v>
      </c>
      <c r="I539" s="33">
        <f t="shared" si="63"/>
        <v>272004</v>
      </c>
      <c r="J539" s="33" t="s">
        <v>256</v>
      </c>
      <c r="K539" s="33"/>
      <c r="L539" s="33">
        <v>1</v>
      </c>
      <c r="M539" s="33">
        <v>1.1000000000000001</v>
      </c>
      <c r="N539" s="33"/>
      <c r="O539" s="33">
        <v>3</v>
      </c>
      <c r="P539" s="33">
        <f>VLOOKUP($C539,CHOOSE({1,2},怪物并表!$E$7:$E$1000,怪物并表!$D$7:$D$1000),2,FALSE)</f>
        <v>68</v>
      </c>
      <c r="Q539" s="33" t="s">
        <v>399</v>
      </c>
      <c r="R539" s="33">
        <f>VLOOKUP(Q539,怪物信息配置表!$A$2:$B$118,2,FALSE)</f>
        <v>1014</v>
      </c>
      <c r="S539" s="33">
        <v>1</v>
      </c>
      <c r="T539" s="110">
        <f>VLOOKUP($C539,怪物并表!$E$7:$N$1000,2+($D539-1)*3,FALSE)*S539*AJ539</f>
        <v>1401934.8076265338</v>
      </c>
      <c r="U539" s="110">
        <f>VLOOKUP($C539,怪物并表!$E$7:$N$1000,3+($D539-1)*3,FALSE)*S539*AK539</f>
        <v>46889.056769286646</v>
      </c>
      <c r="V539" s="110">
        <f>VLOOKUP($C539,怪物并表!$E$7:$N$1000,4+($D539-1)*3,FALSE)*S539*AL539</f>
        <v>11887.167822906233</v>
      </c>
      <c r="W539" s="33"/>
      <c r="X539" s="33"/>
      <c r="Y539" s="49">
        <f>VLOOKUP($C539,怪物并表!$E$7:$P$1000,12,FALSE)</f>
        <v>0</v>
      </c>
      <c r="Z539" s="49">
        <f>VLOOKUP($C539,怪物并表!$E$7:$P$1000,11,FALSE)*S539</f>
        <v>4301.1040000000003</v>
      </c>
      <c r="AA539" s="33"/>
      <c r="AB539" s="33"/>
      <c r="AC539" s="33"/>
      <c r="AD539" s="33">
        <f t="shared" si="61"/>
        <v>1.5</v>
      </c>
      <c r="AE539" s="2">
        <f t="shared" si="66"/>
        <v>50</v>
      </c>
      <c r="AF539" s="2" t="str">
        <f>IF(ISBLANK(AM539),IF(O539=6,"",IF(O539=1,VLOOKUP(R539,怪物信息配置表!B:H,5,FALSE),IF(O539=2,VLOOKUP(R539,怪物信息配置表!B:H,6,FALSE),IF(OR(O539=3,O539=5),VLOOKUP(R539,怪物信息配置表!B:H,7,FALSE),"")))),AM539)</f>
        <v>1014_xiangpu_BOSS</v>
      </c>
      <c r="AG539" s="2"/>
      <c r="AH539" s="15">
        <f>SUMPRODUCT(T539:V539,$AN$3:$AP$3)+ROUNDDOWN(VLOOKUP(P539,CHOOSE({1,2},'[1]消耗&amp;价值&amp;分析'!$C$7:$C$106,'[1]消耗&amp;价值&amp;分析'!$AS$7:$AS$106),2,FALSE)*0.6,0)</f>
        <v>121969.61689725424</v>
      </c>
      <c r="AJ539" s="80">
        <v>1</v>
      </c>
      <c r="AK539" s="80">
        <v>1</v>
      </c>
      <c r="AL539" s="80">
        <v>1</v>
      </c>
    </row>
    <row r="540" spans="1:38">
      <c r="A540" s="33" t="str">
        <f>怪物并表!$R$8</f>
        <v>精英副本</v>
      </c>
      <c r="B540" s="38">
        <v>1</v>
      </c>
      <c r="C540" s="33">
        <f t="shared" si="65"/>
        <v>7203</v>
      </c>
      <c r="D540" s="33">
        <v>1</v>
      </c>
      <c r="E540" s="33">
        <f>VLOOKUP(A540,怪物并表!$R$7:$S$14,2,FALSE)</f>
        <v>2</v>
      </c>
      <c r="F540" s="38">
        <v>7</v>
      </c>
      <c r="G540" s="38">
        <v>3</v>
      </c>
      <c r="H540" s="38">
        <v>0</v>
      </c>
      <c r="I540" s="33">
        <f t="shared" si="63"/>
        <v>273001</v>
      </c>
      <c r="J540" s="33" t="s">
        <v>245</v>
      </c>
      <c r="K540" s="33"/>
      <c r="L540" s="33">
        <v>0</v>
      </c>
      <c r="M540" s="33">
        <v>1</v>
      </c>
      <c r="N540" s="33"/>
      <c r="O540" s="33">
        <v>1</v>
      </c>
      <c r="P540" s="33">
        <f>VLOOKUP($C540,CHOOSE({1,2},怪物并表!$E$7:$E$1000,怪物并表!$D$7:$D$1000),2,FALSE)</f>
        <v>69</v>
      </c>
      <c r="Q540" s="33" t="s">
        <v>7</v>
      </c>
      <c r="R540" s="33">
        <f>VLOOKUP(Q540,怪物信息配置表!$A$2:$B$118,2,FALSE)</f>
        <v>1002</v>
      </c>
      <c r="S540" s="33">
        <v>1</v>
      </c>
      <c r="T540" s="110">
        <f>VLOOKUP($C540,怪物并表!$E$7:$N$1000,2+($D540-1)*3,FALSE)*S540*AJ540</f>
        <v>606455.00157487253</v>
      </c>
      <c r="U540" s="110">
        <f>VLOOKUP($C540,怪物并表!$E$7:$N$1000,3+($D540-1)*3,FALSE)*S540*AK540</f>
        <v>43749.717097227694</v>
      </c>
      <c r="V540" s="110">
        <f>VLOOKUP($C540,怪物并表!$E$7:$N$1000,4+($D540-1)*3,FALSE)*S540*AL540</f>
        <v>10326.271321884291</v>
      </c>
      <c r="W540" s="33"/>
      <c r="X540" s="33"/>
      <c r="Y540" s="49">
        <f>VLOOKUP($C540,怪物并表!$E$7:$P$1000,12,FALSE)</f>
        <v>0</v>
      </c>
      <c r="Z540" s="49">
        <f>VLOOKUP($C540,怪物并表!$E$7:$P$1000,11,FALSE)*S540</f>
        <v>4359.3320000000003</v>
      </c>
      <c r="AA540" s="33"/>
      <c r="AB540" s="33"/>
      <c r="AC540" s="33"/>
      <c r="AD540" s="33">
        <f t="shared" si="61"/>
        <v>1</v>
      </c>
      <c r="AE540" s="2">
        <f t="shared" si="66"/>
        <v>180.625</v>
      </c>
      <c r="AF540" s="2" t="str">
        <f>IF(ISBLANK(AM540),IF(O540=6,"",IF(O540=1,VLOOKUP(R540,怪物信息配置表!B:H,5,FALSE),IF(O540=2,VLOOKUP(R540,怪物信息配置表!B:H,6,FALSE),IF(OR(O540=3,O540=5),VLOOKUP(R540,怪物信息配置表!B:H,7,FALSE),"")))),AM540)</f>
        <v>ai_monster</v>
      </c>
      <c r="AG540" s="2"/>
      <c r="AH540" s="15">
        <f>SUMPRODUCT(T540:V540,$AN$3:$AP$3)+ROUNDDOWN(VLOOKUP(P540,CHOOSE({1,2},'[1]消耗&amp;价值&amp;分析'!$C$7:$C$106,'[1]消耗&amp;价值&amp;分析'!$AS$7:$AS$106),2,FALSE)*0.6,0)</f>
        <v>85807.188482106896</v>
      </c>
      <c r="AJ540" s="80">
        <v>1</v>
      </c>
      <c r="AK540" s="80">
        <v>1</v>
      </c>
      <c r="AL540" s="80">
        <v>1</v>
      </c>
    </row>
    <row r="541" spans="1:38">
      <c r="A541" s="33" t="str">
        <f>怪物并表!$R$8</f>
        <v>精英副本</v>
      </c>
      <c r="B541" s="38">
        <v>2</v>
      </c>
      <c r="C541" s="33">
        <f t="shared" si="65"/>
        <v>7203</v>
      </c>
      <c r="D541" s="33">
        <v>1</v>
      </c>
      <c r="E541" s="33">
        <f>VLOOKUP(A541,怪物并表!$R$7:$S$14,2,FALSE)</f>
        <v>2</v>
      </c>
      <c r="F541" s="38">
        <v>7</v>
      </c>
      <c r="G541" s="38">
        <v>3</v>
      </c>
      <c r="H541" s="38">
        <v>0</v>
      </c>
      <c r="I541" s="33">
        <f t="shared" si="63"/>
        <v>273002</v>
      </c>
      <c r="J541" s="33" t="s">
        <v>246</v>
      </c>
      <c r="K541" s="33"/>
      <c r="L541" s="33">
        <v>0</v>
      </c>
      <c r="M541" s="33">
        <v>1</v>
      </c>
      <c r="N541" s="33"/>
      <c r="O541" s="33">
        <v>1</v>
      </c>
      <c r="P541" s="33">
        <f>VLOOKUP($C541,CHOOSE({1,2},怪物并表!$E$7:$E$1000,怪物并表!$D$7:$D$1000),2,FALSE)</f>
        <v>69</v>
      </c>
      <c r="Q541" s="33" t="s">
        <v>14</v>
      </c>
      <c r="R541" s="33">
        <f>VLOOKUP(Q541,怪物信息配置表!$A$2:$B$118,2,FALSE)</f>
        <v>1010</v>
      </c>
      <c r="S541" s="33">
        <v>1</v>
      </c>
      <c r="T541" s="110">
        <f>VLOOKUP($C541,怪物并表!$E$7:$N$1000,2+($D541-1)*3,FALSE)*S541*AJ541</f>
        <v>606455.00157487253</v>
      </c>
      <c r="U541" s="110">
        <f>VLOOKUP($C541,怪物并表!$E$7:$N$1000,3+($D541-1)*3,FALSE)*S541*AK541</f>
        <v>43749.717097227694</v>
      </c>
      <c r="V541" s="110">
        <f>VLOOKUP($C541,怪物并表!$E$7:$N$1000,4+($D541-1)*3,FALSE)*S541*AL541</f>
        <v>10326.271321884291</v>
      </c>
      <c r="W541" s="33"/>
      <c r="X541" s="33"/>
      <c r="Y541" s="49">
        <f>VLOOKUP($C541,怪物并表!$E$7:$P$1000,12,FALSE)</f>
        <v>0</v>
      </c>
      <c r="Z541" s="49">
        <f>VLOOKUP($C541,怪物并表!$E$7:$P$1000,11,FALSE)*S541</f>
        <v>4359.3320000000003</v>
      </c>
      <c r="AA541" s="33"/>
      <c r="AB541" s="33"/>
      <c r="AC541" s="33"/>
      <c r="AD541" s="33">
        <f t="shared" si="61"/>
        <v>1</v>
      </c>
      <c r="AE541" s="2">
        <f t="shared" si="66"/>
        <v>180.625</v>
      </c>
      <c r="AF541" s="2" t="str">
        <f>IF(ISBLANK(AM541),IF(O541=6,"",IF(O541=1,VLOOKUP(R541,怪物信息配置表!B:H,5,FALSE),IF(O541=2,VLOOKUP(R541,怪物信息配置表!B:H,6,FALSE),IF(OR(O541=3,O541=5),VLOOKUP(R541,怪物信息配置表!B:H,7,FALSE),"")))),AM541)</f>
        <v>ai_monster</v>
      </c>
      <c r="AG541" s="2"/>
      <c r="AH541" s="15">
        <f>SUMPRODUCT(T541:V541,$AN$3:$AP$3)+ROUNDDOWN(VLOOKUP(P541,CHOOSE({1,2},'[1]消耗&amp;价值&amp;分析'!$C$7:$C$106,'[1]消耗&amp;价值&amp;分析'!$AS$7:$AS$106),2,FALSE)*0.6,0)</f>
        <v>85807.188482106896</v>
      </c>
      <c r="AJ541" s="80">
        <v>1</v>
      </c>
      <c r="AK541" s="80">
        <v>1</v>
      </c>
      <c r="AL541" s="80">
        <v>1</v>
      </c>
    </row>
    <row r="542" spans="1:38">
      <c r="A542" s="33" t="str">
        <f>怪物并表!$R$8</f>
        <v>精英副本</v>
      </c>
      <c r="B542" s="38">
        <v>3</v>
      </c>
      <c r="C542" s="33">
        <f t="shared" si="65"/>
        <v>7203</v>
      </c>
      <c r="D542" s="33">
        <v>1</v>
      </c>
      <c r="E542" s="33">
        <f>VLOOKUP(A542,怪物并表!$R$7:$S$14,2,FALSE)</f>
        <v>2</v>
      </c>
      <c r="F542" s="38">
        <v>7</v>
      </c>
      <c r="G542" s="38">
        <v>3</v>
      </c>
      <c r="H542" s="38">
        <v>0</v>
      </c>
      <c r="I542" s="33">
        <f t="shared" si="63"/>
        <v>273003</v>
      </c>
      <c r="J542" s="33" t="s">
        <v>512</v>
      </c>
      <c r="K542" s="33"/>
      <c r="L542" s="33">
        <v>0</v>
      </c>
      <c r="M542" s="33">
        <v>1</v>
      </c>
      <c r="N542" s="33"/>
      <c r="O542" s="33">
        <v>1</v>
      </c>
      <c r="P542" s="33">
        <f>VLOOKUP($C542,CHOOSE({1,2},怪物并表!$E$7:$E$1000,怪物并表!$D$7:$D$1000),2,FALSE)</f>
        <v>69</v>
      </c>
      <c r="Q542" s="33" t="s">
        <v>11</v>
      </c>
      <c r="R542" s="33">
        <f>VLOOKUP(Q542,怪物信息配置表!$A$2:$B$118,2,FALSE)</f>
        <v>1011</v>
      </c>
      <c r="S542" s="33">
        <v>1</v>
      </c>
      <c r="T542" s="110">
        <f>VLOOKUP($C542,怪物并表!$E$7:$N$1000,2+($D542-1)*3,FALSE)*S542*AJ542</f>
        <v>606455.00157487253</v>
      </c>
      <c r="U542" s="110">
        <f>VLOOKUP($C542,怪物并表!$E$7:$N$1000,3+($D542-1)*3,FALSE)*S542*AK542</f>
        <v>43749.717097227694</v>
      </c>
      <c r="V542" s="110">
        <f>VLOOKUP($C542,怪物并表!$E$7:$N$1000,4+($D542-1)*3,FALSE)*S542*AL542</f>
        <v>10326.271321884291</v>
      </c>
      <c r="W542" s="33"/>
      <c r="X542" s="33"/>
      <c r="Y542" s="49">
        <f>VLOOKUP($C542,怪物并表!$E$7:$P$1000,12,FALSE)</f>
        <v>0</v>
      </c>
      <c r="Z542" s="49">
        <f>VLOOKUP($C542,怪物并表!$E$7:$P$1000,11,FALSE)*S542</f>
        <v>4359.3320000000003</v>
      </c>
      <c r="AA542" s="33"/>
      <c r="AB542" s="33"/>
      <c r="AC542" s="33"/>
      <c r="AD542" s="33">
        <f t="shared" si="61"/>
        <v>1</v>
      </c>
      <c r="AE542" s="2">
        <f t="shared" si="66"/>
        <v>180.625</v>
      </c>
      <c r="AF542" s="2" t="str">
        <f>IF(ISBLANK(AM542),IF(O542=6,"",IF(O542=1,VLOOKUP(R542,怪物信息配置表!B:H,5,FALSE),IF(O542=2,VLOOKUP(R542,怪物信息配置表!B:H,6,FALSE),IF(OR(O542=3,O542=5),VLOOKUP(R542,怪物信息配置表!B:H,7,FALSE),"")))),AM542)</f>
        <v>ai_monster</v>
      </c>
      <c r="AG542" s="2"/>
      <c r="AH542" s="15">
        <f>SUMPRODUCT(T542:V542,$AN$3:$AP$3)+ROUNDDOWN(VLOOKUP(P542,CHOOSE({1,2},'[1]消耗&amp;价值&amp;分析'!$C$7:$C$106,'[1]消耗&amp;价值&amp;分析'!$AS$7:$AS$106),2,FALSE)*0.6,0)</f>
        <v>85807.188482106896</v>
      </c>
      <c r="AJ542" s="80">
        <v>1</v>
      </c>
      <c r="AK542" s="80">
        <v>1</v>
      </c>
      <c r="AL542" s="80">
        <v>1</v>
      </c>
    </row>
    <row r="543" spans="1:38">
      <c r="A543" s="33" t="str">
        <f>怪物并表!$R$8</f>
        <v>精英副本</v>
      </c>
      <c r="B543" s="38">
        <v>4</v>
      </c>
      <c r="C543" s="33">
        <f t="shared" si="65"/>
        <v>7203</v>
      </c>
      <c r="D543" s="33">
        <v>3</v>
      </c>
      <c r="E543" s="33">
        <f>VLOOKUP(A543,怪物并表!$R$7:$S$14,2,FALSE)</f>
        <v>2</v>
      </c>
      <c r="F543" s="38">
        <v>7</v>
      </c>
      <c r="G543" s="38">
        <v>3</v>
      </c>
      <c r="H543" s="38">
        <v>0</v>
      </c>
      <c r="I543" s="33">
        <f t="shared" si="63"/>
        <v>273004</v>
      </c>
      <c r="J543" s="33" t="s">
        <v>257</v>
      </c>
      <c r="K543" s="33"/>
      <c r="L543" s="33">
        <v>1</v>
      </c>
      <c r="M543" s="33">
        <v>1.3</v>
      </c>
      <c r="N543" s="33"/>
      <c r="O543" s="33">
        <v>3</v>
      </c>
      <c r="P543" s="33">
        <f>VLOOKUP($C543,CHOOSE({1,2},怪物并表!$E$7:$E$1000,怪物并表!$D$7:$D$1000),2,FALSE)</f>
        <v>69</v>
      </c>
      <c r="Q543" s="33" t="s">
        <v>22</v>
      </c>
      <c r="R543" s="33">
        <f>VLOOKUP(Q543,怪物信息配置表!$A$2:$B$118,2,FALSE)</f>
        <v>1013</v>
      </c>
      <c r="S543" s="33">
        <v>1</v>
      </c>
      <c r="T543" s="110">
        <f>VLOOKUP($C543,怪物并表!$E$7:$N$1000,2+($D543-1)*3,FALSE)*S543*AJ543</f>
        <v>1516137.5039371813</v>
      </c>
      <c r="U543" s="110">
        <f>VLOOKUP($C543,怪物并表!$E$7:$N$1000,3+($D543-1)*3,FALSE)*S543*AK543</f>
        <v>50532.751693457176</v>
      </c>
      <c r="V543" s="110">
        <f>VLOOKUP($C543,怪物并表!$E$7:$N$1000,4+($D543-1)*3,FALSE)*S543*AL543</f>
        <v>12686.561909743556</v>
      </c>
      <c r="W543" s="33"/>
      <c r="X543" s="33"/>
      <c r="Y543" s="49">
        <f>VLOOKUP($C543,怪物并表!$E$7:$P$1000,12,FALSE)</f>
        <v>0</v>
      </c>
      <c r="Z543" s="49">
        <f>VLOOKUP($C543,怪物并表!$E$7:$P$1000,11,FALSE)*S543</f>
        <v>4359.3320000000003</v>
      </c>
      <c r="AA543" s="33"/>
      <c r="AB543" s="33"/>
      <c r="AC543" s="33"/>
      <c r="AD543" s="33">
        <f t="shared" si="61"/>
        <v>1.5</v>
      </c>
      <c r="AE543" s="2">
        <f t="shared" si="66"/>
        <v>50</v>
      </c>
      <c r="AF543" s="2" t="str">
        <f>IF(ISBLANK(AM543),IF(O543=6,"",IF(O543=1,VLOOKUP(R543,怪物信息配置表!B:H,5,FALSE),IF(O543=2,VLOOKUP(R543,怪物信息配置表!B:H,6,FALSE),IF(OR(O543=3,O543=5),VLOOKUP(R543,怪物信息配置表!B:H,7,FALSE),"")))),AM543)</f>
        <v>1013_nvrenzhe_BOSS</v>
      </c>
      <c r="AG543" s="2"/>
      <c r="AH543" s="15">
        <f>SUMPRODUCT(T543:V543,$AN$3:$AP$3)+ROUNDDOWN(VLOOKUP(P543,CHOOSE({1,2},'[1]消耗&amp;价值&amp;分析'!$C$7:$C$106,'[1]消耗&amp;价值&amp;分析'!$AS$7:$AS$106),2,FALSE)*0.6,0)</f>
        <v>131337.81376068798</v>
      </c>
      <c r="AJ543" s="80">
        <v>1</v>
      </c>
      <c r="AK543" s="80">
        <v>1</v>
      </c>
      <c r="AL543" s="80">
        <v>1</v>
      </c>
    </row>
    <row r="544" spans="1:38">
      <c r="A544" s="33" t="str">
        <f>怪物并表!$R$8</f>
        <v>精英副本</v>
      </c>
      <c r="B544" s="38">
        <v>1</v>
      </c>
      <c r="C544" s="33">
        <f t="shared" si="65"/>
        <v>7204</v>
      </c>
      <c r="D544" s="33">
        <v>1</v>
      </c>
      <c r="E544" s="33">
        <f>VLOOKUP(A544,怪物并表!$R$7:$S$14,2,FALSE)</f>
        <v>2</v>
      </c>
      <c r="F544" s="38">
        <v>7</v>
      </c>
      <c r="G544" s="38">
        <v>4</v>
      </c>
      <c r="H544" s="38">
        <v>0</v>
      </c>
      <c r="I544" s="33">
        <f t="shared" si="63"/>
        <v>274001</v>
      </c>
      <c r="J544" s="33" t="s">
        <v>494</v>
      </c>
      <c r="K544" s="33"/>
      <c r="L544" s="33">
        <v>0</v>
      </c>
      <c r="M544" s="33">
        <v>1</v>
      </c>
      <c r="N544" s="33"/>
      <c r="O544" s="33">
        <v>1</v>
      </c>
      <c r="P544" s="33">
        <f>VLOOKUP($C544,CHOOSE({1,2},怪物并表!$E$7:$E$1000,怪物并表!$D$7:$D$1000),2,FALSE)</f>
        <v>70</v>
      </c>
      <c r="Q544" s="33" t="s">
        <v>22</v>
      </c>
      <c r="R544" s="33">
        <f>VLOOKUP(Q544,怪物信息配置表!$A$2:$B$118,2,FALSE)</f>
        <v>1013</v>
      </c>
      <c r="S544" s="33">
        <v>1</v>
      </c>
      <c r="T544" s="110">
        <f>VLOOKUP($C544,怪物并表!$E$7:$N$1000,2+($D544-1)*3,FALSE)*S544*AJ544</f>
        <v>657430.7330303418</v>
      </c>
      <c r="U544" s="110">
        <f>VLOOKUP($C544,怪物并表!$E$7:$N$1000,3+($D544-1)*3,FALSE)*S544*AK544</f>
        <v>47237.363336789334</v>
      </c>
      <c r="V544" s="110">
        <f>VLOOKUP($C544,怪物并表!$E$7:$N$1000,4+($D544-1)*3,FALSE)*S544*AL544</f>
        <v>11140.072889297669</v>
      </c>
      <c r="W544" s="33"/>
      <c r="X544" s="33"/>
      <c r="Y544" s="49">
        <f>VLOOKUP($C544,怪物并表!$E$7:$P$1000,12,FALSE)</f>
        <v>0</v>
      </c>
      <c r="Z544" s="49">
        <f>VLOOKUP($C544,怪物并表!$E$7:$P$1000,11,FALSE)*S544</f>
        <v>4417.5600000000004</v>
      </c>
      <c r="AA544" s="33"/>
      <c r="AB544" s="33"/>
      <c r="AC544" s="33"/>
      <c r="AD544" s="33">
        <f t="shared" si="61"/>
        <v>1</v>
      </c>
      <c r="AE544" s="2">
        <f t="shared" si="66"/>
        <v>168.75</v>
      </c>
      <c r="AF544" s="2" t="str">
        <f>IF(ISBLANK(AM544),IF(O544=6,"",IF(O544=1,VLOOKUP(R544,怪物信息配置表!B:H,5,FALSE),IF(O544=2,VLOOKUP(R544,怪物信息配置表!B:H,6,FALSE),IF(OR(O544=3,O544=5),VLOOKUP(R544,怪物信息配置表!B:H,7,FALSE),"")))),AM544)</f>
        <v>ai_monster_02</v>
      </c>
      <c r="AG544" s="2"/>
      <c r="AH544" s="15">
        <f>SUMPRODUCT(T544:V544,$AN$3:$AP$3)+ROUNDDOWN(VLOOKUP(P544,CHOOSE({1,2},'[1]消耗&amp;价值&amp;分析'!$C$7:$C$106,'[1]消耗&amp;价值&amp;分析'!$AS$7:$AS$106),2,FALSE)*0.6,0)</f>
        <v>92596.665547300683</v>
      </c>
      <c r="AJ544" s="80">
        <v>1</v>
      </c>
      <c r="AK544" s="80">
        <v>1</v>
      </c>
      <c r="AL544" s="80">
        <v>1</v>
      </c>
    </row>
    <row r="545" spans="1:38">
      <c r="A545" s="33" t="str">
        <f>怪物并表!$R$8</f>
        <v>精英副本</v>
      </c>
      <c r="B545" s="38">
        <v>2</v>
      </c>
      <c r="C545" s="33">
        <f t="shared" si="65"/>
        <v>7204</v>
      </c>
      <c r="D545" s="33">
        <v>1</v>
      </c>
      <c r="E545" s="33">
        <f>VLOOKUP(A545,怪物并表!$R$7:$S$14,2,FALSE)</f>
        <v>2</v>
      </c>
      <c r="F545" s="38">
        <v>7</v>
      </c>
      <c r="G545" s="38">
        <v>4</v>
      </c>
      <c r="H545" s="38">
        <v>0</v>
      </c>
      <c r="I545" s="33">
        <f t="shared" si="63"/>
        <v>274002</v>
      </c>
      <c r="J545" s="33" t="s">
        <v>495</v>
      </c>
      <c r="K545" s="33"/>
      <c r="L545" s="33">
        <v>0</v>
      </c>
      <c r="M545" s="33">
        <v>1</v>
      </c>
      <c r="N545" s="33"/>
      <c r="O545" s="33">
        <v>1</v>
      </c>
      <c r="P545" s="33">
        <f>VLOOKUP($C545,CHOOSE({1,2},怪物并表!$E$7:$E$1000,怪物并表!$D$7:$D$1000),2,FALSE)</f>
        <v>70</v>
      </c>
      <c r="Q545" s="33" t="s">
        <v>12</v>
      </c>
      <c r="R545" s="33">
        <f>VLOOKUP(Q545,怪物信息配置表!$A$2:$B$118,2,FALSE)</f>
        <v>1009</v>
      </c>
      <c r="S545" s="33">
        <v>1</v>
      </c>
      <c r="T545" s="110">
        <f>VLOOKUP($C545,怪物并表!$E$7:$N$1000,2+($D545-1)*3,FALSE)*S545*AJ545</f>
        <v>657430.7330303418</v>
      </c>
      <c r="U545" s="110">
        <f>VLOOKUP($C545,怪物并表!$E$7:$N$1000,3+($D545-1)*3,FALSE)*S545*AK545</f>
        <v>47237.363336789334</v>
      </c>
      <c r="V545" s="110">
        <f>VLOOKUP($C545,怪物并表!$E$7:$N$1000,4+($D545-1)*3,FALSE)*S545*AL545</f>
        <v>11140.072889297669</v>
      </c>
      <c r="W545" s="33"/>
      <c r="X545" s="33"/>
      <c r="Y545" s="49">
        <f>VLOOKUP($C545,怪物并表!$E$7:$P$1000,12,FALSE)</f>
        <v>0</v>
      </c>
      <c r="Z545" s="49">
        <f>VLOOKUP($C545,怪物并表!$E$7:$P$1000,11,FALSE)*S545</f>
        <v>4417.5600000000004</v>
      </c>
      <c r="AA545" s="33"/>
      <c r="AB545" s="33"/>
      <c r="AC545" s="33"/>
      <c r="AD545" s="33">
        <f t="shared" si="61"/>
        <v>1</v>
      </c>
      <c r="AE545" s="2">
        <f t="shared" si="66"/>
        <v>168.75</v>
      </c>
      <c r="AF545" s="2" t="str">
        <f>IF(ISBLANK(AM545),IF(O545=6,"",IF(O545=1,VLOOKUP(R545,怪物信息配置表!B:H,5,FALSE),IF(O545=2,VLOOKUP(R545,怪物信息配置表!B:H,6,FALSE),IF(OR(O545=3,O545=5),VLOOKUP(R545,怪物信息配置表!B:H,7,FALSE),"")))),AM545)</f>
        <v>ai_monster</v>
      </c>
      <c r="AG545" s="2"/>
      <c r="AH545" s="15">
        <f>SUMPRODUCT(T545:V545,$AN$3:$AP$3)+ROUNDDOWN(VLOOKUP(P545,CHOOSE({1,2},'[1]消耗&amp;价值&amp;分析'!$C$7:$C$106,'[1]消耗&amp;价值&amp;分析'!$AS$7:$AS$106),2,FALSE)*0.6,0)</f>
        <v>92596.665547300683</v>
      </c>
      <c r="AJ545" s="80">
        <v>1</v>
      </c>
      <c r="AK545" s="80">
        <v>1</v>
      </c>
      <c r="AL545" s="80">
        <v>1</v>
      </c>
    </row>
    <row r="546" spans="1:38">
      <c r="A546" s="33" t="str">
        <f>怪物并表!$R$8</f>
        <v>精英副本</v>
      </c>
      <c r="B546" s="38">
        <v>3</v>
      </c>
      <c r="C546" s="33">
        <f t="shared" si="65"/>
        <v>7204</v>
      </c>
      <c r="D546" s="33">
        <v>1</v>
      </c>
      <c r="E546" s="33">
        <f>VLOOKUP(A546,怪物并表!$R$7:$S$14,2,FALSE)</f>
        <v>2</v>
      </c>
      <c r="F546" s="38">
        <v>7</v>
      </c>
      <c r="G546" s="38">
        <v>4</v>
      </c>
      <c r="H546" s="38">
        <v>0</v>
      </c>
      <c r="I546" s="33">
        <f t="shared" si="63"/>
        <v>274003</v>
      </c>
      <c r="J546" s="33" t="s">
        <v>513</v>
      </c>
      <c r="K546" s="33"/>
      <c r="L546" s="33">
        <v>0</v>
      </c>
      <c r="M546" s="33">
        <v>1</v>
      </c>
      <c r="N546" s="33"/>
      <c r="O546" s="33">
        <v>1</v>
      </c>
      <c r="P546" s="33">
        <f>VLOOKUP($C546,CHOOSE({1,2},怪物并表!$E$7:$E$1000,怪物并表!$D$7:$D$1000),2,FALSE)</f>
        <v>70</v>
      </c>
      <c r="Q546" s="33" t="s">
        <v>19</v>
      </c>
      <c r="R546" s="33">
        <f>VLOOKUP(Q546,怪物信息配置表!$A$2:$B$118,2,FALSE)</f>
        <v>1102</v>
      </c>
      <c r="S546" s="33">
        <v>1</v>
      </c>
      <c r="T546" s="110">
        <f>VLOOKUP($C546,怪物并表!$E$7:$N$1000,2+($D546-1)*3,FALSE)*S546*AJ546</f>
        <v>657430.7330303418</v>
      </c>
      <c r="U546" s="110">
        <f>VLOOKUP($C546,怪物并表!$E$7:$N$1000,3+($D546-1)*3,FALSE)*S546*AK546</f>
        <v>47237.363336789334</v>
      </c>
      <c r="V546" s="110">
        <f>VLOOKUP($C546,怪物并表!$E$7:$N$1000,4+($D546-1)*3,FALSE)*S546*AL546</f>
        <v>11140.072889297669</v>
      </c>
      <c r="W546" s="33"/>
      <c r="X546" s="33"/>
      <c r="Y546" s="49">
        <f>VLOOKUP($C546,怪物并表!$E$7:$P$1000,12,FALSE)</f>
        <v>0</v>
      </c>
      <c r="Z546" s="49">
        <f>VLOOKUP($C546,怪物并表!$E$7:$P$1000,11,FALSE)*S546</f>
        <v>4417.5600000000004</v>
      </c>
      <c r="AA546" s="33"/>
      <c r="AB546" s="33"/>
      <c r="AC546" s="33"/>
      <c r="AD546" s="33">
        <f t="shared" si="61"/>
        <v>1</v>
      </c>
      <c r="AE546" s="2">
        <f t="shared" si="66"/>
        <v>168.75</v>
      </c>
      <c r="AF546" s="2" t="str">
        <f>IF(ISBLANK(AM546),IF(O546=6,"",IF(O546=1,VLOOKUP(R546,怪物信息配置表!B:H,5,FALSE),IF(O546=2,VLOOKUP(R546,怪物信息配置表!B:H,6,FALSE),IF(OR(O546=3,O546=5),VLOOKUP(R546,怪物信息配置表!B:H,7,FALSE),"")))),AM546)</f>
        <v>ai_monster_02</v>
      </c>
      <c r="AG546" s="2"/>
      <c r="AH546" s="15">
        <f>SUMPRODUCT(T546:V546,$AN$3:$AP$3)+ROUNDDOWN(VLOOKUP(P546,CHOOSE({1,2},'[1]消耗&amp;价值&amp;分析'!$C$7:$C$106,'[1]消耗&amp;价值&amp;分析'!$AS$7:$AS$106),2,FALSE)*0.6,0)</f>
        <v>92596.665547300683</v>
      </c>
      <c r="AJ546" s="80">
        <v>1</v>
      </c>
      <c r="AK546" s="80">
        <v>1</v>
      </c>
      <c r="AL546" s="80">
        <v>1</v>
      </c>
    </row>
    <row r="547" spans="1:38">
      <c r="A547" s="33" t="str">
        <f>怪物并表!$R$8</f>
        <v>精英副本</v>
      </c>
      <c r="B547" s="38">
        <v>4</v>
      </c>
      <c r="C547" s="33">
        <f t="shared" si="65"/>
        <v>7204</v>
      </c>
      <c r="D547" s="33">
        <v>3</v>
      </c>
      <c r="E547" s="33">
        <f>VLOOKUP(A547,怪物并表!$R$7:$S$14,2,FALSE)</f>
        <v>2</v>
      </c>
      <c r="F547" s="38">
        <v>7</v>
      </c>
      <c r="G547" s="38">
        <v>4</v>
      </c>
      <c r="H547" s="38">
        <v>0</v>
      </c>
      <c r="I547" s="33">
        <f t="shared" si="63"/>
        <v>274004</v>
      </c>
      <c r="J547" s="33" t="s">
        <v>514</v>
      </c>
      <c r="K547" s="33"/>
      <c r="L547" s="33">
        <v>1</v>
      </c>
      <c r="M547" s="33">
        <v>1.3</v>
      </c>
      <c r="N547" s="33"/>
      <c r="O547" s="33">
        <v>3</v>
      </c>
      <c r="P547" s="33">
        <f>VLOOKUP($C547,CHOOSE({1,2},怪物并表!$E$7:$E$1000,怪物并表!$D$7:$D$1000),2,FALSE)</f>
        <v>70</v>
      </c>
      <c r="Q547" s="33" t="s">
        <v>25</v>
      </c>
      <c r="R547" s="33">
        <f>VLOOKUP(Q547,怪物信息配置表!$A$2:$B$118,2,FALSE)</f>
        <v>1012</v>
      </c>
      <c r="S547" s="33">
        <v>1</v>
      </c>
      <c r="T547" s="110">
        <f>VLOOKUP($C547,怪物并表!$E$7:$N$1000,2+($D547-1)*3,FALSE)*S547*AJ547</f>
        <v>1643576.8325758546</v>
      </c>
      <c r="U547" s="110">
        <f>VLOOKUP($C547,怪物并表!$E$7:$N$1000,3+($D547-1)*3,FALSE)*S547*AK547</f>
        <v>54612.26430381275</v>
      </c>
      <c r="V547" s="110">
        <f>VLOOKUP($C547,怪物并表!$E$7:$N$1000,4+($D547-1)*3,FALSE)*S547*AL547</f>
        <v>13575.344637190648</v>
      </c>
      <c r="W547" s="33"/>
      <c r="X547" s="33"/>
      <c r="Y547" s="49">
        <f>VLOOKUP($C547,怪物并表!$E$7:$P$1000,12,FALSE)</f>
        <v>0</v>
      </c>
      <c r="Z547" s="49">
        <f>VLOOKUP($C547,怪物并表!$E$7:$P$1000,11,FALSE)*S547</f>
        <v>4417.5600000000004</v>
      </c>
      <c r="AA547" s="33"/>
      <c r="AB547" s="33"/>
      <c r="AC547" s="33"/>
      <c r="AD547" s="33">
        <f t="shared" si="61"/>
        <v>1.5</v>
      </c>
      <c r="AE547" s="2">
        <f t="shared" si="66"/>
        <v>50</v>
      </c>
      <c r="AF547" s="2" t="str">
        <f>IF(ISBLANK(AM547),IF(O547=6,"",IF(O547=1,VLOOKUP(R547,怪物信息配置表!B:H,5,FALSE),IF(O547=2,VLOOKUP(R547,怪物信息配置表!B:H,6,FALSE),IF(OR(O547=3,O547=5),VLOOKUP(R547,怪物信息配置表!B:H,7,FALSE),"")))),AM547)</f>
        <v>1012_jianke_BOSS</v>
      </c>
      <c r="AG547" s="2"/>
      <c r="AH547" s="15">
        <f>SUMPRODUCT(T547:V547,$AN$3:$AP$3)+ROUNDDOWN(VLOOKUP(P547,CHOOSE({1,2},'[1]消耗&amp;价值&amp;分析'!$C$7:$C$106,'[1]消耗&amp;价值&amp;分析'!$AS$7:$AS$106),2,FALSE)*0.6,0)</f>
        <v>141852.6822440376</v>
      </c>
      <c r="AJ547" s="80">
        <v>1</v>
      </c>
      <c r="AK547" s="80">
        <v>1</v>
      </c>
      <c r="AL547" s="80">
        <v>1</v>
      </c>
    </row>
    <row r="548" spans="1:38">
      <c r="A548" s="33" t="str">
        <f>怪物并表!$R$8</f>
        <v>精英副本</v>
      </c>
      <c r="B548" s="38">
        <v>1</v>
      </c>
      <c r="C548" s="33">
        <f t="shared" si="65"/>
        <v>7205</v>
      </c>
      <c r="D548" s="33">
        <v>1</v>
      </c>
      <c r="E548" s="33">
        <f>VLOOKUP(A548,怪物并表!$R$7:$S$14,2,FALSE)</f>
        <v>2</v>
      </c>
      <c r="F548" s="38">
        <v>7</v>
      </c>
      <c r="G548" s="38">
        <v>5</v>
      </c>
      <c r="H548" s="38">
        <v>0</v>
      </c>
      <c r="I548" s="33">
        <f t="shared" si="63"/>
        <v>275001</v>
      </c>
      <c r="J548" s="33" t="s">
        <v>22</v>
      </c>
      <c r="K548" s="33"/>
      <c r="L548" s="33">
        <v>0</v>
      </c>
      <c r="M548" s="33">
        <v>1</v>
      </c>
      <c r="N548" s="33"/>
      <c r="O548" s="33">
        <v>1</v>
      </c>
      <c r="P548" s="33">
        <f>VLOOKUP($C548,CHOOSE({1,2},怪物并表!$E$7:$E$1000,怪物并表!$D$7:$D$1000),2,FALSE)</f>
        <v>71</v>
      </c>
      <c r="Q548" s="33" t="s">
        <v>22</v>
      </c>
      <c r="R548" s="33">
        <f>VLOOKUP(Q548,怪物信息配置表!$A$2:$B$118,2,FALSE)</f>
        <v>1013</v>
      </c>
      <c r="S548" s="33">
        <v>1</v>
      </c>
      <c r="T548" s="110">
        <f>VLOOKUP($C548,怪物并表!$E$7:$N$1000,2+($D548-1)*3,FALSE)*S548*AJ548</f>
        <v>711613.02655343537</v>
      </c>
      <c r="U548" s="110">
        <f>VLOOKUP($C548,怪物并表!$E$7:$N$1000,3+($D548-1)*3,FALSE)*S548*AK548</f>
        <v>50947.123844742076</v>
      </c>
      <c r="V548" s="110">
        <f>VLOOKUP($C548,怪物并表!$E$7:$N$1000,4+($D548-1)*3,FALSE)*S548*AL548</f>
        <v>11998.80914034516</v>
      </c>
      <c r="W548" s="33"/>
      <c r="X548" s="33"/>
      <c r="Y548" s="49">
        <f>VLOOKUP($C548,怪物并表!$E$7:$P$1000,12,FALSE)</f>
        <v>0</v>
      </c>
      <c r="Z548" s="49">
        <f>VLOOKUP($C548,怪物并表!$E$7:$P$1000,11,FALSE)*S548</f>
        <v>4475.7879999999996</v>
      </c>
      <c r="AA548" s="33"/>
      <c r="AB548" s="33"/>
      <c r="AC548" s="33"/>
      <c r="AD548" s="33">
        <f t="shared" si="61"/>
        <v>1</v>
      </c>
      <c r="AE548" s="2">
        <f t="shared" si="66"/>
        <v>156.875</v>
      </c>
      <c r="AF548" s="2" t="str">
        <f>IF(ISBLANK(AM548),IF(O548=6,"",IF(O548=1,VLOOKUP(R548,怪物信息配置表!B:H,5,FALSE),IF(O548=2,VLOOKUP(R548,怪物信息配置表!B:H,6,FALSE),IF(OR(O548=3,O548=5),VLOOKUP(R548,怪物信息配置表!B:H,7,FALSE),"")))),AM548)</f>
        <v>ai_monster_02</v>
      </c>
      <c r="AG548" s="2"/>
      <c r="AH548" s="15">
        <f>SUMPRODUCT(T548:V548,$AN$3:$AP$3)+ROUNDDOWN(VLOOKUP(P548,CHOOSE({1,2},'[1]消耗&amp;价值&amp;分析'!$C$7:$C$106,'[1]消耗&amp;价值&amp;分析'!$AS$7:$AS$106),2,FALSE)*0.6,0)</f>
        <v>99624.454047224644</v>
      </c>
      <c r="AJ548" s="80">
        <v>1</v>
      </c>
      <c r="AK548" s="80">
        <v>1</v>
      </c>
      <c r="AL548" s="80">
        <v>1</v>
      </c>
    </row>
    <row r="549" spans="1:38">
      <c r="A549" s="33" t="str">
        <f>怪物并表!$R$8</f>
        <v>精英副本</v>
      </c>
      <c r="B549" s="38">
        <v>2</v>
      </c>
      <c r="C549" s="33">
        <f t="shared" si="65"/>
        <v>7205</v>
      </c>
      <c r="D549" s="33">
        <v>1</v>
      </c>
      <c r="E549" s="33">
        <f>VLOOKUP(A549,怪物并表!$R$7:$S$14,2,FALSE)</f>
        <v>2</v>
      </c>
      <c r="F549" s="38">
        <v>7</v>
      </c>
      <c r="G549" s="38">
        <v>5</v>
      </c>
      <c r="H549" s="38">
        <v>0</v>
      </c>
      <c r="I549" s="33">
        <f t="shared" si="63"/>
        <v>275002</v>
      </c>
      <c r="J549" s="33" t="s">
        <v>482</v>
      </c>
      <c r="K549" s="33"/>
      <c r="L549" s="33">
        <v>0</v>
      </c>
      <c r="M549" s="33">
        <v>1</v>
      </c>
      <c r="N549" s="33"/>
      <c r="O549" s="33">
        <v>1</v>
      </c>
      <c r="P549" s="33">
        <f>VLOOKUP($C549,CHOOSE({1,2},怪物并表!$E$7:$E$1000,怪物并表!$D$7:$D$1000),2,FALSE)</f>
        <v>71</v>
      </c>
      <c r="Q549" s="33" t="s">
        <v>399</v>
      </c>
      <c r="R549" s="33">
        <f>VLOOKUP(Q549,怪物信息配置表!$A$2:$B$118,2,FALSE)</f>
        <v>1014</v>
      </c>
      <c r="S549" s="33">
        <v>1</v>
      </c>
      <c r="T549" s="110">
        <f>VLOOKUP($C549,怪物并表!$E$7:$N$1000,2+($D549-1)*3,FALSE)*S549*AJ549</f>
        <v>711613.02655343537</v>
      </c>
      <c r="U549" s="110">
        <f>VLOOKUP($C549,怪物并表!$E$7:$N$1000,3+($D549-1)*3,FALSE)*S549*AK549</f>
        <v>50947.123844742076</v>
      </c>
      <c r="V549" s="110">
        <f>VLOOKUP($C549,怪物并表!$E$7:$N$1000,4+($D549-1)*3,FALSE)*S549*AL549</f>
        <v>11998.80914034516</v>
      </c>
      <c r="W549" s="33"/>
      <c r="X549" s="33"/>
      <c r="Y549" s="49">
        <f>VLOOKUP($C549,怪物并表!$E$7:$P$1000,12,FALSE)</f>
        <v>0</v>
      </c>
      <c r="Z549" s="49">
        <f>VLOOKUP($C549,怪物并表!$E$7:$P$1000,11,FALSE)*S549</f>
        <v>4475.7879999999996</v>
      </c>
      <c r="AA549" s="33"/>
      <c r="AB549" s="33"/>
      <c r="AC549" s="33"/>
      <c r="AD549" s="33">
        <f t="shared" si="61"/>
        <v>1</v>
      </c>
      <c r="AE549" s="2">
        <f t="shared" si="66"/>
        <v>134.375</v>
      </c>
      <c r="AF549" s="2" t="str">
        <f>IF(ISBLANK(AM549),IF(O549=6,"",IF(O549=1,VLOOKUP(R549,怪物信息配置表!B:H,5,FALSE),IF(O549=2,VLOOKUP(R549,怪物信息配置表!B:H,6,FALSE),IF(OR(O549=3,O549=5),VLOOKUP(R549,怪物信息配置表!B:H,7,FALSE),"")))),AM549)</f>
        <v>ai_monster_03</v>
      </c>
      <c r="AG549" s="2"/>
      <c r="AH549" s="15">
        <f>SUMPRODUCT(T549:V549,$AN$3:$AP$3)+ROUNDDOWN(VLOOKUP(P549,CHOOSE({1,2},'[1]消耗&amp;价值&amp;分析'!$C$7:$C$106,'[1]消耗&amp;价值&amp;分析'!$AS$7:$AS$106),2,FALSE)*0.6,0)</f>
        <v>99624.454047224644</v>
      </c>
      <c r="AJ549" s="80">
        <v>1</v>
      </c>
      <c r="AK549" s="80">
        <v>1</v>
      </c>
      <c r="AL549" s="80">
        <v>1</v>
      </c>
    </row>
    <row r="550" spans="1:38">
      <c r="A550" s="33" t="str">
        <f>怪物并表!$R$8</f>
        <v>精英副本</v>
      </c>
      <c r="B550" s="38">
        <v>3</v>
      </c>
      <c r="C550" s="33">
        <f t="shared" si="65"/>
        <v>7205</v>
      </c>
      <c r="D550" s="33">
        <v>1</v>
      </c>
      <c r="E550" s="33">
        <f>VLOOKUP(A550,怪物并表!$R$7:$S$14,2,FALSE)</f>
        <v>2</v>
      </c>
      <c r="F550" s="38">
        <v>7</v>
      </c>
      <c r="G550" s="38">
        <v>5</v>
      </c>
      <c r="H550" s="38">
        <v>0</v>
      </c>
      <c r="I550" s="33">
        <f t="shared" ref="I550:I613" si="69">SUM(E550*10^5,F550*10^4,G550*10^3,H550*10^2,B550)</f>
        <v>275003</v>
      </c>
      <c r="J550" s="33" t="s">
        <v>44</v>
      </c>
      <c r="K550" s="33"/>
      <c r="L550" s="33">
        <v>0</v>
      </c>
      <c r="M550" s="33">
        <v>1</v>
      </c>
      <c r="N550" s="33"/>
      <c r="O550" s="33">
        <v>1</v>
      </c>
      <c r="P550" s="33">
        <f>VLOOKUP($C550,CHOOSE({1,2},怪物并表!$E$7:$E$1000,怪物并表!$D$7:$D$1000),2,FALSE)</f>
        <v>71</v>
      </c>
      <c r="Q550" s="33" t="s">
        <v>25</v>
      </c>
      <c r="R550" s="33">
        <f>VLOOKUP(Q550,怪物信息配置表!$A$2:$B$118,2,FALSE)</f>
        <v>1012</v>
      </c>
      <c r="S550" s="33">
        <v>1</v>
      </c>
      <c r="T550" s="110">
        <f>VLOOKUP($C550,怪物并表!$E$7:$N$1000,2+($D550-1)*3,FALSE)*S550*AJ550</f>
        <v>711613.02655343537</v>
      </c>
      <c r="U550" s="110">
        <f>VLOOKUP($C550,怪物并表!$E$7:$N$1000,3+($D550-1)*3,FALSE)*S550*AK550</f>
        <v>50947.123844742076</v>
      </c>
      <c r="V550" s="110">
        <f>VLOOKUP($C550,怪物并表!$E$7:$N$1000,4+($D550-1)*3,FALSE)*S550*AL550</f>
        <v>11998.80914034516</v>
      </c>
      <c r="W550" s="33"/>
      <c r="X550" s="33"/>
      <c r="Y550" s="49">
        <f>VLOOKUP($C550,怪物并表!$E$7:$P$1000,12,FALSE)</f>
        <v>0</v>
      </c>
      <c r="Z550" s="49">
        <f>VLOOKUP($C550,怪物并表!$E$7:$P$1000,11,FALSE)*S550</f>
        <v>4475.7879999999996</v>
      </c>
      <c r="AA550" s="33"/>
      <c r="AB550" s="33"/>
      <c r="AC550" s="33"/>
      <c r="AD550" s="33">
        <f t="shared" si="61"/>
        <v>1</v>
      </c>
      <c r="AE550" s="2">
        <f t="shared" si="66"/>
        <v>156.875</v>
      </c>
      <c r="AF550" s="2" t="str">
        <f>IF(ISBLANK(AM550),IF(O550=6,"",IF(O550=1,VLOOKUP(R550,怪物信息配置表!B:H,5,FALSE),IF(O550=2,VLOOKUP(R550,怪物信息配置表!B:H,6,FALSE),IF(OR(O550=3,O550=5),VLOOKUP(R550,怪物信息配置表!B:H,7,FALSE),"")))),AM550)</f>
        <v>ai_monster_03</v>
      </c>
      <c r="AG550" s="2"/>
      <c r="AH550" s="15">
        <f>SUMPRODUCT(T550:V550,$AN$3:$AP$3)+ROUNDDOWN(VLOOKUP(P550,CHOOSE({1,2},'[1]消耗&amp;价值&amp;分析'!$C$7:$C$106,'[1]消耗&amp;价值&amp;分析'!$AS$7:$AS$106),2,FALSE)*0.6,0)</f>
        <v>99624.454047224644</v>
      </c>
      <c r="AJ550" s="80">
        <v>1</v>
      </c>
      <c r="AK550" s="80">
        <v>1</v>
      </c>
      <c r="AL550" s="80">
        <v>1</v>
      </c>
    </row>
    <row r="551" spans="1:38">
      <c r="A551" s="33" t="str">
        <f>怪物并表!$R$8</f>
        <v>精英副本</v>
      </c>
      <c r="B551" s="38">
        <v>4</v>
      </c>
      <c r="C551" s="33">
        <f t="shared" si="65"/>
        <v>7205</v>
      </c>
      <c r="D551" s="33">
        <v>3</v>
      </c>
      <c r="E551" s="33">
        <f>VLOOKUP(A551,怪物并表!$R$7:$S$14,2,FALSE)</f>
        <v>2</v>
      </c>
      <c r="F551" s="38">
        <v>7</v>
      </c>
      <c r="G551" s="38">
        <v>5</v>
      </c>
      <c r="H551" s="38">
        <v>0</v>
      </c>
      <c r="I551" s="33">
        <f t="shared" si="69"/>
        <v>275004</v>
      </c>
      <c r="J551" s="33" t="s">
        <v>515</v>
      </c>
      <c r="K551" s="33"/>
      <c r="L551" s="33">
        <v>1</v>
      </c>
      <c r="M551" s="33">
        <v>1.3</v>
      </c>
      <c r="N551" s="33"/>
      <c r="O551" s="33">
        <v>3</v>
      </c>
      <c r="P551" s="33">
        <f>VLOOKUP($C551,CHOOSE({1,2},怪物并表!$E$7:$E$1000,怪物并表!$D$7:$D$1000),2,FALSE)</f>
        <v>71</v>
      </c>
      <c r="Q551" s="33" t="s">
        <v>19</v>
      </c>
      <c r="R551" s="33">
        <f>VLOOKUP(Q551,怪物信息配置表!$A$2:$B$118,2,FALSE)</f>
        <v>1102</v>
      </c>
      <c r="S551" s="33">
        <v>1</v>
      </c>
      <c r="T551" s="110">
        <f>VLOOKUP($C551,怪物并表!$E$7:$N$1000,2+($D551-1)*3,FALSE)*S551*AJ551</f>
        <v>1779032.5663835881</v>
      </c>
      <c r="U551" s="110">
        <f>VLOOKUP($C551,怪物并表!$E$7:$N$1000,3+($D551-1)*3,FALSE)*S551*AK551</f>
        <v>58954.946951809543</v>
      </c>
      <c r="V551" s="110">
        <f>VLOOKUP($C551,怪物并表!$E$7:$N$1000,4+($D551-1)*3,FALSE)*S551*AL551</f>
        <v>14507.651051508237</v>
      </c>
      <c r="W551" s="33"/>
      <c r="X551" s="33"/>
      <c r="Y551" s="49">
        <f>VLOOKUP($C551,怪物并表!$E$7:$P$1000,12,FALSE)</f>
        <v>0</v>
      </c>
      <c r="Z551" s="49">
        <f>VLOOKUP($C551,怪物并表!$E$7:$P$1000,11,FALSE)*S551</f>
        <v>4475.7879999999996</v>
      </c>
      <c r="AA551" s="33"/>
      <c r="AB551" s="33"/>
      <c r="AC551" s="33"/>
      <c r="AD551" s="33">
        <f t="shared" si="61"/>
        <v>1.5</v>
      </c>
      <c r="AE551" s="2">
        <f t="shared" si="66"/>
        <v>50</v>
      </c>
      <c r="AF551" s="2" t="str">
        <f>IF(ISBLANK(AM551),IF(O551=6,"",IF(O551=1,VLOOKUP(R551,怪物信息配置表!B:H,5,FALSE),IF(O551=2,VLOOKUP(R551,怪物信息配置表!B:H,6,FALSE),IF(OR(O551=3,O551=5),VLOOKUP(R551,怪物信息配置表!B:H,7,FALSE),"")))),AM551)</f>
        <v>1102_wuya_BOSS</v>
      </c>
      <c r="AG551" s="2"/>
      <c r="AH551" s="15">
        <f>SUMPRODUCT(T551:V551,$AN$3:$AP$3)+ROUNDDOWN(VLOOKUP(P551,CHOOSE({1,2},'[1]消耗&amp;价值&amp;分析'!$C$7:$C$106,'[1]消耗&amp;价值&amp;分析'!$AS$7:$AS$106),2,FALSE)*0.6,0)</f>
        <v>152837.90065866132</v>
      </c>
      <c r="AJ551" s="80">
        <v>1</v>
      </c>
      <c r="AK551" s="80">
        <v>1</v>
      </c>
      <c r="AL551" s="80">
        <v>1</v>
      </c>
    </row>
    <row r="552" spans="1:38">
      <c r="A552" s="33" t="str">
        <f>怪物并表!$R$8</f>
        <v>精英副本</v>
      </c>
      <c r="B552" s="38">
        <v>1</v>
      </c>
      <c r="C552" s="33">
        <f t="shared" si="65"/>
        <v>7206</v>
      </c>
      <c r="D552" s="33">
        <v>1</v>
      </c>
      <c r="E552" s="33">
        <f>VLOOKUP(A552,怪物并表!$R$7:$S$14,2,FALSE)</f>
        <v>2</v>
      </c>
      <c r="F552" s="38">
        <v>7</v>
      </c>
      <c r="G552" s="38">
        <v>6</v>
      </c>
      <c r="H552" s="38">
        <v>0</v>
      </c>
      <c r="I552" s="33">
        <f t="shared" si="69"/>
        <v>276001</v>
      </c>
      <c r="J552" s="33" t="s">
        <v>42</v>
      </c>
      <c r="K552" s="33"/>
      <c r="L552" s="33">
        <v>0</v>
      </c>
      <c r="M552" s="33">
        <v>1</v>
      </c>
      <c r="N552" s="33"/>
      <c r="O552" s="33">
        <v>1</v>
      </c>
      <c r="P552" s="33">
        <f>VLOOKUP($C552,CHOOSE({1,2},怪物并表!$E$7:$E$1000,怪物并表!$D$7:$D$1000),2,FALSE)</f>
        <v>72</v>
      </c>
      <c r="Q552" s="33" t="s">
        <v>12</v>
      </c>
      <c r="R552" s="33">
        <f>VLOOKUP(Q552,怪物信息配置表!$A$2:$B$118,2,FALSE)</f>
        <v>1009</v>
      </c>
      <c r="S552" s="33">
        <v>1</v>
      </c>
      <c r="T552" s="110">
        <f>VLOOKUP($C552,怪物并表!$E$7:$N$1000,2+($D552-1)*3,FALSE)*S552*AJ552</f>
        <v>769142.85545276781</v>
      </c>
      <c r="U552" s="110">
        <f>VLOOKUP($C552,怪物并表!$E$7:$N$1000,3+($D552-1)*3,FALSE)*S552*AK552</f>
        <v>54890.768954472507</v>
      </c>
      <c r="V552" s="110">
        <f>VLOOKUP($C552,怪物并表!$E$7:$N$1000,4+($D552-1)*3,FALSE)*S552*AL552</f>
        <v>12904.005132903019</v>
      </c>
      <c r="W552" s="33"/>
      <c r="X552" s="33"/>
      <c r="Y552" s="49">
        <f>VLOOKUP($C552,怪物并表!$E$7:$P$1000,12,FALSE)</f>
        <v>0</v>
      </c>
      <c r="Z552" s="49">
        <f>VLOOKUP($C552,怪物并表!$E$7:$P$1000,11,FALSE)*S552</f>
        <v>4534.0159999999996</v>
      </c>
      <c r="AA552" s="33"/>
      <c r="AB552" s="33"/>
      <c r="AC552" s="33"/>
      <c r="AD552" s="33">
        <f t="shared" si="61"/>
        <v>1</v>
      </c>
      <c r="AE552" s="2">
        <f t="shared" si="66"/>
        <v>145</v>
      </c>
      <c r="AF552" s="2" t="str">
        <f>IF(ISBLANK(AM552),IF(O552=6,"",IF(O552=1,VLOOKUP(R552,怪物信息配置表!B:H,5,FALSE),IF(O552=2,VLOOKUP(R552,怪物信息配置表!B:H,6,FALSE),IF(OR(O552=3,O552=5),VLOOKUP(R552,怪物信息配置表!B:H,7,FALSE),"")))),AM552)</f>
        <v>ai_monster</v>
      </c>
      <c r="AG552" s="2"/>
      <c r="AH552" s="15">
        <f>SUMPRODUCT(T552:V552,$AN$3:$AP$3)+ROUNDDOWN(VLOOKUP(P552,CHOOSE({1,2},'[1]消耗&amp;价值&amp;分析'!$C$7:$C$106,'[1]消耗&amp;价值&amp;分析'!$AS$7:$AS$106),2,FALSE)*0.6,0)</f>
        <v>107184.48830548624</v>
      </c>
      <c r="AJ552" s="80">
        <v>1</v>
      </c>
      <c r="AK552" s="80">
        <v>1</v>
      </c>
      <c r="AL552" s="80">
        <v>1</v>
      </c>
    </row>
    <row r="553" spans="1:38">
      <c r="A553" s="33" t="str">
        <f>怪物并表!$R$8</f>
        <v>精英副本</v>
      </c>
      <c r="B553" s="38">
        <v>2</v>
      </c>
      <c r="C553" s="33">
        <f t="shared" si="65"/>
        <v>7206</v>
      </c>
      <c r="D553" s="33">
        <v>1</v>
      </c>
      <c r="E553" s="33">
        <f>VLOOKUP(A553,怪物并表!$R$7:$S$14,2,FALSE)</f>
        <v>2</v>
      </c>
      <c r="F553" s="38">
        <v>7</v>
      </c>
      <c r="G553" s="38">
        <v>6</v>
      </c>
      <c r="H553" s="38">
        <v>0</v>
      </c>
      <c r="I553" s="33">
        <f t="shared" si="69"/>
        <v>276002</v>
      </c>
      <c r="J553" s="33" t="s">
        <v>485</v>
      </c>
      <c r="K553" s="33"/>
      <c r="L553" s="33">
        <v>0</v>
      </c>
      <c r="M553" s="33">
        <v>1</v>
      </c>
      <c r="N553" s="33"/>
      <c r="O553" s="33">
        <v>1</v>
      </c>
      <c r="P553" s="33">
        <f>VLOOKUP($C553,CHOOSE({1,2},怪物并表!$E$7:$E$1000,怪物并表!$D$7:$D$1000),2,FALSE)</f>
        <v>72</v>
      </c>
      <c r="Q553" s="33" t="s">
        <v>24</v>
      </c>
      <c r="R553" s="33">
        <f>VLOOKUP(Q553,怪物信息配置表!$A$2:$B$118,2,FALSE)</f>
        <v>1015</v>
      </c>
      <c r="S553" s="33">
        <v>1</v>
      </c>
      <c r="T553" s="110">
        <f>VLOOKUP($C553,怪物并表!$E$7:$N$1000,2+($D553-1)*3,FALSE)*S553*AJ553</f>
        <v>769142.85545276781</v>
      </c>
      <c r="U553" s="110">
        <f>VLOOKUP($C553,怪物并表!$E$7:$N$1000,3+($D553-1)*3,FALSE)*S553*AK553</f>
        <v>54890.768954472507</v>
      </c>
      <c r="V553" s="110">
        <f>VLOOKUP($C553,怪物并表!$E$7:$N$1000,4+($D553-1)*3,FALSE)*S553*AL553</f>
        <v>12904.005132903019</v>
      </c>
      <c r="W553" s="33"/>
      <c r="X553" s="33"/>
      <c r="Y553" s="49">
        <f>VLOOKUP($C553,怪物并表!$E$7:$P$1000,12,FALSE)</f>
        <v>0</v>
      </c>
      <c r="Z553" s="49">
        <f>VLOOKUP($C553,怪物并表!$E$7:$P$1000,11,FALSE)*S553</f>
        <v>4534.0159999999996</v>
      </c>
      <c r="AA553" s="33"/>
      <c r="AB553" s="33"/>
      <c r="AC553" s="33"/>
      <c r="AD553" s="33">
        <f t="shared" si="61"/>
        <v>1</v>
      </c>
      <c r="AE553" s="2">
        <f t="shared" si="66"/>
        <v>125</v>
      </c>
      <c r="AF553" s="2" t="str">
        <f>IF(ISBLANK(AM553),IF(O553=6,"",IF(O553=1,VLOOKUP(R553,怪物信息配置表!B:H,5,FALSE),IF(O553=2,VLOOKUP(R553,怪物信息配置表!B:H,6,FALSE),IF(OR(O553=3,O553=5),VLOOKUP(R553,怪物信息配置表!B:H,7,FALSE),"")))),AM553)</f>
        <v>ai_monster_03</v>
      </c>
      <c r="AG553" s="2"/>
      <c r="AH553" s="15">
        <f>SUMPRODUCT(T553:V553,$AN$3:$AP$3)+ROUNDDOWN(VLOOKUP(P553,CHOOSE({1,2},'[1]消耗&amp;价值&amp;分析'!$C$7:$C$106,'[1]消耗&amp;价值&amp;分析'!$AS$7:$AS$106),2,FALSE)*0.6,0)</f>
        <v>107184.48830548624</v>
      </c>
      <c r="AJ553" s="80">
        <v>1</v>
      </c>
      <c r="AK553" s="80">
        <v>1</v>
      </c>
      <c r="AL553" s="80">
        <v>1</v>
      </c>
    </row>
    <row r="554" spans="1:38">
      <c r="A554" s="33" t="str">
        <f>怪物并表!$R$8</f>
        <v>精英副本</v>
      </c>
      <c r="B554" s="38">
        <v>3</v>
      </c>
      <c r="C554" s="33">
        <f t="shared" si="65"/>
        <v>7206</v>
      </c>
      <c r="D554" s="33">
        <v>1</v>
      </c>
      <c r="E554" s="33">
        <f>VLOOKUP(A554,怪物并表!$R$7:$S$14,2,FALSE)</f>
        <v>2</v>
      </c>
      <c r="F554" s="38">
        <v>7</v>
      </c>
      <c r="G554" s="38">
        <v>6</v>
      </c>
      <c r="H554" s="38">
        <v>0</v>
      </c>
      <c r="I554" s="33">
        <f t="shared" si="69"/>
        <v>276003</v>
      </c>
      <c r="J554" s="33" t="s">
        <v>44</v>
      </c>
      <c r="K554" s="33"/>
      <c r="L554" s="33">
        <v>0</v>
      </c>
      <c r="M554" s="33">
        <v>1</v>
      </c>
      <c r="N554" s="33"/>
      <c r="O554" s="33">
        <v>1</v>
      </c>
      <c r="P554" s="33">
        <f>VLOOKUP($C554,CHOOSE({1,2},怪物并表!$E$7:$E$1000,怪物并表!$D$7:$D$1000),2,FALSE)</f>
        <v>72</v>
      </c>
      <c r="Q554" s="33" t="s">
        <v>25</v>
      </c>
      <c r="R554" s="33">
        <f>VLOOKUP(Q554,怪物信息配置表!$A$2:$B$118,2,FALSE)</f>
        <v>1012</v>
      </c>
      <c r="S554" s="33">
        <v>1</v>
      </c>
      <c r="T554" s="110">
        <f>VLOOKUP($C554,怪物并表!$E$7:$N$1000,2+($D554-1)*3,FALSE)*S554*AJ554</f>
        <v>769142.85545276781</v>
      </c>
      <c r="U554" s="110">
        <f>VLOOKUP($C554,怪物并表!$E$7:$N$1000,3+($D554-1)*3,FALSE)*S554*AK554</f>
        <v>54890.768954472507</v>
      </c>
      <c r="V554" s="110">
        <f>VLOOKUP($C554,怪物并表!$E$7:$N$1000,4+($D554-1)*3,FALSE)*S554*AL554</f>
        <v>12904.005132903019</v>
      </c>
      <c r="W554" s="33"/>
      <c r="X554" s="33"/>
      <c r="Y554" s="49">
        <f>VLOOKUP($C554,怪物并表!$E$7:$P$1000,12,FALSE)</f>
        <v>0</v>
      </c>
      <c r="Z554" s="49">
        <f>VLOOKUP($C554,怪物并表!$E$7:$P$1000,11,FALSE)*S554</f>
        <v>4534.0159999999996</v>
      </c>
      <c r="AA554" s="33"/>
      <c r="AB554" s="33"/>
      <c r="AC554" s="33"/>
      <c r="AD554" s="33">
        <f t="shared" si="61"/>
        <v>1</v>
      </c>
      <c r="AE554" s="2">
        <f t="shared" si="66"/>
        <v>145</v>
      </c>
      <c r="AF554" s="2" t="str">
        <f>IF(ISBLANK(AM554),IF(O554=6,"",IF(O554=1,VLOOKUP(R554,怪物信息配置表!B:H,5,FALSE),IF(O554=2,VLOOKUP(R554,怪物信息配置表!B:H,6,FALSE),IF(OR(O554=3,O554=5),VLOOKUP(R554,怪物信息配置表!B:H,7,FALSE),"")))),AM554)</f>
        <v>ai_monster_03</v>
      </c>
      <c r="AG554" s="2"/>
      <c r="AH554" s="15">
        <f>SUMPRODUCT(T554:V554,$AN$3:$AP$3)+ROUNDDOWN(VLOOKUP(P554,CHOOSE({1,2},'[1]消耗&amp;价值&amp;分析'!$C$7:$C$106,'[1]消耗&amp;价值&amp;分析'!$AS$7:$AS$106),2,FALSE)*0.6,0)</f>
        <v>107184.48830548624</v>
      </c>
      <c r="AJ554" s="80">
        <v>1</v>
      </c>
      <c r="AK554" s="80">
        <v>1</v>
      </c>
      <c r="AL554" s="80">
        <v>1</v>
      </c>
    </row>
    <row r="555" spans="1:38">
      <c r="A555" s="33" t="str">
        <f>怪物并表!$R$8</f>
        <v>精英副本</v>
      </c>
      <c r="B555" s="38">
        <v>4</v>
      </c>
      <c r="C555" s="33">
        <f t="shared" si="65"/>
        <v>7206</v>
      </c>
      <c r="D555" s="33">
        <v>3</v>
      </c>
      <c r="E555" s="33">
        <f>VLOOKUP(A555,怪物并表!$R$7:$S$14,2,FALSE)</f>
        <v>2</v>
      </c>
      <c r="F555" s="38">
        <v>7</v>
      </c>
      <c r="G555" s="38">
        <v>6</v>
      </c>
      <c r="H555" s="38">
        <v>0</v>
      </c>
      <c r="I555" s="33">
        <f t="shared" si="69"/>
        <v>276004</v>
      </c>
      <c r="J555" s="33" t="s">
        <v>616</v>
      </c>
      <c r="K555" s="33"/>
      <c r="L555" s="33">
        <v>1</v>
      </c>
      <c r="M555" s="33">
        <v>1.3</v>
      </c>
      <c r="N555" s="33"/>
      <c r="O555" s="33">
        <v>3</v>
      </c>
      <c r="P555" s="33">
        <f>VLOOKUP($C555,CHOOSE({1,2},怪物并表!$E$7:$E$1000,怪物并表!$D$7:$D$1000),2,FALSE)</f>
        <v>72</v>
      </c>
      <c r="Q555" s="33" t="s">
        <v>562</v>
      </c>
      <c r="R555" s="33">
        <f>VLOOKUP(Q555,怪物信息配置表!$A$2:$B$118,2,FALSE)</f>
        <v>1111</v>
      </c>
      <c r="S555" s="33">
        <v>1</v>
      </c>
      <c r="T555" s="110">
        <f>VLOOKUP($C555,怪物并表!$E$7:$N$1000,2+($D555-1)*3,FALSE)*S555*AJ555</f>
        <v>1922857.1386319194</v>
      </c>
      <c r="U555" s="110">
        <f>VLOOKUP($C555,怪物并表!$E$7:$N$1000,3+($D555-1)*3,FALSE)*S555*AK555</f>
        <v>63574.877388406472</v>
      </c>
      <c r="V555" s="110">
        <f>VLOOKUP($C555,怪物并表!$E$7:$N$1000,4+($D555-1)*3,FALSE)*S555*AL555</f>
        <v>15484.806159483622</v>
      </c>
      <c r="W555" s="33"/>
      <c r="X555" s="33"/>
      <c r="Y555" s="49">
        <f>VLOOKUP($C555,怪物并表!$E$7:$P$1000,12,FALSE)</f>
        <v>0</v>
      </c>
      <c r="Z555" s="49">
        <f>VLOOKUP($C555,怪物并表!$E$7:$P$1000,11,FALSE)*S555</f>
        <v>4534.0159999999996</v>
      </c>
      <c r="AA555" s="33"/>
      <c r="AB555" s="33"/>
      <c r="AC555" s="33"/>
      <c r="AD555" s="33">
        <f t="shared" si="61"/>
        <v>1.5</v>
      </c>
      <c r="AE555" s="2">
        <f t="shared" si="66"/>
        <v>50</v>
      </c>
      <c r="AF555" s="2" t="str">
        <f>IF(ISBLANK(AM555),IF(O555=6,"",IF(O555=1,VLOOKUP(R555,怪物信息配置表!B:H,5,FALSE),IF(O555=2,VLOOKUP(R555,怪物信息配置表!B:H,6,FALSE),IF(OR(O555=3,O555=5),VLOOKUP(R555,怪物信息配置表!B:H,7,FALSE),"")))),AM555)</f>
        <v>1111_XMH_BOSS</v>
      </c>
      <c r="AG555" s="2"/>
      <c r="AH555" s="15">
        <f>SUMPRODUCT(T555:V555,$AN$3:$AP$3)+ROUNDDOWN(VLOOKUP(P555,CHOOSE({1,2},'[1]消耗&amp;价值&amp;分析'!$C$7:$C$106,'[1]消耗&amp;价值&amp;分析'!$AS$7:$AS$106),2,FALSE)*0.6,0)</f>
        <v>164597.96909316687</v>
      </c>
      <c r="AJ555" s="80">
        <v>1</v>
      </c>
      <c r="AK555" s="80">
        <v>1</v>
      </c>
      <c r="AL555" s="80">
        <v>1</v>
      </c>
    </row>
    <row r="556" spans="1:38">
      <c r="A556" s="33" t="str">
        <f>怪物并表!$R$8</f>
        <v>精英副本</v>
      </c>
      <c r="B556" s="38">
        <v>1</v>
      </c>
      <c r="C556" s="33">
        <f t="shared" ref="C556:C567" si="70">1000*F556+200+G556</f>
        <v>7207</v>
      </c>
      <c r="D556" s="33">
        <v>1</v>
      </c>
      <c r="E556" s="33">
        <f>VLOOKUP(A556,怪物并表!$R$7:$S$14,2,FALSE)</f>
        <v>2</v>
      </c>
      <c r="F556" s="38">
        <v>7</v>
      </c>
      <c r="G556" s="38">
        <v>7</v>
      </c>
      <c r="H556" s="38">
        <v>0</v>
      </c>
      <c r="I556" s="33">
        <f t="shared" si="69"/>
        <v>277001</v>
      </c>
      <c r="J556" s="33" t="s">
        <v>494</v>
      </c>
      <c r="K556" s="33"/>
      <c r="L556" s="33">
        <v>0</v>
      </c>
      <c r="M556" s="33">
        <v>1</v>
      </c>
      <c r="N556" s="33"/>
      <c r="O556" s="33">
        <v>1</v>
      </c>
      <c r="P556" s="33">
        <f>VLOOKUP($C556,CHOOSE({1,2},怪物并表!$E$7:$E$1000,怪物并表!$D$7:$D$1000),2,FALSE)</f>
        <v>73</v>
      </c>
      <c r="Q556" s="33" t="s">
        <v>22</v>
      </c>
      <c r="R556" s="33">
        <f>VLOOKUP(Q556,怪物信息配置表!$A$2:$B$118,2,FALSE)</f>
        <v>1013</v>
      </c>
      <c r="S556" s="33">
        <v>1</v>
      </c>
      <c r="T556" s="110">
        <f>VLOOKUP($C556,怪物并表!$E$7:$N$1000,2+($D556-1)*3,FALSE)*S556*AJ556</f>
        <v>830165.01072720927</v>
      </c>
      <c r="U556" s="110">
        <f>VLOOKUP($C556,怪物并表!$E$7:$N$1000,3+($D556-1)*3,FALSE)*S556*AK556</f>
        <v>58309.648004838025</v>
      </c>
      <c r="V556" s="110">
        <f>VLOOKUP($C556,怪物并表!$E$7:$N$1000,4+($D556-1)*3,FALSE)*S556*AL556</f>
        <v>13857.209249400012</v>
      </c>
      <c r="W556" s="33"/>
      <c r="X556" s="33"/>
      <c r="Y556" s="49">
        <f>VLOOKUP($C556,怪物并表!$E$7:$P$1000,12,FALSE)</f>
        <v>0</v>
      </c>
      <c r="Z556" s="49">
        <f>VLOOKUP($C556,怪物并表!$E$7:$P$1000,11,FALSE)*S556</f>
        <v>4592.2439999999997</v>
      </c>
      <c r="AA556" s="33"/>
      <c r="AB556" s="33"/>
      <c r="AC556" s="33"/>
      <c r="AD556" s="33">
        <f t="shared" ref="AD556:AD567" si="71">IF(D556=1,1,IF(D556=2,0.8,1.5))</f>
        <v>1</v>
      </c>
      <c r="AE556" s="2">
        <f t="shared" si="66"/>
        <v>133.125</v>
      </c>
      <c r="AF556" s="2" t="str">
        <f>IF(ISBLANK(AM556),IF(O556=6,"",IF(O556=1,VLOOKUP(R556,怪物信息配置表!B:H,5,FALSE),IF(O556=2,VLOOKUP(R556,怪物信息配置表!B:H,6,FALSE),IF(OR(O556=3,O556=5),VLOOKUP(R556,怪物信息配置表!B:H,7,FALSE),"")))),AM556)</f>
        <v>ai_monster_02</v>
      </c>
      <c r="AG556" s="2"/>
      <c r="AH556" s="15">
        <f>SUMPRODUCT(T556:V556,$AN$3:$AP$3)+ROUNDDOWN(VLOOKUP(P556,CHOOSE({1,2},'[1]消耗&amp;价值&amp;分析'!$C$7:$C$106,'[1]消耗&amp;价值&amp;分析'!$AS$7:$AS$106),2,FALSE)*0.6,0)</f>
        <v>114554.45768332641</v>
      </c>
      <c r="AJ556" s="80">
        <v>1</v>
      </c>
      <c r="AK556" s="80">
        <v>1</v>
      </c>
      <c r="AL556" s="80">
        <v>1</v>
      </c>
    </row>
    <row r="557" spans="1:38">
      <c r="A557" s="33" t="str">
        <f>怪物并表!$R$8</f>
        <v>精英副本</v>
      </c>
      <c r="B557" s="38">
        <v>2</v>
      </c>
      <c r="C557" s="33">
        <f t="shared" si="70"/>
        <v>7207</v>
      </c>
      <c r="D557" s="33">
        <v>1</v>
      </c>
      <c r="E557" s="33">
        <f>VLOOKUP(A557,怪物并表!$R$7:$S$14,2,FALSE)</f>
        <v>2</v>
      </c>
      <c r="F557" s="38">
        <v>7</v>
      </c>
      <c r="G557" s="38">
        <v>7</v>
      </c>
      <c r="H557" s="38">
        <v>0</v>
      </c>
      <c r="I557" s="33">
        <f t="shared" si="69"/>
        <v>277002</v>
      </c>
      <c r="J557" s="33" t="s">
        <v>495</v>
      </c>
      <c r="K557" s="33"/>
      <c r="L557" s="33">
        <v>0</v>
      </c>
      <c r="M557" s="33">
        <v>1</v>
      </c>
      <c r="N557" s="33"/>
      <c r="O557" s="33">
        <v>1</v>
      </c>
      <c r="P557" s="33">
        <f>VLOOKUP($C557,CHOOSE({1,2},怪物并表!$E$7:$E$1000,怪物并表!$D$7:$D$1000),2,FALSE)</f>
        <v>73</v>
      </c>
      <c r="Q557" s="33" t="s">
        <v>12</v>
      </c>
      <c r="R557" s="33">
        <f>VLOOKUP(Q557,怪物信息配置表!$A$2:$B$118,2,FALSE)</f>
        <v>1009</v>
      </c>
      <c r="S557" s="33">
        <v>1</v>
      </c>
      <c r="T557" s="110">
        <f>VLOOKUP($C557,怪物并表!$E$7:$N$1000,2+($D557-1)*3,FALSE)*S557*AJ557</f>
        <v>830165.01072720927</v>
      </c>
      <c r="U557" s="110">
        <f>VLOOKUP($C557,怪物并表!$E$7:$N$1000,3+($D557-1)*3,FALSE)*S557*AK557</f>
        <v>58309.648004838025</v>
      </c>
      <c r="V557" s="110">
        <f>VLOOKUP($C557,怪物并表!$E$7:$N$1000,4+($D557-1)*3,FALSE)*S557*AL557</f>
        <v>13857.209249400012</v>
      </c>
      <c r="W557" s="33"/>
      <c r="X557" s="33"/>
      <c r="Y557" s="49">
        <f>VLOOKUP($C557,怪物并表!$E$7:$P$1000,12,FALSE)</f>
        <v>0</v>
      </c>
      <c r="Z557" s="49">
        <f>VLOOKUP($C557,怪物并表!$E$7:$P$1000,11,FALSE)*S557</f>
        <v>4592.2439999999997</v>
      </c>
      <c r="AA557" s="33"/>
      <c r="AB557" s="33"/>
      <c r="AC557" s="33"/>
      <c r="AD557" s="33">
        <f t="shared" si="71"/>
        <v>1</v>
      </c>
      <c r="AE557" s="2">
        <f t="shared" si="66"/>
        <v>133.125</v>
      </c>
      <c r="AF557" s="2" t="str">
        <f>IF(ISBLANK(AM557),IF(O557=6,"",IF(O557=1,VLOOKUP(R557,怪物信息配置表!B:H,5,FALSE),IF(O557=2,VLOOKUP(R557,怪物信息配置表!B:H,6,FALSE),IF(OR(O557=3,O557=5),VLOOKUP(R557,怪物信息配置表!B:H,7,FALSE),"")))),AM557)</f>
        <v>ai_monster</v>
      </c>
      <c r="AG557" s="2"/>
      <c r="AH557" s="15">
        <f>SUMPRODUCT(T557:V557,$AN$3:$AP$3)+ROUNDDOWN(VLOOKUP(P557,CHOOSE({1,2},'[1]消耗&amp;价值&amp;分析'!$C$7:$C$106,'[1]消耗&amp;价值&amp;分析'!$AS$7:$AS$106),2,FALSE)*0.6,0)</f>
        <v>114554.45768332641</v>
      </c>
      <c r="AJ557" s="80">
        <v>1</v>
      </c>
      <c r="AK557" s="80">
        <v>1</v>
      </c>
      <c r="AL557" s="80">
        <v>1</v>
      </c>
    </row>
    <row r="558" spans="1:38">
      <c r="A558" s="33" t="str">
        <f>怪物并表!$R$8</f>
        <v>精英副本</v>
      </c>
      <c r="B558" s="38">
        <v>3</v>
      </c>
      <c r="C558" s="33">
        <f t="shared" si="70"/>
        <v>7207</v>
      </c>
      <c r="D558" s="33">
        <v>1</v>
      </c>
      <c r="E558" s="33">
        <f>VLOOKUP(A558,怪物并表!$R$7:$S$14,2,FALSE)</f>
        <v>2</v>
      </c>
      <c r="F558" s="38">
        <v>7</v>
      </c>
      <c r="G558" s="38">
        <v>7</v>
      </c>
      <c r="H558" s="38">
        <v>0</v>
      </c>
      <c r="I558" s="33">
        <f t="shared" si="69"/>
        <v>277003</v>
      </c>
      <c r="J558" s="33" t="s">
        <v>496</v>
      </c>
      <c r="K558" s="33"/>
      <c r="L558" s="33">
        <v>0</v>
      </c>
      <c r="M558" s="33">
        <v>1</v>
      </c>
      <c r="N558" s="33"/>
      <c r="O558" s="33">
        <v>1</v>
      </c>
      <c r="P558" s="33">
        <f>VLOOKUP($C558,CHOOSE({1,2},怪物并表!$E$7:$E$1000,怪物并表!$D$7:$D$1000),2,FALSE)</f>
        <v>73</v>
      </c>
      <c r="Q558" s="33" t="s">
        <v>19</v>
      </c>
      <c r="R558" s="33">
        <f>VLOOKUP(Q558,怪物信息配置表!$A$2:$B$118,2,FALSE)</f>
        <v>1102</v>
      </c>
      <c r="S558" s="33">
        <v>1</v>
      </c>
      <c r="T558" s="110">
        <f>VLOOKUP($C558,怪物并表!$E$7:$N$1000,2+($D558-1)*3,FALSE)*S558*AJ558</f>
        <v>830165.01072720927</v>
      </c>
      <c r="U558" s="110">
        <f>VLOOKUP($C558,怪物并表!$E$7:$N$1000,3+($D558-1)*3,FALSE)*S558*AK558</f>
        <v>58309.648004838025</v>
      </c>
      <c r="V558" s="110">
        <f>VLOOKUP($C558,怪物并表!$E$7:$N$1000,4+($D558-1)*3,FALSE)*S558*AL558</f>
        <v>13857.209249400012</v>
      </c>
      <c r="W558" s="33"/>
      <c r="X558" s="33"/>
      <c r="Y558" s="49">
        <f>VLOOKUP($C558,怪物并表!$E$7:$P$1000,12,FALSE)</f>
        <v>0</v>
      </c>
      <c r="Z558" s="49">
        <f>VLOOKUP($C558,怪物并表!$E$7:$P$1000,11,FALSE)*S558</f>
        <v>4592.2439999999997</v>
      </c>
      <c r="AA558" s="33"/>
      <c r="AB558" s="33"/>
      <c r="AC558" s="33"/>
      <c r="AD558" s="33">
        <f t="shared" si="71"/>
        <v>1</v>
      </c>
      <c r="AE558" s="2">
        <f t="shared" si="66"/>
        <v>133.125</v>
      </c>
      <c r="AF558" s="2" t="str">
        <f>IF(ISBLANK(AM558),IF(O558=6,"",IF(O558=1,VLOOKUP(R558,怪物信息配置表!B:H,5,FALSE),IF(O558=2,VLOOKUP(R558,怪物信息配置表!B:H,6,FALSE),IF(OR(O558=3,O558=5),VLOOKUP(R558,怪物信息配置表!B:H,7,FALSE),"")))),AM558)</f>
        <v>ai_monster_02</v>
      </c>
      <c r="AG558" s="2"/>
      <c r="AH558" s="15">
        <f>SUMPRODUCT(T558:V558,$AN$3:$AP$3)+ROUNDDOWN(VLOOKUP(P558,CHOOSE({1,2},'[1]消耗&amp;价值&amp;分析'!$C$7:$C$106,'[1]消耗&amp;价值&amp;分析'!$AS$7:$AS$106),2,FALSE)*0.6,0)</f>
        <v>114554.45768332641</v>
      </c>
      <c r="AJ558" s="80">
        <v>1</v>
      </c>
      <c r="AK558" s="80">
        <v>1</v>
      </c>
      <c r="AL558" s="80">
        <v>1</v>
      </c>
    </row>
    <row r="559" spans="1:38">
      <c r="A559" s="33" t="str">
        <f>怪物并表!$R$8</f>
        <v>精英副本</v>
      </c>
      <c r="B559" s="38">
        <v>4</v>
      </c>
      <c r="C559" s="33">
        <f t="shared" si="70"/>
        <v>7207</v>
      </c>
      <c r="D559" s="33">
        <v>3</v>
      </c>
      <c r="E559" s="33">
        <f>VLOOKUP(A559,怪物并表!$R$7:$S$14,2,FALSE)</f>
        <v>2</v>
      </c>
      <c r="F559" s="38">
        <v>7</v>
      </c>
      <c r="G559" s="38">
        <v>7</v>
      </c>
      <c r="H559" s="38">
        <v>0</v>
      </c>
      <c r="I559" s="33">
        <f t="shared" si="69"/>
        <v>277004</v>
      </c>
      <c r="J559" s="33" t="s">
        <v>617</v>
      </c>
      <c r="K559" s="33"/>
      <c r="L559" s="33">
        <v>1</v>
      </c>
      <c r="M559" s="33">
        <v>1.3</v>
      </c>
      <c r="N559" s="33"/>
      <c r="O559" s="33">
        <v>3</v>
      </c>
      <c r="P559" s="33">
        <f>VLOOKUP($C559,CHOOSE({1,2},怪物并表!$E$7:$E$1000,怪物并表!$D$7:$D$1000),2,FALSE)</f>
        <v>73</v>
      </c>
      <c r="Q559" s="33" t="s">
        <v>14</v>
      </c>
      <c r="R559" s="33">
        <f>VLOOKUP(Q559,怪物信息配置表!$A$2:$B$118,2,FALSE)</f>
        <v>1010</v>
      </c>
      <c r="S559" s="33">
        <v>1</v>
      </c>
      <c r="T559" s="110">
        <f>VLOOKUP($C559,怪物并表!$E$7:$N$1000,2+($D559-1)*3,FALSE)*S559*AJ559</f>
        <v>2075412.5268180231</v>
      </c>
      <c r="U559" s="110">
        <f>VLOOKUP($C559,怪物并表!$E$7:$N$1000,3+($D559-1)*3,FALSE)*S559*AK559</f>
        <v>67561.628171127377</v>
      </c>
      <c r="V559" s="110">
        <f>VLOOKUP($C559,怪物并表!$E$7:$N$1000,4+($D559-1)*3,FALSE)*S559*AL559</f>
        <v>16508.153627546097</v>
      </c>
      <c r="W559" s="33"/>
      <c r="X559" s="33"/>
      <c r="Y559" s="49">
        <f>VLOOKUP($C559,怪物并表!$E$7:$P$1000,12,FALSE)</f>
        <v>0</v>
      </c>
      <c r="Z559" s="49">
        <f>VLOOKUP($C559,怪物并表!$E$7:$P$1000,11,FALSE)*S559</f>
        <v>4592.2439999999997</v>
      </c>
      <c r="AA559" s="33"/>
      <c r="AB559" s="33"/>
      <c r="AC559" s="33"/>
      <c r="AD559" s="33">
        <f t="shared" si="71"/>
        <v>1.5</v>
      </c>
      <c r="AE559" s="2">
        <f t="shared" si="66"/>
        <v>50</v>
      </c>
      <c r="AF559" s="2" t="str">
        <f>IF(ISBLANK(AM559),IF(O559=6,"",IF(O559=1,VLOOKUP(R559,怪物信息配置表!B:H,5,FALSE),IF(O559=2,VLOOKUP(R559,怪物信息配置表!B:H,6,FALSE),IF(OR(O559=3,O559=5),VLOOKUP(R559,怪物信息配置表!B:H,7,FALSE),"")))),AM559)</f>
        <v>1010_gunnan_BOSS</v>
      </c>
      <c r="AG559" s="2"/>
      <c r="AH559" s="15">
        <f>SUMPRODUCT(T559:V559,$AN$3:$AP$3)+ROUNDDOWN(VLOOKUP(P559,CHOOSE({1,2},'[1]消耗&amp;价值&amp;分析'!$C$7:$C$106,'[1]消耗&amp;价值&amp;分析'!$AS$7:$AS$106),2,FALSE)*0.6,0)</f>
        <v>176267.28287139442</v>
      </c>
      <c r="AJ559" s="80">
        <v>1</v>
      </c>
      <c r="AK559" s="80">
        <v>1</v>
      </c>
      <c r="AL559" s="80">
        <v>1</v>
      </c>
    </row>
    <row r="560" spans="1:38">
      <c r="A560" s="33" t="str">
        <f>怪物并表!$R$8</f>
        <v>精英副本</v>
      </c>
      <c r="B560" s="38">
        <v>1</v>
      </c>
      <c r="C560" s="33">
        <f t="shared" si="70"/>
        <v>7208</v>
      </c>
      <c r="D560" s="33">
        <v>1</v>
      </c>
      <c r="E560" s="33">
        <f>VLOOKUP(A560,怪物并表!$R$7:$S$14,2,FALSE)</f>
        <v>2</v>
      </c>
      <c r="F560" s="38">
        <v>7</v>
      </c>
      <c r="G560" s="38">
        <v>8</v>
      </c>
      <c r="H560" s="38">
        <v>0</v>
      </c>
      <c r="I560" s="33">
        <f t="shared" si="69"/>
        <v>278001</v>
      </c>
      <c r="J560" s="33" t="s">
        <v>22</v>
      </c>
      <c r="K560" s="33"/>
      <c r="L560" s="33">
        <v>0</v>
      </c>
      <c r="M560" s="33">
        <v>1</v>
      </c>
      <c r="N560" s="33"/>
      <c r="O560" s="33">
        <v>1</v>
      </c>
      <c r="P560" s="33">
        <f>VLOOKUP($C560,CHOOSE({1,2},怪物并表!$E$7:$E$1000,怪物并表!$D$7:$D$1000),2,FALSE)</f>
        <v>74</v>
      </c>
      <c r="Q560" s="33" t="s">
        <v>22</v>
      </c>
      <c r="R560" s="33">
        <f>VLOOKUP(Q560,怪物信息配置表!$A$2:$B$118,2,FALSE)</f>
        <v>1013</v>
      </c>
      <c r="S560" s="33">
        <v>1</v>
      </c>
      <c r="T560" s="110">
        <f>VLOOKUP($C560,怪物并表!$E$7:$N$1000,2+($D560-1)*3,FALSE)*S560*AJ560</f>
        <v>894828.14790928958</v>
      </c>
      <c r="U560" s="110">
        <f>VLOOKUP($C560,怪物并表!$E$7:$N$1000,3+($D560-1)*3,FALSE)*S560*AK560</f>
        <v>65991.788494736975</v>
      </c>
      <c r="V560" s="110">
        <f>VLOOKUP($C560,怪物并表!$E$7:$N$1000,4+($D560-1)*3,FALSE)*S560*AL560</f>
        <v>14859.993196817399</v>
      </c>
      <c r="W560" s="33"/>
      <c r="X560" s="33"/>
      <c r="Y560" s="49">
        <f>VLOOKUP($C560,怪物并表!$E$7:$P$1000,12,FALSE)</f>
        <v>0</v>
      </c>
      <c r="Z560" s="49">
        <f>VLOOKUP($C560,怪物并表!$E$7:$P$1000,11,FALSE)*S560</f>
        <v>4650.4720000000007</v>
      </c>
      <c r="AA560" s="33"/>
      <c r="AB560" s="33"/>
      <c r="AC560" s="33"/>
      <c r="AD560" s="33">
        <f t="shared" si="71"/>
        <v>1</v>
      </c>
      <c r="AE560" s="2">
        <f t="shared" si="66"/>
        <v>121.25</v>
      </c>
      <c r="AF560" s="2" t="str">
        <f>IF(ISBLANK(AM560),IF(O560=6,"",IF(O560=1,VLOOKUP(R560,怪物信息配置表!B:H,5,FALSE),IF(O560=2,VLOOKUP(R560,怪物信息配置表!B:H,6,FALSE),IF(OR(O560=3,O560=5),VLOOKUP(R560,怪物信息配置表!B:H,7,FALSE),"")))),AM560)</f>
        <v>ai_monster_02</v>
      </c>
      <c r="AG560" s="2"/>
      <c r="AH560" s="15">
        <f>SUMPRODUCT(T560:V560,$AN$3:$AP$3)+ROUNDDOWN(VLOOKUP(P560,CHOOSE({1,2},'[1]消耗&amp;价值&amp;分析'!$C$7:$C$106,'[1]消耗&amp;价值&amp;分析'!$AS$7:$AS$106),2,FALSE)*0.6,0)</f>
        <v>126116.90760792597</v>
      </c>
      <c r="AJ560" s="80">
        <v>1</v>
      </c>
      <c r="AK560" s="80">
        <v>1</v>
      </c>
      <c r="AL560" s="80">
        <v>1</v>
      </c>
    </row>
    <row r="561" spans="1:38">
      <c r="A561" s="33" t="str">
        <f>怪物并表!$R$8</f>
        <v>精英副本</v>
      </c>
      <c r="B561" s="38">
        <v>2</v>
      </c>
      <c r="C561" s="33">
        <f t="shared" si="70"/>
        <v>7208</v>
      </c>
      <c r="D561" s="33">
        <v>1</v>
      </c>
      <c r="E561" s="33">
        <f>VLOOKUP(A561,怪物并表!$R$7:$S$14,2,FALSE)</f>
        <v>2</v>
      </c>
      <c r="F561" s="38">
        <v>7</v>
      </c>
      <c r="G561" s="38">
        <v>8</v>
      </c>
      <c r="H561" s="38">
        <v>0</v>
      </c>
      <c r="I561" s="33">
        <f t="shared" si="69"/>
        <v>278002</v>
      </c>
      <c r="J561" s="33" t="s">
        <v>482</v>
      </c>
      <c r="K561" s="33"/>
      <c r="L561" s="33">
        <v>0</v>
      </c>
      <c r="M561" s="33">
        <v>1</v>
      </c>
      <c r="N561" s="33"/>
      <c r="O561" s="33">
        <v>1</v>
      </c>
      <c r="P561" s="33">
        <f>VLOOKUP($C561,CHOOSE({1,2},怪物并表!$E$7:$E$1000,怪物并表!$D$7:$D$1000),2,FALSE)</f>
        <v>74</v>
      </c>
      <c r="Q561" s="33" t="s">
        <v>399</v>
      </c>
      <c r="R561" s="33">
        <f>VLOOKUP(Q561,怪物信息配置表!$A$2:$B$118,2,FALSE)</f>
        <v>1014</v>
      </c>
      <c r="S561" s="33">
        <v>1</v>
      </c>
      <c r="T561" s="110">
        <f>VLOOKUP($C561,怪物并表!$E$7:$N$1000,2+($D561-1)*3,FALSE)*S561*AJ561</f>
        <v>894828.14790928958</v>
      </c>
      <c r="U561" s="110">
        <f>VLOOKUP($C561,怪物并表!$E$7:$N$1000,3+($D561-1)*3,FALSE)*S561*AK561</f>
        <v>65991.788494736975</v>
      </c>
      <c r="V561" s="110">
        <f>VLOOKUP($C561,怪物并表!$E$7:$N$1000,4+($D561-1)*3,FALSE)*S561*AL561</f>
        <v>14859.993196817399</v>
      </c>
      <c r="W561" s="33"/>
      <c r="X561" s="33"/>
      <c r="Y561" s="49">
        <f>VLOOKUP($C561,怪物并表!$E$7:$P$1000,12,FALSE)</f>
        <v>0</v>
      </c>
      <c r="Z561" s="49">
        <f>VLOOKUP($C561,怪物并表!$E$7:$P$1000,11,FALSE)*S561</f>
        <v>4650.4720000000007</v>
      </c>
      <c r="AA561" s="33"/>
      <c r="AB561" s="33"/>
      <c r="AC561" s="33"/>
      <c r="AD561" s="33">
        <f t="shared" si="71"/>
        <v>1</v>
      </c>
      <c r="AE561" s="2">
        <f t="shared" si="66"/>
        <v>106.25</v>
      </c>
      <c r="AF561" s="2" t="str">
        <f>IF(ISBLANK(AM561),IF(O561=6,"",IF(O561=1,VLOOKUP(R561,怪物信息配置表!B:H,5,FALSE),IF(O561=2,VLOOKUP(R561,怪物信息配置表!B:H,6,FALSE),IF(OR(O561=3,O561=5),VLOOKUP(R561,怪物信息配置表!B:H,7,FALSE),"")))),AM561)</f>
        <v>ai_monster_03</v>
      </c>
      <c r="AG561" s="2"/>
      <c r="AH561" s="15">
        <f>SUMPRODUCT(T561:V561,$AN$3:$AP$3)+ROUNDDOWN(VLOOKUP(P561,CHOOSE({1,2},'[1]消耗&amp;价值&amp;分析'!$C$7:$C$106,'[1]消耗&amp;价值&amp;分析'!$AS$7:$AS$106),2,FALSE)*0.6,0)</f>
        <v>126116.90760792597</v>
      </c>
      <c r="AJ561" s="80">
        <v>1</v>
      </c>
      <c r="AK561" s="80">
        <v>1</v>
      </c>
      <c r="AL561" s="80">
        <v>1</v>
      </c>
    </row>
    <row r="562" spans="1:38">
      <c r="A562" s="33" t="str">
        <f>怪物并表!$R$8</f>
        <v>精英副本</v>
      </c>
      <c r="B562" s="38">
        <v>3</v>
      </c>
      <c r="C562" s="33">
        <f t="shared" si="70"/>
        <v>7208</v>
      </c>
      <c r="D562" s="33">
        <v>1</v>
      </c>
      <c r="E562" s="33">
        <f>VLOOKUP(A562,怪物并表!$R$7:$S$14,2,FALSE)</f>
        <v>2</v>
      </c>
      <c r="F562" s="38">
        <v>7</v>
      </c>
      <c r="G562" s="38">
        <v>8</v>
      </c>
      <c r="H562" s="38">
        <v>0</v>
      </c>
      <c r="I562" s="33">
        <f t="shared" si="69"/>
        <v>278003</v>
      </c>
      <c r="J562" s="33" t="s">
        <v>44</v>
      </c>
      <c r="K562" s="33"/>
      <c r="L562" s="33">
        <v>0</v>
      </c>
      <c r="M562" s="33">
        <v>1</v>
      </c>
      <c r="N562" s="33"/>
      <c r="O562" s="33">
        <v>1</v>
      </c>
      <c r="P562" s="33">
        <f>VLOOKUP($C562,CHOOSE({1,2},怪物并表!$E$7:$E$1000,怪物并表!$D$7:$D$1000),2,FALSE)</f>
        <v>74</v>
      </c>
      <c r="Q562" s="33" t="s">
        <v>25</v>
      </c>
      <c r="R562" s="33">
        <f>VLOOKUP(Q562,怪物信息配置表!$A$2:$B$118,2,FALSE)</f>
        <v>1012</v>
      </c>
      <c r="S562" s="33">
        <v>1</v>
      </c>
      <c r="T562" s="110">
        <f>VLOOKUP($C562,怪物并表!$E$7:$N$1000,2+($D562-1)*3,FALSE)*S562*AJ562</f>
        <v>894828.14790928958</v>
      </c>
      <c r="U562" s="110">
        <f>VLOOKUP($C562,怪物并表!$E$7:$N$1000,3+($D562-1)*3,FALSE)*S562*AK562</f>
        <v>65991.788494736975</v>
      </c>
      <c r="V562" s="110">
        <f>VLOOKUP($C562,怪物并表!$E$7:$N$1000,4+($D562-1)*3,FALSE)*S562*AL562</f>
        <v>14859.993196817399</v>
      </c>
      <c r="W562" s="33"/>
      <c r="X562" s="33"/>
      <c r="Y562" s="49">
        <f>VLOOKUP($C562,怪物并表!$E$7:$P$1000,12,FALSE)</f>
        <v>0</v>
      </c>
      <c r="Z562" s="49">
        <f>VLOOKUP($C562,怪物并表!$E$7:$P$1000,11,FALSE)*S562</f>
        <v>4650.4720000000007</v>
      </c>
      <c r="AA562" s="33"/>
      <c r="AB562" s="33"/>
      <c r="AC562" s="33"/>
      <c r="AD562" s="33">
        <f t="shared" si="71"/>
        <v>1</v>
      </c>
      <c r="AE562" s="2">
        <f t="shared" si="66"/>
        <v>121.25</v>
      </c>
      <c r="AF562" s="2" t="str">
        <f>IF(ISBLANK(AM562),IF(O562=6,"",IF(O562=1,VLOOKUP(R562,怪物信息配置表!B:H,5,FALSE),IF(O562=2,VLOOKUP(R562,怪物信息配置表!B:H,6,FALSE),IF(OR(O562=3,O562=5),VLOOKUP(R562,怪物信息配置表!B:H,7,FALSE),"")))),AM562)</f>
        <v>ai_monster_03</v>
      </c>
      <c r="AG562" s="2"/>
      <c r="AH562" s="15">
        <f>SUMPRODUCT(T562:V562,$AN$3:$AP$3)+ROUNDDOWN(VLOOKUP(P562,CHOOSE({1,2},'[1]消耗&amp;价值&amp;分析'!$C$7:$C$106,'[1]消耗&amp;价值&amp;分析'!$AS$7:$AS$106),2,FALSE)*0.6,0)</f>
        <v>126116.90760792597</v>
      </c>
      <c r="AJ562" s="80">
        <v>1</v>
      </c>
      <c r="AK562" s="80">
        <v>1</v>
      </c>
      <c r="AL562" s="80">
        <v>1</v>
      </c>
    </row>
    <row r="563" spans="1:38">
      <c r="A563" s="33" t="str">
        <f>怪物并表!$R$8</f>
        <v>精英副本</v>
      </c>
      <c r="B563" s="38">
        <v>4</v>
      </c>
      <c r="C563" s="33">
        <f t="shared" si="70"/>
        <v>7208</v>
      </c>
      <c r="D563" s="33">
        <v>3</v>
      </c>
      <c r="E563" s="33">
        <f>VLOOKUP(A563,怪物并表!$R$7:$S$14,2,FALSE)</f>
        <v>2</v>
      </c>
      <c r="F563" s="38">
        <v>7</v>
      </c>
      <c r="G563" s="38">
        <v>8</v>
      </c>
      <c r="H563" s="38">
        <v>0</v>
      </c>
      <c r="I563" s="33">
        <f t="shared" si="69"/>
        <v>278004</v>
      </c>
      <c r="J563" s="33" t="s">
        <v>618</v>
      </c>
      <c r="K563" s="33"/>
      <c r="L563" s="33">
        <v>1</v>
      </c>
      <c r="M563" s="33">
        <v>1.3</v>
      </c>
      <c r="N563" s="33"/>
      <c r="O563" s="33">
        <v>3</v>
      </c>
      <c r="P563" s="33">
        <f>VLOOKUP($C563,CHOOSE({1,2},怪物并表!$E$7:$E$1000,怪物并表!$D$7:$D$1000),2,FALSE)</f>
        <v>74</v>
      </c>
      <c r="Q563" s="33" t="s">
        <v>12</v>
      </c>
      <c r="R563" s="33">
        <f>VLOOKUP(Q563,怪物信息配置表!$A$2:$B$118,2,FALSE)</f>
        <v>1009</v>
      </c>
      <c r="S563" s="33">
        <v>1</v>
      </c>
      <c r="T563" s="110">
        <f>VLOOKUP($C563,怪物并表!$E$7:$N$1000,2+($D563-1)*3,FALSE)*S563*AJ563</f>
        <v>2237070.369773224</v>
      </c>
      <c r="U563" s="110">
        <f>VLOOKUP($C563,怪物并表!$E$7:$N$1000,3+($D563-1)*3,FALSE)*S563*AK563</f>
        <v>76660.785649545229</v>
      </c>
      <c r="V563" s="110">
        <f>VLOOKUP($C563,怪物并表!$E$7:$N$1000,4+($D563-1)*3,FALSE)*S563*AL563</f>
        <v>17579.055781766965</v>
      </c>
      <c r="W563" s="33"/>
      <c r="X563" s="33"/>
      <c r="Y563" s="49">
        <f>VLOOKUP($C563,怪物并表!$E$7:$P$1000,12,FALSE)</f>
        <v>0</v>
      </c>
      <c r="Z563" s="49">
        <f>VLOOKUP($C563,怪物并表!$E$7:$P$1000,11,FALSE)*S563</f>
        <v>4650.4720000000007</v>
      </c>
      <c r="AA563" s="33"/>
      <c r="AB563" s="33"/>
      <c r="AC563" s="33"/>
      <c r="AD563" s="33">
        <f t="shared" si="71"/>
        <v>1.5</v>
      </c>
      <c r="AE563" s="2">
        <f t="shared" si="66"/>
        <v>50</v>
      </c>
      <c r="AF563" s="2" t="str">
        <f>IF(ISBLANK(AM563),IF(O563=6,"",IF(O563=1,VLOOKUP(R563,怪物信息配置表!B:H,5,FALSE),IF(O563=2,VLOOKUP(R563,怪物信息配置表!B:H,6,FALSE),IF(OR(O563=3,O563=5),VLOOKUP(R563,怪物信息配置表!B:H,7,FALSE),"")))),AM563)</f>
        <v>1009_tiequan_BOSS</v>
      </c>
      <c r="AG563" s="2"/>
      <c r="AH563" s="15">
        <f>SUMPRODUCT(T563:V563,$AN$3:$AP$3)+ROUNDDOWN(VLOOKUP(P563,CHOOSE({1,2},'[1]消耗&amp;价值&amp;分析'!$C$7:$C$106,'[1]消耗&amp;价值&amp;分析'!$AS$7:$AS$106),2,FALSE)*0.6,0)</f>
        <v>193194.65622224114</v>
      </c>
      <c r="AJ563" s="80">
        <v>1</v>
      </c>
      <c r="AK563" s="80">
        <v>1</v>
      </c>
      <c r="AL563" s="80">
        <v>1</v>
      </c>
    </row>
    <row r="564" spans="1:38">
      <c r="A564" s="33" t="str">
        <f>怪物并表!$R$8</f>
        <v>精英副本</v>
      </c>
      <c r="B564" s="38">
        <v>1</v>
      </c>
      <c r="C564" s="33">
        <f t="shared" si="70"/>
        <v>7209</v>
      </c>
      <c r="D564" s="33">
        <v>1</v>
      </c>
      <c r="E564" s="33">
        <f>VLOOKUP(A564,怪物并表!$R$7:$S$14,2,FALSE)</f>
        <v>2</v>
      </c>
      <c r="F564" s="38">
        <v>7</v>
      </c>
      <c r="G564" s="38">
        <v>9</v>
      </c>
      <c r="H564" s="38">
        <v>0</v>
      </c>
      <c r="I564" s="33">
        <f t="shared" si="69"/>
        <v>279001</v>
      </c>
      <c r="J564" s="33" t="s">
        <v>42</v>
      </c>
      <c r="K564" s="33"/>
      <c r="L564" s="33">
        <v>0</v>
      </c>
      <c r="M564" s="33">
        <v>1</v>
      </c>
      <c r="N564" s="33"/>
      <c r="O564" s="33">
        <v>1</v>
      </c>
      <c r="P564" s="33">
        <f>VLOOKUP($C564,CHOOSE({1,2},怪物并表!$E$7:$E$1000,怪物并表!$D$7:$D$1000),2,FALSE)</f>
        <v>75</v>
      </c>
      <c r="Q564" s="33" t="s">
        <v>12</v>
      </c>
      <c r="R564" s="33">
        <f>VLOOKUP(Q564,怪物信息配置表!$A$2:$B$118,2,FALSE)</f>
        <v>1009</v>
      </c>
      <c r="S564" s="33">
        <v>1</v>
      </c>
      <c r="T564" s="110">
        <f>VLOOKUP($C564,怪物并表!$E$7:$N$1000,2+($D564-1)*3,FALSE)*S564*AJ564</f>
        <v>963284.83388880594</v>
      </c>
      <c r="U564" s="110">
        <f>VLOOKUP($C564,怪物并表!$E$7:$N$1000,3+($D564-1)*3,FALSE)*S564*AK564</f>
        <v>69997.276780936503</v>
      </c>
      <c r="V564" s="110">
        <f>VLOOKUP($C564,怪物并表!$E$7:$N$1000,4+($D564-1)*3,FALSE)*S564*AL564</f>
        <v>15913.952006688975</v>
      </c>
      <c r="W564" s="33"/>
      <c r="X564" s="33"/>
      <c r="Y564" s="49">
        <f>VLOOKUP($C564,怪物并表!$E$7:$P$1000,12,FALSE)</f>
        <v>0</v>
      </c>
      <c r="Z564" s="49">
        <f>VLOOKUP($C564,怪物并表!$E$7:$P$1000,11,FALSE)*S564</f>
        <v>4708.7</v>
      </c>
      <c r="AA564" s="33"/>
      <c r="AB564" s="33"/>
      <c r="AC564" s="33"/>
      <c r="AD564" s="33">
        <f t="shared" si="71"/>
        <v>1</v>
      </c>
      <c r="AE564" s="2">
        <f t="shared" si="66"/>
        <v>109.375</v>
      </c>
      <c r="AF564" s="2" t="str">
        <f>IF(ISBLANK(AM564),IF(O564=6,"",IF(O564=1,VLOOKUP(R564,怪物信息配置表!B:H,5,FALSE),IF(O564=2,VLOOKUP(R564,怪物信息配置表!B:H,6,FALSE),IF(OR(O564=3,O564=5),VLOOKUP(R564,怪物信息配置表!B:H,7,FALSE),"")))),AM564)</f>
        <v>ai_monster</v>
      </c>
      <c r="AG564" s="2"/>
      <c r="AH564" s="15">
        <f>SUMPRODUCT(T564:V564,$AN$3:$AP$3)+ROUNDDOWN(VLOOKUP(P564,CHOOSE({1,2},'[1]消耗&amp;价值&amp;分析'!$C$7:$C$106,'[1]消耗&amp;价值&amp;分析'!$AS$7:$AS$106),2,FALSE)*0.6,0)</f>
        <v>134382.62214317772</v>
      </c>
      <c r="AJ564" s="80">
        <v>1</v>
      </c>
      <c r="AK564" s="80">
        <v>1</v>
      </c>
      <c r="AL564" s="80">
        <v>1</v>
      </c>
    </row>
    <row r="565" spans="1:38">
      <c r="A565" s="33" t="str">
        <f>怪物并表!$R$8</f>
        <v>精英副本</v>
      </c>
      <c r="B565" s="38">
        <v>2</v>
      </c>
      <c r="C565" s="33">
        <f t="shared" si="70"/>
        <v>7209</v>
      </c>
      <c r="D565" s="33">
        <v>1</v>
      </c>
      <c r="E565" s="33">
        <f>VLOOKUP(A565,怪物并表!$R$7:$S$14,2,FALSE)</f>
        <v>2</v>
      </c>
      <c r="F565" s="38">
        <v>7</v>
      </c>
      <c r="G565" s="38">
        <v>9</v>
      </c>
      <c r="H565" s="38">
        <v>0</v>
      </c>
      <c r="I565" s="33">
        <f t="shared" si="69"/>
        <v>279002</v>
      </c>
      <c r="J565" s="33" t="s">
        <v>483</v>
      </c>
      <c r="K565" s="33"/>
      <c r="L565" s="33">
        <v>0</v>
      </c>
      <c r="M565" s="33">
        <v>1</v>
      </c>
      <c r="N565" s="33"/>
      <c r="O565" s="33">
        <v>1</v>
      </c>
      <c r="P565" s="33">
        <f>VLOOKUP($C565,CHOOSE({1,2},怪物并表!$E$7:$E$1000,怪物并表!$D$7:$D$1000),2,FALSE)</f>
        <v>75</v>
      </c>
      <c r="Q565" s="33" t="s">
        <v>24</v>
      </c>
      <c r="R565" s="33">
        <f>VLOOKUP(Q565,怪物信息配置表!$A$2:$B$118,2,FALSE)</f>
        <v>1015</v>
      </c>
      <c r="S565" s="33">
        <v>1</v>
      </c>
      <c r="T565" s="110">
        <f>VLOOKUP($C565,怪物并表!$E$7:$N$1000,2+($D565-1)*3,FALSE)*S565*AJ565</f>
        <v>963284.83388880594</v>
      </c>
      <c r="U565" s="110">
        <f>VLOOKUP($C565,怪物并表!$E$7:$N$1000,3+($D565-1)*3,FALSE)*S565*AK565</f>
        <v>69997.276780936503</v>
      </c>
      <c r="V565" s="110">
        <f>VLOOKUP($C565,怪物并表!$E$7:$N$1000,4+($D565-1)*3,FALSE)*S565*AL565</f>
        <v>15913.952006688975</v>
      </c>
      <c r="W565" s="33"/>
      <c r="X565" s="33"/>
      <c r="Y565" s="49">
        <f>VLOOKUP($C565,怪物并表!$E$7:$P$1000,12,FALSE)</f>
        <v>0</v>
      </c>
      <c r="Z565" s="49">
        <f>VLOOKUP($C565,怪物并表!$E$7:$P$1000,11,FALSE)*S565</f>
        <v>4708.7</v>
      </c>
      <c r="AA565" s="33"/>
      <c r="AB565" s="33"/>
      <c r="AC565" s="33"/>
      <c r="AD565" s="33">
        <f t="shared" si="71"/>
        <v>1</v>
      </c>
      <c r="AE565" s="2">
        <f t="shared" si="66"/>
        <v>96.875</v>
      </c>
      <c r="AF565" s="2" t="str">
        <f>IF(ISBLANK(AM565),IF(O565=6,"",IF(O565=1,VLOOKUP(R565,怪物信息配置表!B:H,5,FALSE),IF(O565=2,VLOOKUP(R565,怪物信息配置表!B:H,6,FALSE),IF(OR(O565=3,O565=5),VLOOKUP(R565,怪物信息配置表!B:H,7,FALSE),"")))),AM565)</f>
        <v>ai_monster_03</v>
      </c>
      <c r="AG565" s="2"/>
      <c r="AH565" s="15">
        <f>SUMPRODUCT(T565:V565,$AN$3:$AP$3)+ROUNDDOWN(VLOOKUP(P565,CHOOSE({1,2},'[1]消耗&amp;价值&amp;分析'!$C$7:$C$106,'[1]消耗&amp;价值&amp;分析'!$AS$7:$AS$106),2,FALSE)*0.6,0)</f>
        <v>134382.62214317772</v>
      </c>
      <c r="AJ565" s="80">
        <v>1</v>
      </c>
      <c r="AK565" s="80">
        <v>1</v>
      </c>
      <c r="AL565" s="80">
        <v>1</v>
      </c>
    </row>
    <row r="566" spans="1:38">
      <c r="A566" s="33" t="str">
        <f>怪物并表!$R$8</f>
        <v>精英副本</v>
      </c>
      <c r="B566" s="38">
        <v>3</v>
      </c>
      <c r="C566" s="33">
        <f t="shared" si="70"/>
        <v>7209</v>
      </c>
      <c r="D566" s="33">
        <v>1</v>
      </c>
      <c r="E566" s="33">
        <f>VLOOKUP(A566,怪物并表!$R$7:$S$14,2,FALSE)</f>
        <v>2</v>
      </c>
      <c r="F566" s="38">
        <v>7</v>
      </c>
      <c r="G566" s="38">
        <v>9</v>
      </c>
      <c r="H566" s="38">
        <v>0</v>
      </c>
      <c r="I566" s="33">
        <f t="shared" si="69"/>
        <v>279003</v>
      </c>
      <c r="J566" s="33" t="s">
        <v>44</v>
      </c>
      <c r="K566" s="33"/>
      <c r="L566" s="33">
        <v>0</v>
      </c>
      <c r="M566" s="33">
        <v>1</v>
      </c>
      <c r="N566" s="33"/>
      <c r="O566" s="33">
        <v>1</v>
      </c>
      <c r="P566" s="33">
        <f>VLOOKUP($C566,CHOOSE({1,2},怪物并表!$E$7:$E$1000,怪物并表!$D$7:$D$1000),2,FALSE)</f>
        <v>75</v>
      </c>
      <c r="Q566" s="33" t="s">
        <v>25</v>
      </c>
      <c r="R566" s="33">
        <f>VLOOKUP(Q566,怪物信息配置表!$A$2:$B$118,2,FALSE)</f>
        <v>1012</v>
      </c>
      <c r="S566" s="33">
        <v>1</v>
      </c>
      <c r="T566" s="110">
        <f>VLOOKUP($C566,怪物并表!$E$7:$N$1000,2+($D566-1)*3,FALSE)*S566*AJ566</f>
        <v>963284.83388880594</v>
      </c>
      <c r="U566" s="110">
        <f>VLOOKUP($C566,怪物并表!$E$7:$N$1000,3+($D566-1)*3,FALSE)*S566*AK566</f>
        <v>69997.276780936503</v>
      </c>
      <c r="V566" s="110">
        <f>VLOOKUP($C566,怪物并表!$E$7:$N$1000,4+($D566-1)*3,FALSE)*S566*AL566</f>
        <v>15913.952006688975</v>
      </c>
      <c r="W566" s="33"/>
      <c r="X566" s="33"/>
      <c r="Y566" s="49">
        <f>VLOOKUP($C566,怪物并表!$E$7:$P$1000,12,FALSE)</f>
        <v>0</v>
      </c>
      <c r="Z566" s="49">
        <f>VLOOKUP($C566,怪物并表!$E$7:$P$1000,11,FALSE)*S566</f>
        <v>4708.7</v>
      </c>
      <c r="AA566" s="33"/>
      <c r="AB566" s="33"/>
      <c r="AC566" s="33"/>
      <c r="AD566" s="33">
        <f t="shared" si="71"/>
        <v>1</v>
      </c>
      <c r="AE566" s="2">
        <f t="shared" si="66"/>
        <v>109.375</v>
      </c>
      <c r="AF566" s="2" t="str">
        <f>IF(ISBLANK(AM566),IF(O566=6,"",IF(O566=1,VLOOKUP(R566,怪物信息配置表!B:H,5,FALSE),IF(O566=2,VLOOKUP(R566,怪物信息配置表!B:H,6,FALSE),IF(OR(O566=3,O566=5),VLOOKUP(R566,怪物信息配置表!B:H,7,FALSE),"")))),AM566)</f>
        <v>ai_monster_03</v>
      </c>
      <c r="AG566" s="2"/>
      <c r="AH566" s="15">
        <f>SUMPRODUCT(T566:V566,$AN$3:$AP$3)+ROUNDDOWN(VLOOKUP(P566,CHOOSE({1,2},'[1]消耗&amp;价值&amp;分析'!$C$7:$C$106,'[1]消耗&amp;价值&amp;分析'!$AS$7:$AS$106),2,FALSE)*0.6,0)</f>
        <v>134382.62214317772</v>
      </c>
      <c r="AJ566" s="80">
        <v>1</v>
      </c>
      <c r="AK566" s="80">
        <v>1</v>
      </c>
      <c r="AL566" s="80">
        <v>1</v>
      </c>
    </row>
    <row r="567" spans="1:38">
      <c r="A567" s="33" t="str">
        <f>怪物并表!$R$8</f>
        <v>精英副本</v>
      </c>
      <c r="B567" s="38">
        <v>4</v>
      </c>
      <c r="C567" s="33">
        <f t="shared" si="70"/>
        <v>7209</v>
      </c>
      <c r="D567" s="33">
        <v>3</v>
      </c>
      <c r="E567" s="33">
        <f>VLOOKUP(A567,怪物并表!$R$7:$S$14,2,FALSE)</f>
        <v>2</v>
      </c>
      <c r="F567" s="38">
        <v>7</v>
      </c>
      <c r="G567" s="38">
        <v>9</v>
      </c>
      <c r="H567" s="38">
        <v>0</v>
      </c>
      <c r="I567" s="33">
        <f t="shared" si="69"/>
        <v>279004</v>
      </c>
      <c r="J567" s="33" t="s">
        <v>516</v>
      </c>
      <c r="K567" s="33"/>
      <c r="L567" s="33">
        <v>1</v>
      </c>
      <c r="M567" s="33">
        <v>1.3</v>
      </c>
      <c r="N567" s="33"/>
      <c r="O567" s="33">
        <v>3</v>
      </c>
      <c r="P567" s="33">
        <f>VLOOKUP($C567,CHOOSE({1,2},怪物并表!$E$7:$E$1000,怪物并表!$D$7:$D$1000),2,FALSE)</f>
        <v>75</v>
      </c>
      <c r="Q567" s="33" t="s">
        <v>369</v>
      </c>
      <c r="R567" s="33">
        <f>VLOOKUP(Q567,怪物信息配置表!$A$2:$B$118,2,FALSE)</f>
        <v>1106</v>
      </c>
      <c r="S567" s="33">
        <v>1</v>
      </c>
      <c r="T567" s="110">
        <f>VLOOKUP($C567,怪物并表!$E$7:$N$1000,2+($D567-1)*3,FALSE)*S567*AJ567</f>
        <v>2408212.0847220146</v>
      </c>
      <c r="U567" s="110">
        <f>VLOOKUP($C567,怪物并表!$E$7:$N$1000,3+($D567-1)*3,FALSE)*S567*AK567</f>
        <v>81344.406802675643</v>
      </c>
      <c r="V567" s="110">
        <f>VLOOKUP($C567,怪物并表!$E$7:$N$1000,4+($D567-1)*3,FALSE)*S567*AL567</f>
        <v>18698.893607859543</v>
      </c>
      <c r="W567" s="33"/>
      <c r="X567" s="33"/>
      <c r="Y567" s="49">
        <f>VLOOKUP($C567,怪物并表!$E$7:$P$1000,12,FALSE)</f>
        <v>0</v>
      </c>
      <c r="Z567" s="49">
        <f>VLOOKUP($C567,怪物并表!$E$7:$P$1000,11,FALSE)*S567</f>
        <v>4708.7</v>
      </c>
      <c r="AA567" s="33"/>
      <c r="AB567" s="33"/>
      <c r="AC567" s="33"/>
      <c r="AD567" s="33">
        <f t="shared" si="71"/>
        <v>1.5</v>
      </c>
      <c r="AE567" s="2">
        <f t="shared" si="66"/>
        <v>50</v>
      </c>
      <c r="AF567" s="2" t="str">
        <f>IF(ISBLANK(AM567),IF(O567=6,"",IF(O567=1,VLOOKUP(R567,怪物信息配置表!B:H,5,FALSE),IF(O567=2,VLOOKUP(R567,怪物信息配置表!B:H,6,FALSE),IF(OR(O567=3,O567=5),VLOOKUP(R567,怪物信息配置表!B:H,7,FALSE),"")))),AM567)</f>
        <v>1106_shankou_BOSS</v>
      </c>
      <c r="AG567" s="2"/>
      <c r="AH567" s="15">
        <f>SUMPRODUCT(T567:V567,$AN$3:$AP$3)+ROUNDDOWN(VLOOKUP(P567,CHOOSE({1,2},'[1]消耗&amp;价值&amp;分析'!$C$7:$C$106,'[1]消耗&amp;价值&amp;分析'!$AS$7:$AS$106),2,FALSE)*0.6,0)</f>
        <v>206311.7837994158</v>
      </c>
      <c r="AJ567" s="80">
        <v>1</v>
      </c>
      <c r="AK567" s="80">
        <v>1</v>
      </c>
      <c r="AL567" s="80">
        <v>1</v>
      </c>
    </row>
    <row r="568" spans="1:38">
      <c r="A568" s="33" t="str">
        <f>怪物并表!$R$8</f>
        <v>精英副本</v>
      </c>
      <c r="B568" s="38">
        <v>1</v>
      </c>
      <c r="C568" s="33">
        <f t="shared" si="65"/>
        <v>8201</v>
      </c>
      <c r="D568" s="33">
        <v>1</v>
      </c>
      <c r="E568" s="33">
        <f>VLOOKUP(A568,怪物并表!$R$7:$S$14,2,FALSE)</f>
        <v>2</v>
      </c>
      <c r="F568" s="38">
        <v>8</v>
      </c>
      <c r="G568" s="38">
        <v>1</v>
      </c>
      <c r="H568" s="38">
        <v>0</v>
      </c>
      <c r="I568" s="33">
        <f t="shared" si="69"/>
        <v>281001</v>
      </c>
      <c r="J568" s="33" t="s">
        <v>248</v>
      </c>
      <c r="K568" s="33"/>
      <c r="L568" s="33">
        <v>0</v>
      </c>
      <c r="M568" s="33">
        <v>1</v>
      </c>
      <c r="N568" s="33"/>
      <c r="O568" s="33">
        <v>1</v>
      </c>
      <c r="P568" s="33">
        <f>VLOOKUP($C568,CHOOSE({1,2},怪物并表!$E$7:$E$1000,怪物并表!$D$7:$D$1000),2,FALSE)</f>
        <v>76</v>
      </c>
      <c r="Q568" s="33" t="s">
        <v>10</v>
      </c>
      <c r="R568" s="33">
        <f>VLOOKUP(Q568,怪物信息配置表!$A$2:$B$118,2,FALSE)</f>
        <v>1001</v>
      </c>
      <c r="S568" s="33">
        <v>1</v>
      </c>
      <c r="T568" s="110">
        <f>VLOOKUP($C568,怪物并表!$E$7:$N$1000,2+($D568-1)*3,FALSE)*S568*AJ568</f>
        <v>877704.74043809366</v>
      </c>
      <c r="U568" s="110">
        <f>VLOOKUP($C568,怪物并表!$E$7:$N$1000,3+($D568-1)*3,FALSE)*S568*AK568</f>
        <v>64912.130672938067</v>
      </c>
      <c r="V568" s="110">
        <f>VLOOKUP($C568,怪物并表!$E$7:$N$1000,4+($D568-1)*3,FALSE)*S568*AL568</f>
        <v>13894.452273551848</v>
      </c>
      <c r="W568" s="33"/>
      <c r="X568" s="33"/>
      <c r="Y568" s="49">
        <f>VLOOKUP($C568,怪物并表!$E$7:$P$1000,12,FALSE)</f>
        <v>0</v>
      </c>
      <c r="Z568" s="49">
        <f>VLOOKUP($C568,怪物并表!$E$7:$P$1000,11,FALSE)*S568</f>
        <v>4766.9279999999999</v>
      </c>
      <c r="AA568" s="33"/>
      <c r="AB568" s="33"/>
      <c r="AC568" s="33"/>
      <c r="AD568" s="33">
        <f t="shared" si="61"/>
        <v>1</v>
      </c>
      <c r="AE568" s="2">
        <f t="shared" si="66"/>
        <v>97.5</v>
      </c>
      <c r="AF568" s="2" t="str">
        <f>IF(ISBLANK(AM568),IF(O568=6,"",IF(O568=1,VLOOKUP(R568,怪物信息配置表!B:H,5,FALSE),IF(O568=2,VLOOKUP(R568,怪物信息配置表!B:H,6,FALSE),IF(OR(O568=3,O568=5),VLOOKUP(R568,怪物信息配置表!B:H,7,FALSE),"")))),AM568)</f>
        <v>ai_monster</v>
      </c>
      <c r="AG568" s="2"/>
      <c r="AH568" s="15">
        <f>SUMPRODUCT(T568:V568,$AN$3:$AP$3)+ROUNDDOWN(VLOOKUP(P568,CHOOSE({1,2},'[1]消耗&amp;价值&amp;分析'!$C$7:$C$106,'[1]消耗&amp;价值&amp;分析'!$AS$7:$AS$106),2,FALSE)*0.6,0)</f>
        <v>124583.77256401366</v>
      </c>
      <c r="AJ568" s="80">
        <v>1</v>
      </c>
      <c r="AK568" s="80">
        <v>1</v>
      </c>
      <c r="AL568" s="80">
        <v>1</v>
      </c>
    </row>
    <row r="569" spans="1:38">
      <c r="A569" s="33" t="str">
        <f>怪物并表!$R$8</f>
        <v>精英副本</v>
      </c>
      <c r="B569" s="38">
        <v>2</v>
      </c>
      <c r="C569" s="33">
        <f t="shared" si="65"/>
        <v>8201</v>
      </c>
      <c r="D569" s="33">
        <v>1</v>
      </c>
      <c r="E569" s="33">
        <f>VLOOKUP(A569,怪物并表!$R$7:$S$14,2,FALSE)</f>
        <v>2</v>
      </c>
      <c r="F569" s="38">
        <v>8</v>
      </c>
      <c r="G569" s="38">
        <v>1</v>
      </c>
      <c r="H569" s="38">
        <v>0</v>
      </c>
      <c r="I569" s="33">
        <f t="shared" si="69"/>
        <v>281002</v>
      </c>
      <c r="J569" s="33" t="s">
        <v>249</v>
      </c>
      <c r="K569" s="33"/>
      <c r="L569" s="33">
        <v>0</v>
      </c>
      <c r="M569" s="33">
        <v>1</v>
      </c>
      <c r="N569" s="33"/>
      <c r="O569" s="33">
        <v>1</v>
      </c>
      <c r="P569" s="33">
        <f>VLOOKUP($C569,CHOOSE({1,2},怪物并表!$E$7:$E$1000,怪物并表!$D$7:$D$1000),2,FALSE)</f>
        <v>76</v>
      </c>
      <c r="Q569" s="33" t="s">
        <v>367</v>
      </c>
      <c r="R569" s="33">
        <f>VLOOKUP(Q569,怪物信息配置表!$A$2:$B$118,2,FALSE)</f>
        <v>1008</v>
      </c>
      <c r="S569" s="33">
        <v>1</v>
      </c>
      <c r="T569" s="110">
        <f>VLOOKUP($C569,怪物并表!$E$7:$N$1000,2+($D569-1)*3,FALSE)*S569*AJ569</f>
        <v>877704.74043809366</v>
      </c>
      <c r="U569" s="110">
        <f>VLOOKUP($C569,怪物并表!$E$7:$N$1000,3+($D569-1)*3,FALSE)*S569*AK569</f>
        <v>64912.130672938067</v>
      </c>
      <c r="V569" s="110">
        <f>VLOOKUP($C569,怪物并表!$E$7:$N$1000,4+($D569-1)*3,FALSE)*S569*AL569</f>
        <v>13894.452273551848</v>
      </c>
      <c r="W569" s="33"/>
      <c r="X569" s="33"/>
      <c r="Y569" s="49">
        <f>VLOOKUP($C569,怪物并表!$E$7:$P$1000,12,FALSE)</f>
        <v>0</v>
      </c>
      <c r="Z569" s="49">
        <f>VLOOKUP($C569,怪物并表!$E$7:$P$1000,11,FALSE)*S569</f>
        <v>4766.9279999999999</v>
      </c>
      <c r="AA569" s="33"/>
      <c r="AB569" s="33"/>
      <c r="AC569" s="33"/>
      <c r="AD569" s="33">
        <f t="shared" si="61"/>
        <v>1</v>
      </c>
      <c r="AE569" s="2">
        <f t="shared" si="66"/>
        <v>97.5</v>
      </c>
      <c r="AF569" s="2" t="str">
        <f>IF(ISBLANK(AM569),IF(O569=6,"",IF(O569=1,VLOOKUP(R569,怪物信息配置表!B:H,5,FALSE),IF(O569=2,VLOOKUP(R569,怪物信息配置表!B:H,6,FALSE),IF(OR(O569=3,O569=5),VLOOKUP(R569,怪物信息配置表!B:H,7,FALSE),"")))),AM569)</f>
        <v>ai_monster</v>
      </c>
      <c r="AG569" s="2"/>
      <c r="AH569" s="15">
        <f>SUMPRODUCT(T569:V569,$AN$3:$AP$3)+ROUNDDOWN(VLOOKUP(P569,CHOOSE({1,2},'[1]消耗&amp;价值&amp;分析'!$C$7:$C$106,'[1]消耗&amp;价值&amp;分析'!$AS$7:$AS$106),2,FALSE)*0.6,0)</f>
        <v>124583.77256401366</v>
      </c>
      <c r="AJ569" s="80">
        <v>1</v>
      </c>
      <c r="AK569" s="80">
        <v>1</v>
      </c>
      <c r="AL569" s="80">
        <v>1</v>
      </c>
    </row>
    <row r="570" spans="1:38">
      <c r="A570" s="33" t="str">
        <f>怪物并表!$R$8</f>
        <v>精英副本</v>
      </c>
      <c r="B570" s="38">
        <v>3</v>
      </c>
      <c r="C570" s="33">
        <f t="shared" si="65"/>
        <v>8201</v>
      </c>
      <c r="D570" s="33">
        <v>2</v>
      </c>
      <c r="E570" s="33">
        <f>VLOOKUP(A570,怪物并表!$R$7:$S$14,2,FALSE)</f>
        <v>2</v>
      </c>
      <c r="F570" s="38">
        <v>8</v>
      </c>
      <c r="G570" s="38">
        <v>1</v>
      </c>
      <c r="H570" s="38">
        <v>0</v>
      </c>
      <c r="I570" s="33">
        <f t="shared" si="69"/>
        <v>281003</v>
      </c>
      <c r="J570" s="33" t="s">
        <v>36</v>
      </c>
      <c r="K570" s="33"/>
      <c r="L570" s="33">
        <v>0</v>
      </c>
      <c r="M570" s="33">
        <v>1</v>
      </c>
      <c r="N570" s="33"/>
      <c r="O570" s="33">
        <v>1</v>
      </c>
      <c r="P570" s="33">
        <f>VLOOKUP($C570,CHOOSE({1,2},怪物并表!$E$7:$E$1000,怪物并表!$D$7:$D$1000),2,FALSE)</f>
        <v>76</v>
      </c>
      <c r="Q570" s="33" t="s">
        <v>9</v>
      </c>
      <c r="R570" s="33">
        <f>VLOOKUP(Q570,怪物信息配置表!$A$2:$B$118,2,FALSE)</f>
        <v>1003</v>
      </c>
      <c r="S570" s="33">
        <v>1</v>
      </c>
      <c r="T570" s="110">
        <f>VLOOKUP($C570,怪物并表!$E$7:$N$1000,2+($D570-1)*3,FALSE)*S570*AJ570</f>
        <v>702163.79235047498</v>
      </c>
      <c r="U570" s="110">
        <f>VLOOKUP($C570,怪物并表!$E$7:$N$1000,3+($D570-1)*3,FALSE)*S570*AK570</f>
        <v>59810.362832999454</v>
      </c>
      <c r="V570" s="110">
        <f>VLOOKUP($C570,怪物并表!$E$7:$N$1000,4+($D570-1)*3,FALSE)*S570*AL570</f>
        <v>10420.839205163888</v>
      </c>
      <c r="W570" s="33"/>
      <c r="X570" s="33"/>
      <c r="Y570" s="49">
        <f>VLOOKUP($C570,怪物并表!$E$7:$P$1000,12,FALSE)</f>
        <v>0</v>
      </c>
      <c r="Z570" s="49">
        <f>VLOOKUP($C570,怪物并表!$E$7:$P$1000,11,FALSE)*S570</f>
        <v>4766.9279999999999</v>
      </c>
      <c r="AA570" s="33"/>
      <c r="AB570" s="33"/>
      <c r="AC570" s="33"/>
      <c r="AD570" s="33">
        <f t="shared" si="61"/>
        <v>0.8</v>
      </c>
      <c r="AE570" s="2">
        <f t="shared" si="66"/>
        <v>278</v>
      </c>
      <c r="AF570" s="2" t="str">
        <f>IF(ISBLANK(AM570),IF(O570=6,"",IF(O570=1,VLOOKUP(R570,怪物信息配置表!B:H,5,FALSE),IF(O570=2,VLOOKUP(R570,怪物信息配置表!B:H,6,FALSE),IF(OR(O570=3,O570=5),VLOOKUP(R570,怪物信息配置表!B:H,7,FALSE),"")))),AM570)</f>
        <v>ai_monster_02</v>
      </c>
      <c r="AG570" s="2"/>
      <c r="AH570" s="15">
        <f>SUMPRODUCT(T570:V570,$AN$3:$AP$3)+ROUNDDOWN(VLOOKUP(P570,CHOOSE({1,2},'[1]消耗&amp;价值&amp;分析'!$C$7:$C$106,'[1]消耗&amp;价值&amp;分析'!$AS$7:$AS$106),2,FALSE)*0.6,0)</f>
        <v>108986.75373218235</v>
      </c>
      <c r="AJ570" s="80">
        <v>1</v>
      </c>
      <c r="AK570" s="80">
        <v>1</v>
      </c>
      <c r="AL570" s="80">
        <v>1</v>
      </c>
    </row>
    <row r="571" spans="1:38">
      <c r="A571" s="33" t="str">
        <f>怪物并表!$R$8</f>
        <v>精英副本</v>
      </c>
      <c r="B571" s="38">
        <v>4</v>
      </c>
      <c r="C571" s="33">
        <f t="shared" si="65"/>
        <v>8201</v>
      </c>
      <c r="D571" s="33">
        <v>3</v>
      </c>
      <c r="E571" s="33">
        <f>VLOOKUP(A571,怪物并表!$R$7:$S$14,2,FALSE)</f>
        <v>2</v>
      </c>
      <c r="F571" s="38">
        <v>8</v>
      </c>
      <c r="G571" s="38">
        <v>1</v>
      </c>
      <c r="H571" s="38">
        <v>0</v>
      </c>
      <c r="I571" s="33">
        <f t="shared" si="69"/>
        <v>281004</v>
      </c>
      <c r="J571" s="33" t="s">
        <v>507</v>
      </c>
      <c r="K571" s="33"/>
      <c r="L571" s="33">
        <v>1</v>
      </c>
      <c r="M571" s="33">
        <v>1.3</v>
      </c>
      <c r="N571" s="33"/>
      <c r="O571" s="33">
        <v>3</v>
      </c>
      <c r="P571" s="33">
        <f>VLOOKUP($C571,CHOOSE({1,2},怪物并表!$E$7:$E$1000,怪物并表!$D$7:$D$1000),2,FALSE)</f>
        <v>76</v>
      </c>
      <c r="Q571" s="33" t="s">
        <v>8</v>
      </c>
      <c r="R571" s="33">
        <f>VLOOKUP(Q571,怪物信息配置表!$A$2:$B$118,2,FALSE)</f>
        <v>1101</v>
      </c>
      <c r="S571" s="33">
        <v>1</v>
      </c>
      <c r="T571" s="110">
        <f>VLOOKUP($C571,怪物并表!$E$7:$N$1000,2+($D571-1)*3,FALSE)*S571*AJ571</f>
        <v>2194261.851095234</v>
      </c>
      <c r="U571" s="110">
        <f>VLOOKUP($C571,怪物并表!$E$7:$N$1000,3+($D571-1)*3,FALSE)*S571*AK571</f>
        <v>75115.666352815315</v>
      </c>
      <c r="V571" s="110">
        <f>VLOOKUP($C571,怪物并表!$E$7:$N$1000,4+($D571-1)*3,FALSE)*S571*AL571</f>
        <v>17368.065341939808</v>
      </c>
      <c r="W571" s="33"/>
      <c r="X571" s="33"/>
      <c r="Y571" s="49">
        <f>VLOOKUP($C571,怪物并表!$E$7:$P$1000,12,FALSE)</f>
        <v>0</v>
      </c>
      <c r="Z571" s="49">
        <f>VLOOKUP($C571,怪物并表!$E$7:$P$1000,11,FALSE)*S571</f>
        <v>4766.9279999999999</v>
      </c>
      <c r="AA571" s="33"/>
      <c r="AB571" s="33"/>
      <c r="AC571" s="33"/>
      <c r="AD571" s="33">
        <f t="shared" si="61"/>
        <v>1.5</v>
      </c>
      <c r="AE571" s="2">
        <f t="shared" si="66"/>
        <v>50</v>
      </c>
      <c r="AF571" s="2" t="str">
        <f>IF(ISBLANK(AM571),IF(O571=6,"",IF(O571=1,VLOOKUP(R571,怪物信息配置表!B:H,5,FALSE),IF(O571=2,VLOOKUP(R571,怪物信息配置表!B:H,6,FALSE),IF(OR(O571=3,O571=5),VLOOKUP(R571,怪物信息配置表!B:H,7,FALSE),"")))),AM571)</f>
        <v>1101_liangkun_BOSS</v>
      </c>
      <c r="AG571" s="2"/>
      <c r="AH571" s="15">
        <f>SUMPRODUCT(T571:V571,$AN$3:$AP$3)+ROUNDDOWN(VLOOKUP(P571,CHOOSE({1,2},'[1]消耗&amp;价值&amp;分析'!$C$7:$C$106,'[1]消耗&amp;价值&amp;分析'!$AS$7:$AS$106),2,FALSE)*0.6,0)</f>
        <v>190923.20573856449</v>
      </c>
      <c r="AJ571" s="80">
        <v>1</v>
      </c>
      <c r="AK571" s="80">
        <v>1</v>
      </c>
      <c r="AL571" s="80">
        <v>1</v>
      </c>
    </row>
    <row r="572" spans="1:38">
      <c r="A572" s="33" t="str">
        <f>怪物并表!$R$8</f>
        <v>精英副本</v>
      </c>
      <c r="B572" s="38">
        <v>1</v>
      </c>
      <c r="C572" s="33">
        <f t="shared" si="65"/>
        <v>8202</v>
      </c>
      <c r="D572" s="33">
        <v>1</v>
      </c>
      <c r="E572" s="33">
        <f>VLOOKUP(A572,怪物并表!$R$7:$S$14,2,FALSE)</f>
        <v>2</v>
      </c>
      <c r="F572" s="38">
        <v>8</v>
      </c>
      <c r="G572" s="38">
        <v>2</v>
      </c>
      <c r="H572" s="38">
        <v>0</v>
      </c>
      <c r="I572" s="33">
        <f t="shared" si="69"/>
        <v>282001</v>
      </c>
      <c r="J572" s="33" t="s">
        <v>14</v>
      </c>
      <c r="K572" s="33"/>
      <c r="L572" s="33">
        <v>0</v>
      </c>
      <c r="M572" s="33">
        <v>1</v>
      </c>
      <c r="N572" s="33"/>
      <c r="O572" s="33">
        <v>1</v>
      </c>
      <c r="P572" s="33">
        <f>VLOOKUP($C572,CHOOSE({1,2},怪物并表!$E$7:$E$1000,怪物并表!$D$7:$D$1000),2,FALSE)</f>
        <v>77</v>
      </c>
      <c r="Q572" s="33" t="s">
        <v>14</v>
      </c>
      <c r="R572" s="33">
        <f>VLOOKUP(Q572,怪物信息配置表!$A$2:$B$118,2,FALSE)</f>
        <v>1010</v>
      </c>
      <c r="S572" s="33">
        <v>1</v>
      </c>
      <c r="T572" s="110">
        <f>VLOOKUP($C572,怪物并表!$E$7:$N$1000,2+($D572-1)*3,FALSE)*S572*AJ572</f>
        <v>945377.61378256488</v>
      </c>
      <c r="U572" s="110">
        <f>VLOOKUP($C572,怪物并表!$E$7:$N$1000,3+($D572-1)*3,FALSE)*S572*AK572</f>
        <v>69706.3140010192</v>
      </c>
      <c r="V572" s="110">
        <f>VLOOKUP($C572,怪物并表!$E$7:$N$1000,4+($D572-1)*3,FALSE)*S572*AL572</f>
        <v>14909.150589407698</v>
      </c>
      <c r="W572" s="33"/>
      <c r="X572" s="33"/>
      <c r="Y572" s="49">
        <f>VLOOKUP($C572,怪物并表!$E$7:$P$1000,12,FALSE)</f>
        <v>0</v>
      </c>
      <c r="Z572" s="49">
        <f>VLOOKUP($C572,怪物并表!$E$7:$P$1000,11,FALSE)*S572</f>
        <v>4825.1559999999999</v>
      </c>
      <c r="AA572" s="33"/>
      <c r="AB572" s="33"/>
      <c r="AC572" s="33"/>
      <c r="AD572" s="33">
        <f t="shared" si="61"/>
        <v>1</v>
      </c>
      <c r="AE572" s="2">
        <f t="shared" si="66"/>
        <v>85.625</v>
      </c>
      <c r="AF572" s="2" t="str">
        <f>IF(ISBLANK(AM572),IF(O572=6,"",IF(O572=1,VLOOKUP(R572,怪物信息配置表!B:H,5,FALSE),IF(O572=2,VLOOKUP(R572,怪物信息配置表!B:H,6,FALSE),IF(OR(O572=3,O572=5),VLOOKUP(R572,怪物信息配置表!B:H,7,FALSE),"")))),AM572)</f>
        <v>ai_monster</v>
      </c>
      <c r="AG572" s="2"/>
      <c r="AH572" s="15">
        <f>SUMPRODUCT(T572:V572,$AN$3:$AP$3)+ROUNDDOWN(VLOOKUP(P572,CHOOSE({1,2},'[1]消耗&amp;价值&amp;分析'!$C$7:$C$106,'[1]消耗&amp;价值&amp;分析'!$AS$7:$AS$106),2,FALSE)*0.6,0)</f>
        <v>133342.5691417295</v>
      </c>
      <c r="AJ572" s="80">
        <v>1</v>
      </c>
      <c r="AK572" s="80">
        <v>1</v>
      </c>
      <c r="AL572" s="80">
        <v>1</v>
      </c>
    </row>
    <row r="573" spans="1:38">
      <c r="A573" s="33" t="str">
        <f>怪物并表!$R$8</f>
        <v>精英副本</v>
      </c>
      <c r="B573" s="38">
        <v>2</v>
      </c>
      <c r="C573" s="33">
        <f t="shared" si="65"/>
        <v>8202</v>
      </c>
      <c r="D573" s="33">
        <v>1</v>
      </c>
      <c r="E573" s="33">
        <f>VLOOKUP(A573,怪物并表!$R$7:$S$14,2,FALSE)</f>
        <v>2</v>
      </c>
      <c r="F573" s="38">
        <v>8</v>
      </c>
      <c r="G573" s="38">
        <v>2</v>
      </c>
      <c r="H573" s="38">
        <v>0</v>
      </c>
      <c r="I573" s="33">
        <f t="shared" si="69"/>
        <v>282002</v>
      </c>
      <c r="J573" s="33" t="s">
        <v>15</v>
      </c>
      <c r="K573" s="33"/>
      <c r="L573" s="33">
        <v>0</v>
      </c>
      <c r="M573" s="33">
        <v>1</v>
      </c>
      <c r="N573" s="33"/>
      <c r="O573" s="33">
        <v>1</v>
      </c>
      <c r="P573" s="33">
        <f>VLOOKUP($C573,CHOOSE({1,2},怪物并表!$E$7:$E$1000,怪物并表!$D$7:$D$1000),2,FALSE)</f>
        <v>77</v>
      </c>
      <c r="Q573" s="33" t="s">
        <v>15</v>
      </c>
      <c r="R573" s="33">
        <f>VLOOKUP(Q573,怪物信息配置表!$A$2:$B$118,2,FALSE)</f>
        <v>1004</v>
      </c>
      <c r="S573" s="33">
        <v>1</v>
      </c>
      <c r="T573" s="110">
        <f>VLOOKUP($C573,怪物并表!$E$7:$N$1000,2+($D573-1)*3,FALSE)*S573*AJ573</f>
        <v>945377.61378256488</v>
      </c>
      <c r="U573" s="110">
        <f>VLOOKUP($C573,怪物并表!$E$7:$N$1000,3+($D573-1)*3,FALSE)*S573*AK573</f>
        <v>69706.3140010192</v>
      </c>
      <c r="V573" s="110">
        <f>VLOOKUP($C573,怪物并表!$E$7:$N$1000,4+($D573-1)*3,FALSE)*S573*AL573</f>
        <v>14909.150589407698</v>
      </c>
      <c r="W573" s="33"/>
      <c r="X573" s="33"/>
      <c r="Y573" s="49">
        <f>VLOOKUP($C573,怪物并表!$E$7:$P$1000,12,FALSE)</f>
        <v>0</v>
      </c>
      <c r="Z573" s="49">
        <f>VLOOKUP($C573,怪物并表!$E$7:$P$1000,11,FALSE)*S573</f>
        <v>4825.1559999999999</v>
      </c>
      <c r="AA573" s="33"/>
      <c r="AB573" s="33"/>
      <c r="AC573" s="33"/>
      <c r="AD573" s="33">
        <f t="shared" si="61"/>
        <v>1</v>
      </c>
      <c r="AE573" s="2">
        <f t="shared" si="66"/>
        <v>85.625</v>
      </c>
      <c r="AF573" s="2" t="str">
        <f>IF(ISBLANK(AM573),IF(O573=6,"",IF(O573=1,VLOOKUP(R573,怪物信息配置表!B:H,5,FALSE),IF(O573=2,VLOOKUP(R573,怪物信息配置表!B:H,6,FALSE),IF(OR(O573=3,O573=5),VLOOKUP(R573,怪物信息配置表!B:H,7,FALSE),"")))),AM573)</f>
        <v>ai_monster</v>
      </c>
      <c r="AG573" s="2"/>
      <c r="AH573" s="15">
        <f>SUMPRODUCT(T573:V573,$AN$3:$AP$3)+ROUNDDOWN(VLOOKUP(P573,CHOOSE({1,2},'[1]消耗&amp;价值&amp;分析'!$C$7:$C$106,'[1]消耗&amp;价值&amp;分析'!$AS$7:$AS$106),2,FALSE)*0.6,0)</f>
        <v>133342.5691417295</v>
      </c>
      <c r="AJ573" s="80">
        <v>1</v>
      </c>
      <c r="AK573" s="80">
        <v>1</v>
      </c>
      <c r="AL573" s="80">
        <v>1</v>
      </c>
    </row>
    <row r="574" spans="1:38">
      <c r="A574" s="33" t="str">
        <f>怪物并表!$R$8</f>
        <v>精英副本</v>
      </c>
      <c r="B574" s="38">
        <v>3</v>
      </c>
      <c r="C574" s="33">
        <f t="shared" si="65"/>
        <v>8202</v>
      </c>
      <c r="D574" s="33">
        <v>2</v>
      </c>
      <c r="E574" s="33">
        <f>VLOOKUP(A574,怪物并表!$R$7:$S$14,2,FALSE)</f>
        <v>2</v>
      </c>
      <c r="F574" s="38">
        <v>8</v>
      </c>
      <c r="G574" s="38">
        <v>2</v>
      </c>
      <c r="H574" s="38">
        <v>0</v>
      </c>
      <c r="I574" s="33">
        <f t="shared" si="69"/>
        <v>282003</v>
      </c>
      <c r="J574" s="33" t="s">
        <v>36</v>
      </c>
      <c r="K574" s="33"/>
      <c r="L574" s="33">
        <v>0</v>
      </c>
      <c r="M574" s="33">
        <v>1</v>
      </c>
      <c r="N574" s="33"/>
      <c r="O574" s="33">
        <v>1</v>
      </c>
      <c r="P574" s="33">
        <f>VLOOKUP($C574,CHOOSE({1,2},怪物并表!$E$7:$E$1000,怪物并表!$D$7:$D$1000),2,FALSE)</f>
        <v>77</v>
      </c>
      <c r="Q574" s="33" t="s">
        <v>9</v>
      </c>
      <c r="R574" s="33">
        <f>VLOOKUP(Q574,怪物信息配置表!$A$2:$B$118,2,FALSE)</f>
        <v>1003</v>
      </c>
      <c r="S574" s="33">
        <v>1</v>
      </c>
      <c r="T574" s="110">
        <f>VLOOKUP($C574,怪物并表!$E$7:$N$1000,2+($D574-1)*3,FALSE)*S574*AJ574</f>
        <v>756302.09102605202</v>
      </c>
      <c r="U574" s="110">
        <f>VLOOKUP($C574,怪物并表!$E$7:$N$1000,3+($D574-1)*3,FALSE)*S574*AK574</f>
        <v>64190.23387793266</v>
      </c>
      <c r="V574" s="110">
        <f>VLOOKUP($C574,怪物并表!$E$7:$N$1000,4+($D574-1)*3,FALSE)*S574*AL574</f>
        <v>11345.499960720004</v>
      </c>
      <c r="W574" s="33"/>
      <c r="X574" s="33"/>
      <c r="Y574" s="49">
        <f>VLOOKUP($C574,怪物并表!$E$7:$P$1000,12,FALSE)</f>
        <v>0</v>
      </c>
      <c r="Z574" s="49">
        <f>VLOOKUP($C574,怪物并表!$E$7:$P$1000,11,FALSE)*S574</f>
        <v>4825.1559999999999</v>
      </c>
      <c r="AA574" s="33"/>
      <c r="AB574" s="33"/>
      <c r="AC574" s="33"/>
      <c r="AD574" s="33">
        <f t="shared" si="61"/>
        <v>0.8</v>
      </c>
      <c r="AE574" s="2">
        <f t="shared" si="66"/>
        <v>268.5</v>
      </c>
      <c r="AF574" s="2" t="str">
        <f>IF(ISBLANK(AM574),IF(O574=6,"",IF(O574=1,VLOOKUP(R574,怪物信息配置表!B:H,5,FALSE),IF(O574=2,VLOOKUP(R574,怪物信息配置表!B:H,6,FALSE),IF(OR(O574=3,O574=5),VLOOKUP(R574,怪物信息配置表!B:H,7,FALSE),"")))),AM574)</f>
        <v>ai_monster_02</v>
      </c>
      <c r="AG574" s="2"/>
      <c r="AH574" s="15">
        <f>SUMPRODUCT(T574:V574,$AN$3:$AP$3)+ROUNDDOWN(VLOOKUP(P574,CHOOSE({1,2},'[1]消耗&amp;价值&amp;分析'!$C$7:$C$106,'[1]消耗&amp;价值&amp;分析'!$AS$7:$AS$106),2,FALSE)*0.6,0)</f>
        <v>116699.81747969474</v>
      </c>
      <c r="AJ574" s="80">
        <v>1</v>
      </c>
      <c r="AK574" s="80">
        <v>1</v>
      </c>
      <c r="AL574" s="80">
        <v>1</v>
      </c>
    </row>
    <row r="575" spans="1:38">
      <c r="A575" s="33" t="str">
        <f>怪物并表!$R$8</f>
        <v>精英副本</v>
      </c>
      <c r="B575" s="38">
        <v>4</v>
      </c>
      <c r="C575" s="33">
        <f t="shared" si="65"/>
        <v>8202</v>
      </c>
      <c r="D575" s="33">
        <v>3</v>
      </c>
      <c r="E575" s="33">
        <f>VLOOKUP(A575,怪物并表!$R$7:$S$14,2,FALSE)</f>
        <v>2</v>
      </c>
      <c r="F575" s="38">
        <v>8</v>
      </c>
      <c r="G575" s="38">
        <v>2</v>
      </c>
      <c r="H575" s="38">
        <v>0</v>
      </c>
      <c r="I575" s="33">
        <f t="shared" si="69"/>
        <v>282004</v>
      </c>
      <c r="J575" s="33" t="s">
        <v>504</v>
      </c>
      <c r="K575" s="33"/>
      <c r="L575" s="33">
        <v>1</v>
      </c>
      <c r="M575" s="33">
        <v>1.1000000000000001</v>
      </c>
      <c r="N575" s="33"/>
      <c r="O575" s="33">
        <v>3</v>
      </c>
      <c r="P575" s="33">
        <f>VLOOKUP($C575,CHOOSE({1,2},怪物并表!$E$7:$E$1000,怪物并表!$D$7:$D$1000),2,FALSE)</f>
        <v>77</v>
      </c>
      <c r="Q575" s="33" t="s">
        <v>19</v>
      </c>
      <c r="R575" s="33">
        <f>VLOOKUP(Q575,怪物信息配置表!$A$2:$B$118,2,FALSE)</f>
        <v>1102</v>
      </c>
      <c r="S575" s="33">
        <v>1</v>
      </c>
      <c r="T575" s="110">
        <f>VLOOKUP($C575,怪物并表!$E$7:$N$1000,2+($D575-1)*3,FALSE)*S575*AJ575</f>
        <v>2363444.0344564123</v>
      </c>
      <c r="U575" s="110">
        <f>VLOOKUP($C575,怪物并表!$E$7:$N$1000,3+($D575-1)*3,FALSE)*S575*AK575</f>
        <v>80738.474247192265</v>
      </c>
      <c r="V575" s="110">
        <f>VLOOKUP($C575,怪物并表!$E$7:$N$1000,4+($D575-1)*3,FALSE)*S575*AL575</f>
        <v>18472.801218095392</v>
      </c>
      <c r="W575" s="33"/>
      <c r="X575" s="33"/>
      <c r="Y575" s="49">
        <f>VLOOKUP($C575,怪物并表!$E$7:$P$1000,12,FALSE)</f>
        <v>0</v>
      </c>
      <c r="Z575" s="49">
        <f>VLOOKUP($C575,怪物并表!$E$7:$P$1000,11,FALSE)*S575</f>
        <v>4825.1559999999999</v>
      </c>
      <c r="AA575" s="33"/>
      <c r="AB575" s="33"/>
      <c r="AC575" s="33"/>
      <c r="AD575" s="33">
        <f t="shared" si="61"/>
        <v>1.5</v>
      </c>
      <c r="AE575" s="2">
        <f t="shared" si="66"/>
        <v>50</v>
      </c>
      <c r="AF575" s="2" t="str">
        <f>IF(ISBLANK(AM575),IF(O575=6,"",IF(O575=1,VLOOKUP(R575,怪物信息配置表!B:H,5,FALSE),IF(O575=2,VLOOKUP(R575,怪物信息配置表!B:H,6,FALSE),IF(OR(O575=3,O575=5),VLOOKUP(R575,怪物信息配置表!B:H,7,FALSE),"")))),AM575)</f>
        <v>1102_wuya_BOSS</v>
      </c>
      <c r="AG575" s="2"/>
      <c r="AH575" s="15">
        <f>SUMPRODUCT(T575:V575,$AN$3:$AP$3)+ROUNDDOWN(VLOOKUP(P575,CHOOSE({1,2},'[1]消耗&amp;价值&amp;分析'!$C$7:$C$106,'[1]消耗&amp;价值&amp;分析'!$AS$7:$AS$106),2,FALSE)*0.6,0)</f>
        <v>204661.03684354413</v>
      </c>
      <c r="AJ575" s="80">
        <v>1</v>
      </c>
      <c r="AK575" s="80">
        <v>1</v>
      </c>
      <c r="AL575" s="80">
        <v>1</v>
      </c>
    </row>
    <row r="576" spans="1:38">
      <c r="A576" s="33" t="str">
        <f>怪物并表!$R$8</f>
        <v>精英副本</v>
      </c>
      <c r="B576" s="38">
        <v>1</v>
      </c>
      <c r="C576" s="33">
        <f t="shared" si="65"/>
        <v>8203</v>
      </c>
      <c r="D576" s="33">
        <v>1</v>
      </c>
      <c r="E576" s="33">
        <f>VLOOKUP(A576,怪物并表!$R$7:$S$14,2,FALSE)</f>
        <v>2</v>
      </c>
      <c r="F576" s="38">
        <v>8</v>
      </c>
      <c r="G576" s="38">
        <v>3</v>
      </c>
      <c r="H576" s="38">
        <v>0</v>
      </c>
      <c r="I576" s="33">
        <f t="shared" si="69"/>
        <v>283001</v>
      </c>
      <c r="J576" s="33" t="s">
        <v>42</v>
      </c>
      <c r="K576" s="33"/>
      <c r="L576" s="33">
        <v>0</v>
      </c>
      <c r="M576" s="33">
        <v>1</v>
      </c>
      <c r="N576" s="33"/>
      <c r="O576" s="33">
        <v>1</v>
      </c>
      <c r="P576" s="33">
        <f>VLOOKUP($C576,CHOOSE({1,2},怪物并表!$E$7:$E$1000,怪物并表!$D$7:$D$1000),2,FALSE)</f>
        <v>78</v>
      </c>
      <c r="Q576" s="33" t="s">
        <v>22</v>
      </c>
      <c r="R576" s="33">
        <f>VLOOKUP(Q576,怪物信息配置表!$A$2:$B$118,2,FALSE)</f>
        <v>1013</v>
      </c>
      <c r="S576" s="33">
        <v>1</v>
      </c>
      <c r="T576" s="110">
        <f>VLOOKUP($C576,怪物并表!$E$7:$N$1000,2+($D576-1)*3,FALSE)*S576*AJ576</f>
        <v>1016984.8908905839</v>
      </c>
      <c r="U576" s="110">
        <f>VLOOKUP($C576,怪物并表!$E$7:$N$1000,3+($D576-1)*3,FALSE)*S576*AK576</f>
        <v>74793.13602639563</v>
      </c>
      <c r="V576" s="110">
        <f>VLOOKUP($C576,怪物并表!$E$7:$N$1000,4+($D576-1)*3,FALSE)*S576*AL576</f>
        <v>15975.793477950505</v>
      </c>
      <c r="W576" s="33"/>
      <c r="X576" s="33"/>
      <c r="Y576" s="49">
        <f>VLOOKUP($C576,怪物并表!$E$7:$P$1000,12,FALSE)</f>
        <v>0</v>
      </c>
      <c r="Z576" s="49">
        <f>VLOOKUP($C576,怪物并表!$E$7:$P$1000,11,FALSE)*S576</f>
        <v>4883.384</v>
      </c>
      <c r="AA576" s="33"/>
      <c r="AB576" s="33"/>
      <c r="AC576" s="33"/>
      <c r="AD576" s="33">
        <f t="shared" si="61"/>
        <v>1</v>
      </c>
      <c r="AE576" s="2">
        <f t="shared" si="66"/>
        <v>73.75</v>
      </c>
      <c r="AF576" s="2" t="str">
        <f>IF(ISBLANK(AM576),IF(O576=6,"",IF(O576=1,VLOOKUP(R576,怪物信息配置表!B:H,5,FALSE),IF(O576=2,VLOOKUP(R576,怪物信息配置表!B:H,6,FALSE),IF(OR(O576=3,O576=5),VLOOKUP(R576,怪物信息配置表!B:H,7,FALSE),"")))),AM576)</f>
        <v>ai_monster_02</v>
      </c>
      <c r="AG576" s="2"/>
      <c r="AH576" s="15">
        <f>SUMPRODUCT(T576:V576,$AN$3:$AP$3)+ROUNDDOWN(VLOOKUP(P576,CHOOSE({1,2},'[1]消耗&amp;价值&amp;分析'!$C$7:$C$106,'[1]消耗&amp;价值&amp;分析'!$AS$7:$AS$106),2,FALSE)*0.6,0)</f>
        <v>142897.3251399695</v>
      </c>
      <c r="AJ576" s="80">
        <v>1</v>
      </c>
      <c r="AK576" s="80">
        <v>1</v>
      </c>
      <c r="AL576" s="80">
        <v>1</v>
      </c>
    </row>
    <row r="577" spans="1:38">
      <c r="A577" s="33" t="str">
        <f>怪物并表!$R$8</f>
        <v>精英副本</v>
      </c>
      <c r="B577" s="38">
        <v>2</v>
      </c>
      <c r="C577" s="33">
        <f t="shared" si="65"/>
        <v>8203</v>
      </c>
      <c r="D577" s="33">
        <v>1</v>
      </c>
      <c r="E577" s="33">
        <f>VLOOKUP(A577,怪物并表!$R$7:$S$14,2,FALSE)</f>
        <v>2</v>
      </c>
      <c r="F577" s="38">
        <v>8</v>
      </c>
      <c r="G577" s="38">
        <v>3</v>
      </c>
      <c r="H577" s="38">
        <v>0</v>
      </c>
      <c r="I577" s="33">
        <f t="shared" si="69"/>
        <v>283002</v>
      </c>
      <c r="J577" s="33" t="s">
        <v>462</v>
      </c>
      <c r="K577" s="33"/>
      <c r="L577" s="33">
        <v>0</v>
      </c>
      <c r="M577" s="33">
        <v>1</v>
      </c>
      <c r="N577" s="33"/>
      <c r="O577" s="33">
        <v>1</v>
      </c>
      <c r="P577" s="33">
        <f>VLOOKUP($C577,CHOOSE({1,2},怪物并表!$E$7:$E$1000,怪物并表!$D$7:$D$1000),2,FALSE)</f>
        <v>78</v>
      </c>
      <c r="Q577" s="33" t="s">
        <v>11</v>
      </c>
      <c r="R577" s="33">
        <f>VLOOKUP(Q577,怪物信息配置表!$A$2:$B$118,2,FALSE)</f>
        <v>1011</v>
      </c>
      <c r="S577" s="33">
        <v>1</v>
      </c>
      <c r="T577" s="110">
        <f>VLOOKUP($C577,怪物并表!$E$7:$N$1000,2+($D577-1)*3,FALSE)*S577*AJ577</f>
        <v>1016984.8908905839</v>
      </c>
      <c r="U577" s="110">
        <f>VLOOKUP($C577,怪物并表!$E$7:$N$1000,3+($D577-1)*3,FALSE)*S577*AK577</f>
        <v>74793.13602639563</v>
      </c>
      <c r="V577" s="110">
        <f>VLOOKUP($C577,怪物并表!$E$7:$N$1000,4+($D577-1)*3,FALSE)*S577*AL577</f>
        <v>15975.793477950505</v>
      </c>
      <c r="W577" s="33"/>
      <c r="X577" s="33"/>
      <c r="Y577" s="49">
        <f>VLOOKUP($C577,怪物并表!$E$7:$P$1000,12,FALSE)</f>
        <v>0</v>
      </c>
      <c r="Z577" s="49">
        <f>VLOOKUP($C577,怪物并表!$E$7:$P$1000,11,FALSE)*S577</f>
        <v>4883.384</v>
      </c>
      <c r="AA577" s="33"/>
      <c r="AB577" s="33"/>
      <c r="AC577" s="33"/>
      <c r="AD577" s="33">
        <f t="shared" si="61"/>
        <v>1</v>
      </c>
      <c r="AE577" s="2">
        <f t="shared" si="66"/>
        <v>73.75</v>
      </c>
      <c r="AF577" s="2" t="str">
        <f>IF(ISBLANK(AM577),IF(O577=6,"",IF(O577=1,VLOOKUP(R577,怪物信息配置表!B:H,5,FALSE),IF(O577=2,VLOOKUP(R577,怪物信息配置表!B:H,6,FALSE),IF(OR(O577=3,O577=5),VLOOKUP(R577,怪物信息配置表!B:H,7,FALSE),"")))),AM577)</f>
        <v>ai_monster</v>
      </c>
      <c r="AG577" s="2"/>
      <c r="AH577" s="15">
        <f>SUMPRODUCT(T577:V577,$AN$3:$AP$3)+ROUNDDOWN(VLOOKUP(P577,CHOOSE({1,2},'[1]消耗&amp;价值&amp;分析'!$C$7:$C$106,'[1]消耗&amp;价值&amp;分析'!$AS$7:$AS$106),2,FALSE)*0.6,0)</f>
        <v>142897.3251399695</v>
      </c>
      <c r="AJ577" s="80">
        <v>1</v>
      </c>
      <c r="AK577" s="80">
        <v>1</v>
      </c>
      <c r="AL577" s="80">
        <v>1</v>
      </c>
    </row>
    <row r="578" spans="1:38">
      <c r="A578" s="33" t="str">
        <f>怪物并表!$R$8</f>
        <v>精英副本</v>
      </c>
      <c r="B578" s="38">
        <v>3</v>
      </c>
      <c r="C578" s="33">
        <f t="shared" si="65"/>
        <v>8203</v>
      </c>
      <c r="D578" s="33">
        <v>2</v>
      </c>
      <c r="E578" s="33">
        <f>VLOOKUP(A578,怪物并表!$R$7:$S$14,2,FALSE)</f>
        <v>2</v>
      </c>
      <c r="F578" s="38">
        <v>8</v>
      </c>
      <c r="G578" s="38">
        <v>3</v>
      </c>
      <c r="H578" s="38">
        <v>0</v>
      </c>
      <c r="I578" s="33">
        <f t="shared" si="69"/>
        <v>283003</v>
      </c>
      <c r="J578" s="33" t="s">
        <v>501</v>
      </c>
      <c r="K578" s="33"/>
      <c r="L578" s="33">
        <v>0</v>
      </c>
      <c r="M578" s="33">
        <v>1</v>
      </c>
      <c r="N578" s="33"/>
      <c r="O578" s="33">
        <v>1</v>
      </c>
      <c r="P578" s="33">
        <f>VLOOKUP($C578,CHOOSE({1,2},怪物并表!$E$7:$E$1000,怪物并表!$D$7:$D$1000),2,FALSE)</f>
        <v>78</v>
      </c>
      <c r="Q578" s="33" t="s">
        <v>17</v>
      </c>
      <c r="R578" s="33">
        <f>VLOOKUP(Q578,怪物信息配置表!$A$2:$B$118,2,FALSE)</f>
        <v>1005</v>
      </c>
      <c r="S578" s="33">
        <v>1</v>
      </c>
      <c r="T578" s="110">
        <f>VLOOKUP($C578,怪物并表!$E$7:$N$1000,2+($D578-1)*3,FALSE)*S578*AJ578</f>
        <v>813587.91271246714</v>
      </c>
      <c r="U578" s="110">
        <f>VLOOKUP($C578,怪物并表!$E$7:$N$1000,3+($D578-1)*3,FALSE)*S578*AK578</f>
        <v>68835.326564513263</v>
      </c>
      <c r="V578" s="110">
        <f>VLOOKUP($C578,怪物并表!$E$7:$N$1000,4+($D578-1)*3,FALSE)*S578*AL578</f>
        <v>12324.18354013325</v>
      </c>
      <c r="W578" s="33"/>
      <c r="X578" s="33"/>
      <c r="Y578" s="49">
        <f>VLOOKUP($C578,怪物并表!$E$7:$P$1000,12,FALSE)</f>
        <v>0</v>
      </c>
      <c r="Z578" s="49">
        <f>VLOOKUP($C578,怪物并表!$E$7:$P$1000,11,FALSE)*S578</f>
        <v>4883.384</v>
      </c>
      <c r="AA578" s="33"/>
      <c r="AB578" s="33"/>
      <c r="AC578" s="33"/>
      <c r="AD578" s="33">
        <f t="shared" si="61"/>
        <v>0.8</v>
      </c>
      <c r="AE578" s="2">
        <f t="shared" ref="AE578:AE641" si="72">MAX(VLOOKUP(Q578,怪物信息配置表,3,FALSE)-VLOOKUP(Q578,怪物信息配置表,5,FALSE)*P578*AD578,50)</f>
        <v>259</v>
      </c>
      <c r="AF578" s="2" t="str">
        <f>IF(ISBLANK(AM578),IF(O578=6,"",IF(O578=1,VLOOKUP(R578,怪物信息配置表!B:H,5,FALSE),IF(O578=2,VLOOKUP(R578,怪物信息配置表!B:H,6,FALSE),IF(OR(O578=3,O578=5),VLOOKUP(R578,怪物信息配置表!B:H,7,FALSE),"")))),AM578)</f>
        <v>ai_monster_02</v>
      </c>
      <c r="AG578" s="2"/>
      <c r="AH578" s="15">
        <f>SUMPRODUCT(T578:V578,$AN$3:$AP$3)+ROUNDDOWN(VLOOKUP(P578,CHOOSE({1,2},'[1]消耗&amp;价值&amp;分析'!$C$7:$C$106,'[1]消耗&amp;价值&amp;分析'!$AS$7:$AS$106),2,FALSE)*0.6,0)</f>
        <v>125152.02661314521</v>
      </c>
      <c r="AJ578" s="80">
        <v>1</v>
      </c>
      <c r="AK578" s="80">
        <v>1</v>
      </c>
      <c r="AL578" s="80">
        <v>1</v>
      </c>
    </row>
    <row r="579" spans="1:38">
      <c r="A579" s="33" t="str">
        <f>怪物并表!$R$8</f>
        <v>精英副本</v>
      </c>
      <c r="B579" s="38">
        <v>4</v>
      </c>
      <c r="C579" s="33">
        <f t="shared" si="65"/>
        <v>8203</v>
      </c>
      <c r="D579" s="33">
        <v>3</v>
      </c>
      <c r="E579" s="33">
        <f>VLOOKUP(A579,怪物并表!$R$7:$S$14,2,FALSE)</f>
        <v>2</v>
      </c>
      <c r="F579" s="38">
        <v>8</v>
      </c>
      <c r="G579" s="38">
        <v>3</v>
      </c>
      <c r="H579" s="38">
        <v>0</v>
      </c>
      <c r="I579" s="33">
        <f t="shared" si="69"/>
        <v>283004</v>
      </c>
      <c r="J579" s="33" t="s">
        <v>619</v>
      </c>
      <c r="K579" s="33"/>
      <c r="L579" s="33">
        <v>1</v>
      </c>
      <c r="M579" s="33">
        <v>1.2</v>
      </c>
      <c r="N579" s="33"/>
      <c r="O579" s="33">
        <v>3</v>
      </c>
      <c r="P579" s="33">
        <f>VLOOKUP($C579,CHOOSE({1,2},怪物并表!$E$7:$E$1000,怪物并表!$D$7:$D$1000),2,FALSE)</f>
        <v>78</v>
      </c>
      <c r="Q579" s="33" t="s">
        <v>564</v>
      </c>
      <c r="R579" s="33">
        <f>VLOOKUP(Q579,怪物信息配置表!$A$2:$B$118,2,FALSE)</f>
        <v>1112</v>
      </c>
      <c r="S579" s="33">
        <v>1</v>
      </c>
      <c r="T579" s="110">
        <f>VLOOKUP($C579,怪物并表!$E$7:$N$1000,2+($D579-1)*3,FALSE)*S579*AJ579</f>
        <v>2542462.2272264599</v>
      </c>
      <c r="U579" s="110">
        <f>VLOOKUP($C579,怪物并表!$E$7:$N$1000,3+($D579-1)*3,FALSE)*S579*AK579</f>
        <v>86708.754950160379</v>
      </c>
      <c r="V579" s="110">
        <f>VLOOKUP($C579,怪物并表!$E$7:$N$1000,4+($D579-1)*3,FALSE)*S579*AL579</f>
        <v>19627.40341576776</v>
      </c>
      <c r="W579" s="33"/>
      <c r="X579" s="33"/>
      <c r="Y579" s="49">
        <f>VLOOKUP($C579,怪物并表!$E$7:$P$1000,12,FALSE)</f>
        <v>0</v>
      </c>
      <c r="Z579" s="49">
        <f>VLOOKUP($C579,怪物并表!$E$7:$P$1000,11,FALSE)*S579</f>
        <v>4883.384</v>
      </c>
      <c r="AA579" s="33"/>
      <c r="AB579" s="33"/>
      <c r="AC579" s="33"/>
      <c r="AD579" s="33">
        <f t="shared" si="61"/>
        <v>1.5</v>
      </c>
      <c r="AE579" s="2">
        <f t="shared" si="72"/>
        <v>50</v>
      </c>
      <c r="AF579" s="2" t="str">
        <f>IF(ISBLANK(AM579),IF(O579=6,"",IF(O579=1,VLOOKUP(R579,怪物信息配置表!B:H,5,FALSE),IF(O579=2,VLOOKUP(R579,怪物信息配置表!B:H,6,FALSE),IF(OR(O579=3,O579=5),VLOOKUP(R579,怪物信息配置表!B:H,7,FALSE),"")))),AM579)</f>
        <v>1112_shengfan_BOSS</v>
      </c>
      <c r="AG579" s="2"/>
      <c r="AH579" s="15">
        <f>SUMPRODUCT(T579:V579,$AN$3:$AP$3)+ROUNDDOWN(VLOOKUP(P579,CHOOSE({1,2},'[1]消耗&amp;价值&amp;分析'!$C$7:$C$106,'[1]消耗&amp;价值&amp;分析'!$AS$7:$AS$106),2,FALSE)*0.6,0)</f>
        <v>219483.64745498652</v>
      </c>
      <c r="AJ579" s="80">
        <v>1</v>
      </c>
      <c r="AK579" s="80">
        <v>1</v>
      </c>
      <c r="AL579" s="80">
        <v>1</v>
      </c>
    </row>
    <row r="580" spans="1:38">
      <c r="A580" s="33" t="str">
        <f>怪物并表!$R$8</f>
        <v>精英副本</v>
      </c>
      <c r="B580" s="38">
        <v>1</v>
      </c>
      <c r="C580" s="33">
        <f t="shared" si="65"/>
        <v>8204</v>
      </c>
      <c r="D580" s="33">
        <v>1</v>
      </c>
      <c r="E580" s="33">
        <f>VLOOKUP(A580,怪物并表!$R$7:$S$14,2,FALSE)</f>
        <v>2</v>
      </c>
      <c r="F580" s="38">
        <v>8</v>
      </c>
      <c r="G580" s="38">
        <v>4</v>
      </c>
      <c r="H580" s="38">
        <v>0</v>
      </c>
      <c r="I580" s="33">
        <f t="shared" si="69"/>
        <v>284001</v>
      </c>
      <c r="J580" s="33" t="s">
        <v>7</v>
      </c>
      <c r="K580" s="33"/>
      <c r="L580" s="33">
        <v>0</v>
      </c>
      <c r="M580" s="33">
        <v>1</v>
      </c>
      <c r="N580" s="33"/>
      <c r="O580" s="33">
        <v>1</v>
      </c>
      <c r="P580" s="33">
        <f>VLOOKUP($C580,CHOOSE({1,2},怪物并表!$E$7:$E$1000,怪物并表!$D$7:$D$1000),2,FALSE)</f>
        <v>79</v>
      </c>
      <c r="Q580" s="33" t="s">
        <v>7</v>
      </c>
      <c r="R580" s="33">
        <f>VLOOKUP(Q580,怪物信息配置表!$A$2:$B$118,2,FALSE)</f>
        <v>1002</v>
      </c>
      <c r="S580" s="33">
        <v>1</v>
      </c>
      <c r="T580" s="110">
        <f>VLOOKUP($C580,怪物并表!$E$7:$N$1000,2+($D580-1)*3,FALSE)*S580*AJ580</f>
        <v>1092687.2555424508</v>
      </c>
      <c r="U580" s="110">
        <f>VLOOKUP($C580,怪物并表!$E$7:$N$1000,3+($D580-1)*3,FALSE)*S580*AK580</f>
        <v>80188.07549193711</v>
      </c>
      <c r="V580" s="110">
        <f>VLOOKUP($C580,怪物并表!$E$7:$N$1000,4+($D580-1)*3,FALSE)*S580*AL580</f>
        <v>17096.01678868095</v>
      </c>
      <c r="W580" s="33"/>
      <c r="X580" s="33"/>
      <c r="Y580" s="49">
        <f>VLOOKUP($C580,怪物并表!$E$7:$P$1000,12,FALSE)</f>
        <v>0</v>
      </c>
      <c r="Z580" s="49">
        <f>VLOOKUP($C580,怪物并表!$E$7:$P$1000,11,FALSE)*S580</f>
        <v>4941.6120000000001</v>
      </c>
      <c r="AA580" s="33"/>
      <c r="AB580" s="33"/>
      <c r="AC580" s="33"/>
      <c r="AD580" s="33">
        <f t="shared" ref="AD580:AD679" si="73">IF(D580=1,1,IF(D580=2,0.8,1.5))</f>
        <v>1</v>
      </c>
      <c r="AE580" s="2">
        <f t="shared" si="72"/>
        <v>61.875</v>
      </c>
      <c r="AF580" s="2" t="str">
        <f>IF(ISBLANK(AM580),IF(O580=6,"",IF(O580=1,VLOOKUP(R580,怪物信息配置表!B:H,5,FALSE),IF(O580=2,VLOOKUP(R580,怪物信息配置表!B:H,6,FALSE),IF(OR(O580=3,O580=5),VLOOKUP(R580,怪物信息配置表!B:H,7,FALSE),"")))),AM580)</f>
        <v>ai_monster</v>
      </c>
      <c r="AG580" s="2"/>
      <c r="AH580" s="15">
        <f>SUMPRODUCT(T580:V580,$AN$3:$AP$3)+ROUNDDOWN(VLOOKUP(P580,CHOOSE({1,2},'[1]消耗&amp;价值&amp;分析'!$C$7:$C$106,'[1]消耗&amp;价值&amp;分析'!$AS$7:$AS$106),2,FALSE)*0.6,0)</f>
        <v>153275.5825023161</v>
      </c>
      <c r="AJ580" s="80">
        <v>1</v>
      </c>
      <c r="AK580" s="80">
        <v>1</v>
      </c>
      <c r="AL580" s="80">
        <v>1</v>
      </c>
    </row>
    <row r="581" spans="1:38">
      <c r="A581" s="33" t="str">
        <f>怪物并表!$R$8</f>
        <v>精英副本</v>
      </c>
      <c r="B581" s="38">
        <v>2</v>
      </c>
      <c r="C581" s="33">
        <f t="shared" si="65"/>
        <v>8204</v>
      </c>
      <c r="D581" s="33">
        <v>1</v>
      </c>
      <c r="E581" s="33">
        <f>VLOOKUP(A581,怪物并表!$R$7:$S$14,2,FALSE)</f>
        <v>2</v>
      </c>
      <c r="F581" s="38">
        <v>8</v>
      </c>
      <c r="G581" s="38">
        <v>4</v>
      </c>
      <c r="H581" s="38">
        <v>0</v>
      </c>
      <c r="I581" s="33">
        <f t="shared" si="69"/>
        <v>284002</v>
      </c>
      <c r="J581" s="33" t="s">
        <v>15</v>
      </c>
      <c r="K581" s="33"/>
      <c r="L581" s="33">
        <v>0</v>
      </c>
      <c r="M581" s="33">
        <v>1</v>
      </c>
      <c r="N581" s="33"/>
      <c r="O581" s="33">
        <v>1</v>
      </c>
      <c r="P581" s="33">
        <f>VLOOKUP($C581,CHOOSE({1,2},怪物并表!$E$7:$E$1000,怪物并表!$D$7:$D$1000),2,FALSE)</f>
        <v>79</v>
      </c>
      <c r="Q581" s="33" t="s">
        <v>15</v>
      </c>
      <c r="R581" s="33">
        <f>VLOOKUP(Q581,怪物信息配置表!$A$2:$B$118,2,FALSE)</f>
        <v>1004</v>
      </c>
      <c r="S581" s="33">
        <v>1</v>
      </c>
      <c r="T581" s="110">
        <f>VLOOKUP($C581,怪物并表!$E$7:$N$1000,2+($D581-1)*3,FALSE)*S581*AJ581</f>
        <v>1092687.2555424508</v>
      </c>
      <c r="U581" s="110">
        <f>VLOOKUP($C581,怪物并表!$E$7:$N$1000,3+($D581-1)*3,FALSE)*S581*AK581</f>
        <v>80188.07549193711</v>
      </c>
      <c r="V581" s="110">
        <f>VLOOKUP($C581,怪物并表!$E$7:$N$1000,4+($D581-1)*3,FALSE)*S581*AL581</f>
        <v>17096.01678868095</v>
      </c>
      <c r="W581" s="33"/>
      <c r="X581" s="33"/>
      <c r="Y581" s="49">
        <f>VLOOKUP($C581,怪物并表!$E$7:$P$1000,12,FALSE)</f>
        <v>0</v>
      </c>
      <c r="Z581" s="49">
        <f>VLOOKUP($C581,怪物并表!$E$7:$P$1000,11,FALSE)*S581</f>
        <v>4941.6120000000001</v>
      </c>
      <c r="AA581" s="33"/>
      <c r="AB581" s="33"/>
      <c r="AC581" s="33"/>
      <c r="AD581" s="33">
        <f t="shared" si="73"/>
        <v>1</v>
      </c>
      <c r="AE581" s="2">
        <f t="shared" si="72"/>
        <v>61.875</v>
      </c>
      <c r="AF581" s="2" t="str">
        <f>IF(ISBLANK(AM581),IF(O581=6,"",IF(O581=1,VLOOKUP(R581,怪物信息配置表!B:H,5,FALSE),IF(O581=2,VLOOKUP(R581,怪物信息配置表!B:H,6,FALSE),IF(OR(O581=3,O581=5),VLOOKUP(R581,怪物信息配置表!B:H,7,FALSE),"")))),AM581)</f>
        <v>ai_monster</v>
      </c>
      <c r="AG581" s="2"/>
      <c r="AH581" s="15">
        <f>SUMPRODUCT(T581:V581,$AN$3:$AP$3)+ROUNDDOWN(VLOOKUP(P581,CHOOSE({1,2},'[1]消耗&amp;价值&amp;分析'!$C$7:$C$106,'[1]消耗&amp;价值&amp;分析'!$AS$7:$AS$106),2,FALSE)*0.6,0)</f>
        <v>153275.5825023161</v>
      </c>
      <c r="AJ581" s="80">
        <v>1</v>
      </c>
      <c r="AK581" s="80">
        <v>1</v>
      </c>
      <c r="AL581" s="80">
        <v>1</v>
      </c>
    </row>
    <row r="582" spans="1:38">
      <c r="A582" s="33" t="str">
        <f>怪物并表!$R$8</f>
        <v>精英副本</v>
      </c>
      <c r="B582" s="38">
        <v>3</v>
      </c>
      <c r="C582" s="33">
        <f t="shared" si="65"/>
        <v>8204</v>
      </c>
      <c r="D582" s="33">
        <v>2</v>
      </c>
      <c r="E582" s="33">
        <f>VLOOKUP(A582,怪物并表!$R$7:$S$14,2,FALSE)</f>
        <v>2</v>
      </c>
      <c r="F582" s="38">
        <v>8</v>
      </c>
      <c r="G582" s="38">
        <v>4</v>
      </c>
      <c r="H582" s="38">
        <v>0</v>
      </c>
      <c r="I582" s="33">
        <f t="shared" si="69"/>
        <v>284003</v>
      </c>
      <c r="J582" s="33" t="s">
        <v>501</v>
      </c>
      <c r="K582" s="33"/>
      <c r="L582" s="33">
        <v>0</v>
      </c>
      <c r="M582" s="33">
        <v>1</v>
      </c>
      <c r="N582" s="33"/>
      <c r="O582" s="33">
        <v>1</v>
      </c>
      <c r="P582" s="33">
        <f>VLOOKUP($C582,CHOOSE({1,2},怪物并表!$E$7:$E$1000,怪物并表!$D$7:$D$1000),2,FALSE)</f>
        <v>79</v>
      </c>
      <c r="Q582" s="33" t="s">
        <v>17</v>
      </c>
      <c r="R582" s="33">
        <f>VLOOKUP(Q582,怪物信息配置表!$A$2:$B$118,2,FALSE)</f>
        <v>1005</v>
      </c>
      <c r="S582" s="33">
        <v>1</v>
      </c>
      <c r="T582" s="110">
        <f>VLOOKUP($C582,怪物并表!$E$7:$N$1000,2+($D582-1)*3,FALSE)*S582*AJ582</f>
        <v>874149.8044339607</v>
      </c>
      <c r="U582" s="110">
        <f>VLOOKUP($C582,怪物并表!$E$7:$N$1000,3+($D582-1)*3,FALSE)*S582*AK582</f>
        <v>73759.595085876514</v>
      </c>
      <c r="V582" s="110">
        <f>VLOOKUP($C582,怪物并表!$E$7:$N$1000,4+($D582-1)*3,FALSE)*S582*AL582</f>
        <v>13358.748002318142</v>
      </c>
      <c r="W582" s="33"/>
      <c r="X582" s="33"/>
      <c r="Y582" s="49">
        <f>VLOOKUP($C582,怪物并表!$E$7:$P$1000,12,FALSE)</f>
        <v>0</v>
      </c>
      <c r="Z582" s="49">
        <f>VLOOKUP($C582,怪物并表!$E$7:$P$1000,11,FALSE)*S582</f>
        <v>4941.6120000000001</v>
      </c>
      <c r="AA582" s="33"/>
      <c r="AB582" s="33"/>
      <c r="AC582" s="33"/>
      <c r="AD582" s="33">
        <f t="shared" si="73"/>
        <v>0.8</v>
      </c>
      <c r="AE582" s="2">
        <f t="shared" si="72"/>
        <v>249.5</v>
      </c>
      <c r="AF582" s="2" t="str">
        <f>IF(ISBLANK(AM582),IF(O582=6,"",IF(O582=1,VLOOKUP(R582,怪物信息配置表!B:H,5,FALSE),IF(O582=2,VLOOKUP(R582,怪物信息配置表!B:H,6,FALSE),IF(OR(O582=3,O582=5),VLOOKUP(R582,怪物信息配置表!B:H,7,FALSE),"")))),AM582)</f>
        <v>ai_monster_02</v>
      </c>
      <c r="AG582" s="2"/>
      <c r="AH582" s="15">
        <f>SUMPRODUCT(T582:V582,$AN$3:$AP$3)+ROUNDDOWN(VLOOKUP(P582,CHOOSE({1,2},'[1]消耗&amp;价值&amp;分析'!$C$7:$C$106,'[1]消耗&amp;价值&amp;分析'!$AS$7:$AS$106),2,FALSE)*0.6,0)</f>
        <v>134368.33526555309</v>
      </c>
      <c r="AJ582" s="80">
        <v>1</v>
      </c>
      <c r="AK582" s="80">
        <v>1</v>
      </c>
      <c r="AL582" s="80">
        <v>1</v>
      </c>
    </row>
    <row r="583" spans="1:38">
      <c r="A583" s="33" t="str">
        <f>怪物并表!$R$8</f>
        <v>精英副本</v>
      </c>
      <c r="B583" s="38">
        <v>4</v>
      </c>
      <c r="C583" s="33">
        <f t="shared" si="65"/>
        <v>8204</v>
      </c>
      <c r="D583" s="33">
        <v>3</v>
      </c>
      <c r="E583" s="33">
        <f>VLOOKUP(A583,怪物并表!$R$7:$S$14,2,FALSE)</f>
        <v>2</v>
      </c>
      <c r="F583" s="38">
        <v>8</v>
      </c>
      <c r="G583" s="38">
        <v>4</v>
      </c>
      <c r="H583" s="38">
        <v>0</v>
      </c>
      <c r="I583" s="33">
        <f t="shared" si="69"/>
        <v>284004</v>
      </c>
      <c r="J583" s="33" t="s">
        <v>620</v>
      </c>
      <c r="K583" s="33"/>
      <c r="L583" s="33">
        <v>1</v>
      </c>
      <c r="M583" s="33">
        <v>1.2</v>
      </c>
      <c r="N583" s="33"/>
      <c r="O583" s="33">
        <v>3</v>
      </c>
      <c r="P583" s="33">
        <f>VLOOKUP($C583,CHOOSE({1,2},怪物并表!$E$7:$E$1000,怪物并表!$D$7:$D$1000),2,FALSE)</f>
        <v>79</v>
      </c>
      <c r="Q583" s="33" t="s">
        <v>588</v>
      </c>
      <c r="R583" s="33">
        <f>VLOOKUP(Q583,怪物信息配置表!$A$2:$B$118,2,FALSE)</f>
        <v>1113</v>
      </c>
      <c r="S583" s="33">
        <v>1</v>
      </c>
      <c r="T583" s="110">
        <f>VLOOKUP($C583,怪物并表!$E$7:$N$1000,2+($D583-1)*3,FALSE)*S583*AJ583</f>
        <v>2731718.1388561265</v>
      </c>
      <c r="U583" s="110">
        <f>VLOOKUP($C583,怪物并表!$E$7:$N$1000,3+($D583-1)*3,FALSE)*S583*AK583</f>
        <v>93045.036304058318</v>
      </c>
      <c r="V583" s="110">
        <f>VLOOKUP($C583,怪物并表!$E$7:$N$1000,4+($D583-1)*3,FALSE)*S583*AL583</f>
        <v>20833.285575043759</v>
      </c>
      <c r="W583" s="33"/>
      <c r="X583" s="33"/>
      <c r="Y583" s="49">
        <f>VLOOKUP($C583,怪物并表!$E$7:$P$1000,12,FALSE)</f>
        <v>0</v>
      </c>
      <c r="Z583" s="49">
        <f>VLOOKUP($C583,怪物并表!$E$7:$P$1000,11,FALSE)*S583</f>
        <v>4941.6120000000001</v>
      </c>
      <c r="AA583" s="33"/>
      <c r="AB583" s="33"/>
      <c r="AC583" s="33"/>
      <c r="AD583" s="33">
        <f t="shared" si="73"/>
        <v>1.5</v>
      </c>
      <c r="AE583" s="2">
        <f t="shared" si="72"/>
        <v>50</v>
      </c>
      <c r="AF583" s="2" t="str">
        <f>IF(ISBLANK(AM583),IF(O583=6,"",IF(O583=1,VLOOKUP(R583,怪物信息配置表!B:H,5,FALSE),IF(O583=2,VLOOKUP(R583,怪物信息配置表!B:H,6,FALSE),IF(OR(O583=3,O583=5),VLOOKUP(R583,怪物信息配置表!B:H,7,FALSE),"")))),AM583)</f>
        <v>1102_wuya_BOSS</v>
      </c>
      <c r="AG583" s="2"/>
      <c r="AH583" s="15">
        <f>SUMPRODUCT(T583:V583,$AN$3:$AP$3)+ROUNDDOWN(VLOOKUP(P583,CHOOSE({1,2},'[1]消耗&amp;价值&amp;分析'!$C$7:$C$106,'[1]消耗&amp;价值&amp;分析'!$AS$7:$AS$106),2,FALSE)*0.6,0)</f>
        <v>235431.04743334715</v>
      </c>
      <c r="AJ583" s="80">
        <v>1</v>
      </c>
      <c r="AK583" s="80">
        <v>1</v>
      </c>
      <c r="AL583" s="80">
        <v>1</v>
      </c>
    </row>
    <row r="584" spans="1:38">
      <c r="A584" s="33" t="str">
        <f>怪物并表!$R$8</f>
        <v>精英副本</v>
      </c>
      <c r="B584" s="38">
        <v>1</v>
      </c>
      <c r="C584" s="33">
        <f t="shared" si="65"/>
        <v>8205</v>
      </c>
      <c r="D584" s="33">
        <v>1</v>
      </c>
      <c r="E584" s="33">
        <f>VLOOKUP(A584,怪物并表!$R$7:$S$14,2,FALSE)</f>
        <v>2</v>
      </c>
      <c r="F584" s="38">
        <v>8</v>
      </c>
      <c r="G584" s="38">
        <v>5</v>
      </c>
      <c r="H584" s="38">
        <v>0</v>
      </c>
      <c r="I584" s="33">
        <f t="shared" si="69"/>
        <v>285001</v>
      </c>
      <c r="J584" s="33" t="s">
        <v>248</v>
      </c>
      <c r="K584" s="33"/>
      <c r="L584" s="33">
        <v>0</v>
      </c>
      <c r="M584" s="33">
        <v>1</v>
      </c>
      <c r="N584" s="33"/>
      <c r="O584" s="33">
        <v>1</v>
      </c>
      <c r="P584" s="33">
        <f>VLOOKUP($C584,CHOOSE({1,2},怪物并表!$E$7:$E$1000,怪物并表!$D$7:$D$1000),2,FALSE)</f>
        <v>80</v>
      </c>
      <c r="Q584" s="33" t="s">
        <v>10</v>
      </c>
      <c r="R584" s="33">
        <f>VLOOKUP(Q584,怪物信息配置表!$A$2:$B$118,2,FALSE)</f>
        <v>1001</v>
      </c>
      <c r="S584" s="33">
        <v>1</v>
      </c>
      <c r="T584" s="110">
        <f>VLOOKUP($C584,怪物并表!$E$7:$N$1000,2+($D584-1)*3,FALSE)*S584*AJ584</f>
        <v>1176149.8983710674</v>
      </c>
      <c r="U584" s="110">
        <f>VLOOKUP($C584,怪物并表!$E$7:$N$1000,3+($D584-1)*3,FALSE)*S584*AK584</f>
        <v>86163.846301620782</v>
      </c>
      <c r="V584" s="110">
        <f>VLOOKUP($C584,怪物并表!$E$7:$N$1000,4+($D584-1)*3,FALSE)*S584*AL584</f>
        <v>18326.021426086958</v>
      </c>
      <c r="W584" s="33"/>
      <c r="X584" s="33"/>
      <c r="Y584" s="49">
        <f>VLOOKUP($C584,怪物并表!$E$7:$P$1000,12,FALSE)</f>
        <v>0</v>
      </c>
      <c r="Z584" s="49">
        <f>VLOOKUP($C584,怪物并表!$E$7:$P$1000,11,FALSE)*S584</f>
        <v>4999.84</v>
      </c>
      <c r="AA584" s="33"/>
      <c r="AB584" s="33"/>
      <c r="AC584" s="33"/>
      <c r="AD584" s="33">
        <f t="shared" si="73"/>
        <v>1</v>
      </c>
      <c r="AE584" s="2">
        <f t="shared" si="72"/>
        <v>50</v>
      </c>
      <c r="AF584" s="2" t="str">
        <f>IF(ISBLANK(AM584),IF(O584=6,"",IF(O584=1,VLOOKUP(R584,怪物信息配置表!B:H,5,FALSE),IF(O584=2,VLOOKUP(R584,怪物信息配置表!B:H,6,FALSE),IF(OR(O584=3,O584=5),VLOOKUP(R584,怪物信息配置表!B:H,7,FALSE),"")))),AM584)</f>
        <v>ai_monster</v>
      </c>
      <c r="AG584" s="2"/>
      <c r="AH584" s="15">
        <f>SUMPRODUCT(T584:V584,$AN$3:$AP$3)+ROUNDDOWN(VLOOKUP(P584,CHOOSE({1,2},'[1]消耗&amp;价值&amp;分析'!$C$7:$C$106,'[1]消耗&amp;价值&amp;分析'!$AS$7:$AS$106),2,FALSE)*0.6,0)</f>
        <v>163819.86366255043</v>
      </c>
      <c r="AJ584" s="80">
        <v>1</v>
      </c>
      <c r="AK584" s="80">
        <v>1</v>
      </c>
      <c r="AL584" s="80">
        <v>1</v>
      </c>
    </row>
    <row r="585" spans="1:38">
      <c r="A585" s="33" t="str">
        <f>怪物并表!$R$8</f>
        <v>精英副本</v>
      </c>
      <c r="B585" s="38">
        <v>2</v>
      </c>
      <c r="C585" s="33">
        <f t="shared" si="65"/>
        <v>8205</v>
      </c>
      <c r="D585" s="33">
        <v>1</v>
      </c>
      <c r="E585" s="33">
        <f>VLOOKUP(A585,怪物并表!$R$7:$S$14,2,FALSE)</f>
        <v>2</v>
      </c>
      <c r="F585" s="38">
        <v>8</v>
      </c>
      <c r="G585" s="38">
        <v>5</v>
      </c>
      <c r="H585" s="38">
        <v>0</v>
      </c>
      <c r="I585" s="33">
        <f t="shared" si="69"/>
        <v>285002</v>
      </c>
      <c r="J585" s="33" t="s">
        <v>14</v>
      </c>
      <c r="K585" s="33"/>
      <c r="L585" s="33">
        <v>0</v>
      </c>
      <c r="M585" s="33">
        <v>1</v>
      </c>
      <c r="N585" s="33"/>
      <c r="O585" s="33">
        <v>1</v>
      </c>
      <c r="P585" s="33">
        <f>VLOOKUP($C585,CHOOSE({1,2},怪物并表!$E$7:$E$1000,怪物并表!$D$7:$D$1000),2,FALSE)</f>
        <v>80</v>
      </c>
      <c r="Q585" s="33" t="s">
        <v>14</v>
      </c>
      <c r="R585" s="33">
        <f>VLOOKUP(Q585,怪物信息配置表!$A$2:$B$118,2,FALSE)</f>
        <v>1010</v>
      </c>
      <c r="S585" s="33">
        <v>1</v>
      </c>
      <c r="T585" s="110">
        <f>VLOOKUP($C585,怪物并表!$E$7:$N$1000,2+($D585-1)*3,FALSE)*S585*AJ585</f>
        <v>1176149.8983710674</v>
      </c>
      <c r="U585" s="110">
        <f>VLOOKUP($C585,怪物并表!$E$7:$N$1000,3+($D585-1)*3,FALSE)*S585*AK585</f>
        <v>86163.846301620782</v>
      </c>
      <c r="V585" s="110">
        <f>VLOOKUP($C585,怪物并表!$E$7:$N$1000,4+($D585-1)*3,FALSE)*S585*AL585</f>
        <v>18326.021426086958</v>
      </c>
      <c r="W585" s="33"/>
      <c r="X585" s="33"/>
      <c r="Y585" s="49">
        <f>VLOOKUP($C585,怪物并表!$E$7:$P$1000,12,FALSE)</f>
        <v>0</v>
      </c>
      <c r="Z585" s="49">
        <f>VLOOKUP($C585,怪物并表!$E$7:$P$1000,11,FALSE)*S585</f>
        <v>4999.84</v>
      </c>
      <c r="AA585" s="33"/>
      <c r="AB585" s="33"/>
      <c r="AC585" s="33"/>
      <c r="AD585" s="33">
        <f t="shared" si="73"/>
        <v>1</v>
      </c>
      <c r="AE585" s="2">
        <f t="shared" si="72"/>
        <v>50</v>
      </c>
      <c r="AF585" s="2" t="str">
        <f>IF(ISBLANK(AM585),IF(O585=6,"",IF(O585=1,VLOOKUP(R585,怪物信息配置表!B:H,5,FALSE),IF(O585=2,VLOOKUP(R585,怪物信息配置表!B:H,6,FALSE),IF(OR(O585=3,O585=5),VLOOKUP(R585,怪物信息配置表!B:H,7,FALSE),"")))),AM585)</f>
        <v>ai_monster</v>
      </c>
      <c r="AG585" s="2"/>
      <c r="AH585" s="15">
        <f>SUMPRODUCT(T585:V585,$AN$3:$AP$3)+ROUNDDOWN(VLOOKUP(P585,CHOOSE({1,2},'[1]消耗&amp;价值&amp;分析'!$C$7:$C$106,'[1]消耗&amp;价值&amp;分析'!$AS$7:$AS$106),2,FALSE)*0.6,0)</f>
        <v>163819.86366255043</v>
      </c>
      <c r="AJ585" s="80">
        <v>1</v>
      </c>
      <c r="AK585" s="80">
        <v>1</v>
      </c>
      <c r="AL585" s="80">
        <v>1</v>
      </c>
    </row>
    <row r="586" spans="1:38">
      <c r="A586" s="33" t="str">
        <f>怪物并表!$R$8</f>
        <v>精英副本</v>
      </c>
      <c r="B586" s="38">
        <v>3</v>
      </c>
      <c r="C586" s="33">
        <f t="shared" si="65"/>
        <v>8205</v>
      </c>
      <c r="D586" s="33">
        <v>1</v>
      </c>
      <c r="E586" s="33">
        <f>VLOOKUP(A586,怪物并表!$R$7:$S$14,2,FALSE)</f>
        <v>2</v>
      </c>
      <c r="F586" s="38">
        <v>8</v>
      </c>
      <c r="G586" s="38">
        <v>5</v>
      </c>
      <c r="H586" s="38">
        <v>0</v>
      </c>
      <c r="I586" s="33">
        <f t="shared" si="69"/>
        <v>285003</v>
      </c>
      <c r="J586" s="33" t="s">
        <v>462</v>
      </c>
      <c r="K586" s="33"/>
      <c r="L586" s="33">
        <v>0</v>
      </c>
      <c r="M586" s="33">
        <v>1</v>
      </c>
      <c r="N586" s="33"/>
      <c r="O586" s="33">
        <v>1</v>
      </c>
      <c r="P586" s="33">
        <f>VLOOKUP($C586,CHOOSE({1,2},怪物并表!$E$7:$E$1000,怪物并表!$D$7:$D$1000),2,FALSE)</f>
        <v>80</v>
      </c>
      <c r="Q586" s="33" t="s">
        <v>11</v>
      </c>
      <c r="R586" s="33">
        <f>VLOOKUP(Q586,怪物信息配置表!$A$2:$B$118,2,FALSE)</f>
        <v>1011</v>
      </c>
      <c r="S586" s="33">
        <v>1</v>
      </c>
      <c r="T586" s="110">
        <f>VLOOKUP($C586,怪物并表!$E$7:$N$1000,2+($D586-1)*3,FALSE)*S586*AJ586</f>
        <v>1176149.8983710674</v>
      </c>
      <c r="U586" s="110">
        <f>VLOOKUP($C586,怪物并表!$E$7:$N$1000,3+($D586-1)*3,FALSE)*S586*AK586</f>
        <v>86163.846301620782</v>
      </c>
      <c r="V586" s="110">
        <f>VLOOKUP($C586,怪物并表!$E$7:$N$1000,4+($D586-1)*3,FALSE)*S586*AL586</f>
        <v>18326.021426086958</v>
      </c>
      <c r="W586" s="33"/>
      <c r="X586" s="33"/>
      <c r="Y586" s="49">
        <f>VLOOKUP($C586,怪物并表!$E$7:$P$1000,12,FALSE)</f>
        <v>0</v>
      </c>
      <c r="Z586" s="49">
        <f>VLOOKUP($C586,怪物并表!$E$7:$P$1000,11,FALSE)*S586</f>
        <v>4999.84</v>
      </c>
      <c r="AA586" s="33"/>
      <c r="AB586" s="33"/>
      <c r="AC586" s="33"/>
      <c r="AD586" s="33">
        <f t="shared" si="73"/>
        <v>1</v>
      </c>
      <c r="AE586" s="2">
        <f t="shared" si="72"/>
        <v>50</v>
      </c>
      <c r="AF586" s="2" t="str">
        <f>IF(ISBLANK(AM586),IF(O586=6,"",IF(O586=1,VLOOKUP(R586,怪物信息配置表!B:H,5,FALSE),IF(O586=2,VLOOKUP(R586,怪物信息配置表!B:H,6,FALSE),IF(OR(O586=3,O586=5),VLOOKUP(R586,怪物信息配置表!B:H,7,FALSE),"")))),AM586)</f>
        <v>ai_monster</v>
      </c>
      <c r="AG586" s="2"/>
      <c r="AH586" s="15">
        <f>SUMPRODUCT(T586:V586,$AN$3:$AP$3)+ROUNDDOWN(VLOOKUP(P586,CHOOSE({1,2},'[1]消耗&amp;价值&amp;分析'!$C$7:$C$106,'[1]消耗&amp;价值&amp;分析'!$AS$7:$AS$106),2,FALSE)*0.6,0)</f>
        <v>163819.86366255043</v>
      </c>
      <c r="AJ586" s="80">
        <v>1</v>
      </c>
      <c r="AK586" s="80">
        <v>1</v>
      </c>
      <c r="AL586" s="80">
        <v>1</v>
      </c>
    </row>
    <row r="587" spans="1:38">
      <c r="A587" s="33" t="str">
        <f>怪物并表!$R$8</f>
        <v>精英副本</v>
      </c>
      <c r="B587" s="38">
        <v>4</v>
      </c>
      <c r="C587" s="33">
        <f t="shared" si="65"/>
        <v>8205</v>
      </c>
      <c r="D587" s="33">
        <v>3</v>
      </c>
      <c r="E587" s="33">
        <f>VLOOKUP(A587,怪物并表!$R$7:$S$14,2,FALSE)</f>
        <v>2</v>
      </c>
      <c r="F587" s="38">
        <v>8</v>
      </c>
      <c r="G587" s="38">
        <v>5</v>
      </c>
      <c r="H587" s="38">
        <v>0</v>
      </c>
      <c r="I587" s="33">
        <f t="shared" si="69"/>
        <v>285004</v>
      </c>
      <c r="J587" s="33" t="s">
        <v>621</v>
      </c>
      <c r="K587" s="33"/>
      <c r="L587" s="33">
        <v>1</v>
      </c>
      <c r="M587" s="33">
        <v>1.3</v>
      </c>
      <c r="N587" s="33"/>
      <c r="O587" s="33">
        <v>3</v>
      </c>
      <c r="P587" s="33">
        <f>VLOOKUP($C587,CHOOSE({1,2},怪物并表!$E$7:$E$1000,怪物并表!$D$7:$D$1000),2,FALSE)</f>
        <v>80</v>
      </c>
      <c r="Q587" s="33" t="s">
        <v>21</v>
      </c>
      <c r="R587" s="33">
        <f>VLOOKUP(Q587,怪物信息配置表!$A$2:$B$118,2,FALSE)</f>
        <v>1104</v>
      </c>
      <c r="S587" s="33">
        <v>1</v>
      </c>
      <c r="T587" s="110">
        <f>VLOOKUP($C587,怪物并表!$E$7:$N$1000,2+($D587-1)*3,FALSE)*S587*AJ587</f>
        <v>2940374.7459276682</v>
      </c>
      <c r="U587" s="110">
        <f>VLOOKUP($C587,怪物并表!$E$7:$N$1000,3+($D587-1)*3,FALSE)*S587*AK587</f>
        <v>100064.61166629277</v>
      </c>
      <c r="V587" s="110">
        <f>VLOOKUP($C587,怪物并表!$E$7:$N$1000,4+($D587-1)*3,FALSE)*S587*AL587</f>
        <v>22157.82590608696</v>
      </c>
      <c r="W587" s="33"/>
      <c r="X587" s="33"/>
      <c r="Y587" s="49">
        <f>VLOOKUP($C587,怪物并表!$E$7:$P$1000,12,FALSE)</f>
        <v>0</v>
      </c>
      <c r="Z587" s="49">
        <f>VLOOKUP($C587,怪物并表!$E$7:$P$1000,11,FALSE)*S587</f>
        <v>4999.84</v>
      </c>
      <c r="AA587" s="33"/>
      <c r="AB587" s="33"/>
      <c r="AC587" s="33"/>
      <c r="AD587" s="33">
        <f t="shared" si="73"/>
        <v>1.5</v>
      </c>
      <c r="AE587" s="2">
        <f t="shared" si="72"/>
        <v>50</v>
      </c>
      <c r="AF587" s="2" t="str">
        <f>IF(ISBLANK(AM587),IF(O587=6,"",IF(O587=1,VLOOKUP(R587,怪物信息配置表!B:H,5,FALSE),IF(O587=2,VLOOKUP(R587,怪物信息配置表!B:H,6,FALSE),IF(OR(O587=3,O587=5),VLOOKUP(R587,怪物信息配置表!B:H,7,FALSE),"")))),AM587)</f>
        <v>1104_duwang_BOSS</v>
      </c>
      <c r="AG587" s="2"/>
      <c r="AH587" s="15">
        <f>SUMPRODUCT(T587:V587,$AN$3:$AP$3)+ROUNDDOWN(VLOOKUP(P587,CHOOSE({1,2},'[1]消耗&amp;价值&amp;分析'!$C$7:$C$106,'[1]消耗&amp;价值&amp;分析'!$AS$7:$AS$106),2,FALSE)*0.6,0)</f>
        <v>252121.42740948644</v>
      </c>
      <c r="AJ587" s="80">
        <v>1</v>
      </c>
      <c r="AK587" s="80">
        <v>1</v>
      </c>
      <c r="AL587" s="80">
        <v>1</v>
      </c>
    </row>
    <row r="588" spans="1:38">
      <c r="A588" s="33" t="str">
        <f>怪物并表!$R$8</f>
        <v>精英副本</v>
      </c>
      <c r="B588" s="38">
        <v>1</v>
      </c>
      <c r="C588" s="33">
        <f t="shared" si="65"/>
        <v>8206</v>
      </c>
      <c r="D588" s="33">
        <v>1</v>
      </c>
      <c r="E588" s="33">
        <f>VLOOKUP(A588,怪物并表!$R$7:$S$14,2,FALSE)</f>
        <v>2</v>
      </c>
      <c r="F588" s="38">
        <v>8</v>
      </c>
      <c r="G588" s="38">
        <v>6</v>
      </c>
      <c r="H588" s="38">
        <v>0</v>
      </c>
      <c r="I588" s="33">
        <f t="shared" si="69"/>
        <v>286001</v>
      </c>
      <c r="J588" s="33" t="s">
        <v>42</v>
      </c>
      <c r="K588" s="33"/>
      <c r="L588" s="33">
        <v>0</v>
      </c>
      <c r="M588" s="33">
        <v>1</v>
      </c>
      <c r="N588" s="33"/>
      <c r="O588" s="33">
        <v>1</v>
      </c>
      <c r="P588" s="33">
        <f>VLOOKUP($C588,CHOOSE({1,2},怪物并表!$E$7:$E$1000,怪物并表!$D$7:$D$1000),2,FALSE)</f>
        <v>81</v>
      </c>
      <c r="Q588" s="33" t="s">
        <v>12</v>
      </c>
      <c r="R588" s="33">
        <f>VLOOKUP(Q588,怪物信息配置表!$A$2:$B$118,2,FALSE)</f>
        <v>1009</v>
      </c>
      <c r="S588" s="33">
        <v>1</v>
      </c>
      <c r="T588" s="110">
        <f>VLOOKUP($C588,怪物并表!$E$7:$N$1000,2+($D588-1)*3,FALSE)*S588*AJ588</f>
        <v>1264391.4460308354</v>
      </c>
      <c r="U588" s="110">
        <f>VLOOKUP($C588,怪物并表!$E$7:$N$1000,3+($D588-1)*3,FALSE)*S588*AK588</f>
        <v>106581.30418407611</v>
      </c>
      <c r="V588" s="110">
        <f>VLOOKUP($C588,怪物并表!$E$7:$N$1000,4+($D588-1)*3,FALSE)*S588*AL588</f>
        <v>19617.922385759211</v>
      </c>
      <c r="W588" s="33"/>
      <c r="X588" s="33"/>
      <c r="Y588" s="49">
        <f>VLOOKUP($C588,怪物并表!$E$7:$P$1000,12,FALSE)</f>
        <v>0</v>
      </c>
      <c r="Z588" s="49">
        <f>VLOOKUP($C588,怪物并表!$E$7:$P$1000,11,FALSE)*S588</f>
        <v>5058.0680000000002</v>
      </c>
      <c r="AA588" s="33"/>
      <c r="AB588" s="33"/>
      <c r="AC588" s="33"/>
      <c r="AD588" s="33">
        <f t="shared" si="73"/>
        <v>1</v>
      </c>
      <c r="AE588" s="2">
        <f t="shared" si="72"/>
        <v>50</v>
      </c>
      <c r="AF588" s="2" t="str">
        <f>IF(ISBLANK(AM588),IF(O588=6,"",IF(O588=1,VLOOKUP(R588,怪物信息配置表!B:H,5,FALSE),IF(O588=2,VLOOKUP(R588,怪物信息配置表!B:H,6,FALSE),IF(OR(O588=3,O588=5),VLOOKUP(R588,怪物信息配置表!B:H,7,FALSE),"")))),AM588)</f>
        <v>ai_monster</v>
      </c>
      <c r="AG588" s="2"/>
      <c r="AH588" s="15">
        <f>SUMPRODUCT(T588:V588,$AN$3:$AP$3)+ROUNDDOWN(VLOOKUP(P588,CHOOSE({1,2},'[1]消耗&amp;价值&amp;分析'!$C$7:$C$106,'[1]消耗&amp;价值&amp;分析'!$AS$7:$AS$106),2,FALSE)*0.6,0)</f>
        <v>189058.88441106875</v>
      </c>
      <c r="AJ588" s="80">
        <v>1</v>
      </c>
      <c r="AK588" s="80">
        <v>1</v>
      </c>
      <c r="AL588" s="80">
        <v>1</v>
      </c>
    </row>
    <row r="589" spans="1:38">
      <c r="A589" s="33" t="str">
        <f>怪物并表!$R$8</f>
        <v>精英副本</v>
      </c>
      <c r="B589" s="38">
        <v>2</v>
      </c>
      <c r="C589" s="33">
        <f t="shared" si="65"/>
        <v>8206</v>
      </c>
      <c r="D589" s="33">
        <v>2</v>
      </c>
      <c r="E589" s="33">
        <f>VLOOKUP(A589,怪物并表!$R$7:$S$14,2,FALSE)</f>
        <v>2</v>
      </c>
      <c r="F589" s="38">
        <v>8</v>
      </c>
      <c r="G589" s="38">
        <v>6</v>
      </c>
      <c r="H589" s="38">
        <v>0</v>
      </c>
      <c r="I589" s="33">
        <f t="shared" si="69"/>
        <v>286002</v>
      </c>
      <c r="J589" s="33" t="s">
        <v>501</v>
      </c>
      <c r="K589" s="33"/>
      <c r="L589" s="33">
        <v>0</v>
      </c>
      <c r="M589" s="33">
        <v>1</v>
      </c>
      <c r="N589" s="33"/>
      <c r="O589" s="33">
        <v>1</v>
      </c>
      <c r="P589" s="33">
        <f>VLOOKUP($C589,CHOOSE({1,2},怪物并表!$E$7:$E$1000,怪物并表!$D$7:$D$1000),2,FALSE)</f>
        <v>81</v>
      </c>
      <c r="Q589" s="33" t="s">
        <v>17</v>
      </c>
      <c r="R589" s="33">
        <f>VLOOKUP(Q589,怪物信息配置表!$A$2:$B$118,2,FALSE)</f>
        <v>1005</v>
      </c>
      <c r="S589" s="33">
        <v>1</v>
      </c>
      <c r="T589" s="110">
        <f>VLOOKUP($C589,怪物并表!$E$7:$N$1000,2+($D589-1)*3,FALSE)*S589*AJ589</f>
        <v>1011513.1568246683</v>
      </c>
      <c r="U589" s="110">
        <f>VLOOKUP($C589,怪物并表!$E$7:$N$1000,3+($D589-1)*3,FALSE)*S589*AK589</f>
        <v>97666.989088847113</v>
      </c>
      <c r="V589" s="110">
        <f>VLOOKUP($C589,怪物并表!$E$7:$N$1000,4+($D589-1)*3,FALSE)*S589*AL589</f>
        <v>15694.337908607373</v>
      </c>
      <c r="W589" s="33"/>
      <c r="X589" s="33"/>
      <c r="Y589" s="49">
        <f>VLOOKUP($C589,怪物并表!$E$7:$P$1000,12,FALSE)</f>
        <v>0</v>
      </c>
      <c r="Z589" s="49">
        <f>VLOOKUP($C589,怪物并表!$E$7:$P$1000,11,FALSE)*S589</f>
        <v>5058.0680000000002</v>
      </c>
      <c r="AA589" s="33"/>
      <c r="AB589" s="33"/>
      <c r="AC589" s="33"/>
      <c r="AD589" s="33">
        <f t="shared" si="73"/>
        <v>0.8</v>
      </c>
      <c r="AE589" s="2">
        <f t="shared" si="72"/>
        <v>230.5</v>
      </c>
      <c r="AF589" s="2" t="str">
        <f>IF(ISBLANK(AM589),IF(O589=6,"",IF(O589=1,VLOOKUP(R589,怪物信息配置表!B:H,5,FALSE),IF(O589=2,VLOOKUP(R589,怪物信息配置表!B:H,6,FALSE),IF(OR(O589=3,O589=5),VLOOKUP(R589,怪物信息配置表!B:H,7,FALSE),"")))),AM589)</f>
        <v>ai_monster_02</v>
      </c>
      <c r="AG589" s="2"/>
      <c r="AH589" s="15">
        <f>SUMPRODUCT(T589:V589,$AN$3:$AP$3)+ROUNDDOWN(VLOOKUP(P589,CHOOSE({1,2},'[1]消耗&amp;价值&amp;分析'!$C$7:$C$106,'[1]消耗&amp;价值&amp;分析'!$AS$7:$AS$106),2,FALSE)*0.6,0)</f>
        <v>166105.85327044124</v>
      </c>
      <c r="AJ589" s="80">
        <v>1</v>
      </c>
      <c r="AK589" s="80">
        <v>1</v>
      </c>
      <c r="AL589" s="80">
        <v>1</v>
      </c>
    </row>
    <row r="590" spans="1:38">
      <c r="A590" s="33" t="str">
        <f>怪物并表!$R$8</f>
        <v>精英副本</v>
      </c>
      <c r="B590" s="38">
        <v>3</v>
      </c>
      <c r="C590" s="33">
        <f t="shared" si="65"/>
        <v>8206</v>
      </c>
      <c r="D590" s="33">
        <v>1</v>
      </c>
      <c r="E590" s="33">
        <f>VLOOKUP(A590,怪物并表!$R$7:$S$14,2,FALSE)</f>
        <v>2</v>
      </c>
      <c r="F590" s="38">
        <v>8</v>
      </c>
      <c r="G590" s="38">
        <v>6</v>
      </c>
      <c r="H590" s="38">
        <v>0</v>
      </c>
      <c r="I590" s="33">
        <f t="shared" si="69"/>
        <v>286003</v>
      </c>
      <c r="J590" s="33" t="s">
        <v>7</v>
      </c>
      <c r="K590" s="33"/>
      <c r="L590" s="33">
        <v>0</v>
      </c>
      <c r="M590" s="33">
        <v>1</v>
      </c>
      <c r="N590" s="33"/>
      <c r="O590" s="33">
        <v>1</v>
      </c>
      <c r="P590" s="33">
        <f>VLOOKUP($C590,CHOOSE({1,2},怪物并表!$E$7:$E$1000,怪物并表!$D$7:$D$1000),2,FALSE)</f>
        <v>81</v>
      </c>
      <c r="Q590" s="33" t="s">
        <v>7</v>
      </c>
      <c r="R590" s="33">
        <f>VLOOKUP(Q590,怪物信息配置表!$A$2:$B$118,2,FALSE)</f>
        <v>1002</v>
      </c>
      <c r="S590" s="33">
        <v>1</v>
      </c>
      <c r="T590" s="110">
        <f>VLOOKUP($C590,怪物并表!$E$7:$N$1000,2+($D590-1)*3,FALSE)*S590*AJ590</f>
        <v>1264391.4460308354</v>
      </c>
      <c r="U590" s="110">
        <f>VLOOKUP($C590,怪物并表!$E$7:$N$1000,3+($D590-1)*3,FALSE)*S590*AK590</f>
        <v>106581.30418407611</v>
      </c>
      <c r="V590" s="110">
        <f>VLOOKUP($C590,怪物并表!$E$7:$N$1000,4+($D590-1)*3,FALSE)*S590*AL590</f>
        <v>19617.922385759211</v>
      </c>
      <c r="W590" s="33"/>
      <c r="X590" s="33"/>
      <c r="Y590" s="49">
        <f>VLOOKUP($C590,怪物并表!$E$7:$P$1000,12,FALSE)</f>
        <v>0</v>
      </c>
      <c r="Z590" s="49">
        <f>VLOOKUP($C590,怪物并表!$E$7:$P$1000,11,FALSE)*S590</f>
        <v>5058.0680000000002</v>
      </c>
      <c r="AA590" s="33"/>
      <c r="AB590" s="33"/>
      <c r="AC590" s="33"/>
      <c r="AD590" s="33">
        <f t="shared" si="73"/>
        <v>1</v>
      </c>
      <c r="AE590" s="2">
        <f t="shared" si="72"/>
        <v>50</v>
      </c>
      <c r="AF590" s="2" t="str">
        <f>IF(ISBLANK(AM590),IF(O590=6,"",IF(O590=1,VLOOKUP(R590,怪物信息配置表!B:H,5,FALSE),IF(O590=2,VLOOKUP(R590,怪物信息配置表!B:H,6,FALSE),IF(OR(O590=3,O590=5),VLOOKUP(R590,怪物信息配置表!B:H,7,FALSE),"")))),AM590)</f>
        <v>ai_monster</v>
      </c>
      <c r="AG590" s="2"/>
      <c r="AH590" s="15">
        <f>SUMPRODUCT(T590:V590,$AN$3:$AP$3)+ROUNDDOWN(VLOOKUP(P590,CHOOSE({1,2},'[1]消耗&amp;价值&amp;分析'!$C$7:$C$106,'[1]消耗&amp;价值&amp;分析'!$AS$7:$AS$106),2,FALSE)*0.6,0)</f>
        <v>189058.88441106875</v>
      </c>
      <c r="AJ590" s="80">
        <v>1</v>
      </c>
      <c r="AK590" s="80">
        <v>1</v>
      </c>
      <c r="AL590" s="80">
        <v>1</v>
      </c>
    </row>
    <row r="591" spans="1:38">
      <c r="A591" s="33" t="str">
        <f>怪物并表!$R$8</f>
        <v>精英副本</v>
      </c>
      <c r="B591" s="38">
        <v>4</v>
      </c>
      <c r="C591" s="33">
        <f t="shared" si="65"/>
        <v>8206</v>
      </c>
      <c r="D591" s="33">
        <v>3</v>
      </c>
      <c r="E591" s="33">
        <f>VLOOKUP(A591,怪物并表!$R$7:$S$14,2,FALSE)</f>
        <v>2</v>
      </c>
      <c r="F591" s="38">
        <v>8</v>
      </c>
      <c r="G591" s="38">
        <v>6</v>
      </c>
      <c r="H591" s="38">
        <v>0</v>
      </c>
      <c r="I591" s="33">
        <f t="shared" si="69"/>
        <v>286004</v>
      </c>
      <c r="J591" s="33" t="s">
        <v>622</v>
      </c>
      <c r="K591" s="33"/>
      <c r="L591" s="33">
        <v>1</v>
      </c>
      <c r="M591" s="33">
        <v>1.3</v>
      </c>
      <c r="N591" s="33"/>
      <c r="O591" s="33">
        <v>3</v>
      </c>
      <c r="P591" s="33">
        <f>VLOOKUP($C591,CHOOSE({1,2},怪物并表!$E$7:$E$1000,怪物并表!$D$7:$D$1000),2,FALSE)</f>
        <v>81</v>
      </c>
      <c r="Q591" s="33" t="s">
        <v>20</v>
      </c>
      <c r="R591" s="33">
        <f>VLOOKUP(Q591,怪物信息配置表!$A$2:$B$118,2,FALSE)</f>
        <v>1103</v>
      </c>
      <c r="S591" s="33">
        <v>1</v>
      </c>
      <c r="T591" s="110">
        <f>VLOOKUP($C591,怪物并表!$E$7:$N$1000,2+($D591-1)*3,FALSE)*S591*AJ591</f>
        <v>3160978.6150770886</v>
      </c>
      <c r="U591" s="110">
        <f>VLOOKUP($C591,怪物并表!$E$7:$N$1000,3+($D591-1)*3,FALSE)*S591*AK591</f>
        <v>124409.93437453415</v>
      </c>
      <c r="V591" s="110">
        <f>VLOOKUP($C591,怪物并表!$E$7:$N$1000,4+($D591-1)*3,FALSE)*S591*AL591</f>
        <v>23541.506862911046</v>
      </c>
      <c r="W591" s="33"/>
      <c r="X591" s="33"/>
      <c r="Y591" s="49">
        <f>VLOOKUP($C591,怪物并表!$E$7:$P$1000,12,FALSE)</f>
        <v>0</v>
      </c>
      <c r="Z591" s="49">
        <f>VLOOKUP($C591,怪物并表!$E$7:$P$1000,11,FALSE)*S591</f>
        <v>5058.0680000000002</v>
      </c>
      <c r="AA591" s="33"/>
      <c r="AB591" s="33"/>
      <c r="AC591" s="33"/>
      <c r="AD591" s="33">
        <f t="shared" si="73"/>
        <v>1.5</v>
      </c>
      <c r="AE591" s="2">
        <f t="shared" si="72"/>
        <v>50</v>
      </c>
      <c r="AF591" s="2" t="str">
        <f>IF(ISBLANK(AM591),IF(O591=6,"",IF(O591=1,VLOOKUP(R591,怪物信息配置表!B:H,5,FALSE),IF(O591=2,VLOOKUP(R591,怪物信息配置表!B:H,6,FALSE),IF(OR(O591=3,O591=5),VLOOKUP(R591,怪物信息配置表!B:H,7,FALSE),"")))),AM591)</f>
        <v>1103_situ_BOSS</v>
      </c>
      <c r="AG591" s="2"/>
      <c r="AH591" s="15">
        <f>SUMPRODUCT(T591:V591,$AN$3:$AP$3)+ROUNDDOWN(VLOOKUP(P591,CHOOSE({1,2},'[1]消耗&amp;价值&amp;分析'!$C$7:$C$106,'[1]消耗&amp;价值&amp;分析'!$AS$7:$AS$106),2,FALSE)*0.6,0)</f>
        <v>286674.58584052871</v>
      </c>
      <c r="AJ591" s="80">
        <v>1</v>
      </c>
      <c r="AK591" s="80">
        <v>1</v>
      </c>
      <c r="AL591" s="80">
        <v>1</v>
      </c>
    </row>
    <row r="592" spans="1:38">
      <c r="A592" s="33" t="str">
        <f>怪物并表!$R$8</f>
        <v>精英副本</v>
      </c>
      <c r="B592" s="38">
        <v>1</v>
      </c>
      <c r="C592" s="33">
        <f t="shared" ref="C592:C603" si="74">1000*F592+200+G592</f>
        <v>8207</v>
      </c>
      <c r="D592" s="33">
        <v>1</v>
      </c>
      <c r="E592" s="33">
        <f>VLOOKUP(A592,怪物并表!$R$7:$S$14,2,FALSE)</f>
        <v>2</v>
      </c>
      <c r="F592" s="38">
        <v>8</v>
      </c>
      <c r="G592" s="38">
        <v>7</v>
      </c>
      <c r="H592" s="38">
        <v>0</v>
      </c>
      <c r="I592" s="33">
        <f t="shared" si="69"/>
        <v>287001</v>
      </c>
      <c r="J592" s="33" t="s">
        <v>7</v>
      </c>
      <c r="K592" s="33"/>
      <c r="L592" s="33">
        <v>0</v>
      </c>
      <c r="M592" s="33">
        <v>1</v>
      </c>
      <c r="N592" s="33"/>
      <c r="O592" s="33">
        <v>1</v>
      </c>
      <c r="P592" s="33">
        <f>VLOOKUP($C592,CHOOSE({1,2},怪物并表!$E$7:$E$1000,怪物并表!$D$7:$D$1000),2,FALSE)</f>
        <v>82</v>
      </c>
      <c r="Q592" s="33" t="s">
        <v>7</v>
      </c>
      <c r="R592" s="33">
        <f>VLOOKUP(Q592,怪物信息配置表!$A$2:$B$118,2,FALSE)</f>
        <v>1002</v>
      </c>
      <c r="S592" s="33">
        <v>1</v>
      </c>
      <c r="T592" s="110">
        <f>VLOOKUP($C592,怪物并表!$E$7:$N$1000,2+($D592-1)*3,FALSE)*S592*AJ592</f>
        <v>1357603.3873047247</v>
      </c>
      <c r="U592" s="110">
        <f>VLOOKUP($C592,怪物并表!$E$7:$N$1000,3+($D592-1)*3,FALSE)*S592*AK592</f>
        <v>113840.25077429123</v>
      </c>
      <c r="V592" s="110">
        <f>VLOOKUP($C592,怪物并表!$E$7:$N$1000,4+($D592-1)*3,FALSE)*S592*AL592</f>
        <v>20973.630146953859</v>
      </c>
      <c r="W592" s="33"/>
      <c r="X592" s="33"/>
      <c r="Y592" s="49">
        <f>VLOOKUP($C592,怪物并表!$E$7:$P$1000,12,FALSE)</f>
        <v>0</v>
      </c>
      <c r="Z592" s="49">
        <f>VLOOKUP($C592,怪物并表!$E$7:$P$1000,11,FALSE)*S592</f>
        <v>5116.2960000000003</v>
      </c>
      <c r="AA592" s="33"/>
      <c r="AB592" s="33"/>
      <c r="AC592" s="33"/>
      <c r="AD592" s="33">
        <f t="shared" ref="AD592:AD603" si="75">IF(D592=1,1,IF(D592=2,0.8,1.5))</f>
        <v>1</v>
      </c>
      <c r="AE592" s="2">
        <f t="shared" si="72"/>
        <v>50</v>
      </c>
      <c r="AF592" s="2" t="str">
        <f>IF(ISBLANK(AM592),IF(O592=6,"",IF(O592=1,VLOOKUP(R592,怪物信息配置表!B:H,5,FALSE),IF(O592=2,VLOOKUP(R592,怪物信息配置表!B:H,6,FALSE),IF(OR(O592=3,O592=5),VLOOKUP(R592,怪物信息配置表!B:H,7,FALSE),"")))),AM592)</f>
        <v>ai_monster</v>
      </c>
      <c r="AG592" s="2"/>
      <c r="AH592" s="15">
        <f>SUMPRODUCT(T592:V592,$AN$3:$AP$3)+ROUNDDOWN(VLOOKUP(P592,CHOOSE({1,2},'[1]消耗&amp;价值&amp;分析'!$C$7:$C$106,'[1]消耗&amp;价值&amp;分析'!$AS$7:$AS$106),2,FALSE)*0.6,0)</f>
        <v>201402.01641343406</v>
      </c>
      <c r="AJ592" s="80">
        <v>1</v>
      </c>
      <c r="AK592" s="80">
        <v>1</v>
      </c>
      <c r="AL592" s="80">
        <v>1</v>
      </c>
    </row>
    <row r="593" spans="1:38">
      <c r="A593" s="33" t="str">
        <f>怪物并表!$R$8</f>
        <v>精英副本</v>
      </c>
      <c r="B593" s="38">
        <v>2</v>
      </c>
      <c r="C593" s="33">
        <f t="shared" si="74"/>
        <v>8207</v>
      </c>
      <c r="D593" s="33">
        <v>1</v>
      </c>
      <c r="E593" s="33">
        <f>VLOOKUP(A593,怪物并表!$R$7:$S$14,2,FALSE)</f>
        <v>2</v>
      </c>
      <c r="F593" s="38">
        <v>8</v>
      </c>
      <c r="G593" s="38">
        <v>7</v>
      </c>
      <c r="H593" s="38">
        <v>0</v>
      </c>
      <c r="I593" s="33">
        <f t="shared" si="69"/>
        <v>287002</v>
      </c>
      <c r="J593" s="33" t="s">
        <v>15</v>
      </c>
      <c r="K593" s="33"/>
      <c r="L593" s="33">
        <v>0</v>
      </c>
      <c r="M593" s="33">
        <v>1</v>
      </c>
      <c r="N593" s="33"/>
      <c r="O593" s="33">
        <v>1</v>
      </c>
      <c r="P593" s="33">
        <f>VLOOKUP($C593,CHOOSE({1,2},怪物并表!$E$7:$E$1000,怪物并表!$D$7:$D$1000),2,FALSE)</f>
        <v>82</v>
      </c>
      <c r="Q593" s="33" t="s">
        <v>15</v>
      </c>
      <c r="R593" s="33">
        <f>VLOOKUP(Q593,怪物信息配置表!$A$2:$B$118,2,FALSE)</f>
        <v>1004</v>
      </c>
      <c r="S593" s="33">
        <v>1</v>
      </c>
      <c r="T593" s="110">
        <f>VLOOKUP($C593,怪物并表!$E$7:$N$1000,2+($D593-1)*3,FALSE)*S593*AJ593</f>
        <v>1357603.3873047247</v>
      </c>
      <c r="U593" s="110">
        <f>VLOOKUP($C593,怪物并表!$E$7:$N$1000,3+($D593-1)*3,FALSE)*S593*AK593</f>
        <v>113840.25077429123</v>
      </c>
      <c r="V593" s="110">
        <f>VLOOKUP($C593,怪物并表!$E$7:$N$1000,4+($D593-1)*3,FALSE)*S593*AL593</f>
        <v>20973.630146953859</v>
      </c>
      <c r="W593" s="33"/>
      <c r="X593" s="33"/>
      <c r="Y593" s="49">
        <f>VLOOKUP($C593,怪物并表!$E$7:$P$1000,12,FALSE)</f>
        <v>0</v>
      </c>
      <c r="Z593" s="49">
        <f>VLOOKUP($C593,怪物并表!$E$7:$P$1000,11,FALSE)*S593</f>
        <v>5116.2960000000003</v>
      </c>
      <c r="AA593" s="33"/>
      <c r="AB593" s="33"/>
      <c r="AC593" s="33"/>
      <c r="AD593" s="33">
        <f t="shared" si="75"/>
        <v>1</v>
      </c>
      <c r="AE593" s="2">
        <f t="shared" si="72"/>
        <v>50</v>
      </c>
      <c r="AF593" s="2" t="str">
        <f>IF(ISBLANK(AM593),IF(O593=6,"",IF(O593=1,VLOOKUP(R593,怪物信息配置表!B:H,5,FALSE),IF(O593=2,VLOOKUP(R593,怪物信息配置表!B:H,6,FALSE),IF(OR(O593=3,O593=5),VLOOKUP(R593,怪物信息配置表!B:H,7,FALSE),"")))),AM593)</f>
        <v>ai_monster</v>
      </c>
      <c r="AG593" s="2"/>
      <c r="AH593" s="15">
        <f>SUMPRODUCT(T593:V593,$AN$3:$AP$3)+ROUNDDOWN(VLOOKUP(P593,CHOOSE({1,2},'[1]消耗&amp;价值&amp;分析'!$C$7:$C$106,'[1]消耗&amp;价值&amp;分析'!$AS$7:$AS$106),2,FALSE)*0.6,0)</f>
        <v>201402.01641343406</v>
      </c>
      <c r="AJ593" s="80">
        <v>1</v>
      </c>
      <c r="AK593" s="80">
        <v>1</v>
      </c>
      <c r="AL593" s="80">
        <v>1</v>
      </c>
    </row>
    <row r="594" spans="1:38">
      <c r="A594" s="33" t="str">
        <f>怪物并表!$R$8</f>
        <v>精英副本</v>
      </c>
      <c r="B594" s="38">
        <v>3</v>
      </c>
      <c r="C594" s="33">
        <f t="shared" si="74"/>
        <v>8207</v>
      </c>
      <c r="D594" s="33">
        <v>2</v>
      </c>
      <c r="E594" s="33">
        <f>VLOOKUP(A594,怪物并表!$R$7:$S$14,2,FALSE)</f>
        <v>2</v>
      </c>
      <c r="F594" s="38">
        <v>8</v>
      </c>
      <c r="G594" s="38">
        <v>7</v>
      </c>
      <c r="H594" s="38">
        <v>0</v>
      </c>
      <c r="I594" s="33">
        <f t="shared" si="69"/>
        <v>287003</v>
      </c>
      <c r="J594" s="33" t="s">
        <v>501</v>
      </c>
      <c r="K594" s="33"/>
      <c r="L594" s="33">
        <v>0</v>
      </c>
      <c r="M594" s="33">
        <v>1</v>
      </c>
      <c r="N594" s="33"/>
      <c r="O594" s="33">
        <v>1</v>
      </c>
      <c r="P594" s="33">
        <f>VLOOKUP($C594,CHOOSE({1,2},怪物并表!$E$7:$E$1000,怪物并表!$D$7:$D$1000),2,FALSE)</f>
        <v>82</v>
      </c>
      <c r="Q594" s="33" t="s">
        <v>17</v>
      </c>
      <c r="R594" s="33">
        <f>VLOOKUP(Q594,怪物信息配置表!$A$2:$B$118,2,FALSE)</f>
        <v>1005</v>
      </c>
      <c r="S594" s="33">
        <v>1</v>
      </c>
      <c r="T594" s="110">
        <f>VLOOKUP($C594,怪物并表!$E$7:$N$1000,2+($D594-1)*3,FALSE)*S594*AJ594</f>
        <v>1086082.7098437797</v>
      </c>
      <c r="U594" s="110">
        <f>VLOOKUP($C594,怪物并表!$E$7:$N$1000,3+($D594-1)*3,FALSE)*S594*AK594</f>
        <v>104280.01962268419</v>
      </c>
      <c r="V594" s="110">
        <f>VLOOKUP($C594,怪物并表!$E$7:$N$1000,4+($D594-1)*3,FALSE)*S594*AL594</f>
        <v>16961.283510145295</v>
      </c>
      <c r="W594" s="33"/>
      <c r="X594" s="33"/>
      <c r="Y594" s="49">
        <f>VLOOKUP($C594,怪物并表!$E$7:$P$1000,12,FALSE)</f>
        <v>0</v>
      </c>
      <c r="Z594" s="49">
        <f>VLOOKUP($C594,怪物并表!$E$7:$P$1000,11,FALSE)*S594</f>
        <v>5116.2960000000003</v>
      </c>
      <c r="AA594" s="33"/>
      <c r="AB594" s="33"/>
      <c r="AC594" s="33"/>
      <c r="AD594" s="33">
        <f t="shared" si="75"/>
        <v>0.8</v>
      </c>
      <c r="AE594" s="2">
        <f t="shared" si="72"/>
        <v>221</v>
      </c>
      <c r="AF594" s="2" t="str">
        <f>IF(ISBLANK(AM594),IF(O594=6,"",IF(O594=1,VLOOKUP(R594,怪物信息配置表!B:H,5,FALSE),IF(O594=2,VLOOKUP(R594,怪物信息配置表!B:H,6,FALSE),IF(OR(O594=3,O594=5),VLOOKUP(R594,怪物信息配置表!B:H,7,FALSE),"")))),AM594)</f>
        <v>ai_monster_02</v>
      </c>
      <c r="AG594" s="2"/>
      <c r="AH594" s="15">
        <f>SUMPRODUCT(T594:V594,$AN$3:$AP$3)+ROUNDDOWN(VLOOKUP(P594,CHOOSE({1,2},'[1]消耗&amp;价值&amp;分析'!$C$7:$C$106,'[1]消耗&amp;价值&amp;分析'!$AS$7:$AS$106),2,FALSE)*0.6,0)</f>
        <v>176968.61152658067</v>
      </c>
      <c r="AJ594" s="80">
        <v>1</v>
      </c>
      <c r="AK594" s="80">
        <v>1</v>
      </c>
      <c r="AL594" s="80">
        <v>1</v>
      </c>
    </row>
    <row r="595" spans="1:38">
      <c r="A595" s="33" t="str">
        <f>怪物并表!$R$8</f>
        <v>精英副本</v>
      </c>
      <c r="B595" s="38">
        <v>4</v>
      </c>
      <c r="C595" s="33">
        <f t="shared" si="74"/>
        <v>8207</v>
      </c>
      <c r="D595" s="33">
        <v>3</v>
      </c>
      <c r="E595" s="33">
        <f>VLOOKUP(A595,怪物并表!$R$7:$S$14,2,FALSE)</f>
        <v>2</v>
      </c>
      <c r="F595" s="38">
        <v>8</v>
      </c>
      <c r="G595" s="38">
        <v>7</v>
      </c>
      <c r="H595" s="38">
        <v>0</v>
      </c>
      <c r="I595" s="33">
        <f t="shared" si="69"/>
        <v>287004</v>
      </c>
      <c r="J595" s="33" t="s">
        <v>250</v>
      </c>
      <c r="K595" s="33"/>
      <c r="L595" s="33">
        <v>1</v>
      </c>
      <c r="M595" s="33">
        <v>1.3</v>
      </c>
      <c r="N595" s="33"/>
      <c r="O595" s="33">
        <v>3</v>
      </c>
      <c r="P595" s="33">
        <f>VLOOKUP($C595,CHOOSE({1,2},怪物并表!$E$7:$E$1000,怪物并表!$D$7:$D$1000),2,FALSE)</f>
        <v>82</v>
      </c>
      <c r="Q595" s="33" t="s">
        <v>18</v>
      </c>
      <c r="R595" s="33">
        <f>VLOOKUP(Q595,怪物信息配置表!$A$2:$B$118,2,FALSE)</f>
        <v>1006</v>
      </c>
      <c r="S595" s="33">
        <v>1</v>
      </c>
      <c r="T595" s="110">
        <f>VLOOKUP($C595,怪物并表!$E$7:$N$1000,2+($D595-1)*3,FALSE)*S595*AJ595</f>
        <v>3394008.4682618114</v>
      </c>
      <c r="U595" s="110">
        <f>VLOOKUP($C595,怪物并表!$E$7:$N$1000,3+($D595-1)*3,FALSE)*S595*AK595</f>
        <v>132960.71307750532</v>
      </c>
      <c r="V595" s="110">
        <f>VLOOKUP($C595,怪物并表!$E$7:$N$1000,4+($D595-1)*3,FALSE)*S595*AL595</f>
        <v>24985.97678376242</v>
      </c>
      <c r="W595" s="33"/>
      <c r="X595" s="33"/>
      <c r="Y595" s="49">
        <f>VLOOKUP($C595,怪物并表!$E$7:$P$1000,12,FALSE)</f>
        <v>0</v>
      </c>
      <c r="Z595" s="49">
        <f>VLOOKUP($C595,怪物并表!$E$7:$P$1000,11,FALSE)*S595</f>
        <v>5116.2960000000003</v>
      </c>
      <c r="AA595" s="33"/>
      <c r="AB595" s="33"/>
      <c r="AC595" s="33"/>
      <c r="AD595" s="33">
        <f t="shared" si="75"/>
        <v>1.5</v>
      </c>
      <c r="AE595" s="2">
        <f t="shared" si="72"/>
        <v>50</v>
      </c>
      <c r="AF595" s="2" t="str">
        <f>IF(ISBLANK(AM595),IF(O595=6,"",IF(O595=1,VLOOKUP(R595,怪物信息配置表!B:H,5,FALSE),IF(O595=2,VLOOKUP(R595,怪物信息配置表!B:H,6,FALSE),IF(OR(O595=3,O595=5),VLOOKUP(R595,怪物信息配置表!B:H,7,FALSE),"")))),AM595)</f>
        <v>1006_jingcha_BOSS</v>
      </c>
      <c r="AG595" s="2"/>
      <c r="AH595" s="15">
        <f>SUMPRODUCT(T595:V595,$AN$3:$AP$3)+ROUNDDOWN(VLOOKUP(P595,CHOOSE({1,2},'[1]消耗&amp;价值&amp;分析'!$C$7:$C$106,'[1]消耗&amp;价值&amp;分析'!$AS$7:$AS$106),2,FALSE)*0.6,0)</f>
        <v>305991.02859174018</v>
      </c>
      <c r="AJ595" s="80">
        <v>1</v>
      </c>
      <c r="AK595" s="80">
        <v>1</v>
      </c>
      <c r="AL595" s="80">
        <v>1</v>
      </c>
    </row>
    <row r="596" spans="1:38">
      <c r="A596" s="33" t="str">
        <f>怪物并表!$R$8</f>
        <v>精英副本</v>
      </c>
      <c r="B596" s="38">
        <v>1</v>
      </c>
      <c r="C596" s="33">
        <f t="shared" si="74"/>
        <v>8208</v>
      </c>
      <c r="D596" s="33">
        <v>1</v>
      </c>
      <c r="E596" s="33">
        <f>VLOOKUP(A596,怪物并表!$R$7:$S$14,2,FALSE)</f>
        <v>2</v>
      </c>
      <c r="F596" s="38">
        <v>8</v>
      </c>
      <c r="G596" s="38">
        <v>8</v>
      </c>
      <c r="H596" s="38">
        <v>0</v>
      </c>
      <c r="I596" s="33">
        <f t="shared" si="69"/>
        <v>288001</v>
      </c>
      <c r="J596" s="33" t="s">
        <v>248</v>
      </c>
      <c r="K596" s="33"/>
      <c r="L596" s="33">
        <v>0</v>
      </c>
      <c r="M596" s="33">
        <v>1</v>
      </c>
      <c r="N596" s="33"/>
      <c r="O596" s="33">
        <v>1</v>
      </c>
      <c r="P596" s="33">
        <f>VLOOKUP($C596,CHOOSE({1,2},怪物并表!$E$7:$E$1000,怪物并表!$D$7:$D$1000),2,FALSE)</f>
        <v>83</v>
      </c>
      <c r="Q596" s="33" t="s">
        <v>10</v>
      </c>
      <c r="R596" s="33">
        <f>VLOOKUP(Q596,怪物信息配置表!$A$2:$B$118,2,FALSE)</f>
        <v>1001</v>
      </c>
      <c r="S596" s="33">
        <v>1</v>
      </c>
      <c r="T596" s="110">
        <f>VLOOKUP($C596,怪物并表!$E$7:$N$1000,2+($D596-1)*3,FALSE)*S596*AJ596</f>
        <v>1455981.9492732869</v>
      </c>
      <c r="U596" s="110">
        <f>VLOOKUP($C596,怪物并表!$E$7:$N$1000,3+($D596-1)*3,FALSE)*S596*AK596</f>
        <v>130044.99225014028</v>
      </c>
      <c r="V596" s="110">
        <f>VLOOKUP($C596,怪物并表!$E$7:$N$1000,4+($D596-1)*3,FALSE)*S596*AL596</f>
        <v>22395.081845558536</v>
      </c>
      <c r="W596" s="33"/>
      <c r="X596" s="33"/>
      <c r="Y596" s="49">
        <f>VLOOKUP($C596,怪物并表!$E$7:$P$1000,12,FALSE)</f>
        <v>0</v>
      </c>
      <c r="Z596" s="49">
        <f>VLOOKUP($C596,怪物并表!$E$7:$P$1000,11,FALSE)*S596</f>
        <v>5174.5240000000003</v>
      </c>
      <c r="AA596" s="33"/>
      <c r="AB596" s="33"/>
      <c r="AC596" s="33"/>
      <c r="AD596" s="33">
        <f t="shared" si="75"/>
        <v>1</v>
      </c>
      <c r="AE596" s="2">
        <f t="shared" si="72"/>
        <v>50</v>
      </c>
      <c r="AF596" s="2" t="str">
        <f>IF(ISBLANK(AM596),IF(O596=6,"",IF(O596=1,VLOOKUP(R596,怪物信息配置表!B:H,5,FALSE),IF(O596=2,VLOOKUP(R596,怪物信息配置表!B:H,6,FALSE),IF(OR(O596=3,O596=5),VLOOKUP(R596,怪物信息配置表!B:H,7,FALSE),"")))),AM596)</f>
        <v>ai_monster</v>
      </c>
      <c r="AG596" s="2"/>
      <c r="AH596" s="15">
        <f>SUMPRODUCT(T596:V596,$AN$3:$AP$3)+ROUNDDOWN(VLOOKUP(P596,CHOOSE({1,2},'[1]消耗&amp;价值&amp;分析'!$C$7:$C$106,'[1]消耗&amp;价值&amp;分析'!$AS$7:$AS$106),2,FALSE)*0.6,0)</f>
        <v>222963.35206663029</v>
      </c>
      <c r="AJ596" s="80">
        <v>1</v>
      </c>
      <c r="AK596" s="80">
        <v>1</v>
      </c>
      <c r="AL596" s="80">
        <v>1</v>
      </c>
    </row>
    <row r="597" spans="1:38">
      <c r="A597" s="33" t="str">
        <f>怪物并表!$R$8</f>
        <v>精英副本</v>
      </c>
      <c r="B597" s="38">
        <v>2</v>
      </c>
      <c r="C597" s="33">
        <f t="shared" si="74"/>
        <v>8208</v>
      </c>
      <c r="D597" s="33">
        <v>1</v>
      </c>
      <c r="E597" s="33">
        <f>VLOOKUP(A597,怪物并表!$R$7:$S$14,2,FALSE)</f>
        <v>2</v>
      </c>
      <c r="F597" s="38">
        <v>8</v>
      </c>
      <c r="G597" s="38">
        <v>8</v>
      </c>
      <c r="H597" s="38">
        <v>0</v>
      </c>
      <c r="I597" s="33">
        <f t="shared" si="69"/>
        <v>288002</v>
      </c>
      <c r="J597" s="33" t="s">
        <v>14</v>
      </c>
      <c r="K597" s="33"/>
      <c r="L597" s="33">
        <v>0</v>
      </c>
      <c r="M597" s="33">
        <v>1</v>
      </c>
      <c r="N597" s="33"/>
      <c r="O597" s="33">
        <v>1</v>
      </c>
      <c r="P597" s="33">
        <f>VLOOKUP($C597,CHOOSE({1,2},怪物并表!$E$7:$E$1000,怪物并表!$D$7:$D$1000),2,FALSE)</f>
        <v>83</v>
      </c>
      <c r="Q597" s="33" t="s">
        <v>14</v>
      </c>
      <c r="R597" s="33">
        <f>VLOOKUP(Q597,怪物信息配置表!$A$2:$B$118,2,FALSE)</f>
        <v>1010</v>
      </c>
      <c r="S597" s="33">
        <v>1</v>
      </c>
      <c r="T597" s="110">
        <f>VLOOKUP($C597,怪物并表!$E$7:$N$1000,2+($D597-1)*3,FALSE)*S597*AJ597</f>
        <v>1455981.9492732869</v>
      </c>
      <c r="U597" s="110">
        <f>VLOOKUP($C597,怪物并表!$E$7:$N$1000,3+($D597-1)*3,FALSE)*S597*AK597</f>
        <v>130044.99225014028</v>
      </c>
      <c r="V597" s="110">
        <f>VLOOKUP($C597,怪物并表!$E$7:$N$1000,4+($D597-1)*3,FALSE)*S597*AL597</f>
        <v>22395.081845558536</v>
      </c>
      <c r="W597" s="33"/>
      <c r="X597" s="33"/>
      <c r="Y597" s="49">
        <f>VLOOKUP($C597,怪物并表!$E$7:$P$1000,12,FALSE)</f>
        <v>0</v>
      </c>
      <c r="Z597" s="49">
        <f>VLOOKUP($C597,怪物并表!$E$7:$P$1000,11,FALSE)*S597</f>
        <v>5174.5240000000003</v>
      </c>
      <c r="AA597" s="33"/>
      <c r="AB597" s="33"/>
      <c r="AC597" s="33"/>
      <c r="AD597" s="33">
        <f t="shared" si="75"/>
        <v>1</v>
      </c>
      <c r="AE597" s="2">
        <f t="shared" si="72"/>
        <v>50</v>
      </c>
      <c r="AF597" s="2" t="str">
        <f>IF(ISBLANK(AM597),IF(O597=6,"",IF(O597=1,VLOOKUP(R597,怪物信息配置表!B:H,5,FALSE),IF(O597=2,VLOOKUP(R597,怪物信息配置表!B:H,6,FALSE),IF(OR(O597=3,O597=5),VLOOKUP(R597,怪物信息配置表!B:H,7,FALSE),"")))),AM597)</f>
        <v>ai_monster</v>
      </c>
      <c r="AG597" s="2"/>
      <c r="AH597" s="15">
        <f>SUMPRODUCT(T597:V597,$AN$3:$AP$3)+ROUNDDOWN(VLOOKUP(P597,CHOOSE({1,2},'[1]消耗&amp;价值&amp;分析'!$C$7:$C$106,'[1]消耗&amp;价值&amp;分析'!$AS$7:$AS$106),2,FALSE)*0.6,0)</f>
        <v>222963.35206663029</v>
      </c>
      <c r="AJ597" s="80">
        <v>1</v>
      </c>
      <c r="AK597" s="80">
        <v>1</v>
      </c>
      <c r="AL597" s="80">
        <v>1</v>
      </c>
    </row>
    <row r="598" spans="1:38">
      <c r="A598" s="33" t="str">
        <f>怪物并表!$R$8</f>
        <v>精英副本</v>
      </c>
      <c r="B598" s="38">
        <v>3</v>
      </c>
      <c r="C598" s="33">
        <f t="shared" si="74"/>
        <v>8208</v>
      </c>
      <c r="D598" s="33">
        <v>1</v>
      </c>
      <c r="E598" s="33">
        <f>VLOOKUP(A598,怪物并表!$R$7:$S$14,2,FALSE)</f>
        <v>2</v>
      </c>
      <c r="F598" s="38">
        <v>8</v>
      </c>
      <c r="G598" s="38">
        <v>8</v>
      </c>
      <c r="H598" s="38">
        <v>0</v>
      </c>
      <c r="I598" s="33">
        <f t="shared" si="69"/>
        <v>288003</v>
      </c>
      <c r="J598" s="33" t="s">
        <v>462</v>
      </c>
      <c r="K598" s="33"/>
      <c r="L598" s="33">
        <v>0</v>
      </c>
      <c r="M598" s="33">
        <v>1</v>
      </c>
      <c r="N598" s="33"/>
      <c r="O598" s="33">
        <v>1</v>
      </c>
      <c r="P598" s="33">
        <f>VLOOKUP($C598,CHOOSE({1,2},怪物并表!$E$7:$E$1000,怪物并表!$D$7:$D$1000),2,FALSE)</f>
        <v>83</v>
      </c>
      <c r="Q598" s="33" t="s">
        <v>11</v>
      </c>
      <c r="R598" s="33">
        <f>VLOOKUP(Q598,怪物信息配置表!$A$2:$B$118,2,FALSE)</f>
        <v>1011</v>
      </c>
      <c r="S598" s="33">
        <v>1</v>
      </c>
      <c r="T598" s="110">
        <f>VLOOKUP($C598,怪物并表!$E$7:$N$1000,2+($D598-1)*3,FALSE)*S598*AJ598</f>
        <v>1455981.9492732869</v>
      </c>
      <c r="U598" s="110">
        <f>VLOOKUP($C598,怪物并表!$E$7:$N$1000,3+($D598-1)*3,FALSE)*S598*AK598</f>
        <v>130044.99225014028</v>
      </c>
      <c r="V598" s="110">
        <f>VLOOKUP($C598,怪物并表!$E$7:$N$1000,4+($D598-1)*3,FALSE)*S598*AL598</f>
        <v>22395.081845558536</v>
      </c>
      <c r="W598" s="33"/>
      <c r="X598" s="33"/>
      <c r="Y598" s="49">
        <f>VLOOKUP($C598,怪物并表!$E$7:$P$1000,12,FALSE)</f>
        <v>0</v>
      </c>
      <c r="Z598" s="49">
        <f>VLOOKUP($C598,怪物并表!$E$7:$P$1000,11,FALSE)*S598</f>
        <v>5174.5240000000003</v>
      </c>
      <c r="AA598" s="33"/>
      <c r="AB598" s="33"/>
      <c r="AC598" s="33"/>
      <c r="AD598" s="33">
        <f t="shared" si="75"/>
        <v>1</v>
      </c>
      <c r="AE598" s="2">
        <f t="shared" si="72"/>
        <v>50</v>
      </c>
      <c r="AF598" s="2" t="str">
        <f>IF(ISBLANK(AM598),IF(O598=6,"",IF(O598=1,VLOOKUP(R598,怪物信息配置表!B:H,5,FALSE),IF(O598=2,VLOOKUP(R598,怪物信息配置表!B:H,6,FALSE),IF(OR(O598=3,O598=5),VLOOKUP(R598,怪物信息配置表!B:H,7,FALSE),"")))),AM598)</f>
        <v>ai_monster</v>
      </c>
      <c r="AG598" s="2"/>
      <c r="AH598" s="15">
        <f>SUMPRODUCT(T598:V598,$AN$3:$AP$3)+ROUNDDOWN(VLOOKUP(P598,CHOOSE({1,2},'[1]消耗&amp;价值&amp;分析'!$C$7:$C$106,'[1]消耗&amp;价值&amp;分析'!$AS$7:$AS$106),2,FALSE)*0.6,0)</f>
        <v>222963.35206663029</v>
      </c>
      <c r="AJ598" s="80">
        <v>1</v>
      </c>
      <c r="AK598" s="80">
        <v>1</v>
      </c>
      <c r="AL598" s="80">
        <v>1</v>
      </c>
    </row>
    <row r="599" spans="1:38">
      <c r="A599" s="33" t="str">
        <f>怪物并表!$R$8</f>
        <v>精英副本</v>
      </c>
      <c r="B599" s="38">
        <v>4</v>
      </c>
      <c r="C599" s="33">
        <f t="shared" si="74"/>
        <v>8208</v>
      </c>
      <c r="D599" s="33">
        <v>3</v>
      </c>
      <c r="E599" s="33">
        <f>VLOOKUP(A599,怪物并表!$R$7:$S$14,2,FALSE)</f>
        <v>2</v>
      </c>
      <c r="F599" s="38">
        <v>8</v>
      </c>
      <c r="G599" s="38">
        <v>8</v>
      </c>
      <c r="H599" s="38">
        <v>0</v>
      </c>
      <c r="I599" s="33">
        <f t="shared" si="69"/>
        <v>288004</v>
      </c>
      <c r="J599" s="33" t="s">
        <v>517</v>
      </c>
      <c r="K599" s="33"/>
      <c r="L599" s="33">
        <v>1</v>
      </c>
      <c r="M599" s="33">
        <v>1.3</v>
      </c>
      <c r="N599" s="33"/>
      <c r="O599" s="33">
        <v>3</v>
      </c>
      <c r="P599" s="33">
        <f>VLOOKUP($C599,CHOOSE({1,2},怪物并表!$E$7:$E$1000,怪物并表!$D$7:$D$1000),2,FALSE)</f>
        <v>83</v>
      </c>
      <c r="Q599" s="33" t="s">
        <v>398</v>
      </c>
      <c r="R599" s="33">
        <f>VLOOKUP(Q599,怪物信息配置表!$A$2:$B$118,2,FALSE)</f>
        <v>1108</v>
      </c>
      <c r="S599" s="33">
        <v>1</v>
      </c>
      <c r="T599" s="110">
        <f>VLOOKUP($C599,怪物并表!$E$7:$N$1000,2+($D599-1)*3,FALSE)*S599*AJ599</f>
        <v>3639954.8731832169</v>
      </c>
      <c r="U599" s="110">
        <f>VLOOKUP($C599,怪物并表!$E$7:$N$1000,3+($D599-1)*3,FALSE)*S599*AK599</f>
        <v>152242.06187539242</v>
      </c>
      <c r="V599" s="110">
        <f>VLOOKUP($C599,怪物并表!$E$7:$N$1000,4+($D599-1)*3,FALSE)*S599*AL599</f>
        <v>26492.905332192651</v>
      </c>
      <c r="W599" s="33"/>
      <c r="X599" s="33"/>
      <c r="Y599" s="49">
        <f>VLOOKUP($C599,怪物并表!$E$7:$P$1000,12,FALSE)</f>
        <v>0</v>
      </c>
      <c r="Z599" s="49">
        <f>VLOOKUP($C599,怪物并表!$E$7:$P$1000,11,FALSE)*S599</f>
        <v>5174.5240000000003</v>
      </c>
      <c r="AA599" s="33"/>
      <c r="AB599" s="33"/>
      <c r="AC599" s="33"/>
      <c r="AD599" s="33">
        <f t="shared" si="75"/>
        <v>1.5</v>
      </c>
      <c r="AE599" s="2">
        <f t="shared" si="72"/>
        <v>50</v>
      </c>
      <c r="AF599" s="2" t="str">
        <f>IF(ISBLANK(AM599),IF(O599=6,"",IF(O599=1,VLOOKUP(R599,怪物信息配置表!B:H,5,FALSE),IF(O599=2,VLOOKUP(R599,怪物信息配置表!B:H,6,FALSE),IF(OR(O599=3,O599=5),VLOOKUP(R599,怪物信息配置表!B:H,7,FALSE),"")))),AM599)</f>
        <v>1108_shanji_BOSS</v>
      </c>
      <c r="AG599" s="2"/>
      <c r="AH599" s="15">
        <f>SUMPRODUCT(T599:V599,$AN$3:$AP$3)+ROUNDDOWN(VLOOKUP(P599,CHOOSE({1,2},'[1]消耗&amp;价值&amp;分析'!$C$7:$C$106,'[1]消耗&amp;价值&amp;分析'!$AS$7:$AS$106),2,FALSE)*0.6,0)</f>
        <v>336617.16213491373</v>
      </c>
      <c r="AJ599" s="80">
        <v>1</v>
      </c>
      <c r="AK599" s="80">
        <v>1</v>
      </c>
      <c r="AL599" s="80">
        <v>1</v>
      </c>
    </row>
    <row r="600" spans="1:38">
      <c r="A600" s="33" t="str">
        <f>怪物并表!$R$8</f>
        <v>精英副本</v>
      </c>
      <c r="B600" s="38">
        <v>1</v>
      </c>
      <c r="C600" s="33">
        <f t="shared" si="74"/>
        <v>8209</v>
      </c>
      <c r="D600" s="33">
        <v>1</v>
      </c>
      <c r="E600" s="33">
        <f>VLOOKUP(A600,怪物并表!$R$7:$S$14,2,FALSE)</f>
        <v>2</v>
      </c>
      <c r="F600" s="38">
        <v>8</v>
      </c>
      <c r="G600" s="38">
        <v>9</v>
      </c>
      <c r="H600" s="38">
        <v>0</v>
      </c>
      <c r="I600" s="33">
        <f t="shared" si="69"/>
        <v>289001</v>
      </c>
      <c r="J600" s="33" t="s">
        <v>42</v>
      </c>
      <c r="K600" s="33"/>
      <c r="L600" s="33">
        <v>0</v>
      </c>
      <c r="M600" s="33">
        <v>1</v>
      </c>
      <c r="N600" s="33"/>
      <c r="O600" s="33">
        <v>1</v>
      </c>
      <c r="P600" s="33">
        <f>VLOOKUP($C600,CHOOSE({1,2},怪物并表!$E$7:$E$1000,怪物并表!$D$7:$D$1000),2,FALSE)</f>
        <v>84</v>
      </c>
      <c r="Q600" s="33" t="s">
        <v>12</v>
      </c>
      <c r="R600" s="33">
        <f>VLOOKUP(Q600,怪物信息配置表!$A$2:$B$118,2,FALSE)</f>
        <v>1009</v>
      </c>
      <c r="S600" s="33">
        <v>1</v>
      </c>
      <c r="T600" s="110">
        <f>VLOOKUP($C600,怪物并表!$E$7:$N$1000,2+($D600-1)*3,FALSE)*S600*AJ600</f>
        <v>1559728.1506936727</v>
      </c>
      <c r="U600" s="110">
        <f>VLOOKUP($C600,怪物并表!$E$7:$N$1000,3+($D600-1)*3,FALSE)*S600*AK600</f>
        <v>138745.87804307698</v>
      </c>
      <c r="V600" s="110">
        <f>VLOOKUP($C600,怪物并表!$E$7:$N$1000,4+($D600-1)*3,FALSE)*S600*AL600</f>
        <v>23884.241274092314</v>
      </c>
      <c r="W600" s="33"/>
      <c r="X600" s="33"/>
      <c r="Y600" s="49">
        <f>VLOOKUP($C600,怪物并表!$E$7:$P$1000,12,FALSE)</f>
        <v>0</v>
      </c>
      <c r="Z600" s="49">
        <f>VLOOKUP($C600,怪物并表!$E$7:$P$1000,11,FALSE)*S600</f>
        <v>5232.7520000000004</v>
      </c>
      <c r="AA600" s="33"/>
      <c r="AB600" s="33"/>
      <c r="AC600" s="33"/>
      <c r="AD600" s="33">
        <f t="shared" si="75"/>
        <v>1</v>
      </c>
      <c r="AE600" s="2">
        <f t="shared" si="72"/>
        <v>50</v>
      </c>
      <c r="AF600" s="2" t="str">
        <f>IF(ISBLANK(AM600),IF(O600=6,"",IF(O600=1,VLOOKUP(R600,怪物信息配置表!B:H,5,FALSE),IF(O600=2,VLOOKUP(R600,怪物信息配置表!B:H,6,FALSE),IF(OR(O600=3,O600=5),VLOOKUP(R600,怪物信息配置表!B:H,7,FALSE),"")))),AM600)</f>
        <v>ai_monster</v>
      </c>
      <c r="AG600" s="2"/>
      <c r="AH600" s="15">
        <f>SUMPRODUCT(T600:V600,$AN$3:$AP$3)+ROUNDDOWN(VLOOKUP(P600,CHOOSE({1,2},'[1]消耗&amp;价值&amp;分析'!$C$7:$C$106,'[1]消耗&amp;价值&amp;分析'!$AS$7:$AS$106),2,FALSE)*0.6,0)</f>
        <v>237303.24534491621</v>
      </c>
      <c r="AJ600" s="80">
        <v>1</v>
      </c>
      <c r="AK600" s="80">
        <v>1</v>
      </c>
      <c r="AL600" s="80">
        <v>1</v>
      </c>
    </row>
    <row r="601" spans="1:38">
      <c r="A601" s="33" t="str">
        <f>怪物并表!$R$8</f>
        <v>精英副本</v>
      </c>
      <c r="B601" s="38">
        <v>2</v>
      </c>
      <c r="C601" s="33">
        <f t="shared" si="74"/>
        <v>8209</v>
      </c>
      <c r="D601" s="33">
        <v>2</v>
      </c>
      <c r="E601" s="33">
        <f>VLOOKUP(A601,怪物并表!$R$7:$S$14,2,FALSE)</f>
        <v>2</v>
      </c>
      <c r="F601" s="38">
        <v>8</v>
      </c>
      <c r="G601" s="38">
        <v>9</v>
      </c>
      <c r="H601" s="38">
        <v>0</v>
      </c>
      <c r="I601" s="33">
        <f t="shared" si="69"/>
        <v>289002</v>
      </c>
      <c r="J601" s="33" t="s">
        <v>501</v>
      </c>
      <c r="K601" s="33"/>
      <c r="L601" s="33">
        <v>0</v>
      </c>
      <c r="M601" s="33">
        <v>1</v>
      </c>
      <c r="N601" s="33"/>
      <c r="O601" s="33">
        <v>1</v>
      </c>
      <c r="P601" s="33">
        <f>VLOOKUP($C601,CHOOSE({1,2},怪物并表!$E$7:$E$1000,怪物并表!$D$7:$D$1000),2,FALSE)</f>
        <v>84</v>
      </c>
      <c r="Q601" s="33" t="s">
        <v>17</v>
      </c>
      <c r="R601" s="33">
        <f>VLOOKUP(Q601,怪物信息配置表!$A$2:$B$118,2,FALSE)</f>
        <v>1005</v>
      </c>
      <c r="S601" s="33">
        <v>1</v>
      </c>
      <c r="T601" s="110">
        <f>VLOOKUP($C601,怪物并表!$E$7:$N$1000,2+($D601-1)*3,FALSE)*S601*AJ601</f>
        <v>1247782.5205549384</v>
      </c>
      <c r="U601" s="110">
        <f>VLOOKUP($C601,怪物并表!$E$7:$N$1000,3+($D601-1)*3,FALSE)*S601*AK601</f>
        <v>126861.64367827697</v>
      </c>
      <c r="V601" s="110">
        <f>VLOOKUP($C601,怪物并表!$E$7:$N$1000,4+($D601-1)*3,FALSE)*S601*AL601</f>
        <v>19704.49905112616</v>
      </c>
      <c r="W601" s="33"/>
      <c r="X601" s="33"/>
      <c r="Y601" s="49">
        <f>VLOOKUP($C601,怪物并表!$E$7:$P$1000,12,FALSE)</f>
        <v>0</v>
      </c>
      <c r="Z601" s="49">
        <f>VLOOKUP($C601,怪物并表!$E$7:$P$1000,11,FALSE)*S601</f>
        <v>5232.7520000000004</v>
      </c>
      <c r="AA601" s="33"/>
      <c r="AB601" s="33"/>
      <c r="AC601" s="33"/>
      <c r="AD601" s="33">
        <f t="shared" si="75"/>
        <v>0.8</v>
      </c>
      <c r="AE601" s="2">
        <f t="shared" si="72"/>
        <v>202</v>
      </c>
      <c r="AF601" s="2" t="str">
        <f>IF(ISBLANK(AM601),IF(O601=6,"",IF(O601=1,VLOOKUP(R601,怪物信息配置表!B:H,5,FALSE),IF(O601=2,VLOOKUP(R601,怪物信息配置表!B:H,6,FALSE),IF(OR(O601=3,O601=5),VLOOKUP(R601,怪物信息配置表!B:H,7,FALSE),"")))),AM601)</f>
        <v>ai_monster_02</v>
      </c>
      <c r="AG601" s="2"/>
      <c r="AH601" s="15">
        <f>SUMPRODUCT(T601:V601,$AN$3:$AP$3)+ROUNDDOWN(VLOOKUP(P601,CHOOSE({1,2},'[1]消耗&amp;价值&amp;分析'!$C$7:$C$106,'[1]消耗&amp;价值&amp;分析'!$AS$7:$AS$106),2,FALSE)*0.6,0)</f>
        <v>208761.44355160065</v>
      </c>
      <c r="AJ601" s="80">
        <v>1</v>
      </c>
      <c r="AK601" s="80">
        <v>1</v>
      </c>
      <c r="AL601" s="80">
        <v>1</v>
      </c>
    </row>
    <row r="602" spans="1:38">
      <c r="A602" s="33" t="str">
        <f>怪物并表!$R$8</f>
        <v>精英副本</v>
      </c>
      <c r="B602" s="38">
        <v>3</v>
      </c>
      <c r="C602" s="33">
        <f t="shared" si="74"/>
        <v>8209</v>
      </c>
      <c r="D602" s="33">
        <v>1</v>
      </c>
      <c r="E602" s="33">
        <f>VLOOKUP(A602,怪物并表!$R$7:$S$14,2,FALSE)</f>
        <v>2</v>
      </c>
      <c r="F602" s="38">
        <v>8</v>
      </c>
      <c r="G602" s="38">
        <v>9</v>
      </c>
      <c r="H602" s="38">
        <v>0</v>
      </c>
      <c r="I602" s="33">
        <f t="shared" si="69"/>
        <v>289003</v>
      </c>
      <c r="J602" s="33" t="s">
        <v>7</v>
      </c>
      <c r="K602" s="33"/>
      <c r="L602" s="33">
        <v>0</v>
      </c>
      <c r="M602" s="33">
        <v>1</v>
      </c>
      <c r="N602" s="33"/>
      <c r="O602" s="33">
        <v>1</v>
      </c>
      <c r="P602" s="33">
        <f>VLOOKUP($C602,CHOOSE({1,2},怪物并表!$E$7:$E$1000,怪物并表!$D$7:$D$1000),2,FALSE)</f>
        <v>84</v>
      </c>
      <c r="Q602" s="33" t="s">
        <v>7</v>
      </c>
      <c r="R602" s="33">
        <f>VLOOKUP(Q602,怪物信息配置表!$A$2:$B$118,2,FALSE)</f>
        <v>1002</v>
      </c>
      <c r="S602" s="33">
        <v>1</v>
      </c>
      <c r="T602" s="110">
        <f>VLOOKUP($C602,怪物并表!$E$7:$N$1000,2+($D602-1)*3,FALSE)*S602*AJ602</f>
        <v>1559728.1506936727</v>
      </c>
      <c r="U602" s="110">
        <f>VLOOKUP($C602,怪物并表!$E$7:$N$1000,3+($D602-1)*3,FALSE)*S602*AK602</f>
        <v>138745.87804307698</v>
      </c>
      <c r="V602" s="110">
        <f>VLOOKUP($C602,怪物并表!$E$7:$N$1000,4+($D602-1)*3,FALSE)*S602*AL602</f>
        <v>23884.241274092314</v>
      </c>
      <c r="W602" s="33"/>
      <c r="X602" s="33"/>
      <c r="Y602" s="49">
        <f>VLOOKUP($C602,怪物并表!$E$7:$P$1000,12,FALSE)</f>
        <v>0</v>
      </c>
      <c r="Z602" s="49">
        <f>VLOOKUP($C602,怪物并表!$E$7:$P$1000,11,FALSE)*S602</f>
        <v>5232.7520000000004</v>
      </c>
      <c r="AA602" s="33"/>
      <c r="AB602" s="33"/>
      <c r="AC602" s="33"/>
      <c r="AD602" s="33">
        <f t="shared" si="75"/>
        <v>1</v>
      </c>
      <c r="AE602" s="2">
        <f t="shared" si="72"/>
        <v>50</v>
      </c>
      <c r="AF602" s="2" t="str">
        <f>IF(ISBLANK(AM602),IF(O602=6,"",IF(O602=1,VLOOKUP(R602,怪物信息配置表!B:H,5,FALSE),IF(O602=2,VLOOKUP(R602,怪物信息配置表!B:H,6,FALSE),IF(OR(O602=3,O602=5),VLOOKUP(R602,怪物信息配置表!B:H,7,FALSE),"")))),AM602)</f>
        <v>ai_monster</v>
      </c>
      <c r="AG602" s="2"/>
      <c r="AH602" s="15">
        <f>SUMPRODUCT(T602:V602,$AN$3:$AP$3)+ROUNDDOWN(VLOOKUP(P602,CHOOSE({1,2},'[1]消耗&amp;价值&amp;分析'!$C$7:$C$106,'[1]消耗&amp;价值&amp;分析'!$AS$7:$AS$106),2,FALSE)*0.6,0)</f>
        <v>237303.24534491621</v>
      </c>
      <c r="AJ602" s="80">
        <v>1</v>
      </c>
      <c r="AK602" s="80">
        <v>1</v>
      </c>
      <c r="AL602" s="80">
        <v>1</v>
      </c>
    </row>
    <row r="603" spans="1:38">
      <c r="A603" s="33" t="str">
        <f>怪物并表!$R$8</f>
        <v>精英副本</v>
      </c>
      <c r="B603" s="38">
        <v>4</v>
      </c>
      <c r="C603" s="33">
        <f t="shared" si="74"/>
        <v>8209</v>
      </c>
      <c r="D603" s="33">
        <v>3</v>
      </c>
      <c r="E603" s="33">
        <f>VLOOKUP(A603,怪物并表!$R$7:$S$14,2,FALSE)</f>
        <v>2</v>
      </c>
      <c r="F603" s="38">
        <v>8</v>
      </c>
      <c r="G603" s="38">
        <v>9</v>
      </c>
      <c r="H603" s="38">
        <v>0</v>
      </c>
      <c r="I603" s="33">
        <f t="shared" si="69"/>
        <v>289004</v>
      </c>
      <c r="J603" s="33" t="s">
        <v>551</v>
      </c>
      <c r="K603" s="33"/>
      <c r="L603" s="33">
        <v>1</v>
      </c>
      <c r="M603" s="33">
        <v>1.3</v>
      </c>
      <c r="N603" s="33"/>
      <c r="O603" s="33">
        <v>3</v>
      </c>
      <c r="P603" s="33">
        <f>VLOOKUP($C603,CHOOSE({1,2},怪物并表!$E$7:$E$1000,怪物并表!$D$7:$D$1000),2,FALSE)</f>
        <v>84</v>
      </c>
      <c r="Q603" s="33" t="s">
        <v>26</v>
      </c>
      <c r="R603" s="33">
        <f>VLOOKUP(Q603,怪物信息配置表!$A$2:$B$118,2,FALSE)</f>
        <v>1105</v>
      </c>
      <c r="S603" s="33">
        <v>1</v>
      </c>
      <c r="T603" s="110">
        <f>VLOOKUP($C603,怪物并表!$E$7:$N$1000,2+($D603-1)*3,FALSE)*S603*AJ603</f>
        <v>3899320.3767341822</v>
      </c>
      <c r="U603" s="110">
        <f>VLOOKUP($C603,怪物并表!$E$7:$N$1000,3+($D603-1)*3,FALSE)*S603*AK603</f>
        <v>162514.34677267697</v>
      </c>
      <c r="V603" s="110">
        <f>VLOOKUP($C603,怪物并表!$E$7:$N$1000,4+($D603-1)*3,FALSE)*S603*AL603</f>
        <v>28063.983497058467</v>
      </c>
      <c r="W603" s="33"/>
      <c r="X603" s="33"/>
      <c r="Y603" s="49">
        <f>VLOOKUP($C603,怪物并表!$E$7:$P$1000,12,FALSE)</f>
        <v>0</v>
      </c>
      <c r="Z603" s="49">
        <f>VLOOKUP($C603,怪物并表!$E$7:$P$1000,11,FALSE)*S603</f>
        <v>5232.7520000000004</v>
      </c>
      <c r="AA603" s="33"/>
      <c r="AB603" s="33"/>
      <c r="AC603" s="33"/>
      <c r="AD603" s="33">
        <f t="shared" si="75"/>
        <v>1.5</v>
      </c>
      <c r="AE603" s="2">
        <f t="shared" si="72"/>
        <v>50</v>
      </c>
      <c r="AF603" s="2" t="str">
        <f>IF(ISBLANK(AM603),IF(O603=6,"",IF(O603=1,VLOOKUP(R603,怪物信息配置表!B:H,5,FALSE),IF(O603=2,VLOOKUP(R603,怪物信息配置表!B:H,6,FALSE),IF(OR(O603=3,O603=5),VLOOKUP(R603,怪物信息配置表!B:H,7,FALSE),"")))),AM603)</f>
        <v>1105_leigong_BOSS</v>
      </c>
      <c r="AG603" s="2"/>
      <c r="AH603" s="15">
        <f>SUMPRODUCT(T603:V603,$AN$3:$AP$3)+ROUNDDOWN(VLOOKUP(P603,CHOOSE({1,2},'[1]消耗&amp;价值&amp;分析'!$C$7:$C$106,'[1]消耗&amp;价值&amp;分析'!$AS$7:$AS$106),2,FALSE)*0.6,0)</f>
        <v>358835.14533910272</v>
      </c>
      <c r="AJ603" s="80">
        <v>1</v>
      </c>
      <c r="AK603" s="80">
        <v>1</v>
      </c>
      <c r="AL603" s="80">
        <v>1</v>
      </c>
    </row>
    <row r="604" spans="1:38">
      <c r="A604" s="33" t="s">
        <v>567</v>
      </c>
      <c r="B604" s="38">
        <v>1</v>
      </c>
      <c r="C604" s="33">
        <f>1300+G604</f>
        <v>1301</v>
      </c>
      <c r="D604" s="33">
        <v>1</v>
      </c>
      <c r="E604" s="33">
        <v>3</v>
      </c>
      <c r="F604" s="38">
        <v>0</v>
      </c>
      <c r="G604" s="38">
        <v>1</v>
      </c>
      <c r="H604" s="38">
        <v>1</v>
      </c>
      <c r="I604" s="33">
        <f t="shared" si="69"/>
        <v>301101</v>
      </c>
      <c r="J604" s="33"/>
      <c r="K604" s="33"/>
      <c r="L604" s="33">
        <v>0</v>
      </c>
      <c r="M604" s="33">
        <v>1</v>
      </c>
      <c r="N604" s="33"/>
      <c r="O604" s="33">
        <v>3</v>
      </c>
      <c r="P604" s="33">
        <f>VLOOKUP($C604,CHOOSE({1,2},怪物并表!$E$7:$E$1000,怪物并表!$D$7:$D$1000),2,FALSE)</f>
        <v>17</v>
      </c>
      <c r="Q604" s="33" t="s">
        <v>400</v>
      </c>
      <c r="R604" s="33">
        <f>VLOOKUP(Q604,怪物信息配置表!$A$2:$B$118,2,FALSE)</f>
        <v>3008</v>
      </c>
      <c r="S604" s="33">
        <v>1</v>
      </c>
      <c r="T604" s="110">
        <f>VLOOKUP($C604,怪物并表!$E$7:$N$1000,2+($D604-1)*3,FALSE)*S604*AJ604</f>
        <v>42227.254281832058</v>
      </c>
      <c r="U604" s="110">
        <f>VLOOKUP($C604,怪物并表!$E$7:$N$1000,3+($D604-1)*3,FALSE)*S604*AK604</f>
        <v>337.60810618161133</v>
      </c>
      <c r="V604" s="110">
        <f>VLOOKUP($C604,怪物并表!$E$7:$N$1000,4+($D604-1)*3,FALSE)*S604*AL604</f>
        <v>150.57125217391308</v>
      </c>
      <c r="W604" s="33"/>
      <c r="X604" s="33"/>
      <c r="Y604" s="49">
        <f>VLOOKUP($C604,怪物并表!$E$7:$P$1000,12,FALSE)</f>
        <v>0</v>
      </c>
      <c r="Z604" s="49">
        <f>VLOOKUP($C604,怪物并表!$E$7:$P$1000,11,FALSE)*S604</f>
        <v>1331.4760000000001</v>
      </c>
      <c r="AA604" s="33"/>
      <c r="AB604" s="33"/>
      <c r="AC604" s="33"/>
      <c r="AD604" s="33">
        <f t="shared" si="73"/>
        <v>1</v>
      </c>
      <c r="AE604" s="2">
        <f t="shared" si="72"/>
        <v>798.125</v>
      </c>
      <c r="AF604" s="2">
        <f>IF(ISBLANK(AM604),IF(O604=6,"",IF(O604=1,VLOOKUP(R604,怪物信息配置表!B:H,5,FALSE),IF(O604=2,VLOOKUP(R604,怪物信息配置表!B:H,6,FALSE),IF(OR(O604=3,O604=5),VLOOKUP(R604,怪物信息配置表!B:H,7,FALSE),"")))),AM604)</f>
        <v>0</v>
      </c>
      <c r="AG604" s="2"/>
      <c r="AH604" s="15">
        <f>SUMPRODUCT(T604:V604,$AN$3:$AP$3)+ROUNDDOWN(VLOOKUP(P604,CHOOSE({1,2},'[1]消耗&amp;价值&amp;分析'!$C$7:$C$106,'[1]消耗&amp;价值&amp;分析'!$AS$7:$AS$106),2,FALSE)*0.6,0)</f>
        <v>2432.2695296288066</v>
      </c>
      <c r="AJ604" s="80">
        <v>1</v>
      </c>
      <c r="AK604" s="80">
        <v>1</v>
      </c>
      <c r="AL604" s="80">
        <v>1</v>
      </c>
    </row>
    <row r="605" spans="1:38">
      <c r="A605" s="33" t="s">
        <v>295</v>
      </c>
      <c r="B605" s="38">
        <v>1</v>
      </c>
      <c r="C605" s="33">
        <f t="shared" ref="C605:C609" si="76">1300+G605</f>
        <v>1302</v>
      </c>
      <c r="D605" s="33">
        <v>1</v>
      </c>
      <c r="E605" s="33">
        <v>3</v>
      </c>
      <c r="F605" s="38">
        <v>0</v>
      </c>
      <c r="G605" s="38">
        <v>2</v>
      </c>
      <c r="H605" s="38">
        <v>1</v>
      </c>
      <c r="I605" s="33">
        <f t="shared" si="69"/>
        <v>302101</v>
      </c>
      <c r="J605" s="33"/>
      <c r="K605" s="33"/>
      <c r="L605" s="33">
        <v>0</v>
      </c>
      <c r="M605" s="33">
        <v>1</v>
      </c>
      <c r="N605" s="33"/>
      <c r="O605" s="33">
        <v>3</v>
      </c>
      <c r="P605" s="33">
        <f>VLOOKUP($C605,CHOOSE({1,2},怪物并表!$E$7:$E$1000,怪物并表!$D$7:$D$1000),2,FALSE)</f>
        <v>29</v>
      </c>
      <c r="Q605" s="33" t="s">
        <v>400</v>
      </c>
      <c r="R605" s="33">
        <f>VLOOKUP(Q605,怪物信息配置表!$A$2:$B$118,2,FALSE)</f>
        <v>3008</v>
      </c>
      <c r="S605" s="33">
        <v>1</v>
      </c>
      <c r="T605" s="110">
        <f>VLOOKUP($C605,怪物并表!$E$7:$N$1000,2+($D605-1)*3,FALSE)*S605*AJ605</f>
        <v>99219.606994474831</v>
      </c>
      <c r="U605" s="110">
        <f>VLOOKUP($C605,怪物并表!$E$7:$N$1000,3+($D605-1)*3,FALSE)*S605*AK605</f>
        <v>1245.0646280605861</v>
      </c>
      <c r="V605" s="110">
        <f>VLOOKUP($C605,怪物并表!$E$7:$N$1000,4+($D605-1)*3,FALSE)*S605*AL605</f>
        <v>459.89176695652213</v>
      </c>
      <c r="W605" s="33"/>
      <c r="X605" s="33"/>
      <c r="Y605" s="49">
        <f>VLOOKUP($C605,怪物并表!$E$7:$P$1000,12,FALSE)</f>
        <v>0</v>
      </c>
      <c r="Z605" s="49">
        <f>VLOOKUP($C605,怪物并表!$E$7:$P$1000,11,FALSE)*S605</f>
        <v>2030.212</v>
      </c>
      <c r="AA605" s="33"/>
      <c r="AB605" s="33"/>
      <c r="AC605" s="33"/>
      <c r="AD605" s="33">
        <f t="shared" si="73"/>
        <v>1</v>
      </c>
      <c r="AE605" s="2">
        <f t="shared" si="72"/>
        <v>655.625</v>
      </c>
      <c r="AF605" s="2">
        <f>IF(ISBLANK(AM605),IF(O605=6,"",IF(O605=1,VLOOKUP(R605,怪物信息配置表!B:H,5,FALSE),IF(O605=2,VLOOKUP(R605,怪物信息配置表!B:H,6,FALSE),IF(OR(O605=3,O605=5),VLOOKUP(R605,怪物信息配置表!B:H,7,FALSE),"")))),AM605)</f>
        <v>0</v>
      </c>
      <c r="AG605" s="2"/>
      <c r="AH605" s="15">
        <f>SUMPRODUCT(T605:V605,$AN$3:$AP$3)+ROUNDDOWN(VLOOKUP(P605,CHOOSE({1,2},'[1]消耗&amp;价值&amp;分析'!$C$7:$C$106,'[1]消耗&amp;价值&amp;分析'!$AS$7:$AS$106),2,FALSE)*0.6,0)</f>
        <v>6471.7406747961013</v>
      </c>
      <c r="AJ605" s="80">
        <v>1</v>
      </c>
      <c r="AK605" s="80">
        <v>1</v>
      </c>
      <c r="AL605" s="80">
        <v>1</v>
      </c>
    </row>
    <row r="606" spans="1:38">
      <c r="A606" s="33" t="s">
        <v>295</v>
      </c>
      <c r="B606" s="38">
        <v>1</v>
      </c>
      <c r="C606" s="33">
        <f t="shared" si="76"/>
        <v>1303</v>
      </c>
      <c r="D606" s="33">
        <v>1</v>
      </c>
      <c r="E606" s="33">
        <v>3</v>
      </c>
      <c r="F606" s="38">
        <v>0</v>
      </c>
      <c r="G606" s="38">
        <v>3</v>
      </c>
      <c r="H606" s="38">
        <v>1</v>
      </c>
      <c r="I606" s="33">
        <f t="shared" si="69"/>
        <v>303101</v>
      </c>
      <c r="J606" s="33"/>
      <c r="K606" s="33"/>
      <c r="L606" s="33">
        <v>0</v>
      </c>
      <c r="M606" s="33">
        <v>1</v>
      </c>
      <c r="N606" s="33"/>
      <c r="O606" s="33">
        <v>3</v>
      </c>
      <c r="P606" s="33">
        <f>VLOOKUP($C606,CHOOSE({1,2},怪物并表!$E$7:$E$1000,怪物并表!$D$7:$D$1000),2,FALSE)</f>
        <v>39</v>
      </c>
      <c r="Q606" s="33" t="s">
        <v>400</v>
      </c>
      <c r="R606" s="33">
        <f>VLOOKUP(Q606,怪物信息配置表!$A$2:$B$118,2,FALSE)</f>
        <v>3008</v>
      </c>
      <c r="S606" s="33">
        <v>1</v>
      </c>
      <c r="T606" s="110">
        <f>VLOOKUP($C606,怪物并表!$E$7:$N$1000,2+($D606-1)*3,FALSE)*S606*AJ606</f>
        <v>248681.64085945589</v>
      </c>
      <c r="U606" s="110">
        <f>VLOOKUP($C606,怪物并表!$E$7:$N$1000,3+($D606-1)*3,FALSE)*S606*AK606</f>
        <v>3408.0365141425427</v>
      </c>
      <c r="V606" s="110">
        <f>VLOOKUP($C606,怪物并表!$E$7:$N$1000,4+($D606-1)*3,FALSE)*S606*AL606</f>
        <v>1108.1576911906359</v>
      </c>
      <c r="W606" s="33"/>
      <c r="X606" s="33"/>
      <c r="Y606" s="49">
        <f>VLOOKUP($C606,怪物并表!$E$7:$P$1000,12,FALSE)</f>
        <v>0</v>
      </c>
      <c r="Z606" s="49">
        <f>VLOOKUP($C606,怪物并表!$E$7:$P$1000,11,FALSE)*S606</f>
        <v>2612.4920000000002</v>
      </c>
      <c r="AA606" s="33"/>
      <c r="AB606" s="33"/>
      <c r="AC606" s="33"/>
      <c r="AD606" s="33">
        <f t="shared" si="73"/>
        <v>1</v>
      </c>
      <c r="AE606" s="2">
        <f t="shared" si="72"/>
        <v>536.875</v>
      </c>
      <c r="AF606" s="2">
        <f>IF(ISBLANK(AM606),IF(O606=6,"",IF(O606=1,VLOOKUP(R606,怪物信息配置表!B:H,5,FALSE),IF(O606=2,VLOOKUP(R606,怪物信息配置表!B:H,6,FALSE),IF(OR(O606=3,O606=5),VLOOKUP(R606,怪物信息配置表!B:H,7,FALSE),"")))),AM606)</f>
        <v>0</v>
      </c>
      <c r="AG606" s="2"/>
      <c r="AH606" s="15">
        <f>SUMPRODUCT(T606:V606,$AN$3:$AP$3)+ROUNDDOWN(VLOOKUP(P606,CHOOSE({1,2},'[1]消耗&amp;价值&amp;分析'!$C$7:$C$106,'[1]消耗&amp;价值&amp;分析'!$AS$7:$AS$106),2,FALSE)*0.6,0)</f>
        <v>15993.459839711415</v>
      </c>
      <c r="AJ606" s="80">
        <v>1</v>
      </c>
      <c r="AK606" s="80">
        <v>1</v>
      </c>
      <c r="AL606" s="80">
        <v>1</v>
      </c>
    </row>
    <row r="607" spans="1:38">
      <c r="A607" s="33" t="s">
        <v>295</v>
      </c>
      <c r="B607" s="38">
        <v>1</v>
      </c>
      <c r="C607" s="33">
        <f t="shared" si="76"/>
        <v>1304</v>
      </c>
      <c r="D607" s="33">
        <v>1</v>
      </c>
      <c r="E607" s="33">
        <v>3</v>
      </c>
      <c r="F607" s="38">
        <v>0</v>
      </c>
      <c r="G607" s="38">
        <v>4</v>
      </c>
      <c r="H607" s="38">
        <v>1</v>
      </c>
      <c r="I607" s="33">
        <f t="shared" si="69"/>
        <v>304101</v>
      </c>
      <c r="J607" s="33"/>
      <c r="K607" s="33"/>
      <c r="L607" s="33">
        <v>1</v>
      </c>
      <c r="M607" s="33">
        <v>1</v>
      </c>
      <c r="N607" s="33"/>
      <c r="O607" s="33">
        <v>3</v>
      </c>
      <c r="P607" s="33">
        <f>VLOOKUP($C607,CHOOSE({1,2},怪物并表!$E$7:$E$1000,怪物并表!$D$7:$D$1000),2,FALSE)</f>
        <v>49</v>
      </c>
      <c r="Q607" s="33" t="s">
        <v>400</v>
      </c>
      <c r="R607" s="33">
        <f>VLOOKUP(Q607,怪物信息配置表!$A$2:$B$118,2,FALSE)</f>
        <v>3008</v>
      </c>
      <c r="S607" s="33">
        <v>1</v>
      </c>
      <c r="T607" s="110">
        <f>VLOOKUP($C607,怪物并表!$E$7:$N$1000,2+($D607-1)*3,FALSE)*S607*AJ607</f>
        <v>735202.80515448365</v>
      </c>
      <c r="U607" s="110">
        <f>VLOOKUP($C607,怪物并表!$E$7:$N$1000,3+($D607-1)*3,FALSE)*S607*AK607</f>
        <v>8591.3842425963048</v>
      </c>
      <c r="V607" s="110">
        <f>VLOOKUP($C607,怪物并表!$E$7:$N$1000,4+($D607-1)*3,FALSE)*S607*AL607</f>
        <v>2299.4844144682293</v>
      </c>
      <c r="W607" s="33"/>
      <c r="X607" s="33"/>
      <c r="Y607" s="49">
        <f>VLOOKUP($C607,怪物并表!$E$7:$P$1000,12,FALSE)</f>
        <v>0</v>
      </c>
      <c r="Z607" s="49">
        <f>VLOOKUP($C607,怪物并表!$E$7:$P$1000,11,FALSE)*S607</f>
        <v>3194.7719999999999</v>
      </c>
      <c r="AA607" s="33"/>
      <c r="AB607" s="33"/>
      <c r="AC607" s="33"/>
      <c r="AD607" s="33">
        <f t="shared" si="73"/>
        <v>1</v>
      </c>
      <c r="AE607" s="2">
        <f t="shared" si="72"/>
        <v>418.125</v>
      </c>
      <c r="AF607" s="2">
        <f>IF(ISBLANK(AM607),IF(O607=6,"",IF(O607=1,VLOOKUP(R607,怪物信息配置表!B:H,5,FALSE),IF(O607=2,VLOOKUP(R607,怪物信息配置表!B:H,6,FALSE),IF(OR(O607=3,O607=5),VLOOKUP(R607,怪物信息配置表!B:H,7,FALSE),"")))),AM607)</f>
        <v>0</v>
      </c>
      <c r="AG607" s="2"/>
      <c r="AH607" s="15">
        <f>SUMPRODUCT(T607:V607,$AN$3:$AP$3)+ROUNDDOWN(VLOOKUP(P607,CHOOSE({1,2},'[1]消耗&amp;价值&amp;分析'!$C$7:$C$106,'[1]消耗&amp;价值&amp;分析'!$AS$7:$AS$106),2,FALSE)*0.6,0)</f>
        <v>43029.98086324388</v>
      </c>
      <c r="AJ607" s="80">
        <v>1</v>
      </c>
      <c r="AK607" s="80">
        <v>1</v>
      </c>
      <c r="AL607" s="80">
        <v>1</v>
      </c>
    </row>
    <row r="608" spans="1:38">
      <c r="A608" s="33" t="s">
        <v>295</v>
      </c>
      <c r="B608" s="38">
        <v>1</v>
      </c>
      <c r="C608" s="33">
        <f t="shared" si="76"/>
        <v>1305</v>
      </c>
      <c r="D608" s="33">
        <v>1</v>
      </c>
      <c r="E608" s="33">
        <v>3</v>
      </c>
      <c r="F608" s="38">
        <v>0</v>
      </c>
      <c r="G608" s="38">
        <v>5</v>
      </c>
      <c r="H608" s="38">
        <v>1</v>
      </c>
      <c r="I608" s="33">
        <f t="shared" si="69"/>
        <v>305101</v>
      </c>
      <c r="J608" s="33"/>
      <c r="K608" s="33"/>
      <c r="L608" s="33">
        <v>0</v>
      </c>
      <c r="M608" s="33">
        <v>1</v>
      </c>
      <c r="N608" s="33"/>
      <c r="O608" s="33">
        <v>3</v>
      </c>
      <c r="P608" s="33">
        <f>VLOOKUP($C608,CHOOSE({1,2},怪物并表!$E$7:$E$1000,怪物并表!$D$7:$D$1000),2,FALSE)</f>
        <v>59</v>
      </c>
      <c r="Q608" s="33" t="s">
        <v>400</v>
      </c>
      <c r="R608" s="33">
        <f>VLOOKUP(Q608,怪物信息配置表!$A$2:$B$118,2,FALSE)</f>
        <v>3008</v>
      </c>
      <c r="S608" s="33">
        <v>1</v>
      </c>
      <c r="T608" s="110">
        <f>VLOOKUP($C608,怪物并表!$E$7:$N$1000,2+($D608-1)*3,FALSE)*S608*AJ608</f>
        <v>2147459.5388542395</v>
      </c>
      <c r="U608" s="110">
        <f>VLOOKUP($C608,怪物并表!$E$7:$N$1000,3+($D608-1)*3,FALSE)*S608*AK608</f>
        <v>19448.449047028778</v>
      </c>
      <c r="V608" s="110">
        <f>VLOOKUP($C608,怪物并表!$E$7:$N$1000,4+($D608-1)*3,FALSE)*S608*AL608</f>
        <v>4285.9899875618758</v>
      </c>
      <c r="W608" s="33"/>
      <c r="X608" s="33"/>
      <c r="Y608" s="49">
        <f>VLOOKUP($C608,怪物并表!$E$7:$P$1000,12,FALSE)</f>
        <v>0</v>
      </c>
      <c r="Z608" s="49">
        <f>VLOOKUP($C608,怪物并表!$E$7:$P$1000,11,FALSE)*S608</f>
        <v>3777.0519999999997</v>
      </c>
      <c r="AA608" s="33"/>
      <c r="AB608" s="33"/>
      <c r="AC608" s="33"/>
      <c r="AD608" s="33">
        <f t="shared" si="73"/>
        <v>1</v>
      </c>
      <c r="AE608" s="2">
        <f t="shared" si="72"/>
        <v>299.375</v>
      </c>
      <c r="AF608" s="2">
        <f>IF(ISBLANK(AM608),IF(O608=6,"",IF(O608=1,VLOOKUP(R608,怪物信息配置表!B:H,5,FALSE),IF(O608=2,VLOOKUP(R608,怪物信息配置表!B:H,6,FALSE),IF(OR(O608=3,O608=5),VLOOKUP(R608,怪物信息配置表!B:H,7,FALSE),"")))),AM608)</f>
        <v>0</v>
      </c>
      <c r="AG608" s="2"/>
      <c r="AH608" s="15">
        <f>SUMPRODUCT(T608:V608,$AN$3:$AP$3)+ROUNDDOWN(VLOOKUP(P608,CHOOSE({1,2},'[1]消耗&amp;价值&amp;分析'!$C$7:$C$106,'[1]消耗&amp;价值&amp;分析'!$AS$7:$AS$106),2,FALSE)*0.6,0)</f>
        <v>114180.82058876024</v>
      </c>
      <c r="AJ608" s="80">
        <v>1</v>
      </c>
      <c r="AK608" s="80">
        <v>1</v>
      </c>
      <c r="AL608" s="80">
        <v>1</v>
      </c>
    </row>
    <row r="609" spans="1:38">
      <c r="A609" s="33" t="s">
        <v>295</v>
      </c>
      <c r="B609" s="38">
        <v>1</v>
      </c>
      <c r="C609" s="33">
        <f t="shared" si="76"/>
        <v>1306</v>
      </c>
      <c r="D609" s="33">
        <v>1</v>
      </c>
      <c r="E609" s="33">
        <v>3</v>
      </c>
      <c r="F609" s="38">
        <v>0</v>
      </c>
      <c r="G609" s="38">
        <v>6</v>
      </c>
      <c r="H609" s="38">
        <v>1</v>
      </c>
      <c r="I609" s="33">
        <f t="shared" si="69"/>
        <v>306101</v>
      </c>
      <c r="J609" s="33"/>
      <c r="K609" s="33"/>
      <c r="L609" s="33">
        <v>0</v>
      </c>
      <c r="M609" s="33">
        <v>1</v>
      </c>
      <c r="N609" s="33"/>
      <c r="O609" s="33">
        <v>3</v>
      </c>
      <c r="P609" s="33">
        <f>VLOOKUP($C609,CHOOSE({1,2},怪物并表!$E$7:$E$1000,怪物并表!$D$7:$D$1000),2,FALSE)</f>
        <v>69</v>
      </c>
      <c r="Q609" s="33" t="s">
        <v>400</v>
      </c>
      <c r="R609" s="33">
        <f>VLOOKUP(Q609,怪物信息配置表!$A$2:$B$118,2,FALSE)</f>
        <v>3008</v>
      </c>
      <c r="S609" s="33">
        <v>1</v>
      </c>
      <c r="T609" s="110">
        <f>VLOOKUP($C609,怪物并表!$E$7:$N$1000,2+($D609-1)*3,FALSE)*S609*AJ609</f>
        <v>5831298.0920660822</v>
      </c>
      <c r="U609" s="110">
        <f>VLOOKUP($C609,怪物并表!$E$7:$N$1000,3+($D609-1)*3,FALSE)*S609*AK609</f>
        <v>39584.69585392889</v>
      </c>
      <c r="V609" s="110">
        <f>VLOOKUP($C609,怪物并表!$E$7:$N$1000,4+($D609-1)*3,FALSE)*S609*AL609</f>
        <v>7375.9080870602083</v>
      </c>
      <c r="W609" s="33"/>
      <c r="X609" s="33"/>
      <c r="Y609" s="49">
        <f>VLOOKUP($C609,怪物并表!$E$7:$P$1000,12,FALSE)</f>
        <v>0</v>
      </c>
      <c r="Z609" s="49">
        <f>VLOOKUP($C609,怪物并表!$E$7:$P$1000,11,FALSE)*S609</f>
        <v>4359.3320000000003</v>
      </c>
      <c r="AA609" s="33"/>
      <c r="AB609" s="33"/>
      <c r="AC609" s="33"/>
      <c r="AD609" s="33">
        <f t="shared" si="73"/>
        <v>1</v>
      </c>
      <c r="AE609" s="2">
        <f t="shared" si="72"/>
        <v>180.625</v>
      </c>
      <c r="AF609" s="2">
        <f>IF(ISBLANK(AM609),IF(O609=6,"",IF(O609=1,VLOOKUP(R609,怪物信息配置表!B:H,5,FALSE),IF(O609=2,VLOOKUP(R609,怪物信息配置表!B:H,6,FALSE),IF(OR(O609=3,O609=5),VLOOKUP(R609,怪物信息配置表!B:H,7,FALSE),"")))),AM609)</f>
        <v>0</v>
      </c>
      <c r="AG609" s="2"/>
      <c r="AH609" s="15">
        <f>SUMPRODUCT(T609:V609,$AN$3:$AP$3)+ROUNDDOWN(VLOOKUP(P609,CHOOSE({1,2},'[1]消耗&amp;价值&amp;分析'!$C$7:$C$106,'[1]消耗&amp;价值&amp;分析'!$AS$7:$AS$106),2,FALSE)*0.6,0)</f>
        <v>287685.5276236324</v>
      </c>
      <c r="AJ609" s="80">
        <v>1</v>
      </c>
      <c r="AK609" s="80">
        <v>1</v>
      </c>
      <c r="AL609" s="80">
        <v>1</v>
      </c>
    </row>
    <row r="610" spans="1:38" s="59" customFormat="1">
      <c r="A610" s="56" t="s">
        <v>568</v>
      </c>
      <c r="B610" s="57">
        <v>1</v>
      </c>
      <c r="C610" s="56">
        <v>1401</v>
      </c>
      <c r="D610" s="56">
        <v>2</v>
      </c>
      <c r="E610" s="56">
        <v>4</v>
      </c>
      <c r="F610" s="57">
        <v>0</v>
      </c>
      <c r="G610" s="57">
        <v>1</v>
      </c>
      <c r="H610" s="57">
        <v>1</v>
      </c>
      <c r="I610" s="33">
        <f t="shared" si="69"/>
        <v>401101</v>
      </c>
      <c r="J610" s="56" t="s">
        <v>518</v>
      </c>
      <c r="K610" s="56"/>
      <c r="L610" s="56">
        <v>0</v>
      </c>
      <c r="M610" s="56">
        <v>1</v>
      </c>
      <c r="N610" s="56"/>
      <c r="O610" s="56">
        <v>1</v>
      </c>
      <c r="P610" s="33">
        <f>VLOOKUP($C610,CHOOSE({1,2},怪物并表!$E$7:$E$1000,怪物并表!$D$7:$D$1000),2,FALSE)</f>
        <v>35</v>
      </c>
      <c r="Q610" s="33" t="s">
        <v>9</v>
      </c>
      <c r="R610" s="33">
        <f>VLOOKUP(Q610,怪物信息配置表!$A$2:$B$118,2,FALSE)</f>
        <v>1003</v>
      </c>
      <c r="S610" s="56">
        <v>1</v>
      </c>
      <c r="T610" s="110">
        <f>VLOOKUP($C610,怪物并表!$E$7:$N$1000,2+($D610-1)*3,FALSE)*S610*AJ610</f>
        <v>23835.13150127394</v>
      </c>
      <c r="U610" s="110">
        <f>VLOOKUP($C610,怪物并表!$E$7:$N$1000,3+($D610-1)*3,FALSE)*S610*AK610</f>
        <v>1854.8916048706665</v>
      </c>
      <c r="V610" s="110">
        <f>VLOOKUP($C610,怪物并表!$E$7:$N$1000,4+($D610-1)*3,FALSE)*S610*AL610</f>
        <v>321.92370782608759</v>
      </c>
      <c r="W610" s="33"/>
      <c r="X610" s="33"/>
      <c r="Y610" s="49">
        <f>VLOOKUP($C610,怪物并表!$E$7:$P$1000,12,FALSE)</f>
        <v>0</v>
      </c>
      <c r="Z610" s="49">
        <f>VLOOKUP($C610,怪物并表!$E$7:$P$1000,11,FALSE)*S610</f>
        <v>2379.58</v>
      </c>
      <c r="AA610" s="33"/>
      <c r="AB610" s="33"/>
      <c r="AC610" s="33"/>
      <c r="AD610" s="33">
        <f t="shared" si="73"/>
        <v>0.8</v>
      </c>
      <c r="AE610" s="2">
        <f t="shared" si="72"/>
        <v>667.5</v>
      </c>
      <c r="AF610" s="2" t="str">
        <f>IF(ISBLANK(AM610),IF(O610=6,"",IF(O610=1,VLOOKUP(R610,怪物信息配置表!B:H,5,FALSE),IF(O610=2,VLOOKUP(R610,怪物信息配置表!B:H,6,FALSE),IF(OR(O610=3,O610=5),VLOOKUP(R610,怪物信息配置表!B:H,7,FALSE),"")))),AM610)</f>
        <v>ai_monster_02</v>
      </c>
      <c r="AG610" s="58"/>
      <c r="AH610" s="15">
        <f>SUMPRODUCT(T610:V610,$AN$3:$AP$3)+ROUNDDOWN(VLOOKUP(P610,CHOOSE({1,2},'[1]消耗&amp;价值&amp;分析'!$C$7:$C$106,'[1]消耗&amp;价值&amp;分析'!$AS$7:$AS$106),2,FALSE)*0.6,0)</f>
        <v>4334.2205727477121</v>
      </c>
      <c r="AJ610" s="80">
        <v>1</v>
      </c>
      <c r="AK610" s="80">
        <v>1</v>
      </c>
      <c r="AL610" s="80">
        <v>1</v>
      </c>
    </row>
    <row r="611" spans="1:38" s="59" customFormat="1">
      <c r="A611" s="56" t="s">
        <v>568</v>
      </c>
      <c r="B611" s="57">
        <v>2</v>
      </c>
      <c r="C611" s="56">
        <v>1401</v>
      </c>
      <c r="D611" s="56">
        <v>1</v>
      </c>
      <c r="E611" s="56">
        <v>4</v>
      </c>
      <c r="F611" s="57">
        <v>0</v>
      </c>
      <c r="G611" s="57">
        <v>1</v>
      </c>
      <c r="H611" s="57">
        <v>1</v>
      </c>
      <c r="I611" s="33">
        <f t="shared" si="69"/>
        <v>401102</v>
      </c>
      <c r="J611" s="56" t="s">
        <v>519</v>
      </c>
      <c r="K611" s="56"/>
      <c r="L611" s="56">
        <v>1</v>
      </c>
      <c r="M611" s="56">
        <v>1</v>
      </c>
      <c r="N611" s="56"/>
      <c r="O611" s="56">
        <v>1</v>
      </c>
      <c r="P611" s="33">
        <f>VLOOKUP($C611,CHOOSE({1,2},怪物并表!$E$7:$E$1000,怪物并表!$D$7:$D$1000),2,FALSE)</f>
        <v>35</v>
      </c>
      <c r="Q611" s="33" t="s">
        <v>367</v>
      </c>
      <c r="R611" s="33">
        <f>VLOOKUP(Q611,怪物信息配置表!$A$2:$B$118,2,FALSE)</f>
        <v>1008</v>
      </c>
      <c r="S611" s="56">
        <v>1</v>
      </c>
      <c r="T611" s="110">
        <f>VLOOKUP($C611,怪物并表!$E$7:$N$1000,2+($D611-1)*3,FALSE)*S611*AJ611</f>
        <v>29793.914376592424</v>
      </c>
      <c r="U611" s="110">
        <f>VLOOKUP($C611,怪物并表!$E$7:$N$1000,3+($D611-1)*3,FALSE)*S611*AK611</f>
        <v>1941.7596691799674</v>
      </c>
      <c r="V611" s="110">
        <f>VLOOKUP($C611,怪物并表!$E$7:$N$1000,4+($D611-1)*3,FALSE)*S611*AL611</f>
        <v>670.67439130434809</v>
      </c>
      <c r="W611" s="33"/>
      <c r="X611" s="33"/>
      <c r="Y611" s="49">
        <f>VLOOKUP($C611,怪物并表!$E$7:$P$1000,12,FALSE)</f>
        <v>0</v>
      </c>
      <c r="Z611" s="49">
        <f>VLOOKUP($C611,怪物并表!$E$7:$P$1000,11,FALSE)*S611</f>
        <v>2379.58</v>
      </c>
      <c r="AA611" s="33"/>
      <c r="AB611" s="33"/>
      <c r="AC611" s="33"/>
      <c r="AD611" s="33">
        <f t="shared" si="73"/>
        <v>1</v>
      </c>
      <c r="AE611" s="2">
        <f t="shared" si="72"/>
        <v>584.375</v>
      </c>
      <c r="AF611" s="2" t="str">
        <f>IF(ISBLANK(AM611),IF(O611=6,"",IF(O611=1,VLOOKUP(R611,怪物信息配置表!B:H,5,FALSE),IF(O611=2,VLOOKUP(R611,怪物信息配置表!B:H,6,FALSE),IF(OR(O611=3,O611=5),VLOOKUP(R611,怪物信息配置表!B:H,7,FALSE),"")))),AM611)</f>
        <v>ai_monster</v>
      </c>
      <c r="AG611" s="58"/>
      <c r="AH611" s="15">
        <f>SUMPRODUCT(T611:V611,$AN$3:$AP$3)+ROUNDDOWN(VLOOKUP(P611,CHOOSE({1,2},'[1]消耗&amp;价值&amp;分析'!$C$7:$C$106,'[1]消耗&amp;价值&amp;分析'!$AS$7:$AS$106),2,FALSE)*0.6,0)</f>
        <v>5008.1906355480123</v>
      </c>
      <c r="AJ611" s="80">
        <v>1</v>
      </c>
      <c r="AK611" s="80">
        <v>1</v>
      </c>
      <c r="AL611" s="80">
        <v>1</v>
      </c>
    </row>
    <row r="612" spans="1:38" s="59" customFormat="1">
      <c r="A612" s="56" t="s">
        <v>568</v>
      </c>
      <c r="B612" s="57">
        <v>3</v>
      </c>
      <c r="C612" s="56">
        <v>1401</v>
      </c>
      <c r="D612" s="56">
        <v>3</v>
      </c>
      <c r="E612" s="56">
        <v>4</v>
      </c>
      <c r="F612" s="57">
        <v>0</v>
      </c>
      <c r="G612" s="57">
        <v>1</v>
      </c>
      <c r="H612" s="57">
        <v>1</v>
      </c>
      <c r="I612" s="33">
        <f t="shared" si="69"/>
        <v>401103</v>
      </c>
      <c r="J612" s="56" t="s">
        <v>16</v>
      </c>
      <c r="K612" s="56" t="s">
        <v>569</v>
      </c>
      <c r="L612" s="56">
        <v>0</v>
      </c>
      <c r="M612" s="56">
        <v>1.2</v>
      </c>
      <c r="N612" s="56"/>
      <c r="O612" s="56">
        <v>3</v>
      </c>
      <c r="P612" s="33">
        <f>VLOOKUP($C612,CHOOSE({1,2},怪物并表!$E$7:$E$1000,怪物并表!$D$7:$D$1000),2,FALSE)</f>
        <v>35</v>
      </c>
      <c r="Q612" s="33" t="s">
        <v>8</v>
      </c>
      <c r="R612" s="33">
        <f>VLOOKUP(Q612,怪物信息配置表!$A$2:$B$118,2,FALSE)</f>
        <v>1101</v>
      </c>
      <c r="S612" s="56">
        <v>1</v>
      </c>
      <c r="T612" s="110">
        <f>VLOOKUP($C612,怪物并表!$E$7:$N$1000,2+($D612-1)*3,FALSE)*S612*AJ612</f>
        <v>74484.785941481066</v>
      </c>
      <c r="U612" s="110">
        <f>VLOOKUP($C612,怪物并表!$E$7:$N$1000,3+($D612-1)*3,FALSE)*S612*AK612</f>
        <v>2115.4957977985696</v>
      </c>
      <c r="V612" s="110">
        <f>VLOOKUP($C612,怪物并表!$E$7:$N$1000,4+($D612-1)*3,FALSE)*S612*AL612</f>
        <v>1019.425074782609</v>
      </c>
      <c r="W612" s="33"/>
      <c r="X612" s="33"/>
      <c r="Y612" s="49">
        <f>VLOOKUP($C612,怪物并表!$E$7:$P$1000,12,FALSE)</f>
        <v>0</v>
      </c>
      <c r="Z612" s="49">
        <f>VLOOKUP($C612,怪物并表!$E$7:$P$1000,11,FALSE)*S612</f>
        <v>2379.58</v>
      </c>
      <c r="AA612" s="33"/>
      <c r="AB612" s="33"/>
      <c r="AC612" s="33"/>
      <c r="AD612" s="33">
        <f t="shared" si="73"/>
        <v>1.5</v>
      </c>
      <c r="AE612" s="2">
        <f t="shared" si="72"/>
        <v>376.5625</v>
      </c>
      <c r="AF612" s="2" t="str">
        <f>IF(ISBLANK(AM612),IF(O612=6,"",IF(O612=1,VLOOKUP(R612,怪物信息配置表!B:H,5,FALSE),IF(O612=2,VLOOKUP(R612,怪物信息配置表!B:H,6,FALSE),IF(OR(O612=3,O612=5),VLOOKUP(R612,怪物信息配置表!B:H,7,FALSE),"")))),AM612)</f>
        <v>1101_liangkun_BOSS</v>
      </c>
      <c r="AG612" s="58"/>
      <c r="AH612" s="15">
        <f>SUMPRODUCT(T612:V612,$AN$3:$AP$3)+ROUNDDOWN(VLOOKUP(P612,CHOOSE({1,2},'[1]消耗&amp;价值&amp;分析'!$C$7:$C$106,'[1]消耗&amp;价值&amp;分析'!$AS$7:$AS$106),2,FALSE)*0.6,0)</f>
        <v>7318.3123102404215</v>
      </c>
      <c r="AJ612" s="80">
        <v>1</v>
      </c>
      <c r="AK612" s="80">
        <v>1</v>
      </c>
      <c r="AL612" s="80">
        <v>1</v>
      </c>
    </row>
    <row r="613" spans="1:38" s="59" customFormat="1">
      <c r="A613" s="56" t="s">
        <v>568</v>
      </c>
      <c r="B613" s="57">
        <v>1</v>
      </c>
      <c r="C613" s="56">
        <v>1402</v>
      </c>
      <c r="D613" s="56">
        <v>1</v>
      </c>
      <c r="E613" s="56">
        <v>4</v>
      </c>
      <c r="F613" s="57">
        <v>0</v>
      </c>
      <c r="G613" s="57">
        <v>2</v>
      </c>
      <c r="H613" s="57">
        <v>1</v>
      </c>
      <c r="I613" s="33">
        <f t="shared" si="69"/>
        <v>402101</v>
      </c>
      <c r="J613" s="56" t="s">
        <v>520</v>
      </c>
      <c r="K613" s="56"/>
      <c r="L613" s="56">
        <v>0</v>
      </c>
      <c r="M613" s="56">
        <v>1</v>
      </c>
      <c r="N613" s="56"/>
      <c r="O613" s="56">
        <v>1</v>
      </c>
      <c r="P613" s="33">
        <f>VLOOKUP($C613,CHOOSE({1,2},怪物并表!$E$7:$E$1000,怪物并表!$D$7:$D$1000),2,FALSE)</f>
        <v>40</v>
      </c>
      <c r="Q613" s="33" t="s">
        <v>10</v>
      </c>
      <c r="R613" s="33">
        <f>VLOOKUP(Q613,怪物信息配置表!$A$2:$B$118,2,FALSE)</f>
        <v>1001</v>
      </c>
      <c r="S613" s="56">
        <v>1</v>
      </c>
      <c r="T613" s="110">
        <f>VLOOKUP($C613,怪物并表!$E$7:$N$1000,2+($D613-1)*3,FALSE)*S613*AJ613</f>
        <v>58234.794977605714</v>
      </c>
      <c r="U613" s="110">
        <f>VLOOKUP($C613,怪物并表!$E$7:$N$1000,3+($D613-1)*3,FALSE)*S613*AK613</f>
        <v>3450.4248214715735</v>
      </c>
      <c r="V613" s="110">
        <f>VLOOKUP($C613,怪物并表!$E$7:$N$1000,4+($D613-1)*3,FALSE)*S613*AL613</f>
        <v>1304.4385565217399</v>
      </c>
      <c r="W613" s="33"/>
      <c r="X613" s="33"/>
      <c r="Y613" s="49">
        <f>VLOOKUP($C613,怪物并表!$E$7:$P$1000,12,FALSE)</f>
        <v>0</v>
      </c>
      <c r="Z613" s="49">
        <f>VLOOKUP($C613,怪物并表!$E$7:$P$1000,11,FALSE)*S613</f>
        <v>2670.72</v>
      </c>
      <c r="AA613" s="33"/>
      <c r="AB613" s="33"/>
      <c r="AC613" s="33"/>
      <c r="AD613" s="33">
        <f t="shared" si="73"/>
        <v>1</v>
      </c>
      <c r="AE613" s="2">
        <f t="shared" si="72"/>
        <v>525</v>
      </c>
      <c r="AF613" s="2" t="str">
        <f>IF(ISBLANK(AM613),IF(O613=6,"",IF(O613=1,VLOOKUP(R613,怪物信息配置表!B:H,5,FALSE),IF(O613=2,VLOOKUP(R613,怪物信息配置表!B:H,6,FALSE),IF(OR(O613=3,O613=5),VLOOKUP(R613,怪物信息配置表!B:H,7,FALSE),"")))),AM613)</f>
        <v>ai_monster</v>
      </c>
      <c r="AG613" s="58"/>
      <c r="AH613" s="15">
        <f>SUMPRODUCT(T613:V613,$AN$3:$AP$3)+ROUNDDOWN(VLOOKUP(P613,CHOOSE({1,2},'[1]消耗&amp;价值&amp;分析'!$C$7:$C$106,'[1]消耗&amp;价值&amp;分析'!$AS$7:$AS$106),2,FALSE)*0.6,0)</f>
        <v>8704.2551770975424</v>
      </c>
      <c r="AJ613" s="80">
        <v>1</v>
      </c>
      <c r="AK613" s="80">
        <v>1</v>
      </c>
      <c r="AL613" s="80">
        <v>1</v>
      </c>
    </row>
    <row r="614" spans="1:38" s="59" customFormat="1">
      <c r="A614" s="56" t="s">
        <v>568</v>
      </c>
      <c r="B614" s="57">
        <v>2</v>
      </c>
      <c r="C614" s="56">
        <v>1402</v>
      </c>
      <c r="D614" s="56">
        <v>1</v>
      </c>
      <c r="E614" s="56">
        <v>4</v>
      </c>
      <c r="F614" s="57">
        <v>0</v>
      </c>
      <c r="G614" s="57">
        <v>2</v>
      </c>
      <c r="H614" s="57">
        <v>1</v>
      </c>
      <c r="I614" s="33">
        <f t="shared" ref="I614:I677" si="77">SUM(E614*10^5,F614*10^4,G614*10^3,H614*10^2,B614)</f>
        <v>402102</v>
      </c>
      <c r="J614" s="56" t="s">
        <v>521</v>
      </c>
      <c r="K614" s="56"/>
      <c r="L614" s="56">
        <v>0</v>
      </c>
      <c r="M614" s="56">
        <v>1</v>
      </c>
      <c r="N614" s="56"/>
      <c r="O614" s="56">
        <v>1</v>
      </c>
      <c r="P614" s="33">
        <f>VLOOKUP($C614,CHOOSE({1,2},怪物并表!$E$7:$E$1000,怪物并表!$D$7:$D$1000),2,FALSE)</f>
        <v>40</v>
      </c>
      <c r="Q614" s="33" t="s">
        <v>7</v>
      </c>
      <c r="R614" s="33">
        <f>VLOOKUP(Q614,怪物信息配置表!$A$2:$B$118,2,FALSE)</f>
        <v>1002</v>
      </c>
      <c r="S614" s="56">
        <v>1</v>
      </c>
      <c r="T614" s="110">
        <f>VLOOKUP($C614,怪物并表!$E$7:$N$1000,2+($D614-1)*3,FALSE)*S614*AJ614</f>
        <v>58234.794977605714</v>
      </c>
      <c r="U614" s="110">
        <f>VLOOKUP($C614,怪物并表!$E$7:$N$1000,3+($D614-1)*3,FALSE)*S614*AK614</f>
        <v>3450.4248214715735</v>
      </c>
      <c r="V614" s="110">
        <f>VLOOKUP($C614,怪物并表!$E$7:$N$1000,4+($D614-1)*3,FALSE)*S614*AL614</f>
        <v>1304.4385565217399</v>
      </c>
      <c r="W614" s="33"/>
      <c r="X614" s="33"/>
      <c r="Y614" s="49">
        <f>VLOOKUP($C614,怪物并表!$E$7:$P$1000,12,FALSE)</f>
        <v>0</v>
      </c>
      <c r="Z614" s="49">
        <f>VLOOKUP($C614,怪物并表!$E$7:$P$1000,11,FALSE)*S614</f>
        <v>2670.72</v>
      </c>
      <c r="AA614" s="33"/>
      <c r="AB614" s="33"/>
      <c r="AC614" s="33"/>
      <c r="AD614" s="33">
        <f t="shared" si="73"/>
        <v>1</v>
      </c>
      <c r="AE614" s="2">
        <f t="shared" si="72"/>
        <v>525</v>
      </c>
      <c r="AF614" s="2" t="str">
        <f>IF(ISBLANK(AM614),IF(O614=6,"",IF(O614=1,VLOOKUP(R614,怪物信息配置表!B:H,5,FALSE),IF(O614=2,VLOOKUP(R614,怪物信息配置表!B:H,6,FALSE),IF(OR(O614=3,O614=5),VLOOKUP(R614,怪物信息配置表!B:H,7,FALSE),"")))),AM614)</f>
        <v>ai_monster</v>
      </c>
      <c r="AG614" s="58"/>
      <c r="AH614" s="15">
        <f>SUMPRODUCT(T614:V614,$AN$3:$AP$3)+ROUNDDOWN(VLOOKUP(P614,CHOOSE({1,2},'[1]消耗&amp;价值&amp;分析'!$C$7:$C$106,'[1]消耗&amp;价值&amp;分析'!$AS$7:$AS$106),2,FALSE)*0.6,0)</f>
        <v>8704.2551770975424</v>
      </c>
      <c r="AJ614" s="80">
        <v>1</v>
      </c>
      <c r="AK614" s="80">
        <v>1</v>
      </c>
      <c r="AL614" s="80">
        <v>1</v>
      </c>
    </row>
    <row r="615" spans="1:38" s="59" customFormat="1">
      <c r="A615" s="56" t="s">
        <v>568</v>
      </c>
      <c r="B615" s="57">
        <v>3</v>
      </c>
      <c r="C615" s="56">
        <v>1402</v>
      </c>
      <c r="D615" s="56">
        <v>3</v>
      </c>
      <c r="E615" s="56">
        <v>4</v>
      </c>
      <c r="F615" s="57">
        <v>0</v>
      </c>
      <c r="G615" s="57">
        <v>2</v>
      </c>
      <c r="H615" s="57">
        <v>1</v>
      </c>
      <c r="I615" s="33">
        <f t="shared" si="77"/>
        <v>402103</v>
      </c>
      <c r="J615" s="56" t="s">
        <v>420</v>
      </c>
      <c r="K615" s="56" t="s">
        <v>570</v>
      </c>
      <c r="L615" s="56">
        <v>1</v>
      </c>
      <c r="M615" s="56">
        <v>1.3</v>
      </c>
      <c r="N615" s="56"/>
      <c r="O615" s="56">
        <v>3</v>
      </c>
      <c r="P615" s="33">
        <f>VLOOKUP($C615,CHOOSE({1,2},怪物并表!$E$7:$E$1000,怪物并表!$D$7:$D$1000),2,FALSE)</f>
        <v>40</v>
      </c>
      <c r="Q615" s="33" t="s">
        <v>19</v>
      </c>
      <c r="R615" s="33">
        <f>VLOOKUP(Q615,怪物信息配置表!$A$2:$B$118,2,FALSE)</f>
        <v>1102</v>
      </c>
      <c r="S615" s="56">
        <v>1</v>
      </c>
      <c r="T615" s="110">
        <f>VLOOKUP($C615,怪物并表!$E$7:$N$1000,2+($D615-1)*3,FALSE)*S615*AJ615</f>
        <v>145586.98744401429</v>
      </c>
      <c r="U615" s="110">
        <f>VLOOKUP($C615,怪物并表!$E$7:$N$1000,3+($D615-1)*3,FALSE)*S615*AK615</f>
        <v>3819.4172180066907</v>
      </c>
      <c r="V615" s="110">
        <f>VLOOKUP($C615,怪物并表!$E$7:$N$1000,4+($D615-1)*3,FALSE)*S615*AL615</f>
        <v>1766.009122675586</v>
      </c>
      <c r="W615" s="33"/>
      <c r="X615" s="33"/>
      <c r="Y615" s="49">
        <f>VLOOKUP($C615,怪物并表!$E$7:$P$1000,12,FALSE)</f>
        <v>0</v>
      </c>
      <c r="Z615" s="49">
        <f>VLOOKUP($C615,怪物并表!$E$7:$P$1000,11,FALSE)*S615</f>
        <v>2670.72</v>
      </c>
      <c r="AA615" s="33"/>
      <c r="AB615" s="33"/>
      <c r="AC615" s="33"/>
      <c r="AD615" s="33">
        <f t="shared" si="73"/>
        <v>1.5</v>
      </c>
      <c r="AE615" s="2">
        <f t="shared" si="72"/>
        <v>287.5</v>
      </c>
      <c r="AF615" s="2" t="str">
        <f>IF(ISBLANK(AM615),IF(O615=6,"",IF(O615=1,VLOOKUP(R615,怪物信息配置表!B:H,5,FALSE),IF(O615=2,VLOOKUP(R615,怪物信息配置表!B:H,6,FALSE),IF(OR(O615=3,O615=5),VLOOKUP(R615,怪物信息配置表!B:H,7,FALSE),"")))),AM615)</f>
        <v>1102_wuya_BOSS</v>
      </c>
      <c r="AG615" s="58"/>
      <c r="AH615" s="15">
        <f>SUMPRODUCT(T615:V615,$AN$3:$AP$3)+ROUNDDOWN(VLOOKUP(P615,CHOOSE({1,2},'[1]消耗&amp;价值&amp;分析'!$C$7:$C$106,'[1]消耗&amp;价值&amp;分析'!$AS$7:$AS$106),2,FALSE)*0.6,0)</f>
        <v>13028.90583844285</v>
      </c>
      <c r="AJ615" s="80">
        <v>1</v>
      </c>
      <c r="AK615" s="80">
        <v>1</v>
      </c>
      <c r="AL615" s="80">
        <v>1</v>
      </c>
    </row>
    <row r="616" spans="1:38" s="59" customFormat="1">
      <c r="A616" s="56" t="s">
        <v>568</v>
      </c>
      <c r="B616" s="57">
        <v>1</v>
      </c>
      <c r="C616" s="56">
        <v>1403</v>
      </c>
      <c r="D616" s="56">
        <v>1</v>
      </c>
      <c r="E616" s="56">
        <v>4</v>
      </c>
      <c r="F616" s="57">
        <v>0</v>
      </c>
      <c r="G616" s="57">
        <v>3</v>
      </c>
      <c r="H616" s="57">
        <v>1</v>
      </c>
      <c r="I616" s="33">
        <f t="shared" si="77"/>
        <v>403101</v>
      </c>
      <c r="J616" s="56" t="s">
        <v>522</v>
      </c>
      <c r="K616" s="56"/>
      <c r="L616" s="56">
        <v>0</v>
      </c>
      <c r="M616" s="56">
        <v>1</v>
      </c>
      <c r="N616" s="56"/>
      <c r="O616" s="56">
        <v>1</v>
      </c>
      <c r="P616" s="33">
        <f>VLOOKUP($C616,CHOOSE({1,2},怪物并表!$E$7:$E$1000,怪物并表!$D$7:$D$1000),2,FALSE)</f>
        <v>47</v>
      </c>
      <c r="Q616" s="33" t="s">
        <v>12</v>
      </c>
      <c r="R616" s="33">
        <f>VLOOKUP(Q616,怪物信息配置表!$A$2:$B$118,2,FALSE)</f>
        <v>1009</v>
      </c>
      <c r="S616" s="56">
        <v>1</v>
      </c>
      <c r="T616" s="110">
        <f>VLOOKUP($C616,怪物并表!$E$7:$N$1000,2+($D616-1)*3,FALSE)*S616*AJ616</f>
        <v>125922.2649424351</v>
      </c>
      <c r="U616" s="110">
        <f>VLOOKUP($C616,怪物并表!$E$7:$N$1000,3+($D616-1)*3,FALSE)*S616*AK616</f>
        <v>7252.6749534835508</v>
      </c>
      <c r="V616" s="110">
        <f>VLOOKUP($C616,怪物并表!$E$7:$N$1000,4+($D616-1)*3,FALSE)*S616*AL616</f>
        <v>2690.8275851505027</v>
      </c>
      <c r="W616" s="33"/>
      <c r="X616" s="33"/>
      <c r="Y616" s="49">
        <f>VLOOKUP($C616,怪物并表!$E$7:$P$1000,12,FALSE)</f>
        <v>0</v>
      </c>
      <c r="Z616" s="49">
        <f>VLOOKUP($C616,怪物并表!$E$7:$P$1000,11,FALSE)*S616</f>
        <v>3078.3160000000003</v>
      </c>
      <c r="AA616" s="33"/>
      <c r="AB616" s="33"/>
      <c r="AC616" s="33"/>
      <c r="AD616" s="33">
        <f t="shared" si="73"/>
        <v>1</v>
      </c>
      <c r="AE616" s="2">
        <f t="shared" si="72"/>
        <v>441.875</v>
      </c>
      <c r="AF616" s="2" t="str">
        <f>IF(ISBLANK(AM616),IF(O616=6,"",IF(O616=1,VLOOKUP(R616,怪物信息配置表!B:H,5,FALSE),IF(O616=2,VLOOKUP(R616,怪物信息配置表!B:H,6,FALSE),IF(OR(O616=3,O616=5),VLOOKUP(R616,怪物信息配置表!B:H,7,FALSE),"")))),AM616)</f>
        <v>ai_monster</v>
      </c>
      <c r="AG616" s="58"/>
      <c r="AH616" s="15">
        <f>SUMPRODUCT(T616:V616,$AN$3:$AP$3)+ROUNDDOWN(VLOOKUP(P616,CHOOSE({1,2},'[1]消耗&amp;价值&amp;分析'!$C$7:$C$106,'[1]消耗&amp;价值&amp;分析'!$AS$7:$AS$106),2,FALSE)*0.6,0)</f>
        <v>17374.393136331455</v>
      </c>
      <c r="AJ616" s="80">
        <v>1</v>
      </c>
      <c r="AK616" s="80">
        <v>1</v>
      </c>
      <c r="AL616" s="80">
        <v>1</v>
      </c>
    </row>
    <row r="617" spans="1:38" s="59" customFormat="1">
      <c r="A617" s="56" t="s">
        <v>568</v>
      </c>
      <c r="B617" s="57">
        <v>2</v>
      </c>
      <c r="C617" s="56">
        <v>1403</v>
      </c>
      <c r="D617" s="56">
        <v>1</v>
      </c>
      <c r="E617" s="56">
        <v>4</v>
      </c>
      <c r="F617" s="57">
        <v>0</v>
      </c>
      <c r="G617" s="57">
        <v>3</v>
      </c>
      <c r="H617" s="57">
        <v>1</v>
      </c>
      <c r="I617" s="33">
        <f t="shared" si="77"/>
        <v>403102</v>
      </c>
      <c r="J617" s="56" t="s">
        <v>523</v>
      </c>
      <c r="K617" s="56"/>
      <c r="L617" s="56">
        <v>0</v>
      </c>
      <c r="M617" s="56">
        <v>1</v>
      </c>
      <c r="N617" s="56"/>
      <c r="O617" s="56">
        <v>1</v>
      </c>
      <c r="P617" s="33">
        <f>VLOOKUP($C617,CHOOSE({1,2},怪物并表!$E$7:$E$1000,怪物并表!$D$7:$D$1000),2,FALSE)</f>
        <v>47</v>
      </c>
      <c r="Q617" s="33" t="s">
        <v>15</v>
      </c>
      <c r="R617" s="33">
        <f>VLOOKUP(Q617,怪物信息配置表!$A$2:$B$118,2,FALSE)</f>
        <v>1004</v>
      </c>
      <c r="S617" s="56">
        <v>1</v>
      </c>
      <c r="T617" s="110">
        <f>VLOOKUP($C617,怪物并表!$E$7:$N$1000,2+($D617-1)*3,FALSE)*S617*AJ617</f>
        <v>125922.2649424351</v>
      </c>
      <c r="U617" s="110">
        <f>VLOOKUP($C617,怪物并表!$E$7:$N$1000,3+($D617-1)*3,FALSE)*S617*AK617</f>
        <v>7252.6749534835508</v>
      </c>
      <c r="V617" s="110">
        <f>VLOOKUP($C617,怪物并表!$E$7:$N$1000,4+($D617-1)*3,FALSE)*S617*AL617</f>
        <v>2690.8275851505027</v>
      </c>
      <c r="W617" s="33"/>
      <c r="X617" s="33"/>
      <c r="Y617" s="49">
        <f>VLOOKUP($C617,怪物并表!$E$7:$P$1000,12,FALSE)</f>
        <v>0</v>
      </c>
      <c r="Z617" s="49">
        <f>VLOOKUP($C617,怪物并表!$E$7:$P$1000,11,FALSE)*S617</f>
        <v>3078.3160000000003</v>
      </c>
      <c r="AA617" s="33"/>
      <c r="AB617" s="33"/>
      <c r="AC617" s="33"/>
      <c r="AD617" s="33">
        <f t="shared" si="73"/>
        <v>1</v>
      </c>
      <c r="AE617" s="2">
        <f t="shared" si="72"/>
        <v>441.875</v>
      </c>
      <c r="AF617" s="2" t="str">
        <f>IF(ISBLANK(AM617),IF(O617=6,"",IF(O617=1,VLOOKUP(R617,怪物信息配置表!B:H,5,FALSE),IF(O617=2,VLOOKUP(R617,怪物信息配置表!B:H,6,FALSE),IF(OR(O617=3,O617=5),VLOOKUP(R617,怪物信息配置表!B:H,7,FALSE),"")))),AM617)</f>
        <v>ai_monster</v>
      </c>
      <c r="AG617" s="58"/>
      <c r="AH617" s="15">
        <f>SUMPRODUCT(T617:V617,$AN$3:$AP$3)+ROUNDDOWN(VLOOKUP(P617,CHOOSE({1,2},'[1]消耗&amp;价值&amp;分析'!$C$7:$C$106,'[1]消耗&amp;价值&amp;分析'!$AS$7:$AS$106),2,FALSE)*0.6,0)</f>
        <v>17374.393136331455</v>
      </c>
      <c r="AJ617" s="80">
        <v>1</v>
      </c>
      <c r="AK617" s="80">
        <v>1</v>
      </c>
      <c r="AL617" s="80">
        <v>1</v>
      </c>
    </row>
    <row r="618" spans="1:38" s="59" customFormat="1">
      <c r="A618" s="56" t="s">
        <v>568</v>
      </c>
      <c r="B618" s="57">
        <v>3</v>
      </c>
      <c r="C618" s="56">
        <v>1403</v>
      </c>
      <c r="D618" s="56">
        <v>3</v>
      </c>
      <c r="E618" s="56">
        <v>4</v>
      </c>
      <c r="F618" s="57">
        <v>0</v>
      </c>
      <c r="G618" s="57">
        <v>3</v>
      </c>
      <c r="H618" s="57">
        <v>1</v>
      </c>
      <c r="I618" s="33">
        <f t="shared" si="77"/>
        <v>403103</v>
      </c>
      <c r="J618" s="56" t="s">
        <v>20</v>
      </c>
      <c r="K618" s="56" t="s">
        <v>571</v>
      </c>
      <c r="L618" s="56">
        <v>0</v>
      </c>
      <c r="M618" s="56">
        <v>1.3</v>
      </c>
      <c r="N618" s="56"/>
      <c r="O618" s="56">
        <v>3</v>
      </c>
      <c r="P618" s="33">
        <f>VLOOKUP($C618,CHOOSE({1,2},怪物并表!$E$7:$E$1000,怪物并表!$D$7:$D$1000),2,FALSE)</f>
        <v>47</v>
      </c>
      <c r="Q618" s="33" t="s">
        <v>20</v>
      </c>
      <c r="R618" s="33">
        <f>VLOOKUP(Q618,怪物信息配置表!$A$2:$B$118,2,FALSE)</f>
        <v>1103</v>
      </c>
      <c r="S618" s="56">
        <v>1</v>
      </c>
      <c r="T618" s="110">
        <f>VLOOKUP($C618,怪物并表!$E$7:$N$1000,2+($D618-1)*3,FALSE)*S618*AJ618</f>
        <v>314805.66235608776</v>
      </c>
      <c r="U618" s="110">
        <f>VLOOKUP($C618,怪物并表!$E$7:$N$1000,3+($D618-1)*3,FALSE)*S618*AK618</f>
        <v>8165.0444271501601</v>
      </c>
      <c r="V618" s="110">
        <f>VLOOKUP($C618,怪物并表!$E$7:$N$1000,4+($D618-1)*3,FALSE)*S618*AL618</f>
        <v>3363.5344814381278</v>
      </c>
      <c r="W618" s="33"/>
      <c r="X618" s="33"/>
      <c r="Y618" s="49">
        <f>VLOOKUP($C618,怪物并表!$E$7:$P$1000,12,FALSE)</f>
        <v>0</v>
      </c>
      <c r="Z618" s="49">
        <f>VLOOKUP($C618,怪物并表!$E$7:$P$1000,11,FALSE)*S618</f>
        <v>3078.3160000000003</v>
      </c>
      <c r="AA618" s="33"/>
      <c r="AB618" s="33"/>
      <c r="AC618" s="33"/>
      <c r="AD618" s="33">
        <f t="shared" si="73"/>
        <v>1.5</v>
      </c>
      <c r="AE618" s="2">
        <f t="shared" si="72"/>
        <v>139.0625</v>
      </c>
      <c r="AF618" s="2" t="str">
        <f>IF(ISBLANK(AM618),IF(O618=6,"",IF(O618=1,VLOOKUP(R618,怪物信息配置表!B:H,5,FALSE),IF(O618=2,VLOOKUP(R618,怪物信息配置表!B:H,6,FALSE),IF(OR(O618=3,O618=5),VLOOKUP(R618,怪物信息配置表!B:H,7,FALSE),"")))),AM618)</f>
        <v>1103_situ_BOSS</v>
      </c>
      <c r="AG618" s="58"/>
      <c r="AH618" s="15">
        <f>SUMPRODUCT(T618:V618,$AN$3:$AP$3)+ROUNDDOWN(VLOOKUP(P618,CHOOSE({1,2},'[1]消耗&amp;价值&amp;分析'!$C$7:$C$106,'[1]消耗&amp;价值&amp;分析'!$AS$7:$AS$106),2,FALSE)*0.6,0)</f>
        <v>26514.805402831797</v>
      </c>
      <c r="AJ618" s="80">
        <v>1</v>
      </c>
      <c r="AK618" s="80">
        <v>1</v>
      </c>
      <c r="AL618" s="80">
        <v>1</v>
      </c>
    </row>
    <row r="619" spans="1:38" s="59" customFormat="1">
      <c r="A619" s="56" t="s">
        <v>568</v>
      </c>
      <c r="B619" s="57">
        <v>1</v>
      </c>
      <c r="C619" s="56">
        <v>1404</v>
      </c>
      <c r="D619" s="56">
        <v>1</v>
      </c>
      <c r="E619" s="56">
        <v>4</v>
      </c>
      <c r="F619" s="57">
        <v>0</v>
      </c>
      <c r="G619" s="57">
        <v>4</v>
      </c>
      <c r="H619" s="57">
        <v>1</v>
      </c>
      <c r="I619" s="33">
        <f t="shared" si="77"/>
        <v>404101</v>
      </c>
      <c r="J619" s="56" t="s">
        <v>524</v>
      </c>
      <c r="K619" s="56"/>
      <c r="L619" s="56">
        <v>1</v>
      </c>
      <c r="M619" s="56">
        <v>1</v>
      </c>
      <c r="N619" s="56"/>
      <c r="O619" s="56">
        <v>1</v>
      </c>
      <c r="P619" s="33">
        <f>VLOOKUP($C619,CHOOSE({1,2},怪物并表!$E$7:$E$1000,怪物并表!$D$7:$D$1000),2,FALSE)</f>
        <v>55</v>
      </c>
      <c r="Q619" s="33" t="s">
        <v>11</v>
      </c>
      <c r="R619" s="33">
        <f>VLOOKUP(Q619,怪物信息配置表!$A$2:$B$118,2,FALSE)</f>
        <v>1011</v>
      </c>
      <c r="S619" s="56">
        <v>1</v>
      </c>
      <c r="T619" s="110">
        <f>VLOOKUP($C619,怪物并表!$E$7:$N$1000,2+($D619-1)*3,FALSE)*S619*AJ619</f>
        <v>233073.01513015016</v>
      </c>
      <c r="U619" s="110">
        <f>VLOOKUP($C619,怪物并表!$E$7:$N$1000,3+($D619-1)*3,FALSE)*S619*AK619</f>
        <v>14274.780887374895</v>
      </c>
      <c r="V619" s="110">
        <f>VLOOKUP($C619,怪物并表!$E$7:$N$1000,4+($D619-1)*3,FALSE)*S619*AL619</f>
        <v>4533.7095602006693</v>
      </c>
      <c r="W619" s="33"/>
      <c r="X619" s="33"/>
      <c r="Y619" s="49">
        <f>VLOOKUP($C619,怪物并表!$E$7:$P$1000,12,FALSE)</f>
        <v>0</v>
      </c>
      <c r="Z619" s="49">
        <f>VLOOKUP($C619,怪物并表!$E$7:$P$1000,11,FALSE)*S619</f>
        <v>3544.1399999999994</v>
      </c>
      <c r="AA619" s="33"/>
      <c r="AB619" s="33"/>
      <c r="AC619" s="33"/>
      <c r="AD619" s="33">
        <f t="shared" si="73"/>
        <v>1</v>
      </c>
      <c r="AE619" s="2">
        <f t="shared" si="72"/>
        <v>346.875</v>
      </c>
      <c r="AF619" s="2" t="str">
        <f>IF(ISBLANK(AM619),IF(O619=6,"",IF(O619=1,VLOOKUP(R619,怪物信息配置表!B:H,5,FALSE),IF(O619=2,VLOOKUP(R619,怪物信息配置表!B:H,6,FALSE),IF(OR(O619=3,O619=5),VLOOKUP(R619,怪物信息配置表!B:H,7,FALSE),"")))),AM619)</f>
        <v>ai_monster</v>
      </c>
      <c r="AG619" s="58"/>
      <c r="AH619" s="15">
        <f>SUMPRODUCT(T619:V619,$AN$3:$AP$3)+ROUNDDOWN(VLOOKUP(P619,CHOOSE({1,2},'[1]消耗&amp;价值&amp;分析'!$C$7:$C$106,'[1]消耗&amp;价值&amp;分析'!$AS$7:$AS$106),2,FALSE)*0.6,0)</f>
        <v>31825.411052781572</v>
      </c>
      <c r="AJ619" s="80">
        <v>1</v>
      </c>
      <c r="AK619" s="80">
        <v>1</v>
      </c>
      <c r="AL619" s="80">
        <v>1</v>
      </c>
    </row>
    <row r="620" spans="1:38" s="59" customFormat="1">
      <c r="A620" s="56" t="s">
        <v>568</v>
      </c>
      <c r="B620" s="57">
        <v>2</v>
      </c>
      <c r="C620" s="56">
        <v>1404</v>
      </c>
      <c r="D620" s="56">
        <v>1</v>
      </c>
      <c r="E620" s="56">
        <v>4</v>
      </c>
      <c r="F620" s="57">
        <v>0</v>
      </c>
      <c r="G620" s="57">
        <v>4</v>
      </c>
      <c r="H620" s="57">
        <v>1</v>
      </c>
      <c r="I620" s="33">
        <f t="shared" si="77"/>
        <v>404102</v>
      </c>
      <c r="J620" s="56" t="s">
        <v>525</v>
      </c>
      <c r="K620" s="56"/>
      <c r="L620" s="56">
        <v>0</v>
      </c>
      <c r="M620" s="56">
        <v>1</v>
      </c>
      <c r="N620" s="56"/>
      <c r="O620" s="56">
        <v>1</v>
      </c>
      <c r="P620" s="33">
        <f>VLOOKUP($C620,CHOOSE({1,2},怪物并表!$E$7:$E$1000,怪物并表!$D$7:$D$1000),2,FALSE)</f>
        <v>55</v>
      </c>
      <c r="Q620" s="33" t="s">
        <v>10</v>
      </c>
      <c r="R620" s="33">
        <f>VLOOKUP(Q620,怪物信息配置表!$A$2:$B$118,2,FALSE)</f>
        <v>1001</v>
      </c>
      <c r="S620" s="56">
        <v>1</v>
      </c>
      <c r="T620" s="110">
        <f>VLOOKUP($C620,怪物并表!$E$7:$N$1000,2+($D620-1)*3,FALSE)*S620*AJ620</f>
        <v>233073.01513015016</v>
      </c>
      <c r="U620" s="110">
        <f>VLOOKUP($C620,怪物并表!$E$7:$N$1000,3+($D620-1)*3,FALSE)*S620*AK620</f>
        <v>14274.780887374895</v>
      </c>
      <c r="V620" s="110">
        <f>VLOOKUP($C620,怪物并表!$E$7:$N$1000,4+($D620-1)*3,FALSE)*S620*AL620</f>
        <v>4533.7095602006693</v>
      </c>
      <c r="W620" s="33"/>
      <c r="X620" s="33"/>
      <c r="Y620" s="49">
        <f>VLOOKUP($C620,怪物并表!$E$7:$P$1000,12,FALSE)</f>
        <v>0</v>
      </c>
      <c r="Z620" s="49">
        <f>VLOOKUP($C620,怪物并表!$E$7:$P$1000,11,FALSE)*S620</f>
        <v>3544.1399999999994</v>
      </c>
      <c r="AA620" s="33"/>
      <c r="AB620" s="33"/>
      <c r="AC620" s="33"/>
      <c r="AD620" s="33">
        <f t="shared" si="73"/>
        <v>1</v>
      </c>
      <c r="AE620" s="2">
        <f t="shared" si="72"/>
        <v>346.875</v>
      </c>
      <c r="AF620" s="2" t="str">
        <f>IF(ISBLANK(AM620),IF(O620=6,"",IF(O620=1,VLOOKUP(R620,怪物信息配置表!B:H,5,FALSE),IF(O620=2,VLOOKUP(R620,怪物信息配置表!B:H,6,FALSE),IF(OR(O620=3,O620=5),VLOOKUP(R620,怪物信息配置表!B:H,7,FALSE),"")))),AM620)</f>
        <v>ai_monster</v>
      </c>
      <c r="AG620" s="58"/>
      <c r="AH620" s="15">
        <f>SUMPRODUCT(T620:V620,$AN$3:$AP$3)+ROUNDDOWN(VLOOKUP(P620,CHOOSE({1,2},'[1]消耗&amp;价值&amp;分析'!$C$7:$C$106,'[1]消耗&amp;价值&amp;分析'!$AS$7:$AS$106),2,FALSE)*0.6,0)</f>
        <v>31825.411052781572</v>
      </c>
      <c r="AJ620" s="80">
        <v>1</v>
      </c>
      <c r="AK620" s="80">
        <v>1</v>
      </c>
      <c r="AL620" s="80">
        <v>1</v>
      </c>
    </row>
    <row r="621" spans="1:38" s="59" customFormat="1">
      <c r="A621" s="56" t="s">
        <v>568</v>
      </c>
      <c r="B621" s="57">
        <v>3</v>
      </c>
      <c r="C621" s="56">
        <v>1404</v>
      </c>
      <c r="D621" s="56">
        <v>3</v>
      </c>
      <c r="E621" s="56">
        <v>4</v>
      </c>
      <c r="F621" s="57">
        <v>0</v>
      </c>
      <c r="G621" s="57">
        <v>4</v>
      </c>
      <c r="H621" s="57">
        <v>1</v>
      </c>
      <c r="I621" s="33">
        <f t="shared" si="77"/>
        <v>404103</v>
      </c>
      <c r="J621" s="56" t="s">
        <v>526</v>
      </c>
      <c r="K621" s="56" t="s">
        <v>572</v>
      </c>
      <c r="L621" s="56">
        <v>0</v>
      </c>
      <c r="M621" s="56">
        <v>1.2</v>
      </c>
      <c r="N621" s="56"/>
      <c r="O621" s="56">
        <v>3</v>
      </c>
      <c r="P621" s="33">
        <f>VLOOKUP($C621,CHOOSE({1,2},怪物并表!$E$7:$E$1000,怪物并表!$D$7:$D$1000),2,FALSE)</f>
        <v>55</v>
      </c>
      <c r="Q621" s="33" t="s">
        <v>21</v>
      </c>
      <c r="R621" s="33">
        <f>VLOOKUP(Q621,怪物信息配置表!$A$2:$B$118,2,FALSE)</f>
        <v>1104</v>
      </c>
      <c r="S621" s="56">
        <v>1</v>
      </c>
      <c r="T621" s="110">
        <f>VLOOKUP($C621,怪物并表!$E$7:$N$1000,2+($D621-1)*3,FALSE)*S621*AJ621</f>
        <v>582682.53782537545</v>
      </c>
      <c r="U621" s="110">
        <f>VLOOKUP($C621,怪物并表!$E$7:$N$1000,3+($D621-1)*3,FALSE)*S621*AK621</f>
        <v>16222.995152809737</v>
      </c>
      <c r="V621" s="110">
        <f>VLOOKUP($C621,怪物并表!$E$7:$N$1000,4+($D621-1)*3,FALSE)*S621*AL621</f>
        <v>5667.1369502508369</v>
      </c>
      <c r="W621" s="33"/>
      <c r="X621" s="33"/>
      <c r="Y621" s="49">
        <f>VLOOKUP($C621,怪物并表!$E$7:$P$1000,12,FALSE)</f>
        <v>0</v>
      </c>
      <c r="Z621" s="49">
        <f>VLOOKUP($C621,怪物并表!$E$7:$P$1000,11,FALSE)*S621</f>
        <v>3544.1399999999994</v>
      </c>
      <c r="AA621" s="33"/>
      <c r="AB621" s="33"/>
      <c r="AC621" s="33"/>
      <c r="AD621" s="33">
        <f t="shared" si="73"/>
        <v>1.5</v>
      </c>
      <c r="AE621" s="2">
        <f t="shared" si="72"/>
        <v>50</v>
      </c>
      <c r="AF621" s="2" t="str">
        <f>IF(ISBLANK(AM621),IF(O621=6,"",IF(O621=1,VLOOKUP(R621,怪物信息配置表!B:H,5,FALSE),IF(O621=2,VLOOKUP(R621,怪物信息配置表!B:H,6,FALSE),IF(OR(O621=3,O621=5),VLOOKUP(R621,怪物信息配置表!B:H,7,FALSE),"")))),AM621)</f>
        <v>1104_duwang_BOSS</v>
      </c>
      <c r="AG621" s="58"/>
      <c r="AH621" s="15">
        <f>SUMPRODUCT(T621:V621,$AN$3:$AP$3)+ROUNDDOWN(VLOOKUP(P621,CHOOSE({1,2},'[1]消耗&amp;价值&amp;分析'!$C$7:$C$106,'[1]消耗&amp;价值&amp;分析'!$AS$7:$AS$106),2,FALSE)*0.6,0)</f>
        <v>48891.433616075599</v>
      </c>
      <c r="AJ621" s="80">
        <v>1</v>
      </c>
      <c r="AK621" s="80">
        <v>1</v>
      </c>
      <c r="AL621" s="80">
        <v>1</v>
      </c>
    </row>
    <row r="622" spans="1:38" s="59" customFormat="1">
      <c r="A622" s="56" t="s">
        <v>568</v>
      </c>
      <c r="B622" s="57">
        <v>1</v>
      </c>
      <c r="C622" s="56">
        <v>1405</v>
      </c>
      <c r="D622" s="56">
        <v>1</v>
      </c>
      <c r="E622" s="56">
        <v>4</v>
      </c>
      <c r="F622" s="57">
        <v>0</v>
      </c>
      <c r="G622" s="57">
        <v>5</v>
      </c>
      <c r="H622" s="57">
        <v>1</v>
      </c>
      <c r="I622" s="33">
        <f t="shared" si="77"/>
        <v>405101</v>
      </c>
      <c r="J622" s="56" t="s">
        <v>527</v>
      </c>
      <c r="K622" s="56"/>
      <c r="L622" s="56">
        <v>0</v>
      </c>
      <c r="M622" s="56">
        <v>1</v>
      </c>
      <c r="N622" s="56"/>
      <c r="O622" s="56">
        <v>1</v>
      </c>
      <c r="P622" s="33">
        <f>VLOOKUP($C622,CHOOSE({1,2},怪物并表!$E$7:$E$1000,怪物并表!$D$7:$D$1000),2,FALSE)</f>
        <v>63</v>
      </c>
      <c r="Q622" s="33" t="s">
        <v>25</v>
      </c>
      <c r="R622" s="33">
        <f>VLOOKUP(Q622,怪物信息配置表!$A$2:$B$118,2,FALSE)</f>
        <v>1012</v>
      </c>
      <c r="S622" s="56">
        <v>1</v>
      </c>
      <c r="T622" s="110">
        <f>VLOOKUP($C622,怪物并表!$E$7:$N$1000,2+($D622-1)*3,FALSE)*S622*AJ622</f>
        <v>402747.15166459483</v>
      </c>
      <c r="U622" s="110">
        <f>VLOOKUP($C622,怪物并表!$E$7:$N$1000,3+($D622-1)*3,FALSE)*S622*AK622</f>
        <v>26489.530463118466</v>
      </c>
      <c r="V622" s="110">
        <f>VLOOKUP($C622,怪物并表!$E$7:$N$1000,4+($D622-1)*3,FALSE)*S622*AL622</f>
        <v>7199.7271380200691</v>
      </c>
      <c r="W622" s="33"/>
      <c r="X622" s="33"/>
      <c r="Y622" s="49">
        <f>VLOOKUP($C622,怪物并表!$E$7:$P$1000,12,FALSE)</f>
        <v>0</v>
      </c>
      <c r="Z622" s="49">
        <f>VLOOKUP($C622,怪物并表!$E$7:$P$1000,11,FALSE)*S622</f>
        <v>4009.9639999999999</v>
      </c>
      <c r="AA622" s="33"/>
      <c r="AB622" s="33"/>
      <c r="AC622" s="33"/>
      <c r="AD622" s="33">
        <f t="shared" si="73"/>
        <v>1</v>
      </c>
      <c r="AE622" s="2">
        <f t="shared" si="72"/>
        <v>251.875</v>
      </c>
      <c r="AF622" s="2" t="str">
        <f>IF(ISBLANK(AM622),IF(O622=6,"",IF(O622=1,VLOOKUP(R622,怪物信息配置表!B:H,5,FALSE),IF(O622=2,VLOOKUP(R622,怪物信息配置表!B:H,6,FALSE),IF(OR(O622=3,O622=5),VLOOKUP(R622,怪物信息配置表!B:H,7,FALSE),"")))),AM622)</f>
        <v>ai_monster_03</v>
      </c>
      <c r="AG622" s="58"/>
      <c r="AH622" s="15">
        <f>SUMPRODUCT(T622:V622,$AN$3:$AP$3)+ROUNDDOWN(VLOOKUP(P622,CHOOSE({1,2},'[1]消耗&amp;价值&amp;分析'!$C$7:$C$106,'[1]消耗&amp;价值&amp;分析'!$AS$7:$AS$106),2,FALSE)*0.6,0)</f>
        <v>55386.143667722325</v>
      </c>
      <c r="AJ622" s="80">
        <v>1</v>
      </c>
      <c r="AK622" s="80">
        <v>1</v>
      </c>
      <c r="AL622" s="80">
        <v>1</v>
      </c>
    </row>
    <row r="623" spans="1:38" s="59" customFormat="1">
      <c r="A623" s="56" t="s">
        <v>568</v>
      </c>
      <c r="B623" s="57">
        <v>2</v>
      </c>
      <c r="C623" s="56">
        <v>1405</v>
      </c>
      <c r="D623" s="56">
        <v>1</v>
      </c>
      <c r="E623" s="56">
        <v>4</v>
      </c>
      <c r="F623" s="57">
        <v>0</v>
      </c>
      <c r="G623" s="57">
        <v>5</v>
      </c>
      <c r="H623" s="57">
        <v>1</v>
      </c>
      <c r="I623" s="33">
        <f t="shared" si="77"/>
        <v>405102</v>
      </c>
      <c r="J623" s="56" t="s">
        <v>528</v>
      </c>
      <c r="K623" s="56"/>
      <c r="L623" s="56">
        <v>1</v>
      </c>
      <c r="M623" s="56">
        <v>1</v>
      </c>
      <c r="N623" s="56"/>
      <c r="O623" s="56">
        <v>1</v>
      </c>
      <c r="P623" s="33">
        <f>VLOOKUP($C623,CHOOSE({1,2},怪物并表!$E$7:$E$1000,怪物并表!$D$7:$D$1000),2,FALSE)</f>
        <v>63</v>
      </c>
      <c r="Q623" s="33" t="s">
        <v>22</v>
      </c>
      <c r="R623" s="33">
        <f>VLOOKUP(Q623,怪物信息配置表!$A$2:$B$118,2,FALSE)</f>
        <v>1013</v>
      </c>
      <c r="S623" s="56">
        <v>1</v>
      </c>
      <c r="T623" s="110">
        <f>VLOOKUP($C623,怪物并表!$E$7:$N$1000,2+($D623-1)*3,FALSE)*S623*AJ623</f>
        <v>402747.15166459483</v>
      </c>
      <c r="U623" s="110">
        <f>VLOOKUP($C623,怪物并表!$E$7:$N$1000,3+($D623-1)*3,FALSE)*S623*AK623</f>
        <v>26489.530463118466</v>
      </c>
      <c r="V623" s="110">
        <f>VLOOKUP($C623,怪物并表!$E$7:$N$1000,4+($D623-1)*3,FALSE)*S623*AL623</f>
        <v>7199.7271380200691</v>
      </c>
      <c r="W623" s="33"/>
      <c r="X623" s="33"/>
      <c r="Y623" s="49">
        <f>VLOOKUP($C623,怪物并表!$E$7:$P$1000,12,FALSE)</f>
        <v>0</v>
      </c>
      <c r="Z623" s="49">
        <f>VLOOKUP($C623,怪物并表!$E$7:$P$1000,11,FALSE)*S623</f>
        <v>4009.9639999999999</v>
      </c>
      <c r="AA623" s="33"/>
      <c r="AB623" s="33"/>
      <c r="AC623" s="33"/>
      <c r="AD623" s="33">
        <f t="shared" si="73"/>
        <v>1</v>
      </c>
      <c r="AE623" s="2">
        <f t="shared" si="72"/>
        <v>251.875</v>
      </c>
      <c r="AF623" s="2" t="str">
        <f>IF(ISBLANK(AM623),IF(O623=6,"",IF(O623=1,VLOOKUP(R623,怪物信息配置表!B:H,5,FALSE),IF(O623=2,VLOOKUP(R623,怪物信息配置表!B:H,6,FALSE),IF(OR(O623=3,O623=5),VLOOKUP(R623,怪物信息配置表!B:H,7,FALSE),"")))),AM623)</f>
        <v>ai_monster_02</v>
      </c>
      <c r="AG623" s="58"/>
      <c r="AH623" s="15">
        <f>SUMPRODUCT(T623:V623,$AN$3:$AP$3)+ROUNDDOWN(VLOOKUP(P623,CHOOSE({1,2},'[1]消耗&amp;价值&amp;分析'!$C$7:$C$106,'[1]消耗&amp;价值&amp;分析'!$AS$7:$AS$106),2,FALSE)*0.6,0)</f>
        <v>55386.143667722325</v>
      </c>
      <c r="AJ623" s="80">
        <v>1</v>
      </c>
      <c r="AK623" s="80">
        <v>1</v>
      </c>
      <c r="AL623" s="80">
        <v>1</v>
      </c>
    </row>
    <row r="624" spans="1:38" s="59" customFormat="1">
      <c r="A624" s="56" t="s">
        <v>568</v>
      </c>
      <c r="B624" s="57">
        <v>3</v>
      </c>
      <c r="C624" s="56">
        <v>1405</v>
      </c>
      <c r="D624" s="56">
        <v>3</v>
      </c>
      <c r="E624" s="56">
        <v>4</v>
      </c>
      <c r="F624" s="57">
        <v>0</v>
      </c>
      <c r="G624" s="57">
        <v>5</v>
      </c>
      <c r="H624" s="57">
        <v>1</v>
      </c>
      <c r="I624" s="33">
        <f t="shared" si="77"/>
        <v>405103</v>
      </c>
      <c r="J624" s="56" t="s">
        <v>26</v>
      </c>
      <c r="K624" s="56" t="s">
        <v>573</v>
      </c>
      <c r="L624" s="56">
        <v>0</v>
      </c>
      <c r="M624" s="56">
        <v>1.2</v>
      </c>
      <c r="N624" s="56"/>
      <c r="O624" s="56">
        <v>3</v>
      </c>
      <c r="P624" s="33">
        <f>VLOOKUP($C624,CHOOSE({1,2},怪物并表!$E$7:$E$1000,怪物并表!$D$7:$D$1000),2,FALSE)</f>
        <v>63</v>
      </c>
      <c r="Q624" s="33" t="s">
        <v>26</v>
      </c>
      <c r="R624" s="33">
        <f>VLOOKUP(Q624,怪物信息配置表!$A$2:$B$118,2,FALSE)</f>
        <v>1105</v>
      </c>
      <c r="S624" s="56">
        <v>1</v>
      </c>
      <c r="T624" s="110">
        <f>VLOOKUP($C624,怪物并表!$E$7:$N$1000,2+($D624-1)*3,FALSE)*S624*AJ624</f>
        <v>1006867.8791614871</v>
      </c>
      <c r="U624" s="110">
        <f>VLOOKUP($C624,怪物并表!$E$7:$N$1000,3+($D624-1)*3,FALSE)*S624*AK624</f>
        <v>30347.491128138146</v>
      </c>
      <c r="V624" s="110">
        <f>VLOOKUP($C624,怪物并表!$E$7:$N$1000,4+($D624-1)*3,FALSE)*S624*AL624</f>
        <v>8999.6589225250864</v>
      </c>
      <c r="W624" s="33"/>
      <c r="X624" s="33"/>
      <c r="Y624" s="49">
        <f>VLOOKUP($C624,怪物并表!$E$7:$P$1000,12,FALSE)</f>
        <v>0</v>
      </c>
      <c r="Z624" s="49">
        <f>VLOOKUP($C624,怪物并表!$E$7:$P$1000,11,FALSE)*S624</f>
        <v>4009.9639999999999</v>
      </c>
      <c r="AA624" s="33"/>
      <c r="AB624" s="33"/>
      <c r="AC624" s="33"/>
      <c r="AD624" s="33">
        <f t="shared" si="73"/>
        <v>1.5</v>
      </c>
      <c r="AE624" s="2">
        <f t="shared" si="72"/>
        <v>50</v>
      </c>
      <c r="AF624" s="2" t="str">
        <f>IF(ISBLANK(AM624),IF(O624=6,"",IF(O624=1,VLOOKUP(R624,怪物信息配置表!B:H,5,FALSE),IF(O624=2,VLOOKUP(R624,怪物信息配置表!B:H,6,FALSE),IF(OR(O624=3,O624=5),VLOOKUP(R624,怪物信息配置表!B:H,7,FALSE),"")))),AM624)</f>
        <v>1105_leigong_BOSS</v>
      </c>
      <c r="AG624" s="58"/>
      <c r="AH624" s="15">
        <f>SUMPRODUCT(T624:V624,$AN$3:$AP$3)+ROUNDDOWN(VLOOKUP(P624,CHOOSE({1,2},'[1]消耗&amp;价值&amp;分析'!$C$7:$C$106,'[1]消耗&amp;价值&amp;分析'!$AS$7:$AS$106),2,FALSE)*0.6,0)</f>
        <v>85208.865217122715</v>
      </c>
      <c r="AJ624" s="80">
        <v>1</v>
      </c>
      <c r="AK624" s="80">
        <v>1</v>
      </c>
      <c r="AL624" s="80">
        <v>1</v>
      </c>
    </row>
    <row r="625" spans="1:38" s="59" customFormat="1">
      <c r="A625" s="56" t="s">
        <v>568</v>
      </c>
      <c r="B625" s="57">
        <v>1</v>
      </c>
      <c r="C625" s="56">
        <v>1406</v>
      </c>
      <c r="D625" s="56">
        <v>1</v>
      </c>
      <c r="E625" s="56">
        <v>4</v>
      </c>
      <c r="F625" s="57">
        <v>0</v>
      </c>
      <c r="G625" s="57">
        <v>6</v>
      </c>
      <c r="H625" s="57">
        <v>1</v>
      </c>
      <c r="I625" s="33">
        <f t="shared" si="77"/>
        <v>406101</v>
      </c>
      <c r="J625" s="56" t="s">
        <v>529</v>
      </c>
      <c r="K625" s="56"/>
      <c r="L625" s="56">
        <v>0</v>
      </c>
      <c r="M625" s="56">
        <v>1</v>
      </c>
      <c r="N625" s="56"/>
      <c r="O625" s="56">
        <v>1</v>
      </c>
      <c r="P625" s="33">
        <f>VLOOKUP($C625,CHOOSE({1,2},怪物并表!$E$7:$E$1000,怪物并表!$D$7:$D$1000),2,FALSE)</f>
        <v>71</v>
      </c>
      <c r="Q625" s="33" t="s">
        <v>399</v>
      </c>
      <c r="R625" s="33">
        <f>VLOOKUP(Q625,怪物信息配置表!$A$2:$B$118,2,FALSE)</f>
        <v>1014</v>
      </c>
      <c r="S625" s="56">
        <v>1</v>
      </c>
      <c r="T625" s="110">
        <f>VLOOKUP($C625,怪物并表!$E$7:$N$1000,2+($D625-1)*3,FALSE)*S625*AJ625</f>
        <v>658900.95051244006</v>
      </c>
      <c r="U625" s="110">
        <f>VLOOKUP($C625,怪物并表!$E$7:$N$1000,3+($D625-1)*3,FALSE)*S625*AK625</f>
        <v>44839.462152910943</v>
      </c>
      <c r="V625" s="110">
        <f>VLOOKUP($C625,怪物并表!$E$7:$N$1000,4+($D625-1)*3,FALSE)*S625*AL625</f>
        <v>10908.008309404689</v>
      </c>
      <c r="W625" s="33"/>
      <c r="X625" s="33"/>
      <c r="Y625" s="49">
        <f>VLOOKUP($C625,怪物并表!$E$7:$P$1000,12,FALSE)</f>
        <v>0</v>
      </c>
      <c r="Z625" s="49">
        <f>VLOOKUP($C625,怪物并表!$E$7:$P$1000,11,FALSE)*S625</f>
        <v>4475.7879999999996</v>
      </c>
      <c r="AA625" s="33"/>
      <c r="AB625" s="33"/>
      <c r="AC625" s="33"/>
      <c r="AD625" s="33">
        <f t="shared" si="73"/>
        <v>1</v>
      </c>
      <c r="AE625" s="2">
        <f t="shared" si="72"/>
        <v>134.375</v>
      </c>
      <c r="AF625" s="2" t="str">
        <f>IF(ISBLANK(AM625),IF(O625=6,"",IF(O625=1,VLOOKUP(R625,怪物信息配置表!B:H,5,FALSE),IF(O625=2,VLOOKUP(R625,怪物信息配置表!B:H,6,FALSE),IF(OR(O625=3,O625=5),VLOOKUP(R625,怪物信息配置表!B:H,7,FALSE),"")))),AM625)</f>
        <v>ai_monster_03</v>
      </c>
      <c r="AG625" s="58"/>
      <c r="AH625" s="15">
        <f>SUMPRODUCT(T625:V625,$AN$3:$AP$3)+ROUNDDOWN(VLOOKUP(P625,CHOOSE({1,2},'[1]消耗&amp;价值&amp;分析'!$C$7:$C$106,'[1]消耗&amp;价值&amp;分析'!$AS$7:$AS$106),2,FALSE)*0.6,0)</f>
        <v>90317.508482813224</v>
      </c>
      <c r="AJ625" s="80">
        <v>1</v>
      </c>
      <c r="AK625" s="80">
        <v>1</v>
      </c>
      <c r="AL625" s="80">
        <v>1</v>
      </c>
    </row>
    <row r="626" spans="1:38" s="59" customFormat="1">
      <c r="A626" s="56" t="s">
        <v>568</v>
      </c>
      <c r="B626" s="57">
        <v>2</v>
      </c>
      <c r="C626" s="56">
        <v>1406</v>
      </c>
      <c r="D626" s="56">
        <v>1</v>
      </c>
      <c r="E626" s="56">
        <v>4</v>
      </c>
      <c r="F626" s="57">
        <v>0</v>
      </c>
      <c r="G626" s="57">
        <v>6</v>
      </c>
      <c r="H626" s="57">
        <v>1</v>
      </c>
      <c r="I626" s="33">
        <f t="shared" si="77"/>
        <v>406102</v>
      </c>
      <c r="J626" s="56" t="s">
        <v>530</v>
      </c>
      <c r="K626" s="56"/>
      <c r="L626" s="56">
        <v>0</v>
      </c>
      <c r="M626" s="56">
        <v>1</v>
      </c>
      <c r="N626" s="56"/>
      <c r="O626" s="56">
        <v>1</v>
      </c>
      <c r="P626" s="33">
        <f>VLOOKUP($C626,CHOOSE({1,2},怪物并表!$E$7:$E$1000,怪物并表!$D$7:$D$1000),2,FALSE)</f>
        <v>71</v>
      </c>
      <c r="Q626" s="33" t="s">
        <v>24</v>
      </c>
      <c r="R626" s="33">
        <f>VLOOKUP(Q626,怪物信息配置表!$A$2:$B$118,2,FALSE)</f>
        <v>1015</v>
      </c>
      <c r="S626" s="56">
        <v>1</v>
      </c>
      <c r="T626" s="110">
        <f>VLOOKUP($C626,怪物并表!$E$7:$N$1000,2+($D626-1)*3,FALSE)*S626*AJ626</f>
        <v>658900.95051244006</v>
      </c>
      <c r="U626" s="110">
        <f>VLOOKUP($C626,怪物并表!$E$7:$N$1000,3+($D626-1)*3,FALSE)*S626*AK626</f>
        <v>44839.462152910943</v>
      </c>
      <c r="V626" s="110">
        <f>VLOOKUP($C626,怪物并表!$E$7:$N$1000,4+($D626-1)*3,FALSE)*S626*AL626</f>
        <v>10908.008309404689</v>
      </c>
      <c r="W626" s="33"/>
      <c r="X626" s="33"/>
      <c r="Y626" s="49">
        <f>VLOOKUP($C626,怪物并表!$E$7:$P$1000,12,FALSE)</f>
        <v>0</v>
      </c>
      <c r="Z626" s="49">
        <f>VLOOKUP($C626,怪物并表!$E$7:$P$1000,11,FALSE)*S626</f>
        <v>4475.7879999999996</v>
      </c>
      <c r="AA626" s="33"/>
      <c r="AB626" s="33"/>
      <c r="AC626" s="33"/>
      <c r="AD626" s="33">
        <f t="shared" si="73"/>
        <v>1</v>
      </c>
      <c r="AE626" s="2">
        <f t="shared" si="72"/>
        <v>134.375</v>
      </c>
      <c r="AF626" s="2" t="str">
        <f>IF(ISBLANK(AM626),IF(O626=6,"",IF(O626=1,VLOOKUP(R626,怪物信息配置表!B:H,5,FALSE),IF(O626=2,VLOOKUP(R626,怪物信息配置表!B:H,6,FALSE),IF(OR(O626=3,O626=5),VLOOKUP(R626,怪物信息配置表!B:H,7,FALSE),"")))),AM626)</f>
        <v>ai_monster_03</v>
      </c>
      <c r="AG626" s="58"/>
      <c r="AH626" s="15">
        <f>SUMPRODUCT(T626:V626,$AN$3:$AP$3)+ROUNDDOWN(VLOOKUP(P626,CHOOSE({1,2},'[1]消耗&amp;价值&amp;分析'!$C$7:$C$106,'[1]消耗&amp;价值&amp;分析'!$AS$7:$AS$106),2,FALSE)*0.6,0)</f>
        <v>90317.508482813224</v>
      </c>
      <c r="AJ626" s="80">
        <v>1</v>
      </c>
      <c r="AK626" s="80">
        <v>1</v>
      </c>
      <c r="AL626" s="80">
        <v>1</v>
      </c>
    </row>
    <row r="627" spans="1:38" s="59" customFormat="1">
      <c r="A627" s="56" t="s">
        <v>568</v>
      </c>
      <c r="B627" s="57">
        <v>3</v>
      </c>
      <c r="C627" s="56">
        <v>1406</v>
      </c>
      <c r="D627" s="56">
        <v>3</v>
      </c>
      <c r="E627" s="56">
        <v>4</v>
      </c>
      <c r="F627" s="57">
        <v>0</v>
      </c>
      <c r="G627" s="57">
        <v>6</v>
      </c>
      <c r="H627" s="57">
        <v>1</v>
      </c>
      <c r="I627" s="33">
        <f t="shared" si="77"/>
        <v>406103</v>
      </c>
      <c r="J627" s="56" t="s">
        <v>499</v>
      </c>
      <c r="K627" s="56" t="s">
        <v>574</v>
      </c>
      <c r="L627" s="56">
        <v>1</v>
      </c>
      <c r="M627" s="56">
        <v>1.3</v>
      </c>
      <c r="N627" s="56"/>
      <c r="O627" s="56">
        <v>3</v>
      </c>
      <c r="P627" s="33">
        <f>VLOOKUP($C627,CHOOSE({1,2},怪物并表!$E$7:$E$1000,怪物并表!$D$7:$D$1000),2,FALSE)</f>
        <v>71</v>
      </c>
      <c r="Q627" s="33" t="s">
        <v>369</v>
      </c>
      <c r="R627" s="33">
        <f>VLOOKUP(Q627,怪物信息配置表!$A$2:$B$118,2,FALSE)</f>
        <v>1106</v>
      </c>
      <c r="S627" s="56">
        <v>1</v>
      </c>
      <c r="T627" s="110">
        <f>VLOOKUP($C627,怪物并表!$E$7:$N$1000,2+($D627-1)*3,FALSE)*S627*AJ627</f>
        <v>1647252.3762811001</v>
      </c>
      <c r="U627" s="110">
        <f>VLOOKUP($C627,怪物并表!$E$7:$N$1000,3+($D627-1)*3,FALSE)*S627*AK627</f>
        <v>51625.752921612191</v>
      </c>
      <c r="V627" s="110">
        <f>VLOOKUP($C627,怪物并表!$E$7:$N$1000,4+($D627-1)*3,FALSE)*S627*AL627</f>
        <v>13635.010386755861</v>
      </c>
      <c r="W627" s="33"/>
      <c r="X627" s="33"/>
      <c r="Y627" s="49">
        <f>VLOOKUP($C627,怪物并表!$E$7:$P$1000,12,FALSE)</f>
        <v>0</v>
      </c>
      <c r="Z627" s="49">
        <f>VLOOKUP($C627,怪物并表!$E$7:$P$1000,11,FALSE)*S627</f>
        <v>4475.7879999999996</v>
      </c>
      <c r="AA627" s="33"/>
      <c r="AB627" s="33"/>
      <c r="AC627" s="33"/>
      <c r="AD627" s="33">
        <f t="shared" si="73"/>
        <v>1.5</v>
      </c>
      <c r="AE627" s="2">
        <f t="shared" si="72"/>
        <v>50</v>
      </c>
      <c r="AF627" s="2" t="str">
        <f>IF(ISBLANK(AM627),IF(O627=6,"",IF(O627=1,VLOOKUP(R627,怪物信息配置表!B:H,5,FALSE),IF(O627=2,VLOOKUP(R627,怪物信息配置表!B:H,6,FALSE),IF(OR(O627=3,O627=5),VLOOKUP(R627,怪物信息配置表!B:H,7,FALSE),"")))),AM627)</f>
        <v>1106_shankou_BOSS</v>
      </c>
      <c r="AG627" s="58"/>
      <c r="AH627" s="15">
        <f>SUMPRODUCT(T627:V627,$AN$3:$AP$3)+ROUNDDOWN(VLOOKUP(P627,CHOOSE({1,2},'[1]消耗&amp;价值&amp;分析'!$C$7:$C$106,'[1]消耗&amp;价值&amp;分析'!$AS$7:$AS$106),2,FALSE)*0.6,0)</f>
        <v>139364.85835961206</v>
      </c>
      <c r="AJ627" s="80">
        <v>1</v>
      </c>
      <c r="AK627" s="80">
        <v>1</v>
      </c>
      <c r="AL627" s="80">
        <v>1</v>
      </c>
    </row>
    <row r="628" spans="1:38">
      <c r="A628" s="33" t="str">
        <f>怪物并表!$R$11</f>
        <v>马仔经验副本</v>
      </c>
      <c r="B628" s="38">
        <v>1</v>
      </c>
      <c r="C628" s="33">
        <f t="shared" ref="C628:C663" si="78">1800+G628</f>
        <v>1801</v>
      </c>
      <c r="D628" s="33">
        <v>2</v>
      </c>
      <c r="E628" s="33">
        <f>VLOOKUP(A628,怪物并表!$R$7:$S$14,2,FALSE)</f>
        <v>5</v>
      </c>
      <c r="F628" s="38">
        <v>0</v>
      </c>
      <c r="G628" s="38">
        <v>1</v>
      </c>
      <c r="H628" s="38">
        <v>1</v>
      </c>
      <c r="I628" s="33">
        <f t="shared" si="77"/>
        <v>501101</v>
      </c>
      <c r="J628" s="33" t="s">
        <v>654</v>
      </c>
      <c r="K628" s="33" t="s">
        <v>655</v>
      </c>
      <c r="L628" s="33">
        <v>0</v>
      </c>
      <c r="M628" s="33">
        <v>1</v>
      </c>
      <c r="N628" s="33"/>
      <c r="O628" s="33">
        <v>1</v>
      </c>
      <c r="P628" s="33">
        <f>VLOOKUP($C628,CHOOSE({1,2},怪物并表!$E$7:$E$1000,怪物并表!$D$7:$D$1000),2,FALSE)</f>
        <v>11</v>
      </c>
      <c r="Q628" s="33" t="s">
        <v>9</v>
      </c>
      <c r="R628" s="33">
        <f>VLOOKUP(Q628,怪物信息配置表!$A$2:$B$118,2,FALSE)</f>
        <v>1003</v>
      </c>
      <c r="S628" s="33">
        <v>1.2</v>
      </c>
      <c r="T628" s="110">
        <f>VLOOKUP($C628,怪物并表!$E$7:$N$1000,2+($D628-1)*3,FALSE)*S628*AJ628</f>
        <v>1640.4594407093498</v>
      </c>
      <c r="U628" s="110">
        <f>VLOOKUP($C628,怪物并表!$E$7:$N$1000,3+($D628-1)*3,FALSE)*S628*AK628</f>
        <v>149.8170040694535</v>
      </c>
      <c r="V628" s="110">
        <f>VLOOKUP($C628,怪物并表!$E$7:$N$1000,4+($D628-1)*3,FALSE)*S628*AL628</f>
        <v>48.863369739130469</v>
      </c>
      <c r="W628" s="33"/>
      <c r="X628" s="33"/>
      <c r="Y628" s="49">
        <f>VLOOKUP($C628,怪物并表!$E$7:$P$1000,12,FALSE)</f>
        <v>0</v>
      </c>
      <c r="Z628" s="49">
        <f>VLOOKUP($C628,怪物并表!$E$7:$P$1000,11,FALSE)*S628</f>
        <v>1178.5296000000001</v>
      </c>
      <c r="AA628" s="33"/>
      <c r="AB628" s="33"/>
      <c r="AC628" s="33"/>
      <c r="AD628" s="33">
        <f t="shared" si="73"/>
        <v>0.8</v>
      </c>
      <c r="AE628" s="2">
        <f t="shared" si="72"/>
        <v>895.5</v>
      </c>
      <c r="AF628" s="2" t="str">
        <f>IF(ISBLANK(AM628),IF(O628=6,"",IF(O628=1,VLOOKUP(R628,怪物信息配置表!B:H,5,FALSE),IF(O628=2,VLOOKUP(R628,怪物信息配置表!B:H,6,FALSE),IF(OR(O628=3,O628=5),VLOOKUP(R628,怪物信息配置表!B:H,7,FALSE),"")))),AM628)</f>
        <v>ai_monster_02</v>
      </c>
      <c r="AG628" s="2"/>
      <c r="AH628" s="15">
        <f>SUMPRODUCT(T628:V628,$AN$3:$AP$3)+ROUNDDOWN(VLOOKUP(P628,CHOOSE({1,2},'[1]消耗&amp;价值&amp;分析'!$C$7:$C$106,'[1]消耗&amp;价值&amp;分析'!$AS$7:$AS$106),2,FALSE)*0.6,0)</f>
        <v>349.29875143695796</v>
      </c>
      <c r="AJ628" s="80">
        <v>1</v>
      </c>
      <c r="AK628" s="80">
        <v>1</v>
      </c>
      <c r="AL628" s="80">
        <v>1</v>
      </c>
    </row>
    <row r="629" spans="1:38">
      <c r="A629" s="33" t="str">
        <f>怪物并表!$R$11</f>
        <v>马仔经验副本</v>
      </c>
      <c r="B629" s="38">
        <v>2</v>
      </c>
      <c r="C629" s="33">
        <f t="shared" si="78"/>
        <v>1801</v>
      </c>
      <c r="D629" s="33">
        <v>2</v>
      </c>
      <c r="E629" s="33">
        <f>VLOOKUP(A629,怪物并表!$R$7:$S$14,2,FALSE)</f>
        <v>5</v>
      </c>
      <c r="F629" s="38">
        <v>0</v>
      </c>
      <c r="G629" s="38">
        <v>1</v>
      </c>
      <c r="H629" s="38">
        <v>1</v>
      </c>
      <c r="I629" s="33">
        <f t="shared" si="77"/>
        <v>501102</v>
      </c>
      <c r="J629" s="33" t="s">
        <v>645</v>
      </c>
      <c r="K629" s="33" t="s">
        <v>655</v>
      </c>
      <c r="L629" s="33">
        <v>0</v>
      </c>
      <c r="M629" s="33">
        <v>1</v>
      </c>
      <c r="N629" s="33"/>
      <c r="O629" s="33">
        <v>1</v>
      </c>
      <c r="P629" s="33">
        <f>VLOOKUP($C629,CHOOSE({1,2},怪物并表!$E$7:$E$1000,怪物并表!$D$7:$D$1000),2,FALSE)</f>
        <v>11</v>
      </c>
      <c r="Q629" s="33" t="s">
        <v>17</v>
      </c>
      <c r="R629" s="33">
        <f>VLOOKUP(Q629,怪物信息配置表!$A$2:$B$118,2,FALSE)</f>
        <v>1005</v>
      </c>
      <c r="S629" s="33">
        <v>1.2</v>
      </c>
      <c r="T629" s="110">
        <f>VLOOKUP($C629,怪物并表!$E$7:$N$1000,2+($D629-1)*3,FALSE)*S629*AJ629</f>
        <v>1640.4594407093498</v>
      </c>
      <c r="U629" s="110">
        <f>VLOOKUP($C629,怪物并表!$E$7:$N$1000,3+($D629-1)*3,FALSE)*S629*AK629</f>
        <v>149.8170040694535</v>
      </c>
      <c r="V629" s="110">
        <f>VLOOKUP($C629,怪物并表!$E$7:$N$1000,4+($D629-1)*3,FALSE)*S629*AL629</f>
        <v>48.863369739130469</v>
      </c>
      <c r="W629" s="33"/>
      <c r="X629" s="33"/>
      <c r="Y629" s="49">
        <f>VLOOKUP($C629,怪物并表!$E$7:$P$1000,12,FALSE)</f>
        <v>0</v>
      </c>
      <c r="Z629" s="49">
        <f>VLOOKUP($C629,怪物并表!$E$7:$P$1000,11,FALSE)*S629</f>
        <v>1178.5296000000001</v>
      </c>
      <c r="AA629" s="33"/>
      <c r="AB629" s="33"/>
      <c r="AC629" s="33"/>
      <c r="AD629" s="33">
        <f t="shared" si="73"/>
        <v>0.8</v>
      </c>
      <c r="AE629" s="2">
        <f t="shared" si="72"/>
        <v>895.5</v>
      </c>
      <c r="AF629" s="2" t="str">
        <f>IF(ISBLANK(AM629),IF(O629=6,"",IF(O629=1,VLOOKUP(R629,怪物信息配置表!B:H,5,FALSE),IF(O629=2,VLOOKUP(R629,怪物信息配置表!B:H,6,FALSE),IF(OR(O629=3,O629=5),VLOOKUP(R629,怪物信息配置表!B:H,7,FALSE),"")))),AM629)</f>
        <v>ai_monster_02</v>
      </c>
      <c r="AG629" s="2"/>
      <c r="AH629" s="15">
        <f>SUMPRODUCT(T629:V629,$AN$3:$AP$3)+ROUNDDOWN(VLOOKUP(P629,CHOOSE({1,2},'[1]消耗&amp;价值&amp;分析'!$C$7:$C$106,'[1]消耗&amp;价值&amp;分析'!$AS$7:$AS$106),2,FALSE)*0.6,0)</f>
        <v>349.29875143695796</v>
      </c>
      <c r="AJ629" s="80">
        <v>1</v>
      </c>
      <c r="AK629" s="80">
        <v>1</v>
      </c>
      <c r="AL629" s="80">
        <v>1</v>
      </c>
    </row>
    <row r="630" spans="1:38">
      <c r="A630" s="33" t="str">
        <f>怪物并表!$R$11</f>
        <v>马仔经验副本</v>
      </c>
      <c r="B630" s="38">
        <v>3</v>
      </c>
      <c r="C630" s="33">
        <f t="shared" si="78"/>
        <v>1801</v>
      </c>
      <c r="D630" s="33">
        <v>2</v>
      </c>
      <c r="E630" s="33">
        <f>VLOOKUP(A630,怪物并表!$R$7:$S$14,2,FALSE)</f>
        <v>5</v>
      </c>
      <c r="F630" s="38">
        <v>0</v>
      </c>
      <c r="G630" s="38">
        <v>1</v>
      </c>
      <c r="H630" s="38">
        <v>1</v>
      </c>
      <c r="I630" s="33">
        <f t="shared" si="77"/>
        <v>501103</v>
      </c>
      <c r="J630" s="33" t="s">
        <v>647</v>
      </c>
      <c r="K630" s="33" t="s">
        <v>655</v>
      </c>
      <c r="L630" s="33">
        <v>0</v>
      </c>
      <c r="M630" s="33">
        <v>1</v>
      </c>
      <c r="N630" s="33"/>
      <c r="O630" s="33">
        <v>1</v>
      </c>
      <c r="P630" s="33">
        <f>VLOOKUP($C630,CHOOSE({1,2},怪物并表!$E$7:$E$1000,怪物并表!$D$7:$D$1000),2,FALSE)</f>
        <v>11</v>
      </c>
      <c r="Q630" s="33" t="s">
        <v>10</v>
      </c>
      <c r="R630" s="33">
        <f>VLOOKUP(Q630,怪物信息配置表!$A$2:$B$118,2,FALSE)</f>
        <v>1001</v>
      </c>
      <c r="S630" s="33">
        <v>1.2</v>
      </c>
      <c r="T630" s="110">
        <f>VLOOKUP($C630,怪物并表!$E$7:$N$1000,2+($D630-1)*3,FALSE)*S630*AJ630</f>
        <v>1640.4594407093498</v>
      </c>
      <c r="U630" s="110">
        <f>VLOOKUP($C630,怪物并表!$E$7:$N$1000,3+($D630-1)*3,FALSE)*S630*AK630</f>
        <v>149.8170040694535</v>
      </c>
      <c r="V630" s="110">
        <f>VLOOKUP($C630,怪物并表!$E$7:$N$1000,4+($D630-1)*3,FALSE)*S630*AL630</f>
        <v>48.863369739130469</v>
      </c>
      <c r="W630" s="33"/>
      <c r="X630" s="33"/>
      <c r="Y630" s="49">
        <f>VLOOKUP($C630,怪物并表!$E$7:$P$1000,12,FALSE)</f>
        <v>0</v>
      </c>
      <c r="Z630" s="49">
        <f>VLOOKUP($C630,怪物并表!$E$7:$P$1000,11,FALSE)*S630</f>
        <v>1178.5296000000001</v>
      </c>
      <c r="AA630" s="33"/>
      <c r="AB630" s="33"/>
      <c r="AC630" s="33"/>
      <c r="AD630" s="33">
        <f t="shared" si="73"/>
        <v>0.8</v>
      </c>
      <c r="AE630" s="2">
        <f t="shared" si="72"/>
        <v>895.5</v>
      </c>
      <c r="AF630" s="2" t="str">
        <f>IF(ISBLANK(AM630),IF(O630=6,"",IF(O630=1,VLOOKUP(R630,怪物信息配置表!B:H,5,FALSE),IF(O630=2,VLOOKUP(R630,怪物信息配置表!B:H,6,FALSE),IF(OR(O630=3,O630=5),VLOOKUP(R630,怪物信息配置表!B:H,7,FALSE),"")))),AM630)</f>
        <v>ai_monster</v>
      </c>
      <c r="AG630" s="2"/>
      <c r="AH630" s="15">
        <f>SUMPRODUCT(T630:V630,$AN$3:$AP$3)+ROUNDDOWN(VLOOKUP(P630,CHOOSE({1,2},'[1]消耗&amp;价值&amp;分析'!$C$7:$C$106,'[1]消耗&amp;价值&amp;分析'!$AS$7:$AS$106),2,FALSE)*0.6,0)</f>
        <v>349.29875143695796</v>
      </c>
      <c r="AJ630" s="80">
        <v>1</v>
      </c>
      <c r="AK630" s="80">
        <v>1</v>
      </c>
      <c r="AL630" s="80">
        <v>1</v>
      </c>
    </row>
    <row r="631" spans="1:38">
      <c r="A631" s="33" t="str">
        <f>怪物并表!$R$11</f>
        <v>马仔经验副本</v>
      </c>
      <c r="B631" s="38">
        <v>4</v>
      </c>
      <c r="C631" s="33">
        <f t="shared" si="78"/>
        <v>1801</v>
      </c>
      <c r="D631" s="33">
        <v>2</v>
      </c>
      <c r="E631" s="33">
        <f>VLOOKUP(A631,怪物并表!$R$7:$S$14,2,FALSE)</f>
        <v>5</v>
      </c>
      <c r="F631" s="38">
        <v>0</v>
      </c>
      <c r="G631" s="38">
        <v>1</v>
      </c>
      <c r="H631" s="38">
        <v>1</v>
      </c>
      <c r="I631" s="33">
        <f t="shared" si="77"/>
        <v>501104</v>
      </c>
      <c r="J631" s="33" t="s">
        <v>649</v>
      </c>
      <c r="K631" s="33" t="s">
        <v>655</v>
      </c>
      <c r="L631" s="33">
        <v>0</v>
      </c>
      <c r="M631" s="33">
        <v>1</v>
      </c>
      <c r="N631" s="33"/>
      <c r="O631" s="33">
        <v>1</v>
      </c>
      <c r="P631" s="33">
        <f>VLOOKUP($C631,CHOOSE({1,2},怪物并表!$E$7:$E$1000,怪物并表!$D$7:$D$1000),2,FALSE)</f>
        <v>11</v>
      </c>
      <c r="Q631" s="33" t="s">
        <v>367</v>
      </c>
      <c r="R631" s="33">
        <f>VLOOKUP(Q631,怪物信息配置表!$A$2:$B$118,2,FALSE)</f>
        <v>1008</v>
      </c>
      <c r="S631" s="33">
        <v>1.2</v>
      </c>
      <c r="T631" s="110">
        <f>VLOOKUP($C631,怪物并表!$E$7:$N$1000,2+($D631-1)*3,FALSE)*S631*AJ631</f>
        <v>1640.4594407093498</v>
      </c>
      <c r="U631" s="110">
        <f>VLOOKUP($C631,怪物并表!$E$7:$N$1000,3+($D631-1)*3,FALSE)*S631*AK631</f>
        <v>149.8170040694535</v>
      </c>
      <c r="V631" s="110">
        <f>VLOOKUP($C631,怪物并表!$E$7:$N$1000,4+($D631-1)*3,FALSE)*S631*AL631</f>
        <v>48.863369739130469</v>
      </c>
      <c r="W631" s="33"/>
      <c r="X631" s="33"/>
      <c r="Y631" s="49">
        <f>VLOOKUP($C631,怪物并表!$E$7:$P$1000,12,FALSE)</f>
        <v>0</v>
      </c>
      <c r="Z631" s="49">
        <f>VLOOKUP($C631,怪物并表!$E$7:$P$1000,11,FALSE)*S631</f>
        <v>1178.5296000000001</v>
      </c>
      <c r="AA631" s="33"/>
      <c r="AB631" s="33"/>
      <c r="AC631" s="33"/>
      <c r="AD631" s="33">
        <f t="shared" si="73"/>
        <v>0.8</v>
      </c>
      <c r="AE631" s="2">
        <f t="shared" si="72"/>
        <v>895.5</v>
      </c>
      <c r="AF631" s="2" t="str">
        <f>IF(ISBLANK(AM631),IF(O631=6,"",IF(O631=1,VLOOKUP(R631,怪物信息配置表!B:H,5,FALSE),IF(O631=2,VLOOKUP(R631,怪物信息配置表!B:H,6,FALSE),IF(OR(O631=3,O631=5),VLOOKUP(R631,怪物信息配置表!B:H,7,FALSE),"")))),AM631)</f>
        <v>ai_monster</v>
      </c>
      <c r="AG631" s="2"/>
      <c r="AH631" s="15">
        <f>SUMPRODUCT(T631:V631,$AN$3:$AP$3)+ROUNDDOWN(VLOOKUP(P631,CHOOSE({1,2},'[1]消耗&amp;价值&amp;分析'!$C$7:$C$106,'[1]消耗&amp;价值&amp;分析'!$AS$7:$AS$106),2,FALSE)*0.6,0)</f>
        <v>349.29875143695796</v>
      </c>
      <c r="AJ631" s="80">
        <v>1</v>
      </c>
      <c r="AK631" s="80">
        <v>1</v>
      </c>
      <c r="AL631" s="80">
        <v>1</v>
      </c>
    </row>
    <row r="632" spans="1:38">
      <c r="A632" s="33" t="str">
        <f>怪物并表!$R$11</f>
        <v>马仔经验副本</v>
      </c>
      <c r="B632" s="38">
        <v>5</v>
      </c>
      <c r="C632" s="33">
        <f t="shared" si="78"/>
        <v>1801</v>
      </c>
      <c r="D632" s="33">
        <v>1</v>
      </c>
      <c r="E632" s="33">
        <f>VLOOKUP(A632,怪物并表!$R$7:$S$14,2,FALSE)</f>
        <v>5</v>
      </c>
      <c r="F632" s="38">
        <v>0</v>
      </c>
      <c r="G632" s="38">
        <v>1</v>
      </c>
      <c r="H632" s="38">
        <v>1</v>
      </c>
      <c r="I632" s="33">
        <f t="shared" si="77"/>
        <v>501105</v>
      </c>
      <c r="J632" s="33" t="s">
        <v>651</v>
      </c>
      <c r="K632" s="33" t="s">
        <v>656</v>
      </c>
      <c r="L632" s="33">
        <v>0</v>
      </c>
      <c r="M632" s="33">
        <v>1.2</v>
      </c>
      <c r="N632" s="33"/>
      <c r="O632" s="33">
        <v>1</v>
      </c>
      <c r="P632" s="33">
        <f>VLOOKUP($C632,CHOOSE({1,2},怪物并表!$E$7:$E$1000,怪物并表!$D$7:$D$1000),2,FALSE)</f>
        <v>11</v>
      </c>
      <c r="Q632" s="33" t="s">
        <v>261</v>
      </c>
      <c r="R632" s="33">
        <f>VLOOKUP(Q632,怪物信息配置表!$A$2:$B$118,2,FALSE)</f>
        <v>3004</v>
      </c>
      <c r="S632" s="33">
        <v>300</v>
      </c>
      <c r="T632" s="110">
        <f>VLOOKUP($C632,怪物并表!$E$7:$N$1000,2+($D632-1)*3,FALSE)*S632*AJ632</f>
        <v>512643.57522167184</v>
      </c>
      <c r="U632" s="110">
        <f>VLOOKUP($C632,怪物并表!$E$7:$N$1000,3+($D632-1)*3,FALSE)*S632*AK632</f>
        <v>38599.577072432738</v>
      </c>
      <c r="V632" s="110">
        <f>VLOOKUP($C632,怪物并表!$E$7:$N$1000,4+($D632-1)*3,FALSE)*S632*AL632</f>
        <v>20359.737391304356</v>
      </c>
      <c r="W632" s="33"/>
      <c r="X632" s="33"/>
      <c r="Y632" s="49">
        <f>VLOOKUP($C632,怪物并表!$E$7:$P$1000,12,FALSE)</f>
        <v>0</v>
      </c>
      <c r="Z632" s="49">
        <f>VLOOKUP($C632,怪物并表!$E$7:$P$1000,11,FALSE)*S632</f>
        <v>294632.40000000002</v>
      </c>
      <c r="AA632" s="33"/>
      <c r="AB632" s="33"/>
      <c r="AC632" s="33"/>
      <c r="AD632" s="33">
        <f t="shared" si="73"/>
        <v>1</v>
      </c>
      <c r="AE632" s="2">
        <f t="shared" si="72"/>
        <v>869.375</v>
      </c>
      <c r="AF632" s="2">
        <f>IF(ISBLANK(AM632),IF(O632=6,"",IF(O632=1,VLOOKUP(R632,怪物信息配置表!B:H,5,FALSE),IF(O632=2,VLOOKUP(R632,怪物信息配置表!B:H,6,FALSE),IF(OR(O632=3,O632=5),VLOOKUP(R632,怪物信息配置表!B:H,7,FALSE),"")))),AM632)</f>
        <v>0</v>
      </c>
      <c r="AG632" s="2"/>
      <c r="AH632" s="15">
        <f>SUMPRODUCT(T632:V632,$AN$3:$AP$3)+ROUNDDOWN(VLOOKUP(P632,CHOOSE({1,2},'[1]消耗&amp;价值&amp;分析'!$C$7:$C$106,'[1]消耗&amp;价值&amp;分析'!$AS$7:$AS$106),2,FALSE)*0.6,0)</f>
        <v>79550.057472603963</v>
      </c>
      <c r="AJ632" s="80">
        <v>1</v>
      </c>
      <c r="AK632" s="80">
        <v>1</v>
      </c>
      <c r="AL632" s="80">
        <v>1</v>
      </c>
    </row>
    <row r="633" spans="1:38">
      <c r="A633" s="33" t="str">
        <f>怪物并表!$R$11</f>
        <v>马仔经验副本</v>
      </c>
      <c r="B633" s="38">
        <v>6</v>
      </c>
      <c r="C633" s="33">
        <f t="shared" si="78"/>
        <v>1801</v>
      </c>
      <c r="D633" s="33">
        <v>1</v>
      </c>
      <c r="E633" s="33">
        <f>VLOOKUP(A633,怪物并表!$R$7:$S$14,2,FALSE)</f>
        <v>5</v>
      </c>
      <c r="F633" s="38">
        <v>0</v>
      </c>
      <c r="G633" s="38">
        <v>1</v>
      </c>
      <c r="H633" s="38">
        <v>1</v>
      </c>
      <c r="I633" s="33">
        <f t="shared" si="77"/>
        <v>501106</v>
      </c>
      <c r="J633" s="33" t="s">
        <v>653</v>
      </c>
      <c r="K633" s="33" t="s">
        <v>655</v>
      </c>
      <c r="L633" s="33">
        <v>0</v>
      </c>
      <c r="M633" s="33">
        <v>1</v>
      </c>
      <c r="N633" s="33"/>
      <c r="O633" s="33">
        <v>1</v>
      </c>
      <c r="P633" s="33">
        <f>VLOOKUP($C633,CHOOSE({1,2},怪物并表!$E$7:$E$1000,怪物并表!$D$7:$D$1000),2,FALSE)</f>
        <v>11</v>
      </c>
      <c r="Q633" s="33" t="s">
        <v>258</v>
      </c>
      <c r="R633" s="33">
        <f>VLOOKUP(Q633,怪物信息配置表!$A$2:$B$118,2,FALSE)</f>
        <v>3002</v>
      </c>
      <c r="S633" s="33">
        <v>2</v>
      </c>
      <c r="T633" s="110">
        <f>VLOOKUP($C633,怪物并表!$E$7:$N$1000,2+($D633-1)*3,FALSE)*S633*AJ633</f>
        <v>3417.6238348111456</v>
      </c>
      <c r="U633" s="110">
        <f>VLOOKUP($C633,怪物并表!$E$7:$N$1000,3+($D633-1)*3,FALSE)*S633*AK633</f>
        <v>257.33051381621823</v>
      </c>
      <c r="V633" s="110">
        <f>VLOOKUP($C633,怪物并表!$E$7:$N$1000,4+($D633-1)*3,FALSE)*S633*AL633</f>
        <v>135.7315826086957</v>
      </c>
      <c r="W633" s="33"/>
      <c r="X633" s="33"/>
      <c r="Y633" s="49">
        <f>VLOOKUP($C633,怪物并表!$E$7:$P$1000,12,FALSE)</f>
        <v>0</v>
      </c>
      <c r="Z633" s="49">
        <f>VLOOKUP($C633,怪物并表!$E$7:$P$1000,11,FALSE)*S633</f>
        <v>1964.2160000000001</v>
      </c>
      <c r="AA633" s="33"/>
      <c r="AB633" s="33"/>
      <c r="AC633" s="33"/>
      <c r="AD633" s="33">
        <f t="shared" si="73"/>
        <v>1</v>
      </c>
      <c r="AE633" s="2">
        <f t="shared" si="72"/>
        <v>869.375</v>
      </c>
      <c r="AF633" s="2">
        <f>IF(ISBLANK(AM633),IF(O633=6,"",IF(O633=1,VLOOKUP(R633,怪物信息配置表!B:H,5,FALSE),IF(O633=2,VLOOKUP(R633,怪物信息配置表!B:H,6,FALSE),IF(OR(O633=3,O633=5),VLOOKUP(R633,怪物信息配置表!B:H,7,FALSE),"")))),AM633)</f>
        <v>0</v>
      </c>
      <c r="AG633" s="2"/>
      <c r="AH633" s="15">
        <f>SUMPRODUCT(T633:V633,$AN$3:$AP$3)+ROUNDDOWN(VLOOKUP(P633,CHOOSE({1,2},'[1]消耗&amp;价值&amp;分析'!$C$7:$C$106,'[1]消耗&amp;价值&amp;分析'!$AS$7:$AS$106),2,FALSE)*0.6,0)</f>
        <v>614.76704981735975</v>
      </c>
      <c r="AJ633" s="80">
        <v>1</v>
      </c>
      <c r="AK633" s="80">
        <v>1</v>
      </c>
      <c r="AL633" s="80">
        <v>1</v>
      </c>
    </row>
    <row r="634" spans="1:38">
      <c r="A634" s="33" t="str">
        <f>怪物并表!$R$11</f>
        <v>马仔经验副本</v>
      </c>
      <c r="B634" s="38">
        <v>1</v>
      </c>
      <c r="C634" s="33">
        <f t="shared" si="78"/>
        <v>1802</v>
      </c>
      <c r="D634" s="33">
        <v>2</v>
      </c>
      <c r="E634" s="33">
        <f>VLOOKUP(A634,怪物并表!$R$7:$S$14,2,FALSE)</f>
        <v>5</v>
      </c>
      <c r="F634" s="38">
        <v>0</v>
      </c>
      <c r="G634" s="38">
        <v>2</v>
      </c>
      <c r="H634" s="38">
        <v>1</v>
      </c>
      <c r="I634" s="33">
        <f t="shared" si="77"/>
        <v>502101</v>
      </c>
      <c r="J634" s="33" t="s">
        <v>643</v>
      </c>
      <c r="K634" s="33" t="s">
        <v>655</v>
      </c>
      <c r="L634" s="33">
        <v>0</v>
      </c>
      <c r="M634" s="33">
        <v>1</v>
      </c>
      <c r="N634" s="33"/>
      <c r="O634" s="33">
        <v>1</v>
      </c>
      <c r="P634" s="33">
        <f>VLOOKUP($C634,CHOOSE({1,2},怪物并表!$E$7:$E$1000,怪物并表!$D$7:$D$1000),2,FALSE)</f>
        <v>28</v>
      </c>
      <c r="Q634" s="33" t="s">
        <v>9</v>
      </c>
      <c r="R634" s="33">
        <f>VLOOKUP(Q634,怪物信息配置表!$A$2:$B$118,2,FALSE)</f>
        <v>1003</v>
      </c>
      <c r="S634" s="33">
        <v>1.5</v>
      </c>
      <c r="T634" s="110">
        <f>VLOOKUP($C634,怪物并表!$E$7:$N$1000,2+($D634-1)*3,FALSE)*S634*AJ634</f>
        <v>19126.166030058888</v>
      </c>
      <c r="U634" s="110">
        <f>VLOOKUP($C634,怪物并表!$E$7:$N$1000,3+($D634-1)*3,FALSE)*S634*AK634</f>
        <v>1454.4546885567279</v>
      </c>
      <c r="V634" s="110">
        <f>VLOOKUP($C634,怪物并表!$E$7:$N$1000,4+($D634-1)*3,FALSE)*S634*AL634</f>
        <v>380.66958084280947</v>
      </c>
      <c r="W634" s="33"/>
      <c r="X634" s="33"/>
      <c r="Y634" s="49">
        <f>VLOOKUP($C634,怪物并表!$E$7:$P$1000,12,FALSE)</f>
        <v>0</v>
      </c>
      <c r="Z634" s="49">
        <f>VLOOKUP($C634,怪物并表!$E$7:$P$1000,11,FALSE)*S634</f>
        <v>2957.9760000000001</v>
      </c>
      <c r="AA634" s="33"/>
      <c r="AB634" s="33"/>
      <c r="AC634" s="33"/>
      <c r="AD634" s="33">
        <f t="shared" si="73"/>
        <v>0.8</v>
      </c>
      <c r="AE634" s="2">
        <f t="shared" si="72"/>
        <v>734</v>
      </c>
      <c r="AF634" s="2" t="str">
        <f>IF(ISBLANK(AM634),IF(O634=6,"",IF(O634=1,VLOOKUP(R634,怪物信息配置表!B:H,5,FALSE),IF(O634=2,VLOOKUP(R634,怪物信息配置表!B:H,6,FALSE),IF(OR(O634=3,O634=5),VLOOKUP(R634,怪物信息配置表!B:H,7,FALSE),"")))),AM634)</f>
        <v>ai_monster_02</v>
      </c>
      <c r="AG634" s="2"/>
      <c r="AH634" s="15">
        <f>SUMPRODUCT(T634:V634,$AN$3:$AP$3)+ROUNDDOWN(VLOOKUP(P634,CHOOSE({1,2},'[1]消耗&amp;价值&amp;分析'!$C$7:$C$106,'[1]消耗&amp;价值&amp;分析'!$AS$7:$AS$106),2,FALSE)*0.6,0)</f>
        <v>3329.170910601893</v>
      </c>
      <c r="AJ634" s="80">
        <v>1</v>
      </c>
      <c r="AK634" s="80">
        <v>1</v>
      </c>
      <c r="AL634" s="80">
        <v>1</v>
      </c>
    </row>
    <row r="635" spans="1:38">
      <c r="A635" s="33" t="str">
        <f>怪物并表!$R$11</f>
        <v>马仔经验副本</v>
      </c>
      <c r="B635" s="38">
        <v>2</v>
      </c>
      <c r="C635" s="33">
        <f t="shared" si="78"/>
        <v>1802</v>
      </c>
      <c r="D635" s="33">
        <v>2</v>
      </c>
      <c r="E635" s="33">
        <f>VLOOKUP(A635,怪物并表!$R$7:$S$14,2,FALSE)</f>
        <v>5</v>
      </c>
      <c r="F635" s="38">
        <v>0</v>
      </c>
      <c r="G635" s="38">
        <v>2</v>
      </c>
      <c r="H635" s="38">
        <v>1</v>
      </c>
      <c r="I635" s="33">
        <f t="shared" si="77"/>
        <v>502102</v>
      </c>
      <c r="J635" s="33" t="s">
        <v>645</v>
      </c>
      <c r="K635" s="33" t="s">
        <v>655</v>
      </c>
      <c r="L635" s="33">
        <v>0</v>
      </c>
      <c r="M635" s="33">
        <v>1</v>
      </c>
      <c r="N635" s="33"/>
      <c r="O635" s="33">
        <v>1</v>
      </c>
      <c r="P635" s="33">
        <f>VLOOKUP($C635,CHOOSE({1,2},怪物并表!$E$7:$E$1000,怪物并表!$D$7:$D$1000),2,FALSE)</f>
        <v>28</v>
      </c>
      <c r="Q635" s="33" t="s">
        <v>17</v>
      </c>
      <c r="R635" s="33">
        <f>VLOOKUP(Q635,怪物信息配置表!$A$2:$B$118,2,FALSE)</f>
        <v>1005</v>
      </c>
      <c r="S635" s="33">
        <v>1.5</v>
      </c>
      <c r="T635" s="110">
        <f>VLOOKUP($C635,怪物并表!$E$7:$N$1000,2+($D635-1)*3,FALSE)*S635*AJ635</f>
        <v>19126.166030058888</v>
      </c>
      <c r="U635" s="110">
        <f>VLOOKUP($C635,怪物并表!$E$7:$N$1000,3+($D635-1)*3,FALSE)*S635*AK635</f>
        <v>1454.4546885567279</v>
      </c>
      <c r="V635" s="110">
        <f>VLOOKUP($C635,怪物并表!$E$7:$N$1000,4+($D635-1)*3,FALSE)*S635*AL635</f>
        <v>380.66958084280947</v>
      </c>
      <c r="W635" s="33"/>
      <c r="X635" s="33"/>
      <c r="Y635" s="49">
        <f>VLOOKUP($C635,怪物并表!$E$7:$P$1000,12,FALSE)</f>
        <v>0</v>
      </c>
      <c r="Z635" s="49">
        <f>VLOOKUP($C635,怪物并表!$E$7:$P$1000,11,FALSE)*S635</f>
        <v>2957.9760000000001</v>
      </c>
      <c r="AA635" s="33"/>
      <c r="AB635" s="33"/>
      <c r="AC635" s="33"/>
      <c r="AD635" s="33">
        <f t="shared" si="73"/>
        <v>0.8</v>
      </c>
      <c r="AE635" s="2">
        <f t="shared" si="72"/>
        <v>734</v>
      </c>
      <c r="AF635" s="2" t="str">
        <f>IF(ISBLANK(AM635),IF(O635=6,"",IF(O635=1,VLOOKUP(R635,怪物信息配置表!B:H,5,FALSE),IF(O635=2,VLOOKUP(R635,怪物信息配置表!B:H,6,FALSE),IF(OR(O635=3,O635=5),VLOOKUP(R635,怪物信息配置表!B:H,7,FALSE),"")))),AM635)</f>
        <v>ai_monster_02</v>
      </c>
      <c r="AG635" s="2"/>
      <c r="AH635" s="15">
        <f>SUMPRODUCT(T635:V635,$AN$3:$AP$3)+ROUNDDOWN(VLOOKUP(P635,CHOOSE({1,2},'[1]消耗&amp;价值&amp;分析'!$C$7:$C$106,'[1]消耗&amp;价值&amp;分析'!$AS$7:$AS$106),2,FALSE)*0.6,0)</f>
        <v>3329.170910601893</v>
      </c>
      <c r="AJ635" s="80">
        <v>1</v>
      </c>
      <c r="AK635" s="80">
        <v>1</v>
      </c>
      <c r="AL635" s="80">
        <v>1</v>
      </c>
    </row>
    <row r="636" spans="1:38">
      <c r="A636" s="33" t="str">
        <f>怪物并表!$R$11</f>
        <v>马仔经验副本</v>
      </c>
      <c r="B636" s="38">
        <v>3</v>
      </c>
      <c r="C636" s="33">
        <f t="shared" si="78"/>
        <v>1802</v>
      </c>
      <c r="D636" s="33">
        <v>2</v>
      </c>
      <c r="E636" s="33">
        <f>VLOOKUP(A636,怪物并表!$R$7:$S$14,2,FALSE)</f>
        <v>5</v>
      </c>
      <c r="F636" s="38">
        <v>0</v>
      </c>
      <c r="G636" s="38">
        <v>2</v>
      </c>
      <c r="H636" s="38">
        <v>1</v>
      </c>
      <c r="I636" s="33">
        <f t="shared" si="77"/>
        <v>502103</v>
      </c>
      <c r="J636" s="33" t="s">
        <v>647</v>
      </c>
      <c r="K636" s="33" t="s">
        <v>655</v>
      </c>
      <c r="L636" s="33">
        <v>0</v>
      </c>
      <c r="M636" s="33">
        <v>1</v>
      </c>
      <c r="N636" s="33"/>
      <c r="O636" s="33">
        <v>1</v>
      </c>
      <c r="P636" s="33">
        <f>VLOOKUP($C636,CHOOSE({1,2},怪物并表!$E$7:$E$1000,怪物并表!$D$7:$D$1000),2,FALSE)</f>
        <v>28</v>
      </c>
      <c r="Q636" s="33" t="s">
        <v>10</v>
      </c>
      <c r="R636" s="33">
        <f>VLOOKUP(Q636,怪物信息配置表!$A$2:$B$118,2,FALSE)</f>
        <v>1001</v>
      </c>
      <c r="S636" s="33">
        <v>1.5</v>
      </c>
      <c r="T636" s="110">
        <f>VLOOKUP($C636,怪物并表!$E$7:$N$1000,2+($D636-1)*3,FALSE)*S636*AJ636</f>
        <v>19126.166030058888</v>
      </c>
      <c r="U636" s="110">
        <f>VLOOKUP($C636,怪物并表!$E$7:$N$1000,3+($D636-1)*3,FALSE)*S636*AK636</f>
        <v>1454.4546885567279</v>
      </c>
      <c r="V636" s="110">
        <f>VLOOKUP($C636,怪物并表!$E$7:$N$1000,4+($D636-1)*3,FALSE)*S636*AL636</f>
        <v>380.66958084280947</v>
      </c>
      <c r="W636" s="33"/>
      <c r="X636" s="33"/>
      <c r="Y636" s="49">
        <f>VLOOKUP($C636,怪物并表!$E$7:$P$1000,12,FALSE)</f>
        <v>0</v>
      </c>
      <c r="Z636" s="49">
        <f>VLOOKUP($C636,怪物并表!$E$7:$P$1000,11,FALSE)*S636</f>
        <v>2957.9760000000001</v>
      </c>
      <c r="AA636" s="33"/>
      <c r="AB636" s="33"/>
      <c r="AC636" s="33"/>
      <c r="AD636" s="33">
        <f t="shared" si="73"/>
        <v>0.8</v>
      </c>
      <c r="AE636" s="2">
        <f t="shared" si="72"/>
        <v>734</v>
      </c>
      <c r="AF636" s="2" t="str">
        <f>IF(ISBLANK(AM636),IF(O636=6,"",IF(O636=1,VLOOKUP(R636,怪物信息配置表!B:H,5,FALSE),IF(O636=2,VLOOKUP(R636,怪物信息配置表!B:H,6,FALSE),IF(OR(O636=3,O636=5),VLOOKUP(R636,怪物信息配置表!B:H,7,FALSE),"")))),AM636)</f>
        <v>ai_monster</v>
      </c>
      <c r="AG636" s="2"/>
      <c r="AH636" s="15">
        <f>SUMPRODUCT(T636:V636,$AN$3:$AP$3)+ROUNDDOWN(VLOOKUP(P636,CHOOSE({1,2},'[1]消耗&amp;价值&amp;分析'!$C$7:$C$106,'[1]消耗&amp;价值&amp;分析'!$AS$7:$AS$106),2,FALSE)*0.6,0)</f>
        <v>3329.170910601893</v>
      </c>
      <c r="AJ636" s="80">
        <v>1</v>
      </c>
      <c r="AK636" s="80">
        <v>1</v>
      </c>
      <c r="AL636" s="80">
        <v>1</v>
      </c>
    </row>
    <row r="637" spans="1:38">
      <c r="A637" s="33" t="str">
        <f>怪物并表!$R$11</f>
        <v>马仔经验副本</v>
      </c>
      <c r="B637" s="38">
        <v>4</v>
      </c>
      <c r="C637" s="33">
        <f t="shared" si="78"/>
        <v>1802</v>
      </c>
      <c r="D637" s="33">
        <v>2</v>
      </c>
      <c r="E637" s="33">
        <f>VLOOKUP(A637,怪物并表!$R$7:$S$14,2,FALSE)</f>
        <v>5</v>
      </c>
      <c r="F637" s="38">
        <v>0</v>
      </c>
      <c r="G637" s="38">
        <v>2</v>
      </c>
      <c r="H637" s="38">
        <v>1</v>
      </c>
      <c r="I637" s="33">
        <f t="shared" si="77"/>
        <v>502104</v>
      </c>
      <c r="J637" s="33" t="s">
        <v>649</v>
      </c>
      <c r="K637" s="33" t="s">
        <v>655</v>
      </c>
      <c r="L637" s="33">
        <v>0</v>
      </c>
      <c r="M637" s="33">
        <v>1</v>
      </c>
      <c r="N637" s="33"/>
      <c r="O637" s="33">
        <v>1</v>
      </c>
      <c r="P637" s="33">
        <f>VLOOKUP($C637,CHOOSE({1,2},怪物并表!$E$7:$E$1000,怪物并表!$D$7:$D$1000),2,FALSE)</f>
        <v>28</v>
      </c>
      <c r="Q637" s="33" t="s">
        <v>367</v>
      </c>
      <c r="R637" s="33">
        <f>VLOOKUP(Q637,怪物信息配置表!$A$2:$B$118,2,FALSE)</f>
        <v>1008</v>
      </c>
      <c r="S637" s="33">
        <v>1.5</v>
      </c>
      <c r="T637" s="110">
        <f>VLOOKUP($C637,怪物并表!$E$7:$N$1000,2+($D637-1)*3,FALSE)*S637*AJ637</f>
        <v>19126.166030058888</v>
      </c>
      <c r="U637" s="110">
        <f>VLOOKUP($C637,怪物并表!$E$7:$N$1000,3+($D637-1)*3,FALSE)*S637*AK637</f>
        <v>1454.4546885567279</v>
      </c>
      <c r="V637" s="110">
        <f>VLOOKUP($C637,怪物并表!$E$7:$N$1000,4+($D637-1)*3,FALSE)*S637*AL637</f>
        <v>380.66958084280947</v>
      </c>
      <c r="W637" s="33"/>
      <c r="X637" s="33"/>
      <c r="Y637" s="49">
        <f>VLOOKUP($C637,怪物并表!$E$7:$P$1000,12,FALSE)</f>
        <v>0</v>
      </c>
      <c r="Z637" s="49">
        <f>VLOOKUP($C637,怪物并表!$E$7:$P$1000,11,FALSE)*S637</f>
        <v>2957.9760000000001</v>
      </c>
      <c r="AA637" s="33"/>
      <c r="AB637" s="33"/>
      <c r="AC637" s="33"/>
      <c r="AD637" s="33">
        <f t="shared" si="73"/>
        <v>0.8</v>
      </c>
      <c r="AE637" s="2">
        <f t="shared" si="72"/>
        <v>734</v>
      </c>
      <c r="AF637" s="2" t="str">
        <f>IF(ISBLANK(AM637),IF(O637=6,"",IF(O637=1,VLOOKUP(R637,怪物信息配置表!B:H,5,FALSE),IF(O637=2,VLOOKUP(R637,怪物信息配置表!B:H,6,FALSE),IF(OR(O637=3,O637=5),VLOOKUP(R637,怪物信息配置表!B:H,7,FALSE),"")))),AM637)</f>
        <v>ai_monster</v>
      </c>
      <c r="AG637" s="2"/>
      <c r="AH637" s="15">
        <f>SUMPRODUCT(T637:V637,$AN$3:$AP$3)+ROUNDDOWN(VLOOKUP(P637,CHOOSE({1,2},'[1]消耗&amp;价值&amp;分析'!$C$7:$C$106,'[1]消耗&amp;价值&amp;分析'!$AS$7:$AS$106),2,FALSE)*0.6,0)</f>
        <v>3329.170910601893</v>
      </c>
      <c r="AJ637" s="80">
        <v>1</v>
      </c>
      <c r="AK637" s="80">
        <v>1</v>
      </c>
      <c r="AL637" s="80">
        <v>1</v>
      </c>
    </row>
    <row r="638" spans="1:38">
      <c r="A638" s="33" t="str">
        <f>怪物并表!$R$11</f>
        <v>马仔经验副本</v>
      </c>
      <c r="B638" s="38">
        <v>5</v>
      </c>
      <c r="C638" s="33">
        <f t="shared" si="78"/>
        <v>1802</v>
      </c>
      <c r="D638" s="33">
        <v>1</v>
      </c>
      <c r="E638" s="33">
        <f>VLOOKUP(A638,怪物并表!$R$7:$S$14,2,FALSE)</f>
        <v>5</v>
      </c>
      <c r="F638" s="38">
        <v>0</v>
      </c>
      <c r="G638" s="38">
        <v>2</v>
      </c>
      <c r="H638" s="38">
        <v>1</v>
      </c>
      <c r="I638" s="33">
        <f t="shared" si="77"/>
        <v>502105</v>
      </c>
      <c r="J638" s="33" t="s">
        <v>651</v>
      </c>
      <c r="K638" s="33" t="s">
        <v>656</v>
      </c>
      <c r="L638" s="33">
        <v>0</v>
      </c>
      <c r="M638" s="33">
        <v>1.2</v>
      </c>
      <c r="N638" s="33"/>
      <c r="O638" s="33">
        <v>1</v>
      </c>
      <c r="P638" s="33">
        <f>VLOOKUP($C638,CHOOSE({1,2},怪物并表!$E$7:$E$1000,怪物并表!$D$7:$D$1000),2,FALSE)</f>
        <v>28</v>
      </c>
      <c r="Q638" s="33" t="s">
        <v>261</v>
      </c>
      <c r="R638" s="33">
        <f>VLOOKUP(Q638,怪物信息配置表!$A$2:$B$118,2,FALSE)</f>
        <v>3004</v>
      </c>
      <c r="S638" s="33">
        <v>300</v>
      </c>
      <c r="T638" s="110">
        <f>VLOOKUP($C638,怪物并表!$E$7:$N$1000,2+($D638-1)*3,FALSE)*S638*AJ638</f>
        <v>4781541.5075147217</v>
      </c>
      <c r="U638" s="110">
        <f>VLOOKUP($C638,怪物并表!$E$7:$N$1000,3+($D638-1)*3,FALSE)*S638*AK638</f>
        <v>304413.65519320819</v>
      </c>
      <c r="V638" s="110">
        <f>VLOOKUP($C638,怪物并表!$E$7:$N$1000,4+($D638-1)*3,FALSE)*S638*AL638</f>
        <v>126889.86028093648</v>
      </c>
      <c r="W638" s="33"/>
      <c r="X638" s="33"/>
      <c r="Y638" s="49">
        <f>VLOOKUP($C638,怪物并表!$E$7:$P$1000,12,FALSE)</f>
        <v>0</v>
      </c>
      <c r="Z638" s="49">
        <f>VLOOKUP($C638,怪物并表!$E$7:$P$1000,11,FALSE)*S638</f>
        <v>591595.20000000007</v>
      </c>
      <c r="AA638" s="33"/>
      <c r="AB638" s="33"/>
      <c r="AC638" s="33"/>
      <c r="AD638" s="33">
        <f t="shared" si="73"/>
        <v>1</v>
      </c>
      <c r="AE638" s="2">
        <f t="shared" si="72"/>
        <v>667.5</v>
      </c>
      <c r="AF638" s="2">
        <f>IF(ISBLANK(AM638),IF(O638=6,"",IF(O638=1,VLOOKUP(R638,怪物信息配置表!B:H,5,FALSE),IF(O638=2,VLOOKUP(R638,怪物信息配置表!B:H,6,FALSE),IF(OR(O638=3,O638=5),VLOOKUP(R638,怪物信息配置表!B:H,7,FALSE),"")))),AM638)</f>
        <v>0</v>
      </c>
      <c r="AG638" s="2"/>
      <c r="AH638" s="15">
        <f>SUMPRODUCT(T638:V638,$AN$3:$AP$3)+ROUNDDOWN(VLOOKUP(P638,CHOOSE({1,2},'[1]消耗&amp;价值&amp;分析'!$C$7:$C$106,'[1]消耗&amp;价值&amp;分析'!$AS$7:$AS$106),2,FALSE)*0.6,0)</f>
        <v>623294.17577473354</v>
      </c>
      <c r="AJ638" s="80">
        <v>1</v>
      </c>
      <c r="AK638" s="80">
        <v>1</v>
      </c>
      <c r="AL638" s="80">
        <v>1</v>
      </c>
    </row>
    <row r="639" spans="1:38">
      <c r="A639" s="33" t="str">
        <f>怪物并表!$R$11</f>
        <v>马仔经验副本</v>
      </c>
      <c r="B639" s="38">
        <v>6</v>
      </c>
      <c r="C639" s="33">
        <f t="shared" si="78"/>
        <v>1802</v>
      </c>
      <c r="D639" s="33">
        <v>1</v>
      </c>
      <c r="E639" s="33">
        <f>VLOOKUP(A639,怪物并表!$R$7:$S$14,2,FALSE)</f>
        <v>5</v>
      </c>
      <c r="F639" s="38">
        <v>0</v>
      </c>
      <c r="G639" s="38">
        <v>2</v>
      </c>
      <c r="H639" s="38">
        <v>1</v>
      </c>
      <c r="I639" s="33">
        <f t="shared" si="77"/>
        <v>502106</v>
      </c>
      <c r="J639" s="33" t="s">
        <v>653</v>
      </c>
      <c r="K639" s="33" t="s">
        <v>655</v>
      </c>
      <c r="L639" s="33">
        <v>0</v>
      </c>
      <c r="M639" s="33">
        <v>1</v>
      </c>
      <c r="N639" s="33"/>
      <c r="O639" s="33">
        <v>1</v>
      </c>
      <c r="P639" s="33">
        <f>VLOOKUP($C639,CHOOSE({1,2},怪物并表!$E$7:$E$1000,怪物并表!$D$7:$D$1000),2,FALSE)</f>
        <v>28</v>
      </c>
      <c r="Q639" s="33" t="s">
        <v>258</v>
      </c>
      <c r="R639" s="33">
        <f>VLOOKUP(Q639,怪物信息配置表!$A$2:$B$118,2,FALSE)</f>
        <v>3002</v>
      </c>
      <c r="S639" s="33">
        <v>2</v>
      </c>
      <c r="T639" s="110">
        <f>VLOOKUP($C639,怪物并表!$E$7:$N$1000,2+($D639-1)*3,FALSE)*S639*AJ639</f>
        <v>31876.943383431477</v>
      </c>
      <c r="U639" s="110">
        <f>VLOOKUP($C639,怪物并表!$E$7:$N$1000,3+($D639-1)*3,FALSE)*S639*AK639</f>
        <v>2029.4243679547212</v>
      </c>
      <c r="V639" s="110">
        <f>VLOOKUP($C639,怪物并表!$E$7:$N$1000,4+($D639-1)*3,FALSE)*S639*AL639</f>
        <v>845.93240187290985</v>
      </c>
      <c r="W639" s="33"/>
      <c r="X639" s="33"/>
      <c r="Y639" s="49">
        <f>VLOOKUP($C639,怪物并表!$E$7:$P$1000,12,FALSE)</f>
        <v>0</v>
      </c>
      <c r="Z639" s="49">
        <f>VLOOKUP($C639,怪物并表!$E$7:$P$1000,11,FALSE)*S639</f>
        <v>3943.9680000000003</v>
      </c>
      <c r="AA639" s="33"/>
      <c r="AB639" s="33"/>
      <c r="AC639" s="33"/>
      <c r="AD639" s="33">
        <f t="shared" si="73"/>
        <v>1</v>
      </c>
      <c r="AE639" s="2">
        <f t="shared" si="72"/>
        <v>667.5</v>
      </c>
      <c r="AF639" s="2">
        <f>IF(ISBLANK(AM639),IF(O639=6,"",IF(O639=1,VLOOKUP(R639,怪物信息配置表!B:H,5,FALSE),IF(O639=2,VLOOKUP(R639,怪物信息配置表!B:H,6,FALSE),IF(OR(O639=3,O639=5),VLOOKUP(R639,怪物信息配置表!B:H,7,FALSE),"")))),AM639)</f>
        <v>0</v>
      </c>
      <c r="AG639" s="2"/>
      <c r="AH639" s="15">
        <f>SUMPRODUCT(T639:V639,$AN$3:$AP$3)+ROUNDDOWN(VLOOKUP(P639,CHOOSE({1,2},'[1]消耗&amp;价值&amp;分析'!$C$7:$C$106,'[1]消耗&amp;价值&amp;分析'!$AS$7:$AS$106),2,FALSE)*0.6,0)</f>
        <v>4879.4345051648907</v>
      </c>
      <c r="AJ639" s="80">
        <v>1</v>
      </c>
      <c r="AK639" s="80">
        <v>1</v>
      </c>
      <c r="AL639" s="80">
        <v>1</v>
      </c>
    </row>
    <row r="640" spans="1:38">
      <c r="A640" s="33" t="str">
        <f>怪物并表!$R$11</f>
        <v>马仔经验副本</v>
      </c>
      <c r="B640" s="38">
        <v>1</v>
      </c>
      <c r="C640" s="33">
        <f t="shared" si="78"/>
        <v>1803</v>
      </c>
      <c r="D640" s="33">
        <v>2</v>
      </c>
      <c r="E640" s="33">
        <f>VLOOKUP(A640,怪物并表!$R$7:$S$14,2,FALSE)</f>
        <v>5</v>
      </c>
      <c r="F640" s="38">
        <v>0</v>
      </c>
      <c r="G640" s="38">
        <v>3</v>
      </c>
      <c r="H640" s="38">
        <v>1</v>
      </c>
      <c r="I640" s="33">
        <f t="shared" si="77"/>
        <v>503101</v>
      </c>
      <c r="J640" s="33" t="s">
        <v>643</v>
      </c>
      <c r="K640" s="33" t="s">
        <v>655</v>
      </c>
      <c r="L640" s="33">
        <v>0</v>
      </c>
      <c r="M640" s="33">
        <v>1</v>
      </c>
      <c r="N640" s="33"/>
      <c r="O640" s="33">
        <v>1</v>
      </c>
      <c r="P640" s="33">
        <f>VLOOKUP($C640,CHOOSE({1,2},怪物并表!$E$7:$E$1000,怪物并表!$D$7:$D$1000),2,FALSE)</f>
        <v>38</v>
      </c>
      <c r="Q640" s="33" t="s">
        <v>9</v>
      </c>
      <c r="R640" s="33">
        <f>VLOOKUP(Q640,怪物信息配置表!$A$2:$B$118,2,FALSE)</f>
        <v>1003</v>
      </c>
      <c r="S640" s="33">
        <v>1.5</v>
      </c>
      <c r="T640" s="110">
        <f>VLOOKUP($C640,怪物并表!$E$7:$N$1000,2+($D640-1)*3,FALSE)*S640*AJ640</f>
        <v>54513.136708779231</v>
      </c>
      <c r="U640" s="110">
        <f>VLOOKUP($C640,怪物并表!$E$7:$N$1000,3+($D640-1)*3,FALSE)*S640*AK640</f>
        <v>3919.5195678573314</v>
      </c>
      <c r="V640" s="110">
        <f>VLOOKUP($C640,怪物并表!$E$7:$N$1000,4+($D640-1)*3,FALSE)*S640*AL640</f>
        <v>924.10621055518504</v>
      </c>
      <c r="W640" s="33"/>
      <c r="X640" s="33"/>
      <c r="Y640" s="49">
        <f>VLOOKUP($C640,怪物并表!$E$7:$P$1000,12,FALSE)</f>
        <v>0</v>
      </c>
      <c r="Z640" s="49">
        <f>VLOOKUP($C640,怪物并表!$E$7:$P$1000,11,FALSE)*S640</f>
        <v>3831.3960000000002</v>
      </c>
      <c r="AA640" s="33"/>
      <c r="AB640" s="33"/>
      <c r="AC640" s="33"/>
      <c r="AD640" s="33">
        <f t="shared" si="73"/>
        <v>0.8</v>
      </c>
      <c r="AE640" s="2">
        <f t="shared" si="72"/>
        <v>639</v>
      </c>
      <c r="AF640" s="2" t="str">
        <f>IF(ISBLANK(AM640),IF(O640=6,"",IF(O640=1,VLOOKUP(R640,怪物信息配置表!B:H,5,FALSE),IF(O640=2,VLOOKUP(R640,怪物信息配置表!B:H,6,FALSE),IF(OR(O640=3,O640=5),VLOOKUP(R640,怪物信息配置表!B:H,7,FALSE),"")))),AM640)</f>
        <v>ai_monster_02</v>
      </c>
      <c r="AG640" s="2"/>
      <c r="AH640" s="15">
        <f>SUMPRODUCT(T640:V640,$AN$3:$AP$3)+ROUNDDOWN(VLOOKUP(P640,CHOOSE({1,2},'[1]消耗&amp;价值&amp;分析'!$C$7:$C$106,'[1]消耗&amp;价值&amp;分析'!$AS$7:$AS$106),2,FALSE)*0.6,0)</f>
        <v>8478.1512467636858</v>
      </c>
      <c r="AJ640" s="80">
        <v>1</v>
      </c>
      <c r="AK640" s="80">
        <v>1</v>
      </c>
      <c r="AL640" s="80">
        <v>1</v>
      </c>
    </row>
    <row r="641" spans="1:38">
      <c r="A641" s="33" t="str">
        <f>怪物并表!$R$11</f>
        <v>马仔经验副本</v>
      </c>
      <c r="B641" s="38">
        <v>2</v>
      </c>
      <c r="C641" s="33">
        <f t="shared" si="78"/>
        <v>1803</v>
      </c>
      <c r="D641" s="33">
        <v>2</v>
      </c>
      <c r="E641" s="33">
        <f>VLOOKUP(A641,怪物并表!$R$7:$S$14,2,FALSE)</f>
        <v>5</v>
      </c>
      <c r="F641" s="38">
        <v>0</v>
      </c>
      <c r="G641" s="38">
        <v>3</v>
      </c>
      <c r="H641" s="38">
        <v>1</v>
      </c>
      <c r="I641" s="33">
        <f t="shared" si="77"/>
        <v>503102</v>
      </c>
      <c r="J641" s="33" t="s">
        <v>645</v>
      </c>
      <c r="K641" s="33" t="s">
        <v>655</v>
      </c>
      <c r="L641" s="33">
        <v>0</v>
      </c>
      <c r="M641" s="33">
        <v>1</v>
      </c>
      <c r="N641" s="33"/>
      <c r="O641" s="33">
        <v>1</v>
      </c>
      <c r="P641" s="33">
        <f>VLOOKUP($C641,CHOOSE({1,2},怪物并表!$E$7:$E$1000,怪物并表!$D$7:$D$1000),2,FALSE)</f>
        <v>38</v>
      </c>
      <c r="Q641" s="33" t="s">
        <v>17</v>
      </c>
      <c r="R641" s="33">
        <f>VLOOKUP(Q641,怪物信息配置表!$A$2:$B$118,2,FALSE)</f>
        <v>1005</v>
      </c>
      <c r="S641" s="33">
        <v>1.5</v>
      </c>
      <c r="T641" s="110">
        <f>VLOOKUP($C641,怪物并表!$E$7:$N$1000,2+($D641-1)*3,FALSE)*S641*AJ641</f>
        <v>54513.136708779231</v>
      </c>
      <c r="U641" s="110">
        <f>VLOOKUP($C641,怪物并表!$E$7:$N$1000,3+($D641-1)*3,FALSE)*S641*AK641</f>
        <v>3919.5195678573314</v>
      </c>
      <c r="V641" s="110">
        <f>VLOOKUP($C641,怪物并表!$E$7:$N$1000,4+($D641-1)*3,FALSE)*S641*AL641</f>
        <v>924.10621055518504</v>
      </c>
      <c r="W641" s="33"/>
      <c r="X641" s="33"/>
      <c r="Y641" s="49">
        <f>VLOOKUP($C641,怪物并表!$E$7:$P$1000,12,FALSE)</f>
        <v>0</v>
      </c>
      <c r="Z641" s="49">
        <f>VLOOKUP($C641,怪物并表!$E$7:$P$1000,11,FALSE)*S641</f>
        <v>3831.3960000000002</v>
      </c>
      <c r="AA641" s="33"/>
      <c r="AB641" s="33"/>
      <c r="AC641" s="33"/>
      <c r="AD641" s="33">
        <f t="shared" si="73"/>
        <v>0.8</v>
      </c>
      <c r="AE641" s="2">
        <f t="shared" si="72"/>
        <v>639</v>
      </c>
      <c r="AF641" s="2" t="str">
        <f>IF(ISBLANK(AM641),IF(O641=6,"",IF(O641=1,VLOOKUP(R641,怪物信息配置表!B:H,5,FALSE),IF(O641=2,VLOOKUP(R641,怪物信息配置表!B:H,6,FALSE),IF(OR(O641=3,O641=5),VLOOKUP(R641,怪物信息配置表!B:H,7,FALSE),"")))),AM641)</f>
        <v>ai_monster_02</v>
      </c>
      <c r="AG641" s="2"/>
      <c r="AH641" s="15">
        <f>SUMPRODUCT(T641:V641,$AN$3:$AP$3)+ROUNDDOWN(VLOOKUP(P641,CHOOSE({1,2},'[1]消耗&amp;价值&amp;分析'!$C$7:$C$106,'[1]消耗&amp;价值&amp;分析'!$AS$7:$AS$106),2,FALSE)*0.6,0)</f>
        <v>8478.1512467636858</v>
      </c>
      <c r="AJ641" s="80">
        <v>1</v>
      </c>
      <c r="AK641" s="80">
        <v>1</v>
      </c>
      <c r="AL641" s="80">
        <v>1</v>
      </c>
    </row>
    <row r="642" spans="1:38">
      <c r="A642" s="33" t="str">
        <f>怪物并表!$R$11</f>
        <v>马仔经验副本</v>
      </c>
      <c r="B642" s="38">
        <v>3</v>
      </c>
      <c r="C642" s="33">
        <f t="shared" si="78"/>
        <v>1803</v>
      </c>
      <c r="D642" s="33">
        <v>2</v>
      </c>
      <c r="E642" s="33">
        <f>VLOOKUP(A642,怪物并表!$R$7:$S$14,2,FALSE)</f>
        <v>5</v>
      </c>
      <c r="F642" s="38">
        <v>0</v>
      </c>
      <c r="G642" s="38">
        <v>3</v>
      </c>
      <c r="H642" s="38">
        <v>1</v>
      </c>
      <c r="I642" s="33">
        <f t="shared" si="77"/>
        <v>503103</v>
      </c>
      <c r="J642" s="33" t="s">
        <v>647</v>
      </c>
      <c r="K642" s="33" t="s">
        <v>655</v>
      </c>
      <c r="L642" s="33">
        <v>0</v>
      </c>
      <c r="M642" s="33">
        <v>1</v>
      </c>
      <c r="N642" s="33"/>
      <c r="O642" s="33">
        <v>1</v>
      </c>
      <c r="P642" s="33">
        <f>VLOOKUP($C642,CHOOSE({1,2},怪物并表!$E$7:$E$1000,怪物并表!$D$7:$D$1000),2,FALSE)</f>
        <v>38</v>
      </c>
      <c r="Q642" s="33" t="s">
        <v>10</v>
      </c>
      <c r="R642" s="33">
        <f>VLOOKUP(Q642,怪物信息配置表!$A$2:$B$118,2,FALSE)</f>
        <v>1001</v>
      </c>
      <c r="S642" s="33">
        <v>1.5</v>
      </c>
      <c r="T642" s="110">
        <f>VLOOKUP($C642,怪物并表!$E$7:$N$1000,2+($D642-1)*3,FALSE)*S642*AJ642</f>
        <v>54513.136708779231</v>
      </c>
      <c r="U642" s="110">
        <f>VLOOKUP($C642,怪物并表!$E$7:$N$1000,3+($D642-1)*3,FALSE)*S642*AK642</f>
        <v>3919.5195678573314</v>
      </c>
      <c r="V642" s="110">
        <f>VLOOKUP($C642,怪物并表!$E$7:$N$1000,4+($D642-1)*3,FALSE)*S642*AL642</f>
        <v>924.10621055518504</v>
      </c>
      <c r="W642" s="33"/>
      <c r="X642" s="33"/>
      <c r="Y642" s="49">
        <f>VLOOKUP($C642,怪物并表!$E$7:$P$1000,12,FALSE)</f>
        <v>0</v>
      </c>
      <c r="Z642" s="49">
        <f>VLOOKUP($C642,怪物并表!$E$7:$P$1000,11,FALSE)*S642</f>
        <v>3831.3960000000002</v>
      </c>
      <c r="AA642" s="33"/>
      <c r="AB642" s="33"/>
      <c r="AC642" s="33"/>
      <c r="AD642" s="33">
        <f t="shared" si="73"/>
        <v>0.8</v>
      </c>
      <c r="AE642" s="2">
        <f t="shared" ref="AE642:AE693" si="79">MAX(VLOOKUP(Q642,怪物信息配置表,3,FALSE)-VLOOKUP(Q642,怪物信息配置表,5,FALSE)*P642*AD642,50)</f>
        <v>639</v>
      </c>
      <c r="AF642" s="2" t="str">
        <f>IF(ISBLANK(AM642),IF(O642=6,"",IF(O642=1,VLOOKUP(R642,怪物信息配置表!B:H,5,FALSE),IF(O642=2,VLOOKUP(R642,怪物信息配置表!B:H,6,FALSE),IF(OR(O642=3,O642=5),VLOOKUP(R642,怪物信息配置表!B:H,7,FALSE),"")))),AM642)</f>
        <v>ai_monster</v>
      </c>
      <c r="AG642" s="2"/>
      <c r="AH642" s="15">
        <f>SUMPRODUCT(T642:V642,$AN$3:$AP$3)+ROUNDDOWN(VLOOKUP(P642,CHOOSE({1,2},'[1]消耗&amp;价值&amp;分析'!$C$7:$C$106,'[1]消耗&amp;价值&amp;分析'!$AS$7:$AS$106),2,FALSE)*0.6,0)</f>
        <v>8478.1512467636858</v>
      </c>
      <c r="AJ642" s="80">
        <v>1</v>
      </c>
      <c r="AK642" s="80">
        <v>1</v>
      </c>
      <c r="AL642" s="80">
        <v>1</v>
      </c>
    </row>
    <row r="643" spans="1:38">
      <c r="A643" s="33" t="str">
        <f>怪物并表!$R$11</f>
        <v>马仔经验副本</v>
      </c>
      <c r="B643" s="38">
        <v>4</v>
      </c>
      <c r="C643" s="33">
        <f t="shared" si="78"/>
        <v>1803</v>
      </c>
      <c r="D643" s="33">
        <v>2</v>
      </c>
      <c r="E643" s="33">
        <f>VLOOKUP(A643,怪物并表!$R$7:$S$14,2,FALSE)</f>
        <v>5</v>
      </c>
      <c r="F643" s="38">
        <v>0</v>
      </c>
      <c r="G643" s="38">
        <v>3</v>
      </c>
      <c r="H643" s="38">
        <v>1</v>
      </c>
      <c r="I643" s="33">
        <f t="shared" si="77"/>
        <v>503104</v>
      </c>
      <c r="J643" s="33" t="s">
        <v>649</v>
      </c>
      <c r="K643" s="33" t="s">
        <v>655</v>
      </c>
      <c r="L643" s="33">
        <v>0</v>
      </c>
      <c r="M643" s="33">
        <v>1</v>
      </c>
      <c r="N643" s="33"/>
      <c r="O643" s="33">
        <v>1</v>
      </c>
      <c r="P643" s="33">
        <f>VLOOKUP($C643,CHOOSE({1,2},怪物并表!$E$7:$E$1000,怪物并表!$D$7:$D$1000),2,FALSE)</f>
        <v>38</v>
      </c>
      <c r="Q643" s="33" t="s">
        <v>367</v>
      </c>
      <c r="R643" s="33">
        <f>VLOOKUP(Q643,怪物信息配置表!$A$2:$B$118,2,FALSE)</f>
        <v>1008</v>
      </c>
      <c r="S643" s="33">
        <v>1.5</v>
      </c>
      <c r="T643" s="110">
        <f>VLOOKUP($C643,怪物并表!$E$7:$N$1000,2+($D643-1)*3,FALSE)*S643*AJ643</f>
        <v>54513.136708779231</v>
      </c>
      <c r="U643" s="110">
        <f>VLOOKUP($C643,怪物并表!$E$7:$N$1000,3+($D643-1)*3,FALSE)*S643*AK643</f>
        <v>3919.5195678573314</v>
      </c>
      <c r="V643" s="110">
        <f>VLOOKUP($C643,怪物并表!$E$7:$N$1000,4+($D643-1)*3,FALSE)*S643*AL643</f>
        <v>924.10621055518504</v>
      </c>
      <c r="W643" s="33"/>
      <c r="X643" s="33"/>
      <c r="Y643" s="49">
        <f>VLOOKUP($C643,怪物并表!$E$7:$P$1000,12,FALSE)</f>
        <v>0</v>
      </c>
      <c r="Z643" s="49">
        <f>VLOOKUP($C643,怪物并表!$E$7:$P$1000,11,FALSE)*S643</f>
        <v>3831.3960000000002</v>
      </c>
      <c r="AA643" s="33"/>
      <c r="AB643" s="33"/>
      <c r="AC643" s="33"/>
      <c r="AD643" s="33">
        <f t="shared" si="73"/>
        <v>0.8</v>
      </c>
      <c r="AE643" s="2">
        <f t="shared" si="79"/>
        <v>639</v>
      </c>
      <c r="AF643" s="2" t="str">
        <f>IF(ISBLANK(AM643),IF(O643=6,"",IF(O643=1,VLOOKUP(R643,怪物信息配置表!B:H,5,FALSE),IF(O643=2,VLOOKUP(R643,怪物信息配置表!B:H,6,FALSE),IF(OR(O643=3,O643=5),VLOOKUP(R643,怪物信息配置表!B:H,7,FALSE),"")))),AM643)</f>
        <v>ai_monster</v>
      </c>
      <c r="AG643" s="2"/>
      <c r="AH643" s="15">
        <f>SUMPRODUCT(T643:V643,$AN$3:$AP$3)+ROUNDDOWN(VLOOKUP(P643,CHOOSE({1,2},'[1]消耗&amp;价值&amp;分析'!$C$7:$C$106,'[1]消耗&amp;价值&amp;分析'!$AS$7:$AS$106),2,FALSE)*0.6,0)</f>
        <v>8478.1512467636858</v>
      </c>
      <c r="AJ643" s="80">
        <v>1</v>
      </c>
      <c r="AK643" s="80">
        <v>1</v>
      </c>
      <c r="AL643" s="80">
        <v>1</v>
      </c>
    </row>
    <row r="644" spans="1:38">
      <c r="A644" s="33" t="str">
        <f>怪物并表!$R$11</f>
        <v>马仔经验副本</v>
      </c>
      <c r="B644" s="38">
        <v>5</v>
      </c>
      <c r="C644" s="33">
        <f t="shared" si="78"/>
        <v>1803</v>
      </c>
      <c r="D644" s="33">
        <v>1</v>
      </c>
      <c r="E644" s="33">
        <f>VLOOKUP(A644,怪物并表!$R$7:$S$14,2,FALSE)</f>
        <v>5</v>
      </c>
      <c r="F644" s="38">
        <v>0</v>
      </c>
      <c r="G644" s="38">
        <v>3</v>
      </c>
      <c r="H644" s="38">
        <v>1</v>
      </c>
      <c r="I644" s="33">
        <f t="shared" si="77"/>
        <v>503105</v>
      </c>
      <c r="J644" s="33" t="s">
        <v>651</v>
      </c>
      <c r="K644" s="33" t="s">
        <v>656</v>
      </c>
      <c r="L644" s="33">
        <v>0</v>
      </c>
      <c r="M644" s="33">
        <v>1.2</v>
      </c>
      <c r="N644" s="33"/>
      <c r="O644" s="33">
        <v>1</v>
      </c>
      <c r="P644" s="33">
        <f>VLOOKUP($C644,CHOOSE({1,2},怪物并表!$E$7:$E$1000,怪物并表!$D$7:$D$1000),2,FALSE)</f>
        <v>38</v>
      </c>
      <c r="Q644" s="33" t="s">
        <v>261</v>
      </c>
      <c r="R644" s="33">
        <f>VLOOKUP(Q644,怪物信息配置表!$A$2:$B$118,2,FALSE)</f>
        <v>3004</v>
      </c>
      <c r="S644" s="33">
        <v>300</v>
      </c>
      <c r="T644" s="110">
        <f>VLOOKUP($C644,怪物并表!$E$7:$N$1000,2+($D644-1)*3,FALSE)*S644*AJ644</f>
        <v>13628284.177194806</v>
      </c>
      <c r="U644" s="110">
        <f>VLOOKUP($C644,怪物并表!$E$7:$N$1000,3+($D644-1)*3,FALSE)*S644*AK644</f>
        <v>825369.47381742252</v>
      </c>
      <c r="V644" s="110">
        <f>VLOOKUP($C644,怪物并表!$E$7:$N$1000,4+($D644-1)*3,FALSE)*S644*AL644</f>
        <v>308035.4035183948</v>
      </c>
      <c r="W644" s="33"/>
      <c r="X644" s="33"/>
      <c r="Y644" s="49">
        <f>VLOOKUP($C644,怪物并表!$E$7:$P$1000,12,FALSE)</f>
        <v>0</v>
      </c>
      <c r="Z644" s="49">
        <f>VLOOKUP($C644,怪物并表!$E$7:$P$1000,11,FALSE)*S644</f>
        <v>766279.20000000007</v>
      </c>
      <c r="AA644" s="33"/>
      <c r="AB644" s="33"/>
      <c r="AC644" s="33"/>
      <c r="AD644" s="33">
        <f t="shared" si="73"/>
        <v>1</v>
      </c>
      <c r="AE644" s="2">
        <f t="shared" si="79"/>
        <v>548.75</v>
      </c>
      <c r="AF644" s="2">
        <f>IF(ISBLANK(AM644),IF(O644=6,"",IF(O644=1,VLOOKUP(R644,怪物信息配置表!B:H,5,FALSE),IF(O644=2,VLOOKUP(R644,怪物信息配置表!B:H,6,FALSE),IF(OR(O644=3,O644=5),VLOOKUP(R644,怪物信息配置表!B:H,7,FALSE),"")))),AM644)</f>
        <v>0</v>
      </c>
      <c r="AG644" s="2"/>
      <c r="AH644" s="15">
        <f>SUMPRODUCT(T644:V644,$AN$3:$AP$3)+ROUNDDOWN(VLOOKUP(P644,CHOOSE({1,2},'[1]消耗&amp;价值&amp;分析'!$C$7:$C$106,'[1]消耗&amp;价值&amp;分析'!$AS$7:$AS$106),2,FALSE)*0.6,0)</f>
        <v>1679990.2444236095</v>
      </c>
      <c r="AJ644" s="80">
        <v>1</v>
      </c>
      <c r="AK644" s="80">
        <v>1</v>
      </c>
      <c r="AL644" s="80">
        <v>1</v>
      </c>
    </row>
    <row r="645" spans="1:38">
      <c r="A645" s="33" t="str">
        <f>怪物并表!$R$11</f>
        <v>马仔经验副本</v>
      </c>
      <c r="B645" s="38">
        <v>6</v>
      </c>
      <c r="C645" s="33">
        <f t="shared" si="78"/>
        <v>1803</v>
      </c>
      <c r="D645" s="33">
        <v>1</v>
      </c>
      <c r="E645" s="33">
        <f>VLOOKUP(A645,怪物并表!$R$7:$S$14,2,FALSE)</f>
        <v>5</v>
      </c>
      <c r="F645" s="38">
        <v>0</v>
      </c>
      <c r="G645" s="38">
        <v>3</v>
      </c>
      <c r="H645" s="38">
        <v>1</v>
      </c>
      <c r="I645" s="33">
        <f t="shared" si="77"/>
        <v>503106</v>
      </c>
      <c r="J645" s="33" t="s">
        <v>653</v>
      </c>
      <c r="K645" s="33" t="s">
        <v>655</v>
      </c>
      <c r="L645" s="33">
        <v>0</v>
      </c>
      <c r="M645" s="33">
        <v>1</v>
      </c>
      <c r="N645" s="33"/>
      <c r="O645" s="33">
        <v>1</v>
      </c>
      <c r="P645" s="33">
        <f>VLOOKUP($C645,CHOOSE({1,2},怪物并表!$E$7:$E$1000,怪物并表!$D$7:$D$1000),2,FALSE)</f>
        <v>38</v>
      </c>
      <c r="Q645" s="33" t="s">
        <v>258</v>
      </c>
      <c r="R645" s="33">
        <f>VLOOKUP(Q645,怪物信息配置表!$A$2:$B$118,2,FALSE)</f>
        <v>3002</v>
      </c>
      <c r="S645" s="33">
        <v>2</v>
      </c>
      <c r="T645" s="110">
        <f>VLOOKUP($C645,怪物并表!$E$7:$N$1000,2+($D645-1)*3,FALSE)*S645*AJ645</f>
        <v>90855.227847965376</v>
      </c>
      <c r="U645" s="110">
        <f>VLOOKUP($C645,怪物并表!$E$7:$N$1000,3+($D645-1)*3,FALSE)*S645*AK645</f>
        <v>5502.4631587828171</v>
      </c>
      <c r="V645" s="110">
        <f>VLOOKUP($C645,怪物并表!$E$7:$N$1000,4+($D645-1)*3,FALSE)*S645*AL645</f>
        <v>2053.5693567892986</v>
      </c>
      <c r="W645" s="33"/>
      <c r="X645" s="33"/>
      <c r="Y645" s="49">
        <f>VLOOKUP($C645,怪物并表!$E$7:$P$1000,12,FALSE)</f>
        <v>0</v>
      </c>
      <c r="Z645" s="49">
        <f>VLOOKUP($C645,怪物并表!$E$7:$P$1000,11,FALSE)*S645</f>
        <v>5108.5280000000002</v>
      </c>
      <c r="AA645" s="33"/>
      <c r="AB645" s="33"/>
      <c r="AC645" s="33"/>
      <c r="AD645" s="33">
        <f t="shared" si="73"/>
        <v>1</v>
      </c>
      <c r="AE645" s="2">
        <f t="shared" si="79"/>
        <v>548.75</v>
      </c>
      <c r="AF645" s="2">
        <f>IF(ISBLANK(AM645),IF(O645=6,"",IF(O645=1,VLOOKUP(R645,怪物信息配置表!B:H,5,FALSE),IF(O645=2,VLOOKUP(R645,怪物信息配置表!B:H,6,FALSE),IF(OR(O645=3,O645=5),VLOOKUP(R645,怪物信息配置表!B:H,7,FALSE),"")))),AM645)</f>
        <v>0</v>
      </c>
      <c r="AG645" s="2"/>
      <c r="AH645" s="15">
        <f>SUMPRODUCT(T645:V645,$AN$3:$AP$3)+ROUNDDOWN(VLOOKUP(P645,CHOOSE({1,2},'[1]消耗&amp;价值&amp;分析'!$C$7:$C$106,'[1]消耗&amp;价值&amp;分析'!$AS$7:$AS$106),2,FALSE)*0.6,0)</f>
        <v>12644.241629490731</v>
      </c>
      <c r="AJ645" s="80">
        <v>1</v>
      </c>
      <c r="AK645" s="80">
        <v>1</v>
      </c>
      <c r="AL645" s="80">
        <v>1</v>
      </c>
    </row>
    <row r="646" spans="1:38">
      <c r="A646" s="33" t="str">
        <f>怪物并表!$R$11</f>
        <v>马仔经验副本</v>
      </c>
      <c r="B646" s="38">
        <v>1</v>
      </c>
      <c r="C646" s="33">
        <f t="shared" si="78"/>
        <v>1804</v>
      </c>
      <c r="D646" s="33">
        <v>2</v>
      </c>
      <c r="E646" s="33">
        <f>VLOOKUP(A646,怪物并表!$R$7:$S$14,2,FALSE)</f>
        <v>5</v>
      </c>
      <c r="F646" s="38">
        <v>0</v>
      </c>
      <c r="G646" s="38">
        <v>4</v>
      </c>
      <c r="H646" s="38">
        <v>1</v>
      </c>
      <c r="I646" s="33">
        <f t="shared" si="77"/>
        <v>504101</v>
      </c>
      <c r="J646" s="33" t="s">
        <v>643</v>
      </c>
      <c r="K646" s="33" t="s">
        <v>655</v>
      </c>
      <c r="L646" s="33">
        <v>0</v>
      </c>
      <c r="M646" s="33">
        <v>1</v>
      </c>
      <c r="N646" s="33"/>
      <c r="O646" s="33">
        <v>1</v>
      </c>
      <c r="P646" s="33">
        <f>VLOOKUP($C646,CHOOSE({1,2},怪物并表!$E$7:$E$1000,怪物并表!$D$7:$D$1000),2,FALSE)</f>
        <v>48</v>
      </c>
      <c r="Q646" s="33" t="s">
        <v>9</v>
      </c>
      <c r="R646" s="33">
        <f>VLOOKUP(Q646,怪物信息配置表!$A$2:$B$118,2,FALSE)</f>
        <v>1003</v>
      </c>
      <c r="S646" s="33">
        <v>1.5</v>
      </c>
      <c r="T646" s="110">
        <f>VLOOKUP($C646,怪物并表!$E$7:$N$1000,2+($D646-1)*3,FALSE)*S646*AJ646</f>
        <v>130747.31408353569</v>
      </c>
      <c r="U646" s="110">
        <f>VLOOKUP($C646,怪物并表!$E$7:$N$1000,3+($D646-1)*3,FALSE)*S646*AK646</f>
        <v>9739.4617912449485</v>
      </c>
      <c r="V646" s="110">
        <f>VLOOKUP($C646,怪物并表!$E$7:$N$1000,4+($D646-1)*3,FALSE)*S646*AL646</f>
        <v>1940.3630633739149</v>
      </c>
      <c r="W646" s="33"/>
      <c r="X646" s="33"/>
      <c r="Y646" s="49">
        <f>VLOOKUP($C646,怪物并表!$E$7:$P$1000,12,FALSE)</f>
        <v>0</v>
      </c>
      <c r="Z646" s="49">
        <f>VLOOKUP($C646,怪物并表!$E$7:$P$1000,11,FALSE)*S646</f>
        <v>4704.8159999999998</v>
      </c>
      <c r="AA646" s="33"/>
      <c r="AB646" s="33"/>
      <c r="AC646" s="33"/>
      <c r="AD646" s="33">
        <f t="shared" si="73"/>
        <v>0.8</v>
      </c>
      <c r="AE646" s="2">
        <f t="shared" si="79"/>
        <v>544</v>
      </c>
      <c r="AF646" s="2" t="str">
        <f>IF(ISBLANK(AM646),IF(O646=6,"",IF(O646=1,VLOOKUP(R646,怪物信息配置表!B:H,5,FALSE),IF(O646=2,VLOOKUP(R646,怪物信息配置表!B:H,6,FALSE),IF(OR(O646=3,O646=5),VLOOKUP(R646,怪物信息配置表!B:H,7,FALSE),"")))),AM646)</f>
        <v>ai_monster_02</v>
      </c>
      <c r="AG646" s="2"/>
      <c r="AH646" s="15">
        <f>SUMPRODUCT(T646:V646,$AN$3:$AP$3)+ROUNDDOWN(VLOOKUP(P646,CHOOSE({1,2},'[1]消耗&amp;价值&amp;分析'!$C$7:$C$106,'[1]消耗&amp;价值&amp;分析'!$AS$7:$AS$106),2,FALSE)*0.6,0)</f>
        <v>19459.717417960292</v>
      </c>
      <c r="AJ646" s="80">
        <v>1</v>
      </c>
      <c r="AK646" s="80">
        <v>1</v>
      </c>
      <c r="AL646" s="80">
        <v>1</v>
      </c>
    </row>
    <row r="647" spans="1:38">
      <c r="A647" s="33" t="str">
        <f>怪物并表!$R$11</f>
        <v>马仔经验副本</v>
      </c>
      <c r="B647" s="38">
        <v>2</v>
      </c>
      <c r="C647" s="33">
        <f t="shared" si="78"/>
        <v>1804</v>
      </c>
      <c r="D647" s="33">
        <v>2</v>
      </c>
      <c r="E647" s="33">
        <f>VLOOKUP(A647,怪物并表!$R$7:$S$14,2,FALSE)</f>
        <v>5</v>
      </c>
      <c r="F647" s="38">
        <v>0</v>
      </c>
      <c r="G647" s="38">
        <v>4</v>
      </c>
      <c r="H647" s="38">
        <v>1</v>
      </c>
      <c r="I647" s="33">
        <f t="shared" si="77"/>
        <v>504102</v>
      </c>
      <c r="J647" s="33" t="s">
        <v>645</v>
      </c>
      <c r="K647" s="33" t="s">
        <v>655</v>
      </c>
      <c r="L647" s="33">
        <v>0</v>
      </c>
      <c r="M647" s="33">
        <v>1</v>
      </c>
      <c r="N647" s="33"/>
      <c r="O647" s="33">
        <v>1</v>
      </c>
      <c r="P647" s="33">
        <f>VLOOKUP($C647,CHOOSE({1,2},怪物并表!$E$7:$E$1000,怪物并表!$D$7:$D$1000),2,FALSE)</f>
        <v>48</v>
      </c>
      <c r="Q647" s="33" t="s">
        <v>17</v>
      </c>
      <c r="R647" s="33">
        <f>VLOOKUP(Q647,怪物信息配置表!$A$2:$B$118,2,FALSE)</f>
        <v>1005</v>
      </c>
      <c r="S647" s="33">
        <v>1.5</v>
      </c>
      <c r="T647" s="110">
        <f>VLOOKUP($C647,怪物并表!$E$7:$N$1000,2+($D647-1)*3,FALSE)*S647*AJ647</f>
        <v>130747.31408353569</v>
      </c>
      <c r="U647" s="110">
        <f>VLOOKUP($C647,怪物并表!$E$7:$N$1000,3+($D647-1)*3,FALSE)*S647*AK647</f>
        <v>9739.4617912449485</v>
      </c>
      <c r="V647" s="110">
        <f>VLOOKUP($C647,怪物并表!$E$7:$N$1000,4+($D647-1)*3,FALSE)*S647*AL647</f>
        <v>1940.3630633739149</v>
      </c>
      <c r="W647" s="33"/>
      <c r="X647" s="33"/>
      <c r="Y647" s="49">
        <f>VLOOKUP($C647,怪物并表!$E$7:$P$1000,12,FALSE)</f>
        <v>0</v>
      </c>
      <c r="Z647" s="49">
        <f>VLOOKUP($C647,怪物并表!$E$7:$P$1000,11,FALSE)*S647</f>
        <v>4704.8159999999998</v>
      </c>
      <c r="AA647" s="33"/>
      <c r="AB647" s="33"/>
      <c r="AC647" s="33"/>
      <c r="AD647" s="33">
        <f t="shared" si="73"/>
        <v>0.8</v>
      </c>
      <c r="AE647" s="2">
        <f t="shared" si="79"/>
        <v>544</v>
      </c>
      <c r="AF647" s="2" t="str">
        <f>IF(ISBLANK(AM647),IF(O647=6,"",IF(O647=1,VLOOKUP(R647,怪物信息配置表!B:H,5,FALSE),IF(O647=2,VLOOKUP(R647,怪物信息配置表!B:H,6,FALSE),IF(OR(O647=3,O647=5),VLOOKUP(R647,怪物信息配置表!B:H,7,FALSE),"")))),AM647)</f>
        <v>ai_monster_02</v>
      </c>
      <c r="AG647" s="2"/>
      <c r="AH647" s="15">
        <f>SUMPRODUCT(T647:V647,$AN$3:$AP$3)+ROUNDDOWN(VLOOKUP(P647,CHOOSE({1,2},'[1]消耗&amp;价值&amp;分析'!$C$7:$C$106,'[1]消耗&amp;价值&amp;分析'!$AS$7:$AS$106),2,FALSE)*0.6,0)</f>
        <v>19459.717417960292</v>
      </c>
      <c r="AJ647" s="80">
        <v>1</v>
      </c>
      <c r="AK647" s="80">
        <v>1</v>
      </c>
      <c r="AL647" s="80">
        <v>1</v>
      </c>
    </row>
    <row r="648" spans="1:38">
      <c r="A648" s="33" t="str">
        <f>怪物并表!$R$11</f>
        <v>马仔经验副本</v>
      </c>
      <c r="B648" s="38">
        <v>3</v>
      </c>
      <c r="C648" s="33">
        <f t="shared" si="78"/>
        <v>1804</v>
      </c>
      <c r="D648" s="33">
        <v>2</v>
      </c>
      <c r="E648" s="33">
        <f>VLOOKUP(A648,怪物并表!$R$7:$S$14,2,FALSE)</f>
        <v>5</v>
      </c>
      <c r="F648" s="38">
        <v>0</v>
      </c>
      <c r="G648" s="38">
        <v>4</v>
      </c>
      <c r="H648" s="38">
        <v>1</v>
      </c>
      <c r="I648" s="33">
        <f t="shared" si="77"/>
        <v>504103</v>
      </c>
      <c r="J648" s="33" t="s">
        <v>647</v>
      </c>
      <c r="K648" s="33" t="s">
        <v>655</v>
      </c>
      <c r="L648" s="33">
        <v>0</v>
      </c>
      <c r="M648" s="33">
        <v>1</v>
      </c>
      <c r="N648" s="33"/>
      <c r="O648" s="33">
        <v>1</v>
      </c>
      <c r="P648" s="33">
        <f>VLOOKUP($C648,CHOOSE({1,2},怪物并表!$E$7:$E$1000,怪物并表!$D$7:$D$1000),2,FALSE)</f>
        <v>48</v>
      </c>
      <c r="Q648" s="33" t="s">
        <v>10</v>
      </c>
      <c r="R648" s="33">
        <f>VLOOKUP(Q648,怪物信息配置表!$A$2:$B$118,2,FALSE)</f>
        <v>1001</v>
      </c>
      <c r="S648" s="33">
        <v>1.5</v>
      </c>
      <c r="T648" s="110">
        <f>VLOOKUP($C648,怪物并表!$E$7:$N$1000,2+($D648-1)*3,FALSE)*S648*AJ648</f>
        <v>130747.31408353569</v>
      </c>
      <c r="U648" s="110">
        <f>VLOOKUP($C648,怪物并表!$E$7:$N$1000,3+($D648-1)*3,FALSE)*S648*AK648</f>
        <v>9739.4617912449485</v>
      </c>
      <c r="V648" s="110">
        <f>VLOOKUP($C648,怪物并表!$E$7:$N$1000,4+($D648-1)*3,FALSE)*S648*AL648</f>
        <v>1940.3630633739149</v>
      </c>
      <c r="W648" s="33"/>
      <c r="X648" s="33"/>
      <c r="Y648" s="49">
        <f>VLOOKUP($C648,怪物并表!$E$7:$P$1000,12,FALSE)</f>
        <v>0</v>
      </c>
      <c r="Z648" s="49">
        <f>VLOOKUP($C648,怪物并表!$E$7:$P$1000,11,FALSE)*S648</f>
        <v>4704.8159999999998</v>
      </c>
      <c r="AA648" s="33"/>
      <c r="AB648" s="33"/>
      <c r="AC648" s="33"/>
      <c r="AD648" s="33">
        <f t="shared" si="73"/>
        <v>0.8</v>
      </c>
      <c r="AE648" s="2">
        <f t="shared" si="79"/>
        <v>544</v>
      </c>
      <c r="AF648" s="2" t="str">
        <f>IF(ISBLANK(AM648),IF(O648=6,"",IF(O648=1,VLOOKUP(R648,怪物信息配置表!B:H,5,FALSE),IF(O648=2,VLOOKUP(R648,怪物信息配置表!B:H,6,FALSE),IF(OR(O648=3,O648=5),VLOOKUP(R648,怪物信息配置表!B:H,7,FALSE),"")))),AM648)</f>
        <v>ai_monster</v>
      </c>
      <c r="AG648" s="2"/>
      <c r="AH648" s="15">
        <f>SUMPRODUCT(T648:V648,$AN$3:$AP$3)+ROUNDDOWN(VLOOKUP(P648,CHOOSE({1,2},'[1]消耗&amp;价值&amp;分析'!$C$7:$C$106,'[1]消耗&amp;价值&amp;分析'!$AS$7:$AS$106),2,FALSE)*0.6,0)</f>
        <v>19459.717417960292</v>
      </c>
      <c r="AJ648" s="80">
        <v>1</v>
      </c>
      <c r="AK648" s="80">
        <v>1</v>
      </c>
      <c r="AL648" s="80">
        <v>1</v>
      </c>
    </row>
    <row r="649" spans="1:38">
      <c r="A649" s="33" t="str">
        <f>怪物并表!$R$11</f>
        <v>马仔经验副本</v>
      </c>
      <c r="B649" s="38">
        <v>4</v>
      </c>
      <c r="C649" s="33">
        <f t="shared" si="78"/>
        <v>1804</v>
      </c>
      <c r="D649" s="33">
        <v>2</v>
      </c>
      <c r="E649" s="33">
        <f>VLOOKUP(A649,怪物并表!$R$7:$S$14,2,FALSE)</f>
        <v>5</v>
      </c>
      <c r="F649" s="38">
        <v>0</v>
      </c>
      <c r="G649" s="38">
        <v>4</v>
      </c>
      <c r="H649" s="38">
        <v>1</v>
      </c>
      <c r="I649" s="33">
        <f t="shared" si="77"/>
        <v>504104</v>
      </c>
      <c r="J649" s="33" t="s">
        <v>649</v>
      </c>
      <c r="K649" s="33" t="s">
        <v>655</v>
      </c>
      <c r="L649" s="33">
        <v>0</v>
      </c>
      <c r="M649" s="33">
        <v>1</v>
      </c>
      <c r="N649" s="33"/>
      <c r="O649" s="33">
        <v>1</v>
      </c>
      <c r="P649" s="33">
        <f>VLOOKUP($C649,CHOOSE({1,2},怪物并表!$E$7:$E$1000,怪物并表!$D$7:$D$1000),2,FALSE)</f>
        <v>48</v>
      </c>
      <c r="Q649" s="33" t="s">
        <v>367</v>
      </c>
      <c r="R649" s="33">
        <f>VLOOKUP(Q649,怪物信息配置表!$A$2:$B$118,2,FALSE)</f>
        <v>1008</v>
      </c>
      <c r="S649" s="33">
        <v>1.5</v>
      </c>
      <c r="T649" s="110">
        <f>VLOOKUP($C649,怪物并表!$E$7:$N$1000,2+($D649-1)*3,FALSE)*S649*AJ649</f>
        <v>130747.31408353569</v>
      </c>
      <c r="U649" s="110">
        <f>VLOOKUP($C649,怪物并表!$E$7:$N$1000,3+($D649-1)*3,FALSE)*S649*AK649</f>
        <v>9739.4617912449485</v>
      </c>
      <c r="V649" s="110">
        <f>VLOOKUP($C649,怪物并表!$E$7:$N$1000,4+($D649-1)*3,FALSE)*S649*AL649</f>
        <v>1940.3630633739149</v>
      </c>
      <c r="W649" s="33"/>
      <c r="X649" s="33"/>
      <c r="Y649" s="49">
        <f>VLOOKUP($C649,怪物并表!$E$7:$P$1000,12,FALSE)</f>
        <v>0</v>
      </c>
      <c r="Z649" s="49">
        <f>VLOOKUP($C649,怪物并表!$E$7:$P$1000,11,FALSE)*S649</f>
        <v>4704.8159999999998</v>
      </c>
      <c r="AA649" s="33"/>
      <c r="AB649" s="33"/>
      <c r="AC649" s="33"/>
      <c r="AD649" s="33">
        <f t="shared" si="73"/>
        <v>0.8</v>
      </c>
      <c r="AE649" s="2">
        <f t="shared" si="79"/>
        <v>544</v>
      </c>
      <c r="AF649" s="2" t="str">
        <f>IF(ISBLANK(AM649),IF(O649=6,"",IF(O649=1,VLOOKUP(R649,怪物信息配置表!B:H,5,FALSE),IF(O649=2,VLOOKUP(R649,怪物信息配置表!B:H,6,FALSE),IF(OR(O649=3,O649=5),VLOOKUP(R649,怪物信息配置表!B:H,7,FALSE),"")))),AM649)</f>
        <v>ai_monster</v>
      </c>
      <c r="AG649" s="2"/>
      <c r="AH649" s="15">
        <f>SUMPRODUCT(T649:V649,$AN$3:$AP$3)+ROUNDDOWN(VLOOKUP(P649,CHOOSE({1,2},'[1]消耗&amp;价值&amp;分析'!$C$7:$C$106,'[1]消耗&amp;价值&amp;分析'!$AS$7:$AS$106),2,FALSE)*0.6,0)</f>
        <v>19459.717417960292</v>
      </c>
      <c r="AJ649" s="80">
        <v>1</v>
      </c>
      <c r="AK649" s="80">
        <v>1</v>
      </c>
      <c r="AL649" s="80">
        <v>1</v>
      </c>
    </row>
    <row r="650" spans="1:38">
      <c r="A650" s="33" t="str">
        <f>怪物并表!$R$11</f>
        <v>马仔经验副本</v>
      </c>
      <c r="B650" s="38">
        <v>5</v>
      </c>
      <c r="C650" s="33">
        <f t="shared" si="78"/>
        <v>1804</v>
      </c>
      <c r="D650" s="33">
        <v>1</v>
      </c>
      <c r="E650" s="33">
        <f>VLOOKUP(A650,怪物并表!$R$7:$S$14,2,FALSE)</f>
        <v>5</v>
      </c>
      <c r="F650" s="38">
        <v>0</v>
      </c>
      <c r="G650" s="38">
        <v>4</v>
      </c>
      <c r="H650" s="38">
        <v>1</v>
      </c>
      <c r="I650" s="33">
        <f t="shared" si="77"/>
        <v>504105</v>
      </c>
      <c r="J650" s="33" t="s">
        <v>651</v>
      </c>
      <c r="K650" s="33" t="s">
        <v>656</v>
      </c>
      <c r="L650" s="33">
        <v>0</v>
      </c>
      <c r="M650" s="33">
        <v>1.2</v>
      </c>
      <c r="N650" s="33"/>
      <c r="O650" s="33">
        <v>1</v>
      </c>
      <c r="P650" s="33">
        <f>VLOOKUP($C650,CHOOSE({1,2},怪物并表!$E$7:$E$1000,怪物并表!$D$7:$D$1000),2,FALSE)</f>
        <v>48</v>
      </c>
      <c r="Q650" s="33" t="s">
        <v>261</v>
      </c>
      <c r="R650" s="33">
        <f>VLOOKUP(Q650,怪物信息配置表!$A$2:$B$118,2,FALSE)</f>
        <v>3004</v>
      </c>
      <c r="S650" s="33">
        <v>300</v>
      </c>
      <c r="T650" s="110">
        <f>VLOOKUP($C650,怪物并表!$E$7:$N$1000,2+($D650-1)*3,FALSE)*S650*AJ650</f>
        <v>32686828.520883918</v>
      </c>
      <c r="U650" s="110">
        <f>VLOOKUP($C650,怪物并表!$E$7:$N$1000,3+($D650-1)*3,FALSE)*S650*AK650</f>
        <v>2068504.4443075731</v>
      </c>
      <c r="V650" s="110">
        <f>VLOOKUP($C650,怪物并表!$E$7:$N$1000,4+($D650-1)*3,FALSE)*S650*AL650</f>
        <v>646787.68779130478</v>
      </c>
      <c r="W650" s="33"/>
      <c r="X650" s="33"/>
      <c r="Y650" s="49">
        <f>VLOOKUP($C650,怪物并表!$E$7:$P$1000,12,FALSE)</f>
        <v>0</v>
      </c>
      <c r="Z650" s="49">
        <f>VLOOKUP($C650,怪物并表!$E$7:$P$1000,11,FALSE)*S650</f>
        <v>940963.2</v>
      </c>
      <c r="AA650" s="33"/>
      <c r="AB650" s="33"/>
      <c r="AC650" s="33"/>
      <c r="AD650" s="33">
        <f t="shared" si="73"/>
        <v>1</v>
      </c>
      <c r="AE650" s="2">
        <f t="shared" si="79"/>
        <v>430</v>
      </c>
      <c r="AF650" s="2">
        <f>IF(ISBLANK(AM650),IF(O650=6,"",IF(O650=1,VLOOKUP(R650,怪物信息配置表!B:H,5,FALSE),IF(O650=2,VLOOKUP(R650,怪物信息配置表!B:H,6,FALSE),IF(OR(O650=3,O650=5),VLOOKUP(R650,怪物信息配置表!B:H,7,FALSE),"")))),AM650)</f>
        <v>0</v>
      </c>
      <c r="AG650" s="2"/>
      <c r="AH650" s="15">
        <f>SUMPRODUCT(T650:V650,$AN$3:$AP$3)+ROUNDDOWN(VLOOKUP(P650,CHOOSE({1,2},'[1]消耗&amp;价值&amp;分析'!$C$7:$C$106,'[1]消耗&amp;价值&amp;分析'!$AS$7:$AS$106),2,FALSE)*0.6,0)</f>
        <v>4025315.2729342347</v>
      </c>
      <c r="AJ650" s="80">
        <v>1</v>
      </c>
      <c r="AK650" s="80">
        <v>1</v>
      </c>
      <c r="AL650" s="80">
        <v>1</v>
      </c>
    </row>
    <row r="651" spans="1:38">
      <c r="A651" s="33" t="str">
        <f>怪物并表!$R$11</f>
        <v>马仔经验副本</v>
      </c>
      <c r="B651" s="38">
        <v>6</v>
      </c>
      <c r="C651" s="33">
        <f t="shared" si="78"/>
        <v>1804</v>
      </c>
      <c r="D651" s="33">
        <v>1</v>
      </c>
      <c r="E651" s="33">
        <f>VLOOKUP(A651,怪物并表!$R$7:$S$14,2,FALSE)</f>
        <v>5</v>
      </c>
      <c r="F651" s="38">
        <v>0</v>
      </c>
      <c r="G651" s="38">
        <v>4</v>
      </c>
      <c r="H651" s="38">
        <v>1</v>
      </c>
      <c r="I651" s="33">
        <f t="shared" si="77"/>
        <v>504106</v>
      </c>
      <c r="J651" s="33" t="s">
        <v>653</v>
      </c>
      <c r="K651" s="33" t="s">
        <v>655</v>
      </c>
      <c r="L651" s="33">
        <v>0</v>
      </c>
      <c r="M651" s="33">
        <v>1</v>
      </c>
      <c r="N651" s="33"/>
      <c r="O651" s="33">
        <v>1</v>
      </c>
      <c r="P651" s="33">
        <f>VLOOKUP($C651,CHOOSE({1,2},怪物并表!$E$7:$E$1000,怪物并表!$D$7:$D$1000),2,FALSE)</f>
        <v>48</v>
      </c>
      <c r="Q651" s="33" t="s">
        <v>258</v>
      </c>
      <c r="R651" s="33">
        <f>VLOOKUP(Q651,怪物信息配置表!$A$2:$B$118,2,FALSE)</f>
        <v>3002</v>
      </c>
      <c r="S651" s="33">
        <v>2</v>
      </c>
      <c r="T651" s="110">
        <f>VLOOKUP($C651,怪物并表!$E$7:$N$1000,2+($D651-1)*3,FALSE)*S651*AJ651</f>
        <v>217912.19013922612</v>
      </c>
      <c r="U651" s="110">
        <f>VLOOKUP($C651,怪物并表!$E$7:$N$1000,3+($D651-1)*3,FALSE)*S651*AK651</f>
        <v>13790.029628717155</v>
      </c>
      <c r="V651" s="110">
        <f>VLOOKUP($C651,怪物并表!$E$7:$N$1000,4+($D651-1)*3,FALSE)*S651*AL651</f>
        <v>4311.9179186086985</v>
      </c>
      <c r="W651" s="33"/>
      <c r="X651" s="33"/>
      <c r="Y651" s="49">
        <f>VLOOKUP($C651,怪物并表!$E$7:$P$1000,12,FALSE)</f>
        <v>0</v>
      </c>
      <c r="Z651" s="49">
        <f>VLOOKUP($C651,怪物并表!$E$7:$P$1000,11,FALSE)*S651</f>
        <v>6273.0879999999997</v>
      </c>
      <c r="AA651" s="33"/>
      <c r="AB651" s="33"/>
      <c r="AC651" s="33"/>
      <c r="AD651" s="33">
        <f t="shared" si="73"/>
        <v>1</v>
      </c>
      <c r="AE651" s="2">
        <f t="shared" si="79"/>
        <v>430</v>
      </c>
      <c r="AF651" s="2">
        <f>IF(ISBLANK(AM651),IF(O651=6,"",IF(O651=1,VLOOKUP(R651,怪物信息配置表!B:H,5,FALSE),IF(O651=2,VLOOKUP(R651,怪物信息配置表!B:H,6,FALSE),IF(OR(O651=3,O651=5),VLOOKUP(R651,怪物信息配置表!B:H,7,FALSE),"")))),AM651)</f>
        <v>0</v>
      </c>
      <c r="AG651" s="2"/>
      <c r="AH651" s="15">
        <f>SUMPRODUCT(T651:V651,$AN$3:$AP$3)+ROUNDDOWN(VLOOKUP(P651,CHOOSE({1,2},'[1]消耗&amp;价值&amp;分析'!$C$7:$C$106,'[1]消耗&amp;价值&amp;分析'!$AS$7:$AS$106),2,FALSE)*0.6,0)</f>
        <v>29368.435152894897</v>
      </c>
      <c r="AJ651" s="80">
        <v>1</v>
      </c>
      <c r="AK651" s="80">
        <v>1</v>
      </c>
      <c r="AL651" s="80">
        <v>1</v>
      </c>
    </row>
    <row r="652" spans="1:38">
      <c r="A652" s="33" t="str">
        <f>怪物并表!$R$11</f>
        <v>马仔经验副本</v>
      </c>
      <c r="B652" s="38">
        <v>1</v>
      </c>
      <c r="C652" s="33">
        <f t="shared" si="78"/>
        <v>1805</v>
      </c>
      <c r="D652" s="33">
        <v>2</v>
      </c>
      <c r="E652" s="33">
        <f>VLOOKUP(A652,怪物并表!$R$7:$S$14,2,FALSE)</f>
        <v>5</v>
      </c>
      <c r="F652" s="38">
        <v>0</v>
      </c>
      <c r="G652" s="38">
        <v>5</v>
      </c>
      <c r="H652" s="38">
        <v>1</v>
      </c>
      <c r="I652" s="33">
        <f t="shared" si="77"/>
        <v>505101</v>
      </c>
      <c r="J652" s="33" t="s">
        <v>643</v>
      </c>
      <c r="K652" s="33" t="s">
        <v>655</v>
      </c>
      <c r="L652" s="33">
        <v>0</v>
      </c>
      <c r="M652" s="33">
        <v>1</v>
      </c>
      <c r="N652" s="33"/>
      <c r="O652" s="33">
        <v>1</v>
      </c>
      <c r="P652" s="33">
        <f>VLOOKUP($C652,CHOOSE({1,2},怪物并表!$E$7:$E$1000,怪物并表!$D$7:$D$1000),2,FALSE)</f>
        <v>58</v>
      </c>
      <c r="Q652" s="33" t="s">
        <v>9</v>
      </c>
      <c r="R652" s="33">
        <f>VLOOKUP(Q652,怪物信息配置表!$A$2:$B$118,2,FALSE)</f>
        <v>1003</v>
      </c>
      <c r="S652" s="33">
        <v>1.5</v>
      </c>
      <c r="T652" s="110">
        <f>VLOOKUP($C652,怪物并表!$E$7:$N$1000,2+($D652-1)*3,FALSE)*S652*AJ652</f>
        <v>275532.35549082229</v>
      </c>
      <c r="U652" s="110">
        <f>VLOOKUP($C652,怪物并表!$E$7:$N$1000,3+($D652-1)*3,FALSE)*S652*AK652</f>
        <v>21747.363155263789</v>
      </c>
      <c r="V652" s="110">
        <f>VLOOKUP($C652,怪物并表!$E$7:$N$1000,4+($D652-1)*3,FALSE)*S652*AL652</f>
        <v>3647.3512917311045</v>
      </c>
      <c r="W652" s="33"/>
      <c r="X652" s="33"/>
      <c r="Y652" s="49">
        <f>VLOOKUP($C652,怪物并表!$E$7:$P$1000,12,FALSE)</f>
        <v>0</v>
      </c>
      <c r="Z652" s="49">
        <f>VLOOKUP($C652,怪物并表!$E$7:$P$1000,11,FALSE)*S652</f>
        <v>5578.2359999999999</v>
      </c>
      <c r="AA652" s="33"/>
      <c r="AB652" s="33"/>
      <c r="AC652" s="33"/>
      <c r="AD652" s="33">
        <f t="shared" si="73"/>
        <v>0.8</v>
      </c>
      <c r="AE652" s="2">
        <f t="shared" si="79"/>
        <v>449</v>
      </c>
      <c r="AF652" s="2" t="str">
        <f>IF(ISBLANK(AM652),IF(O652=6,"",IF(O652=1,VLOOKUP(R652,怪物信息配置表!B:H,5,FALSE),IF(O652=2,VLOOKUP(R652,怪物信息配置表!B:H,6,FALSE),IF(OR(O652=3,O652=5),VLOOKUP(R652,怪物信息配置表!B:H,7,FALSE),"")))),AM652)</f>
        <v>ai_monster_02</v>
      </c>
      <c r="AG652" s="2"/>
      <c r="AH652" s="15">
        <f>SUMPRODUCT(T652:V652,$AN$3:$AP$3)+ROUNDDOWN(VLOOKUP(P652,CHOOSE({1,2},'[1]消耗&amp;价值&amp;分析'!$C$7:$C$106,'[1]消耗&amp;价值&amp;分析'!$AS$7:$AS$106),2,FALSE)*0.6,0)</f>
        <v>40712.008666627778</v>
      </c>
      <c r="AJ652" s="80">
        <v>1</v>
      </c>
      <c r="AK652" s="80">
        <v>1</v>
      </c>
      <c r="AL652" s="80">
        <v>1</v>
      </c>
    </row>
    <row r="653" spans="1:38">
      <c r="A653" s="33" t="str">
        <f>怪物并表!$R$11</f>
        <v>马仔经验副本</v>
      </c>
      <c r="B653" s="38">
        <v>2</v>
      </c>
      <c r="C653" s="33">
        <f t="shared" si="78"/>
        <v>1805</v>
      </c>
      <c r="D653" s="33">
        <v>2</v>
      </c>
      <c r="E653" s="33">
        <f>VLOOKUP(A653,怪物并表!$R$7:$S$14,2,FALSE)</f>
        <v>5</v>
      </c>
      <c r="F653" s="38">
        <v>0</v>
      </c>
      <c r="G653" s="38">
        <v>5</v>
      </c>
      <c r="H653" s="38">
        <v>1</v>
      </c>
      <c r="I653" s="33">
        <f t="shared" si="77"/>
        <v>505102</v>
      </c>
      <c r="J653" s="33" t="s">
        <v>645</v>
      </c>
      <c r="K653" s="33" t="s">
        <v>655</v>
      </c>
      <c r="L653" s="33">
        <v>0</v>
      </c>
      <c r="M653" s="33">
        <v>1</v>
      </c>
      <c r="N653" s="33"/>
      <c r="O653" s="33">
        <v>1</v>
      </c>
      <c r="P653" s="33">
        <f>VLOOKUP($C653,CHOOSE({1,2},怪物并表!$E$7:$E$1000,怪物并表!$D$7:$D$1000),2,FALSE)</f>
        <v>58</v>
      </c>
      <c r="Q653" s="33" t="s">
        <v>17</v>
      </c>
      <c r="R653" s="33">
        <f>VLOOKUP(Q653,怪物信息配置表!$A$2:$B$118,2,FALSE)</f>
        <v>1005</v>
      </c>
      <c r="S653" s="33">
        <v>1.5</v>
      </c>
      <c r="T653" s="110">
        <f>VLOOKUP($C653,怪物并表!$E$7:$N$1000,2+($D653-1)*3,FALSE)*S653*AJ653</f>
        <v>275532.35549082229</v>
      </c>
      <c r="U653" s="110">
        <f>VLOOKUP($C653,怪物并表!$E$7:$N$1000,3+($D653-1)*3,FALSE)*S653*AK653</f>
        <v>21747.363155263789</v>
      </c>
      <c r="V653" s="110">
        <f>VLOOKUP($C653,怪物并表!$E$7:$N$1000,4+($D653-1)*3,FALSE)*S653*AL653</f>
        <v>3647.3512917311045</v>
      </c>
      <c r="W653" s="33"/>
      <c r="X653" s="33"/>
      <c r="Y653" s="49">
        <f>VLOOKUP($C653,怪物并表!$E$7:$P$1000,12,FALSE)</f>
        <v>0</v>
      </c>
      <c r="Z653" s="49">
        <f>VLOOKUP($C653,怪物并表!$E$7:$P$1000,11,FALSE)*S653</f>
        <v>5578.2359999999999</v>
      </c>
      <c r="AA653" s="33"/>
      <c r="AB653" s="33"/>
      <c r="AC653" s="33"/>
      <c r="AD653" s="33">
        <f t="shared" si="73"/>
        <v>0.8</v>
      </c>
      <c r="AE653" s="2">
        <f t="shared" si="79"/>
        <v>449</v>
      </c>
      <c r="AF653" s="2" t="str">
        <f>IF(ISBLANK(AM653),IF(O653=6,"",IF(O653=1,VLOOKUP(R653,怪物信息配置表!B:H,5,FALSE),IF(O653=2,VLOOKUP(R653,怪物信息配置表!B:H,6,FALSE),IF(OR(O653=3,O653=5),VLOOKUP(R653,怪物信息配置表!B:H,7,FALSE),"")))),AM653)</f>
        <v>ai_monster_02</v>
      </c>
      <c r="AG653" s="2"/>
      <c r="AH653" s="15">
        <f>SUMPRODUCT(T653:V653,$AN$3:$AP$3)+ROUNDDOWN(VLOOKUP(P653,CHOOSE({1,2},'[1]消耗&amp;价值&amp;分析'!$C$7:$C$106,'[1]消耗&amp;价值&amp;分析'!$AS$7:$AS$106),2,FALSE)*0.6,0)</f>
        <v>40712.008666627778</v>
      </c>
      <c r="AJ653" s="80">
        <v>1</v>
      </c>
      <c r="AK653" s="80">
        <v>1</v>
      </c>
      <c r="AL653" s="80">
        <v>1</v>
      </c>
    </row>
    <row r="654" spans="1:38">
      <c r="A654" s="33" t="str">
        <f>怪物并表!$R$11</f>
        <v>马仔经验副本</v>
      </c>
      <c r="B654" s="38">
        <v>3</v>
      </c>
      <c r="C654" s="33">
        <f t="shared" si="78"/>
        <v>1805</v>
      </c>
      <c r="D654" s="33">
        <v>2</v>
      </c>
      <c r="E654" s="33">
        <f>VLOOKUP(A654,怪物并表!$R$7:$S$14,2,FALSE)</f>
        <v>5</v>
      </c>
      <c r="F654" s="38">
        <v>0</v>
      </c>
      <c r="G654" s="38">
        <v>5</v>
      </c>
      <c r="H654" s="38">
        <v>1</v>
      </c>
      <c r="I654" s="33">
        <f t="shared" si="77"/>
        <v>505103</v>
      </c>
      <c r="J654" s="33" t="s">
        <v>647</v>
      </c>
      <c r="K654" s="33" t="s">
        <v>655</v>
      </c>
      <c r="L654" s="33">
        <v>0</v>
      </c>
      <c r="M654" s="33">
        <v>1</v>
      </c>
      <c r="N654" s="33"/>
      <c r="O654" s="33">
        <v>1</v>
      </c>
      <c r="P654" s="33">
        <f>VLOOKUP($C654,CHOOSE({1,2},怪物并表!$E$7:$E$1000,怪物并表!$D$7:$D$1000),2,FALSE)</f>
        <v>58</v>
      </c>
      <c r="Q654" s="33" t="s">
        <v>10</v>
      </c>
      <c r="R654" s="33">
        <f>VLOOKUP(Q654,怪物信息配置表!$A$2:$B$118,2,FALSE)</f>
        <v>1001</v>
      </c>
      <c r="S654" s="33">
        <v>1.5</v>
      </c>
      <c r="T654" s="110">
        <f>VLOOKUP($C654,怪物并表!$E$7:$N$1000,2+($D654-1)*3,FALSE)*S654*AJ654</f>
        <v>275532.35549082229</v>
      </c>
      <c r="U654" s="110">
        <f>VLOOKUP($C654,怪物并表!$E$7:$N$1000,3+($D654-1)*3,FALSE)*S654*AK654</f>
        <v>21747.363155263789</v>
      </c>
      <c r="V654" s="110">
        <f>VLOOKUP($C654,怪物并表!$E$7:$N$1000,4+($D654-1)*3,FALSE)*S654*AL654</f>
        <v>3647.3512917311045</v>
      </c>
      <c r="W654" s="33"/>
      <c r="X654" s="33"/>
      <c r="Y654" s="49">
        <f>VLOOKUP($C654,怪物并表!$E$7:$P$1000,12,FALSE)</f>
        <v>0</v>
      </c>
      <c r="Z654" s="49">
        <f>VLOOKUP($C654,怪物并表!$E$7:$P$1000,11,FALSE)*S654</f>
        <v>5578.2359999999999</v>
      </c>
      <c r="AA654" s="33"/>
      <c r="AB654" s="33"/>
      <c r="AC654" s="33"/>
      <c r="AD654" s="33">
        <f t="shared" si="73"/>
        <v>0.8</v>
      </c>
      <c r="AE654" s="2">
        <f t="shared" si="79"/>
        <v>449</v>
      </c>
      <c r="AF654" s="2" t="str">
        <f>IF(ISBLANK(AM654),IF(O654=6,"",IF(O654=1,VLOOKUP(R654,怪物信息配置表!B:H,5,FALSE),IF(O654=2,VLOOKUP(R654,怪物信息配置表!B:H,6,FALSE),IF(OR(O654=3,O654=5),VLOOKUP(R654,怪物信息配置表!B:H,7,FALSE),"")))),AM654)</f>
        <v>ai_monster</v>
      </c>
      <c r="AG654" s="2"/>
      <c r="AH654" s="15">
        <f>SUMPRODUCT(T654:V654,$AN$3:$AP$3)+ROUNDDOWN(VLOOKUP(P654,CHOOSE({1,2},'[1]消耗&amp;价值&amp;分析'!$C$7:$C$106,'[1]消耗&amp;价值&amp;分析'!$AS$7:$AS$106),2,FALSE)*0.6,0)</f>
        <v>40712.008666627778</v>
      </c>
      <c r="AJ654" s="80">
        <v>1</v>
      </c>
      <c r="AK654" s="80">
        <v>1</v>
      </c>
      <c r="AL654" s="80">
        <v>1</v>
      </c>
    </row>
    <row r="655" spans="1:38">
      <c r="A655" s="33" t="str">
        <f>怪物并表!$R$11</f>
        <v>马仔经验副本</v>
      </c>
      <c r="B655" s="38">
        <v>4</v>
      </c>
      <c r="C655" s="33">
        <f t="shared" si="78"/>
        <v>1805</v>
      </c>
      <c r="D655" s="33">
        <v>2</v>
      </c>
      <c r="E655" s="33">
        <f>VLOOKUP(A655,怪物并表!$R$7:$S$14,2,FALSE)</f>
        <v>5</v>
      </c>
      <c r="F655" s="38">
        <v>0</v>
      </c>
      <c r="G655" s="38">
        <v>5</v>
      </c>
      <c r="H655" s="38">
        <v>1</v>
      </c>
      <c r="I655" s="33">
        <f t="shared" si="77"/>
        <v>505104</v>
      </c>
      <c r="J655" s="33" t="s">
        <v>649</v>
      </c>
      <c r="K655" s="33" t="s">
        <v>655</v>
      </c>
      <c r="L655" s="33">
        <v>0</v>
      </c>
      <c r="M655" s="33">
        <v>1</v>
      </c>
      <c r="N655" s="33"/>
      <c r="O655" s="33">
        <v>1</v>
      </c>
      <c r="P655" s="33">
        <f>VLOOKUP($C655,CHOOSE({1,2},怪物并表!$E$7:$E$1000,怪物并表!$D$7:$D$1000),2,FALSE)</f>
        <v>58</v>
      </c>
      <c r="Q655" s="33" t="s">
        <v>367</v>
      </c>
      <c r="R655" s="33">
        <f>VLOOKUP(Q655,怪物信息配置表!$A$2:$B$118,2,FALSE)</f>
        <v>1008</v>
      </c>
      <c r="S655" s="33">
        <v>1.5</v>
      </c>
      <c r="T655" s="110">
        <f>VLOOKUP($C655,怪物并表!$E$7:$N$1000,2+($D655-1)*3,FALSE)*S655*AJ655</f>
        <v>275532.35549082229</v>
      </c>
      <c r="U655" s="110">
        <f>VLOOKUP($C655,怪物并表!$E$7:$N$1000,3+($D655-1)*3,FALSE)*S655*AK655</f>
        <v>21747.363155263789</v>
      </c>
      <c r="V655" s="110">
        <f>VLOOKUP($C655,怪物并表!$E$7:$N$1000,4+($D655-1)*3,FALSE)*S655*AL655</f>
        <v>3647.3512917311045</v>
      </c>
      <c r="W655" s="33"/>
      <c r="X655" s="33"/>
      <c r="Y655" s="49">
        <f>VLOOKUP($C655,怪物并表!$E$7:$P$1000,12,FALSE)</f>
        <v>0</v>
      </c>
      <c r="Z655" s="49">
        <f>VLOOKUP($C655,怪物并表!$E$7:$P$1000,11,FALSE)*S655</f>
        <v>5578.2359999999999</v>
      </c>
      <c r="AA655" s="33"/>
      <c r="AB655" s="33"/>
      <c r="AC655" s="33"/>
      <c r="AD655" s="33">
        <f t="shared" si="73"/>
        <v>0.8</v>
      </c>
      <c r="AE655" s="2">
        <f t="shared" si="79"/>
        <v>449</v>
      </c>
      <c r="AF655" s="2" t="str">
        <f>IF(ISBLANK(AM655),IF(O655=6,"",IF(O655=1,VLOOKUP(R655,怪物信息配置表!B:H,5,FALSE),IF(O655=2,VLOOKUP(R655,怪物信息配置表!B:H,6,FALSE),IF(OR(O655=3,O655=5),VLOOKUP(R655,怪物信息配置表!B:H,7,FALSE),"")))),AM655)</f>
        <v>ai_monster</v>
      </c>
      <c r="AG655" s="2"/>
      <c r="AH655" s="15">
        <f>SUMPRODUCT(T655:V655,$AN$3:$AP$3)+ROUNDDOWN(VLOOKUP(P655,CHOOSE({1,2},'[1]消耗&amp;价值&amp;分析'!$C$7:$C$106,'[1]消耗&amp;价值&amp;分析'!$AS$7:$AS$106),2,FALSE)*0.6,0)</f>
        <v>40712.008666627778</v>
      </c>
      <c r="AJ655" s="80">
        <v>1</v>
      </c>
      <c r="AK655" s="80">
        <v>1</v>
      </c>
      <c r="AL655" s="80">
        <v>1</v>
      </c>
    </row>
    <row r="656" spans="1:38">
      <c r="A656" s="33" t="str">
        <f>怪物并表!$R$11</f>
        <v>马仔经验副本</v>
      </c>
      <c r="B656" s="38">
        <v>5</v>
      </c>
      <c r="C656" s="33">
        <f t="shared" si="78"/>
        <v>1805</v>
      </c>
      <c r="D656" s="33">
        <v>1</v>
      </c>
      <c r="E656" s="33">
        <f>VLOOKUP(A656,怪物并表!$R$7:$S$14,2,FALSE)</f>
        <v>5</v>
      </c>
      <c r="F656" s="38">
        <v>0</v>
      </c>
      <c r="G656" s="38">
        <v>5</v>
      </c>
      <c r="H656" s="38">
        <v>1</v>
      </c>
      <c r="I656" s="33">
        <f t="shared" si="77"/>
        <v>505105</v>
      </c>
      <c r="J656" s="33" t="s">
        <v>651</v>
      </c>
      <c r="K656" s="33" t="s">
        <v>656</v>
      </c>
      <c r="L656" s="33">
        <v>0</v>
      </c>
      <c r="M656" s="33">
        <v>1.2</v>
      </c>
      <c r="N656" s="33"/>
      <c r="O656" s="33">
        <v>1</v>
      </c>
      <c r="P656" s="33">
        <f>VLOOKUP($C656,CHOOSE({1,2},怪物并表!$E$7:$E$1000,怪物并表!$D$7:$D$1000),2,FALSE)</f>
        <v>58</v>
      </c>
      <c r="Q656" s="33" t="s">
        <v>261</v>
      </c>
      <c r="R656" s="33">
        <f>VLOOKUP(Q656,怪物信息配置表!$A$2:$B$118,2,FALSE)</f>
        <v>3004</v>
      </c>
      <c r="S656" s="33">
        <v>300</v>
      </c>
      <c r="T656" s="110">
        <f>VLOOKUP($C656,怪物并表!$E$7:$N$1000,2+($D656-1)*3,FALSE)*S656*AJ656</f>
        <v>68883088.872705564</v>
      </c>
      <c r="U656" s="110">
        <f>VLOOKUP($C656,怪物并表!$E$7:$N$1000,3+($D656-1)*3,FALSE)*S656*AK656</f>
        <v>4652631.2546644909</v>
      </c>
      <c r="V656" s="110">
        <f>VLOOKUP($C656,怪物并表!$E$7:$N$1000,4+($D656-1)*3,FALSE)*S656*AL656</f>
        <v>1215783.7639103683</v>
      </c>
      <c r="W656" s="33"/>
      <c r="X656" s="33"/>
      <c r="Y656" s="49">
        <f>VLOOKUP($C656,怪物并表!$E$7:$P$1000,12,FALSE)</f>
        <v>0</v>
      </c>
      <c r="Z656" s="49">
        <f>VLOOKUP($C656,怪物并表!$E$7:$P$1000,11,FALSE)*S656</f>
        <v>1115647.2</v>
      </c>
      <c r="AA656" s="33"/>
      <c r="AB656" s="33"/>
      <c r="AC656" s="33"/>
      <c r="AD656" s="33">
        <f t="shared" si="73"/>
        <v>1</v>
      </c>
      <c r="AE656" s="2">
        <f t="shared" si="79"/>
        <v>311.25</v>
      </c>
      <c r="AF656" s="2">
        <f>IF(ISBLANK(AM656),IF(O656=6,"",IF(O656=1,VLOOKUP(R656,怪物信息配置表!B:H,5,FALSE),IF(O656=2,VLOOKUP(R656,怪物信息配置表!B:H,6,FALSE),IF(OR(O656=3,O656=5),VLOOKUP(R656,怪物信息配置表!B:H,7,FALSE),"")))),AM656)</f>
        <v>0</v>
      </c>
      <c r="AG656" s="2"/>
      <c r="AH656" s="15">
        <f>SUMPRODUCT(T656:V656,$AN$3:$AP$3)+ROUNDDOWN(VLOOKUP(P656,CHOOSE({1,2},'[1]消耗&amp;价值&amp;分析'!$C$7:$C$106,'[1]消耗&amp;价值&amp;分析'!$AS$7:$AS$106),2,FALSE)*0.6,0)</f>
        <v>8628034.5734830815</v>
      </c>
      <c r="AJ656" s="80">
        <v>1</v>
      </c>
      <c r="AK656" s="80">
        <v>1</v>
      </c>
      <c r="AL656" s="80">
        <v>1</v>
      </c>
    </row>
    <row r="657" spans="1:38">
      <c r="A657" s="33" t="str">
        <f>怪物并表!$R$11</f>
        <v>马仔经验副本</v>
      </c>
      <c r="B657" s="38">
        <v>6</v>
      </c>
      <c r="C657" s="33">
        <f t="shared" si="78"/>
        <v>1805</v>
      </c>
      <c r="D657" s="33">
        <v>1</v>
      </c>
      <c r="E657" s="33">
        <f>VLOOKUP(A657,怪物并表!$R$7:$S$14,2,FALSE)</f>
        <v>5</v>
      </c>
      <c r="F657" s="38">
        <v>0</v>
      </c>
      <c r="G657" s="38">
        <v>5</v>
      </c>
      <c r="H657" s="38">
        <v>1</v>
      </c>
      <c r="I657" s="33">
        <f t="shared" si="77"/>
        <v>505106</v>
      </c>
      <c r="J657" s="33" t="s">
        <v>653</v>
      </c>
      <c r="K657" s="33" t="s">
        <v>655</v>
      </c>
      <c r="L657" s="33">
        <v>0</v>
      </c>
      <c r="M657" s="33">
        <v>1</v>
      </c>
      <c r="N657" s="33"/>
      <c r="O657" s="33">
        <v>1</v>
      </c>
      <c r="P657" s="33">
        <f>VLOOKUP($C657,CHOOSE({1,2},怪物并表!$E$7:$E$1000,怪物并表!$D$7:$D$1000),2,FALSE)</f>
        <v>58</v>
      </c>
      <c r="Q657" s="33" t="s">
        <v>258</v>
      </c>
      <c r="R657" s="33">
        <f>VLOOKUP(Q657,怪物信息配置表!$A$2:$B$118,2,FALSE)</f>
        <v>3002</v>
      </c>
      <c r="S657" s="33">
        <v>2</v>
      </c>
      <c r="T657" s="110">
        <f>VLOOKUP($C657,怪物并表!$E$7:$N$1000,2+($D657-1)*3,FALSE)*S657*AJ657</f>
        <v>459220.59248470375</v>
      </c>
      <c r="U657" s="110">
        <f>VLOOKUP($C657,怪物并表!$E$7:$N$1000,3+($D657-1)*3,FALSE)*S657*AK657</f>
        <v>31017.541697763274</v>
      </c>
      <c r="V657" s="110">
        <f>VLOOKUP($C657,怪物并表!$E$7:$N$1000,4+($D657-1)*3,FALSE)*S657*AL657</f>
        <v>8105.2250927357891</v>
      </c>
      <c r="W657" s="33"/>
      <c r="X657" s="33"/>
      <c r="Y657" s="49">
        <f>VLOOKUP($C657,怪物并表!$E$7:$P$1000,12,FALSE)</f>
        <v>0</v>
      </c>
      <c r="Z657" s="49">
        <f>VLOOKUP($C657,怪物并表!$E$7:$P$1000,11,FALSE)*S657</f>
        <v>7437.6480000000001</v>
      </c>
      <c r="AA657" s="33"/>
      <c r="AB657" s="33"/>
      <c r="AC657" s="33"/>
      <c r="AD657" s="33">
        <f t="shared" si="73"/>
        <v>1</v>
      </c>
      <c r="AE657" s="2">
        <f t="shared" si="79"/>
        <v>311.25</v>
      </c>
      <c r="AF657" s="2">
        <f>IF(ISBLANK(AM657),IF(O657=6,"",IF(O657=1,VLOOKUP(R657,怪物信息配置表!B:H,5,FALSE),IF(O657=2,VLOOKUP(R657,怪物信息配置表!B:H,6,FALSE),IF(OR(O657=3,O657=5),VLOOKUP(R657,怪物信息配置表!B:H,7,FALSE),"")))),AM657)</f>
        <v>0</v>
      </c>
      <c r="AG657" s="2"/>
      <c r="AH657" s="15">
        <f>SUMPRODUCT(T657:V657,$AN$3:$AP$3)+ROUNDDOWN(VLOOKUP(P657,CHOOSE({1,2},'[1]消耗&amp;价值&amp;分析'!$C$7:$C$106,'[1]消耗&amp;价值&amp;分析'!$AS$7:$AS$106),2,FALSE)*0.6,0)</f>
        <v>61787.590489887218</v>
      </c>
      <c r="AJ657" s="80">
        <v>1</v>
      </c>
      <c r="AK657" s="80">
        <v>1</v>
      </c>
      <c r="AL657" s="80">
        <v>1</v>
      </c>
    </row>
    <row r="658" spans="1:38">
      <c r="A658" s="33" t="str">
        <f>怪物并表!$R$11</f>
        <v>马仔经验副本</v>
      </c>
      <c r="B658" s="38">
        <v>1</v>
      </c>
      <c r="C658" s="33">
        <f t="shared" si="78"/>
        <v>1806</v>
      </c>
      <c r="D658" s="33">
        <v>2</v>
      </c>
      <c r="E658" s="33">
        <f>VLOOKUP(A658,怪物并表!$R$7:$S$14,2,FALSE)</f>
        <v>5</v>
      </c>
      <c r="F658" s="38">
        <v>0</v>
      </c>
      <c r="G658" s="38">
        <v>6</v>
      </c>
      <c r="H658" s="38">
        <v>1</v>
      </c>
      <c r="I658" s="33">
        <f t="shared" si="77"/>
        <v>506101</v>
      </c>
      <c r="J658" s="33" t="s">
        <v>643</v>
      </c>
      <c r="K658" s="33" t="s">
        <v>655</v>
      </c>
      <c r="L658" s="33">
        <v>0</v>
      </c>
      <c r="M658" s="33">
        <v>1</v>
      </c>
      <c r="N658" s="33"/>
      <c r="O658" s="33">
        <v>1</v>
      </c>
      <c r="P658" s="33">
        <f>VLOOKUP($C658,CHOOSE({1,2},怪物并表!$E$7:$E$1000,怪物并表!$D$7:$D$1000),2,FALSE)</f>
        <v>68</v>
      </c>
      <c r="Q658" s="33" t="s">
        <v>9</v>
      </c>
      <c r="R658" s="33">
        <f>VLOOKUP(Q658,怪物信息配置表!$A$2:$B$118,2,FALSE)</f>
        <v>1003</v>
      </c>
      <c r="S658" s="33">
        <v>1.5</v>
      </c>
      <c r="T658" s="110">
        <f>VLOOKUP($C658,怪物并表!$E$7:$N$1000,2+($D658-1)*3,FALSE)*S658*AJ658</f>
        <v>527787.22169469518</v>
      </c>
      <c r="U658" s="110">
        <f>VLOOKUP($C658,怪物并表!$E$7:$N$1000,3+($D658-1)*3,FALSE)*S658*AK658</f>
        <v>44197.260116114659</v>
      </c>
      <c r="V658" s="110">
        <f>VLOOKUP($C658,怪物并表!$E$7:$N$1000,4+($D658-1)*3,FALSE)*S658*AL658</f>
        <v>6317.9828980013426</v>
      </c>
      <c r="W658" s="33"/>
      <c r="X658" s="33"/>
      <c r="Y658" s="49">
        <f>VLOOKUP($C658,怪物并表!$E$7:$P$1000,12,FALSE)</f>
        <v>0</v>
      </c>
      <c r="Z658" s="49">
        <f>VLOOKUP($C658,怪物并表!$E$7:$P$1000,11,FALSE)*S658</f>
        <v>6451.6560000000009</v>
      </c>
      <c r="AA658" s="33"/>
      <c r="AB658" s="33"/>
      <c r="AC658" s="33"/>
      <c r="AD658" s="33">
        <f t="shared" si="73"/>
        <v>0.8</v>
      </c>
      <c r="AE658" s="2">
        <f t="shared" si="79"/>
        <v>354</v>
      </c>
      <c r="AF658" s="2" t="str">
        <f>IF(ISBLANK(AM658),IF(O658=6,"",IF(O658=1,VLOOKUP(R658,怪物信息配置表!B:H,5,FALSE),IF(O658=2,VLOOKUP(R658,怪物信息配置表!B:H,6,FALSE),IF(OR(O658=3,O658=5),VLOOKUP(R658,怪物信息配置表!B:H,7,FALSE),"")))),AM658)</f>
        <v>ai_monster_02</v>
      </c>
      <c r="AG658" s="2"/>
      <c r="AH658" s="15">
        <f>SUMPRODUCT(T658:V658,$AN$3:$AP$3)+ROUNDDOWN(VLOOKUP(P658,CHOOSE({1,2},'[1]消耗&amp;价值&amp;分析'!$C$7:$C$106,'[1]消耗&amp;价值&amp;分析'!$AS$7:$AS$106),2,FALSE)*0.6,0)</f>
        <v>78742.731881903805</v>
      </c>
      <c r="AJ658" s="80">
        <v>1</v>
      </c>
      <c r="AK658" s="80">
        <v>1</v>
      </c>
      <c r="AL658" s="80">
        <v>1</v>
      </c>
    </row>
    <row r="659" spans="1:38">
      <c r="A659" s="33" t="str">
        <f>怪物并表!$R$11</f>
        <v>马仔经验副本</v>
      </c>
      <c r="B659" s="38">
        <v>2</v>
      </c>
      <c r="C659" s="33">
        <f t="shared" si="78"/>
        <v>1806</v>
      </c>
      <c r="D659" s="33">
        <v>2</v>
      </c>
      <c r="E659" s="33">
        <f>VLOOKUP(A659,怪物并表!$R$7:$S$14,2,FALSE)</f>
        <v>5</v>
      </c>
      <c r="F659" s="38">
        <v>0</v>
      </c>
      <c r="G659" s="38">
        <v>6</v>
      </c>
      <c r="H659" s="38">
        <v>1</v>
      </c>
      <c r="I659" s="33">
        <f t="shared" si="77"/>
        <v>506102</v>
      </c>
      <c r="J659" s="33" t="s">
        <v>645</v>
      </c>
      <c r="K659" s="33" t="s">
        <v>655</v>
      </c>
      <c r="L659" s="33">
        <v>0</v>
      </c>
      <c r="M659" s="33">
        <v>1</v>
      </c>
      <c r="N659" s="33"/>
      <c r="O659" s="33">
        <v>1</v>
      </c>
      <c r="P659" s="33">
        <f>VLOOKUP($C659,CHOOSE({1,2},怪物并表!$E$7:$E$1000,怪物并表!$D$7:$D$1000),2,FALSE)</f>
        <v>68</v>
      </c>
      <c r="Q659" s="33" t="s">
        <v>17</v>
      </c>
      <c r="R659" s="33">
        <f>VLOOKUP(Q659,怪物信息配置表!$A$2:$B$118,2,FALSE)</f>
        <v>1005</v>
      </c>
      <c r="S659" s="33">
        <v>1.5</v>
      </c>
      <c r="T659" s="110">
        <f>VLOOKUP($C659,怪物并表!$E$7:$N$1000,2+($D659-1)*3,FALSE)*S659*AJ659</f>
        <v>527787.22169469518</v>
      </c>
      <c r="U659" s="110">
        <f>VLOOKUP($C659,怪物并表!$E$7:$N$1000,3+($D659-1)*3,FALSE)*S659*AK659</f>
        <v>44197.260116114659</v>
      </c>
      <c r="V659" s="110">
        <f>VLOOKUP($C659,怪物并表!$E$7:$N$1000,4+($D659-1)*3,FALSE)*S659*AL659</f>
        <v>6317.9828980013426</v>
      </c>
      <c r="W659" s="33"/>
      <c r="X659" s="33"/>
      <c r="Y659" s="49">
        <f>VLOOKUP($C659,怪物并表!$E$7:$P$1000,12,FALSE)</f>
        <v>0</v>
      </c>
      <c r="Z659" s="49">
        <f>VLOOKUP($C659,怪物并表!$E$7:$P$1000,11,FALSE)*S659</f>
        <v>6451.6560000000009</v>
      </c>
      <c r="AA659" s="33"/>
      <c r="AB659" s="33"/>
      <c r="AC659" s="33"/>
      <c r="AD659" s="33">
        <f t="shared" si="73"/>
        <v>0.8</v>
      </c>
      <c r="AE659" s="2">
        <f t="shared" si="79"/>
        <v>354</v>
      </c>
      <c r="AF659" s="2" t="str">
        <f>IF(ISBLANK(AM659),IF(O659=6,"",IF(O659=1,VLOOKUP(R659,怪物信息配置表!B:H,5,FALSE),IF(O659=2,VLOOKUP(R659,怪物信息配置表!B:H,6,FALSE),IF(OR(O659=3,O659=5),VLOOKUP(R659,怪物信息配置表!B:H,7,FALSE),"")))),AM659)</f>
        <v>ai_monster_02</v>
      </c>
      <c r="AG659" s="2"/>
      <c r="AH659" s="15">
        <f>SUMPRODUCT(T659:V659,$AN$3:$AP$3)+ROUNDDOWN(VLOOKUP(P659,CHOOSE({1,2},'[1]消耗&amp;价值&amp;分析'!$C$7:$C$106,'[1]消耗&amp;价值&amp;分析'!$AS$7:$AS$106),2,FALSE)*0.6,0)</f>
        <v>78742.731881903805</v>
      </c>
      <c r="AJ659" s="80">
        <v>1</v>
      </c>
      <c r="AK659" s="80">
        <v>1</v>
      </c>
      <c r="AL659" s="80">
        <v>1</v>
      </c>
    </row>
    <row r="660" spans="1:38">
      <c r="A660" s="33" t="str">
        <f>怪物并表!$R$11</f>
        <v>马仔经验副本</v>
      </c>
      <c r="B660" s="38">
        <v>3</v>
      </c>
      <c r="C660" s="33">
        <f t="shared" si="78"/>
        <v>1806</v>
      </c>
      <c r="D660" s="33">
        <v>2</v>
      </c>
      <c r="E660" s="33">
        <f>VLOOKUP(A660,怪物并表!$R$7:$S$14,2,FALSE)</f>
        <v>5</v>
      </c>
      <c r="F660" s="38">
        <v>0</v>
      </c>
      <c r="G660" s="38">
        <v>6</v>
      </c>
      <c r="H660" s="38">
        <v>1</v>
      </c>
      <c r="I660" s="33">
        <f t="shared" si="77"/>
        <v>506103</v>
      </c>
      <c r="J660" s="33" t="s">
        <v>647</v>
      </c>
      <c r="K660" s="33" t="s">
        <v>655</v>
      </c>
      <c r="L660" s="33">
        <v>0</v>
      </c>
      <c r="M660" s="33">
        <v>1</v>
      </c>
      <c r="N660" s="33"/>
      <c r="O660" s="33">
        <v>1</v>
      </c>
      <c r="P660" s="33">
        <f>VLOOKUP($C660,CHOOSE({1,2},怪物并表!$E$7:$E$1000,怪物并表!$D$7:$D$1000),2,FALSE)</f>
        <v>68</v>
      </c>
      <c r="Q660" s="33" t="s">
        <v>10</v>
      </c>
      <c r="R660" s="33">
        <f>VLOOKUP(Q660,怪物信息配置表!$A$2:$B$118,2,FALSE)</f>
        <v>1001</v>
      </c>
      <c r="S660" s="33">
        <v>1.5</v>
      </c>
      <c r="T660" s="110">
        <f>VLOOKUP($C660,怪物并表!$E$7:$N$1000,2+($D660-1)*3,FALSE)*S660*AJ660</f>
        <v>527787.22169469518</v>
      </c>
      <c r="U660" s="110">
        <f>VLOOKUP($C660,怪物并表!$E$7:$N$1000,3+($D660-1)*3,FALSE)*S660*AK660</f>
        <v>44197.260116114659</v>
      </c>
      <c r="V660" s="110">
        <f>VLOOKUP($C660,怪物并表!$E$7:$N$1000,4+($D660-1)*3,FALSE)*S660*AL660</f>
        <v>6317.9828980013426</v>
      </c>
      <c r="W660" s="33"/>
      <c r="X660" s="33"/>
      <c r="Y660" s="49">
        <f>VLOOKUP($C660,怪物并表!$E$7:$P$1000,12,FALSE)</f>
        <v>0</v>
      </c>
      <c r="Z660" s="49">
        <f>VLOOKUP($C660,怪物并表!$E$7:$P$1000,11,FALSE)*S660</f>
        <v>6451.6560000000009</v>
      </c>
      <c r="AA660" s="33"/>
      <c r="AB660" s="33"/>
      <c r="AC660" s="33"/>
      <c r="AD660" s="33">
        <f t="shared" si="73"/>
        <v>0.8</v>
      </c>
      <c r="AE660" s="2">
        <f t="shared" si="79"/>
        <v>354</v>
      </c>
      <c r="AF660" s="2" t="str">
        <f>IF(ISBLANK(AM660),IF(O660=6,"",IF(O660=1,VLOOKUP(R660,怪物信息配置表!B:H,5,FALSE),IF(O660=2,VLOOKUP(R660,怪物信息配置表!B:H,6,FALSE),IF(OR(O660=3,O660=5),VLOOKUP(R660,怪物信息配置表!B:H,7,FALSE),"")))),AM660)</f>
        <v>ai_monster</v>
      </c>
      <c r="AG660" s="2"/>
      <c r="AH660" s="15">
        <f>SUMPRODUCT(T660:V660,$AN$3:$AP$3)+ROUNDDOWN(VLOOKUP(P660,CHOOSE({1,2},'[1]消耗&amp;价值&amp;分析'!$C$7:$C$106,'[1]消耗&amp;价值&amp;分析'!$AS$7:$AS$106),2,FALSE)*0.6,0)</f>
        <v>78742.731881903805</v>
      </c>
      <c r="AJ660" s="80">
        <v>1</v>
      </c>
      <c r="AK660" s="80">
        <v>1</v>
      </c>
      <c r="AL660" s="80">
        <v>1</v>
      </c>
    </row>
    <row r="661" spans="1:38">
      <c r="A661" s="33" t="str">
        <f>怪物并表!$R$11</f>
        <v>马仔经验副本</v>
      </c>
      <c r="B661" s="38">
        <v>4</v>
      </c>
      <c r="C661" s="33">
        <f t="shared" si="78"/>
        <v>1806</v>
      </c>
      <c r="D661" s="33">
        <v>2</v>
      </c>
      <c r="E661" s="33">
        <f>VLOOKUP(A661,怪物并表!$R$7:$S$14,2,FALSE)</f>
        <v>5</v>
      </c>
      <c r="F661" s="38">
        <v>0</v>
      </c>
      <c r="G661" s="38">
        <v>6</v>
      </c>
      <c r="H661" s="38">
        <v>1</v>
      </c>
      <c r="I661" s="33">
        <f t="shared" si="77"/>
        <v>506104</v>
      </c>
      <c r="J661" s="33" t="s">
        <v>649</v>
      </c>
      <c r="K661" s="33" t="s">
        <v>655</v>
      </c>
      <c r="L661" s="33">
        <v>0</v>
      </c>
      <c r="M661" s="33">
        <v>1</v>
      </c>
      <c r="N661" s="33"/>
      <c r="O661" s="33">
        <v>1</v>
      </c>
      <c r="P661" s="33">
        <f>VLOOKUP($C661,CHOOSE({1,2},怪物并表!$E$7:$E$1000,怪物并表!$D$7:$D$1000),2,FALSE)</f>
        <v>68</v>
      </c>
      <c r="Q661" s="33" t="s">
        <v>367</v>
      </c>
      <c r="R661" s="33">
        <f>VLOOKUP(Q661,怪物信息配置表!$A$2:$B$118,2,FALSE)</f>
        <v>1008</v>
      </c>
      <c r="S661" s="33">
        <v>1.5</v>
      </c>
      <c r="T661" s="110">
        <f>VLOOKUP($C661,怪物并表!$E$7:$N$1000,2+($D661-1)*3,FALSE)*S661*AJ661</f>
        <v>527787.22169469518</v>
      </c>
      <c r="U661" s="110">
        <f>VLOOKUP($C661,怪物并表!$E$7:$N$1000,3+($D661-1)*3,FALSE)*S661*AK661</f>
        <v>44197.260116114659</v>
      </c>
      <c r="V661" s="110">
        <f>VLOOKUP($C661,怪物并表!$E$7:$N$1000,4+($D661-1)*3,FALSE)*S661*AL661</f>
        <v>6317.9828980013426</v>
      </c>
      <c r="W661" s="33"/>
      <c r="X661" s="33"/>
      <c r="Y661" s="49">
        <f>VLOOKUP($C661,怪物并表!$E$7:$P$1000,12,FALSE)</f>
        <v>0</v>
      </c>
      <c r="Z661" s="49">
        <f>VLOOKUP($C661,怪物并表!$E$7:$P$1000,11,FALSE)*S661</f>
        <v>6451.6560000000009</v>
      </c>
      <c r="AA661" s="33"/>
      <c r="AB661" s="33"/>
      <c r="AC661" s="33"/>
      <c r="AD661" s="33">
        <f t="shared" si="73"/>
        <v>0.8</v>
      </c>
      <c r="AE661" s="2">
        <f t="shared" si="79"/>
        <v>354</v>
      </c>
      <c r="AF661" s="2" t="str">
        <f>IF(ISBLANK(AM661),IF(O661=6,"",IF(O661=1,VLOOKUP(R661,怪物信息配置表!B:H,5,FALSE),IF(O661=2,VLOOKUP(R661,怪物信息配置表!B:H,6,FALSE),IF(OR(O661=3,O661=5),VLOOKUP(R661,怪物信息配置表!B:H,7,FALSE),"")))),AM661)</f>
        <v>ai_monster</v>
      </c>
      <c r="AG661" s="2"/>
      <c r="AH661" s="15">
        <f>SUMPRODUCT(T661:V661,$AN$3:$AP$3)+ROUNDDOWN(VLOOKUP(P661,CHOOSE({1,2},'[1]消耗&amp;价值&amp;分析'!$C$7:$C$106,'[1]消耗&amp;价值&amp;分析'!$AS$7:$AS$106),2,FALSE)*0.6,0)</f>
        <v>78742.731881903805</v>
      </c>
      <c r="AJ661" s="80">
        <v>1</v>
      </c>
      <c r="AK661" s="80">
        <v>1</v>
      </c>
      <c r="AL661" s="80">
        <v>1</v>
      </c>
    </row>
    <row r="662" spans="1:38">
      <c r="A662" s="33" t="str">
        <f>怪物并表!$R$11</f>
        <v>马仔经验副本</v>
      </c>
      <c r="B662" s="38">
        <v>5</v>
      </c>
      <c r="C662" s="33">
        <f t="shared" si="78"/>
        <v>1806</v>
      </c>
      <c r="D662" s="33">
        <v>1</v>
      </c>
      <c r="E662" s="33">
        <f>VLOOKUP(A662,怪物并表!$R$7:$S$14,2,FALSE)</f>
        <v>5</v>
      </c>
      <c r="F662" s="38">
        <v>0</v>
      </c>
      <c r="G662" s="38">
        <v>6</v>
      </c>
      <c r="H662" s="38">
        <v>1</v>
      </c>
      <c r="I662" s="33">
        <f t="shared" si="77"/>
        <v>506105</v>
      </c>
      <c r="J662" s="33" t="s">
        <v>651</v>
      </c>
      <c r="K662" s="33" t="s">
        <v>656</v>
      </c>
      <c r="L662" s="33">
        <v>0</v>
      </c>
      <c r="M662" s="33">
        <v>1.2</v>
      </c>
      <c r="N662" s="33"/>
      <c r="O662" s="33">
        <v>1</v>
      </c>
      <c r="P662" s="33">
        <f>VLOOKUP($C662,CHOOSE({1,2},怪物并表!$E$7:$E$1000,怪物并表!$D$7:$D$1000),2,FALSE)</f>
        <v>68</v>
      </c>
      <c r="Q662" s="33" t="s">
        <v>261</v>
      </c>
      <c r="R662" s="33">
        <f>VLOOKUP(Q662,怪物信息配置表!$A$2:$B$118,2,FALSE)</f>
        <v>3004</v>
      </c>
      <c r="S662" s="33">
        <v>300</v>
      </c>
      <c r="T662" s="110">
        <f>VLOOKUP($C662,怪物并表!$E$7:$N$1000,2+($D662-1)*3,FALSE)*S662*AJ662</f>
        <v>131946805.42367378</v>
      </c>
      <c r="U662" s="110">
        <f>VLOOKUP($C662,怪物并表!$E$7:$N$1000,3+($D662-1)*3,FALSE)*S662*AK662</f>
        <v>9509614.2036797367</v>
      </c>
      <c r="V662" s="110">
        <f>VLOOKUP($C662,怪物并表!$E$7:$N$1000,4+($D662-1)*3,FALSE)*S662*AL662</f>
        <v>2105994.299333781</v>
      </c>
      <c r="W662" s="33"/>
      <c r="X662" s="33"/>
      <c r="Y662" s="49">
        <f>VLOOKUP($C662,怪物并表!$E$7:$P$1000,12,FALSE)</f>
        <v>0</v>
      </c>
      <c r="Z662" s="49">
        <f>VLOOKUP($C662,怪物并表!$E$7:$P$1000,11,FALSE)*S662</f>
        <v>1290331.2000000002</v>
      </c>
      <c r="AA662" s="33"/>
      <c r="AB662" s="33"/>
      <c r="AC662" s="33"/>
      <c r="AD662" s="33">
        <f t="shared" si="73"/>
        <v>1</v>
      </c>
      <c r="AE662" s="2">
        <f t="shared" si="79"/>
        <v>192.5</v>
      </c>
      <c r="AF662" s="2">
        <f>IF(ISBLANK(AM662),IF(O662=6,"",IF(O662=1,VLOOKUP(R662,怪物信息配置表!B:H,5,FALSE),IF(O662=2,VLOOKUP(R662,怪物信息配置表!B:H,6,FALSE),IF(OR(O662=3,O662=5),VLOOKUP(R662,怪物信息配置表!B:H,7,FALSE),"")))),AM662)</f>
        <v>0</v>
      </c>
      <c r="AG662" s="2"/>
      <c r="AH662" s="15">
        <f>SUMPRODUCT(T662:V662,$AN$3:$AP$3)+ROUNDDOWN(VLOOKUP(P662,CHOOSE({1,2},'[1]消耗&amp;价值&amp;分析'!$C$7:$C$106,'[1]消耗&amp;价值&amp;分析'!$AS$7:$AS$106),2,FALSE)*0.6,0)</f>
        <v>16900596.71996047</v>
      </c>
      <c r="AJ662" s="80">
        <v>1</v>
      </c>
      <c r="AK662" s="80">
        <v>1</v>
      </c>
      <c r="AL662" s="80">
        <v>1</v>
      </c>
    </row>
    <row r="663" spans="1:38">
      <c r="A663" s="33" t="str">
        <f>怪物并表!$R$11</f>
        <v>马仔经验副本</v>
      </c>
      <c r="B663" s="38">
        <v>6</v>
      </c>
      <c r="C663" s="33">
        <f t="shared" si="78"/>
        <v>1806</v>
      </c>
      <c r="D663" s="33">
        <v>1</v>
      </c>
      <c r="E663" s="33">
        <f>VLOOKUP(A663,怪物并表!$R$7:$S$14,2,FALSE)</f>
        <v>5</v>
      </c>
      <c r="F663" s="38">
        <v>0</v>
      </c>
      <c r="G663" s="38">
        <v>6</v>
      </c>
      <c r="H663" s="38">
        <v>1</v>
      </c>
      <c r="I663" s="33">
        <f t="shared" si="77"/>
        <v>506106</v>
      </c>
      <c r="J663" s="33" t="s">
        <v>653</v>
      </c>
      <c r="K663" s="33" t="s">
        <v>655</v>
      </c>
      <c r="L663" s="33">
        <v>0</v>
      </c>
      <c r="M663" s="33">
        <v>1</v>
      </c>
      <c r="N663" s="33"/>
      <c r="O663" s="33">
        <v>1</v>
      </c>
      <c r="P663" s="33">
        <f>VLOOKUP($C663,CHOOSE({1,2},怪物并表!$E$7:$E$1000,怪物并表!$D$7:$D$1000),2,FALSE)</f>
        <v>68</v>
      </c>
      <c r="Q663" s="33" t="s">
        <v>258</v>
      </c>
      <c r="R663" s="33">
        <f>VLOOKUP(Q663,怪物信息配置表!$A$2:$B$118,2,FALSE)</f>
        <v>3002</v>
      </c>
      <c r="S663" s="33">
        <v>2</v>
      </c>
      <c r="T663" s="110">
        <f>VLOOKUP($C663,怪物并表!$E$7:$N$1000,2+($D663-1)*3,FALSE)*S663*AJ663</f>
        <v>879645.36949115852</v>
      </c>
      <c r="U663" s="110">
        <f>VLOOKUP($C663,怪物并表!$E$7:$N$1000,3+($D663-1)*3,FALSE)*S663*AK663</f>
        <v>63397.428024531575</v>
      </c>
      <c r="V663" s="110">
        <f>VLOOKUP($C663,怪物并表!$E$7:$N$1000,4+($D663-1)*3,FALSE)*S663*AL663</f>
        <v>14039.96199555854</v>
      </c>
      <c r="W663" s="33"/>
      <c r="X663" s="33"/>
      <c r="Y663" s="49">
        <f>VLOOKUP($C663,怪物并表!$E$7:$P$1000,12,FALSE)</f>
        <v>0</v>
      </c>
      <c r="Z663" s="49">
        <f>VLOOKUP($C663,怪物并表!$E$7:$P$1000,11,FALSE)*S663</f>
        <v>8602.2080000000005</v>
      </c>
      <c r="AA663" s="33"/>
      <c r="AB663" s="33"/>
      <c r="AC663" s="33"/>
      <c r="AD663" s="33">
        <f t="shared" si="73"/>
        <v>1</v>
      </c>
      <c r="AE663" s="2">
        <f t="shared" si="79"/>
        <v>192.5</v>
      </c>
      <c r="AF663" s="2">
        <f>IF(ISBLANK(AM663),IF(O663=6,"",IF(O663=1,VLOOKUP(R663,怪物信息配置表!B:H,5,FALSE),IF(O663=2,VLOOKUP(R663,怪物信息配置表!B:H,6,FALSE),IF(OR(O663=3,O663=5),VLOOKUP(R663,怪物信息配置表!B:H,7,FALSE),"")))),AM663)</f>
        <v>0</v>
      </c>
      <c r="AG663" s="2"/>
      <c r="AH663" s="15">
        <f>SUMPRODUCT(T663:V663,$AN$3:$AP$3)+ROUNDDOWN(VLOOKUP(P663,CHOOSE({1,2},'[1]消耗&amp;价值&amp;分析'!$C$7:$C$106,'[1]消耗&amp;价值&amp;分析'!$AS$7:$AS$106),2,FALSE)*0.6,0)</f>
        <v>119739.20479973646</v>
      </c>
      <c r="AJ663" s="80">
        <v>1</v>
      </c>
      <c r="AK663" s="80">
        <v>1</v>
      </c>
      <c r="AL663" s="80">
        <v>1</v>
      </c>
    </row>
    <row r="664" spans="1:38">
      <c r="A664" s="33" t="str">
        <f>怪物并表!$R$12</f>
        <v>命运副本</v>
      </c>
      <c r="B664" s="38">
        <v>1</v>
      </c>
      <c r="C664" s="33">
        <v>1701</v>
      </c>
      <c r="D664" s="33">
        <v>1</v>
      </c>
      <c r="E664" s="33">
        <f>VLOOKUP(A664,怪物并表!$R$7:$S$14,2,FALSE)</f>
        <v>6</v>
      </c>
      <c r="F664" s="38">
        <v>0</v>
      </c>
      <c r="G664" s="38">
        <v>1</v>
      </c>
      <c r="H664" s="38">
        <v>1</v>
      </c>
      <c r="I664" s="33">
        <f t="shared" si="77"/>
        <v>601101</v>
      </c>
      <c r="J664" s="33" t="s">
        <v>657</v>
      </c>
      <c r="K664" s="33" t="s">
        <v>662</v>
      </c>
      <c r="L664" s="33">
        <v>0</v>
      </c>
      <c r="M664" s="33">
        <v>1</v>
      </c>
      <c r="N664" s="33"/>
      <c r="O664" s="33">
        <v>1</v>
      </c>
      <c r="P664" s="33">
        <f>VLOOKUP($C664,CHOOSE({1,2},怪物并表!$E$7:$E$1000,怪物并表!$D$7:$D$1000),2,FALSE)</f>
        <v>23</v>
      </c>
      <c r="Q664" s="33" t="s">
        <v>10</v>
      </c>
      <c r="R664" s="33">
        <f>VLOOKUP(Q664,怪物信息配置表!$A$2:$B$118,2,FALSE)</f>
        <v>1001</v>
      </c>
      <c r="S664" s="33">
        <v>1</v>
      </c>
      <c r="T664" s="110">
        <f>VLOOKUP($C664,怪物并表!$E$7:$N$1000,2+($D664-1)*3,FALSE)*S664*AJ664</f>
        <v>9120.3246440730254</v>
      </c>
      <c r="U664" s="110">
        <f>VLOOKUP($C664,怪物并表!$E$7:$N$1000,3+($D664-1)*3,FALSE)*S664*AK664</f>
        <v>581.07401795328519</v>
      </c>
      <c r="V664" s="110">
        <f>VLOOKUP($C664,怪物并表!$E$7:$N$1000,4+($D664-1)*3,FALSE)*S664*AL664</f>
        <v>266.29066354515066</v>
      </c>
      <c r="W664" s="33"/>
      <c r="X664" s="33"/>
      <c r="Y664" s="49">
        <f>VLOOKUP($C664,怪物并表!$E$7:$P$1000,12,FALSE)</f>
        <v>0</v>
      </c>
      <c r="Z664" s="49">
        <f>VLOOKUP($C664,怪物并表!$E$7:$P$1000,11,FALSE)*S664</f>
        <v>1680.8440000000001</v>
      </c>
      <c r="AA664" s="33"/>
      <c r="AB664" s="33"/>
      <c r="AC664" s="33"/>
      <c r="AD664" s="33">
        <f t="shared" si="73"/>
        <v>1</v>
      </c>
      <c r="AE664" s="2">
        <f t="shared" si="79"/>
        <v>726.875</v>
      </c>
      <c r="AF664" s="2" t="str">
        <f>IF(ISBLANK(AM664),IF(O664=6,"",IF(O664=1,VLOOKUP(R664,怪物信息配置表!B:H,5,FALSE),IF(O664=2,VLOOKUP(R664,怪物信息配置表!B:H,6,FALSE),IF(OR(O664=3,O664=5),VLOOKUP(R664,怪物信息配置表!B:H,7,FALSE),"")))),AM664)</f>
        <v>ai_monster</v>
      </c>
      <c r="AG664" s="2"/>
      <c r="AH664" s="15">
        <f>2*SUMPRODUCT(T664:V664,$AN$3:$AP$3)+ROUNDDOWN(VLOOKUP(P664,CHOOSE({1,2},'[1]消耗&amp;价值&amp;分析'!$C$7:$C$106,'[1]消耗&amp;价值&amp;分析'!$AS$7:$AS$106),2,FALSE)*0.6,0)</f>
        <v>2910.3553345227137</v>
      </c>
      <c r="AJ664" s="80">
        <v>1</v>
      </c>
      <c r="AK664" s="80">
        <v>1</v>
      </c>
      <c r="AL664" s="80">
        <v>1</v>
      </c>
    </row>
    <row r="665" spans="1:38">
      <c r="A665" s="33" t="str">
        <f>怪物并表!$R$12</f>
        <v>命运副本</v>
      </c>
      <c r="B665" s="38">
        <v>2</v>
      </c>
      <c r="C665" s="33">
        <v>1701</v>
      </c>
      <c r="D665" s="33">
        <v>1</v>
      </c>
      <c r="E665" s="33">
        <f>VLOOKUP(A665,怪物并表!$R$7:$S$14,2,FALSE)</f>
        <v>6</v>
      </c>
      <c r="F665" s="38">
        <v>0</v>
      </c>
      <c r="G665" s="38">
        <v>1</v>
      </c>
      <c r="H665" s="38">
        <v>1</v>
      </c>
      <c r="I665" s="33">
        <f t="shared" si="77"/>
        <v>601102</v>
      </c>
      <c r="J665" s="33" t="s">
        <v>658</v>
      </c>
      <c r="K665" s="33" t="s">
        <v>662</v>
      </c>
      <c r="L665" s="33">
        <v>0</v>
      </c>
      <c r="M665" s="33">
        <v>1</v>
      </c>
      <c r="N665" s="33"/>
      <c r="O665" s="33">
        <v>1</v>
      </c>
      <c r="P665" s="33">
        <f>VLOOKUP($C665,CHOOSE({1,2},怪物并表!$E$7:$E$1000,怪物并表!$D$7:$D$1000),2,FALSE)</f>
        <v>23</v>
      </c>
      <c r="Q665" s="33" t="s">
        <v>367</v>
      </c>
      <c r="R665" s="33">
        <f>VLOOKUP(Q665,怪物信息配置表!$A$2:$B$118,2,FALSE)</f>
        <v>1008</v>
      </c>
      <c r="S665" s="33">
        <v>1</v>
      </c>
      <c r="T665" s="110">
        <f>VLOOKUP($C665,怪物并表!$E$7:$N$1000,2+($D665-1)*3,FALSE)*S665*AJ665</f>
        <v>9120.3246440730254</v>
      </c>
      <c r="U665" s="110">
        <f>VLOOKUP($C665,怪物并表!$E$7:$N$1000,3+($D665-1)*3,FALSE)*S665*AK665</f>
        <v>581.07401795328519</v>
      </c>
      <c r="V665" s="110">
        <f>VLOOKUP($C665,怪物并表!$E$7:$N$1000,4+($D665-1)*3,FALSE)*S665*AL665</f>
        <v>266.29066354515066</v>
      </c>
      <c r="W665" s="33"/>
      <c r="X665" s="33"/>
      <c r="Y665" s="49">
        <f>VLOOKUP($C665,怪物并表!$E$7:$P$1000,12,FALSE)</f>
        <v>0</v>
      </c>
      <c r="Z665" s="49">
        <f>VLOOKUP($C665,怪物并表!$E$7:$P$1000,11,FALSE)*S665</f>
        <v>1680.8440000000001</v>
      </c>
      <c r="AA665" s="33"/>
      <c r="AB665" s="33"/>
      <c r="AC665" s="33"/>
      <c r="AD665" s="33">
        <f t="shared" si="73"/>
        <v>1</v>
      </c>
      <c r="AE665" s="2">
        <f t="shared" si="79"/>
        <v>726.875</v>
      </c>
      <c r="AF665" s="2" t="str">
        <f>IF(ISBLANK(AM665),IF(O665=6,"",IF(O665=1,VLOOKUP(R665,怪物信息配置表!B:H,5,FALSE),IF(O665=2,VLOOKUP(R665,怪物信息配置表!B:H,6,FALSE),IF(OR(O665=3,O665=5),VLOOKUP(R665,怪物信息配置表!B:H,7,FALSE),"")))),AM665)</f>
        <v>ai_monster</v>
      </c>
      <c r="AG665" s="2"/>
      <c r="AH665" s="15">
        <f>2*SUMPRODUCT(T665:V665,$AN$3:$AP$3)+ROUNDDOWN(VLOOKUP(P665,CHOOSE({1,2},'[1]消耗&amp;价值&amp;分析'!$C$7:$C$106,'[1]消耗&amp;价值&amp;分析'!$AS$7:$AS$106),2,FALSE)*0.6,0)</f>
        <v>2910.3553345227137</v>
      </c>
      <c r="AJ665" s="80">
        <v>1</v>
      </c>
      <c r="AK665" s="80">
        <v>1</v>
      </c>
      <c r="AL665" s="80">
        <v>1</v>
      </c>
    </row>
    <row r="666" spans="1:38">
      <c r="A666" s="33" t="str">
        <f>怪物并表!$R$12</f>
        <v>命运副本</v>
      </c>
      <c r="B666" s="38">
        <v>3</v>
      </c>
      <c r="C666" s="33">
        <v>1701</v>
      </c>
      <c r="D666" s="33">
        <v>2</v>
      </c>
      <c r="E666" s="33">
        <f>VLOOKUP(A666,怪物并表!$R$7:$S$14,2,FALSE)</f>
        <v>6</v>
      </c>
      <c r="F666" s="38">
        <v>0</v>
      </c>
      <c r="G666" s="38">
        <v>1</v>
      </c>
      <c r="H666" s="38">
        <v>1</v>
      </c>
      <c r="I666" s="33">
        <f t="shared" si="77"/>
        <v>601103</v>
      </c>
      <c r="J666" s="33" t="s">
        <v>659</v>
      </c>
      <c r="K666" s="33" t="s">
        <v>662</v>
      </c>
      <c r="L666" s="33">
        <v>0</v>
      </c>
      <c r="M666" s="33">
        <v>1</v>
      </c>
      <c r="N666" s="33"/>
      <c r="O666" s="33">
        <v>1</v>
      </c>
      <c r="P666" s="33">
        <f>VLOOKUP($C666,CHOOSE({1,2},怪物并表!$E$7:$E$1000,怪物并表!$D$7:$D$1000),2,FALSE)</f>
        <v>23</v>
      </c>
      <c r="Q666" s="33" t="s">
        <v>14</v>
      </c>
      <c r="R666" s="33">
        <f>VLOOKUP(Q666,怪物信息配置表!$A$2:$B$118,2,FALSE)</f>
        <v>1010</v>
      </c>
      <c r="S666" s="33">
        <v>1</v>
      </c>
      <c r="T666" s="110">
        <f>VLOOKUP($C666,怪物并表!$E$7:$N$1000,2+($D666-1)*3,FALSE)*S666*AJ666</f>
        <v>7296.2597152584203</v>
      </c>
      <c r="U666" s="110">
        <f>VLOOKUP($C666,怪物并表!$E$7:$N$1000,3+($D666-1)*3,FALSE)*S666*AK666</f>
        <v>558.47203796397673</v>
      </c>
      <c r="V666" s="110">
        <f>VLOOKUP($C666,怪物并表!$E$7:$N$1000,4+($D666-1)*3,FALSE)*S666*AL666</f>
        <v>159.77439812709042</v>
      </c>
      <c r="W666" s="33"/>
      <c r="X666" s="33"/>
      <c r="Y666" s="49">
        <f>VLOOKUP($C666,怪物并表!$E$7:$P$1000,12,FALSE)</f>
        <v>0</v>
      </c>
      <c r="Z666" s="49">
        <f>VLOOKUP($C666,怪物并表!$E$7:$P$1000,11,FALSE)*S666</f>
        <v>1680.8440000000001</v>
      </c>
      <c r="AA666" s="33"/>
      <c r="AB666" s="33"/>
      <c r="AC666" s="33"/>
      <c r="AD666" s="33">
        <f t="shared" si="73"/>
        <v>0.8</v>
      </c>
      <c r="AE666" s="2">
        <f t="shared" si="79"/>
        <v>781.5</v>
      </c>
      <c r="AF666" s="2" t="str">
        <f>IF(ISBLANK(AM666),IF(O666=6,"",IF(O666=1,VLOOKUP(R666,怪物信息配置表!B:H,5,FALSE),IF(O666=2,VLOOKUP(R666,怪物信息配置表!B:H,6,FALSE),IF(OR(O666=3,O666=5),VLOOKUP(R666,怪物信息配置表!B:H,7,FALSE),"")))),AM666)</f>
        <v>ai_monster</v>
      </c>
      <c r="AG666" s="2"/>
      <c r="AH666" s="15">
        <f>2*SUMPRODUCT(T666:V666,$AN$3:$AP$3)+ROUNDDOWN(VLOOKUP(P666,CHOOSE({1,2},'[1]消耗&amp;价值&amp;分析'!$C$7:$C$106,'[1]消耗&amp;价值&amp;分析'!$AS$7:$AS$106),2,FALSE)*0.6,0)</f>
        <v>2506.1936494028078</v>
      </c>
      <c r="AJ666" s="80">
        <v>1</v>
      </c>
      <c r="AK666" s="80">
        <v>1</v>
      </c>
      <c r="AL666" s="80">
        <v>1</v>
      </c>
    </row>
    <row r="667" spans="1:38">
      <c r="A667" s="33" t="str">
        <f>怪物并表!$R$12</f>
        <v>命运副本</v>
      </c>
      <c r="B667" s="38">
        <v>4</v>
      </c>
      <c r="C667" s="33">
        <v>1701</v>
      </c>
      <c r="D667" s="33">
        <v>2</v>
      </c>
      <c r="E667" s="33">
        <f>VLOOKUP(A667,怪物并表!$R$7:$S$14,2,FALSE)</f>
        <v>6</v>
      </c>
      <c r="F667" s="38">
        <v>0</v>
      </c>
      <c r="G667" s="38">
        <v>1</v>
      </c>
      <c r="H667" s="38">
        <v>1</v>
      </c>
      <c r="I667" s="33">
        <f t="shared" si="77"/>
        <v>601104</v>
      </c>
      <c r="J667" s="33" t="s">
        <v>660</v>
      </c>
      <c r="K667" s="33" t="s">
        <v>662</v>
      </c>
      <c r="L667" s="33">
        <v>0</v>
      </c>
      <c r="M667" s="33">
        <v>1</v>
      </c>
      <c r="N667" s="33"/>
      <c r="O667" s="33">
        <v>1</v>
      </c>
      <c r="P667" s="33">
        <f>VLOOKUP($C667,CHOOSE({1,2},怪物并表!$E$7:$E$1000,怪物并表!$D$7:$D$1000),2,FALSE)</f>
        <v>23</v>
      </c>
      <c r="Q667" s="33" t="s">
        <v>9</v>
      </c>
      <c r="R667" s="33">
        <f>VLOOKUP(Q667,怪物信息配置表!$A$2:$B$118,2,FALSE)</f>
        <v>1003</v>
      </c>
      <c r="S667" s="33">
        <v>1</v>
      </c>
      <c r="T667" s="110">
        <f>VLOOKUP($C667,怪物并表!$E$7:$N$1000,2+($D667-1)*3,FALSE)*S667*AJ667</f>
        <v>7296.2597152584203</v>
      </c>
      <c r="U667" s="110">
        <f>VLOOKUP($C667,怪物并表!$E$7:$N$1000,3+($D667-1)*3,FALSE)*S667*AK667</f>
        <v>558.47203796397673</v>
      </c>
      <c r="V667" s="110">
        <f>VLOOKUP($C667,怪物并表!$E$7:$N$1000,4+($D667-1)*3,FALSE)*S667*AL667</f>
        <v>159.77439812709042</v>
      </c>
      <c r="W667" s="33"/>
      <c r="X667" s="33"/>
      <c r="Y667" s="49">
        <f>VLOOKUP($C667,怪物并表!$E$7:$P$1000,12,FALSE)</f>
        <v>0</v>
      </c>
      <c r="Z667" s="49">
        <f>VLOOKUP($C667,怪物并表!$E$7:$P$1000,11,FALSE)*S667</f>
        <v>1680.8440000000001</v>
      </c>
      <c r="AA667" s="33"/>
      <c r="AB667" s="33"/>
      <c r="AC667" s="33"/>
      <c r="AD667" s="33">
        <f t="shared" si="73"/>
        <v>0.8</v>
      </c>
      <c r="AE667" s="2">
        <f t="shared" si="79"/>
        <v>781.5</v>
      </c>
      <c r="AF667" s="2" t="str">
        <f>IF(ISBLANK(AM667),IF(O667=6,"",IF(O667=1,VLOOKUP(R667,怪物信息配置表!B:H,5,FALSE),IF(O667=2,VLOOKUP(R667,怪物信息配置表!B:H,6,FALSE),IF(OR(O667=3,O667=5),VLOOKUP(R667,怪物信息配置表!B:H,7,FALSE),"")))),AM667)</f>
        <v>ai_monster_02</v>
      </c>
      <c r="AG667" s="2"/>
      <c r="AH667" s="15">
        <f>2*SUMPRODUCT(T667:V667,$AN$3:$AP$3)+ROUNDDOWN(VLOOKUP(P667,CHOOSE({1,2},'[1]消耗&amp;价值&amp;分析'!$C$7:$C$106,'[1]消耗&amp;价值&amp;分析'!$AS$7:$AS$106),2,FALSE)*0.6,0)</f>
        <v>2506.1936494028078</v>
      </c>
      <c r="AJ667" s="80">
        <v>1</v>
      </c>
      <c r="AK667" s="80">
        <v>1</v>
      </c>
      <c r="AL667" s="80">
        <v>1</v>
      </c>
    </row>
    <row r="668" spans="1:38">
      <c r="A668" s="33" t="str">
        <f>怪物并表!$R$12</f>
        <v>命运副本</v>
      </c>
      <c r="B668" s="38">
        <v>5</v>
      </c>
      <c r="C668" s="33">
        <v>1701</v>
      </c>
      <c r="D668" s="33">
        <v>2</v>
      </c>
      <c r="E668" s="33">
        <f>VLOOKUP(A668,怪物并表!$R$7:$S$14,2,FALSE)</f>
        <v>6</v>
      </c>
      <c r="F668" s="38">
        <v>0</v>
      </c>
      <c r="G668" s="38">
        <v>1</v>
      </c>
      <c r="H668" s="38">
        <v>1</v>
      </c>
      <c r="I668" s="33">
        <f t="shared" si="77"/>
        <v>601105</v>
      </c>
      <c r="J668" s="33" t="s">
        <v>661</v>
      </c>
      <c r="K668" s="33" t="s">
        <v>662</v>
      </c>
      <c r="L668" s="33">
        <v>0</v>
      </c>
      <c r="M668" s="33">
        <v>1</v>
      </c>
      <c r="N668" s="33"/>
      <c r="O668" s="33">
        <v>1</v>
      </c>
      <c r="P668" s="33">
        <f>VLOOKUP($C668,CHOOSE({1,2},怪物并表!$E$7:$E$1000,怪物并表!$D$7:$D$1000),2,FALSE)</f>
        <v>23</v>
      </c>
      <c r="Q668" s="33" t="s">
        <v>15</v>
      </c>
      <c r="R668" s="33">
        <f>VLOOKUP(Q668,怪物信息配置表!$A$2:$B$118,2,FALSE)</f>
        <v>1004</v>
      </c>
      <c r="S668" s="33">
        <v>1</v>
      </c>
      <c r="T668" s="110">
        <f>VLOOKUP($C668,怪物并表!$E$7:$N$1000,2+($D668-1)*3,FALSE)*S668*AJ668</f>
        <v>7296.2597152584203</v>
      </c>
      <c r="U668" s="110">
        <f>VLOOKUP($C668,怪物并表!$E$7:$N$1000,3+($D668-1)*3,FALSE)*S668*AK668</f>
        <v>558.47203796397673</v>
      </c>
      <c r="V668" s="110">
        <f>VLOOKUP($C668,怪物并表!$E$7:$N$1000,4+($D668-1)*3,FALSE)*S668*AL668</f>
        <v>159.77439812709042</v>
      </c>
      <c r="W668" s="33"/>
      <c r="X668" s="33"/>
      <c r="Y668" s="49">
        <f>VLOOKUP($C668,怪物并表!$E$7:$P$1000,12,FALSE)</f>
        <v>0</v>
      </c>
      <c r="Z668" s="49">
        <f>VLOOKUP($C668,怪物并表!$E$7:$P$1000,11,FALSE)*S668</f>
        <v>1680.8440000000001</v>
      </c>
      <c r="AA668" s="33"/>
      <c r="AB668" s="33"/>
      <c r="AC668" s="33"/>
      <c r="AD668" s="33">
        <f t="shared" si="73"/>
        <v>0.8</v>
      </c>
      <c r="AE668" s="2">
        <f t="shared" si="79"/>
        <v>781.5</v>
      </c>
      <c r="AF668" s="2" t="str">
        <f>IF(ISBLANK(AM668),IF(O668=6,"",IF(O668=1,VLOOKUP(R668,怪物信息配置表!B:H,5,FALSE),IF(O668=2,VLOOKUP(R668,怪物信息配置表!B:H,6,FALSE),IF(OR(O668=3,O668=5),VLOOKUP(R668,怪物信息配置表!B:H,7,FALSE),"")))),AM668)</f>
        <v>ai_monster</v>
      </c>
      <c r="AG668" s="2"/>
      <c r="AH668" s="15">
        <f>2*SUMPRODUCT(T668:V668,$AN$3:$AP$3)+ROUNDDOWN(VLOOKUP(P668,CHOOSE({1,2},'[1]消耗&amp;价值&amp;分析'!$C$7:$C$106,'[1]消耗&amp;价值&amp;分析'!$AS$7:$AS$106),2,FALSE)*0.6,0)</f>
        <v>2506.1936494028078</v>
      </c>
      <c r="AJ668" s="80">
        <v>1</v>
      </c>
      <c r="AK668" s="80">
        <v>1</v>
      </c>
      <c r="AL668" s="80">
        <v>1</v>
      </c>
    </row>
    <row r="669" spans="1:38">
      <c r="A669" s="33" t="str">
        <f>怪物并表!$R$12</f>
        <v>命运副本</v>
      </c>
      <c r="B669" s="38">
        <v>1</v>
      </c>
      <c r="C669" s="33">
        <v>1702</v>
      </c>
      <c r="D669" s="33">
        <v>1</v>
      </c>
      <c r="E669" s="33">
        <f>VLOOKUP(A669,怪物并表!$R$7:$S$14,2,FALSE)</f>
        <v>6</v>
      </c>
      <c r="F669" s="38">
        <v>0</v>
      </c>
      <c r="G669" s="38">
        <v>2</v>
      </c>
      <c r="H669" s="38">
        <v>1</v>
      </c>
      <c r="I669" s="33">
        <f t="shared" si="77"/>
        <v>602101</v>
      </c>
      <c r="J669" s="33" t="s">
        <v>657</v>
      </c>
      <c r="K669" s="33" t="s">
        <v>662</v>
      </c>
      <c r="L669" s="33">
        <v>0</v>
      </c>
      <c r="M669" s="33">
        <v>1</v>
      </c>
      <c r="N669" s="33"/>
      <c r="O669" s="33">
        <v>1</v>
      </c>
      <c r="P669" s="33">
        <f>VLOOKUP($C669,CHOOSE({1,2},怪物并表!$E$7:$E$1000,怪物并表!$D$7:$D$1000),2,FALSE)</f>
        <v>33</v>
      </c>
      <c r="Q669" s="33" t="s">
        <v>10</v>
      </c>
      <c r="R669" s="33">
        <f>VLOOKUP(Q669,怪物信息配置表!$A$2:$B$118,2,FALSE)</f>
        <v>1001</v>
      </c>
      <c r="S669" s="33">
        <v>1</v>
      </c>
      <c r="T669" s="110">
        <f>VLOOKUP($C669,怪物并表!$E$7:$N$1000,2+($D669-1)*3,FALSE)*S669*AJ669</f>
        <v>27658.557114366624</v>
      </c>
      <c r="U669" s="110">
        <f>VLOOKUP($C669,怪物并表!$E$7:$N$1000,3+($D669-1)*3,FALSE)*S669*AK669</f>
        <v>1653.9813600655095</v>
      </c>
      <c r="V669" s="110">
        <f>VLOOKUP($C669,怪物并表!$E$7:$N$1000,4+($D669-1)*3,FALSE)*S669*AL669</f>
        <v>674.52897055184008</v>
      </c>
      <c r="W669" s="33"/>
      <c r="X669" s="33"/>
      <c r="Y669" s="49">
        <f>VLOOKUP($C669,怪物并表!$E$7:$P$1000,12,FALSE)</f>
        <v>0</v>
      </c>
      <c r="Z669" s="49">
        <f>VLOOKUP($C669,怪物并表!$E$7:$P$1000,11,FALSE)*S669</f>
        <v>2263.1239999999998</v>
      </c>
      <c r="AA669" s="33"/>
      <c r="AB669" s="33"/>
      <c r="AC669" s="33"/>
      <c r="AD669" s="33">
        <f t="shared" si="73"/>
        <v>1</v>
      </c>
      <c r="AE669" s="2">
        <f t="shared" si="79"/>
        <v>608.125</v>
      </c>
      <c r="AF669" s="2" t="str">
        <f>IF(ISBLANK(AM669),IF(O669=6,"",IF(O669=1,VLOOKUP(R669,怪物信息配置表!B:H,5,FALSE),IF(O669=2,VLOOKUP(R669,怪物信息配置表!B:H,6,FALSE),IF(OR(O669=3,O669=5),VLOOKUP(R669,怪物信息配置表!B:H,7,FALSE),"")))),AM669)</f>
        <v>ai_monster</v>
      </c>
      <c r="AG669" s="2"/>
      <c r="AH669" s="15">
        <f>2*SUMPRODUCT(T669:V669,$AN$3:$AP$3)+ROUNDDOWN(VLOOKUP(P669,CHOOSE({1,2},'[1]消耗&amp;价值&amp;分析'!$C$7:$C$106,'[1]消耗&amp;价值&amp;分析'!$AS$7:$AS$106),2,FALSE)*0.6,0)</f>
        <v>7914.7052303840283</v>
      </c>
      <c r="AJ669" s="80">
        <v>1</v>
      </c>
      <c r="AK669" s="80">
        <v>1</v>
      </c>
      <c r="AL669" s="80">
        <v>1</v>
      </c>
    </row>
    <row r="670" spans="1:38">
      <c r="A670" s="33" t="str">
        <f>怪物并表!$R$12</f>
        <v>命运副本</v>
      </c>
      <c r="B670" s="38">
        <v>2</v>
      </c>
      <c r="C670" s="33">
        <v>1702</v>
      </c>
      <c r="D670" s="33">
        <v>1</v>
      </c>
      <c r="E670" s="33">
        <f>VLOOKUP(A670,怪物并表!$R$7:$S$14,2,FALSE)</f>
        <v>6</v>
      </c>
      <c r="F670" s="38">
        <v>0</v>
      </c>
      <c r="G670" s="38">
        <v>2</v>
      </c>
      <c r="H670" s="38">
        <v>1</v>
      </c>
      <c r="I670" s="33">
        <f t="shared" si="77"/>
        <v>602102</v>
      </c>
      <c r="J670" s="33" t="s">
        <v>658</v>
      </c>
      <c r="K670" s="33" t="s">
        <v>662</v>
      </c>
      <c r="L670" s="33">
        <v>0</v>
      </c>
      <c r="M670" s="33">
        <v>1</v>
      </c>
      <c r="N670" s="33"/>
      <c r="O670" s="33">
        <v>1</v>
      </c>
      <c r="P670" s="33">
        <f>VLOOKUP($C670,CHOOSE({1,2},怪物并表!$E$7:$E$1000,怪物并表!$D$7:$D$1000),2,FALSE)</f>
        <v>33</v>
      </c>
      <c r="Q670" s="33" t="s">
        <v>367</v>
      </c>
      <c r="R670" s="33">
        <f>VLOOKUP(Q670,怪物信息配置表!$A$2:$B$118,2,FALSE)</f>
        <v>1008</v>
      </c>
      <c r="S670" s="33">
        <v>1</v>
      </c>
      <c r="T670" s="110">
        <f>VLOOKUP($C670,怪物并表!$E$7:$N$1000,2+($D670-1)*3,FALSE)*S670*AJ670</f>
        <v>27658.557114366624</v>
      </c>
      <c r="U670" s="110">
        <f>VLOOKUP($C670,怪物并表!$E$7:$N$1000,3+($D670-1)*3,FALSE)*S670*AK670</f>
        <v>1653.9813600655095</v>
      </c>
      <c r="V670" s="110">
        <f>VLOOKUP($C670,怪物并表!$E$7:$N$1000,4+($D670-1)*3,FALSE)*S670*AL670</f>
        <v>674.52897055184008</v>
      </c>
      <c r="W670" s="33"/>
      <c r="X670" s="33"/>
      <c r="Y670" s="49">
        <f>VLOOKUP($C670,怪物并表!$E$7:$P$1000,12,FALSE)</f>
        <v>0</v>
      </c>
      <c r="Z670" s="49">
        <f>VLOOKUP($C670,怪物并表!$E$7:$P$1000,11,FALSE)*S670</f>
        <v>2263.1239999999998</v>
      </c>
      <c r="AA670" s="33"/>
      <c r="AB670" s="33"/>
      <c r="AC670" s="33"/>
      <c r="AD670" s="33">
        <f t="shared" si="73"/>
        <v>1</v>
      </c>
      <c r="AE670" s="2">
        <f t="shared" si="79"/>
        <v>608.125</v>
      </c>
      <c r="AF670" s="2" t="str">
        <f>IF(ISBLANK(AM670),IF(O670=6,"",IF(O670=1,VLOOKUP(R670,怪物信息配置表!B:H,5,FALSE),IF(O670=2,VLOOKUP(R670,怪物信息配置表!B:H,6,FALSE),IF(OR(O670=3,O670=5),VLOOKUP(R670,怪物信息配置表!B:H,7,FALSE),"")))),AM670)</f>
        <v>ai_monster</v>
      </c>
      <c r="AG670" s="2"/>
      <c r="AH670" s="15">
        <f>2*SUMPRODUCT(T670:V670,$AN$3:$AP$3)+ROUNDDOWN(VLOOKUP(P670,CHOOSE({1,2},'[1]消耗&amp;价值&amp;分析'!$C$7:$C$106,'[1]消耗&amp;价值&amp;分析'!$AS$7:$AS$106),2,FALSE)*0.6,0)</f>
        <v>7914.7052303840283</v>
      </c>
      <c r="AJ670" s="80">
        <v>1</v>
      </c>
      <c r="AK670" s="80">
        <v>1</v>
      </c>
      <c r="AL670" s="80">
        <v>1</v>
      </c>
    </row>
    <row r="671" spans="1:38">
      <c r="A671" s="33" t="str">
        <f>怪物并表!$R$12</f>
        <v>命运副本</v>
      </c>
      <c r="B671" s="38">
        <v>3</v>
      </c>
      <c r="C671" s="33">
        <v>1702</v>
      </c>
      <c r="D671" s="33">
        <v>2</v>
      </c>
      <c r="E671" s="33">
        <f>VLOOKUP(A671,怪物并表!$R$7:$S$14,2,FALSE)</f>
        <v>6</v>
      </c>
      <c r="F671" s="38">
        <v>0</v>
      </c>
      <c r="G671" s="38">
        <v>2</v>
      </c>
      <c r="H671" s="38">
        <v>1</v>
      </c>
      <c r="I671" s="33">
        <f t="shared" si="77"/>
        <v>602103</v>
      </c>
      <c r="J671" s="33" t="s">
        <v>659</v>
      </c>
      <c r="K671" s="33" t="s">
        <v>662</v>
      </c>
      <c r="L671" s="33">
        <v>0</v>
      </c>
      <c r="M671" s="33">
        <v>1</v>
      </c>
      <c r="N671" s="33"/>
      <c r="O671" s="33">
        <v>1</v>
      </c>
      <c r="P671" s="33">
        <f>VLOOKUP($C671,CHOOSE({1,2},怪物并表!$E$7:$E$1000,怪物并表!$D$7:$D$1000),2,FALSE)</f>
        <v>33</v>
      </c>
      <c r="Q671" s="33" t="s">
        <v>14</v>
      </c>
      <c r="R671" s="33">
        <f>VLOOKUP(Q671,怪物信息配置表!$A$2:$B$118,2,FALSE)</f>
        <v>1010</v>
      </c>
      <c r="S671" s="33">
        <v>1</v>
      </c>
      <c r="T671" s="110">
        <f>VLOOKUP($C671,怪物并表!$E$7:$N$1000,2+($D671-1)*3,FALSE)*S671*AJ671</f>
        <v>22126.845691493301</v>
      </c>
      <c r="U671" s="110">
        <f>VLOOKUP($C671,怪物并表!$E$7:$N$1000,3+($D671-1)*3,FALSE)*S671*AK671</f>
        <v>1578.5204201325373</v>
      </c>
      <c r="V671" s="110">
        <f>VLOOKUP($C671,怪物并表!$E$7:$N$1000,4+($D671-1)*3,FALSE)*S671*AL671</f>
        <v>404.71738233110432</v>
      </c>
      <c r="W671" s="33"/>
      <c r="X671" s="33"/>
      <c r="Y671" s="49">
        <f>VLOOKUP($C671,怪物并表!$E$7:$P$1000,12,FALSE)</f>
        <v>0</v>
      </c>
      <c r="Z671" s="49">
        <f>VLOOKUP($C671,怪物并表!$E$7:$P$1000,11,FALSE)*S671</f>
        <v>2263.1239999999998</v>
      </c>
      <c r="AA671" s="33"/>
      <c r="AB671" s="33"/>
      <c r="AC671" s="33"/>
      <c r="AD671" s="33">
        <f t="shared" si="73"/>
        <v>0.8</v>
      </c>
      <c r="AE671" s="2">
        <f t="shared" si="79"/>
        <v>686.5</v>
      </c>
      <c r="AF671" s="2" t="str">
        <f>IF(ISBLANK(AM671),IF(O671=6,"",IF(O671=1,VLOOKUP(R671,怪物信息配置表!B:H,5,FALSE),IF(O671=2,VLOOKUP(R671,怪物信息配置表!B:H,6,FALSE),IF(OR(O671=3,O671=5),VLOOKUP(R671,怪物信息配置表!B:H,7,FALSE),"")))),AM671)</f>
        <v>ai_monster</v>
      </c>
      <c r="AG671" s="2"/>
      <c r="AH671" s="15">
        <f>2*SUMPRODUCT(T671:V671,$AN$3:$AP$3)+ROUNDDOWN(VLOOKUP(P671,CHOOSE({1,2},'[1]消耗&amp;价值&amp;分析'!$C$7:$C$106,'[1]消耗&amp;价值&amp;分析'!$AS$7:$AS$106),2,FALSE)*0.6,0)</f>
        <v>6781.623260246748</v>
      </c>
      <c r="AJ671" s="80">
        <v>1</v>
      </c>
      <c r="AK671" s="80">
        <v>1</v>
      </c>
      <c r="AL671" s="80">
        <v>1</v>
      </c>
    </row>
    <row r="672" spans="1:38">
      <c r="A672" s="33" t="str">
        <f>怪物并表!$R$12</f>
        <v>命运副本</v>
      </c>
      <c r="B672" s="38">
        <v>4</v>
      </c>
      <c r="C672" s="33">
        <v>1702</v>
      </c>
      <c r="D672" s="33">
        <v>2</v>
      </c>
      <c r="E672" s="33">
        <f>VLOOKUP(A672,怪物并表!$R$7:$S$14,2,FALSE)</f>
        <v>6</v>
      </c>
      <c r="F672" s="38">
        <v>0</v>
      </c>
      <c r="G672" s="38">
        <v>2</v>
      </c>
      <c r="H672" s="38">
        <v>1</v>
      </c>
      <c r="I672" s="33">
        <f t="shared" si="77"/>
        <v>602104</v>
      </c>
      <c r="J672" s="33" t="s">
        <v>660</v>
      </c>
      <c r="K672" s="33" t="s">
        <v>662</v>
      </c>
      <c r="L672" s="33">
        <v>0</v>
      </c>
      <c r="M672" s="33">
        <v>1</v>
      </c>
      <c r="N672" s="33"/>
      <c r="O672" s="33">
        <v>1</v>
      </c>
      <c r="P672" s="33">
        <f>VLOOKUP($C672,CHOOSE({1,2},怪物并表!$E$7:$E$1000,怪物并表!$D$7:$D$1000),2,FALSE)</f>
        <v>33</v>
      </c>
      <c r="Q672" s="33" t="s">
        <v>9</v>
      </c>
      <c r="R672" s="33">
        <f>VLOOKUP(Q672,怪物信息配置表!$A$2:$B$118,2,FALSE)</f>
        <v>1003</v>
      </c>
      <c r="S672" s="33">
        <v>1</v>
      </c>
      <c r="T672" s="110">
        <f>VLOOKUP($C672,怪物并表!$E$7:$N$1000,2+($D672-1)*3,FALSE)*S672*AJ672</f>
        <v>22126.845691493301</v>
      </c>
      <c r="U672" s="110">
        <f>VLOOKUP($C672,怪物并表!$E$7:$N$1000,3+($D672-1)*3,FALSE)*S672*AK672</f>
        <v>1578.5204201325373</v>
      </c>
      <c r="V672" s="110">
        <f>VLOOKUP($C672,怪物并表!$E$7:$N$1000,4+($D672-1)*3,FALSE)*S672*AL672</f>
        <v>404.71738233110432</v>
      </c>
      <c r="W672" s="33"/>
      <c r="X672" s="33"/>
      <c r="Y672" s="49">
        <f>VLOOKUP($C672,怪物并表!$E$7:$P$1000,12,FALSE)</f>
        <v>0</v>
      </c>
      <c r="Z672" s="49">
        <f>VLOOKUP($C672,怪物并表!$E$7:$P$1000,11,FALSE)*S672</f>
        <v>2263.1239999999998</v>
      </c>
      <c r="AA672" s="33"/>
      <c r="AB672" s="33"/>
      <c r="AC672" s="33"/>
      <c r="AD672" s="33">
        <f t="shared" si="73"/>
        <v>0.8</v>
      </c>
      <c r="AE672" s="2">
        <f t="shared" si="79"/>
        <v>686.5</v>
      </c>
      <c r="AF672" s="2" t="str">
        <f>IF(ISBLANK(AM672),IF(O672=6,"",IF(O672=1,VLOOKUP(R672,怪物信息配置表!B:H,5,FALSE),IF(O672=2,VLOOKUP(R672,怪物信息配置表!B:H,6,FALSE),IF(OR(O672=3,O672=5),VLOOKUP(R672,怪物信息配置表!B:H,7,FALSE),"")))),AM672)</f>
        <v>ai_monster_02</v>
      </c>
      <c r="AG672" s="2"/>
      <c r="AH672" s="15">
        <f>2*SUMPRODUCT(T672:V672,$AN$3:$AP$3)+ROUNDDOWN(VLOOKUP(P672,CHOOSE({1,2},'[1]消耗&amp;价值&amp;分析'!$C$7:$C$106,'[1]消耗&amp;价值&amp;分析'!$AS$7:$AS$106),2,FALSE)*0.6,0)</f>
        <v>6781.623260246748</v>
      </c>
      <c r="AJ672" s="80">
        <v>1</v>
      </c>
      <c r="AK672" s="80">
        <v>1</v>
      </c>
      <c r="AL672" s="80">
        <v>1</v>
      </c>
    </row>
    <row r="673" spans="1:38">
      <c r="A673" s="33" t="str">
        <f>怪物并表!$R$12</f>
        <v>命运副本</v>
      </c>
      <c r="B673" s="38">
        <v>5</v>
      </c>
      <c r="C673" s="33">
        <v>1702</v>
      </c>
      <c r="D673" s="33">
        <v>2</v>
      </c>
      <c r="E673" s="33">
        <f>VLOOKUP(A673,怪物并表!$R$7:$S$14,2,FALSE)</f>
        <v>6</v>
      </c>
      <c r="F673" s="38">
        <v>0</v>
      </c>
      <c r="G673" s="38">
        <v>2</v>
      </c>
      <c r="H673" s="38">
        <v>1</v>
      </c>
      <c r="I673" s="33">
        <f t="shared" si="77"/>
        <v>602105</v>
      </c>
      <c r="J673" s="33" t="s">
        <v>661</v>
      </c>
      <c r="K673" s="33" t="s">
        <v>662</v>
      </c>
      <c r="L673" s="33">
        <v>0</v>
      </c>
      <c r="M673" s="33">
        <v>1</v>
      </c>
      <c r="N673" s="33"/>
      <c r="O673" s="33">
        <v>1</v>
      </c>
      <c r="P673" s="33">
        <f>VLOOKUP($C673,CHOOSE({1,2},怪物并表!$E$7:$E$1000,怪物并表!$D$7:$D$1000),2,FALSE)</f>
        <v>33</v>
      </c>
      <c r="Q673" s="33" t="s">
        <v>15</v>
      </c>
      <c r="R673" s="33">
        <f>VLOOKUP(Q673,怪物信息配置表!$A$2:$B$118,2,FALSE)</f>
        <v>1004</v>
      </c>
      <c r="S673" s="33">
        <v>1</v>
      </c>
      <c r="T673" s="110">
        <f>VLOOKUP($C673,怪物并表!$E$7:$N$1000,2+($D673-1)*3,FALSE)*S673*AJ673</f>
        <v>22126.845691493301</v>
      </c>
      <c r="U673" s="110">
        <f>VLOOKUP($C673,怪物并表!$E$7:$N$1000,3+($D673-1)*3,FALSE)*S673*AK673</f>
        <v>1578.5204201325373</v>
      </c>
      <c r="V673" s="110">
        <f>VLOOKUP($C673,怪物并表!$E$7:$N$1000,4+($D673-1)*3,FALSE)*S673*AL673</f>
        <v>404.71738233110432</v>
      </c>
      <c r="W673" s="33"/>
      <c r="X673" s="33"/>
      <c r="Y673" s="49">
        <f>VLOOKUP($C673,怪物并表!$E$7:$P$1000,12,FALSE)</f>
        <v>0</v>
      </c>
      <c r="Z673" s="49">
        <f>VLOOKUP($C673,怪物并表!$E$7:$P$1000,11,FALSE)*S673</f>
        <v>2263.1239999999998</v>
      </c>
      <c r="AA673" s="33"/>
      <c r="AB673" s="33"/>
      <c r="AC673" s="33"/>
      <c r="AD673" s="33">
        <f t="shared" si="73"/>
        <v>0.8</v>
      </c>
      <c r="AE673" s="2">
        <f t="shared" si="79"/>
        <v>686.5</v>
      </c>
      <c r="AF673" s="2" t="str">
        <f>IF(ISBLANK(AM673),IF(O673=6,"",IF(O673=1,VLOOKUP(R673,怪物信息配置表!B:H,5,FALSE),IF(O673=2,VLOOKUP(R673,怪物信息配置表!B:H,6,FALSE),IF(OR(O673=3,O673=5),VLOOKUP(R673,怪物信息配置表!B:H,7,FALSE),"")))),AM673)</f>
        <v>ai_monster</v>
      </c>
      <c r="AG673" s="2"/>
      <c r="AH673" s="15">
        <f>2*SUMPRODUCT(T673:V673,$AN$3:$AP$3)+ROUNDDOWN(VLOOKUP(P673,CHOOSE({1,2},'[1]消耗&amp;价值&amp;分析'!$C$7:$C$106,'[1]消耗&amp;价值&amp;分析'!$AS$7:$AS$106),2,FALSE)*0.6,0)</f>
        <v>6781.623260246748</v>
      </c>
      <c r="AJ673" s="80">
        <v>1</v>
      </c>
      <c r="AK673" s="80">
        <v>1</v>
      </c>
      <c r="AL673" s="80">
        <v>1</v>
      </c>
    </row>
    <row r="674" spans="1:38">
      <c r="A674" s="33" t="str">
        <f>怪物并表!$R$12</f>
        <v>命运副本</v>
      </c>
      <c r="B674" s="38">
        <v>1</v>
      </c>
      <c r="C674" s="33">
        <v>1703</v>
      </c>
      <c r="D674" s="33">
        <v>1</v>
      </c>
      <c r="E674" s="33">
        <f>VLOOKUP(A674,怪物并表!$R$7:$S$14,2,FALSE)</f>
        <v>6</v>
      </c>
      <c r="F674" s="38">
        <v>0</v>
      </c>
      <c r="G674" s="38">
        <v>3</v>
      </c>
      <c r="H674" s="38">
        <v>1</v>
      </c>
      <c r="I674" s="33">
        <f t="shared" si="77"/>
        <v>603101</v>
      </c>
      <c r="J674" s="33" t="s">
        <v>657</v>
      </c>
      <c r="K674" s="33" t="s">
        <v>662</v>
      </c>
      <c r="L674" s="33">
        <v>0</v>
      </c>
      <c r="M674" s="33">
        <v>1</v>
      </c>
      <c r="N674" s="33"/>
      <c r="O674" s="33">
        <v>1</v>
      </c>
      <c r="P674" s="33">
        <f>VLOOKUP($C674,CHOOSE({1,2},怪物并表!$E$7:$E$1000,怪物并表!$D$7:$D$1000),2,FALSE)</f>
        <v>43</v>
      </c>
      <c r="Q674" s="33" t="s">
        <v>10</v>
      </c>
      <c r="R674" s="33">
        <f>VLOOKUP(Q674,怪物信息配置表!$A$2:$B$118,2,FALSE)</f>
        <v>1001</v>
      </c>
      <c r="S674" s="33">
        <v>1</v>
      </c>
      <c r="T674" s="110">
        <f>VLOOKUP($C674,怪物并表!$E$7:$N$1000,2+($D674-1)*3,FALSE)*S674*AJ674</f>
        <v>72150.087208842742</v>
      </c>
      <c r="U674" s="110">
        <f>VLOOKUP($C674,怪物并表!$E$7:$N$1000,3+($D674-1)*3,FALSE)*S674*AK674</f>
        <v>4301.482001819355</v>
      </c>
      <c r="V674" s="110">
        <f>VLOOKUP($C674,怪物并表!$E$7:$N$1000,4+($D674-1)*3,FALSE)*S674*AL674</f>
        <v>1521.6402069632113</v>
      </c>
      <c r="W674" s="33"/>
      <c r="X674" s="33"/>
      <c r="Y674" s="49">
        <f>VLOOKUP($C674,怪物并表!$E$7:$P$1000,12,FALSE)</f>
        <v>0</v>
      </c>
      <c r="Z674" s="49">
        <f>VLOOKUP($C674,怪物并表!$E$7:$P$1000,11,FALSE)*S674</f>
        <v>2845.404</v>
      </c>
      <c r="AA674" s="33"/>
      <c r="AB674" s="33"/>
      <c r="AC674" s="33"/>
      <c r="AD674" s="33">
        <f t="shared" si="73"/>
        <v>1</v>
      </c>
      <c r="AE674" s="2">
        <f t="shared" si="79"/>
        <v>489.375</v>
      </c>
      <c r="AF674" s="2" t="str">
        <f>IF(ISBLANK(AM674),IF(O674=6,"",IF(O674=1,VLOOKUP(R674,怪物信息配置表!B:H,5,FALSE),IF(O674=2,VLOOKUP(R674,怪物信息配置表!B:H,6,FALSE),IF(OR(O674=3,O674=5),VLOOKUP(R674,怪物信息配置表!B:H,7,FALSE),"")))),AM674)</f>
        <v>ai_monster</v>
      </c>
      <c r="AG674" s="2"/>
      <c r="AH674" s="15">
        <f>2*SUMPRODUCT(T674:V674,$AN$3:$AP$3)+ROUNDDOWN(VLOOKUP(P674,CHOOSE({1,2},'[1]消耗&amp;价值&amp;分析'!$C$7:$C$106,'[1]消耗&amp;价值&amp;分析'!$AS$7:$AS$106),2,FALSE)*0.6,0)</f>
        <v>19354.251394272553</v>
      </c>
      <c r="AJ674" s="80">
        <v>1</v>
      </c>
      <c r="AK674" s="80">
        <v>1</v>
      </c>
      <c r="AL674" s="80">
        <v>1</v>
      </c>
    </row>
    <row r="675" spans="1:38">
      <c r="A675" s="33" t="str">
        <f>怪物并表!$R$12</f>
        <v>命运副本</v>
      </c>
      <c r="B675" s="38">
        <v>2</v>
      </c>
      <c r="C675" s="33">
        <v>1703</v>
      </c>
      <c r="D675" s="33">
        <v>1</v>
      </c>
      <c r="E675" s="33">
        <f>VLOOKUP(A675,怪物并表!$R$7:$S$14,2,FALSE)</f>
        <v>6</v>
      </c>
      <c r="F675" s="38">
        <v>0</v>
      </c>
      <c r="G675" s="38">
        <v>3</v>
      </c>
      <c r="H675" s="38">
        <v>1</v>
      </c>
      <c r="I675" s="33">
        <f t="shared" si="77"/>
        <v>603102</v>
      </c>
      <c r="J675" s="33" t="s">
        <v>658</v>
      </c>
      <c r="K675" s="33" t="s">
        <v>662</v>
      </c>
      <c r="L675" s="33">
        <v>0</v>
      </c>
      <c r="M675" s="33">
        <v>1</v>
      </c>
      <c r="N675" s="33"/>
      <c r="O675" s="33">
        <v>1</v>
      </c>
      <c r="P675" s="33">
        <f>VLOOKUP($C675,CHOOSE({1,2},怪物并表!$E$7:$E$1000,怪物并表!$D$7:$D$1000),2,FALSE)</f>
        <v>43</v>
      </c>
      <c r="Q675" s="33" t="s">
        <v>367</v>
      </c>
      <c r="R675" s="33">
        <f>VLOOKUP(Q675,怪物信息配置表!$A$2:$B$118,2,FALSE)</f>
        <v>1008</v>
      </c>
      <c r="S675" s="33">
        <v>1</v>
      </c>
      <c r="T675" s="110">
        <f>VLOOKUP($C675,怪物并表!$E$7:$N$1000,2+($D675-1)*3,FALSE)*S675*AJ675</f>
        <v>72150.087208842742</v>
      </c>
      <c r="U675" s="110">
        <f>VLOOKUP($C675,怪物并表!$E$7:$N$1000,3+($D675-1)*3,FALSE)*S675*AK675</f>
        <v>4301.482001819355</v>
      </c>
      <c r="V675" s="110">
        <f>VLOOKUP($C675,怪物并表!$E$7:$N$1000,4+($D675-1)*3,FALSE)*S675*AL675</f>
        <v>1521.6402069632113</v>
      </c>
      <c r="W675" s="33"/>
      <c r="X675" s="33"/>
      <c r="Y675" s="49">
        <f>VLOOKUP($C675,怪物并表!$E$7:$P$1000,12,FALSE)</f>
        <v>0</v>
      </c>
      <c r="Z675" s="49">
        <f>VLOOKUP($C675,怪物并表!$E$7:$P$1000,11,FALSE)*S675</f>
        <v>2845.404</v>
      </c>
      <c r="AA675" s="33"/>
      <c r="AB675" s="33"/>
      <c r="AC675" s="33"/>
      <c r="AD675" s="33">
        <f t="shared" si="73"/>
        <v>1</v>
      </c>
      <c r="AE675" s="2">
        <f t="shared" si="79"/>
        <v>489.375</v>
      </c>
      <c r="AF675" s="2" t="str">
        <f>IF(ISBLANK(AM675),IF(O675=6,"",IF(O675=1,VLOOKUP(R675,怪物信息配置表!B:H,5,FALSE),IF(O675=2,VLOOKUP(R675,怪物信息配置表!B:H,6,FALSE),IF(OR(O675=3,O675=5),VLOOKUP(R675,怪物信息配置表!B:H,7,FALSE),"")))),AM675)</f>
        <v>ai_monster</v>
      </c>
      <c r="AG675" s="2"/>
      <c r="AH675" s="15">
        <f>2*SUMPRODUCT(T675:V675,$AN$3:$AP$3)+ROUNDDOWN(VLOOKUP(P675,CHOOSE({1,2},'[1]消耗&amp;价值&amp;分析'!$C$7:$C$106,'[1]消耗&amp;价值&amp;分析'!$AS$7:$AS$106),2,FALSE)*0.6,0)</f>
        <v>19354.251394272553</v>
      </c>
      <c r="AJ675" s="80">
        <v>1</v>
      </c>
      <c r="AK675" s="80">
        <v>1</v>
      </c>
      <c r="AL675" s="80">
        <v>1</v>
      </c>
    </row>
    <row r="676" spans="1:38">
      <c r="A676" s="33" t="str">
        <f>怪物并表!$R$12</f>
        <v>命运副本</v>
      </c>
      <c r="B676" s="38">
        <v>3</v>
      </c>
      <c r="C676" s="33">
        <v>1703</v>
      </c>
      <c r="D676" s="33">
        <v>2</v>
      </c>
      <c r="E676" s="33">
        <f>VLOOKUP(A676,怪物并表!$R$7:$S$14,2,FALSE)</f>
        <v>6</v>
      </c>
      <c r="F676" s="38">
        <v>0</v>
      </c>
      <c r="G676" s="38">
        <v>3</v>
      </c>
      <c r="H676" s="38">
        <v>1</v>
      </c>
      <c r="I676" s="33">
        <f t="shared" si="77"/>
        <v>603103</v>
      </c>
      <c r="J676" s="33" t="s">
        <v>659</v>
      </c>
      <c r="K676" s="33" t="s">
        <v>662</v>
      </c>
      <c r="L676" s="33">
        <v>0</v>
      </c>
      <c r="M676" s="33">
        <v>1</v>
      </c>
      <c r="N676" s="33"/>
      <c r="O676" s="33">
        <v>1</v>
      </c>
      <c r="P676" s="33">
        <f>VLOOKUP($C676,CHOOSE({1,2},怪物并表!$E$7:$E$1000,怪物并表!$D$7:$D$1000),2,FALSE)</f>
        <v>43</v>
      </c>
      <c r="Q676" s="33" t="s">
        <v>14</v>
      </c>
      <c r="R676" s="33">
        <f>VLOOKUP(Q676,怪物信息配置表!$A$2:$B$118,2,FALSE)</f>
        <v>1010</v>
      </c>
      <c r="S676" s="33">
        <v>1</v>
      </c>
      <c r="T676" s="110">
        <f>VLOOKUP($C676,怪物并表!$E$7:$N$1000,2+($D676-1)*3,FALSE)*S676*AJ676</f>
        <v>57720.069767074194</v>
      </c>
      <c r="U676" s="110">
        <f>VLOOKUP($C676,怪物并表!$E$7:$N$1000,3+($D676-1)*3,FALSE)*S676*AK676</f>
        <v>4074.2191625658479</v>
      </c>
      <c r="V676" s="110">
        <f>VLOOKUP($C676,怪物并表!$E$7:$N$1000,4+($D676-1)*3,FALSE)*S676*AL676</f>
        <v>912.98412417792724</v>
      </c>
      <c r="W676" s="33"/>
      <c r="X676" s="33"/>
      <c r="Y676" s="49">
        <f>VLOOKUP($C676,怪物并表!$E$7:$P$1000,12,FALSE)</f>
        <v>0</v>
      </c>
      <c r="Z676" s="49">
        <f>VLOOKUP($C676,怪物并表!$E$7:$P$1000,11,FALSE)*S676</f>
        <v>2845.404</v>
      </c>
      <c r="AA676" s="33"/>
      <c r="AB676" s="33"/>
      <c r="AC676" s="33"/>
      <c r="AD676" s="33">
        <f t="shared" si="73"/>
        <v>0.8</v>
      </c>
      <c r="AE676" s="2">
        <f t="shared" si="79"/>
        <v>591.5</v>
      </c>
      <c r="AF676" s="2" t="str">
        <f>IF(ISBLANK(AM676),IF(O676=6,"",IF(O676=1,VLOOKUP(R676,怪物信息配置表!B:H,5,FALSE),IF(O676=2,VLOOKUP(R676,怪物信息配置表!B:H,6,FALSE),IF(OR(O676=3,O676=5),VLOOKUP(R676,怪物信息配置表!B:H,7,FALSE),"")))),AM676)</f>
        <v>ai_monster</v>
      </c>
      <c r="AG676" s="2"/>
      <c r="AH676" s="15">
        <f>2*SUMPRODUCT(T676:V676,$AN$3:$AP$3)+ROUNDDOWN(VLOOKUP(P676,CHOOSE({1,2},'[1]消耗&amp;价值&amp;分析'!$C$7:$C$106,'[1]消耗&amp;价值&amp;分析'!$AS$7:$AS$106),2,FALSE)*0.6,0)</f>
        <v>16528.012154853484</v>
      </c>
      <c r="AJ676" s="80">
        <v>1</v>
      </c>
      <c r="AK676" s="80">
        <v>1</v>
      </c>
      <c r="AL676" s="80">
        <v>1</v>
      </c>
    </row>
    <row r="677" spans="1:38">
      <c r="A677" s="33" t="str">
        <f>怪物并表!$R$12</f>
        <v>命运副本</v>
      </c>
      <c r="B677" s="38">
        <v>4</v>
      </c>
      <c r="C677" s="33">
        <v>1703</v>
      </c>
      <c r="D677" s="33">
        <v>2</v>
      </c>
      <c r="E677" s="33">
        <f>VLOOKUP(A677,怪物并表!$R$7:$S$14,2,FALSE)</f>
        <v>6</v>
      </c>
      <c r="F677" s="38">
        <v>0</v>
      </c>
      <c r="G677" s="38">
        <v>3</v>
      </c>
      <c r="H677" s="38">
        <v>1</v>
      </c>
      <c r="I677" s="33">
        <f t="shared" si="77"/>
        <v>603104</v>
      </c>
      <c r="J677" s="33" t="s">
        <v>660</v>
      </c>
      <c r="K677" s="33" t="s">
        <v>662</v>
      </c>
      <c r="L677" s="33">
        <v>0</v>
      </c>
      <c r="M677" s="33">
        <v>1</v>
      </c>
      <c r="N677" s="33"/>
      <c r="O677" s="33">
        <v>1</v>
      </c>
      <c r="P677" s="33">
        <f>VLOOKUP($C677,CHOOSE({1,2},怪物并表!$E$7:$E$1000,怪物并表!$D$7:$D$1000),2,FALSE)</f>
        <v>43</v>
      </c>
      <c r="Q677" s="33" t="s">
        <v>9</v>
      </c>
      <c r="R677" s="33">
        <f>VLOOKUP(Q677,怪物信息配置表!$A$2:$B$118,2,FALSE)</f>
        <v>1003</v>
      </c>
      <c r="S677" s="33">
        <v>1</v>
      </c>
      <c r="T677" s="110">
        <f>VLOOKUP($C677,怪物并表!$E$7:$N$1000,2+($D677-1)*3,FALSE)*S677*AJ677</f>
        <v>57720.069767074194</v>
      </c>
      <c r="U677" s="110">
        <f>VLOOKUP($C677,怪物并表!$E$7:$N$1000,3+($D677-1)*3,FALSE)*S677*AK677</f>
        <v>4074.2191625658479</v>
      </c>
      <c r="V677" s="110">
        <f>VLOOKUP($C677,怪物并表!$E$7:$N$1000,4+($D677-1)*3,FALSE)*S677*AL677</f>
        <v>912.98412417792724</v>
      </c>
      <c r="W677" s="33"/>
      <c r="X677" s="33"/>
      <c r="Y677" s="49">
        <f>VLOOKUP($C677,怪物并表!$E$7:$P$1000,12,FALSE)</f>
        <v>0</v>
      </c>
      <c r="Z677" s="49">
        <f>VLOOKUP($C677,怪物并表!$E$7:$P$1000,11,FALSE)*S677</f>
        <v>2845.404</v>
      </c>
      <c r="AA677" s="33"/>
      <c r="AB677" s="33"/>
      <c r="AC677" s="33"/>
      <c r="AD677" s="33">
        <f t="shared" si="73"/>
        <v>0.8</v>
      </c>
      <c r="AE677" s="2">
        <f t="shared" si="79"/>
        <v>591.5</v>
      </c>
      <c r="AF677" s="2" t="str">
        <f>IF(ISBLANK(AM677),IF(O677=6,"",IF(O677=1,VLOOKUP(R677,怪物信息配置表!B:H,5,FALSE),IF(O677=2,VLOOKUP(R677,怪物信息配置表!B:H,6,FALSE),IF(OR(O677=3,O677=5),VLOOKUP(R677,怪物信息配置表!B:H,7,FALSE),"")))),AM677)</f>
        <v>ai_monster_02</v>
      </c>
      <c r="AG677" s="2"/>
      <c r="AH677" s="15">
        <f>2*SUMPRODUCT(T677:V677,$AN$3:$AP$3)+ROUNDDOWN(VLOOKUP(P677,CHOOSE({1,2},'[1]消耗&amp;价值&amp;分析'!$C$7:$C$106,'[1]消耗&amp;价值&amp;分析'!$AS$7:$AS$106),2,FALSE)*0.6,0)</f>
        <v>16528.012154853484</v>
      </c>
      <c r="AJ677" s="80">
        <v>1</v>
      </c>
      <c r="AK677" s="80">
        <v>1</v>
      </c>
      <c r="AL677" s="80">
        <v>1</v>
      </c>
    </row>
    <row r="678" spans="1:38">
      <c r="A678" s="33" t="str">
        <f>怪物并表!$R$12</f>
        <v>命运副本</v>
      </c>
      <c r="B678" s="38">
        <v>5</v>
      </c>
      <c r="C678" s="33">
        <v>1703</v>
      </c>
      <c r="D678" s="33">
        <v>2</v>
      </c>
      <c r="E678" s="33">
        <f>VLOOKUP(A678,怪物并表!$R$7:$S$14,2,FALSE)</f>
        <v>6</v>
      </c>
      <c r="F678" s="38">
        <v>0</v>
      </c>
      <c r="G678" s="38">
        <v>3</v>
      </c>
      <c r="H678" s="38">
        <v>1</v>
      </c>
      <c r="I678" s="33">
        <f t="shared" ref="I678:I737" si="80">SUM(E678*10^5,F678*10^4,G678*10^3,H678*10^2,B678)</f>
        <v>603105</v>
      </c>
      <c r="J678" s="33" t="s">
        <v>661</v>
      </c>
      <c r="K678" s="33" t="s">
        <v>662</v>
      </c>
      <c r="L678" s="33">
        <v>0</v>
      </c>
      <c r="M678" s="33">
        <v>1</v>
      </c>
      <c r="N678" s="33"/>
      <c r="O678" s="33">
        <v>1</v>
      </c>
      <c r="P678" s="33">
        <f>VLOOKUP($C678,CHOOSE({1,2},怪物并表!$E$7:$E$1000,怪物并表!$D$7:$D$1000),2,FALSE)</f>
        <v>43</v>
      </c>
      <c r="Q678" s="33" t="s">
        <v>15</v>
      </c>
      <c r="R678" s="33">
        <f>VLOOKUP(Q678,怪物信息配置表!$A$2:$B$118,2,FALSE)</f>
        <v>1004</v>
      </c>
      <c r="S678" s="33">
        <v>1</v>
      </c>
      <c r="T678" s="110">
        <f>VLOOKUP($C678,怪物并表!$E$7:$N$1000,2+($D678-1)*3,FALSE)*S678*AJ678</f>
        <v>57720.069767074194</v>
      </c>
      <c r="U678" s="110">
        <f>VLOOKUP($C678,怪物并表!$E$7:$N$1000,3+($D678-1)*3,FALSE)*S678*AK678</f>
        <v>4074.2191625658479</v>
      </c>
      <c r="V678" s="110">
        <f>VLOOKUP($C678,怪物并表!$E$7:$N$1000,4+($D678-1)*3,FALSE)*S678*AL678</f>
        <v>912.98412417792724</v>
      </c>
      <c r="W678" s="33"/>
      <c r="X678" s="33"/>
      <c r="Y678" s="49">
        <f>VLOOKUP($C678,怪物并表!$E$7:$P$1000,12,FALSE)</f>
        <v>0</v>
      </c>
      <c r="Z678" s="49">
        <f>VLOOKUP($C678,怪物并表!$E$7:$P$1000,11,FALSE)*S678</f>
        <v>2845.404</v>
      </c>
      <c r="AA678" s="33"/>
      <c r="AB678" s="33"/>
      <c r="AC678" s="33"/>
      <c r="AD678" s="33">
        <f t="shared" si="73"/>
        <v>0.8</v>
      </c>
      <c r="AE678" s="2">
        <f t="shared" si="79"/>
        <v>591.5</v>
      </c>
      <c r="AF678" s="2" t="str">
        <f>IF(ISBLANK(AM678),IF(O678=6,"",IF(O678=1,VLOOKUP(R678,怪物信息配置表!B:H,5,FALSE),IF(O678=2,VLOOKUP(R678,怪物信息配置表!B:H,6,FALSE),IF(OR(O678=3,O678=5),VLOOKUP(R678,怪物信息配置表!B:H,7,FALSE),"")))),AM678)</f>
        <v>ai_monster</v>
      </c>
      <c r="AG678" s="2"/>
      <c r="AH678" s="15">
        <f>2*SUMPRODUCT(T678:V678,$AN$3:$AP$3)+ROUNDDOWN(VLOOKUP(P678,CHOOSE({1,2},'[1]消耗&amp;价值&amp;分析'!$C$7:$C$106,'[1]消耗&amp;价值&amp;分析'!$AS$7:$AS$106),2,FALSE)*0.6,0)</f>
        <v>16528.012154853484</v>
      </c>
      <c r="AJ678" s="80">
        <v>1</v>
      </c>
      <c r="AK678" s="80">
        <v>1</v>
      </c>
      <c r="AL678" s="80">
        <v>1</v>
      </c>
    </row>
    <row r="679" spans="1:38">
      <c r="A679" s="33" t="str">
        <f>怪物并表!$R$12</f>
        <v>命运副本</v>
      </c>
      <c r="B679" s="38">
        <v>1</v>
      </c>
      <c r="C679" s="33">
        <v>1704</v>
      </c>
      <c r="D679" s="33">
        <v>1</v>
      </c>
      <c r="E679" s="33">
        <f>VLOOKUP(A679,怪物并表!$R$7:$S$14,2,FALSE)</f>
        <v>6</v>
      </c>
      <c r="F679" s="38">
        <v>0</v>
      </c>
      <c r="G679" s="38">
        <v>4</v>
      </c>
      <c r="H679" s="38">
        <v>1</v>
      </c>
      <c r="I679" s="33">
        <f t="shared" si="80"/>
        <v>604101</v>
      </c>
      <c r="J679" s="33" t="s">
        <v>657</v>
      </c>
      <c r="K679" s="33" t="s">
        <v>662</v>
      </c>
      <c r="L679" s="33">
        <v>0</v>
      </c>
      <c r="M679" s="33">
        <v>1</v>
      </c>
      <c r="N679" s="33"/>
      <c r="O679" s="33">
        <v>1</v>
      </c>
      <c r="P679" s="33">
        <f>VLOOKUP($C679,CHOOSE({1,2},怪物并表!$E$7:$E$1000,怪物并表!$D$7:$D$1000),2,FALSE)</f>
        <v>52</v>
      </c>
      <c r="Q679" s="33" t="s">
        <v>10</v>
      </c>
      <c r="R679" s="33">
        <f>VLOOKUP(Q679,怪物信息配置表!$A$2:$B$118,2,FALSE)</f>
        <v>1001</v>
      </c>
      <c r="S679" s="33">
        <v>1</v>
      </c>
      <c r="T679" s="110">
        <f>VLOOKUP($C679,怪物并表!$E$7:$N$1000,2+($D679-1)*3,FALSE)*S679*AJ679</f>
        <v>149310.5062429524</v>
      </c>
      <c r="U679" s="110">
        <f>VLOOKUP($C679,怪物并表!$E$7:$N$1000,3+($D679-1)*3,FALSE)*S679*AK679</f>
        <v>9306.5259359470365</v>
      </c>
      <c r="V679" s="110">
        <f>VLOOKUP($C679,怪物并表!$E$7:$N$1000,4+($D679-1)*3,FALSE)*S679*AL679</f>
        <v>2817.0307028227435</v>
      </c>
      <c r="W679" s="33"/>
      <c r="X679" s="33"/>
      <c r="Y679" s="49">
        <f>VLOOKUP($C679,怪物并表!$E$7:$P$1000,12,FALSE)</f>
        <v>0</v>
      </c>
      <c r="Z679" s="49">
        <f>VLOOKUP($C679,怪物并表!$E$7:$P$1000,11,FALSE)*S679</f>
        <v>3369.4560000000001</v>
      </c>
      <c r="AA679" s="33"/>
      <c r="AB679" s="33"/>
      <c r="AC679" s="33"/>
      <c r="AD679" s="33">
        <f t="shared" si="73"/>
        <v>1</v>
      </c>
      <c r="AE679" s="2">
        <f t="shared" si="79"/>
        <v>382.5</v>
      </c>
      <c r="AF679" s="2" t="str">
        <f>IF(ISBLANK(AM679),IF(O679=6,"",IF(O679=1,VLOOKUP(R679,怪物信息配置表!B:H,5,FALSE),IF(O679=2,VLOOKUP(R679,怪物信息配置表!B:H,6,FALSE),IF(OR(O679=3,O679=5),VLOOKUP(R679,怪物信息配置表!B:H,7,FALSE),"")))),AM679)</f>
        <v>ai_monster</v>
      </c>
      <c r="AG679" s="2"/>
      <c r="AH679" s="15">
        <f>2*SUMPRODUCT(T679:V679,$AN$3:$AP$3)+ROUNDDOWN(VLOOKUP(P679,CHOOSE({1,2},'[1]消耗&amp;价值&amp;分析'!$C$7:$C$106,'[1]消耗&amp;价值&amp;分析'!$AS$7:$AS$106),2,FALSE)*0.6,0)</f>
        <v>39402.953776975752</v>
      </c>
      <c r="AJ679" s="80">
        <v>1</v>
      </c>
      <c r="AK679" s="80">
        <v>1</v>
      </c>
      <c r="AL679" s="80">
        <v>1</v>
      </c>
    </row>
    <row r="680" spans="1:38">
      <c r="A680" s="33" t="str">
        <f>怪物并表!$R$12</f>
        <v>命运副本</v>
      </c>
      <c r="B680" s="38">
        <v>2</v>
      </c>
      <c r="C680" s="33">
        <v>1704</v>
      </c>
      <c r="D680" s="33">
        <v>1</v>
      </c>
      <c r="E680" s="33">
        <f>VLOOKUP(A680,怪物并表!$R$7:$S$14,2,FALSE)</f>
        <v>6</v>
      </c>
      <c r="F680" s="38">
        <v>0</v>
      </c>
      <c r="G680" s="38">
        <v>4</v>
      </c>
      <c r="H680" s="38">
        <v>1</v>
      </c>
      <c r="I680" s="33">
        <f t="shared" si="80"/>
        <v>604102</v>
      </c>
      <c r="J680" s="33" t="s">
        <v>658</v>
      </c>
      <c r="K680" s="33" t="s">
        <v>662</v>
      </c>
      <c r="L680" s="33">
        <v>0</v>
      </c>
      <c r="M680" s="33">
        <v>1</v>
      </c>
      <c r="N680" s="33"/>
      <c r="O680" s="33">
        <v>1</v>
      </c>
      <c r="P680" s="33">
        <f>VLOOKUP($C680,CHOOSE({1,2},怪物并表!$E$7:$E$1000,怪物并表!$D$7:$D$1000),2,FALSE)</f>
        <v>52</v>
      </c>
      <c r="Q680" s="33" t="s">
        <v>367</v>
      </c>
      <c r="R680" s="33">
        <f>VLOOKUP(Q680,怪物信息配置表!$A$2:$B$118,2,FALSE)</f>
        <v>1008</v>
      </c>
      <c r="S680" s="33">
        <v>1</v>
      </c>
      <c r="T680" s="110">
        <f>VLOOKUP($C680,怪物并表!$E$7:$N$1000,2+($D680-1)*3,FALSE)*S680*AJ680</f>
        <v>149310.5062429524</v>
      </c>
      <c r="U680" s="110">
        <f>VLOOKUP($C680,怪物并表!$E$7:$N$1000,3+($D680-1)*3,FALSE)*S680*AK680</f>
        <v>9306.5259359470365</v>
      </c>
      <c r="V680" s="110">
        <f>VLOOKUP($C680,怪物并表!$E$7:$N$1000,4+($D680-1)*3,FALSE)*S680*AL680</f>
        <v>2817.0307028227435</v>
      </c>
      <c r="W680" s="33"/>
      <c r="X680" s="33"/>
      <c r="Y680" s="49">
        <f>VLOOKUP($C680,怪物并表!$E$7:$P$1000,12,FALSE)</f>
        <v>0</v>
      </c>
      <c r="Z680" s="49">
        <f>VLOOKUP($C680,怪物并表!$E$7:$P$1000,11,FALSE)*S680</f>
        <v>3369.4560000000001</v>
      </c>
      <c r="AA680" s="33"/>
      <c r="AB680" s="33"/>
      <c r="AC680" s="33"/>
      <c r="AD680" s="33">
        <f t="shared" ref="AD680:AD719" si="81">IF(D680=1,1,IF(D680=2,0.8,1.5))</f>
        <v>1</v>
      </c>
      <c r="AE680" s="2">
        <f t="shared" si="79"/>
        <v>382.5</v>
      </c>
      <c r="AF680" s="2" t="str">
        <f>IF(ISBLANK(AM680),IF(O680=6,"",IF(O680=1,VLOOKUP(R680,怪物信息配置表!B:H,5,FALSE),IF(O680=2,VLOOKUP(R680,怪物信息配置表!B:H,6,FALSE),IF(OR(O680=3,O680=5),VLOOKUP(R680,怪物信息配置表!B:H,7,FALSE),"")))),AM680)</f>
        <v>ai_monster</v>
      </c>
      <c r="AG680" s="2"/>
      <c r="AH680" s="15">
        <f>2*SUMPRODUCT(T680:V680,$AN$3:$AP$3)+ROUNDDOWN(VLOOKUP(P680,CHOOSE({1,2},'[1]消耗&amp;价值&amp;分析'!$C$7:$C$106,'[1]消耗&amp;价值&amp;分析'!$AS$7:$AS$106),2,FALSE)*0.6,0)</f>
        <v>39402.953776975752</v>
      </c>
      <c r="AJ680" s="80">
        <v>1</v>
      </c>
      <c r="AK680" s="80">
        <v>1</v>
      </c>
      <c r="AL680" s="80">
        <v>1</v>
      </c>
    </row>
    <row r="681" spans="1:38">
      <c r="A681" s="33" t="str">
        <f>怪物并表!$R$12</f>
        <v>命运副本</v>
      </c>
      <c r="B681" s="38">
        <v>3</v>
      </c>
      <c r="C681" s="33">
        <v>1704</v>
      </c>
      <c r="D681" s="33">
        <v>2</v>
      </c>
      <c r="E681" s="33">
        <f>VLOOKUP(A681,怪物并表!$R$7:$S$14,2,FALSE)</f>
        <v>6</v>
      </c>
      <c r="F681" s="38">
        <v>0</v>
      </c>
      <c r="G681" s="38">
        <v>4</v>
      </c>
      <c r="H681" s="38">
        <v>1</v>
      </c>
      <c r="I681" s="33">
        <f t="shared" si="80"/>
        <v>604103</v>
      </c>
      <c r="J681" s="33" t="s">
        <v>659</v>
      </c>
      <c r="K681" s="33" t="s">
        <v>662</v>
      </c>
      <c r="L681" s="33">
        <v>0</v>
      </c>
      <c r="M681" s="33">
        <v>1</v>
      </c>
      <c r="N681" s="33"/>
      <c r="O681" s="33">
        <v>1</v>
      </c>
      <c r="P681" s="33">
        <f>VLOOKUP($C681,CHOOSE({1,2},怪物并表!$E$7:$E$1000,怪物并表!$D$7:$D$1000),2,FALSE)</f>
        <v>52</v>
      </c>
      <c r="Q681" s="33" t="s">
        <v>14</v>
      </c>
      <c r="R681" s="33">
        <f>VLOOKUP(Q681,怪物信息配置表!$A$2:$B$118,2,FALSE)</f>
        <v>1010</v>
      </c>
      <c r="S681" s="33">
        <v>1</v>
      </c>
      <c r="T681" s="110">
        <f>VLOOKUP($C681,怪物并表!$E$7:$N$1000,2+($D681-1)*3,FALSE)*S681*AJ681</f>
        <v>119448.40499436192</v>
      </c>
      <c r="U681" s="110">
        <f>VLOOKUP($C681,怪物并表!$E$7:$N$1000,3+($D681-1)*3,FALSE)*S681*AK681</f>
        <v>8751.4774360620322</v>
      </c>
      <c r="V681" s="110">
        <f>VLOOKUP($C681,怪物并表!$E$7:$N$1000,4+($D681-1)*3,FALSE)*S681*AL681</f>
        <v>1690.2184216936466</v>
      </c>
      <c r="W681" s="33"/>
      <c r="X681" s="33"/>
      <c r="Y681" s="49">
        <f>VLOOKUP($C681,怪物并表!$E$7:$P$1000,12,FALSE)</f>
        <v>0</v>
      </c>
      <c r="Z681" s="49">
        <f>VLOOKUP($C681,怪物并表!$E$7:$P$1000,11,FALSE)*S681</f>
        <v>3369.4560000000001</v>
      </c>
      <c r="AA681" s="33"/>
      <c r="AB681" s="33"/>
      <c r="AC681" s="33"/>
      <c r="AD681" s="33">
        <f t="shared" si="81"/>
        <v>0.8</v>
      </c>
      <c r="AE681" s="2">
        <f t="shared" si="79"/>
        <v>506</v>
      </c>
      <c r="AF681" s="2" t="str">
        <f>IF(ISBLANK(AM681),IF(O681=6,"",IF(O681=1,VLOOKUP(R681,怪物信息配置表!B:H,5,FALSE),IF(O681=2,VLOOKUP(R681,怪物信息配置表!B:H,6,FALSE),IF(OR(O681=3,O681=5),VLOOKUP(R681,怪物信息配置表!B:H,7,FALSE),"")))),AM681)</f>
        <v>ai_monster</v>
      </c>
      <c r="AG681" s="2"/>
      <c r="AH681" s="15">
        <f>2*SUMPRODUCT(T681:V681,$AN$3:$AP$3)+ROUNDDOWN(VLOOKUP(P681,CHOOSE({1,2},'[1]消耗&amp;价值&amp;分析'!$C$7:$C$106,'[1]消耗&amp;价值&amp;分析'!$AS$7:$AS$106),2,FALSE)*0.6,0)</f>
        <v>33650.264115060316</v>
      </c>
      <c r="AJ681" s="80">
        <v>1</v>
      </c>
      <c r="AK681" s="80">
        <v>1</v>
      </c>
      <c r="AL681" s="80">
        <v>1</v>
      </c>
    </row>
    <row r="682" spans="1:38">
      <c r="A682" s="33" t="str">
        <f>怪物并表!$R$12</f>
        <v>命运副本</v>
      </c>
      <c r="B682" s="38">
        <v>4</v>
      </c>
      <c r="C682" s="33">
        <v>1704</v>
      </c>
      <c r="D682" s="33">
        <v>2</v>
      </c>
      <c r="E682" s="33">
        <f>VLOOKUP(A682,怪物并表!$R$7:$S$14,2,FALSE)</f>
        <v>6</v>
      </c>
      <c r="F682" s="38">
        <v>0</v>
      </c>
      <c r="G682" s="38">
        <v>4</v>
      </c>
      <c r="H682" s="38">
        <v>1</v>
      </c>
      <c r="I682" s="33">
        <f t="shared" si="80"/>
        <v>604104</v>
      </c>
      <c r="J682" s="33" t="s">
        <v>660</v>
      </c>
      <c r="K682" s="33" t="s">
        <v>662</v>
      </c>
      <c r="L682" s="33">
        <v>0</v>
      </c>
      <c r="M682" s="33">
        <v>1</v>
      </c>
      <c r="N682" s="33"/>
      <c r="O682" s="33">
        <v>1</v>
      </c>
      <c r="P682" s="33">
        <f>VLOOKUP($C682,CHOOSE({1,2},怪物并表!$E$7:$E$1000,怪物并表!$D$7:$D$1000),2,FALSE)</f>
        <v>52</v>
      </c>
      <c r="Q682" s="33" t="s">
        <v>9</v>
      </c>
      <c r="R682" s="33">
        <f>VLOOKUP(Q682,怪物信息配置表!$A$2:$B$118,2,FALSE)</f>
        <v>1003</v>
      </c>
      <c r="S682" s="33">
        <v>1</v>
      </c>
      <c r="T682" s="110">
        <f>VLOOKUP($C682,怪物并表!$E$7:$N$1000,2+($D682-1)*3,FALSE)*S682*AJ682</f>
        <v>119448.40499436192</v>
      </c>
      <c r="U682" s="110">
        <f>VLOOKUP($C682,怪物并表!$E$7:$N$1000,3+($D682-1)*3,FALSE)*S682*AK682</f>
        <v>8751.4774360620322</v>
      </c>
      <c r="V682" s="110">
        <f>VLOOKUP($C682,怪物并表!$E$7:$N$1000,4+($D682-1)*3,FALSE)*S682*AL682</f>
        <v>1690.2184216936466</v>
      </c>
      <c r="W682" s="33"/>
      <c r="X682" s="33"/>
      <c r="Y682" s="49">
        <f>VLOOKUP($C682,怪物并表!$E$7:$P$1000,12,FALSE)</f>
        <v>0</v>
      </c>
      <c r="Z682" s="49">
        <f>VLOOKUP($C682,怪物并表!$E$7:$P$1000,11,FALSE)*S682</f>
        <v>3369.4560000000001</v>
      </c>
      <c r="AA682" s="33"/>
      <c r="AB682" s="33"/>
      <c r="AC682" s="33"/>
      <c r="AD682" s="33">
        <f t="shared" si="81"/>
        <v>0.8</v>
      </c>
      <c r="AE682" s="2">
        <f t="shared" si="79"/>
        <v>506</v>
      </c>
      <c r="AF682" s="2" t="str">
        <f>IF(ISBLANK(AM682),IF(O682=6,"",IF(O682=1,VLOOKUP(R682,怪物信息配置表!B:H,5,FALSE),IF(O682=2,VLOOKUP(R682,怪物信息配置表!B:H,6,FALSE),IF(OR(O682=3,O682=5),VLOOKUP(R682,怪物信息配置表!B:H,7,FALSE),"")))),AM682)</f>
        <v>ai_monster_02</v>
      </c>
      <c r="AG682" s="2"/>
      <c r="AH682" s="15">
        <f>2*SUMPRODUCT(T682:V682,$AN$3:$AP$3)+ROUNDDOWN(VLOOKUP(P682,CHOOSE({1,2},'[1]消耗&amp;价值&amp;分析'!$C$7:$C$106,'[1]消耗&amp;价值&amp;分析'!$AS$7:$AS$106),2,FALSE)*0.6,0)</f>
        <v>33650.264115060316</v>
      </c>
      <c r="AJ682" s="80">
        <v>1</v>
      </c>
      <c r="AK682" s="80">
        <v>1</v>
      </c>
      <c r="AL682" s="80">
        <v>1</v>
      </c>
    </row>
    <row r="683" spans="1:38">
      <c r="A683" s="33" t="str">
        <f>怪物并表!$R$12</f>
        <v>命运副本</v>
      </c>
      <c r="B683" s="38">
        <v>5</v>
      </c>
      <c r="C683" s="33">
        <v>1704</v>
      </c>
      <c r="D683" s="33">
        <v>2</v>
      </c>
      <c r="E683" s="33">
        <f>VLOOKUP(A683,怪物并表!$R$7:$S$14,2,FALSE)</f>
        <v>6</v>
      </c>
      <c r="F683" s="38">
        <v>0</v>
      </c>
      <c r="G683" s="38">
        <v>4</v>
      </c>
      <c r="H683" s="38">
        <v>1</v>
      </c>
      <c r="I683" s="33">
        <f t="shared" si="80"/>
        <v>604105</v>
      </c>
      <c r="J683" s="33" t="s">
        <v>661</v>
      </c>
      <c r="K683" s="33" t="s">
        <v>662</v>
      </c>
      <c r="L683" s="33">
        <v>0</v>
      </c>
      <c r="M683" s="33">
        <v>1</v>
      </c>
      <c r="N683" s="33"/>
      <c r="O683" s="33">
        <v>1</v>
      </c>
      <c r="P683" s="33">
        <f>VLOOKUP($C683,CHOOSE({1,2},怪物并表!$E$7:$E$1000,怪物并表!$D$7:$D$1000),2,FALSE)</f>
        <v>52</v>
      </c>
      <c r="Q683" s="33" t="s">
        <v>15</v>
      </c>
      <c r="R683" s="33">
        <f>VLOOKUP(Q683,怪物信息配置表!$A$2:$B$118,2,FALSE)</f>
        <v>1004</v>
      </c>
      <c r="S683" s="33">
        <v>1</v>
      </c>
      <c r="T683" s="110">
        <f>VLOOKUP($C683,怪物并表!$E$7:$N$1000,2+($D683-1)*3,FALSE)*S683*AJ683</f>
        <v>119448.40499436192</v>
      </c>
      <c r="U683" s="110">
        <f>VLOOKUP($C683,怪物并表!$E$7:$N$1000,3+($D683-1)*3,FALSE)*S683*AK683</f>
        <v>8751.4774360620322</v>
      </c>
      <c r="V683" s="110">
        <f>VLOOKUP($C683,怪物并表!$E$7:$N$1000,4+($D683-1)*3,FALSE)*S683*AL683</f>
        <v>1690.2184216936466</v>
      </c>
      <c r="W683" s="33"/>
      <c r="X683" s="33"/>
      <c r="Y683" s="49">
        <f>VLOOKUP($C683,怪物并表!$E$7:$P$1000,12,FALSE)</f>
        <v>0</v>
      </c>
      <c r="Z683" s="49">
        <f>VLOOKUP($C683,怪物并表!$E$7:$P$1000,11,FALSE)*S683</f>
        <v>3369.4560000000001</v>
      </c>
      <c r="AA683" s="33"/>
      <c r="AB683" s="33"/>
      <c r="AC683" s="33"/>
      <c r="AD683" s="33">
        <f t="shared" si="81"/>
        <v>0.8</v>
      </c>
      <c r="AE683" s="2">
        <f t="shared" si="79"/>
        <v>506</v>
      </c>
      <c r="AF683" s="2" t="str">
        <f>IF(ISBLANK(AM683),IF(O683=6,"",IF(O683=1,VLOOKUP(R683,怪物信息配置表!B:H,5,FALSE),IF(O683=2,VLOOKUP(R683,怪物信息配置表!B:H,6,FALSE),IF(OR(O683=3,O683=5),VLOOKUP(R683,怪物信息配置表!B:H,7,FALSE),"")))),AM683)</f>
        <v>ai_monster</v>
      </c>
      <c r="AG683" s="2"/>
      <c r="AH683" s="15">
        <f>2*SUMPRODUCT(T683:V683,$AN$3:$AP$3)+ROUNDDOWN(VLOOKUP(P683,CHOOSE({1,2},'[1]消耗&amp;价值&amp;分析'!$C$7:$C$106,'[1]消耗&amp;价值&amp;分析'!$AS$7:$AS$106),2,FALSE)*0.6,0)</f>
        <v>33650.264115060316</v>
      </c>
      <c r="AJ683" s="80">
        <v>1</v>
      </c>
      <c r="AK683" s="80">
        <v>1</v>
      </c>
      <c r="AL683" s="80">
        <v>1</v>
      </c>
    </row>
    <row r="684" spans="1:38">
      <c r="A684" s="33" t="str">
        <f>怪物并表!$R$12</f>
        <v>命运副本</v>
      </c>
      <c r="B684" s="38">
        <v>1</v>
      </c>
      <c r="C684" s="33">
        <v>1705</v>
      </c>
      <c r="D684" s="33">
        <v>1</v>
      </c>
      <c r="E684" s="33">
        <f>VLOOKUP(A684,怪物并表!$R$7:$S$14,2,FALSE)</f>
        <v>6</v>
      </c>
      <c r="F684" s="38">
        <v>0</v>
      </c>
      <c r="G684" s="38">
        <v>5</v>
      </c>
      <c r="H684" s="38">
        <v>1</v>
      </c>
      <c r="I684" s="33">
        <f t="shared" si="80"/>
        <v>605101</v>
      </c>
      <c r="J684" s="33" t="s">
        <v>657</v>
      </c>
      <c r="K684" s="33" t="s">
        <v>662</v>
      </c>
      <c r="L684" s="33">
        <v>0</v>
      </c>
      <c r="M684" s="33">
        <v>1</v>
      </c>
      <c r="N684" s="33"/>
      <c r="O684" s="33">
        <v>1</v>
      </c>
      <c r="P684" s="33">
        <f>VLOOKUP($C684,CHOOSE({1,2},怪物并表!$E$7:$E$1000,怪物并表!$D$7:$D$1000),2,FALSE)</f>
        <v>61</v>
      </c>
      <c r="Q684" s="33" t="s">
        <v>10</v>
      </c>
      <c r="R684" s="33">
        <f>VLOOKUP(Q684,怪物信息配置表!$A$2:$B$118,2,FALSE)</f>
        <v>1001</v>
      </c>
      <c r="S684" s="33">
        <v>1</v>
      </c>
      <c r="T684" s="110">
        <f>VLOOKUP($C684,怪物并表!$E$7:$N$1000,2+($D684-1)*3,FALSE)*S684*AJ684</f>
        <v>282007.96997807565</v>
      </c>
      <c r="U684" s="110">
        <f>VLOOKUP($C684,怪物并表!$E$7:$N$1000,3+($D684-1)*3,FALSE)*S684*AK684</f>
        <v>18674.879172206023</v>
      </c>
      <c r="V684" s="110">
        <f>VLOOKUP($C684,怪物并表!$E$7:$N$1000,4+($D684-1)*3,FALSE)*S684*AL684</f>
        <v>4823.332057173915</v>
      </c>
      <c r="W684" s="33"/>
      <c r="X684" s="33"/>
      <c r="Y684" s="49">
        <f>VLOOKUP($C684,怪物并表!$E$7:$P$1000,12,FALSE)</f>
        <v>0</v>
      </c>
      <c r="Z684" s="49">
        <f>VLOOKUP($C684,怪物并表!$E$7:$P$1000,11,FALSE)*S684</f>
        <v>3893.5080000000003</v>
      </c>
      <c r="AA684" s="33"/>
      <c r="AB684" s="33"/>
      <c r="AC684" s="33"/>
      <c r="AD684" s="33">
        <f t="shared" si="81"/>
        <v>1</v>
      </c>
      <c r="AE684" s="2">
        <f t="shared" si="79"/>
        <v>275.625</v>
      </c>
      <c r="AF684" s="2" t="str">
        <f>IF(ISBLANK(AM684),IF(O684=6,"",IF(O684=1,VLOOKUP(R684,怪物信息配置表!B:H,5,FALSE),IF(O684=2,VLOOKUP(R684,怪物信息配置表!B:H,6,FALSE),IF(OR(O684=3,O684=5),VLOOKUP(R684,怪物信息配置表!B:H,7,FALSE),"")))),AM684)</f>
        <v>ai_monster</v>
      </c>
      <c r="AG684" s="2"/>
      <c r="AH684" s="15">
        <f>2*SUMPRODUCT(T684:V684,$AN$3:$AP$3)+ROUNDDOWN(VLOOKUP(P684,CHOOSE({1,2},'[1]消耗&amp;价值&amp;分析'!$C$7:$C$106,'[1]消耗&amp;价值&amp;分析'!$AS$7:$AS$106),2,FALSE)*0.6,0)</f>
        <v>74613.060057005932</v>
      </c>
      <c r="AJ684" s="80">
        <v>1</v>
      </c>
      <c r="AK684" s="80">
        <v>1</v>
      </c>
      <c r="AL684" s="80">
        <v>1</v>
      </c>
    </row>
    <row r="685" spans="1:38">
      <c r="A685" s="33" t="str">
        <f>怪物并表!$R$12</f>
        <v>命运副本</v>
      </c>
      <c r="B685" s="38">
        <v>2</v>
      </c>
      <c r="C685" s="33">
        <v>1705</v>
      </c>
      <c r="D685" s="33">
        <v>1</v>
      </c>
      <c r="E685" s="33">
        <f>VLOOKUP(A685,怪物并表!$R$7:$S$14,2,FALSE)</f>
        <v>6</v>
      </c>
      <c r="F685" s="38">
        <v>0</v>
      </c>
      <c r="G685" s="38">
        <v>5</v>
      </c>
      <c r="H685" s="38">
        <v>1</v>
      </c>
      <c r="I685" s="33">
        <f t="shared" si="80"/>
        <v>605102</v>
      </c>
      <c r="J685" s="33" t="s">
        <v>658</v>
      </c>
      <c r="K685" s="33" t="s">
        <v>662</v>
      </c>
      <c r="L685" s="33">
        <v>0</v>
      </c>
      <c r="M685" s="33">
        <v>1</v>
      </c>
      <c r="N685" s="33"/>
      <c r="O685" s="33">
        <v>1</v>
      </c>
      <c r="P685" s="33">
        <f>VLOOKUP($C685,CHOOSE({1,2},怪物并表!$E$7:$E$1000,怪物并表!$D$7:$D$1000),2,FALSE)</f>
        <v>61</v>
      </c>
      <c r="Q685" s="33" t="s">
        <v>367</v>
      </c>
      <c r="R685" s="33">
        <f>VLOOKUP(Q685,怪物信息配置表!$A$2:$B$118,2,FALSE)</f>
        <v>1008</v>
      </c>
      <c r="S685" s="33">
        <v>1</v>
      </c>
      <c r="T685" s="110">
        <f>VLOOKUP($C685,怪物并表!$E$7:$N$1000,2+($D685-1)*3,FALSE)*S685*AJ685</f>
        <v>282007.96997807565</v>
      </c>
      <c r="U685" s="110">
        <f>VLOOKUP($C685,怪物并表!$E$7:$N$1000,3+($D685-1)*3,FALSE)*S685*AK685</f>
        <v>18674.879172206023</v>
      </c>
      <c r="V685" s="110">
        <f>VLOOKUP($C685,怪物并表!$E$7:$N$1000,4+($D685-1)*3,FALSE)*S685*AL685</f>
        <v>4823.332057173915</v>
      </c>
      <c r="W685" s="33"/>
      <c r="X685" s="33"/>
      <c r="Y685" s="49">
        <f>VLOOKUP($C685,怪物并表!$E$7:$P$1000,12,FALSE)</f>
        <v>0</v>
      </c>
      <c r="Z685" s="49">
        <f>VLOOKUP($C685,怪物并表!$E$7:$P$1000,11,FALSE)*S685</f>
        <v>3893.5080000000003</v>
      </c>
      <c r="AA685" s="33"/>
      <c r="AB685" s="33"/>
      <c r="AC685" s="33"/>
      <c r="AD685" s="33">
        <f t="shared" si="81"/>
        <v>1</v>
      </c>
      <c r="AE685" s="2">
        <f t="shared" si="79"/>
        <v>275.625</v>
      </c>
      <c r="AF685" s="2" t="str">
        <f>IF(ISBLANK(AM685),IF(O685=6,"",IF(O685=1,VLOOKUP(R685,怪物信息配置表!B:H,5,FALSE),IF(O685=2,VLOOKUP(R685,怪物信息配置表!B:H,6,FALSE),IF(OR(O685=3,O685=5),VLOOKUP(R685,怪物信息配置表!B:H,7,FALSE),"")))),AM685)</f>
        <v>ai_monster</v>
      </c>
      <c r="AG685" s="2"/>
      <c r="AH685" s="15">
        <f>2*SUMPRODUCT(T685:V685,$AN$3:$AP$3)+ROUNDDOWN(VLOOKUP(P685,CHOOSE({1,2},'[1]消耗&amp;价值&amp;分析'!$C$7:$C$106,'[1]消耗&amp;价值&amp;分析'!$AS$7:$AS$106),2,FALSE)*0.6,0)</f>
        <v>74613.060057005932</v>
      </c>
      <c r="AJ685" s="80">
        <v>1</v>
      </c>
      <c r="AK685" s="80">
        <v>1</v>
      </c>
      <c r="AL685" s="80">
        <v>1</v>
      </c>
    </row>
    <row r="686" spans="1:38">
      <c r="A686" s="33" t="str">
        <f>怪物并表!$R$12</f>
        <v>命运副本</v>
      </c>
      <c r="B686" s="38">
        <v>3</v>
      </c>
      <c r="C686" s="33">
        <v>1705</v>
      </c>
      <c r="D686" s="33">
        <v>2</v>
      </c>
      <c r="E686" s="33">
        <f>VLOOKUP(A686,怪物并表!$R$7:$S$14,2,FALSE)</f>
        <v>6</v>
      </c>
      <c r="F686" s="38">
        <v>0</v>
      </c>
      <c r="G686" s="38">
        <v>5</v>
      </c>
      <c r="H686" s="38">
        <v>1</v>
      </c>
      <c r="I686" s="33">
        <f t="shared" si="80"/>
        <v>605103</v>
      </c>
      <c r="J686" s="33" t="s">
        <v>659</v>
      </c>
      <c r="K686" s="33" t="s">
        <v>662</v>
      </c>
      <c r="L686" s="33">
        <v>0</v>
      </c>
      <c r="M686" s="33">
        <v>1</v>
      </c>
      <c r="N686" s="33"/>
      <c r="O686" s="33">
        <v>1</v>
      </c>
      <c r="P686" s="33">
        <f>VLOOKUP($C686,CHOOSE({1,2},怪物并表!$E$7:$E$1000,怪物并表!$D$7:$D$1000),2,FALSE)</f>
        <v>61</v>
      </c>
      <c r="Q686" s="33" t="s">
        <v>14</v>
      </c>
      <c r="R686" s="33">
        <f>VLOOKUP(Q686,怪物信息配置表!$A$2:$B$118,2,FALSE)</f>
        <v>1010</v>
      </c>
      <c r="S686" s="33">
        <v>1</v>
      </c>
      <c r="T686" s="110">
        <f>VLOOKUP($C686,怪物并表!$E$7:$N$1000,2+($D686-1)*3,FALSE)*S686*AJ686</f>
        <v>225606.37598246054</v>
      </c>
      <c r="U686" s="110">
        <f>VLOOKUP($C686,怪物并表!$E$7:$N$1000,3+($D686-1)*3,FALSE)*S686*AK686</f>
        <v>17450.502195941943</v>
      </c>
      <c r="V686" s="110">
        <f>VLOOKUP($C686,怪物并表!$E$7:$N$1000,4+($D686-1)*3,FALSE)*S686*AL686</f>
        <v>2893.9992343043486</v>
      </c>
      <c r="W686" s="33"/>
      <c r="X686" s="33"/>
      <c r="Y686" s="49">
        <f>VLOOKUP($C686,怪物并表!$E$7:$P$1000,12,FALSE)</f>
        <v>0</v>
      </c>
      <c r="Z686" s="49">
        <f>VLOOKUP($C686,怪物并表!$E$7:$P$1000,11,FALSE)*S686</f>
        <v>3893.5080000000003</v>
      </c>
      <c r="AA686" s="33"/>
      <c r="AB686" s="33"/>
      <c r="AC686" s="33"/>
      <c r="AD686" s="33">
        <f t="shared" si="81"/>
        <v>0.8</v>
      </c>
      <c r="AE686" s="2">
        <f t="shared" si="79"/>
        <v>420.5</v>
      </c>
      <c r="AF686" s="2" t="str">
        <f>IF(ISBLANK(AM686),IF(O686=6,"",IF(O686=1,VLOOKUP(R686,怪物信息配置表!B:H,5,FALSE),IF(O686=2,VLOOKUP(R686,怪物信息配置表!B:H,6,FALSE),IF(OR(O686=3,O686=5),VLOOKUP(R686,怪物信息配置表!B:H,7,FALSE),"")))),AM686)</f>
        <v>ai_monster</v>
      </c>
      <c r="AG686" s="2"/>
      <c r="AH686" s="15">
        <f>2*SUMPRODUCT(T686:V686,$AN$3:$AP$3)+ROUNDDOWN(VLOOKUP(P686,CHOOSE({1,2},'[1]消耗&amp;价值&amp;分析'!$C$7:$C$106,'[1]消耗&amp;价值&amp;分析'!$AS$7:$AS$106),2,FALSE)*0.6,0)</f>
        <v>63793.512939089429</v>
      </c>
      <c r="AJ686" s="80">
        <v>1</v>
      </c>
      <c r="AK686" s="80">
        <v>1</v>
      </c>
      <c r="AL686" s="80">
        <v>1</v>
      </c>
    </row>
    <row r="687" spans="1:38">
      <c r="A687" s="33" t="str">
        <f>怪物并表!$R$12</f>
        <v>命运副本</v>
      </c>
      <c r="B687" s="38">
        <v>4</v>
      </c>
      <c r="C687" s="33">
        <v>1705</v>
      </c>
      <c r="D687" s="33">
        <v>2</v>
      </c>
      <c r="E687" s="33">
        <f>VLOOKUP(A687,怪物并表!$R$7:$S$14,2,FALSE)</f>
        <v>6</v>
      </c>
      <c r="F687" s="38">
        <v>0</v>
      </c>
      <c r="G687" s="38">
        <v>5</v>
      </c>
      <c r="H687" s="38">
        <v>1</v>
      </c>
      <c r="I687" s="33">
        <f t="shared" si="80"/>
        <v>605104</v>
      </c>
      <c r="J687" s="33" t="s">
        <v>660</v>
      </c>
      <c r="K687" s="33" t="s">
        <v>662</v>
      </c>
      <c r="L687" s="33">
        <v>0</v>
      </c>
      <c r="M687" s="33">
        <v>1</v>
      </c>
      <c r="N687" s="33"/>
      <c r="O687" s="33">
        <v>1</v>
      </c>
      <c r="P687" s="33">
        <f>VLOOKUP($C687,CHOOSE({1,2},怪物并表!$E$7:$E$1000,怪物并表!$D$7:$D$1000),2,FALSE)</f>
        <v>61</v>
      </c>
      <c r="Q687" s="33" t="s">
        <v>9</v>
      </c>
      <c r="R687" s="33">
        <f>VLOOKUP(Q687,怪物信息配置表!$A$2:$B$118,2,FALSE)</f>
        <v>1003</v>
      </c>
      <c r="S687" s="33">
        <v>1</v>
      </c>
      <c r="T687" s="110">
        <f>VLOOKUP($C687,怪物并表!$E$7:$N$1000,2+($D687-1)*3,FALSE)*S687*AJ687</f>
        <v>225606.37598246054</v>
      </c>
      <c r="U687" s="110">
        <f>VLOOKUP($C687,怪物并表!$E$7:$N$1000,3+($D687-1)*3,FALSE)*S687*AK687</f>
        <v>17450.502195941943</v>
      </c>
      <c r="V687" s="110">
        <f>VLOOKUP($C687,怪物并表!$E$7:$N$1000,4+($D687-1)*3,FALSE)*S687*AL687</f>
        <v>2893.9992343043486</v>
      </c>
      <c r="W687" s="33"/>
      <c r="X687" s="33"/>
      <c r="Y687" s="49">
        <f>VLOOKUP($C687,怪物并表!$E$7:$P$1000,12,FALSE)</f>
        <v>0</v>
      </c>
      <c r="Z687" s="49">
        <f>VLOOKUP($C687,怪物并表!$E$7:$P$1000,11,FALSE)*S687</f>
        <v>3893.5080000000003</v>
      </c>
      <c r="AA687" s="33"/>
      <c r="AB687" s="33"/>
      <c r="AC687" s="33"/>
      <c r="AD687" s="33">
        <f t="shared" si="81"/>
        <v>0.8</v>
      </c>
      <c r="AE687" s="2">
        <f t="shared" si="79"/>
        <v>420.5</v>
      </c>
      <c r="AF687" s="2" t="str">
        <f>IF(ISBLANK(AM687),IF(O687=6,"",IF(O687=1,VLOOKUP(R687,怪物信息配置表!B:H,5,FALSE),IF(O687=2,VLOOKUP(R687,怪物信息配置表!B:H,6,FALSE),IF(OR(O687=3,O687=5),VLOOKUP(R687,怪物信息配置表!B:H,7,FALSE),"")))),AM687)</f>
        <v>ai_monster_02</v>
      </c>
      <c r="AG687" s="2"/>
      <c r="AH687" s="15">
        <f>2*SUMPRODUCT(T687:V687,$AN$3:$AP$3)+ROUNDDOWN(VLOOKUP(P687,CHOOSE({1,2},'[1]消耗&amp;价值&amp;分析'!$C$7:$C$106,'[1]消耗&amp;价值&amp;分析'!$AS$7:$AS$106),2,FALSE)*0.6,0)</f>
        <v>63793.512939089429</v>
      </c>
      <c r="AJ687" s="80">
        <v>1</v>
      </c>
      <c r="AK687" s="80">
        <v>1</v>
      </c>
      <c r="AL687" s="80">
        <v>1</v>
      </c>
    </row>
    <row r="688" spans="1:38">
      <c r="A688" s="33" t="str">
        <f>怪物并表!$R$12</f>
        <v>命运副本</v>
      </c>
      <c r="B688" s="38">
        <v>5</v>
      </c>
      <c r="C688" s="33">
        <v>1705</v>
      </c>
      <c r="D688" s="33">
        <v>2</v>
      </c>
      <c r="E688" s="33">
        <f>VLOOKUP(A688,怪物并表!$R$7:$S$14,2,FALSE)</f>
        <v>6</v>
      </c>
      <c r="F688" s="38">
        <v>0</v>
      </c>
      <c r="G688" s="38">
        <v>5</v>
      </c>
      <c r="H688" s="38">
        <v>1</v>
      </c>
      <c r="I688" s="33">
        <f t="shared" si="80"/>
        <v>605105</v>
      </c>
      <c r="J688" s="33" t="s">
        <v>661</v>
      </c>
      <c r="K688" s="33" t="s">
        <v>662</v>
      </c>
      <c r="L688" s="33">
        <v>0</v>
      </c>
      <c r="M688" s="33">
        <v>1</v>
      </c>
      <c r="N688" s="33"/>
      <c r="O688" s="33">
        <v>1</v>
      </c>
      <c r="P688" s="33">
        <f>VLOOKUP($C688,CHOOSE({1,2},怪物并表!$E$7:$E$1000,怪物并表!$D$7:$D$1000),2,FALSE)</f>
        <v>61</v>
      </c>
      <c r="Q688" s="33" t="s">
        <v>15</v>
      </c>
      <c r="R688" s="33">
        <f>VLOOKUP(Q688,怪物信息配置表!$A$2:$B$118,2,FALSE)</f>
        <v>1004</v>
      </c>
      <c r="S688" s="33">
        <v>1</v>
      </c>
      <c r="T688" s="110">
        <f>VLOOKUP($C688,怪物并表!$E$7:$N$1000,2+($D688-1)*3,FALSE)*S688*AJ688</f>
        <v>225606.37598246054</v>
      </c>
      <c r="U688" s="110">
        <f>VLOOKUP($C688,怪物并表!$E$7:$N$1000,3+($D688-1)*3,FALSE)*S688*AK688</f>
        <v>17450.502195941943</v>
      </c>
      <c r="V688" s="110">
        <f>VLOOKUP($C688,怪物并表!$E$7:$N$1000,4+($D688-1)*3,FALSE)*S688*AL688</f>
        <v>2893.9992343043486</v>
      </c>
      <c r="W688" s="33"/>
      <c r="X688" s="33"/>
      <c r="Y688" s="49">
        <f>VLOOKUP($C688,怪物并表!$E$7:$P$1000,12,FALSE)</f>
        <v>0</v>
      </c>
      <c r="Z688" s="49">
        <f>VLOOKUP($C688,怪物并表!$E$7:$P$1000,11,FALSE)*S688</f>
        <v>3893.5080000000003</v>
      </c>
      <c r="AA688" s="33"/>
      <c r="AB688" s="33"/>
      <c r="AC688" s="33"/>
      <c r="AD688" s="33">
        <f t="shared" si="81"/>
        <v>0.8</v>
      </c>
      <c r="AE688" s="2">
        <f t="shared" si="79"/>
        <v>420.5</v>
      </c>
      <c r="AF688" s="2" t="str">
        <f>IF(ISBLANK(AM688),IF(O688=6,"",IF(O688=1,VLOOKUP(R688,怪物信息配置表!B:H,5,FALSE),IF(O688=2,VLOOKUP(R688,怪物信息配置表!B:H,6,FALSE),IF(OR(O688=3,O688=5),VLOOKUP(R688,怪物信息配置表!B:H,7,FALSE),"")))),AM688)</f>
        <v>ai_monster</v>
      </c>
      <c r="AG688" s="2"/>
      <c r="AH688" s="15">
        <f>2*SUMPRODUCT(T688:V688,$AN$3:$AP$3)+ROUNDDOWN(VLOOKUP(P688,CHOOSE({1,2},'[1]消耗&amp;价值&amp;分析'!$C$7:$C$106,'[1]消耗&amp;价值&amp;分析'!$AS$7:$AS$106),2,FALSE)*0.6,0)</f>
        <v>63793.512939089429</v>
      </c>
      <c r="AJ688" s="80">
        <v>1</v>
      </c>
      <c r="AK688" s="80">
        <v>1</v>
      </c>
      <c r="AL688" s="80">
        <v>1</v>
      </c>
    </row>
    <row r="689" spans="1:38">
      <c r="A689" s="33" t="str">
        <f>怪物并表!$R$12</f>
        <v>命运副本</v>
      </c>
      <c r="B689" s="38">
        <v>1</v>
      </c>
      <c r="C689" s="33">
        <v>1706</v>
      </c>
      <c r="D689" s="33">
        <v>1</v>
      </c>
      <c r="E689" s="33">
        <f>VLOOKUP(A689,怪物并表!$R$7:$S$14,2,FALSE)</f>
        <v>6</v>
      </c>
      <c r="F689" s="38">
        <v>0</v>
      </c>
      <c r="G689" s="38">
        <v>6</v>
      </c>
      <c r="H689" s="38">
        <v>1</v>
      </c>
      <c r="I689" s="33">
        <f t="shared" si="80"/>
        <v>606101</v>
      </c>
      <c r="J689" s="33" t="s">
        <v>657</v>
      </c>
      <c r="K689" s="33" t="s">
        <v>662</v>
      </c>
      <c r="L689" s="33">
        <v>0</v>
      </c>
      <c r="M689" s="33">
        <v>1</v>
      </c>
      <c r="N689" s="33"/>
      <c r="O689" s="33">
        <v>1</v>
      </c>
      <c r="P689" s="33">
        <f>VLOOKUP($C689,CHOOSE({1,2},怪物并表!$E$7:$E$1000,怪物并表!$D$7:$D$1000),2,FALSE)</f>
        <v>70</v>
      </c>
      <c r="Q689" s="33" t="s">
        <v>739</v>
      </c>
      <c r="R689" s="33">
        <f>VLOOKUP(Q689,怪物信息配置表!$A$2:$B$118,2,FALSE)</f>
        <v>1001</v>
      </c>
      <c r="S689" s="33">
        <v>1</v>
      </c>
      <c r="T689" s="110">
        <f>VLOOKUP($C689,怪物并表!$E$7:$N$1000,2+($D689-1)*3,FALSE)*S689*AJ689</f>
        <v>496174.13813610701</v>
      </c>
      <c r="U689" s="110">
        <f>VLOOKUP($C689,怪物并表!$E$7:$N$1000,3+($D689-1)*3,FALSE)*S689*AK689</f>
        <v>34204.133179549681</v>
      </c>
      <c r="V689" s="110">
        <f>VLOOKUP($C689,怪物并表!$E$7:$N$1000,4+($D689-1)*3,FALSE)*S689*AL689</f>
        <v>7772.1438762541875</v>
      </c>
      <c r="W689" s="33"/>
      <c r="X689" s="33"/>
      <c r="Y689" s="49">
        <f>VLOOKUP($C689,怪物并表!$E$7:$P$1000,12,FALSE)</f>
        <v>0</v>
      </c>
      <c r="Z689" s="49">
        <f>VLOOKUP($C689,怪物并表!$E$7:$P$1000,11,FALSE)*S689</f>
        <v>4417.5600000000004</v>
      </c>
      <c r="AA689" s="33"/>
      <c r="AB689" s="33"/>
      <c r="AC689" s="33"/>
      <c r="AD689" s="33">
        <f t="shared" si="81"/>
        <v>1</v>
      </c>
      <c r="AE689" s="2">
        <f t="shared" si="79"/>
        <v>168.75</v>
      </c>
      <c r="AF689" s="2" t="str">
        <f>IF(ISBLANK(AM689),IF(O689=6,"",IF(O689=1,VLOOKUP(R689,怪物信息配置表!B:H,5,FALSE),IF(O689=2,VLOOKUP(R689,怪物信息配置表!B:H,6,FALSE),IF(OR(O689=3,O689=5),VLOOKUP(R689,怪物信息配置表!B:H,7,FALSE),"")))),AM689)</f>
        <v>ai_monster</v>
      </c>
      <c r="AG689" s="2"/>
      <c r="AH689" s="15">
        <f>2*SUMPRODUCT(T689:V689,$AN$3:$AP$3)+ROUNDDOWN(VLOOKUP(P689,CHOOSE({1,2},'[1]消耗&amp;价值&amp;分析'!$C$7:$C$106,'[1]消耗&amp;价值&amp;分析'!$AS$7:$AS$106),2,FALSE)*0.6,0)</f>
        <v>131568.48516249628</v>
      </c>
      <c r="AJ689" s="80">
        <v>1</v>
      </c>
      <c r="AK689" s="80">
        <v>1</v>
      </c>
      <c r="AL689" s="80">
        <v>1</v>
      </c>
    </row>
    <row r="690" spans="1:38">
      <c r="A690" s="33" t="str">
        <f>怪物并表!$R$12</f>
        <v>命运副本</v>
      </c>
      <c r="B690" s="38">
        <v>2</v>
      </c>
      <c r="C690" s="33">
        <v>1706</v>
      </c>
      <c r="D690" s="33">
        <v>1</v>
      </c>
      <c r="E690" s="33">
        <f>VLOOKUP(A690,怪物并表!$R$7:$S$14,2,FALSE)</f>
        <v>6</v>
      </c>
      <c r="F690" s="38">
        <v>0</v>
      </c>
      <c r="G690" s="38">
        <v>6</v>
      </c>
      <c r="H690" s="38">
        <v>1</v>
      </c>
      <c r="I690" s="33">
        <f t="shared" si="80"/>
        <v>606102</v>
      </c>
      <c r="J690" s="33" t="s">
        <v>658</v>
      </c>
      <c r="K690" s="33" t="s">
        <v>662</v>
      </c>
      <c r="L690" s="33">
        <v>0</v>
      </c>
      <c r="M690" s="33">
        <v>1</v>
      </c>
      <c r="N690" s="33"/>
      <c r="O690" s="33">
        <v>1</v>
      </c>
      <c r="P690" s="33">
        <f>VLOOKUP($C690,CHOOSE({1,2},怪物并表!$E$7:$E$1000,怪物并表!$D$7:$D$1000),2,FALSE)</f>
        <v>70</v>
      </c>
      <c r="Q690" s="33" t="s">
        <v>367</v>
      </c>
      <c r="R690" s="33">
        <f>VLOOKUP(Q690,怪物信息配置表!$A$2:$B$118,2,FALSE)</f>
        <v>1008</v>
      </c>
      <c r="S690" s="33">
        <v>1</v>
      </c>
      <c r="T690" s="110">
        <f>VLOOKUP($C690,怪物并表!$E$7:$N$1000,2+($D690-1)*3,FALSE)*S690*AJ690</f>
        <v>496174.13813610701</v>
      </c>
      <c r="U690" s="110">
        <f>VLOOKUP($C690,怪物并表!$E$7:$N$1000,3+($D690-1)*3,FALSE)*S690*AK690</f>
        <v>34204.133179549681</v>
      </c>
      <c r="V690" s="110">
        <f>VLOOKUP($C690,怪物并表!$E$7:$N$1000,4+($D690-1)*3,FALSE)*S690*AL690</f>
        <v>7772.1438762541875</v>
      </c>
      <c r="W690" s="33"/>
      <c r="X690" s="33"/>
      <c r="Y690" s="49">
        <f>VLOOKUP($C690,怪物并表!$E$7:$P$1000,12,FALSE)</f>
        <v>0</v>
      </c>
      <c r="Z690" s="49">
        <f>VLOOKUP($C690,怪物并表!$E$7:$P$1000,11,FALSE)*S690</f>
        <v>4417.5600000000004</v>
      </c>
      <c r="AA690" s="33"/>
      <c r="AB690" s="33"/>
      <c r="AC690" s="33"/>
      <c r="AD690" s="33">
        <f t="shared" si="81"/>
        <v>1</v>
      </c>
      <c r="AE690" s="2">
        <f t="shared" si="79"/>
        <v>168.75</v>
      </c>
      <c r="AF690" s="2" t="str">
        <f>IF(ISBLANK(AM690),IF(O690=6,"",IF(O690=1,VLOOKUP(R690,怪物信息配置表!B:H,5,FALSE),IF(O690=2,VLOOKUP(R690,怪物信息配置表!B:H,6,FALSE),IF(OR(O690=3,O690=5),VLOOKUP(R690,怪物信息配置表!B:H,7,FALSE),"")))),AM690)</f>
        <v>ai_monster</v>
      </c>
      <c r="AG690" s="2"/>
      <c r="AH690" s="15">
        <f>2*SUMPRODUCT(T690:V690,$AN$3:$AP$3)+ROUNDDOWN(VLOOKUP(P690,CHOOSE({1,2},'[1]消耗&amp;价值&amp;分析'!$C$7:$C$106,'[1]消耗&amp;价值&amp;分析'!$AS$7:$AS$106),2,FALSE)*0.6,0)</f>
        <v>131568.48516249628</v>
      </c>
      <c r="AJ690" s="80">
        <v>1</v>
      </c>
      <c r="AK690" s="80">
        <v>1</v>
      </c>
      <c r="AL690" s="80">
        <v>1</v>
      </c>
    </row>
    <row r="691" spans="1:38">
      <c r="A691" s="33" t="str">
        <f>怪物并表!$R$12</f>
        <v>命运副本</v>
      </c>
      <c r="B691" s="38">
        <v>3</v>
      </c>
      <c r="C691" s="33">
        <v>1706</v>
      </c>
      <c r="D691" s="33">
        <v>2</v>
      </c>
      <c r="E691" s="33">
        <f>VLOOKUP(A691,怪物并表!$R$7:$S$14,2,FALSE)</f>
        <v>6</v>
      </c>
      <c r="F691" s="38">
        <v>0</v>
      </c>
      <c r="G691" s="38">
        <v>6</v>
      </c>
      <c r="H691" s="38">
        <v>1</v>
      </c>
      <c r="I691" s="33">
        <f t="shared" si="80"/>
        <v>606103</v>
      </c>
      <c r="J691" s="33" t="s">
        <v>659</v>
      </c>
      <c r="K691" s="33" t="s">
        <v>662</v>
      </c>
      <c r="L691" s="33">
        <v>0</v>
      </c>
      <c r="M691" s="33">
        <v>1</v>
      </c>
      <c r="N691" s="33"/>
      <c r="O691" s="33">
        <v>1</v>
      </c>
      <c r="P691" s="33">
        <f>VLOOKUP($C691,CHOOSE({1,2},怪物并表!$E$7:$E$1000,怪物并表!$D$7:$D$1000),2,FALSE)</f>
        <v>70</v>
      </c>
      <c r="Q691" s="33" t="s">
        <v>14</v>
      </c>
      <c r="R691" s="33">
        <f>VLOOKUP(Q691,怪物信息配置表!$A$2:$B$118,2,FALSE)</f>
        <v>1010</v>
      </c>
      <c r="S691" s="33">
        <v>1</v>
      </c>
      <c r="T691" s="110">
        <f>VLOOKUP($C691,怪物并表!$E$7:$N$1000,2+($D691-1)*3,FALSE)*S691*AJ691</f>
        <v>396939.31050888565</v>
      </c>
      <c r="U691" s="110">
        <f>VLOOKUP($C691,怪物并表!$E$7:$N$1000,3+($D691-1)*3,FALSE)*S691*AK691</f>
        <v>31820.005711761936</v>
      </c>
      <c r="V691" s="110">
        <f>VLOOKUP($C691,怪物并表!$E$7:$N$1000,4+($D691-1)*3,FALSE)*S691*AL691</f>
        <v>4663.2863257525132</v>
      </c>
      <c r="W691" s="33"/>
      <c r="X691" s="33"/>
      <c r="Y691" s="49">
        <f>VLOOKUP($C691,怪物并表!$E$7:$P$1000,12,FALSE)</f>
        <v>0</v>
      </c>
      <c r="Z691" s="49">
        <f>VLOOKUP($C691,怪物并表!$E$7:$P$1000,11,FALSE)*S691</f>
        <v>4417.5600000000004</v>
      </c>
      <c r="AA691" s="33"/>
      <c r="AB691" s="33"/>
      <c r="AC691" s="33"/>
      <c r="AD691" s="33">
        <f t="shared" si="81"/>
        <v>0.8</v>
      </c>
      <c r="AE691" s="2">
        <f t="shared" si="79"/>
        <v>335</v>
      </c>
      <c r="AF691" s="2" t="str">
        <f>IF(ISBLANK(AM691),IF(O691=6,"",IF(O691=1,VLOOKUP(R691,怪物信息配置表!B:H,5,FALSE),IF(O691=2,VLOOKUP(R691,怪物信息配置表!B:H,6,FALSE),IF(OR(O691=3,O691=5),VLOOKUP(R691,怪物信息配置表!B:H,7,FALSE),"")))),AM691)</f>
        <v>ai_monster</v>
      </c>
      <c r="AG691" s="2"/>
      <c r="AH691" s="15">
        <f>2*SUMPRODUCT(T691:V691,$AN$3:$AP$3)+ROUNDDOWN(VLOOKUP(P691,CHOOSE({1,2},'[1]消耗&amp;价值&amp;分析'!$C$7:$C$106,'[1]消耗&amp;价值&amp;分析'!$AS$7:$AS$106),2,FALSE)*0.6,0)</f>
        <v>112643.72891573975</v>
      </c>
      <c r="AJ691" s="80">
        <v>1</v>
      </c>
      <c r="AK691" s="80">
        <v>1</v>
      </c>
      <c r="AL691" s="80">
        <v>1</v>
      </c>
    </row>
    <row r="692" spans="1:38">
      <c r="A692" s="33" t="str">
        <f>怪物并表!$R$12</f>
        <v>命运副本</v>
      </c>
      <c r="B692" s="38">
        <v>4</v>
      </c>
      <c r="C692" s="33">
        <v>1706</v>
      </c>
      <c r="D692" s="33">
        <v>2</v>
      </c>
      <c r="E692" s="33">
        <f>VLOOKUP(A692,怪物并表!$R$7:$S$14,2,FALSE)</f>
        <v>6</v>
      </c>
      <c r="F692" s="38">
        <v>0</v>
      </c>
      <c r="G692" s="38">
        <v>6</v>
      </c>
      <c r="H692" s="38">
        <v>1</v>
      </c>
      <c r="I692" s="33">
        <f t="shared" si="80"/>
        <v>606104</v>
      </c>
      <c r="J692" s="33" t="s">
        <v>660</v>
      </c>
      <c r="K692" s="33" t="s">
        <v>662</v>
      </c>
      <c r="L692" s="33">
        <v>0</v>
      </c>
      <c r="M692" s="33">
        <v>1</v>
      </c>
      <c r="N692" s="33"/>
      <c r="O692" s="33">
        <v>1</v>
      </c>
      <c r="P692" s="33">
        <f>VLOOKUP($C692,CHOOSE({1,2},怪物并表!$E$7:$E$1000,怪物并表!$D$7:$D$1000),2,FALSE)</f>
        <v>70</v>
      </c>
      <c r="Q692" s="33" t="s">
        <v>9</v>
      </c>
      <c r="R692" s="33">
        <f>VLOOKUP(Q692,怪物信息配置表!$A$2:$B$118,2,FALSE)</f>
        <v>1003</v>
      </c>
      <c r="S692" s="33">
        <v>1</v>
      </c>
      <c r="T692" s="110">
        <f>VLOOKUP($C692,怪物并表!$E$7:$N$1000,2+($D692-1)*3,FALSE)*S692*AJ692</f>
        <v>396939.31050888565</v>
      </c>
      <c r="U692" s="110">
        <f>VLOOKUP($C692,怪物并表!$E$7:$N$1000,3+($D692-1)*3,FALSE)*S692*AK692</f>
        <v>31820.005711761936</v>
      </c>
      <c r="V692" s="110">
        <f>VLOOKUP($C692,怪物并表!$E$7:$N$1000,4+($D692-1)*3,FALSE)*S692*AL692</f>
        <v>4663.2863257525132</v>
      </c>
      <c r="W692" s="33"/>
      <c r="X692" s="33"/>
      <c r="Y692" s="49">
        <f>VLOOKUP($C692,怪物并表!$E$7:$P$1000,12,FALSE)</f>
        <v>0</v>
      </c>
      <c r="Z692" s="49">
        <f>VLOOKUP($C692,怪物并表!$E$7:$P$1000,11,FALSE)*S692</f>
        <v>4417.5600000000004</v>
      </c>
      <c r="AA692" s="33"/>
      <c r="AB692" s="33"/>
      <c r="AC692" s="33"/>
      <c r="AD692" s="33">
        <f t="shared" si="81"/>
        <v>0.8</v>
      </c>
      <c r="AE692" s="2">
        <f t="shared" si="79"/>
        <v>335</v>
      </c>
      <c r="AF692" s="2" t="str">
        <f>IF(ISBLANK(AM692),IF(O692=6,"",IF(O692=1,VLOOKUP(R692,怪物信息配置表!B:H,5,FALSE),IF(O692=2,VLOOKUP(R692,怪物信息配置表!B:H,6,FALSE),IF(OR(O692=3,O692=5),VLOOKUP(R692,怪物信息配置表!B:H,7,FALSE),"")))),AM692)</f>
        <v>ai_monster_02</v>
      </c>
      <c r="AG692" s="2"/>
      <c r="AH692" s="15">
        <f>2*SUMPRODUCT(T692:V692,$AN$3:$AP$3)+ROUNDDOWN(VLOOKUP(P692,CHOOSE({1,2},'[1]消耗&amp;价值&amp;分析'!$C$7:$C$106,'[1]消耗&amp;价值&amp;分析'!$AS$7:$AS$106),2,FALSE)*0.6,0)</f>
        <v>112643.72891573975</v>
      </c>
      <c r="AJ692" s="80">
        <v>1</v>
      </c>
      <c r="AK692" s="80">
        <v>1</v>
      </c>
      <c r="AL692" s="80">
        <v>1</v>
      </c>
    </row>
    <row r="693" spans="1:38">
      <c r="A693" s="33" t="str">
        <f>怪物并表!$R$12</f>
        <v>命运副本</v>
      </c>
      <c r="B693" s="38">
        <v>5</v>
      </c>
      <c r="C693" s="33">
        <v>1706</v>
      </c>
      <c r="D693" s="33">
        <v>2</v>
      </c>
      <c r="E693" s="33">
        <f>VLOOKUP(A693,怪物并表!$R$7:$S$14,2,FALSE)</f>
        <v>6</v>
      </c>
      <c r="F693" s="38">
        <v>0</v>
      </c>
      <c r="G693" s="38">
        <v>6</v>
      </c>
      <c r="H693" s="38">
        <v>1</v>
      </c>
      <c r="I693" s="33">
        <f t="shared" si="80"/>
        <v>606105</v>
      </c>
      <c r="J693" s="33" t="s">
        <v>661</v>
      </c>
      <c r="K693" s="33" t="s">
        <v>662</v>
      </c>
      <c r="L693" s="33">
        <v>0</v>
      </c>
      <c r="M693" s="33">
        <v>1</v>
      </c>
      <c r="N693" s="33"/>
      <c r="O693" s="33">
        <v>1</v>
      </c>
      <c r="P693" s="33">
        <f>VLOOKUP($C693,CHOOSE({1,2},怪物并表!$E$7:$E$1000,怪物并表!$D$7:$D$1000),2,FALSE)</f>
        <v>70</v>
      </c>
      <c r="Q693" s="33" t="s">
        <v>15</v>
      </c>
      <c r="R693" s="33">
        <f>VLOOKUP(Q693,怪物信息配置表!$A$2:$B$118,2,FALSE)</f>
        <v>1004</v>
      </c>
      <c r="S693" s="33">
        <v>1</v>
      </c>
      <c r="T693" s="110">
        <f>VLOOKUP($C693,怪物并表!$E$7:$N$1000,2+($D693-1)*3,FALSE)*S693*AJ693</f>
        <v>396939.31050888565</v>
      </c>
      <c r="U693" s="110">
        <f>VLOOKUP($C693,怪物并表!$E$7:$N$1000,3+($D693-1)*3,FALSE)*S693*AK693</f>
        <v>31820.005711761936</v>
      </c>
      <c r="V693" s="110">
        <f>VLOOKUP($C693,怪物并表!$E$7:$N$1000,4+($D693-1)*3,FALSE)*S693*AL693</f>
        <v>4663.2863257525132</v>
      </c>
      <c r="W693" s="33"/>
      <c r="X693" s="33"/>
      <c r="Y693" s="49">
        <f>VLOOKUP($C693,怪物并表!$E$7:$P$1000,12,FALSE)</f>
        <v>0</v>
      </c>
      <c r="Z693" s="49">
        <f>VLOOKUP($C693,怪物并表!$E$7:$P$1000,11,FALSE)*S693</f>
        <v>4417.5600000000004</v>
      </c>
      <c r="AA693" s="33"/>
      <c r="AB693" s="33"/>
      <c r="AC693" s="33"/>
      <c r="AD693" s="33">
        <f t="shared" si="81"/>
        <v>0.8</v>
      </c>
      <c r="AE693" s="2">
        <f t="shared" si="79"/>
        <v>335</v>
      </c>
      <c r="AF693" s="2" t="str">
        <f>IF(ISBLANK(AM693),IF(O693=6,"",IF(O693=1,VLOOKUP(R693,怪物信息配置表!B:H,5,FALSE),IF(O693=2,VLOOKUP(R693,怪物信息配置表!B:H,6,FALSE),IF(OR(O693=3,O693=5),VLOOKUP(R693,怪物信息配置表!B:H,7,FALSE),"")))),AM693)</f>
        <v>ai_monster</v>
      </c>
      <c r="AG693" s="2"/>
      <c r="AH693" s="15">
        <f>2*SUMPRODUCT(T693:V693,$AN$3:$AP$3)+ROUNDDOWN(VLOOKUP(P693,CHOOSE({1,2},'[1]消耗&amp;价值&amp;分析'!$C$7:$C$106,'[1]消耗&amp;价值&amp;分析'!$AS$7:$AS$106),2,FALSE)*0.6,0)</f>
        <v>112643.72891573975</v>
      </c>
      <c r="AJ693" s="80">
        <v>1</v>
      </c>
      <c r="AK693" s="80">
        <v>1</v>
      </c>
      <c r="AL693" s="80">
        <v>1</v>
      </c>
    </row>
    <row r="694" spans="1:38">
      <c r="A694" s="33" t="str">
        <f>怪物并表!$R$13</f>
        <v>BOSS副本</v>
      </c>
      <c r="B694" s="38">
        <v>1</v>
      </c>
      <c r="C694" s="33">
        <f>1500+H694</f>
        <v>1501</v>
      </c>
      <c r="D694" s="33">
        <v>1</v>
      </c>
      <c r="E694" s="33">
        <f>VLOOKUP(A694,怪物并表!$R$7:$S$14,2,FALSE)</f>
        <v>7</v>
      </c>
      <c r="F694" s="38">
        <v>0</v>
      </c>
      <c r="G694" s="38">
        <v>1</v>
      </c>
      <c r="H694" s="38">
        <v>1</v>
      </c>
      <c r="I694" s="33">
        <f t="shared" si="80"/>
        <v>701101</v>
      </c>
      <c r="J694" s="33" t="s">
        <v>744</v>
      </c>
      <c r="K694" s="33"/>
      <c r="L694" s="33">
        <v>1</v>
      </c>
      <c r="M694" s="33">
        <v>1.2</v>
      </c>
      <c r="N694" s="33"/>
      <c r="O694" s="33">
        <v>3</v>
      </c>
      <c r="P694" s="33">
        <f>VLOOKUP($C694,CHOOSE({1,2},怪物并表!$E$7:$E$1000,怪物并表!$D$7:$D$1000),2,FALSE)</f>
        <v>1</v>
      </c>
      <c r="Q694" s="33" t="s">
        <v>7</v>
      </c>
      <c r="R694" s="33">
        <f>VLOOKUP(Q694,怪物信息配置表!$A$2:$B$118,2,FALSE)</f>
        <v>1002</v>
      </c>
      <c r="S694" s="33">
        <v>1</v>
      </c>
      <c r="T694" s="110">
        <f>VLOOKUP($C694,怪物并表!$E$7:$N$1000,2+($D694-1)*3,FALSE)*S694*AJ694</f>
        <v>267.49800000000005</v>
      </c>
      <c r="U694" s="110">
        <f>VLOOKUP($C694,怪物并表!$E$7:$N$1000,3+($D694-1)*3,FALSE)*S694*AK694</f>
        <v>26.106519114688133</v>
      </c>
      <c r="V694" s="110">
        <f>VLOOKUP($C694,怪物并表!$E$7:$N$1000,4+($D694-1)*3,FALSE)*S694*AL694</f>
        <v>21.120000000000005</v>
      </c>
      <c r="W694" s="33"/>
      <c r="X694" s="33"/>
      <c r="Y694" s="49">
        <f>VLOOKUP($C694,怪物并表!$E$7:$P$1000,12,FALSE)</f>
        <v>0</v>
      </c>
      <c r="Z694" s="49">
        <f>VLOOKUP($C694,怪物并表!$E$7:$P$1000,11,FALSE)*S694</f>
        <v>399.82799999999997</v>
      </c>
      <c r="AA694" s="33"/>
      <c r="AB694" s="33"/>
      <c r="AC694" s="33"/>
      <c r="AD694" s="33">
        <f t="shared" si="81"/>
        <v>1</v>
      </c>
      <c r="AE694" s="2">
        <v>200</v>
      </c>
      <c r="AF694" s="2" t="str">
        <f>IF(ISBLANK(AM694),IF(O694=6,"",IF(O694=1,VLOOKUP(R694,怪物信息配置表!B:H,5,FALSE),IF(O694=2,VLOOKUP(R694,怪物信息配置表!B:H,6,FALSE),IF(OR(O694=3,O694=5),VLOOKUP(R694,怪物信息配置表!B:H,7,FALSE),"")))),AM694)</f>
        <v>1002_nvjiubao_BOSS</v>
      </c>
      <c r="AG694" s="2"/>
      <c r="AH694" s="15">
        <f>SUMPRODUCT(T694:V694,$AN$3:$AP$3)+ROUNDDOWN(VLOOKUP(P694,CHOOSE({1,2},'[1]消耗&amp;价值&amp;分析'!$C$7:$C$106,'[1]消耗&amp;价值&amp;分析'!$AS$7:$AS$106),2,FALSE)*0.6,0)</f>
        <v>57.926439114688137</v>
      </c>
      <c r="AJ694" s="80">
        <v>1</v>
      </c>
      <c r="AK694" s="80">
        <v>1</v>
      </c>
      <c r="AL694" s="80">
        <v>1</v>
      </c>
    </row>
    <row r="695" spans="1:38">
      <c r="A695" s="33" t="str">
        <f>怪物并表!$R$13</f>
        <v>BOSS副本</v>
      </c>
      <c r="B695" s="38">
        <v>2</v>
      </c>
      <c r="C695" s="33">
        <f t="shared" ref="C695:C707" si="82">1500+H695</f>
        <v>1502</v>
      </c>
      <c r="D695" s="33">
        <v>1</v>
      </c>
      <c r="E695" s="33">
        <f>VLOOKUP(A695,怪物并表!$R$7:$S$14,2,FALSE)</f>
        <v>7</v>
      </c>
      <c r="F695" s="38">
        <v>0</v>
      </c>
      <c r="G695" s="38">
        <v>1</v>
      </c>
      <c r="H695" s="38">
        <v>2</v>
      </c>
      <c r="I695" s="33">
        <f t="shared" si="80"/>
        <v>701202</v>
      </c>
      <c r="J695" s="33" t="s">
        <v>737</v>
      </c>
      <c r="K695" s="33"/>
      <c r="L695" s="33">
        <v>0</v>
      </c>
      <c r="M695" s="33">
        <v>1.2</v>
      </c>
      <c r="N695" s="33" t="s">
        <v>218</v>
      </c>
      <c r="O695" s="33">
        <v>3</v>
      </c>
      <c r="P695" s="33">
        <f>VLOOKUP($C695,CHOOSE({1,2},怪物并表!$E$7:$E$1000,怪物并表!$D$7:$D$1000),2,FALSE)</f>
        <v>1</v>
      </c>
      <c r="Q695" s="33" t="s">
        <v>14</v>
      </c>
      <c r="R695" s="33">
        <f>VLOOKUP(Q695,怪物信息配置表!$A$2:$B$118,2,FALSE)</f>
        <v>1010</v>
      </c>
      <c r="S695" s="33">
        <v>1</v>
      </c>
      <c r="T695" s="110">
        <f>VLOOKUP($C695,怪物并表!$E$7:$N$1000,2+($D695-1)*3,FALSE)*S695*AJ695</f>
        <v>267.49800000000005</v>
      </c>
      <c r="U695" s="110">
        <f>VLOOKUP($C695,怪物并表!$E$7:$N$1000,3+($D695-1)*3,FALSE)*S695*AK695</f>
        <v>26.106519114688133</v>
      </c>
      <c r="V695" s="110">
        <f>VLOOKUP($C695,怪物并表!$E$7:$N$1000,4+($D695-1)*3,FALSE)*S695*AL695</f>
        <v>21.120000000000005</v>
      </c>
      <c r="W695" s="33"/>
      <c r="X695" s="33"/>
      <c r="Y695" s="49">
        <f>VLOOKUP($C695,怪物并表!$E$7:$P$1000,12,FALSE)</f>
        <v>0</v>
      </c>
      <c r="Z695" s="49">
        <f>VLOOKUP($C695,怪物并表!$E$7:$P$1000,11,FALSE)*S695</f>
        <v>399.82799999999997</v>
      </c>
      <c r="AA695" s="33"/>
      <c r="AB695" s="33"/>
      <c r="AC695" s="33"/>
      <c r="AD695" s="33">
        <f t="shared" si="81"/>
        <v>1</v>
      </c>
      <c r="AE695" s="2">
        <v>200</v>
      </c>
      <c r="AF695" s="2" t="str">
        <f>IF(ISBLANK(AM695),IF(O695=6,"",IF(O695=1,VLOOKUP(R695,怪物信息配置表!B:H,5,FALSE),IF(O695=2,VLOOKUP(R695,怪物信息配置表!B:H,6,FALSE),IF(OR(O695=3,O695=5),VLOOKUP(R695,怪物信息配置表!B:H,7,FALSE),"")))),AM695)</f>
        <v>1010_gunnan_BOSS</v>
      </c>
      <c r="AG695" s="2"/>
      <c r="AH695" s="15">
        <f>SUMPRODUCT(T695:V695,$AN$3:$AP$3)+ROUNDDOWN(VLOOKUP(P695,CHOOSE({1,2},'[1]消耗&amp;价值&amp;分析'!$C$7:$C$106,'[1]消耗&amp;价值&amp;分析'!$AS$7:$AS$106),2,FALSE)*0.6,0)</f>
        <v>57.926439114688137</v>
      </c>
      <c r="AJ695" s="80">
        <v>1</v>
      </c>
      <c r="AK695" s="80">
        <v>1</v>
      </c>
      <c r="AL695" s="80">
        <v>1</v>
      </c>
    </row>
    <row r="696" spans="1:38">
      <c r="A696" s="33" t="str">
        <f>怪物并表!$R$13</f>
        <v>BOSS副本</v>
      </c>
      <c r="B696" s="38">
        <v>3</v>
      </c>
      <c r="C696" s="33">
        <f t="shared" si="82"/>
        <v>1503</v>
      </c>
      <c r="D696" s="33">
        <v>1</v>
      </c>
      <c r="E696" s="33">
        <f>VLOOKUP(A696,怪物并表!$R$7:$S$14,2,FALSE)</f>
        <v>7</v>
      </c>
      <c r="F696" s="38">
        <v>0</v>
      </c>
      <c r="G696" s="38">
        <v>1</v>
      </c>
      <c r="H696" s="38">
        <v>3</v>
      </c>
      <c r="I696" s="33">
        <f t="shared" si="80"/>
        <v>701303</v>
      </c>
      <c r="J696" s="33" t="s">
        <v>16</v>
      </c>
      <c r="K696" s="33"/>
      <c r="L696" s="33">
        <v>0</v>
      </c>
      <c r="M696" s="33">
        <v>1.2</v>
      </c>
      <c r="N696" s="33"/>
      <c r="O696" s="33">
        <v>3</v>
      </c>
      <c r="P696" s="33">
        <f>VLOOKUP($C696,CHOOSE({1,2},怪物并表!$E$7:$E$1000,怪物并表!$D$7:$D$1000),2,FALSE)</f>
        <v>1</v>
      </c>
      <c r="Q696" s="33" t="s">
        <v>8</v>
      </c>
      <c r="R696" s="33">
        <f>VLOOKUP(Q696,怪物信息配置表!$A$2:$B$118,2,FALSE)</f>
        <v>1101</v>
      </c>
      <c r="S696" s="33">
        <v>1</v>
      </c>
      <c r="T696" s="110">
        <f>VLOOKUP($C696,怪物并表!$E$7:$N$1000,2+($D696-1)*3,FALSE)*S696*AJ696</f>
        <v>267.49800000000005</v>
      </c>
      <c r="U696" s="110">
        <f>VLOOKUP($C696,怪物并表!$E$7:$N$1000,3+($D696-1)*3,FALSE)*S696*AK696</f>
        <v>26.106519114688133</v>
      </c>
      <c r="V696" s="110">
        <f>VLOOKUP($C696,怪物并表!$E$7:$N$1000,4+($D696-1)*3,FALSE)*S696*AL696</f>
        <v>21.120000000000005</v>
      </c>
      <c r="W696" s="33"/>
      <c r="X696" s="33"/>
      <c r="Y696" s="49">
        <f>VLOOKUP($C696,怪物并表!$E$7:$P$1000,12,FALSE)</f>
        <v>0</v>
      </c>
      <c r="Z696" s="49">
        <f>VLOOKUP($C696,怪物并表!$E$7:$P$1000,11,FALSE)*S696</f>
        <v>399.82799999999997</v>
      </c>
      <c r="AA696" s="33"/>
      <c r="AB696" s="33"/>
      <c r="AC696" s="33"/>
      <c r="AD696" s="33">
        <f t="shared" si="81"/>
        <v>1</v>
      </c>
      <c r="AE696" s="2">
        <v>150</v>
      </c>
      <c r="AF696" s="2" t="str">
        <f>IF(ISBLANK(AM696),IF(O696=6,"",IF(O696=1,VLOOKUP(R696,怪物信息配置表!B:H,5,FALSE),IF(O696=2,VLOOKUP(R696,怪物信息配置表!B:H,6,FALSE),IF(OR(O696=3,O696=5),VLOOKUP(R696,怪物信息配置表!B:H,7,FALSE),"")))),AM696)</f>
        <v>1101_liangkun_BOSS</v>
      </c>
      <c r="AG696" s="2"/>
      <c r="AH696" s="15">
        <f>SUMPRODUCT(T696:V696,$AN$3:$AP$3)+ROUNDDOWN(VLOOKUP(P696,CHOOSE({1,2},'[1]消耗&amp;价值&amp;分析'!$C$7:$C$106,'[1]消耗&amp;价值&amp;分析'!$AS$7:$AS$106),2,FALSE)*0.6,0)</f>
        <v>57.926439114688137</v>
      </c>
      <c r="AJ696" s="80">
        <v>1</v>
      </c>
      <c r="AK696" s="80">
        <v>1</v>
      </c>
      <c r="AL696" s="80">
        <v>1</v>
      </c>
    </row>
    <row r="697" spans="1:38">
      <c r="A697" s="33" t="str">
        <f>怪物并表!$R$13</f>
        <v>BOSS副本</v>
      </c>
      <c r="B697" s="38">
        <v>4</v>
      </c>
      <c r="C697" s="33">
        <f t="shared" si="82"/>
        <v>1504</v>
      </c>
      <c r="D697" s="33">
        <v>1</v>
      </c>
      <c r="E697" s="33">
        <f>VLOOKUP(A697,怪物并表!$R$7:$S$14,2,FALSE)</f>
        <v>7</v>
      </c>
      <c r="F697" s="38">
        <v>0</v>
      </c>
      <c r="G697" s="38">
        <v>1</v>
      </c>
      <c r="H697" s="38">
        <v>4</v>
      </c>
      <c r="I697" s="33">
        <f t="shared" si="80"/>
        <v>701404</v>
      </c>
      <c r="J697" s="33" t="s">
        <v>664</v>
      </c>
      <c r="K697" s="33"/>
      <c r="L697" s="33">
        <v>1</v>
      </c>
      <c r="M697" s="33">
        <v>1.3</v>
      </c>
      <c r="N697" s="33"/>
      <c r="O697" s="33">
        <v>3</v>
      </c>
      <c r="P697" s="33">
        <f>VLOOKUP($C697,CHOOSE({1,2},怪物并表!$E$7:$E$1000,怪物并表!$D$7:$D$1000),2,FALSE)</f>
        <v>1</v>
      </c>
      <c r="Q697" s="33" t="s">
        <v>26</v>
      </c>
      <c r="R697" s="33">
        <f>VLOOKUP(Q697,怪物信息配置表!$A$2:$B$118,2,FALSE)</f>
        <v>1105</v>
      </c>
      <c r="S697" s="33">
        <v>1</v>
      </c>
      <c r="T697" s="110">
        <f>VLOOKUP($C697,怪物并表!$E$7:$N$1000,2+($D697-1)*3,FALSE)*S697*AJ697</f>
        <v>267.49800000000005</v>
      </c>
      <c r="U697" s="110">
        <f>VLOOKUP($C697,怪物并表!$E$7:$N$1000,3+($D697-1)*3,FALSE)*S697*AK697</f>
        <v>26.106519114688133</v>
      </c>
      <c r="V697" s="110">
        <f>VLOOKUP($C697,怪物并表!$E$7:$N$1000,4+($D697-1)*3,FALSE)*S697*AL697</f>
        <v>21.120000000000005</v>
      </c>
      <c r="W697" s="33"/>
      <c r="X697" s="33"/>
      <c r="Y697" s="49">
        <f>VLOOKUP($C697,怪物并表!$E$7:$P$1000,12,FALSE)</f>
        <v>0</v>
      </c>
      <c r="Z697" s="49">
        <f>VLOOKUP($C697,怪物并表!$E$7:$P$1000,11,FALSE)*S697</f>
        <v>399.82799999999997</v>
      </c>
      <c r="AA697" s="33"/>
      <c r="AB697" s="33"/>
      <c r="AC697" s="33"/>
      <c r="AD697" s="33">
        <f t="shared" si="81"/>
        <v>1</v>
      </c>
      <c r="AE697" s="2">
        <v>150</v>
      </c>
      <c r="AF697" s="2" t="str">
        <f>IF(ISBLANK(AM697),IF(O697=6,"",IF(O697=1,VLOOKUP(R697,怪物信息配置表!B:H,5,FALSE),IF(O697=2,VLOOKUP(R697,怪物信息配置表!B:H,6,FALSE),IF(OR(O697=3,O697=5),VLOOKUP(R697,怪物信息配置表!B:H,7,FALSE),"")))),AM697)</f>
        <v>1105_leigong_BOSS</v>
      </c>
      <c r="AG697" s="2"/>
      <c r="AH697" s="15">
        <f>SUMPRODUCT(T697:V697,$AN$3:$AP$3)+ROUNDDOWN(VLOOKUP(P697,CHOOSE({1,2},'[1]消耗&amp;价值&amp;分析'!$C$7:$C$106,'[1]消耗&amp;价值&amp;分析'!$AS$7:$AS$106),2,FALSE)*0.6,0)</f>
        <v>57.926439114688137</v>
      </c>
      <c r="AJ697" s="80">
        <v>1</v>
      </c>
      <c r="AK697" s="80">
        <v>1</v>
      </c>
      <c r="AL697" s="80">
        <v>1</v>
      </c>
    </row>
    <row r="698" spans="1:38">
      <c r="A698" s="33" t="str">
        <f>怪物并表!$R$13</f>
        <v>BOSS副本</v>
      </c>
      <c r="B698" s="38">
        <v>5</v>
      </c>
      <c r="C698" s="33">
        <f t="shared" si="82"/>
        <v>1505</v>
      </c>
      <c r="D698" s="33">
        <v>1</v>
      </c>
      <c r="E698" s="33">
        <f>VLOOKUP(A698,怪物并表!$R$7:$S$14,2,FALSE)</f>
        <v>7</v>
      </c>
      <c r="F698" s="38">
        <v>0</v>
      </c>
      <c r="G698" s="38">
        <v>1</v>
      </c>
      <c r="H698" s="38">
        <v>5</v>
      </c>
      <c r="I698" s="33">
        <f t="shared" si="80"/>
        <v>701505</v>
      </c>
      <c r="J698" s="33" t="s">
        <v>343</v>
      </c>
      <c r="K698" s="33"/>
      <c r="L698" s="33">
        <v>1</v>
      </c>
      <c r="M698" s="33">
        <v>1.2</v>
      </c>
      <c r="N698" s="33"/>
      <c r="O698" s="33">
        <v>3</v>
      </c>
      <c r="P698" s="33">
        <f>VLOOKUP($C698,CHOOSE({1,2},怪物并表!$E$7:$E$1000,怪物并表!$D$7:$D$1000),2,FALSE)</f>
        <v>1</v>
      </c>
      <c r="Q698" s="33" t="s">
        <v>15</v>
      </c>
      <c r="R698" s="33">
        <f>VLOOKUP(Q698,怪物信息配置表!$A$2:$B$118,2,FALSE)</f>
        <v>1004</v>
      </c>
      <c r="S698" s="33">
        <v>1</v>
      </c>
      <c r="T698" s="110">
        <f>VLOOKUP($C698,怪物并表!$E$7:$N$1000,2+($D698-1)*3,FALSE)*S698*AJ698</f>
        <v>267.49800000000005</v>
      </c>
      <c r="U698" s="110">
        <f>VLOOKUP($C698,怪物并表!$E$7:$N$1000,3+($D698-1)*3,FALSE)*S698*AK698</f>
        <v>26.106519114688133</v>
      </c>
      <c r="V698" s="110">
        <f>VLOOKUP($C698,怪物并表!$E$7:$N$1000,4+($D698-1)*3,FALSE)*S698*AL698</f>
        <v>21.120000000000005</v>
      </c>
      <c r="W698" s="33"/>
      <c r="X698" s="33"/>
      <c r="Y698" s="49">
        <f>VLOOKUP($C698,怪物并表!$E$7:$P$1000,12,FALSE)</f>
        <v>0</v>
      </c>
      <c r="Z698" s="49">
        <f>VLOOKUP($C698,怪物并表!$E$7:$P$1000,11,FALSE)*S698</f>
        <v>399.82799999999997</v>
      </c>
      <c r="AA698" s="33"/>
      <c r="AB698" s="33"/>
      <c r="AC698" s="33"/>
      <c r="AD698" s="33">
        <f t="shared" si="81"/>
        <v>1</v>
      </c>
      <c r="AE698" s="2">
        <v>150</v>
      </c>
      <c r="AF698" s="2" t="str">
        <f>IF(ISBLANK(AM698),IF(O698=6,"",IF(O698=1,VLOOKUP(R698,怪物信息配置表!B:H,5,FALSE),IF(O698=2,VLOOKUP(R698,怪物信息配置表!B:H,6,FALSE),IF(OR(O698=3,O698=5),VLOOKUP(R698,怪物信息配置表!B:H,7,FALSE),"")))),AM698)</f>
        <v>1004_pangzi_BOSS</v>
      </c>
      <c r="AG698" s="2"/>
      <c r="AH698" s="15">
        <f>SUMPRODUCT(T698:V698,$AN$3:$AP$3)+ROUNDDOWN(VLOOKUP(P698,CHOOSE({1,2},'[1]消耗&amp;价值&amp;分析'!$C$7:$C$106,'[1]消耗&amp;价值&amp;分析'!$AS$7:$AS$106),2,FALSE)*0.6,0)</f>
        <v>57.926439114688137</v>
      </c>
      <c r="AJ698" s="80">
        <v>1</v>
      </c>
      <c r="AK698" s="80">
        <v>1</v>
      </c>
      <c r="AL698" s="80">
        <v>1</v>
      </c>
    </row>
    <row r="699" spans="1:38">
      <c r="A699" s="33" t="str">
        <f>怪物并表!$R$13</f>
        <v>BOSS副本</v>
      </c>
      <c r="B699" s="38">
        <v>6</v>
      </c>
      <c r="C699" s="33">
        <f t="shared" si="82"/>
        <v>1506</v>
      </c>
      <c r="D699" s="33">
        <v>1</v>
      </c>
      <c r="E699" s="33">
        <f>VLOOKUP(A699,怪物并表!$R$7:$S$14,2,FALSE)</f>
        <v>7</v>
      </c>
      <c r="F699" s="38">
        <v>0</v>
      </c>
      <c r="G699" s="38">
        <v>1</v>
      </c>
      <c r="H699" s="38">
        <v>6</v>
      </c>
      <c r="I699" s="33">
        <f t="shared" si="80"/>
        <v>701606</v>
      </c>
      <c r="J699" s="33" t="s">
        <v>740</v>
      </c>
      <c r="K699" s="33"/>
      <c r="L699" s="33">
        <v>1</v>
      </c>
      <c r="M699" s="33">
        <v>1.3</v>
      </c>
      <c r="N699" s="33"/>
      <c r="O699" s="33">
        <v>3</v>
      </c>
      <c r="P699" s="33">
        <f>VLOOKUP($C699,CHOOSE({1,2},怪物并表!$E$7:$E$1000,怪物并表!$D$7:$D$1000),2,FALSE)</f>
        <v>1</v>
      </c>
      <c r="Q699" s="33" t="s">
        <v>560</v>
      </c>
      <c r="R699" s="33">
        <f>VLOOKUP(Q699,怪物信息配置表!$A$2:$B$118,2,FALSE)</f>
        <v>1110</v>
      </c>
      <c r="S699" s="33">
        <v>1</v>
      </c>
      <c r="T699" s="110">
        <f>VLOOKUP($C699,怪物并表!$E$7:$N$1000,2+($D699-1)*3,FALSE)*S699*AJ699</f>
        <v>267.49800000000005</v>
      </c>
      <c r="U699" s="110">
        <f>VLOOKUP($C699,怪物并表!$E$7:$N$1000,3+($D699-1)*3,FALSE)*S699*AK699</f>
        <v>26.106519114688133</v>
      </c>
      <c r="V699" s="110">
        <f>VLOOKUP($C699,怪物并表!$E$7:$N$1000,4+($D699-1)*3,FALSE)*S699*AL699</f>
        <v>21.120000000000005</v>
      </c>
      <c r="W699" s="33"/>
      <c r="X699" s="33"/>
      <c r="Y699" s="49">
        <f>VLOOKUP($C699,怪物并表!$E$7:$P$1000,12,FALSE)</f>
        <v>0</v>
      </c>
      <c r="Z699" s="49">
        <f>VLOOKUP($C699,怪物并表!$E$7:$P$1000,11,FALSE)*S699</f>
        <v>399.82799999999997</v>
      </c>
      <c r="AA699" s="33"/>
      <c r="AB699" s="33"/>
      <c r="AC699" s="33"/>
      <c r="AD699" s="33">
        <f t="shared" si="81"/>
        <v>1</v>
      </c>
      <c r="AE699" s="2">
        <v>150</v>
      </c>
      <c r="AF699" s="2" t="str">
        <f>IF(ISBLANK(AM699),IF(O699=6,"",IF(O699=1,VLOOKUP(R699,怪物信息配置表!B:H,5,FALSE),IF(O699=2,VLOOKUP(R699,怪物信息配置表!B:H,6,FALSE),IF(OR(O699=3,O699=5),VLOOKUP(R699,怪物信息配置表!B:H,7,FALSE),"")))),AM699)</f>
        <v>1110_babi_BOSS</v>
      </c>
      <c r="AG699" s="2"/>
      <c r="AH699" s="15">
        <f>SUMPRODUCT(T699:V699,$AN$3:$AP$3)+ROUNDDOWN(VLOOKUP(P699,CHOOSE({1,2},'[1]消耗&amp;价值&amp;分析'!$C$7:$C$106,'[1]消耗&amp;价值&amp;分析'!$AS$7:$AS$106),2,FALSE)*0.6,0)</f>
        <v>57.926439114688137</v>
      </c>
      <c r="AJ699" s="80">
        <v>1</v>
      </c>
      <c r="AK699" s="80">
        <v>1</v>
      </c>
      <c r="AL699" s="80">
        <v>1</v>
      </c>
    </row>
    <row r="700" spans="1:38">
      <c r="A700" s="33" t="str">
        <f>怪物并表!$R$13</f>
        <v>BOSS副本</v>
      </c>
      <c r="B700" s="38">
        <v>7</v>
      </c>
      <c r="C700" s="33">
        <f t="shared" si="82"/>
        <v>1507</v>
      </c>
      <c r="D700" s="33">
        <v>1</v>
      </c>
      <c r="E700" s="33">
        <f>VLOOKUP(A700,怪物并表!$R$7:$S$14,2,FALSE)</f>
        <v>7</v>
      </c>
      <c r="F700" s="38">
        <v>0</v>
      </c>
      <c r="G700" s="38">
        <v>1</v>
      </c>
      <c r="H700" s="38">
        <v>7</v>
      </c>
      <c r="I700" s="33">
        <f t="shared" si="80"/>
        <v>701707</v>
      </c>
      <c r="J700" s="33" t="s">
        <v>51</v>
      </c>
      <c r="K700" s="33"/>
      <c r="L700" s="33">
        <v>1</v>
      </c>
      <c r="M700" s="33">
        <v>1.2</v>
      </c>
      <c r="N700" s="33"/>
      <c r="O700" s="33">
        <v>3</v>
      </c>
      <c r="P700" s="33">
        <f>VLOOKUP($C700,CHOOSE({1,2},怪物并表!$E$7:$E$1000,怪物并表!$D$7:$D$1000),2,FALSE)</f>
        <v>1</v>
      </c>
      <c r="Q700" s="33" t="s">
        <v>21</v>
      </c>
      <c r="R700" s="33">
        <f>VLOOKUP(Q700,怪物信息配置表!$A$2:$B$118,2,FALSE)</f>
        <v>1104</v>
      </c>
      <c r="S700" s="33">
        <v>1</v>
      </c>
      <c r="T700" s="110">
        <f>VLOOKUP($C700,怪物并表!$E$7:$N$1000,2+($D700-1)*3,FALSE)*S700*AJ700</f>
        <v>267.49800000000005</v>
      </c>
      <c r="U700" s="110">
        <f>VLOOKUP($C700,怪物并表!$E$7:$N$1000,3+($D700-1)*3,FALSE)*S700*AK700</f>
        <v>26.106519114688133</v>
      </c>
      <c r="V700" s="110">
        <f>VLOOKUP($C700,怪物并表!$E$7:$N$1000,4+($D700-1)*3,FALSE)*S700*AL700</f>
        <v>21.120000000000005</v>
      </c>
      <c r="W700" s="33"/>
      <c r="X700" s="33"/>
      <c r="Y700" s="49">
        <f>VLOOKUP($C700,怪物并表!$E$7:$P$1000,12,FALSE)</f>
        <v>0</v>
      </c>
      <c r="Z700" s="49">
        <f>VLOOKUP($C700,怪物并表!$E$7:$P$1000,11,FALSE)*S700</f>
        <v>399.82799999999997</v>
      </c>
      <c r="AA700" s="33"/>
      <c r="AB700" s="33"/>
      <c r="AC700" s="33"/>
      <c r="AD700" s="33">
        <f t="shared" si="81"/>
        <v>1</v>
      </c>
      <c r="AE700" s="2">
        <v>100</v>
      </c>
      <c r="AF700" s="2" t="str">
        <f>IF(ISBLANK(AM700),IF(O700=6,"",IF(O700=1,VLOOKUP(R700,怪物信息配置表!B:H,5,FALSE),IF(O700=2,VLOOKUP(R700,怪物信息配置表!B:H,6,FALSE),IF(OR(O700=3,O700=5),VLOOKUP(R700,怪物信息配置表!B:H,7,FALSE),"")))),AM700)</f>
        <v>1104_duwang_BOSS</v>
      </c>
      <c r="AG700" s="2"/>
      <c r="AH700" s="15">
        <f>SUMPRODUCT(T700:V700,$AN$3:$AP$3)+ROUNDDOWN(VLOOKUP(P700,CHOOSE({1,2},'[1]消耗&amp;价值&amp;分析'!$C$7:$C$106,'[1]消耗&amp;价值&amp;分析'!$AS$7:$AS$106),2,FALSE)*0.6,0)</f>
        <v>57.926439114688137</v>
      </c>
      <c r="AJ700" s="80">
        <v>1</v>
      </c>
      <c r="AK700" s="80">
        <v>1</v>
      </c>
      <c r="AL700" s="80">
        <v>1</v>
      </c>
    </row>
    <row r="701" spans="1:38">
      <c r="A701" s="33" t="str">
        <f>怪物并表!$R$13</f>
        <v>BOSS副本</v>
      </c>
      <c r="B701" s="38">
        <v>8</v>
      </c>
      <c r="C701" s="33">
        <f t="shared" si="82"/>
        <v>1508</v>
      </c>
      <c r="D701" s="33">
        <v>1</v>
      </c>
      <c r="E701" s="33">
        <f>VLOOKUP(A701,怪物并表!$R$7:$S$14,2,FALSE)</f>
        <v>7</v>
      </c>
      <c r="F701" s="38">
        <v>0</v>
      </c>
      <c r="G701" s="38">
        <v>1</v>
      </c>
      <c r="H701" s="38">
        <v>8</v>
      </c>
      <c r="I701" s="33">
        <f t="shared" si="80"/>
        <v>701808</v>
      </c>
      <c r="J701" s="33" t="s">
        <v>420</v>
      </c>
      <c r="K701" s="33"/>
      <c r="L701" s="33">
        <v>1</v>
      </c>
      <c r="M701" s="33">
        <v>1.3</v>
      </c>
      <c r="N701" s="33"/>
      <c r="O701" s="33">
        <v>3</v>
      </c>
      <c r="P701" s="33">
        <f>VLOOKUP($C701,CHOOSE({1,2},怪物并表!$E$7:$E$1000,怪物并表!$D$7:$D$1000),2,FALSE)</f>
        <v>1</v>
      </c>
      <c r="Q701" s="33" t="s">
        <v>420</v>
      </c>
      <c r="R701" s="33">
        <f>VLOOKUP(Q701,怪物信息配置表!$A$2:$B$118,2,FALSE)</f>
        <v>1102</v>
      </c>
      <c r="S701" s="33">
        <v>1</v>
      </c>
      <c r="T701" s="110">
        <f>VLOOKUP($C701,怪物并表!$E$7:$N$1000,2+($D701-1)*3,FALSE)*S701*AJ701</f>
        <v>267.49800000000005</v>
      </c>
      <c r="U701" s="110">
        <f>VLOOKUP($C701,怪物并表!$E$7:$N$1000,3+($D701-1)*3,FALSE)*S701*AK701</f>
        <v>26.106519114688133</v>
      </c>
      <c r="V701" s="110">
        <f>VLOOKUP($C701,怪物并表!$E$7:$N$1000,4+($D701-1)*3,FALSE)*S701*AL701</f>
        <v>21.120000000000005</v>
      </c>
      <c r="W701" s="33"/>
      <c r="X701" s="33"/>
      <c r="Y701" s="49">
        <f>VLOOKUP($C701,怪物并表!$E$7:$P$1000,12,FALSE)</f>
        <v>0</v>
      </c>
      <c r="Z701" s="49">
        <f>VLOOKUP($C701,怪物并表!$E$7:$P$1000,11,FALSE)*S701</f>
        <v>399.82799999999997</v>
      </c>
      <c r="AA701" s="33"/>
      <c r="AB701" s="33"/>
      <c r="AC701" s="33"/>
      <c r="AD701" s="33">
        <f t="shared" si="81"/>
        <v>1</v>
      </c>
      <c r="AE701" s="2">
        <v>100</v>
      </c>
      <c r="AF701" s="2" t="str">
        <f>IF(ISBLANK(AM701),IF(O701=6,"",IF(O701=1,VLOOKUP(R701,怪物信息配置表!B:H,5,FALSE),IF(O701=2,VLOOKUP(R701,怪物信息配置表!B:H,6,FALSE),IF(OR(O701=3,O701=5),VLOOKUP(R701,怪物信息配置表!B:H,7,FALSE),"")))),AM701)</f>
        <v>1102_wuya_BOSS</v>
      </c>
      <c r="AG701" s="2"/>
      <c r="AH701" s="15">
        <f>SUMPRODUCT(T701:V701,$AN$3:$AP$3)+ROUNDDOWN(VLOOKUP(P701,CHOOSE({1,2},'[1]消耗&amp;价值&amp;分析'!$C$7:$C$106,'[1]消耗&amp;价值&amp;分析'!$AS$7:$AS$106),2,FALSE)*0.6,0)</f>
        <v>57.926439114688137</v>
      </c>
      <c r="AJ701" s="80">
        <v>1</v>
      </c>
      <c r="AK701" s="80">
        <v>1</v>
      </c>
      <c r="AL701" s="80">
        <v>1</v>
      </c>
    </row>
    <row r="702" spans="1:38">
      <c r="A702" s="33" t="str">
        <f>怪物并表!$R$13</f>
        <v>BOSS副本</v>
      </c>
      <c r="B702" s="38">
        <v>9</v>
      </c>
      <c r="C702" s="33">
        <f t="shared" si="82"/>
        <v>1509</v>
      </c>
      <c r="D702" s="33">
        <v>1</v>
      </c>
      <c r="E702" s="33">
        <f>VLOOKUP(A702,怪物并表!$R$7:$S$14,2,FALSE)</f>
        <v>7</v>
      </c>
      <c r="F702" s="38">
        <v>0</v>
      </c>
      <c r="G702" s="38">
        <v>1</v>
      </c>
      <c r="H702" s="38">
        <v>9</v>
      </c>
      <c r="I702" s="33">
        <f t="shared" si="80"/>
        <v>701909</v>
      </c>
      <c r="J702" s="33" t="s">
        <v>344</v>
      </c>
      <c r="K702" s="33"/>
      <c r="L702" s="33">
        <v>1</v>
      </c>
      <c r="M702" s="33">
        <v>1.2</v>
      </c>
      <c r="N702" s="33"/>
      <c r="O702" s="33">
        <v>3</v>
      </c>
      <c r="P702" s="33">
        <f>VLOOKUP($C702,CHOOSE({1,2},怪物并表!$E$7:$E$1000,怪物并表!$D$7:$D$1000),2,FALSE)</f>
        <v>1</v>
      </c>
      <c r="Q702" s="33" t="s">
        <v>25</v>
      </c>
      <c r="R702" s="33">
        <f>VLOOKUP(Q702,怪物信息配置表!$A$2:$B$118,2,FALSE)</f>
        <v>1012</v>
      </c>
      <c r="S702" s="33">
        <v>1</v>
      </c>
      <c r="T702" s="110">
        <f>VLOOKUP($C702,怪物并表!$E$7:$N$1000,2+($D702-1)*3,FALSE)*S702*AJ702</f>
        <v>267.49800000000005</v>
      </c>
      <c r="U702" s="110">
        <f>VLOOKUP($C702,怪物并表!$E$7:$N$1000,3+($D702-1)*3,FALSE)*S702*AK702</f>
        <v>26.106519114688133</v>
      </c>
      <c r="V702" s="110">
        <f>VLOOKUP($C702,怪物并表!$E$7:$N$1000,4+($D702-1)*3,FALSE)*S702*AL702</f>
        <v>21.120000000000005</v>
      </c>
      <c r="W702" s="33"/>
      <c r="X702" s="33"/>
      <c r="Y702" s="49">
        <f>VLOOKUP($C702,怪物并表!$E$7:$P$1000,12,FALSE)</f>
        <v>0</v>
      </c>
      <c r="Z702" s="49">
        <f>VLOOKUP($C702,怪物并表!$E$7:$P$1000,11,FALSE)*S702</f>
        <v>399.82799999999997</v>
      </c>
      <c r="AA702" s="33"/>
      <c r="AB702" s="33"/>
      <c r="AC702" s="33"/>
      <c r="AD702" s="33">
        <f t="shared" si="81"/>
        <v>1</v>
      </c>
      <c r="AE702" s="2">
        <v>100</v>
      </c>
      <c r="AF702" s="2" t="str">
        <f>IF(ISBLANK(AM702),IF(O702=6,"",IF(O702=1,VLOOKUP(R702,怪物信息配置表!B:H,5,FALSE),IF(O702=2,VLOOKUP(R702,怪物信息配置表!B:H,6,FALSE),IF(OR(O702=3,O702=5),VLOOKUP(R702,怪物信息配置表!B:H,7,FALSE),"")))),AM702)</f>
        <v>1012_jianke_BOSS</v>
      </c>
      <c r="AG702" s="2"/>
      <c r="AH702" s="15">
        <f>SUMPRODUCT(T702:V702,$AN$3:$AP$3)+ROUNDDOWN(VLOOKUP(P702,CHOOSE({1,2},'[1]消耗&amp;价值&amp;分析'!$C$7:$C$106,'[1]消耗&amp;价值&amp;分析'!$AS$7:$AS$106),2,FALSE)*0.6,0)</f>
        <v>57.926439114688137</v>
      </c>
      <c r="AJ702" s="80">
        <v>1</v>
      </c>
      <c r="AK702" s="80">
        <v>1</v>
      </c>
      <c r="AL702" s="80">
        <v>1</v>
      </c>
    </row>
    <row r="703" spans="1:38">
      <c r="A703" s="33" t="str">
        <f>怪物并表!$R$13</f>
        <v>BOSS副本</v>
      </c>
      <c r="B703" s="38">
        <v>10</v>
      </c>
      <c r="C703" s="33">
        <f t="shared" si="82"/>
        <v>1510</v>
      </c>
      <c r="D703" s="33">
        <v>1</v>
      </c>
      <c r="E703" s="33">
        <f>VLOOKUP(A703,怪物并表!$R$7:$S$14,2,FALSE)</f>
        <v>7</v>
      </c>
      <c r="F703" s="38">
        <v>0</v>
      </c>
      <c r="G703" s="38">
        <v>1</v>
      </c>
      <c r="H703" s="38">
        <v>10</v>
      </c>
      <c r="I703" s="33">
        <f t="shared" si="80"/>
        <v>702010</v>
      </c>
      <c r="J703" s="33" t="s">
        <v>738</v>
      </c>
      <c r="K703" s="33"/>
      <c r="L703" s="33">
        <v>1</v>
      </c>
      <c r="M703" s="33">
        <v>1.3</v>
      </c>
      <c r="N703" s="33"/>
      <c r="O703" s="33">
        <v>3</v>
      </c>
      <c r="P703" s="33">
        <f>VLOOKUP($C703,CHOOSE({1,2},怪物并表!$E$7:$E$1000,怪物并表!$D$7:$D$1000),2,FALSE)</f>
        <v>1</v>
      </c>
      <c r="Q703" s="33" t="s">
        <v>369</v>
      </c>
      <c r="R703" s="33">
        <f>VLOOKUP(Q703,怪物信息配置表!$A$2:$B$118,2,FALSE)</f>
        <v>1106</v>
      </c>
      <c r="S703" s="33">
        <v>1</v>
      </c>
      <c r="T703" s="110">
        <f>VLOOKUP($C703,怪物并表!$E$7:$N$1000,2+($D703-1)*3,FALSE)*S703*AJ703</f>
        <v>267.49800000000005</v>
      </c>
      <c r="U703" s="110">
        <f>VLOOKUP($C703,怪物并表!$E$7:$N$1000,3+($D703-1)*3,FALSE)*S703*AK703</f>
        <v>26.106519114688133</v>
      </c>
      <c r="V703" s="110">
        <f>VLOOKUP($C703,怪物并表!$E$7:$N$1000,4+($D703-1)*3,FALSE)*S703*AL703</f>
        <v>21.120000000000005</v>
      </c>
      <c r="W703" s="33"/>
      <c r="X703" s="33"/>
      <c r="Y703" s="49">
        <f>VLOOKUP($C703,怪物并表!$E$7:$P$1000,12,FALSE)</f>
        <v>0</v>
      </c>
      <c r="Z703" s="49">
        <f>VLOOKUP($C703,怪物并表!$E$7:$P$1000,11,FALSE)*S703</f>
        <v>399.82799999999997</v>
      </c>
      <c r="AA703" s="33"/>
      <c r="AB703" s="33"/>
      <c r="AC703" s="33"/>
      <c r="AD703" s="33">
        <f t="shared" si="81"/>
        <v>1</v>
      </c>
      <c r="AE703" s="2">
        <v>100</v>
      </c>
      <c r="AF703" s="2" t="str">
        <f>IF(ISBLANK(AM703),IF(O703=6,"",IF(O703=1,VLOOKUP(R703,怪物信息配置表!B:H,5,FALSE),IF(O703=2,VLOOKUP(R703,怪物信息配置表!B:H,6,FALSE),IF(OR(O703=3,O703=5),VLOOKUP(R703,怪物信息配置表!B:H,7,FALSE),"")))),AM703)</f>
        <v>1106_shankou_BOSS</v>
      </c>
      <c r="AG703" s="2"/>
      <c r="AH703" s="15">
        <f>SUMPRODUCT(T703:V703,$AN$3:$AP$3)+ROUNDDOWN(VLOOKUP(P703,CHOOSE({1,2},'[1]消耗&amp;价值&amp;分析'!$C$7:$C$106,'[1]消耗&amp;价值&amp;分析'!$AS$7:$AS$106),2,FALSE)*0.6,0)</f>
        <v>57.926439114688137</v>
      </c>
      <c r="AJ703" s="80">
        <v>1</v>
      </c>
      <c r="AK703" s="80">
        <v>1</v>
      </c>
      <c r="AL703" s="80">
        <v>1</v>
      </c>
    </row>
    <row r="704" spans="1:38">
      <c r="A704" s="33" t="str">
        <f>怪物并表!$R$13</f>
        <v>BOSS副本</v>
      </c>
      <c r="B704" s="38">
        <v>11</v>
      </c>
      <c r="C704" s="33">
        <f t="shared" si="82"/>
        <v>1511</v>
      </c>
      <c r="D704" s="33">
        <v>1</v>
      </c>
      <c r="E704" s="33">
        <f>VLOOKUP(A704,怪物并表!$R$7:$S$14,2,FALSE)</f>
        <v>7</v>
      </c>
      <c r="F704" s="38">
        <v>0</v>
      </c>
      <c r="G704" s="38">
        <v>1</v>
      </c>
      <c r="H704" s="38">
        <v>11</v>
      </c>
      <c r="I704" s="33">
        <f t="shared" si="80"/>
        <v>702111</v>
      </c>
      <c r="J704" s="33" t="s">
        <v>562</v>
      </c>
      <c r="K704" s="33"/>
      <c r="L704" s="33">
        <v>1</v>
      </c>
      <c r="M704" s="33">
        <v>1.2</v>
      </c>
      <c r="N704" s="33"/>
      <c r="O704" s="33">
        <v>3</v>
      </c>
      <c r="P704" s="33">
        <f>VLOOKUP($C704,CHOOSE({1,2},怪物并表!$E$7:$E$1000,怪物并表!$D$7:$D$1000),2,FALSE)</f>
        <v>1</v>
      </c>
      <c r="Q704" s="33" t="s">
        <v>562</v>
      </c>
      <c r="R704" s="33">
        <f>VLOOKUP(Q704,怪物信息配置表!$A$2:$B$118,2,FALSE)</f>
        <v>1111</v>
      </c>
      <c r="S704" s="33">
        <v>1</v>
      </c>
      <c r="T704" s="110">
        <f>VLOOKUP($C704,怪物并表!$E$7:$N$1000,2+($D704-1)*3,FALSE)*S704*AJ704</f>
        <v>267.49800000000005</v>
      </c>
      <c r="U704" s="110">
        <f>VLOOKUP($C704,怪物并表!$E$7:$N$1000,3+($D704-1)*3,FALSE)*S704*AK704</f>
        <v>26.106519114688133</v>
      </c>
      <c r="V704" s="110">
        <f>VLOOKUP($C704,怪物并表!$E$7:$N$1000,4+($D704-1)*3,FALSE)*S704*AL704</f>
        <v>21.120000000000005</v>
      </c>
      <c r="W704" s="33"/>
      <c r="X704" s="33"/>
      <c r="Y704" s="49">
        <f>VLOOKUP($C704,怪物并表!$E$7:$P$1000,12,FALSE)</f>
        <v>0</v>
      </c>
      <c r="Z704" s="49">
        <f>VLOOKUP($C704,怪物并表!$E$7:$P$1000,11,FALSE)*S704</f>
        <v>399.82799999999997</v>
      </c>
      <c r="AA704" s="33"/>
      <c r="AB704" s="33"/>
      <c r="AC704" s="33"/>
      <c r="AD704" s="33">
        <f t="shared" si="81"/>
        <v>1</v>
      </c>
      <c r="AE704" s="2">
        <v>100</v>
      </c>
      <c r="AF704" s="2" t="str">
        <f>IF(ISBLANK(AM704),IF(O704=6,"",IF(O704=1,VLOOKUP(R704,怪物信息配置表!B:H,5,FALSE),IF(O704=2,VLOOKUP(R704,怪物信息配置表!B:H,6,FALSE),IF(OR(O704=3,O704=5),VLOOKUP(R704,怪物信息配置表!B:H,7,FALSE),"")))),AM704)</f>
        <v>1111_XMH_BOSS</v>
      </c>
      <c r="AG704" s="2"/>
      <c r="AH704" s="15">
        <f>SUMPRODUCT(T704:V704,$AN$3:$AP$3)+ROUNDDOWN(VLOOKUP(P704,CHOOSE({1,2},'[1]消耗&amp;价值&amp;分析'!$C$7:$C$106,'[1]消耗&amp;价值&amp;分析'!$AS$7:$AS$106),2,FALSE)*0.6,0)</f>
        <v>57.926439114688137</v>
      </c>
      <c r="AJ704" s="80">
        <v>1</v>
      </c>
      <c r="AK704" s="80">
        <v>1</v>
      </c>
      <c r="AL704" s="80">
        <v>1</v>
      </c>
    </row>
    <row r="705" spans="1:38">
      <c r="A705" s="33" t="str">
        <f>怪物并表!$R$13</f>
        <v>BOSS副本</v>
      </c>
      <c r="B705" s="38">
        <v>12</v>
      </c>
      <c r="C705" s="33">
        <f t="shared" si="82"/>
        <v>1512</v>
      </c>
      <c r="D705" s="33">
        <v>1</v>
      </c>
      <c r="E705" s="33">
        <f>VLOOKUP(A705,怪物并表!$R$7:$S$14,2,FALSE)</f>
        <v>7</v>
      </c>
      <c r="F705" s="38">
        <v>0</v>
      </c>
      <c r="G705" s="38">
        <v>1</v>
      </c>
      <c r="H705" s="38">
        <v>12</v>
      </c>
      <c r="I705" s="33">
        <f t="shared" si="80"/>
        <v>702212</v>
      </c>
      <c r="J705" s="33" t="s">
        <v>397</v>
      </c>
      <c r="K705" s="33"/>
      <c r="L705" s="33">
        <v>0</v>
      </c>
      <c r="M705" s="33">
        <v>1.2</v>
      </c>
      <c r="N705" s="33"/>
      <c r="O705" s="33">
        <v>3</v>
      </c>
      <c r="P705" s="33">
        <f>VLOOKUP($C705,CHOOSE({1,2},怪物并表!$E$7:$E$1000,怪物并表!$D$7:$D$1000),2,FALSE)</f>
        <v>1</v>
      </c>
      <c r="Q705" s="33" t="s">
        <v>397</v>
      </c>
      <c r="R705" s="33">
        <f>VLOOKUP(Q705,怪物信息配置表!$A$2:$B$118,2,FALSE)</f>
        <v>1107</v>
      </c>
      <c r="S705" s="33">
        <v>1</v>
      </c>
      <c r="T705" s="110">
        <f>VLOOKUP($C705,怪物并表!$E$7:$N$1000,2+($D705-1)*3,FALSE)*S705*AJ705</f>
        <v>267.49800000000005</v>
      </c>
      <c r="U705" s="110">
        <f>VLOOKUP($C705,怪物并表!$E$7:$N$1000,3+($D705-1)*3,FALSE)*S705*AK705</f>
        <v>26.106519114688133</v>
      </c>
      <c r="V705" s="110">
        <f>VLOOKUP($C705,怪物并表!$E$7:$N$1000,4+($D705-1)*3,FALSE)*S705*AL705</f>
        <v>21.120000000000005</v>
      </c>
      <c r="W705" s="33"/>
      <c r="X705" s="33"/>
      <c r="Y705" s="49">
        <f>VLOOKUP($C705,怪物并表!$E$7:$P$1000,12,FALSE)</f>
        <v>0</v>
      </c>
      <c r="Z705" s="49">
        <f>VLOOKUP($C705,怪物并表!$E$7:$P$1000,11,FALSE)*S705</f>
        <v>399.82799999999997</v>
      </c>
      <c r="AA705" s="33"/>
      <c r="AB705" s="33"/>
      <c r="AC705" s="33"/>
      <c r="AD705" s="33">
        <f t="shared" si="81"/>
        <v>1</v>
      </c>
      <c r="AE705" s="2">
        <v>50</v>
      </c>
      <c r="AF705" s="2" t="str">
        <f>IF(ISBLANK(AM705),IF(O705=6,"",IF(O705=1,VLOOKUP(R705,怪物信息配置表!B:H,5,FALSE),IF(O705=2,VLOOKUP(R705,怪物信息配置表!B:H,6,FALSE),IF(OR(O705=3,O705=5),VLOOKUP(R705,怪物信息配置表!B:H,7,FALSE),"")))),AM705)</f>
        <v>1107_CHN_BOSS</v>
      </c>
      <c r="AG705" s="2"/>
      <c r="AH705" s="15">
        <f>SUMPRODUCT(T705:V705,$AN$3:$AP$3)+ROUNDDOWN(VLOOKUP(P705,CHOOSE({1,2},'[1]消耗&amp;价值&amp;分析'!$C$7:$C$106,'[1]消耗&amp;价值&amp;分析'!$AS$7:$AS$106),2,FALSE)*0.6,0)</f>
        <v>57.926439114688137</v>
      </c>
      <c r="AJ705" s="80">
        <v>1</v>
      </c>
      <c r="AK705" s="80">
        <v>1</v>
      </c>
      <c r="AL705" s="80">
        <v>1</v>
      </c>
    </row>
    <row r="706" spans="1:38">
      <c r="A706" s="33" t="str">
        <f>怪物并表!$R$13</f>
        <v>BOSS副本</v>
      </c>
      <c r="B706" s="38">
        <v>13</v>
      </c>
      <c r="C706" s="33">
        <f t="shared" si="82"/>
        <v>1513</v>
      </c>
      <c r="D706" s="33">
        <v>1</v>
      </c>
      <c r="E706" s="33">
        <f>VLOOKUP(A706,怪物并表!$R$7:$S$14,2,FALSE)</f>
        <v>7</v>
      </c>
      <c r="F706" s="38">
        <v>0</v>
      </c>
      <c r="G706" s="38">
        <v>1</v>
      </c>
      <c r="H706" s="38">
        <v>13</v>
      </c>
      <c r="I706" s="33">
        <f t="shared" si="80"/>
        <v>702313</v>
      </c>
      <c r="J706" s="33" t="s">
        <v>398</v>
      </c>
      <c r="K706" s="33"/>
      <c r="L706" s="33">
        <v>0</v>
      </c>
      <c r="M706" s="33">
        <v>1.2</v>
      </c>
      <c r="N706" s="33" t="s">
        <v>204</v>
      </c>
      <c r="O706" s="33">
        <v>3</v>
      </c>
      <c r="P706" s="33">
        <f>VLOOKUP($C706,CHOOSE({1,2},怪物并表!$E$7:$E$1000,怪物并表!$D$7:$D$1000),2,FALSE)</f>
        <v>1</v>
      </c>
      <c r="Q706" s="33" t="s">
        <v>398</v>
      </c>
      <c r="R706" s="33">
        <f>VLOOKUP(Q706,怪物信息配置表!$A$2:$B$118,2,FALSE)</f>
        <v>1108</v>
      </c>
      <c r="S706" s="33">
        <v>1</v>
      </c>
      <c r="T706" s="110">
        <f>VLOOKUP($C706,怪物并表!$E$7:$N$1000,2+($D706-1)*3,FALSE)*S706*AJ706</f>
        <v>267.49800000000005</v>
      </c>
      <c r="U706" s="110">
        <f>VLOOKUP($C706,怪物并表!$E$7:$N$1000,3+($D706-1)*3,FALSE)*S706*AK706</f>
        <v>26.106519114688133</v>
      </c>
      <c r="V706" s="110">
        <f>VLOOKUP($C706,怪物并表!$E$7:$N$1000,4+($D706-1)*3,FALSE)*S706*AL706</f>
        <v>21.120000000000005</v>
      </c>
      <c r="W706" s="33"/>
      <c r="X706" s="33"/>
      <c r="Y706" s="49">
        <f>VLOOKUP($C706,怪物并表!$E$7:$P$1000,12,FALSE)</f>
        <v>0</v>
      </c>
      <c r="Z706" s="49">
        <f>VLOOKUP($C706,怪物并表!$E$7:$P$1000,11,FALSE)*S706</f>
        <v>399.82799999999997</v>
      </c>
      <c r="AA706" s="33"/>
      <c r="AB706" s="33"/>
      <c r="AC706" s="33"/>
      <c r="AD706" s="33">
        <f t="shared" si="81"/>
        <v>1</v>
      </c>
      <c r="AE706" s="2">
        <v>50</v>
      </c>
      <c r="AF706" s="2" t="str">
        <f>IF(ISBLANK(AM706),IF(O706=6,"",IF(O706=1,VLOOKUP(R706,怪物信息配置表!B:H,5,FALSE),IF(O706=2,VLOOKUP(R706,怪物信息配置表!B:H,6,FALSE),IF(OR(O706=3,O706=5),VLOOKUP(R706,怪物信息配置表!B:H,7,FALSE),"")))),AM706)</f>
        <v>1108_shanji_BOSS</v>
      </c>
      <c r="AG706" s="2"/>
      <c r="AH706" s="15">
        <f>SUMPRODUCT(T706:V706,$AN$3:$AP$3)+ROUNDDOWN(VLOOKUP(P706,CHOOSE({1,2},'[1]消耗&amp;价值&amp;分析'!$C$7:$C$106,'[1]消耗&amp;价值&amp;分析'!$AS$7:$AS$106),2,FALSE)*0.6,0)</f>
        <v>57.926439114688137</v>
      </c>
      <c r="AJ706" s="80">
        <v>1</v>
      </c>
      <c r="AK706" s="80">
        <v>1</v>
      </c>
      <c r="AL706" s="80">
        <v>1</v>
      </c>
    </row>
    <row r="707" spans="1:38">
      <c r="A707" s="33" t="str">
        <f>怪物并表!$R$13</f>
        <v>BOSS副本</v>
      </c>
      <c r="B707" s="38">
        <v>14</v>
      </c>
      <c r="C707" s="33">
        <f t="shared" si="82"/>
        <v>1514</v>
      </c>
      <c r="D707" s="33">
        <v>1</v>
      </c>
      <c r="E707" s="33">
        <f>VLOOKUP(A707,怪物并表!$R$7:$S$14,2,FALSE)</f>
        <v>7</v>
      </c>
      <c r="F707" s="38">
        <v>0</v>
      </c>
      <c r="G707" s="38">
        <v>1</v>
      </c>
      <c r="H707" s="38">
        <v>14</v>
      </c>
      <c r="I707" s="33">
        <f t="shared" si="80"/>
        <v>702414</v>
      </c>
      <c r="J707" s="33" t="s">
        <v>206</v>
      </c>
      <c r="K707" s="33"/>
      <c r="L707" s="33">
        <v>0</v>
      </c>
      <c r="M707" s="33">
        <v>1.2</v>
      </c>
      <c r="N707" s="33"/>
      <c r="O707" s="33">
        <v>3</v>
      </c>
      <c r="P707" s="33">
        <f>VLOOKUP($C707,CHOOSE({1,2},怪物并表!$E$7:$E$1000,怪物并表!$D$7:$D$1000),2,FALSE)</f>
        <v>1</v>
      </c>
      <c r="Q707" s="33" t="s">
        <v>206</v>
      </c>
      <c r="R707" s="33">
        <f>VLOOKUP(Q707,怪物信息配置表!$A$2:$B$118,2,FALSE)</f>
        <v>1109</v>
      </c>
      <c r="S707" s="33">
        <v>1</v>
      </c>
      <c r="T707" s="110">
        <f>VLOOKUP($C707,怪物并表!$E$7:$N$1000,2+($D707-1)*3,FALSE)*S707*AJ707</f>
        <v>267.49800000000005</v>
      </c>
      <c r="U707" s="110">
        <f>VLOOKUP($C707,怪物并表!$E$7:$N$1000,3+($D707-1)*3,FALSE)*S707*AK707</f>
        <v>26.106519114688133</v>
      </c>
      <c r="V707" s="110">
        <f>VLOOKUP($C707,怪物并表!$E$7:$N$1000,4+($D707-1)*3,FALSE)*S707*AL707</f>
        <v>21.120000000000005</v>
      </c>
      <c r="W707" s="33"/>
      <c r="X707" s="33"/>
      <c r="Y707" s="49">
        <f>VLOOKUP($C707,怪物并表!$E$7:$P$1000,12,FALSE)</f>
        <v>0</v>
      </c>
      <c r="Z707" s="49">
        <f>VLOOKUP($C707,怪物并表!$E$7:$P$1000,11,FALSE)*S707</f>
        <v>399.82799999999997</v>
      </c>
      <c r="AA707" s="33"/>
      <c r="AB707" s="33"/>
      <c r="AC707" s="33"/>
      <c r="AD707" s="33">
        <f t="shared" si="81"/>
        <v>1</v>
      </c>
      <c r="AE707" s="2">
        <v>50</v>
      </c>
      <c r="AF707" s="2" t="str">
        <f>IF(ISBLANK(AM707),IF(O707=6,"",IF(O707=1,VLOOKUP(R707,怪物信息配置表!B:H,5,FALSE),IF(O707=2,VLOOKUP(R707,怪物信息配置表!B:H,6,FALSE),IF(OR(O707=3,O707=5),VLOOKUP(R707,怪物信息配置表!B:H,7,FALSE),"")))),AM707)</f>
        <v>1109_datianer_BOSS</v>
      </c>
      <c r="AG707" s="2"/>
      <c r="AH707" s="15">
        <f>SUMPRODUCT(T707:V707,$AN$3:$AP$3)+ROUNDDOWN(VLOOKUP(P707,CHOOSE({1,2},'[1]消耗&amp;价值&amp;分析'!$C$7:$C$106,'[1]消耗&amp;价值&amp;分析'!$AS$7:$AS$106),2,FALSE)*0.6,0)</f>
        <v>57.926439114688137</v>
      </c>
      <c r="AJ707" s="80">
        <v>1</v>
      </c>
      <c r="AK707" s="80">
        <v>1</v>
      </c>
      <c r="AL707" s="80">
        <v>1</v>
      </c>
    </row>
    <row r="708" spans="1:38">
      <c r="A708" s="33" t="str">
        <f>怪物并表!$R$14</f>
        <v>英雄之路</v>
      </c>
      <c r="B708" s="38">
        <v>1</v>
      </c>
      <c r="C708" s="33">
        <f>1900+G708</f>
        <v>1901</v>
      </c>
      <c r="D708" s="33">
        <v>3</v>
      </c>
      <c r="E708" s="33">
        <f>VLOOKUP(A708,怪物并表!$R$7:$S$14,2,FALSE)</f>
        <v>8</v>
      </c>
      <c r="F708" s="38">
        <v>0</v>
      </c>
      <c r="G708" s="38">
        <v>1</v>
      </c>
      <c r="H708" s="38">
        <v>1</v>
      </c>
      <c r="I708" s="33">
        <f t="shared" si="80"/>
        <v>801101</v>
      </c>
      <c r="J708" s="33" t="s">
        <v>16</v>
      </c>
      <c r="K708" s="33" t="s">
        <v>663</v>
      </c>
      <c r="L708" s="33">
        <v>0</v>
      </c>
      <c r="M708" s="33">
        <v>1.2</v>
      </c>
      <c r="N708" s="33"/>
      <c r="O708" s="33">
        <v>3</v>
      </c>
      <c r="P708" s="33">
        <f>VLOOKUP($C708,CHOOSE({1,2},怪物并表!$E$7:$E$1000,怪物并表!$D$7:$D$1000),2,FALSE)</f>
        <v>20</v>
      </c>
      <c r="Q708" s="33" t="s">
        <v>8</v>
      </c>
      <c r="R708" s="33">
        <f>VLOOKUP(Q708,怪物信息配置表!$A$2:$B$118,2,FALSE)</f>
        <v>1101</v>
      </c>
      <c r="S708" s="33">
        <v>1.1000000000000001</v>
      </c>
      <c r="T708" s="110">
        <f>VLOOKUP($C708,怪物并表!$E$7:$N$1000,2+($D708-1)*3,FALSE)*S708*AJ708</f>
        <v>27943.131649161376</v>
      </c>
      <c r="U708" s="110">
        <f>VLOOKUP($C708,怪物并表!$E$7:$N$1000,3+($D708-1)*3,FALSE)*S708*AK708</f>
        <v>705.08230434782638</v>
      </c>
      <c r="V708" s="110">
        <f>VLOOKUP($C708,怪物并表!$E$7:$N$1000,4+($D708-1)*3,FALSE)*S708*AL708</f>
        <v>430.60006956521755</v>
      </c>
      <c r="W708" s="33"/>
      <c r="X708" s="33"/>
      <c r="Y708" s="49">
        <f>VLOOKUP($C708,怪物并表!$E$7:$P$1000,12,FALSE)</f>
        <v>0</v>
      </c>
      <c r="Z708" s="49">
        <f>VLOOKUP($C708,怪物并表!$E$7:$P$1000,11,FALSE)*S708</f>
        <v>1656.7760000000001</v>
      </c>
      <c r="AA708" s="33"/>
      <c r="AB708" s="33"/>
      <c r="AC708" s="33"/>
      <c r="AD708" s="33">
        <f t="shared" si="81"/>
        <v>1.5</v>
      </c>
      <c r="AE708" s="2">
        <f t="shared" ref="AE708:AE745" si="83">MAX(VLOOKUP(Q708,怪物信息配置表,3,FALSE)-VLOOKUP(Q708,怪物信息配置表,5,FALSE)*P708*AD708,50)</f>
        <v>643.75</v>
      </c>
      <c r="AF708" s="2" t="str">
        <f>IF(ISBLANK(AM708),IF(O708=6,"",IF(O708=1,VLOOKUP(R708,怪物信息配置表!B:H,5,FALSE),IF(O708=2,VLOOKUP(R708,怪物信息配置表!B:H,6,FALSE),IF(OR(O708=3,O708=5),VLOOKUP(R708,怪物信息配置表!B:H,7,FALSE),"")))),AM708)</f>
        <v>1101_liangkun_BOSS</v>
      </c>
      <c r="AG708" s="2"/>
      <c r="AH708" s="15">
        <f>SUMPRODUCT(T708:V708,$AN$3:$AP$3)+ROUNDDOWN(VLOOKUP(P708,CHOOSE({1,2},'[1]消耗&amp;价值&amp;分析'!$C$7:$C$106,'[1]消耗&amp;价值&amp;分析'!$AS$7:$AS$106),2,FALSE)*0.6,0)</f>
        <v>2613.4076398794987</v>
      </c>
      <c r="AJ708" s="80">
        <v>1</v>
      </c>
      <c r="AK708" s="80">
        <v>1</v>
      </c>
      <c r="AL708" s="80">
        <v>1</v>
      </c>
    </row>
    <row r="709" spans="1:38">
      <c r="A709" s="33" t="str">
        <f>怪物并表!$R$14</f>
        <v>英雄之路</v>
      </c>
      <c r="B709" s="38">
        <v>2</v>
      </c>
      <c r="C709" s="33">
        <f t="shared" ref="C709:C746" si="84">1900+G709</f>
        <v>1901</v>
      </c>
      <c r="D709" s="33">
        <v>2</v>
      </c>
      <c r="E709" s="33">
        <f>VLOOKUP(A709,怪物并表!$R$7:$S$14,2,FALSE)</f>
        <v>8</v>
      </c>
      <c r="F709" s="38">
        <v>0</v>
      </c>
      <c r="G709" s="38">
        <v>1</v>
      </c>
      <c r="H709" s="38">
        <v>1</v>
      </c>
      <c r="I709" s="33">
        <f t="shared" si="80"/>
        <v>801102</v>
      </c>
      <c r="J709" s="33" t="s">
        <v>465</v>
      </c>
      <c r="K709" s="33" t="s">
        <v>663</v>
      </c>
      <c r="L709" s="33">
        <v>0</v>
      </c>
      <c r="M709" s="33">
        <v>1</v>
      </c>
      <c r="N709" s="33" t="s">
        <v>218</v>
      </c>
      <c r="O709" s="33">
        <v>1</v>
      </c>
      <c r="P709" s="33">
        <f>VLOOKUP($C709,CHOOSE({1,2},怪物并表!$E$7:$E$1000,怪物并表!$D$7:$D$1000),2,FALSE)</f>
        <v>20</v>
      </c>
      <c r="Q709" s="33" t="s">
        <v>9</v>
      </c>
      <c r="R709" s="33">
        <f>VLOOKUP(Q709,怪物信息配置表!$A$2:$B$118,2,FALSE)</f>
        <v>1003</v>
      </c>
      <c r="S709" s="33">
        <v>1.1000000000000001</v>
      </c>
      <c r="T709" s="110">
        <f>VLOOKUP($C709,怪物并表!$E$7:$N$1000,2+($D709-1)*3,FALSE)*S709*AJ709</f>
        <v>8941.8021277316402</v>
      </c>
      <c r="U709" s="110">
        <f>VLOOKUP($C709,怪物并表!$E$7:$N$1000,3+($D709-1)*3,FALSE)*S709*AK709</f>
        <v>603.05311956521746</v>
      </c>
      <c r="V709" s="110">
        <f>VLOOKUP($C709,怪物并表!$E$7:$N$1000,4+($D709-1)*3,FALSE)*S709*AL709</f>
        <v>311.81384347826099</v>
      </c>
      <c r="W709" s="33"/>
      <c r="X709" s="33"/>
      <c r="Y709" s="49">
        <f>VLOOKUP($C709,怪物并表!$E$7:$P$1000,12,FALSE)</f>
        <v>0</v>
      </c>
      <c r="Z709" s="49">
        <f>VLOOKUP($C709,怪物并表!$E$7:$P$1000,11,FALSE)*S709</f>
        <v>1656.7760000000001</v>
      </c>
      <c r="AA709" s="33"/>
      <c r="AB709" s="33"/>
      <c r="AC709" s="33"/>
      <c r="AD709" s="33">
        <f t="shared" si="81"/>
        <v>0.8</v>
      </c>
      <c r="AE709" s="2">
        <f t="shared" si="83"/>
        <v>810</v>
      </c>
      <c r="AF709" s="2" t="str">
        <f>IF(ISBLANK(AM709),IF(O709=6,"",IF(O709=1,VLOOKUP(R709,怪物信息配置表!B:H,5,FALSE),IF(O709=2,VLOOKUP(R709,怪物信息配置表!B:H,6,FALSE),IF(OR(O709=3,O709=5),VLOOKUP(R709,怪物信息配置表!B:H,7,FALSE),"")))),AM709)</f>
        <v>ai_monster_02</v>
      </c>
      <c r="AG709" s="2"/>
      <c r="AH709" s="15">
        <f>SUMPRODUCT(T709:V709,$AN$3:$AP$3)+ROUNDDOWN(VLOOKUP(P709,CHOOSE({1,2},'[1]消耗&amp;价值&amp;分析'!$C$7:$C$106,'[1]消耗&amp;价值&amp;分析'!$AS$7:$AS$106),2,FALSE)*0.6,0)</f>
        <v>1632.539048152744</v>
      </c>
      <c r="AJ709" s="80">
        <v>1</v>
      </c>
      <c r="AK709" s="80">
        <v>1</v>
      </c>
      <c r="AL709" s="80">
        <v>1</v>
      </c>
    </row>
    <row r="710" spans="1:38">
      <c r="A710" s="33" t="str">
        <f>怪物并表!$R$14</f>
        <v>英雄之路</v>
      </c>
      <c r="B710" s="38">
        <v>3</v>
      </c>
      <c r="C710" s="33">
        <f t="shared" si="84"/>
        <v>1901</v>
      </c>
      <c r="D710" s="33">
        <v>3</v>
      </c>
      <c r="E710" s="33">
        <f>VLOOKUP(A710,怪物并表!$R$7:$S$14,2,FALSE)</f>
        <v>8</v>
      </c>
      <c r="F710" s="38">
        <v>0</v>
      </c>
      <c r="G710" s="38">
        <v>1</v>
      </c>
      <c r="H710" s="38">
        <v>2</v>
      </c>
      <c r="I710" s="33">
        <f t="shared" si="80"/>
        <v>801203</v>
      </c>
      <c r="J710" s="33" t="s">
        <v>420</v>
      </c>
      <c r="K710" s="33" t="s">
        <v>663</v>
      </c>
      <c r="L710" s="33">
        <v>0</v>
      </c>
      <c r="M710" s="33">
        <v>1.2</v>
      </c>
      <c r="N710" s="33" t="s">
        <v>218</v>
      </c>
      <c r="O710" s="33">
        <v>3</v>
      </c>
      <c r="P710" s="33">
        <f>VLOOKUP($C710,CHOOSE({1,2},怪物并表!$E$7:$E$1000,怪物并表!$D$7:$D$1000),2,FALSE)</f>
        <v>20</v>
      </c>
      <c r="Q710" s="33" t="s">
        <v>19</v>
      </c>
      <c r="R710" s="33">
        <f>VLOOKUP(Q710,怪物信息配置表!$A$2:$B$118,2,FALSE)</f>
        <v>1102</v>
      </c>
      <c r="S710" s="33">
        <v>1.1000000000000001</v>
      </c>
      <c r="T710" s="110">
        <f>VLOOKUP($C710,怪物并表!$E$7:$N$1000,2+($D710-1)*3,FALSE)*S710*AJ710</f>
        <v>27943.131649161376</v>
      </c>
      <c r="U710" s="110">
        <f>VLOOKUP($C710,怪物并表!$E$7:$N$1000,3+($D710-1)*3,FALSE)*S710*AK710</f>
        <v>705.08230434782638</v>
      </c>
      <c r="V710" s="110">
        <f>VLOOKUP($C710,怪物并表!$E$7:$N$1000,4+($D710-1)*3,FALSE)*S710*AL710</f>
        <v>430.60006956521755</v>
      </c>
      <c r="W710" s="33"/>
      <c r="X710" s="33"/>
      <c r="Y710" s="49">
        <f>VLOOKUP($C710,怪物并表!$E$7:$P$1000,12,FALSE)</f>
        <v>0</v>
      </c>
      <c r="Z710" s="49">
        <f>VLOOKUP($C710,怪物并表!$E$7:$P$1000,11,FALSE)*S710</f>
        <v>1656.7760000000001</v>
      </c>
      <c r="AA710" s="33"/>
      <c r="AB710" s="33"/>
      <c r="AC710" s="33"/>
      <c r="AD710" s="33">
        <f t="shared" si="81"/>
        <v>1.5</v>
      </c>
      <c r="AE710" s="2">
        <f t="shared" si="83"/>
        <v>643.75</v>
      </c>
      <c r="AF710" s="2" t="str">
        <f>IF(ISBLANK(AM710),IF(O710=6,"",IF(O710=1,VLOOKUP(R710,怪物信息配置表!B:H,5,FALSE),IF(O710=2,VLOOKUP(R710,怪物信息配置表!B:H,6,FALSE),IF(OR(O710=3,O710=5),VLOOKUP(R710,怪物信息配置表!B:H,7,FALSE),"")))),AM710)</f>
        <v>1102_wuya_BOSS</v>
      </c>
      <c r="AG710" s="2"/>
      <c r="AH710" s="15">
        <f>SUMPRODUCT(T710:V710,$AN$3:$AP$3)+ROUNDDOWN(VLOOKUP(P710,CHOOSE({1,2},'[1]消耗&amp;价值&amp;分析'!$C$7:$C$106,'[1]消耗&amp;价值&amp;分析'!$AS$7:$AS$106),2,FALSE)*0.6,0)</f>
        <v>2613.4076398794987</v>
      </c>
      <c r="AJ710" s="80">
        <v>1</v>
      </c>
      <c r="AK710" s="80">
        <v>1</v>
      </c>
      <c r="AL710" s="80">
        <v>1</v>
      </c>
    </row>
    <row r="711" spans="1:38">
      <c r="A711" s="33" t="str">
        <f>怪物并表!$R$14</f>
        <v>英雄之路</v>
      </c>
      <c r="B711" s="38">
        <v>4</v>
      </c>
      <c r="C711" s="33">
        <f t="shared" si="84"/>
        <v>1901</v>
      </c>
      <c r="D711" s="33">
        <v>2</v>
      </c>
      <c r="E711" s="33">
        <f>VLOOKUP(A711,怪物并表!$R$7:$S$14,2,FALSE)</f>
        <v>8</v>
      </c>
      <c r="F711" s="38">
        <v>0</v>
      </c>
      <c r="G711" s="38">
        <v>1</v>
      </c>
      <c r="H711" s="38">
        <v>2</v>
      </c>
      <c r="I711" s="33">
        <f t="shared" si="80"/>
        <v>801204</v>
      </c>
      <c r="J711" s="33" t="s">
        <v>463</v>
      </c>
      <c r="K711" s="33" t="s">
        <v>663</v>
      </c>
      <c r="L711" s="33">
        <v>0</v>
      </c>
      <c r="M711" s="33">
        <v>1</v>
      </c>
      <c r="N711" s="33"/>
      <c r="O711" s="33">
        <v>1</v>
      </c>
      <c r="P711" s="33">
        <f>VLOOKUP($C711,CHOOSE({1,2},怪物并表!$E$7:$E$1000,怪物并表!$D$7:$D$1000),2,FALSE)</f>
        <v>20</v>
      </c>
      <c r="Q711" s="33" t="s">
        <v>17</v>
      </c>
      <c r="R711" s="33">
        <f>VLOOKUP(Q711,怪物信息配置表!$A$2:$B$118,2,FALSE)</f>
        <v>1005</v>
      </c>
      <c r="S711" s="33">
        <v>1.1000000000000001</v>
      </c>
      <c r="T711" s="110">
        <f>VLOOKUP($C711,怪物并表!$E$7:$N$1000,2+($D711-1)*3,FALSE)*S711*AJ711</f>
        <v>8941.8021277316402</v>
      </c>
      <c r="U711" s="110">
        <f>VLOOKUP($C711,怪物并表!$E$7:$N$1000,3+($D711-1)*3,FALSE)*S711*AK711</f>
        <v>603.05311956521746</v>
      </c>
      <c r="V711" s="110">
        <f>VLOOKUP($C711,怪物并表!$E$7:$N$1000,4+($D711-1)*3,FALSE)*S711*AL711</f>
        <v>311.81384347826099</v>
      </c>
      <c r="W711" s="33"/>
      <c r="X711" s="33"/>
      <c r="Y711" s="49">
        <f>VLOOKUP($C711,怪物并表!$E$7:$P$1000,12,FALSE)</f>
        <v>0</v>
      </c>
      <c r="Z711" s="49">
        <f>VLOOKUP($C711,怪物并表!$E$7:$P$1000,11,FALSE)*S711</f>
        <v>1656.7760000000001</v>
      </c>
      <c r="AA711" s="33"/>
      <c r="AB711" s="33"/>
      <c r="AC711" s="33"/>
      <c r="AD711" s="33">
        <f t="shared" si="81"/>
        <v>0.8</v>
      </c>
      <c r="AE711" s="2">
        <f t="shared" si="83"/>
        <v>810</v>
      </c>
      <c r="AF711" s="2" t="str">
        <f>IF(ISBLANK(AM711),IF(O711=6,"",IF(O711=1,VLOOKUP(R711,怪物信息配置表!B:H,5,FALSE),IF(O711=2,VLOOKUP(R711,怪物信息配置表!B:H,6,FALSE),IF(OR(O711=3,O711=5),VLOOKUP(R711,怪物信息配置表!B:H,7,FALSE),"")))),AM711)</f>
        <v>ai_monster_02</v>
      </c>
      <c r="AG711" s="2"/>
      <c r="AH711" s="15">
        <f>SUMPRODUCT(T711:V711,$AN$3:$AP$3)+ROUNDDOWN(VLOOKUP(P711,CHOOSE({1,2},'[1]消耗&amp;价值&amp;分析'!$C$7:$C$106,'[1]消耗&amp;价值&amp;分析'!$AS$7:$AS$106),2,FALSE)*0.6,0)</f>
        <v>1632.539048152744</v>
      </c>
      <c r="AJ711" s="80">
        <v>1</v>
      </c>
      <c r="AK711" s="80">
        <v>1</v>
      </c>
      <c r="AL711" s="80">
        <v>1</v>
      </c>
    </row>
    <row r="712" spans="1:38">
      <c r="A712" s="33" t="str">
        <f>怪物并表!$R$14</f>
        <v>英雄之路</v>
      </c>
      <c r="B712" s="38">
        <v>5</v>
      </c>
      <c r="C712" s="33">
        <f t="shared" si="84"/>
        <v>1901</v>
      </c>
      <c r="D712" s="33">
        <v>3</v>
      </c>
      <c r="E712" s="33">
        <f>VLOOKUP(A712,怪物并表!$R$7:$S$14,2,FALSE)</f>
        <v>8</v>
      </c>
      <c r="F712" s="38">
        <v>0</v>
      </c>
      <c r="G712" s="38">
        <v>1</v>
      </c>
      <c r="H712" s="38">
        <v>3</v>
      </c>
      <c r="I712" s="33">
        <f t="shared" si="80"/>
        <v>801305</v>
      </c>
      <c r="J712" s="33" t="s">
        <v>20</v>
      </c>
      <c r="K712" s="33" t="s">
        <v>663</v>
      </c>
      <c r="L712" s="33">
        <v>0</v>
      </c>
      <c r="M712" s="33">
        <v>1.3</v>
      </c>
      <c r="N712" s="33"/>
      <c r="O712" s="33">
        <v>3</v>
      </c>
      <c r="P712" s="33">
        <f>VLOOKUP($C712,CHOOSE({1,2},怪物并表!$E$7:$E$1000,怪物并表!$D$7:$D$1000),2,FALSE)</f>
        <v>20</v>
      </c>
      <c r="Q712" s="33" t="s">
        <v>20</v>
      </c>
      <c r="R712" s="33">
        <f>VLOOKUP(Q712,怪物信息配置表!$A$2:$B$118,2,FALSE)</f>
        <v>1103</v>
      </c>
      <c r="S712" s="33">
        <v>1.1000000000000001</v>
      </c>
      <c r="T712" s="110">
        <f>VLOOKUP($C712,怪物并表!$E$7:$N$1000,2+($D712-1)*3,FALSE)*S712*AJ712</f>
        <v>27943.131649161376</v>
      </c>
      <c r="U712" s="110">
        <f>VLOOKUP($C712,怪物并表!$E$7:$N$1000,3+($D712-1)*3,FALSE)*S712*AK712</f>
        <v>705.08230434782638</v>
      </c>
      <c r="V712" s="110">
        <f>VLOOKUP($C712,怪物并表!$E$7:$N$1000,4+($D712-1)*3,FALSE)*S712*AL712</f>
        <v>430.60006956521755</v>
      </c>
      <c r="W712" s="33"/>
      <c r="X712" s="33"/>
      <c r="Y712" s="49">
        <f>VLOOKUP($C712,怪物并表!$E$7:$P$1000,12,FALSE)</f>
        <v>0</v>
      </c>
      <c r="Z712" s="49">
        <f>VLOOKUP($C712,怪物并表!$E$7:$P$1000,11,FALSE)*S712</f>
        <v>1656.7760000000001</v>
      </c>
      <c r="AA712" s="33"/>
      <c r="AB712" s="33"/>
      <c r="AC712" s="33"/>
      <c r="AD712" s="33">
        <f t="shared" si="81"/>
        <v>1.5</v>
      </c>
      <c r="AE712" s="2">
        <f t="shared" si="83"/>
        <v>518.75</v>
      </c>
      <c r="AF712" s="2" t="str">
        <f>IF(ISBLANK(AM712),IF(O712=6,"",IF(O712=1,VLOOKUP(R712,怪物信息配置表!B:H,5,FALSE),IF(O712=2,VLOOKUP(R712,怪物信息配置表!B:H,6,FALSE),IF(OR(O712=3,O712=5),VLOOKUP(R712,怪物信息配置表!B:H,7,FALSE),"")))),AM712)</f>
        <v>1103_situ_BOSS</v>
      </c>
      <c r="AG712" s="2"/>
      <c r="AH712" s="15">
        <f>SUMPRODUCT(T712:V712,$AN$3:$AP$3)+ROUNDDOWN(VLOOKUP(P712,CHOOSE({1,2},'[1]消耗&amp;价值&amp;分析'!$C$7:$C$106,'[1]消耗&amp;价值&amp;分析'!$AS$7:$AS$106),2,FALSE)*0.6,0)</f>
        <v>2613.4076398794987</v>
      </c>
      <c r="AJ712" s="80">
        <v>1</v>
      </c>
      <c r="AK712" s="80">
        <v>1</v>
      </c>
      <c r="AL712" s="80">
        <v>1</v>
      </c>
    </row>
    <row r="713" spans="1:38">
      <c r="A713" s="33" t="str">
        <f>怪物并表!$R$14</f>
        <v>英雄之路</v>
      </c>
      <c r="B713" s="38">
        <v>6</v>
      </c>
      <c r="C713" s="33">
        <f t="shared" si="84"/>
        <v>1901</v>
      </c>
      <c r="D713" s="33">
        <v>2</v>
      </c>
      <c r="E713" s="33">
        <f>VLOOKUP(A713,怪物并表!$R$7:$S$14,2,FALSE)</f>
        <v>8</v>
      </c>
      <c r="F713" s="38">
        <v>0</v>
      </c>
      <c r="G713" s="38">
        <v>1</v>
      </c>
      <c r="H713" s="38">
        <v>3</v>
      </c>
      <c r="I713" s="33">
        <f t="shared" si="80"/>
        <v>801306</v>
      </c>
      <c r="J713" s="33" t="s">
        <v>462</v>
      </c>
      <c r="K713" s="33" t="s">
        <v>663</v>
      </c>
      <c r="L713" s="33">
        <v>0</v>
      </c>
      <c r="M713" s="33">
        <v>1</v>
      </c>
      <c r="N713" s="33" t="s">
        <v>229</v>
      </c>
      <c r="O713" s="33">
        <v>1</v>
      </c>
      <c r="P713" s="33">
        <f>VLOOKUP($C713,CHOOSE({1,2},怪物并表!$E$7:$E$1000,怪物并表!$D$7:$D$1000),2,FALSE)</f>
        <v>20</v>
      </c>
      <c r="Q713" s="33" t="s">
        <v>11</v>
      </c>
      <c r="R713" s="33">
        <f>VLOOKUP(Q713,怪物信息配置表!$A$2:$B$118,2,FALSE)</f>
        <v>1011</v>
      </c>
      <c r="S713" s="33">
        <v>1.1000000000000001</v>
      </c>
      <c r="T713" s="110">
        <f>VLOOKUP($C713,怪物并表!$E$7:$N$1000,2+($D713-1)*3,FALSE)*S713*AJ713</f>
        <v>8941.8021277316402</v>
      </c>
      <c r="U713" s="110">
        <f>VLOOKUP($C713,怪物并表!$E$7:$N$1000,3+($D713-1)*3,FALSE)*S713*AK713</f>
        <v>603.05311956521746</v>
      </c>
      <c r="V713" s="110">
        <f>VLOOKUP($C713,怪物并表!$E$7:$N$1000,4+($D713-1)*3,FALSE)*S713*AL713</f>
        <v>311.81384347826099</v>
      </c>
      <c r="W713" s="33"/>
      <c r="X713" s="33"/>
      <c r="Y713" s="49">
        <f>VLOOKUP($C713,怪物并表!$E$7:$P$1000,12,FALSE)</f>
        <v>0</v>
      </c>
      <c r="Z713" s="49">
        <f>VLOOKUP($C713,怪物并表!$E$7:$P$1000,11,FALSE)*S713</f>
        <v>1656.7760000000001</v>
      </c>
      <c r="AA713" s="33"/>
      <c r="AB713" s="33"/>
      <c r="AC713" s="33"/>
      <c r="AD713" s="33">
        <f t="shared" si="81"/>
        <v>0.8</v>
      </c>
      <c r="AE713" s="2">
        <f t="shared" si="83"/>
        <v>810</v>
      </c>
      <c r="AF713" s="2" t="str">
        <f>IF(ISBLANK(AM713),IF(O713=6,"",IF(O713=1,VLOOKUP(R713,怪物信息配置表!B:H,5,FALSE),IF(O713=2,VLOOKUP(R713,怪物信息配置表!B:H,6,FALSE),IF(OR(O713=3,O713=5),VLOOKUP(R713,怪物信息配置表!B:H,7,FALSE),"")))),AM713)</f>
        <v>ai_monster</v>
      </c>
      <c r="AG713" s="2"/>
      <c r="AH713" s="15">
        <f>SUMPRODUCT(T713:V713,$AN$3:$AP$3)+ROUNDDOWN(VLOOKUP(P713,CHOOSE({1,2},'[1]消耗&amp;价值&amp;分析'!$C$7:$C$106,'[1]消耗&amp;价值&amp;分析'!$AS$7:$AS$106),2,FALSE)*0.6,0)</f>
        <v>1632.539048152744</v>
      </c>
      <c r="AJ713" s="80">
        <v>1</v>
      </c>
      <c r="AK713" s="80">
        <v>1</v>
      </c>
      <c r="AL713" s="80">
        <v>1</v>
      </c>
    </row>
    <row r="714" spans="1:38">
      <c r="A714" s="33" t="str">
        <f>怪物并表!$R$14</f>
        <v>英雄之路</v>
      </c>
      <c r="B714" s="38">
        <v>7</v>
      </c>
      <c r="C714" s="33">
        <f t="shared" si="84"/>
        <v>1901</v>
      </c>
      <c r="D714" s="33">
        <v>3</v>
      </c>
      <c r="E714" s="33">
        <f>VLOOKUP(A714,怪物并表!$R$7:$S$14,2,FALSE)</f>
        <v>8</v>
      </c>
      <c r="F714" s="38">
        <v>0</v>
      </c>
      <c r="G714" s="38">
        <v>1</v>
      </c>
      <c r="H714" s="38">
        <v>4</v>
      </c>
      <c r="I714" s="33">
        <f t="shared" si="80"/>
        <v>801407</v>
      </c>
      <c r="J714" s="33" t="s">
        <v>526</v>
      </c>
      <c r="K714" s="33" t="s">
        <v>663</v>
      </c>
      <c r="L714" s="33">
        <v>0</v>
      </c>
      <c r="M714" s="33">
        <v>1.2</v>
      </c>
      <c r="N714" s="33"/>
      <c r="O714" s="33">
        <v>3</v>
      </c>
      <c r="P714" s="33">
        <f>VLOOKUP($C714,CHOOSE({1,2},怪物并表!$E$7:$E$1000,怪物并表!$D$7:$D$1000),2,FALSE)</f>
        <v>20</v>
      </c>
      <c r="Q714" s="33" t="s">
        <v>21</v>
      </c>
      <c r="R714" s="33">
        <f>VLOOKUP(Q714,怪物信息配置表!$A$2:$B$118,2,FALSE)</f>
        <v>1104</v>
      </c>
      <c r="S714" s="33">
        <v>1.1000000000000001</v>
      </c>
      <c r="T714" s="110">
        <f>VLOOKUP($C714,怪物并表!$E$7:$N$1000,2+($D714-1)*3,FALSE)*S714*AJ714</f>
        <v>27943.131649161376</v>
      </c>
      <c r="U714" s="110">
        <f>VLOOKUP($C714,怪物并表!$E$7:$N$1000,3+($D714-1)*3,FALSE)*S714*AK714</f>
        <v>705.08230434782638</v>
      </c>
      <c r="V714" s="110">
        <f>VLOOKUP($C714,怪物并表!$E$7:$N$1000,4+($D714-1)*3,FALSE)*S714*AL714</f>
        <v>430.60006956521755</v>
      </c>
      <c r="W714" s="33"/>
      <c r="X714" s="33"/>
      <c r="Y714" s="49">
        <f>VLOOKUP($C714,怪物并表!$E$7:$P$1000,12,FALSE)</f>
        <v>0</v>
      </c>
      <c r="Z714" s="49">
        <f>VLOOKUP($C714,怪物并表!$E$7:$P$1000,11,FALSE)*S714</f>
        <v>1656.7760000000001</v>
      </c>
      <c r="AA714" s="33"/>
      <c r="AB714" s="33"/>
      <c r="AC714" s="33"/>
      <c r="AD714" s="33">
        <f t="shared" si="81"/>
        <v>1.5</v>
      </c>
      <c r="AE714" s="2">
        <f t="shared" si="83"/>
        <v>518.75</v>
      </c>
      <c r="AF714" s="2" t="str">
        <f>IF(ISBLANK(AM714),IF(O714=6,"",IF(O714=1,VLOOKUP(R714,怪物信息配置表!B:H,5,FALSE),IF(O714=2,VLOOKUP(R714,怪物信息配置表!B:H,6,FALSE),IF(OR(O714=3,O714=5),VLOOKUP(R714,怪物信息配置表!B:H,7,FALSE),"")))),AM714)</f>
        <v>1104_duwang_BOSS</v>
      </c>
      <c r="AG714" s="2"/>
      <c r="AH714" s="15">
        <f>SUMPRODUCT(T714:V714,$AN$3:$AP$3)+ROUNDDOWN(VLOOKUP(P714,CHOOSE({1,2},'[1]消耗&amp;价值&amp;分析'!$C$7:$C$106,'[1]消耗&amp;价值&amp;分析'!$AS$7:$AS$106),2,FALSE)*0.6,0)</f>
        <v>2613.4076398794987</v>
      </c>
      <c r="AJ714" s="80">
        <v>1</v>
      </c>
      <c r="AK714" s="80">
        <v>1</v>
      </c>
      <c r="AL714" s="80">
        <v>1</v>
      </c>
    </row>
    <row r="715" spans="1:38">
      <c r="A715" s="33" t="str">
        <f>怪物并表!$R$14</f>
        <v>英雄之路</v>
      </c>
      <c r="B715" s="38">
        <v>8</v>
      </c>
      <c r="C715" s="33">
        <f t="shared" si="84"/>
        <v>1901</v>
      </c>
      <c r="D715" s="33">
        <v>2</v>
      </c>
      <c r="E715" s="33">
        <f>VLOOKUP(A715,怪物并表!$R$7:$S$14,2,FALSE)</f>
        <v>8</v>
      </c>
      <c r="F715" s="38">
        <v>0</v>
      </c>
      <c r="G715" s="38">
        <v>1</v>
      </c>
      <c r="H715" s="38">
        <v>4</v>
      </c>
      <c r="I715" s="33">
        <f t="shared" si="80"/>
        <v>801408</v>
      </c>
      <c r="J715" s="33" t="s">
        <v>531</v>
      </c>
      <c r="K715" s="33" t="s">
        <v>663</v>
      </c>
      <c r="L715" s="33">
        <v>0</v>
      </c>
      <c r="M715" s="33">
        <v>1</v>
      </c>
      <c r="N715" s="33"/>
      <c r="O715" s="33">
        <v>1</v>
      </c>
      <c r="P715" s="33">
        <f>VLOOKUP($C715,CHOOSE({1,2},怪物并表!$E$7:$E$1000,怪物并表!$D$7:$D$1000),2,FALSE)</f>
        <v>20</v>
      </c>
      <c r="Q715" s="33" t="s">
        <v>18</v>
      </c>
      <c r="R715" s="33">
        <f>VLOOKUP(Q715,怪物信息配置表!$A$2:$B$118,2,FALSE)</f>
        <v>1006</v>
      </c>
      <c r="S715" s="33">
        <v>1.1000000000000001</v>
      </c>
      <c r="T715" s="110">
        <f>VLOOKUP($C715,怪物并表!$E$7:$N$1000,2+($D715-1)*3,FALSE)*S715*AJ715</f>
        <v>8941.8021277316402</v>
      </c>
      <c r="U715" s="110">
        <f>VLOOKUP($C715,怪物并表!$E$7:$N$1000,3+($D715-1)*3,FALSE)*S715*AK715</f>
        <v>603.05311956521746</v>
      </c>
      <c r="V715" s="110">
        <f>VLOOKUP($C715,怪物并表!$E$7:$N$1000,4+($D715-1)*3,FALSE)*S715*AL715</f>
        <v>311.81384347826099</v>
      </c>
      <c r="W715" s="33"/>
      <c r="X715" s="33"/>
      <c r="Y715" s="49">
        <f>VLOOKUP($C715,怪物并表!$E$7:$P$1000,12,FALSE)</f>
        <v>0</v>
      </c>
      <c r="Z715" s="49">
        <f>VLOOKUP($C715,怪物并表!$E$7:$P$1000,11,FALSE)*S715</f>
        <v>1656.7760000000001</v>
      </c>
      <c r="AA715" s="33"/>
      <c r="AB715" s="33"/>
      <c r="AC715" s="33"/>
      <c r="AD715" s="33">
        <f t="shared" si="81"/>
        <v>0.8</v>
      </c>
      <c r="AE715" s="2">
        <f t="shared" si="83"/>
        <v>810</v>
      </c>
      <c r="AF715" s="2" t="str">
        <f>IF(ISBLANK(AM715),IF(O715=6,"",IF(O715=1,VLOOKUP(R715,怪物信息配置表!B:H,5,FALSE),IF(O715=2,VLOOKUP(R715,怪物信息配置表!B:H,6,FALSE),IF(OR(O715=3,O715=5),VLOOKUP(R715,怪物信息配置表!B:H,7,FALSE),"")))),AM715)</f>
        <v>ai_monster_03</v>
      </c>
      <c r="AG715" s="2"/>
      <c r="AH715" s="15">
        <f>SUMPRODUCT(T715:V715,$AN$3:$AP$3)+ROUNDDOWN(VLOOKUP(P715,CHOOSE({1,2},'[1]消耗&amp;价值&amp;分析'!$C$7:$C$106,'[1]消耗&amp;价值&amp;分析'!$AS$7:$AS$106),2,FALSE)*0.6,0)</f>
        <v>1632.539048152744</v>
      </c>
      <c r="AJ715" s="80">
        <v>1</v>
      </c>
      <c r="AK715" s="80">
        <v>1</v>
      </c>
      <c r="AL715" s="80">
        <v>1</v>
      </c>
    </row>
    <row r="716" spans="1:38">
      <c r="A716" s="33" t="str">
        <f>怪物并表!$R$14</f>
        <v>英雄之路</v>
      </c>
      <c r="B716" s="38">
        <v>9</v>
      </c>
      <c r="C716" s="33">
        <f t="shared" si="84"/>
        <v>1901</v>
      </c>
      <c r="D716" s="33">
        <v>3</v>
      </c>
      <c r="E716" s="33">
        <f>VLOOKUP(A716,怪物并表!$R$7:$S$14,2,FALSE)</f>
        <v>8</v>
      </c>
      <c r="F716" s="38">
        <v>0</v>
      </c>
      <c r="G716" s="38">
        <v>1</v>
      </c>
      <c r="H716" s="38">
        <v>5</v>
      </c>
      <c r="I716" s="33">
        <f t="shared" si="80"/>
        <v>801509</v>
      </c>
      <c r="J716" s="33" t="s">
        <v>667</v>
      </c>
      <c r="K716" s="33" t="s">
        <v>663</v>
      </c>
      <c r="L716" s="33">
        <v>0</v>
      </c>
      <c r="M716" s="33">
        <v>1.2</v>
      </c>
      <c r="N716" s="33"/>
      <c r="O716" s="33">
        <v>3</v>
      </c>
      <c r="P716" s="33">
        <f>VLOOKUP($C716,CHOOSE({1,2},怪物并表!$E$7:$E$1000,怪物并表!$D$7:$D$1000),2,FALSE)</f>
        <v>20</v>
      </c>
      <c r="Q716" s="33" t="s">
        <v>26</v>
      </c>
      <c r="R716" s="33">
        <f>VLOOKUP(Q716,怪物信息配置表!$A$2:$B$118,2,FALSE)</f>
        <v>1105</v>
      </c>
      <c r="S716" s="33">
        <v>1.1000000000000001</v>
      </c>
      <c r="T716" s="110">
        <f>VLOOKUP($C716,怪物并表!$E$7:$N$1000,2+($D716-1)*3,FALSE)*S716*AJ716</f>
        <v>27943.131649161376</v>
      </c>
      <c r="U716" s="110">
        <f>VLOOKUP($C716,怪物并表!$E$7:$N$1000,3+($D716-1)*3,FALSE)*S716*AK716</f>
        <v>705.08230434782638</v>
      </c>
      <c r="V716" s="110">
        <f>VLOOKUP($C716,怪物并表!$E$7:$N$1000,4+($D716-1)*3,FALSE)*S716*AL716</f>
        <v>430.60006956521755</v>
      </c>
      <c r="W716" s="33"/>
      <c r="X716" s="33"/>
      <c r="Y716" s="49">
        <f>VLOOKUP($C716,怪物并表!$E$7:$P$1000,12,FALSE)</f>
        <v>0</v>
      </c>
      <c r="Z716" s="49">
        <f>VLOOKUP($C716,怪物并表!$E$7:$P$1000,11,FALSE)*S716</f>
        <v>1656.7760000000001</v>
      </c>
      <c r="AA716" s="33"/>
      <c r="AB716" s="33"/>
      <c r="AC716" s="33"/>
      <c r="AD716" s="33">
        <f t="shared" si="81"/>
        <v>1.5</v>
      </c>
      <c r="AE716" s="2">
        <f t="shared" si="83"/>
        <v>518.75</v>
      </c>
      <c r="AF716" s="2" t="str">
        <f>IF(ISBLANK(AM716),IF(O716=6,"",IF(O716=1,VLOOKUP(R716,怪物信息配置表!B:H,5,FALSE),IF(O716=2,VLOOKUP(R716,怪物信息配置表!B:H,6,FALSE),IF(OR(O716=3,O716=5),VLOOKUP(R716,怪物信息配置表!B:H,7,FALSE),"")))),AM716)</f>
        <v>1105_leigong_BOSS</v>
      </c>
      <c r="AG716" s="2"/>
      <c r="AH716" s="15">
        <f>SUMPRODUCT(T716:V716,$AN$3:$AP$3)+ROUNDDOWN(VLOOKUP(P716,CHOOSE({1,2},'[1]消耗&amp;价值&amp;分析'!$C$7:$C$106,'[1]消耗&amp;价值&amp;分析'!$AS$7:$AS$106),2,FALSE)*0.6,0)</f>
        <v>2613.4076398794987</v>
      </c>
      <c r="AJ716" s="80">
        <v>1</v>
      </c>
      <c r="AK716" s="80">
        <v>1</v>
      </c>
      <c r="AL716" s="80">
        <v>1</v>
      </c>
    </row>
    <row r="717" spans="1:38">
      <c r="A717" s="33" t="str">
        <f>怪物并表!$R$14</f>
        <v>英雄之路</v>
      </c>
      <c r="B717" s="38">
        <v>10</v>
      </c>
      <c r="C717" s="33">
        <f t="shared" si="84"/>
        <v>1901</v>
      </c>
      <c r="D717" s="33">
        <v>2</v>
      </c>
      <c r="E717" s="33">
        <f>VLOOKUP(A717,怪物并表!$R$7:$S$14,2,FALSE)</f>
        <v>8</v>
      </c>
      <c r="F717" s="38">
        <v>0</v>
      </c>
      <c r="G717" s="38">
        <v>1</v>
      </c>
      <c r="H717" s="38">
        <v>5</v>
      </c>
      <c r="I717" s="33">
        <f t="shared" si="80"/>
        <v>801510</v>
      </c>
      <c r="J717" s="33" t="s">
        <v>227</v>
      </c>
      <c r="K717" s="33" t="s">
        <v>663</v>
      </c>
      <c r="L717" s="33">
        <v>0</v>
      </c>
      <c r="M717" s="33">
        <v>1</v>
      </c>
      <c r="N717" s="33"/>
      <c r="O717" s="33">
        <v>1</v>
      </c>
      <c r="P717" s="33">
        <f>VLOOKUP($C717,CHOOSE({1,2},怪物并表!$E$7:$E$1000,怪物并表!$D$7:$D$1000),2,FALSE)</f>
        <v>20</v>
      </c>
      <c r="Q717" s="33" t="s">
        <v>12</v>
      </c>
      <c r="R717" s="33">
        <f>VLOOKUP(Q717,怪物信息配置表!$A$2:$B$118,2,FALSE)</f>
        <v>1009</v>
      </c>
      <c r="S717" s="33">
        <v>1.1000000000000001</v>
      </c>
      <c r="T717" s="110">
        <f>VLOOKUP($C717,怪物并表!$E$7:$N$1000,2+($D717-1)*3,FALSE)*S717*AJ717</f>
        <v>8941.8021277316402</v>
      </c>
      <c r="U717" s="110">
        <f>VLOOKUP($C717,怪物并表!$E$7:$N$1000,3+($D717-1)*3,FALSE)*S717*AK717</f>
        <v>603.05311956521746</v>
      </c>
      <c r="V717" s="110">
        <f>VLOOKUP($C717,怪物并表!$E$7:$N$1000,4+($D717-1)*3,FALSE)*S717*AL717</f>
        <v>311.81384347826099</v>
      </c>
      <c r="W717" s="33"/>
      <c r="X717" s="33"/>
      <c r="Y717" s="49">
        <f>VLOOKUP($C717,怪物并表!$E$7:$P$1000,12,FALSE)</f>
        <v>0</v>
      </c>
      <c r="Z717" s="49">
        <f>VLOOKUP($C717,怪物并表!$E$7:$P$1000,11,FALSE)*S717</f>
        <v>1656.7760000000001</v>
      </c>
      <c r="AA717" s="33"/>
      <c r="AB717" s="33"/>
      <c r="AC717" s="33"/>
      <c r="AD717" s="33">
        <f t="shared" si="81"/>
        <v>0.8</v>
      </c>
      <c r="AE717" s="2">
        <f t="shared" si="83"/>
        <v>810</v>
      </c>
      <c r="AF717" s="2" t="str">
        <f>IF(ISBLANK(AM717),IF(O717=6,"",IF(O717=1,VLOOKUP(R717,怪物信息配置表!B:H,5,FALSE),IF(O717=2,VLOOKUP(R717,怪物信息配置表!B:H,6,FALSE),IF(OR(O717=3,O717=5),VLOOKUP(R717,怪物信息配置表!B:H,7,FALSE),"")))),AM717)</f>
        <v>ai_monster</v>
      </c>
      <c r="AG717" s="2"/>
      <c r="AH717" s="15">
        <f>SUMPRODUCT(T717:V717,$AN$3:$AP$3)+ROUNDDOWN(VLOOKUP(P717,CHOOSE({1,2},'[1]消耗&amp;价值&amp;分析'!$C$7:$C$106,'[1]消耗&amp;价值&amp;分析'!$AS$7:$AS$106),2,FALSE)*0.6,0)</f>
        <v>1632.539048152744</v>
      </c>
      <c r="AJ717" s="80">
        <v>1</v>
      </c>
      <c r="AK717" s="80">
        <v>1</v>
      </c>
      <c r="AL717" s="80">
        <v>1</v>
      </c>
    </row>
    <row r="718" spans="1:38">
      <c r="A718" s="33" t="str">
        <f>怪物并表!$R$14</f>
        <v>英雄之路</v>
      </c>
      <c r="B718" s="38">
        <v>11</v>
      </c>
      <c r="C718" s="33">
        <f t="shared" si="84"/>
        <v>1901</v>
      </c>
      <c r="D718" s="33">
        <v>3</v>
      </c>
      <c r="E718" s="33">
        <f>VLOOKUP(A718,怪物并表!$R$7:$S$14,2,FALSE)</f>
        <v>8</v>
      </c>
      <c r="F718" s="38">
        <v>0</v>
      </c>
      <c r="G718" s="38">
        <v>1</v>
      </c>
      <c r="H718" s="38">
        <v>6</v>
      </c>
      <c r="I718" s="33">
        <f t="shared" si="80"/>
        <v>801611</v>
      </c>
      <c r="J718" s="33" t="s">
        <v>499</v>
      </c>
      <c r="K718" s="33" t="s">
        <v>663</v>
      </c>
      <c r="L718" s="33">
        <v>0</v>
      </c>
      <c r="M718" s="33">
        <v>1.3</v>
      </c>
      <c r="N718" s="33"/>
      <c r="O718" s="33">
        <v>3</v>
      </c>
      <c r="P718" s="33">
        <f>VLOOKUP($C718,CHOOSE({1,2},怪物并表!$E$7:$E$1000,怪物并表!$D$7:$D$1000),2,FALSE)</f>
        <v>20</v>
      </c>
      <c r="Q718" s="33" t="s">
        <v>369</v>
      </c>
      <c r="R718" s="33">
        <f>VLOOKUP(Q718,怪物信息配置表!$A$2:$B$118,2,FALSE)</f>
        <v>1106</v>
      </c>
      <c r="S718" s="33">
        <v>1.1000000000000001</v>
      </c>
      <c r="T718" s="110">
        <f>VLOOKUP($C718,怪物并表!$E$7:$N$1000,2+($D718-1)*3,FALSE)*S718*AJ718</f>
        <v>27943.131649161376</v>
      </c>
      <c r="U718" s="110">
        <f>VLOOKUP($C718,怪物并表!$E$7:$N$1000,3+($D718-1)*3,FALSE)*S718*AK718</f>
        <v>705.08230434782638</v>
      </c>
      <c r="V718" s="110">
        <f>VLOOKUP($C718,怪物并表!$E$7:$N$1000,4+($D718-1)*3,FALSE)*S718*AL718</f>
        <v>430.60006956521755</v>
      </c>
      <c r="W718" s="33"/>
      <c r="X718" s="33"/>
      <c r="Y718" s="49">
        <f>VLOOKUP($C718,怪物并表!$E$7:$P$1000,12,FALSE)</f>
        <v>0</v>
      </c>
      <c r="Z718" s="49">
        <f>VLOOKUP($C718,怪物并表!$E$7:$P$1000,11,FALSE)*S718</f>
        <v>1656.7760000000001</v>
      </c>
      <c r="AA718" s="33"/>
      <c r="AB718" s="33"/>
      <c r="AC718" s="33"/>
      <c r="AD718" s="33">
        <f t="shared" si="81"/>
        <v>1.5</v>
      </c>
      <c r="AE718" s="2">
        <f t="shared" si="83"/>
        <v>518.75</v>
      </c>
      <c r="AF718" s="2" t="str">
        <f>IF(ISBLANK(AM718),IF(O718=6,"",IF(O718=1,VLOOKUP(R718,怪物信息配置表!B:H,5,FALSE),IF(O718=2,VLOOKUP(R718,怪物信息配置表!B:H,6,FALSE),IF(OR(O718=3,O718=5),VLOOKUP(R718,怪物信息配置表!B:H,7,FALSE),"")))),AM718)</f>
        <v>1106_shankou_BOSS</v>
      </c>
      <c r="AG718" s="2"/>
      <c r="AH718" s="15">
        <f>SUMPRODUCT(T718:V718,$AN$3:$AP$3)+ROUNDDOWN(VLOOKUP(P718,CHOOSE({1,2},'[1]消耗&amp;价值&amp;分析'!$C$7:$C$106,'[1]消耗&amp;价值&amp;分析'!$AS$7:$AS$106),2,FALSE)*0.6,0)</f>
        <v>2613.4076398794987</v>
      </c>
      <c r="AJ718" s="80">
        <v>1</v>
      </c>
      <c r="AK718" s="80">
        <v>1</v>
      </c>
      <c r="AL718" s="80">
        <v>1</v>
      </c>
    </row>
    <row r="719" spans="1:38">
      <c r="A719" s="33" t="str">
        <f>怪物并表!$R$14</f>
        <v>英雄之路</v>
      </c>
      <c r="B719" s="38">
        <v>12</v>
      </c>
      <c r="C719" s="33">
        <f t="shared" si="84"/>
        <v>1901</v>
      </c>
      <c r="D719" s="33">
        <v>2</v>
      </c>
      <c r="E719" s="33">
        <f>VLOOKUP(A719,怪物并表!$R$7:$S$14,2,FALSE)</f>
        <v>8</v>
      </c>
      <c r="F719" s="38">
        <v>0</v>
      </c>
      <c r="G719" s="38">
        <v>1</v>
      </c>
      <c r="H719" s="38">
        <v>6</v>
      </c>
      <c r="I719" s="33">
        <f t="shared" si="80"/>
        <v>801612</v>
      </c>
      <c r="J719" s="33" t="s">
        <v>532</v>
      </c>
      <c r="K719" s="33" t="s">
        <v>663</v>
      </c>
      <c r="L719" s="33">
        <v>0</v>
      </c>
      <c r="M719" s="33">
        <v>1.1000000000000001</v>
      </c>
      <c r="N719" s="33"/>
      <c r="O719" s="33">
        <v>1</v>
      </c>
      <c r="P719" s="33">
        <f>VLOOKUP($C719,CHOOSE({1,2},怪物并表!$E$7:$E$1000,怪物并表!$D$7:$D$1000),2,FALSE)</f>
        <v>20</v>
      </c>
      <c r="Q719" s="33" t="s">
        <v>399</v>
      </c>
      <c r="R719" s="33">
        <f>VLOOKUP(Q719,怪物信息配置表!$A$2:$B$118,2,FALSE)</f>
        <v>1014</v>
      </c>
      <c r="S719" s="33">
        <v>1.1000000000000001</v>
      </c>
      <c r="T719" s="110">
        <f>VLOOKUP($C719,怪物并表!$E$7:$N$1000,2+($D719-1)*3,FALSE)*S719*AJ719</f>
        <v>8941.8021277316402</v>
      </c>
      <c r="U719" s="110">
        <f>VLOOKUP($C719,怪物并表!$E$7:$N$1000,3+($D719-1)*3,FALSE)*S719*AK719</f>
        <v>603.05311956521746</v>
      </c>
      <c r="V719" s="110">
        <f>VLOOKUP($C719,怪物并表!$E$7:$N$1000,4+($D719-1)*3,FALSE)*S719*AL719</f>
        <v>311.81384347826099</v>
      </c>
      <c r="W719" s="33"/>
      <c r="X719" s="33"/>
      <c r="Y719" s="49">
        <f>VLOOKUP($C719,怪物并表!$E$7:$P$1000,12,FALSE)</f>
        <v>0</v>
      </c>
      <c r="Z719" s="49">
        <f>VLOOKUP($C719,怪物并表!$E$7:$P$1000,11,FALSE)*S719</f>
        <v>1656.7760000000001</v>
      </c>
      <c r="AA719" s="33"/>
      <c r="AB719" s="33"/>
      <c r="AC719" s="33"/>
      <c r="AD719" s="33">
        <f t="shared" si="81"/>
        <v>0.8</v>
      </c>
      <c r="AE719" s="2">
        <f t="shared" si="83"/>
        <v>650</v>
      </c>
      <c r="AF719" s="2" t="str">
        <f>IF(ISBLANK(AM719),IF(O719=6,"",IF(O719=1,VLOOKUP(R719,怪物信息配置表!B:H,5,FALSE),IF(O719=2,VLOOKUP(R719,怪物信息配置表!B:H,6,FALSE),IF(OR(O719=3,O719=5),VLOOKUP(R719,怪物信息配置表!B:H,7,FALSE),"")))),AM719)</f>
        <v>ai_monster_03</v>
      </c>
      <c r="AG719" s="2"/>
      <c r="AH719" s="15">
        <f>SUMPRODUCT(T719:V719,$AN$3:$AP$3)+ROUNDDOWN(VLOOKUP(P719,CHOOSE({1,2},'[1]消耗&amp;价值&amp;分析'!$C$7:$C$106,'[1]消耗&amp;价值&amp;分析'!$AS$7:$AS$106),2,FALSE)*0.6,0)</f>
        <v>1632.539048152744</v>
      </c>
      <c r="AJ719" s="80">
        <v>1</v>
      </c>
      <c r="AK719" s="80">
        <v>1</v>
      </c>
      <c r="AL719" s="80">
        <v>1</v>
      </c>
    </row>
    <row r="720" spans="1:38">
      <c r="A720" s="33" t="str">
        <f>怪物并表!$R$14</f>
        <v>英雄之路</v>
      </c>
      <c r="B720" s="38">
        <v>13</v>
      </c>
      <c r="C720" s="33">
        <f t="shared" si="84"/>
        <v>1902</v>
      </c>
      <c r="D720" s="33">
        <v>1</v>
      </c>
      <c r="E720" s="33">
        <f>VLOOKUP(A720,怪物并表!$R$7:$S$14,2,FALSE)</f>
        <v>8</v>
      </c>
      <c r="F720" s="38">
        <v>0</v>
      </c>
      <c r="G720" s="38">
        <v>2</v>
      </c>
      <c r="H720" s="38">
        <v>1</v>
      </c>
      <c r="I720" s="33">
        <f t="shared" si="80"/>
        <v>802113</v>
      </c>
      <c r="J720" s="33" t="s">
        <v>214</v>
      </c>
      <c r="K720" s="33" t="s">
        <v>575</v>
      </c>
      <c r="L720" s="33">
        <v>0</v>
      </c>
      <c r="M720" s="33">
        <v>1</v>
      </c>
      <c r="N720" s="33"/>
      <c r="O720" s="33">
        <v>1</v>
      </c>
      <c r="P720" s="33">
        <f>VLOOKUP($C720,CHOOSE({1,2},怪物并表!$E$7:$E$1000,怪物并表!$D$7:$D$1000),2,FALSE)</f>
        <v>20</v>
      </c>
      <c r="Q720" s="33" t="s">
        <v>10</v>
      </c>
      <c r="R720" s="33">
        <f>VLOOKUP(Q720,怪物信息配置表!$A$2:$B$118,2,FALSE)</f>
        <v>1001</v>
      </c>
      <c r="S720" s="33">
        <v>1</v>
      </c>
      <c r="T720" s="110">
        <f>VLOOKUP($C720,怪物并表!$E$7:$N$1000,2+($D720-1)*3,FALSE)*S720*AJ720</f>
        <v>6503.1288201684656</v>
      </c>
      <c r="U720" s="110">
        <f>VLOOKUP($C720,怪物并表!$E$7:$N$1000,3+($D720-1)*3,FALSE)*S720*AK720</f>
        <v>414.25239130434795</v>
      </c>
      <c r="V720" s="110">
        <f>VLOOKUP($C720,怪物并表!$E$7:$N$1000,4+($D720-1)*3,FALSE)*S720*AL720</f>
        <v>202.47652173913053</v>
      </c>
      <c r="W720" s="33"/>
      <c r="X720" s="33"/>
      <c r="Y720" s="49">
        <f>VLOOKUP($C720,怪物并表!$E$7:$P$1000,12,FALSE)</f>
        <v>0</v>
      </c>
      <c r="Z720" s="49">
        <f>VLOOKUP($C720,怪物并表!$E$7:$P$1000,11,FALSE)*S720</f>
        <v>1506.1599999999999</v>
      </c>
      <c r="AA720" s="33"/>
      <c r="AB720" s="33"/>
      <c r="AC720" s="33"/>
      <c r="AD720" s="33">
        <f t="shared" ref="AD720:AD729" si="85">IF(D720=1,1,IF(D720=2,0.8,1.5))</f>
        <v>1</v>
      </c>
      <c r="AE720" s="2">
        <f t="shared" si="83"/>
        <v>762.5</v>
      </c>
      <c r="AF720" s="2" t="str">
        <f>IF(ISBLANK(AM720),IF(O720=6,"",IF(O720=1,VLOOKUP(R720,怪物信息配置表!B:H,5,FALSE),IF(O720=2,VLOOKUP(R720,怪物信息配置表!B:H,6,FALSE),IF(OR(O720=3,O720=5),VLOOKUP(R720,怪物信息配置表!B:H,7,FALSE),"")))),AM720)</f>
        <v>ai_monster</v>
      </c>
      <c r="AG720" s="2"/>
      <c r="AH720" s="15">
        <f>SUMPRODUCT(T720:V720,$AN$3:$AP$3)+ROUNDDOWN(VLOOKUP(P720,CHOOSE({1,2},'[1]消耗&amp;价值&amp;分析'!$C$7:$C$106,'[1]消耗&amp;价值&amp;分析'!$AS$7:$AS$106),2,FALSE)*0.6,0)</f>
        <v>1236.854065850217</v>
      </c>
      <c r="AJ720" s="80">
        <v>1</v>
      </c>
      <c r="AK720" s="80">
        <v>1</v>
      </c>
      <c r="AL720" s="80">
        <v>1</v>
      </c>
    </row>
    <row r="721" spans="1:39">
      <c r="A721" s="33" t="str">
        <f>怪物并表!$R$14</f>
        <v>英雄之路</v>
      </c>
      <c r="B721" s="38">
        <v>14</v>
      </c>
      <c r="C721" s="33">
        <f t="shared" si="84"/>
        <v>1902</v>
      </c>
      <c r="D721" s="33">
        <v>1</v>
      </c>
      <c r="E721" s="33">
        <f>VLOOKUP(A721,怪物并表!$R$7:$S$14,2,FALSE)</f>
        <v>8</v>
      </c>
      <c r="F721" s="38">
        <v>0</v>
      </c>
      <c r="G721" s="38">
        <v>2</v>
      </c>
      <c r="H721" s="38">
        <v>1</v>
      </c>
      <c r="I721" s="33">
        <f t="shared" si="80"/>
        <v>802114</v>
      </c>
      <c r="J721" s="33" t="s">
        <v>448</v>
      </c>
      <c r="K721" s="33" t="s">
        <v>575</v>
      </c>
      <c r="L721" s="33">
        <v>0</v>
      </c>
      <c r="M721" s="33">
        <v>1</v>
      </c>
      <c r="N721" s="33"/>
      <c r="O721" s="33">
        <v>1</v>
      </c>
      <c r="P721" s="33">
        <f>VLOOKUP($C721,CHOOSE({1,2},怪物并表!$E$7:$E$1000,怪物并表!$D$7:$D$1000),2,FALSE)</f>
        <v>20</v>
      </c>
      <c r="Q721" s="33" t="s">
        <v>367</v>
      </c>
      <c r="R721" s="33">
        <f>VLOOKUP(Q721,怪物信息配置表!$A$2:$B$118,2,FALSE)</f>
        <v>1008</v>
      </c>
      <c r="S721" s="33">
        <v>1</v>
      </c>
      <c r="T721" s="110">
        <f>VLOOKUP($C721,怪物并表!$E$7:$N$1000,2+($D721-1)*3,FALSE)*S721*AJ721</f>
        <v>6503.1288201684656</v>
      </c>
      <c r="U721" s="110">
        <f>VLOOKUP($C721,怪物并表!$E$7:$N$1000,3+($D721-1)*3,FALSE)*S721*AK721</f>
        <v>414.25239130434795</v>
      </c>
      <c r="V721" s="110">
        <f>VLOOKUP($C721,怪物并表!$E$7:$N$1000,4+($D721-1)*3,FALSE)*S721*AL721</f>
        <v>202.47652173913053</v>
      </c>
      <c r="W721" s="33"/>
      <c r="X721" s="33"/>
      <c r="Y721" s="49">
        <f>VLOOKUP($C721,怪物并表!$E$7:$P$1000,12,FALSE)</f>
        <v>0</v>
      </c>
      <c r="Z721" s="49">
        <f>VLOOKUP($C721,怪物并表!$E$7:$P$1000,11,FALSE)*S721</f>
        <v>1506.1599999999999</v>
      </c>
      <c r="AA721" s="33"/>
      <c r="AB721" s="33"/>
      <c r="AC721" s="33"/>
      <c r="AD721" s="33">
        <f t="shared" si="85"/>
        <v>1</v>
      </c>
      <c r="AE721" s="2">
        <f t="shared" si="83"/>
        <v>762.5</v>
      </c>
      <c r="AF721" s="2" t="str">
        <f>IF(ISBLANK(AM721),IF(O721=6,"",IF(O721=1,VLOOKUP(R721,怪物信息配置表!B:H,5,FALSE),IF(O721=2,VLOOKUP(R721,怪物信息配置表!B:H,6,FALSE),IF(OR(O721=3,O721=5),VLOOKUP(R721,怪物信息配置表!B:H,7,FALSE),"")))),AM721)</f>
        <v>ai_monster</v>
      </c>
      <c r="AG721" s="2"/>
      <c r="AH721" s="15">
        <f>SUMPRODUCT(T721:V721,$AN$3:$AP$3)+ROUNDDOWN(VLOOKUP(P721,CHOOSE({1,2},'[1]消耗&amp;价值&amp;分析'!$C$7:$C$106,'[1]消耗&amp;价值&amp;分析'!$AS$7:$AS$106),2,FALSE)*0.6,0)</f>
        <v>1236.854065850217</v>
      </c>
      <c r="AJ721" s="80">
        <v>1</v>
      </c>
      <c r="AK721" s="80">
        <v>1</v>
      </c>
      <c r="AL721" s="80">
        <v>1</v>
      </c>
    </row>
    <row r="722" spans="1:39">
      <c r="A722" s="33" t="str">
        <f>怪物并表!$R$14</f>
        <v>英雄之路</v>
      </c>
      <c r="B722" s="38">
        <v>15</v>
      </c>
      <c r="C722" s="33">
        <f t="shared" si="84"/>
        <v>1902</v>
      </c>
      <c r="D722" s="33">
        <v>2</v>
      </c>
      <c r="E722" s="33">
        <f>VLOOKUP(A722,怪物并表!$R$7:$S$14,2,FALSE)</f>
        <v>8</v>
      </c>
      <c r="F722" s="38">
        <v>0</v>
      </c>
      <c r="G722" s="38">
        <v>2</v>
      </c>
      <c r="H722" s="38">
        <v>1</v>
      </c>
      <c r="I722" s="33">
        <f t="shared" si="80"/>
        <v>802115</v>
      </c>
      <c r="J722" s="33" t="s">
        <v>332</v>
      </c>
      <c r="K722" s="33" t="s">
        <v>576</v>
      </c>
      <c r="L722" s="33">
        <v>0</v>
      </c>
      <c r="M722" s="33">
        <v>1</v>
      </c>
      <c r="N722" s="33"/>
      <c r="O722" s="33">
        <v>1</v>
      </c>
      <c r="P722" s="33">
        <f>VLOOKUP($C722,CHOOSE({1,2},怪物并表!$E$7:$E$1000,怪物并表!$D$7:$D$1000),2,FALSE)</f>
        <v>20</v>
      </c>
      <c r="Q722" s="33" t="s">
        <v>14</v>
      </c>
      <c r="R722" s="33">
        <f>VLOOKUP(Q722,怪物信息配置表!$A$2:$B$118,2,FALSE)</f>
        <v>1010</v>
      </c>
      <c r="S722" s="33">
        <v>1</v>
      </c>
      <c r="T722" s="110">
        <f>VLOOKUP($C722,怪物并表!$E$7:$N$1000,2+($D722-1)*3,FALSE)*S722*AJ722</f>
        <v>5202.503056134773</v>
      </c>
      <c r="U722" s="110">
        <f>VLOOKUP($C722,怪物并表!$E$7:$N$1000,3+($D722-1)*3,FALSE)*S722*AK722</f>
        <v>399.82402173913056</v>
      </c>
      <c r="V722" s="110">
        <f>VLOOKUP($C722,怪物并表!$E$7:$N$1000,4+($D722-1)*3,FALSE)*S722*AL722</f>
        <v>121.48591304347838</v>
      </c>
      <c r="W722" s="33"/>
      <c r="X722" s="33"/>
      <c r="Y722" s="49">
        <f>VLOOKUP($C722,怪物并表!$E$7:$P$1000,12,FALSE)</f>
        <v>0</v>
      </c>
      <c r="Z722" s="49">
        <f>VLOOKUP($C722,怪物并表!$E$7:$P$1000,11,FALSE)*S722</f>
        <v>1506.1599999999999</v>
      </c>
      <c r="AA722" s="33"/>
      <c r="AB722" s="33"/>
      <c r="AC722" s="33"/>
      <c r="AD722" s="33">
        <f t="shared" si="85"/>
        <v>0.8</v>
      </c>
      <c r="AE722" s="2">
        <f t="shared" si="83"/>
        <v>810</v>
      </c>
      <c r="AF722" s="2" t="str">
        <f>IF(ISBLANK(AM722),IF(O722=6,"",IF(O722=1,VLOOKUP(R722,怪物信息配置表!B:H,5,FALSE),IF(O722=2,VLOOKUP(R722,怪物信息配置表!B:H,6,FALSE),IF(OR(O722=3,O722=5),VLOOKUP(R722,怪物信息配置表!B:H,7,FALSE),"")))),AM722)</f>
        <v>ai_monster</v>
      </c>
      <c r="AG722" s="2"/>
      <c r="AH722" s="15">
        <f>SUMPRODUCT(T722:V722,$AN$3:$AP$3)+ROUNDDOWN(VLOOKUP(P722,CHOOSE({1,2},'[1]消耗&amp;价值&amp;分析'!$C$7:$C$106,'[1]消耗&amp;价值&amp;分析'!$AS$7:$AS$106),2,FALSE)*0.6,0)</f>
        <v>1089.4100570279998</v>
      </c>
      <c r="AJ722" s="80">
        <v>1</v>
      </c>
      <c r="AK722" s="80">
        <v>1</v>
      </c>
      <c r="AL722" s="80">
        <v>1</v>
      </c>
    </row>
    <row r="723" spans="1:39">
      <c r="A723" s="33" t="str">
        <f>怪物并表!$R$14</f>
        <v>英雄之路</v>
      </c>
      <c r="B723" s="38">
        <v>16</v>
      </c>
      <c r="C723" s="33">
        <f t="shared" si="84"/>
        <v>1902</v>
      </c>
      <c r="D723" s="33">
        <v>2</v>
      </c>
      <c r="E723" s="33">
        <f>VLOOKUP(A723,怪物并表!$R$7:$S$14,2,FALSE)</f>
        <v>8</v>
      </c>
      <c r="F723" s="38">
        <v>0</v>
      </c>
      <c r="G723" s="38">
        <v>2</v>
      </c>
      <c r="H723" s="38">
        <v>1</v>
      </c>
      <c r="I723" s="33">
        <f t="shared" si="80"/>
        <v>802116</v>
      </c>
      <c r="J723" s="33" t="s">
        <v>36</v>
      </c>
      <c r="K723" s="33" t="s">
        <v>575</v>
      </c>
      <c r="L723" s="33">
        <v>0</v>
      </c>
      <c r="M723" s="33">
        <v>1</v>
      </c>
      <c r="N723" s="33"/>
      <c r="O723" s="33">
        <v>1</v>
      </c>
      <c r="P723" s="33">
        <f>VLOOKUP($C723,CHOOSE({1,2},怪物并表!$E$7:$E$1000,怪物并表!$D$7:$D$1000),2,FALSE)</f>
        <v>20</v>
      </c>
      <c r="Q723" s="33" t="s">
        <v>9</v>
      </c>
      <c r="R723" s="33">
        <f>VLOOKUP(Q723,怪物信息配置表!$A$2:$B$118,2,FALSE)</f>
        <v>1003</v>
      </c>
      <c r="S723" s="33">
        <v>0.8</v>
      </c>
      <c r="T723" s="110">
        <f>VLOOKUP($C723,怪物并表!$E$7:$N$1000,2+($D723-1)*3,FALSE)*S723*AJ723</f>
        <v>4162.0024449078182</v>
      </c>
      <c r="U723" s="110">
        <f>VLOOKUP($C723,怪物并表!$E$7:$N$1000,3+($D723-1)*3,FALSE)*S723*AK723</f>
        <v>319.85921739130447</v>
      </c>
      <c r="V723" s="110">
        <f>VLOOKUP($C723,怪物并表!$E$7:$N$1000,4+($D723-1)*3,FALSE)*S723*AL723</f>
        <v>97.188730434782713</v>
      </c>
      <c r="W723" s="33"/>
      <c r="X723" s="33"/>
      <c r="Y723" s="49">
        <f>VLOOKUP($C723,怪物并表!$E$7:$P$1000,12,FALSE)</f>
        <v>0</v>
      </c>
      <c r="Z723" s="49">
        <f>VLOOKUP($C723,怪物并表!$E$7:$P$1000,11,FALSE)*S723</f>
        <v>1204.9279999999999</v>
      </c>
      <c r="AA723" s="33"/>
      <c r="AB723" s="33"/>
      <c r="AC723" s="33"/>
      <c r="AD723" s="33">
        <f t="shared" si="85"/>
        <v>0.8</v>
      </c>
      <c r="AE723" s="2">
        <f t="shared" si="83"/>
        <v>810</v>
      </c>
      <c r="AF723" s="2" t="str">
        <f>IF(ISBLANK(AM723),IF(O723=6,"",IF(O723=1,VLOOKUP(R723,怪物信息配置表!B:H,5,FALSE),IF(O723=2,VLOOKUP(R723,怪物信息配置表!B:H,6,FALSE),IF(OR(O723=3,O723=5),VLOOKUP(R723,怪物信息配置表!B:H,7,FALSE),"")))),AM723)</f>
        <v>ai_monster_02</v>
      </c>
      <c r="AG723" s="2"/>
      <c r="AH723" s="15">
        <f>SUMPRODUCT(T723:V723,$AN$3:$AP$3)+ROUNDDOWN(VLOOKUP(P723,CHOOSE({1,2},'[1]消耗&amp;价值&amp;分析'!$C$7:$C$106,'[1]消耗&amp;价值&amp;分析'!$AS$7:$AS$106),2,FALSE)*0.6,0)</f>
        <v>943.52804562239999</v>
      </c>
      <c r="AJ723" s="80">
        <v>1</v>
      </c>
      <c r="AK723" s="80">
        <v>1</v>
      </c>
      <c r="AL723" s="80">
        <v>1</v>
      </c>
    </row>
    <row r="724" spans="1:39">
      <c r="A724" s="33" t="str">
        <f>怪物并表!$R$14</f>
        <v>英雄之路</v>
      </c>
      <c r="B724" s="38">
        <v>17</v>
      </c>
      <c r="C724" s="33">
        <f t="shared" si="84"/>
        <v>1902</v>
      </c>
      <c r="D724" s="33">
        <v>2</v>
      </c>
      <c r="E724" s="33">
        <f>VLOOKUP(A724,怪物并表!$R$7:$S$14,2,FALSE)</f>
        <v>8</v>
      </c>
      <c r="F724" s="38">
        <v>0</v>
      </c>
      <c r="G724" s="38">
        <v>2</v>
      </c>
      <c r="H724" s="38">
        <v>1</v>
      </c>
      <c r="I724" s="33">
        <f t="shared" si="80"/>
        <v>802117</v>
      </c>
      <c r="J724" s="33" t="s">
        <v>329</v>
      </c>
      <c r="K724" s="33" t="s">
        <v>576</v>
      </c>
      <c r="L724" s="33">
        <v>0</v>
      </c>
      <c r="M724" s="33">
        <v>1</v>
      </c>
      <c r="N724" s="33"/>
      <c r="O724" s="33">
        <v>1</v>
      </c>
      <c r="P724" s="33">
        <f>VLOOKUP($C724,CHOOSE({1,2},怪物并表!$E$7:$E$1000,怪物并表!$D$7:$D$1000),2,FALSE)</f>
        <v>20</v>
      </c>
      <c r="Q724" s="33" t="s">
        <v>15</v>
      </c>
      <c r="R724" s="33">
        <f>VLOOKUP(Q724,怪物信息配置表!$A$2:$B$118,2,FALSE)</f>
        <v>1004</v>
      </c>
      <c r="S724" s="33">
        <v>1</v>
      </c>
      <c r="T724" s="110">
        <f>VLOOKUP($C724,怪物并表!$E$7:$N$1000,2+($D724-1)*3,FALSE)*S724*AJ724</f>
        <v>5202.503056134773</v>
      </c>
      <c r="U724" s="110">
        <f>VLOOKUP($C724,怪物并表!$E$7:$N$1000,3+($D724-1)*3,FALSE)*S724*AK724</f>
        <v>399.82402173913056</v>
      </c>
      <c r="V724" s="110">
        <f>VLOOKUP($C724,怪物并表!$E$7:$N$1000,4+($D724-1)*3,FALSE)*S724*AL724</f>
        <v>121.48591304347838</v>
      </c>
      <c r="W724" s="33"/>
      <c r="X724" s="33"/>
      <c r="Y724" s="49">
        <f>VLOOKUP($C724,怪物并表!$E$7:$P$1000,12,FALSE)</f>
        <v>0</v>
      </c>
      <c r="Z724" s="49">
        <f>VLOOKUP($C724,怪物并表!$E$7:$P$1000,11,FALSE)*S724</f>
        <v>1506.1599999999999</v>
      </c>
      <c r="AA724" s="33"/>
      <c r="AB724" s="33"/>
      <c r="AC724" s="33"/>
      <c r="AD724" s="33">
        <f t="shared" si="85"/>
        <v>0.8</v>
      </c>
      <c r="AE724" s="2">
        <f t="shared" si="83"/>
        <v>810</v>
      </c>
      <c r="AF724" s="2" t="str">
        <f>IF(ISBLANK(AM724),IF(O724=6,"",IF(O724=1,VLOOKUP(R724,怪物信息配置表!B:H,5,FALSE),IF(O724=2,VLOOKUP(R724,怪物信息配置表!B:H,6,FALSE),IF(OR(O724=3,O724=5),VLOOKUP(R724,怪物信息配置表!B:H,7,FALSE),"")))),AM724)</f>
        <v>ai_monster</v>
      </c>
      <c r="AG724" s="2"/>
      <c r="AH724" s="15">
        <f>SUMPRODUCT(T724:V724,$AN$3:$AP$3)+ROUNDDOWN(VLOOKUP(P724,CHOOSE({1,2},'[1]消耗&amp;价值&amp;分析'!$C$7:$C$106,'[1]消耗&amp;价值&amp;分析'!$AS$7:$AS$106),2,FALSE)*0.6,0)</f>
        <v>1089.4100570279998</v>
      </c>
      <c r="AJ724" s="80">
        <v>1</v>
      </c>
      <c r="AK724" s="80">
        <v>1</v>
      </c>
      <c r="AL724" s="80">
        <v>1</v>
      </c>
    </row>
    <row r="725" spans="1:39">
      <c r="A725" s="33" t="str">
        <f>怪物并表!$R$14</f>
        <v>英雄之路</v>
      </c>
      <c r="B725" s="38">
        <v>18</v>
      </c>
      <c r="C725" s="33">
        <f t="shared" si="84"/>
        <v>1903</v>
      </c>
      <c r="D725" s="33">
        <v>1</v>
      </c>
      <c r="E725" s="33">
        <f>VLOOKUP(A725,怪物并表!$R$7:$S$14,2,FALSE)</f>
        <v>8</v>
      </c>
      <c r="F725" s="38">
        <v>0</v>
      </c>
      <c r="G725" s="38">
        <v>3</v>
      </c>
      <c r="H725" s="38">
        <v>1</v>
      </c>
      <c r="I725" s="33">
        <f t="shared" si="80"/>
        <v>803118</v>
      </c>
      <c r="J725" s="33" t="s">
        <v>457</v>
      </c>
      <c r="K725" s="33" t="s">
        <v>577</v>
      </c>
      <c r="L725" s="33">
        <v>0</v>
      </c>
      <c r="M725" s="33">
        <v>1</v>
      </c>
      <c r="N725" s="33"/>
      <c r="O725" s="33">
        <v>3</v>
      </c>
      <c r="P725" s="33">
        <f>VLOOKUP($C725,CHOOSE({1,2},怪物并表!$E$7:$E$1000,怪物并表!$D$7:$D$1000),2,FALSE)</f>
        <v>20</v>
      </c>
      <c r="Q725" s="33" t="s">
        <v>396</v>
      </c>
      <c r="R725" s="33">
        <f>VLOOKUP(Q725,怪物信息配置表!$A$2:$B$118,2,FALSE)</f>
        <v>2008</v>
      </c>
      <c r="S725" s="33">
        <v>1</v>
      </c>
      <c r="T725" s="110">
        <f>VLOOKUP($C725,怪物并表!$E$7:$N$1000,2+($D725-1)*3,FALSE)*S725*AJ725</f>
        <v>4877.3466151263492</v>
      </c>
      <c r="U725" s="110">
        <f>VLOOKUP($C725,怪物并表!$E$7:$N$1000,3+($D725-1)*3,FALSE)*S725*AK725</f>
        <v>496.70021739130448</v>
      </c>
      <c r="V725" s="110">
        <f>VLOOKUP($C725,怪物并表!$E$7:$N$1000,4+($D725-1)*3,FALSE)*S725*AL725</f>
        <v>242.97182608695664</v>
      </c>
      <c r="W725" s="33"/>
      <c r="X725" s="33"/>
      <c r="Y725" s="49">
        <f>VLOOKUP($C725,怪物并表!$E$7:$P$1000,12,FALSE)</f>
        <v>0</v>
      </c>
      <c r="Z725" s="49">
        <f>VLOOKUP($C725,怪物并表!$E$7:$P$1000,11,FALSE)*S725</f>
        <v>1506.1599999999999</v>
      </c>
      <c r="AA725" s="33"/>
      <c r="AB725" s="33"/>
      <c r="AC725" s="33"/>
      <c r="AD725" s="33">
        <f t="shared" si="85"/>
        <v>1</v>
      </c>
      <c r="AE725" s="2">
        <f t="shared" si="83"/>
        <v>762.5</v>
      </c>
      <c r="AF725" s="2">
        <f>IF(ISBLANK(AM725),IF(O725=6,"",IF(O725=1,VLOOKUP(R725,怪物信息配置表!B:H,5,FALSE),IF(O725=2,VLOOKUP(R725,怪物信息配置表!B:H,6,FALSE),IF(OR(O725=3,O725=5),VLOOKUP(R725,怪物信息配置表!B:H,7,FALSE),"")))),AM725)</f>
        <v>0</v>
      </c>
      <c r="AG725" s="2"/>
      <c r="AH725" s="15">
        <f>SUMPRODUCT(T725:V725,$AN$3:$AP$3)+ROUNDDOWN(VLOOKUP(P725,CHOOSE({1,2},'[1]消耗&amp;价值&amp;分析'!$C$7:$C$106,'[1]消耗&amp;价值&amp;分析'!$AS$7:$AS$106),2,FALSE)*0.6,0)</f>
        <v>1294.765908083315</v>
      </c>
      <c r="AJ725" s="80">
        <v>0.5</v>
      </c>
      <c r="AK725" s="80">
        <v>1</v>
      </c>
      <c r="AL725" s="80">
        <v>1.2</v>
      </c>
      <c r="AM725" s="101"/>
    </row>
    <row r="726" spans="1:39">
      <c r="A726" s="33" t="str">
        <f>怪物并表!$R$14</f>
        <v>英雄之路</v>
      </c>
      <c r="B726" s="38">
        <v>19</v>
      </c>
      <c r="C726" s="33">
        <f t="shared" si="84"/>
        <v>1903</v>
      </c>
      <c r="D726" s="33">
        <v>1</v>
      </c>
      <c r="E726" s="33">
        <f>VLOOKUP(A726,怪物并表!$R$7:$S$14,2,FALSE)</f>
        <v>8</v>
      </c>
      <c r="F726" s="38">
        <v>0</v>
      </c>
      <c r="G726" s="38">
        <v>3</v>
      </c>
      <c r="H726" s="38">
        <v>1</v>
      </c>
      <c r="I726" s="33">
        <f t="shared" si="80"/>
        <v>803119</v>
      </c>
      <c r="J726" s="33" t="s">
        <v>214</v>
      </c>
      <c r="K726" s="33" t="s">
        <v>578</v>
      </c>
      <c r="L726" s="33">
        <v>0</v>
      </c>
      <c r="M726" s="33">
        <v>1</v>
      </c>
      <c r="N726" s="33"/>
      <c r="O726" s="33">
        <v>1</v>
      </c>
      <c r="P726" s="33">
        <f>VLOOKUP($C726,CHOOSE({1,2},怪物并表!$E$7:$E$1000,怪物并表!$D$7:$D$1000),2,FALSE)</f>
        <v>20</v>
      </c>
      <c r="Q726" s="33" t="s">
        <v>10</v>
      </c>
      <c r="R726" s="33">
        <f>VLOOKUP(Q726,怪物信息配置表!$A$2:$B$118,2,FALSE)</f>
        <v>1001</v>
      </c>
      <c r="S726" s="33">
        <v>1</v>
      </c>
      <c r="T726" s="110">
        <f>VLOOKUP($C726,怪物并表!$E$7:$N$1000,2+($D726-1)*3,FALSE)*S726*AJ726</f>
        <v>9754.6932302526984</v>
      </c>
      <c r="U726" s="110">
        <f>VLOOKUP($C726,怪物并表!$E$7:$N$1000,3+($D726-1)*3,FALSE)*S726*AK726</f>
        <v>496.70021739130448</v>
      </c>
      <c r="V726" s="110">
        <f>VLOOKUP($C726,怪物并表!$E$7:$N$1000,4+($D726-1)*3,FALSE)*S726*AL726</f>
        <v>202.47652173913053</v>
      </c>
      <c r="W726" s="33"/>
      <c r="X726" s="33"/>
      <c r="Y726" s="49">
        <f>VLOOKUP($C726,怪物并表!$E$7:$P$1000,12,FALSE)</f>
        <v>0</v>
      </c>
      <c r="Z726" s="49">
        <f>VLOOKUP($C726,怪物并表!$E$7:$P$1000,11,FALSE)*S726</f>
        <v>1506.1599999999999</v>
      </c>
      <c r="AA726" s="33"/>
      <c r="AB726" s="33"/>
      <c r="AC726" s="33"/>
      <c r="AD726" s="33">
        <f t="shared" si="85"/>
        <v>1</v>
      </c>
      <c r="AE726" s="2">
        <f t="shared" si="83"/>
        <v>762.5</v>
      </c>
      <c r="AF726" s="2" t="str">
        <f>IF(ISBLANK(AM726),IF(O726=6,"",IF(O726=1,VLOOKUP(R726,怪物信息配置表!B:H,5,FALSE),IF(O726=2,VLOOKUP(R726,怪物信息配置表!B:H,6,FALSE),IF(OR(O726=3,O726=5),VLOOKUP(R726,怪物信息配置表!B:H,7,FALSE),"")))),AM726)</f>
        <v>HSai_monster</v>
      </c>
      <c r="AG726" s="2"/>
      <c r="AH726" s="15">
        <f>SUMPRODUCT(T726:V726,$AN$3:$AP$3)+ROUNDDOWN(VLOOKUP(P726,CHOOSE({1,2},'[1]消耗&amp;价值&amp;分析'!$C$7:$C$106,'[1]消耗&amp;价值&amp;分析'!$AS$7:$AS$106),2,FALSE)*0.6,0)</f>
        <v>1449.364468340543</v>
      </c>
      <c r="AJ726" s="80">
        <v>1</v>
      </c>
      <c r="AK726" s="80">
        <v>1</v>
      </c>
      <c r="AL726" s="80">
        <v>1</v>
      </c>
      <c r="AM726" s="101" t="s">
        <v>669</v>
      </c>
    </row>
    <row r="727" spans="1:39">
      <c r="A727" s="33" t="str">
        <f>怪物并表!$R$14</f>
        <v>英雄之路</v>
      </c>
      <c r="B727" s="38">
        <v>20</v>
      </c>
      <c r="C727" s="33">
        <f t="shared" si="84"/>
        <v>1903</v>
      </c>
      <c r="D727" s="33">
        <v>1</v>
      </c>
      <c r="E727" s="33">
        <f>VLOOKUP(A727,怪物并表!$R$7:$S$14,2,FALSE)</f>
        <v>8</v>
      </c>
      <c r="F727" s="38">
        <v>0</v>
      </c>
      <c r="G727" s="38">
        <v>3</v>
      </c>
      <c r="H727" s="38">
        <v>1</v>
      </c>
      <c r="I727" s="33">
        <f t="shared" si="80"/>
        <v>803120</v>
      </c>
      <c r="J727" s="33" t="s">
        <v>448</v>
      </c>
      <c r="K727" s="33" t="s">
        <v>579</v>
      </c>
      <c r="L727" s="33">
        <v>0</v>
      </c>
      <c r="M727" s="33">
        <v>1</v>
      </c>
      <c r="N727" s="33"/>
      <c r="O727" s="33">
        <v>1</v>
      </c>
      <c r="P727" s="33">
        <f>VLOOKUP($C727,CHOOSE({1,2},怪物并表!$E$7:$E$1000,怪物并表!$D$7:$D$1000),2,FALSE)</f>
        <v>20</v>
      </c>
      <c r="Q727" s="33" t="s">
        <v>367</v>
      </c>
      <c r="R727" s="33">
        <f>VLOOKUP(Q727,怪物信息配置表!$A$2:$B$118,2,FALSE)</f>
        <v>1008</v>
      </c>
      <c r="S727" s="33">
        <v>1</v>
      </c>
      <c r="T727" s="110">
        <f>VLOOKUP($C727,怪物并表!$E$7:$N$1000,2+($D727-1)*3,FALSE)*S727*AJ727</f>
        <v>9754.6932302526984</v>
      </c>
      <c r="U727" s="110">
        <f>VLOOKUP($C727,怪物并表!$E$7:$N$1000,3+($D727-1)*3,FALSE)*S727*AK727</f>
        <v>496.70021739130448</v>
      </c>
      <c r="V727" s="110">
        <f>VLOOKUP($C727,怪物并表!$E$7:$N$1000,4+($D727-1)*3,FALSE)*S727*AL727</f>
        <v>202.47652173913053</v>
      </c>
      <c r="W727" s="33"/>
      <c r="X727" s="33"/>
      <c r="Y727" s="49">
        <f>VLOOKUP($C727,怪物并表!$E$7:$P$1000,12,FALSE)</f>
        <v>0</v>
      </c>
      <c r="Z727" s="49">
        <f>VLOOKUP($C727,怪物并表!$E$7:$P$1000,11,FALSE)*S727</f>
        <v>1506.1599999999999</v>
      </c>
      <c r="AA727" s="33"/>
      <c r="AB727" s="33"/>
      <c r="AC727" s="33"/>
      <c r="AD727" s="33">
        <f t="shared" si="85"/>
        <v>1</v>
      </c>
      <c r="AE727" s="2">
        <f t="shared" si="83"/>
        <v>762.5</v>
      </c>
      <c r="AF727" s="2" t="str">
        <f>IF(ISBLANK(AM727),IF(O727=6,"",IF(O727=1,VLOOKUP(R727,怪物信息配置表!B:H,5,FALSE),IF(O727=2,VLOOKUP(R727,怪物信息配置表!B:H,6,FALSE),IF(OR(O727=3,O727=5),VLOOKUP(R727,怪物信息配置表!B:H,7,FALSE),"")))),AM727)</f>
        <v>HSai_monster</v>
      </c>
      <c r="AG727" s="2"/>
      <c r="AH727" s="15">
        <f>SUMPRODUCT(T727:V727,$AN$3:$AP$3)+ROUNDDOWN(VLOOKUP(P727,CHOOSE({1,2},'[1]消耗&amp;价值&amp;分析'!$C$7:$C$106,'[1]消耗&amp;价值&amp;分析'!$AS$7:$AS$106),2,FALSE)*0.6,0)</f>
        <v>1449.364468340543</v>
      </c>
      <c r="AJ727" s="80">
        <v>1</v>
      </c>
      <c r="AK727" s="80">
        <v>1</v>
      </c>
      <c r="AL727" s="80">
        <v>1</v>
      </c>
      <c r="AM727" s="101" t="s">
        <v>669</v>
      </c>
    </row>
    <row r="728" spans="1:39">
      <c r="A728" s="33" t="str">
        <f>怪物并表!$R$14</f>
        <v>英雄之路</v>
      </c>
      <c r="B728" s="38">
        <v>21</v>
      </c>
      <c r="C728" s="33">
        <f t="shared" si="84"/>
        <v>1903</v>
      </c>
      <c r="D728" s="33">
        <v>2</v>
      </c>
      <c r="E728" s="33">
        <f>VLOOKUP(A728,怪物并表!$R$7:$S$14,2,FALSE)</f>
        <v>8</v>
      </c>
      <c r="F728" s="38">
        <v>0</v>
      </c>
      <c r="G728" s="38">
        <v>3</v>
      </c>
      <c r="H728" s="38">
        <v>1</v>
      </c>
      <c r="I728" s="33">
        <f t="shared" si="80"/>
        <v>803121</v>
      </c>
      <c r="J728" s="33" t="s">
        <v>463</v>
      </c>
      <c r="K728" s="33" t="s">
        <v>579</v>
      </c>
      <c r="L728" s="33">
        <v>0</v>
      </c>
      <c r="M728" s="33">
        <v>1</v>
      </c>
      <c r="N728" s="33"/>
      <c r="O728" s="33">
        <v>1</v>
      </c>
      <c r="P728" s="33">
        <f>VLOOKUP($C728,CHOOSE({1,2},怪物并表!$E$7:$E$1000,怪物并表!$D$7:$D$1000),2,FALSE)</f>
        <v>20</v>
      </c>
      <c r="Q728" s="33" t="s">
        <v>17</v>
      </c>
      <c r="R728" s="33">
        <f>VLOOKUP(Q728,怪物信息配置表!$A$2:$B$118,2,FALSE)</f>
        <v>1005</v>
      </c>
      <c r="S728" s="33">
        <v>1</v>
      </c>
      <c r="T728" s="110">
        <f>VLOOKUP($C728,怪物并表!$E$7:$N$1000,2+($D728-1)*3,FALSE)*S728*AJ728</f>
        <v>7803.7545842021582</v>
      </c>
      <c r="U728" s="110">
        <f>VLOOKUP($C728,怪物并表!$E$7:$N$1000,3+($D728-1)*3,FALSE)*S728*AK728</f>
        <v>474.0270652173914</v>
      </c>
      <c r="V728" s="110">
        <f>VLOOKUP($C728,怪物并表!$E$7:$N$1000,4+($D728-1)*3,FALSE)*S728*AL728</f>
        <v>121.48591304347838</v>
      </c>
      <c r="W728" s="33"/>
      <c r="X728" s="33"/>
      <c r="Y728" s="49">
        <f>VLOOKUP($C728,怪物并表!$E$7:$P$1000,12,FALSE)</f>
        <v>0</v>
      </c>
      <c r="Z728" s="49">
        <f>VLOOKUP($C728,怪物并表!$E$7:$P$1000,11,FALSE)*S728</f>
        <v>1506.1599999999999</v>
      </c>
      <c r="AA728" s="33"/>
      <c r="AB728" s="33"/>
      <c r="AC728" s="33"/>
      <c r="AD728" s="33">
        <f t="shared" si="85"/>
        <v>0.8</v>
      </c>
      <c r="AE728" s="2">
        <f t="shared" si="83"/>
        <v>810</v>
      </c>
      <c r="AF728" s="2" t="str">
        <f>IF(ISBLANK(AM728),IF(O728=6,"",IF(O728=1,VLOOKUP(R728,怪物信息配置表!B:H,5,FALSE),IF(O728=2,VLOOKUP(R728,怪物信息配置表!B:H,6,FALSE),IF(OR(O728=3,O728=5),VLOOKUP(R728,怪物信息配置表!B:H,7,FALSE),"")))),AM728)</f>
        <v>HSai_monster_02</v>
      </c>
      <c r="AG728" s="2"/>
      <c r="AH728" s="15">
        <f>SUMPRODUCT(T728:V728,$AN$3:$AP$3)+ROUNDDOWN(VLOOKUP(P728,CHOOSE({1,2},'[1]消耗&amp;价值&amp;分析'!$C$7:$C$106,'[1]消耗&amp;价值&amp;分析'!$AS$7:$AS$106),2,FALSE)*0.6,0)</f>
        <v>1267.663161628956</v>
      </c>
      <c r="AJ728" s="80">
        <v>1</v>
      </c>
      <c r="AK728" s="80">
        <v>1</v>
      </c>
      <c r="AL728" s="80">
        <v>1</v>
      </c>
      <c r="AM728" s="101" t="s">
        <v>670</v>
      </c>
    </row>
    <row r="729" spans="1:39">
      <c r="A729" s="33" t="str">
        <f>怪物并表!$R$14</f>
        <v>英雄之路</v>
      </c>
      <c r="B729" s="38">
        <v>22</v>
      </c>
      <c r="C729" s="33">
        <f t="shared" si="84"/>
        <v>1903</v>
      </c>
      <c r="D729" s="33">
        <v>2</v>
      </c>
      <c r="E729" s="33">
        <f>VLOOKUP(A729,怪物并表!$R$7:$S$14,2,FALSE)</f>
        <v>8</v>
      </c>
      <c r="F729" s="38">
        <v>0</v>
      </c>
      <c r="G729" s="38">
        <v>3</v>
      </c>
      <c r="H729" s="38">
        <v>1</v>
      </c>
      <c r="I729" s="33">
        <f t="shared" si="80"/>
        <v>803122</v>
      </c>
      <c r="J729" s="33" t="s">
        <v>36</v>
      </c>
      <c r="K729" s="33" t="s">
        <v>580</v>
      </c>
      <c r="L729" s="33">
        <v>0</v>
      </c>
      <c r="M729" s="33">
        <v>1</v>
      </c>
      <c r="N729" s="33"/>
      <c r="O729" s="33">
        <v>1</v>
      </c>
      <c r="P729" s="33">
        <f>VLOOKUP($C729,CHOOSE({1,2},怪物并表!$E$7:$E$1000,怪物并表!$D$7:$D$1000),2,FALSE)</f>
        <v>20</v>
      </c>
      <c r="Q729" s="33" t="s">
        <v>9</v>
      </c>
      <c r="R729" s="33">
        <f>VLOOKUP(Q729,怪物信息配置表!$A$2:$B$118,2,FALSE)</f>
        <v>1003</v>
      </c>
      <c r="S729" s="33">
        <v>1</v>
      </c>
      <c r="T729" s="110">
        <f>VLOOKUP($C729,怪物并表!$E$7:$N$1000,2+($D729-1)*3,FALSE)*S729*AJ729</f>
        <v>7803.7545842021582</v>
      </c>
      <c r="U729" s="110">
        <f>VLOOKUP($C729,怪物并表!$E$7:$N$1000,3+($D729-1)*3,FALSE)*S729*AK729</f>
        <v>474.0270652173914</v>
      </c>
      <c r="V729" s="110">
        <f>VLOOKUP($C729,怪物并表!$E$7:$N$1000,4+($D729-1)*3,FALSE)*S729*AL729</f>
        <v>121.48591304347838</v>
      </c>
      <c r="W729" s="33"/>
      <c r="X729" s="33"/>
      <c r="Y729" s="49">
        <f>VLOOKUP($C729,怪物并表!$E$7:$P$1000,12,FALSE)</f>
        <v>0</v>
      </c>
      <c r="Z729" s="49">
        <f>VLOOKUP($C729,怪物并表!$E$7:$P$1000,11,FALSE)*S729</f>
        <v>1506.1599999999999</v>
      </c>
      <c r="AA729" s="33"/>
      <c r="AB729" s="33"/>
      <c r="AC729" s="33"/>
      <c r="AD729" s="33">
        <f t="shared" si="85"/>
        <v>0.8</v>
      </c>
      <c r="AE729" s="2">
        <f t="shared" si="83"/>
        <v>810</v>
      </c>
      <c r="AF729" s="2" t="str">
        <f>IF(ISBLANK(AM729),IF(O729=6,"",IF(O729=1,VLOOKUP(R729,怪物信息配置表!B:H,5,FALSE),IF(O729=2,VLOOKUP(R729,怪物信息配置表!B:H,6,FALSE),IF(OR(O729=3,O729=5),VLOOKUP(R729,怪物信息配置表!B:H,7,FALSE),"")))),AM729)</f>
        <v>HSai_monster_02</v>
      </c>
      <c r="AG729" s="2"/>
      <c r="AH729" s="15">
        <f>SUMPRODUCT(T729:V729,$AN$3:$AP$3)+ROUNDDOWN(VLOOKUP(P729,CHOOSE({1,2},'[1]消耗&amp;价值&amp;分析'!$C$7:$C$106,'[1]消耗&amp;价值&amp;分析'!$AS$7:$AS$106),2,FALSE)*0.6,0)</f>
        <v>1267.663161628956</v>
      </c>
      <c r="AJ729" s="80">
        <v>1</v>
      </c>
      <c r="AK729" s="80">
        <v>1</v>
      </c>
      <c r="AL729" s="80">
        <v>1</v>
      </c>
      <c r="AM729" s="101" t="s">
        <v>670</v>
      </c>
    </row>
    <row r="730" spans="1:39">
      <c r="A730" s="33" t="str">
        <f>怪物并表!$R$14</f>
        <v>英雄之路</v>
      </c>
      <c r="B730" s="38">
        <v>23</v>
      </c>
      <c r="C730" s="33">
        <f t="shared" si="84"/>
        <v>1904</v>
      </c>
      <c r="D730" s="33">
        <v>2</v>
      </c>
      <c r="E730" s="33">
        <f>VLOOKUP(A730,怪物并表!$R$7:$S$14,2,FALSE)</f>
        <v>8</v>
      </c>
      <c r="F730" s="38">
        <v>0</v>
      </c>
      <c r="G730" s="38">
        <v>4</v>
      </c>
      <c r="H730" s="38">
        <v>1</v>
      </c>
      <c r="I730" s="33">
        <f t="shared" si="80"/>
        <v>804123</v>
      </c>
      <c r="J730" s="33" t="s">
        <v>642</v>
      </c>
      <c r="K730" s="33" t="s">
        <v>330</v>
      </c>
      <c r="L730" s="33">
        <v>0</v>
      </c>
      <c r="M730" s="33">
        <v>1</v>
      </c>
      <c r="N730" s="33"/>
      <c r="O730" s="33">
        <v>1</v>
      </c>
      <c r="P730" s="33">
        <f>VLOOKUP($C730,CHOOSE({1,2},怪物并表!$E$7:$E$1000,怪物并表!$D$7:$D$1000),2,FALSE)</f>
        <v>20</v>
      </c>
      <c r="Q730" s="33" t="s">
        <v>9</v>
      </c>
      <c r="R730" s="33">
        <f>VLOOKUP(Q730,怪物信息配置表!$A$2:$B$118,2,FALSE)</f>
        <v>1003</v>
      </c>
      <c r="S730" s="33">
        <v>1</v>
      </c>
      <c r="T730" s="110">
        <f>VLOOKUP($C730,怪物并表!$E$7:$N$1000,2+($D730-1)*3,FALSE)*S730*AJ730</f>
        <v>8454.0674662190049</v>
      </c>
      <c r="U730" s="110">
        <f>VLOOKUP($C730,怪物并表!$E$7:$N$1000,3+($D730-1)*3,FALSE)*S730*AK730</f>
        <v>436.92554347826098</v>
      </c>
      <c r="V730" s="110">
        <f>VLOOKUP($C730,怪物并表!$E$7:$N$1000,4+($D730-1)*3,FALSE)*S730*AL730</f>
        <v>121.48591304347838</v>
      </c>
      <c r="W730" s="33"/>
      <c r="X730" s="33"/>
      <c r="Y730" s="49">
        <f>VLOOKUP($C730,怪物并表!$E$7:$P$1000,12,FALSE)</f>
        <v>0</v>
      </c>
      <c r="Z730" s="49">
        <f>VLOOKUP($C730,怪物并表!$E$7:$P$1000,11,FALSE)*S730</f>
        <v>1506.1599999999999</v>
      </c>
      <c r="AA730" s="33"/>
      <c r="AB730" s="33"/>
      <c r="AC730" s="33"/>
      <c r="AD730" s="33">
        <f t="shared" ref="AD730:AD745" si="86">IF(D730=1,1,IF(D730=2,0.8,1.5))</f>
        <v>0.8</v>
      </c>
      <c r="AE730" s="2">
        <f t="shared" si="83"/>
        <v>810</v>
      </c>
      <c r="AF730" s="2" t="str">
        <f>IF(ISBLANK(AM730),IF(O730=6,"",IF(O730=1,VLOOKUP(R730,怪物信息配置表!B:H,5,FALSE),IF(O730=2,VLOOKUP(R730,怪物信息配置表!B:H,6,FALSE),IF(OR(O730=3,O730=5),VLOOKUP(R730,怪物信息配置表!B:H,7,FALSE),"")))),AM730)</f>
        <v>ai_monster_02</v>
      </c>
      <c r="AG730" s="2"/>
      <c r="AH730" s="15">
        <f>SUMPRODUCT(T730:V730,$AN$3:$AP$3)+ROUNDDOWN(VLOOKUP(P730,CHOOSE({1,2},'[1]消耗&amp;价值&amp;分析'!$C$7:$C$106,'[1]消耗&amp;价值&amp;分析'!$AS$7:$AS$106),2,FALSE)*0.6,0)</f>
        <v>1256.5741551704996</v>
      </c>
      <c r="AJ730" s="80">
        <v>1</v>
      </c>
      <c r="AK730" s="80">
        <v>1</v>
      </c>
      <c r="AL730" s="80">
        <v>1</v>
      </c>
    </row>
    <row r="731" spans="1:39">
      <c r="A731" s="33" t="str">
        <f>怪物并表!$R$14</f>
        <v>英雄之路</v>
      </c>
      <c r="B731" s="38">
        <v>24</v>
      </c>
      <c r="C731" s="33">
        <f t="shared" si="84"/>
        <v>1904</v>
      </c>
      <c r="D731" s="33">
        <v>2</v>
      </c>
      <c r="E731" s="33">
        <f>VLOOKUP(A731,怪物并表!$R$7:$S$14,2,FALSE)</f>
        <v>8</v>
      </c>
      <c r="F731" s="38">
        <v>0</v>
      </c>
      <c r="G731" s="38">
        <v>4</v>
      </c>
      <c r="H731" s="38">
        <v>1</v>
      </c>
      <c r="I731" s="33">
        <f t="shared" si="80"/>
        <v>804124</v>
      </c>
      <c r="J731" s="33" t="s">
        <v>644</v>
      </c>
      <c r="K731" s="33" t="s">
        <v>330</v>
      </c>
      <c r="L731" s="33">
        <v>0</v>
      </c>
      <c r="M731" s="33">
        <v>1</v>
      </c>
      <c r="N731" s="33"/>
      <c r="O731" s="33">
        <v>1</v>
      </c>
      <c r="P731" s="33">
        <f>VLOOKUP($C731,CHOOSE({1,2},怪物并表!$E$7:$E$1000,怪物并表!$D$7:$D$1000),2,FALSE)</f>
        <v>20</v>
      </c>
      <c r="Q731" s="33" t="s">
        <v>17</v>
      </c>
      <c r="R731" s="33">
        <f>VLOOKUP(Q731,怪物信息配置表!$A$2:$B$118,2,FALSE)</f>
        <v>1005</v>
      </c>
      <c r="S731" s="33">
        <v>1</v>
      </c>
      <c r="T731" s="110">
        <f>VLOOKUP($C731,怪物并表!$E$7:$N$1000,2+($D731-1)*3,FALSE)*S731*AJ731</f>
        <v>8454.0674662190049</v>
      </c>
      <c r="U731" s="110">
        <f>VLOOKUP($C731,怪物并表!$E$7:$N$1000,3+($D731-1)*3,FALSE)*S731*AK731</f>
        <v>436.92554347826098</v>
      </c>
      <c r="V731" s="110">
        <f>VLOOKUP($C731,怪物并表!$E$7:$N$1000,4+($D731-1)*3,FALSE)*S731*AL731</f>
        <v>121.48591304347838</v>
      </c>
      <c r="W731" s="33"/>
      <c r="X731" s="33"/>
      <c r="Y731" s="49">
        <f>VLOOKUP($C731,怪物并表!$E$7:$P$1000,12,FALSE)</f>
        <v>0</v>
      </c>
      <c r="Z731" s="49">
        <f>VLOOKUP($C731,怪物并表!$E$7:$P$1000,11,FALSE)*S731</f>
        <v>1506.1599999999999</v>
      </c>
      <c r="AA731" s="33"/>
      <c r="AB731" s="33"/>
      <c r="AC731" s="33"/>
      <c r="AD731" s="33">
        <f t="shared" si="86"/>
        <v>0.8</v>
      </c>
      <c r="AE731" s="2">
        <f t="shared" si="83"/>
        <v>810</v>
      </c>
      <c r="AF731" s="2" t="str">
        <f>IF(ISBLANK(AM731),IF(O731=6,"",IF(O731=1,VLOOKUP(R731,怪物信息配置表!B:H,5,FALSE),IF(O731=2,VLOOKUP(R731,怪物信息配置表!B:H,6,FALSE),IF(OR(O731=3,O731=5),VLOOKUP(R731,怪物信息配置表!B:H,7,FALSE),"")))),AM731)</f>
        <v>ai_monster_02</v>
      </c>
      <c r="AG731" s="2"/>
      <c r="AH731" s="15">
        <f>SUMPRODUCT(T731:V731,$AN$3:$AP$3)+ROUNDDOWN(VLOOKUP(P731,CHOOSE({1,2},'[1]消耗&amp;价值&amp;分析'!$C$7:$C$106,'[1]消耗&amp;价值&amp;分析'!$AS$7:$AS$106),2,FALSE)*0.6,0)</f>
        <v>1256.5741551704996</v>
      </c>
      <c r="AJ731" s="80">
        <v>1</v>
      </c>
      <c r="AK731" s="80">
        <v>1</v>
      </c>
      <c r="AL731" s="80">
        <v>1</v>
      </c>
    </row>
    <row r="732" spans="1:39">
      <c r="A732" s="33" t="str">
        <f>怪物并表!$R$14</f>
        <v>英雄之路</v>
      </c>
      <c r="B732" s="38">
        <v>25</v>
      </c>
      <c r="C732" s="33">
        <f t="shared" si="84"/>
        <v>1904</v>
      </c>
      <c r="D732" s="33">
        <v>2</v>
      </c>
      <c r="E732" s="33">
        <f>VLOOKUP(A732,怪物并表!$R$7:$S$14,2,FALSE)</f>
        <v>8</v>
      </c>
      <c r="F732" s="38">
        <v>0</v>
      </c>
      <c r="G732" s="38">
        <v>4</v>
      </c>
      <c r="H732" s="38">
        <v>1</v>
      </c>
      <c r="I732" s="33">
        <f t="shared" si="80"/>
        <v>804125</v>
      </c>
      <c r="J732" s="33" t="s">
        <v>646</v>
      </c>
      <c r="K732" s="33" t="s">
        <v>330</v>
      </c>
      <c r="L732" s="33">
        <v>0</v>
      </c>
      <c r="M732" s="33">
        <v>1</v>
      </c>
      <c r="N732" s="33"/>
      <c r="O732" s="33">
        <v>1</v>
      </c>
      <c r="P732" s="33">
        <f>VLOOKUP($C732,CHOOSE({1,2},怪物并表!$E$7:$E$1000,怪物并表!$D$7:$D$1000),2,FALSE)</f>
        <v>20</v>
      </c>
      <c r="Q732" s="33" t="s">
        <v>10</v>
      </c>
      <c r="R732" s="33">
        <f>VLOOKUP(Q732,怪物信息配置表!$A$2:$B$118,2,FALSE)</f>
        <v>1001</v>
      </c>
      <c r="S732" s="33">
        <v>1</v>
      </c>
      <c r="T732" s="110">
        <f>VLOOKUP($C732,怪物并表!$E$7:$N$1000,2+($D732-1)*3,FALSE)*S732*AJ732</f>
        <v>8454.0674662190049</v>
      </c>
      <c r="U732" s="110">
        <f>VLOOKUP($C732,怪物并表!$E$7:$N$1000,3+($D732-1)*3,FALSE)*S732*AK732</f>
        <v>436.92554347826098</v>
      </c>
      <c r="V732" s="110">
        <f>VLOOKUP($C732,怪物并表!$E$7:$N$1000,4+($D732-1)*3,FALSE)*S732*AL732</f>
        <v>121.48591304347838</v>
      </c>
      <c r="W732" s="33"/>
      <c r="X732" s="33"/>
      <c r="Y732" s="49">
        <f>VLOOKUP($C732,怪物并表!$E$7:$P$1000,12,FALSE)</f>
        <v>0</v>
      </c>
      <c r="Z732" s="49">
        <f>VLOOKUP($C732,怪物并表!$E$7:$P$1000,11,FALSE)*S732</f>
        <v>1506.1599999999999</v>
      </c>
      <c r="AA732" s="33"/>
      <c r="AB732" s="33"/>
      <c r="AC732" s="33"/>
      <c r="AD732" s="33">
        <f t="shared" si="86"/>
        <v>0.8</v>
      </c>
      <c r="AE732" s="2">
        <f t="shared" si="83"/>
        <v>810</v>
      </c>
      <c r="AF732" s="2" t="str">
        <f>IF(ISBLANK(AM732),IF(O732=6,"",IF(O732=1,VLOOKUP(R732,怪物信息配置表!B:H,5,FALSE),IF(O732=2,VLOOKUP(R732,怪物信息配置表!B:H,6,FALSE),IF(OR(O732=3,O732=5),VLOOKUP(R732,怪物信息配置表!B:H,7,FALSE),"")))),AM732)</f>
        <v>ai_monster</v>
      </c>
      <c r="AG732" s="2"/>
      <c r="AH732" s="15">
        <f>SUMPRODUCT(T732:V732,$AN$3:$AP$3)+ROUNDDOWN(VLOOKUP(P732,CHOOSE({1,2},'[1]消耗&amp;价值&amp;分析'!$C$7:$C$106,'[1]消耗&amp;价值&amp;分析'!$AS$7:$AS$106),2,FALSE)*0.6,0)</f>
        <v>1256.5741551704996</v>
      </c>
      <c r="AJ732" s="80">
        <v>1</v>
      </c>
      <c r="AK732" s="80">
        <v>1</v>
      </c>
      <c r="AL732" s="80">
        <v>1</v>
      </c>
    </row>
    <row r="733" spans="1:39">
      <c r="A733" s="33" t="str">
        <f>怪物并表!$R$14</f>
        <v>英雄之路</v>
      </c>
      <c r="B733" s="38">
        <v>26</v>
      </c>
      <c r="C733" s="33">
        <f t="shared" si="84"/>
        <v>1904</v>
      </c>
      <c r="D733" s="33">
        <v>2</v>
      </c>
      <c r="E733" s="33">
        <f>VLOOKUP(A733,怪物并表!$R$7:$S$14,2,FALSE)</f>
        <v>8</v>
      </c>
      <c r="F733" s="38">
        <v>0</v>
      </c>
      <c r="G733" s="38">
        <v>4</v>
      </c>
      <c r="H733" s="38">
        <v>1</v>
      </c>
      <c r="I733" s="33">
        <f t="shared" si="80"/>
        <v>804126</v>
      </c>
      <c r="J733" s="33" t="s">
        <v>648</v>
      </c>
      <c r="K733" s="33" t="s">
        <v>330</v>
      </c>
      <c r="L733" s="33">
        <v>0</v>
      </c>
      <c r="M733" s="33">
        <v>1</v>
      </c>
      <c r="N733" s="33"/>
      <c r="O733" s="33">
        <v>1</v>
      </c>
      <c r="P733" s="33">
        <f>VLOOKUP($C733,CHOOSE({1,2},怪物并表!$E$7:$E$1000,怪物并表!$D$7:$D$1000),2,FALSE)</f>
        <v>20</v>
      </c>
      <c r="Q733" s="33" t="s">
        <v>367</v>
      </c>
      <c r="R733" s="33">
        <f>VLOOKUP(Q733,怪物信息配置表!$A$2:$B$118,2,FALSE)</f>
        <v>1008</v>
      </c>
      <c r="S733" s="33">
        <v>1</v>
      </c>
      <c r="T733" s="110">
        <f>VLOOKUP($C733,怪物并表!$E$7:$N$1000,2+($D733-1)*3,FALSE)*S733*AJ733</f>
        <v>8454.0674662190049</v>
      </c>
      <c r="U733" s="110">
        <f>VLOOKUP($C733,怪物并表!$E$7:$N$1000,3+($D733-1)*3,FALSE)*S733*AK733</f>
        <v>436.92554347826098</v>
      </c>
      <c r="V733" s="110">
        <f>VLOOKUP($C733,怪物并表!$E$7:$N$1000,4+($D733-1)*3,FALSE)*S733*AL733</f>
        <v>121.48591304347838</v>
      </c>
      <c r="W733" s="33"/>
      <c r="X733" s="33"/>
      <c r="Y733" s="49">
        <f>VLOOKUP($C733,怪物并表!$E$7:$P$1000,12,FALSE)</f>
        <v>0</v>
      </c>
      <c r="Z733" s="49">
        <f>VLOOKUP($C733,怪物并表!$E$7:$P$1000,11,FALSE)*S733</f>
        <v>1506.1599999999999</v>
      </c>
      <c r="AA733" s="33"/>
      <c r="AB733" s="33"/>
      <c r="AC733" s="33"/>
      <c r="AD733" s="33">
        <f t="shared" si="86"/>
        <v>0.8</v>
      </c>
      <c r="AE733" s="2">
        <f t="shared" si="83"/>
        <v>810</v>
      </c>
      <c r="AF733" s="2" t="str">
        <f>IF(ISBLANK(AM733),IF(O733=6,"",IF(O733=1,VLOOKUP(R733,怪物信息配置表!B:H,5,FALSE),IF(O733=2,VLOOKUP(R733,怪物信息配置表!B:H,6,FALSE),IF(OR(O733=3,O733=5),VLOOKUP(R733,怪物信息配置表!B:H,7,FALSE),"")))),AM733)</f>
        <v>ai_monster</v>
      </c>
      <c r="AG733" s="2"/>
      <c r="AH733" s="15">
        <f>SUMPRODUCT(T733:V733,$AN$3:$AP$3)+ROUNDDOWN(VLOOKUP(P733,CHOOSE({1,2},'[1]消耗&amp;价值&amp;分析'!$C$7:$C$106,'[1]消耗&amp;价值&amp;分析'!$AS$7:$AS$106),2,FALSE)*0.6,0)</f>
        <v>1256.5741551704996</v>
      </c>
      <c r="AJ733" s="80">
        <v>1</v>
      </c>
      <c r="AK733" s="80">
        <v>1</v>
      </c>
      <c r="AL733" s="80">
        <v>1</v>
      </c>
    </row>
    <row r="734" spans="1:39">
      <c r="A734" s="33" t="str">
        <f>怪物并表!$R$14</f>
        <v>英雄之路</v>
      </c>
      <c r="B734" s="38">
        <v>27</v>
      </c>
      <c r="C734" s="33">
        <f t="shared" si="84"/>
        <v>1904</v>
      </c>
      <c r="D734" s="33">
        <v>1</v>
      </c>
      <c r="E734" s="33">
        <f>VLOOKUP(A734,怪物并表!$R$7:$S$14,2,FALSE)</f>
        <v>8</v>
      </c>
      <c r="F734" s="38">
        <v>0</v>
      </c>
      <c r="G734" s="38">
        <v>4</v>
      </c>
      <c r="H734" s="38">
        <v>1</v>
      </c>
      <c r="I734" s="33">
        <f t="shared" si="80"/>
        <v>804127</v>
      </c>
      <c r="J734" s="33" t="s">
        <v>650</v>
      </c>
      <c r="K734" s="33" t="s">
        <v>364</v>
      </c>
      <c r="L734" s="33">
        <v>0</v>
      </c>
      <c r="M734" s="33">
        <v>1.2</v>
      </c>
      <c r="N734" s="33"/>
      <c r="O734" s="33">
        <v>1</v>
      </c>
      <c r="P734" s="33">
        <f>VLOOKUP($C734,CHOOSE({1,2},怪物并表!$E$7:$E$1000,怪物并表!$D$7:$D$1000),2,FALSE)</f>
        <v>20</v>
      </c>
      <c r="Q734" s="33" t="s">
        <v>261</v>
      </c>
      <c r="R734" s="33">
        <f>VLOOKUP(Q734,怪物信息配置表!$A$2:$B$118,2,FALSE)</f>
        <v>3004</v>
      </c>
      <c r="S734" s="33">
        <v>500</v>
      </c>
      <c r="T734" s="110">
        <f>VLOOKUP($C734,怪物并表!$E$7:$N$1000,2+($D734-1)*3,FALSE)*S734*AJ734</f>
        <v>5283792.1663868781</v>
      </c>
      <c r="U734" s="110">
        <f>VLOOKUP($C734,怪物并表!$E$7:$N$1000,3+($D734-1)*3,FALSE)*S734*AK734</f>
        <v>227738152.17391309</v>
      </c>
      <c r="V734" s="110">
        <f>VLOOKUP($C734,怪物并表!$E$7:$N$1000,4+($D734-1)*3,FALSE)*S734*AL734</f>
        <v>101238.26086956526</v>
      </c>
      <c r="W734" s="33"/>
      <c r="X734" s="33"/>
      <c r="Y734" s="49">
        <f>VLOOKUP($C734,怪物并表!$E$7:$P$1000,12,FALSE)</f>
        <v>0</v>
      </c>
      <c r="Z734" s="49">
        <f>VLOOKUP($C734,怪物并表!$E$7:$P$1000,11,FALSE)*S734</f>
        <v>753079.99999999988</v>
      </c>
      <c r="AA734" s="33"/>
      <c r="AB734" s="33"/>
      <c r="AC734" s="33"/>
      <c r="AD734" s="33">
        <f t="shared" si="86"/>
        <v>1</v>
      </c>
      <c r="AE734" s="2">
        <f t="shared" si="83"/>
        <v>762.5</v>
      </c>
      <c r="AF734" s="2">
        <f>IF(ISBLANK(AM734),IF(O734=6,"",IF(O734=1,VLOOKUP(R734,怪物信息配置表!B:H,5,FALSE),IF(O734=2,VLOOKUP(R734,怪物信息配置表!B:H,6,FALSE),IF(OR(O734=3,O734=5),VLOOKUP(R734,怪物信息配置表!B:H,7,FALSE),"")))),AM734)</f>
        <v>0</v>
      </c>
      <c r="AG734" s="2"/>
      <c r="AH734" s="15">
        <f>SUMPRODUCT(T734:V734,$AN$3:$AP$3)+ROUNDDOWN(VLOOKUP(P734,CHOOSE({1,2},'[1]消耗&amp;价值&amp;分析'!$C$7:$C$106,'[1]消耗&amp;价值&amp;分析'!$AS$7:$AS$106),2,FALSE)*0.6,0)</f>
        <v>228051102.12143812</v>
      </c>
      <c r="AJ734" s="80">
        <v>1</v>
      </c>
      <c r="AK734" s="80">
        <v>1000</v>
      </c>
      <c r="AL734" s="80">
        <v>1</v>
      </c>
    </row>
    <row r="735" spans="1:39">
      <c r="A735" s="33" t="str">
        <f>怪物并表!$R$14</f>
        <v>英雄之路</v>
      </c>
      <c r="B735" s="38">
        <v>28</v>
      </c>
      <c r="C735" s="33">
        <f t="shared" si="84"/>
        <v>1904</v>
      </c>
      <c r="D735" s="33">
        <v>1</v>
      </c>
      <c r="E735" s="33">
        <f>VLOOKUP(A735,怪物并表!$R$7:$S$14,2,FALSE)</f>
        <v>8</v>
      </c>
      <c r="F735" s="38">
        <v>0</v>
      </c>
      <c r="G735" s="38">
        <v>4</v>
      </c>
      <c r="H735" s="38">
        <v>1</v>
      </c>
      <c r="I735" s="33">
        <f t="shared" si="80"/>
        <v>804128</v>
      </c>
      <c r="J735" s="33" t="s">
        <v>652</v>
      </c>
      <c r="K735" s="33" t="s">
        <v>330</v>
      </c>
      <c r="L735" s="33">
        <v>0</v>
      </c>
      <c r="M735" s="33">
        <v>1</v>
      </c>
      <c r="N735" s="33"/>
      <c r="O735" s="33">
        <v>1</v>
      </c>
      <c r="P735" s="33">
        <f>VLOOKUP($C735,CHOOSE({1,2},怪物并表!$E$7:$E$1000,怪物并表!$D$7:$D$1000),2,FALSE)</f>
        <v>20</v>
      </c>
      <c r="Q735" s="33" t="s">
        <v>258</v>
      </c>
      <c r="R735" s="33">
        <f>VLOOKUP(Q735,怪物信息配置表!$A$2:$B$118,2,FALSE)</f>
        <v>3002</v>
      </c>
      <c r="S735" s="33">
        <v>1.5</v>
      </c>
      <c r="T735" s="110">
        <f>VLOOKUP($C735,怪物并表!$E$7:$N$1000,2+($D735-1)*3,FALSE)*S735*AJ735</f>
        <v>15851.376499160635</v>
      </c>
      <c r="U735" s="110">
        <f>VLOOKUP($C735,怪物并表!$E$7:$N$1000,3+($D735-1)*3,FALSE)*S735*AK735</f>
        <v>683.21445652173929</v>
      </c>
      <c r="V735" s="110">
        <f>VLOOKUP($C735,怪物并表!$E$7:$N$1000,4+($D735-1)*3,FALSE)*S735*AL735</f>
        <v>242.97182608695667</v>
      </c>
      <c r="W735" s="33"/>
      <c r="X735" s="33"/>
      <c r="Y735" s="49">
        <f>VLOOKUP($C735,怪物并表!$E$7:$P$1000,12,FALSE)</f>
        <v>0</v>
      </c>
      <c r="Z735" s="49">
        <f>VLOOKUP($C735,怪物并表!$E$7:$P$1000,11,FALSE)*S735</f>
        <v>2259.2399999999998</v>
      </c>
      <c r="AA735" s="33"/>
      <c r="AB735" s="33"/>
      <c r="AC735" s="33"/>
      <c r="AD735" s="33">
        <f t="shared" si="86"/>
        <v>1</v>
      </c>
      <c r="AE735" s="2">
        <f t="shared" si="83"/>
        <v>762.5</v>
      </c>
      <c r="AF735" s="2">
        <f>IF(ISBLANK(AM735),IF(O735=6,"",IF(O735=1,VLOOKUP(R735,怪物信息配置表!B:H,5,FALSE),IF(O735=2,VLOOKUP(R735,怪物信息配置表!B:H,6,FALSE),IF(OR(O735=3,O735=5),VLOOKUP(R735,怪物信息配置表!B:H,7,FALSE),"")))),AM735)</f>
        <v>0</v>
      </c>
      <c r="AG735" s="2"/>
      <c r="AH735" s="15">
        <f>SUMPRODUCT(T735:V735,$AN$3:$AP$3)+ROUNDDOWN(VLOOKUP(P735,CHOOSE({1,2},'[1]消耗&amp;价值&amp;分析'!$C$7:$C$106,'[1]消耗&amp;价值&amp;分析'!$AS$7:$AS$106),2,FALSE)*0.6,0)</f>
        <v>1920.2413425751215</v>
      </c>
      <c r="AJ735" s="80">
        <v>1</v>
      </c>
      <c r="AK735" s="80">
        <v>1</v>
      </c>
      <c r="AL735" s="80">
        <v>0.8</v>
      </c>
    </row>
    <row r="736" spans="1:39">
      <c r="A736" s="33" t="str">
        <f>怪物并表!$R$14</f>
        <v>英雄之路</v>
      </c>
      <c r="B736" s="38">
        <v>29</v>
      </c>
      <c r="C736" s="33">
        <f t="shared" si="84"/>
        <v>1905</v>
      </c>
      <c r="D736" s="33">
        <v>1</v>
      </c>
      <c r="E736" s="33">
        <f>VLOOKUP(A736,怪物并表!$R$7:$S$14,2,FALSE)</f>
        <v>8</v>
      </c>
      <c r="F736" s="38">
        <v>0</v>
      </c>
      <c r="G736" s="38">
        <v>5</v>
      </c>
      <c r="H736" s="38">
        <v>1</v>
      </c>
      <c r="I736" s="33">
        <f t="shared" si="80"/>
        <v>805129</v>
      </c>
      <c r="J736" s="33" t="s">
        <v>533</v>
      </c>
      <c r="K736" s="33" t="s">
        <v>581</v>
      </c>
      <c r="L736" s="33">
        <v>0</v>
      </c>
      <c r="M736" s="33">
        <v>1</v>
      </c>
      <c r="N736" s="33"/>
      <c r="O736" s="33">
        <v>3</v>
      </c>
      <c r="P736" s="33">
        <f>VLOOKUP($C736,CHOOSE({1,2},怪物并表!$E$7:$E$1000,怪物并表!$D$7:$D$1000),2,FALSE)</f>
        <v>20</v>
      </c>
      <c r="Q736" s="33" t="s">
        <v>401</v>
      </c>
      <c r="R736" s="33">
        <f>VLOOKUP(Q736,怪物信息配置表!$A$2:$B$118,2,FALSE)</f>
        <v>3005</v>
      </c>
      <c r="S736" s="33">
        <v>3</v>
      </c>
      <c r="T736" s="110">
        <f>VLOOKUP($C736,怪物并表!$E$7:$N$1000,2+($D736-1)*3,FALSE)*S736*AJ736</f>
        <v>36580.099613447615</v>
      </c>
      <c r="U736" s="110">
        <f>VLOOKUP($C736,怪物并表!$E$7:$N$1000,3+($D736-1)*3,FALSE)*S736*AK736</f>
        <v>1366.4289130434786</v>
      </c>
      <c r="V736" s="110">
        <f>VLOOKUP($C736,怪物并表!$E$7:$N$1000,4+($D736-1)*3,FALSE)*S736*AL736</f>
        <v>809.9060869565219</v>
      </c>
      <c r="W736" s="33"/>
      <c r="X736" s="33"/>
      <c r="Y736" s="49">
        <f>VLOOKUP($C736,怪物并表!$E$7:$P$1000,12,FALSE)</f>
        <v>0</v>
      </c>
      <c r="Z736" s="49">
        <f>VLOOKUP($C736,怪物并表!$E$7:$P$1000,11,FALSE)*S736</f>
        <v>4518.4799999999996</v>
      </c>
      <c r="AA736" s="33"/>
      <c r="AB736" s="33"/>
      <c r="AC736" s="33"/>
      <c r="AD736" s="33">
        <f t="shared" si="86"/>
        <v>1</v>
      </c>
      <c r="AE736" s="2">
        <f t="shared" si="83"/>
        <v>762.5</v>
      </c>
      <c r="AF736" s="2" t="str">
        <f>IF(ISBLANK(AM736),IF(O736=6,"",IF(O736=1,VLOOKUP(R736,怪物信息配置表!B:H,5,FALSE),IF(O736=2,VLOOKUP(R736,怪物信息配置表!B:H,6,FALSE),IF(OR(O736=3,O736=5),VLOOKUP(R736,怪物信息配置表!B:H,7,FALSE),"")))),AM736)</f>
        <v>tielong</v>
      </c>
      <c r="AG736" s="2"/>
      <c r="AH736" s="15">
        <f>SUMPRODUCT(T736:V736,$AN$3:$AP$3)+ROUNDDOWN(VLOOKUP(P736,CHOOSE({1,2},'[1]消耗&amp;价值&amp;分析'!$C$7:$C$106,'[1]消耗&amp;价值&amp;分析'!$AS$7:$AS$106),2,FALSE)*0.6,0)</f>
        <v>3999.538984537905</v>
      </c>
      <c r="AJ736" s="80">
        <v>1</v>
      </c>
      <c r="AK736" s="80">
        <v>1</v>
      </c>
      <c r="AL736" s="80">
        <v>0.8</v>
      </c>
    </row>
    <row r="737" spans="1:39">
      <c r="A737" s="33" t="str">
        <f>怪物并表!$R$14</f>
        <v>英雄之路</v>
      </c>
      <c r="B737" s="38">
        <v>30</v>
      </c>
      <c r="C737" s="33">
        <f t="shared" si="84"/>
        <v>1905</v>
      </c>
      <c r="D737" s="33">
        <v>1</v>
      </c>
      <c r="E737" s="33">
        <f>VLOOKUP(A737,怪物并表!$R$7:$S$14,2,FALSE)</f>
        <v>8</v>
      </c>
      <c r="F737" s="38">
        <v>0</v>
      </c>
      <c r="G737" s="38">
        <v>5</v>
      </c>
      <c r="H737" s="38">
        <v>1</v>
      </c>
      <c r="I737" s="33">
        <f t="shared" si="80"/>
        <v>805130</v>
      </c>
      <c r="J737" s="33" t="s">
        <v>214</v>
      </c>
      <c r="K737" s="33" t="s">
        <v>582</v>
      </c>
      <c r="L737" s="33">
        <v>0</v>
      </c>
      <c r="M737" s="33">
        <v>1</v>
      </c>
      <c r="N737" s="33"/>
      <c r="O737" s="33">
        <v>1</v>
      </c>
      <c r="P737" s="33">
        <f>VLOOKUP($C737,CHOOSE({1,2},怪物并表!$E$7:$E$1000,怪物并表!$D$7:$D$1000),2,FALSE)</f>
        <v>20</v>
      </c>
      <c r="Q737" s="33" t="s">
        <v>10</v>
      </c>
      <c r="R737" s="33">
        <f>VLOOKUP(Q737,怪物信息配置表!$A$2:$B$118,2,FALSE)</f>
        <v>1001</v>
      </c>
      <c r="S737" s="33">
        <v>1</v>
      </c>
      <c r="T737" s="110">
        <f>VLOOKUP($C737,怪物并表!$E$7:$N$1000,2+($D737-1)*3,FALSE)*S737*AJ737</f>
        <v>12193.366537815873</v>
      </c>
      <c r="U737" s="110">
        <f>VLOOKUP($C737,怪物并表!$E$7:$N$1000,3+($D737-1)*3,FALSE)*S737*AK737</f>
        <v>455.47630434782616</v>
      </c>
      <c r="V737" s="110">
        <f>VLOOKUP($C737,怪物并表!$E$7:$N$1000,4+($D737-1)*3,FALSE)*S737*AL737</f>
        <v>337.46086956521748</v>
      </c>
      <c r="W737" s="33"/>
      <c r="X737" s="33"/>
      <c r="Y737" s="49">
        <f>VLOOKUP($C737,怪物并表!$E$7:$P$1000,12,FALSE)</f>
        <v>0</v>
      </c>
      <c r="Z737" s="49">
        <f>VLOOKUP($C737,怪物并表!$E$7:$P$1000,11,FALSE)*S737</f>
        <v>1506.1599999999999</v>
      </c>
      <c r="AA737" s="33"/>
      <c r="AB737" s="33"/>
      <c r="AC737" s="33"/>
      <c r="AD737" s="33">
        <f t="shared" si="86"/>
        <v>1</v>
      </c>
      <c r="AE737" s="2">
        <f t="shared" si="83"/>
        <v>762.5</v>
      </c>
      <c r="AF737" s="2" t="str">
        <f>IF(ISBLANK(AM737),IF(O737=6,"",IF(O737=1,VLOOKUP(R737,怪物信息配置表!B:H,5,FALSE),IF(O737=2,VLOOKUP(R737,怪物信息配置表!B:H,6,FALSE),IF(OR(O737=3,O737=5),VLOOKUP(R737,怪物信息配置表!B:H,7,FALSE),"")))),AM737)</f>
        <v>ai_monster</v>
      </c>
      <c r="AG737" s="2"/>
      <c r="AH737" s="15">
        <f>SUMPRODUCT(T737:V737,$AN$3:$AP$3)+ROUNDDOWN(VLOOKUP(P737,CHOOSE({1,2},'[1]消耗&amp;价值&amp;分析'!$C$7:$C$106,'[1]消耗&amp;价值&amp;分析'!$AS$7:$AS$106),2,FALSE)*0.6,0)</f>
        <v>1640.6718354256786</v>
      </c>
      <c r="AJ737" s="80">
        <v>1</v>
      </c>
      <c r="AK737" s="80">
        <v>1</v>
      </c>
      <c r="AL737" s="80">
        <v>1</v>
      </c>
    </row>
    <row r="738" spans="1:39">
      <c r="A738" s="33" t="str">
        <f>怪物并表!$R$14</f>
        <v>英雄之路</v>
      </c>
      <c r="B738" s="38">
        <v>31</v>
      </c>
      <c r="C738" s="33">
        <f t="shared" si="84"/>
        <v>1905</v>
      </c>
      <c r="D738" s="33">
        <v>1</v>
      </c>
      <c r="E738" s="33">
        <f>VLOOKUP(A738,怪物并表!$R$7:$S$14,2,FALSE)</f>
        <v>8</v>
      </c>
      <c r="F738" s="38">
        <v>0</v>
      </c>
      <c r="G738" s="38">
        <v>5</v>
      </c>
      <c r="H738" s="38">
        <v>1</v>
      </c>
      <c r="I738" s="33">
        <f t="shared" ref="I738:I746" si="87">SUM(E738*10^5,F738*10^4,G738*10^3,H738*10^2,B738)</f>
        <v>805131</v>
      </c>
      <c r="J738" s="33" t="s">
        <v>448</v>
      </c>
      <c r="K738" s="33" t="s">
        <v>582</v>
      </c>
      <c r="L738" s="33">
        <v>0</v>
      </c>
      <c r="M738" s="33">
        <v>1</v>
      </c>
      <c r="N738" s="33"/>
      <c r="O738" s="33">
        <v>1</v>
      </c>
      <c r="P738" s="33">
        <f>VLOOKUP($C738,CHOOSE({1,2},怪物并表!$E$7:$E$1000,怪物并表!$D$7:$D$1000),2,FALSE)</f>
        <v>20</v>
      </c>
      <c r="Q738" s="33" t="s">
        <v>367</v>
      </c>
      <c r="R738" s="33">
        <f>VLOOKUP(Q738,怪物信息配置表!$A$2:$B$118,2,FALSE)</f>
        <v>1008</v>
      </c>
      <c r="S738" s="33">
        <v>1</v>
      </c>
      <c r="T738" s="110">
        <f>VLOOKUP($C738,怪物并表!$E$7:$N$1000,2+($D738-1)*3,FALSE)*S738*AJ738</f>
        <v>12193.366537815873</v>
      </c>
      <c r="U738" s="110">
        <f>VLOOKUP($C738,怪物并表!$E$7:$N$1000,3+($D738-1)*3,FALSE)*S738*AK738</f>
        <v>455.47630434782616</v>
      </c>
      <c r="V738" s="110">
        <f>VLOOKUP($C738,怪物并表!$E$7:$N$1000,4+($D738-1)*3,FALSE)*S738*AL738</f>
        <v>337.46086956521748</v>
      </c>
      <c r="W738" s="33"/>
      <c r="X738" s="33"/>
      <c r="Y738" s="49">
        <f>VLOOKUP($C738,怪物并表!$E$7:$P$1000,12,FALSE)</f>
        <v>0</v>
      </c>
      <c r="Z738" s="49">
        <f>VLOOKUP($C738,怪物并表!$E$7:$P$1000,11,FALSE)*S738</f>
        <v>1506.1599999999999</v>
      </c>
      <c r="AA738" s="33"/>
      <c r="AB738" s="33"/>
      <c r="AC738" s="33"/>
      <c r="AD738" s="33">
        <f t="shared" si="86"/>
        <v>1</v>
      </c>
      <c r="AE738" s="2">
        <f t="shared" si="83"/>
        <v>762.5</v>
      </c>
      <c r="AF738" s="2" t="str">
        <f>IF(ISBLANK(AM738),IF(O738=6,"",IF(O738=1,VLOOKUP(R738,怪物信息配置表!B:H,5,FALSE),IF(O738=2,VLOOKUP(R738,怪物信息配置表!B:H,6,FALSE),IF(OR(O738=3,O738=5),VLOOKUP(R738,怪物信息配置表!B:H,7,FALSE),"")))),AM738)</f>
        <v>ai_monster</v>
      </c>
      <c r="AG738" s="2"/>
      <c r="AH738" s="15">
        <f>SUMPRODUCT(T738:V738,$AN$3:$AP$3)+ROUNDDOWN(VLOOKUP(P738,CHOOSE({1,2},'[1]消耗&amp;价值&amp;分析'!$C$7:$C$106,'[1]消耗&amp;价值&amp;分析'!$AS$7:$AS$106),2,FALSE)*0.6,0)</f>
        <v>1640.6718354256786</v>
      </c>
      <c r="AJ738" s="80">
        <v>1</v>
      </c>
      <c r="AK738" s="80">
        <v>1</v>
      </c>
      <c r="AL738" s="80">
        <v>1</v>
      </c>
    </row>
    <row r="739" spans="1:39">
      <c r="A739" s="33" t="str">
        <f>怪物并表!$R$14</f>
        <v>英雄之路</v>
      </c>
      <c r="B739" s="38">
        <v>32</v>
      </c>
      <c r="C739" s="33">
        <f t="shared" si="84"/>
        <v>1905</v>
      </c>
      <c r="D739" s="33">
        <v>2</v>
      </c>
      <c r="E739" s="33">
        <f>VLOOKUP(A739,怪物并表!$R$7:$S$14,2,FALSE)</f>
        <v>8</v>
      </c>
      <c r="F739" s="38">
        <v>0</v>
      </c>
      <c r="G739" s="38">
        <v>5</v>
      </c>
      <c r="H739" s="38">
        <v>1</v>
      </c>
      <c r="I739" s="33">
        <f t="shared" si="87"/>
        <v>805132</v>
      </c>
      <c r="J739" s="33" t="s">
        <v>463</v>
      </c>
      <c r="K739" s="33" t="s">
        <v>583</v>
      </c>
      <c r="L739" s="33">
        <v>0</v>
      </c>
      <c r="M739" s="33">
        <v>1</v>
      </c>
      <c r="N739" s="33"/>
      <c r="O739" s="33">
        <v>1</v>
      </c>
      <c r="P739" s="33">
        <f>VLOOKUP($C739,CHOOSE({1,2},怪物并表!$E$7:$E$1000,怪物并表!$D$7:$D$1000),2,FALSE)</f>
        <v>20</v>
      </c>
      <c r="Q739" s="33" t="s">
        <v>17</v>
      </c>
      <c r="R739" s="33">
        <f>VLOOKUP(Q739,怪物信息配置表!$A$2:$B$118,2,FALSE)</f>
        <v>1005</v>
      </c>
      <c r="S739" s="33">
        <v>1</v>
      </c>
      <c r="T739" s="110">
        <f>VLOOKUP($C739,怪物并表!$E$7:$N$1000,2+($D739-1)*3,FALSE)*S739*AJ739</f>
        <v>9754.6932302526984</v>
      </c>
      <c r="U739" s="110">
        <f>VLOOKUP($C739,怪物并表!$E$7:$N$1000,3+($D739-1)*3,FALSE)*S739*AK739</f>
        <v>436.92554347826098</v>
      </c>
      <c r="V739" s="110">
        <f>VLOOKUP($C739,怪物并表!$E$7:$N$1000,4+($D739-1)*3,FALSE)*S739*AL739</f>
        <v>283.46713043478269</v>
      </c>
      <c r="W739" s="33"/>
      <c r="X739" s="33"/>
      <c r="Y739" s="49">
        <f>VLOOKUP($C739,怪物并表!$E$7:$P$1000,12,FALSE)</f>
        <v>0</v>
      </c>
      <c r="Z739" s="49">
        <f>VLOOKUP($C739,怪物并表!$E$7:$P$1000,11,FALSE)*S739</f>
        <v>1506.1599999999999</v>
      </c>
      <c r="AA739" s="33"/>
      <c r="AB739" s="33"/>
      <c r="AC739" s="33"/>
      <c r="AD739" s="33">
        <f t="shared" si="86"/>
        <v>0.8</v>
      </c>
      <c r="AE739" s="2">
        <f t="shared" si="83"/>
        <v>810</v>
      </c>
      <c r="AF739" s="2" t="str">
        <f>IF(ISBLANK(AM739),IF(O739=6,"",IF(O739=1,VLOOKUP(R739,怪物信息配置表!B:H,5,FALSE),IF(O739=2,VLOOKUP(R739,怪物信息配置表!B:H,6,FALSE),IF(OR(O739=3,O739=5),VLOOKUP(R739,怪物信息配置表!B:H,7,FALSE),"")))),AM739)</f>
        <v>ai_monster_02</v>
      </c>
      <c r="AG739" s="2"/>
      <c r="AH739" s="15">
        <f>SUMPRODUCT(T739:V739,$AN$3:$AP$3)+ROUNDDOWN(VLOOKUP(P739,CHOOSE({1,2},'[1]消耗&amp;价值&amp;分析'!$C$7:$C$106,'[1]消耗&amp;价值&amp;分析'!$AS$7:$AS$106),2,FALSE)*0.6,0)</f>
        <v>1470.5804031231514</v>
      </c>
      <c r="AJ739" s="80">
        <v>1</v>
      </c>
      <c r="AK739" s="80">
        <v>1</v>
      </c>
      <c r="AL739" s="80">
        <v>1</v>
      </c>
    </row>
    <row r="740" spans="1:39">
      <c r="A740" s="33" t="str">
        <f>怪物并表!$R$14</f>
        <v>英雄之路</v>
      </c>
      <c r="B740" s="38">
        <v>33</v>
      </c>
      <c r="C740" s="33">
        <f t="shared" si="84"/>
        <v>1905</v>
      </c>
      <c r="D740" s="33">
        <v>2</v>
      </c>
      <c r="E740" s="33">
        <f>VLOOKUP(A740,怪物并表!$R$7:$S$14,2,FALSE)</f>
        <v>8</v>
      </c>
      <c r="F740" s="38">
        <v>0</v>
      </c>
      <c r="G740" s="38">
        <v>5</v>
      </c>
      <c r="H740" s="38">
        <v>1</v>
      </c>
      <c r="I740" s="33">
        <f t="shared" si="87"/>
        <v>805133</v>
      </c>
      <c r="J740" s="33" t="s">
        <v>36</v>
      </c>
      <c r="K740" s="33" t="s">
        <v>583</v>
      </c>
      <c r="L740" s="33">
        <v>0</v>
      </c>
      <c r="M740" s="33">
        <v>1</v>
      </c>
      <c r="N740" s="33"/>
      <c r="O740" s="33">
        <v>1</v>
      </c>
      <c r="P740" s="33">
        <f>VLOOKUP($C740,CHOOSE({1,2},怪物并表!$E$7:$E$1000,怪物并表!$D$7:$D$1000),2,FALSE)</f>
        <v>20</v>
      </c>
      <c r="Q740" s="33" t="s">
        <v>9</v>
      </c>
      <c r="R740" s="33">
        <f>VLOOKUP(Q740,怪物信息配置表!$A$2:$B$118,2,FALSE)</f>
        <v>1003</v>
      </c>
      <c r="S740" s="33">
        <v>1</v>
      </c>
      <c r="T740" s="110">
        <f>VLOOKUP($C740,怪物并表!$E$7:$N$1000,2+($D740-1)*3,FALSE)*S740*AJ740</f>
        <v>9754.6932302526984</v>
      </c>
      <c r="U740" s="110">
        <f>VLOOKUP($C740,怪物并表!$E$7:$N$1000,3+($D740-1)*3,FALSE)*S740*AK740</f>
        <v>436.92554347826098</v>
      </c>
      <c r="V740" s="110">
        <f>VLOOKUP($C740,怪物并表!$E$7:$N$1000,4+($D740-1)*3,FALSE)*S740*AL740</f>
        <v>283.46713043478269</v>
      </c>
      <c r="W740" s="33"/>
      <c r="X740" s="33"/>
      <c r="Y740" s="49">
        <f>VLOOKUP($C740,怪物并表!$E$7:$P$1000,12,FALSE)</f>
        <v>0</v>
      </c>
      <c r="Z740" s="49">
        <f>VLOOKUP($C740,怪物并表!$E$7:$P$1000,11,FALSE)*S740</f>
        <v>1506.1599999999999</v>
      </c>
      <c r="AA740" s="33"/>
      <c r="AB740" s="33"/>
      <c r="AC740" s="33"/>
      <c r="AD740" s="33">
        <f t="shared" si="86"/>
        <v>0.8</v>
      </c>
      <c r="AE740" s="2">
        <f t="shared" si="83"/>
        <v>810</v>
      </c>
      <c r="AF740" s="2" t="str">
        <f>IF(ISBLANK(AM740),IF(O740=6,"",IF(O740=1,VLOOKUP(R740,怪物信息配置表!B:H,5,FALSE),IF(O740=2,VLOOKUP(R740,怪物信息配置表!B:H,6,FALSE),IF(OR(O740=3,O740=5),VLOOKUP(R740,怪物信息配置表!B:H,7,FALSE),"")))),AM740)</f>
        <v>ai_monster_02</v>
      </c>
      <c r="AG740" s="2"/>
      <c r="AH740" s="15">
        <f>SUMPRODUCT(T740:V740,$AN$3:$AP$3)+ROUNDDOWN(VLOOKUP(P740,CHOOSE({1,2},'[1]消耗&amp;价值&amp;分析'!$C$7:$C$106,'[1]消耗&amp;价值&amp;分析'!$AS$7:$AS$106),2,FALSE)*0.6,0)</f>
        <v>1470.5804031231514</v>
      </c>
      <c r="AJ740" s="80">
        <v>1</v>
      </c>
      <c r="AK740" s="80">
        <v>1</v>
      </c>
      <c r="AL740" s="80">
        <v>1</v>
      </c>
    </row>
    <row r="741" spans="1:39">
      <c r="A741" s="33" t="str">
        <f>怪物并表!$R$14</f>
        <v>英雄之路</v>
      </c>
      <c r="B741" s="38">
        <v>34</v>
      </c>
      <c r="C741" s="33">
        <f t="shared" si="84"/>
        <v>1906</v>
      </c>
      <c r="D741" s="33">
        <v>2</v>
      </c>
      <c r="E741" s="33">
        <f>VLOOKUP(A741,怪物并表!$R$7:$S$14,2,FALSE)</f>
        <v>8</v>
      </c>
      <c r="F741" s="38">
        <v>0</v>
      </c>
      <c r="G741" s="38">
        <v>6</v>
      </c>
      <c r="H741" s="38">
        <v>1</v>
      </c>
      <c r="I741" s="33">
        <f t="shared" si="87"/>
        <v>806134</v>
      </c>
      <c r="J741" s="33" t="s">
        <v>36</v>
      </c>
      <c r="K741" s="33" t="s">
        <v>331</v>
      </c>
      <c r="L741" s="33">
        <v>0</v>
      </c>
      <c r="M741" s="33">
        <v>1</v>
      </c>
      <c r="N741" s="33"/>
      <c r="O741" s="33">
        <v>1</v>
      </c>
      <c r="P741" s="33">
        <f>VLOOKUP($C741,CHOOSE({1,2},怪物并表!$E$7:$E$1000,怪物并表!$D$7:$D$1000),2,FALSE)</f>
        <v>20</v>
      </c>
      <c r="Q741" s="33" t="s">
        <v>9</v>
      </c>
      <c r="R741" s="33">
        <f>VLOOKUP(Q741,怪物信息配置表!$A$2:$B$118,2,FALSE)</f>
        <v>1003</v>
      </c>
      <c r="S741" s="33">
        <v>1</v>
      </c>
      <c r="T741" s="110">
        <f>VLOOKUP($C741,怪物并表!$E$7:$N$1000,2+($D741-1)*3,FALSE)*S741*AJ741</f>
        <v>7153.4417021853124</v>
      </c>
      <c r="U741" s="110">
        <f>VLOOKUP($C741,怪物并表!$E$7:$N$1000,3+($D741-1)*3,FALSE)*S741*AK741</f>
        <v>436.92554347826098</v>
      </c>
      <c r="V741" s="110">
        <f>VLOOKUP($C741,怪物并表!$E$7:$N$1000,4+($D741-1)*3,FALSE)*S741*AL741</f>
        <v>161.98121739130443</v>
      </c>
      <c r="W741" s="33"/>
      <c r="X741" s="33"/>
      <c r="Y741" s="49">
        <f>VLOOKUP($C741,怪物并表!$E$7:$P$1000,12,FALSE)</f>
        <v>0</v>
      </c>
      <c r="Z741" s="49">
        <f>VLOOKUP($C741,怪物并表!$E$7:$P$1000,11,FALSE)*S741</f>
        <v>1506.1599999999999</v>
      </c>
      <c r="AA741" s="33"/>
      <c r="AB741" s="33"/>
      <c r="AC741" s="33"/>
      <c r="AD741" s="33">
        <f t="shared" si="86"/>
        <v>0.8</v>
      </c>
      <c r="AE741" s="2">
        <f t="shared" si="83"/>
        <v>810</v>
      </c>
      <c r="AF741" s="2" t="str">
        <f>IF(ISBLANK(AM741),IF(O741=6,"",IF(O741=1,VLOOKUP(R741,怪物信息配置表!B:H,5,FALSE),IF(O741=2,VLOOKUP(R741,怪物信息配置表!B:H,6,FALSE),IF(OR(O741=3,O741=5),VLOOKUP(R741,怪物信息配置表!B:H,7,FALSE),"")))),AM741)</f>
        <v>ai_monster_02</v>
      </c>
      <c r="AG741" s="2"/>
      <c r="AH741" s="15">
        <f>SUMPRODUCT(T741:V741,$AN$3:$AP$3)+ROUNDDOWN(VLOOKUP(P741,CHOOSE({1,2},'[1]消耗&amp;价值&amp;分析'!$C$7:$C$106,'[1]消耗&amp;价值&amp;分析'!$AS$7:$AS$106),2,FALSE)*0.6,0)</f>
        <v>1245.044428956978</v>
      </c>
      <c r="AJ741" s="80">
        <v>1</v>
      </c>
      <c r="AK741" s="80">
        <v>1</v>
      </c>
      <c r="AL741" s="80">
        <v>1</v>
      </c>
    </row>
    <row r="742" spans="1:39">
      <c r="A742" s="33" t="str">
        <f>怪物并表!$R$14</f>
        <v>英雄之路</v>
      </c>
      <c r="B742" s="38">
        <v>35</v>
      </c>
      <c r="C742" s="33">
        <f t="shared" si="84"/>
        <v>1906</v>
      </c>
      <c r="D742" s="33">
        <v>2</v>
      </c>
      <c r="E742" s="33">
        <f>VLOOKUP(A742,怪物并表!$R$7:$S$14,2,FALSE)</f>
        <v>8</v>
      </c>
      <c r="F742" s="38">
        <v>0</v>
      </c>
      <c r="G742" s="38">
        <v>6</v>
      </c>
      <c r="H742" s="38">
        <v>1</v>
      </c>
      <c r="I742" s="33">
        <f t="shared" si="87"/>
        <v>806135</v>
      </c>
      <c r="J742" s="33" t="s">
        <v>227</v>
      </c>
      <c r="K742" s="33" t="s">
        <v>331</v>
      </c>
      <c r="L742" s="33">
        <v>0</v>
      </c>
      <c r="M742" s="33">
        <v>1</v>
      </c>
      <c r="N742" s="33"/>
      <c r="O742" s="33">
        <v>1</v>
      </c>
      <c r="P742" s="33">
        <f>VLOOKUP($C742,CHOOSE({1,2},怪物并表!$E$7:$E$1000,怪物并表!$D$7:$D$1000),2,FALSE)</f>
        <v>20</v>
      </c>
      <c r="Q742" s="33" t="s">
        <v>12</v>
      </c>
      <c r="R742" s="33">
        <f>VLOOKUP(Q742,怪物信息配置表!$A$2:$B$118,2,FALSE)</f>
        <v>1009</v>
      </c>
      <c r="S742" s="33">
        <v>1</v>
      </c>
      <c r="T742" s="110">
        <f>VLOOKUP($C742,怪物并表!$E$7:$N$1000,2+($D742-1)*3,FALSE)*S742*AJ742</f>
        <v>7153.4417021853124</v>
      </c>
      <c r="U742" s="110">
        <f>VLOOKUP($C742,怪物并表!$E$7:$N$1000,3+($D742-1)*3,FALSE)*S742*AK742</f>
        <v>436.92554347826098</v>
      </c>
      <c r="V742" s="110">
        <f>VLOOKUP($C742,怪物并表!$E$7:$N$1000,4+($D742-1)*3,FALSE)*S742*AL742</f>
        <v>161.98121739130443</v>
      </c>
      <c r="W742" s="33"/>
      <c r="X742" s="33"/>
      <c r="Y742" s="49">
        <f>VLOOKUP($C742,怪物并表!$E$7:$P$1000,12,FALSE)</f>
        <v>0</v>
      </c>
      <c r="Z742" s="49">
        <f>VLOOKUP($C742,怪物并表!$E$7:$P$1000,11,FALSE)*S742</f>
        <v>1506.1599999999999</v>
      </c>
      <c r="AA742" s="33"/>
      <c r="AB742" s="33"/>
      <c r="AC742" s="33"/>
      <c r="AD742" s="33">
        <f t="shared" si="86"/>
        <v>0.8</v>
      </c>
      <c r="AE742" s="2">
        <f t="shared" si="83"/>
        <v>810</v>
      </c>
      <c r="AF742" s="2" t="str">
        <f>IF(ISBLANK(AM742),IF(O742=6,"",IF(O742=1,VLOOKUP(R742,怪物信息配置表!B:H,5,FALSE),IF(O742=2,VLOOKUP(R742,怪物信息配置表!B:H,6,FALSE),IF(OR(O742=3,O742=5),VLOOKUP(R742,怪物信息配置表!B:H,7,FALSE),"")))),AM742)</f>
        <v>ai_monster</v>
      </c>
      <c r="AG742" s="2"/>
      <c r="AH742" s="15">
        <f>SUMPRODUCT(T742:V742,$AN$3:$AP$3)+ROUNDDOWN(VLOOKUP(P742,CHOOSE({1,2},'[1]消耗&amp;价值&amp;分析'!$C$7:$C$106,'[1]消耗&amp;价值&amp;分析'!$AS$7:$AS$106),2,FALSE)*0.6,0)</f>
        <v>1245.044428956978</v>
      </c>
      <c r="AJ742" s="80">
        <v>1</v>
      </c>
      <c r="AK742" s="80">
        <v>1</v>
      </c>
      <c r="AL742" s="80">
        <v>1</v>
      </c>
    </row>
    <row r="743" spans="1:39">
      <c r="A743" s="33" t="str">
        <f>怪物并表!$R$14</f>
        <v>英雄之路</v>
      </c>
      <c r="B743" s="38">
        <v>36</v>
      </c>
      <c r="C743" s="33">
        <f t="shared" si="84"/>
        <v>1906</v>
      </c>
      <c r="D743" s="33">
        <v>2</v>
      </c>
      <c r="E743" s="33">
        <f>VLOOKUP(A743,怪物并表!$R$7:$S$14,2,FALSE)</f>
        <v>8</v>
      </c>
      <c r="F743" s="38">
        <v>0</v>
      </c>
      <c r="G743" s="38">
        <v>6</v>
      </c>
      <c r="H743" s="38">
        <v>1</v>
      </c>
      <c r="I743" s="33">
        <f t="shared" si="87"/>
        <v>806136</v>
      </c>
      <c r="J743" s="33" t="s">
        <v>466</v>
      </c>
      <c r="K743" s="33" t="s">
        <v>331</v>
      </c>
      <c r="L743" s="33">
        <v>0</v>
      </c>
      <c r="M743" s="33">
        <v>1</v>
      </c>
      <c r="N743" s="33"/>
      <c r="O743" s="33">
        <v>1</v>
      </c>
      <c r="P743" s="33">
        <f>VLOOKUP($C743,CHOOSE({1,2},怪物并表!$E$7:$E$1000,怪物并表!$D$7:$D$1000),2,FALSE)</f>
        <v>20</v>
      </c>
      <c r="Q743" s="33" t="s">
        <v>14</v>
      </c>
      <c r="R743" s="33">
        <f>VLOOKUP(Q743,怪物信息配置表!$A$2:$B$118,2,FALSE)</f>
        <v>1010</v>
      </c>
      <c r="S743" s="33">
        <v>1</v>
      </c>
      <c r="T743" s="110">
        <f>VLOOKUP($C743,怪物并表!$E$7:$N$1000,2+($D743-1)*3,FALSE)*S743*AJ743</f>
        <v>7153.4417021853124</v>
      </c>
      <c r="U743" s="110">
        <f>VLOOKUP($C743,怪物并表!$E$7:$N$1000,3+($D743-1)*3,FALSE)*S743*AK743</f>
        <v>436.92554347826098</v>
      </c>
      <c r="V743" s="110">
        <f>VLOOKUP($C743,怪物并表!$E$7:$N$1000,4+($D743-1)*3,FALSE)*S743*AL743</f>
        <v>161.98121739130443</v>
      </c>
      <c r="W743" s="33"/>
      <c r="X743" s="33"/>
      <c r="Y743" s="49">
        <f>VLOOKUP($C743,怪物并表!$E$7:$P$1000,12,FALSE)</f>
        <v>0</v>
      </c>
      <c r="Z743" s="49">
        <f>VLOOKUP($C743,怪物并表!$E$7:$P$1000,11,FALSE)*S743</f>
        <v>1506.1599999999999</v>
      </c>
      <c r="AA743" s="33"/>
      <c r="AB743" s="33"/>
      <c r="AC743" s="33"/>
      <c r="AD743" s="33">
        <f t="shared" si="86"/>
        <v>0.8</v>
      </c>
      <c r="AE743" s="2">
        <f t="shared" si="83"/>
        <v>810</v>
      </c>
      <c r="AF743" s="2" t="str">
        <f>IF(ISBLANK(AM743),IF(O743=6,"",IF(O743=1,VLOOKUP(R743,怪物信息配置表!B:H,5,FALSE),IF(O743=2,VLOOKUP(R743,怪物信息配置表!B:H,6,FALSE),IF(OR(O743=3,O743=5),VLOOKUP(R743,怪物信息配置表!B:H,7,FALSE),"")))),AM743)</f>
        <v>ai_monster</v>
      </c>
      <c r="AG743" s="2"/>
      <c r="AH743" s="15">
        <f>SUMPRODUCT(T743:V743,$AN$3:$AP$3)+ROUNDDOWN(VLOOKUP(P743,CHOOSE({1,2},'[1]消耗&amp;价值&amp;分析'!$C$7:$C$106,'[1]消耗&amp;价值&amp;分析'!$AS$7:$AS$106),2,FALSE)*0.6,0)</f>
        <v>1245.044428956978</v>
      </c>
      <c r="AJ743" s="80">
        <v>1</v>
      </c>
      <c r="AK743" s="80">
        <v>1</v>
      </c>
      <c r="AL743" s="80">
        <v>1</v>
      </c>
    </row>
    <row r="744" spans="1:39">
      <c r="A744" s="33" t="str">
        <f>怪物并表!$R$14</f>
        <v>英雄之路</v>
      </c>
      <c r="B744" s="38">
        <v>37</v>
      </c>
      <c r="C744" s="33">
        <f t="shared" si="84"/>
        <v>1906</v>
      </c>
      <c r="D744" s="33">
        <v>3</v>
      </c>
      <c r="E744" s="33">
        <f>VLOOKUP(A744,怪物并表!$R$7:$S$14,2,FALSE)</f>
        <v>8</v>
      </c>
      <c r="F744" s="38">
        <v>0</v>
      </c>
      <c r="G744" s="38">
        <v>6</v>
      </c>
      <c r="H744" s="38">
        <v>1</v>
      </c>
      <c r="I744" s="33">
        <f t="shared" si="87"/>
        <v>806137</v>
      </c>
      <c r="J744" s="33" t="s">
        <v>534</v>
      </c>
      <c r="K744" s="33" t="s">
        <v>331</v>
      </c>
      <c r="L744" s="33">
        <v>0</v>
      </c>
      <c r="M744" s="33">
        <v>1</v>
      </c>
      <c r="N744" s="33"/>
      <c r="O744" s="33">
        <v>3</v>
      </c>
      <c r="P744" s="33">
        <f>VLOOKUP($C744,CHOOSE({1,2},怪物并表!$E$7:$E$1000,怪物并表!$D$7:$D$1000),2,FALSE)</f>
        <v>20</v>
      </c>
      <c r="Q744" s="33" t="s">
        <v>22</v>
      </c>
      <c r="R744" s="33">
        <f>VLOOKUP(Q744,怪物信息配置表!$A$2:$B$118,2,FALSE)</f>
        <v>1013</v>
      </c>
      <c r="S744" s="33">
        <v>1</v>
      </c>
      <c r="T744" s="110">
        <f>VLOOKUP($C744,怪物并表!$E$7:$N$1000,2+($D744-1)*3,FALSE)*S744*AJ744</f>
        <v>22354.505319329102</v>
      </c>
      <c r="U744" s="110">
        <f>VLOOKUP($C744,怪物并表!$E$7:$N$1000,3+($D744-1)*3,FALSE)*S744*AK744</f>
        <v>492.57782608695663</v>
      </c>
      <c r="V744" s="110">
        <f>VLOOKUP($C744,怪物并表!$E$7:$N$1000,4+($D744-1)*3,FALSE)*S744*AL744</f>
        <v>310.46400000000006</v>
      </c>
      <c r="W744" s="33"/>
      <c r="X744" s="33"/>
      <c r="Y744" s="49">
        <f>VLOOKUP($C744,怪物并表!$E$7:$P$1000,12,FALSE)</f>
        <v>0</v>
      </c>
      <c r="Z744" s="49">
        <f>VLOOKUP($C744,怪物并表!$E$7:$P$1000,11,FALSE)*S744</f>
        <v>1506.1599999999999</v>
      </c>
      <c r="AA744" s="33"/>
      <c r="AB744" s="33"/>
      <c r="AC744" s="33"/>
      <c r="AD744" s="33">
        <f t="shared" si="86"/>
        <v>1.5</v>
      </c>
      <c r="AE744" s="2">
        <f t="shared" si="83"/>
        <v>643.75</v>
      </c>
      <c r="AF744" s="2" t="str">
        <f>IF(ISBLANK(AM744),IF(O744=6,"",IF(O744=1,VLOOKUP(R744,怪物信息配置表!B:H,5,FALSE),IF(O744=2,VLOOKUP(R744,怪物信息配置表!B:H,6,FALSE),IF(OR(O744=3,O744=5),VLOOKUP(R744,怪物信息配置表!B:H,7,FALSE),"")))),AM744)</f>
        <v>1013_nvrenzhe_BOSS</v>
      </c>
      <c r="AG744" s="2"/>
      <c r="AH744" s="15">
        <f>SUMPRODUCT(T744:V744,$AN$3:$AP$3)+ROUNDDOWN(VLOOKUP(P744,CHOOSE({1,2},'[1]消耗&amp;价值&amp;分析'!$C$7:$C$106,'[1]消耗&amp;价值&amp;分析'!$AS$7:$AS$106),2,FALSE)*0.6,0)</f>
        <v>2057.2220388601208</v>
      </c>
      <c r="AJ744" s="80">
        <v>1</v>
      </c>
      <c r="AK744" s="80">
        <v>1</v>
      </c>
      <c r="AL744" s="80">
        <v>1</v>
      </c>
    </row>
    <row r="745" spans="1:39">
      <c r="A745" s="33" t="str">
        <f>怪物并表!$R$14</f>
        <v>英雄之路</v>
      </c>
      <c r="B745" s="38">
        <v>38</v>
      </c>
      <c r="C745" s="33">
        <f t="shared" si="84"/>
        <v>1906</v>
      </c>
      <c r="D745" s="33">
        <v>1</v>
      </c>
      <c r="E745" s="33">
        <f>VLOOKUP(A745,怪物并表!$R$7:$S$14,2,FALSE)</f>
        <v>8</v>
      </c>
      <c r="F745" s="38">
        <v>0</v>
      </c>
      <c r="G745" s="38">
        <v>6</v>
      </c>
      <c r="H745" s="38">
        <v>1</v>
      </c>
      <c r="I745" s="33">
        <f t="shared" si="87"/>
        <v>806138</v>
      </c>
      <c r="J745" s="33" t="s">
        <v>259</v>
      </c>
      <c r="K745" s="33" t="s">
        <v>331</v>
      </c>
      <c r="L745" s="33">
        <v>0</v>
      </c>
      <c r="M745" s="33">
        <v>1</v>
      </c>
      <c r="N745" s="33"/>
      <c r="O745" s="33">
        <v>1</v>
      </c>
      <c r="P745" s="33">
        <f>VLOOKUP($C745,CHOOSE({1,2},怪物并表!$E$7:$E$1000,怪物并表!$D$7:$D$1000),2,FALSE)</f>
        <v>20</v>
      </c>
      <c r="Q745" s="33" t="s">
        <v>259</v>
      </c>
      <c r="R745" s="33">
        <f>VLOOKUP(Q745,怪物信息配置表!$A$2:$B$118,2,FALSE)</f>
        <v>3001</v>
      </c>
      <c r="S745" s="33">
        <v>1.8</v>
      </c>
      <c r="T745" s="110">
        <f>VLOOKUP($C745,怪物并表!$E$7:$N$1000,2+($D745-1)*3,FALSE)*S745*AJ745</f>
        <v>16095.243829916953</v>
      </c>
      <c r="U745" s="110">
        <f>VLOOKUP($C745,怪物并表!$E$7:$N$1000,3+($D745-1)*3,FALSE)*S745*AK745</f>
        <v>819.85734782608711</v>
      </c>
      <c r="V745" s="110">
        <f>VLOOKUP($C745,怪物并表!$E$7:$N$1000,4+($D745-1)*3,FALSE)*S745*AL745</f>
        <v>425.20069565217403</v>
      </c>
      <c r="W745" s="33"/>
      <c r="X745" s="33"/>
      <c r="Y745" s="49">
        <f>VLOOKUP($C745,怪物并表!$E$7:$P$1000,12,FALSE)</f>
        <v>0</v>
      </c>
      <c r="Z745" s="49">
        <f>VLOOKUP($C745,怪物并表!$E$7:$P$1000,11,FALSE)*S745</f>
        <v>2711.0879999999997</v>
      </c>
      <c r="AA745" s="33"/>
      <c r="AB745" s="33"/>
      <c r="AC745" s="33"/>
      <c r="AD745" s="33">
        <f t="shared" si="86"/>
        <v>1</v>
      </c>
      <c r="AE745" s="2">
        <f t="shared" si="83"/>
        <v>762.5</v>
      </c>
      <c r="AF745" s="2" t="str">
        <f>IF(ISBLANK(AM745),IF(O745=6,"",IF(O745=1,VLOOKUP(R745,怪物信息配置表!B:H,5,FALSE),IF(O745=2,VLOOKUP(R745,怪物信息配置表!B:H,6,FALSE),IF(OR(O745=3,O745=5),VLOOKUP(R745,怪物信息配置表!B:H,7,FALSE),"")))),AM745)</f>
        <v>ai_DC</v>
      </c>
      <c r="AG745" s="2"/>
      <c r="AH745" s="15">
        <f>SUMPRODUCT(T745:V745,$AN$3:$AP$3)+ROUNDDOWN(VLOOKUP(P745,CHOOSE({1,2},'[1]消耗&amp;价值&amp;分析'!$C$7:$C$106,'[1]消耗&amp;价值&amp;分析'!$AS$7:$AS$106),2,FALSE)*0.6,0)</f>
        <v>2248.8677966749392</v>
      </c>
      <c r="AJ745" s="80">
        <v>1</v>
      </c>
      <c r="AK745" s="80">
        <v>1</v>
      </c>
      <c r="AL745" s="80">
        <v>1</v>
      </c>
    </row>
    <row r="746" spans="1:39">
      <c r="A746" s="33" t="str">
        <f>怪物并表!$R$14</f>
        <v>英雄之路</v>
      </c>
      <c r="B746" s="38">
        <v>39</v>
      </c>
      <c r="C746" s="33">
        <f t="shared" si="84"/>
        <v>1906</v>
      </c>
      <c r="D746" s="33">
        <v>1</v>
      </c>
      <c r="E746" s="33">
        <f>VLOOKUP(A746,怪物并表!$R$7:$S$14,2,FALSE)</f>
        <v>8</v>
      </c>
      <c r="F746" s="38">
        <v>0</v>
      </c>
      <c r="G746" s="38">
        <v>6</v>
      </c>
      <c r="H746" s="38">
        <v>1</v>
      </c>
      <c r="I746" s="33">
        <f t="shared" si="87"/>
        <v>806139</v>
      </c>
      <c r="J746" s="33" t="s">
        <v>260</v>
      </c>
      <c r="K746" s="33" t="s">
        <v>331</v>
      </c>
      <c r="L746" s="33">
        <v>0</v>
      </c>
      <c r="M746" s="33">
        <v>1</v>
      </c>
      <c r="N746" s="33"/>
      <c r="O746" s="33">
        <v>6</v>
      </c>
      <c r="P746" s="33">
        <f>VLOOKUP($C746,CHOOSE({1,2},怪物并表!$E$7:$E$1000,怪物并表!$D$7:$D$1000),2,FALSE)</f>
        <v>20</v>
      </c>
      <c r="Q746" s="33" t="s">
        <v>402</v>
      </c>
      <c r="R746" s="33">
        <f>VLOOKUP(Q746,怪物信息配置表!$A$2:$B$118,2,FALSE)</f>
        <v>3003</v>
      </c>
      <c r="S746" s="33">
        <v>1.8</v>
      </c>
      <c r="T746" s="110">
        <f>VLOOKUP($C746,怪物并表!$E$7:$N$1000,2+($D746-1)*3,FALSE)*S746*AJ746</f>
        <v>16095.243829916953</v>
      </c>
      <c r="U746" s="110">
        <f>VLOOKUP($C746,怪物并表!$E$7:$N$1000,3+($D746-1)*3,FALSE)*S746*AK746</f>
        <v>819.85734782608711</v>
      </c>
      <c r="V746" s="110">
        <f>VLOOKUP($C746,怪物并表!$E$7:$N$1000,4+($D746-1)*3,FALSE)*S746*AL746</f>
        <v>425.20069565217403</v>
      </c>
      <c r="W746" s="33"/>
      <c r="X746" s="33"/>
      <c r="Y746" s="49">
        <f>VLOOKUP($C746,怪物并表!$E$7:$P$1000,12,FALSE)</f>
        <v>0</v>
      </c>
      <c r="Z746" s="49">
        <f>VLOOKUP($C746,怪物并表!$E$7:$P$1000,11,FALSE)*S746</f>
        <v>2711.0879999999997</v>
      </c>
      <c r="AA746" s="33"/>
      <c r="AB746" s="33"/>
      <c r="AC746" s="33"/>
      <c r="AD746" s="33">
        <f t="shared" ref="AD746" si="88">IF(D746=1,1,IF(D746=2,0.8,1.5))</f>
        <v>1</v>
      </c>
      <c r="AE746" s="2">
        <f>MAX(VLOOKUP(Q746,怪物信息配置表,3,FALSE)-VLOOKUP(Q746,怪物信息配置表,5,FALSE)*P746*AD746,50)</f>
        <v>762.5</v>
      </c>
      <c r="AF746" s="2" t="str">
        <f>IF(ISBLANK(AM746),IF(O746=6,"",IF(O746=1,VLOOKUP(R746,怪物信息配置表!B:H,5,FALSE),IF(O746=2,VLOOKUP(R746,怪物信息配置表!B:H,6,FALSE),IF(OR(O746=3,O746=5),VLOOKUP(R746,怪物信息配置表!B:H,7,FALSE),"")))),AM746)</f>
        <v>ai_LS</v>
      </c>
      <c r="AG746" s="2"/>
      <c r="AH746" s="15">
        <f>SUMPRODUCT(T746:V746,$AN$3:$AP$3)+ROUNDDOWN(VLOOKUP(P746,CHOOSE({1,2},'[1]消耗&amp;价值&amp;分析'!$C$7:$C$106,'[1]消耗&amp;价值&amp;分析'!$AS$7:$AS$106),2,FALSE)*0.6,0)</f>
        <v>2248.8677966749392</v>
      </c>
      <c r="AJ746" s="80">
        <v>1</v>
      </c>
      <c r="AK746" s="80">
        <v>1</v>
      </c>
      <c r="AL746" s="80">
        <v>1</v>
      </c>
      <c r="AM746" t="s">
        <v>280</v>
      </c>
    </row>
    <row r="747" spans="1:39">
      <c r="A747" s="2"/>
      <c r="B747" s="42"/>
      <c r="C747" s="2"/>
      <c r="D747" s="2"/>
      <c r="E747" s="42"/>
      <c r="F747" s="42"/>
      <c r="G747" s="42"/>
      <c r="H747" s="42"/>
      <c r="I747" s="4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33"/>
      <c r="AD747" s="33"/>
      <c r="AG747" s="2"/>
      <c r="AH747" s="10"/>
    </row>
    <row r="748" spans="1:39">
      <c r="A748" s="2"/>
      <c r="B748" s="42"/>
      <c r="C748" s="2"/>
      <c r="D748" s="2"/>
      <c r="E748" s="42"/>
      <c r="F748" s="42"/>
      <c r="G748" s="42"/>
      <c r="H748" s="42"/>
      <c r="I748" s="4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33"/>
      <c r="AD748" s="33"/>
      <c r="AG748" s="2"/>
      <c r="AH748" s="10"/>
    </row>
    <row r="749" spans="1:39">
      <c r="A749" s="2"/>
      <c r="B749" s="42"/>
      <c r="C749" s="2"/>
      <c r="D749" s="2"/>
      <c r="E749" s="42"/>
      <c r="F749" s="42"/>
      <c r="G749" s="42"/>
      <c r="H749" s="42"/>
      <c r="I749" s="4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33"/>
      <c r="AD749" s="33"/>
      <c r="AG749" s="2"/>
      <c r="AH749" s="10"/>
    </row>
    <row r="750" spans="1:39">
      <c r="A750" s="2"/>
      <c r="B750" s="42"/>
      <c r="C750" s="2"/>
      <c r="D750" s="2"/>
      <c r="E750" s="42"/>
      <c r="F750" s="42"/>
      <c r="G750" s="42"/>
      <c r="H750" s="42"/>
      <c r="I750" s="4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33"/>
      <c r="AD750" s="33"/>
      <c r="AG750" s="2"/>
      <c r="AH750" s="10"/>
    </row>
    <row r="751" spans="1:39">
      <c r="A751" s="2"/>
      <c r="B751" s="42"/>
      <c r="C751" s="2"/>
      <c r="D751" s="2"/>
      <c r="E751" s="42"/>
      <c r="F751" s="42"/>
      <c r="G751" s="42"/>
      <c r="H751" s="42"/>
      <c r="I751" s="4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33"/>
      <c r="AD751" s="33"/>
      <c r="AG751" s="2"/>
      <c r="AH751" s="10"/>
    </row>
    <row r="752" spans="1:39">
      <c r="A752" s="2"/>
      <c r="B752" s="42"/>
      <c r="C752" s="2"/>
      <c r="D752" s="2"/>
      <c r="E752" s="42"/>
      <c r="F752" s="42"/>
      <c r="G752" s="42"/>
      <c r="H752" s="42"/>
      <c r="I752" s="4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33"/>
      <c r="AD752" s="33"/>
      <c r="AG752" s="2"/>
      <c r="AH752" s="10"/>
    </row>
    <row r="753" spans="1:34">
      <c r="A753" s="2"/>
      <c r="B753" s="42"/>
      <c r="C753" s="2"/>
      <c r="D753" s="2"/>
      <c r="E753" s="42"/>
      <c r="F753" s="42"/>
      <c r="G753" s="42"/>
      <c r="H753" s="42"/>
      <c r="I753" s="4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33"/>
      <c r="AD753" s="33"/>
      <c r="AG753" s="2"/>
      <c r="AH753" s="10"/>
    </row>
    <row r="754" spans="1:34">
      <c r="A754" s="2"/>
      <c r="B754" s="42"/>
      <c r="C754" s="2"/>
      <c r="D754" s="2"/>
      <c r="E754" s="42"/>
      <c r="F754" s="42"/>
      <c r="G754" s="42"/>
      <c r="H754" s="42"/>
      <c r="I754" s="4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33"/>
      <c r="AD754" s="33"/>
      <c r="AG754" s="2"/>
      <c r="AH754" s="10"/>
    </row>
    <row r="755" spans="1:34">
      <c r="A755" s="2"/>
      <c r="B755" s="42"/>
      <c r="C755" s="2"/>
      <c r="D755" s="2"/>
      <c r="E755" s="42"/>
      <c r="F755" s="42"/>
      <c r="G755" s="42"/>
      <c r="H755" s="42"/>
      <c r="I755" s="4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33"/>
      <c r="AD755" s="33"/>
      <c r="AG755" s="2"/>
      <c r="AH755" s="10"/>
    </row>
    <row r="756" spans="1:34">
      <c r="A756" s="2"/>
      <c r="B756" s="42"/>
      <c r="C756" s="2"/>
      <c r="D756" s="2"/>
      <c r="E756" s="42"/>
      <c r="F756" s="42"/>
      <c r="G756" s="42"/>
      <c r="H756" s="42"/>
      <c r="I756" s="4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33"/>
      <c r="AD756" s="33"/>
      <c r="AG756" s="2"/>
      <c r="AH756" s="10"/>
    </row>
    <row r="757" spans="1:34">
      <c r="A757" s="2"/>
      <c r="B757" s="42"/>
      <c r="C757" s="2"/>
      <c r="D757" s="2"/>
      <c r="E757" s="42"/>
      <c r="F757" s="42"/>
      <c r="G757" s="42"/>
      <c r="H757" s="42"/>
      <c r="I757" s="4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33"/>
      <c r="AD757" s="33"/>
      <c r="AG757" s="2"/>
      <c r="AH757" s="10"/>
    </row>
    <row r="758" spans="1:34">
      <c r="A758" s="2"/>
      <c r="B758" s="42"/>
      <c r="C758" s="2"/>
      <c r="D758" s="2"/>
      <c r="E758" s="42"/>
      <c r="F758" s="42"/>
      <c r="G758" s="42"/>
      <c r="H758" s="42"/>
      <c r="I758" s="4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33"/>
      <c r="AD758" s="33"/>
      <c r="AG758" s="2"/>
      <c r="AH758" s="10"/>
    </row>
    <row r="759" spans="1:34">
      <c r="A759" s="2"/>
      <c r="B759" s="42"/>
      <c r="C759" s="2"/>
      <c r="D759" s="2"/>
      <c r="E759" s="42"/>
      <c r="F759" s="42"/>
      <c r="G759" s="42"/>
      <c r="H759" s="42"/>
      <c r="I759" s="4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33"/>
      <c r="AD759" s="33"/>
      <c r="AG759" s="2"/>
      <c r="AH759" s="10"/>
    </row>
    <row r="760" spans="1:34">
      <c r="A760" s="2"/>
      <c r="B760" s="42"/>
      <c r="C760" s="2"/>
      <c r="D760" s="2"/>
      <c r="E760" s="42"/>
      <c r="F760" s="42"/>
      <c r="G760" s="42"/>
      <c r="H760" s="42"/>
      <c r="I760" s="4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33"/>
      <c r="AD760" s="33"/>
      <c r="AG760" s="2"/>
      <c r="AH760" s="10"/>
    </row>
    <row r="761" spans="1:34">
      <c r="A761" s="2"/>
      <c r="B761" s="42"/>
      <c r="C761" s="2"/>
      <c r="D761" s="2"/>
      <c r="E761" s="42"/>
      <c r="F761" s="42"/>
      <c r="G761" s="42"/>
      <c r="H761" s="42"/>
      <c r="I761" s="4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33"/>
      <c r="AD761" s="33"/>
      <c r="AG761" s="2"/>
      <c r="AH761" s="10"/>
    </row>
    <row r="762" spans="1:34">
      <c r="A762" s="2"/>
      <c r="B762" s="42"/>
      <c r="C762" s="2"/>
      <c r="D762" s="2"/>
      <c r="E762" s="42"/>
      <c r="F762" s="42"/>
      <c r="G762" s="42"/>
      <c r="H762" s="42"/>
      <c r="I762" s="4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33"/>
      <c r="AD762" s="33"/>
      <c r="AG762" s="2"/>
      <c r="AH762" s="10"/>
    </row>
    <row r="763" spans="1:34">
      <c r="A763" s="2"/>
      <c r="B763" s="42"/>
      <c r="C763" s="2"/>
      <c r="D763" s="2"/>
      <c r="E763" s="42"/>
      <c r="F763" s="42"/>
      <c r="G763" s="42"/>
      <c r="H763" s="42"/>
      <c r="I763" s="4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33"/>
      <c r="AD763" s="33"/>
      <c r="AG763" s="2"/>
      <c r="AH763" s="10"/>
    </row>
    <row r="764" spans="1:34">
      <c r="A764" s="2"/>
      <c r="B764" s="42"/>
      <c r="C764" s="2"/>
      <c r="D764" s="2"/>
      <c r="E764" s="42"/>
      <c r="F764" s="42"/>
      <c r="G764" s="42"/>
      <c r="H764" s="42"/>
      <c r="I764" s="4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33"/>
      <c r="AD764" s="33"/>
      <c r="AG764" s="2"/>
      <c r="AH764" s="10"/>
    </row>
    <row r="765" spans="1:34">
      <c r="A765" s="2"/>
      <c r="B765" s="42"/>
      <c r="C765" s="2"/>
      <c r="D765" s="2"/>
      <c r="E765" s="42"/>
      <c r="F765" s="42"/>
      <c r="G765" s="42"/>
      <c r="H765" s="42"/>
      <c r="I765" s="4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33"/>
      <c r="AD765" s="33"/>
      <c r="AG765" s="2"/>
      <c r="AH765" s="10"/>
    </row>
    <row r="766" spans="1:34">
      <c r="A766" s="2"/>
      <c r="B766" s="42"/>
      <c r="C766" s="2"/>
      <c r="D766" s="2"/>
      <c r="E766" s="42"/>
      <c r="F766" s="42"/>
      <c r="G766" s="42"/>
      <c r="H766" s="42"/>
      <c r="I766" s="4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33"/>
      <c r="AD766" s="33"/>
      <c r="AG766" s="2"/>
      <c r="AH766" s="10"/>
    </row>
    <row r="767" spans="1:34">
      <c r="A767" s="2"/>
      <c r="B767" s="42"/>
      <c r="C767" s="2"/>
      <c r="D767" s="2"/>
      <c r="E767" s="42"/>
      <c r="F767" s="42"/>
      <c r="G767" s="42"/>
      <c r="H767" s="42"/>
      <c r="I767" s="4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33"/>
      <c r="AD767" s="33"/>
      <c r="AG767" s="2"/>
      <c r="AH767" s="10"/>
    </row>
    <row r="768" spans="1:34">
      <c r="A768" s="2"/>
      <c r="B768" s="42"/>
      <c r="C768" s="2"/>
      <c r="D768" s="2"/>
      <c r="E768" s="42"/>
      <c r="F768" s="42"/>
      <c r="G768" s="42"/>
      <c r="H768" s="42"/>
      <c r="I768" s="4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33"/>
      <c r="AD768" s="33"/>
      <c r="AG768" s="2"/>
      <c r="AH768" s="10"/>
    </row>
    <row r="769" spans="1:34">
      <c r="A769" s="2"/>
      <c r="B769" s="42"/>
      <c r="C769" s="2"/>
      <c r="D769" s="2"/>
      <c r="E769" s="42"/>
      <c r="F769" s="42"/>
      <c r="G769" s="42"/>
      <c r="H769" s="42"/>
      <c r="I769" s="4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33"/>
      <c r="AD769" s="33"/>
      <c r="AG769" s="2"/>
      <c r="AH769" s="10"/>
    </row>
    <row r="770" spans="1:34">
      <c r="A770" s="2"/>
      <c r="B770" s="42"/>
      <c r="C770" s="2"/>
      <c r="D770" s="2"/>
      <c r="E770" s="42"/>
      <c r="F770" s="42"/>
      <c r="G770" s="42"/>
      <c r="H770" s="42"/>
      <c r="I770" s="4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33"/>
      <c r="AD770" s="33"/>
      <c r="AG770" s="2"/>
      <c r="AH770" s="10"/>
    </row>
    <row r="771" spans="1:34">
      <c r="A771" s="2"/>
      <c r="B771" s="42"/>
      <c r="C771" s="2"/>
      <c r="D771" s="2"/>
      <c r="E771" s="42"/>
      <c r="F771" s="42"/>
      <c r="G771" s="42"/>
      <c r="H771" s="42"/>
      <c r="I771" s="4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33"/>
      <c r="AD771" s="33"/>
      <c r="AG771" s="2"/>
      <c r="AH771" s="10"/>
    </row>
    <row r="772" spans="1:34">
      <c r="A772" s="2"/>
      <c r="B772" s="42"/>
      <c r="C772" s="2"/>
      <c r="D772" s="2"/>
      <c r="E772" s="42"/>
      <c r="F772" s="42"/>
      <c r="G772" s="42"/>
      <c r="H772" s="42"/>
      <c r="I772" s="4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33"/>
      <c r="AD772" s="33"/>
      <c r="AG772" s="2"/>
      <c r="AH772" s="10"/>
    </row>
    <row r="773" spans="1:34">
      <c r="A773" s="2"/>
      <c r="B773" s="42"/>
      <c r="C773" s="2"/>
      <c r="D773" s="2"/>
      <c r="E773" s="42"/>
      <c r="F773" s="42"/>
      <c r="G773" s="42"/>
      <c r="H773" s="42"/>
      <c r="I773" s="4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33"/>
      <c r="AD773" s="33"/>
      <c r="AG773" s="2"/>
      <c r="AH773" s="10"/>
    </row>
    <row r="774" spans="1:34">
      <c r="A774" s="2"/>
      <c r="B774" s="42"/>
      <c r="C774" s="2"/>
      <c r="D774" s="2"/>
      <c r="E774" s="42"/>
      <c r="F774" s="42"/>
      <c r="G774" s="42"/>
      <c r="H774" s="42"/>
      <c r="I774" s="4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33"/>
      <c r="AD774" s="33"/>
      <c r="AG774" s="2"/>
      <c r="AH774" s="10"/>
    </row>
    <row r="775" spans="1:34">
      <c r="A775" s="2"/>
      <c r="B775" s="42"/>
      <c r="C775" s="2"/>
      <c r="D775" s="2"/>
      <c r="E775" s="42"/>
      <c r="F775" s="42"/>
      <c r="G775" s="42"/>
      <c r="H775" s="42"/>
      <c r="I775" s="4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33"/>
      <c r="AD775" s="33"/>
      <c r="AG775" s="2"/>
      <c r="AH775" s="10"/>
    </row>
    <row r="776" spans="1:34">
      <c r="A776" s="2"/>
      <c r="B776" s="42"/>
      <c r="C776" s="2"/>
      <c r="D776" s="2"/>
      <c r="E776" s="42"/>
      <c r="F776" s="42"/>
      <c r="G776" s="42"/>
      <c r="H776" s="42"/>
      <c r="I776" s="4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33"/>
      <c r="AD776" s="33"/>
      <c r="AG776" s="2"/>
      <c r="AH776" s="10"/>
    </row>
    <row r="777" spans="1:34">
      <c r="A777" s="2"/>
      <c r="B777" s="42"/>
      <c r="C777" s="2"/>
      <c r="D777" s="2"/>
      <c r="E777" s="42"/>
      <c r="F777" s="42"/>
      <c r="G777" s="42"/>
      <c r="H777" s="42"/>
      <c r="I777" s="4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33"/>
      <c r="AD777" s="33"/>
      <c r="AG777" s="2"/>
      <c r="AH777" s="10"/>
    </row>
    <row r="778" spans="1:34">
      <c r="A778" s="2"/>
      <c r="B778" s="42"/>
      <c r="C778" s="2"/>
      <c r="D778" s="2"/>
      <c r="E778" s="42"/>
      <c r="F778" s="42"/>
      <c r="G778" s="42"/>
      <c r="H778" s="42"/>
      <c r="I778" s="4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33"/>
      <c r="AD778" s="33"/>
      <c r="AG778" s="2"/>
      <c r="AH778" s="10"/>
    </row>
    <row r="779" spans="1:34">
      <c r="A779" s="2"/>
      <c r="B779" s="42"/>
      <c r="C779" s="2"/>
      <c r="D779" s="2"/>
      <c r="E779" s="42"/>
      <c r="F779" s="42"/>
      <c r="G779" s="42"/>
      <c r="H779" s="42"/>
      <c r="I779" s="4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33"/>
      <c r="AD779" s="33"/>
      <c r="AG779" s="2"/>
      <c r="AH779" s="10"/>
    </row>
    <row r="780" spans="1:34">
      <c r="A780" s="2"/>
      <c r="B780" s="42"/>
      <c r="C780" s="2"/>
      <c r="D780" s="2"/>
      <c r="E780" s="42"/>
      <c r="F780" s="42"/>
      <c r="G780" s="42"/>
      <c r="H780" s="42"/>
      <c r="I780" s="4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33"/>
      <c r="AD780" s="33"/>
      <c r="AG780" s="2"/>
      <c r="AH780" s="10"/>
    </row>
    <row r="781" spans="1:34">
      <c r="A781" s="2"/>
      <c r="B781" s="42"/>
      <c r="C781" s="2"/>
      <c r="D781" s="2"/>
      <c r="E781" s="42"/>
      <c r="F781" s="42"/>
      <c r="G781" s="42"/>
      <c r="H781" s="42"/>
      <c r="I781" s="4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33"/>
      <c r="AD781" s="33"/>
      <c r="AG781" s="2"/>
      <c r="AH781" s="10"/>
    </row>
    <row r="782" spans="1:34">
      <c r="A782" s="2"/>
      <c r="B782" s="42"/>
      <c r="C782" s="2"/>
      <c r="D782" s="2"/>
      <c r="E782" s="42"/>
      <c r="F782" s="42"/>
      <c r="G782" s="42"/>
      <c r="H782" s="42"/>
      <c r="I782" s="4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33"/>
      <c r="AD782" s="33"/>
      <c r="AG782" s="2"/>
      <c r="AH782" s="10"/>
    </row>
    <row r="783" spans="1:34">
      <c r="A783" s="2"/>
      <c r="B783" s="42"/>
      <c r="C783" s="2"/>
      <c r="D783" s="2"/>
      <c r="E783" s="42"/>
      <c r="F783" s="42"/>
      <c r="G783" s="42"/>
      <c r="H783" s="42"/>
      <c r="I783" s="4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33"/>
      <c r="AD783" s="33"/>
      <c r="AG783" s="2"/>
      <c r="AH783" s="10"/>
    </row>
    <row r="784" spans="1:34">
      <c r="A784" s="2"/>
      <c r="B784" s="42"/>
      <c r="C784" s="2"/>
      <c r="D784" s="2"/>
      <c r="E784" s="42"/>
      <c r="F784" s="42"/>
      <c r="G784" s="42"/>
      <c r="H784" s="42"/>
      <c r="I784" s="4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33"/>
      <c r="AD784" s="33"/>
      <c r="AG784" s="2"/>
      <c r="AH784" s="10"/>
    </row>
    <row r="785" spans="1:34">
      <c r="A785" s="2"/>
      <c r="B785" s="42"/>
      <c r="C785" s="2"/>
      <c r="D785" s="2"/>
      <c r="E785" s="42"/>
      <c r="F785" s="42"/>
      <c r="G785" s="42"/>
      <c r="H785" s="42"/>
      <c r="I785" s="4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33"/>
      <c r="AD785" s="33"/>
      <c r="AG785" s="2"/>
      <c r="AH785" s="10"/>
    </row>
    <row r="786" spans="1:34">
      <c r="A786" s="2"/>
      <c r="B786" s="42"/>
      <c r="C786" s="2"/>
      <c r="D786" s="2"/>
      <c r="E786" s="42"/>
      <c r="F786" s="42"/>
      <c r="G786" s="42"/>
      <c r="H786" s="42"/>
      <c r="I786" s="4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33"/>
      <c r="AD786" s="33"/>
      <c r="AG786" s="2"/>
      <c r="AH786" s="10"/>
    </row>
    <row r="787" spans="1:34">
      <c r="A787" s="2"/>
      <c r="B787" s="42"/>
      <c r="C787" s="2"/>
      <c r="D787" s="2"/>
      <c r="E787" s="42"/>
      <c r="F787" s="42"/>
      <c r="G787" s="42"/>
      <c r="H787" s="42"/>
      <c r="I787" s="4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33"/>
      <c r="AD787" s="33"/>
      <c r="AG787" s="2"/>
      <c r="AH787" s="10"/>
    </row>
    <row r="788" spans="1:34">
      <c r="A788" s="2"/>
      <c r="B788" s="42"/>
      <c r="C788" s="2"/>
      <c r="D788" s="2"/>
      <c r="E788" s="42"/>
      <c r="F788" s="42"/>
      <c r="G788" s="42"/>
      <c r="H788" s="42"/>
      <c r="I788" s="4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33"/>
      <c r="AD788" s="33"/>
      <c r="AG788" s="2"/>
      <c r="AH788" s="10"/>
    </row>
    <row r="789" spans="1:34">
      <c r="A789" s="2"/>
      <c r="B789" s="42"/>
      <c r="C789" s="2"/>
      <c r="D789" s="2"/>
      <c r="E789" s="42"/>
      <c r="F789" s="42"/>
      <c r="G789" s="42"/>
      <c r="H789" s="42"/>
      <c r="I789" s="4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33"/>
      <c r="AD789" s="33"/>
      <c r="AG789" s="2"/>
      <c r="AH789" s="10"/>
    </row>
    <row r="790" spans="1:34">
      <c r="A790" s="2"/>
      <c r="B790" s="42"/>
      <c r="C790" s="2"/>
      <c r="D790" s="2"/>
      <c r="E790" s="42"/>
      <c r="F790" s="42"/>
      <c r="G790" s="42"/>
      <c r="H790" s="42"/>
      <c r="I790" s="4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33"/>
      <c r="AD790" s="33"/>
      <c r="AG790" s="10"/>
      <c r="AH790" s="10"/>
    </row>
    <row r="791" spans="1:34">
      <c r="A791" s="2"/>
      <c r="B791" s="42"/>
      <c r="C791" s="2"/>
      <c r="D791" s="2"/>
      <c r="E791" s="42"/>
      <c r="F791" s="42"/>
      <c r="G791" s="42"/>
      <c r="H791" s="42"/>
      <c r="I791" s="4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33"/>
      <c r="AD791" s="33"/>
      <c r="AG791" s="10"/>
      <c r="AH791" s="10"/>
    </row>
    <row r="792" spans="1:34">
      <c r="A792" s="2"/>
      <c r="B792" s="42"/>
      <c r="C792" s="2"/>
      <c r="D792" s="2"/>
      <c r="E792" s="42"/>
      <c r="F792" s="42"/>
      <c r="G792" s="42"/>
      <c r="H792" s="42"/>
      <c r="I792" s="4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33"/>
      <c r="AD792" s="33"/>
      <c r="AG792" s="10"/>
      <c r="AH792" s="10"/>
    </row>
    <row r="793" spans="1:34">
      <c r="A793" s="2"/>
      <c r="B793" s="42"/>
      <c r="C793" s="2"/>
      <c r="D793" s="2"/>
      <c r="E793" s="42"/>
      <c r="F793" s="42"/>
      <c r="G793" s="42"/>
      <c r="H793" s="42"/>
      <c r="I793" s="4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33"/>
      <c r="AD793" s="33"/>
      <c r="AG793" s="10"/>
      <c r="AH793" s="10"/>
    </row>
    <row r="794" spans="1:34">
      <c r="A794" s="2"/>
      <c r="B794" s="42"/>
      <c r="C794" s="2"/>
      <c r="D794" s="2"/>
      <c r="E794" s="42"/>
      <c r="F794" s="42"/>
      <c r="G794" s="42"/>
      <c r="H794" s="42"/>
      <c r="I794" s="4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33"/>
      <c r="AD794" s="33"/>
      <c r="AG794" s="10"/>
      <c r="AH794" s="10"/>
    </row>
  </sheetData>
  <sortState ref="A2:AO553">
    <sortCondition ref="E2:E553"/>
  </sortState>
  <phoneticPr fontId="1" type="noConversion"/>
  <conditionalFormatting sqref="I1">
    <cfRule type="duplicateValues" dxfId="1809" priority="1921" stopIfTrue="1"/>
  </conditionalFormatting>
  <conditionalFormatting sqref="A2">
    <cfRule type="expression" dxfId="1808" priority="1905">
      <formula>$E2=7</formula>
    </cfRule>
    <cfRule type="expression" dxfId="1807" priority="1906">
      <formula>$E2=6</formula>
    </cfRule>
    <cfRule type="expression" dxfId="1806" priority="1907">
      <formula>$E2=5</formula>
    </cfRule>
    <cfRule type="expression" dxfId="1805" priority="1908">
      <formula>$E2=4</formula>
    </cfRule>
    <cfRule type="expression" dxfId="1804" priority="1909">
      <formula>$E2=3</formula>
    </cfRule>
    <cfRule type="expression" dxfId="1803" priority="1910">
      <formula>$E2=2</formula>
    </cfRule>
    <cfRule type="expression" dxfId="1802" priority="1911">
      <formula>$E2=1</formula>
    </cfRule>
  </conditionalFormatting>
  <conditionalFormatting sqref="S612:S613 F612:H613 A712:A723 A734:A736 A742:A746 A725:A730 D725:H730 D742:H746 D734:H736 AG612:AG613 AA712:AC723 AA725:AC730 AA734:AC736 W712:X723 W742:X746 W725:X730 W734:X736 N742:N746 L721:L746 J610:N627 A708:H708 AA742:AC746 AG628:AG683 S725:S730 S742:S746 S734:S736 AG734:AG736 AG725:AG730 AG742:AG746 E2:AC2 E133:H156 E58:H81 AG712:AG723 AG30:AG41 W30:X41 A709:B710 D709:H723 C709:C746 AA30:AC41 Q3:R16 E315:H339 Q315:S339 E604:H609 E243:H266 Q243:S266 Q279:S302 E279:H302 Q532:S555 E532:H555 E568:H591 Q568:S591 N725:N730 L628:N693 K604:N609 AG568:AG591 AG532:AG555 AG279:AG302 AG243:AG266 AG315:AG339 Q58:S81 AA95:AC118 W95:X118 AG95:AG118 Q95:S118 Q133:S156 Q169:S193 E169:H193 E207:H230 AG207:AG230 Q207:S230 Q352:S375 E352:H375 E388:H411 Q388:S411 Q424:S447 E424:H447 E460:H483 Q460:S483 AG496:AG519 Q496:S519 E496:H519 E30:H41 E95:H118 AA20:AC27 W20:X27 AG20:AG27 Q20:R27 E20:H27 J20:N27 J95:N118 J30:N41 J496:N519 J460:N483 J424:N447 J388:N411 J352:N375 J207:N230 J169:N193 J628:J663 J568:N591 J532:N555 J279:N302 J243:N266 J315:N339 J58:N81 J133:N156 E3:H16 J3:N16 J720:L720 J721:K723 J734:J736 J742:K746 J725:K730 AG2:AG16 AG460:AG483 AG424:AG447 AG388:AG411 AG352:AG375 AG169:AG193 AG133:AG156 AG58:AG81 Q30:R41 W3:X16 S3:S47 AG694:AG707 W628:X708 AA628:AC707 N694:N723 S664:S723 K664:K707 M694:M746 L694:L719 I3:I746 E628:H707 J694:J719 Q604:R746 W496:X519 W460:X483 W424:X447 W388:X411 W352:X375 W207:X230 W169:X193 W133:X156 W58:X81 W568:X591 W532:X555 W279:X302 W243:X266 W315:X339 AA315:AC339 AA243:AC266 AA279:AC302 AA532:AC555 AA568:AC591 AA58:AC81 AA133:AC156 AA169:AC193 AA207:AC230 AA352:AC375 AA388:AC411 AA424:AC447 AA460:AC483 AA496:AC519 AA3:AC16 P3:P746 T3:V746 AE2:AF746 Y3:Z746">
    <cfRule type="expression" dxfId="1801" priority="1904">
      <formula>$E2=8</formula>
    </cfRule>
  </conditionalFormatting>
  <conditionalFormatting sqref="B612:D613 F612:H613 A712:A723 A734:A736 A742:A746 A725:A730 D725:H730 D742:H746 D734:H736 AG612:AG613 AA712:AC723 AA725:AC730 AA734:AC736 W712:X723 W742:X746 W725:X730 W734:X736 N742:N746 L721:L746 J610:O627 D605:H609 AA742:AC746 AG628:AG683 S610:S622 S725:S730 S742:S746 S734:S736 AG734:AG736 AG725:AG730 AG742:AG746 AG712:AG723 AG30:AG41 W30:X41 A709:B710 D709:H723 C709:C746 AA30:AC41 A2:AC2 S604:S605 A604:H604 W604:X605 A532:H555 A628:C664 N725:N730 A665:A693 B665:C683 C684:C693 E628:H693 L628:O693 K604:O609 A290:H292 A289:C289 E289:H289 A294:H299 A293:C293 E293:H293 A301:H302 A300:C300 E300:H300 D521 A568:H591 D594 D601 A243:H266 A279:H288 AG568:AG591 AG532:AG555 AG279:AG302 AG243:AG266 AG315:AG339 A58:H81 Q95:S118 AA95:AC118 W95:X118 AG95:AG118 A133:H156 A169:H193 AG207:AG230 A207:H230 A352:H375 A388:H411 A424:H447 A460:H483 AG496:AG519 A496:H519 A30:H41 A95:H118 Q20:R27 AA20:AC27 W20:X27 A20:H27 AG20:AG27 J20:O27 J95:O118 J30:O41 J496:O519 J460:O483 J424:O447 J388:O411 J352:O375 J207:O230 J169:O193 J133:O156 J58:O81 J315:O339 J243:O266 J568:O591 J279:O302 J628:J663 J532:O555 A3:H16 J3:O16 J720:L720 J721:K723 J734:J736 J742:K746 J725:K730 AG2:AG16 AG460:AG483 AG424:AG447 AG388:AG411 AG352:AG375 AG169:AG193 AG133:AG156 AG58:AG81 Q30:R41 W3:X16 S3:S47 AG694:AG707 W628:X708 AA628:AC707 N694:O723 S664:S723 K664:K707 M694:M746 L694:L719 I3:I746 J694:J719 Q604:R746 W532:X555 W279:X302 W568:X591 W243:X266 W315:X339 W58:X81 W133:X156 W169:X193 W207:X230 W352:X375 W388:X411 W424:X447 W460:X483 W496:X519 AA496:AC519 AA460:AC483 AA424:AC447 AA388:AC411 AA352:AC375 AA207:AC230 AA169:AC193 AA133:AC156 AA58:AC81 AA315:AC339 AA243:AC266 AA568:AC591 AA279:AC302 AA532:AC555 AA3:AC16 Q3:R16 Q532:S555 Q279:S302 Q568:S591 Q243:S266 Q315:S339 Q58:S81 Q133:S156 Q169:S193 Q207:S230 Q352:S375 Q388:S411 Q424:S447 Q460:S483 Q496:S519 P3:P746 T3:V746 A315:H339 AE2:AF746 A694:H708 Y3:Z746">
    <cfRule type="expression" dxfId="1800" priority="1922">
      <formula>$E2=7</formula>
    </cfRule>
    <cfRule type="expression" dxfId="1799" priority="1923">
      <formula>$E2=6</formula>
    </cfRule>
    <cfRule type="expression" dxfId="1798" priority="1924">
      <formula>$E2=5</formula>
    </cfRule>
    <cfRule type="expression" dxfId="1797" priority="1925">
      <formula>$E2=4</formula>
    </cfRule>
    <cfRule type="expression" dxfId="1796" priority="1926">
      <formula>$E2=3</formula>
    </cfRule>
    <cfRule type="expression" dxfId="1795" priority="1927">
      <formula>$E2=2</formula>
    </cfRule>
    <cfRule type="expression" dxfId="1794" priority="1928">
      <formula>$E2=1</formula>
    </cfRule>
  </conditionalFormatting>
  <conditionalFormatting sqref="S610:S611 E610:H611 E612:E627 AG610:AG611">
    <cfRule type="expression" dxfId="1793" priority="1887">
      <formula>$E610=8</formula>
    </cfRule>
  </conditionalFormatting>
  <conditionalFormatting sqref="A610:H610 B611:H611 A611:A627 E612:E627 AG610:AG611">
    <cfRule type="expression" dxfId="1792" priority="1888">
      <formula>$E610=7</formula>
    </cfRule>
    <cfRule type="expression" dxfId="1791" priority="1889">
      <formula>$E610=6</formula>
    </cfRule>
    <cfRule type="expression" dxfId="1790" priority="1890">
      <formula>$E610=5</formula>
    </cfRule>
    <cfRule type="expression" dxfId="1789" priority="1891">
      <formula>$E610=4</formula>
    </cfRule>
    <cfRule type="expression" dxfId="1788" priority="1892">
      <formula>$E610=3</formula>
    </cfRule>
    <cfRule type="expression" dxfId="1787" priority="1893">
      <formula>$E610=2</formula>
    </cfRule>
    <cfRule type="expression" dxfId="1786" priority="1894">
      <formula>$E610=1</formula>
    </cfRule>
  </conditionalFormatting>
  <conditionalFormatting sqref="S616:S617 F616:H617 AG616:AG617">
    <cfRule type="expression" dxfId="1785" priority="1879">
      <formula>$E616=8</formula>
    </cfRule>
  </conditionalFormatting>
  <conditionalFormatting sqref="B616:D617 F616:H617 AG616:AG617">
    <cfRule type="expression" dxfId="1784" priority="1880">
      <formula>$E616=7</formula>
    </cfRule>
    <cfRule type="expression" dxfId="1783" priority="1881">
      <formula>$E616=6</formula>
    </cfRule>
    <cfRule type="expression" dxfId="1782" priority="1882">
      <formula>$E616=5</formula>
    </cfRule>
    <cfRule type="expression" dxfId="1781" priority="1883">
      <formula>$E616=4</formula>
    </cfRule>
    <cfRule type="expression" dxfId="1780" priority="1884">
      <formula>$E616=3</formula>
    </cfRule>
    <cfRule type="expression" dxfId="1779" priority="1885">
      <formula>$E616=2</formula>
    </cfRule>
    <cfRule type="expression" dxfId="1778" priority="1886">
      <formula>$E616=1</formula>
    </cfRule>
  </conditionalFormatting>
  <conditionalFormatting sqref="S614:S615 F614:H615 AG614:AG615">
    <cfRule type="expression" dxfId="1777" priority="1871">
      <formula>$E614=8</formula>
    </cfRule>
  </conditionalFormatting>
  <conditionalFormatting sqref="B614:D615 F614:H615 AG614:AG615">
    <cfRule type="expression" dxfId="1776" priority="1872">
      <formula>$E614=7</formula>
    </cfRule>
    <cfRule type="expression" dxfId="1775" priority="1873">
      <formula>$E614=6</formula>
    </cfRule>
    <cfRule type="expression" dxfId="1774" priority="1874">
      <formula>$E614=5</formula>
    </cfRule>
    <cfRule type="expression" dxfId="1773" priority="1875">
      <formula>$E614=4</formula>
    </cfRule>
    <cfRule type="expression" dxfId="1772" priority="1876">
      <formula>$E614=3</formula>
    </cfRule>
    <cfRule type="expression" dxfId="1771" priority="1877">
      <formula>$E614=2</formula>
    </cfRule>
    <cfRule type="expression" dxfId="1770" priority="1878">
      <formula>$E614=1</formula>
    </cfRule>
  </conditionalFormatting>
  <conditionalFormatting sqref="S620:S621 F620:H621 AG620:AG621">
    <cfRule type="expression" dxfId="1769" priority="1863">
      <formula>$E620=8</formula>
    </cfRule>
  </conditionalFormatting>
  <conditionalFormatting sqref="B620:D621 F620:H621 AG620:AG621">
    <cfRule type="expression" dxfId="1768" priority="1864">
      <formula>$E620=7</formula>
    </cfRule>
    <cfRule type="expression" dxfId="1767" priority="1865">
      <formula>$E620=6</formula>
    </cfRule>
    <cfRule type="expression" dxfId="1766" priority="1866">
      <formula>$E620=5</formula>
    </cfRule>
    <cfRule type="expression" dxfId="1765" priority="1867">
      <formula>$E620=4</formula>
    </cfRule>
    <cfRule type="expression" dxfId="1764" priority="1868">
      <formula>$E620=3</formula>
    </cfRule>
    <cfRule type="expression" dxfId="1763" priority="1869">
      <formula>$E620=2</formula>
    </cfRule>
    <cfRule type="expression" dxfId="1762" priority="1870">
      <formula>$E620=1</formula>
    </cfRule>
  </conditionalFormatting>
  <conditionalFormatting sqref="S618:S619 F618:H619 AG618:AG619">
    <cfRule type="expression" dxfId="1761" priority="1855">
      <formula>$E618=8</formula>
    </cfRule>
  </conditionalFormatting>
  <conditionalFormatting sqref="B618:D619 F618:H619 AG618:AG619">
    <cfRule type="expression" dxfId="1760" priority="1856">
      <formula>$E618=7</formula>
    </cfRule>
    <cfRule type="expression" dxfId="1759" priority="1857">
      <formula>$E618=6</formula>
    </cfRule>
    <cfRule type="expression" dxfId="1758" priority="1858">
      <formula>$E618=5</formula>
    </cfRule>
    <cfRule type="expression" dxfId="1757" priority="1859">
      <formula>$E618=4</formula>
    </cfRule>
    <cfRule type="expression" dxfId="1756" priority="1860">
      <formula>$E618=3</formula>
    </cfRule>
    <cfRule type="expression" dxfId="1755" priority="1861">
      <formula>$E618=2</formula>
    </cfRule>
    <cfRule type="expression" dxfId="1754" priority="1862">
      <formula>$E618=1</formula>
    </cfRule>
  </conditionalFormatting>
  <conditionalFormatting sqref="F624:H625 AG624:AG625">
    <cfRule type="expression" dxfId="1753" priority="1847">
      <formula>$E624=8</formula>
    </cfRule>
  </conditionalFormatting>
  <conditionalFormatting sqref="B624:D625 F624:H625 AG624:AG625">
    <cfRule type="expression" dxfId="1752" priority="1848">
      <formula>$E624=7</formula>
    </cfRule>
    <cfRule type="expression" dxfId="1751" priority="1849">
      <formula>$E624=6</formula>
    </cfRule>
    <cfRule type="expression" dxfId="1750" priority="1850">
      <formula>$E624=5</formula>
    </cfRule>
    <cfRule type="expression" dxfId="1749" priority="1851">
      <formula>$E624=4</formula>
    </cfRule>
    <cfRule type="expression" dxfId="1748" priority="1852">
      <formula>$E624=3</formula>
    </cfRule>
    <cfRule type="expression" dxfId="1747" priority="1853">
      <formula>$E624=2</formula>
    </cfRule>
    <cfRule type="expression" dxfId="1746" priority="1854">
      <formula>$E624=1</formula>
    </cfRule>
  </conditionalFormatting>
  <conditionalFormatting sqref="F622:H623 S622:S627 AG622:AG623">
    <cfRule type="expression" dxfId="1745" priority="1839">
      <formula>$E622=8</formula>
    </cfRule>
  </conditionalFormatting>
  <conditionalFormatting sqref="B622:D623 F622:H623 S623:S627 AG622:AG623">
    <cfRule type="expression" dxfId="1744" priority="1840">
      <formula>$E622=7</formula>
    </cfRule>
    <cfRule type="expression" dxfId="1743" priority="1841">
      <formula>$E622=6</formula>
    </cfRule>
    <cfRule type="expression" dxfId="1742" priority="1842">
      <formula>$E622=5</formula>
    </cfRule>
    <cfRule type="expression" dxfId="1741" priority="1843">
      <formula>$E622=4</formula>
    </cfRule>
    <cfRule type="expression" dxfId="1740" priority="1844">
      <formula>$E622=3</formula>
    </cfRule>
    <cfRule type="expression" dxfId="1739" priority="1845">
      <formula>$E622=2</formula>
    </cfRule>
    <cfRule type="expression" dxfId="1738" priority="1846">
      <formula>$E622=1</formula>
    </cfRule>
  </conditionalFormatting>
  <conditionalFormatting sqref="F626:H627 AG626:AG627">
    <cfRule type="expression" dxfId="1737" priority="1823">
      <formula>$E626=8</formula>
    </cfRule>
  </conditionalFormatting>
  <conditionalFormatting sqref="B626:D627 F626:H627 AG626:AG627">
    <cfRule type="expression" dxfId="1736" priority="1824">
      <formula>$E626=7</formula>
    </cfRule>
    <cfRule type="expression" dxfId="1735" priority="1825">
      <formula>$E626=6</formula>
    </cfRule>
    <cfRule type="expression" dxfId="1734" priority="1826">
      <formula>$E626=5</formula>
    </cfRule>
    <cfRule type="expression" dxfId="1733" priority="1827">
      <formula>$E626=4</formula>
    </cfRule>
    <cfRule type="expression" dxfId="1732" priority="1828">
      <formula>$E626=3</formula>
    </cfRule>
    <cfRule type="expression" dxfId="1731" priority="1829">
      <formula>$E626=2</formula>
    </cfRule>
    <cfRule type="expression" dxfId="1730" priority="1830">
      <formula>$E626=1</formula>
    </cfRule>
  </conditionalFormatting>
  <conditionalFormatting sqref="S604 AA604:AC604 W604:X604 AG604">
    <cfRule type="expression" dxfId="1729" priority="1719">
      <formula>$E604=8</formula>
    </cfRule>
  </conditionalFormatting>
  <conditionalFormatting sqref="C605:C609 AA604:AC604 AG604">
    <cfRule type="expression" dxfId="1728" priority="1720">
      <formula>$E604=7</formula>
    </cfRule>
    <cfRule type="expression" dxfId="1727" priority="1721">
      <formula>$E604=6</formula>
    </cfRule>
    <cfRule type="expression" dxfId="1726" priority="1722">
      <formula>$E604=5</formula>
    </cfRule>
    <cfRule type="expression" dxfId="1725" priority="1723">
      <formula>$E604=4</formula>
    </cfRule>
    <cfRule type="expression" dxfId="1724" priority="1724">
      <formula>$E604=3</formula>
    </cfRule>
    <cfRule type="expression" dxfId="1723" priority="1725">
      <formula>$E604=2</formula>
    </cfRule>
    <cfRule type="expression" dxfId="1722" priority="1726">
      <formula>$E604=1</formula>
    </cfRule>
  </conditionalFormatting>
  <conditionalFormatting sqref="S605 AA605:AC605 W605:X605 AG605">
    <cfRule type="expression" dxfId="1721" priority="1711">
      <formula>$E605=8</formula>
    </cfRule>
  </conditionalFormatting>
  <conditionalFormatting sqref="A605:B605 AA605:AC605 AG605">
    <cfRule type="expression" dxfId="1720" priority="1712">
      <formula>$E605=7</formula>
    </cfRule>
    <cfRule type="expression" dxfId="1719" priority="1713">
      <formula>$E605=6</formula>
    </cfRule>
    <cfRule type="expression" dxfId="1718" priority="1714">
      <formula>$E605=5</formula>
    </cfRule>
    <cfRule type="expression" dxfId="1717" priority="1715">
      <formula>$E605=4</formula>
    </cfRule>
    <cfRule type="expression" dxfId="1716" priority="1716">
      <formula>$E605=3</formula>
    </cfRule>
    <cfRule type="expression" dxfId="1715" priority="1717">
      <formula>$E605=2</formula>
    </cfRule>
    <cfRule type="expression" dxfId="1714" priority="1718">
      <formula>$E605=1</formula>
    </cfRule>
  </conditionalFormatting>
  <conditionalFormatting sqref="S606 AA606:AC606 W606:X606 AG606">
    <cfRule type="expression" dxfId="1713" priority="1703">
      <formula>$E606=8</formula>
    </cfRule>
  </conditionalFormatting>
  <conditionalFormatting sqref="A606:B606 S606 AA606:AC606 W606:X606 AG606">
    <cfRule type="expression" dxfId="1712" priority="1704">
      <formula>$E606=7</formula>
    </cfRule>
    <cfRule type="expression" dxfId="1711" priority="1705">
      <formula>$E606=6</formula>
    </cfRule>
    <cfRule type="expression" dxfId="1710" priority="1706">
      <formula>$E606=5</formula>
    </cfRule>
    <cfRule type="expression" dxfId="1709" priority="1707">
      <formula>$E606=4</formula>
    </cfRule>
    <cfRule type="expression" dxfId="1708" priority="1708">
      <formula>$E606=3</formula>
    </cfRule>
    <cfRule type="expression" dxfId="1707" priority="1709">
      <formula>$E606=2</formula>
    </cfRule>
    <cfRule type="expression" dxfId="1706" priority="1710">
      <formula>$E606=1</formula>
    </cfRule>
  </conditionalFormatting>
  <conditionalFormatting sqref="S607 AA607:AC607 W607:X607 AG607">
    <cfRule type="expression" dxfId="1705" priority="1695">
      <formula>$E607=8</formula>
    </cfRule>
  </conditionalFormatting>
  <conditionalFormatting sqref="A607:B607 S607 AA607:AC607 W607:X607 AG607">
    <cfRule type="expression" dxfId="1704" priority="1696">
      <formula>$E607=7</formula>
    </cfRule>
    <cfRule type="expression" dxfId="1703" priority="1697">
      <formula>$E607=6</formula>
    </cfRule>
    <cfRule type="expression" dxfId="1702" priority="1698">
      <formula>$E607=5</formula>
    </cfRule>
    <cfRule type="expression" dxfId="1701" priority="1699">
      <formula>$E607=4</formula>
    </cfRule>
    <cfRule type="expression" dxfId="1700" priority="1700">
      <formula>$E607=3</formula>
    </cfRule>
    <cfRule type="expression" dxfId="1699" priority="1701">
      <formula>$E607=2</formula>
    </cfRule>
    <cfRule type="expression" dxfId="1698" priority="1702">
      <formula>$E607=1</formula>
    </cfRule>
  </conditionalFormatting>
  <conditionalFormatting sqref="S608 AA608:AC608 W608:X608 AG608">
    <cfRule type="expression" dxfId="1697" priority="1687">
      <formula>$E608=8</formula>
    </cfRule>
  </conditionalFormatting>
  <conditionalFormatting sqref="A608:B608 S608 AA608:AC608 W608:X608 AG608">
    <cfRule type="expression" dxfId="1696" priority="1688">
      <formula>$E608=7</formula>
    </cfRule>
    <cfRule type="expression" dxfId="1695" priority="1689">
      <formula>$E608=6</formula>
    </cfRule>
    <cfRule type="expression" dxfId="1694" priority="1690">
      <formula>$E608=5</formula>
    </cfRule>
    <cfRule type="expression" dxfId="1693" priority="1691">
      <formula>$E608=4</formula>
    </cfRule>
    <cfRule type="expression" dxfId="1692" priority="1692">
      <formula>$E608=3</formula>
    </cfRule>
    <cfRule type="expression" dxfId="1691" priority="1693">
      <formula>$E608=2</formula>
    </cfRule>
    <cfRule type="expression" dxfId="1690" priority="1694">
      <formula>$E608=1</formula>
    </cfRule>
  </conditionalFormatting>
  <conditionalFormatting sqref="S609 W609:X627 AG609 AA609:AC627">
    <cfRule type="expression" dxfId="1689" priority="1679">
      <formula>$E609=8</formula>
    </cfRule>
  </conditionalFormatting>
  <conditionalFormatting sqref="A609:B609 S609 W609:X627 AG609 AA609:AC627">
    <cfRule type="expression" dxfId="1688" priority="1680">
      <formula>$E609=7</formula>
    </cfRule>
    <cfRule type="expression" dxfId="1687" priority="1681">
      <formula>$E609=6</formula>
    </cfRule>
    <cfRule type="expression" dxfId="1686" priority="1682">
      <formula>$E609=5</formula>
    </cfRule>
    <cfRule type="expression" dxfId="1685" priority="1683">
      <formula>$E609=4</formula>
    </cfRule>
    <cfRule type="expression" dxfId="1684" priority="1684">
      <formula>$E609=3</formula>
    </cfRule>
    <cfRule type="expression" dxfId="1683" priority="1685">
      <formula>$E609=2</formula>
    </cfRule>
    <cfRule type="expression" dxfId="1682" priority="1686">
      <formula>$E609=1</formula>
    </cfRule>
  </conditionalFormatting>
  <conditionalFormatting sqref="S684 AG684">
    <cfRule type="expression" dxfId="1681" priority="1671">
      <formula>$E684=8</formula>
    </cfRule>
  </conditionalFormatting>
  <conditionalFormatting sqref="AG684">
    <cfRule type="expression" dxfId="1680" priority="1672">
      <formula>$E684=7</formula>
    </cfRule>
    <cfRule type="expression" dxfId="1679" priority="1673">
      <formula>$E684=6</formula>
    </cfRule>
    <cfRule type="expression" dxfId="1678" priority="1674">
      <formula>$E684=5</formula>
    </cfRule>
    <cfRule type="expression" dxfId="1677" priority="1675">
      <formula>$E684=4</formula>
    </cfRule>
    <cfRule type="expression" dxfId="1676" priority="1676">
      <formula>$E684=3</formula>
    </cfRule>
    <cfRule type="expression" dxfId="1675" priority="1677">
      <formula>$E684=2</formula>
    </cfRule>
    <cfRule type="expression" dxfId="1674" priority="1678">
      <formula>$E684=1</formula>
    </cfRule>
  </conditionalFormatting>
  <conditionalFormatting sqref="S685 AG685">
    <cfRule type="expression" dxfId="1673" priority="1663">
      <formula>$E685=8</formula>
    </cfRule>
  </conditionalFormatting>
  <conditionalFormatting sqref="AG685">
    <cfRule type="expression" dxfId="1672" priority="1664">
      <formula>$E685=7</formula>
    </cfRule>
    <cfRule type="expression" dxfId="1671" priority="1665">
      <formula>$E685=6</formula>
    </cfRule>
    <cfRule type="expression" dxfId="1670" priority="1666">
      <formula>$E685=5</formula>
    </cfRule>
    <cfRule type="expression" dxfId="1669" priority="1667">
      <formula>$E685=4</formula>
    </cfRule>
    <cfRule type="expression" dxfId="1668" priority="1668">
      <formula>$E685=3</formula>
    </cfRule>
    <cfRule type="expression" dxfId="1667" priority="1669">
      <formula>$E685=2</formula>
    </cfRule>
    <cfRule type="expression" dxfId="1666" priority="1670">
      <formula>$E685=1</formula>
    </cfRule>
  </conditionalFormatting>
  <conditionalFormatting sqref="S686:S688 AG686:AG688">
    <cfRule type="expression" dxfId="1665" priority="1655">
      <formula>$E686=8</formula>
    </cfRule>
  </conditionalFormatting>
  <conditionalFormatting sqref="AG686:AG688">
    <cfRule type="expression" dxfId="1664" priority="1656">
      <formula>$E686=7</formula>
    </cfRule>
    <cfRule type="expression" dxfId="1663" priority="1657">
      <formula>$E686=6</formula>
    </cfRule>
    <cfRule type="expression" dxfId="1662" priority="1658">
      <formula>$E686=5</formula>
    </cfRule>
    <cfRule type="expression" dxfId="1661" priority="1659">
      <formula>$E686=4</formula>
    </cfRule>
    <cfRule type="expression" dxfId="1660" priority="1660">
      <formula>$E686=3</formula>
    </cfRule>
    <cfRule type="expression" dxfId="1659" priority="1661">
      <formula>$E686=2</formula>
    </cfRule>
    <cfRule type="expression" dxfId="1658" priority="1662">
      <formula>$E686=1</formula>
    </cfRule>
  </conditionalFormatting>
  <conditionalFormatting sqref="S689 AG689">
    <cfRule type="expression" dxfId="1657" priority="1647">
      <formula>$E689=8</formula>
    </cfRule>
  </conditionalFormatting>
  <conditionalFormatting sqref="AG689">
    <cfRule type="expression" dxfId="1656" priority="1648">
      <formula>$E689=7</formula>
    </cfRule>
    <cfRule type="expression" dxfId="1655" priority="1649">
      <formula>$E689=6</formula>
    </cfRule>
    <cfRule type="expression" dxfId="1654" priority="1650">
      <formula>$E689=5</formula>
    </cfRule>
    <cfRule type="expression" dxfId="1653" priority="1651">
      <formula>$E689=4</formula>
    </cfRule>
    <cfRule type="expression" dxfId="1652" priority="1652">
      <formula>$E689=3</formula>
    </cfRule>
    <cfRule type="expression" dxfId="1651" priority="1653">
      <formula>$E689=2</formula>
    </cfRule>
    <cfRule type="expression" dxfId="1650" priority="1654">
      <formula>$E689=1</formula>
    </cfRule>
  </conditionalFormatting>
  <conditionalFormatting sqref="S690 AG690">
    <cfRule type="expression" dxfId="1649" priority="1639">
      <formula>$E690=8</formula>
    </cfRule>
  </conditionalFormatting>
  <conditionalFormatting sqref="AG690">
    <cfRule type="expression" dxfId="1648" priority="1640">
      <formula>$E690=7</formula>
    </cfRule>
    <cfRule type="expression" dxfId="1647" priority="1641">
      <formula>$E690=6</formula>
    </cfRule>
    <cfRule type="expression" dxfId="1646" priority="1642">
      <formula>$E690=5</formula>
    </cfRule>
    <cfRule type="expression" dxfId="1645" priority="1643">
      <formula>$E690=4</formula>
    </cfRule>
    <cfRule type="expression" dxfId="1644" priority="1644">
      <formula>$E690=3</formula>
    </cfRule>
    <cfRule type="expression" dxfId="1643" priority="1645">
      <formula>$E690=2</formula>
    </cfRule>
    <cfRule type="expression" dxfId="1642" priority="1646">
      <formula>$E690=1</formula>
    </cfRule>
  </conditionalFormatting>
  <conditionalFormatting sqref="S691:S693 AG691:AG693">
    <cfRule type="expression" dxfId="1641" priority="1631">
      <formula>$E691=8</formula>
    </cfRule>
  </conditionalFormatting>
  <conditionalFormatting sqref="AG691:AG693">
    <cfRule type="expression" dxfId="1640" priority="1632">
      <formula>$E691=7</formula>
    </cfRule>
    <cfRule type="expression" dxfId="1639" priority="1633">
      <formula>$E691=6</formula>
    </cfRule>
    <cfRule type="expression" dxfId="1638" priority="1634">
      <formula>$E691=5</formula>
    </cfRule>
    <cfRule type="expression" dxfId="1637" priority="1635">
      <formula>$E691=4</formula>
    </cfRule>
    <cfRule type="expression" dxfId="1636" priority="1636">
      <formula>$E691=3</formula>
    </cfRule>
    <cfRule type="expression" dxfId="1635" priority="1637">
      <formula>$E691=2</formula>
    </cfRule>
    <cfRule type="expression" dxfId="1634" priority="1638">
      <formula>$E691=1</formula>
    </cfRule>
  </conditionalFormatting>
  <conditionalFormatting sqref="A711 AA711:AC711 W711:X711 AG711">
    <cfRule type="expression" dxfId="1633" priority="1609">
      <formula>$E711=8</formula>
    </cfRule>
  </conditionalFormatting>
  <conditionalFormatting sqref="A711 AA711:AC711 W711:X711 AG711">
    <cfRule type="expression" dxfId="1632" priority="1610">
      <formula>$E711=7</formula>
    </cfRule>
    <cfRule type="expression" dxfId="1631" priority="1611">
      <formula>$E711=6</formula>
    </cfRule>
    <cfRule type="expression" dxfId="1630" priority="1612">
      <formula>$E711=5</formula>
    </cfRule>
    <cfRule type="expression" dxfId="1629" priority="1613">
      <formula>$E711=4</formula>
    </cfRule>
    <cfRule type="expression" dxfId="1628" priority="1614">
      <formula>$E711=3</formula>
    </cfRule>
    <cfRule type="expression" dxfId="1627" priority="1615">
      <formula>$E711=2</formula>
    </cfRule>
    <cfRule type="expression" dxfId="1626" priority="1616">
      <formula>$E711=1</formula>
    </cfRule>
  </conditionalFormatting>
  <conditionalFormatting sqref="B713 B716 B719 B722 B725 B728 B731 B734 B737 B740 B743 B746 AA710:AC710 W710:X710 AG710">
    <cfRule type="expression" dxfId="1625" priority="1601">
      <formula>$E710=8</formula>
    </cfRule>
  </conditionalFormatting>
  <conditionalFormatting sqref="B713 B716 B719 B722 B725 B728 B731 B734 B737 B740 B743 B746 AA710:AC710 W710:X710 AG710">
    <cfRule type="expression" dxfId="1624" priority="1602">
      <formula>$E710=7</formula>
    </cfRule>
    <cfRule type="expression" dxfId="1623" priority="1603">
      <formula>$E710=6</formula>
    </cfRule>
    <cfRule type="expression" dxfId="1622" priority="1604">
      <formula>$E710=5</formula>
    </cfRule>
    <cfRule type="expression" dxfId="1621" priority="1605">
      <formula>$E710=4</formula>
    </cfRule>
    <cfRule type="expression" dxfId="1620" priority="1606">
      <formula>$E710=3</formula>
    </cfRule>
    <cfRule type="expression" dxfId="1619" priority="1607">
      <formula>$E710=2</formula>
    </cfRule>
    <cfRule type="expression" dxfId="1618" priority="1608">
      <formula>$E710=1</formula>
    </cfRule>
  </conditionalFormatting>
  <conditionalFormatting sqref="B712 B715 B718 B721 B724 B727 B730 B733 B736 B739 B742 B745 AA709:AC709 W709:X709 AG709">
    <cfRule type="expression" dxfId="1617" priority="1593">
      <formula>$E709=8</formula>
    </cfRule>
  </conditionalFormatting>
  <conditionalFormatting sqref="B712 B715 B718 B721 B724 B727 B730 B733 B736 B739 B742 B745 AA709:AC709 W709:X709 AG709">
    <cfRule type="expression" dxfId="1616" priority="1594">
      <formula>$E709=7</formula>
    </cfRule>
    <cfRule type="expression" dxfId="1615" priority="1595">
      <formula>$E709=6</formula>
    </cfRule>
    <cfRule type="expression" dxfId="1614" priority="1596">
      <formula>$E709=5</formula>
    </cfRule>
    <cfRule type="expression" dxfId="1613" priority="1597">
      <formula>$E709=4</formula>
    </cfRule>
    <cfRule type="expression" dxfId="1612" priority="1598">
      <formula>$E709=3</formula>
    </cfRule>
    <cfRule type="expression" dxfId="1611" priority="1599">
      <formula>$E709=2</formula>
    </cfRule>
    <cfRule type="expression" dxfId="1610" priority="1600">
      <formula>$E709=1</formula>
    </cfRule>
  </conditionalFormatting>
  <conditionalFormatting sqref="B711 B714 B717 B720 B723 B726 B729 B732 B735 B738 B741 B744 AA708:AC708 AG708">
    <cfRule type="expression" dxfId="1609" priority="1585">
      <formula>$E708=8</formula>
    </cfRule>
  </conditionalFormatting>
  <conditionalFormatting sqref="B711 B714 B717 B720 B723 B726 B729 B732 B735 B738 B741 B744 AA708:AC708 AG708">
    <cfRule type="expression" dxfId="1608" priority="1586">
      <formula>$E708=7</formula>
    </cfRule>
    <cfRule type="expression" dxfId="1607" priority="1587">
      <formula>$E708=6</formula>
    </cfRule>
    <cfRule type="expression" dxfId="1606" priority="1588">
      <formula>$E708=5</formula>
    </cfRule>
    <cfRule type="expression" dxfId="1605" priority="1589">
      <formula>$E708=4</formula>
    </cfRule>
    <cfRule type="expression" dxfId="1604" priority="1590">
      <formula>$E708=3</formula>
    </cfRule>
    <cfRule type="expression" dxfId="1603" priority="1591">
      <formula>$E708=2</formula>
    </cfRule>
    <cfRule type="expression" dxfId="1602" priority="1592">
      <formula>$E708=1</formula>
    </cfRule>
  </conditionalFormatting>
  <conditionalFormatting sqref="A724 D724:H724 AA724:AC724 W724:X724 N724 S724 AG724 J724:K724">
    <cfRule type="expression" dxfId="1601" priority="1577">
      <formula>$E724=8</formula>
    </cfRule>
  </conditionalFormatting>
  <conditionalFormatting sqref="A724 D724:H724 AA724:AC724 W724:X724 N724 S724 AG724 J724:K724">
    <cfRule type="expression" dxfId="1600" priority="1578">
      <formula>$E724=7</formula>
    </cfRule>
    <cfRule type="expression" dxfId="1599" priority="1579">
      <formula>$E724=6</formula>
    </cfRule>
    <cfRule type="expression" dxfId="1598" priority="1580">
      <formula>$E724=5</formula>
    </cfRule>
    <cfRule type="expression" dxfId="1597" priority="1581">
      <formula>$E724=4</formula>
    </cfRule>
    <cfRule type="expression" dxfId="1596" priority="1582">
      <formula>$E724=3</formula>
    </cfRule>
    <cfRule type="expression" dxfId="1595" priority="1583">
      <formula>$E724=2</formula>
    </cfRule>
    <cfRule type="expression" dxfId="1594" priority="1584">
      <formula>$E724=1</formula>
    </cfRule>
  </conditionalFormatting>
  <conditionalFormatting sqref="A731 K731 S731 D731:H731 AA731:AC731 W731:X731 N731 AG731">
    <cfRule type="expression" dxfId="1593" priority="1569">
      <formula>$E731=8</formula>
    </cfRule>
  </conditionalFormatting>
  <conditionalFormatting sqref="A731 K731 S731 D731:H731 AA731:AC731 W731:X731 N731 AG731">
    <cfRule type="expression" dxfId="1592" priority="1570">
      <formula>$E731=7</formula>
    </cfRule>
    <cfRule type="expression" dxfId="1591" priority="1571">
      <formula>$E731=6</formula>
    </cfRule>
    <cfRule type="expression" dxfId="1590" priority="1572">
      <formula>$E731=5</formula>
    </cfRule>
    <cfRule type="expression" dxfId="1589" priority="1573">
      <formula>$E731=4</formula>
    </cfRule>
    <cfRule type="expression" dxfId="1588" priority="1574">
      <formula>$E731=3</formula>
    </cfRule>
    <cfRule type="expression" dxfId="1587" priority="1575">
      <formula>$E731=2</formula>
    </cfRule>
    <cfRule type="expression" dxfId="1586" priority="1576">
      <formula>$E731=1</formula>
    </cfRule>
  </conditionalFormatting>
  <conditionalFormatting sqref="A732 K732 D732:H732 AA732:AC732 W732:X732 N732 S732 AG732">
    <cfRule type="expression" dxfId="1585" priority="1561">
      <formula>$E732=8</formula>
    </cfRule>
  </conditionalFormatting>
  <conditionalFormatting sqref="A732 K732 D732:H732 AA732:AC732 W732:X732 N732 S732 AG732">
    <cfRule type="expression" dxfId="1584" priority="1562">
      <formula>$E732=7</formula>
    </cfRule>
    <cfRule type="expression" dxfId="1583" priority="1563">
      <formula>$E732=6</formula>
    </cfRule>
    <cfRule type="expression" dxfId="1582" priority="1564">
      <formula>$E732=5</formula>
    </cfRule>
    <cfRule type="expression" dxfId="1581" priority="1565">
      <formula>$E732=4</formula>
    </cfRule>
    <cfRule type="expression" dxfId="1580" priority="1566">
      <formula>$E732=3</formula>
    </cfRule>
    <cfRule type="expression" dxfId="1579" priority="1567">
      <formula>$E732=2</formula>
    </cfRule>
    <cfRule type="expression" dxfId="1578" priority="1568">
      <formula>$E732=1</formula>
    </cfRule>
  </conditionalFormatting>
  <conditionalFormatting sqref="A733 K733:K735 D733:H733 AA733:AC733 W733:X733 N733:N735 S733 AG733">
    <cfRule type="expression" dxfId="1577" priority="1553">
      <formula>$E733=8</formula>
    </cfRule>
  </conditionalFormatting>
  <conditionalFormatting sqref="A733 K733:K735 D733:H733 AA733:AC733 W733:X733 N733:N735 S733 AG733">
    <cfRule type="expression" dxfId="1576" priority="1554">
      <formula>$E733=7</formula>
    </cfRule>
    <cfRule type="expression" dxfId="1575" priority="1555">
      <formula>$E733=6</formula>
    </cfRule>
    <cfRule type="expression" dxfId="1574" priority="1556">
      <formula>$E733=5</formula>
    </cfRule>
    <cfRule type="expression" dxfId="1573" priority="1557">
      <formula>$E733=4</formula>
    </cfRule>
    <cfRule type="expression" dxfId="1572" priority="1558">
      <formula>$E733=3</formula>
    </cfRule>
    <cfRule type="expression" dxfId="1571" priority="1559">
      <formula>$E733=2</formula>
    </cfRule>
    <cfRule type="expression" dxfId="1570" priority="1560">
      <formula>$E733=1</formula>
    </cfRule>
  </conditionalFormatting>
  <conditionalFormatting sqref="J731">
    <cfRule type="expression" dxfId="1569" priority="1545">
      <formula>$E731=8</formula>
    </cfRule>
  </conditionalFormatting>
  <conditionalFormatting sqref="J731">
    <cfRule type="expression" dxfId="1568" priority="1546">
      <formula>$E731=7</formula>
    </cfRule>
    <cfRule type="expression" dxfId="1567" priority="1547">
      <formula>$E731=6</formula>
    </cfRule>
    <cfRule type="expression" dxfId="1566" priority="1548">
      <formula>$E731=5</formula>
    </cfRule>
    <cfRule type="expression" dxfId="1565" priority="1549">
      <formula>$E731=4</formula>
    </cfRule>
    <cfRule type="expression" dxfId="1564" priority="1550">
      <formula>$E731=3</formula>
    </cfRule>
    <cfRule type="expression" dxfId="1563" priority="1551">
      <formula>$E731=2</formula>
    </cfRule>
    <cfRule type="expression" dxfId="1562" priority="1552">
      <formula>$E731=1</formula>
    </cfRule>
  </conditionalFormatting>
  <conditionalFormatting sqref="J732">
    <cfRule type="expression" dxfId="1561" priority="1529">
      <formula>$E732=8</formula>
    </cfRule>
  </conditionalFormatting>
  <conditionalFormatting sqref="J732">
    <cfRule type="expression" dxfId="1560" priority="1530">
      <formula>$E732=7</formula>
    </cfRule>
    <cfRule type="expression" dxfId="1559" priority="1531">
      <formula>$E732=6</formula>
    </cfRule>
    <cfRule type="expression" dxfId="1558" priority="1532">
      <formula>$E732=5</formula>
    </cfRule>
    <cfRule type="expression" dxfId="1557" priority="1533">
      <formula>$E732=4</formula>
    </cfRule>
    <cfRule type="expression" dxfId="1556" priority="1534">
      <formula>$E732=3</formula>
    </cfRule>
    <cfRule type="expression" dxfId="1555" priority="1535">
      <formula>$E732=2</formula>
    </cfRule>
    <cfRule type="expression" dxfId="1554" priority="1536">
      <formula>$E732=1</formula>
    </cfRule>
  </conditionalFormatting>
  <conditionalFormatting sqref="J733">
    <cfRule type="expression" dxfId="1553" priority="1521">
      <formula>$E733=8</formula>
    </cfRule>
  </conditionalFormatting>
  <conditionalFormatting sqref="J733">
    <cfRule type="expression" dxfId="1552" priority="1522">
      <formula>$E733=7</formula>
    </cfRule>
    <cfRule type="expression" dxfId="1551" priority="1523">
      <formula>$E733=6</formula>
    </cfRule>
    <cfRule type="expression" dxfId="1550" priority="1524">
      <formula>$E733=5</formula>
    </cfRule>
    <cfRule type="expression" dxfId="1549" priority="1525">
      <formula>$E733=4</formula>
    </cfRule>
    <cfRule type="expression" dxfId="1548" priority="1526">
      <formula>$E733=3</formula>
    </cfRule>
    <cfRule type="expression" dxfId="1547" priority="1527">
      <formula>$E733=2</formula>
    </cfRule>
    <cfRule type="expression" dxfId="1546" priority="1528">
      <formula>$E733=1</formula>
    </cfRule>
  </conditionalFormatting>
  <conditionalFormatting sqref="A737:A740 D737:H740 AA737:AC740 W737:X740 N737:N740 S737:S740 AG737:AG740 J737:K740">
    <cfRule type="expression" dxfId="1545" priority="1513">
      <formula>$E737=8</formula>
    </cfRule>
  </conditionalFormatting>
  <conditionalFormatting sqref="A737:A740 D737:H740 AA737:AC740 W737:X740 N737:N740 S737:S740 AG737:AG740 J737:K740">
    <cfRule type="expression" dxfId="1544" priority="1514">
      <formula>$E737=7</formula>
    </cfRule>
    <cfRule type="expression" dxfId="1543" priority="1515">
      <formula>$E737=6</formula>
    </cfRule>
    <cfRule type="expression" dxfId="1542" priority="1516">
      <formula>$E737=5</formula>
    </cfRule>
    <cfRule type="expression" dxfId="1541" priority="1517">
      <formula>$E737=4</formula>
    </cfRule>
    <cfRule type="expression" dxfId="1540" priority="1518">
      <formula>$E737=3</formula>
    </cfRule>
    <cfRule type="expression" dxfId="1539" priority="1519">
      <formula>$E737=2</formula>
    </cfRule>
    <cfRule type="expression" dxfId="1538" priority="1520">
      <formula>$E737=1</formula>
    </cfRule>
  </conditionalFormatting>
  <conditionalFormatting sqref="K736 N736">
    <cfRule type="expression" dxfId="1537" priority="1505">
      <formula>$E736=8</formula>
    </cfRule>
  </conditionalFormatting>
  <conditionalFormatting sqref="K736 N736">
    <cfRule type="expression" dxfId="1536" priority="1506">
      <formula>$E736=7</formula>
    </cfRule>
    <cfRule type="expression" dxfId="1535" priority="1507">
      <formula>$E736=6</formula>
    </cfRule>
    <cfRule type="expression" dxfId="1534" priority="1508">
      <formula>$E736=5</formula>
    </cfRule>
    <cfRule type="expression" dxfId="1533" priority="1509">
      <formula>$E736=4</formula>
    </cfRule>
    <cfRule type="expression" dxfId="1532" priority="1510">
      <formula>$E736=3</formula>
    </cfRule>
    <cfRule type="expression" dxfId="1531" priority="1511">
      <formula>$E736=2</formula>
    </cfRule>
    <cfRule type="expression" dxfId="1530" priority="1512">
      <formula>$E736=1</formula>
    </cfRule>
  </conditionalFormatting>
  <conditionalFormatting sqref="A741 D741:H741 AA741:AC741 W741:X741 S741 AG741 J741">
    <cfRule type="expression" dxfId="1529" priority="1497">
      <formula>$E741=8</formula>
    </cfRule>
  </conditionalFormatting>
  <conditionalFormatting sqref="A741 D741:H741 AA741:AC741 W741:X741 S741 AG741 J741">
    <cfRule type="expression" dxfId="1528" priority="1498">
      <formula>$E741=7</formula>
    </cfRule>
    <cfRule type="expression" dxfId="1527" priority="1499">
      <formula>$E741=6</formula>
    </cfRule>
    <cfRule type="expression" dxfId="1526" priority="1500">
      <formula>$E741=5</formula>
    </cfRule>
    <cfRule type="expression" dxfId="1525" priority="1501">
      <formula>$E741=4</formula>
    </cfRule>
    <cfRule type="expression" dxfId="1524" priority="1502">
      <formula>$E741=3</formula>
    </cfRule>
    <cfRule type="expression" dxfId="1523" priority="1503">
      <formula>$E741=2</formula>
    </cfRule>
    <cfRule type="expression" dxfId="1522" priority="1504">
      <formula>$E741=1</formula>
    </cfRule>
  </conditionalFormatting>
  <conditionalFormatting sqref="K741 N741">
    <cfRule type="expression" dxfId="1521" priority="1489">
      <formula>$E741=8</formula>
    </cfRule>
  </conditionalFormatting>
  <conditionalFormatting sqref="K741 N741">
    <cfRule type="expression" dxfId="1520" priority="1490">
      <formula>$E741=7</formula>
    </cfRule>
    <cfRule type="expression" dxfId="1519" priority="1491">
      <formula>$E741=6</formula>
    </cfRule>
    <cfRule type="expression" dxfId="1518" priority="1492">
      <formula>$E741=5</formula>
    </cfRule>
    <cfRule type="expression" dxfId="1517" priority="1493">
      <formula>$E741=4</formula>
    </cfRule>
    <cfRule type="expression" dxfId="1516" priority="1494">
      <formula>$E741=3</formula>
    </cfRule>
    <cfRule type="expression" dxfId="1515" priority="1495">
      <formula>$E741=2</formula>
    </cfRule>
    <cfRule type="expression" dxfId="1514" priority="1496">
      <formula>$E741=1</formula>
    </cfRule>
  </conditionalFormatting>
  <conditionalFormatting sqref="E28:H28 Q28:R28 AG28 W28:X28 AA28:AC28 J28:N28">
    <cfRule type="expression" dxfId="1513" priority="1216">
      <formula>$E28=8</formula>
    </cfRule>
  </conditionalFormatting>
  <conditionalFormatting sqref="A28:H28 AG28 W28:X28 AA28:AC28 Q28:R28 J28:O28">
    <cfRule type="expression" dxfId="1512" priority="1217">
      <formula>$E28=7</formula>
    </cfRule>
    <cfRule type="expression" dxfId="1511" priority="1218">
      <formula>$E28=6</formula>
    </cfRule>
    <cfRule type="expression" dxfId="1510" priority="1219">
      <formula>$E28=5</formula>
    </cfRule>
    <cfRule type="expression" dxfId="1509" priority="1220">
      <formula>$E28=4</formula>
    </cfRule>
    <cfRule type="expression" dxfId="1508" priority="1221">
      <formula>$E28=3</formula>
    </cfRule>
    <cfRule type="expression" dxfId="1507" priority="1222">
      <formula>$E28=2</formula>
    </cfRule>
    <cfRule type="expression" dxfId="1506" priority="1223">
      <formula>$E28=1</formula>
    </cfRule>
  </conditionalFormatting>
  <conditionalFormatting sqref="E29:H29 Q29:R29 AG29 W29:X29 AA29:AC29 J29:N29">
    <cfRule type="expression" dxfId="1505" priority="1208">
      <formula>$E29=8</formula>
    </cfRule>
  </conditionalFormatting>
  <conditionalFormatting sqref="A29:H29 AG29 W29:X29 AA29:AC29 Q29:R29 J29:O29">
    <cfRule type="expression" dxfId="1504" priority="1209">
      <formula>$E29=7</formula>
    </cfRule>
    <cfRule type="expression" dxfId="1503" priority="1210">
      <formula>$E29=6</formula>
    </cfRule>
    <cfRule type="expression" dxfId="1502" priority="1211">
      <formula>$E29=5</formula>
    </cfRule>
    <cfRule type="expression" dxfId="1501" priority="1212">
      <formula>$E29=4</formula>
    </cfRule>
    <cfRule type="expression" dxfId="1500" priority="1213">
      <formula>$E29=3</formula>
    </cfRule>
    <cfRule type="expression" dxfId="1499" priority="1214">
      <formula>$E29=2</formula>
    </cfRule>
    <cfRule type="expression" dxfId="1498" priority="1215">
      <formula>$E29=1</formula>
    </cfRule>
  </conditionalFormatting>
  <conditionalFormatting sqref="E42:H43 AG42:AG43 W42:X43 AA42:AC43 J42:N43 Q42:R43">
    <cfRule type="expression" dxfId="1497" priority="1200">
      <formula>$E42=8</formula>
    </cfRule>
  </conditionalFormatting>
  <conditionalFormatting sqref="A42:H43 AG42:AG43 W42:X43 AA42:AC43 J42:O43 Q42:R43">
    <cfRule type="expression" dxfId="1496" priority="1201">
      <formula>$E42=7</formula>
    </cfRule>
    <cfRule type="expression" dxfId="1495" priority="1202">
      <formula>$E42=6</formula>
    </cfRule>
    <cfRule type="expression" dxfId="1494" priority="1203">
      <formula>$E42=5</formula>
    </cfRule>
    <cfRule type="expression" dxfId="1493" priority="1204">
      <formula>$E42=4</formula>
    </cfRule>
    <cfRule type="expression" dxfId="1492" priority="1205">
      <formula>$E42=3</formula>
    </cfRule>
    <cfRule type="expression" dxfId="1491" priority="1206">
      <formula>$E42=2</formula>
    </cfRule>
    <cfRule type="expression" dxfId="1490" priority="1207">
      <formula>$E42=1</formula>
    </cfRule>
  </conditionalFormatting>
  <conditionalFormatting sqref="E119:H119 Q119:S119 AG119 W119:X119 AA119:AC119 J119:M119">
    <cfRule type="expression" dxfId="1489" priority="1192">
      <formula>$E119=8</formula>
    </cfRule>
  </conditionalFormatting>
  <conditionalFormatting sqref="A119:H119 O119 AG119 W119:X119 AA119:AC119 Q119:S119 J119:M119">
    <cfRule type="expression" dxfId="1488" priority="1193">
      <formula>$E119=7</formula>
    </cfRule>
    <cfRule type="expression" dxfId="1487" priority="1194">
      <formula>$E119=6</formula>
    </cfRule>
    <cfRule type="expression" dxfId="1486" priority="1195">
      <formula>$E119=5</formula>
    </cfRule>
    <cfRule type="expression" dxfId="1485" priority="1196">
      <formula>$E119=4</formula>
    </cfRule>
    <cfRule type="expression" dxfId="1484" priority="1197">
      <formula>$E119=3</formula>
    </cfRule>
    <cfRule type="expression" dxfId="1483" priority="1198">
      <formula>$E119=2</formula>
    </cfRule>
    <cfRule type="expression" dxfId="1482" priority="1199">
      <formula>$E119=1</formula>
    </cfRule>
  </conditionalFormatting>
  <conditionalFormatting sqref="N119">
    <cfRule type="expression" dxfId="1481" priority="1184">
      <formula>$E119=8</formula>
    </cfRule>
  </conditionalFormatting>
  <conditionalFormatting sqref="N119">
    <cfRule type="expression" dxfId="1480" priority="1185">
      <formula>$E119=7</formula>
    </cfRule>
    <cfRule type="expression" dxfId="1479" priority="1186">
      <formula>$E119=6</formula>
    </cfRule>
    <cfRule type="expression" dxfId="1478" priority="1187">
      <formula>$E119=5</formula>
    </cfRule>
    <cfRule type="expression" dxfId="1477" priority="1188">
      <formula>$E119=4</formula>
    </cfRule>
    <cfRule type="expression" dxfId="1476" priority="1189">
      <formula>$E119=3</formula>
    </cfRule>
    <cfRule type="expression" dxfId="1475" priority="1190">
      <formula>$E119=2</formula>
    </cfRule>
    <cfRule type="expression" dxfId="1474" priority="1191">
      <formula>$E119=1</formula>
    </cfRule>
  </conditionalFormatting>
  <conditionalFormatting sqref="E231:H242 Q231:S242 AG231:AG242 J231:N242 W231:X242 AA231:AC242">
    <cfRule type="expression" dxfId="1473" priority="1096">
      <formula>$E231=8</formula>
    </cfRule>
  </conditionalFormatting>
  <conditionalFormatting sqref="A231:H242 D289 D293 D300 D305 D312 AG231:AG242 J231:O242 W231:X242 AA231:AC242 Q231:S242">
    <cfRule type="expression" dxfId="1472" priority="1097">
      <formula>$E231=7</formula>
    </cfRule>
    <cfRule type="expression" dxfId="1471" priority="1098">
      <formula>$E231=6</formula>
    </cfRule>
    <cfRule type="expression" dxfId="1470" priority="1099">
      <formula>$E231=5</formula>
    </cfRule>
    <cfRule type="expression" dxfId="1469" priority="1100">
      <formula>$E231=4</formula>
    </cfRule>
    <cfRule type="expression" dxfId="1468" priority="1101">
      <formula>$E231=3</formula>
    </cfRule>
    <cfRule type="expression" dxfId="1467" priority="1102">
      <formula>$E231=2</formula>
    </cfRule>
    <cfRule type="expression" dxfId="1466" priority="1103">
      <formula>$E231=1</formula>
    </cfRule>
  </conditionalFormatting>
  <conditionalFormatting sqref="E267:H278 Q267:S278 AG267:AG278 J267:N278 W267:X278 AA267:AC278">
    <cfRule type="expression" dxfId="1465" priority="1088">
      <formula>$E267=8</formula>
    </cfRule>
  </conditionalFormatting>
  <conditionalFormatting sqref="A267:H278 AG267:AG278 J267:O278 W267:X278 AA267:AC278 Q267:S278">
    <cfRule type="expression" dxfId="1464" priority="1089">
      <formula>$E267=7</formula>
    </cfRule>
    <cfRule type="expression" dxfId="1463" priority="1090">
      <formula>$E267=6</formula>
    </cfRule>
    <cfRule type="expression" dxfId="1462" priority="1091">
      <formula>$E267=5</formula>
    </cfRule>
    <cfRule type="expression" dxfId="1461" priority="1092">
      <formula>$E267=4</formula>
    </cfRule>
    <cfRule type="expression" dxfId="1460" priority="1093">
      <formula>$E267=3</formula>
    </cfRule>
    <cfRule type="expression" dxfId="1459" priority="1094">
      <formula>$E267=2</formula>
    </cfRule>
    <cfRule type="expression" dxfId="1458" priority="1095">
      <formula>$E267=1</formula>
    </cfRule>
  </conditionalFormatting>
  <conditionalFormatting sqref="Q303:S314 E303:H314 AG303:AG314 J303:N314 W303:X314 AA303:AC314">
    <cfRule type="expression" dxfId="1457" priority="1080">
      <formula>$E303=8</formula>
    </cfRule>
  </conditionalFormatting>
  <conditionalFormatting sqref="A303:H304 A306:H311 A305:C305 E305:H305 A313:H314 A312:C312 E312:H312 AG303:AG314 J303:O314 W303:X314 AA303:AC314 Q303:S314">
    <cfRule type="expression" dxfId="1456" priority="1081">
      <formula>$E303=7</formula>
    </cfRule>
    <cfRule type="expression" dxfId="1455" priority="1082">
      <formula>$E303=6</formula>
    </cfRule>
    <cfRule type="expression" dxfId="1454" priority="1083">
      <formula>$E303=5</formula>
    </cfRule>
    <cfRule type="expression" dxfId="1453" priority="1084">
      <formula>$E303=4</formula>
    </cfRule>
    <cfRule type="expression" dxfId="1452" priority="1085">
      <formula>$E303=3</formula>
    </cfRule>
    <cfRule type="expression" dxfId="1451" priority="1086">
      <formula>$E303=2</formula>
    </cfRule>
    <cfRule type="expression" dxfId="1450" priority="1087">
      <formula>$E303=1</formula>
    </cfRule>
  </conditionalFormatting>
  <conditionalFormatting sqref="E520:H531 Q520:S531 AG520:AG531 J520:N531 W520:X531 AA520:AC531">
    <cfRule type="expression" dxfId="1449" priority="1072">
      <formula>$E520=8</formula>
    </cfRule>
  </conditionalFormatting>
  <conditionalFormatting sqref="A520:H520 A522:H531 A521:C521 E521:H521 AG520:AG531 J520:O531 W520:X531 AA520:AC531 Q520:S531">
    <cfRule type="expression" dxfId="1448" priority="1073">
      <formula>$E520=7</formula>
    </cfRule>
    <cfRule type="expression" dxfId="1447" priority="1074">
      <formula>$E520=6</formula>
    </cfRule>
    <cfRule type="expression" dxfId="1446" priority="1075">
      <formula>$E520=5</formula>
    </cfRule>
    <cfRule type="expression" dxfId="1445" priority="1076">
      <formula>$E520=4</formula>
    </cfRule>
    <cfRule type="expression" dxfId="1444" priority="1077">
      <formula>$E520=3</formula>
    </cfRule>
    <cfRule type="expression" dxfId="1443" priority="1078">
      <formula>$E520=2</formula>
    </cfRule>
    <cfRule type="expression" dxfId="1442" priority="1079">
      <formula>$E520=1</formula>
    </cfRule>
  </conditionalFormatting>
  <conditionalFormatting sqref="Q556:S567 E556:H567 AG556:AG567 J556:N567 W556:X567 AA556:AC567">
    <cfRule type="expression" dxfId="1441" priority="1064">
      <formula>$E556=8</formula>
    </cfRule>
  </conditionalFormatting>
  <conditionalFormatting sqref="A556:H567 AG556:AG567 J556:O567 W556:X567 AA556:AC567 Q556:S567">
    <cfRule type="expression" dxfId="1440" priority="1065">
      <formula>$E556=7</formula>
    </cfRule>
    <cfRule type="expression" dxfId="1439" priority="1066">
      <formula>$E556=6</formula>
    </cfRule>
    <cfRule type="expression" dxfId="1438" priority="1067">
      <formula>$E556=5</formula>
    </cfRule>
    <cfRule type="expression" dxfId="1437" priority="1068">
      <formula>$E556=4</formula>
    </cfRule>
    <cfRule type="expression" dxfId="1436" priority="1069">
      <formula>$E556=3</formula>
    </cfRule>
    <cfRule type="expression" dxfId="1435" priority="1070">
      <formula>$E556=2</formula>
    </cfRule>
    <cfRule type="expression" dxfId="1434" priority="1071">
      <formula>$E556=1</formula>
    </cfRule>
  </conditionalFormatting>
  <conditionalFormatting sqref="E592:H603 Q592:S603 AG592:AG603 J592:N603 W592:X603 AA592:AC603">
    <cfRule type="expression" dxfId="1433" priority="1056">
      <formula>$E592=8</formula>
    </cfRule>
  </conditionalFormatting>
  <conditionalFormatting sqref="A592:H593 A595:H600 A594:C594 E594:H594 A602:H603 A601:C601 E601:H601 AG592:AG603 J592:O603 W592:X603 AA592:AC603 Q592:S603">
    <cfRule type="expression" dxfId="1432" priority="1057">
      <formula>$E592=7</formula>
    </cfRule>
    <cfRule type="expression" dxfId="1431" priority="1058">
      <formula>$E592=6</formula>
    </cfRule>
    <cfRule type="expression" dxfId="1430" priority="1059">
      <formula>$E592=5</formula>
    </cfRule>
    <cfRule type="expression" dxfId="1429" priority="1060">
      <formula>$E592=4</formula>
    </cfRule>
    <cfRule type="expression" dxfId="1428" priority="1061">
      <formula>$E592=3</formula>
    </cfRule>
    <cfRule type="expression" dxfId="1427" priority="1062">
      <formula>$E592=2</formula>
    </cfRule>
    <cfRule type="expression" dxfId="1426" priority="1063">
      <formula>$E592=1</formula>
    </cfRule>
  </conditionalFormatting>
  <conditionalFormatting sqref="K628">
    <cfRule type="expression" dxfId="1425" priority="1048">
      <formula>$E628=8</formula>
    </cfRule>
  </conditionalFormatting>
  <conditionalFormatting sqref="K628">
    <cfRule type="expression" dxfId="1424" priority="1049">
      <formula>$E628=7</formula>
    </cfRule>
    <cfRule type="expression" dxfId="1423" priority="1050">
      <formula>$E628=6</formula>
    </cfRule>
    <cfRule type="expression" dxfId="1422" priority="1051">
      <formula>$E628=5</formula>
    </cfRule>
    <cfRule type="expression" dxfId="1421" priority="1052">
      <formula>$E628=4</formula>
    </cfRule>
    <cfRule type="expression" dxfId="1420" priority="1053">
      <formula>$E628=3</formula>
    </cfRule>
    <cfRule type="expression" dxfId="1419" priority="1054">
      <formula>$E628=2</formula>
    </cfRule>
    <cfRule type="expression" dxfId="1418" priority="1055">
      <formula>$E628=1</formula>
    </cfRule>
  </conditionalFormatting>
  <conditionalFormatting sqref="K629">
    <cfRule type="expression" dxfId="1417" priority="1040">
      <formula>$E629=8</formula>
    </cfRule>
  </conditionalFormatting>
  <conditionalFormatting sqref="K629">
    <cfRule type="expression" dxfId="1416" priority="1041">
      <formula>$E629=7</formula>
    </cfRule>
    <cfRule type="expression" dxfId="1415" priority="1042">
      <formula>$E629=6</formula>
    </cfRule>
    <cfRule type="expression" dxfId="1414" priority="1043">
      <formula>$E629=5</formula>
    </cfRule>
    <cfRule type="expression" dxfId="1413" priority="1044">
      <formula>$E629=4</formula>
    </cfRule>
    <cfRule type="expression" dxfId="1412" priority="1045">
      <formula>$E629=3</formula>
    </cfRule>
    <cfRule type="expression" dxfId="1411" priority="1046">
      <formula>$E629=2</formula>
    </cfRule>
    <cfRule type="expression" dxfId="1410" priority="1047">
      <formula>$E629=1</formula>
    </cfRule>
  </conditionalFormatting>
  <conditionalFormatting sqref="K630">
    <cfRule type="expression" dxfId="1409" priority="1032">
      <formula>$E630=8</formula>
    </cfRule>
  </conditionalFormatting>
  <conditionalFormatting sqref="K630">
    <cfRule type="expression" dxfId="1408" priority="1033">
      <formula>$E630=7</formula>
    </cfRule>
    <cfRule type="expression" dxfId="1407" priority="1034">
      <formula>$E630=6</formula>
    </cfRule>
    <cfRule type="expression" dxfId="1406" priority="1035">
      <formula>$E630=5</formula>
    </cfRule>
    <cfRule type="expression" dxfId="1405" priority="1036">
      <formula>$E630=4</formula>
    </cfRule>
    <cfRule type="expression" dxfId="1404" priority="1037">
      <formula>$E630=3</formula>
    </cfRule>
    <cfRule type="expression" dxfId="1403" priority="1038">
      <formula>$E630=2</formula>
    </cfRule>
    <cfRule type="expression" dxfId="1402" priority="1039">
      <formula>$E630=1</formula>
    </cfRule>
  </conditionalFormatting>
  <conditionalFormatting sqref="K631:K633">
    <cfRule type="expression" dxfId="1401" priority="1024">
      <formula>$E631=8</formula>
    </cfRule>
  </conditionalFormatting>
  <conditionalFormatting sqref="K631:K633">
    <cfRule type="expression" dxfId="1400" priority="1025">
      <formula>$E631=7</formula>
    </cfRule>
    <cfRule type="expression" dxfId="1399" priority="1026">
      <formula>$E631=6</formula>
    </cfRule>
    <cfRule type="expression" dxfId="1398" priority="1027">
      <formula>$E631=5</formula>
    </cfRule>
    <cfRule type="expression" dxfId="1397" priority="1028">
      <formula>$E631=4</formula>
    </cfRule>
    <cfRule type="expression" dxfId="1396" priority="1029">
      <formula>$E631=3</formula>
    </cfRule>
    <cfRule type="expression" dxfId="1395" priority="1030">
      <formula>$E631=2</formula>
    </cfRule>
    <cfRule type="expression" dxfId="1394" priority="1031">
      <formula>$E631=1</formula>
    </cfRule>
  </conditionalFormatting>
  <conditionalFormatting sqref="K634">
    <cfRule type="expression" dxfId="1393" priority="1016">
      <formula>$E634=8</formula>
    </cfRule>
  </conditionalFormatting>
  <conditionalFormatting sqref="K634">
    <cfRule type="expression" dxfId="1392" priority="1017">
      <formula>$E634=7</formula>
    </cfRule>
    <cfRule type="expression" dxfId="1391" priority="1018">
      <formula>$E634=6</formula>
    </cfRule>
    <cfRule type="expression" dxfId="1390" priority="1019">
      <formula>$E634=5</formula>
    </cfRule>
    <cfRule type="expression" dxfId="1389" priority="1020">
      <formula>$E634=4</formula>
    </cfRule>
    <cfRule type="expression" dxfId="1388" priority="1021">
      <formula>$E634=3</formula>
    </cfRule>
    <cfRule type="expression" dxfId="1387" priority="1022">
      <formula>$E634=2</formula>
    </cfRule>
    <cfRule type="expression" dxfId="1386" priority="1023">
      <formula>$E634=1</formula>
    </cfRule>
  </conditionalFormatting>
  <conditionalFormatting sqref="K635">
    <cfRule type="expression" dxfId="1385" priority="1008">
      <formula>$E635=8</formula>
    </cfRule>
  </conditionalFormatting>
  <conditionalFormatting sqref="K635">
    <cfRule type="expression" dxfId="1384" priority="1009">
      <formula>$E635=7</formula>
    </cfRule>
    <cfRule type="expression" dxfId="1383" priority="1010">
      <formula>$E635=6</formula>
    </cfRule>
    <cfRule type="expression" dxfId="1382" priority="1011">
      <formula>$E635=5</formula>
    </cfRule>
    <cfRule type="expression" dxfId="1381" priority="1012">
      <formula>$E635=4</formula>
    </cfRule>
    <cfRule type="expression" dxfId="1380" priority="1013">
      <formula>$E635=3</formula>
    </cfRule>
    <cfRule type="expression" dxfId="1379" priority="1014">
      <formula>$E635=2</formula>
    </cfRule>
    <cfRule type="expression" dxfId="1378" priority="1015">
      <formula>$E635=1</formula>
    </cfRule>
  </conditionalFormatting>
  <conditionalFormatting sqref="K636">
    <cfRule type="expression" dxfId="1377" priority="1000">
      <formula>$E636=8</formula>
    </cfRule>
  </conditionalFormatting>
  <conditionalFormatting sqref="K636">
    <cfRule type="expression" dxfId="1376" priority="1001">
      <formula>$E636=7</formula>
    </cfRule>
    <cfRule type="expression" dxfId="1375" priority="1002">
      <formula>$E636=6</formula>
    </cfRule>
    <cfRule type="expression" dxfId="1374" priority="1003">
      <formula>$E636=5</formula>
    </cfRule>
    <cfRule type="expression" dxfId="1373" priority="1004">
      <formula>$E636=4</formula>
    </cfRule>
    <cfRule type="expression" dxfId="1372" priority="1005">
      <formula>$E636=3</formula>
    </cfRule>
    <cfRule type="expression" dxfId="1371" priority="1006">
      <formula>$E636=2</formula>
    </cfRule>
    <cfRule type="expression" dxfId="1370" priority="1007">
      <formula>$E636=1</formula>
    </cfRule>
  </conditionalFormatting>
  <conditionalFormatting sqref="K637:K639">
    <cfRule type="expression" dxfId="1369" priority="992">
      <formula>$E637=8</formula>
    </cfRule>
  </conditionalFormatting>
  <conditionalFormatting sqref="K637:K639">
    <cfRule type="expression" dxfId="1368" priority="993">
      <formula>$E637=7</formula>
    </cfRule>
    <cfRule type="expression" dxfId="1367" priority="994">
      <formula>$E637=6</formula>
    </cfRule>
    <cfRule type="expression" dxfId="1366" priority="995">
      <formula>$E637=5</formula>
    </cfRule>
    <cfRule type="expression" dxfId="1365" priority="996">
      <formula>$E637=4</formula>
    </cfRule>
    <cfRule type="expression" dxfId="1364" priority="997">
      <formula>$E637=3</formula>
    </cfRule>
    <cfRule type="expression" dxfId="1363" priority="998">
      <formula>$E637=2</formula>
    </cfRule>
    <cfRule type="expression" dxfId="1362" priority="999">
      <formula>$E637=1</formula>
    </cfRule>
  </conditionalFormatting>
  <conditionalFormatting sqref="K640">
    <cfRule type="expression" dxfId="1361" priority="984">
      <formula>$E640=8</formula>
    </cfRule>
  </conditionalFormatting>
  <conditionalFormatting sqref="K640">
    <cfRule type="expression" dxfId="1360" priority="985">
      <formula>$E640=7</formula>
    </cfRule>
    <cfRule type="expression" dxfId="1359" priority="986">
      <formula>$E640=6</formula>
    </cfRule>
    <cfRule type="expression" dxfId="1358" priority="987">
      <formula>$E640=5</formula>
    </cfRule>
    <cfRule type="expression" dxfId="1357" priority="988">
      <formula>$E640=4</formula>
    </cfRule>
    <cfRule type="expression" dxfId="1356" priority="989">
      <formula>$E640=3</formula>
    </cfRule>
    <cfRule type="expression" dxfId="1355" priority="990">
      <formula>$E640=2</formula>
    </cfRule>
    <cfRule type="expression" dxfId="1354" priority="991">
      <formula>$E640=1</formula>
    </cfRule>
  </conditionalFormatting>
  <conditionalFormatting sqref="K641">
    <cfRule type="expression" dxfId="1353" priority="976">
      <formula>$E641=8</formula>
    </cfRule>
  </conditionalFormatting>
  <conditionalFormatting sqref="K641">
    <cfRule type="expression" dxfId="1352" priority="977">
      <formula>$E641=7</formula>
    </cfRule>
    <cfRule type="expression" dxfId="1351" priority="978">
      <formula>$E641=6</formula>
    </cfRule>
    <cfRule type="expression" dxfId="1350" priority="979">
      <formula>$E641=5</formula>
    </cfRule>
    <cfRule type="expression" dxfId="1349" priority="980">
      <formula>$E641=4</formula>
    </cfRule>
    <cfRule type="expression" dxfId="1348" priority="981">
      <formula>$E641=3</formula>
    </cfRule>
    <cfRule type="expression" dxfId="1347" priority="982">
      <formula>$E641=2</formula>
    </cfRule>
    <cfRule type="expression" dxfId="1346" priority="983">
      <formula>$E641=1</formula>
    </cfRule>
  </conditionalFormatting>
  <conditionalFormatting sqref="K642">
    <cfRule type="expression" dxfId="1345" priority="968">
      <formula>$E642=8</formula>
    </cfRule>
  </conditionalFormatting>
  <conditionalFormatting sqref="K642">
    <cfRule type="expression" dxfId="1344" priority="969">
      <formula>$E642=7</formula>
    </cfRule>
    <cfRule type="expression" dxfId="1343" priority="970">
      <formula>$E642=6</formula>
    </cfRule>
    <cfRule type="expression" dxfId="1342" priority="971">
      <formula>$E642=5</formula>
    </cfRule>
    <cfRule type="expression" dxfId="1341" priority="972">
      <formula>$E642=4</formula>
    </cfRule>
    <cfRule type="expression" dxfId="1340" priority="973">
      <formula>$E642=3</formula>
    </cfRule>
    <cfRule type="expression" dxfId="1339" priority="974">
      <formula>$E642=2</formula>
    </cfRule>
    <cfRule type="expression" dxfId="1338" priority="975">
      <formula>$E642=1</formula>
    </cfRule>
  </conditionalFormatting>
  <conditionalFormatting sqref="K643:K645">
    <cfRule type="expression" dxfId="1337" priority="960">
      <formula>$E643=8</formula>
    </cfRule>
  </conditionalFormatting>
  <conditionalFormatting sqref="K643:K645">
    <cfRule type="expression" dxfId="1336" priority="961">
      <formula>$E643=7</formula>
    </cfRule>
    <cfRule type="expression" dxfId="1335" priority="962">
      <formula>$E643=6</formula>
    </cfRule>
    <cfRule type="expression" dxfId="1334" priority="963">
      <formula>$E643=5</formula>
    </cfRule>
    <cfRule type="expression" dxfId="1333" priority="964">
      <formula>$E643=4</formula>
    </cfRule>
    <cfRule type="expression" dxfId="1332" priority="965">
      <formula>$E643=3</formula>
    </cfRule>
    <cfRule type="expression" dxfId="1331" priority="966">
      <formula>$E643=2</formula>
    </cfRule>
    <cfRule type="expression" dxfId="1330" priority="967">
      <formula>$E643=1</formula>
    </cfRule>
  </conditionalFormatting>
  <conditionalFormatting sqref="K646">
    <cfRule type="expression" dxfId="1329" priority="952">
      <formula>$E646=8</formula>
    </cfRule>
  </conditionalFormatting>
  <conditionalFormatting sqref="K646">
    <cfRule type="expression" dxfId="1328" priority="953">
      <formula>$E646=7</formula>
    </cfRule>
    <cfRule type="expression" dxfId="1327" priority="954">
      <formula>$E646=6</formula>
    </cfRule>
    <cfRule type="expression" dxfId="1326" priority="955">
      <formula>$E646=5</formula>
    </cfRule>
    <cfRule type="expression" dxfId="1325" priority="956">
      <formula>$E646=4</formula>
    </cfRule>
    <cfRule type="expression" dxfId="1324" priority="957">
      <formula>$E646=3</formula>
    </cfRule>
    <cfRule type="expression" dxfId="1323" priority="958">
      <formula>$E646=2</formula>
    </cfRule>
    <cfRule type="expression" dxfId="1322" priority="959">
      <formula>$E646=1</formula>
    </cfRule>
  </conditionalFormatting>
  <conditionalFormatting sqref="K647">
    <cfRule type="expression" dxfId="1321" priority="944">
      <formula>$E647=8</formula>
    </cfRule>
  </conditionalFormatting>
  <conditionalFormatting sqref="K647">
    <cfRule type="expression" dxfId="1320" priority="945">
      <formula>$E647=7</formula>
    </cfRule>
    <cfRule type="expression" dxfId="1319" priority="946">
      <formula>$E647=6</formula>
    </cfRule>
    <cfRule type="expression" dxfId="1318" priority="947">
      <formula>$E647=5</formula>
    </cfRule>
    <cfRule type="expression" dxfId="1317" priority="948">
      <formula>$E647=4</formula>
    </cfRule>
    <cfRule type="expression" dxfId="1316" priority="949">
      <formula>$E647=3</formula>
    </cfRule>
    <cfRule type="expression" dxfId="1315" priority="950">
      <formula>$E647=2</formula>
    </cfRule>
    <cfRule type="expression" dxfId="1314" priority="951">
      <formula>$E647=1</formula>
    </cfRule>
  </conditionalFormatting>
  <conditionalFormatting sqref="K648">
    <cfRule type="expression" dxfId="1313" priority="936">
      <formula>$E648=8</formula>
    </cfRule>
  </conditionalFormatting>
  <conditionalFormatting sqref="K648">
    <cfRule type="expression" dxfId="1312" priority="937">
      <formula>$E648=7</formula>
    </cfRule>
    <cfRule type="expression" dxfId="1311" priority="938">
      <formula>$E648=6</formula>
    </cfRule>
    <cfRule type="expression" dxfId="1310" priority="939">
      <formula>$E648=5</formula>
    </cfRule>
    <cfRule type="expression" dxfId="1309" priority="940">
      <formula>$E648=4</formula>
    </cfRule>
    <cfRule type="expression" dxfId="1308" priority="941">
      <formula>$E648=3</formula>
    </cfRule>
    <cfRule type="expression" dxfId="1307" priority="942">
      <formula>$E648=2</formula>
    </cfRule>
    <cfRule type="expression" dxfId="1306" priority="943">
      <formula>$E648=1</formula>
    </cfRule>
  </conditionalFormatting>
  <conditionalFormatting sqref="K649:K651">
    <cfRule type="expression" dxfId="1305" priority="928">
      <formula>$E649=8</formula>
    </cfRule>
  </conditionalFormatting>
  <conditionalFormatting sqref="K649:K651">
    <cfRule type="expression" dxfId="1304" priority="929">
      <formula>$E649=7</formula>
    </cfRule>
    <cfRule type="expression" dxfId="1303" priority="930">
      <formula>$E649=6</formula>
    </cfRule>
    <cfRule type="expression" dxfId="1302" priority="931">
      <formula>$E649=5</formula>
    </cfRule>
    <cfRule type="expression" dxfId="1301" priority="932">
      <formula>$E649=4</formula>
    </cfRule>
    <cfRule type="expression" dxfId="1300" priority="933">
      <formula>$E649=3</formula>
    </cfRule>
    <cfRule type="expression" dxfId="1299" priority="934">
      <formula>$E649=2</formula>
    </cfRule>
    <cfRule type="expression" dxfId="1298" priority="935">
      <formula>$E649=1</formula>
    </cfRule>
  </conditionalFormatting>
  <conditionalFormatting sqref="K652">
    <cfRule type="expression" dxfId="1297" priority="920">
      <formula>$E652=8</formula>
    </cfRule>
  </conditionalFormatting>
  <conditionalFormatting sqref="K652">
    <cfRule type="expression" dxfId="1296" priority="921">
      <formula>$E652=7</formula>
    </cfRule>
    <cfRule type="expression" dxfId="1295" priority="922">
      <formula>$E652=6</formula>
    </cfRule>
    <cfRule type="expression" dxfId="1294" priority="923">
      <formula>$E652=5</formula>
    </cfRule>
    <cfRule type="expression" dxfId="1293" priority="924">
      <formula>$E652=4</formula>
    </cfRule>
    <cfRule type="expression" dxfId="1292" priority="925">
      <formula>$E652=3</formula>
    </cfRule>
    <cfRule type="expression" dxfId="1291" priority="926">
      <formula>$E652=2</formula>
    </cfRule>
    <cfRule type="expression" dxfId="1290" priority="927">
      <formula>$E652=1</formula>
    </cfRule>
  </conditionalFormatting>
  <conditionalFormatting sqref="K653">
    <cfRule type="expression" dxfId="1289" priority="912">
      <formula>$E653=8</formula>
    </cfRule>
  </conditionalFormatting>
  <conditionalFormatting sqref="K653">
    <cfRule type="expression" dxfId="1288" priority="913">
      <formula>$E653=7</formula>
    </cfRule>
    <cfRule type="expression" dxfId="1287" priority="914">
      <formula>$E653=6</formula>
    </cfRule>
    <cfRule type="expression" dxfId="1286" priority="915">
      <formula>$E653=5</formula>
    </cfRule>
    <cfRule type="expression" dxfId="1285" priority="916">
      <formula>$E653=4</formula>
    </cfRule>
    <cfRule type="expression" dxfId="1284" priority="917">
      <formula>$E653=3</formula>
    </cfRule>
    <cfRule type="expression" dxfId="1283" priority="918">
      <formula>$E653=2</formula>
    </cfRule>
    <cfRule type="expression" dxfId="1282" priority="919">
      <formula>$E653=1</formula>
    </cfRule>
  </conditionalFormatting>
  <conditionalFormatting sqref="K654">
    <cfRule type="expression" dxfId="1281" priority="904">
      <formula>$E654=8</formula>
    </cfRule>
  </conditionalFormatting>
  <conditionalFormatting sqref="K654">
    <cfRule type="expression" dxfId="1280" priority="905">
      <formula>$E654=7</formula>
    </cfRule>
    <cfRule type="expression" dxfId="1279" priority="906">
      <formula>$E654=6</formula>
    </cfRule>
    <cfRule type="expression" dxfId="1278" priority="907">
      <formula>$E654=5</formula>
    </cfRule>
    <cfRule type="expression" dxfId="1277" priority="908">
      <formula>$E654=4</formula>
    </cfRule>
    <cfRule type="expression" dxfId="1276" priority="909">
      <formula>$E654=3</formula>
    </cfRule>
    <cfRule type="expression" dxfId="1275" priority="910">
      <formula>$E654=2</formula>
    </cfRule>
    <cfRule type="expression" dxfId="1274" priority="911">
      <formula>$E654=1</formula>
    </cfRule>
  </conditionalFormatting>
  <conditionalFormatting sqref="K655:K657">
    <cfRule type="expression" dxfId="1273" priority="896">
      <formula>$E655=8</formula>
    </cfRule>
  </conditionalFormatting>
  <conditionalFormatting sqref="K655:K657">
    <cfRule type="expression" dxfId="1272" priority="897">
      <formula>$E655=7</formula>
    </cfRule>
    <cfRule type="expression" dxfId="1271" priority="898">
      <formula>$E655=6</formula>
    </cfRule>
    <cfRule type="expression" dxfId="1270" priority="899">
      <formula>$E655=5</formula>
    </cfRule>
    <cfRule type="expression" dxfId="1269" priority="900">
      <formula>$E655=4</formula>
    </cfRule>
    <cfRule type="expression" dxfId="1268" priority="901">
      <formula>$E655=3</formula>
    </cfRule>
    <cfRule type="expression" dxfId="1267" priority="902">
      <formula>$E655=2</formula>
    </cfRule>
    <cfRule type="expression" dxfId="1266" priority="903">
      <formula>$E655=1</formula>
    </cfRule>
  </conditionalFormatting>
  <conditionalFormatting sqref="K658">
    <cfRule type="expression" dxfId="1265" priority="888">
      <formula>$E658=8</formula>
    </cfRule>
  </conditionalFormatting>
  <conditionalFormatting sqref="K658">
    <cfRule type="expression" dxfId="1264" priority="889">
      <formula>$E658=7</formula>
    </cfRule>
    <cfRule type="expression" dxfId="1263" priority="890">
      <formula>$E658=6</formula>
    </cfRule>
    <cfRule type="expression" dxfId="1262" priority="891">
      <formula>$E658=5</formula>
    </cfRule>
    <cfRule type="expression" dxfId="1261" priority="892">
      <formula>$E658=4</formula>
    </cfRule>
    <cfRule type="expression" dxfId="1260" priority="893">
      <formula>$E658=3</formula>
    </cfRule>
    <cfRule type="expression" dxfId="1259" priority="894">
      <formula>$E658=2</formula>
    </cfRule>
    <cfRule type="expression" dxfId="1258" priority="895">
      <formula>$E658=1</formula>
    </cfRule>
  </conditionalFormatting>
  <conditionalFormatting sqref="K659">
    <cfRule type="expression" dxfId="1257" priority="880">
      <formula>$E659=8</formula>
    </cfRule>
  </conditionalFormatting>
  <conditionalFormatting sqref="K659">
    <cfRule type="expression" dxfId="1256" priority="881">
      <formula>$E659=7</formula>
    </cfRule>
    <cfRule type="expression" dxfId="1255" priority="882">
      <formula>$E659=6</formula>
    </cfRule>
    <cfRule type="expression" dxfId="1254" priority="883">
      <formula>$E659=5</formula>
    </cfRule>
    <cfRule type="expression" dxfId="1253" priority="884">
      <formula>$E659=4</formula>
    </cfRule>
    <cfRule type="expression" dxfId="1252" priority="885">
      <formula>$E659=3</formula>
    </cfRule>
    <cfRule type="expression" dxfId="1251" priority="886">
      <formula>$E659=2</formula>
    </cfRule>
    <cfRule type="expression" dxfId="1250" priority="887">
      <formula>$E659=1</formula>
    </cfRule>
  </conditionalFormatting>
  <conditionalFormatting sqref="K660">
    <cfRule type="expression" dxfId="1249" priority="872">
      <formula>$E660=8</formula>
    </cfRule>
  </conditionalFormatting>
  <conditionalFormatting sqref="K660">
    <cfRule type="expression" dxfId="1248" priority="873">
      <formula>$E660=7</formula>
    </cfRule>
    <cfRule type="expression" dxfId="1247" priority="874">
      <formula>$E660=6</formula>
    </cfRule>
    <cfRule type="expression" dxfId="1246" priority="875">
      <formula>$E660=5</formula>
    </cfRule>
    <cfRule type="expression" dxfId="1245" priority="876">
      <formula>$E660=4</formula>
    </cfRule>
    <cfRule type="expression" dxfId="1244" priority="877">
      <formula>$E660=3</formula>
    </cfRule>
    <cfRule type="expression" dxfId="1243" priority="878">
      <formula>$E660=2</formula>
    </cfRule>
    <cfRule type="expression" dxfId="1242" priority="879">
      <formula>$E660=1</formula>
    </cfRule>
  </conditionalFormatting>
  <conditionalFormatting sqref="K661:K663">
    <cfRule type="expression" dxfId="1241" priority="864">
      <formula>$E661=8</formula>
    </cfRule>
  </conditionalFormatting>
  <conditionalFormatting sqref="K661:K663">
    <cfRule type="expression" dxfId="1240" priority="865">
      <formula>$E661=7</formula>
    </cfRule>
    <cfRule type="expression" dxfId="1239" priority="866">
      <formula>$E661=6</formula>
    </cfRule>
    <cfRule type="expression" dxfId="1238" priority="867">
      <formula>$E661=5</formula>
    </cfRule>
    <cfRule type="expression" dxfId="1237" priority="868">
      <formula>$E661=4</formula>
    </cfRule>
    <cfRule type="expression" dxfId="1236" priority="869">
      <formula>$E661=3</formula>
    </cfRule>
    <cfRule type="expression" dxfId="1235" priority="870">
      <formula>$E661=2</formula>
    </cfRule>
    <cfRule type="expression" dxfId="1234" priority="871">
      <formula>$E661=1</formula>
    </cfRule>
  </conditionalFormatting>
  <conditionalFormatting sqref="D628 D632:D633">
    <cfRule type="expression" dxfId="1233" priority="856">
      <formula>$E628=8</formula>
    </cfRule>
  </conditionalFormatting>
  <conditionalFormatting sqref="D628 D632:D633">
    <cfRule type="expression" dxfId="1232" priority="857">
      <formula>$E628=7</formula>
    </cfRule>
    <cfRule type="expression" dxfId="1231" priority="858">
      <formula>$E628=6</formula>
    </cfRule>
    <cfRule type="expression" dxfId="1230" priority="859">
      <formula>$E628=5</formula>
    </cfRule>
    <cfRule type="expression" dxfId="1229" priority="860">
      <formula>$E628=4</formula>
    </cfRule>
    <cfRule type="expression" dxfId="1228" priority="861">
      <formula>$E628=3</formula>
    </cfRule>
    <cfRule type="expression" dxfId="1227" priority="862">
      <formula>$E628=2</formula>
    </cfRule>
    <cfRule type="expression" dxfId="1226" priority="863">
      <formula>$E628=1</formula>
    </cfRule>
  </conditionalFormatting>
  <conditionalFormatting sqref="D629">
    <cfRule type="expression" dxfId="1225" priority="848">
      <formula>$E629=8</formula>
    </cfRule>
  </conditionalFormatting>
  <conditionalFormatting sqref="D629">
    <cfRule type="expression" dxfId="1224" priority="849">
      <formula>$E629=7</formula>
    </cfRule>
    <cfRule type="expression" dxfId="1223" priority="850">
      <formula>$E629=6</formula>
    </cfRule>
    <cfRule type="expression" dxfId="1222" priority="851">
      <formula>$E629=5</formula>
    </cfRule>
    <cfRule type="expression" dxfId="1221" priority="852">
      <formula>$E629=4</formula>
    </cfRule>
    <cfRule type="expression" dxfId="1220" priority="853">
      <formula>$E629=3</formula>
    </cfRule>
    <cfRule type="expression" dxfId="1219" priority="854">
      <formula>$E629=2</formula>
    </cfRule>
    <cfRule type="expression" dxfId="1218" priority="855">
      <formula>$E629=1</formula>
    </cfRule>
  </conditionalFormatting>
  <conditionalFormatting sqref="D630">
    <cfRule type="expression" dxfId="1217" priority="840">
      <formula>$E630=8</formula>
    </cfRule>
  </conditionalFormatting>
  <conditionalFormatting sqref="D630">
    <cfRule type="expression" dxfId="1216" priority="841">
      <formula>$E630=7</formula>
    </cfRule>
    <cfRule type="expression" dxfId="1215" priority="842">
      <formula>$E630=6</formula>
    </cfRule>
    <cfRule type="expression" dxfId="1214" priority="843">
      <formula>$E630=5</formula>
    </cfRule>
    <cfRule type="expression" dxfId="1213" priority="844">
      <formula>$E630=4</formula>
    </cfRule>
    <cfRule type="expression" dxfId="1212" priority="845">
      <formula>$E630=3</formula>
    </cfRule>
    <cfRule type="expression" dxfId="1211" priority="846">
      <formula>$E630=2</formula>
    </cfRule>
    <cfRule type="expression" dxfId="1210" priority="847">
      <formula>$E630=1</formula>
    </cfRule>
  </conditionalFormatting>
  <conditionalFormatting sqref="D631">
    <cfRule type="expression" dxfId="1209" priority="832">
      <formula>$E631=8</formula>
    </cfRule>
  </conditionalFormatting>
  <conditionalFormatting sqref="D631">
    <cfRule type="expression" dxfId="1208" priority="833">
      <formula>$E631=7</formula>
    </cfRule>
    <cfRule type="expression" dxfId="1207" priority="834">
      <formula>$E631=6</formula>
    </cfRule>
    <cfRule type="expression" dxfId="1206" priority="835">
      <formula>$E631=5</formula>
    </cfRule>
    <cfRule type="expression" dxfId="1205" priority="836">
      <formula>$E631=4</formula>
    </cfRule>
    <cfRule type="expression" dxfId="1204" priority="837">
      <formula>$E631=3</formula>
    </cfRule>
    <cfRule type="expression" dxfId="1203" priority="838">
      <formula>$E631=2</formula>
    </cfRule>
    <cfRule type="expression" dxfId="1202" priority="839">
      <formula>$E631=1</formula>
    </cfRule>
  </conditionalFormatting>
  <conditionalFormatting sqref="D634 D638:D639">
    <cfRule type="expression" dxfId="1201" priority="824">
      <formula>$E634=8</formula>
    </cfRule>
  </conditionalFormatting>
  <conditionalFormatting sqref="D634 D638:D639">
    <cfRule type="expression" dxfId="1200" priority="825">
      <formula>$E634=7</formula>
    </cfRule>
    <cfRule type="expression" dxfId="1199" priority="826">
      <formula>$E634=6</formula>
    </cfRule>
    <cfRule type="expression" dxfId="1198" priority="827">
      <formula>$E634=5</formula>
    </cfRule>
    <cfRule type="expression" dxfId="1197" priority="828">
      <formula>$E634=4</formula>
    </cfRule>
    <cfRule type="expression" dxfId="1196" priority="829">
      <formula>$E634=3</formula>
    </cfRule>
    <cfRule type="expression" dxfId="1195" priority="830">
      <formula>$E634=2</formula>
    </cfRule>
    <cfRule type="expression" dxfId="1194" priority="831">
      <formula>$E634=1</formula>
    </cfRule>
  </conditionalFormatting>
  <conditionalFormatting sqref="D635">
    <cfRule type="expression" dxfId="1193" priority="816">
      <formula>$E635=8</formula>
    </cfRule>
  </conditionalFormatting>
  <conditionalFormatting sqref="D635">
    <cfRule type="expression" dxfId="1192" priority="817">
      <formula>$E635=7</formula>
    </cfRule>
    <cfRule type="expression" dxfId="1191" priority="818">
      <formula>$E635=6</formula>
    </cfRule>
    <cfRule type="expression" dxfId="1190" priority="819">
      <formula>$E635=5</formula>
    </cfRule>
    <cfRule type="expression" dxfId="1189" priority="820">
      <formula>$E635=4</formula>
    </cfRule>
    <cfRule type="expression" dxfId="1188" priority="821">
      <formula>$E635=3</formula>
    </cfRule>
    <cfRule type="expression" dxfId="1187" priority="822">
      <formula>$E635=2</formula>
    </cfRule>
    <cfRule type="expression" dxfId="1186" priority="823">
      <formula>$E635=1</formula>
    </cfRule>
  </conditionalFormatting>
  <conditionalFormatting sqref="D636">
    <cfRule type="expression" dxfId="1185" priority="808">
      <formula>$E636=8</formula>
    </cfRule>
  </conditionalFormatting>
  <conditionalFormatting sqref="D636">
    <cfRule type="expression" dxfId="1184" priority="809">
      <formula>$E636=7</formula>
    </cfRule>
    <cfRule type="expression" dxfId="1183" priority="810">
      <formula>$E636=6</formula>
    </cfRule>
    <cfRule type="expression" dxfId="1182" priority="811">
      <formula>$E636=5</formula>
    </cfRule>
    <cfRule type="expression" dxfId="1181" priority="812">
      <formula>$E636=4</formula>
    </cfRule>
    <cfRule type="expression" dxfId="1180" priority="813">
      <formula>$E636=3</formula>
    </cfRule>
    <cfRule type="expression" dxfId="1179" priority="814">
      <formula>$E636=2</formula>
    </cfRule>
    <cfRule type="expression" dxfId="1178" priority="815">
      <formula>$E636=1</formula>
    </cfRule>
  </conditionalFormatting>
  <conditionalFormatting sqref="D637">
    <cfRule type="expression" dxfId="1177" priority="800">
      <formula>$E637=8</formula>
    </cfRule>
  </conditionalFormatting>
  <conditionalFormatting sqref="D637">
    <cfRule type="expression" dxfId="1176" priority="801">
      <formula>$E637=7</formula>
    </cfRule>
    <cfRule type="expression" dxfId="1175" priority="802">
      <formula>$E637=6</formula>
    </cfRule>
    <cfRule type="expression" dxfId="1174" priority="803">
      <formula>$E637=5</formula>
    </cfRule>
    <cfRule type="expression" dxfId="1173" priority="804">
      <formula>$E637=4</formula>
    </cfRule>
    <cfRule type="expression" dxfId="1172" priority="805">
      <formula>$E637=3</formula>
    </cfRule>
    <cfRule type="expression" dxfId="1171" priority="806">
      <formula>$E637=2</formula>
    </cfRule>
    <cfRule type="expression" dxfId="1170" priority="807">
      <formula>$E637=1</formula>
    </cfRule>
  </conditionalFormatting>
  <conditionalFormatting sqref="D640 D644:D645">
    <cfRule type="expression" dxfId="1169" priority="792">
      <formula>$E640=8</formula>
    </cfRule>
  </conditionalFormatting>
  <conditionalFormatting sqref="D640 D644:D645">
    <cfRule type="expression" dxfId="1168" priority="793">
      <formula>$E640=7</formula>
    </cfRule>
    <cfRule type="expression" dxfId="1167" priority="794">
      <formula>$E640=6</formula>
    </cfRule>
    <cfRule type="expression" dxfId="1166" priority="795">
      <formula>$E640=5</formula>
    </cfRule>
    <cfRule type="expression" dxfId="1165" priority="796">
      <formula>$E640=4</formula>
    </cfRule>
    <cfRule type="expression" dxfId="1164" priority="797">
      <formula>$E640=3</formula>
    </cfRule>
    <cfRule type="expression" dxfId="1163" priority="798">
      <formula>$E640=2</formula>
    </cfRule>
    <cfRule type="expression" dxfId="1162" priority="799">
      <formula>$E640=1</formula>
    </cfRule>
  </conditionalFormatting>
  <conditionalFormatting sqref="D641">
    <cfRule type="expression" dxfId="1161" priority="784">
      <formula>$E641=8</formula>
    </cfRule>
  </conditionalFormatting>
  <conditionalFormatting sqref="D641">
    <cfRule type="expression" dxfId="1160" priority="785">
      <formula>$E641=7</formula>
    </cfRule>
    <cfRule type="expression" dxfId="1159" priority="786">
      <formula>$E641=6</formula>
    </cfRule>
    <cfRule type="expression" dxfId="1158" priority="787">
      <formula>$E641=5</formula>
    </cfRule>
    <cfRule type="expression" dxfId="1157" priority="788">
      <formula>$E641=4</formula>
    </cfRule>
    <cfRule type="expression" dxfId="1156" priority="789">
      <formula>$E641=3</formula>
    </cfRule>
    <cfRule type="expression" dxfId="1155" priority="790">
      <formula>$E641=2</formula>
    </cfRule>
    <cfRule type="expression" dxfId="1154" priority="791">
      <formula>$E641=1</formula>
    </cfRule>
  </conditionalFormatting>
  <conditionalFormatting sqref="D642">
    <cfRule type="expression" dxfId="1153" priority="776">
      <formula>$E642=8</formula>
    </cfRule>
  </conditionalFormatting>
  <conditionalFormatting sqref="D642">
    <cfRule type="expression" dxfId="1152" priority="777">
      <formula>$E642=7</formula>
    </cfRule>
    <cfRule type="expression" dxfId="1151" priority="778">
      <formula>$E642=6</formula>
    </cfRule>
    <cfRule type="expression" dxfId="1150" priority="779">
      <formula>$E642=5</formula>
    </cfRule>
    <cfRule type="expression" dxfId="1149" priority="780">
      <formula>$E642=4</formula>
    </cfRule>
    <cfRule type="expression" dxfId="1148" priority="781">
      <formula>$E642=3</formula>
    </cfRule>
    <cfRule type="expression" dxfId="1147" priority="782">
      <formula>$E642=2</formula>
    </cfRule>
    <cfRule type="expression" dxfId="1146" priority="783">
      <formula>$E642=1</formula>
    </cfRule>
  </conditionalFormatting>
  <conditionalFormatting sqref="D643">
    <cfRule type="expression" dxfId="1145" priority="768">
      <formula>$E643=8</formula>
    </cfRule>
  </conditionalFormatting>
  <conditionalFormatting sqref="D643">
    <cfRule type="expression" dxfId="1144" priority="769">
      <formula>$E643=7</formula>
    </cfRule>
    <cfRule type="expression" dxfId="1143" priority="770">
      <formula>$E643=6</formula>
    </cfRule>
    <cfRule type="expression" dxfId="1142" priority="771">
      <formula>$E643=5</formula>
    </cfRule>
    <cfRule type="expression" dxfId="1141" priority="772">
      <formula>$E643=4</formula>
    </cfRule>
    <cfRule type="expression" dxfId="1140" priority="773">
      <formula>$E643=3</formula>
    </cfRule>
    <cfRule type="expression" dxfId="1139" priority="774">
      <formula>$E643=2</formula>
    </cfRule>
    <cfRule type="expression" dxfId="1138" priority="775">
      <formula>$E643=1</formula>
    </cfRule>
  </conditionalFormatting>
  <conditionalFormatting sqref="D646 D650:D651">
    <cfRule type="expression" dxfId="1137" priority="760">
      <formula>$E646=8</formula>
    </cfRule>
  </conditionalFormatting>
  <conditionalFormatting sqref="D646 D650:D651">
    <cfRule type="expression" dxfId="1136" priority="761">
      <formula>$E646=7</formula>
    </cfRule>
    <cfRule type="expression" dxfId="1135" priority="762">
      <formula>$E646=6</formula>
    </cfRule>
    <cfRule type="expression" dxfId="1134" priority="763">
      <formula>$E646=5</formula>
    </cfRule>
    <cfRule type="expression" dxfId="1133" priority="764">
      <formula>$E646=4</formula>
    </cfRule>
    <cfRule type="expression" dxfId="1132" priority="765">
      <formula>$E646=3</formula>
    </cfRule>
    <cfRule type="expression" dxfId="1131" priority="766">
      <formula>$E646=2</formula>
    </cfRule>
    <cfRule type="expression" dxfId="1130" priority="767">
      <formula>$E646=1</formula>
    </cfRule>
  </conditionalFormatting>
  <conditionalFormatting sqref="D647">
    <cfRule type="expression" dxfId="1129" priority="752">
      <formula>$E647=8</formula>
    </cfRule>
  </conditionalFormatting>
  <conditionalFormatting sqref="D647">
    <cfRule type="expression" dxfId="1128" priority="753">
      <formula>$E647=7</formula>
    </cfRule>
    <cfRule type="expression" dxfId="1127" priority="754">
      <formula>$E647=6</formula>
    </cfRule>
    <cfRule type="expression" dxfId="1126" priority="755">
      <formula>$E647=5</formula>
    </cfRule>
    <cfRule type="expression" dxfId="1125" priority="756">
      <formula>$E647=4</formula>
    </cfRule>
    <cfRule type="expression" dxfId="1124" priority="757">
      <formula>$E647=3</formula>
    </cfRule>
    <cfRule type="expression" dxfId="1123" priority="758">
      <formula>$E647=2</formula>
    </cfRule>
    <cfRule type="expression" dxfId="1122" priority="759">
      <formula>$E647=1</formula>
    </cfRule>
  </conditionalFormatting>
  <conditionalFormatting sqref="D648">
    <cfRule type="expression" dxfId="1121" priority="744">
      <formula>$E648=8</formula>
    </cfRule>
  </conditionalFormatting>
  <conditionalFormatting sqref="D648">
    <cfRule type="expression" dxfId="1120" priority="745">
      <formula>$E648=7</formula>
    </cfRule>
    <cfRule type="expression" dxfId="1119" priority="746">
      <formula>$E648=6</formula>
    </cfRule>
    <cfRule type="expression" dxfId="1118" priority="747">
      <formula>$E648=5</formula>
    </cfRule>
    <cfRule type="expression" dxfId="1117" priority="748">
      <formula>$E648=4</formula>
    </cfRule>
    <cfRule type="expression" dxfId="1116" priority="749">
      <formula>$E648=3</formula>
    </cfRule>
    <cfRule type="expression" dxfId="1115" priority="750">
      <formula>$E648=2</formula>
    </cfRule>
    <cfRule type="expression" dxfId="1114" priority="751">
      <formula>$E648=1</formula>
    </cfRule>
  </conditionalFormatting>
  <conditionalFormatting sqref="D649">
    <cfRule type="expression" dxfId="1113" priority="736">
      <formula>$E649=8</formula>
    </cfRule>
  </conditionalFormatting>
  <conditionalFormatting sqref="D649">
    <cfRule type="expression" dxfId="1112" priority="737">
      <formula>$E649=7</formula>
    </cfRule>
    <cfRule type="expression" dxfId="1111" priority="738">
      <formula>$E649=6</formula>
    </cfRule>
    <cfRule type="expression" dxfId="1110" priority="739">
      <formula>$E649=5</formula>
    </cfRule>
    <cfRule type="expression" dxfId="1109" priority="740">
      <formula>$E649=4</formula>
    </cfRule>
    <cfRule type="expression" dxfId="1108" priority="741">
      <formula>$E649=3</formula>
    </cfRule>
    <cfRule type="expression" dxfId="1107" priority="742">
      <formula>$E649=2</formula>
    </cfRule>
    <cfRule type="expression" dxfId="1106" priority="743">
      <formula>$E649=1</formula>
    </cfRule>
  </conditionalFormatting>
  <conditionalFormatting sqref="D652 D656:D657">
    <cfRule type="expression" dxfId="1105" priority="728">
      <formula>$E652=8</formula>
    </cfRule>
  </conditionalFormatting>
  <conditionalFormatting sqref="D652 D656:D657">
    <cfRule type="expression" dxfId="1104" priority="729">
      <formula>$E652=7</formula>
    </cfRule>
    <cfRule type="expression" dxfId="1103" priority="730">
      <formula>$E652=6</formula>
    </cfRule>
    <cfRule type="expression" dxfId="1102" priority="731">
      <formula>$E652=5</formula>
    </cfRule>
    <cfRule type="expression" dxfId="1101" priority="732">
      <formula>$E652=4</formula>
    </cfRule>
    <cfRule type="expression" dxfId="1100" priority="733">
      <formula>$E652=3</formula>
    </cfRule>
    <cfRule type="expression" dxfId="1099" priority="734">
      <formula>$E652=2</formula>
    </cfRule>
    <cfRule type="expression" dxfId="1098" priority="735">
      <formula>$E652=1</formula>
    </cfRule>
  </conditionalFormatting>
  <conditionalFormatting sqref="D653">
    <cfRule type="expression" dxfId="1097" priority="720">
      <formula>$E653=8</formula>
    </cfRule>
  </conditionalFormatting>
  <conditionalFormatting sqref="D653">
    <cfRule type="expression" dxfId="1096" priority="721">
      <formula>$E653=7</formula>
    </cfRule>
    <cfRule type="expression" dxfId="1095" priority="722">
      <formula>$E653=6</formula>
    </cfRule>
    <cfRule type="expression" dxfId="1094" priority="723">
      <formula>$E653=5</formula>
    </cfRule>
    <cfRule type="expression" dxfId="1093" priority="724">
      <formula>$E653=4</formula>
    </cfRule>
    <cfRule type="expression" dxfId="1092" priority="725">
      <formula>$E653=3</formula>
    </cfRule>
    <cfRule type="expression" dxfId="1091" priority="726">
      <formula>$E653=2</formula>
    </cfRule>
    <cfRule type="expression" dxfId="1090" priority="727">
      <formula>$E653=1</formula>
    </cfRule>
  </conditionalFormatting>
  <conditionalFormatting sqref="D654">
    <cfRule type="expression" dxfId="1089" priority="712">
      <formula>$E654=8</formula>
    </cfRule>
  </conditionalFormatting>
  <conditionalFormatting sqref="D654">
    <cfRule type="expression" dxfId="1088" priority="713">
      <formula>$E654=7</formula>
    </cfRule>
    <cfRule type="expression" dxfId="1087" priority="714">
      <formula>$E654=6</formula>
    </cfRule>
    <cfRule type="expression" dxfId="1086" priority="715">
      <formula>$E654=5</formula>
    </cfRule>
    <cfRule type="expression" dxfId="1085" priority="716">
      <formula>$E654=4</formula>
    </cfRule>
    <cfRule type="expression" dxfId="1084" priority="717">
      <formula>$E654=3</formula>
    </cfRule>
    <cfRule type="expression" dxfId="1083" priority="718">
      <formula>$E654=2</formula>
    </cfRule>
    <cfRule type="expression" dxfId="1082" priority="719">
      <formula>$E654=1</formula>
    </cfRule>
  </conditionalFormatting>
  <conditionalFormatting sqref="D655">
    <cfRule type="expression" dxfId="1081" priority="704">
      <formula>$E655=8</formula>
    </cfRule>
  </conditionalFormatting>
  <conditionalFormatting sqref="D655">
    <cfRule type="expression" dxfId="1080" priority="705">
      <formula>$E655=7</formula>
    </cfRule>
    <cfRule type="expression" dxfId="1079" priority="706">
      <formula>$E655=6</formula>
    </cfRule>
    <cfRule type="expression" dxfId="1078" priority="707">
      <formula>$E655=5</formula>
    </cfRule>
    <cfRule type="expression" dxfId="1077" priority="708">
      <formula>$E655=4</formula>
    </cfRule>
    <cfRule type="expression" dxfId="1076" priority="709">
      <formula>$E655=3</formula>
    </cfRule>
    <cfRule type="expression" dxfId="1075" priority="710">
      <formula>$E655=2</formula>
    </cfRule>
    <cfRule type="expression" dxfId="1074" priority="711">
      <formula>$E655=1</formula>
    </cfRule>
  </conditionalFormatting>
  <conditionalFormatting sqref="D658 D662:D663">
    <cfRule type="expression" dxfId="1073" priority="696">
      <formula>$E658=8</formula>
    </cfRule>
  </conditionalFormatting>
  <conditionalFormatting sqref="D658 D662:D663">
    <cfRule type="expression" dxfId="1072" priority="697">
      <formula>$E658=7</formula>
    </cfRule>
    <cfRule type="expression" dxfId="1071" priority="698">
      <formula>$E658=6</formula>
    </cfRule>
    <cfRule type="expression" dxfId="1070" priority="699">
      <formula>$E658=5</formula>
    </cfRule>
    <cfRule type="expression" dxfId="1069" priority="700">
      <formula>$E658=4</formula>
    </cfRule>
    <cfRule type="expression" dxfId="1068" priority="701">
      <formula>$E658=3</formula>
    </cfRule>
    <cfRule type="expression" dxfId="1067" priority="702">
      <formula>$E658=2</formula>
    </cfRule>
    <cfRule type="expression" dxfId="1066" priority="703">
      <formula>$E658=1</formula>
    </cfRule>
  </conditionalFormatting>
  <conditionalFormatting sqref="D659">
    <cfRule type="expression" dxfId="1065" priority="688">
      <formula>$E659=8</formula>
    </cfRule>
  </conditionalFormatting>
  <conditionalFormatting sqref="D659">
    <cfRule type="expression" dxfId="1064" priority="689">
      <formula>$E659=7</formula>
    </cfRule>
    <cfRule type="expression" dxfId="1063" priority="690">
      <formula>$E659=6</formula>
    </cfRule>
    <cfRule type="expression" dxfId="1062" priority="691">
      <formula>$E659=5</formula>
    </cfRule>
    <cfRule type="expression" dxfId="1061" priority="692">
      <formula>$E659=4</formula>
    </cfRule>
    <cfRule type="expression" dxfId="1060" priority="693">
      <formula>$E659=3</formula>
    </cfRule>
    <cfRule type="expression" dxfId="1059" priority="694">
      <formula>$E659=2</formula>
    </cfRule>
    <cfRule type="expression" dxfId="1058" priority="695">
      <formula>$E659=1</formula>
    </cfRule>
  </conditionalFormatting>
  <conditionalFormatting sqref="D660">
    <cfRule type="expression" dxfId="1057" priority="680">
      <formula>$E660=8</formula>
    </cfRule>
  </conditionalFormatting>
  <conditionalFormatting sqref="D660">
    <cfRule type="expression" dxfId="1056" priority="681">
      <formula>$E660=7</formula>
    </cfRule>
    <cfRule type="expression" dxfId="1055" priority="682">
      <formula>$E660=6</formula>
    </cfRule>
    <cfRule type="expression" dxfId="1054" priority="683">
      <formula>$E660=5</formula>
    </cfRule>
    <cfRule type="expression" dxfId="1053" priority="684">
      <formula>$E660=4</formula>
    </cfRule>
    <cfRule type="expression" dxfId="1052" priority="685">
      <formula>$E660=3</formula>
    </cfRule>
    <cfRule type="expression" dxfId="1051" priority="686">
      <formula>$E660=2</formula>
    </cfRule>
    <cfRule type="expression" dxfId="1050" priority="687">
      <formula>$E660=1</formula>
    </cfRule>
  </conditionalFormatting>
  <conditionalFormatting sqref="D661">
    <cfRule type="expression" dxfId="1049" priority="672">
      <formula>$E661=8</formula>
    </cfRule>
  </conditionalFormatting>
  <conditionalFormatting sqref="D661">
    <cfRule type="expression" dxfId="1048" priority="673">
      <formula>$E661=7</formula>
    </cfRule>
    <cfRule type="expression" dxfId="1047" priority="674">
      <formula>$E661=6</formula>
    </cfRule>
    <cfRule type="expression" dxfId="1046" priority="675">
      <formula>$E661=5</formula>
    </cfRule>
    <cfRule type="expression" dxfId="1045" priority="676">
      <formula>$E661=4</formula>
    </cfRule>
    <cfRule type="expression" dxfId="1044" priority="677">
      <formula>$E661=3</formula>
    </cfRule>
    <cfRule type="expression" dxfId="1043" priority="678">
      <formula>$E661=2</formula>
    </cfRule>
    <cfRule type="expression" dxfId="1042" priority="679">
      <formula>$E661=1</formula>
    </cfRule>
  </conditionalFormatting>
  <conditionalFormatting sqref="S628:S633">
    <cfRule type="expression" dxfId="1041" priority="664">
      <formula>$E628=8</formula>
    </cfRule>
  </conditionalFormatting>
  <conditionalFormatting sqref="S628:S633">
    <cfRule type="expression" dxfId="1040" priority="665">
      <formula>$E628=7</formula>
    </cfRule>
    <cfRule type="expression" dxfId="1039" priority="666">
      <formula>$E628=6</formula>
    </cfRule>
    <cfRule type="expression" dxfId="1038" priority="667">
      <formula>$E628=5</formula>
    </cfRule>
    <cfRule type="expression" dxfId="1037" priority="668">
      <formula>$E628=4</formula>
    </cfRule>
    <cfRule type="expression" dxfId="1036" priority="669">
      <formula>$E628=3</formula>
    </cfRule>
    <cfRule type="expression" dxfId="1035" priority="670">
      <formula>$E628=2</formula>
    </cfRule>
    <cfRule type="expression" dxfId="1034" priority="671">
      <formula>$E628=1</formula>
    </cfRule>
  </conditionalFormatting>
  <conditionalFormatting sqref="S638:S639">
    <cfRule type="expression" dxfId="1033" priority="632">
      <formula>$E638=8</formula>
    </cfRule>
  </conditionalFormatting>
  <conditionalFormatting sqref="S638:S639">
    <cfRule type="expression" dxfId="1032" priority="633">
      <formula>$E638=7</formula>
    </cfRule>
    <cfRule type="expression" dxfId="1031" priority="634">
      <formula>$E638=6</formula>
    </cfRule>
    <cfRule type="expression" dxfId="1030" priority="635">
      <formula>$E638=5</formula>
    </cfRule>
    <cfRule type="expression" dxfId="1029" priority="636">
      <formula>$E638=4</formula>
    </cfRule>
    <cfRule type="expression" dxfId="1028" priority="637">
      <formula>$E638=3</formula>
    </cfRule>
    <cfRule type="expression" dxfId="1027" priority="638">
      <formula>$E638=2</formula>
    </cfRule>
    <cfRule type="expression" dxfId="1026" priority="639">
      <formula>$E638=1</formula>
    </cfRule>
  </conditionalFormatting>
  <conditionalFormatting sqref="S644:S645">
    <cfRule type="expression" dxfId="1025" priority="600">
      <formula>$E644=8</formula>
    </cfRule>
  </conditionalFormatting>
  <conditionalFormatting sqref="S644:S645">
    <cfRule type="expression" dxfId="1024" priority="601">
      <formula>$E644=7</formula>
    </cfRule>
    <cfRule type="expression" dxfId="1023" priority="602">
      <formula>$E644=6</formula>
    </cfRule>
    <cfRule type="expression" dxfId="1022" priority="603">
      <formula>$E644=5</formula>
    </cfRule>
    <cfRule type="expression" dxfId="1021" priority="604">
      <formula>$E644=4</formula>
    </cfRule>
    <cfRule type="expression" dxfId="1020" priority="605">
      <formula>$E644=3</formula>
    </cfRule>
    <cfRule type="expression" dxfId="1019" priority="606">
      <formula>$E644=2</formula>
    </cfRule>
    <cfRule type="expression" dxfId="1018" priority="607">
      <formula>$E644=1</formula>
    </cfRule>
  </conditionalFormatting>
  <conditionalFormatting sqref="S650:S651">
    <cfRule type="expression" dxfId="1017" priority="568">
      <formula>$E650=8</formula>
    </cfRule>
  </conditionalFormatting>
  <conditionalFormatting sqref="S650:S651">
    <cfRule type="expression" dxfId="1016" priority="569">
      <formula>$E650=7</formula>
    </cfRule>
    <cfRule type="expression" dxfId="1015" priority="570">
      <formula>$E650=6</formula>
    </cfRule>
    <cfRule type="expression" dxfId="1014" priority="571">
      <formula>$E650=5</formula>
    </cfRule>
    <cfRule type="expression" dxfId="1013" priority="572">
      <formula>$E650=4</formula>
    </cfRule>
    <cfRule type="expression" dxfId="1012" priority="573">
      <formula>$E650=3</formula>
    </cfRule>
    <cfRule type="expression" dxfId="1011" priority="574">
      <formula>$E650=2</formula>
    </cfRule>
    <cfRule type="expression" dxfId="1010" priority="575">
      <formula>$E650=1</formula>
    </cfRule>
  </conditionalFormatting>
  <conditionalFormatting sqref="S656:S657">
    <cfRule type="expression" dxfId="1009" priority="536">
      <formula>$E656=8</formula>
    </cfRule>
  </conditionalFormatting>
  <conditionalFormatting sqref="S656:S657">
    <cfRule type="expression" dxfId="1008" priority="537">
      <formula>$E656=7</formula>
    </cfRule>
    <cfRule type="expression" dxfId="1007" priority="538">
      <formula>$E656=6</formula>
    </cfRule>
    <cfRule type="expression" dxfId="1006" priority="539">
      <formula>$E656=5</formula>
    </cfRule>
    <cfRule type="expression" dxfId="1005" priority="540">
      <formula>$E656=4</formula>
    </cfRule>
    <cfRule type="expression" dxfId="1004" priority="541">
      <formula>$E656=3</formula>
    </cfRule>
    <cfRule type="expression" dxfId="1003" priority="542">
      <formula>$E656=2</formula>
    </cfRule>
    <cfRule type="expression" dxfId="1002" priority="543">
      <formula>$E656=1</formula>
    </cfRule>
  </conditionalFormatting>
  <conditionalFormatting sqref="S662:S663">
    <cfRule type="expression" dxfId="1001" priority="504">
      <formula>$E662=8</formula>
    </cfRule>
  </conditionalFormatting>
  <conditionalFormatting sqref="S662:S663">
    <cfRule type="expression" dxfId="1000" priority="505">
      <formula>$E662=7</formula>
    </cfRule>
    <cfRule type="expression" dxfId="999" priority="506">
      <formula>$E662=6</formula>
    </cfRule>
    <cfRule type="expression" dxfId="998" priority="507">
      <formula>$E662=5</formula>
    </cfRule>
    <cfRule type="expression" dxfId="997" priority="508">
      <formula>$E662=4</formula>
    </cfRule>
    <cfRule type="expression" dxfId="996" priority="509">
      <formula>$E662=3</formula>
    </cfRule>
    <cfRule type="expression" dxfId="995" priority="510">
      <formula>$E662=2</formula>
    </cfRule>
    <cfRule type="expression" dxfId="994" priority="511">
      <formula>$E662=1</formula>
    </cfRule>
  </conditionalFormatting>
  <conditionalFormatting sqref="B684:B688">
    <cfRule type="expression" dxfId="993" priority="465">
      <formula>$E684=7</formula>
    </cfRule>
    <cfRule type="expression" dxfId="992" priority="466">
      <formula>$E684=6</formula>
    </cfRule>
    <cfRule type="expression" dxfId="991" priority="467">
      <formula>$E684=5</formula>
    </cfRule>
    <cfRule type="expression" dxfId="990" priority="468">
      <formula>$E684=4</formula>
    </cfRule>
    <cfRule type="expression" dxfId="989" priority="469">
      <formula>$E684=3</formula>
    </cfRule>
    <cfRule type="expression" dxfId="988" priority="470">
      <formula>$E684=2</formula>
    </cfRule>
    <cfRule type="expression" dxfId="987" priority="471">
      <formula>$E684=1</formula>
    </cfRule>
  </conditionalFormatting>
  <conditionalFormatting sqref="B689:B693">
    <cfRule type="expression" dxfId="986" priority="458">
      <formula>$E689=7</formula>
    </cfRule>
    <cfRule type="expression" dxfId="985" priority="459">
      <formula>$E689=6</formula>
    </cfRule>
    <cfRule type="expression" dxfId="984" priority="460">
      <formula>$E689=5</formula>
    </cfRule>
    <cfRule type="expression" dxfId="983" priority="461">
      <formula>$E689=4</formula>
    </cfRule>
    <cfRule type="expression" dxfId="982" priority="462">
      <formula>$E689=3</formula>
    </cfRule>
    <cfRule type="expression" dxfId="981" priority="463">
      <formula>$E689=2</formula>
    </cfRule>
    <cfRule type="expression" dxfId="980" priority="464">
      <formula>$E689=1</formula>
    </cfRule>
  </conditionalFormatting>
  <conditionalFormatting sqref="D664:D667">
    <cfRule type="expression" dxfId="979" priority="450">
      <formula>$E664=8</formula>
    </cfRule>
  </conditionalFormatting>
  <conditionalFormatting sqref="D664:D667">
    <cfRule type="expression" dxfId="978" priority="451">
      <formula>$E664=7</formula>
    </cfRule>
    <cfRule type="expression" dxfId="977" priority="452">
      <formula>$E664=6</formula>
    </cfRule>
    <cfRule type="expression" dxfId="976" priority="453">
      <formula>$E664=5</formula>
    </cfRule>
    <cfRule type="expression" dxfId="975" priority="454">
      <formula>$E664=4</formula>
    </cfRule>
    <cfRule type="expression" dxfId="974" priority="455">
      <formula>$E664=3</formula>
    </cfRule>
    <cfRule type="expression" dxfId="973" priority="456">
      <formula>$E664=2</formula>
    </cfRule>
    <cfRule type="expression" dxfId="972" priority="457">
      <formula>$E664=1</formula>
    </cfRule>
  </conditionalFormatting>
  <conditionalFormatting sqref="D668">
    <cfRule type="expression" dxfId="971" priority="442">
      <formula>$E668=8</formula>
    </cfRule>
  </conditionalFormatting>
  <conditionalFormatting sqref="D668">
    <cfRule type="expression" dxfId="970" priority="443">
      <formula>$E668=7</formula>
    </cfRule>
    <cfRule type="expression" dxfId="969" priority="444">
      <formula>$E668=6</formula>
    </cfRule>
    <cfRule type="expression" dxfId="968" priority="445">
      <formula>$E668=5</formula>
    </cfRule>
    <cfRule type="expression" dxfId="967" priority="446">
      <formula>$E668=4</formula>
    </cfRule>
    <cfRule type="expression" dxfId="966" priority="447">
      <formula>$E668=3</formula>
    </cfRule>
    <cfRule type="expression" dxfId="965" priority="448">
      <formula>$E668=2</formula>
    </cfRule>
    <cfRule type="expression" dxfId="964" priority="449">
      <formula>$E668=1</formula>
    </cfRule>
  </conditionalFormatting>
  <conditionalFormatting sqref="D669:D672">
    <cfRule type="expression" dxfId="963" priority="434">
      <formula>$E669=8</formula>
    </cfRule>
  </conditionalFormatting>
  <conditionalFormatting sqref="D669:D672">
    <cfRule type="expression" dxfId="962" priority="435">
      <formula>$E669=7</formula>
    </cfRule>
    <cfRule type="expression" dxfId="961" priority="436">
      <formula>$E669=6</formula>
    </cfRule>
    <cfRule type="expression" dxfId="960" priority="437">
      <formula>$E669=5</formula>
    </cfRule>
    <cfRule type="expression" dxfId="959" priority="438">
      <formula>$E669=4</formula>
    </cfRule>
    <cfRule type="expression" dxfId="958" priority="439">
      <formula>$E669=3</formula>
    </cfRule>
    <cfRule type="expression" dxfId="957" priority="440">
      <formula>$E669=2</formula>
    </cfRule>
    <cfRule type="expression" dxfId="956" priority="441">
      <formula>$E669=1</formula>
    </cfRule>
  </conditionalFormatting>
  <conditionalFormatting sqref="D673">
    <cfRule type="expression" dxfId="955" priority="426">
      <formula>$E673=8</formula>
    </cfRule>
  </conditionalFormatting>
  <conditionalFormatting sqref="D673">
    <cfRule type="expression" dxfId="954" priority="427">
      <formula>$E673=7</formula>
    </cfRule>
    <cfRule type="expression" dxfId="953" priority="428">
      <formula>$E673=6</formula>
    </cfRule>
    <cfRule type="expression" dxfId="952" priority="429">
      <formula>$E673=5</formula>
    </cfRule>
    <cfRule type="expression" dxfId="951" priority="430">
      <formula>$E673=4</formula>
    </cfRule>
    <cfRule type="expression" dxfId="950" priority="431">
      <formula>$E673=3</formula>
    </cfRule>
    <cfRule type="expression" dxfId="949" priority="432">
      <formula>$E673=2</formula>
    </cfRule>
    <cfRule type="expression" dxfId="948" priority="433">
      <formula>$E673=1</formula>
    </cfRule>
  </conditionalFormatting>
  <conditionalFormatting sqref="D674:D677">
    <cfRule type="expression" dxfId="947" priority="418">
      <formula>$E674=8</formula>
    </cfRule>
  </conditionalFormatting>
  <conditionalFormatting sqref="D674:D677">
    <cfRule type="expression" dxfId="946" priority="419">
      <formula>$E674=7</formula>
    </cfRule>
    <cfRule type="expression" dxfId="945" priority="420">
      <formula>$E674=6</formula>
    </cfRule>
    <cfRule type="expression" dxfId="944" priority="421">
      <formula>$E674=5</formula>
    </cfRule>
    <cfRule type="expression" dxfId="943" priority="422">
      <formula>$E674=4</formula>
    </cfRule>
    <cfRule type="expression" dxfId="942" priority="423">
      <formula>$E674=3</formula>
    </cfRule>
    <cfRule type="expression" dxfId="941" priority="424">
      <formula>$E674=2</formula>
    </cfRule>
    <cfRule type="expression" dxfId="940" priority="425">
      <formula>$E674=1</formula>
    </cfRule>
  </conditionalFormatting>
  <conditionalFormatting sqref="D678">
    <cfRule type="expression" dxfId="939" priority="410">
      <formula>$E678=8</formula>
    </cfRule>
  </conditionalFormatting>
  <conditionalFormatting sqref="D678">
    <cfRule type="expression" dxfId="938" priority="411">
      <formula>$E678=7</formula>
    </cfRule>
    <cfRule type="expression" dxfId="937" priority="412">
      <formula>$E678=6</formula>
    </cfRule>
    <cfRule type="expression" dxfId="936" priority="413">
      <formula>$E678=5</formula>
    </cfRule>
    <cfRule type="expression" dxfId="935" priority="414">
      <formula>$E678=4</formula>
    </cfRule>
    <cfRule type="expression" dxfId="934" priority="415">
      <formula>$E678=3</formula>
    </cfRule>
    <cfRule type="expression" dxfId="933" priority="416">
      <formula>$E678=2</formula>
    </cfRule>
    <cfRule type="expression" dxfId="932" priority="417">
      <formula>$E678=1</formula>
    </cfRule>
  </conditionalFormatting>
  <conditionalFormatting sqref="D679:D682">
    <cfRule type="expression" dxfId="931" priority="402">
      <formula>$E679=8</formula>
    </cfRule>
  </conditionalFormatting>
  <conditionalFormatting sqref="D679:D682">
    <cfRule type="expression" dxfId="930" priority="403">
      <formula>$E679=7</formula>
    </cfRule>
    <cfRule type="expression" dxfId="929" priority="404">
      <formula>$E679=6</formula>
    </cfRule>
    <cfRule type="expression" dxfId="928" priority="405">
      <formula>$E679=5</formula>
    </cfRule>
    <cfRule type="expression" dxfId="927" priority="406">
      <formula>$E679=4</formula>
    </cfRule>
    <cfRule type="expression" dxfId="926" priority="407">
      <formula>$E679=3</formula>
    </cfRule>
    <cfRule type="expression" dxfId="925" priority="408">
      <formula>$E679=2</formula>
    </cfRule>
    <cfRule type="expression" dxfId="924" priority="409">
      <formula>$E679=1</formula>
    </cfRule>
  </conditionalFormatting>
  <conditionalFormatting sqref="D683">
    <cfRule type="expression" dxfId="923" priority="394">
      <formula>$E683=8</formula>
    </cfRule>
  </conditionalFormatting>
  <conditionalFormatting sqref="D683">
    <cfRule type="expression" dxfId="922" priority="395">
      <formula>$E683=7</formula>
    </cfRule>
    <cfRule type="expression" dxfId="921" priority="396">
      <formula>$E683=6</formula>
    </cfRule>
    <cfRule type="expression" dxfId="920" priority="397">
      <formula>$E683=5</formula>
    </cfRule>
    <cfRule type="expression" dxfId="919" priority="398">
      <formula>$E683=4</formula>
    </cfRule>
    <cfRule type="expression" dxfId="918" priority="399">
      <formula>$E683=3</formula>
    </cfRule>
    <cfRule type="expression" dxfId="917" priority="400">
      <formula>$E683=2</formula>
    </cfRule>
    <cfRule type="expression" dxfId="916" priority="401">
      <formula>$E683=1</formula>
    </cfRule>
  </conditionalFormatting>
  <conditionalFormatting sqref="D684:D687">
    <cfRule type="expression" dxfId="915" priority="386">
      <formula>$E684=8</formula>
    </cfRule>
  </conditionalFormatting>
  <conditionalFormatting sqref="D684:D687">
    <cfRule type="expression" dxfId="914" priority="387">
      <formula>$E684=7</formula>
    </cfRule>
    <cfRule type="expression" dxfId="913" priority="388">
      <formula>$E684=6</formula>
    </cfRule>
    <cfRule type="expression" dxfId="912" priority="389">
      <formula>$E684=5</formula>
    </cfRule>
    <cfRule type="expression" dxfId="911" priority="390">
      <formula>$E684=4</formula>
    </cfRule>
    <cfRule type="expression" dxfId="910" priority="391">
      <formula>$E684=3</formula>
    </cfRule>
    <cfRule type="expression" dxfId="909" priority="392">
      <formula>$E684=2</formula>
    </cfRule>
    <cfRule type="expression" dxfId="908" priority="393">
      <formula>$E684=1</formula>
    </cfRule>
  </conditionalFormatting>
  <conditionalFormatting sqref="D688">
    <cfRule type="expression" dxfId="907" priority="378">
      <formula>$E688=8</formula>
    </cfRule>
  </conditionalFormatting>
  <conditionalFormatting sqref="D688">
    <cfRule type="expression" dxfId="906" priority="379">
      <formula>$E688=7</formula>
    </cfRule>
    <cfRule type="expression" dxfId="905" priority="380">
      <formula>$E688=6</formula>
    </cfRule>
    <cfRule type="expression" dxfId="904" priority="381">
      <formula>$E688=5</formula>
    </cfRule>
    <cfRule type="expression" dxfId="903" priority="382">
      <formula>$E688=4</formula>
    </cfRule>
    <cfRule type="expression" dxfId="902" priority="383">
      <formula>$E688=3</formula>
    </cfRule>
    <cfRule type="expression" dxfId="901" priority="384">
      <formula>$E688=2</formula>
    </cfRule>
    <cfRule type="expression" dxfId="900" priority="385">
      <formula>$E688=1</formula>
    </cfRule>
  </conditionalFormatting>
  <conditionalFormatting sqref="D689:D692">
    <cfRule type="expression" dxfId="899" priority="370">
      <formula>$E689=8</formula>
    </cfRule>
  </conditionalFormatting>
  <conditionalFormatting sqref="D689:D692">
    <cfRule type="expression" dxfId="898" priority="371">
      <formula>$E689=7</formula>
    </cfRule>
    <cfRule type="expression" dxfId="897" priority="372">
      <formula>$E689=6</formula>
    </cfRule>
    <cfRule type="expression" dxfId="896" priority="373">
      <formula>$E689=5</formula>
    </cfRule>
    <cfRule type="expression" dxfId="895" priority="374">
      <formula>$E689=4</formula>
    </cfRule>
    <cfRule type="expression" dxfId="894" priority="375">
      <formula>$E689=3</formula>
    </cfRule>
    <cfRule type="expression" dxfId="893" priority="376">
      <formula>$E689=2</formula>
    </cfRule>
    <cfRule type="expression" dxfId="892" priority="377">
      <formula>$E689=1</formula>
    </cfRule>
  </conditionalFormatting>
  <conditionalFormatting sqref="D693">
    <cfRule type="expression" dxfId="891" priority="362">
      <formula>$E693=8</formula>
    </cfRule>
  </conditionalFormatting>
  <conditionalFormatting sqref="D693">
    <cfRule type="expression" dxfId="890" priority="363">
      <formula>$E693=7</formula>
    </cfRule>
    <cfRule type="expression" dxfId="889" priority="364">
      <formula>$E693=6</formula>
    </cfRule>
    <cfRule type="expression" dxfId="888" priority="365">
      <formula>$E693=5</formula>
    </cfRule>
    <cfRule type="expression" dxfId="887" priority="366">
      <formula>$E693=4</formula>
    </cfRule>
    <cfRule type="expression" dxfId="886" priority="367">
      <formula>$E693=3</formula>
    </cfRule>
    <cfRule type="expression" dxfId="885" priority="368">
      <formula>$E693=2</formula>
    </cfRule>
    <cfRule type="expression" dxfId="884" priority="369">
      <formula>$E693=1</formula>
    </cfRule>
  </conditionalFormatting>
  <conditionalFormatting sqref="J664:J667">
    <cfRule type="expression" dxfId="883" priority="354">
      <formula>$E664=8</formula>
    </cfRule>
  </conditionalFormatting>
  <conditionalFormatting sqref="J664:J667">
    <cfRule type="expression" dxfId="882" priority="355">
      <formula>$E664=7</formula>
    </cfRule>
    <cfRule type="expression" dxfId="881" priority="356">
      <formula>$E664=6</formula>
    </cfRule>
    <cfRule type="expression" dxfId="880" priority="357">
      <formula>$E664=5</formula>
    </cfRule>
    <cfRule type="expression" dxfId="879" priority="358">
      <formula>$E664=4</formula>
    </cfRule>
    <cfRule type="expression" dxfId="878" priority="359">
      <formula>$E664=3</formula>
    </cfRule>
    <cfRule type="expression" dxfId="877" priority="360">
      <formula>$E664=2</formula>
    </cfRule>
    <cfRule type="expression" dxfId="876" priority="361">
      <formula>$E664=1</formula>
    </cfRule>
  </conditionalFormatting>
  <conditionalFormatting sqref="J668">
    <cfRule type="expression" dxfId="875" priority="346">
      <formula>$E668=8</formula>
    </cfRule>
  </conditionalFormatting>
  <conditionalFormatting sqref="J668">
    <cfRule type="expression" dxfId="874" priority="347">
      <formula>$E668=7</formula>
    </cfRule>
    <cfRule type="expression" dxfId="873" priority="348">
      <formula>$E668=6</formula>
    </cfRule>
    <cfRule type="expression" dxfId="872" priority="349">
      <formula>$E668=5</formula>
    </cfRule>
    <cfRule type="expression" dxfId="871" priority="350">
      <formula>$E668=4</formula>
    </cfRule>
    <cfRule type="expression" dxfId="870" priority="351">
      <formula>$E668=3</formula>
    </cfRule>
    <cfRule type="expression" dxfId="869" priority="352">
      <formula>$E668=2</formula>
    </cfRule>
    <cfRule type="expression" dxfId="868" priority="353">
      <formula>$E668=1</formula>
    </cfRule>
  </conditionalFormatting>
  <conditionalFormatting sqref="J669:J672">
    <cfRule type="expression" dxfId="867" priority="338">
      <formula>$E669=8</formula>
    </cfRule>
  </conditionalFormatting>
  <conditionalFormatting sqref="J669:J672">
    <cfRule type="expression" dxfId="866" priority="339">
      <formula>$E669=7</formula>
    </cfRule>
    <cfRule type="expression" dxfId="865" priority="340">
      <formula>$E669=6</formula>
    </cfRule>
    <cfRule type="expression" dxfId="864" priority="341">
      <formula>$E669=5</formula>
    </cfRule>
    <cfRule type="expression" dxfId="863" priority="342">
      <formula>$E669=4</formula>
    </cfRule>
    <cfRule type="expression" dxfId="862" priority="343">
      <formula>$E669=3</formula>
    </cfRule>
    <cfRule type="expression" dxfId="861" priority="344">
      <formula>$E669=2</formula>
    </cfRule>
    <cfRule type="expression" dxfId="860" priority="345">
      <formula>$E669=1</formula>
    </cfRule>
  </conditionalFormatting>
  <conditionalFormatting sqref="J673">
    <cfRule type="expression" dxfId="859" priority="330">
      <formula>$E673=8</formula>
    </cfRule>
  </conditionalFormatting>
  <conditionalFormatting sqref="J673">
    <cfRule type="expression" dxfId="858" priority="331">
      <formula>$E673=7</formula>
    </cfRule>
    <cfRule type="expression" dxfId="857" priority="332">
      <formula>$E673=6</formula>
    </cfRule>
    <cfRule type="expression" dxfId="856" priority="333">
      <formula>$E673=5</formula>
    </cfRule>
    <cfRule type="expression" dxfId="855" priority="334">
      <formula>$E673=4</formula>
    </cfRule>
    <cfRule type="expression" dxfId="854" priority="335">
      <formula>$E673=3</formula>
    </cfRule>
    <cfRule type="expression" dxfId="853" priority="336">
      <formula>$E673=2</formula>
    </cfRule>
    <cfRule type="expression" dxfId="852" priority="337">
      <formula>$E673=1</formula>
    </cfRule>
  </conditionalFormatting>
  <conditionalFormatting sqref="J674:J677">
    <cfRule type="expression" dxfId="851" priority="322">
      <formula>$E674=8</formula>
    </cfRule>
  </conditionalFormatting>
  <conditionalFormatting sqref="J674:J677">
    <cfRule type="expression" dxfId="850" priority="323">
      <formula>$E674=7</formula>
    </cfRule>
    <cfRule type="expression" dxfId="849" priority="324">
      <formula>$E674=6</formula>
    </cfRule>
    <cfRule type="expression" dxfId="848" priority="325">
      <formula>$E674=5</formula>
    </cfRule>
    <cfRule type="expression" dxfId="847" priority="326">
      <formula>$E674=4</formula>
    </cfRule>
    <cfRule type="expression" dxfId="846" priority="327">
      <formula>$E674=3</formula>
    </cfRule>
    <cfRule type="expression" dxfId="845" priority="328">
      <formula>$E674=2</formula>
    </cfRule>
    <cfRule type="expression" dxfId="844" priority="329">
      <formula>$E674=1</formula>
    </cfRule>
  </conditionalFormatting>
  <conditionalFormatting sqref="J678">
    <cfRule type="expression" dxfId="843" priority="314">
      <formula>$E678=8</formula>
    </cfRule>
  </conditionalFormatting>
  <conditionalFormatting sqref="J678">
    <cfRule type="expression" dxfId="842" priority="315">
      <formula>$E678=7</formula>
    </cfRule>
    <cfRule type="expression" dxfId="841" priority="316">
      <formula>$E678=6</formula>
    </cfRule>
    <cfRule type="expression" dxfId="840" priority="317">
      <formula>$E678=5</formula>
    </cfRule>
    <cfRule type="expression" dxfId="839" priority="318">
      <formula>$E678=4</formula>
    </cfRule>
    <cfRule type="expression" dxfId="838" priority="319">
      <formula>$E678=3</formula>
    </cfRule>
    <cfRule type="expression" dxfId="837" priority="320">
      <formula>$E678=2</formula>
    </cfRule>
    <cfRule type="expression" dxfId="836" priority="321">
      <formula>$E678=1</formula>
    </cfRule>
  </conditionalFormatting>
  <conditionalFormatting sqref="J679:J682">
    <cfRule type="expression" dxfId="835" priority="306">
      <formula>$E679=8</formula>
    </cfRule>
  </conditionalFormatting>
  <conditionalFormatting sqref="J679:J682">
    <cfRule type="expression" dxfId="834" priority="307">
      <formula>$E679=7</formula>
    </cfRule>
    <cfRule type="expression" dxfId="833" priority="308">
      <formula>$E679=6</formula>
    </cfRule>
    <cfRule type="expression" dxfId="832" priority="309">
      <formula>$E679=5</formula>
    </cfRule>
    <cfRule type="expression" dxfId="831" priority="310">
      <formula>$E679=4</formula>
    </cfRule>
    <cfRule type="expression" dxfId="830" priority="311">
      <formula>$E679=3</formula>
    </cfRule>
    <cfRule type="expression" dxfId="829" priority="312">
      <formula>$E679=2</formula>
    </cfRule>
    <cfRule type="expression" dxfId="828" priority="313">
      <formula>$E679=1</formula>
    </cfRule>
  </conditionalFormatting>
  <conditionalFormatting sqref="J683">
    <cfRule type="expression" dxfId="827" priority="298">
      <formula>$E683=8</formula>
    </cfRule>
  </conditionalFormatting>
  <conditionalFormatting sqref="J683">
    <cfRule type="expression" dxfId="826" priority="299">
      <formula>$E683=7</formula>
    </cfRule>
    <cfRule type="expression" dxfId="825" priority="300">
      <formula>$E683=6</formula>
    </cfRule>
    <cfRule type="expression" dxfId="824" priority="301">
      <formula>$E683=5</formula>
    </cfRule>
    <cfRule type="expression" dxfId="823" priority="302">
      <formula>$E683=4</formula>
    </cfRule>
    <cfRule type="expression" dxfId="822" priority="303">
      <formula>$E683=3</formula>
    </cfRule>
    <cfRule type="expression" dxfId="821" priority="304">
      <formula>$E683=2</formula>
    </cfRule>
    <cfRule type="expression" dxfId="820" priority="305">
      <formula>$E683=1</formula>
    </cfRule>
  </conditionalFormatting>
  <conditionalFormatting sqref="J684:J687">
    <cfRule type="expression" dxfId="819" priority="290">
      <formula>$E684=8</formula>
    </cfRule>
  </conditionalFormatting>
  <conditionalFormatting sqref="J684:J687">
    <cfRule type="expression" dxfId="818" priority="291">
      <formula>$E684=7</formula>
    </cfRule>
    <cfRule type="expression" dxfId="817" priority="292">
      <formula>$E684=6</formula>
    </cfRule>
    <cfRule type="expression" dxfId="816" priority="293">
      <formula>$E684=5</formula>
    </cfRule>
    <cfRule type="expression" dxfId="815" priority="294">
      <formula>$E684=4</formula>
    </cfRule>
    <cfRule type="expression" dxfId="814" priority="295">
      <formula>$E684=3</formula>
    </cfRule>
    <cfRule type="expression" dxfId="813" priority="296">
      <formula>$E684=2</formula>
    </cfRule>
    <cfRule type="expression" dxfId="812" priority="297">
      <formula>$E684=1</formula>
    </cfRule>
  </conditionalFormatting>
  <conditionalFormatting sqref="J688">
    <cfRule type="expression" dxfId="811" priority="282">
      <formula>$E688=8</formula>
    </cfRule>
  </conditionalFormatting>
  <conditionalFormatting sqref="J688">
    <cfRule type="expression" dxfId="810" priority="283">
      <formula>$E688=7</formula>
    </cfRule>
    <cfRule type="expression" dxfId="809" priority="284">
      <formula>$E688=6</formula>
    </cfRule>
    <cfRule type="expression" dxfId="808" priority="285">
      <formula>$E688=5</formula>
    </cfRule>
    <cfRule type="expression" dxfId="807" priority="286">
      <formula>$E688=4</formula>
    </cfRule>
    <cfRule type="expression" dxfId="806" priority="287">
      <formula>$E688=3</formula>
    </cfRule>
    <cfRule type="expression" dxfId="805" priority="288">
      <formula>$E688=2</formula>
    </cfRule>
    <cfRule type="expression" dxfId="804" priority="289">
      <formula>$E688=1</formula>
    </cfRule>
  </conditionalFormatting>
  <conditionalFormatting sqref="J689:J692">
    <cfRule type="expression" dxfId="803" priority="274">
      <formula>$E689=8</formula>
    </cfRule>
  </conditionalFormatting>
  <conditionalFormatting sqref="J689:J692">
    <cfRule type="expression" dxfId="802" priority="275">
      <formula>$E689=7</formula>
    </cfRule>
    <cfRule type="expression" dxfId="801" priority="276">
      <formula>$E689=6</formula>
    </cfRule>
    <cfRule type="expression" dxfId="800" priority="277">
      <formula>$E689=5</formula>
    </cfRule>
    <cfRule type="expression" dxfId="799" priority="278">
      <formula>$E689=4</formula>
    </cfRule>
    <cfRule type="expression" dxfId="798" priority="279">
      <formula>$E689=3</formula>
    </cfRule>
    <cfRule type="expression" dxfId="797" priority="280">
      <formula>$E689=2</formula>
    </cfRule>
    <cfRule type="expression" dxfId="796" priority="281">
      <formula>$E689=1</formula>
    </cfRule>
  </conditionalFormatting>
  <conditionalFormatting sqref="J693">
    <cfRule type="expression" dxfId="795" priority="266">
      <formula>$E693=8</formula>
    </cfRule>
  </conditionalFormatting>
  <conditionalFormatting sqref="J693">
    <cfRule type="expression" dxfId="794" priority="267">
      <formula>$E693=7</formula>
    </cfRule>
    <cfRule type="expression" dxfId="793" priority="268">
      <formula>$E693=6</formula>
    </cfRule>
    <cfRule type="expression" dxfId="792" priority="269">
      <formula>$E693=5</formula>
    </cfRule>
    <cfRule type="expression" dxfId="791" priority="270">
      <formula>$E693=4</formula>
    </cfRule>
    <cfRule type="expression" dxfId="790" priority="271">
      <formula>$E693=3</formula>
    </cfRule>
    <cfRule type="expression" dxfId="789" priority="272">
      <formula>$E693=2</formula>
    </cfRule>
    <cfRule type="expression" dxfId="788" priority="273">
      <formula>$E693=1</formula>
    </cfRule>
  </conditionalFormatting>
  <conditionalFormatting sqref="J604:J609">
    <cfRule type="expression" dxfId="787" priority="242">
      <formula>$E604=8</formula>
    </cfRule>
  </conditionalFormatting>
  <conditionalFormatting sqref="J604:J609">
    <cfRule type="expression" dxfId="786" priority="243">
      <formula>$E604=7</formula>
    </cfRule>
    <cfRule type="expression" dxfId="785" priority="244">
      <formula>$E604=6</formula>
    </cfRule>
    <cfRule type="expression" dxfId="784" priority="245">
      <formula>$E604=5</formula>
    </cfRule>
    <cfRule type="expression" dxfId="783" priority="246">
      <formula>$E604=4</formula>
    </cfRule>
    <cfRule type="expression" dxfId="782" priority="247">
      <formula>$E604=3</formula>
    </cfRule>
    <cfRule type="expression" dxfId="781" priority="248">
      <formula>$E604=2</formula>
    </cfRule>
    <cfRule type="expression" dxfId="780" priority="249">
      <formula>$E604=1</formula>
    </cfRule>
  </conditionalFormatting>
  <conditionalFormatting sqref="K708:K719">
    <cfRule type="expression" dxfId="779" priority="234">
      <formula>$E708=8</formula>
    </cfRule>
  </conditionalFormatting>
  <conditionalFormatting sqref="K708:K719">
    <cfRule type="expression" dxfId="778" priority="235">
      <formula>$E708=7</formula>
    </cfRule>
    <cfRule type="expression" dxfId="777" priority="236">
      <formula>$E708=6</formula>
    </cfRule>
    <cfRule type="expression" dxfId="776" priority="237">
      <formula>$E708=5</formula>
    </cfRule>
    <cfRule type="expression" dxfId="775" priority="238">
      <formula>$E708=4</formula>
    </cfRule>
    <cfRule type="expression" dxfId="774" priority="239">
      <formula>$E708=3</formula>
    </cfRule>
    <cfRule type="expression" dxfId="773" priority="240">
      <formula>$E708=2</formula>
    </cfRule>
    <cfRule type="expression" dxfId="772" priority="241">
      <formula>$E708=1</formula>
    </cfRule>
  </conditionalFormatting>
  <conditionalFormatting sqref="O734:O736 O742:O746 O725:O730 O708:O723">
    <cfRule type="expression" dxfId="771" priority="218">
      <formula>$E708=8</formula>
    </cfRule>
  </conditionalFormatting>
  <conditionalFormatting sqref="O734:O736 O742:O746 O725:O730">
    <cfRule type="expression" dxfId="770" priority="219">
      <formula>$E725=7</formula>
    </cfRule>
    <cfRule type="expression" dxfId="769" priority="220">
      <formula>$E725=6</formula>
    </cfRule>
    <cfRule type="expression" dxfId="768" priority="221">
      <formula>$E725=5</formula>
    </cfRule>
    <cfRule type="expression" dxfId="767" priority="222">
      <formula>$E725=4</formula>
    </cfRule>
    <cfRule type="expression" dxfId="766" priority="223">
      <formula>$E725=3</formula>
    </cfRule>
    <cfRule type="expression" dxfId="765" priority="224">
      <formula>$E725=2</formula>
    </cfRule>
    <cfRule type="expression" dxfId="764" priority="225">
      <formula>$E725=1</formula>
    </cfRule>
  </conditionalFormatting>
  <conditionalFormatting sqref="O724">
    <cfRule type="expression" dxfId="763" priority="210">
      <formula>$E724=8</formula>
    </cfRule>
  </conditionalFormatting>
  <conditionalFormatting sqref="O724">
    <cfRule type="expression" dxfId="762" priority="211">
      <formula>$E724=7</formula>
    </cfRule>
    <cfRule type="expression" dxfId="761" priority="212">
      <formula>$E724=6</formula>
    </cfRule>
    <cfRule type="expression" dxfId="760" priority="213">
      <formula>$E724=5</formula>
    </cfRule>
    <cfRule type="expression" dxfId="759" priority="214">
      <formula>$E724=4</formula>
    </cfRule>
    <cfRule type="expression" dxfId="758" priority="215">
      <formula>$E724=3</formula>
    </cfRule>
    <cfRule type="expression" dxfId="757" priority="216">
      <formula>$E724=2</formula>
    </cfRule>
    <cfRule type="expression" dxfId="756" priority="217">
      <formula>$E724=1</formula>
    </cfRule>
  </conditionalFormatting>
  <conditionalFormatting sqref="O731">
    <cfRule type="expression" dxfId="755" priority="202">
      <formula>$E731=8</formula>
    </cfRule>
  </conditionalFormatting>
  <conditionalFormatting sqref="O731">
    <cfRule type="expression" dxfId="754" priority="203">
      <formula>$E731=7</formula>
    </cfRule>
    <cfRule type="expression" dxfId="753" priority="204">
      <formula>$E731=6</formula>
    </cfRule>
    <cfRule type="expression" dxfId="752" priority="205">
      <formula>$E731=5</formula>
    </cfRule>
    <cfRule type="expression" dxfId="751" priority="206">
      <formula>$E731=4</formula>
    </cfRule>
    <cfRule type="expression" dxfId="750" priority="207">
      <formula>$E731=3</formula>
    </cfRule>
    <cfRule type="expression" dxfId="749" priority="208">
      <formula>$E731=2</formula>
    </cfRule>
    <cfRule type="expression" dxfId="748" priority="209">
      <formula>$E731=1</formula>
    </cfRule>
  </conditionalFormatting>
  <conditionalFormatting sqref="O732">
    <cfRule type="expression" dxfId="747" priority="194">
      <formula>$E732=8</formula>
    </cfRule>
  </conditionalFormatting>
  <conditionalFormatting sqref="O732">
    <cfRule type="expression" dxfId="746" priority="195">
      <formula>$E732=7</formula>
    </cfRule>
    <cfRule type="expression" dxfId="745" priority="196">
      <formula>$E732=6</formula>
    </cfRule>
    <cfRule type="expression" dxfId="744" priority="197">
      <formula>$E732=5</formula>
    </cfRule>
    <cfRule type="expression" dxfId="743" priority="198">
      <formula>$E732=4</formula>
    </cfRule>
    <cfRule type="expression" dxfId="742" priority="199">
      <formula>$E732=3</formula>
    </cfRule>
    <cfRule type="expression" dxfId="741" priority="200">
      <formula>$E732=2</formula>
    </cfRule>
    <cfRule type="expression" dxfId="740" priority="201">
      <formula>$E732=1</formula>
    </cfRule>
  </conditionalFormatting>
  <conditionalFormatting sqref="O733">
    <cfRule type="expression" dxfId="739" priority="186">
      <formula>$E733=8</formula>
    </cfRule>
  </conditionalFormatting>
  <conditionalFormatting sqref="O733">
    <cfRule type="expression" dxfId="738" priority="187">
      <formula>$E733=7</formula>
    </cfRule>
    <cfRule type="expression" dxfId="737" priority="188">
      <formula>$E733=6</formula>
    </cfRule>
    <cfRule type="expression" dxfId="736" priority="189">
      <formula>$E733=5</formula>
    </cfRule>
    <cfRule type="expression" dxfId="735" priority="190">
      <formula>$E733=4</formula>
    </cfRule>
    <cfRule type="expression" dxfId="734" priority="191">
      <formula>$E733=3</formula>
    </cfRule>
    <cfRule type="expression" dxfId="733" priority="192">
      <formula>$E733=2</formula>
    </cfRule>
    <cfRule type="expression" dxfId="732" priority="193">
      <formula>$E733=1</formula>
    </cfRule>
  </conditionalFormatting>
  <conditionalFormatting sqref="O737:O740">
    <cfRule type="expression" dxfId="731" priority="178">
      <formula>$E737=8</formula>
    </cfRule>
  </conditionalFormatting>
  <conditionalFormatting sqref="O737:O740">
    <cfRule type="expression" dxfId="730" priority="179">
      <formula>$E737=7</formula>
    </cfRule>
    <cfRule type="expression" dxfId="729" priority="180">
      <formula>$E737=6</formula>
    </cfRule>
    <cfRule type="expression" dxfId="728" priority="181">
      <formula>$E737=5</formula>
    </cfRule>
    <cfRule type="expression" dxfId="727" priority="182">
      <formula>$E737=4</formula>
    </cfRule>
    <cfRule type="expression" dxfId="726" priority="183">
      <formula>$E737=3</formula>
    </cfRule>
    <cfRule type="expression" dxfId="725" priority="184">
      <formula>$E737=2</formula>
    </cfRule>
    <cfRule type="expression" dxfId="724" priority="185">
      <formula>$E737=1</formula>
    </cfRule>
  </conditionalFormatting>
  <conditionalFormatting sqref="O741">
    <cfRule type="expression" dxfId="723" priority="170">
      <formula>$E741=8</formula>
    </cfRule>
  </conditionalFormatting>
  <conditionalFormatting sqref="O741">
    <cfRule type="expression" dxfId="722" priority="171">
      <formula>$E741=7</formula>
    </cfRule>
    <cfRule type="expression" dxfId="721" priority="172">
      <formula>$E741=6</formula>
    </cfRule>
    <cfRule type="expression" dxfId="720" priority="173">
      <formula>$E741=5</formula>
    </cfRule>
    <cfRule type="expression" dxfId="719" priority="174">
      <formula>$E741=4</formula>
    </cfRule>
    <cfRule type="expression" dxfId="718" priority="175">
      <formula>$E741=3</formula>
    </cfRule>
    <cfRule type="expression" dxfId="717" priority="176">
      <formula>$E741=2</formula>
    </cfRule>
    <cfRule type="expression" dxfId="716" priority="177">
      <formula>$E741=1</formula>
    </cfRule>
  </conditionalFormatting>
  <conditionalFormatting sqref="E44:H55 Q48:S55 AG44:AG55 W44:X55 AA44:AC55 J44:N55 Q44:R47">
    <cfRule type="expression" dxfId="715" priority="154">
      <formula>$E44=8</formula>
    </cfRule>
  </conditionalFormatting>
  <conditionalFormatting sqref="A44:H55 AG44:AG55 W44:X55 AA44:AC55 Q48:S55 J44:O55 Q44:R47">
    <cfRule type="expression" dxfId="714" priority="155">
      <formula>$E44=7</formula>
    </cfRule>
    <cfRule type="expression" dxfId="713" priority="156">
      <formula>$E44=6</formula>
    </cfRule>
    <cfRule type="expression" dxfId="712" priority="157">
      <formula>$E44=5</formula>
    </cfRule>
    <cfRule type="expression" dxfId="711" priority="158">
      <formula>$E44=4</formula>
    </cfRule>
    <cfRule type="expression" dxfId="710" priority="159">
      <formula>$E44=3</formula>
    </cfRule>
    <cfRule type="expression" dxfId="709" priority="160">
      <formula>$E44=2</formula>
    </cfRule>
    <cfRule type="expression" dxfId="708" priority="161">
      <formula>$E44=1</formula>
    </cfRule>
  </conditionalFormatting>
  <conditionalFormatting sqref="E56:H57 Q56:S57 AG56:AG57 W56:X57 AA56:AC57 J56:N57">
    <cfRule type="expression" dxfId="707" priority="146">
      <formula>$E56=8</formula>
    </cfRule>
  </conditionalFormatting>
  <conditionalFormatting sqref="A56:H57 AG56:AG57 W56:X57 AA56:AC57 Q56:S57 J56:O57">
    <cfRule type="expression" dxfId="706" priority="147">
      <formula>$E56=7</formula>
    </cfRule>
    <cfRule type="expression" dxfId="705" priority="148">
      <formula>$E56=6</formula>
    </cfRule>
    <cfRule type="expression" dxfId="704" priority="149">
      <formula>$E56=5</formula>
    </cfRule>
    <cfRule type="expression" dxfId="703" priority="150">
      <formula>$E56=4</formula>
    </cfRule>
    <cfRule type="expression" dxfId="702" priority="151">
      <formula>$E56=3</formula>
    </cfRule>
    <cfRule type="expression" dxfId="701" priority="152">
      <formula>$E56=2</formula>
    </cfRule>
    <cfRule type="expression" dxfId="700" priority="153">
      <formula>$E56=1</formula>
    </cfRule>
  </conditionalFormatting>
  <conditionalFormatting sqref="E82:H85 Q82:S85 Q87:S94 E87:H94 J87:N94 J82:N85 AG87:AG94 AG82:AG85 W87:X94 W82:X85 AA82:AC85 AA87:AC94">
    <cfRule type="expression" dxfId="699" priority="138">
      <formula>$E82=8</formula>
    </cfRule>
  </conditionalFormatting>
  <conditionalFormatting sqref="A82:H85 A87:H94 J87:O94 J82:O85 AG87:AG94 AG82:AG85 W82:X85 W87:X94 AA87:AC94 AA82:AC85 Q82:S85 Q87:S94">
    <cfRule type="expression" dxfId="698" priority="139">
      <formula>$E82=7</formula>
    </cfRule>
    <cfRule type="expression" dxfId="697" priority="140">
      <formula>$E82=6</formula>
    </cfRule>
    <cfRule type="expression" dxfId="696" priority="141">
      <formula>$E82=5</formula>
    </cfRule>
    <cfRule type="expression" dxfId="695" priority="142">
      <formula>$E82=4</formula>
    </cfRule>
    <cfRule type="expression" dxfId="694" priority="143">
      <formula>$E82=3</formula>
    </cfRule>
    <cfRule type="expression" dxfId="693" priority="144">
      <formula>$E82=2</formula>
    </cfRule>
    <cfRule type="expression" dxfId="692" priority="145">
      <formula>$E82=1</formula>
    </cfRule>
  </conditionalFormatting>
  <conditionalFormatting sqref="AA120:AC131 W120:X131 AG120:AG131 E120:H131 Q120:S131 J120:N131">
    <cfRule type="expression" dxfId="691" priority="130">
      <formula>$E120=8</formula>
    </cfRule>
  </conditionalFormatting>
  <conditionalFormatting sqref="Q120:S131 AA120:AC131 W120:X131 AG120:AG131 A120:H131 J120:O131">
    <cfRule type="expression" dxfId="690" priority="131">
      <formula>$E120=7</formula>
    </cfRule>
    <cfRule type="expression" dxfId="689" priority="132">
      <formula>$E120=6</formula>
    </cfRule>
    <cfRule type="expression" dxfId="688" priority="133">
      <formula>$E120=5</formula>
    </cfRule>
    <cfRule type="expression" dxfId="687" priority="134">
      <formula>$E120=4</formula>
    </cfRule>
    <cfRule type="expression" dxfId="686" priority="135">
      <formula>$E120=3</formula>
    </cfRule>
    <cfRule type="expression" dxfId="685" priority="136">
      <formula>$E120=2</formula>
    </cfRule>
    <cfRule type="expression" dxfId="684" priority="137">
      <formula>$E120=1</formula>
    </cfRule>
  </conditionalFormatting>
  <conditionalFormatting sqref="E132:H132 Q132:S132 AG132 W132:X132 AA132:AC132 J132:M132">
    <cfRule type="expression" dxfId="683" priority="122">
      <formula>$E132=8</formula>
    </cfRule>
  </conditionalFormatting>
  <conditionalFormatting sqref="A132:H132 O132 AG132 W132:X132 AA132:AC132 Q132:S132 J132:M132">
    <cfRule type="expression" dxfId="682" priority="123">
      <formula>$E132=7</formula>
    </cfRule>
    <cfRule type="expression" dxfId="681" priority="124">
      <formula>$E132=6</formula>
    </cfRule>
    <cfRule type="expression" dxfId="680" priority="125">
      <formula>$E132=5</formula>
    </cfRule>
    <cfRule type="expression" dxfId="679" priority="126">
      <formula>$E132=4</formula>
    </cfRule>
    <cfRule type="expression" dxfId="678" priority="127">
      <formula>$E132=3</formula>
    </cfRule>
    <cfRule type="expression" dxfId="677" priority="128">
      <formula>$E132=2</formula>
    </cfRule>
    <cfRule type="expression" dxfId="676" priority="129">
      <formula>$E132=1</formula>
    </cfRule>
  </conditionalFormatting>
  <conditionalFormatting sqref="N132">
    <cfRule type="expression" dxfId="675" priority="114">
      <formula>$E132=8</formula>
    </cfRule>
  </conditionalFormatting>
  <conditionalFormatting sqref="N132">
    <cfRule type="expression" dxfId="674" priority="115">
      <formula>$E132=7</formula>
    </cfRule>
    <cfRule type="expression" dxfId="673" priority="116">
      <formula>$E132=6</formula>
    </cfRule>
    <cfRule type="expression" dxfId="672" priority="117">
      <formula>$E132=5</formula>
    </cfRule>
    <cfRule type="expression" dxfId="671" priority="118">
      <formula>$E132=4</formula>
    </cfRule>
    <cfRule type="expression" dxfId="670" priority="119">
      <formula>$E132=3</formula>
    </cfRule>
    <cfRule type="expression" dxfId="669" priority="120">
      <formula>$E132=2</formula>
    </cfRule>
    <cfRule type="expression" dxfId="668" priority="121">
      <formula>$E132=1</formula>
    </cfRule>
  </conditionalFormatting>
  <conditionalFormatting sqref="E157:H168 Q157:S168 J157:N168 AG157:AG168 W157:X168 AA157:AC168">
    <cfRule type="expression" dxfId="667" priority="106">
      <formula>$E157=8</formula>
    </cfRule>
  </conditionalFormatting>
  <conditionalFormatting sqref="A157:H168 J157:O168 AG157:AG168 W157:X168 AA157:AC168 Q157:S168">
    <cfRule type="expression" dxfId="666" priority="107">
      <formula>$E157=7</formula>
    </cfRule>
    <cfRule type="expression" dxfId="665" priority="108">
      <formula>$E157=6</formula>
    </cfRule>
    <cfRule type="expression" dxfId="664" priority="109">
      <formula>$E157=5</formula>
    </cfRule>
    <cfRule type="expression" dxfId="663" priority="110">
      <formula>$E157=4</formula>
    </cfRule>
    <cfRule type="expression" dxfId="662" priority="111">
      <formula>$E157=3</formula>
    </cfRule>
    <cfRule type="expression" dxfId="661" priority="112">
      <formula>$E157=2</formula>
    </cfRule>
    <cfRule type="expression" dxfId="660" priority="113">
      <formula>$E157=1</formula>
    </cfRule>
  </conditionalFormatting>
  <conditionalFormatting sqref="Q194:S206 E194:H206 J194:N206 AG194:AG206 W194:X206 AA194:AC206">
    <cfRule type="expression" dxfId="659" priority="98">
      <formula>$E194=8</formula>
    </cfRule>
  </conditionalFormatting>
  <conditionalFormatting sqref="A194:H206 J194:O206 AG194:AG206 W194:X206 AA194:AC206 Q194:S206">
    <cfRule type="expression" dxfId="658" priority="99">
      <formula>$E194=7</formula>
    </cfRule>
    <cfRule type="expression" dxfId="657" priority="100">
      <formula>$E194=6</formula>
    </cfRule>
    <cfRule type="expression" dxfId="656" priority="101">
      <formula>$E194=5</formula>
    </cfRule>
    <cfRule type="expression" dxfId="655" priority="102">
      <formula>$E194=4</formula>
    </cfRule>
    <cfRule type="expression" dxfId="654" priority="103">
      <formula>$E194=3</formula>
    </cfRule>
    <cfRule type="expression" dxfId="653" priority="104">
      <formula>$E194=2</formula>
    </cfRule>
    <cfRule type="expression" dxfId="652" priority="105">
      <formula>$E194=1</formula>
    </cfRule>
  </conditionalFormatting>
  <conditionalFormatting sqref="E340:H351 Q340:S351 J340:N351 AG340:AG351 W340:X351 AA340:AC351">
    <cfRule type="expression" dxfId="651" priority="90">
      <formula>$E340=8</formula>
    </cfRule>
  </conditionalFormatting>
  <conditionalFormatting sqref="A340:H351 J340:O351 AG340:AG351 W340:X351 AA340:AC351 Q340:S351">
    <cfRule type="expression" dxfId="650" priority="91">
      <formula>$E340=7</formula>
    </cfRule>
    <cfRule type="expression" dxfId="649" priority="92">
      <formula>$E340=6</formula>
    </cfRule>
    <cfRule type="expression" dxfId="648" priority="93">
      <formula>$E340=5</formula>
    </cfRule>
    <cfRule type="expression" dxfId="647" priority="94">
      <formula>$E340=4</formula>
    </cfRule>
    <cfRule type="expression" dxfId="646" priority="95">
      <formula>$E340=3</formula>
    </cfRule>
    <cfRule type="expression" dxfId="645" priority="96">
      <formula>$E340=2</formula>
    </cfRule>
    <cfRule type="expression" dxfId="644" priority="97">
      <formula>$E340=1</formula>
    </cfRule>
  </conditionalFormatting>
  <conditionalFormatting sqref="Q376:S387 E376:H387 J376:N387 AG376:AG387 W376:X387 AA376:AC387">
    <cfRule type="expression" dxfId="643" priority="82">
      <formula>$E376=8</formula>
    </cfRule>
  </conditionalFormatting>
  <conditionalFormatting sqref="A376:H387 J376:O387 AG376:AG387 W376:X387 AA376:AC387 Q376:S387">
    <cfRule type="expression" dxfId="642" priority="83">
      <formula>$E376=7</formula>
    </cfRule>
    <cfRule type="expression" dxfId="641" priority="84">
      <formula>$E376=6</formula>
    </cfRule>
    <cfRule type="expression" dxfId="640" priority="85">
      <formula>$E376=5</formula>
    </cfRule>
    <cfRule type="expression" dxfId="639" priority="86">
      <formula>$E376=4</formula>
    </cfRule>
    <cfRule type="expression" dxfId="638" priority="87">
      <formula>$E376=3</formula>
    </cfRule>
    <cfRule type="expression" dxfId="637" priority="88">
      <formula>$E376=2</formula>
    </cfRule>
    <cfRule type="expression" dxfId="636" priority="89">
      <formula>$E376=1</formula>
    </cfRule>
  </conditionalFormatting>
  <conditionalFormatting sqref="E412:H423 Q412:S423 J412:N423 AG412:AG423 W412:X423 AA412:AC423">
    <cfRule type="expression" dxfId="635" priority="74">
      <formula>$E412=8</formula>
    </cfRule>
  </conditionalFormatting>
  <conditionalFormatting sqref="A412:H423 J412:O423 AG412:AG423 W412:X423 AA412:AC423 Q412:S423">
    <cfRule type="expression" dxfId="634" priority="75">
      <formula>$E412=7</formula>
    </cfRule>
    <cfRule type="expression" dxfId="633" priority="76">
      <formula>$E412=6</formula>
    </cfRule>
    <cfRule type="expression" dxfId="632" priority="77">
      <formula>$E412=5</formula>
    </cfRule>
    <cfRule type="expression" dxfId="631" priority="78">
      <formula>$E412=4</formula>
    </cfRule>
    <cfRule type="expression" dxfId="630" priority="79">
      <formula>$E412=3</formula>
    </cfRule>
    <cfRule type="expression" dxfId="629" priority="80">
      <formula>$E412=2</formula>
    </cfRule>
    <cfRule type="expression" dxfId="628" priority="81">
      <formula>$E412=1</formula>
    </cfRule>
  </conditionalFormatting>
  <conditionalFormatting sqref="Q448:S459 E448:H459 J448:N459 AG448:AG459 W448:X459 AA448:AC459">
    <cfRule type="expression" dxfId="627" priority="66">
      <formula>$E448=8</formula>
    </cfRule>
  </conditionalFormatting>
  <conditionalFormatting sqref="A448:H459 J448:O459 AG448:AG459 W448:X459 AA448:AC459 Q448:S459">
    <cfRule type="expression" dxfId="626" priority="67">
      <formula>$E448=7</formula>
    </cfRule>
    <cfRule type="expression" dxfId="625" priority="68">
      <formula>$E448=6</formula>
    </cfRule>
    <cfRule type="expression" dxfId="624" priority="69">
      <formula>$E448=5</formula>
    </cfRule>
    <cfRule type="expression" dxfId="623" priority="70">
      <formula>$E448=4</formula>
    </cfRule>
    <cfRule type="expression" dxfId="622" priority="71">
      <formula>$E448=3</formula>
    </cfRule>
    <cfRule type="expression" dxfId="621" priority="72">
      <formula>$E448=2</formula>
    </cfRule>
    <cfRule type="expression" dxfId="620" priority="73">
      <formula>$E448=1</formula>
    </cfRule>
  </conditionalFormatting>
  <conditionalFormatting sqref="E484:H495 Q484:S495 J484:N495 AG484:AG495 W484:X495 AA484:AC495">
    <cfRule type="expression" dxfId="619" priority="58">
      <formula>$E484=8</formula>
    </cfRule>
  </conditionalFormatting>
  <conditionalFormatting sqref="A484:H495 J484:O495 AG484:AG495 W484:X495 AA484:AC495 Q484:S495">
    <cfRule type="expression" dxfId="618" priority="59">
      <formula>$E484=7</formula>
    </cfRule>
    <cfRule type="expression" dxfId="617" priority="60">
      <formula>$E484=6</formula>
    </cfRule>
    <cfRule type="expression" dxfId="616" priority="61">
      <formula>$E484=5</formula>
    </cfRule>
    <cfRule type="expression" dxfId="615" priority="62">
      <formula>$E484=4</formula>
    </cfRule>
    <cfRule type="expression" dxfId="614" priority="63">
      <formula>$E484=3</formula>
    </cfRule>
    <cfRule type="expression" dxfId="613" priority="64">
      <formula>$E484=2</formula>
    </cfRule>
    <cfRule type="expression" dxfId="612" priority="65">
      <formula>$E484=1</formula>
    </cfRule>
  </conditionalFormatting>
  <conditionalFormatting sqref="S634:S637">
    <cfRule type="expression" dxfId="611" priority="50">
      <formula>$E634=8</formula>
    </cfRule>
  </conditionalFormatting>
  <conditionalFormatting sqref="S634:S637">
    <cfRule type="expression" dxfId="610" priority="51">
      <formula>$E634=7</formula>
    </cfRule>
    <cfRule type="expression" dxfId="609" priority="52">
      <formula>$E634=6</formula>
    </cfRule>
    <cfRule type="expression" dxfId="608" priority="53">
      <formula>$E634=5</formula>
    </cfRule>
    <cfRule type="expression" dxfId="607" priority="54">
      <formula>$E634=4</formula>
    </cfRule>
    <cfRule type="expression" dxfId="606" priority="55">
      <formula>$E634=3</formula>
    </cfRule>
    <cfRule type="expression" dxfId="605" priority="56">
      <formula>$E634=2</formula>
    </cfRule>
    <cfRule type="expression" dxfId="604" priority="57">
      <formula>$E634=1</formula>
    </cfRule>
  </conditionalFormatting>
  <conditionalFormatting sqref="S640:S643">
    <cfRule type="expression" dxfId="603" priority="42">
      <formula>$E640=8</formula>
    </cfRule>
  </conditionalFormatting>
  <conditionalFormatting sqref="S640:S643">
    <cfRule type="expression" dxfId="602" priority="43">
      <formula>$E640=7</formula>
    </cfRule>
    <cfRule type="expression" dxfId="601" priority="44">
      <formula>$E640=6</formula>
    </cfRule>
    <cfRule type="expression" dxfId="600" priority="45">
      <formula>$E640=5</formula>
    </cfRule>
    <cfRule type="expression" dxfId="599" priority="46">
      <formula>$E640=4</formula>
    </cfRule>
    <cfRule type="expression" dxfId="598" priority="47">
      <formula>$E640=3</formula>
    </cfRule>
    <cfRule type="expression" dxfId="597" priority="48">
      <formula>$E640=2</formula>
    </cfRule>
    <cfRule type="expression" dxfId="596" priority="49">
      <formula>$E640=1</formula>
    </cfRule>
  </conditionalFormatting>
  <conditionalFormatting sqref="S646:S649">
    <cfRule type="expression" dxfId="595" priority="34">
      <formula>$E646=8</formula>
    </cfRule>
  </conditionalFormatting>
  <conditionalFormatting sqref="S646:S649">
    <cfRule type="expression" dxfId="594" priority="35">
      <formula>$E646=7</formula>
    </cfRule>
    <cfRule type="expression" dxfId="593" priority="36">
      <formula>$E646=6</formula>
    </cfRule>
    <cfRule type="expression" dxfId="592" priority="37">
      <formula>$E646=5</formula>
    </cfRule>
    <cfRule type="expression" dxfId="591" priority="38">
      <formula>$E646=4</formula>
    </cfRule>
    <cfRule type="expression" dxfId="590" priority="39">
      <formula>$E646=3</formula>
    </cfRule>
    <cfRule type="expression" dxfId="589" priority="40">
      <formula>$E646=2</formula>
    </cfRule>
    <cfRule type="expression" dxfId="588" priority="41">
      <formula>$E646=1</formula>
    </cfRule>
  </conditionalFormatting>
  <conditionalFormatting sqref="S652:S655">
    <cfRule type="expression" dxfId="587" priority="26">
      <formula>$E652=8</formula>
    </cfRule>
  </conditionalFormatting>
  <conditionalFormatting sqref="S652:S655">
    <cfRule type="expression" dxfId="586" priority="27">
      <formula>$E652=7</formula>
    </cfRule>
    <cfRule type="expression" dxfId="585" priority="28">
      <formula>$E652=6</formula>
    </cfRule>
    <cfRule type="expression" dxfId="584" priority="29">
      <formula>$E652=5</formula>
    </cfRule>
    <cfRule type="expression" dxfId="583" priority="30">
      <formula>$E652=4</formula>
    </cfRule>
    <cfRule type="expression" dxfId="582" priority="31">
      <formula>$E652=3</formula>
    </cfRule>
    <cfRule type="expression" dxfId="581" priority="32">
      <formula>$E652=2</formula>
    </cfRule>
    <cfRule type="expression" dxfId="580" priority="33">
      <formula>$E652=1</formula>
    </cfRule>
  </conditionalFormatting>
  <conditionalFormatting sqref="S658:S661">
    <cfRule type="expression" dxfId="579" priority="18">
      <formula>$E658=8</formula>
    </cfRule>
  </conditionalFormatting>
  <conditionalFormatting sqref="S658:S661">
    <cfRule type="expression" dxfId="578" priority="19">
      <formula>$E658=7</formula>
    </cfRule>
    <cfRule type="expression" dxfId="577" priority="20">
      <formula>$E658=6</formula>
    </cfRule>
    <cfRule type="expression" dxfId="576" priority="21">
      <formula>$E658=5</formula>
    </cfRule>
    <cfRule type="expression" dxfId="575" priority="22">
      <formula>$E658=4</formula>
    </cfRule>
    <cfRule type="expression" dxfId="574" priority="23">
      <formula>$E658=3</formula>
    </cfRule>
    <cfRule type="expression" dxfId="573" priority="24">
      <formula>$E658=2</formula>
    </cfRule>
    <cfRule type="expression" dxfId="572" priority="25">
      <formula>$E658=1</formula>
    </cfRule>
  </conditionalFormatting>
  <conditionalFormatting sqref="E86:H86 Q86:S86 J86:N86 AG86 W86:X86 AA86:AC86">
    <cfRule type="expression" dxfId="571" priority="10">
      <formula>$E86=8</formula>
    </cfRule>
  </conditionalFormatting>
  <conditionalFormatting sqref="A86:H86 J86:O86 AG86 W86:X86 AA86:AC86 Q86:S86">
    <cfRule type="expression" dxfId="570" priority="11">
      <formula>$E86=7</formula>
    </cfRule>
    <cfRule type="expression" dxfId="569" priority="12">
      <formula>$E86=6</formula>
    </cfRule>
    <cfRule type="expression" dxfId="568" priority="13">
      <formula>$E86=5</formula>
    </cfRule>
    <cfRule type="expression" dxfId="567" priority="14">
      <formula>$E86=4</formula>
    </cfRule>
    <cfRule type="expression" dxfId="566" priority="15">
      <formula>$E86=3</formula>
    </cfRule>
    <cfRule type="expression" dxfId="565" priority="16">
      <formula>$E86=2</formula>
    </cfRule>
    <cfRule type="expression" dxfId="564" priority="17">
      <formula>$E86=1</formula>
    </cfRule>
  </conditionalFormatting>
  <conditionalFormatting sqref="E17:H19 J17:N19 AG17:AG19 W17:X19 Q17:R19 AA17:AC19">
    <cfRule type="expression" dxfId="563" priority="2">
      <formula>$E17=8</formula>
    </cfRule>
  </conditionalFormatting>
  <conditionalFormatting sqref="A17:H19 AG17:AG19 W17:X19 J17:O19 AA17:AC19 Q17:R19">
    <cfRule type="expression" dxfId="562" priority="3">
      <formula>$E17=7</formula>
    </cfRule>
    <cfRule type="expression" dxfId="561" priority="4">
      <formula>$E17=6</formula>
    </cfRule>
    <cfRule type="expression" dxfId="560" priority="5">
      <formula>$E17=5</formula>
    </cfRule>
    <cfRule type="expression" dxfId="559" priority="6">
      <formula>$E17=4</formula>
    </cfRule>
    <cfRule type="expression" dxfId="558" priority="7">
      <formula>$E17=3</formula>
    </cfRule>
    <cfRule type="expression" dxfId="557" priority="8">
      <formula>$E17=2</formula>
    </cfRule>
    <cfRule type="expression" dxfId="556" priority="9">
      <formula>$E17=1</formula>
    </cfRule>
  </conditionalFormatting>
  <conditionalFormatting sqref="A315">
    <cfRule type="expression" dxfId="555" priority="1">
      <formula>$E315=8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怪物信息配置表!$A$2:$A$53</xm:f>
          </x14:formula1>
          <xm:sqref>Q1:Q1048576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3"/>
  <sheetViews>
    <sheetView workbookViewId="0">
      <selection activeCell="E38" sqref="E38"/>
    </sheetView>
  </sheetViews>
  <sheetFormatPr defaultRowHeight="13.5"/>
  <cols>
    <col min="1" max="1" width="13.875" bestFit="1" customWidth="1"/>
    <col min="3" max="4" width="11.625" bestFit="1" customWidth="1"/>
    <col min="6" max="6" width="15" bestFit="1" customWidth="1"/>
    <col min="7" max="8" width="20.5" bestFit="1" customWidth="1"/>
    <col min="9" max="11" width="11.625" bestFit="1" customWidth="1"/>
  </cols>
  <sheetData>
    <row r="1" spans="1:11">
      <c r="A1" s="2" t="s">
        <v>29</v>
      </c>
      <c r="B1" s="2" t="s">
        <v>368</v>
      </c>
      <c r="C1" s="3" t="s">
        <v>374</v>
      </c>
      <c r="D1" s="3" t="s">
        <v>373</v>
      </c>
      <c r="E1" s="73" t="s">
        <v>403</v>
      </c>
      <c r="F1" s="73" t="s">
        <v>440</v>
      </c>
      <c r="G1" s="73" t="s">
        <v>441</v>
      </c>
      <c r="H1" s="2" t="s">
        <v>439</v>
      </c>
      <c r="I1" s="73" t="s">
        <v>639</v>
      </c>
      <c r="J1" s="73" t="s">
        <v>640</v>
      </c>
      <c r="K1" s="73" t="s">
        <v>641</v>
      </c>
    </row>
    <row r="2" spans="1:11">
      <c r="A2" s="8" t="s">
        <v>32</v>
      </c>
      <c r="B2" s="2">
        <f>VLOOKUP(A2,CHOOSE({1,2},[3]D_avatar!$E$2:$E$81,[3]D_avatar!$A$2:$A$81),2,FALSE)</f>
        <v>1001</v>
      </c>
      <c r="C2" s="2">
        <v>1000</v>
      </c>
      <c r="D2" s="2">
        <v>50</v>
      </c>
      <c r="E2">
        <f>(C2-D2)/80</f>
        <v>11.875</v>
      </c>
      <c r="F2" s="2" t="s">
        <v>262</v>
      </c>
      <c r="G2" s="2" t="s">
        <v>443</v>
      </c>
      <c r="H2" s="2" t="s">
        <v>268</v>
      </c>
      <c r="I2" s="96">
        <v>1</v>
      </c>
      <c r="J2" s="96">
        <v>1</v>
      </c>
      <c r="K2" s="96">
        <v>1</v>
      </c>
    </row>
    <row r="3" spans="1:11">
      <c r="A3" s="8" t="s">
        <v>34</v>
      </c>
      <c r="B3" s="2">
        <f>VLOOKUP(A3,CHOOSE({1,2},[3]D_avatar!$E$2:$E$81,[3]D_avatar!$A$2:$A$81),2,FALSE)</f>
        <v>1002</v>
      </c>
      <c r="C3" s="2">
        <v>1000</v>
      </c>
      <c r="D3" s="2">
        <v>50</v>
      </c>
      <c r="E3">
        <f t="shared" ref="E3:E53" si="0">(C3-D3)/80</f>
        <v>11.875</v>
      </c>
      <c r="F3" s="2" t="s">
        <v>262</v>
      </c>
      <c r="G3" s="2" t="s">
        <v>443</v>
      </c>
      <c r="H3" s="2" t="s">
        <v>270</v>
      </c>
      <c r="I3" s="96">
        <v>1</v>
      </c>
      <c r="J3" s="96">
        <v>1</v>
      </c>
      <c r="K3" s="96">
        <v>1</v>
      </c>
    </row>
    <row r="4" spans="1:11">
      <c r="A4" s="8" t="s">
        <v>36</v>
      </c>
      <c r="B4" s="2">
        <f>VLOOKUP(A4,CHOOSE({1,2},[3]D_avatar!$E$2:$E$81,[3]D_avatar!$A$2:$A$81),2,FALSE)</f>
        <v>1003</v>
      </c>
      <c r="C4" s="2">
        <v>1000</v>
      </c>
      <c r="D4" s="2">
        <v>50</v>
      </c>
      <c r="E4">
        <f t="shared" si="0"/>
        <v>11.875</v>
      </c>
      <c r="F4" s="2" t="s">
        <v>267</v>
      </c>
      <c r="G4" s="2" t="s">
        <v>442</v>
      </c>
      <c r="H4" s="2" t="s">
        <v>432</v>
      </c>
      <c r="I4" s="96">
        <v>1</v>
      </c>
      <c r="J4" s="96">
        <v>1</v>
      </c>
      <c r="K4" s="96">
        <v>1</v>
      </c>
    </row>
    <row r="5" spans="1:11">
      <c r="A5" s="8" t="s">
        <v>37</v>
      </c>
      <c r="B5" s="2">
        <f>VLOOKUP(A5,CHOOSE({1,2},[3]D_avatar!$E$2:$E$81,[3]D_avatar!$A$2:$A$81),2,FALSE)</f>
        <v>1004</v>
      </c>
      <c r="C5" s="2">
        <v>1000</v>
      </c>
      <c r="D5" s="2">
        <v>50</v>
      </c>
      <c r="E5">
        <f t="shared" si="0"/>
        <v>11.875</v>
      </c>
      <c r="F5" s="2" t="s">
        <v>262</v>
      </c>
      <c r="G5" s="2" t="s">
        <v>442</v>
      </c>
      <c r="H5" s="2" t="s">
        <v>365</v>
      </c>
      <c r="I5" s="96">
        <v>1</v>
      </c>
      <c r="J5" s="96">
        <v>1</v>
      </c>
      <c r="K5" s="96">
        <v>1</v>
      </c>
    </row>
    <row r="6" spans="1:11">
      <c r="A6" s="8" t="s">
        <v>38</v>
      </c>
      <c r="B6" s="2">
        <f>VLOOKUP(A6,CHOOSE({1,2},[3]D_avatar!$E$2:$E$81,[3]D_avatar!$A$2:$A$81),2,FALSE)</f>
        <v>1005</v>
      </c>
      <c r="C6" s="2">
        <v>1000</v>
      </c>
      <c r="D6" s="2">
        <v>50</v>
      </c>
      <c r="E6">
        <f t="shared" si="0"/>
        <v>11.875</v>
      </c>
      <c r="F6" s="2" t="s">
        <v>267</v>
      </c>
      <c r="G6" s="2" t="s">
        <v>442</v>
      </c>
      <c r="H6" s="2" t="s">
        <v>429</v>
      </c>
      <c r="I6" s="96">
        <v>1</v>
      </c>
      <c r="J6" s="96">
        <v>1</v>
      </c>
      <c r="K6" s="96">
        <v>1</v>
      </c>
    </row>
    <row r="7" spans="1:11">
      <c r="A7" s="8" t="s">
        <v>39</v>
      </c>
      <c r="B7" s="2">
        <f>VLOOKUP(A7,CHOOSE({1,2},[3]D_avatar!$E$2:$E$81,[3]D_avatar!$A$2:$A$81),2,FALSE)</f>
        <v>1006</v>
      </c>
      <c r="C7" s="2">
        <v>1000</v>
      </c>
      <c r="D7" s="2">
        <v>50</v>
      </c>
      <c r="E7">
        <f t="shared" si="0"/>
        <v>11.875</v>
      </c>
      <c r="F7" s="2" t="s">
        <v>746</v>
      </c>
      <c r="G7" s="2" t="s">
        <v>269</v>
      </c>
      <c r="H7" s="2" t="s">
        <v>269</v>
      </c>
      <c r="I7" s="96">
        <v>1</v>
      </c>
      <c r="J7" s="96">
        <v>1</v>
      </c>
      <c r="K7" s="96">
        <v>1</v>
      </c>
    </row>
    <row r="8" spans="1:11">
      <c r="A8" s="8" t="s">
        <v>40</v>
      </c>
      <c r="B8" s="2">
        <f>VLOOKUP(A8,CHOOSE({1,2},[3]D_avatar!$E$2:$E$81,[3]D_avatar!$A$2:$A$81),2,FALSE)</f>
        <v>1007</v>
      </c>
      <c r="C8" s="2">
        <v>1000</v>
      </c>
      <c r="D8" s="2">
        <v>50</v>
      </c>
      <c r="E8">
        <f t="shared" si="0"/>
        <v>11.875</v>
      </c>
      <c r="F8" s="2" t="s">
        <v>746</v>
      </c>
      <c r="G8" s="2" t="s">
        <v>442</v>
      </c>
      <c r="H8" s="2" t="s">
        <v>442</v>
      </c>
      <c r="I8" s="96">
        <v>1</v>
      </c>
      <c r="J8" s="96">
        <v>1</v>
      </c>
      <c r="K8" s="96">
        <v>1</v>
      </c>
    </row>
    <row r="9" spans="1:11">
      <c r="A9" s="8" t="s">
        <v>372</v>
      </c>
      <c r="B9" s="2">
        <f>VLOOKUP(A9,CHOOSE({1,2},[3]D_avatar!$E$2:$E$81,[3]D_avatar!$A$2:$A$81),2,FALSE)</f>
        <v>1008</v>
      </c>
      <c r="C9" s="2">
        <v>1000</v>
      </c>
      <c r="D9" s="2">
        <v>50</v>
      </c>
      <c r="E9">
        <f t="shared" si="0"/>
        <v>11.875</v>
      </c>
      <c r="F9" s="2" t="s">
        <v>262</v>
      </c>
      <c r="G9" s="2" t="s">
        <v>442</v>
      </c>
      <c r="H9" s="2" t="s">
        <v>442</v>
      </c>
      <c r="I9" s="96">
        <v>1</v>
      </c>
      <c r="J9" s="96">
        <v>1</v>
      </c>
      <c r="K9" s="96">
        <v>1</v>
      </c>
    </row>
    <row r="10" spans="1:11">
      <c r="A10" s="8" t="s">
        <v>42</v>
      </c>
      <c r="B10" s="2">
        <f>VLOOKUP(A10,CHOOSE({1,2},[3]D_avatar!$E$2:$E$81,[3]D_avatar!$A$2:$A$81),2,FALSE)</f>
        <v>1009</v>
      </c>
      <c r="C10" s="2">
        <v>1000</v>
      </c>
      <c r="D10" s="2">
        <v>50</v>
      </c>
      <c r="E10">
        <f t="shared" si="0"/>
        <v>11.875</v>
      </c>
      <c r="F10" s="2" t="s">
        <v>262</v>
      </c>
      <c r="G10" s="2" t="s">
        <v>442</v>
      </c>
      <c r="H10" s="2" t="s">
        <v>265</v>
      </c>
      <c r="I10" s="96">
        <v>1</v>
      </c>
      <c r="J10" s="96">
        <v>1</v>
      </c>
      <c r="K10" s="96">
        <v>1</v>
      </c>
    </row>
    <row r="11" spans="1:11">
      <c r="A11" s="8" t="s">
        <v>43</v>
      </c>
      <c r="B11" s="2">
        <f>VLOOKUP(A11,CHOOSE({1,2},[3]D_avatar!$E$2:$E$81,[3]D_avatar!$A$2:$A$81),2,FALSE)</f>
        <v>1010</v>
      </c>
      <c r="C11" s="2">
        <v>1000</v>
      </c>
      <c r="D11" s="2">
        <v>50</v>
      </c>
      <c r="E11">
        <f t="shared" si="0"/>
        <v>11.875</v>
      </c>
      <c r="F11" s="2" t="s">
        <v>262</v>
      </c>
      <c r="G11" s="2" t="s">
        <v>442</v>
      </c>
      <c r="H11" s="2" t="s">
        <v>266</v>
      </c>
      <c r="I11" s="96">
        <v>1</v>
      </c>
      <c r="J11" s="96">
        <v>1</v>
      </c>
      <c r="K11" s="96">
        <v>1</v>
      </c>
    </row>
    <row r="12" spans="1:11">
      <c r="A12" s="8" t="s">
        <v>44</v>
      </c>
      <c r="B12" s="2">
        <f>VLOOKUP(A12,CHOOSE({1,2},[3]D_avatar!$E$2:$E$81,[3]D_avatar!$A$2:$A$81),2,FALSE)</f>
        <v>1012</v>
      </c>
      <c r="C12" s="2">
        <v>1000</v>
      </c>
      <c r="D12" s="2">
        <v>50</v>
      </c>
      <c r="E12">
        <f t="shared" si="0"/>
        <v>11.875</v>
      </c>
      <c r="F12" s="2" t="s">
        <v>746</v>
      </c>
      <c r="G12" s="2" t="s">
        <v>442</v>
      </c>
      <c r="H12" s="2" t="s">
        <v>277</v>
      </c>
      <c r="I12" s="96">
        <v>1</v>
      </c>
      <c r="J12" s="96">
        <v>1</v>
      </c>
      <c r="K12" s="96">
        <v>1</v>
      </c>
    </row>
    <row r="13" spans="1:11">
      <c r="A13" s="8" t="s">
        <v>45</v>
      </c>
      <c r="B13" s="2">
        <f>VLOOKUP(A13,CHOOSE({1,2},[3]D_avatar!$E$2:$E$81,[3]D_avatar!$A$2:$A$81),2,FALSE)</f>
        <v>1013</v>
      </c>
      <c r="C13" s="2">
        <v>1000</v>
      </c>
      <c r="D13" s="2">
        <v>50</v>
      </c>
      <c r="E13">
        <f t="shared" si="0"/>
        <v>11.875</v>
      </c>
      <c r="F13" s="2" t="s">
        <v>267</v>
      </c>
      <c r="G13" s="2" t="s">
        <v>442</v>
      </c>
      <c r="H13" s="2" t="s">
        <v>276</v>
      </c>
      <c r="I13" s="96">
        <v>1</v>
      </c>
      <c r="J13" s="96">
        <v>1</v>
      </c>
      <c r="K13" s="96">
        <v>1</v>
      </c>
    </row>
    <row r="14" spans="1:11">
      <c r="A14" s="8" t="s">
        <v>46</v>
      </c>
      <c r="B14" s="2">
        <f>VLOOKUP(A14,CHOOSE({1,2},[3]D_avatar!$E$2:$E$81,[3]D_avatar!$A$2:$A$81),2,FALSE)</f>
        <v>1011</v>
      </c>
      <c r="C14" s="2">
        <v>1000</v>
      </c>
      <c r="D14" s="2">
        <v>50</v>
      </c>
      <c r="E14">
        <f t="shared" si="0"/>
        <v>11.875</v>
      </c>
      <c r="F14" s="2" t="s">
        <v>262</v>
      </c>
      <c r="G14" s="2" t="s">
        <v>442</v>
      </c>
      <c r="H14" s="2" t="s">
        <v>264</v>
      </c>
      <c r="I14" s="96">
        <v>1</v>
      </c>
      <c r="J14" s="96">
        <v>1</v>
      </c>
      <c r="K14" s="96">
        <v>1</v>
      </c>
    </row>
    <row r="15" spans="1:11">
      <c r="A15" s="8" t="s">
        <v>371</v>
      </c>
      <c r="B15" s="2">
        <f>VLOOKUP(A15,CHOOSE({1,2},[3]D_avatar!$E$2:$E$81,[3]D_avatar!$A$2:$A$81),2,FALSE)</f>
        <v>1014</v>
      </c>
      <c r="C15" s="2">
        <v>800</v>
      </c>
      <c r="D15" s="2">
        <v>50</v>
      </c>
      <c r="E15">
        <f t="shared" si="0"/>
        <v>9.375</v>
      </c>
      <c r="F15" s="2" t="s">
        <v>746</v>
      </c>
      <c r="G15" s="2" t="s">
        <v>442</v>
      </c>
      <c r="H15" s="2" t="s">
        <v>275</v>
      </c>
      <c r="I15" s="96">
        <v>1</v>
      </c>
      <c r="J15" s="96">
        <v>1</v>
      </c>
      <c r="K15" s="96">
        <v>1</v>
      </c>
    </row>
    <row r="16" spans="1:11">
      <c r="A16" s="8" t="s">
        <v>48</v>
      </c>
      <c r="B16" s="2">
        <f>VLOOKUP(A16,CHOOSE({1,2},[3]D_avatar!$E$2:$E$81,[3]D_avatar!$A$2:$A$81),2,FALSE)</f>
        <v>1015</v>
      </c>
      <c r="C16" s="2">
        <v>800</v>
      </c>
      <c r="D16" s="2">
        <v>50</v>
      </c>
      <c r="E16">
        <f t="shared" si="0"/>
        <v>9.375</v>
      </c>
      <c r="F16" s="2" t="s">
        <v>746</v>
      </c>
      <c r="G16" s="2" t="s">
        <v>442</v>
      </c>
      <c r="H16" s="2" t="s">
        <v>442</v>
      </c>
      <c r="I16" s="96">
        <v>1</v>
      </c>
      <c r="J16" s="96">
        <v>1</v>
      </c>
      <c r="K16" s="96">
        <v>1</v>
      </c>
    </row>
    <row r="17" spans="1:11">
      <c r="A17" s="8" t="s">
        <v>16</v>
      </c>
      <c r="B17" s="2">
        <f>VLOOKUP(A17,CHOOSE({1,2},[3]D_avatar!$E$2:$E$81,[3]D_avatar!$A$2:$A$81),2,FALSE)</f>
        <v>1101</v>
      </c>
      <c r="C17" s="2">
        <v>1000</v>
      </c>
      <c r="D17" s="2">
        <v>50</v>
      </c>
      <c r="E17">
        <f t="shared" si="0"/>
        <v>11.875</v>
      </c>
      <c r="F17" s="2" t="s">
        <v>262</v>
      </c>
      <c r="G17" s="2" t="s">
        <v>442</v>
      </c>
      <c r="H17" s="2" t="s">
        <v>263</v>
      </c>
      <c r="I17" s="96">
        <v>1</v>
      </c>
      <c r="J17" s="96">
        <v>1.2</v>
      </c>
      <c r="K17" s="96">
        <v>1</v>
      </c>
    </row>
    <row r="18" spans="1:11">
      <c r="A18" s="8" t="s">
        <v>49</v>
      </c>
      <c r="B18" s="2">
        <f>VLOOKUP(A18,CHOOSE({1,2},[3]D_avatar!$E$2:$E$81,[3]D_avatar!$A$2:$A$81),2,FALSE)</f>
        <v>1102</v>
      </c>
      <c r="C18" s="2">
        <v>1000</v>
      </c>
      <c r="D18" s="2">
        <v>50</v>
      </c>
      <c r="E18">
        <f t="shared" si="0"/>
        <v>11.875</v>
      </c>
      <c r="F18" s="2" t="s">
        <v>267</v>
      </c>
      <c r="G18" s="2" t="s">
        <v>442</v>
      </c>
      <c r="H18" s="2" t="s">
        <v>271</v>
      </c>
      <c r="I18" s="96">
        <v>1</v>
      </c>
      <c r="J18" s="96">
        <v>1.2</v>
      </c>
      <c r="K18" s="96">
        <v>0.9</v>
      </c>
    </row>
    <row r="19" spans="1:11">
      <c r="A19" s="8" t="s">
        <v>50</v>
      </c>
      <c r="B19" s="2">
        <f>VLOOKUP(A19,CHOOSE({1,2},[3]D_avatar!$E$2:$E$81,[3]D_avatar!$A$2:$A$81),2,FALSE)</f>
        <v>1103</v>
      </c>
      <c r="C19" s="2">
        <v>800</v>
      </c>
      <c r="D19" s="2">
        <v>50</v>
      </c>
      <c r="E19">
        <f t="shared" si="0"/>
        <v>9.375</v>
      </c>
      <c r="F19" s="2" t="s">
        <v>262</v>
      </c>
      <c r="G19" s="2" t="s">
        <v>442</v>
      </c>
      <c r="H19" s="2" t="s">
        <v>272</v>
      </c>
      <c r="I19" s="96">
        <v>1.4</v>
      </c>
      <c r="J19" s="96">
        <v>0.8</v>
      </c>
      <c r="K19" s="96">
        <v>1</v>
      </c>
    </row>
    <row r="20" spans="1:11">
      <c r="A20" s="8" t="s">
        <v>51</v>
      </c>
      <c r="B20" s="2">
        <f>VLOOKUP(A20,CHOOSE({1,2},[3]D_avatar!$E$2:$E$81,[3]D_avatar!$A$2:$A$81),2,FALSE)</f>
        <v>1104</v>
      </c>
      <c r="C20" s="2">
        <v>800</v>
      </c>
      <c r="D20" s="2">
        <v>50</v>
      </c>
      <c r="E20">
        <f t="shared" si="0"/>
        <v>9.375</v>
      </c>
      <c r="F20" s="2" t="s">
        <v>262</v>
      </c>
      <c r="G20" s="2" t="s">
        <v>442</v>
      </c>
      <c r="H20" s="2" t="s">
        <v>273</v>
      </c>
      <c r="I20" s="96">
        <v>1</v>
      </c>
      <c r="J20" s="96">
        <v>1</v>
      </c>
      <c r="K20" s="96">
        <v>1</v>
      </c>
    </row>
    <row r="21" spans="1:11">
      <c r="A21" s="8" t="s">
        <v>52</v>
      </c>
      <c r="B21" s="2">
        <f>VLOOKUP(A21,CHOOSE({1,2},[3]D_avatar!$E$2:$E$81,[3]D_avatar!$A$2:$A$81),2,FALSE)</f>
        <v>1105</v>
      </c>
      <c r="C21" s="2">
        <v>800</v>
      </c>
      <c r="D21" s="2">
        <v>50</v>
      </c>
      <c r="E21">
        <f t="shared" si="0"/>
        <v>9.375</v>
      </c>
      <c r="F21" s="2" t="s">
        <v>267</v>
      </c>
      <c r="G21" s="2" t="s">
        <v>442</v>
      </c>
      <c r="H21" s="2" t="s">
        <v>274</v>
      </c>
      <c r="I21" s="96">
        <v>1</v>
      </c>
      <c r="J21" s="96">
        <v>1</v>
      </c>
      <c r="K21" s="96">
        <v>1</v>
      </c>
    </row>
    <row r="22" spans="1:11">
      <c r="A22" s="8" t="s">
        <v>370</v>
      </c>
      <c r="B22" s="2">
        <f>VLOOKUP(A22,CHOOSE({1,2},[3]D_avatar!$E$2:$E$81,[3]D_avatar!$A$2:$A$81),2,FALSE)</f>
        <v>1106</v>
      </c>
      <c r="C22" s="2">
        <v>800</v>
      </c>
      <c r="D22" s="2">
        <v>50</v>
      </c>
      <c r="E22">
        <f t="shared" si="0"/>
        <v>9.375</v>
      </c>
      <c r="F22" s="2" t="s">
        <v>262</v>
      </c>
      <c r="G22" s="2" t="s">
        <v>442</v>
      </c>
      <c r="H22" s="2" t="s">
        <v>278</v>
      </c>
      <c r="I22" s="96">
        <v>1</v>
      </c>
      <c r="J22" s="96">
        <v>1</v>
      </c>
      <c r="K22" s="96">
        <v>1</v>
      </c>
    </row>
    <row r="23" spans="1:11">
      <c r="A23" s="8" t="s">
        <v>54</v>
      </c>
      <c r="B23" s="2">
        <f>VLOOKUP(A23,CHOOSE({1,2},[3]D_avatar!$E$2:$E$81,[3]D_avatar!$A$2:$A$81),2,FALSE)</f>
        <v>1107</v>
      </c>
      <c r="C23" s="2">
        <v>500</v>
      </c>
      <c r="D23" s="2">
        <v>50</v>
      </c>
      <c r="E23">
        <f t="shared" si="0"/>
        <v>5.625</v>
      </c>
      <c r="F23" s="2" t="s">
        <v>262</v>
      </c>
      <c r="G23" s="3" t="s">
        <v>444</v>
      </c>
      <c r="H23" s="3" t="s">
        <v>444</v>
      </c>
      <c r="I23" s="96">
        <v>1</v>
      </c>
      <c r="J23" s="96">
        <v>1</v>
      </c>
      <c r="K23" s="96">
        <v>1</v>
      </c>
    </row>
    <row r="24" spans="1:11">
      <c r="A24" s="8" t="s">
        <v>55</v>
      </c>
      <c r="B24" s="2">
        <f>VLOOKUP(A24,CHOOSE({1,2},[3]D_avatar!$E$2:$E$81,[3]D_avatar!$A$2:$A$81),2,FALSE)</f>
        <v>1108</v>
      </c>
      <c r="C24" s="2">
        <v>500</v>
      </c>
      <c r="D24" s="2">
        <v>50</v>
      </c>
      <c r="E24">
        <f t="shared" si="0"/>
        <v>5.625</v>
      </c>
      <c r="F24" s="2" t="s">
        <v>262</v>
      </c>
      <c r="G24" s="2" t="s">
        <v>445</v>
      </c>
      <c r="H24" s="3" t="s">
        <v>445</v>
      </c>
      <c r="I24" s="96">
        <v>1</v>
      </c>
      <c r="J24" s="96">
        <v>1</v>
      </c>
      <c r="K24" s="96">
        <v>1</v>
      </c>
    </row>
    <row r="25" spans="1:11">
      <c r="A25" s="8" t="s">
        <v>56</v>
      </c>
      <c r="B25" s="2">
        <f>VLOOKUP(A25,CHOOSE({1,2},[3]D_avatar!$E$2:$E$81,[3]D_avatar!$A$2:$A$81),2,FALSE)</f>
        <v>1109</v>
      </c>
      <c r="C25" s="2">
        <v>500</v>
      </c>
      <c r="D25" s="2">
        <v>50</v>
      </c>
      <c r="E25">
        <f t="shared" si="0"/>
        <v>5.625</v>
      </c>
      <c r="F25" s="2" t="s">
        <v>262</v>
      </c>
      <c r="G25" s="2" t="s">
        <v>446</v>
      </c>
      <c r="H25" s="3" t="s">
        <v>446</v>
      </c>
      <c r="I25" s="96">
        <v>1</v>
      </c>
      <c r="J25" s="96">
        <v>1</v>
      </c>
      <c r="K25" s="96">
        <v>1</v>
      </c>
    </row>
    <row r="26" spans="1:11">
      <c r="A26" s="8" t="s">
        <v>561</v>
      </c>
      <c r="B26" s="2">
        <f>VLOOKUP(A26,CHOOSE({1,2},[3]D_avatar!$E$2:$E$81,[3]D_avatar!$A$2:$A$81),2,FALSE)</f>
        <v>1110</v>
      </c>
      <c r="C26" s="2">
        <v>500</v>
      </c>
      <c r="D26" s="2">
        <v>50</v>
      </c>
      <c r="E26">
        <f t="shared" si="0"/>
        <v>5.625</v>
      </c>
      <c r="F26" s="2" t="s">
        <v>267</v>
      </c>
      <c r="G26" s="2" t="s">
        <v>585</v>
      </c>
      <c r="H26" s="2" t="s">
        <v>585</v>
      </c>
      <c r="I26" s="96">
        <v>1</v>
      </c>
      <c r="J26" s="96">
        <v>1</v>
      </c>
      <c r="K26" s="96">
        <v>1</v>
      </c>
    </row>
    <row r="27" spans="1:11">
      <c r="A27" s="8" t="s">
        <v>563</v>
      </c>
      <c r="B27" s="2">
        <f>VLOOKUP(A27,CHOOSE({1,2},[3]D_avatar!$E$2:$E$81,[3]D_avatar!$A$2:$A$81),2,FALSE)</f>
        <v>1111</v>
      </c>
      <c r="C27" s="2">
        <v>500</v>
      </c>
      <c r="D27" s="2">
        <v>50</v>
      </c>
      <c r="E27">
        <f t="shared" si="0"/>
        <v>5.625</v>
      </c>
      <c r="F27" s="2" t="s">
        <v>267</v>
      </c>
      <c r="G27" s="2" t="s">
        <v>586</v>
      </c>
      <c r="H27" s="2" t="s">
        <v>586</v>
      </c>
      <c r="I27" s="96">
        <v>1</v>
      </c>
      <c r="J27" s="96">
        <v>1</v>
      </c>
      <c r="K27" s="96">
        <v>1</v>
      </c>
    </row>
    <row r="28" spans="1:11">
      <c r="A28" s="8" t="s">
        <v>565</v>
      </c>
      <c r="B28" s="2">
        <f>VLOOKUP(A28,CHOOSE({1,2},[3]D_avatar!$E$2:$E$81,[3]D_avatar!$A$2:$A$81),2,FALSE)</f>
        <v>1112</v>
      </c>
      <c r="C28" s="2">
        <v>500</v>
      </c>
      <c r="D28" s="2">
        <v>50</v>
      </c>
      <c r="E28">
        <f t="shared" si="0"/>
        <v>5.625</v>
      </c>
      <c r="F28" s="2" t="s">
        <v>267</v>
      </c>
      <c r="G28" s="2" t="s">
        <v>587</v>
      </c>
      <c r="H28" s="2" t="s">
        <v>587</v>
      </c>
      <c r="I28" s="96">
        <v>1</v>
      </c>
      <c r="J28" s="96">
        <v>1</v>
      </c>
      <c r="K28" s="96">
        <v>1</v>
      </c>
    </row>
    <row r="29" spans="1:11">
      <c r="A29" s="8" t="s">
        <v>589</v>
      </c>
      <c r="B29" s="2">
        <v>1113</v>
      </c>
      <c r="C29" s="2">
        <v>500</v>
      </c>
      <c r="D29" s="2">
        <v>50</v>
      </c>
      <c r="E29">
        <f t="shared" si="0"/>
        <v>5.625</v>
      </c>
      <c r="F29" s="2" t="s">
        <v>267</v>
      </c>
      <c r="G29" s="2" t="s">
        <v>442</v>
      </c>
      <c r="H29" s="2" t="s">
        <v>271</v>
      </c>
      <c r="I29" s="96">
        <v>1</v>
      </c>
      <c r="J29" s="96">
        <v>1</v>
      </c>
      <c r="K29" s="96">
        <v>1</v>
      </c>
    </row>
    <row r="30" spans="1:11">
      <c r="A30" s="8" t="s">
        <v>742</v>
      </c>
      <c r="B30" s="2">
        <v>1114</v>
      </c>
      <c r="C30" s="2">
        <v>500</v>
      </c>
      <c r="D30" s="2">
        <v>50</v>
      </c>
      <c r="E30">
        <f t="shared" si="0"/>
        <v>5.625</v>
      </c>
      <c r="F30" s="2" t="s">
        <v>693</v>
      </c>
      <c r="G30" s="2" t="s">
        <v>693</v>
      </c>
      <c r="H30" s="2" t="s">
        <v>693</v>
      </c>
      <c r="I30" s="96">
        <v>100</v>
      </c>
      <c r="J30" s="96">
        <v>1</v>
      </c>
      <c r="K30" s="96">
        <v>1</v>
      </c>
    </row>
    <row r="31" spans="1:11">
      <c r="A31" s="13" t="s">
        <v>376</v>
      </c>
      <c r="B31" s="2">
        <f>VLOOKUP(A31,CHOOSE({1,2},[3]D_avatar!$E$2:$E$81,[3]D_avatar!$A$2:$A$81),2,FALSE)</f>
        <v>2001</v>
      </c>
      <c r="C31" s="2">
        <v>1000</v>
      </c>
      <c r="D31" s="2">
        <v>50</v>
      </c>
      <c r="E31">
        <f t="shared" si="0"/>
        <v>11.875</v>
      </c>
      <c r="F31" s="2"/>
      <c r="G31" s="2"/>
      <c r="H31" s="2"/>
    </row>
    <row r="32" spans="1:11">
      <c r="A32" s="13" t="s">
        <v>377</v>
      </c>
      <c r="B32" s="2">
        <f>VLOOKUP(A32,CHOOSE({1,2},[3]D_avatar!$E$2:$E$81,[3]D_avatar!$A$2:$A$81),2,FALSE)</f>
        <v>2002</v>
      </c>
      <c r="C32" s="2">
        <v>1000</v>
      </c>
      <c r="D32" s="2">
        <v>50</v>
      </c>
      <c r="E32">
        <f t="shared" si="0"/>
        <v>11.875</v>
      </c>
      <c r="F32" s="2"/>
      <c r="G32" s="2"/>
      <c r="H32" s="2"/>
    </row>
    <row r="33" spans="1:8">
      <c r="A33" s="13" t="s">
        <v>378</v>
      </c>
      <c r="B33" s="2">
        <f>VLOOKUP(A33,CHOOSE({1,2},[3]D_avatar!$E$2:$E$81,[3]D_avatar!$A$2:$A$81),2,FALSE)</f>
        <v>2003</v>
      </c>
      <c r="C33" s="2">
        <v>1000</v>
      </c>
      <c r="D33" s="2">
        <v>50</v>
      </c>
      <c r="E33">
        <f t="shared" si="0"/>
        <v>11.875</v>
      </c>
      <c r="F33" s="2"/>
      <c r="G33" s="2"/>
      <c r="H33" s="2"/>
    </row>
    <row r="34" spans="1:8">
      <c r="A34" s="13" t="s">
        <v>379</v>
      </c>
      <c r="B34" s="2">
        <f>VLOOKUP(A34,CHOOSE({1,2},[3]D_avatar!$E$2:$E$81,[3]D_avatar!$A$2:$A$81),2,FALSE)</f>
        <v>2004</v>
      </c>
      <c r="C34" s="2">
        <v>1000</v>
      </c>
      <c r="D34" s="2">
        <v>50</v>
      </c>
      <c r="E34">
        <f t="shared" si="0"/>
        <v>11.875</v>
      </c>
      <c r="F34" s="2"/>
      <c r="G34" s="2"/>
      <c r="H34" s="2"/>
    </row>
    <row r="35" spans="1:8">
      <c r="A35" s="13" t="s">
        <v>380</v>
      </c>
      <c r="B35" s="2">
        <f>VLOOKUP(A35,CHOOSE({1,2},[3]D_avatar!$E$2:$E$81,[3]D_avatar!$A$2:$A$81),2,FALSE)</f>
        <v>2005</v>
      </c>
      <c r="C35" s="2">
        <v>1000</v>
      </c>
      <c r="D35" s="2">
        <v>50</v>
      </c>
      <c r="E35">
        <f t="shared" si="0"/>
        <v>11.875</v>
      </c>
      <c r="F35" s="2"/>
      <c r="G35" s="2"/>
      <c r="H35" s="2"/>
    </row>
    <row r="36" spans="1:8">
      <c r="A36" s="13" t="s">
        <v>381</v>
      </c>
      <c r="B36" s="2">
        <f>VLOOKUP(A36,CHOOSE({1,2},[3]D_avatar!$E$2:$E$81,[3]D_avatar!$A$2:$A$81),2,FALSE)</f>
        <v>2006</v>
      </c>
      <c r="C36" s="2">
        <v>1000</v>
      </c>
      <c r="D36" s="2">
        <v>50</v>
      </c>
      <c r="E36">
        <f t="shared" si="0"/>
        <v>11.875</v>
      </c>
      <c r="F36" s="2"/>
      <c r="G36" s="2"/>
      <c r="H36" s="2"/>
    </row>
    <row r="37" spans="1:8">
      <c r="A37" s="13" t="s">
        <v>382</v>
      </c>
      <c r="B37" s="2">
        <f>VLOOKUP(A37,CHOOSE({1,2},[3]D_avatar!$E$2:$E$81,[3]D_avatar!$A$2:$A$81),2,FALSE)</f>
        <v>2007</v>
      </c>
      <c r="C37" s="2">
        <v>1000</v>
      </c>
      <c r="D37" s="2">
        <v>50</v>
      </c>
      <c r="E37">
        <f t="shared" si="0"/>
        <v>11.875</v>
      </c>
      <c r="F37" s="2"/>
      <c r="G37" s="2"/>
      <c r="H37" s="2"/>
    </row>
    <row r="38" spans="1:8">
      <c r="A38" s="13" t="s">
        <v>383</v>
      </c>
      <c r="B38" s="2">
        <f>VLOOKUP(A38,CHOOSE({1,2},[3]D_avatar!$E$2:$E$81,[3]D_avatar!$A$2:$A$81),2,FALSE)</f>
        <v>2008</v>
      </c>
      <c r="C38" s="2">
        <v>1000</v>
      </c>
      <c r="D38" s="2">
        <v>50</v>
      </c>
      <c r="E38">
        <f t="shared" si="0"/>
        <v>11.875</v>
      </c>
      <c r="F38" s="2"/>
      <c r="G38" s="2"/>
      <c r="H38" s="2"/>
    </row>
    <row r="39" spans="1:8">
      <c r="A39" s="13" t="s">
        <v>384</v>
      </c>
      <c r="B39" s="2">
        <f>VLOOKUP(A39,CHOOSE({1,2},[3]D_avatar!$E$2:$E$81,[3]D_avatar!$A$2:$A$81),2,FALSE)</f>
        <v>2009</v>
      </c>
      <c r="C39" s="2">
        <v>1000</v>
      </c>
      <c r="D39" s="2">
        <v>50</v>
      </c>
      <c r="E39">
        <f t="shared" si="0"/>
        <v>11.875</v>
      </c>
      <c r="F39" s="2"/>
      <c r="G39" s="2"/>
      <c r="H39" s="2"/>
    </row>
    <row r="40" spans="1:8">
      <c r="A40" s="13" t="s">
        <v>696</v>
      </c>
      <c r="B40" s="2">
        <v>2013</v>
      </c>
      <c r="C40" s="2">
        <v>1000</v>
      </c>
      <c r="D40" s="2">
        <v>50</v>
      </c>
      <c r="E40">
        <f t="shared" si="0"/>
        <v>11.875</v>
      </c>
      <c r="F40" s="2"/>
      <c r="G40" s="2"/>
      <c r="H40" s="2"/>
    </row>
    <row r="41" spans="1:8">
      <c r="A41" s="2" t="s">
        <v>385</v>
      </c>
      <c r="B41" s="2">
        <f>VLOOKUP(A41,CHOOSE({1,2},[3]D_avatar!$E$2:$E$81,[3]D_avatar!$A$2:$A$81),2,FALSE)</f>
        <v>3001</v>
      </c>
      <c r="C41" s="2">
        <v>1000</v>
      </c>
      <c r="D41" s="2">
        <v>50</v>
      </c>
      <c r="E41">
        <f t="shared" si="0"/>
        <v>11.875</v>
      </c>
      <c r="F41" s="2" t="s">
        <v>279</v>
      </c>
      <c r="G41" s="2" t="s">
        <v>279</v>
      </c>
      <c r="H41" s="2" t="s">
        <v>279</v>
      </c>
    </row>
    <row r="42" spans="1:8">
      <c r="A42" s="2" t="s">
        <v>386</v>
      </c>
      <c r="B42" s="2">
        <f>VLOOKUP(A42,CHOOSE({1,2},[3]D_avatar!$E$2:$E$81,[3]D_avatar!$A$2:$A$81),2,FALSE)</f>
        <v>3002</v>
      </c>
      <c r="C42" s="2">
        <v>1000</v>
      </c>
      <c r="D42" s="2">
        <v>50</v>
      </c>
      <c r="E42">
        <f t="shared" si="0"/>
        <v>11.875</v>
      </c>
      <c r="F42" s="2"/>
      <c r="G42" s="2"/>
      <c r="H42" s="2"/>
    </row>
    <row r="43" spans="1:8">
      <c r="A43" s="2" t="s">
        <v>387</v>
      </c>
      <c r="B43" s="2">
        <f>VLOOKUP(A43,CHOOSE({1,2},[3]D_avatar!$E$2:$E$81,[3]D_avatar!$A$2:$A$81),2,FALSE)</f>
        <v>3003</v>
      </c>
      <c r="C43" s="2">
        <v>1000</v>
      </c>
      <c r="D43" s="2">
        <v>50</v>
      </c>
      <c r="E43">
        <f t="shared" si="0"/>
        <v>11.875</v>
      </c>
      <c r="F43" s="2" t="s">
        <v>736</v>
      </c>
      <c r="G43" s="2" t="s">
        <v>280</v>
      </c>
      <c r="H43" s="2" t="s">
        <v>280</v>
      </c>
    </row>
    <row r="44" spans="1:8">
      <c r="A44" s="2" t="s">
        <v>388</v>
      </c>
      <c r="B44" s="2">
        <f>VLOOKUP(A44,CHOOSE({1,2},[3]D_avatar!$E$2:$E$81,[3]D_avatar!$A$2:$A$81),2,FALSE)</f>
        <v>3004</v>
      </c>
      <c r="C44" s="2">
        <v>1000</v>
      </c>
      <c r="D44" s="2">
        <v>50</v>
      </c>
      <c r="E44">
        <f t="shared" si="0"/>
        <v>11.875</v>
      </c>
      <c r="F44" s="2"/>
      <c r="G44" s="2"/>
      <c r="H44" s="2"/>
    </row>
    <row r="45" spans="1:8">
      <c r="A45" s="2" t="s">
        <v>389</v>
      </c>
      <c r="B45" s="2">
        <f>VLOOKUP(A45,CHOOSE({1,2},[3]D_avatar!$E$2:$E$81,[3]D_avatar!$A$2:$A$81),2,FALSE)</f>
        <v>3005</v>
      </c>
      <c r="C45" s="2">
        <v>1000</v>
      </c>
      <c r="D45" s="2">
        <v>50</v>
      </c>
      <c r="E45">
        <f t="shared" si="0"/>
        <v>11.875</v>
      </c>
      <c r="F45" s="2" t="s">
        <v>281</v>
      </c>
      <c r="G45" s="2" t="s">
        <v>281</v>
      </c>
      <c r="H45" s="2" t="s">
        <v>281</v>
      </c>
    </row>
    <row r="46" spans="1:8">
      <c r="A46" s="2" t="s">
        <v>390</v>
      </c>
      <c r="B46" s="2">
        <f>VLOOKUP(A46,CHOOSE({1,2},[3]D_avatar!$E$2:$E$81,[3]D_avatar!$A$2:$A$81),2,FALSE)</f>
        <v>3006</v>
      </c>
      <c r="C46" s="2">
        <v>1000</v>
      </c>
      <c r="D46" s="2">
        <v>50</v>
      </c>
      <c r="E46">
        <f t="shared" si="0"/>
        <v>11.875</v>
      </c>
      <c r="F46" s="2"/>
      <c r="G46" s="2"/>
      <c r="H46" s="2"/>
    </row>
    <row r="47" spans="1:8">
      <c r="A47" s="2" t="s">
        <v>391</v>
      </c>
      <c r="B47" s="2">
        <f>VLOOKUP(A47,CHOOSE({1,2},[3]D_avatar!$E$2:$E$81,[3]D_avatar!$A$2:$A$81),2,FALSE)</f>
        <v>3007</v>
      </c>
      <c r="C47" s="2">
        <v>1000</v>
      </c>
      <c r="D47" s="2">
        <v>50</v>
      </c>
      <c r="E47">
        <f t="shared" si="0"/>
        <v>11.875</v>
      </c>
      <c r="F47" s="2"/>
      <c r="G47" s="2"/>
      <c r="H47" s="2"/>
    </row>
    <row r="48" spans="1:8">
      <c r="A48" s="2" t="s">
        <v>392</v>
      </c>
      <c r="B48" s="2">
        <f>VLOOKUP(A48,CHOOSE({1,2},[3]D_avatar!$E$2:$E$81,[3]D_avatar!$A$2:$A$81),2,FALSE)</f>
        <v>3008</v>
      </c>
      <c r="C48" s="2">
        <v>1000</v>
      </c>
      <c r="D48" s="2">
        <v>50</v>
      </c>
      <c r="E48">
        <f t="shared" si="0"/>
        <v>11.875</v>
      </c>
      <c r="F48" s="2"/>
      <c r="G48" s="2"/>
      <c r="H48" s="2"/>
    </row>
    <row r="49" spans="1:8">
      <c r="A49" s="2" t="s">
        <v>393</v>
      </c>
      <c r="B49" s="2">
        <f>VLOOKUP(A49,CHOOSE({1,2},[3]D_avatar!$E$2:$E$81,[3]D_avatar!$A$2:$A$81),2,FALSE)</f>
        <v>3009</v>
      </c>
      <c r="C49" s="2">
        <v>1000</v>
      </c>
      <c r="D49" s="2">
        <v>50</v>
      </c>
      <c r="E49">
        <f t="shared" si="0"/>
        <v>11.875</v>
      </c>
      <c r="F49" s="2"/>
      <c r="G49" s="2"/>
      <c r="H49" s="2"/>
    </row>
    <row r="50" spans="1:8">
      <c r="A50" s="2" t="s">
        <v>394</v>
      </c>
      <c r="B50" s="2">
        <f>VLOOKUP(A50,CHOOSE({1,2},[3]D_avatar!$E$2:$E$81,[3]D_avatar!$A$2:$A$81),2,FALSE)</f>
        <v>3010</v>
      </c>
      <c r="C50" s="2">
        <v>1000</v>
      </c>
      <c r="D50" s="2">
        <v>50</v>
      </c>
      <c r="E50">
        <f t="shared" si="0"/>
        <v>11.875</v>
      </c>
      <c r="F50" s="2"/>
      <c r="G50" s="2"/>
      <c r="H50" s="2"/>
    </row>
    <row r="51" spans="1:8">
      <c r="A51" s="73" t="s">
        <v>728</v>
      </c>
      <c r="B51">
        <v>11</v>
      </c>
      <c r="C51" s="73">
        <v>500</v>
      </c>
      <c r="D51" s="2">
        <v>50</v>
      </c>
      <c r="E51">
        <f t="shared" si="0"/>
        <v>5.625</v>
      </c>
      <c r="F51" s="2" t="s">
        <v>733</v>
      </c>
      <c r="G51" s="2" t="s">
        <v>733</v>
      </c>
      <c r="H51" s="2" t="s">
        <v>733</v>
      </c>
    </row>
    <row r="52" spans="1:8">
      <c r="A52" s="73" t="s">
        <v>730</v>
      </c>
      <c r="B52">
        <v>12</v>
      </c>
      <c r="C52" s="73">
        <v>500</v>
      </c>
      <c r="D52" s="2">
        <v>50</v>
      </c>
      <c r="E52">
        <f t="shared" si="0"/>
        <v>5.625</v>
      </c>
      <c r="F52" s="2" t="s">
        <v>734</v>
      </c>
      <c r="G52" s="2" t="s">
        <v>734</v>
      </c>
      <c r="H52" s="2" t="s">
        <v>734</v>
      </c>
    </row>
    <row r="53" spans="1:8">
      <c r="A53" s="73" t="s">
        <v>732</v>
      </c>
      <c r="B53">
        <v>13</v>
      </c>
      <c r="C53" s="73">
        <v>500</v>
      </c>
      <c r="D53" s="2">
        <v>50</v>
      </c>
      <c r="E53">
        <f t="shared" si="0"/>
        <v>5.625</v>
      </c>
      <c r="F53" s="2" t="s">
        <v>735</v>
      </c>
      <c r="G53" s="2" t="s">
        <v>735</v>
      </c>
      <c r="H53" s="2" t="s">
        <v>735</v>
      </c>
    </row>
  </sheetData>
  <phoneticPr fontId="1" type="noConversion"/>
  <conditionalFormatting sqref="H3">
    <cfRule type="expression" dxfId="554" priority="497">
      <formula>$E3=8</formula>
    </cfRule>
  </conditionalFormatting>
  <conditionalFormatting sqref="H3">
    <cfRule type="expression" dxfId="553" priority="498">
      <formula>$E3=7</formula>
    </cfRule>
    <cfRule type="expression" dxfId="552" priority="499">
      <formula>$E3=6</formula>
    </cfRule>
    <cfRule type="expression" dxfId="551" priority="500">
      <formula>$E3=5</formula>
    </cfRule>
    <cfRule type="expression" dxfId="550" priority="501">
      <formula>$E3=4</formula>
    </cfRule>
    <cfRule type="expression" dxfId="549" priority="502">
      <formula>$E3=3</formula>
    </cfRule>
    <cfRule type="expression" dxfId="548" priority="503">
      <formula>$E3=2</formula>
    </cfRule>
    <cfRule type="expression" dxfId="547" priority="504">
      <formula>$E3=1</formula>
    </cfRule>
  </conditionalFormatting>
  <conditionalFormatting sqref="H4">
    <cfRule type="expression" dxfId="546" priority="489">
      <formula>$E4=8</formula>
    </cfRule>
  </conditionalFormatting>
  <conditionalFormatting sqref="H4">
    <cfRule type="expression" dxfId="545" priority="490">
      <formula>$E4=7</formula>
    </cfRule>
    <cfRule type="expression" dxfId="544" priority="491">
      <formula>$E4=6</formula>
    </cfRule>
    <cfRule type="expression" dxfId="543" priority="492">
      <formula>$E4=5</formula>
    </cfRule>
    <cfRule type="expression" dxfId="542" priority="493">
      <formula>$E4=4</formula>
    </cfRule>
    <cfRule type="expression" dxfId="541" priority="494">
      <formula>$E4=3</formula>
    </cfRule>
    <cfRule type="expression" dxfId="540" priority="495">
      <formula>$E4=2</formula>
    </cfRule>
    <cfRule type="expression" dxfId="539" priority="496">
      <formula>$E4=1</formula>
    </cfRule>
  </conditionalFormatting>
  <conditionalFormatting sqref="H5">
    <cfRule type="expression" dxfId="538" priority="481">
      <formula>$E5=8</formula>
    </cfRule>
  </conditionalFormatting>
  <conditionalFormatting sqref="H5">
    <cfRule type="expression" dxfId="537" priority="482">
      <formula>$E5=7</formula>
    </cfRule>
    <cfRule type="expression" dxfId="536" priority="483">
      <formula>$E5=6</formula>
    </cfRule>
    <cfRule type="expression" dxfId="535" priority="484">
      <formula>$E5=5</formula>
    </cfRule>
    <cfRule type="expression" dxfId="534" priority="485">
      <formula>$E5=4</formula>
    </cfRule>
    <cfRule type="expression" dxfId="533" priority="486">
      <formula>$E5=3</formula>
    </cfRule>
    <cfRule type="expression" dxfId="532" priority="487">
      <formula>$E5=2</formula>
    </cfRule>
    <cfRule type="expression" dxfId="531" priority="488">
      <formula>$E5=1</formula>
    </cfRule>
  </conditionalFormatting>
  <conditionalFormatting sqref="H6">
    <cfRule type="expression" dxfId="530" priority="473">
      <formula>$E6=8</formula>
    </cfRule>
  </conditionalFormatting>
  <conditionalFormatting sqref="H6">
    <cfRule type="expression" dxfId="529" priority="474">
      <formula>$E6=7</formula>
    </cfRule>
    <cfRule type="expression" dxfId="528" priority="475">
      <formula>$E6=6</formula>
    </cfRule>
    <cfRule type="expression" dxfId="527" priority="476">
      <formula>$E6=5</formula>
    </cfRule>
    <cfRule type="expression" dxfId="526" priority="477">
      <formula>$E6=4</formula>
    </cfRule>
    <cfRule type="expression" dxfId="525" priority="478">
      <formula>$E6=3</formula>
    </cfRule>
    <cfRule type="expression" dxfId="524" priority="479">
      <formula>$E6=2</formula>
    </cfRule>
    <cfRule type="expression" dxfId="523" priority="480">
      <formula>$E6=1</formula>
    </cfRule>
  </conditionalFormatting>
  <conditionalFormatting sqref="H7">
    <cfRule type="expression" dxfId="522" priority="465">
      <formula>$E7=8</formula>
    </cfRule>
  </conditionalFormatting>
  <conditionalFormatting sqref="H7">
    <cfRule type="expression" dxfId="521" priority="466">
      <formula>$E7=7</formula>
    </cfRule>
    <cfRule type="expression" dxfId="520" priority="467">
      <formula>$E7=6</formula>
    </cfRule>
    <cfRule type="expression" dxfId="519" priority="468">
      <formula>$E7=5</formula>
    </cfRule>
    <cfRule type="expression" dxfId="518" priority="469">
      <formula>$E7=4</formula>
    </cfRule>
    <cfRule type="expression" dxfId="517" priority="470">
      <formula>$E7=3</formula>
    </cfRule>
    <cfRule type="expression" dxfId="516" priority="471">
      <formula>$E7=2</formula>
    </cfRule>
    <cfRule type="expression" dxfId="515" priority="472">
      <formula>$E7=1</formula>
    </cfRule>
  </conditionalFormatting>
  <conditionalFormatting sqref="H10">
    <cfRule type="expression" dxfId="514" priority="457">
      <formula>$E10=8</formula>
    </cfRule>
  </conditionalFormatting>
  <conditionalFormatting sqref="H10">
    <cfRule type="expression" dxfId="513" priority="458">
      <formula>$E10=7</formula>
    </cfRule>
    <cfRule type="expression" dxfId="512" priority="459">
      <formula>$E10=6</formula>
    </cfRule>
    <cfRule type="expression" dxfId="511" priority="460">
      <formula>$E10=5</formula>
    </cfRule>
    <cfRule type="expression" dxfId="510" priority="461">
      <formula>$E10=4</formula>
    </cfRule>
    <cfRule type="expression" dxfId="509" priority="462">
      <formula>$E10=3</formula>
    </cfRule>
    <cfRule type="expression" dxfId="508" priority="463">
      <formula>$E10=2</formula>
    </cfRule>
    <cfRule type="expression" dxfId="507" priority="464">
      <formula>$E10=1</formula>
    </cfRule>
  </conditionalFormatting>
  <conditionalFormatting sqref="H11">
    <cfRule type="expression" dxfId="506" priority="449">
      <formula>$E11=8</formula>
    </cfRule>
  </conditionalFormatting>
  <conditionalFormatting sqref="H11">
    <cfRule type="expression" dxfId="505" priority="450">
      <formula>$E11=7</formula>
    </cfRule>
    <cfRule type="expression" dxfId="504" priority="451">
      <formula>$E11=6</formula>
    </cfRule>
    <cfRule type="expression" dxfId="503" priority="452">
      <formula>$E11=5</formula>
    </cfRule>
    <cfRule type="expression" dxfId="502" priority="453">
      <formula>$E11=4</formula>
    </cfRule>
    <cfRule type="expression" dxfId="501" priority="454">
      <formula>$E11=3</formula>
    </cfRule>
    <cfRule type="expression" dxfId="500" priority="455">
      <formula>$E11=2</formula>
    </cfRule>
    <cfRule type="expression" dxfId="499" priority="456">
      <formula>$E11=1</formula>
    </cfRule>
  </conditionalFormatting>
  <conditionalFormatting sqref="H14">
    <cfRule type="expression" dxfId="498" priority="441">
      <formula>$E12=8</formula>
    </cfRule>
  </conditionalFormatting>
  <conditionalFormatting sqref="H14">
    <cfRule type="expression" dxfId="497" priority="442">
      <formula>$E12=7</formula>
    </cfRule>
    <cfRule type="expression" dxfId="496" priority="443">
      <formula>$E12=6</formula>
    </cfRule>
    <cfRule type="expression" dxfId="495" priority="444">
      <formula>$E12=5</formula>
    </cfRule>
    <cfRule type="expression" dxfId="494" priority="445">
      <formula>$E12=4</formula>
    </cfRule>
    <cfRule type="expression" dxfId="493" priority="446">
      <formula>$E12=3</formula>
    </cfRule>
    <cfRule type="expression" dxfId="492" priority="447">
      <formula>$E12=2</formula>
    </cfRule>
    <cfRule type="expression" dxfId="491" priority="448">
      <formula>$E12=1</formula>
    </cfRule>
  </conditionalFormatting>
  <conditionalFormatting sqref="H12">
    <cfRule type="expression" dxfId="490" priority="433">
      <formula>$E13=8</formula>
    </cfRule>
  </conditionalFormatting>
  <conditionalFormatting sqref="H12">
    <cfRule type="expression" dxfId="489" priority="434">
      <formula>$E13=7</formula>
    </cfRule>
    <cfRule type="expression" dxfId="488" priority="435">
      <formula>$E13=6</formula>
    </cfRule>
    <cfRule type="expression" dxfId="487" priority="436">
      <formula>$E13=5</formula>
    </cfRule>
    <cfRule type="expression" dxfId="486" priority="437">
      <formula>$E13=4</formula>
    </cfRule>
    <cfRule type="expression" dxfId="485" priority="438">
      <formula>$E13=3</formula>
    </cfRule>
    <cfRule type="expression" dxfId="484" priority="439">
      <formula>$E13=2</formula>
    </cfRule>
    <cfRule type="expression" dxfId="483" priority="440">
      <formula>$E13=1</formula>
    </cfRule>
  </conditionalFormatting>
  <conditionalFormatting sqref="H13">
    <cfRule type="expression" dxfId="482" priority="425">
      <formula>$E13=8</formula>
    </cfRule>
  </conditionalFormatting>
  <conditionalFormatting sqref="H13">
    <cfRule type="expression" dxfId="481" priority="426">
      <formula>$E13=7</formula>
    </cfRule>
    <cfRule type="expression" dxfId="480" priority="427">
      <formula>$E13=6</formula>
    </cfRule>
    <cfRule type="expression" dxfId="479" priority="428">
      <formula>$E13=5</formula>
    </cfRule>
    <cfRule type="expression" dxfId="478" priority="429">
      <formula>$E13=4</formula>
    </cfRule>
    <cfRule type="expression" dxfId="477" priority="430">
      <formula>$E13=3</formula>
    </cfRule>
    <cfRule type="expression" dxfId="476" priority="431">
      <formula>$E13=2</formula>
    </cfRule>
    <cfRule type="expression" dxfId="475" priority="432">
      <formula>$E13=1</formula>
    </cfRule>
  </conditionalFormatting>
  <conditionalFormatting sqref="H15">
    <cfRule type="expression" dxfId="474" priority="417">
      <formula>$E15=8</formula>
    </cfRule>
  </conditionalFormatting>
  <conditionalFormatting sqref="H15">
    <cfRule type="expression" dxfId="473" priority="418">
      <formula>$E15=7</formula>
    </cfRule>
    <cfRule type="expression" dxfId="472" priority="419">
      <formula>$E15=6</formula>
    </cfRule>
    <cfRule type="expression" dxfId="471" priority="420">
      <formula>$E15=5</formula>
    </cfRule>
    <cfRule type="expression" dxfId="470" priority="421">
      <formula>$E15=4</formula>
    </cfRule>
    <cfRule type="expression" dxfId="469" priority="422">
      <formula>$E15=3</formula>
    </cfRule>
    <cfRule type="expression" dxfId="468" priority="423">
      <formula>$E15=2</formula>
    </cfRule>
    <cfRule type="expression" dxfId="467" priority="424">
      <formula>$E15=1</formula>
    </cfRule>
  </conditionalFormatting>
  <conditionalFormatting sqref="H17">
    <cfRule type="expression" dxfId="466" priority="409">
      <formula>$E17=8</formula>
    </cfRule>
  </conditionalFormatting>
  <conditionalFormatting sqref="H17">
    <cfRule type="expression" dxfId="465" priority="410">
      <formula>$E17=7</formula>
    </cfRule>
    <cfRule type="expression" dxfId="464" priority="411">
      <formula>$E17=6</formula>
    </cfRule>
    <cfRule type="expression" dxfId="463" priority="412">
      <formula>$E17=5</formula>
    </cfRule>
    <cfRule type="expression" dxfId="462" priority="413">
      <formula>$E17=4</formula>
    </cfRule>
    <cfRule type="expression" dxfId="461" priority="414">
      <formula>$E17=3</formula>
    </cfRule>
    <cfRule type="expression" dxfId="460" priority="415">
      <formula>$E17=2</formula>
    </cfRule>
    <cfRule type="expression" dxfId="459" priority="416">
      <formula>$E17=1</formula>
    </cfRule>
  </conditionalFormatting>
  <conditionalFormatting sqref="H18">
    <cfRule type="expression" dxfId="458" priority="401">
      <formula>$E18=8</formula>
    </cfRule>
  </conditionalFormatting>
  <conditionalFormatting sqref="H18">
    <cfRule type="expression" dxfId="457" priority="402">
      <formula>$E18=7</formula>
    </cfRule>
    <cfRule type="expression" dxfId="456" priority="403">
      <formula>$E18=6</formula>
    </cfRule>
    <cfRule type="expression" dxfId="455" priority="404">
      <formula>$E18=5</formula>
    </cfRule>
    <cfRule type="expression" dxfId="454" priority="405">
      <formula>$E18=4</formula>
    </cfRule>
    <cfRule type="expression" dxfId="453" priority="406">
      <formula>$E18=3</formula>
    </cfRule>
    <cfRule type="expression" dxfId="452" priority="407">
      <formula>$E18=2</formula>
    </cfRule>
    <cfRule type="expression" dxfId="451" priority="408">
      <formula>$E18=1</formula>
    </cfRule>
  </conditionalFormatting>
  <conditionalFormatting sqref="H19">
    <cfRule type="expression" dxfId="450" priority="393">
      <formula>$E19=8</formula>
    </cfRule>
  </conditionalFormatting>
  <conditionalFormatting sqref="H19">
    <cfRule type="expression" dxfId="449" priority="394">
      <formula>$E19=7</formula>
    </cfRule>
    <cfRule type="expression" dxfId="448" priority="395">
      <formula>$E19=6</formula>
    </cfRule>
    <cfRule type="expression" dxfId="447" priority="396">
      <formula>$E19=5</formula>
    </cfRule>
    <cfRule type="expression" dxfId="446" priority="397">
      <formula>$E19=4</formula>
    </cfRule>
    <cfRule type="expression" dxfId="445" priority="398">
      <formula>$E19=3</formula>
    </cfRule>
    <cfRule type="expression" dxfId="444" priority="399">
      <formula>$E19=2</formula>
    </cfRule>
    <cfRule type="expression" dxfId="443" priority="400">
      <formula>$E19=1</formula>
    </cfRule>
  </conditionalFormatting>
  <conditionalFormatting sqref="H20">
    <cfRule type="expression" dxfId="442" priority="385">
      <formula>$E20=8</formula>
    </cfRule>
  </conditionalFormatting>
  <conditionalFormatting sqref="H20">
    <cfRule type="expression" dxfId="441" priority="386">
      <formula>$E20=7</formula>
    </cfRule>
    <cfRule type="expression" dxfId="440" priority="387">
      <formula>$E20=6</formula>
    </cfRule>
    <cfRule type="expression" dxfId="439" priority="388">
      <formula>$E20=5</formula>
    </cfRule>
    <cfRule type="expression" dxfId="438" priority="389">
      <formula>$E20=4</formula>
    </cfRule>
    <cfRule type="expression" dxfId="437" priority="390">
      <formula>$E20=3</formula>
    </cfRule>
    <cfRule type="expression" dxfId="436" priority="391">
      <formula>$E20=2</formula>
    </cfRule>
    <cfRule type="expression" dxfId="435" priority="392">
      <formula>$E20=1</formula>
    </cfRule>
  </conditionalFormatting>
  <conditionalFormatting sqref="H21">
    <cfRule type="expression" dxfId="434" priority="377">
      <formula>$E21=8</formula>
    </cfRule>
  </conditionalFormatting>
  <conditionalFormatting sqref="H21">
    <cfRule type="expression" dxfId="433" priority="378">
      <formula>$E21=7</formula>
    </cfRule>
    <cfRule type="expression" dxfId="432" priority="379">
      <formula>$E21=6</formula>
    </cfRule>
    <cfRule type="expression" dxfId="431" priority="380">
      <formula>$E21=5</formula>
    </cfRule>
    <cfRule type="expression" dxfId="430" priority="381">
      <formula>$E21=4</formula>
    </cfRule>
    <cfRule type="expression" dxfId="429" priority="382">
      <formula>$E21=3</formula>
    </cfRule>
    <cfRule type="expression" dxfId="428" priority="383">
      <formula>$E21=2</formula>
    </cfRule>
    <cfRule type="expression" dxfId="427" priority="384">
      <formula>$E21=1</formula>
    </cfRule>
  </conditionalFormatting>
  <conditionalFormatting sqref="H22">
    <cfRule type="expression" dxfId="426" priority="369">
      <formula>$E22=8</formula>
    </cfRule>
  </conditionalFormatting>
  <conditionalFormatting sqref="H22">
    <cfRule type="expression" dxfId="425" priority="370">
      <formula>$E22=7</formula>
    </cfRule>
    <cfRule type="expression" dxfId="424" priority="371">
      <formula>$E22=6</formula>
    </cfRule>
    <cfRule type="expression" dxfId="423" priority="372">
      <formula>$E22=5</formula>
    </cfRule>
    <cfRule type="expression" dxfId="422" priority="373">
      <formula>$E22=4</formula>
    </cfRule>
    <cfRule type="expression" dxfId="421" priority="374">
      <formula>$E22=3</formula>
    </cfRule>
    <cfRule type="expression" dxfId="420" priority="375">
      <formula>$E22=2</formula>
    </cfRule>
    <cfRule type="expression" dxfId="419" priority="376">
      <formula>$E22=1</formula>
    </cfRule>
  </conditionalFormatting>
  <conditionalFormatting sqref="H23">
    <cfRule type="expression" dxfId="418" priority="361">
      <formula>$E23=8</formula>
    </cfRule>
  </conditionalFormatting>
  <conditionalFormatting sqref="H23">
    <cfRule type="expression" dxfId="417" priority="362">
      <formula>$E23=7</formula>
    </cfRule>
    <cfRule type="expression" dxfId="416" priority="363">
      <formula>$E23=6</formula>
    </cfRule>
    <cfRule type="expression" dxfId="415" priority="364">
      <formula>$E23=5</formula>
    </cfRule>
    <cfRule type="expression" dxfId="414" priority="365">
      <formula>$E23=4</formula>
    </cfRule>
    <cfRule type="expression" dxfId="413" priority="366">
      <formula>$E23=3</formula>
    </cfRule>
    <cfRule type="expression" dxfId="412" priority="367">
      <formula>$E23=2</formula>
    </cfRule>
    <cfRule type="expression" dxfId="411" priority="368">
      <formula>$E23=1</formula>
    </cfRule>
  </conditionalFormatting>
  <conditionalFormatting sqref="H24">
    <cfRule type="expression" dxfId="410" priority="353">
      <formula>$E24=8</formula>
    </cfRule>
  </conditionalFormatting>
  <conditionalFormatting sqref="H24">
    <cfRule type="expression" dxfId="409" priority="354">
      <formula>$E24=7</formula>
    </cfRule>
    <cfRule type="expression" dxfId="408" priority="355">
      <formula>$E24=6</formula>
    </cfRule>
    <cfRule type="expression" dxfId="407" priority="356">
      <formula>$E24=5</formula>
    </cfRule>
    <cfRule type="expression" dxfId="406" priority="357">
      <formula>$E24=4</formula>
    </cfRule>
    <cfRule type="expression" dxfId="405" priority="358">
      <formula>$E24=3</formula>
    </cfRule>
    <cfRule type="expression" dxfId="404" priority="359">
      <formula>$E24=2</formula>
    </cfRule>
    <cfRule type="expression" dxfId="403" priority="360">
      <formula>$E24=1</formula>
    </cfRule>
  </conditionalFormatting>
  <conditionalFormatting sqref="H25">
    <cfRule type="expression" dxfId="402" priority="345">
      <formula>$E25=8</formula>
    </cfRule>
  </conditionalFormatting>
  <conditionalFormatting sqref="H25">
    <cfRule type="expression" dxfId="401" priority="346">
      <formula>$E25=7</formula>
    </cfRule>
    <cfRule type="expression" dxfId="400" priority="347">
      <formula>$E25=6</formula>
    </cfRule>
    <cfRule type="expression" dxfId="399" priority="348">
      <formula>$E25=5</formula>
    </cfRule>
    <cfRule type="expression" dxfId="398" priority="349">
      <formula>$E25=4</formula>
    </cfRule>
    <cfRule type="expression" dxfId="397" priority="350">
      <formula>$E25=3</formula>
    </cfRule>
    <cfRule type="expression" dxfId="396" priority="351">
      <formula>$E25=2</formula>
    </cfRule>
    <cfRule type="expression" dxfId="395" priority="352">
      <formula>$E25=1</formula>
    </cfRule>
  </conditionalFormatting>
  <conditionalFormatting sqref="F39:G40 F42:G42 F44:G44 F5 F31:G37 F2:G3 G4:G6 G8:G22 F9:F11 F22:F25 F14 F17 F19:F20 F46:G53">
    <cfRule type="expression" dxfId="394" priority="337">
      <formula>$E2=8</formula>
    </cfRule>
  </conditionalFormatting>
  <conditionalFormatting sqref="F39:G40 F42:G42 F44:G44 F5 F31:G37 F2:G3 G4:G6 G8:G22 F9:F11 F22:F25 F14 F17 F19:F20 F46:G53">
    <cfRule type="expression" dxfId="393" priority="338">
      <formula>$E2=7</formula>
    </cfRule>
    <cfRule type="expression" dxfId="392" priority="339">
      <formula>$E2=6</formula>
    </cfRule>
    <cfRule type="expression" dxfId="391" priority="340">
      <formula>$E2=5</formula>
    </cfRule>
    <cfRule type="expression" dxfId="390" priority="341">
      <formula>$E2=4</formula>
    </cfRule>
    <cfRule type="expression" dxfId="389" priority="342">
      <formula>$E2=3</formula>
    </cfRule>
    <cfRule type="expression" dxfId="388" priority="343">
      <formula>$E2=2</formula>
    </cfRule>
    <cfRule type="expression" dxfId="387" priority="344">
      <formula>$E2=1</formula>
    </cfRule>
  </conditionalFormatting>
  <conditionalFormatting sqref="F38:G38">
    <cfRule type="expression" dxfId="386" priority="329">
      <formula>$E38=8</formula>
    </cfRule>
  </conditionalFormatting>
  <conditionalFormatting sqref="F38:G38">
    <cfRule type="expression" dxfId="385" priority="330">
      <formula>$E38=7</formula>
    </cfRule>
    <cfRule type="expression" dxfId="384" priority="331">
      <formula>$E38=6</formula>
    </cfRule>
    <cfRule type="expression" dxfId="383" priority="332">
      <formula>$E38=5</formula>
    </cfRule>
    <cfRule type="expression" dxfId="382" priority="333">
      <formula>$E38=4</formula>
    </cfRule>
    <cfRule type="expression" dxfId="381" priority="334">
      <formula>$E38=3</formula>
    </cfRule>
    <cfRule type="expression" dxfId="380" priority="335">
      <formula>$E38=2</formula>
    </cfRule>
    <cfRule type="expression" dxfId="379" priority="336">
      <formula>$E38=1</formula>
    </cfRule>
  </conditionalFormatting>
  <conditionalFormatting sqref="F45:G45">
    <cfRule type="expression" dxfId="378" priority="321">
      <formula>$E45=8</formula>
    </cfRule>
  </conditionalFormatting>
  <conditionalFormatting sqref="F45:G45">
    <cfRule type="expression" dxfId="377" priority="322">
      <formula>$E45=7</formula>
    </cfRule>
    <cfRule type="expression" dxfId="376" priority="323">
      <formula>$E45=6</formula>
    </cfRule>
    <cfRule type="expression" dxfId="375" priority="324">
      <formula>$E45=5</formula>
    </cfRule>
    <cfRule type="expression" dxfId="374" priority="325">
      <formula>$E45=4</formula>
    </cfRule>
    <cfRule type="expression" dxfId="373" priority="326">
      <formula>$E45=3</formula>
    </cfRule>
    <cfRule type="expression" dxfId="372" priority="327">
      <formula>$E45=2</formula>
    </cfRule>
    <cfRule type="expression" dxfId="371" priority="328">
      <formula>$E45=1</formula>
    </cfRule>
  </conditionalFormatting>
  <conditionalFormatting sqref="F41:G41">
    <cfRule type="expression" dxfId="370" priority="313">
      <formula>$E41=8</formula>
    </cfRule>
  </conditionalFormatting>
  <conditionalFormatting sqref="F41:G41">
    <cfRule type="expression" dxfId="369" priority="314">
      <formula>$E41=7</formula>
    </cfRule>
    <cfRule type="expression" dxfId="368" priority="315">
      <formula>$E41=6</formula>
    </cfRule>
    <cfRule type="expression" dxfId="367" priority="316">
      <formula>$E41=5</formula>
    </cfRule>
    <cfRule type="expression" dxfId="366" priority="317">
      <formula>$E41=4</formula>
    </cfRule>
    <cfRule type="expression" dxfId="365" priority="318">
      <formula>$E41=3</formula>
    </cfRule>
    <cfRule type="expression" dxfId="364" priority="319">
      <formula>$E41=2</formula>
    </cfRule>
    <cfRule type="expression" dxfId="363" priority="320">
      <formula>$E41=1</formula>
    </cfRule>
  </conditionalFormatting>
  <conditionalFormatting sqref="F43:G43">
    <cfRule type="expression" dxfId="362" priority="305">
      <formula>$E43=8</formula>
    </cfRule>
  </conditionalFormatting>
  <conditionalFormatting sqref="F43:G43">
    <cfRule type="expression" dxfId="361" priority="306">
      <formula>$E43=7</formula>
    </cfRule>
    <cfRule type="expression" dxfId="360" priority="307">
      <formula>$E43=6</formula>
    </cfRule>
    <cfRule type="expression" dxfId="359" priority="308">
      <formula>$E43=5</formula>
    </cfRule>
    <cfRule type="expression" dxfId="358" priority="309">
      <formula>$E43=4</formula>
    </cfRule>
    <cfRule type="expression" dxfId="357" priority="310">
      <formula>$E43=3</formula>
    </cfRule>
    <cfRule type="expression" dxfId="356" priority="311">
      <formula>$E43=2</formula>
    </cfRule>
    <cfRule type="expression" dxfId="355" priority="312">
      <formula>$E43=1</formula>
    </cfRule>
  </conditionalFormatting>
  <conditionalFormatting sqref="F4">
    <cfRule type="expression" dxfId="354" priority="297">
      <formula>$E4=8</formula>
    </cfRule>
  </conditionalFormatting>
  <conditionalFormatting sqref="F4">
    <cfRule type="expression" dxfId="353" priority="298">
      <formula>$E4=7</formula>
    </cfRule>
    <cfRule type="expression" dxfId="352" priority="299">
      <formula>$E4=6</formula>
    </cfRule>
    <cfRule type="expression" dxfId="351" priority="300">
      <formula>$E4=5</formula>
    </cfRule>
    <cfRule type="expression" dxfId="350" priority="301">
      <formula>$E4=4</formula>
    </cfRule>
    <cfRule type="expression" dxfId="349" priority="302">
      <formula>$E4=3</formula>
    </cfRule>
    <cfRule type="expression" dxfId="348" priority="303">
      <formula>$E4=2</formula>
    </cfRule>
    <cfRule type="expression" dxfId="347" priority="304">
      <formula>$E4=1</formula>
    </cfRule>
  </conditionalFormatting>
  <conditionalFormatting sqref="F6">
    <cfRule type="expression" dxfId="346" priority="289">
      <formula>$E6=8</formula>
    </cfRule>
  </conditionalFormatting>
  <conditionalFormatting sqref="F6">
    <cfRule type="expression" dxfId="345" priority="290">
      <formula>$E6=7</formula>
    </cfRule>
    <cfRule type="expression" dxfId="344" priority="291">
      <formula>$E6=6</formula>
    </cfRule>
    <cfRule type="expression" dxfId="343" priority="292">
      <formula>$E6=5</formula>
    </cfRule>
    <cfRule type="expression" dxfId="342" priority="293">
      <formula>$E6=4</formula>
    </cfRule>
    <cfRule type="expression" dxfId="341" priority="294">
      <formula>$E6=3</formula>
    </cfRule>
    <cfRule type="expression" dxfId="340" priority="295">
      <formula>$E6=2</formula>
    </cfRule>
    <cfRule type="expression" dxfId="339" priority="296">
      <formula>$E6=1</formula>
    </cfRule>
  </conditionalFormatting>
  <conditionalFormatting sqref="G24">
    <cfRule type="expression" dxfId="338" priority="249">
      <formula>$E24=8</formula>
    </cfRule>
  </conditionalFormatting>
  <conditionalFormatting sqref="G24">
    <cfRule type="expression" dxfId="337" priority="250">
      <formula>$E24=7</formula>
    </cfRule>
    <cfRule type="expression" dxfId="336" priority="251">
      <formula>$E24=6</formula>
    </cfRule>
    <cfRule type="expression" dxfId="335" priority="252">
      <formula>$E24=5</formula>
    </cfRule>
    <cfRule type="expression" dxfId="334" priority="253">
      <formula>$E24=4</formula>
    </cfRule>
    <cfRule type="expression" dxfId="333" priority="254">
      <formula>$E24=3</formula>
    </cfRule>
    <cfRule type="expression" dxfId="332" priority="255">
      <formula>$E24=2</formula>
    </cfRule>
    <cfRule type="expression" dxfId="331" priority="256">
      <formula>$E24=1</formula>
    </cfRule>
  </conditionalFormatting>
  <conditionalFormatting sqref="G25">
    <cfRule type="expression" dxfId="330" priority="241">
      <formula>$E25=8</formula>
    </cfRule>
  </conditionalFormatting>
  <conditionalFormatting sqref="G25">
    <cfRule type="expression" dxfId="329" priority="242">
      <formula>$E25=7</formula>
    </cfRule>
    <cfRule type="expression" dxfId="328" priority="243">
      <formula>$E25=6</formula>
    </cfRule>
    <cfRule type="expression" dxfId="327" priority="244">
      <formula>$E25=5</formula>
    </cfRule>
    <cfRule type="expression" dxfId="326" priority="245">
      <formula>$E25=4</formula>
    </cfRule>
    <cfRule type="expression" dxfId="325" priority="246">
      <formula>$E25=3</formula>
    </cfRule>
    <cfRule type="expression" dxfId="324" priority="247">
      <formula>$E25=2</formula>
    </cfRule>
    <cfRule type="expression" dxfId="323" priority="248">
      <formula>$E25=1</formula>
    </cfRule>
  </conditionalFormatting>
  <conditionalFormatting sqref="G23">
    <cfRule type="expression" dxfId="322" priority="233">
      <formula>$E23=8</formula>
    </cfRule>
  </conditionalFormatting>
  <conditionalFormatting sqref="G23">
    <cfRule type="expression" dxfId="321" priority="234">
      <formula>$E23=7</formula>
    </cfRule>
    <cfRule type="expression" dxfId="320" priority="235">
      <formula>$E23=6</formula>
    </cfRule>
    <cfRule type="expression" dxfId="319" priority="236">
      <formula>$E23=5</formula>
    </cfRule>
    <cfRule type="expression" dxfId="318" priority="237">
      <formula>$E23=4</formula>
    </cfRule>
    <cfRule type="expression" dxfId="317" priority="238">
      <formula>$E23=3</formula>
    </cfRule>
    <cfRule type="expression" dxfId="316" priority="239">
      <formula>$E23=2</formula>
    </cfRule>
    <cfRule type="expression" dxfId="315" priority="240">
      <formula>$E23=1</formula>
    </cfRule>
  </conditionalFormatting>
  <conditionalFormatting sqref="G7">
    <cfRule type="expression" dxfId="314" priority="225">
      <formula>$E7=8</formula>
    </cfRule>
  </conditionalFormatting>
  <conditionalFormatting sqref="G7">
    <cfRule type="expression" dxfId="313" priority="226">
      <formula>$E7=7</formula>
    </cfRule>
    <cfRule type="expression" dxfId="312" priority="227">
      <formula>$E7=6</formula>
    </cfRule>
    <cfRule type="expression" dxfId="311" priority="228">
      <formula>$E7=5</formula>
    </cfRule>
    <cfRule type="expression" dxfId="310" priority="229">
      <formula>$E7=4</formula>
    </cfRule>
    <cfRule type="expression" dxfId="309" priority="230">
      <formula>$E7=3</formula>
    </cfRule>
    <cfRule type="expression" dxfId="308" priority="231">
      <formula>$E7=2</formula>
    </cfRule>
    <cfRule type="expression" dxfId="307" priority="232">
      <formula>$E7=1</formula>
    </cfRule>
  </conditionalFormatting>
  <conditionalFormatting sqref="H38">
    <cfRule type="expression" dxfId="306" priority="217">
      <formula>$E38=8</formula>
    </cfRule>
  </conditionalFormatting>
  <conditionalFormatting sqref="H38">
    <cfRule type="expression" dxfId="305" priority="218">
      <formula>$E38=7</formula>
    </cfRule>
    <cfRule type="expression" dxfId="304" priority="219">
      <formula>$E38=6</formula>
    </cfRule>
    <cfRule type="expression" dxfId="303" priority="220">
      <formula>$E38=5</formula>
    </cfRule>
    <cfRule type="expression" dxfId="302" priority="221">
      <formula>$E38=4</formula>
    </cfRule>
    <cfRule type="expression" dxfId="301" priority="222">
      <formula>$E38=3</formula>
    </cfRule>
    <cfRule type="expression" dxfId="300" priority="223">
      <formula>$E38=2</formula>
    </cfRule>
    <cfRule type="expression" dxfId="299" priority="224">
      <formula>$E38=1</formula>
    </cfRule>
  </conditionalFormatting>
  <conditionalFormatting sqref="H41">
    <cfRule type="expression" dxfId="298" priority="209">
      <formula>$E41=8</formula>
    </cfRule>
  </conditionalFormatting>
  <conditionalFormatting sqref="H41">
    <cfRule type="expression" dxfId="297" priority="210">
      <formula>$E41=7</formula>
    </cfRule>
    <cfRule type="expression" dxfId="296" priority="211">
      <formula>$E41=6</formula>
    </cfRule>
    <cfRule type="expression" dxfId="295" priority="212">
      <formula>$E41=5</formula>
    </cfRule>
    <cfRule type="expression" dxfId="294" priority="213">
      <formula>$E41=4</formula>
    </cfRule>
    <cfRule type="expression" dxfId="293" priority="214">
      <formula>$E41=3</formula>
    </cfRule>
    <cfRule type="expression" dxfId="292" priority="215">
      <formula>$E41=2</formula>
    </cfRule>
    <cfRule type="expression" dxfId="291" priority="216">
      <formula>$E41=1</formula>
    </cfRule>
  </conditionalFormatting>
  <conditionalFormatting sqref="H43">
    <cfRule type="expression" dxfId="290" priority="201">
      <formula>$E43=8</formula>
    </cfRule>
  </conditionalFormatting>
  <conditionalFormatting sqref="H43">
    <cfRule type="expression" dxfId="289" priority="202">
      <formula>$E43=7</formula>
    </cfRule>
    <cfRule type="expression" dxfId="288" priority="203">
      <formula>$E43=6</formula>
    </cfRule>
    <cfRule type="expression" dxfId="287" priority="204">
      <formula>$E43=5</formula>
    </cfRule>
    <cfRule type="expression" dxfId="286" priority="205">
      <formula>$E43=4</formula>
    </cfRule>
    <cfRule type="expression" dxfId="285" priority="206">
      <formula>$E43=3</formula>
    </cfRule>
    <cfRule type="expression" dxfId="284" priority="207">
      <formula>$E43=2</formula>
    </cfRule>
    <cfRule type="expression" dxfId="283" priority="208">
      <formula>$E43=1</formula>
    </cfRule>
  </conditionalFormatting>
  <conditionalFormatting sqref="H45">
    <cfRule type="expression" dxfId="282" priority="193">
      <formula>$E45=8</formula>
    </cfRule>
  </conditionalFormatting>
  <conditionalFormatting sqref="H45">
    <cfRule type="expression" dxfId="281" priority="194">
      <formula>$E45=7</formula>
    </cfRule>
    <cfRule type="expression" dxfId="280" priority="195">
      <formula>$E45=6</formula>
    </cfRule>
    <cfRule type="expression" dxfId="279" priority="196">
      <formula>$E45=5</formula>
    </cfRule>
    <cfRule type="expression" dxfId="278" priority="197">
      <formula>$E45=4</formula>
    </cfRule>
    <cfRule type="expression" dxfId="277" priority="198">
      <formula>$E45=3</formula>
    </cfRule>
    <cfRule type="expression" dxfId="276" priority="199">
      <formula>$E45=2</formula>
    </cfRule>
    <cfRule type="expression" dxfId="275" priority="200">
      <formula>$E45=1</formula>
    </cfRule>
  </conditionalFormatting>
  <conditionalFormatting sqref="G29:G30">
    <cfRule type="expression" dxfId="274" priority="161">
      <formula>$E29=8</formula>
    </cfRule>
  </conditionalFormatting>
  <conditionalFormatting sqref="G29:G30">
    <cfRule type="expression" dxfId="273" priority="162">
      <formula>$E29=7</formula>
    </cfRule>
    <cfRule type="expression" dxfId="272" priority="163">
      <formula>$E29=6</formula>
    </cfRule>
    <cfRule type="expression" dxfId="271" priority="164">
      <formula>$E29=5</formula>
    </cfRule>
    <cfRule type="expression" dxfId="270" priority="165">
      <formula>$E29=4</formula>
    </cfRule>
    <cfRule type="expression" dxfId="269" priority="166">
      <formula>$E29=3</formula>
    </cfRule>
    <cfRule type="expression" dxfId="268" priority="167">
      <formula>$E29=2</formula>
    </cfRule>
    <cfRule type="expression" dxfId="267" priority="168">
      <formula>$E29=1</formula>
    </cfRule>
  </conditionalFormatting>
  <conditionalFormatting sqref="H29:H30">
    <cfRule type="expression" dxfId="266" priority="153">
      <formula>$E29=8</formula>
    </cfRule>
  </conditionalFormatting>
  <conditionalFormatting sqref="H29:H30">
    <cfRule type="expression" dxfId="265" priority="154">
      <formula>$E29=7</formula>
    </cfRule>
    <cfRule type="expression" dxfId="264" priority="155">
      <formula>$E29=6</formula>
    </cfRule>
    <cfRule type="expression" dxfId="263" priority="156">
      <formula>$E29=5</formula>
    </cfRule>
    <cfRule type="expression" dxfId="262" priority="157">
      <formula>$E29=4</formula>
    </cfRule>
    <cfRule type="expression" dxfId="261" priority="158">
      <formula>$E29=3</formula>
    </cfRule>
    <cfRule type="expression" dxfId="260" priority="159">
      <formula>$E29=2</formula>
    </cfRule>
    <cfRule type="expression" dxfId="259" priority="160">
      <formula>$E29=1</formula>
    </cfRule>
  </conditionalFormatting>
  <conditionalFormatting sqref="F21">
    <cfRule type="expression" dxfId="258" priority="145">
      <formula>$E21=8</formula>
    </cfRule>
  </conditionalFormatting>
  <conditionalFormatting sqref="F21">
    <cfRule type="expression" dxfId="257" priority="146">
      <formula>$E21=7</formula>
    </cfRule>
    <cfRule type="expression" dxfId="256" priority="147">
      <formula>$E21=6</formula>
    </cfRule>
    <cfRule type="expression" dxfId="255" priority="148">
      <formula>$E21=5</formula>
    </cfRule>
    <cfRule type="expression" dxfId="254" priority="149">
      <formula>$E21=4</formula>
    </cfRule>
    <cfRule type="expression" dxfId="253" priority="150">
      <formula>$E21=3</formula>
    </cfRule>
    <cfRule type="expression" dxfId="252" priority="151">
      <formula>$E21=2</formula>
    </cfRule>
    <cfRule type="expression" dxfId="251" priority="152">
      <formula>$E21=1</formula>
    </cfRule>
  </conditionalFormatting>
  <conditionalFormatting sqref="F13">
    <cfRule type="expression" dxfId="250" priority="137">
      <formula>$E13=8</formula>
    </cfRule>
  </conditionalFormatting>
  <conditionalFormatting sqref="F13">
    <cfRule type="expression" dxfId="249" priority="138">
      <formula>$E13=7</formula>
    </cfRule>
    <cfRule type="expression" dxfId="248" priority="139">
      <formula>$E13=6</formula>
    </cfRule>
    <cfRule type="expression" dxfId="247" priority="140">
      <formula>$E13=5</formula>
    </cfRule>
    <cfRule type="expression" dxfId="246" priority="141">
      <formula>$E13=4</formula>
    </cfRule>
    <cfRule type="expression" dxfId="245" priority="142">
      <formula>$E13=3</formula>
    </cfRule>
    <cfRule type="expression" dxfId="244" priority="143">
      <formula>$E13=2</formula>
    </cfRule>
    <cfRule type="expression" dxfId="243" priority="144">
      <formula>$E13=1</formula>
    </cfRule>
  </conditionalFormatting>
  <conditionalFormatting sqref="F7">
    <cfRule type="expression" dxfId="242" priority="129">
      <formula>$E7=8</formula>
    </cfRule>
  </conditionalFormatting>
  <conditionalFormatting sqref="F7">
    <cfRule type="expression" dxfId="241" priority="130">
      <formula>$E7=7</formula>
    </cfRule>
    <cfRule type="expression" dxfId="240" priority="131">
      <formula>$E7=6</formula>
    </cfRule>
    <cfRule type="expression" dxfId="239" priority="132">
      <formula>$E7=5</formula>
    </cfRule>
    <cfRule type="expression" dxfId="238" priority="133">
      <formula>$E7=4</formula>
    </cfRule>
    <cfRule type="expression" dxfId="237" priority="134">
      <formula>$E7=3</formula>
    </cfRule>
    <cfRule type="expression" dxfId="236" priority="135">
      <formula>$E7=2</formula>
    </cfRule>
    <cfRule type="expression" dxfId="235" priority="136">
      <formula>$E7=1</formula>
    </cfRule>
  </conditionalFormatting>
  <conditionalFormatting sqref="F15">
    <cfRule type="expression" dxfId="234" priority="121">
      <formula>$E15=8</formula>
    </cfRule>
  </conditionalFormatting>
  <conditionalFormatting sqref="F15">
    <cfRule type="expression" dxfId="233" priority="122">
      <formula>$E15=7</formula>
    </cfRule>
    <cfRule type="expression" dxfId="232" priority="123">
      <formula>$E15=6</formula>
    </cfRule>
    <cfRule type="expression" dxfId="231" priority="124">
      <formula>$E15=5</formula>
    </cfRule>
    <cfRule type="expression" dxfId="230" priority="125">
      <formula>$E15=4</formula>
    </cfRule>
    <cfRule type="expression" dxfId="229" priority="126">
      <formula>$E15=3</formula>
    </cfRule>
    <cfRule type="expression" dxfId="228" priority="127">
      <formula>$E15=2</formula>
    </cfRule>
    <cfRule type="expression" dxfId="227" priority="128">
      <formula>$E15=1</formula>
    </cfRule>
  </conditionalFormatting>
  <conditionalFormatting sqref="F16">
    <cfRule type="expression" dxfId="226" priority="113">
      <formula>$E16=8</formula>
    </cfRule>
  </conditionalFormatting>
  <conditionalFormatting sqref="F16">
    <cfRule type="expression" dxfId="225" priority="114">
      <formula>$E16=7</formula>
    </cfRule>
    <cfRule type="expression" dxfId="224" priority="115">
      <formula>$E16=6</formula>
    </cfRule>
    <cfRule type="expression" dxfId="223" priority="116">
      <formula>$E16=5</formula>
    </cfRule>
    <cfRule type="expression" dxfId="222" priority="117">
      <formula>$E16=4</formula>
    </cfRule>
    <cfRule type="expression" dxfId="221" priority="118">
      <formula>$E16=3</formula>
    </cfRule>
    <cfRule type="expression" dxfId="220" priority="119">
      <formula>$E16=2</formula>
    </cfRule>
    <cfRule type="expression" dxfId="219" priority="120">
      <formula>$E16=1</formula>
    </cfRule>
  </conditionalFormatting>
  <conditionalFormatting sqref="F27">
    <cfRule type="expression" dxfId="218" priority="105">
      <formula>$E27=8</formula>
    </cfRule>
  </conditionalFormatting>
  <conditionalFormatting sqref="F27">
    <cfRule type="expression" dxfId="217" priority="106">
      <formula>$E27=7</formula>
    </cfRule>
    <cfRule type="expression" dxfId="216" priority="107">
      <formula>$E27=6</formula>
    </cfRule>
    <cfRule type="expression" dxfId="215" priority="108">
      <formula>$E27=5</formula>
    </cfRule>
    <cfRule type="expression" dxfId="214" priority="109">
      <formula>$E27=4</formula>
    </cfRule>
    <cfRule type="expression" dxfId="213" priority="110">
      <formula>$E27=3</formula>
    </cfRule>
    <cfRule type="expression" dxfId="212" priority="111">
      <formula>$E27=2</formula>
    </cfRule>
    <cfRule type="expression" dxfId="211" priority="112">
      <formula>$E27=1</formula>
    </cfRule>
  </conditionalFormatting>
  <conditionalFormatting sqref="F26">
    <cfRule type="expression" dxfId="210" priority="97">
      <formula>$E26=8</formula>
    </cfRule>
  </conditionalFormatting>
  <conditionalFormatting sqref="F26">
    <cfRule type="expression" dxfId="209" priority="98">
      <formula>$E26=7</formula>
    </cfRule>
    <cfRule type="expression" dxfId="208" priority="99">
      <formula>$E26=6</formula>
    </cfRule>
    <cfRule type="expression" dxfId="207" priority="100">
      <formula>$E26=5</formula>
    </cfRule>
    <cfRule type="expression" dxfId="206" priority="101">
      <formula>$E26=4</formula>
    </cfRule>
    <cfRule type="expression" dxfId="205" priority="102">
      <formula>$E26=3</formula>
    </cfRule>
    <cfRule type="expression" dxfId="204" priority="103">
      <formula>$E26=2</formula>
    </cfRule>
    <cfRule type="expression" dxfId="203" priority="104">
      <formula>$E26=1</formula>
    </cfRule>
  </conditionalFormatting>
  <conditionalFormatting sqref="F28">
    <cfRule type="expression" dxfId="202" priority="89">
      <formula>$E28=8</formula>
    </cfRule>
  </conditionalFormatting>
  <conditionalFormatting sqref="F28">
    <cfRule type="expression" dxfId="201" priority="90">
      <formula>$E28=7</formula>
    </cfRule>
    <cfRule type="expression" dxfId="200" priority="91">
      <formula>$E28=6</formula>
    </cfRule>
    <cfRule type="expression" dxfId="199" priority="92">
      <formula>$E28=5</formula>
    </cfRule>
    <cfRule type="expression" dxfId="198" priority="93">
      <formula>$E28=4</formula>
    </cfRule>
    <cfRule type="expression" dxfId="197" priority="94">
      <formula>$E28=3</formula>
    </cfRule>
    <cfRule type="expression" dxfId="196" priority="95">
      <formula>$E28=2</formula>
    </cfRule>
    <cfRule type="expression" dxfId="195" priority="96">
      <formula>$E28=1</formula>
    </cfRule>
  </conditionalFormatting>
  <conditionalFormatting sqref="F29:F30">
    <cfRule type="expression" dxfId="194" priority="81">
      <formula>$E29=8</formula>
    </cfRule>
  </conditionalFormatting>
  <conditionalFormatting sqref="F29:F30">
    <cfRule type="expression" dxfId="193" priority="82">
      <formula>$E29=7</formula>
    </cfRule>
    <cfRule type="expression" dxfId="192" priority="83">
      <formula>$E29=6</formula>
    </cfRule>
    <cfRule type="expression" dxfId="191" priority="84">
      <formula>$E29=5</formula>
    </cfRule>
    <cfRule type="expression" dxfId="190" priority="85">
      <formula>$E29=4</formula>
    </cfRule>
    <cfRule type="expression" dxfId="189" priority="86">
      <formula>$E29=3</formula>
    </cfRule>
    <cfRule type="expression" dxfId="188" priority="87">
      <formula>$E29=2</formula>
    </cfRule>
    <cfRule type="expression" dxfId="187" priority="88">
      <formula>$E29=1</formula>
    </cfRule>
  </conditionalFormatting>
  <conditionalFormatting sqref="F18">
    <cfRule type="expression" dxfId="186" priority="73">
      <formula>$E18=8</formula>
    </cfRule>
  </conditionalFormatting>
  <conditionalFormatting sqref="F18">
    <cfRule type="expression" dxfId="185" priority="74">
      <formula>$E18=7</formula>
    </cfRule>
    <cfRule type="expression" dxfId="184" priority="75">
      <formula>$E18=6</formula>
    </cfRule>
    <cfRule type="expression" dxfId="183" priority="76">
      <formula>$E18=5</formula>
    </cfRule>
    <cfRule type="expression" dxfId="182" priority="77">
      <formula>$E18=4</formula>
    </cfRule>
    <cfRule type="expression" dxfId="181" priority="78">
      <formula>$E18=3</formula>
    </cfRule>
    <cfRule type="expression" dxfId="180" priority="79">
      <formula>$E18=2</formula>
    </cfRule>
    <cfRule type="expression" dxfId="179" priority="80">
      <formula>$E18=1</formula>
    </cfRule>
  </conditionalFormatting>
  <conditionalFormatting sqref="F8">
    <cfRule type="expression" dxfId="178" priority="65">
      <formula>$E8=8</formula>
    </cfRule>
  </conditionalFormatting>
  <conditionalFormatting sqref="F8">
    <cfRule type="expression" dxfId="177" priority="66">
      <formula>$E8=7</formula>
    </cfRule>
    <cfRule type="expression" dxfId="176" priority="67">
      <formula>$E8=6</formula>
    </cfRule>
    <cfRule type="expression" dxfId="175" priority="68">
      <formula>$E8=5</formula>
    </cfRule>
    <cfRule type="expression" dxfId="174" priority="69">
      <formula>$E8=4</formula>
    </cfRule>
    <cfRule type="expression" dxfId="173" priority="70">
      <formula>$E8=3</formula>
    </cfRule>
    <cfRule type="expression" dxfId="172" priority="71">
      <formula>$E8=2</formula>
    </cfRule>
    <cfRule type="expression" dxfId="171" priority="72">
      <formula>$E8=1</formula>
    </cfRule>
  </conditionalFormatting>
  <conditionalFormatting sqref="H8">
    <cfRule type="expression" dxfId="170" priority="57">
      <formula>$E8=8</formula>
    </cfRule>
  </conditionalFormatting>
  <conditionalFormatting sqref="H8">
    <cfRule type="expression" dxfId="169" priority="58">
      <formula>$E8=7</formula>
    </cfRule>
    <cfRule type="expression" dxfId="168" priority="59">
      <formula>$E8=6</formula>
    </cfRule>
    <cfRule type="expression" dxfId="167" priority="60">
      <formula>$E8=5</formula>
    </cfRule>
    <cfRule type="expression" dxfId="166" priority="61">
      <formula>$E8=4</formula>
    </cfRule>
    <cfRule type="expression" dxfId="165" priority="62">
      <formula>$E8=3</formula>
    </cfRule>
    <cfRule type="expression" dxfId="164" priority="63">
      <formula>$E8=2</formula>
    </cfRule>
    <cfRule type="expression" dxfId="163" priority="64">
      <formula>$E8=1</formula>
    </cfRule>
  </conditionalFormatting>
  <conditionalFormatting sqref="H9">
    <cfRule type="expression" dxfId="162" priority="49">
      <formula>$E9=8</formula>
    </cfRule>
  </conditionalFormatting>
  <conditionalFormatting sqref="H9">
    <cfRule type="expression" dxfId="161" priority="50">
      <formula>$E9=7</formula>
    </cfRule>
    <cfRule type="expression" dxfId="160" priority="51">
      <formula>$E9=6</formula>
    </cfRule>
    <cfRule type="expression" dxfId="159" priority="52">
      <formula>$E9=5</formula>
    </cfRule>
    <cfRule type="expression" dxfId="158" priority="53">
      <formula>$E9=4</formula>
    </cfRule>
    <cfRule type="expression" dxfId="157" priority="54">
      <formula>$E9=3</formula>
    </cfRule>
    <cfRule type="expression" dxfId="156" priority="55">
      <formula>$E9=2</formula>
    </cfRule>
    <cfRule type="expression" dxfId="155" priority="56">
      <formula>$E9=1</formula>
    </cfRule>
  </conditionalFormatting>
  <conditionalFormatting sqref="H16">
    <cfRule type="expression" dxfId="154" priority="41">
      <formula>$E16=8</formula>
    </cfRule>
  </conditionalFormatting>
  <conditionalFormatting sqref="H16">
    <cfRule type="expression" dxfId="153" priority="42">
      <formula>$E16=7</formula>
    </cfRule>
    <cfRule type="expression" dxfId="152" priority="43">
      <formula>$E16=6</formula>
    </cfRule>
    <cfRule type="expression" dxfId="151" priority="44">
      <formula>$E16=5</formula>
    </cfRule>
    <cfRule type="expression" dxfId="150" priority="45">
      <formula>$E16=4</formula>
    </cfRule>
    <cfRule type="expression" dxfId="149" priority="46">
      <formula>$E16=3</formula>
    </cfRule>
    <cfRule type="expression" dxfId="148" priority="47">
      <formula>$E16=2</formula>
    </cfRule>
    <cfRule type="expression" dxfId="147" priority="48">
      <formula>$E16=1</formula>
    </cfRule>
  </conditionalFormatting>
  <conditionalFormatting sqref="H51">
    <cfRule type="expression" dxfId="146" priority="25">
      <formula>$E51=8</formula>
    </cfRule>
  </conditionalFormatting>
  <conditionalFormatting sqref="H51">
    <cfRule type="expression" dxfId="145" priority="26">
      <formula>$E51=7</formula>
    </cfRule>
    <cfRule type="expression" dxfId="144" priority="27">
      <formula>$E51=6</formula>
    </cfRule>
    <cfRule type="expression" dxfId="143" priority="28">
      <formula>$E51=5</formula>
    </cfRule>
    <cfRule type="expression" dxfId="142" priority="29">
      <formula>$E51=4</formula>
    </cfRule>
    <cfRule type="expression" dxfId="141" priority="30">
      <formula>$E51=3</formula>
    </cfRule>
    <cfRule type="expression" dxfId="140" priority="31">
      <formula>$E51=2</formula>
    </cfRule>
    <cfRule type="expression" dxfId="139" priority="32">
      <formula>$E51=1</formula>
    </cfRule>
  </conditionalFormatting>
  <conditionalFormatting sqref="H52">
    <cfRule type="expression" dxfId="138" priority="17">
      <formula>$E52=8</formula>
    </cfRule>
  </conditionalFormatting>
  <conditionalFormatting sqref="H52">
    <cfRule type="expression" dxfId="137" priority="18">
      <formula>$E52=7</formula>
    </cfRule>
    <cfRule type="expression" dxfId="136" priority="19">
      <formula>$E52=6</formula>
    </cfRule>
    <cfRule type="expression" dxfId="135" priority="20">
      <formula>$E52=5</formula>
    </cfRule>
    <cfRule type="expression" dxfId="134" priority="21">
      <formula>$E52=4</formula>
    </cfRule>
    <cfRule type="expression" dxfId="133" priority="22">
      <formula>$E52=3</formula>
    </cfRule>
    <cfRule type="expression" dxfId="132" priority="23">
      <formula>$E52=2</formula>
    </cfRule>
    <cfRule type="expression" dxfId="131" priority="24">
      <formula>$E52=1</formula>
    </cfRule>
  </conditionalFormatting>
  <conditionalFormatting sqref="H53">
    <cfRule type="expression" dxfId="130" priority="9">
      <formula>$E53=8</formula>
    </cfRule>
  </conditionalFormatting>
  <conditionalFormatting sqref="H53">
    <cfRule type="expression" dxfId="129" priority="10">
      <formula>$E53=7</formula>
    </cfRule>
    <cfRule type="expression" dxfId="128" priority="11">
      <formula>$E53=6</formula>
    </cfRule>
    <cfRule type="expression" dxfId="127" priority="12">
      <formula>$E53=5</formula>
    </cfRule>
    <cfRule type="expression" dxfId="126" priority="13">
      <formula>$E53=4</formula>
    </cfRule>
    <cfRule type="expression" dxfId="125" priority="14">
      <formula>$E53=3</formula>
    </cfRule>
    <cfRule type="expression" dxfId="124" priority="15">
      <formula>$E53=2</formula>
    </cfRule>
    <cfRule type="expression" dxfId="123" priority="16">
      <formula>$E53=1</formula>
    </cfRule>
  </conditionalFormatting>
  <conditionalFormatting sqref="F12">
    <cfRule type="expression" dxfId="122" priority="1">
      <formula>$E12=8</formula>
    </cfRule>
  </conditionalFormatting>
  <conditionalFormatting sqref="F12">
    <cfRule type="expression" dxfId="121" priority="2">
      <formula>$E12=7</formula>
    </cfRule>
    <cfRule type="expression" dxfId="120" priority="3">
      <formula>$E12=6</formula>
    </cfRule>
    <cfRule type="expression" dxfId="119" priority="4">
      <formula>$E12=5</formula>
    </cfRule>
    <cfRule type="expression" dxfId="118" priority="5">
      <formula>$E12=4</formula>
    </cfRule>
    <cfRule type="expression" dxfId="117" priority="6">
      <formula>$E12=3</formula>
    </cfRule>
    <cfRule type="expression" dxfId="116" priority="7">
      <formula>$E12=2</formula>
    </cfRule>
    <cfRule type="expression" dxfId="115" priority="8">
      <formula>$E12=1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427"/>
  <sheetViews>
    <sheetView workbookViewId="0">
      <selection activeCell="E27" sqref="E27"/>
    </sheetView>
  </sheetViews>
  <sheetFormatPr defaultRowHeight="13.5"/>
  <cols>
    <col min="1" max="1" width="9.5" bestFit="1" customWidth="1"/>
    <col min="2" max="2" width="9.5" customWidth="1"/>
    <col min="3" max="5" width="12.75" bestFit="1" customWidth="1"/>
  </cols>
  <sheetData>
    <row r="1" spans="1:11">
      <c r="A1" s="2" t="s">
        <v>321</v>
      </c>
      <c r="B1" s="29" t="s">
        <v>556</v>
      </c>
      <c r="C1" s="29" t="s">
        <v>318</v>
      </c>
      <c r="D1" s="29" t="s">
        <v>319</v>
      </c>
      <c r="E1" s="29" t="s">
        <v>320</v>
      </c>
      <c r="F1" s="73" t="s">
        <v>557</v>
      </c>
    </row>
    <row r="2" spans="1:11">
      <c r="A2" s="2">
        <f>英雄之路怪物!C5</f>
        <v>20</v>
      </c>
      <c r="B2" s="2">
        <f>MOD(英雄之路怪物!D5,10)</f>
        <v>1</v>
      </c>
      <c r="C2" s="2">
        <f ca="1">IF($A2=$K$3,1,英雄之路怪物!E5/OFFSET(英雄之路怪物!E5,$K$4-$A2,0))</f>
        <v>1</v>
      </c>
      <c r="D2" s="2">
        <f ca="1">IF($A2=$K$3,1,英雄之路怪物!F5/OFFSET(英雄之路怪物!F5,$K$4-$A2,0))</f>
        <v>1</v>
      </c>
      <c r="E2" s="2">
        <f ca="1">IF($A2=$K$3,1,英雄之路怪物!G5/OFFSET(英雄之路怪物!G5,$K$4-$A2,0))</f>
        <v>1</v>
      </c>
      <c r="F2" s="2">
        <f ca="1">IF($A2=$K$3,1,英雄之路怪物!H5/OFFSET(英雄之路怪物!H5,$K$4-$A2,0))</f>
        <v>1</v>
      </c>
    </row>
    <row r="3" spans="1:11">
      <c r="A3" s="2">
        <f>英雄之路怪物!C6</f>
        <v>21</v>
      </c>
      <c r="B3" s="2">
        <f>MOD(英雄之路怪物!D6,10)</f>
        <v>1</v>
      </c>
      <c r="C3" s="2">
        <f ca="1">IF($A3=$K$3,1,英雄之路怪物!E6/OFFSET(英雄之路怪物!E6,$K$4-$A3,0))</f>
        <v>1.1175968387549777</v>
      </c>
      <c r="D3" s="2">
        <f ca="1">IF($A3=$K$3,1,英雄之路怪物!F6/OFFSET(英雄之路怪物!F6,$K$4-$A3,0))</f>
        <v>1.1146010935804289</v>
      </c>
      <c r="E3" s="2">
        <f ca="1">IF($A3=$K$3,1,英雄之路怪物!G6/OFFSET(英雄之路怪物!G6,$K$4-$A3,0))</f>
        <v>1.0931717687074833</v>
      </c>
      <c r="F3" s="2">
        <f ca="1">IF($A3=$K$3,1,英雄之路怪物!H6/OFFSET(英雄之路怪物!H6,$K$4-$A3,0))</f>
        <v>1.117596838754978</v>
      </c>
      <c r="K3" t="s">
        <v>591</v>
      </c>
    </row>
    <row r="4" spans="1:11">
      <c r="A4" s="2">
        <f>英雄之路怪物!C7</f>
        <v>22</v>
      </c>
      <c r="B4" s="2">
        <f>MOD(英雄之路怪物!D7,10)</f>
        <v>1</v>
      </c>
      <c r="C4" s="2">
        <f ca="1">IF($A4=$K$3,1,英雄之路怪物!E7/OFFSET(英雄之路怪物!E7,$K$4-$A4,0))</f>
        <v>1.2431201966962262</v>
      </c>
      <c r="D4" s="2">
        <f ca="1">IF($A4=$K$3,1,英雄之路怪物!F7/OFFSET(英雄之路怪物!F7,$K$4-$A4,0))</f>
        <v>1.2371895131535811</v>
      </c>
      <c r="E4" s="2">
        <f ca="1">IF($A4=$K$3,1,英雄之路怪物!G7/OFFSET(英雄之路怪物!G7,$K$4-$A4,0))</f>
        <v>1.1902040816326529</v>
      </c>
      <c r="F4" s="2">
        <f ca="1">IF($A4=$K$3,1,英雄之路怪物!H7/OFFSET(英雄之路怪物!H7,$K$4-$A4,0))</f>
        <v>1.2431201966962262</v>
      </c>
      <c r="K4">
        <v>20</v>
      </c>
    </row>
    <row r="5" spans="1:11">
      <c r="A5" s="2">
        <f>英雄之路怪物!C8</f>
        <v>23</v>
      </c>
      <c r="B5" s="2">
        <f>MOD(英雄之路怪物!D8,10)</f>
        <v>1</v>
      </c>
      <c r="C5" s="2">
        <f ca="1">IF($A5=$K$3,1,英雄之路怪物!E8/OFFSET(英雄之路怪物!E8,$K$4-$A5,0))</f>
        <v>1.4024517884049481</v>
      </c>
      <c r="D5" s="2">
        <f ca="1">IF($A5=$K$3,1,英雄之路怪物!F8/OFFSET(英雄之路怪物!F8,$K$4-$A5,0))</f>
        <v>1.3935880936402831</v>
      </c>
      <c r="E5" s="2">
        <f ca="1">IF($A5=$K$3,1,英雄之路怪物!G8/OFFSET(英雄之路怪物!G8,$K$4-$A5,0))</f>
        <v>1.31516810570382</v>
      </c>
      <c r="F5" s="2">
        <f ca="1">IF($A5=$K$3,1,英雄之路怪物!H8/OFFSET(英雄之路怪物!H8,$K$4-$A5,0))</f>
        <v>1.4024517884049483</v>
      </c>
    </row>
    <row r="6" spans="1:11">
      <c r="A6" s="2">
        <f>英雄之路怪物!C9</f>
        <v>24</v>
      </c>
      <c r="B6" s="2">
        <f>MOD(英雄之路怪物!D9,10)</f>
        <v>1</v>
      </c>
      <c r="C6" s="2">
        <f ca="1">IF($A6=$K$3,1,英雄之路怪物!E9/OFFSET(英雄之路怪物!E9,$K$4-$A6,0))</f>
        <v>1.5727679083562143</v>
      </c>
      <c r="D6" s="2">
        <f ca="1">IF($A6=$K$3,1,英雄之路怪物!F9/OFFSET(英雄之路怪物!F9,$K$4-$A6,0))</f>
        <v>1.5611749565056994</v>
      </c>
      <c r="E6" s="2">
        <f ca="1">IF($A6=$K$3,1,英雄之路怪物!G9/OFFSET(英雄之路怪物!G9,$K$4-$A6,0))</f>
        <v>1.4454515325943895</v>
      </c>
      <c r="F6" s="2">
        <f ca="1">IF($A6=$K$3,1,英雄之路怪物!H9/OFFSET(英雄之路怪物!H9,$K$4-$A6,0))</f>
        <v>1.5727679083562147</v>
      </c>
    </row>
    <row r="7" spans="1:11">
      <c r="A7" s="2">
        <f>英雄之路怪物!C10</f>
        <v>25</v>
      </c>
      <c r="B7" s="2">
        <f>MOD(英雄之路怪物!D10,10)</f>
        <v>1</v>
      </c>
      <c r="C7" s="2">
        <f ca="1">IF($A7=$K$3,1,英雄之路怪物!E10/OFFSET(英雄之路怪物!E10,$K$4-$A7,0))</f>
        <v>1.7543614190545793</v>
      </c>
      <c r="D7" s="2">
        <f ca="1">IF($A7=$K$3,1,英雄之路怪物!F10/OFFSET(英雄之路怪物!F10,$K$4-$A7,0))</f>
        <v>1.7403960436567891</v>
      </c>
      <c r="E7" s="2">
        <f ca="1">IF($A7=$K$3,1,英雄之路怪物!G10/OFFSET(英雄之路怪物!G10,$K$4-$A7,0))</f>
        <v>1.5810543623043625</v>
      </c>
      <c r="F7" s="2">
        <f ca="1">IF($A7=$K$3,1,英雄之路怪物!H10/OFFSET(英雄之路怪物!H10,$K$4-$A7,0))</f>
        <v>1.7543614190545793</v>
      </c>
    </row>
    <row r="8" spans="1:11">
      <c r="A8" s="2">
        <f>英雄之路怪物!C11</f>
        <v>26</v>
      </c>
      <c r="B8" s="2">
        <f>MOD(英雄之路怪物!D11,10)</f>
        <v>1</v>
      </c>
      <c r="C8" s="2">
        <f ca="1">IF($A8=$K$3,1,英雄之路怪物!E11/OFFSET(英雄之路怪物!E11,$K$4-$A8,0))</f>
        <v>1.972233786607722</v>
      </c>
      <c r="D8" s="2">
        <f ca="1">IF($A8=$K$3,1,英雄之路怪物!F11/OFFSET(英雄之路怪物!F11,$K$4-$A8,0))</f>
        <v>1.9562188716520619</v>
      </c>
      <c r="E8" s="2">
        <f ca="1">IF($A8=$K$3,1,英雄之路怪物!G11/OFFSET(英雄之路怪物!G11,$K$4-$A8,0))</f>
        <v>1.7438244612530327</v>
      </c>
      <c r="F8" s="2">
        <f ca="1">IF($A8=$K$3,1,英雄之路怪物!H11/OFFSET(英雄之路怪物!H11,$K$4-$A8,0))</f>
        <v>1.972233786607722</v>
      </c>
    </row>
    <row r="9" spans="1:11">
      <c r="A9" s="2">
        <f>英雄之路怪物!C12</f>
        <v>27</v>
      </c>
      <c r="B9" s="2">
        <f>MOD(英雄之路怪物!D12,10)</f>
        <v>1</v>
      </c>
      <c r="C9" s="2">
        <f ca="1">IF($A9=$K$3,1,英雄之路怪物!E12/OFFSET(英雄之路怪物!E12,$K$4-$A9,0))</f>
        <v>2.2042918205274931</v>
      </c>
      <c r="D9" s="2">
        <f ca="1">IF($A9=$K$3,1,英雄之路怪物!F12/OFFSET(英雄之路怪物!F12,$K$4-$A9,0))</f>
        <v>2.1869252488502013</v>
      </c>
      <c r="E9" s="2">
        <f ca="1">IF($A9=$K$3,1,英雄之路怪物!G12/OFFSET(英雄之路怪物!G12,$K$4-$A9,0))</f>
        <v>1.9131277333777335</v>
      </c>
      <c r="F9" s="2">
        <f ca="1">IF($A9=$K$3,1,英雄之路怪物!H12/OFFSET(英雄之路怪物!H12,$K$4-$A9,0))</f>
        <v>2.2042918205274931</v>
      </c>
    </row>
    <row r="10" spans="1:11">
      <c r="A10" s="2">
        <f>英雄之路怪物!C13</f>
        <v>28</v>
      </c>
      <c r="B10" s="2">
        <f>MOD(英雄之路怪物!D13,10)</f>
        <v>1</v>
      </c>
      <c r="C10" s="2">
        <f ca="1">IF($A10=$K$3,1,英雄之路怪物!E13/OFFSET(英雄之路怪物!E13,$K$4-$A10,0))</f>
        <v>2.4508928136691668</v>
      </c>
      <c r="D10" s="2">
        <f ca="1">IF($A10=$K$3,1,英雄之路怪物!F13/OFFSET(英雄之路怪物!F13,$K$4-$A10,0))</f>
        <v>2.4330994347065364</v>
      </c>
      <c r="E10" s="2">
        <f ca="1">IF($A10=$K$3,1,英雄之路怪物!G13/OFFSET(英雄之路怪物!G13,$K$4-$A10,0))</f>
        <v>2.0889641786784643</v>
      </c>
      <c r="F10" s="2">
        <f ca="1">IF($A10=$K$3,1,英雄之路怪物!H13/OFFSET(英雄之路怪物!H13,$K$4-$A10,0))</f>
        <v>2.4508928136691663</v>
      </c>
    </row>
    <row r="11" spans="1:11">
      <c r="A11" s="2">
        <f>英雄之路怪物!C14</f>
        <v>29</v>
      </c>
      <c r="B11" s="2">
        <f>MOD(英雄之路怪物!D14,10)</f>
        <v>1</v>
      </c>
      <c r="C11" s="2">
        <f ca="1">IF($A11=$K$3,1,英雄之路怪物!E14/OFFSET(英雄之路怪物!E14,$K$4-$A11,0))</f>
        <v>2.712393023610018</v>
      </c>
      <c r="D11" s="2">
        <f ca="1">IF($A11=$K$3,1,英雄之路怪物!F14/OFFSET(英雄之路怪物!F14,$K$4-$A11,0))</f>
        <v>2.6953426647380621</v>
      </c>
      <c r="E11" s="2">
        <f ca="1">IF($A11=$K$3,1,英雄之路怪物!G14/OFFSET(英雄之路怪物!G14,$K$4-$A11,0))</f>
        <v>2.2713337971552265</v>
      </c>
      <c r="F11" s="2">
        <f ca="1">IF($A11=$K$3,1,英雄之路怪物!H14/OFFSET(英雄之路怪物!H14,$K$4-$A11,0))</f>
        <v>2.712393023610018</v>
      </c>
    </row>
    <row r="12" spans="1:11">
      <c r="A12" s="2">
        <f>英雄之路怪物!C15</f>
        <v>30</v>
      </c>
      <c r="B12" s="2">
        <f>MOD(英雄之路怪物!D15,10)</f>
        <v>1</v>
      </c>
      <c r="C12" s="2">
        <f ca="1">IF($A12=$K$3,1,英雄之路怪物!E15/OFFSET(英雄之路怪物!E15,$K$4-$A12,0))</f>
        <v>3.0265120612034337</v>
      </c>
      <c r="D12" s="2">
        <f ca="1">IF($A12=$K$3,1,英雄之路怪物!F15/OFFSET(英雄之路怪物!F15,$K$4-$A12,0))</f>
        <v>3.0114521937438314</v>
      </c>
      <c r="E12" s="2">
        <f ca="1">IF($A12=$K$3,1,英雄之路怪物!G15/OFFSET(英雄之路怪物!G15,$K$4-$A12,0))</f>
        <v>2.4909895461681182</v>
      </c>
      <c r="F12" s="2">
        <f ca="1">IF($A12=$K$3,1,英雄之路怪物!H15/OFFSET(英雄之路怪物!H15,$K$4-$A12,0))</f>
        <v>3.0265120612034346</v>
      </c>
    </row>
    <row r="13" spans="1:11">
      <c r="A13" s="2">
        <f>英雄之路怪物!C16</f>
        <v>31</v>
      </c>
      <c r="B13" s="2">
        <f>MOD(英雄之路怪物!D16,10)</f>
        <v>1</v>
      </c>
      <c r="C13" s="2">
        <f ca="1">IF($A13=$K$3,1,英雄之路怪物!E16/OFFSET(英雄之路怪物!E16,$K$4-$A13,0))</f>
        <v>3.3695317344270128</v>
      </c>
      <c r="D13" s="2">
        <f ca="1">IF($A13=$K$3,1,英雄之路怪物!F16/OFFSET(英雄之路怪物!F16,$K$4-$A13,0))</f>
        <v>3.3453287902100226</v>
      </c>
      <c r="E13" s="2">
        <f ca="1">IF($A13=$K$3,1,英雄之路怪物!G16/OFFSET(英雄之路怪物!G16,$K$4-$A13,0))</f>
        <v>2.7213972107142856</v>
      </c>
      <c r="F13" s="2">
        <f ca="1">IF($A13=$K$3,1,英雄之路怪物!H16/OFFSET(英雄之路怪物!H16,$K$4-$A13,0))</f>
        <v>3.3695317344270128</v>
      </c>
    </row>
    <row r="14" spans="1:11">
      <c r="A14" s="2">
        <f>英雄之路怪物!C17</f>
        <v>32</v>
      </c>
      <c r="B14" s="2">
        <f>MOD(英雄之路怪物!D17,10)</f>
        <v>1</v>
      </c>
      <c r="C14" s="2">
        <f ca="1">IF($A14=$K$3,1,英雄之路怪物!E17/OFFSET(英雄之路怪物!E17,$K$4-$A14,0))</f>
        <v>3.7361344036775015</v>
      </c>
      <c r="D14" s="2">
        <f ca="1">IF($A14=$K$3,1,英雄之路怪物!F17/OFFSET(英雄之路怪物!F17,$K$4-$A14,0))</f>
        <v>3.7019684271163458</v>
      </c>
      <c r="E14" s="2">
        <f ca="1">IF($A14=$K$3,1,英雄之路怪物!G17/OFFSET(英雄之路怪物!G17,$K$4-$A14,0))</f>
        <v>2.9619607008325004</v>
      </c>
      <c r="F14" s="2">
        <f ca="1">IF($A14=$K$3,1,英雄之路怪物!H17/OFFSET(英雄之路怪物!H17,$K$4-$A14,0))</f>
        <v>3.736134403677501</v>
      </c>
    </row>
    <row r="15" spans="1:11">
      <c r="A15" s="2">
        <f>英雄之路怪物!C18</f>
        <v>33</v>
      </c>
      <c r="B15" s="2">
        <f>MOD(英雄之路怪物!D18,10)</f>
        <v>1</v>
      </c>
      <c r="C15" s="2">
        <f ca="1">IF($A15=$K$3,1,英雄之路怪物!E18/OFFSET(英雄之路怪物!E18,$K$4-$A15,0))</f>
        <v>4.1255219053527243</v>
      </c>
      <c r="D15" s="2">
        <f ca="1">IF($A15=$K$3,1,英雄之路怪物!F18/OFFSET(英雄之路怪物!F18,$K$4-$A15,0))</f>
        <v>4.0806737103725679</v>
      </c>
      <c r="E15" s="2">
        <f ca="1">IF($A15=$K$3,1,英雄之路怪物!G18/OFFSET(英雄之路怪物!G18,$K$4-$A15,0))</f>
        <v>3.2114633441290867</v>
      </c>
      <c r="F15" s="2">
        <f ca="1">IF($A15=$K$3,1,英雄之路怪物!H18/OFFSET(英雄之路怪物!H18,$K$4-$A15,0))</f>
        <v>4.1255219053527252</v>
      </c>
    </row>
    <row r="16" spans="1:11">
      <c r="A16" s="2">
        <f>英雄之路怪物!C19</f>
        <v>34</v>
      </c>
      <c r="B16" s="2">
        <f>MOD(英雄之路怪物!D19,10)</f>
        <v>1</v>
      </c>
      <c r="C16" s="2">
        <f ca="1">IF($A16=$K$3,1,英雄之路怪物!E19/OFFSET(英雄之路怪物!E19,$K$4-$A16,0))</f>
        <v>4.538082335892768</v>
      </c>
      <c r="D16" s="2">
        <f ca="1">IF($A16=$K$3,1,英雄之路怪物!F19/OFFSET(英雄之路怪物!F19,$K$4-$A16,0))</f>
        <v>4.481947978834933</v>
      </c>
      <c r="E16" s="2">
        <f ca="1">IF($A16=$K$3,1,英雄之路怪物!G19/OFFSET(英雄之路怪物!G19,$K$4-$A16,0))</f>
        <v>3.4696725503496499</v>
      </c>
      <c r="F16" s="2">
        <f ca="1">IF($A16=$K$3,1,英雄之路怪物!H19/OFFSET(英雄之路怪物!H19,$K$4-$A16,0))</f>
        <v>4.538082335892768</v>
      </c>
    </row>
    <row r="17" spans="1:6">
      <c r="A17" s="2">
        <f>英雄之路怪物!C20</f>
        <v>35</v>
      </c>
      <c r="B17" s="2">
        <f>MOD(英雄之路怪物!D20,10)</f>
        <v>1</v>
      </c>
      <c r="C17" s="2">
        <f ca="1">IF($A17=$K$3,1,英雄之路怪物!E20/OFFSET(英雄之路怪物!E20,$K$4-$A17,0))</f>
        <v>4.9741715657997156</v>
      </c>
      <c r="D17" s="2">
        <f ca="1">IF($A17=$K$3,1,英雄之路怪物!F20/OFFSET(英雄之路怪物!F20,$K$4-$A17,0))</f>
        <v>4.906283726505464</v>
      </c>
      <c r="E17" s="2">
        <f ca="1">IF($A17=$K$3,1,英雄之路怪物!G20/OFFSET(英雄之路怪物!G20,$K$4-$A17,0))</f>
        <v>3.7363379560915271</v>
      </c>
      <c r="F17" s="2">
        <f ca="1">IF($A17=$K$3,1,英雄之路怪物!H20/OFFSET(英雄之路怪物!H20,$K$4-$A17,0))</f>
        <v>4.9741715657997156</v>
      </c>
    </row>
    <row r="18" spans="1:6">
      <c r="A18" s="2">
        <f>英雄之路怪物!C21</f>
        <v>36</v>
      </c>
      <c r="B18" s="2">
        <f>MOD(英雄之路怪物!D21,10)</f>
        <v>1</v>
      </c>
      <c r="C18" s="2">
        <f ca="1">IF($A18=$K$3,1,英雄之路怪物!E21/OFFSET(英雄之路怪物!E21,$K$4-$A18,0))</f>
        <v>5.4341119881686364</v>
      </c>
      <c r="D18" s="2">
        <f ca="1">IF($A18=$K$3,1,英雄之路怪物!F21/OFFSET(英雄之路怪物!F21,$K$4-$A18,0))</f>
        <v>5.3541621875502718</v>
      </c>
      <c r="E18" s="2">
        <f ca="1">IF($A18=$K$3,1,英雄之路怪物!G21/OFFSET(英雄之路怪物!G21,$K$4-$A18,0))</f>
        <v>4.0111914248037674</v>
      </c>
      <c r="F18" s="2">
        <f ca="1">IF($A18=$K$3,1,英雄之路怪物!H21/OFFSET(英雄之路怪物!H21,$K$4-$A18,0))</f>
        <v>5.4341119881686364</v>
      </c>
    </row>
    <row r="19" spans="1:6">
      <c r="A19" s="2">
        <f>英雄之路怪物!C22</f>
        <v>37</v>
      </c>
      <c r="B19" s="2">
        <f>MOD(英雄之路怪物!D22,10)</f>
        <v>1</v>
      </c>
      <c r="C19" s="2">
        <f ca="1">IF($A19=$K$3,1,英雄之路怪物!E22/OFFSET(英雄之路怪物!E22,$K$4-$A19,0))</f>
        <v>5.9181912644716714</v>
      </c>
      <c r="D19" s="2">
        <f ca="1">IF($A19=$K$3,1,英雄之路怪物!F22/OFFSET(英雄之路怪物!F22,$K$4-$A19,0))</f>
        <v>5.898870580690045</v>
      </c>
      <c r="E19" s="2">
        <f ca="1">IF($A19=$K$3,1,英雄之路怪物!G22/OFFSET(英雄之路怪物!G22,$K$4-$A19,0))</f>
        <v>4.2939470467871415</v>
      </c>
      <c r="F19" s="2">
        <f ca="1">IF($A19=$K$3,1,英雄之路怪物!H22/OFFSET(英雄之路怪物!H22,$K$4-$A19,0))</f>
        <v>5.9181912644716714</v>
      </c>
    </row>
    <row r="20" spans="1:6">
      <c r="A20" s="2">
        <f>英雄之路怪物!C23</f>
        <v>38</v>
      </c>
      <c r="B20" s="2">
        <f>MOD(英雄之路怪物!D23,10)</f>
        <v>1</v>
      </c>
      <c r="C20" s="2">
        <f ca="1">IF($A20=$K$3,1,英雄之路怪物!E23/OFFSET(英雄之路怪物!E23,$K$4-$A20,0))</f>
        <v>6.4266610681996923</v>
      </c>
      <c r="D20" s="2">
        <f ca="1">IF($A20=$K$3,1,英雄之路怪物!F23/OFFSET(英雄之路怪物!F23,$K$4-$A20,0))</f>
        <v>6.4807539182214366</v>
      </c>
      <c r="E20" s="2">
        <f ca="1">IF($A20=$K$3,1,英雄之路怪物!G23/OFFSET(英雄之路怪物!G23,$K$4-$A20,0))</f>
        <v>4.5843011391941397</v>
      </c>
      <c r="F20" s="2">
        <f ca="1">IF($A20=$K$3,1,英雄之路怪物!H23/OFFSET(英雄之路怪物!H23,$K$4-$A20,0))</f>
        <v>6.4266610681996923</v>
      </c>
    </row>
    <row r="21" spans="1:6">
      <c r="A21" s="2">
        <f>英雄之路怪物!C24</f>
        <v>39</v>
      </c>
      <c r="B21" s="2">
        <f>MOD(英雄之路怪物!D24,10)</f>
        <v>1</v>
      </c>
      <c r="C21" s="2">
        <f ca="1">IF($A21=$K$3,1,英雄之路怪物!E24/OFFSET(英雄之路怪物!E24,$K$4-$A21,0))</f>
        <v>6.9597358268613378</v>
      </c>
      <c r="D21" s="2">
        <f ca="1">IF($A21=$K$3,1,英雄之路怪物!F24/OFFSET(英雄之路怪物!F24,$K$4-$A21,0))</f>
        <v>7.1012351304717276</v>
      </c>
      <c r="E21" s="2">
        <f ca="1">IF($A21=$K$3,1,英雄之路怪物!G24/OFFSET(英雄之路怪物!G24,$K$4-$A21,0))</f>
        <v>4.8819322460289714</v>
      </c>
      <c r="F21" s="2">
        <f ca="1">IF($A21=$K$3,1,英雄之路怪物!H24/OFFSET(英雄之路怪物!H24,$K$4-$A21,0))</f>
        <v>6.9597358268613387</v>
      </c>
    </row>
    <row r="22" spans="1:6">
      <c r="A22" s="2">
        <f>英雄之路怪物!C25</f>
        <v>40</v>
      </c>
      <c r="B22" s="2">
        <f>MOD(英雄之路怪物!D25,10)</f>
        <v>1</v>
      </c>
      <c r="C22" s="2">
        <f ca="1">IF($A22=$K$3,1,英雄之路怪物!E25/OFFSET(英雄之路怪物!E25,$K$4-$A22,0))</f>
        <v>7.5853175119679284</v>
      </c>
      <c r="D22" s="2">
        <f ca="1">IF($A22=$K$3,1,英雄之路怪物!F25/OFFSET(英雄之路怪物!F25,$K$4-$A22,0))</f>
        <v>7.8316703769661906</v>
      </c>
      <c r="E22" s="2">
        <f ca="1">IF($A22=$K$3,1,英雄之路怪物!G25/OFFSET(英雄之路怪物!G25,$K$4-$A22,0))</f>
        <v>5.2332263736263753</v>
      </c>
      <c r="F22" s="2">
        <f ca="1">IF($A22=$K$3,1,英雄之路怪物!H25/OFFSET(英雄之路怪物!H25,$K$4-$A22,0))</f>
        <v>7.5853175119679284</v>
      </c>
    </row>
    <row r="23" spans="1:6">
      <c r="A23" s="2">
        <f>英雄之路怪物!C26</f>
        <v>41</v>
      </c>
      <c r="B23" s="2">
        <f>MOD(英雄之路怪物!D26,10)</f>
        <v>1</v>
      </c>
      <c r="C23" s="2">
        <f ca="1">IF($A23=$K$3,1,英雄之路怪物!E26/OFFSET(英雄之路怪物!E26,$K$4-$A23,0))</f>
        <v>8.2424757843042009</v>
      </c>
      <c r="D23" s="2">
        <f ca="1">IF($A23=$K$3,1,英雄之路怪物!F26/OFFSET(英雄之路怪物!F26,$K$4-$A23,0))</f>
        <v>8.6122053165747889</v>
      </c>
      <c r="E23" s="2">
        <f ca="1">IF($A23=$K$3,1,英雄之路怪物!G26/OFFSET(英雄之路怪物!G26,$K$4-$A23,0))</f>
        <v>5.5941008275252537</v>
      </c>
      <c r="F23" s="2">
        <f ca="1">IF($A23=$K$3,1,英雄之路怪物!H26/OFFSET(英雄之路怪物!H26,$K$4-$A23,0))</f>
        <v>8.2424757843042009</v>
      </c>
    </row>
    <row r="24" spans="1:6">
      <c r="A24" s="2">
        <f>英雄之路怪物!C27</f>
        <v>42</v>
      </c>
      <c r="B24" s="2">
        <f>MOD(英雄之路怪物!D27,10)</f>
        <v>1</v>
      </c>
      <c r="C24" s="2">
        <f ca="1">IF($A24=$K$3,1,英雄之路怪物!E27/OFFSET(英雄之路怪物!E27,$K$4-$A24,0))</f>
        <v>8.9314348390676503</v>
      </c>
      <c r="D24" s="2">
        <f ca="1">IF($A24=$K$3,1,英雄之路怪物!F27/OFFSET(英雄之路怪物!F27,$K$4-$A24,0))</f>
        <v>9.4447158163870402</v>
      </c>
      <c r="E24" s="2">
        <f ca="1">IF($A24=$K$3,1,英雄之路怪物!G27/OFFSET(英雄之路怪物!G27,$K$4-$A24,0))</f>
        <v>5.9641092265829432</v>
      </c>
      <c r="F24" s="2">
        <f ca="1">IF($A24=$K$3,1,英雄之路怪物!H27/OFFSET(英雄之路怪物!H27,$K$4-$A24,0))</f>
        <v>8.9314348390676503</v>
      </c>
    </row>
    <row r="25" spans="1:6">
      <c r="A25" s="2">
        <f>英雄之路怪物!C28</f>
        <v>43</v>
      </c>
      <c r="B25" s="2">
        <f>MOD(英雄之路怪物!D28,10)</f>
        <v>1</v>
      </c>
      <c r="C25" s="2">
        <f ca="1">IF($A25=$K$3,1,英雄之路怪物!E28/OFFSET(英雄之路怪物!E28,$K$4-$A25,0))</f>
        <v>9.6523654393896958</v>
      </c>
      <c r="D25" s="2">
        <f ca="1">IF($A25=$K$3,1,英雄之路怪物!F28/OFFSET(英雄之路怪物!F28,$K$4-$A25,0))</f>
        <v>10.33108387341016</v>
      </c>
      <c r="E25" s="2">
        <f ca="1">IF($A25=$K$3,1,英雄之路怪物!G28/OFFSET(英雄之路怪物!G28,$K$4-$A25,0))</f>
        <v>6.3427814921257317</v>
      </c>
      <c r="F25" s="2">
        <f ca="1">IF($A25=$K$3,1,英雄之路怪物!H28/OFFSET(英雄之路怪物!H28,$K$4-$A25,0))</f>
        <v>9.652365439389694</v>
      </c>
    </row>
    <row r="26" spans="1:6">
      <c r="A26" s="2">
        <f>英雄之路怪物!C29</f>
        <v>44</v>
      </c>
      <c r="B26" s="2">
        <f>MOD(英雄之路怪物!D29,10)</f>
        <v>1</v>
      </c>
      <c r="C26" s="2">
        <f ca="1">IF($A26=$K$3,1,英雄之路怪物!E29/OFFSET(英雄之路怪物!E29,$K$4-$A26,0))</f>
        <v>10.405383243994164</v>
      </c>
      <c r="D26" s="2">
        <f ca="1">IF($A26=$K$3,1,英雄之路怪物!F29/OFFSET(英雄之路怪物!F29,$K$4-$A26,0))</f>
        <v>11.273194874373914</v>
      </c>
      <c r="E26" s="2">
        <f ca="1">IF($A26=$K$3,1,英雄之路怪物!G29/OFFSET(英雄之路怪物!G29,$K$4-$A26,0))</f>
        <v>6.7296238479488766</v>
      </c>
      <c r="F26" s="2">
        <f ca="1">IF($A26=$K$3,1,英雄之路怪物!H29/OFFSET(英雄之路怪物!H29,$K$4-$A26,0))</f>
        <v>10.405383243994164</v>
      </c>
    </row>
    <row r="27" spans="1:6">
      <c r="A27" s="2">
        <f>英雄之路怪物!C30</f>
        <v>45</v>
      </c>
      <c r="B27" s="2">
        <f>MOD(英雄之路怪物!D30,10)</f>
        <v>1</v>
      </c>
      <c r="C27" s="2">
        <f ca="1">IF($A27=$K$3,1,英雄之路怪物!E30/OFFSET(英雄之路怪物!E30,$K$4-$A27,0))</f>
        <v>11.190547133536286</v>
      </c>
      <c r="D27" s="2">
        <f ca="1">IF($A27=$K$3,1,英雄之路怪物!F30/OFFSET(英雄之路怪物!F30,$K$4-$A27,0))</f>
        <v>12.272934720402517</v>
      </c>
      <c r="E27" s="2">
        <f ca="1">IF($A27=$K$3,1,英雄之路怪物!G30/OFFSET(英雄之路怪物!G30,$K$4-$A27,0))</f>
        <v>7.1241188203165882</v>
      </c>
      <c r="F27" s="2">
        <f ca="1">IF($A27=$K$3,1,英雄之路怪物!H30/OFFSET(英雄之路怪物!H30,$K$4-$A27,0))</f>
        <v>11.190547133536288</v>
      </c>
    </row>
    <row r="28" spans="1:6">
      <c r="A28" s="2">
        <f>英雄之路怪物!C31</f>
        <v>46</v>
      </c>
      <c r="B28" s="2">
        <f>MOD(英雄之路怪物!D31,10)</f>
        <v>1</v>
      </c>
      <c r="C28" s="2">
        <f ca="1">IF($A28=$K$3,1,英雄之路怪物!E31/OFFSET(英雄之路怪物!E31,$K$4-$A28,0))</f>
        <v>12.007857535984908</v>
      </c>
      <c r="D28" s="2">
        <f ca="1">IF($A28=$K$3,1,英雄之路怪物!F31/OFFSET(英雄之路怪物!F31,$K$4-$A28,0))</f>
        <v>13.332186808714512</v>
      </c>
      <c r="E28" s="2">
        <f ca="1">IF($A28=$K$3,1,英雄之路怪物!G31/OFFSET(英雄之路怪物!G31,$K$4-$A28,0))</f>
        <v>7.5257252379620398</v>
      </c>
      <c r="F28" s="2">
        <f ca="1">IF($A28=$K$3,1,英雄之路怪物!H31/OFFSET(英雄之路怪物!H31,$K$4-$A28,0))</f>
        <v>12.007857535984909</v>
      </c>
    </row>
    <row r="29" spans="1:6">
      <c r="A29" s="2">
        <f>英雄之路怪物!C32</f>
        <v>47</v>
      </c>
      <c r="B29" s="2">
        <f>MOD(英雄之路怪物!D32,10)</f>
        <v>1</v>
      </c>
      <c r="C29" s="2">
        <f ca="1">IF($A29=$K$3,1,英雄之路怪物!E32/OFFSET(英雄之路怪物!E32,$K$4-$A29,0))</f>
        <v>12.857254751353809</v>
      </c>
      <c r="D29" s="2">
        <f ca="1">IF($A29=$K$3,1,英雄之路怪物!F32/OFFSET(英雄之路怪物!F32,$K$4-$A29,0))</f>
        <v>14.452828862987152</v>
      </c>
      <c r="E29" s="2">
        <f ca="1">IF($A29=$K$3,1,英雄之路怪物!G32/OFFSET(英雄之路怪物!G32,$K$4-$A29,0))</f>
        <v>7.9338782320873582</v>
      </c>
      <c r="F29" s="2">
        <f ca="1">IF($A29=$K$3,1,英雄之路怪物!H32/OFFSET(英雄之路怪物!H32,$K$4-$A29,0))</f>
        <v>12.857254751353809</v>
      </c>
    </row>
    <row r="30" spans="1:6">
      <c r="A30" s="2">
        <f>英雄之路怪物!C33</f>
        <v>48</v>
      </c>
      <c r="B30" s="2">
        <f>MOD(英雄之路怪物!D33,10)</f>
        <v>1</v>
      </c>
      <c r="C30" s="2">
        <f ca="1">IF($A30=$K$3,1,英雄之路怪物!E33/OFFSET(英雄之路怪物!E33,$K$4-$A30,0))</f>
        <v>13.738617276040397</v>
      </c>
      <c r="D30" s="2">
        <f ca="1">IF($A30=$K$3,1,英雄之路怪物!F33/OFFSET(英雄之路怪物!F33,$K$4-$A30,0))</f>
        <v>15.636729603458384</v>
      </c>
      <c r="E30" s="2">
        <f ca="1">IF($A30=$K$3,1,英雄之路怪物!G33/OFFSET(英雄之路怪物!G33,$K$4-$A30,0))</f>
        <v>8.3479892363636381</v>
      </c>
      <c r="F30" s="2">
        <f ca="1">IF($A30=$K$3,1,英雄之路怪物!H33/OFFSET(英雄之路怪物!H33,$K$4-$A30,0))</f>
        <v>13.738617276040399</v>
      </c>
    </row>
    <row r="31" spans="1:6">
      <c r="A31" s="2">
        <f>英雄之路怪物!C34</f>
        <v>49</v>
      </c>
      <c r="B31" s="2">
        <f>MOD(英雄之路怪物!D34,10)</f>
        <v>1</v>
      </c>
      <c r="C31" s="2">
        <f ca="1">IF($A31=$K$3,1,英雄之路怪物!E34/OFFSET(英雄之路怪物!E34,$K$4-$A31,0))</f>
        <v>14.651760126989577</v>
      </c>
      <c r="D31" s="2">
        <f ca="1">IF($A31=$K$3,1,英雄之路怪物!F34/OFFSET(英雄之路怪物!F34,$K$4-$A31,0))</f>
        <v>16.885745247232332</v>
      </c>
      <c r="E31" s="2">
        <f ca="1">IF($A31=$K$3,1,英雄之路怪物!G34/OFFSET(英雄之路怪物!G34,$K$4-$A31,0))</f>
        <v>8.7674459869309285</v>
      </c>
      <c r="F31" s="2">
        <f ca="1">IF($A31=$K$3,1,英雄之路怪物!H34/OFFSET(英雄之路怪物!H34,$K$4-$A31,0))</f>
        <v>14.651760126989577</v>
      </c>
    </row>
    <row r="32" spans="1:6">
      <c r="A32" s="2">
        <f>英雄之路怪物!C35</f>
        <v>50</v>
      </c>
      <c r="B32" s="2">
        <f>MOD(英雄之路怪物!D35,10)</f>
        <v>1</v>
      </c>
      <c r="C32" s="2">
        <f ca="1">IF($A32=$K$3,1,英雄之路怪物!E35/OFFSET(英雄之路怪物!E35,$K$4-$A32,0))</f>
        <v>15.699041278800445</v>
      </c>
      <c r="D32" s="2">
        <f ca="1">IF($A32=$K$3,1,英雄之路怪物!F35/OFFSET(英雄之路怪物!F35,$K$4-$A32,0))</f>
        <v>18.321463959051741</v>
      </c>
      <c r="E32" s="2">
        <f ca="1">IF($A32=$K$3,1,英雄之路怪物!G35/OFFSET(英雄之路怪物!G35,$K$4-$A32,0))</f>
        <v>9.2520836574140137</v>
      </c>
      <c r="F32" s="2">
        <f ca="1">IF($A32=$K$3,1,英雄之路怪物!H35/OFFSET(英雄之路怪物!H35,$K$4-$A32,0))</f>
        <v>15.699041278800447</v>
      </c>
    </row>
    <row r="33" spans="1:6">
      <c r="A33" s="2">
        <f>英雄之路怪物!C36</f>
        <v>51</v>
      </c>
      <c r="B33" s="2">
        <f>MOD(英雄之路怪物!D36,10)</f>
        <v>1</v>
      </c>
      <c r="C33" s="2">
        <f ca="1">IF($A33=$K$3,1,英雄之路怪物!E36/OFFSET(英雄之路怪物!E36,$K$4-$A33,0))</f>
        <v>16.694329391226663</v>
      </c>
      <c r="D33" s="2">
        <f ca="1">IF($A33=$K$3,1,英雄之路怪物!F36/OFFSET(英雄之路怪物!F36,$K$4-$A33,0))</f>
        <v>20.01181924226125</v>
      </c>
      <c r="E33" s="2">
        <f ca="1">IF($A33=$K$3,1,英雄之路怪物!G36/OFFSET(英雄之路怪物!G36,$K$4-$A33,0))</f>
        <v>9.9087532993784002</v>
      </c>
      <c r="F33" s="2">
        <f ca="1">IF($A33=$K$3,1,英雄之路怪物!H36/OFFSET(英雄之路怪物!H36,$K$4-$A33,0))</f>
        <v>16.694329391226663</v>
      </c>
    </row>
    <row r="34" spans="1:6">
      <c r="A34" s="2">
        <f>英雄之路怪物!C37</f>
        <v>52</v>
      </c>
      <c r="B34" s="2">
        <f>MOD(英雄之路怪物!D37,10)</f>
        <v>1</v>
      </c>
      <c r="C34" s="2">
        <f ca="1">IF($A34=$K$3,1,英雄之路怪物!E37/OFFSET(英雄之路怪物!E37,$K$4-$A34,0))</f>
        <v>18.367836205844611</v>
      </c>
      <c r="D34" s="2">
        <f ca="1">IF($A34=$K$3,1,英雄之路怪物!F37/OFFSET(英雄之路怪物!F37,$K$4-$A34,0))</f>
        <v>21.819666107067498</v>
      </c>
      <c r="E34" s="2">
        <f ca="1">IF($A34=$K$3,1,英雄之路怪物!G37/OFFSET(英雄之路怪物!G37,$K$4-$A34,0))</f>
        <v>10.573785620950479</v>
      </c>
      <c r="F34" s="2">
        <f ca="1">IF($A34=$K$3,1,英雄之路怪物!H37/OFFSET(英雄之路怪物!H37,$K$4-$A34,0))</f>
        <v>18.367836205844615</v>
      </c>
    </row>
    <row r="35" spans="1:6">
      <c r="A35" s="2">
        <f>英雄之路怪物!C38</f>
        <v>53</v>
      </c>
      <c r="B35" s="2">
        <f>MOD(英雄之路怪物!D38,10)</f>
        <v>1</v>
      </c>
      <c r="C35" s="2">
        <f ca="1">IF($A35=$K$3,1,英雄之路怪物!E38/OFFSET(英雄之路怪物!E38,$K$4-$A35,0))</f>
        <v>19.813164889564217</v>
      </c>
      <c r="D35" s="2">
        <f ca="1">IF($A35=$K$3,1,英雄之路怪物!F38/OFFSET(英雄之路怪物!F38,$K$4-$A35,0))</f>
        <v>23.75123245684405</v>
      </c>
      <c r="E35" s="2">
        <f ca="1">IF($A35=$K$3,1,英雄之路怪物!G38/OFFSET(英雄之路怪物!G38,$K$4-$A35,0))</f>
        <v>11.275506397435898</v>
      </c>
      <c r="F35" s="2">
        <f ca="1">IF($A35=$K$3,1,英雄之路怪物!H38/OFFSET(英雄之路怪物!H38,$K$4-$A35,0))</f>
        <v>19.813164889564217</v>
      </c>
    </row>
    <row r="36" spans="1:6">
      <c r="A36" s="2">
        <f>英雄之路怪物!C39</f>
        <v>54</v>
      </c>
      <c r="B36" s="2">
        <f>MOD(英雄之路怪物!D39,10)</f>
        <v>1</v>
      </c>
      <c r="C36" s="2">
        <f ca="1">IF($A36=$K$3,1,英雄之路怪物!E39/OFFSET(英雄之路怪物!E39,$K$4-$A36,0))</f>
        <v>21.335637090425063</v>
      </c>
      <c r="D36" s="2">
        <f ca="1">IF($A36=$K$3,1,英雄之路怪物!F39/OFFSET(英雄之路怪物!F39,$K$4-$A36,0))</f>
        <v>25.81302219970777</v>
      </c>
      <c r="E36" s="2">
        <f ca="1">IF($A36=$K$3,1,英雄之路怪物!G39/OFFSET(英雄之路怪物!G39,$K$4-$A36,0))</f>
        <v>12.005099055246342</v>
      </c>
      <c r="F36" s="2">
        <f ca="1">IF($A36=$K$3,1,英雄之路怪物!H39/OFFSET(英雄之路怪物!H39,$K$4-$A36,0))</f>
        <v>21.335637090425067</v>
      </c>
    </row>
    <row r="37" spans="1:6">
      <c r="A37" s="2">
        <f>英雄之路怪物!C40</f>
        <v>55</v>
      </c>
      <c r="B37" s="2">
        <f>MOD(英雄之路怪物!D40,10)</f>
        <v>1</v>
      </c>
      <c r="C37" s="2">
        <f ca="1">IF($A37=$K$3,1,英雄之路怪物!E40/OFFSET(英雄之路怪物!E40,$K$4-$A37,0))</f>
        <v>22.937686428827639</v>
      </c>
      <c r="D37" s="2">
        <f ca="1">IF($A37=$K$3,1,英雄之路怪物!F40/OFFSET(英雄之路怪物!F40,$K$4-$A37,0))</f>
        <v>28.011827606940177</v>
      </c>
      <c r="E37" s="2">
        <f ca="1">IF($A37=$K$3,1,英雄之路怪物!G40/OFFSET(英雄之路怪物!G40,$K$4-$A37,0))</f>
        <v>12.76303260801698</v>
      </c>
      <c r="F37" s="2">
        <f ca="1">IF($A37=$K$3,1,英雄之路怪物!H40/OFFSET(英雄之路怪物!H40,$K$4-$A37,0))</f>
        <v>22.937686428827639</v>
      </c>
    </row>
    <row r="38" spans="1:6">
      <c r="A38" s="2">
        <f>英雄之路怪物!C41</f>
        <v>56</v>
      </c>
      <c r="B38" s="2">
        <f>MOD(英雄之路怪物!D41,10)</f>
        <v>1</v>
      </c>
      <c r="C38" s="2">
        <f ca="1">IF($A38=$K$3,1,英雄之路怪物!E41/OFFSET(英雄之路怪物!E41,$K$4-$A38,0))</f>
        <v>24.621779784981591</v>
      </c>
      <c r="D38" s="2">
        <f ca="1">IF($A38=$K$3,1,英雄之路怪物!F41/OFFSET(英雄之路怪物!F41,$K$4-$A38,0))</f>
        <v>30.354742341443714</v>
      </c>
      <c r="E38" s="2">
        <f ca="1">IF($A38=$K$3,1,英雄之路怪物!G41/OFFSET(英雄之路怪物!G41,$K$4-$A38,0))</f>
        <v>13.549776069383</v>
      </c>
      <c r="F38" s="2">
        <f ca="1">IF($A38=$K$3,1,英雄之路怪物!H41/OFFSET(英雄之路怪物!H41,$K$4-$A38,0))</f>
        <v>24.621779784981591</v>
      </c>
    </row>
    <row r="39" spans="1:6">
      <c r="A39" s="2">
        <f>英雄之路怪物!C42</f>
        <v>57</v>
      </c>
      <c r="B39" s="2">
        <f>MOD(英雄之路怪物!D42,10)</f>
        <v>1</v>
      </c>
      <c r="C39" s="2">
        <f ca="1">IF($A39=$K$3,1,英雄之路怪物!E42/OFFSET(英雄之路怪物!E42,$K$4-$A39,0))</f>
        <v>26.390417286583428</v>
      </c>
      <c r="D39" s="2">
        <f ca="1">IF($A39=$K$3,1,英雄之路怪物!F42/OFFSET(英雄之路怪物!F42,$K$4-$A39,0))</f>
        <v>32.849175199000975</v>
      </c>
      <c r="E39" s="2">
        <f ca="1">IF($A39=$K$3,1,英雄之路怪物!G42/OFFSET(英雄之路怪物!G42,$K$4-$A39,0))</f>
        <v>14.365798452979561</v>
      </c>
      <c r="F39" s="2">
        <f ca="1">IF($A39=$K$3,1,英雄之路怪物!H42/OFFSET(英雄之路怪物!H42,$K$4-$A39,0))</f>
        <v>26.390417286583428</v>
      </c>
    </row>
    <row r="40" spans="1:6">
      <c r="A40" s="2">
        <f>英雄之路怪物!C43</f>
        <v>58</v>
      </c>
      <c r="B40" s="2">
        <f>MOD(英雄之路怪物!D43,10)</f>
        <v>1</v>
      </c>
      <c r="C40" s="2">
        <f ca="1">IF($A40=$K$3,1,英雄之路怪物!E43/OFFSET(英雄之路怪物!E43,$K$4-$A40,0))</f>
        <v>28.246132296226449</v>
      </c>
      <c r="D40" s="2">
        <f ca="1">IF($A40=$K$3,1,英雄之路怪物!F43/OFFSET(英雄之路怪物!F43,$K$4-$A40,0))</f>
        <v>35.50286460825393</v>
      </c>
      <c r="E40" s="2">
        <f ca="1">IF($A40=$K$3,1,英雄之路怪物!G43/OFFSET(英雄之路怪物!G43,$K$4-$A40,0))</f>
        <v>15.211568772441845</v>
      </c>
      <c r="F40" s="2">
        <f ca="1">IF($A40=$K$3,1,英雄之路怪物!H43/OFFSET(英雄之路怪物!H43,$K$4-$A40,0))</f>
        <v>28.246132296226449</v>
      </c>
    </row>
    <row r="41" spans="1:6">
      <c r="A41" s="2">
        <f>英雄之路怪物!C44</f>
        <v>59</v>
      </c>
      <c r="B41" s="2">
        <f>MOD(英雄之路怪物!D44,10)</f>
        <v>1</v>
      </c>
      <c r="C41" s="2">
        <f ca="1">IF($A41=$K$3,1,英雄之路怪物!E44/OFFSET(英雄之路怪物!E44,$K$4-$A41,0))</f>
        <v>30.19149139859968</v>
      </c>
      <c r="D41" s="2">
        <f ca="1">IF($A41=$K$3,1,英雄之路怪物!F44/OFFSET(英雄之路怪物!F44,$K$4-$A41,0))</f>
        <v>38.323893938731445</v>
      </c>
      <c r="E41" s="2">
        <f ca="1">IF($A41=$K$3,1,英雄之路怪物!G44/OFFSET(英雄之路怪物!G44,$K$4-$A41,0))</f>
        <v>16.087556041405026</v>
      </c>
      <c r="F41" s="2">
        <f ca="1">IF($A41=$K$3,1,英雄之路怪物!H44/OFFSET(英雄之路怪物!H44,$K$4-$A41,0))</f>
        <v>30.19149139859968</v>
      </c>
    </row>
    <row r="42" spans="1:6">
      <c r="A42" s="2">
        <f>英雄之路怪物!C45</f>
        <v>60</v>
      </c>
      <c r="B42" s="2">
        <f>MOD(英雄之路怪物!D45,10)</f>
        <v>1</v>
      </c>
      <c r="C42" s="2">
        <f ca="1">IF($A42=$K$3,1,英雄之路怪物!E45/OFFSET(英雄之路怪物!E45,$K$4-$A42,0))</f>
        <v>32.387858399286493</v>
      </c>
      <c r="D42" s="2">
        <f ca="1">IF($A42=$K$3,1,英雄之路怪物!F45/OFFSET(英雄之路怪物!F45,$K$4-$A42,0))</f>
        <v>41.524257954041779</v>
      </c>
      <c r="E42" s="2">
        <f ca="1">IF($A42=$K$3,1,英雄之路怪物!G45/OFFSET(英雄之路怪物!G45,$K$4-$A42,0))</f>
        <v>17.077944688644696</v>
      </c>
      <c r="F42" s="2">
        <f ca="1">IF($A42=$K$3,1,英雄之路怪物!H45/OFFSET(英雄之路怪物!H45,$K$4-$A42,0))</f>
        <v>32.387858399286493</v>
      </c>
    </row>
    <row r="43" spans="1:6">
      <c r="A43" s="2">
        <f>英雄之路怪物!C46</f>
        <v>61</v>
      </c>
      <c r="B43" s="2">
        <f>MOD(英雄之路怪物!D46,10)</f>
        <v>1</v>
      </c>
      <c r="C43" s="2">
        <f ca="1">IF($A43=$K$3,1,英雄之路怪物!E46/OFFSET(英雄之路怪物!E46,$K$4-$A43,0))</f>
        <v>34.691974005309049</v>
      </c>
      <c r="D43" s="2">
        <f ca="1">IF($A43=$K$3,1,英雄之路怪物!F46/OFFSET(英雄之路怪物!F46,$K$4-$A43,0))</f>
        <v>44.930033560179403</v>
      </c>
      <c r="E43" s="2">
        <f ca="1">IF($A43=$K$3,1,英雄之路怪物!G46/OFFSET(英雄之路怪物!G46,$K$4-$A43,0))</f>
        <v>18.104481112012987</v>
      </c>
      <c r="F43" s="2">
        <f ca="1">IF($A43=$K$3,1,英雄之路怪物!H46/OFFSET(英雄之路怪物!H46,$K$4-$A43,0))</f>
        <v>34.691974005309049</v>
      </c>
    </row>
    <row r="44" spans="1:6">
      <c r="A44" s="2">
        <f>英雄之路怪物!C47</f>
        <v>62</v>
      </c>
      <c r="B44" s="2">
        <f>MOD(英雄之路怪物!D47,10)</f>
        <v>1</v>
      </c>
      <c r="C44" s="2">
        <f ca="1">IF($A44=$K$3,1,英雄之路怪物!E47/OFFSET(英雄之路怪物!E47,$K$4-$A44,0))</f>
        <v>37.106971775412397</v>
      </c>
      <c r="D44" s="2">
        <f ca="1">IF($A44=$K$3,1,英雄之路怪物!F47/OFFSET(英雄之路怪物!F47,$K$4-$A44,0))</f>
        <v>48.551704535183134</v>
      </c>
      <c r="E44" s="2">
        <f ca="1">IF($A44=$K$3,1,英雄之路怪物!G47/OFFSET(英雄之路怪物!G47,$K$4-$A44,0))</f>
        <v>19.167728127872131</v>
      </c>
      <c r="F44" s="2">
        <f ca="1">IF($A44=$K$3,1,英雄之路怪物!H47/OFFSET(英雄之路怪物!H47,$K$4-$A44,0))</f>
        <v>37.106971775412397</v>
      </c>
    </row>
    <row r="45" spans="1:6">
      <c r="A45" s="2">
        <f>英雄之路怪物!C48</f>
        <v>63</v>
      </c>
      <c r="B45" s="2">
        <f>MOD(英雄之路怪物!D48,10)</f>
        <v>1</v>
      </c>
      <c r="C45" s="2">
        <f ca="1">IF($A45=$K$3,1,英雄之路怪物!E48/OFFSET(英雄之路怪物!E48,$K$4-$A45,0))</f>
        <v>39.636025087792028</v>
      </c>
      <c r="D45" s="2">
        <f ca="1">IF($A45=$K$3,1,英雄之路怪物!F48/OFFSET(英雄之路怪物!F48,$K$4-$A45,0))</f>
        <v>52.400230769798462</v>
      </c>
      <c r="E45" s="2">
        <f ca="1">IF($A45=$K$3,1,英雄之路怪物!G48/OFFSET(英雄之路怪物!G48,$K$4-$A45,0))</f>
        <v>20.268248552584321</v>
      </c>
      <c r="F45" s="2">
        <f ca="1">IF($A45=$K$3,1,英雄之路怪物!H48/OFFSET(英雄之路怪物!H48,$K$4-$A45,0))</f>
        <v>39.636025087792035</v>
      </c>
    </row>
    <row r="46" spans="1:6">
      <c r="A46" s="2">
        <f>英雄之路怪物!C49</f>
        <v>64</v>
      </c>
      <c r="B46" s="2">
        <f>MOD(英雄之路怪物!D49,10)</f>
        <v>1</v>
      </c>
      <c r="C46" s="2">
        <f ca="1">IF($A46=$K$3,1,英雄之路怪物!E49/OFFSET(英雄之路怪物!E49,$K$4-$A46,0))</f>
        <v>42.282347124790761</v>
      </c>
      <c r="D46" s="2">
        <f ca="1">IF($A46=$K$3,1,英雄之路怪物!F49/OFFSET(英雄之路怪物!F49,$K$4-$A46,0))</f>
        <v>56.48707145478464</v>
      </c>
      <c r="E46" s="2">
        <f ca="1">IF($A46=$K$3,1,英雄之路怪物!G49/OFFSET(英雄之路怪物!G49,$K$4-$A46,0))</f>
        <v>21.406605202511781</v>
      </c>
      <c r="F46" s="2">
        <f ca="1">IF($A46=$K$3,1,英雄之路怪物!H49/OFFSET(英雄之路怪物!H49,$K$4-$A46,0))</f>
        <v>42.282347124790768</v>
      </c>
    </row>
    <row r="47" spans="1:6">
      <c r="A47" s="2">
        <f>英雄之路怪物!C50</f>
        <v>65</v>
      </c>
      <c r="B47" s="2">
        <f>MOD(英雄之路怪物!D50,10)</f>
        <v>1</v>
      </c>
      <c r="C47" s="2">
        <f ca="1">IF($A47=$K$3,1,英雄之路怪物!E50/OFFSET(英雄之路怪物!E50,$K$4-$A47,0))</f>
        <v>45.04919085752465</v>
      </c>
      <c r="D47" s="2">
        <f ca="1">IF($A47=$K$3,1,英雄之路怪物!F50/OFFSET(英雄之路怪物!F50,$K$4-$A47,0))</f>
        <v>60.824209636653165</v>
      </c>
      <c r="E47" s="2">
        <f ca="1">IF($A47=$K$3,1,英雄之路怪物!G50/OFFSET(英雄之路怪物!G50,$K$4-$A47,0))</f>
        <v>22.5833608940167</v>
      </c>
      <c r="F47" s="2">
        <f ca="1">IF($A47=$K$3,1,英雄之路怪物!H50/OFFSET(英雄之路怪物!H50,$K$4-$A47,0))</f>
        <v>45.049190857524657</v>
      </c>
    </row>
    <row r="48" spans="1:6">
      <c r="A48" s="2">
        <f>英雄之路怪物!C51</f>
        <v>66</v>
      </c>
      <c r="B48" s="2">
        <f>MOD(英雄之路怪物!D51,10)</f>
        <v>1</v>
      </c>
      <c r="C48" s="2">
        <f ca="1">IF($A48=$K$3,1,英雄之路怪物!E51/OFFSET(英雄之路怪物!E51,$K$4-$A48,0))</f>
        <v>47.939849030470945</v>
      </c>
      <c r="D48" s="2">
        <f ca="1">IF($A48=$K$3,1,英雄之路怪物!F51/OFFSET(英雄之路怪物!F51,$K$4-$A48,0))</f>
        <v>65.424178236993228</v>
      </c>
      <c r="E48" s="2">
        <f ca="1">IF($A48=$K$3,1,英雄之路怪物!G51/OFFSET(英雄之路怪物!G51,$K$4-$A48,0))</f>
        <v>23.799078443461312</v>
      </c>
      <c r="F48" s="2">
        <f ca="1">IF($A48=$K$3,1,英雄之路怪物!H51/OFFSET(英雄之路怪物!H51,$K$4-$A48,0))</f>
        <v>47.939849030470953</v>
      </c>
    </row>
    <row r="49" spans="1:6">
      <c r="A49" s="2">
        <f>英雄之路怪物!C52</f>
        <v>67</v>
      </c>
      <c r="B49" s="2">
        <f>MOD(英雄之路怪物!D52,10)</f>
        <v>1</v>
      </c>
      <c r="C49" s="2">
        <f ca="1">IF($A49=$K$3,1,英雄之路怪物!E52/OFFSET(英雄之路怪物!E52,$K$4-$A49,0))</f>
        <v>50.95765414604741</v>
      </c>
      <c r="D49" s="2">
        <f ca="1">IF($A49=$K$3,1,英雄之路怪物!F52/OFFSET(英雄之路怪物!F52,$K$4-$A49,0))</f>
        <v>69.621903014775256</v>
      </c>
      <c r="E49" s="2">
        <f ca="1">IF($A49=$K$3,1,英雄之路怪物!G52/OFFSET(英雄之路怪物!G52,$K$4-$A49,0))</f>
        <v>25.054320667207801</v>
      </c>
      <c r="F49" s="2">
        <f ca="1">IF($A49=$K$3,1,英雄之路怪物!H52/OFFSET(英雄之路怪物!H52,$K$4-$A49,0))</f>
        <v>50.957654146047417</v>
      </c>
    </row>
    <row r="50" spans="1:6">
      <c r="A50" s="2">
        <f>英雄之路怪物!C53</f>
        <v>68</v>
      </c>
      <c r="B50" s="2">
        <f>MOD(英雄之路怪物!D53,10)</f>
        <v>1</v>
      </c>
      <c r="C50" s="2">
        <f ca="1">IF($A50=$K$3,1,英雄之路怪物!E53/OFFSET(英雄之路怪物!E53,$K$4-$A50,0))</f>
        <v>54.105978449208756</v>
      </c>
      <c r="D50" s="2">
        <f ca="1">IF($A50=$K$3,1,英雄之路怪物!F53/OFFSET(英雄之路怪物!F53,$K$4-$A50,0))</f>
        <v>74.019215240869471</v>
      </c>
      <c r="E50" s="2">
        <f ca="1">IF($A50=$K$3,1,英雄之路怪物!G53/OFFSET(英雄之路怪物!G53,$K$4-$A50,0))</f>
        <v>26.3496503816184</v>
      </c>
      <c r="F50" s="2">
        <f ca="1">IF($A50=$K$3,1,英雄之路怪物!H53/OFFSET(英雄之路怪物!H53,$K$4-$A50,0))</f>
        <v>54.105978449208763</v>
      </c>
    </row>
    <row r="51" spans="1:6">
      <c r="A51" s="2">
        <f>英雄之路怪物!C54</f>
        <v>69</v>
      </c>
      <c r="B51" s="2">
        <f>MOD(英雄之路怪物!D54,10)</f>
        <v>1</v>
      </c>
      <c r="C51" s="2">
        <f ca="1">IF($A51=$K$3,1,英雄之路怪物!E54/OFFSET(英雄之路怪物!E54,$K$4-$A51,0))</f>
        <v>57.388233912081922</v>
      </c>
      <c r="D51" s="2">
        <f ca="1">IF($A51=$K$3,1,英雄之路怪物!F54/OFFSET(英雄之路怪物!F54,$K$4-$A51,0))</f>
        <v>78.62363814271923</v>
      </c>
      <c r="E51" s="2">
        <f ca="1">IF($A51=$K$3,1,英雄之路怪物!G54/OFFSET(英雄之路怪物!G54,$K$4-$A51,0))</f>
        <v>27.685630403055296</v>
      </c>
      <c r="F51" s="2">
        <f ca="1">IF($A51=$K$3,1,英雄之路怪物!H54/OFFSET(英雄之路怪物!H54,$K$4-$A51,0))</f>
        <v>57.38823391208193</v>
      </c>
    </row>
    <row r="52" spans="1:6">
      <c r="A52" s="2">
        <f>英雄之路怪物!C55</f>
        <v>70</v>
      </c>
      <c r="B52" s="2">
        <f>MOD(英雄之路怪物!D55,10)</f>
        <v>1</v>
      </c>
      <c r="C52" s="2">
        <f ca="1">IF($A52=$K$3,1,英雄之路怪物!E55/OFFSET(英雄之路怪物!E55,$K$4-$A52,0))</f>
        <v>61.038205067972612</v>
      </c>
      <c r="D52" s="2">
        <f ca="1">IF($A52=$K$3,1,英雄之路怪物!F55/OFFSET(英雄之路怪物!F55,$K$4-$A52,0))</f>
        <v>83.759063908668764</v>
      </c>
      <c r="E52" s="2">
        <f ca="1">IF($A52=$K$3,1,英雄之路怪物!G55/OFFSET(英雄之路怪物!G55,$K$4-$A52,0))</f>
        <v>29.172910000713586</v>
      </c>
      <c r="F52" s="2">
        <f ca="1">IF($A52=$K$3,1,英雄之路怪物!H55/OFFSET(英雄之路怪物!H55,$K$4-$A52,0))</f>
        <v>61.038205067972612</v>
      </c>
    </row>
    <row r="53" spans="1:6">
      <c r="A53" s="2">
        <f>英雄之路怪物!C56</f>
        <v>71</v>
      </c>
      <c r="B53" s="2">
        <f>MOD(英雄之路怪物!D56,10)</f>
        <v>1</v>
      </c>
      <c r="C53" s="2">
        <f ca="1">IF($A53=$K$3,1,英雄之路怪物!E56/OFFSET(英雄之路怪物!E56,$K$4-$A53,0))</f>
        <v>64.845187599564952</v>
      </c>
      <c r="D53" s="2">
        <f ca="1">IF($A53=$K$3,1,英雄之路怪物!F56/OFFSET(英雄之路怪物!F56,$K$4-$A53,0))</f>
        <v>89.140856993243105</v>
      </c>
      <c r="E53" s="2">
        <f ca="1">IF($A53=$K$3,1,英雄之路怪物!G56/OFFSET(英雄之路怪物!G56,$K$4-$A53,0))</f>
        <v>30.707583688993559</v>
      </c>
      <c r="F53" s="2">
        <f ca="1">IF($A53=$K$3,1,英雄之路怪物!H56/OFFSET(英雄之路怪物!H56,$K$4-$A53,0))</f>
        <v>64.845187599564952</v>
      </c>
    </row>
    <row r="54" spans="1:6">
      <c r="A54" s="2">
        <f>英雄之路怪物!C57</f>
        <v>72</v>
      </c>
      <c r="B54" s="2">
        <f>MOD(英雄之路怪物!D57,10)</f>
        <v>1</v>
      </c>
      <c r="C54" s="2">
        <f ca="1">IF($A54=$K$3,1,英雄之路怪物!E57/OFFSET(英雄之路怪物!E57,$K$4-$A54,0))</f>
        <v>68.813229768740968</v>
      </c>
      <c r="D54" s="2">
        <f ca="1">IF($A54=$K$3,1,英雄之路怪物!F57/OFFSET(英雄之路怪物!F57,$K$4-$A54,0))</f>
        <v>94.77847602628205</v>
      </c>
      <c r="E54" s="2">
        <f ca="1">IF($A54=$K$3,1,英雄之路怪物!G57/OFFSET(英雄之路怪物!G57,$K$4-$A54,0))</f>
        <v>32.290308086984453</v>
      </c>
      <c r="F54" s="2">
        <f ca="1">IF($A54=$K$3,1,英雄之路怪物!H57/OFFSET(英雄之路怪物!H57,$K$4-$A54,0))</f>
        <v>68.813229768740968</v>
      </c>
    </row>
    <row r="55" spans="1:6">
      <c r="A55" s="2">
        <f>英雄之路怪物!C58</f>
        <v>73</v>
      </c>
      <c r="B55" s="2">
        <f>MOD(英雄之路怪物!D58,10)</f>
        <v>1</v>
      </c>
      <c r="C55" s="2">
        <f ca="1">IF($A55=$K$3,1,英雄之路怪物!E58/OFFSET(英雄之路怪物!E58,$K$4-$A55,0))</f>
        <v>72.946426135465188</v>
      </c>
      <c r="D55" s="2">
        <f ca="1">IF($A55=$K$3,1,英雄之路怪物!F58/OFFSET(英雄之路怪物!F58,$K$4-$A55,0))</f>
        <v>100.68176636605827</v>
      </c>
      <c r="E55" s="2">
        <f ca="1">IF($A55=$K$3,1,英雄之路怪物!G58/OFFSET(英雄之路怪物!G58,$K$4-$A55,0))</f>
        <v>33.921739813775524</v>
      </c>
      <c r="F55" s="2">
        <f ca="1">IF($A55=$K$3,1,英雄之路怪物!H58/OFFSET(英雄之路怪物!H58,$K$4-$A55,0))</f>
        <v>72.946426135465188</v>
      </c>
    </row>
    <row r="56" spans="1:6">
      <c r="A56" s="2">
        <f>英雄之路怪物!C59</f>
        <v>74</v>
      </c>
      <c r="B56" s="2">
        <f>MOD(英雄之路怪物!D59,10)</f>
        <v>1</v>
      </c>
      <c r="C56" s="2">
        <f ca="1">IF($A56=$K$3,1,英雄之路怪物!E59/OFFSET(英雄之路怪物!E59,$K$4-$A56,0))</f>
        <v>77.248917540456915</v>
      </c>
      <c r="D56" s="2">
        <f ca="1">IF($A56=$K$3,1,英雄之路怪物!F59/OFFSET(英雄之路怪物!F59,$K$4-$A56,0))</f>
        <v>106.86098096591948</v>
      </c>
      <c r="E56" s="2">
        <f ca="1">IF($A56=$K$3,1,英雄之路怪物!G59/OFFSET(英雄之路怪物!G59,$K$4-$A56,0))</f>
        <v>35.602535488455999</v>
      </c>
      <c r="F56" s="2">
        <f ca="1">IF($A56=$K$3,1,英雄之路怪物!H59/OFFSET(英雄之路怪物!H59,$K$4-$A56,0))</f>
        <v>77.248917540456915</v>
      </c>
    </row>
    <row r="57" spans="1:6">
      <c r="A57" s="2">
        <f>英雄之路怪物!C60</f>
        <v>75</v>
      </c>
      <c r="B57" s="2">
        <f>MOD(英雄之路怪物!D60,10)</f>
        <v>1</v>
      </c>
      <c r="C57" s="2">
        <f ca="1">IF($A57=$K$3,1,英雄之路怪物!E60/OFFSET(英雄之路怪物!E60,$K$4-$A57,0))</f>
        <v>81.724891087975308</v>
      </c>
      <c r="D57" s="2">
        <f ca="1">IF($A57=$K$3,1,英雄之路怪物!F60/OFFSET(英雄之路怪物!F60,$K$4-$A57,0))</f>
        <v>113.32680260674687</v>
      </c>
      <c r="E57" s="2">
        <f ca="1">IF($A57=$K$3,1,英雄之路怪物!G60/OFFSET(英雄之路怪物!G60,$K$4-$A57,0))</f>
        <v>37.333351730115147</v>
      </c>
      <c r="F57" s="2">
        <f ca="1">IF($A57=$K$3,1,英雄之路怪物!H60/OFFSET(英雄之路怪物!H60,$K$4-$A57,0))</f>
        <v>81.724891087975323</v>
      </c>
    </row>
    <row r="58" spans="1:6">
      <c r="A58" s="2">
        <f>英雄之路怪物!C61</f>
        <v>76</v>
      </c>
      <c r="B58" s="2">
        <f>MOD(英雄之路怪物!D61,10)</f>
        <v>1</v>
      </c>
      <c r="C58" s="2">
        <f ca="1">IF($A58=$K$3,1,英雄之路怪物!E61/OFFSET(英雄之路怪物!E61,$K$4-$A58,0))</f>
        <v>86.378580128730732</v>
      </c>
      <c r="D58" s="2">
        <f ca="1">IF($A58=$K$3,1,英雄之路怪物!F61/OFFSET(英雄之路怪物!F61,$K$4-$A58,0))</f>
        <v>120.09036760067941</v>
      </c>
      <c r="E58" s="2">
        <f ca="1">IF($A58=$K$3,1,英雄之路怪物!G61/OFFSET(英雄之路怪物!G61,$K$4-$A58,0))</f>
        <v>39.114845157842169</v>
      </c>
      <c r="F58" s="2">
        <f ca="1">IF($A58=$K$3,1,英雄之路怪物!H61/OFFSET(英雄之路怪物!H61,$K$4-$A58,0))</f>
        <v>86.378580128730732</v>
      </c>
    </row>
    <row r="59" spans="1:6">
      <c r="A59" s="2">
        <f>英雄之路怪物!C62</f>
        <v>77</v>
      </c>
      <c r="B59" s="2">
        <f>MOD(英雄之路怪物!D62,10)</f>
        <v>1</v>
      </c>
      <c r="C59" s="2">
        <f ca="1">IF($A59=$K$3,1,英雄之路怪物!E62/OFFSET(英雄之路怪物!E62,$K$4-$A59,0))</f>
        <v>91.21426424293125</v>
      </c>
      <c r="D59" s="2">
        <f ca="1">IF($A59=$K$3,1,英雄之路怪物!F62/OFFSET(英雄之路怪物!F62,$K$4-$A59,0))</f>
        <v>127.16329108096124</v>
      </c>
      <c r="E59" s="2">
        <f ca="1">IF($A59=$K$3,1,英雄之路怪物!G62/OFFSET(英雄之路怪物!G62,$K$4-$A59,0))</f>
        <v>40.947672390726339</v>
      </c>
      <c r="F59" s="2">
        <f ca="1">IF($A59=$K$3,1,英雄之路怪物!H62/OFFSET(英雄之路怪物!H62,$K$4-$A59,0))</f>
        <v>91.214264242931264</v>
      </c>
    </row>
    <row r="60" spans="1:6">
      <c r="A60" s="2">
        <f>英雄之路怪物!C63</f>
        <v>78</v>
      </c>
      <c r="B60" s="2">
        <f>MOD(英雄之路怪物!D63,10)</f>
        <v>1</v>
      </c>
      <c r="C60" s="2">
        <f ca="1">IF($A60=$K$3,1,英雄之路怪物!E63/OFFSET(英雄之路怪物!E63,$K$4-$A60,0))</f>
        <v>96.236269223474252</v>
      </c>
      <c r="D60" s="2">
        <f ca="1">IF($A60=$K$3,1,英雄之路怪物!F63/OFFSET(英雄之路怪物!F63,$K$4-$A60,0))</f>
        <v>134.55769400313136</v>
      </c>
      <c r="E60" s="2">
        <f ca="1">IF($A60=$K$3,1,英雄之路怪物!G63/OFFSET(英雄之路怪物!G63,$K$4-$A60,0))</f>
        <v>42.832490047856901</v>
      </c>
      <c r="F60" s="2">
        <f ca="1">IF($A60=$K$3,1,英雄之路怪物!H63/OFFSET(英雄之路怪物!H63,$K$4-$A60,0))</f>
        <v>96.236269223474267</v>
      </c>
    </row>
    <row r="61" spans="1:6">
      <c r="A61" s="2">
        <f>英雄之路怪物!C64</f>
        <v>79</v>
      </c>
      <c r="B61" s="2">
        <f>MOD(英雄之路怪物!D64,10)</f>
        <v>1</v>
      </c>
      <c r="C61" s="2">
        <f ca="1">IF($A61=$K$3,1,英雄之路怪物!E64/OFFSET(英雄之路怪物!E64,$K$4-$A61,0))</f>
        <v>101.44896705929042</v>
      </c>
      <c r="D61" s="2">
        <f ca="1">IF($A61=$K$3,1,英雄之路怪物!F64/OFFSET(英雄之路怪物!F64,$K$4-$A61,0))</f>
        <v>142.28623199420423</v>
      </c>
      <c r="E61" s="2">
        <f ca="1">IF($A61=$K$3,1,英雄之路怪物!G64/OFFSET(英雄之路怪物!G64,$K$4-$A61,0))</f>
        <v>44.769954748323123</v>
      </c>
      <c r="F61" s="2">
        <f ca="1">IF($A61=$K$3,1,英雄之路怪物!H64/OFFSET(英雄之路怪物!H64,$K$4-$A61,0))</f>
        <v>101.44896705929044</v>
      </c>
    </row>
    <row r="62" spans="1:6">
      <c r="A62" s="2">
        <f>英雄之路怪物!C65</f>
        <v>80</v>
      </c>
      <c r="B62" s="2">
        <f>MOD(英雄之路怪物!D65,10)</f>
        <v>1</v>
      </c>
      <c r="C62" s="2">
        <f ca="1">IF($A62=$K$3,1,英雄之路怪物!E65/OFFSET(英雄之路怪物!E65,$K$4-$A62,0))</f>
        <v>107.17575136934926</v>
      </c>
      <c r="D62" s="2">
        <f ca="1">IF($A62=$K$3,1,英雄之路怪物!F65/OFFSET(英雄之路怪物!F65,$K$4-$A62,0))</f>
        <v>150.8109683668595</v>
      </c>
      <c r="E62" s="2">
        <f ca="1">IF($A62=$K$3,1,英雄之路怪物!G65/OFFSET(英雄之路怪物!G65,$K$4-$A62,0))</f>
        <v>46.900307359307348</v>
      </c>
      <c r="F62" s="2">
        <f ca="1">IF($A62=$K$3,1,英雄之路怪物!H65/OFFSET(英雄之路怪物!H65,$K$4-$A62,0))</f>
        <v>107.17575136934926</v>
      </c>
    </row>
    <row r="63" spans="1:6">
      <c r="A63" s="2">
        <f>英雄之路怪物!C66</f>
        <v>81</v>
      </c>
      <c r="B63" s="2">
        <f>MOD(英雄之路怪物!D66,10)</f>
        <v>1</v>
      </c>
      <c r="C63" s="2">
        <f ca="1">IF($A63=$K$3,1,英雄之路怪物!E66/OFFSET(英雄之路怪物!E66,$K$4-$A63,0))</f>
        <v>113.12184528078673</v>
      </c>
      <c r="D63" s="2">
        <f ca="1">IF($A63=$K$3,1,英雄之路怪物!F66/OFFSET(英雄之路怪物!F66,$K$4-$A63,0))</f>
        <v>184.03119096106693</v>
      </c>
      <c r="E63" s="2">
        <f ca="1">IF($A63=$K$3,1,英雄之路怪物!G66/OFFSET(英雄之路怪物!G66,$K$4-$A63,0))</f>
        <v>49.090863754190266</v>
      </c>
      <c r="F63" s="2">
        <f ca="1">IF($A63=$K$3,1,英雄之路怪物!H66/OFFSET(英雄之路怪物!H66,$K$4-$A63,0))</f>
        <v>113.12184528078673</v>
      </c>
    </row>
    <row r="64" spans="1:6">
      <c r="A64" s="2">
        <f>英雄之路怪物!C67</f>
        <v>82</v>
      </c>
      <c r="B64" s="2">
        <f>MOD(英雄之路怪物!D67,10)</f>
        <v>1</v>
      </c>
      <c r="C64" s="2">
        <f ca="1">IF($A64=$K$3,1,英雄之路怪物!E67/OFFSET(英雄之路怪物!E67,$K$4-$A64,0))</f>
        <v>119.29232614432996</v>
      </c>
      <c r="D64" s="2">
        <f ca="1">IF($A64=$K$3,1,英雄之路怪物!F67/OFFSET(英雄之路怪物!F67,$K$4-$A64,0))</f>
        <v>196.56502694990868</v>
      </c>
      <c r="E64" s="2">
        <f ca="1">IF($A64=$K$3,1,英雄之路怪物!G67/OFFSET(英雄之路怪物!G67,$K$4-$A64,0))</f>
        <v>51.34237435478807</v>
      </c>
      <c r="F64" s="2">
        <f ca="1">IF($A64=$K$3,1,英雄之路怪物!H67/OFFSET(英雄之路怪物!H67,$K$4-$A64,0))</f>
        <v>119.29232614432996</v>
      </c>
    </row>
    <row r="65" spans="1:6">
      <c r="A65" s="2">
        <f>英雄之路怪物!C68</f>
        <v>83</v>
      </c>
      <c r="B65" s="2">
        <f>MOD(英雄之路怪物!D68,10)</f>
        <v>1</v>
      </c>
      <c r="C65" s="2">
        <f ca="1">IF($A65=$K$3,1,英雄之路怪物!E68/OFFSET(英雄之路怪物!E68,$K$4-$A65,0))</f>
        <v>125.69232405416851</v>
      </c>
      <c r="D65" s="2">
        <f ca="1">IF($A65=$K$3,1,英雄之路怪物!F68/OFFSET(英雄之路怪物!F68,$K$4-$A65,0))</f>
        <v>209.80414100880995</v>
      </c>
      <c r="E65" s="2">
        <f ca="1">IF($A65=$K$3,1,英雄之路怪物!G68/OFFSET(英雄之路怪物!G68,$K$4-$A65,0))</f>
        <v>53.655589582917088</v>
      </c>
      <c r="F65" s="2">
        <f ca="1">IF($A65=$K$3,1,英雄之路怪物!H68/OFFSET(英雄之路怪物!H68,$K$4-$A65,0))</f>
        <v>125.69232405416851</v>
      </c>
    </row>
    <row r="66" spans="1:6">
      <c r="A66" s="2">
        <f>英雄之路怪物!C69</f>
        <v>84</v>
      </c>
      <c r="B66" s="2">
        <f>MOD(英雄之路怪物!D69,10)</f>
        <v>1</v>
      </c>
      <c r="C66" s="2">
        <f ca="1">IF($A66=$K$3,1,英雄之路怪物!E69/OFFSET(英雄之路怪物!E69,$K$4-$A66,0))</f>
        <v>132.32702182976914</v>
      </c>
      <c r="D66" s="2">
        <f ca="1">IF($A66=$K$3,1,英雄之路怪物!F69/OFFSET(英雄之路怪物!F69,$K$4-$A66,0))</f>
        <v>223.78416151169819</v>
      </c>
      <c r="E66" s="2">
        <f ca="1">IF($A66=$K$3,1,英雄之路怪物!G69/OFFSET(英雄之路怪物!G69,$K$4-$A66,0))</f>
        <v>56.031259860393583</v>
      </c>
      <c r="F66" s="2">
        <f ca="1">IF($A66=$K$3,1,英雄之路怪物!H69/OFFSET(英雄之路怪物!H69,$K$4-$A66,0))</f>
        <v>132.32702182976914</v>
      </c>
    </row>
    <row r="67" spans="1:6">
      <c r="A67" s="2">
        <f>英雄之路怪物!C70</f>
        <v>85</v>
      </c>
      <c r="B67" s="2">
        <f>MOD(英雄之路怪物!D70,10)</f>
        <v>1</v>
      </c>
      <c r="C67" s="2">
        <f ca="1">IF($A67=$K$3,1,英雄之路怪物!E70/OFFSET(英雄之路怪物!E70,$K$4-$A67,0))</f>
        <v>139.20165499788169</v>
      </c>
      <c r="D67" s="2">
        <f ca="1">IF($A67=$K$3,1,英雄之路怪物!F70/OFFSET(英雄之路怪物!F70,$K$4-$A67,0))</f>
        <v>238.54258306967441</v>
      </c>
      <c r="E67" s="2">
        <f ca="1">IF($A67=$K$3,1,英雄之路怪物!G70/OFFSET(英雄之路怪物!G70,$K$4-$A67,0))</f>
        <v>58.470135609033811</v>
      </c>
      <c r="F67" s="2">
        <f ca="1">IF($A67=$K$3,1,英雄之路怪物!H70/OFFSET(英雄之路怪物!H70,$K$4-$A67,0))</f>
        <v>139.20165499788169</v>
      </c>
    </row>
    <row r="68" spans="1:6">
      <c r="A68" s="2">
        <f>英雄之路怪物!C71</f>
        <v>86</v>
      </c>
      <c r="B68" s="2">
        <f>MOD(英雄之路怪物!D71,10)</f>
        <v>1</v>
      </c>
      <c r="C68" s="2">
        <f ca="1">IF($A68=$K$3,1,英雄之路怪物!E71/OFFSET(英雄之路怪物!E71,$K$4-$A68,0))</f>
        <v>146.32151177473924</v>
      </c>
      <c r="D68" s="2">
        <f ca="1">IF($A68=$K$3,1,英雄之路怪物!F71/OFFSET(英雄之路怪物!F71,$K$4-$A68,0))</f>
        <v>254.11888220687177</v>
      </c>
      <c r="E68" s="2">
        <f ca="1">IF($A68=$K$3,1,英雄之路怪物!G71/OFFSET(英雄之路怪物!G71,$K$4-$A68,0))</f>
        <v>60.972967250654101</v>
      </c>
      <c r="F68" s="2">
        <f ca="1">IF($A68=$K$3,1,英雄之路怪物!H71/OFFSET(英雄之路怪物!H71,$K$4-$A68,0))</f>
        <v>146.32151177473924</v>
      </c>
    </row>
    <row r="69" spans="1:6">
      <c r="A69" s="2">
        <f>英雄之路怪物!C72</f>
        <v>87</v>
      </c>
      <c r="B69" s="2">
        <f>MOD(英雄之路怪物!D72,10)</f>
        <v>1</v>
      </c>
      <c r="C69" s="2">
        <f ca="1">IF($A69=$K$3,1,英雄之路怪物!E72/OFFSET(英雄之路怪物!E72,$K$4-$A69,0))</f>
        <v>153.69193304845504</v>
      </c>
      <c r="D69" s="2">
        <f ca="1">IF($A69=$K$3,1,英雄之路怪物!F72/OFFSET(英雄之路怪物!F72,$K$4-$A69,0))</f>
        <v>270.55464174830115</v>
      </c>
      <c r="E69" s="2">
        <f ca="1">IF($A69=$K$3,1,英雄之路怪物!G72/OFFSET(英雄之路怪物!G72,$K$4-$A69,0))</f>
        <v>63.540505207070694</v>
      </c>
      <c r="F69" s="2">
        <f ca="1">IF($A69=$K$3,1,英雄之路怪物!H72/OFFSET(英雄之路怪物!H72,$K$4-$A69,0))</f>
        <v>153.69193304845501</v>
      </c>
    </row>
    <row r="70" spans="1:6">
      <c r="A70" s="2">
        <f>英雄之路怪物!C73</f>
        <v>88</v>
      </c>
      <c r="B70" s="2">
        <f>MOD(英雄之路怪物!D73,10)</f>
        <v>1</v>
      </c>
      <c r="C70" s="2">
        <f ca="1">IF($A70=$K$3,1,英雄之路怪物!E73/OFFSET(英雄之路怪物!E73,$K$4-$A70,0))</f>
        <v>161.31831236161824</v>
      </c>
      <c r="D70" s="2">
        <f ca="1">IF($A70=$K$3,1,英雄之路怪物!F73/OFFSET(英雄之路怪物!F73,$K$4-$A70,0))</f>
        <v>287.89368469490881</v>
      </c>
      <c r="E70" s="2">
        <f ca="1">IF($A70=$K$3,1,英雄之路怪物!G73/OFFSET(英雄之路怪物!G73,$K$4-$A70,0))</f>
        <v>66.17349990009987</v>
      </c>
      <c r="F70" s="2">
        <f ca="1">IF($A70=$K$3,1,英雄之路怪物!H73/OFFSET(英雄之路怪物!H73,$K$4-$A70,0))</f>
        <v>161.31831236161827</v>
      </c>
    </row>
    <row r="71" spans="1:6">
      <c r="A71" s="2">
        <f>英雄之路怪物!C74</f>
        <v>89</v>
      </c>
      <c r="B71" s="2">
        <f>MOD(英雄之路怪物!D74,10)</f>
        <v>1</v>
      </c>
      <c r="C71" s="2">
        <f ca="1">IF($A71=$K$3,1,英雄之路怪物!E74/OFFSET(英雄之路怪物!E74,$K$4-$A71,0))</f>
        <v>169.20609589408824</v>
      </c>
      <c r="D71" s="2">
        <f ca="1">IF($A71=$K$3,1,英雄之路怪物!F74/OFFSET(英雄之路怪物!F74,$K$4-$A71,0))</f>
        <v>306.18221844090988</v>
      </c>
      <c r="E71" s="2">
        <f ca="1">IF($A71=$K$3,1,英雄之路怪物!G74/OFFSET(英雄之路怪物!G74,$K$4-$A71,0))</f>
        <v>68.872701751557926</v>
      </c>
      <c r="F71" s="2">
        <f ca="1">IF($A71=$K$3,1,英雄之路怪物!H74/OFFSET(英雄之路怪物!H74,$K$4-$A71,0))</f>
        <v>169.20609589408826</v>
      </c>
    </row>
    <row r="72" spans="1:6">
      <c r="A72" s="2">
        <f>英雄之路怪物!C75</f>
        <v>90</v>
      </c>
      <c r="B72" s="2">
        <f>MOD(英雄之路怪物!D75,10)</f>
        <v>1</v>
      </c>
      <c r="C72" s="2">
        <f ca="1">IF($A72=$K$3,1,英雄之路怪物!E75/OFFSET(英雄之路怪物!E75,$K$4-$A72,0))</f>
        <v>177.36078244598949</v>
      </c>
      <c r="D72" s="2">
        <f ca="1">IF($A72=$K$3,1,英雄之路怪物!F75/OFFSET(英雄之路怪物!F75,$K$4-$A72,0))</f>
        <v>325.46899027769791</v>
      </c>
      <c r="E72" s="2">
        <f ca="1">IF($A72=$K$3,1,英雄之路怪物!G75/OFFSET(英雄之路怪物!G75,$K$4-$A72,0))</f>
        <v>71.638861183261142</v>
      </c>
      <c r="F72" s="2">
        <f ca="1">IF($A72=$K$3,1,英雄之路怪物!H75/OFFSET(英雄之路怪物!H75,$K$4-$A72,0))</f>
        <v>177.36078244598949</v>
      </c>
    </row>
    <row r="73" spans="1:6">
      <c r="A73" s="2">
        <f>英雄之路怪物!C76</f>
        <v>20</v>
      </c>
      <c r="B73" s="2">
        <f>MOD(英雄之路怪物!D76,10)</f>
        <v>2</v>
      </c>
      <c r="C73" s="2">
        <f ca="1">IF($A73=$K$3,1,英雄之路怪物!E76/OFFSET(英雄之路怪物!E76,$K$4-$A73,0))</f>
        <v>1</v>
      </c>
      <c r="D73" s="2">
        <f ca="1">IF($A73=$K$3,1,英雄之路怪物!F76/OFFSET(英雄之路怪物!F76,$K$4-$A73,0))</f>
        <v>1</v>
      </c>
      <c r="E73" s="2">
        <f ca="1">IF($A73=$K$3,1,英雄之路怪物!G76/OFFSET(英雄之路怪物!G76,$K$4-$A73,0))</f>
        <v>1</v>
      </c>
      <c r="F73" s="2">
        <f ca="1">IF($A73=$K$3,1,英雄之路怪物!H76/OFFSET(英雄之路怪物!H76,$K$4-$A73,0))</f>
        <v>1</v>
      </c>
    </row>
    <row r="74" spans="1:6">
      <c r="A74" s="2">
        <f>英雄之路怪物!C77</f>
        <v>21</v>
      </c>
      <c r="B74" s="2">
        <f>MOD(英雄之路怪物!D77,10)</f>
        <v>2</v>
      </c>
      <c r="C74" s="2">
        <f ca="1">IF($A74=$K$3,1,英雄之路怪物!E77/OFFSET(英雄之路怪物!E77,$K$4-$A74,0))</f>
        <v>1.117596838754978</v>
      </c>
      <c r="D74" s="2">
        <f ca="1">IF($A74=$K$3,1,英雄之路怪物!F77/OFFSET(英雄之路怪物!F77,$K$4-$A74,0))</f>
        <v>1.1071528203298275</v>
      </c>
      <c r="E74" s="2">
        <f ca="1">IF($A74=$K$3,1,英雄之路怪物!G77/OFFSET(英雄之路怪物!G77,$K$4-$A74,0))</f>
        <v>1.0931717687074829</v>
      </c>
      <c r="F74" s="2">
        <f ca="1">IF($A74=$K$3,1,英雄之路怪物!H77/OFFSET(英雄之路怪物!H77,$K$4-$A74,0))</f>
        <v>1.117596838754978</v>
      </c>
    </row>
    <row r="75" spans="1:6">
      <c r="A75" s="2">
        <f>英雄之路怪物!C78</f>
        <v>22</v>
      </c>
      <c r="B75" s="2">
        <f>MOD(英雄之路怪物!D78,10)</f>
        <v>2</v>
      </c>
      <c r="C75" s="2">
        <f ca="1">IF($A75=$K$3,1,英雄之路怪物!E78/OFFSET(英雄之路怪物!E78,$K$4-$A75,0))</f>
        <v>1.2431201966962262</v>
      </c>
      <c r="D75" s="2">
        <f ca="1">IF($A75=$K$3,1,英雄之路怪物!F78/OFFSET(英雄之路怪物!F78,$K$4-$A75,0))</f>
        <v>1.220858605164636</v>
      </c>
      <c r="E75" s="2">
        <f ca="1">IF($A75=$K$3,1,英雄之路怪物!G78/OFFSET(英雄之路怪物!G78,$K$4-$A75,0))</f>
        <v>1.1902040816326529</v>
      </c>
      <c r="F75" s="2">
        <f ca="1">IF($A75=$K$3,1,英雄之路怪物!H78/OFFSET(英雄之路怪物!H78,$K$4-$A75,0))</f>
        <v>1.243120196696226</v>
      </c>
    </row>
    <row r="76" spans="1:6">
      <c r="A76" s="2">
        <f>英雄之路怪物!C79</f>
        <v>23</v>
      </c>
      <c r="B76" s="2">
        <f>MOD(英雄之路怪物!D79,10)</f>
        <v>2</v>
      </c>
      <c r="C76" s="2">
        <f ca="1">IF($A76=$K$3,1,英雄之路怪物!E79/OFFSET(英雄之路怪物!E79,$K$4-$A76,0))</f>
        <v>1.4024517884049481</v>
      </c>
      <c r="D76" s="2">
        <f ca="1">IF($A76=$K$3,1,英雄之路怪物!F79/OFFSET(英雄之路怪物!F79,$K$4-$A76,0))</f>
        <v>1.3663313554125172</v>
      </c>
      <c r="E76" s="2">
        <f ca="1">IF($A76=$K$3,1,英雄之路怪物!G79/OFFSET(英雄之路怪物!G79,$K$4-$A76,0))</f>
        <v>1.3151681057038203</v>
      </c>
      <c r="F76" s="2">
        <f ca="1">IF($A76=$K$3,1,英雄之路怪物!H79/OFFSET(英雄之路怪物!H79,$K$4-$A76,0))</f>
        <v>1.4024517884049481</v>
      </c>
    </row>
    <row r="77" spans="1:6">
      <c r="A77" s="2">
        <f>英雄之路怪物!C80</f>
        <v>24</v>
      </c>
      <c r="B77" s="2">
        <f>MOD(英雄之路怪物!D80,10)</f>
        <v>2</v>
      </c>
      <c r="C77" s="2">
        <f ca="1">IF($A77=$K$3,1,英雄之路怪物!E80/OFFSET(英雄之路怪物!E80,$K$4-$A77,0))</f>
        <v>1.5727679083562147</v>
      </c>
      <c r="D77" s="2">
        <f ca="1">IF($A77=$K$3,1,英雄之路怪物!F80/OFFSET(英雄之路怪物!F80,$K$4-$A77,0))</f>
        <v>1.5209525188928936</v>
      </c>
      <c r="E77" s="2">
        <f ca="1">IF($A77=$K$3,1,英雄之路怪物!G80/OFFSET(英雄之路怪物!G80,$K$4-$A77,0))</f>
        <v>1.4454515325943891</v>
      </c>
      <c r="F77" s="2">
        <f ca="1">IF($A77=$K$3,1,英雄之路怪物!H80/OFFSET(英雄之路怪物!H80,$K$4-$A77,0))</f>
        <v>1.5727679083562145</v>
      </c>
    </row>
    <row r="78" spans="1:6">
      <c r="A78" s="2">
        <f>英雄之路怪物!C81</f>
        <v>25</v>
      </c>
      <c r="B78" s="2">
        <f>MOD(英雄之路怪物!D81,10)</f>
        <v>2</v>
      </c>
      <c r="C78" s="2">
        <f ca="1">IF($A78=$K$3,1,英雄之路怪物!E81/OFFSET(英雄之路怪物!E81,$K$4-$A78,0))</f>
        <v>1.7543614190545793</v>
      </c>
      <c r="D78" s="2">
        <f ca="1">IF($A78=$K$3,1,英雄之路怪物!F81/OFFSET(英雄之路怪物!F81,$K$4-$A78,0))</f>
        <v>1.6850130397609708</v>
      </c>
      <c r="E78" s="2">
        <f ca="1">IF($A78=$K$3,1,英雄之路怪物!G81/OFFSET(英雄之路怪物!G81,$K$4-$A78,0))</f>
        <v>1.5810543623043618</v>
      </c>
      <c r="F78" s="2">
        <f ca="1">IF($A78=$K$3,1,英雄之路怪物!H81/OFFSET(英雄之路怪物!H81,$K$4-$A78,0))</f>
        <v>1.7543614190545791</v>
      </c>
    </row>
    <row r="79" spans="1:6">
      <c r="A79" s="2">
        <f>英雄之路怪物!C82</f>
        <v>26</v>
      </c>
      <c r="B79" s="2">
        <f>MOD(英雄之路怪物!D82,10)</f>
        <v>2</v>
      </c>
      <c r="C79" s="2">
        <f ca="1">IF($A79=$K$3,1,英雄之路怪物!E82/OFFSET(英雄之路怪物!E82,$K$4-$A79,0))</f>
        <v>1.972233786607722</v>
      </c>
      <c r="D79" s="2">
        <f ca="1">IF($A79=$K$3,1,英雄之路怪物!F82/OFFSET(英雄之路怪物!F82,$K$4-$A79,0))</f>
        <v>1.8823961257218091</v>
      </c>
      <c r="E79" s="2">
        <f ca="1">IF($A79=$K$3,1,英雄之路怪物!G82/OFFSET(英雄之路怪物!G82,$K$4-$A79,0))</f>
        <v>1.7438244612530323</v>
      </c>
      <c r="F79" s="2">
        <f ca="1">IF($A79=$K$3,1,英雄之路怪物!H82/OFFSET(英雄之路怪物!H82,$K$4-$A79,0))</f>
        <v>1.972233786607722</v>
      </c>
    </row>
    <row r="80" spans="1:6">
      <c r="A80" s="2">
        <f>英雄之路怪物!C83</f>
        <v>27</v>
      </c>
      <c r="B80" s="2">
        <f>MOD(英雄之路怪物!D83,10)</f>
        <v>2</v>
      </c>
      <c r="C80" s="2">
        <f ca="1">IF($A80=$K$3,1,英雄之路怪物!E83/OFFSET(英雄之路怪物!E83,$K$4-$A80,0))</f>
        <v>2.2042918205274931</v>
      </c>
      <c r="D80" s="2">
        <f ca="1">IF($A80=$K$3,1,英雄之路怪物!F83/OFFSET(英雄之路怪物!F83,$K$4-$A80,0))</f>
        <v>2.0917603884233902</v>
      </c>
      <c r="E80" s="2">
        <f ca="1">IF($A80=$K$3,1,英雄之路怪物!G83/OFFSET(英雄之路怪物!G83,$K$4-$A80,0))</f>
        <v>1.9131277333777335</v>
      </c>
      <c r="F80" s="2">
        <f ca="1">IF($A80=$K$3,1,英雄之路怪物!H83/OFFSET(英雄之路怪物!H83,$K$4-$A80,0))</f>
        <v>2.2042918205274931</v>
      </c>
    </row>
    <row r="81" spans="1:6">
      <c r="A81" s="2">
        <f>英雄之路怪物!C84</f>
        <v>28</v>
      </c>
      <c r="B81" s="2">
        <f>MOD(英雄之路怪物!D84,10)</f>
        <v>2</v>
      </c>
      <c r="C81" s="2">
        <f ca="1">IF($A81=$K$3,1,英雄之路怪物!E84/OFFSET(英雄之路怪物!E84,$K$4-$A81,0))</f>
        <v>2.4508928136691668</v>
      </c>
      <c r="D81" s="2">
        <f ca="1">IF($A81=$K$3,1,英雄之路怪物!F84/OFFSET(英雄之路怪物!F84,$K$4-$A81,0))</f>
        <v>2.313487014004532</v>
      </c>
      <c r="E81" s="2">
        <f ca="1">IF($A81=$K$3,1,英雄之路怪物!G84/OFFSET(英雄之路怪物!G84,$K$4-$A81,0))</f>
        <v>2.0889641786784638</v>
      </c>
      <c r="F81" s="2">
        <f ca="1">IF($A81=$K$3,1,英雄之路怪物!H84/OFFSET(英雄之路怪物!H84,$K$4-$A81,0))</f>
        <v>2.4508928136691668</v>
      </c>
    </row>
    <row r="82" spans="1:6">
      <c r="A82" s="2">
        <f>英雄之路怪物!C85</f>
        <v>29</v>
      </c>
      <c r="B82" s="2">
        <f>MOD(英雄之路怪物!D85,10)</f>
        <v>2</v>
      </c>
      <c r="C82" s="2">
        <f ca="1">IF($A82=$K$3,1,英雄之路怪物!E85/OFFSET(英雄之路怪物!E85,$K$4-$A82,0))</f>
        <v>2.712393023610018</v>
      </c>
      <c r="D82" s="2">
        <f ca="1">IF($A82=$K$3,1,英雄之路怪物!F85/OFFSET(英雄之路怪物!F85,$K$4-$A82,0))</f>
        <v>2.5479682642303687</v>
      </c>
      <c r="E82" s="2">
        <f ca="1">IF($A82=$K$3,1,英雄之路怪物!G85/OFFSET(英雄之路怪物!G85,$K$4-$A82,0))</f>
        <v>2.2713337971552265</v>
      </c>
      <c r="F82" s="2">
        <f ca="1">IF($A82=$K$3,1,英雄之路怪物!H85/OFFSET(英雄之路怪物!H85,$K$4-$A82,0))</f>
        <v>2.712393023610018</v>
      </c>
    </row>
    <row r="83" spans="1:6">
      <c r="A83" s="2">
        <f>英雄之路怪物!C86</f>
        <v>30</v>
      </c>
      <c r="B83" s="2">
        <f>MOD(英雄之路怪物!D86,10)</f>
        <v>2</v>
      </c>
      <c r="C83" s="2">
        <f ca="1">IF($A83=$K$3,1,英雄之路怪物!E86/OFFSET(英雄之路怪物!E86,$K$4-$A83,0))</f>
        <v>3.0265120612034346</v>
      </c>
      <c r="D83" s="2">
        <f ca="1">IF($A83=$K$3,1,英雄之路怪物!F86/OFFSET(英雄之路怪物!F86,$K$4-$A83,0))</f>
        <v>2.8305529802194052</v>
      </c>
      <c r="E83" s="2">
        <f ca="1">IF($A83=$K$3,1,英雄之路怪物!G86/OFFSET(英雄之路怪物!G86,$K$4-$A83,0))</f>
        <v>2.4909895461681182</v>
      </c>
      <c r="F83" s="2">
        <f ca="1">IF($A83=$K$3,1,英雄之路怪物!H86/OFFSET(英雄之路怪物!H86,$K$4-$A83,0))</f>
        <v>3.0265120612034342</v>
      </c>
    </row>
    <row r="84" spans="1:6">
      <c r="A84" s="2">
        <f>英雄之路怪物!C87</f>
        <v>31</v>
      </c>
      <c r="B84" s="2">
        <f>MOD(英雄之路怪物!D87,10)</f>
        <v>2</v>
      </c>
      <c r="C84" s="2">
        <f ca="1">IF($A84=$K$3,1,英雄之路怪物!E87/OFFSET(英雄之路怪物!E87,$K$4-$A84,0))</f>
        <v>3.3695317344270133</v>
      </c>
      <c r="D84" s="2">
        <f ca="1">IF($A84=$K$3,1,英雄之路怪物!F87/OFFSET(英雄之路怪物!F87,$K$4-$A84,0))</f>
        <v>3.1399549807434379</v>
      </c>
      <c r="E84" s="2">
        <f ca="1">IF($A84=$K$3,1,英雄之路怪物!G87/OFFSET(英雄之路怪物!G87,$K$4-$A84,0))</f>
        <v>2.7177246098901091</v>
      </c>
      <c r="F84" s="2">
        <f ca="1">IF($A84=$K$3,1,英雄之路怪物!H87/OFFSET(英雄之路怪物!H87,$K$4-$A84,0))</f>
        <v>3.3695317344270124</v>
      </c>
    </row>
    <row r="85" spans="1:6">
      <c r="A85" s="2">
        <f>英雄之路怪物!C88</f>
        <v>32</v>
      </c>
      <c r="B85" s="2">
        <f>MOD(英雄之路怪物!D88,10)</f>
        <v>2</v>
      </c>
      <c r="C85" s="2">
        <f ca="1">IF($A85=$K$3,1,英雄之路怪物!E88/OFFSET(英雄之路怪物!E88,$K$4-$A85,0))</f>
        <v>3.736134403677501</v>
      </c>
      <c r="D85" s="2">
        <f ca="1">IF($A85=$K$3,1,英雄之路怪物!F88/OFFSET(英雄之路怪物!F88,$K$4-$A85,0))</f>
        <v>3.47007665911624</v>
      </c>
      <c r="E85" s="2">
        <f ca="1">IF($A85=$K$3,1,英雄之路怪物!G88/OFFSET(英雄之路怪物!G88,$K$4-$A85,0))</f>
        <v>2.9538679120324112</v>
      </c>
      <c r="F85" s="2">
        <f ca="1">IF($A85=$K$3,1,英雄之路怪物!H88/OFFSET(英雄之路怪物!H88,$K$4-$A85,0))</f>
        <v>3.7361344036775006</v>
      </c>
    </row>
    <row r="86" spans="1:6">
      <c r="A86" s="2">
        <f>英雄之路怪物!C89</f>
        <v>33</v>
      </c>
      <c r="B86" s="2">
        <f>MOD(英雄之路怪物!D89,10)</f>
        <v>2</v>
      </c>
      <c r="C86" s="2">
        <f ca="1">IF($A86=$K$3,1,英雄之路怪物!E89/OFFSET(英雄之路怪物!E89,$K$4-$A86,0))</f>
        <v>4.1255219053527243</v>
      </c>
      <c r="D86" s="2">
        <f ca="1">IF($A86=$K$3,1,英雄之路怪物!F89/OFFSET(英雄之路怪物!F89,$K$4-$A86,0))</f>
        <v>3.8202434960307703</v>
      </c>
      <c r="E86" s="2">
        <f ca="1">IF($A86=$K$3,1,英雄之路怪物!G89/OFFSET(英雄之路怪物!G89,$K$4-$A86,0))</f>
        <v>3.1981377700870568</v>
      </c>
      <c r="F86" s="2">
        <f ca="1">IF($A86=$K$3,1,英雄之路怪物!H89/OFFSET(英雄之路怪物!H89,$K$4-$A86,0))</f>
        <v>4.1255219053527243</v>
      </c>
    </row>
    <row r="87" spans="1:6">
      <c r="A87" s="2">
        <f>英雄之路怪物!C90</f>
        <v>34</v>
      </c>
      <c r="B87" s="2">
        <f>MOD(英雄之路怪物!D90,10)</f>
        <v>2</v>
      </c>
      <c r="C87" s="2">
        <f ca="1">IF($A87=$K$3,1,英雄之路怪物!E90/OFFSET(英雄之路怪物!E90,$K$4-$A87,0))</f>
        <v>4.538082335892768</v>
      </c>
      <c r="D87" s="2">
        <f ca="1">IF($A87=$K$3,1,英雄之路怪物!F90/OFFSET(英雄之路怪物!F90,$K$4-$A87,0))</f>
        <v>4.19091258045008</v>
      </c>
      <c r="E87" s="2">
        <f ca="1">IF($A87=$K$3,1,英雄之路怪物!G90/OFFSET(英雄之路怪物!G90,$K$4-$A87,0))</f>
        <v>3.4502346088911082</v>
      </c>
      <c r="F87" s="2">
        <f ca="1">IF($A87=$K$3,1,英雄之路怪物!H90/OFFSET(英雄之路怪物!H90,$K$4-$A87,0))</f>
        <v>4.538082335892768</v>
      </c>
    </row>
    <row r="88" spans="1:6">
      <c r="A88" s="2">
        <f>英雄之路怪物!C91</f>
        <v>35</v>
      </c>
      <c r="B88" s="2">
        <f>MOD(英雄之路怪物!D91,10)</f>
        <v>2</v>
      </c>
      <c r="C88" s="2">
        <f ca="1">IF($A88=$K$3,1,英雄之路怪物!E91/OFFSET(英雄之路怪物!E91,$K$4-$A88,0))</f>
        <v>4.9741715657997156</v>
      </c>
      <c r="D88" s="2">
        <f ca="1">IF($A88=$K$3,1,英雄之路怪物!F91/OFFSET(英雄之路怪物!F91,$K$4-$A88,0))</f>
        <v>4.5825339258708881</v>
      </c>
      <c r="E88" s="2">
        <f ca="1">IF($A88=$K$3,1,英雄之路怪物!G91/OFFSET(英雄之路怪物!G91,$K$4-$A88,0))</f>
        <v>3.7098391053391055</v>
      </c>
      <c r="F88" s="2">
        <f ca="1">IF($A88=$K$3,1,英雄之路怪物!H91/OFFSET(英雄之路怪物!H91,$K$4-$A88,0))</f>
        <v>4.9741715657997156</v>
      </c>
    </row>
    <row r="89" spans="1:6">
      <c r="A89" s="2">
        <f>英雄之路怪物!C92</f>
        <v>36</v>
      </c>
      <c r="B89" s="2">
        <f>MOD(英雄之路怪物!D92,10)</f>
        <v>2</v>
      </c>
      <c r="C89" s="2">
        <f ca="1">IF($A89=$K$3,1,英雄之路怪物!E92/OFFSET(英雄之路怪物!E92,$K$4-$A89,0))</f>
        <v>5.4341119881686373</v>
      </c>
      <c r="D89" s="2">
        <f ca="1">IF($A89=$K$3,1,英雄之路怪物!F92/OFFSET(英雄之路怪物!F92,$K$4-$A89,0))</f>
        <v>4.9955501995786742</v>
      </c>
      <c r="E89" s="2">
        <f ca="1">IF($A89=$K$3,1,英雄之路怪物!G92/OFFSET(英雄之路怪物!G92,$K$4-$A89,0))</f>
        <v>3.9766121883830445</v>
      </c>
      <c r="F89" s="2">
        <f ca="1">IF($A89=$K$3,1,英雄之路怪物!H92/OFFSET(英雄之路怪物!H92,$K$4-$A89,0))</f>
        <v>5.4341119881686373</v>
      </c>
    </row>
    <row r="90" spans="1:6">
      <c r="A90" s="2">
        <f>英雄之路怪物!C93</f>
        <v>37</v>
      </c>
      <c r="B90" s="2">
        <f>MOD(英雄之路怪物!D93,10)</f>
        <v>2</v>
      </c>
      <c r="C90" s="2">
        <f ca="1">IF($A90=$K$3,1,英雄之路怪物!E93/OFFSET(英雄之路怪物!E93,$K$4-$A90,0))</f>
        <v>5.9181912644716714</v>
      </c>
      <c r="D90" s="2">
        <f ca="1">IF($A90=$K$3,1,英雄之路怪物!F93/OFFSET(英雄之路怪物!F93,$K$4-$A90,0))</f>
        <v>5.4779045960341088</v>
      </c>
      <c r="E90" s="2">
        <f ca="1">IF($A90=$K$3,1,英雄之路怪物!G93/OFFSET(英雄之路怪物!G93,$K$4-$A90,0))</f>
        <v>4.2501950390323975</v>
      </c>
      <c r="F90" s="2">
        <f ca="1">IF($A90=$K$3,1,英雄之路怪物!H93/OFFSET(英雄之路怪物!H93,$K$4-$A90,0))</f>
        <v>5.9181912644716714</v>
      </c>
    </row>
    <row r="91" spans="1:6">
      <c r="A91" s="2">
        <f>英雄之路怪物!C94</f>
        <v>38</v>
      </c>
      <c r="B91" s="2">
        <f>MOD(英雄之路怪物!D94,10)</f>
        <v>2</v>
      </c>
      <c r="C91" s="2">
        <f ca="1">IF($A91=$K$3,1,英雄之路怪物!E94/OFFSET(英雄之路怪物!E94,$K$4-$A91,0))</f>
        <v>6.4266610681996932</v>
      </c>
      <c r="D91" s="2">
        <f ca="1">IF($A91=$K$3,1,英雄之路怪物!F94/OFFSET(英雄之路怪物!F94,$K$4-$A91,0))</f>
        <v>5.9908053396592296</v>
      </c>
      <c r="E91" s="2">
        <f ca="1">IF($A91=$K$3,1,英雄之路怪物!G94/OFFSET(英雄之路怪物!G94,$K$4-$A91,0))</f>
        <v>4.5302090903540924</v>
      </c>
      <c r="F91" s="2">
        <f ca="1">IF($A91=$K$3,1,英雄之路怪物!H94/OFFSET(英雄之路怪物!H94,$K$4-$A91,0))</f>
        <v>6.4266610681996914</v>
      </c>
    </row>
    <row r="92" spans="1:6">
      <c r="A92" s="2">
        <f>英雄之路怪物!C95</f>
        <v>39</v>
      </c>
      <c r="B92" s="2">
        <f>MOD(英雄之路怪物!D95,10)</f>
        <v>2</v>
      </c>
      <c r="C92" s="2">
        <f ca="1">IF($A92=$K$3,1,英雄之路怪物!E95/OFFSET(英雄之路怪物!E95,$K$4-$A92,0))</f>
        <v>6.9597358268613378</v>
      </c>
      <c r="D92" s="2">
        <f ca="1">IF($A92=$K$3,1,英雄之路怪物!F95/OFFSET(英雄之路怪物!F95,$K$4-$A92,0))</f>
        <v>6.535309484927172</v>
      </c>
      <c r="E92" s="2">
        <f ca="1">IF($A92=$K$3,1,英雄之路怪物!G95/OFFSET(英雄之路怪物!G95,$K$4-$A92,0))</f>
        <v>4.8162560274725283</v>
      </c>
      <c r="F92" s="2">
        <f ca="1">IF($A92=$K$3,1,英雄之路怪物!H95/OFFSET(英雄之路怪物!H95,$K$4-$A92,0))</f>
        <v>6.9597358268613387</v>
      </c>
    </row>
    <row r="93" spans="1:6">
      <c r="A93" s="2">
        <f>英雄之路怪物!C96</f>
        <v>40</v>
      </c>
      <c r="B93" s="2">
        <f>MOD(英雄之路怪物!D96,10)</f>
        <v>2</v>
      </c>
      <c r="C93" s="2">
        <f ca="1">IF($A93=$K$3,1,英雄之路怪物!E96/OFFSET(英雄之路怪物!E96,$K$4-$A93,0))</f>
        <v>7.5853175119679292</v>
      </c>
      <c r="D93" s="2">
        <f ca="1">IF($A93=$K$3,1,英雄之路怪物!F96/OFFSET(英雄之路怪物!F96,$K$4-$A93,0))</f>
        <v>7.1765554330880885</v>
      </c>
      <c r="E93" s="2">
        <f ca="1">IF($A93=$K$3,1,英雄之路怪物!G96/OFFSET(英雄之路怪物!G96,$K$4-$A93,0))</f>
        <v>5.1539350649350668</v>
      </c>
      <c r="F93" s="2">
        <f ca="1">IF($A93=$K$3,1,英雄之路怪物!H96/OFFSET(英雄之路怪物!H96,$K$4-$A93,0))</f>
        <v>7.5853175119679284</v>
      </c>
    </row>
    <row r="94" spans="1:6">
      <c r="A94" s="2">
        <f>英雄之路怪物!C97</f>
        <v>41</v>
      </c>
      <c r="B94" s="2">
        <f>MOD(英雄之路怪物!D97,10)</f>
        <v>2</v>
      </c>
      <c r="C94" s="2">
        <f ca="1">IF($A94=$K$3,1,英雄之路怪物!E97/OFFSET(英雄之路怪物!E97,$K$4-$A94,0))</f>
        <v>8.2424757843042009</v>
      </c>
      <c r="D94" s="2">
        <f ca="1">IF($A94=$K$3,1,英雄之路怪物!F97/OFFSET(英雄之路怪物!F97,$K$4-$A94,0))</f>
        <v>7.8588776529012065</v>
      </c>
      <c r="E94" s="2">
        <f ca="1">IF($A94=$K$3,1,英雄之路怪物!G97/OFFSET(英雄之路怪物!G97,$K$4-$A94,0))</f>
        <v>5.499576850408852</v>
      </c>
      <c r="F94" s="2">
        <f ca="1">IF($A94=$K$3,1,英雄之路怪物!H97/OFFSET(英雄之路怪物!H97,$K$4-$A94,0))</f>
        <v>8.2424757843042009</v>
      </c>
    </row>
    <row r="95" spans="1:6">
      <c r="A95" s="2">
        <f>英雄之路怪物!C98</f>
        <v>42</v>
      </c>
      <c r="B95" s="2">
        <f>MOD(英雄之路怪物!D98,10)</f>
        <v>2</v>
      </c>
      <c r="C95" s="2">
        <f ca="1">IF($A95=$K$3,1,英雄之路怪物!E98/OFFSET(英雄之路怪物!E98,$K$4-$A95,0))</f>
        <v>8.9314348390676503</v>
      </c>
      <c r="D95" s="2">
        <f ca="1">IF($A95=$K$3,1,英雄之路怪物!F98/OFFSET(英雄之路怪物!F98,$K$4-$A95,0))</f>
        <v>8.5836716058005997</v>
      </c>
      <c r="E95" s="2">
        <f ca="1">IF($A95=$K$3,1,英雄之路怪物!G98/OFFSET(英雄之路怪物!G98,$K$4-$A95,0))</f>
        <v>5.8526305494505548</v>
      </c>
      <c r="F95" s="2">
        <f ca="1">IF($A95=$K$3,1,英雄之路怪物!H98/OFFSET(英雄之路怪物!H98,$K$4-$A95,0))</f>
        <v>8.9314348390676503</v>
      </c>
    </row>
    <row r="96" spans="1:6">
      <c r="A96" s="2">
        <f>英雄之路怪物!C99</f>
        <v>43</v>
      </c>
      <c r="B96" s="2">
        <f>MOD(英雄之路怪物!D99,10)</f>
        <v>2</v>
      </c>
      <c r="C96" s="2">
        <f ca="1">IF($A96=$K$3,1,英雄之路怪物!E99/OFFSET(英雄之路怪物!E99,$K$4-$A96,0))</f>
        <v>9.6523654393896958</v>
      </c>
      <c r="D96" s="2">
        <f ca="1">IF($A96=$K$3,1,英雄之路怪物!F99/OFFSET(英雄之路怪物!F99,$K$4-$A96,0))</f>
        <v>9.3523367525388572</v>
      </c>
      <c r="E96" s="2">
        <f ca="1">IF($A96=$K$3,1,英雄之路怪物!G99/OFFSET(英雄之路怪物!G99,$K$4-$A96,0))</f>
        <v>6.2125189970267849</v>
      </c>
      <c r="F96" s="2">
        <f ca="1">IF($A96=$K$3,1,英雄之路怪物!H99/OFFSET(英雄之路怪物!H99,$K$4-$A96,0))</f>
        <v>9.6523654393896958</v>
      </c>
    </row>
    <row r="97" spans="1:6">
      <c r="A97" s="2">
        <f>英雄之路怪物!C100</f>
        <v>44</v>
      </c>
      <c r="B97" s="2">
        <f>MOD(英雄之路怪物!D100,10)</f>
        <v>2</v>
      </c>
      <c r="C97" s="2">
        <f ca="1">IF($A97=$K$3,1,英雄之路怪物!E100/OFFSET(英雄之路怪物!E100,$K$4-$A97,0))</f>
        <v>10.405383243994166</v>
      </c>
      <c r="D97" s="2">
        <f ca="1">IF($A97=$K$3,1,英雄之路怪物!F100/OFFSET(英雄之路怪物!F100,$K$4-$A97,0))</f>
        <v>10.166274765412147</v>
      </c>
      <c r="E97" s="2">
        <f ca="1">IF($A97=$K$3,1,英雄之路怪物!G100/OFFSET(英雄之路怪物!G100,$K$4-$A97,0))</f>
        <v>6.5786386975141289</v>
      </c>
      <c r="F97" s="2">
        <f ca="1">IF($A97=$K$3,1,英雄之路怪物!H100/OFFSET(英雄之路怪物!H100,$K$4-$A97,0))</f>
        <v>10.405383243994164</v>
      </c>
    </row>
    <row r="98" spans="1:6">
      <c r="A98" s="2">
        <f>英雄之路怪物!C101</f>
        <v>45</v>
      </c>
      <c r="B98" s="2">
        <f>MOD(英雄之路怪物!D101,10)</f>
        <v>2</v>
      </c>
      <c r="C98" s="2">
        <f ca="1">IF($A98=$K$3,1,英雄之路怪物!E101/OFFSET(英雄之路怪物!E101,$K$4-$A98,0))</f>
        <v>11.190547133536286</v>
      </c>
      <c r="D98" s="2">
        <f ca="1">IF($A98=$K$3,1,英雄之路怪物!F101/OFFSET(英雄之路怪物!F101,$K$4-$A98,0))</f>
        <v>11.02688765232104</v>
      </c>
      <c r="E98" s="2">
        <f ca="1">IF($A98=$K$3,1,英雄之路怪物!G101/OFFSET(英雄之路怪物!G101,$K$4-$A98,0))</f>
        <v>6.9503598246991114</v>
      </c>
      <c r="F98" s="2">
        <f ca="1">IF($A98=$K$3,1,英雄之路怪物!H101/OFFSET(英雄之路怪物!H101,$K$4-$A98,0))</f>
        <v>11.190547133536288</v>
      </c>
    </row>
    <row r="99" spans="1:6">
      <c r="A99" s="2">
        <f>英雄之路怪物!C102</f>
        <v>46</v>
      </c>
      <c r="B99" s="2">
        <f>MOD(英雄之路怪物!D102,10)</f>
        <v>2</v>
      </c>
      <c r="C99" s="2">
        <f ca="1">IF($A99=$K$3,1,英雄之路怪物!E102/OFFSET(英雄之路怪物!E102,$K$4-$A99,0))</f>
        <v>12.007857535984908</v>
      </c>
      <c r="D99" s="2">
        <f ca="1">IF($A99=$K$3,1,英雄之路怪物!F102/OFFSET(英雄之路怪物!F102,$K$4-$A99,0))</f>
        <v>11.93557578755258</v>
      </c>
      <c r="E99" s="2">
        <f ca="1">IF($A99=$K$3,1,英雄之路怪物!G102/OFFSET(英雄之路怪物!G102,$K$4-$A99,0))</f>
        <v>7.3270262217782278</v>
      </c>
      <c r="F99" s="2">
        <f ca="1">IF($A99=$K$3,1,英雄之路怪物!H102/OFFSET(英雄之路怪物!H102,$K$4-$A99,0))</f>
        <v>12.007857535984908</v>
      </c>
    </row>
    <row r="100" spans="1:6">
      <c r="A100" s="2">
        <f>英雄之路怪物!C103</f>
        <v>47</v>
      </c>
      <c r="B100" s="2">
        <f>MOD(英雄之路怪物!D103,10)</f>
        <v>2</v>
      </c>
      <c r="C100" s="2">
        <f ca="1">IF($A100=$K$3,1,英雄之路怪物!E103/OFFSET(英雄之路怪物!E103,$K$4-$A100,0))</f>
        <v>12.857254751353812</v>
      </c>
      <c r="D100" s="2">
        <f ca="1">IF($A100=$K$3,1,英雄之路怪物!F103/OFFSET(英雄之路怪物!F103,$K$4-$A100,0))</f>
        <v>12.893735843827203</v>
      </c>
      <c r="E100" s="2">
        <f ca="1">IF($A100=$K$3,1,英雄之路怪物!G103/OFFSET(英雄之路怪物!G103,$K$4-$A100,0))</f>
        <v>7.707955401357907</v>
      </c>
      <c r="F100" s="2">
        <f ca="1">IF($A100=$K$3,1,英雄之路怪物!H103/OFFSET(英雄之路怪物!H103,$K$4-$A100,0))</f>
        <v>12.85725475135381</v>
      </c>
    </row>
    <row r="101" spans="1:6">
      <c r="A101" s="2">
        <f>英雄之路怪物!C104</f>
        <v>48</v>
      </c>
      <c r="B101" s="2">
        <f>MOD(英雄之路怪物!D104,10)</f>
        <v>2</v>
      </c>
      <c r="C101" s="2">
        <f ca="1">IF($A101=$K$3,1,英雄之路怪物!E104/OFFSET(英雄之路怪物!E104,$K$4-$A101,0))</f>
        <v>13.738617276040401</v>
      </c>
      <c r="D101" s="2">
        <f ca="1">IF($A101=$K$3,1,英雄之路怪物!F104/OFFSET(英雄之路怪物!F104,$K$4-$A101,0))</f>
        <v>13.902758619786233</v>
      </c>
      <c r="E101" s="2">
        <f ca="1">IF($A101=$K$3,1,英雄之路怪物!G104/OFFSET(英雄之路怪物!G104,$K$4-$A101,0))</f>
        <v>8.0924385454545487</v>
      </c>
      <c r="F101" s="2">
        <f ca="1">IF($A101=$K$3,1,英雄之路怪物!H104/OFFSET(英雄之路怪物!H104,$K$4-$A101,0))</f>
        <v>13.738617276040401</v>
      </c>
    </row>
    <row r="102" spans="1:6">
      <c r="A102" s="2">
        <f>英雄之路怪物!C105</f>
        <v>49</v>
      </c>
      <c r="B102" s="2">
        <f>MOD(英雄之路怪物!D105,10)</f>
        <v>2</v>
      </c>
      <c r="C102" s="2">
        <f ca="1">IF($A102=$K$3,1,英雄之路怪物!E105/OFFSET(英雄之路怪物!E105,$K$4-$A102,0))</f>
        <v>14.651760126989579</v>
      </c>
      <c r="D102" s="2">
        <f ca="1">IF($A102=$K$3,1,英雄之路怪物!F105/OFFSET(英雄之路怪物!F105,$K$4-$A102,0))</f>
        <v>14.964026756699697</v>
      </c>
      <c r="E102" s="2">
        <f ca="1">IF($A102=$K$3,1,英雄之路怪物!G105/OFFSET(英雄之路怪物!G105,$K$4-$A102,0))</f>
        <v>8.4797405054945099</v>
      </c>
      <c r="F102" s="2">
        <f ca="1">IF($A102=$K$3,1,英雄之路怪物!H105/OFFSET(英雄之路怪物!H105,$K$4-$A102,0))</f>
        <v>14.651760126989576</v>
      </c>
    </row>
    <row r="103" spans="1:6">
      <c r="A103" s="2">
        <f>英雄之路怪物!C106</f>
        <v>50</v>
      </c>
      <c r="B103" s="2">
        <f>MOD(英雄之路怪物!D106,10)</f>
        <v>2</v>
      </c>
      <c r="C103" s="2">
        <f ca="1">IF($A103=$K$3,1,英雄之路怪物!E106/OFFSET(英雄之路怪物!E106,$K$4-$A103,0))</f>
        <v>15.699041278800451</v>
      </c>
      <c r="D103" s="2">
        <f ca="1">IF($A103=$K$3,1,英雄之路怪物!F106/OFFSET(英雄之路怪物!F106,$K$4-$A103,0))</f>
        <v>16.184694655759159</v>
      </c>
      <c r="E103" s="2">
        <f ca="1">IF($A103=$K$3,1,英雄之路怪物!G106/OFFSET(英雄之路怪物!G106,$K$4-$A103,0))</f>
        <v>8.9274491431187908</v>
      </c>
      <c r="F103" s="2">
        <f ca="1">IF($A103=$K$3,1,英雄之路怪物!H106/OFFSET(英雄之路怪物!H106,$K$4-$A103,0))</f>
        <v>15.699041278800447</v>
      </c>
    </row>
    <row r="104" spans="1:6">
      <c r="A104" s="2">
        <f>英雄之路怪物!C107</f>
        <v>51</v>
      </c>
      <c r="B104" s="2">
        <f>MOD(英雄之路怪物!D107,10)</f>
        <v>2</v>
      </c>
      <c r="C104" s="2">
        <f ca="1">IF($A104=$K$3,1,英雄之路怪物!E107/OFFSET(英雄之路怪物!E107,$K$4-$A104,0))</f>
        <v>16.694329391226663</v>
      </c>
      <c r="D104" s="2">
        <f ca="1">IF($A104=$K$3,1,英雄之路怪物!F107/OFFSET(英雄之路怪物!F107,$K$4-$A104,0))</f>
        <v>17.583597381322683</v>
      </c>
      <c r="E104" s="2">
        <f ca="1">IF($A104=$K$3,1,英雄之路怪物!G107/OFFSET(英雄之路怪物!G107,$K$4-$A104,0))</f>
        <v>9.6914017762211362</v>
      </c>
      <c r="F104" s="2">
        <f ca="1">IF($A104=$K$3,1,英雄之路怪物!H107/OFFSET(英雄之路怪物!H107,$K$4-$A104,0))</f>
        <v>16.694329391226663</v>
      </c>
    </row>
    <row r="105" spans="1:6">
      <c r="A105" s="2">
        <f>英雄之路怪物!C108</f>
        <v>52</v>
      </c>
      <c r="B105" s="2">
        <f>MOD(英雄之路怪物!D108,10)</f>
        <v>2</v>
      </c>
      <c r="C105" s="2">
        <f ca="1">IF($A105=$K$3,1,英雄之路怪物!E108/OFFSET(英雄之路怪物!E108,$K$4-$A105,0))</f>
        <v>18.367836205844618</v>
      </c>
      <c r="D105" s="2">
        <f ca="1">IF($A105=$K$3,1,英雄之路怪物!F108/OFFSET(英雄之路怪物!F108,$K$4-$A105,0))</f>
        <v>19.071472453534557</v>
      </c>
      <c r="E105" s="2">
        <f ca="1">IF($A105=$K$3,1,英雄之路怪物!G108/OFFSET(英雄之路怪物!G108,$K$4-$A105,0))</f>
        <v>10.202775599162742</v>
      </c>
      <c r="F105" s="2">
        <f ca="1">IF($A105=$K$3,1,英雄之路怪物!H108/OFFSET(英雄之路怪物!H108,$K$4-$A105,0))</f>
        <v>18.367836205844615</v>
      </c>
    </row>
    <row r="106" spans="1:6">
      <c r="A106" s="2">
        <f>英雄之路怪物!C109</f>
        <v>53</v>
      </c>
      <c r="B106" s="2">
        <f>MOD(英雄之路怪物!D109,10)</f>
        <v>2</v>
      </c>
      <c r="C106" s="2">
        <f ca="1">IF($A106=$K$3,1,英雄之路怪物!E109/OFFSET(英雄之路怪物!E109,$K$4-$A106,0))</f>
        <v>19.81316488956422</v>
      </c>
      <c r="D106" s="2">
        <f ca="1">IF($A106=$K$3,1,英雄之路怪物!F109/OFFSET(英雄之路怪物!F109,$K$4-$A106,0))</f>
        <v>20.652597615224398</v>
      </c>
      <c r="E106" s="2">
        <f ca="1">IF($A106=$K$3,1,英雄之路怪物!G109/OFFSET(英雄之路怪物!G109,$K$4-$A106,0))</f>
        <v>10.879874594017098</v>
      </c>
      <c r="F106" s="2">
        <f ca="1">IF($A106=$K$3,1,英雄之路怪物!H109/OFFSET(英雄之路怪物!H109,$K$4-$A106,0))</f>
        <v>19.813164889564217</v>
      </c>
    </row>
    <row r="107" spans="1:6">
      <c r="A107" s="2">
        <f>英雄之路怪物!C110</f>
        <v>54</v>
      </c>
      <c r="B107" s="2">
        <f>MOD(英雄之路怪物!D110,10)</f>
        <v>2</v>
      </c>
      <c r="C107" s="2">
        <f ca="1">IF($A107=$K$3,1,英雄之路怪物!E110/OFFSET(英雄之路怪物!E110,$K$4-$A107,0))</f>
        <v>21.335637090425067</v>
      </c>
      <c r="D107" s="2">
        <f ca="1">IF($A107=$K$3,1,英雄之路怪物!F110/OFFSET(英雄之路怪物!F110,$K$4-$A107,0))</f>
        <v>22.33143068192998</v>
      </c>
      <c r="E107" s="2">
        <f ca="1">IF($A107=$K$3,1,英雄之路怪物!G110/OFFSET(英雄之路怪物!G110,$K$4-$A107,0))</f>
        <v>11.583867509448227</v>
      </c>
      <c r="F107" s="2">
        <f ca="1">IF($A107=$K$3,1,英雄之路怪物!H110/OFFSET(英雄之路怪物!H110,$K$4-$A107,0))</f>
        <v>21.335637090425067</v>
      </c>
    </row>
    <row r="108" spans="1:6">
      <c r="A108" s="2">
        <f>英雄之路怪物!C111</f>
        <v>55</v>
      </c>
      <c r="B108" s="2">
        <f>MOD(英雄之路怪物!D111,10)</f>
        <v>2</v>
      </c>
      <c r="C108" s="2">
        <f ca="1">IF($A108=$K$3,1,英雄之路怪物!E111/OFFSET(英雄之路怪物!E111,$K$4-$A108,0))</f>
        <v>22.937686428827643</v>
      </c>
      <c r="D108" s="2">
        <f ca="1">IF($A108=$K$3,1,英雄之路怪物!F111/OFFSET(英雄之路怪物!F111,$K$4-$A108,0))</f>
        <v>24.112617604854353</v>
      </c>
      <c r="E108" s="2">
        <f ca="1">IF($A108=$K$3,1,英雄之路怪物!G111/OFFSET(英雄之路怪物!G111,$K$4-$A108,0))</f>
        <v>12.315206902472523</v>
      </c>
      <c r="F108" s="2">
        <f ca="1">IF($A108=$K$3,1,英雄之路怪物!H111/OFFSET(英雄之路怪物!H111,$K$4-$A108,0))</f>
        <v>22.937686428827639</v>
      </c>
    </row>
    <row r="109" spans="1:6">
      <c r="A109" s="2">
        <f>英雄之路怪物!C112</f>
        <v>56</v>
      </c>
      <c r="B109" s="2">
        <f>MOD(英雄之路怪物!D112,10)</f>
        <v>2</v>
      </c>
      <c r="C109" s="2">
        <f ca="1">IF($A109=$K$3,1,英雄之路怪物!E112/OFFSET(英雄之路怪物!E112,$K$4-$A109,0))</f>
        <v>24.621779784981594</v>
      </c>
      <c r="D109" s="2">
        <f ca="1">IF($A109=$K$3,1,英雄之路怪物!F112/OFFSET(英雄之路怪物!F112,$K$4-$A109,0))</f>
        <v>26.001000970971202</v>
      </c>
      <c r="E109" s="2">
        <f ca="1">IF($A109=$K$3,1,英雄之路怪物!G112/OFFSET(英雄之路怪物!G112,$K$4-$A109,0))</f>
        <v>13.074345330106402</v>
      </c>
      <c r="F109" s="2">
        <f ca="1">IF($A109=$K$3,1,英雄之路怪物!H112/OFFSET(英雄之路怪物!H112,$K$4-$A109,0))</f>
        <v>24.621779784981591</v>
      </c>
    </row>
    <row r="110" spans="1:6">
      <c r="A110" s="2">
        <f>英雄之路怪物!C113</f>
        <v>57</v>
      </c>
      <c r="B110" s="2">
        <f>MOD(英雄之路怪物!D113,10)</f>
        <v>2</v>
      </c>
      <c r="C110" s="2">
        <f ca="1">IF($A110=$K$3,1,英雄之路怪物!E113/OFFSET(英雄之路怪物!E113,$K$4-$A110,0))</f>
        <v>26.390417286583435</v>
      </c>
      <c r="D110" s="2">
        <f ca="1">IF($A110=$K$3,1,英雄之路怪物!F113/OFFSET(英雄之路怪物!F113,$K$4-$A110,0))</f>
        <v>28.001628968181514</v>
      </c>
      <c r="E110" s="2">
        <f ca="1">IF($A110=$K$3,1,英雄之路怪物!G113/OFFSET(英雄之路怪物!G113,$K$4-$A110,0))</f>
        <v>13.861735349366249</v>
      </c>
      <c r="F110" s="2">
        <f ca="1">IF($A110=$K$3,1,英雄之路怪物!H113/OFFSET(英雄之路怪物!H113,$K$4-$A110,0))</f>
        <v>26.390417286583432</v>
      </c>
    </row>
    <row r="111" spans="1:6">
      <c r="A111" s="2">
        <f>英雄之路怪物!C114</f>
        <v>58</v>
      </c>
      <c r="B111" s="2">
        <f>MOD(英雄之路怪物!D114,10)</f>
        <v>2</v>
      </c>
      <c r="C111" s="2">
        <f ca="1">IF($A111=$K$3,1,英雄之路怪物!E114/OFFSET(英雄之路怪物!E114,$K$4-$A111,0))</f>
        <v>28.246132296226452</v>
      </c>
      <c r="D111" s="2">
        <f ca="1">IF($A111=$K$3,1,英雄之路怪物!F114/OFFSET(英雄之路怪物!F114,$K$4-$A111,0))</f>
        <v>30.119764845478986</v>
      </c>
      <c r="E111" s="2">
        <f ca="1">IF($A111=$K$3,1,英雄之路怪物!G114/OFFSET(英雄之路怪物!G114,$K$4-$A111,0))</f>
        <v>14.677829517268446</v>
      </c>
      <c r="F111" s="2">
        <f ca="1">IF($A111=$K$3,1,英雄之路怪物!H114/OFFSET(英雄之路怪物!H114,$K$4-$A111,0))</f>
        <v>28.246132296226452</v>
      </c>
    </row>
    <row r="112" spans="1:6">
      <c r="A112" s="2">
        <f>英雄之路怪物!C115</f>
        <v>59</v>
      </c>
      <c r="B112" s="2">
        <f>MOD(英雄之路怪物!D115,10)</f>
        <v>2</v>
      </c>
      <c r="C112" s="2">
        <f ca="1">IF($A112=$K$3,1,英雄之路怪物!E115/OFFSET(英雄之路怪物!E115,$K$4-$A112,0))</f>
        <v>30.191491398599684</v>
      </c>
      <c r="D112" s="2">
        <f ca="1">IF($A112=$K$3,1,英雄之路怪物!F115/OFFSET(英雄之路怪物!F115,$K$4-$A112,0))</f>
        <v>32.360896900307267</v>
      </c>
      <c r="E112" s="2">
        <f ca="1">IF($A112=$K$3,1,英雄之路怪物!G115/OFFSET(英雄之路怪物!G115,$K$4-$A112,0))</f>
        <v>15.523080390829415</v>
      </c>
      <c r="F112" s="2">
        <f ca="1">IF($A112=$K$3,1,英雄之路怪物!H115/OFFSET(英雄之路怪物!H115,$K$4-$A112,0))</f>
        <v>30.191491398599684</v>
      </c>
    </row>
    <row r="113" spans="1:6">
      <c r="A113" s="2">
        <f>英雄之路怪物!C116</f>
        <v>60</v>
      </c>
      <c r="B113" s="2">
        <f>MOD(英雄之路怪物!D116,10)</f>
        <v>2</v>
      </c>
      <c r="C113" s="2">
        <f ca="1">IF($A113=$K$3,1,英雄之路怪物!E116/OFFSET(英雄之路怪物!E116,$K$4-$A113,0))</f>
        <v>32.3878583992865</v>
      </c>
      <c r="D113" s="2">
        <f ca="1">IF($A113=$K$3,1,英雄之路怪物!F116/OFFSET(英雄之路怪物!F116,$K$4-$A113,0))</f>
        <v>34.901836461340096</v>
      </c>
      <c r="E113" s="2">
        <f ca="1">IF($A113=$K$3,1,英雄之路怪物!G116/OFFSET(英雄之路怪物!G116,$K$4-$A113,0))</f>
        <v>16.478718559218564</v>
      </c>
      <c r="F113" s="2">
        <f ca="1">IF($A113=$K$3,1,英雄之路怪物!H116/OFFSET(英雄之路怪物!H116,$K$4-$A113,0))</f>
        <v>32.3878583992865</v>
      </c>
    </row>
    <row r="114" spans="1:6">
      <c r="A114" s="2">
        <f>英雄之路怪物!C117</f>
        <v>61</v>
      </c>
      <c r="B114" s="2">
        <f>MOD(英雄之路怪物!D117,10)</f>
        <v>2</v>
      </c>
      <c r="C114" s="2">
        <f ca="1">IF($A114=$K$3,1,英雄之路怪物!E117/OFFSET(英雄之路怪物!E117,$K$4-$A114,0))</f>
        <v>34.691974005309056</v>
      </c>
      <c r="D114" s="2">
        <f ca="1">IF($A114=$K$3,1,英雄之路怪物!F117/OFFSET(英雄之路怪物!F117,$K$4-$A114,0))</f>
        <v>37.593323521043729</v>
      </c>
      <c r="E114" s="2">
        <f ca="1">IF($A114=$K$3,1,英雄之路怪物!G117/OFFSET(英雄之路怪物!G117,$K$4-$A114,0))</f>
        <v>17.469236160714289</v>
      </c>
      <c r="F114" s="2">
        <f ca="1">IF($A114=$K$3,1,英雄之路怪物!H117/OFFSET(英雄之路怪物!H117,$K$4-$A114,0))</f>
        <v>34.691974005309049</v>
      </c>
    </row>
    <row r="115" spans="1:6">
      <c r="A115" s="2">
        <f>英雄之路怪物!C118</f>
        <v>62</v>
      </c>
      <c r="B115" s="2">
        <f>MOD(英雄之路怪物!D118,10)</f>
        <v>2</v>
      </c>
      <c r="C115" s="2">
        <f ca="1">IF($A115=$K$3,1,英雄之路怪物!E118/OFFSET(英雄之路怪物!E118,$K$4-$A115,0))</f>
        <v>37.106971775412404</v>
      </c>
      <c r="D115" s="2">
        <f ca="1">IF($A115=$K$3,1,英雄之路怪物!F118/OFFSET(英雄之路怪物!F118,$K$4-$A115,0))</f>
        <v>40.442455365289938</v>
      </c>
      <c r="E115" s="2">
        <f ca="1">IF($A115=$K$3,1,英雄之路怪物!G118/OFFSET(英雄之路怪物!G118,$K$4-$A115,0))</f>
        <v>18.495176263736273</v>
      </c>
      <c r="F115" s="2">
        <f ca="1">IF($A115=$K$3,1,英雄之路怪物!H118/OFFSET(英雄之路怪物!H118,$K$4-$A115,0))</f>
        <v>37.106971775412404</v>
      </c>
    </row>
    <row r="116" spans="1:6">
      <c r="A116" s="2">
        <f>英雄之路怪物!C119</f>
        <v>63</v>
      </c>
      <c r="B116" s="2">
        <f>MOD(英雄之路怪物!D119,10)</f>
        <v>2</v>
      </c>
      <c r="C116" s="2">
        <f ca="1">IF($A116=$K$3,1,英雄之路怪物!E119/OFFSET(英雄之路怪物!E119,$K$4-$A116,0))</f>
        <v>39.636025087792042</v>
      </c>
      <c r="D116" s="2">
        <f ca="1">IF($A116=$K$3,1,英雄之路怪物!F119/OFFSET(英雄之路怪物!F119,$K$4-$A116,0))</f>
        <v>43.456639908323979</v>
      </c>
      <c r="E116" s="2">
        <f ca="1">IF($A116=$K$3,1,英雄之路怪物!G119/OFFSET(英雄之路怪物!G119,$K$4-$A116,0))</f>
        <v>19.557081936704165</v>
      </c>
      <c r="F116" s="2">
        <f ca="1">IF($A116=$K$3,1,英雄之路怪物!H119/OFFSET(英雄之路怪物!H119,$K$4-$A116,0))</f>
        <v>39.636025087792035</v>
      </c>
    </row>
    <row r="117" spans="1:6">
      <c r="A117" s="2">
        <f>英雄之路怪物!C120</f>
        <v>64</v>
      </c>
      <c r="B117" s="2">
        <f>MOD(英雄之路怪物!D120,10)</f>
        <v>2</v>
      </c>
      <c r="C117" s="2">
        <f ca="1">IF($A117=$K$3,1,英雄之路怪物!E120/OFFSET(英雄之路怪物!E120,$K$4-$A117,0))</f>
        <v>42.282347124790775</v>
      </c>
      <c r="D117" s="2">
        <f ca="1">IF($A117=$K$3,1,英雄之路怪物!F120/OFFSET(英雄之路怪物!F120,$K$4-$A117,0))</f>
        <v>46.643610820769815</v>
      </c>
      <c r="E117" s="2">
        <f ca="1">IF($A117=$K$3,1,英雄之路怪物!G120/OFFSET(英雄之路怪物!G120,$K$4-$A117,0))</f>
        <v>20.6554962480377</v>
      </c>
      <c r="F117" s="2">
        <f ca="1">IF($A117=$K$3,1,英雄之路怪物!H120/OFFSET(英雄之路怪物!H120,$K$4-$A117,0))</f>
        <v>42.282347124790775</v>
      </c>
    </row>
    <row r="118" spans="1:6">
      <c r="A118" s="2">
        <f>英雄之路怪物!C121</f>
        <v>65</v>
      </c>
      <c r="B118" s="2">
        <f>MOD(英雄之路怪物!D121,10)</f>
        <v>2</v>
      </c>
      <c r="C118" s="2">
        <f ca="1">IF($A118=$K$3,1,英雄之路怪物!E121/OFFSET(英雄之路怪物!E121,$K$4-$A118,0))</f>
        <v>45.049190857524657</v>
      </c>
      <c r="D118" s="2">
        <f ca="1">IF($A118=$K$3,1,英雄之路怪物!F121/OFFSET(英雄之路怪物!F121,$K$4-$A118,0))</f>
        <v>50.011443550435523</v>
      </c>
      <c r="E118" s="2">
        <f ca="1">IF($A118=$K$3,1,英雄之路怪物!G121/OFFSET(英雄之路怪物!G121,$K$4-$A118,0))</f>
        <v>21.790962266156473</v>
      </c>
      <c r="F118" s="2">
        <f ca="1">IF($A118=$K$3,1,英雄之路怪物!H121/OFFSET(英雄之路怪物!H121,$K$4-$A118,0))</f>
        <v>45.049190857524657</v>
      </c>
    </row>
    <row r="119" spans="1:6">
      <c r="A119" s="2">
        <f>英雄之路怪物!C122</f>
        <v>66</v>
      </c>
      <c r="B119" s="2">
        <f>MOD(英雄之路怪物!D122,10)</f>
        <v>2</v>
      </c>
      <c r="C119" s="2">
        <f ca="1">IF($A119=$K$3,1,英雄之路怪物!E122/OFFSET(英雄之路怪物!E122,$K$4-$A119,0))</f>
        <v>47.93984903047096</v>
      </c>
      <c r="D119" s="2">
        <f ca="1">IF($A119=$K$3,1,英雄之路怪物!F122/OFFSET(英雄之路怪物!F122,$K$4-$A119,0))</f>
        <v>53.568572298001449</v>
      </c>
      <c r="E119" s="2">
        <f ca="1">IF($A119=$K$3,1,英雄之路怪物!G122/OFFSET(英雄之路怪物!G122,$K$4-$A119,0))</f>
        <v>22.964023059480223</v>
      </c>
      <c r="F119" s="2">
        <f ca="1">IF($A119=$K$3,1,英雄之路怪物!H122/OFFSET(英雄之路怪物!H122,$K$4-$A119,0))</f>
        <v>47.93984903047096</v>
      </c>
    </row>
    <row r="120" spans="1:6">
      <c r="A120" s="2">
        <f>英雄之路怪物!C123</f>
        <v>67</v>
      </c>
      <c r="B120" s="2">
        <f>MOD(英雄之路怪物!D123,10)</f>
        <v>2</v>
      </c>
      <c r="C120" s="2">
        <f ca="1">IF($A120=$K$3,1,英雄之路怪物!E123/OFFSET(英雄之路怪物!E123,$K$4-$A120,0))</f>
        <v>50.957654146047425</v>
      </c>
      <c r="D120" s="2">
        <f ca="1">IF($A120=$K$3,1,英雄之路怪物!F123/OFFSET(英雄之路怪物!F123,$K$4-$A120,0))</f>
        <v>56.881342641365215</v>
      </c>
      <c r="E120" s="2">
        <f ca="1">IF($A120=$K$3,1,英雄之路怪物!G123/OFFSET(英雄之路怪物!G123,$K$4-$A120,0))</f>
        <v>24.175221696428579</v>
      </c>
      <c r="F120" s="2">
        <f ca="1">IF($A120=$K$3,1,英雄之路怪物!H123/OFFSET(英雄之路怪物!H123,$K$4-$A120,0))</f>
        <v>50.957654146047425</v>
      </c>
    </row>
    <row r="121" spans="1:6">
      <c r="A121" s="2">
        <f>英雄之路怪物!C124</f>
        <v>68</v>
      </c>
      <c r="B121" s="2">
        <f>MOD(英雄之路怪物!D124,10)</f>
        <v>2</v>
      </c>
      <c r="C121" s="2">
        <f ca="1">IF($A121=$K$3,1,英雄之路怪物!E124/OFFSET(英雄之路怪物!E124,$K$4-$A121,0))</f>
        <v>54.10597844920877</v>
      </c>
      <c r="D121" s="2">
        <f ca="1">IF($A121=$K$3,1,英雄之路怪物!F124/OFFSET(英雄之路怪物!F124,$K$4-$A121,0))</f>
        <v>60.342662426135732</v>
      </c>
      <c r="E121" s="2">
        <f ca="1">IF($A121=$K$3,1,英雄之路怪物!G124/OFFSET(英雄之路怪物!G124,$K$4-$A121,0))</f>
        <v>25.42510124542126</v>
      </c>
      <c r="F121" s="2">
        <f ca="1">IF($A121=$K$3,1,英雄之路怪物!H124/OFFSET(英雄之路怪物!H124,$K$4-$A121,0))</f>
        <v>54.105978449208763</v>
      </c>
    </row>
    <row r="122" spans="1:6">
      <c r="A122" s="2">
        <f>英雄之路怪物!C125</f>
        <v>69</v>
      </c>
      <c r="B122" s="2">
        <f>MOD(英雄之路怪物!D125,10)</f>
        <v>2</v>
      </c>
      <c r="C122" s="2">
        <f ca="1">IF($A122=$K$3,1,英雄之路怪物!E125/OFFSET(英雄之路怪物!E125,$K$4-$A122,0))</f>
        <v>57.388233912081937</v>
      </c>
      <c r="D122" s="2">
        <f ca="1">IF($A122=$K$3,1,英雄之路怪物!F125/OFFSET(英雄之路怪物!F125,$K$4-$A122,0))</f>
        <v>63.957697397599581</v>
      </c>
      <c r="E122" s="2">
        <f ca="1">IF($A122=$K$3,1,英雄之路怪物!G125/OFFSET(英雄之路怪物!G125,$K$4-$A122,0))</f>
        <v>26.714204774877924</v>
      </c>
      <c r="F122" s="2">
        <f ca="1">IF($A122=$K$3,1,英雄之路怪物!H125/OFFSET(英雄之路怪物!H125,$K$4-$A122,0))</f>
        <v>57.38823391208193</v>
      </c>
    </row>
    <row r="123" spans="1:6">
      <c r="A123" s="2">
        <f>英雄之路怪物!C126</f>
        <v>70</v>
      </c>
      <c r="B123" s="2">
        <f>MOD(英雄之路怪物!D126,10)</f>
        <v>2</v>
      </c>
      <c r="C123" s="2">
        <f ca="1">IF($A123=$K$3,1,英雄之路怪物!E126/OFFSET(英雄之路怪物!E126,$K$4-$A123,0))</f>
        <v>61.038205067972633</v>
      </c>
      <c r="D123" s="2">
        <f ca="1">IF($A123=$K$3,1,英雄之路怪物!F126/OFFSET(英雄之路怪物!F126,$K$4-$A123,0))</f>
        <v>67.988366961037698</v>
      </c>
      <c r="E123" s="2">
        <f ca="1">IF($A123=$K$3,1,英雄之路怪物!G126/OFFSET(英雄之路怪物!G126,$K$4-$A123,0))</f>
        <v>28.149299123495577</v>
      </c>
      <c r="F123" s="2">
        <f ca="1">IF($A123=$K$3,1,英雄之路怪物!H126/OFFSET(英雄之路怪物!H126,$K$4-$A123,0))</f>
        <v>61.038205067972619</v>
      </c>
    </row>
    <row r="124" spans="1:6">
      <c r="A124" s="2">
        <f>英雄之路怪物!C127</f>
        <v>71</v>
      </c>
      <c r="B124" s="2">
        <f>MOD(英雄之路怪物!D127,10)</f>
        <v>2</v>
      </c>
      <c r="C124" s="2">
        <f ca="1">IF($A124=$K$3,1,英雄之路怪物!E127/OFFSET(英雄之路怪物!E127,$K$4-$A124,0))</f>
        <v>64.845187599564966</v>
      </c>
      <c r="D124" s="2">
        <f ca="1">IF($A124=$K$3,1,英雄之路怪物!F127/OFFSET(英雄之路怪物!F127,$K$4-$A124,0))</f>
        <v>72.201447932726182</v>
      </c>
      <c r="E124" s="2">
        <f ca="1">IF($A124=$K$3,1,英雄之路怪物!G127/OFFSET(英雄之路怪物!G127,$K$4-$A124,0))</f>
        <v>29.630124612186769</v>
      </c>
      <c r="F124" s="2">
        <f ca="1">IF($A124=$K$3,1,英雄之路怪物!H127/OFFSET(英雄之路怪物!H127,$K$4-$A124,0))</f>
        <v>64.845187599564952</v>
      </c>
    </row>
    <row r="125" spans="1:6">
      <c r="A125" s="2">
        <f>英雄之路怪物!C128</f>
        <v>72</v>
      </c>
      <c r="B125" s="2">
        <f>MOD(英雄之路怪物!D128,10)</f>
        <v>2</v>
      </c>
      <c r="C125" s="2">
        <f ca="1">IF($A125=$K$3,1,英雄之路怪物!E128/OFFSET(英雄之路怪物!E128,$K$4-$A125,0))</f>
        <v>68.813229768740982</v>
      </c>
      <c r="D125" s="2">
        <f ca="1">IF($A125=$K$3,1,英雄之路怪物!F128/OFFSET(英雄之路怪物!F128,$K$4-$A125,0))</f>
        <v>76.603411664237896</v>
      </c>
      <c r="E125" s="2">
        <f ca="1">IF($A125=$K$3,1,英雄之路怪物!G128/OFFSET(英雄之路怪物!G128,$K$4-$A125,0))</f>
        <v>31.157314820774477</v>
      </c>
      <c r="F125" s="2">
        <f ca="1">IF($A125=$K$3,1,英雄之路怪物!H128/OFFSET(英雄之路怪物!H128,$K$4-$A125,0))</f>
        <v>68.813229768740982</v>
      </c>
    </row>
    <row r="126" spans="1:6">
      <c r="A126" s="2">
        <f>英雄之路怪物!C129</f>
        <v>73</v>
      </c>
      <c r="B126" s="2">
        <f>MOD(英雄之路怪物!D129,10)</f>
        <v>2</v>
      </c>
      <c r="C126" s="2">
        <f ca="1">IF($A126=$K$3,1,英雄之路怪物!E129/OFFSET(英雄之路怪物!E129,$K$4-$A126,0))</f>
        <v>72.946426135465202</v>
      </c>
      <c r="D126" s="2">
        <f ca="1">IF($A126=$K$3,1,英雄之路怪物!F129/OFFSET(英雄之路怪物!F129,$K$4-$A126,0))</f>
        <v>81.20098181888288</v>
      </c>
      <c r="E126" s="2">
        <f ca="1">IF($A126=$K$3,1,英雄之路怪物!G129/OFFSET(英雄之路怪物!G129,$K$4-$A126,0))</f>
        <v>32.731503329081654</v>
      </c>
      <c r="F126" s="2">
        <f ca="1">IF($A126=$K$3,1,英雄之路怪物!H129/OFFSET(英雄之路怪物!H129,$K$4-$A126,0))</f>
        <v>72.946426135465188</v>
      </c>
    </row>
    <row r="127" spans="1:6">
      <c r="A127" s="2">
        <f>英雄之路怪物!C130</f>
        <v>74</v>
      </c>
      <c r="B127" s="2">
        <f>MOD(英雄之路怪物!D130,10)</f>
        <v>2</v>
      </c>
      <c r="C127" s="2">
        <f ca="1">IF($A127=$K$3,1,英雄之路怪物!E130/OFFSET(英雄之路怪物!E130,$K$4-$A127,0))</f>
        <v>77.248917540456929</v>
      </c>
      <c r="D127" s="2">
        <f ca="1">IF($A127=$K$3,1,英雄之路怪物!F130/OFFSET(英雄之路怪物!F130,$K$4-$A127,0))</f>
        <v>86.001147985650903</v>
      </c>
      <c r="E127" s="2">
        <f ca="1">IF($A127=$K$3,1,英雄之路怪物!G130/OFFSET(英雄之路怪物!G130,$K$4-$A127,0))</f>
        <v>34.353323716931236</v>
      </c>
      <c r="F127" s="2">
        <f ca="1">IF($A127=$K$3,1,英雄之路怪物!H130/OFFSET(英雄之路怪物!H130,$K$4-$A127,0))</f>
        <v>77.248917540456929</v>
      </c>
    </row>
    <row r="128" spans="1:6">
      <c r="A128" s="2">
        <f>英雄之路怪物!C131</f>
        <v>75</v>
      </c>
      <c r="B128" s="2">
        <f>MOD(英雄之路怪物!D131,10)</f>
        <v>2</v>
      </c>
      <c r="C128" s="2">
        <f ca="1">IF($A128=$K$3,1,英雄之路怪物!E131/OFFSET(英雄之路怪物!E131,$K$4-$A128,0))</f>
        <v>81.724891087975323</v>
      </c>
      <c r="D128" s="2">
        <f ca="1">IF($A128=$K$3,1,英雄之路怪物!F131/OFFSET(英雄之路怪物!F131,$K$4-$A128,0))</f>
        <v>91.011180184248616</v>
      </c>
      <c r="E128" s="2">
        <f ca="1">IF($A128=$K$3,1,英雄之路怪物!G131/OFFSET(英雄之路怪物!G131,$K$4-$A128,0))</f>
        <v>36.023409564146213</v>
      </c>
      <c r="F128" s="2">
        <f ca="1">IF($A128=$K$3,1,英雄之路怪物!H131/OFFSET(英雄之路怪物!H131,$K$4-$A128,0))</f>
        <v>81.724891087975337</v>
      </c>
    </row>
    <row r="129" spans="1:6">
      <c r="A129" s="2">
        <f>英雄之路怪物!C132</f>
        <v>76</v>
      </c>
      <c r="B129" s="2">
        <f>MOD(英雄之路怪物!D132,10)</f>
        <v>2</v>
      </c>
      <c r="C129" s="2">
        <f ca="1">IF($A129=$K$3,1,英雄之路怪物!E132/OFFSET(英雄之路怪物!E132,$K$4-$A129,0))</f>
        <v>86.378580128730761</v>
      </c>
      <c r="D129" s="2">
        <f ca="1">IF($A129=$K$3,1,英雄之路怪物!F132/OFFSET(英雄之路怪物!F132,$K$4-$A129,0))</f>
        <v>96.238644330028677</v>
      </c>
      <c r="E129" s="2">
        <f ca="1">IF($A129=$K$3,1,英雄之路怪物!G132/OFFSET(英雄之路怪物!G132,$K$4-$A129,0))</f>
        <v>37.742394450549462</v>
      </c>
      <c r="F129" s="2">
        <f ca="1">IF($A129=$K$3,1,英雄之路怪物!H132/OFFSET(英雄之路怪物!H132,$K$4-$A129,0))</f>
        <v>86.378580128730746</v>
      </c>
    </row>
    <row r="130" spans="1:6">
      <c r="A130" s="2">
        <f>英雄之路怪物!C133</f>
        <v>77</v>
      </c>
      <c r="B130" s="2">
        <f>MOD(英雄之路怪物!D133,10)</f>
        <v>2</v>
      </c>
      <c r="C130" s="2">
        <f ca="1">IF($A130=$K$3,1,英雄之路怪物!E133/OFFSET(英雄之路怪物!E133,$K$4-$A130,0))</f>
        <v>91.214264242931264</v>
      </c>
      <c r="D130" s="2">
        <f ca="1">IF($A130=$K$3,1,英雄之路怪物!F133/OFFSET(英雄之路怪物!F133,$K$4-$A130,0))</f>
        <v>101.69141873374714</v>
      </c>
      <c r="E130" s="2">
        <f ca="1">IF($A130=$K$3,1,英雄之路怪物!G133/OFFSET(英雄之路怪物!G133,$K$4-$A130,0))</f>
        <v>39.510911955964012</v>
      </c>
      <c r="F130" s="2">
        <f ca="1">IF($A130=$K$3,1,英雄之路怪物!H133/OFFSET(英雄之路怪物!H133,$K$4-$A130,0))</f>
        <v>91.214264242931264</v>
      </c>
    </row>
    <row r="131" spans="1:6">
      <c r="A131" s="2">
        <f>英雄之路怪物!C134</f>
        <v>78</v>
      </c>
      <c r="B131" s="2">
        <f>MOD(英雄之路怪物!D134,10)</f>
        <v>2</v>
      </c>
      <c r="C131" s="2">
        <f ca="1">IF($A131=$K$3,1,英雄之路怪物!E134/OFFSET(英雄之路怪物!E134,$K$4-$A131,0))</f>
        <v>96.236269223474267</v>
      </c>
      <c r="D131" s="2">
        <f ca="1">IF($A131=$K$3,1,英雄之路怪物!F134/OFFSET(英雄之路怪物!F134,$K$4-$A131,0))</f>
        <v>107.37771171784541</v>
      </c>
      <c r="E131" s="2">
        <f ca="1">IF($A131=$K$3,1,英雄之路怪物!G134/OFFSET(英雄之路怪物!G134,$K$4-$A131,0))</f>
        <v>41.32959566021281</v>
      </c>
      <c r="F131" s="2">
        <f ca="1">IF($A131=$K$3,1,英雄之路怪物!H134/OFFSET(英雄之路怪物!H134,$K$4-$A131,0))</f>
        <v>96.236269223474281</v>
      </c>
    </row>
    <row r="132" spans="1:6">
      <c r="A132" s="2">
        <f>英雄之路怪物!C135</f>
        <v>79</v>
      </c>
      <c r="B132" s="2">
        <f>MOD(英雄之路怪物!D135,10)</f>
        <v>2</v>
      </c>
      <c r="C132" s="2">
        <f ca="1">IF($A132=$K$3,1,英雄之路怪物!E135/OFFSET(英雄之路怪物!E135,$K$4-$A132,0))</f>
        <v>101.44896705929045</v>
      </c>
      <c r="D132" s="2">
        <f ca="1">IF($A132=$K$3,1,英雄之路怪物!F135/OFFSET(英雄之路怪物!F135,$K$4-$A132,0))</f>
        <v>113.30608043840967</v>
      </c>
      <c r="E132" s="2">
        <f ca="1">IF($A132=$K$3,1,英雄之路怪物!G135/OFFSET(英雄之路怪物!G135,$K$4-$A132,0))</f>
        <v>43.199079143118823</v>
      </c>
      <c r="F132" s="2">
        <f ca="1">IF($A132=$K$3,1,英雄之路怪物!H135/OFFSET(英雄之路怪物!H135,$K$4-$A132,0))</f>
        <v>101.44896705929045</v>
      </c>
    </row>
    <row r="133" spans="1:6">
      <c r="A133" s="2">
        <f>英雄之路怪物!C136</f>
        <v>80</v>
      </c>
      <c r="B133" s="2">
        <f>MOD(英雄之路怪物!D136,10)</f>
        <v>2</v>
      </c>
      <c r="C133" s="2">
        <f ca="1">IF($A133=$K$3,1,英雄之路怪物!E136/OFFSET(英雄之路怪物!E136,$K$4-$A133,0))</f>
        <v>107.17575136934927</v>
      </c>
      <c r="D133" s="2">
        <f ca="1">IF($A133=$K$3,1,英雄之路怪物!F136/OFFSET(英雄之路怪物!F136,$K$4-$A133,0))</f>
        <v>119.84212399827869</v>
      </c>
      <c r="E133" s="2">
        <f ca="1">IF($A133=$K$3,1,英雄之路怪物!G136/OFFSET(英雄之路怪物!G136,$K$4-$A133,0))</f>
        <v>45.254682539682527</v>
      </c>
      <c r="F133" s="2">
        <f ca="1">IF($A133=$K$3,1,英雄之路怪物!H136/OFFSET(英雄之路怪物!H136,$K$4-$A133,0))</f>
        <v>107.17575136934927</v>
      </c>
    </row>
    <row r="134" spans="1:6">
      <c r="A134" s="2">
        <f>英雄之路怪物!C137</f>
        <v>81</v>
      </c>
      <c r="B134" s="2">
        <f>MOD(英雄之路怪物!D137,10)</f>
        <v>2</v>
      </c>
      <c r="C134" s="2">
        <f ca="1">IF($A134=$K$3,1,英雄之路怪物!E137/OFFSET(英雄之路怪物!E137,$K$4-$A134,0))</f>
        <v>113.12184528078674</v>
      </c>
      <c r="D134" s="2">
        <f ca="1">IF($A134=$K$3,1,英雄之路怪物!F137/OFFSET(英雄之路怪物!F137,$K$4-$A134,0))</f>
        <v>142.51768144768471</v>
      </c>
      <c r="E134" s="2">
        <f ca="1">IF($A134=$K$3,1,英雄之路怪物!G137/OFFSET(英雄之路怪物!G137,$K$4-$A134,0))</f>
        <v>47.368377306674844</v>
      </c>
      <c r="F134" s="2">
        <f ca="1">IF($A134=$K$3,1,英雄之路怪物!H137/OFFSET(英雄之路怪物!H137,$K$4-$A134,0))</f>
        <v>113.12184528078674</v>
      </c>
    </row>
    <row r="135" spans="1:6">
      <c r="A135" s="2">
        <f>英雄之路怪物!C138</f>
        <v>82</v>
      </c>
      <c r="B135" s="2">
        <f>MOD(英雄之路怪物!D138,10)</f>
        <v>2</v>
      </c>
      <c r="C135" s="2">
        <f ca="1">IF($A135=$K$3,1,英雄之路怪物!E138/OFFSET(英雄之路怪物!E138,$K$4-$A135,0))</f>
        <v>119.29232614432999</v>
      </c>
      <c r="D135" s="2">
        <f ca="1">IF($A135=$K$3,1,英雄之路怪物!F138/OFFSET(英雄之路怪物!F138,$K$4-$A135,0))</f>
        <v>151.72477605054186</v>
      </c>
      <c r="E135" s="2">
        <f ca="1">IF($A135=$K$3,1,英雄之路怪物!G138/OFFSET(英雄之路怪物!G138,$K$4-$A135,0))</f>
        <v>49.540887535321829</v>
      </c>
      <c r="F135" s="2">
        <f ca="1">IF($A135=$K$3,1,英雄之路怪物!H138/OFFSET(英雄之路怪物!H138,$K$4-$A135,0))</f>
        <v>119.29232614432998</v>
      </c>
    </row>
    <row r="136" spans="1:6">
      <c r="A136" s="2">
        <f>英雄之路怪物!C139</f>
        <v>83</v>
      </c>
      <c r="B136" s="2">
        <f>MOD(英雄之路怪物!D139,10)</f>
        <v>2</v>
      </c>
      <c r="C136" s="2">
        <f ca="1">IF($A136=$K$3,1,英雄之路怪物!E139/OFFSET(英雄之路怪物!E139,$K$4-$A136,0))</f>
        <v>125.69232405416854</v>
      </c>
      <c r="D136" s="2">
        <f ca="1">IF($A136=$K$3,1,英雄之路怪物!F139/OFFSET(英雄之路怪物!F139,$K$4-$A136,0))</f>
        <v>161.42023212548281</v>
      </c>
      <c r="E136" s="2">
        <f ca="1">IF($A136=$K$3,1,英雄之路怪物!G139/OFFSET(英雄之路怪物!G139,$K$4-$A136,0))</f>
        <v>51.772937316849827</v>
      </c>
      <c r="F136" s="2">
        <f ca="1">IF($A136=$K$3,1,英雄之路怪物!H139/OFFSET(英雄之路怪物!H139,$K$4-$A136,0))</f>
        <v>125.69232405416852</v>
      </c>
    </row>
    <row r="137" spans="1:6">
      <c r="A137" s="2">
        <f>英雄之路怪物!C140</f>
        <v>84</v>
      </c>
      <c r="B137" s="2">
        <f>MOD(英雄之路怪物!D140,10)</f>
        <v>2</v>
      </c>
      <c r="C137" s="2">
        <f ca="1">IF($A137=$K$3,1,英雄之路怪物!E140/OFFSET(英雄之路怪物!E140,$K$4-$A137,0))</f>
        <v>132.32702182976917</v>
      </c>
      <c r="D137" s="2">
        <f ca="1">IF($A137=$K$3,1,英雄之路怪物!F140/OFFSET(英雄之路怪物!F140,$K$4-$A137,0))</f>
        <v>171.62763774827306</v>
      </c>
      <c r="E137" s="2">
        <f ca="1">IF($A137=$K$3,1,英雄之路怪物!G140/OFFSET(英雄之路怪物!G140,$K$4-$A137,0))</f>
        <v>54.065250742485041</v>
      </c>
      <c r="F137" s="2">
        <f ca="1">IF($A137=$K$3,1,英雄之路怪物!H140/OFFSET(英雄之路怪物!H140,$K$4-$A137,0))</f>
        <v>132.32702182976917</v>
      </c>
    </row>
    <row r="138" spans="1:6">
      <c r="A138" s="2">
        <f>英雄之路怪物!C141</f>
        <v>85</v>
      </c>
      <c r="B138" s="2">
        <f>MOD(英雄之路怪物!D141,10)</f>
        <v>2</v>
      </c>
      <c r="C138" s="2">
        <f ca="1">IF($A138=$K$3,1,英雄之路怪物!E141/OFFSET(英雄之路怪物!E141,$K$4-$A138,0))</f>
        <v>139.20165499788169</v>
      </c>
      <c r="D138" s="2">
        <f ca="1">IF($A138=$K$3,1,英雄之路怪物!F141/OFFSET(英雄之路怪物!F141,$K$4-$A138,0))</f>
        <v>182.37179857658589</v>
      </c>
      <c r="E138" s="2">
        <f ca="1">IF($A138=$K$3,1,英雄之路怪物!G141/OFFSET(英雄之路怪物!G141,$K$4-$A138,0))</f>
        <v>56.418551903453668</v>
      </c>
      <c r="F138" s="2">
        <f ca="1">IF($A138=$K$3,1,英雄之路怪物!H141/OFFSET(英雄之路怪物!H141,$K$4-$A138,0))</f>
        <v>139.20165499788169</v>
      </c>
    </row>
    <row r="139" spans="1:6">
      <c r="A139" s="2">
        <f>英雄之路怪物!C142</f>
        <v>86</v>
      </c>
      <c r="B139" s="2">
        <f>MOD(英雄之路怪物!D142,10)</f>
        <v>2</v>
      </c>
      <c r="C139" s="2">
        <f ca="1">IF($A139=$K$3,1,英雄之路怪物!E142/OFFSET(英雄之路怪物!E142,$K$4-$A139,0))</f>
        <v>146.32151177473926</v>
      </c>
      <c r="D139" s="2">
        <f ca="1">IF($A139=$K$3,1,英雄之路怪物!F142/OFFSET(英雄之路怪物!F142,$K$4-$A139,0))</f>
        <v>193.67881331995602</v>
      </c>
      <c r="E139" s="2">
        <f ca="1">IF($A139=$K$3,1,英雄之路怪物!G142/OFFSET(英雄之路怪物!G142,$K$4-$A139,0))</f>
        <v>58.833564890982032</v>
      </c>
      <c r="F139" s="2">
        <f ca="1">IF($A139=$K$3,1,英雄之路怪物!H142/OFFSET(英雄之路怪物!H142,$K$4-$A139,0))</f>
        <v>146.32151177473924</v>
      </c>
    </row>
    <row r="140" spans="1:6">
      <c r="A140" s="2">
        <f>英雄之路怪物!C143</f>
        <v>87</v>
      </c>
      <c r="B140" s="2">
        <f>MOD(英雄之路怪物!D143,10)</f>
        <v>2</v>
      </c>
      <c r="C140" s="2">
        <f ca="1">IF($A140=$K$3,1,英雄之路怪物!E143/OFFSET(英雄之路怪物!E143,$K$4-$A140,0))</f>
        <v>153.69193304845507</v>
      </c>
      <c r="D140" s="2">
        <f ca="1">IF($A140=$K$3,1,英雄之路怪物!F143/OFFSET(英雄之路怪物!F143,$K$4-$A140,0))</f>
        <v>205.57615489366086</v>
      </c>
      <c r="E140" s="2">
        <f ca="1">IF($A140=$K$3,1,英雄之路怪物!G143/OFFSET(英雄之路怪物!G143,$K$4-$A140,0))</f>
        <v>61.311013796296315</v>
      </c>
      <c r="F140" s="2">
        <f ca="1">IF($A140=$K$3,1,英雄之路怪物!H143/OFFSET(英雄之路怪物!H143,$K$4-$A140,0))</f>
        <v>153.69193304845504</v>
      </c>
    </row>
    <row r="141" spans="1:6">
      <c r="A141" s="2">
        <f>英雄之路怪物!C144</f>
        <v>88</v>
      </c>
      <c r="B141" s="2">
        <f>MOD(英雄之路怪物!D144,10)</f>
        <v>2</v>
      </c>
      <c r="C141" s="2">
        <f ca="1">IF($A141=$K$3,1,英雄之路怪物!E144/OFFSET(英雄之路怪物!E144,$K$4-$A141,0))</f>
        <v>161.31831236161827</v>
      </c>
      <c r="D141" s="2">
        <f ca="1">IF($A141=$K$3,1,英雄之路怪物!F144/OFFSET(英雄之路怪物!F144,$K$4-$A141,0))</f>
        <v>218.09275776230709</v>
      </c>
      <c r="E141" s="2">
        <f ca="1">IF($A141=$K$3,1,英雄之路怪物!G144/OFFSET(英雄之路怪物!G144,$K$4-$A141,0))</f>
        <v>63.851622710622685</v>
      </c>
      <c r="F141" s="2">
        <f ca="1">IF($A141=$K$3,1,英雄之路怪物!H144/OFFSET(英雄之路怪物!H144,$K$4-$A141,0))</f>
        <v>161.31831236161827</v>
      </c>
    </row>
    <row r="142" spans="1:6">
      <c r="A142" s="2">
        <f>英雄之路怪物!C145</f>
        <v>89</v>
      </c>
      <c r="B142" s="2">
        <f>MOD(英雄之路怪物!D145,10)</f>
        <v>2</v>
      </c>
      <c r="C142" s="2">
        <f ca="1">IF($A142=$K$3,1,英雄之路怪物!E145/OFFSET(英雄之路怪物!E145,$K$4-$A142,0))</f>
        <v>169.20609589408824</v>
      </c>
      <c r="D142" s="2">
        <f ca="1">IF($A142=$K$3,1,英雄之路怪物!F145/OFFSET(英雄之路怪物!F145,$K$4-$A142,0))</f>
        <v>231.25911203098838</v>
      </c>
      <c r="E142" s="2">
        <f ca="1">IF($A142=$K$3,1,英雄之路怪物!G145/OFFSET(英雄之路怪物!G145,$K$4-$A142,0))</f>
        <v>66.456115725187473</v>
      </c>
      <c r="F142" s="2">
        <f ca="1">IF($A142=$K$3,1,英雄之路怪物!H145/OFFSET(英雄之路怪物!H145,$K$4-$A142,0))</f>
        <v>169.20609589408826</v>
      </c>
    </row>
    <row r="143" spans="1:6">
      <c r="A143" s="2">
        <f>英雄之路怪物!C146</f>
        <v>90</v>
      </c>
      <c r="B143" s="2">
        <f>MOD(英雄之路怪物!D146,10)</f>
        <v>2</v>
      </c>
      <c r="C143" s="2">
        <f ca="1">IF($A143=$K$3,1,英雄之路怪物!E146/OFFSET(英雄之路怪物!E146,$K$4-$A143,0))</f>
        <v>177.36078244598954</v>
      </c>
      <c r="D143" s="2">
        <f ca="1">IF($A143=$K$3,1,英雄之路怪物!F146/OFFSET(英雄之路怪物!F146,$K$4-$A143,0))</f>
        <v>245.10736490010015</v>
      </c>
      <c r="E143" s="2">
        <f ca="1">IF($A143=$K$3,1,英雄之路怪物!G146/OFFSET(英雄之路怪物!G146,$K$4-$A143,0))</f>
        <v>69.12521693121694</v>
      </c>
      <c r="F143" s="2">
        <f ca="1">IF($A143=$K$3,1,英雄之路怪物!H146/OFFSET(英雄之路怪物!H146,$K$4-$A143,0))</f>
        <v>177.36078244598949</v>
      </c>
    </row>
    <row r="144" spans="1:6">
      <c r="A144" s="2">
        <f>英雄之路怪物!C147</f>
        <v>20</v>
      </c>
      <c r="B144" s="2">
        <f>MOD(英雄之路怪物!D147,10)</f>
        <v>3</v>
      </c>
      <c r="C144" s="2">
        <f ca="1">IF($A144=$K$3,1,英雄之路怪物!E147/OFFSET(英雄之路怪物!E147,$K$4-$A144,0))</f>
        <v>1</v>
      </c>
      <c r="D144" s="2">
        <f ca="1">IF($A144=$K$3,1,英雄之路怪物!F147/OFFSET(英雄之路怪物!F147,$K$4-$A144,0))</f>
        <v>1</v>
      </c>
      <c r="E144" s="2">
        <f ca="1">IF($A144=$K$3,1,英雄之路怪物!G147/OFFSET(英雄之路怪物!G147,$K$4-$A144,0))</f>
        <v>1</v>
      </c>
      <c r="F144" s="2">
        <f ca="1">IF($A144=$K$3,1,英雄之路怪物!H147/OFFSET(英雄之路怪物!H147,$K$4-$A144,0))</f>
        <v>1</v>
      </c>
    </row>
    <row r="145" spans="1:6">
      <c r="A145" s="2">
        <f>英雄之路怪物!C148</f>
        <v>21</v>
      </c>
      <c r="B145" s="2">
        <f>MOD(英雄之路怪物!D148,10)</f>
        <v>3</v>
      </c>
      <c r="C145" s="2">
        <f ca="1">IF($A145=$K$3,1,英雄之路怪物!E148/OFFSET(英雄之路怪物!E148,$K$4-$A145,0))</f>
        <v>1.1175968387549777</v>
      </c>
      <c r="D145" s="2">
        <f ca="1">IF($A145=$K$3,1,英雄之路怪物!F148/OFFSET(英雄之路怪物!F148,$K$4-$A145,0))</f>
        <v>1.1114951305698277</v>
      </c>
      <c r="E145" s="2">
        <f ca="1">IF($A145=$K$3,1,英雄之路怪物!G148/OFFSET(英雄之路怪物!G148,$K$4-$A145,0))</f>
        <v>1.0931717687074829</v>
      </c>
      <c r="F145" s="2">
        <f ca="1">IF($A145=$K$3,1,英雄之路怪物!H148/OFFSET(英雄之路怪物!H148,$K$4-$A145,0))</f>
        <v>1.117596838754978</v>
      </c>
    </row>
    <row r="146" spans="1:6">
      <c r="A146" s="2">
        <f>英雄之路怪物!C149</f>
        <v>22</v>
      </c>
      <c r="B146" s="2">
        <f>MOD(英雄之路怪物!D149,10)</f>
        <v>3</v>
      </c>
      <c r="C146" s="2">
        <f ca="1">IF($A146=$K$3,1,英雄之路怪物!E149/OFFSET(英雄之路怪物!E149,$K$4-$A146,0))</f>
        <v>1.2431201966962262</v>
      </c>
      <c r="D146" s="2">
        <f ca="1">IF($A146=$K$3,1,英雄之路怪物!F149/OFFSET(英雄之路怪物!F149,$K$4-$A146,0))</f>
        <v>1.2303794520244331</v>
      </c>
      <c r="E146" s="2">
        <f ca="1">IF($A146=$K$3,1,英雄之路怪物!G149/OFFSET(英雄之路怪物!G149,$K$4-$A146,0))</f>
        <v>1.1902040816326529</v>
      </c>
      <c r="F146" s="2">
        <f ca="1">IF($A146=$K$3,1,英雄之路怪物!H149/OFFSET(英雄之路怪物!H149,$K$4-$A146,0))</f>
        <v>1.2431201966962262</v>
      </c>
    </row>
    <row r="147" spans="1:6">
      <c r="A147" s="2">
        <f>英雄之路怪物!C150</f>
        <v>23</v>
      </c>
      <c r="B147" s="2">
        <f>MOD(英雄之路怪物!D150,10)</f>
        <v>3</v>
      </c>
      <c r="C147" s="2">
        <f ca="1">IF($A147=$K$3,1,英雄之路怪物!E150/OFFSET(英雄之路怪物!E150,$K$4-$A147,0))</f>
        <v>1.4024517884049481</v>
      </c>
      <c r="D147" s="2">
        <f ca="1">IF($A147=$K$3,1,英雄之路怪物!F150/OFFSET(英雄之路怪物!F150,$K$4-$A147,0))</f>
        <v>1.3822219127985367</v>
      </c>
      <c r="E147" s="2">
        <f ca="1">IF($A147=$K$3,1,英雄之路怪物!G150/OFFSET(英雄之路怪物!G150,$K$4-$A147,0))</f>
        <v>1.3151681057038203</v>
      </c>
      <c r="F147" s="2">
        <f ca="1">IF($A147=$K$3,1,英雄之路怪物!H150/OFFSET(英雄之路怪物!H150,$K$4-$A147,0))</f>
        <v>1.4024517884049483</v>
      </c>
    </row>
    <row r="148" spans="1:6">
      <c r="A148" s="2">
        <f>英雄之路怪物!C151</f>
        <v>24</v>
      </c>
      <c r="B148" s="2">
        <f>MOD(英雄之路怪物!D151,10)</f>
        <v>3</v>
      </c>
      <c r="C148" s="2">
        <f ca="1">IF($A148=$K$3,1,英雄之路怪物!E151/OFFSET(英雄之路怪物!E151,$K$4-$A148,0))</f>
        <v>1.5727679083562143</v>
      </c>
      <c r="D148" s="2">
        <f ca="1">IF($A148=$K$3,1,英雄之路怪物!F151/OFFSET(英雄之路怪物!F151,$K$4-$A148,0))</f>
        <v>1.5444020214617953</v>
      </c>
      <c r="E148" s="2">
        <f ca="1">IF($A148=$K$3,1,英雄之路怪物!G151/OFFSET(英雄之路怪物!G151,$K$4-$A148,0))</f>
        <v>1.4454515325943891</v>
      </c>
      <c r="F148" s="2">
        <f ca="1">IF($A148=$K$3,1,英雄之路怪物!H151/OFFSET(英雄之路怪物!H151,$K$4-$A148,0))</f>
        <v>1.5727679083562147</v>
      </c>
    </row>
    <row r="149" spans="1:6">
      <c r="A149" s="2">
        <f>英雄之路怪物!C152</f>
        <v>25</v>
      </c>
      <c r="B149" s="2">
        <f>MOD(英雄之路怪物!D152,10)</f>
        <v>3</v>
      </c>
      <c r="C149" s="2">
        <f ca="1">IF($A149=$K$3,1,英雄之路怪物!E152/OFFSET(英雄之路怪物!E152,$K$4-$A149,0))</f>
        <v>1.7543614190545793</v>
      </c>
      <c r="D149" s="2">
        <f ca="1">IF($A149=$K$3,1,英雄之路怪物!F152/OFFSET(英雄之路怪物!F152,$K$4-$A149,0))</f>
        <v>1.7173010851706059</v>
      </c>
      <c r="E149" s="2">
        <f ca="1">IF($A149=$K$3,1,英雄之路怪物!G152/OFFSET(英雄之路怪物!G152,$K$4-$A149,0))</f>
        <v>1.5810543623043618</v>
      </c>
      <c r="F149" s="2">
        <f ca="1">IF($A149=$K$3,1,英雄之路怪物!H152/OFFSET(英雄之路怪物!H152,$K$4-$A149,0))</f>
        <v>1.7543614190545793</v>
      </c>
    </row>
    <row r="150" spans="1:6">
      <c r="A150" s="2">
        <f>英雄之路怪物!C153</f>
        <v>26</v>
      </c>
      <c r="B150" s="2">
        <f>MOD(英雄之路怪物!D153,10)</f>
        <v>3</v>
      </c>
      <c r="C150" s="2">
        <f ca="1">IF($A150=$K$3,1,英雄之路怪物!E153/OFFSET(英雄之路怪物!E153,$K$4-$A150,0))</f>
        <v>1.9722337866077218</v>
      </c>
      <c r="D150" s="2">
        <f ca="1">IF($A150=$K$3,1,英雄之路怪物!F153/OFFSET(英雄之路怪物!F153,$K$4-$A150,0))</f>
        <v>1.9254344588780203</v>
      </c>
      <c r="E150" s="2">
        <f ca="1">IF($A150=$K$3,1,英雄之路怪物!G153/OFFSET(英雄之路怪物!G153,$K$4-$A150,0))</f>
        <v>1.7438244612530323</v>
      </c>
      <c r="F150" s="2">
        <f ca="1">IF($A150=$K$3,1,英雄之路怪物!H153/OFFSET(英雄之路怪物!H153,$K$4-$A150,0))</f>
        <v>1.972233786607722</v>
      </c>
    </row>
    <row r="151" spans="1:6">
      <c r="A151" s="2">
        <f>英雄之路怪物!C154</f>
        <v>27</v>
      </c>
      <c r="B151" s="2">
        <f>MOD(英雄之路怪物!D154,10)</f>
        <v>3</v>
      </c>
      <c r="C151" s="2">
        <f ca="1">IF($A151=$K$3,1,英雄之路怪物!E154/OFFSET(英雄之路怪物!E154,$K$4-$A151,0))</f>
        <v>2.2042918205274926</v>
      </c>
      <c r="D151" s="2">
        <f ca="1">IF($A151=$K$3,1,英雄之路怪物!F154/OFFSET(英雄之路怪物!F154,$K$4-$A151,0))</f>
        <v>2.1472410795871002</v>
      </c>
      <c r="E151" s="2">
        <f ca="1">IF($A151=$K$3,1,英雄之路怪物!G154/OFFSET(英雄之路怪物!G154,$K$4-$A151,0))</f>
        <v>1.9131277333777335</v>
      </c>
      <c r="F151" s="2">
        <f ca="1">IF($A151=$K$3,1,英雄之路怪物!H154/OFFSET(英雄之路怪物!H154,$K$4-$A151,0))</f>
        <v>2.2042918205274931</v>
      </c>
    </row>
    <row r="152" spans="1:6">
      <c r="A152" s="2">
        <f>英雄之路怪物!C155</f>
        <v>28</v>
      </c>
      <c r="B152" s="2">
        <f>MOD(英雄之路怪物!D155,10)</f>
        <v>3</v>
      </c>
      <c r="C152" s="2">
        <f ca="1">IF($A152=$K$3,1,英雄之路怪物!E155/OFFSET(英雄之路怪物!E155,$K$4-$A152,0))</f>
        <v>2.4508928136691663</v>
      </c>
      <c r="D152" s="2">
        <f ca="1">IF($A152=$K$3,1,英雄之路怪物!F155/OFFSET(英雄之路怪物!F155,$K$4-$A152,0))</f>
        <v>2.3832205242786886</v>
      </c>
      <c r="E152" s="2">
        <f ca="1">IF($A152=$K$3,1,英雄之路怪物!G155/OFFSET(英雄之路怪物!G155,$K$4-$A152,0))</f>
        <v>2.0889641786784638</v>
      </c>
      <c r="F152" s="2">
        <f ca="1">IF($A152=$K$3,1,英雄之路怪物!H155/OFFSET(英雄之路怪物!H155,$K$4-$A152,0))</f>
        <v>2.4508928136691668</v>
      </c>
    </row>
    <row r="153" spans="1:6">
      <c r="A153" s="2">
        <f>英雄之路怪物!C156</f>
        <v>29</v>
      </c>
      <c r="B153" s="2">
        <f>MOD(英雄之路怪物!D156,10)</f>
        <v>3</v>
      </c>
      <c r="C153" s="2">
        <f ca="1">IF($A153=$K$3,1,英雄之路怪物!E156/OFFSET(英雄之路怪物!E156,$K$4-$A153,0))</f>
        <v>2.7123930236100176</v>
      </c>
      <c r="D153" s="2">
        <f ca="1">IF($A153=$K$3,1,英雄之路怪物!F156/OFFSET(英雄之路怪物!F156,$K$4-$A153,0))</f>
        <v>2.6338868854875566</v>
      </c>
      <c r="E153" s="2">
        <f ca="1">IF($A153=$K$3,1,英雄之路怪物!G156/OFFSET(英雄之路怪物!G156,$K$4-$A153,0))</f>
        <v>2.2713337971552265</v>
      </c>
      <c r="F153" s="2">
        <f ca="1">IF($A153=$K$3,1,英雄之路怪物!H156/OFFSET(英雄之路怪物!H156,$K$4-$A153,0))</f>
        <v>2.7123930236100184</v>
      </c>
    </row>
    <row r="154" spans="1:6">
      <c r="A154" s="2">
        <f>英雄之路怪物!C157</f>
        <v>30</v>
      </c>
      <c r="B154" s="2">
        <f>MOD(英雄之路怪物!D157,10)</f>
        <v>3</v>
      </c>
      <c r="C154" s="2">
        <f ca="1">IF($A154=$K$3,1,英雄之路怪物!E157/OFFSET(英雄之路怪物!E157,$K$4-$A154,0))</f>
        <v>3.0265120612034337</v>
      </c>
      <c r="D154" s="2">
        <f ca="1">IF($A154=$K$3,1,英雄之路怪物!F157/OFFSET(英雄之路怪物!F157,$K$4-$A154,0))</f>
        <v>2.9360164186387312</v>
      </c>
      <c r="E154" s="2">
        <f ca="1">IF($A154=$K$3,1,英雄之路怪物!G157/OFFSET(英雄之路怪物!G157,$K$4-$A154,0))</f>
        <v>2.4909895461681182</v>
      </c>
      <c r="F154" s="2">
        <f ca="1">IF($A154=$K$3,1,英雄之路怪物!H157/OFFSET(英雄之路怪物!H157,$K$4-$A154,0))</f>
        <v>3.0265120612034346</v>
      </c>
    </row>
    <row r="155" spans="1:6">
      <c r="A155" s="2">
        <f>英雄之路怪物!C158</f>
        <v>31</v>
      </c>
      <c r="B155" s="2">
        <f>MOD(英雄之路怪物!D158,10)</f>
        <v>3</v>
      </c>
      <c r="C155" s="2">
        <f ca="1">IF($A155=$K$3,1,英雄之路怪物!E158/OFFSET(英雄之路怪物!E158,$K$4-$A155,0))</f>
        <v>3.3695317344270124</v>
      </c>
      <c r="D155" s="2">
        <f ca="1">IF($A155=$K$3,1,英雄之路怪物!F158/OFFSET(英雄之路怪物!F158,$K$4-$A155,0))</f>
        <v>3.2596869999470317</v>
      </c>
      <c r="E155" s="2">
        <f ca="1">IF($A155=$K$3,1,英雄之路怪物!G158/OFFSET(英雄之路怪物!G158,$K$4-$A155,0))</f>
        <v>2.7177246098901091</v>
      </c>
      <c r="F155" s="2">
        <f ca="1">IF($A155=$K$3,1,英雄之路怪物!H158/OFFSET(英雄之路怪物!H158,$K$4-$A155,0))</f>
        <v>3.3695317344270128</v>
      </c>
    </row>
    <row r="156" spans="1:6">
      <c r="A156" s="2">
        <f>英雄之路怪物!C159</f>
        <v>32</v>
      </c>
      <c r="B156" s="2">
        <f>MOD(英雄之路怪物!D159,10)</f>
        <v>3</v>
      </c>
      <c r="C156" s="2">
        <f ca="1">IF($A156=$K$3,1,英雄之路怪物!E159/OFFSET(英雄之路怪物!E159,$K$4-$A156,0))</f>
        <v>3.7361344036775006</v>
      </c>
      <c r="D156" s="2">
        <f ca="1">IF($A156=$K$3,1,英雄之路怪物!F159/OFFSET(英雄之路怪物!F159,$K$4-$A156,0))</f>
        <v>3.6052685304237717</v>
      </c>
      <c r="E156" s="2">
        <f ca="1">IF($A156=$K$3,1,英雄之路怪物!G159/OFFSET(英雄之路怪物!G159,$K$4-$A156,0))</f>
        <v>2.9538679120324112</v>
      </c>
      <c r="F156" s="2">
        <f ca="1">IF($A156=$K$3,1,英雄之路怪物!H159/OFFSET(英雄之路怪物!H159,$K$4-$A156,0))</f>
        <v>3.736134403677501</v>
      </c>
    </row>
    <row r="157" spans="1:6">
      <c r="A157" s="2">
        <f>英雄之路怪物!C160</f>
        <v>33</v>
      </c>
      <c r="B157" s="2">
        <f>MOD(英雄之路怪物!D160,10)</f>
        <v>3</v>
      </c>
      <c r="C157" s="2">
        <f ca="1">IF($A157=$K$3,1,英雄之路怪物!E160/OFFSET(英雄之路怪物!E160,$K$4-$A157,0))</f>
        <v>4.1255219053527243</v>
      </c>
      <c r="D157" s="2">
        <f ca="1">IF($A157=$K$3,1,英雄之路怪物!F160/OFFSET(英雄之路怪物!F160,$K$4-$A157,0))</f>
        <v>3.9720731548648569</v>
      </c>
      <c r="E157" s="2">
        <f ca="1">IF($A157=$K$3,1,英雄之路怪物!G160/OFFSET(英雄之路怪物!G160,$K$4-$A157,0))</f>
        <v>3.1981377700870568</v>
      </c>
      <c r="F157" s="2">
        <f ca="1">IF($A157=$K$3,1,英雄之路怪物!H160/OFFSET(英雄之路怪物!H160,$K$4-$A157,0))</f>
        <v>4.1255219053527252</v>
      </c>
    </row>
    <row r="158" spans="1:6">
      <c r="A158" s="2">
        <f>英雄之路怪物!C161</f>
        <v>34</v>
      </c>
      <c r="B158" s="2">
        <f>MOD(英雄之路怪物!D161,10)</f>
        <v>3</v>
      </c>
      <c r="C158" s="2">
        <f ca="1">IF($A158=$K$3,1,英雄之路怪物!E161/OFFSET(英雄之路怪物!E161,$K$4-$A158,0))</f>
        <v>4.538082335892768</v>
      </c>
      <c r="D158" s="2">
        <f ca="1">IF($A158=$K$3,1,英雄之路怪物!F161/OFFSET(英雄之路怪物!F161,$K$4-$A158,0))</f>
        <v>4.3605849257157523</v>
      </c>
      <c r="E158" s="2">
        <f ca="1">IF($A158=$K$3,1,英雄之路怪物!G161/OFFSET(英雄之路怪物!G161,$K$4-$A158,0))</f>
        <v>3.4502346088911082</v>
      </c>
      <c r="F158" s="2">
        <f ca="1">IF($A158=$K$3,1,英雄之路怪物!H161/OFFSET(英雄之路怪物!H161,$K$4-$A158,0))</f>
        <v>4.538082335892768</v>
      </c>
    </row>
    <row r="159" spans="1:6">
      <c r="A159" s="2">
        <f>英雄之路怪物!C162</f>
        <v>35</v>
      </c>
      <c r="B159" s="2">
        <f>MOD(英雄之路怪物!D162,10)</f>
        <v>3</v>
      </c>
      <c r="C159" s="2">
        <f ca="1">IF($A159=$K$3,1,英雄之路怪物!E162/OFFSET(英雄之路怪物!E162,$K$4-$A159,0))</f>
        <v>4.9741715657997156</v>
      </c>
      <c r="D159" s="2">
        <f ca="1">IF($A159=$K$3,1,英雄之路怪物!F162/OFFSET(英雄之路怪物!F162,$K$4-$A159,0))</f>
        <v>4.7712786224191879</v>
      </c>
      <c r="E159" s="2">
        <f ca="1">IF($A159=$K$3,1,英雄之路怪物!G162/OFFSET(英雄之路怪物!G162,$K$4-$A159,0))</f>
        <v>3.7098391053391055</v>
      </c>
      <c r="F159" s="2">
        <f ca="1">IF($A159=$K$3,1,英雄之路怪物!H162/OFFSET(英雄之路怪物!H162,$K$4-$A159,0))</f>
        <v>4.9741715657997156</v>
      </c>
    </row>
    <row r="160" spans="1:6">
      <c r="A160" s="2">
        <f>英雄之路怪物!C163</f>
        <v>36</v>
      </c>
      <c r="B160" s="2">
        <f>MOD(英雄之路怪物!D163,10)</f>
        <v>3</v>
      </c>
      <c r="C160" s="2">
        <f ca="1">IF($A160=$K$3,1,英雄之路怪物!E163/OFFSET(英雄之路怪物!E163,$K$4-$A160,0))</f>
        <v>5.4341119881686373</v>
      </c>
      <c r="D160" s="2">
        <f ca="1">IF($A160=$K$3,1,英雄之路怪物!F163/OFFSET(英雄之路怪物!F163,$K$4-$A160,0))</f>
        <v>5.2046193965808394</v>
      </c>
      <c r="E160" s="2">
        <f ca="1">IF($A160=$K$3,1,英雄之路怪物!G163/OFFSET(英雄之路怪物!G163,$K$4-$A160,0))</f>
        <v>3.9766121883830445</v>
      </c>
      <c r="F160" s="2">
        <f ca="1">IF($A160=$K$3,1,英雄之路怪物!H163/OFFSET(英雄之路怪物!H163,$K$4-$A160,0))</f>
        <v>5.4341119881686373</v>
      </c>
    </row>
    <row r="161" spans="1:6">
      <c r="A161" s="2">
        <f>英雄之路怪物!C164</f>
        <v>37</v>
      </c>
      <c r="B161" s="2">
        <f>MOD(英雄之路怪物!D164,10)</f>
        <v>3</v>
      </c>
      <c r="C161" s="2">
        <f ca="1">IF($A161=$K$3,1,英雄之路怪物!E164/OFFSET(英雄之路怪物!E164,$K$4-$A161,0))</f>
        <v>5.9181912644716714</v>
      </c>
      <c r="D161" s="2">
        <f ca="1">IF($A161=$K$3,1,英雄之路怪物!F164/OFFSET(英雄之路怪物!F164,$K$4-$A161,0))</f>
        <v>5.7233258962953055</v>
      </c>
      <c r="E161" s="2">
        <f ca="1">IF($A161=$K$3,1,英雄之路怪物!G164/OFFSET(英雄之路怪物!G164,$K$4-$A161,0))</f>
        <v>4.2501950390323975</v>
      </c>
      <c r="F161" s="2">
        <f ca="1">IF($A161=$K$3,1,英雄之路怪物!H164/OFFSET(英雄之路怪物!H164,$K$4-$A161,0))</f>
        <v>5.9181912644716723</v>
      </c>
    </row>
    <row r="162" spans="1:6">
      <c r="A162" s="2">
        <f>英雄之路怪物!C165</f>
        <v>38</v>
      </c>
      <c r="B162" s="2">
        <f>MOD(英雄之路怪物!D165,10)</f>
        <v>3</v>
      </c>
      <c r="C162" s="2">
        <f ca="1">IF($A162=$K$3,1,英雄之路怪物!E165/OFFSET(英雄之路怪物!E165,$K$4-$A162,0))</f>
        <v>6.4266610681996923</v>
      </c>
      <c r="D162" s="2">
        <f ca="1">IF($A162=$K$3,1,英雄之路怪物!F165/OFFSET(英雄之路怪物!F165,$K$4-$A162,0))</f>
        <v>6.2764431859335303</v>
      </c>
      <c r="E162" s="2">
        <f ca="1">IF($A162=$K$3,1,英雄之路怪物!G165/OFFSET(英雄之路怪物!G165,$K$4-$A162,0))</f>
        <v>4.5302090903540924</v>
      </c>
      <c r="F162" s="2">
        <f ca="1">IF($A162=$K$3,1,英雄之路怪物!H165/OFFSET(英雄之路怪物!H165,$K$4-$A162,0))</f>
        <v>6.4266610681996923</v>
      </c>
    </row>
    <row r="163" spans="1:6">
      <c r="A163" s="2">
        <f>英雄之路怪物!C166</f>
        <v>39</v>
      </c>
      <c r="B163" s="2">
        <f>MOD(英雄之路怪物!D166,10)</f>
        <v>3</v>
      </c>
      <c r="C163" s="2">
        <f ca="1">IF($A163=$K$3,1,英雄之路怪物!E166/OFFSET(英雄之路怪物!E166,$K$4-$A163,0))</f>
        <v>6.9597358268613387</v>
      </c>
      <c r="D163" s="2">
        <f ca="1">IF($A163=$K$3,1,英雄之路怪物!F166/OFFSET(英雄之路怪物!F166,$K$4-$A163,0))</f>
        <v>6.8652416239673837</v>
      </c>
      <c r="E163" s="2">
        <f ca="1">IF($A163=$K$3,1,英雄之路怪物!G166/OFFSET(英雄之路怪物!G166,$K$4-$A163,0))</f>
        <v>4.8162560274725283</v>
      </c>
      <c r="F163" s="2">
        <f ca="1">IF($A163=$K$3,1,英雄之路怪物!H166/OFFSET(英雄之路怪物!H166,$K$4-$A163,0))</f>
        <v>6.9597358268613396</v>
      </c>
    </row>
    <row r="164" spans="1:6">
      <c r="A164" s="2">
        <f>英雄之路怪物!C167</f>
        <v>40</v>
      </c>
      <c r="B164" s="2">
        <f>MOD(英雄之路怪物!D167,10)</f>
        <v>3</v>
      </c>
      <c r="C164" s="2">
        <f ca="1">IF($A164=$K$3,1,英雄之路怪物!E167/OFFSET(英雄之路怪物!E167,$K$4-$A164,0))</f>
        <v>7.5853175119679292</v>
      </c>
      <c r="D164" s="2">
        <f ca="1">IF($A164=$K$3,1,英雄之路怪物!F167/OFFSET(英雄之路怪物!F167,$K$4-$A164,0))</f>
        <v>7.5584845371189333</v>
      </c>
      <c r="E164" s="2">
        <f ca="1">IF($A164=$K$3,1,英雄之路怪物!G167/OFFSET(英雄之路怪物!G167,$K$4-$A164,0))</f>
        <v>5.1539350649350668</v>
      </c>
      <c r="F164" s="2">
        <f ca="1">IF($A164=$K$3,1,英雄之路怪物!H167/OFFSET(英雄之路怪物!H167,$K$4-$A164,0))</f>
        <v>7.5853175119679292</v>
      </c>
    </row>
    <row r="165" spans="1:6">
      <c r="A165" s="2">
        <f>英雄之路怪物!C168</f>
        <v>41</v>
      </c>
      <c r="B165" s="2">
        <f>MOD(英雄之路怪物!D168,10)</f>
        <v>3</v>
      </c>
      <c r="C165" s="2">
        <f ca="1">IF($A165=$K$3,1,英雄之路怪物!E168/OFFSET(英雄之路怪物!E168,$K$4-$A165,0))</f>
        <v>8.2424757843042009</v>
      </c>
      <c r="D165" s="2">
        <f ca="1">IF($A165=$K$3,1,英雄之路怪物!F168/OFFSET(英雄之路怪物!F168,$K$4-$A165,0))</f>
        <v>8.2980643365773421</v>
      </c>
      <c r="E165" s="2">
        <f ca="1">IF($A165=$K$3,1,英雄之路怪物!G168/OFFSET(英雄之路怪物!G168,$K$4-$A165,0))</f>
        <v>5.499576850408852</v>
      </c>
      <c r="F165" s="2">
        <f ca="1">IF($A165=$K$3,1,英雄之路怪物!H168/OFFSET(英雄之路怪物!H168,$K$4-$A165,0))</f>
        <v>8.2424757843042027</v>
      </c>
    </row>
    <row r="166" spans="1:6">
      <c r="A166" s="2">
        <f>英雄之路怪物!C169</f>
        <v>42</v>
      </c>
      <c r="B166" s="2">
        <f>MOD(英雄之路怪物!D169,10)</f>
        <v>3</v>
      </c>
      <c r="C166" s="2">
        <f ca="1">IF($A166=$K$3,1,英雄之路怪物!E169/OFFSET(英雄之路怪物!E169,$K$4-$A166,0))</f>
        <v>8.9314348390676503</v>
      </c>
      <c r="D166" s="2">
        <f ca="1">IF($A166=$K$3,1,英雄之路怪物!F169/OFFSET(英雄之路怪物!F169,$K$4-$A166,0))</f>
        <v>9.0856565581411424</v>
      </c>
      <c r="E166" s="2">
        <f ca="1">IF($A166=$K$3,1,英雄之路怪物!G169/OFFSET(英雄之路怪物!G169,$K$4-$A166,0))</f>
        <v>5.8526305494505548</v>
      </c>
      <c r="F166" s="2">
        <f ca="1">IF($A166=$K$3,1,英雄之路怪物!H169/OFFSET(英雄之路怪物!H169,$K$4-$A166,0))</f>
        <v>8.9314348390676521</v>
      </c>
    </row>
    <row r="167" spans="1:6">
      <c r="A167" s="2">
        <f>英雄之路怪物!C170</f>
        <v>43</v>
      </c>
      <c r="B167" s="2">
        <f>MOD(英雄之路怪物!D170,10)</f>
        <v>3</v>
      </c>
      <c r="C167" s="2">
        <f ca="1">IF($A167=$K$3,1,英雄之路怪物!E170/OFFSET(英雄之路怪物!E170,$K$4-$A167,0))</f>
        <v>9.6523654393896958</v>
      </c>
      <c r="D167" s="2">
        <f ca="1">IF($A167=$K$3,1,英雄之路怪物!F170/OFFSET(英雄之路怪物!F170,$K$4-$A167,0))</f>
        <v>9.9229419790572457</v>
      </c>
      <c r="E167" s="2">
        <f ca="1">IF($A167=$K$3,1,英雄之路怪物!G170/OFFSET(英雄之路怪物!G170,$K$4-$A167,0))</f>
        <v>6.2125189970267849</v>
      </c>
      <c r="F167" s="2">
        <f ca="1">IF($A167=$K$3,1,英雄之路怪物!H170/OFFSET(英雄之路怪物!H170,$K$4-$A167,0))</f>
        <v>9.6523654393896976</v>
      </c>
    </row>
    <row r="168" spans="1:6">
      <c r="A168" s="2">
        <f>英雄之路怪物!C171</f>
        <v>44</v>
      </c>
      <c r="B168" s="2">
        <f>MOD(英雄之路怪物!D171,10)</f>
        <v>3</v>
      </c>
      <c r="C168" s="2">
        <f ca="1">IF($A168=$K$3,1,英雄之路怪物!E171/OFFSET(英雄之路怪物!E171,$K$4-$A168,0))</f>
        <v>10.405383243994164</v>
      </c>
      <c r="D168" s="2">
        <f ca="1">IF($A168=$K$3,1,英雄之路怪物!F171/OFFSET(英雄之路怪物!F171,$K$4-$A168,0))</f>
        <v>10.811604274989259</v>
      </c>
      <c r="E168" s="2">
        <f ca="1">IF($A168=$K$3,1,英雄之路怪物!G171/OFFSET(英雄之路怪物!G171,$K$4-$A168,0))</f>
        <v>6.5786386975141289</v>
      </c>
      <c r="F168" s="2">
        <f ca="1">IF($A168=$K$3,1,英雄之路怪物!H171/OFFSET(英雄之路怪物!H171,$K$4-$A168,0))</f>
        <v>10.405383243994166</v>
      </c>
    </row>
    <row r="169" spans="1:6">
      <c r="A169" s="2">
        <f>英雄之路怪物!C172</f>
        <v>45</v>
      </c>
      <c r="B169" s="2">
        <f>MOD(英雄之路怪物!D172,10)</f>
        <v>3</v>
      </c>
      <c r="C169" s="2">
        <f ca="1">IF($A169=$K$3,1,英雄之路怪物!E172/OFFSET(英雄之路怪物!E172,$K$4-$A169,0))</f>
        <v>11.190547133536288</v>
      </c>
      <c r="D169" s="2">
        <f ca="1">IF($A169=$K$3,1,英雄之路怪物!F172/OFFSET(英雄之路怪物!F172,$K$4-$A169,0))</f>
        <v>11.753327561438994</v>
      </c>
      <c r="E169" s="2">
        <f ca="1">IF($A169=$K$3,1,英雄之路怪物!G172/OFFSET(英雄之路怪物!G172,$K$4-$A169,0))</f>
        <v>6.9503598246991114</v>
      </c>
      <c r="F169" s="2">
        <f ca="1">IF($A169=$K$3,1,英雄之路怪物!H172/OFFSET(英雄之路怪物!H172,$K$4-$A169,0))</f>
        <v>11.19054713353629</v>
      </c>
    </row>
    <row r="170" spans="1:6">
      <c r="A170" s="2">
        <f>英雄之路怪物!C173</f>
        <v>46</v>
      </c>
      <c r="B170" s="2">
        <f>MOD(英雄之路怪物!D173,10)</f>
        <v>3</v>
      </c>
      <c r="C170" s="2">
        <f ca="1">IF($A170=$K$3,1,英雄之路怪物!E173/OFFSET(英雄之路怪物!E173,$K$4-$A170,0))</f>
        <v>12.007857535984908</v>
      </c>
      <c r="D170" s="2">
        <f ca="1">IF($A170=$K$3,1,英雄之路怪物!F173/OFFSET(英雄之路怪物!F173,$K$4-$A170,0))</f>
        <v>12.749793812918266</v>
      </c>
      <c r="E170" s="2">
        <f ca="1">IF($A170=$K$3,1,英雄之路怪物!G173/OFFSET(英雄之路怪物!G173,$K$4-$A170,0))</f>
        <v>7.3270262217782278</v>
      </c>
      <c r="F170" s="2">
        <f ca="1">IF($A170=$K$3,1,英雄之路怪物!H173/OFFSET(英雄之路怪物!H173,$K$4-$A170,0))</f>
        <v>12.007857535984909</v>
      </c>
    </row>
    <row r="171" spans="1:6">
      <c r="A171" s="2">
        <f>英雄之路怪物!C174</f>
        <v>47</v>
      </c>
      <c r="B171" s="2">
        <f>MOD(英雄之路怪物!D174,10)</f>
        <v>3</v>
      </c>
      <c r="C171" s="2">
        <f ca="1">IF($A171=$K$3,1,英雄之路怪物!E174/OFFSET(英雄之路怪物!E174,$K$4-$A171,0))</f>
        <v>12.857254751353809</v>
      </c>
      <c r="D171" s="2">
        <f ca="1">IF($A171=$K$3,1,英雄之路怪物!F174/OFFSET(英雄之路怪物!F174,$K$4-$A171,0))</f>
        <v>13.802680152719818</v>
      </c>
      <c r="E171" s="2">
        <f ca="1">IF($A171=$K$3,1,英雄之路怪物!G174/OFFSET(英雄之路怪物!G174,$K$4-$A171,0))</f>
        <v>7.707955401357907</v>
      </c>
      <c r="F171" s="2">
        <f ca="1">IF($A171=$K$3,1,英雄之路怪物!H174/OFFSET(英雄之路怪物!H174,$K$4-$A171,0))</f>
        <v>12.85725475135381</v>
      </c>
    </row>
    <row r="172" spans="1:6">
      <c r="A172" s="2">
        <f>英雄之路怪物!C175</f>
        <v>48</v>
      </c>
      <c r="B172" s="2">
        <f>MOD(英雄之路怪物!D175,10)</f>
        <v>3</v>
      </c>
      <c r="C172" s="2">
        <f ca="1">IF($A172=$K$3,1,英雄之路怪物!E175/OFFSET(英雄之路怪物!E175,$K$4-$A172,0))</f>
        <v>13.738617276040399</v>
      </c>
      <c r="D172" s="2">
        <f ca="1">IF($A172=$K$3,1,英雄之路怪物!F175/OFFSET(英雄之路怪物!F175,$K$4-$A172,0))</f>
        <v>14.913656005654163</v>
      </c>
      <c r="E172" s="2">
        <f ca="1">IF($A172=$K$3,1,英雄之路怪物!G175/OFFSET(英雄之路怪物!G175,$K$4-$A172,0))</f>
        <v>8.0924385454545487</v>
      </c>
      <c r="F172" s="2">
        <f ca="1">IF($A172=$K$3,1,英雄之路怪物!H175/OFFSET(英雄之路怪物!H175,$K$4-$A172,0))</f>
        <v>13.738617276040399</v>
      </c>
    </row>
    <row r="173" spans="1:6">
      <c r="A173" s="2">
        <f>英雄之路怪物!C176</f>
        <v>49</v>
      </c>
      <c r="B173" s="2">
        <f>MOD(英雄之路怪物!D176,10)</f>
        <v>3</v>
      </c>
      <c r="C173" s="2">
        <f ca="1">IF($A173=$K$3,1,英雄之路怪物!E176/OFFSET(英雄之路怪物!E176,$K$4-$A173,0))</f>
        <v>14.651760126989576</v>
      </c>
      <c r="D173" s="2">
        <f ca="1">IF($A173=$K$3,1,英雄之路怪物!F176/OFFSET(英雄之路怪物!F176,$K$4-$A173,0))</f>
        <v>16.084380105600264</v>
      </c>
      <c r="E173" s="2">
        <f ca="1">IF($A173=$K$3,1,英雄之路怪物!G176/OFFSET(英雄之路怪物!G176,$K$4-$A173,0))</f>
        <v>8.4797405054945099</v>
      </c>
      <c r="F173" s="2">
        <f ca="1">IF($A173=$K$3,1,英雄之路怪物!H176/OFFSET(英雄之路怪物!H176,$K$4-$A173,0))</f>
        <v>14.651760126989576</v>
      </c>
    </row>
    <row r="174" spans="1:6">
      <c r="A174" s="2">
        <f>英雄之路怪物!C177</f>
        <v>50</v>
      </c>
      <c r="B174" s="2">
        <f>MOD(英雄之路怪物!D177,10)</f>
        <v>3</v>
      </c>
      <c r="C174" s="2">
        <f ca="1">IF($A174=$K$3,1,英雄之路怪物!E177/OFFSET(英雄之路怪物!E177,$K$4-$A174,0))</f>
        <v>15.699041278800443</v>
      </c>
      <c r="D174" s="2">
        <f ca="1">IF($A174=$K$3,1,英雄之路怪物!F177/OFFSET(英雄之路怪物!F177,$K$4-$A174,0))</f>
        <v>17.430421673824252</v>
      </c>
      <c r="E174" s="2">
        <f ca="1">IF($A174=$K$3,1,英雄之路怪物!G177/OFFSET(英雄之路怪物!G177,$K$4-$A174,0))</f>
        <v>8.9274491431187908</v>
      </c>
      <c r="F174" s="2">
        <f ca="1">IF($A174=$K$3,1,英雄之路怪物!H177/OFFSET(英雄之路怪物!H177,$K$4-$A174,0))</f>
        <v>15.699041278800447</v>
      </c>
    </row>
    <row r="175" spans="1:6">
      <c r="A175" s="2">
        <f>英雄之路怪物!C178</f>
        <v>51</v>
      </c>
      <c r="B175" s="2">
        <f>MOD(英雄之路怪物!D178,10)</f>
        <v>3</v>
      </c>
      <c r="C175" s="2">
        <f ca="1">IF($A175=$K$3,1,英雄之路怪物!E178/OFFSET(英雄之路怪物!E178,$K$4-$A175,0))</f>
        <v>16.69432939122666</v>
      </c>
      <c r="D175" s="2">
        <f ca="1">IF($A175=$K$3,1,英雄之路怪物!F178/OFFSET(英雄之路怪物!F178,$K$4-$A175,0))</f>
        <v>18.999239946650796</v>
      </c>
      <c r="E175" s="2">
        <f ca="1">IF($A175=$K$3,1,英雄之路怪物!G178/OFFSET(英雄之路怪物!G178,$K$4-$A175,0))</f>
        <v>9.6914017762211362</v>
      </c>
      <c r="F175" s="2">
        <f ca="1">IF($A175=$K$3,1,英雄之路怪物!H178/OFFSET(英雄之路怪物!H178,$K$4-$A175,0))</f>
        <v>16.694329391226663</v>
      </c>
    </row>
    <row r="176" spans="1:6">
      <c r="A176" s="2">
        <f>英雄之路怪物!C179</f>
        <v>52</v>
      </c>
      <c r="B176" s="2">
        <f>MOD(英雄之路怪物!D179,10)</f>
        <v>3</v>
      </c>
      <c r="C176" s="2">
        <f ca="1">IF($A176=$K$3,1,英雄之路怪物!E179/OFFSET(英雄之路怪物!E179,$K$4-$A176,0))</f>
        <v>18.367836205844611</v>
      </c>
      <c r="D176" s="2">
        <f ca="1">IF($A176=$K$3,1,英雄之路怪物!F179/OFFSET(英雄之路怪物!F179,$K$4-$A176,0))</f>
        <v>20.673657153495231</v>
      </c>
      <c r="E176" s="2">
        <f ca="1">IF($A176=$K$3,1,英雄之路怪物!G179/OFFSET(英雄之路怪物!G179,$K$4-$A176,0))</f>
        <v>10.202775599162742</v>
      </c>
      <c r="F176" s="2">
        <f ca="1">IF($A176=$K$3,1,英雄之路怪物!H179/OFFSET(英雄之路怪物!H179,$K$4-$A176,0))</f>
        <v>18.367836205844615</v>
      </c>
    </row>
    <row r="177" spans="1:6">
      <c r="A177" s="2">
        <f>英雄之路怪物!C180</f>
        <v>53</v>
      </c>
      <c r="B177" s="2">
        <f>MOD(英雄之路怪物!D180,10)</f>
        <v>3</v>
      </c>
      <c r="C177" s="2">
        <f ca="1">IF($A177=$K$3,1,英雄之路怪物!E180/OFFSET(英雄之路怪物!E180,$K$4-$A177,0))</f>
        <v>19.813164889564213</v>
      </c>
      <c r="D177" s="2">
        <f ca="1">IF($A177=$K$3,1,英雄之路怪物!F180/OFFSET(英雄之路怪物!F180,$K$4-$A177,0))</f>
        <v>22.459087972126959</v>
      </c>
      <c r="E177" s="2">
        <f ca="1">IF($A177=$K$3,1,英雄之路怪物!G180/OFFSET(英雄之路怪物!G180,$K$4-$A177,0))</f>
        <v>10.879874594017098</v>
      </c>
      <c r="F177" s="2">
        <f ca="1">IF($A177=$K$3,1,英雄之路怪物!H180/OFFSET(英雄之路怪物!H180,$K$4-$A177,0))</f>
        <v>19.813164889564217</v>
      </c>
    </row>
    <row r="178" spans="1:6">
      <c r="A178" s="2">
        <f>英雄之路怪物!C181</f>
        <v>54</v>
      </c>
      <c r="B178" s="2">
        <f>MOD(英雄之路怪物!D181,10)</f>
        <v>3</v>
      </c>
      <c r="C178" s="2">
        <f ca="1">IF($A178=$K$3,1,英雄之路怪物!E181/OFFSET(英雄之路怪物!E181,$K$4-$A178,0))</f>
        <v>21.33563709042506</v>
      </c>
      <c r="D178" s="2">
        <f ca="1">IF($A178=$K$3,1,英雄之路怪物!F181/OFFSET(英雄之路怪物!F181,$K$4-$A178,0))</f>
        <v>24.361183080974143</v>
      </c>
      <c r="E178" s="2">
        <f ca="1">IF($A178=$K$3,1,英雄之路怪物!G181/OFFSET(英雄之路怪物!G181,$K$4-$A178,0))</f>
        <v>11.583867509448227</v>
      </c>
      <c r="F178" s="2">
        <f ca="1">IF($A178=$K$3,1,英雄之路怪物!H181/OFFSET(英雄之路怪物!H181,$K$4-$A178,0))</f>
        <v>21.335637090425067</v>
      </c>
    </row>
    <row r="179" spans="1:6">
      <c r="A179" s="2">
        <f>英雄之路怪物!C182</f>
        <v>55</v>
      </c>
      <c r="B179" s="2">
        <f>MOD(英雄之路怪物!D182,10)</f>
        <v>3</v>
      </c>
      <c r="C179" s="2">
        <f ca="1">IF($A179=$K$3,1,英雄之路怪物!E182/OFFSET(英雄之路怪物!E182,$K$4-$A179,0))</f>
        <v>22.937686428827636</v>
      </c>
      <c r="D179" s="2">
        <f ca="1">IF($A179=$K$3,1,英雄之路怪物!F182/OFFSET(英雄之路怪物!F182,$K$4-$A179,0))</f>
        <v>26.385839726317432</v>
      </c>
      <c r="E179" s="2">
        <f ca="1">IF($A179=$K$3,1,英雄之路怪物!G182/OFFSET(英雄之路怪物!G182,$K$4-$A179,0))</f>
        <v>12.315206902472523</v>
      </c>
      <c r="F179" s="2">
        <f ca="1">IF($A179=$K$3,1,英雄之路怪物!H182/OFFSET(英雄之路怪物!H182,$K$4-$A179,0))</f>
        <v>22.937686428827639</v>
      </c>
    </row>
    <row r="180" spans="1:6">
      <c r="A180" s="2">
        <f>英雄之路怪物!C183</f>
        <v>56</v>
      </c>
      <c r="B180" s="2">
        <f>MOD(英雄之路怪物!D183,10)</f>
        <v>3</v>
      </c>
      <c r="C180" s="2">
        <f ca="1">IF($A180=$K$3,1,英雄之路怪物!E183/OFFSET(英雄之路怪物!E183,$K$4-$A180,0))</f>
        <v>24.621779784981591</v>
      </c>
      <c r="D180" s="2">
        <f ca="1">IF($A180=$K$3,1,英雄之路怪物!F183/OFFSET(英雄之路怪物!F183,$K$4-$A180,0))</f>
        <v>28.53921286240379</v>
      </c>
      <c r="E180" s="2">
        <f ca="1">IF($A180=$K$3,1,英雄之路怪物!G183/OFFSET(英雄之路怪物!G183,$K$4-$A180,0))</f>
        <v>13.074345330106402</v>
      </c>
      <c r="F180" s="2">
        <f ca="1">IF($A180=$K$3,1,英雄之路怪物!H183/OFFSET(英雄之路怪物!H183,$K$4-$A180,0))</f>
        <v>24.621779784981591</v>
      </c>
    </row>
    <row r="181" spans="1:6">
      <c r="A181" s="2">
        <f>英雄之路怪物!C184</f>
        <v>57</v>
      </c>
      <c r="B181" s="2">
        <f>MOD(英雄之路怪物!D184,10)</f>
        <v>3</v>
      </c>
      <c r="C181" s="2">
        <f ca="1">IF($A181=$K$3,1,英雄之路怪物!E184/OFFSET(英雄之路怪物!E184,$K$4-$A181,0))</f>
        <v>26.390417286583425</v>
      </c>
      <c r="D181" s="2">
        <f ca="1">IF($A181=$K$3,1,英雄之路怪物!F184/OFFSET(英雄之路怪物!F184,$K$4-$A181,0))</f>
        <v>30.827726901049719</v>
      </c>
      <c r="E181" s="2">
        <f ca="1">IF($A181=$K$3,1,英雄之路怪物!G184/OFFSET(英雄之路怪物!G184,$K$4-$A181,0))</f>
        <v>13.861735349366249</v>
      </c>
      <c r="F181" s="2">
        <f ca="1">IF($A181=$K$3,1,英雄之路怪物!H184/OFFSET(英雄之路怪物!H184,$K$4-$A181,0))</f>
        <v>26.390417286583428</v>
      </c>
    </row>
    <row r="182" spans="1:6">
      <c r="A182" s="2">
        <f>英雄之路怪物!C185</f>
        <v>58</v>
      </c>
      <c r="B182" s="2">
        <f>MOD(英雄之路怪物!D185,10)</f>
        <v>3</v>
      </c>
      <c r="C182" s="2">
        <f ca="1">IF($A182=$K$3,1,英雄之路怪物!E185/OFFSET(英雄之路怪物!E185,$K$4-$A182,0))</f>
        <v>28.246132296226445</v>
      </c>
      <c r="D182" s="2">
        <f ca="1">IF($A182=$K$3,1,英雄之路怪物!F185/OFFSET(英雄之路怪物!F185,$K$4-$A182,0))</f>
        <v>33.258088109995818</v>
      </c>
      <c r="E182" s="2">
        <f ca="1">IF($A182=$K$3,1,英雄之路怪物!G185/OFFSET(英雄之路怪物!G185,$K$4-$A182,0))</f>
        <v>14.677829517268446</v>
      </c>
      <c r="F182" s="2">
        <f ca="1">IF($A182=$K$3,1,英雄之路怪物!H185/OFFSET(英雄之路怪物!H185,$K$4-$A182,0))</f>
        <v>28.246132296226449</v>
      </c>
    </row>
    <row r="183" spans="1:6">
      <c r="A183" s="2">
        <f>英雄之路怪物!C186</f>
        <v>59</v>
      </c>
      <c r="B183" s="2">
        <f>MOD(英雄之路怪物!D186,10)</f>
        <v>3</v>
      </c>
      <c r="C183" s="2">
        <f ca="1">IF($A183=$K$3,1,英雄之路怪物!E186/OFFSET(英雄之路怪物!E186,$K$4-$A183,0))</f>
        <v>30.191491398599677</v>
      </c>
      <c r="D183" s="2">
        <f ca="1">IF($A183=$K$3,1,英雄之路怪物!F186/OFFSET(英雄之路怪物!F186,$K$4-$A183,0))</f>
        <v>35.837297702191123</v>
      </c>
      <c r="E183" s="2">
        <f ca="1">IF($A183=$K$3,1,英雄之路怪物!G186/OFFSET(英雄之路怪物!G186,$K$4-$A183,0))</f>
        <v>15.523080390829415</v>
      </c>
      <c r="F183" s="2">
        <f ca="1">IF($A183=$K$3,1,英雄之路怪物!H186/OFFSET(英雄之路怪物!H186,$K$4-$A183,0))</f>
        <v>30.191491398599684</v>
      </c>
    </row>
    <row r="184" spans="1:6">
      <c r="A184" s="2">
        <f>英雄之路怪物!C187</f>
        <v>60</v>
      </c>
      <c r="B184" s="2">
        <f>MOD(英雄之路怪物!D187,10)</f>
        <v>3</v>
      </c>
      <c r="C184" s="2">
        <f ca="1">IF($A184=$K$3,1,英雄之路怪物!E187/OFFSET(英雄之路怪物!E187,$K$4-$A184,0))</f>
        <v>32.387858399286493</v>
      </c>
      <c r="D184" s="2">
        <f ca="1">IF($A184=$K$3,1,英雄之路怪物!F187/OFFSET(英雄之路怪物!F187,$K$4-$A184,0))</f>
        <v>38.762678792686444</v>
      </c>
      <c r="E184" s="2">
        <f ca="1">IF($A184=$K$3,1,英雄之路怪物!G187/OFFSET(英雄之路怪物!G187,$K$4-$A184,0))</f>
        <v>16.478718559218564</v>
      </c>
      <c r="F184" s="2">
        <f ca="1">IF($A184=$K$3,1,英雄之路怪物!H187/OFFSET(英雄之路怪物!H187,$K$4-$A184,0))</f>
        <v>32.3878583992865</v>
      </c>
    </row>
    <row r="185" spans="1:6">
      <c r="A185" s="2">
        <f>英雄之路怪物!C188</f>
        <v>61</v>
      </c>
      <c r="B185" s="2">
        <f>MOD(英雄之路怪物!D188,10)</f>
        <v>3</v>
      </c>
      <c r="C185" s="2">
        <f ca="1">IF($A185=$K$3,1,英雄之路怪物!E188/OFFSET(英雄之路怪物!E188,$K$4-$A185,0))</f>
        <v>34.691974005309049</v>
      </c>
      <c r="D185" s="2">
        <f ca="1">IF($A185=$K$3,1,英雄之路怪物!F188/OFFSET(英雄之路怪物!F188,$K$4-$A185,0))</f>
        <v>41.870592904021784</v>
      </c>
      <c r="E185" s="2">
        <f ca="1">IF($A185=$K$3,1,英雄之路怪物!G188/OFFSET(英雄之路怪物!G188,$K$4-$A185,0))</f>
        <v>17.469236160714289</v>
      </c>
      <c r="F185" s="2">
        <f ca="1">IF($A185=$K$3,1,英雄之路怪物!H188/OFFSET(英雄之路怪物!H188,$K$4-$A185,0))</f>
        <v>34.691974005309049</v>
      </c>
    </row>
    <row r="186" spans="1:6">
      <c r="A186" s="2">
        <f>英雄之路怪物!C189</f>
        <v>62</v>
      </c>
      <c r="B186" s="2">
        <f>MOD(英雄之路怪物!D189,10)</f>
        <v>3</v>
      </c>
      <c r="C186" s="2">
        <f ca="1">IF($A186=$K$3,1,英雄之路怪物!E189/OFFSET(英雄之路怪物!E189,$K$4-$A186,0))</f>
        <v>37.10697177541239</v>
      </c>
      <c r="D186" s="2">
        <f ca="1">IF($A186=$K$3,1,英雄之路怪物!F189/OFFSET(英雄之路怪物!F189,$K$4-$A186,0))</f>
        <v>45.170111631968652</v>
      </c>
      <c r="E186" s="2">
        <f ca="1">IF($A186=$K$3,1,英雄之路怪物!G189/OFFSET(英雄之路怪物!G189,$K$4-$A186,0))</f>
        <v>18.495176263736273</v>
      </c>
      <c r="F186" s="2">
        <f ca="1">IF($A186=$K$3,1,英雄之路怪物!H189/OFFSET(英雄之路怪物!H189,$K$4-$A186,0))</f>
        <v>37.106971775412397</v>
      </c>
    </row>
    <row r="187" spans="1:6">
      <c r="A187" s="2">
        <f>英雄之路怪物!C190</f>
        <v>63</v>
      </c>
      <c r="B187" s="2">
        <f>MOD(英雄之路怪物!D190,10)</f>
        <v>3</v>
      </c>
      <c r="C187" s="2">
        <f ca="1">IF($A187=$K$3,1,英雄之路怪物!E190/OFFSET(英雄之路怪物!E190,$K$4-$A187,0))</f>
        <v>39.636025087792028</v>
      </c>
      <c r="D187" s="2">
        <f ca="1">IF($A187=$K$3,1,英雄之路怪物!F190/OFFSET(英雄之路怪物!F190,$K$4-$A187,0))</f>
        <v>48.670713677303659</v>
      </c>
      <c r="E187" s="2">
        <f ca="1">IF($A187=$K$3,1,英雄之路怪物!G190/OFFSET(英雄之路怪物!G190,$K$4-$A187,0))</f>
        <v>19.557081936704165</v>
      </c>
      <c r="F187" s="2">
        <f ca="1">IF($A187=$K$3,1,英雄之路怪物!H190/OFFSET(英雄之路怪物!H190,$K$4-$A187,0))</f>
        <v>39.636025087792035</v>
      </c>
    </row>
    <row r="188" spans="1:6">
      <c r="A188" s="2">
        <f>英雄之路怪物!C191</f>
        <v>64</v>
      </c>
      <c r="B188" s="2">
        <f>MOD(英雄之路怪物!D191,10)</f>
        <v>3</v>
      </c>
      <c r="C188" s="2">
        <f ca="1">IF($A188=$K$3,1,英雄之路怪物!E191/OFFSET(英雄之路怪物!E191,$K$4-$A188,0))</f>
        <v>42.282347124790761</v>
      </c>
      <c r="D188" s="2">
        <f ca="1">IF($A188=$K$3,1,英雄之路怪物!F191/OFFSET(英雄之路怪物!F191,$K$4-$A188,0))</f>
        <v>52.382304672350941</v>
      </c>
      <c r="E188" s="2">
        <f ca="1">IF($A188=$K$3,1,英雄之路怪物!G191/OFFSET(英雄之路怪物!G191,$K$4-$A188,0))</f>
        <v>20.6554962480377</v>
      </c>
      <c r="F188" s="2">
        <f ca="1">IF($A188=$K$3,1,英雄之路怪物!H191/OFFSET(英雄之路怪物!H191,$K$4-$A188,0))</f>
        <v>42.282347124790768</v>
      </c>
    </row>
    <row r="189" spans="1:6">
      <c r="A189" s="2">
        <f>英雄之路怪物!C192</f>
        <v>65</v>
      </c>
      <c r="B189" s="2">
        <f>MOD(英雄之路怪物!D192,10)</f>
        <v>3</v>
      </c>
      <c r="C189" s="2">
        <f ca="1">IF($A189=$K$3,1,英雄之路怪物!E192/OFFSET(英雄之路怪物!E192,$K$4-$A189,0))</f>
        <v>45.04919085752465</v>
      </c>
      <c r="D189" s="2">
        <f ca="1">IF($A189=$K$3,1,英雄之路怪物!F192/OFFSET(英雄之路怪物!F192,$K$4-$A189,0))</f>
        <v>56.315238177615683</v>
      </c>
      <c r="E189" s="2">
        <f ca="1">IF($A189=$K$3,1,英雄之路怪物!G192/OFFSET(英雄之路怪物!G192,$K$4-$A189,0))</f>
        <v>21.790962266156473</v>
      </c>
      <c r="F189" s="2">
        <f ca="1">IF($A189=$K$3,1,英雄之路怪物!H192/OFFSET(英雄之路怪物!H192,$K$4-$A189,0))</f>
        <v>45.049190857524657</v>
      </c>
    </row>
    <row r="190" spans="1:6">
      <c r="A190" s="2">
        <f>英雄之路怪物!C193</f>
        <v>66</v>
      </c>
      <c r="B190" s="2">
        <f>MOD(英雄之路怪物!D193,10)</f>
        <v>3</v>
      </c>
      <c r="C190" s="2">
        <f ca="1">IF($A190=$K$3,1,英雄之路怪物!E193/OFFSET(英雄之路怪物!E193,$K$4-$A190,0))</f>
        <v>47.939849030470938</v>
      </c>
      <c r="D190" s="2">
        <f ca="1">IF($A190=$K$3,1,英雄之路怪物!F193/OFFSET(英雄之路怪物!F193,$K$4-$A190,0))</f>
        <v>60.480337929872647</v>
      </c>
      <c r="E190" s="2">
        <f ca="1">IF($A190=$K$3,1,英雄之路怪物!G193/OFFSET(英雄之路怪物!G193,$K$4-$A190,0))</f>
        <v>22.964023059480223</v>
      </c>
      <c r="F190" s="2">
        <f ca="1">IF($A190=$K$3,1,英雄之路怪物!H193/OFFSET(英雄之路怪物!H193,$K$4-$A190,0))</f>
        <v>47.939849030470953</v>
      </c>
    </row>
    <row r="191" spans="1:6">
      <c r="A191" s="2">
        <f>英雄之路怪物!C194</f>
        <v>67</v>
      </c>
      <c r="B191" s="2">
        <f>MOD(英雄之路怪物!D194,10)</f>
        <v>3</v>
      </c>
      <c r="C191" s="2">
        <f ca="1">IF($A191=$K$3,1,英雄之路怪物!E194/OFFSET(英雄之路怪物!E194,$K$4-$A191,0))</f>
        <v>50.957654146047417</v>
      </c>
      <c r="D191" s="2">
        <f ca="1">IF($A191=$K$3,1,英雄之路怪物!F194/OFFSET(英雄之路怪物!F194,$K$4-$A191,0))</f>
        <v>64.309032779926312</v>
      </c>
      <c r="E191" s="2">
        <f ca="1">IF($A191=$K$3,1,英雄之路怪物!G194/OFFSET(英雄之路怪物!G194,$K$4-$A191,0))</f>
        <v>24.175221696428579</v>
      </c>
      <c r="F191" s="2">
        <f ca="1">IF($A191=$K$3,1,英雄之路怪物!H194/OFFSET(英雄之路怪物!H194,$K$4-$A191,0))</f>
        <v>50.957654146047425</v>
      </c>
    </row>
    <row r="192" spans="1:6">
      <c r="A192" s="2">
        <f>英雄之路怪物!C195</f>
        <v>68</v>
      </c>
      <c r="B192" s="2">
        <f>MOD(英雄之路怪物!D195,10)</f>
        <v>3</v>
      </c>
      <c r="C192" s="2">
        <f ca="1">IF($A192=$K$3,1,英雄之路怪物!E195/OFFSET(英雄之路怪物!E195,$K$4-$A192,0))</f>
        <v>54.105978449208756</v>
      </c>
      <c r="D192" s="2">
        <f ca="1">IF($A192=$K$3,1,英雄之路怪物!F195/OFFSET(英雄之路怪物!F195,$K$4-$A192,0))</f>
        <v>68.316032002839705</v>
      </c>
      <c r="E192" s="2">
        <f ca="1">IF($A192=$K$3,1,英雄之路怪物!G195/OFFSET(英雄之路怪物!G195,$K$4-$A192,0))</f>
        <v>25.42510124542126</v>
      </c>
      <c r="F192" s="2">
        <f ca="1">IF($A192=$K$3,1,英雄之路怪物!H195/OFFSET(英雄之路怪物!H195,$K$4-$A192,0))</f>
        <v>54.105978449208763</v>
      </c>
    </row>
    <row r="193" spans="1:6">
      <c r="A193" s="2">
        <f>英雄之路怪物!C196</f>
        <v>69</v>
      </c>
      <c r="B193" s="2">
        <f>MOD(英雄之路怪物!D196,10)</f>
        <v>3</v>
      </c>
      <c r="C193" s="2">
        <f ca="1">IF($A193=$K$3,1,英雄之路怪物!E196/OFFSET(英雄之路怪物!E196,$K$4-$A193,0))</f>
        <v>57.38823391208193</v>
      </c>
      <c r="D193" s="2">
        <f ca="1">IF($A193=$K$3,1,英雄之路怪物!F196/OFFSET(英雄之路怪物!F196,$K$4-$A193,0))</f>
        <v>72.507875745531237</v>
      </c>
      <c r="E193" s="2">
        <f ca="1">IF($A193=$K$3,1,英雄之路怪物!G196/OFFSET(英雄之路怪物!G196,$K$4-$A193,0))</f>
        <v>26.714204774877924</v>
      </c>
      <c r="F193" s="2">
        <f ca="1">IF($A193=$K$3,1,英雄之路怪物!H196/OFFSET(英雄之路怪物!H196,$K$4-$A193,0))</f>
        <v>57.388233912081937</v>
      </c>
    </row>
    <row r="194" spans="1:6">
      <c r="A194" s="2">
        <f>英雄之路怪物!C197</f>
        <v>70</v>
      </c>
      <c r="B194" s="2">
        <f>MOD(英雄之路怪物!D197,10)</f>
        <v>3</v>
      </c>
      <c r="C194" s="2">
        <f ca="1">IF($A194=$K$3,1,英雄之路怪物!E197/OFFSET(英雄之路怪物!E197,$K$4-$A194,0))</f>
        <v>61.038205067972612</v>
      </c>
      <c r="D194" s="2">
        <f ca="1">IF($A194=$K$3,1,英雄之路怪物!F197/OFFSET(英雄之路怪物!F197,$K$4-$A194,0))</f>
        <v>77.182613270692144</v>
      </c>
      <c r="E194" s="2">
        <f ca="1">IF($A194=$K$3,1,英雄之路怪物!G197/OFFSET(英雄之路怪物!G197,$K$4-$A194,0))</f>
        <v>28.149299123495577</v>
      </c>
      <c r="F194" s="2">
        <f ca="1">IF($A194=$K$3,1,英雄之路怪物!H197/OFFSET(英雄之路怪物!H197,$K$4-$A194,0))</f>
        <v>61.038205067972612</v>
      </c>
    </row>
    <row r="195" spans="1:6">
      <c r="A195" s="2">
        <f>英雄之路怪物!C198</f>
        <v>71</v>
      </c>
      <c r="B195" s="2">
        <f>MOD(英雄之路怪物!D198,10)</f>
        <v>3</v>
      </c>
      <c r="C195" s="2">
        <f ca="1">IF($A195=$K$3,1,英雄之路怪物!E198/OFFSET(英雄之路怪物!E198,$K$4-$A195,0))</f>
        <v>64.845187599564952</v>
      </c>
      <c r="D195" s="2">
        <f ca="1">IF($A195=$K$3,1,英雄之路怪物!F198/OFFSET(英雄之路怪物!F198,$K$4-$A195,0))</f>
        <v>82.077048215932393</v>
      </c>
      <c r="E195" s="2">
        <f ca="1">IF($A195=$K$3,1,英雄之路怪物!G198/OFFSET(英雄之路怪物!G198,$K$4-$A195,0))</f>
        <v>29.630124612186769</v>
      </c>
      <c r="F195" s="2">
        <f ca="1">IF($A195=$K$3,1,英雄之路怪物!H198/OFFSET(英雄之路怪物!H198,$K$4-$A195,0))</f>
        <v>64.845187599564952</v>
      </c>
    </row>
    <row r="196" spans="1:6">
      <c r="A196" s="2">
        <f>英雄之路怪物!C199</f>
        <v>72</v>
      </c>
      <c r="B196" s="2">
        <f>MOD(英雄之路怪物!D199,10)</f>
        <v>3</v>
      </c>
      <c r="C196" s="2">
        <f ca="1">IF($A196=$K$3,1,英雄之路怪物!E199/OFFSET(英雄之路怪物!E199,$K$4-$A196,0))</f>
        <v>68.813229768740968</v>
      </c>
      <c r="D196" s="2">
        <f ca="1">IF($A196=$K$3,1,英雄之路怪物!F199/OFFSET(英雄之路怪物!F199,$K$4-$A196,0))</f>
        <v>87.199393502793072</v>
      </c>
      <c r="E196" s="2">
        <f ca="1">IF($A196=$K$3,1,英雄之路怪物!G199/OFFSET(英雄之路怪物!G199,$K$4-$A196,0))</f>
        <v>31.157314820774477</v>
      </c>
      <c r="F196" s="2">
        <f ca="1">IF($A196=$K$3,1,英雄之路怪物!H199/OFFSET(英雄之路怪物!H199,$K$4-$A196,0))</f>
        <v>68.813229768740968</v>
      </c>
    </row>
    <row r="197" spans="1:6">
      <c r="A197" s="2">
        <f>英雄之路怪物!C200</f>
        <v>73</v>
      </c>
      <c r="B197" s="2">
        <f>MOD(英雄之路怪物!D200,10)</f>
        <v>3</v>
      </c>
      <c r="C197" s="2">
        <f ca="1">IF($A197=$K$3,1,英雄之路怪物!E200/OFFSET(英雄之路怪物!E200,$K$4-$A197,0))</f>
        <v>72.946426135465174</v>
      </c>
      <c r="D197" s="2">
        <f ca="1">IF($A197=$K$3,1,英雄之路怪物!F200/OFFSET(英雄之路怪物!F200,$K$4-$A197,0))</f>
        <v>92.55819272888931</v>
      </c>
      <c r="E197" s="2">
        <f ca="1">IF($A197=$K$3,1,英雄之路怪物!G200/OFFSET(英雄之路怪物!G200,$K$4-$A197,0))</f>
        <v>32.731503329081654</v>
      </c>
      <c r="F197" s="2">
        <f ca="1">IF($A197=$K$3,1,英雄之路怪物!H200/OFFSET(英雄之路怪物!H200,$K$4-$A197,0))</f>
        <v>72.946426135465188</v>
      </c>
    </row>
    <row r="198" spans="1:6">
      <c r="A198" s="2">
        <f>英雄之路怪物!C201</f>
        <v>74</v>
      </c>
      <c r="B198" s="2">
        <f>MOD(英雄之路怪物!D201,10)</f>
        <v>3</v>
      </c>
      <c r="C198" s="2">
        <f ca="1">IF($A198=$K$3,1,英雄之路怪物!E201/OFFSET(英雄之路怪物!E201,$K$4-$A198,0))</f>
        <v>77.248917540456915</v>
      </c>
      <c r="D198" s="2">
        <f ca="1">IF($A198=$K$3,1,英雄之路怪物!F201/OFFSET(英雄之路怪物!F201,$K$4-$A198,0))</f>
        <v>98.162338010144495</v>
      </c>
      <c r="E198" s="2">
        <f ca="1">IF($A198=$K$3,1,英雄之路怪物!G201/OFFSET(英雄之路怪物!G201,$K$4-$A198,0))</f>
        <v>34.353323716931236</v>
      </c>
      <c r="F198" s="2">
        <f ca="1">IF($A198=$K$3,1,英雄之路怪物!H201/OFFSET(英雄之路怪物!H201,$K$4-$A198,0))</f>
        <v>77.248917540456915</v>
      </c>
    </row>
    <row r="199" spans="1:6">
      <c r="A199" s="2">
        <f>英雄之路怪物!C202</f>
        <v>75</v>
      </c>
      <c r="B199" s="2">
        <f>MOD(英雄之路怪物!D202,10)</f>
        <v>3</v>
      </c>
      <c r="C199" s="2">
        <f ca="1">IF($A199=$K$3,1,英雄之路怪物!E202/OFFSET(英雄之路怪物!E202,$K$4-$A199,0))</f>
        <v>81.724891087975308</v>
      </c>
      <c r="D199" s="2">
        <f ca="1">IF($A199=$K$3,1,英雄之路怪物!F202/OFFSET(英雄之路怪物!F202,$K$4-$A199,0))</f>
        <v>104.02108899087978</v>
      </c>
      <c r="E199" s="2">
        <f ca="1">IF($A199=$K$3,1,英雄之路怪物!G202/OFFSET(英雄之路怪物!G202,$K$4-$A199,0))</f>
        <v>36.023409564146213</v>
      </c>
      <c r="F199" s="2">
        <f ca="1">IF($A199=$K$3,1,英雄之路怪物!H202/OFFSET(英雄之路怪物!H202,$K$4-$A199,0))</f>
        <v>81.724891087975323</v>
      </c>
    </row>
    <row r="200" spans="1:6">
      <c r="A200" s="2">
        <f>英雄之路怪物!C203</f>
        <v>76</v>
      </c>
      <c r="B200" s="2">
        <f>MOD(英雄之路怪物!D203,10)</f>
        <v>3</v>
      </c>
      <c r="C200" s="2">
        <f ca="1">IF($A200=$K$3,1,英雄之路怪物!E203/OFFSET(英雄之路怪物!E203,$K$4-$A200,0))</f>
        <v>86.378580128730718</v>
      </c>
      <c r="D200" s="2">
        <f ca="1">IF($A200=$K$3,1,英雄之路怪物!F203/OFFSET(英雄之路怪物!F203,$K$4-$A200,0))</f>
        <v>110.14409311192419</v>
      </c>
      <c r="E200" s="2">
        <f ca="1">IF($A200=$K$3,1,英雄之路怪物!G203/OFFSET(英雄之路怪物!G203,$K$4-$A200,0))</f>
        <v>37.742394450549462</v>
      </c>
      <c r="F200" s="2">
        <f ca="1">IF($A200=$K$3,1,英雄之路怪物!H203/OFFSET(英雄之路怪物!H203,$K$4-$A200,0))</f>
        <v>86.378580128730746</v>
      </c>
    </row>
    <row r="201" spans="1:6">
      <c r="A201" s="2">
        <f>英雄之路怪物!C204</f>
        <v>77</v>
      </c>
      <c r="B201" s="2">
        <f>MOD(英雄之路怪物!D204,10)</f>
        <v>3</v>
      </c>
      <c r="C201" s="2">
        <f ca="1">IF($A201=$K$3,1,英雄之路怪物!E204/OFFSET(英雄之路怪物!E204,$K$4-$A201,0))</f>
        <v>91.21426424293125</v>
      </c>
      <c r="D201" s="2">
        <f ca="1">IF($A201=$K$3,1,英雄之路怪物!F204/OFFSET(英雄之路怪物!F204,$K$4-$A201,0))</f>
        <v>116.54140723495543</v>
      </c>
      <c r="E201" s="2">
        <f ca="1">IF($A201=$K$3,1,英雄之路怪物!G204/OFFSET(英雄之路怪物!G204,$K$4-$A201,0))</f>
        <v>39.510911955964012</v>
      </c>
      <c r="F201" s="2">
        <f ca="1">IF($A201=$K$3,1,英雄之路怪物!H204/OFFSET(英雄之路怪物!H204,$K$4-$A201,0))</f>
        <v>91.214264242931279</v>
      </c>
    </row>
    <row r="202" spans="1:6">
      <c r="A202" s="2">
        <f>英雄之路怪物!C205</f>
        <v>78</v>
      </c>
      <c r="B202" s="2">
        <f>MOD(英雄之路怪物!D205,10)</f>
        <v>3</v>
      </c>
      <c r="C202" s="2">
        <f ca="1">IF($A202=$K$3,1,英雄之路怪物!E205/OFFSET(英雄之路怪物!E205,$K$4-$A202,0))</f>
        <v>96.236269223474252</v>
      </c>
      <c r="D202" s="2">
        <f ca="1">IF($A202=$K$3,1,英雄之路怪物!F205/OFFSET(英雄之路怪物!F205,$K$4-$A202,0))</f>
        <v>123.22352073014153</v>
      </c>
      <c r="E202" s="2">
        <f ca="1">IF($A202=$K$3,1,英雄之路怪物!G205/OFFSET(英雄之路怪物!G205,$K$4-$A202,0))</f>
        <v>41.32959566021281</v>
      </c>
      <c r="F202" s="2">
        <f ca="1">IF($A202=$K$3,1,英雄之路怪物!H205/OFFSET(英雄之路怪物!H205,$K$4-$A202,0))</f>
        <v>96.236269223474267</v>
      </c>
    </row>
    <row r="203" spans="1:6">
      <c r="A203" s="2">
        <f>英雄之路怪物!C206</f>
        <v>79</v>
      </c>
      <c r="B203" s="2">
        <f>MOD(英雄之路怪物!D206,10)</f>
        <v>3</v>
      </c>
      <c r="C203" s="2">
        <f ca="1">IF($A203=$K$3,1,英雄之路怪物!E206/OFFSET(英雄之路怪物!E206,$K$4-$A203,0))</f>
        <v>101.44896705929042</v>
      </c>
      <c r="D203" s="2">
        <f ca="1">IF($A203=$K$3,1,英雄之路怪物!F206/OFFSET(英雄之路怪物!F206,$K$4-$A203,0))</f>
        <v>130.20138014392552</v>
      </c>
      <c r="E203" s="2">
        <f ca="1">IF($A203=$K$3,1,英雄之路怪物!G206/OFFSET(英雄之路怪物!G206,$K$4-$A203,0))</f>
        <v>43.199079143118823</v>
      </c>
      <c r="F203" s="2">
        <f ca="1">IF($A203=$K$3,1,英雄之路怪物!H206/OFFSET(英雄之路怪物!H206,$K$4-$A203,0))</f>
        <v>101.44896705929045</v>
      </c>
    </row>
    <row r="204" spans="1:6">
      <c r="A204" s="2">
        <f>英雄之路怪物!C207</f>
        <v>80</v>
      </c>
      <c r="B204" s="2">
        <f>MOD(英雄之路怪物!D207,10)</f>
        <v>3</v>
      </c>
      <c r="C204" s="2">
        <f ca="1">IF($A204=$K$3,1,英雄之路怪物!E207/OFFSET(英雄之路怪物!E207,$K$4-$A204,0))</f>
        <v>107.17575136934924</v>
      </c>
      <c r="D204" s="2">
        <f ca="1">IF($A204=$K$3,1,英雄之路怪物!F207/OFFSET(英雄之路怪物!F207,$K$4-$A204,0))</f>
        <v>137.89682278524998</v>
      </c>
      <c r="E204" s="2">
        <f ca="1">IF($A204=$K$3,1,英雄之路怪物!G207/OFFSET(英雄之路怪物!G207,$K$4-$A204,0))</f>
        <v>45.254682539682527</v>
      </c>
      <c r="F204" s="2">
        <f ca="1">IF($A204=$K$3,1,英雄之路怪物!H207/OFFSET(英雄之路怪物!H207,$K$4-$A204,0))</f>
        <v>107.17575136934926</v>
      </c>
    </row>
    <row r="205" spans="1:6">
      <c r="A205" s="2">
        <f>英雄之路怪物!C208</f>
        <v>81</v>
      </c>
      <c r="B205" s="2">
        <f>MOD(英雄之路怪物!D208,10)</f>
        <v>3</v>
      </c>
      <c r="C205" s="2">
        <f ca="1">IF($A205=$K$3,1,英雄之路怪物!E208/OFFSET(英雄之路怪物!E208,$K$4-$A205,0))</f>
        <v>113.12184528078673</v>
      </c>
      <c r="D205" s="2">
        <f ca="1">IF($A205=$K$3,1,英雄之路怪物!F208/OFFSET(英雄之路怪物!F208,$K$4-$A205,0))</f>
        <v>166.71987320317032</v>
      </c>
      <c r="E205" s="2">
        <f ca="1">IF($A205=$K$3,1,英雄之路怪物!G208/OFFSET(英雄之路怪物!G208,$K$4-$A205,0))</f>
        <v>47.368377306674844</v>
      </c>
      <c r="F205" s="2">
        <f ca="1">IF($A205=$K$3,1,英雄之路怪物!H208/OFFSET(英雄之路怪物!H208,$K$4-$A205,0))</f>
        <v>113.12184528078674</v>
      </c>
    </row>
    <row r="206" spans="1:6">
      <c r="A206" s="2">
        <f>英雄之路怪物!C209</f>
        <v>82</v>
      </c>
      <c r="B206" s="2">
        <f>MOD(英雄之路怪物!D209,10)</f>
        <v>3</v>
      </c>
      <c r="C206" s="2">
        <f ca="1">IF($A206=$K$3,1,英雄之路怪物!E209/OFFSET(英雄之路怪物!E209,$K$4-$A206,0))</f>
        <v>119.29232614432996</v>
      </c>
      <c r="D206" s="2">
        <f ca="1">IF($A206=$K$3,1,英雄之路怪物!F209/OFFSET(英雄之路怪物!F209,$K$4-$A206,0))</f>
        <v>177.86644326566204</v>
      </c>
      <c r="E206" s="2">
        <f ca="1">IF($A206=$K$3,1,英雄之路怪物!G209/OFFSET(英雄之路怪物!G209,$K$4-$A206,0))</f>
        <v>49.540887535321829</v>
      </c>
      <c r="F206" s="2">
        <f ca="1">IF($A206=$K$3,1,英雄之路怪物!H209/OFFSET(英雄之路怪物!H209,$K$4-$A206,0))</f>
        <v>119.29232614432998</v>
      </c>
    </row>
    <row r="207" spans="1:6">
      <c r="A207" s="2">
        <f>英雄之路怪物!C210</f>
        <v>83</v>
      </c>
      <c r="B207" s="2">
        <f>MOD(英雄之路怪物!D210,10)</f>
        <v>3</v>
      </c>
      <c r="C207" s="2">
        <f ca="1">IF($A207=$K$3,1,英雄之路怪物!E210/OFFSET(英雄之路怪物!E210,$K$4-$A207,0))</f>
        <v>125.69232405416849</v>
      </c>
      <c r="D207" s="2">
        <f ca="1">IF($A207=$K$3,1,英雄之路怪物!F210/OFFSET(英雄之路怪物!F210,$K$4-$A207,0))</f>
        <v>189.62783621390005</v>
      </c>
      <c r="E207" s="2">
        <f ca="1">IF($A207=$K$3,1,英雄之路怪物!G210/OFFSET(英雄之路怪物!G210,$K$4-$A207,0))</f>
        <v>51.772937316849827</v>
      </c>
      <c r="F207" s="2">
        <f ca="1">IF($A207=$K$3,1,英雄之路怪物!H210/OFFSET(英雄之路怪物!H210,$K$4-$A207,0))</f>
        <v>125.69232405416851</v>
      </c>
    </row>
    <row r="208" spans="1:6">
      <c r="A208" s="2">
        <f>英雄之路怪物!C211</f>
        <v>84</v>
      </c>
      <c r="B208" s="2">
        <f>MOD(英雄之路怪物!D211,10)</f>
        <v>3</v>
      </c>
      <c r="C208" s="2">
        <f ca="1">IF($A208=$K$3,1,英雄之路怪物!E211/OFFSET(英雄之路怪物!E211,$K$4-$A208,0))</f>
        <v>132.32702182976914</v>
      </c>
      <c r="D208" s="2">
        <f ca="1">IF($A208=$K$3,1,英雄之路怪物!F211/OFFSET(英雄之路怪物!F211,$K$4-$A208,0))</f>
        <v>202.03465956402786</v>
      </c>
      <c r="E208" s="2">
        <f ca="1">IF($A208=$K$3,1,英雄之路怪物!G211/OFFSET(英雄之路怪物!G211,$K$4-$A208,0))</f>
        <v>54.065250742485041</v>
      </c>
      <c r="F208" s="2">
        <f ca="1">IF($A208=$K$3,1,英雄之路怪物!H211/OFFSET(英雄之路怪物!H211,$K$4-$A208,0))</f>
        <v>132.32702182976914</v>
      </c>
    </row>
    <row r="209" spans="1:6">
      <c r="A209" s="2">
        <f>英雄之路怪物!C212</f>
        <v>85</v>
      </c>
      <c r="B209" s="2">
        <f>MOD(英雄之路怪物!D212,10)</f>
        <v>3</v>
      </c>
      <c r="C209" s="2">
        <f ca="1">IF($A209=$K$3,1,英雄之路怪物!E212/OFFSET(英雄之路怪物!E212,$K$4-$A209,0))</f>
        <v>139.20165499788166</v>
      </c>
      <c r="D209" s="2">
        <f ca="1">IF($A209=$K$3,1,英雄之路怪物!F212/OFFSET(英雄之路怪物!F212,$K$4-$A209,0))</f>
        <v>215.11911657723712</v>
      </c>
      <c r="E209" s="2">
        <f ca="1">IF($A209=$K$3,1,英雄之路怪物!G212/OFFSET(英雄之路怪物!G212,$K$4-$A209,0))</f>
        <v>56.418551903453668</v>
      </c>
      <c r="F209" s="2">
        <f ca="1">IF($A209=$K$3,1,英雄之路怪物!H212/OFFSET(英雄之路怪物!H212,$K$4-$A209,0))</f>
        <v>139.20165499788169</v>
      </c>
    </row>
    <row r="210" spans="1:6">
      <c r="A210" s="2">
        <f>英雄之路怪物!C213</f>
        <v>86</v>
      </c>
      <c r="B210" s="2">
        <f>MOD(英雄之路怪物!D213,10)</f>
        <v>3</v>
      </c>
      <c r="C210" s="2">
        <f ca="1">IF($A210=$K$3,1,英雄之路怪物!E213/OFFSET(英雄之路怪物!E213,$K$4-$A210,0))</f>
        <v>146.32151177473921</v>
      </c>
      <c r="D210" s="2">
        <f ca="1">IF($A210=$K$3,1,英雄之路怪物!F213/OFFSET(英雄之路怪物!F213,$K$4-$A210,0))</f>
        <v>228.91510516958525</v>
      </c>
      <c r="E210" s="2">
        <f ca="1">IF($A210=$K$3,1,英雄之路怪物!G213/OFFSET(英雄之路怪物!G213,$K$4-$A210,0))</f>
        <v>58.833564890982032</v>
      </c>
      <c r="F210" s="2">
        <f ca="1">IF($A210=$K$3,1,英雄之路怪物!H213/OFFSET(英雄之路怪物!H213,$K$4-$A210,0))</f>
        <v>146.32151177473924</v>
      </c>
    </row>
    <row r="211" spans="1:6">
      <c r="A211" s="2">
        <f>英雄之路怪物!C214</f>
        <v>87</v>
      </c>
      <c r="B211" s="2">
        <f>MOD(英雄之路怪物!D214,10)</f>
        <v>3</v>
      </c>
      <c r="C211" s="2">
        <f ca="1">IF($A211=$K$3,1,英雄之路怪物!E214/OFFSET(英雄之路怪物!E214,$K$4-$A211,0))</f>
        <v>153.69193304845501</v>
      </c>
      <c r="D211" s="2">
        <f ca="1">IF($A211=$K$3,1,英雄之路怪物!F214/OFFSET(英雄之路怪物!F214,$K$4-$A211,0))</f>
        <v>243.4583242710863</v>
      </c>
      <c r="E211" s="2">
        <f ca="1">IF($A211=$K$3,1,英雄之路怪物!G214/OFFSET(英雄之路怪物!G214,$K$4-$A211,0))</f>
        <v>61.311013796296315</v>
      </c>
      <c r="F211" s="2">
        <f ca="1">IF($A211=$K$3,1,英雄之路怪物!H214/OFFSET(英雄之路怪物!H214,$K$4-$A211,0))</f>
        <v>153.69193304845501</v>
      </c>
    </row>
    <row r="212" spans="1:6">
      <c r="A212" s="2">
        <f>英雄之路怪物!C215</f>
        <v>88</v>
      </c>
      <c r="B212" s="2">
        <f>MOD(英雄之路怪物!D215,10)</f>
        <v>3</v>
      </c>
      <c r="C212" s="2">
        <f ca="1">IF($A212=$K$3,1,英雄之路怪物!E215/OFFSET(英雄之路怪物!E215,$K$4-$A212,0))</f>
        <v>161.31831236161824</v>
      </c>
      <c r="D212" s="2">
        <f ca="1">IF($A212=$K$3,1,英雄之路怪物!F215/OFFSET(英雄之路怪物!F215,$K$4-$A212,0))</f>
        <v>258.78638829693813</v>
      </c>
      <c r="E212" s="2">
        <f ca="1">IF($A212=$K$3,1,英雄之路怪物!G215/OFFSET(英雄之路怪物!G215,$K$4-$A212,0))</f>
        <v>63.851622710622685</v>
      </c>
      <c r="F212" s="2">
        <f ca="1">IF($A212=$K$3,1,英雄之路怪物!H215/OFFSET(英雄之路怪物!H215,$K$4-$A212,0))</f>
        <v>161.31831236161827</v>
      </c>
    </row>
    <row r="213" spans="1:6">
      <c r="A213" s="2">
        <f>英雄之路怪物!C216</f>
        <v>89</v>
      </c>
      <c r="B213" s="2">
        <f>MOD(英雄之路怪物!D216,10)</f>
        <v>3</v>
      </c>
      <c r="C213" s="2">
        <f ca="1">IF($A213=$K$3,1,英雄之路怪物!E216/OFFSET(英雄之路怪物!E216,$K$4-$A213,0))</f>
        <v>169.20609589408824</v>
      </c>
      <c r="D213" s="2">
        <f ca="1">IF($A213=$K$3,1,英雄之路怪物!F216/OFFSET(英雄之路怪物!F216,$K$4-$A213,0))</f>
        <v>274.93895046201868</v>
      </c>
      <c r="E213" s="2">
        <f ca="1">IF($A213=$K$3,1,英雄之路怪物!G216/OFFSET(英雄之路怪物!G216,$K$4-$A213,0))</f>
        <v>66.456115725187473</v>
      </c>
      <c r="F213" s="2">
        <f ca="1">IF($A213=$K$3,1,英雄之路怪物!H216/OFFSET(英雄之路怪物!H216,$K$4-$A213,0))</f>
        <v>169.20609589408826</v>
      </c>
    </row>
    <row r="214" spans="1:6">
      <c r="A214" s="2">
        <f>英雄之路怪物!C217</f>
        <v>90</v>
      </c>
      <c r="B214" s="2">
        <f>MOD(英雄之路怪物!D217,10)</f>
        <v>3</v>
      </c>
      <c r="C214" s="2">
        <f ca="1">IF($A214=$K$3,1,英雄之路怪物!E217/OFFSET(英雄之路怪物!E217,$K$4-$A214,0))</f>
        <v>177.36078244598949</v>
      </c>
      <c r="D214" s="2">
        <f ca="1">IF($A214=$K$3,1,英雄之路怪物!F217/OFFSET(英雄之路怪物!F217,$K$4-$A214,0))</f>
        <v>291.95783574608242</v>
      </c>
      <c r="E214" s="2">
        <f ca="1">IF($A214=$K$3,1,英雄之路怪物!G217/OFFSET(英雄之路怪物!G217,$K$4-$A214,0))</f>
        <v>69.12521693121694</v>
      </c>
      <c r="F214" s="2">
        <f ca="1">IF($A214=$K$3,1,英雄之路怪物!H217/OFFSET(英雄之路怪物!H217,$K$4-$A214,0))</f>
        <v>177.36078244598949</v>
      </c>
    </row>
    <row r="215" spans="1:6">
      <c r="A215" s="2">
        <f>英雄之路怪物!C218</f>
        <v>20</v>
      </c>
      <c r="B215" s="2">
        <f>MOD(英雄之路怪物!D218,10)</f>
        <v>4</v>
      </c>
      <c r="C215" s="2">
        <f ca="1">IF($A215=$K$3,1,英雄之路怪物!E218/OFFSET(英雄之路怪物!E218,$K$4-$A215,0))</f>
        <v>1</v>
      </c>
      <c r="D215" s="2">
        <f ca="1">IF($A215=$K$3,1,英雄之路怪物!F218/OFFSET(英雄之路怪物!F218,$K$4-$A215,0))</f>
        <v>1</v>
      </c>
      <c r="E215" s="2">
        <f ca="1">IF($A215=$K$3,1,英雄之路怪物!G218/OFFSET(英雄之路怪物!G218,$K$4-$A215,0))</f>
        <v>1</v>
      </c>
      <c r="F215" s="2">
        <f ca="1">IF($A215=$K$3,1,英雄之路怪物!H218/OFFSET(英雄之路怪物!H218,$K$4-$A215,0))</f>
        <v>1</v>
      </c>
    </row>
    <row r="216" spans="1:6">
      <c r="A216" s="2">
        <f>英雄之路怪物!C219</f>
        <v>21</v>
      </c>
      <c r="B216" s="2">
        <f>MOD(英雄之路怪物!D219,10)</f>
        <v>4</v>
      </c>
      <c r="C216" s="2">
        <f ca="1">IF($A216=$K$3,1,英雄之路怪物!E219/OFFSET(英雄之路怪物!E219,$K$4-$A216,0))</f>
        <v>1.117596838754978</v>
      </c>
      <c r="D216" s="2">
        <f ca="1">IF($A216=$K$3,1,英雄之路怪物!F219/OFFSET(英雄之路怪物!F219,$K$4-$A216,0))</f>
        <v>1.1095204807543111</v>
      </c>
      <c r="E216" s="2">
        <f ca="1">IF($A216=$K$3,1,英雄之路怪物!G219/OFFSET(英雄之路怪物!G219,$K$4-$A216,0))</f>
        <v>1.0931717687074829</v>
      </c>
      <c r="F216" s="2">
        <f ca="1">IF($A216=$K$3,1,英雄之路怪物!H219/OFFSET(英雄之路怪物!H219,$K$4-$A216,0))</f>
        <v>1.117596838754978</v>
      </c>
    </row>
    <row r="217" spans="1:6">
      <c r="A217" s="2">
        <f>英雄之路怪物!C220</f>
        <v>22</v>
      </c>
      <c r="B217" s="2">
        <f>MOD(英雄之路怪物!D220,10)</f>
        <v>4</v>
      </c>
      <c r="C217" s="2">
        <f ca="1">IF($A217=$K$3,1,英雄之路怪物!E220/OFFSET(英雄之路怪物!E220,$K$4-$A217,0))</f>
        <v>1.243120196696226</v>
      </c>
      <c r="D217" s="2">
        <f ca="1">IF($A217=$K$3,1,英雄之路怪物!F220/OFFSET(英雄之路怪物!F220,$K$4-$A217,0))</f>
        <v>1.22604988148337</v>
      </c>
      <c r="E217" s="2">
        <f ca="1">IF($A217=$K$3,1,英雄之路怪物!G220/OFFSET(英雄之路怪物!G220,$K$4-$A217,0))</f>
        <v>1.1902040816326529</v>
      </c>
      <c r="F217" s="2">
        <f ca="1">IF($A217=$K$3,1,英雄之路怪物!H220/OFFSET(英雄之路怪物!H220,$K$4-$A217,0))</f>
        <v>1.2431201966962262</v>
      </c>
    </row>
    <row r="218" spans="1:6">
      <c r="A218" s="2">
        <f>英雄之路怪物!C221</f>
        <v>23</v>
      </c>
      <c r="B218" s="2">
        <f>MOD(英雄之路怪物!D221,10)</f>
        <v>4</v>
      </c>
      <c r="C218" s="2">
        <f ca="1">IF($A218=$K$3,1,英雄之路怪物!E221/OFFSET(英雄之路怪物!E221,$K$4-$A218,0))</f>
        <v>1.4024517884049481</v>
      </c>
      <c r="D218" s="2">
        <f ca="1">IF($A218=$K$3,1,英雄之路怪物!F221/OFFSET(英雄之路怪物!F221,$K$4-$A218,0))</f>
        <v>1.374995739522912</v>
      </c>
      <c r="E218" s="2">
        <f ca="1">IF($A218=$K$3,1,英雄之路怪物!G221/OFFSET(英雄之路怪物!G221,$K$4-$A218,0))</f>
        <v>1.3151681057038203</v>
      </c>
      <c r="F218" s="2">
        <f ca="1">IF($A218=$K$3,1,英雄之路怪物!H221/OFFSET(英雄之路怪物!H221,$K$4-$A218,0))</f>
        <v>1.4024517884049483</v>
      </c>
    </row>
    <row r="219" spans="1:6">
      <c r="A219" s="2">
        <f>英雄之路怪物!C222</f>
        <v>24</v>
      </c>
      <c r="B219" s="2">
        <f>MOD(英雄之路怪物!D222,10)</f>
        <v>4</v>
      </c>
      <c r="C219" s="2">
        <f ca="1">IF($A219=$K$3,1,英雄之路怪物!E222/OFFSET(英雄之路怪物!E222,$K$4-$A219,0))</f>
        <v>1.5727679083562145</v>
      </c>
      <c r="D219" s="2">
        <f ca="1">IF($A219=$K$3,1,英雄之路怪物!F222/OFFSET(英雄之路怪物!F222,$K$4-$A219,0))</f>
        <v>1.533738445309383</v>
      </c>
      <c r="E219" s="2">
        <f ca="1">IF($A219=$K$3,1,英雄之路怪物!G222/OFFSET(英雄之路怪物!G222,$K$4-$A219,0))</f>
        <v>1.4454515325943891</v>
      </c>
      <c r="F219" s="2">
        <f ca="1">IF($A219=$K$3,1,英雄之路怪物!H222/OFFSET(英雄之路怪物!H222,$K$4-$A219,0))</f>
        <v>1.5727679083562147</v>
      </c>
    </row>
    <row r="220" spans="1:6">
      <c r="A220" s="2">
        <f>英雄之路怪物!C223</f>
        <v>25</v>
      </c>
      <c r="B220" s="2">
        <f>MOD(英雄之路怪物!D223,10)</f>
        <v>4</v>
      </c>
      <c r="C220" s="2">
        <f ca="1">IF($A220=$K$3,1,英雄之路怪物!E223/OFFSET(英雄之路怪物!E223,$K$4-$A220,0))</f>
        <v>1.7543614190545791</v>
      </c>
      <c r="D220" s="2">
        <f ca="1">IF($A220=$K$3,1,英雄之路怪物!F223/OFFSET(英雄之路怪物!F223,$K$4-$A220,0))</f>
        <v>1.7026182137524801</v>
      </c>
      <c r="E220" s="2">
        <f ca="1">IF($A220=$K$3,1,英雄之路怪物!G223/OFFSET(英雄之路怪物!G223,$K$4-$A220,0))</f>
        <v>1.5810543623043618</v>
      </c>
      <c r="F220" s="2">
        <f ca="1">IF($A220=$K$3,1,英雄之路怪物!H223/OFFSET(英雄之路怪物!H223,$K$4-$A220,0))</f>
        <v>1.7543614190545793</v>
      </c>
    </row>
    <row r="221" spans="1:6">
      <c r="A221" s="2">
        <f>英雄之路怪物!C224</f>
        <v>26</v>
      </c>
      <c r="B221" s="2">
        <f>MOD(英雄之路怪物!D224,10)</f>
        <v>4</v>
      </c>
      <c r="C221" s="2">
        <f ca="1">IF($A221=$K$3,1,英雄之路怪物!E224/OFFSET(英雄之路怪物!E224,$K$4-$A221,0))</f>
        <v>1.9722337866077222</v>
      </c>
      <c r="D221" s="2">
        <f ca="1">IF($A221=$K$3,1,英雄之路怪物!F224/OFFSET(英雄之路怪物!F224,$K$4-$A221,0))</f>
        <v>1.9058629331394403</v>
      </c>
      <c r="E221" s="2">
        <f ca="1">IF($A221=$K$3,1,英雄之路怪物!G224/OFFSET(英雄之路怪物!G224,$K$4-$A221,0))</f>
        <v>1.7438244612530323</v>
      </c>
      <c r="F221" s="2">
        <f ca="1">IF($A221=$K$3,1,英雄之路怪物!H224/OFFSET(英雄之路怪物!H224,$K$4-$A221,0))</f>
        <v>1.9722337866077224</v>
      </c>
    </row>
    <row r="222" spans="1:6">
      <c r="A222" s="2">
        <f>英雄之路怪物!C225</f>
        <v>27</v>
      </c>
      <c r="B222" s="2">
        <f>MOD(英雄之路怪物!D225,10)</f>
        <v>4</v>
      </c>
      <c r="C222" s="2">
        <f ca="1">IF($A222=$K$3,1,英雄之路怪物!E225/OFFSET(英雄之路怪物!E225,$K$4-$A222,0))</f>
        <v>2.2042918205274931</v>
      </c>
      <c r="D222" s="2">
        <f ca="1">IF($A222=$K$3,1,英雄之路怪物!F225/OFFSET(英雄之路怪物!F225,$K$4-$A222,0))</f>
        <v>2.1220114367205052</v>
      </c>
      <c r="E222" s="2">
        <f ca="1">IF($A222=$K$3,1,英雄之路怪物!G225/OFFSET(英雄之路怪物!G225,$K$4-$A222,0))</f>
        <v>1.9131277333777335</v>
      </c>
      <c r="F222" s="2">
        <f ca="1">IF($A222=$K$3,1,英雄之路怪物!H225/OFFSET(英雄之路怪物!H225,$K$4-$A222,0))</f>
        <v>2.2042918205274931</v>
      </c>
    </row>
    <row r="223" spans="1:6">
      <c r="A223" s="2">
        <f>英雄之路怪物!C226</f>
        <v>28</v>
      </c>
      <c r="B223" s="2">
        <f>MOD(英雄之路怪物!D226,10)</f>
        <v>4</v>
      </c>
      <c r="C223" s="2">
        <f ca="1">IF($A223=$K$3,1,英雄之路怪物!E226/OFFSET(英雄之路怪物!E226,$K$4-$A223,0))</f>
        <v>2.4508928136691668</v>
      </c>
      <c r="D223" s="2">
        <f ca="1">IF($A223=$K$3,1,英雄之路怪物!F226/OFFSET(英雄之路怪物!F226,$K$4-$A223,0))</f>
        <v>2.3515094636709608</v>
      </c>
      <c r="E223" s="2">
        <f ca="1">IF($A223=$K$3,1,英雄之路怪物!G226/OFFSET(英雄之路怪物!G226,$K$4-$A223,0))</f>
        <v>2.0889641786784638</v>
      </c>
      <c r="F223" s="2">
        <f ca="1">IF($A223=$K$3,1,英雄之路怪物!H226/OFFSET(英雄之路怪物!H226,$K$4-$A223,0))</f>
        <v>2.4508928136691668</v>
      </c>
    </row>
    <row r="224" spans="1:6">
      <c r="A224" s="2">
        <f>英雄之路怪物!C227</f>
        <v>29</v>
      </c>
      <c r="B224" s="2">
        <f>MOD(英雄之路怪物!D227,10)</f>
        <v>4</v>
      </c>
      <c r="C224" s="2">
        <f ca="1">IF($A224=$K$3,1,英雄之路怪物!E227/OFFSET(英雄之路怪物!E227,$K$4-$A224,0))</f>
        <v>2.712393023610018</v>
      </c>
      <c r="D224" s="2">
        <f ca="1">IF($A224=$K$3,1,英雄之路怪物!F227/OFFSET(英雄之路怪物!F227,$K$4-$A224,0))</f>
        <v>2.5948157044254323</v>
      </c>
      <c r="E224" s="2">
        <f ca="1">IF($A224=$K$3,1,英雄之路怪物!G227/OFFSET(英雄之路怪物!G227,$K$4-$A224,0))</f>
        <v>2.2713337971552265</v>
      </c>
      <c r="F224" s="2">
        <f ca="1">IF($A224=$K$3,1,英雄之路怪物!H227/OFFSET(英雄之路怪物!H227,$K$4-$A224,0))</f>
        <v>2.7123930236100184</v>
      </c>
    </row>
    <row r="225" spans="1:6">
      <c r="A225" s="2">
        <f>英雄之路怪物!C228</f>
        <v>30</v>
      </c>
      <c r="B225" s="2">
        <f>MOD(英雄之路怪物!D228,10)</f>
        <v>4</v>
      </c>
      <c r="C225" s="2">
        <f ca="1">IF($A225=$K$3,1,英雄之路怪物!E228/OFFSET(英雄之路怪物!E228,$K$4-$A225,0))</f>
        <v>3.0265120612034342</v>
      </c>
      <c r="D225" s="2">
        <f ca="1">IF($A225=$K$3,1,英雄之路怪物!F228/OFFSET(英雄之路怪物!F228,$K$4-$A225,0))</f>
        <v>2.8880573029357315</v>
      </c>
      <c r="E225" s="2">
        <f ca="1">IF($A225=$K$3,1,英雄之路怪物!G228/OFFSET(英雄之路怪物!G228,$K$4-$A225,0))</f>
        <v>2.4909895461681182</v>
      </c>
      <c r="F225" s="2">
        <f ca="1">IF($A225=$K$3,1,英雄之路怪物!H228/OFFSET(英雄之路怪物!H228,$K$4-$A225,0))</f>
        <v>3.0265120612034346</v>
      </c>
    </row>
    <row r="226" spans="1:6">
      <c r="A226" s="2">
        <f>英雄之路怪物!C229</f>
        <v>31</v>
      </c>
      <c r="B226" s="2">
        <f>MOD(英雄之路怪物!D229,10)</f>
        <v>4</v>
      </c>
      <c r="C226" s="2">
        <f ca="1">IF($A226=$K$3,1,英雄之路怪物!E229/OFFSET(英雄之路怪物!E229,$K$4-$A226,0))</f>
        <v>3.3695317344270128</v>
      </c>
      <c r="D226" s="2">
        <f ca="1">IF($A226=$K$3,1,英雄之路怪物!F229/OFFSET(英雄之路怪物!F229,$K$4-$A226,0))</f>
        <v>3.2052392989389573</v>
      </c>
      <c r="E226" s="2">
        <f ca="1">IF($A226=$K$3,1,英雄之路怪物!G229/OFFSET(英雄之路怪物!G229,$K$4-$A226,0))</f>
        <v>2.7177246098901091</v>
      </c>
      <c r="F226" s="2">
        <f ca="1">IF($A226=$K$3,1,英雄之路怪物!H229/OFFSET(英雄之路怪物!H229,$K$4-$A226,0))</f>
        <v>3.3695317344270128</v>
      </c>
    </row>
    <row r="227" spans="1:6">
      <c r="A227" s="2">
        <f>英雄之路怪物!C230</f>
        <v>32</v>
      </c>
      <c r="B227" s="2">
        <f>MOD(英雄之路怪物!D230,10)</f>
        <v>4</v>
      </c>
      <c r="C227" s="2">
        <f ca="1">IF($A227=$K$3,1,英雄之路怪物!E230/OFFSET(英雄之路怪物!E230,$K$4-$A227,0))</f>
        <v>3.736134403677501</v>
      </c>
      <c r="D227" s="2">
        <f ca="1">IF($A227=$K$3,1,英雄之路怪物!F230/OFFSET(英雄之路怪物!F230,$K$4-$A227,0))</f>
        <v>3.5437905178032878</v>
      </c>
      <c r="E227" s="2">
        <f ca="1">IF($A227=$K$3,1,英雄之路怪物!G230/OFFSET(英雄之路怪物!G230,$K$4-$A227,0))</f>
        <v>2.9538679120324112</v>
      </c>
      <c r="F227" s="2">
        <f ca="1">IF($A227=$K$3,1,英雄之路怪物!H230/OFFSET(英雄之路怪物!H230,$K$4-$A227,0))</f>
        <v>3.736134403677501</v>
      </c>
    </row>
    <row r="228" spans="1:6">
      <c r="A228" s="2">
        <f>英雄之路怪物!C231</f>
        <v>33</v>
      </c>
      <c r="B228" s="2">
        <f>MOD(英雄之路怪物!D231,10)</f>
        <v>4</v>
      </c>
      <c r="C228" s="2">
        <f ca="1">IF($A228=$K$3,1,英雄之路怪物!E231/OFFSET(英雄之路怪物!E231,$K$4-$A228,0))</f>
        <v>4.1255219053527235</v>
      </c>
      <c r="D228" s="2">
        <f ca="1">IF($A228=$K$3,1,英雄之路怪物!F231/OFFSET(英雄之路怪物!F231,$K$4-$A228,0))</f>
        <v>3.9030291687753933</v>
      </c>
      <c r="E228" s="2">
        <f ca="1">IF($A228=$K$3,1,英雄之路怪物!G231/OFFSET(英雄之路怪物!G231,$K$4-$A228,0))</f>
        <v>3.1981377700870568</v>
      </c>
      <c r="F228" s="2">
        <f ca="1">IF($A228=$K$3,1,英雄之路怪物!H231/OFFSET(英雄之路怪物!H231,$K$4-$A228,0))</f>
        <v>4.1255219053527243</v>
      </c>
    </row>
    <row r="229" spans="1:6">
      <c r="A229" s="2">
        <f>英雄之路怪物!C232</f>
        <v>34</v>
      </c>
      <c r="B229" s="2">
        <f>MOD(英雄之路怪物!D232,10)</f>
        <v>4</v>
      </c>
      <c r="C229" s="2">
        <f ca="1">IF($A229=$K$3,1,英雄之路怪物!E232/OFFSET(英雄之路怪物!E232,$K$4-$A229,0))</f>
        <v>4.538082335892768</v>
      </c>
      <c r="D229" s="2">
        <f ca="1">IF($A229=$K$3,1,英雄之路怪物!F232/OFFSET(英雄之路怪物!F232,$K$4-$A229,0))</f>
        <v>4.2834270427550107</v>
      </c>
      <c r="E229" s="2">
        <f ca="1">IF($A229=$K$3,1,英雄之路怪物!G232/OFFSET(英雄之路怪物!G232,$K$4-$A229,0))</f>
        <v>3.4502346088911082</v>
      </c>
      <c r="F229" s="2">
        <f ca="1">IF($A229=$K$3,1,英雄之路怪物!H232/OFFSET(英雄之路怪物!H232,$K$4-$A229,0))</f>
        <v>4.5380823358927689</v>
      </c>
    </row>
    <row r="230" spans="1:6">
      <c r="A230" s="2">
        <f>英雄之路怪物!C233</f>
        <v>35</v>
      </c>
      <c r="B230" s="2">
        <f>MOD(英雄之路怪物!D233,10)</f>
        <v>4</v>
      </c>
      <c r="C230" s="2">
        <f ca="1">IF($A230=$K$3,1,英雄之路怪物!E233/OFFSET(英雄之路怪物!E233,$K$4-$A230,0))</f>
        <v>4.9741715657997156</v>
      </c>
      <c r="D230" s="2">
        <f ca="1">IF($A230=$K$3,1,英雄之路怪物!F233/OFFSET(英雄之路怪物!F233,$K$4-$A230,0))</f>
        <v>4.6854476569608421</v>
      </c>
      <c r="E230" s="2">
        <f ca="1">IF($A230=$K$3,1,英雄之路怪物!G233/OFFSET(英雄之路怪物!G233,$K$4-$A230,0))</f>
        <v>3.7098391053391055</v>
      </c>
      <c r="F230" s="2">
        <f ca="1">IF($A230=$K$3,1,英雄之路怪物!H233/OFFSET(英雄之路怪物!H233,$K$4-$A230,0))</f>
        <v>4.9741715657997156</v>
      </c>
    </row>
    <row r="231" spans="1:6">
      <c r="A231" s="2">
        <f>英雄之路怪物!C234</f>
        <v>36</v>
      </c>
      <c r="B231" s="2">
        <f>MOD(英雄之路怪物!D234,10)</f>
        <v>4</v>
      </c>
      <c r="C231" s="2">
        <f ca="1">IF($A231=$K$3,1,英雄之路怪物!E234/OFFSET(英雄之路怪物!E234,$K$4-$A231,0))</f>
        <v>5.4341119881686373</v>
      </c>
      <c r="D231" s="2">
        <f ca="1">IF($A231=$K$3,1,英雄之路怪物!F234/OFFSET(英雄之路怪物!F234,$K$4-$A231,0))</f>
        <v>5.1095459383355912</v>
      </c>
      <c r="E231" s="2">
        <f ca="1">IF($A231=$K$3,1,英雄之路怪物!G234/OFFSET(英雄之路怪物!G234,$K$4-$A231,0))</f>
        <v>3.9766121883830445</v>
      </c>
      <c r="F231" s="2">
        <f ca="1">IF($A231=$K$3,1,英雄之路怪物!H234/OFFSET(英雄之路怪物!H234,$K$4-$A231,0))</f>
        <v>5.4341119881686373</v>
      </c>
    </row>
    <row r="232" spans="1:6">
      <c r="A232" s="2">
        <f>英雄之路怪物!C235</f>
        <v>37</v>
      </c>
      <c r="B232" s="2">
        <f>MOD(英雄之路怪物!D235,10)</f>
        <v>4</v>
      </c>
      <c r="C232" s="2">
        <f ca="1">IF($A232=$K$3,1,英雄之路怪物!E235/OFFSET(英雄之路怪物!E235,$K$4-$A232,0))</f>
        <v>5.9181912644716714</v>
      </c>
      <c r="D232" s="2">
        <f ca="1">IF($A232=$K$3,1,英雄之路怪物!F235/OFFSET(英雄之路怪物!F235,$K$4-$A232,0))</f>
        <v>5.6117214510807587</v>
      </c>
      <c r="E232" s="2">
        <f ca="1">IF($A232=$K$3,1,英雄之路怪物!G235/OFFSET(英雄之路怪物!G235,$K$4-$A232,0))</f>
        <v>4.2501950390323975</v>
      </c>
      <c r="F232" s="2">
        <f ca="1">IF($A232=$K$3,1,英雄之路怪物!H235/OFFSET(英雄之路怪物!H235,$K$4-$A232,0))</f>
        <v>5.9181912644716723</v>
      </c>
    </row>
    <row r="233" spans="1:6">
      <c r="A233" s="2">
        <f>英雄之路怪物!C236</f>
        <v>38</v>
      </c>
      <c r="B233" s="2">
        <f>MOD(英雄之路怪物!D236,10)</f>
        <v>4</v>
      </c>
      <c r="C233" s="2">
        <f ca="1">IF($A233=$K$3,1,英雄之路怪物!E236/OFFSET(英雄之路怪物!E236,$K$4-$A233,0))</f>
        <v>6.4266610681996923</v>
      </c>
      <c r="D233" s="2">
        <f ca="1">IF($A233=$K$3,1,英雄之路怪物!F236/OFFSET(英雄之路怪物!F236,$K$4-$A233,0))</f>
        <v>6.1465504124383461</v>
      </c>
      <c r="E233" s="2">
        <f ca="1">IF($A233=$K$3,1,英雄之路怪物!G236/OFFSET(英雄之路怪物!G236,$K$4-$A233,0))</f>
        <v>4.5302090903540924</v>
      </c>
      <c r="F233" s="2">
        <f ca="1">IF($A233=$K$3,1,英雄之路怪物!H236/OFFSET(英雄之路怪物!H236,$K$4-$A233,0))</f>
        <v>6.4266610681996932</v>
      </c>
    </row>
    <row r="234" spans="1:6">
      <c r="A234" s="2">
        <f>英雄之路怪物!C237</f>
        <v>39</v>
      </c>
      <c r="B234" s="2">
        <f>MOD(英雄之路怪物!D237,10)</f>
        <v>4</v>
      </c>
      <c r="C234" s="2">
        <f ca="1">IF($A234=$K$3,1,英雄之路怪物!E237/OFFSET(英雄之路怪物!E237,$K$4-$A234,0))</f>
        <v>6.9597358268613378</v>
      </c>
      <c r="D234" s="2">
        <f ca="1">IF($A234=$K$3,1,英雄之路怪物!F237/OFFSET(英雄之路怪物!F237,$K$4-$A234,0))</f>
        <v>6.715206181661264</v>
      </c>
      <c r="E234" s="2">
        <f ca="1">IF($A234=$K$3,1,英雄之路怪物!G237/OFFSET(英雄之路怪物!G237,$K$4-$A234,0))</f>
        <v>4.8162560274725283</v>
      </c>
      <c r="F234" s="2">
        <f ca="1">IF($A234=$K$3,1,英雄之路怪物!H237/OFFSET(英雄之路怪物!H237,$K$4-$A234,0))</f>
        <v>6.9597358268613387</v>
      </c>
    </row>
    <row r="235" spans="1:6">
      <c r="A235" s="2">
        <f>英雄之路怪物!C238</f>
        <v>40</v>
      </c>
      <c r="B235" s="2">
        <f>MOD(英雄之路怪物!D238,10)</f>
        <v>4</v>
      </c>
      <c r="C235" s="2">
        <f ca="1">IF($A235=$K$3,1,英雄之路怪物!E238/OFFSET(英雄之路怪物!E238,$K$4-$A235,0))</f>
        <v>7.5853175119679292</v>
      </c>
      <c r="D235" s="2">
        <f ca="1">IF($A235=$K$3,1,英雄之路怪物!F238/OFFSET(英雄之路怪物!F238,$K$4-$A235,0))</f>
        <v>7.3848036637746608</v>
      </c>
      <c r="E235" s="2">
        <f ca="1">IF($A235=$K$3,1,英雄之路怪物!G238/OFFSET(英雄之路怪物!G238,$K$4-$A235,0))</f>
        <v>5.1539350649350668</v>
      </c>
      <c r="F235" s="2">
        <f ca="1">IF($A235=$K$3,1,英雄之路怪物!H238/OFFSET(英雄之路怪物!H238,$K$4-$A235,0))</f>
        <v>7.5853175119679292</v>
      </c>
    </row>
    <row r="236" spans="1:6">
      <c r="A236" s="2">
        <f>英雄之路怪物!C239</f>
        <v>41</v>
      </c>
      <c r="B236" s="2">
        <f>MOD(英雄之路怪物!D239,10)</f>
        <v>4</v>
      </c>
      <c r="C236" s="2">
        <f ca="1">IF($A236=$K$3,1,英雄之路怪物!E239/OFFSET(英雄之路怪物!E239,$K$4-$A236,0))</f>
        <v>8.2424757843042009</v>
      </c>
      <c r="D236" s="2">
        <f ca="1">IF($A236=$K$3,1,英雄之路怪物!F239/OFFSET(英雄之路怪物!F239,$K$4-$A236,0))</f>
        <v>8.0983457867810298</v>
      </c>
      <c r="E236" s="2">
        <f ca="1">IF($A236=$K$3,1,英雄之路怪物!G239/OFFSET(英雄之路怪物!G239,$K$4-$A236,0))</f>
        <v>5.499576850408852</v>
      </c>
      <c r="F236" s="2">
        <f ca="1">IF($A236=$K$3,1,英雄之路怪物!H239/OFFSET(英雄之路怪物!H239,$K$4-$A236,0))</f>
        <v>8.2424757843042009</v>
      </c>
    </row>
    <row r="237" spans="1:6">
      <c r="A237" s="2">
        <f>英雄之路怪物!C240</f>
        <v>42</v>
      </c>
      <c r="B237" s="2">
        <f>MOD(英雄之路怪物!D240,10)</f>
        <v>4</v>
      </c>
      <c r="C237" s="2">
        <f ca="1">IF($A237=$K$3,1,英雄之路怪物!E240/OFFSET(英雄之路怪物!E240,$K$4-$A237,0))</f>
        <v>8.9314348390676503</v>
      </c>
      <c r="D237" s="2">
        <f ca="1">IF($A237=$K$3,1,英雄之路怪物!F240/OFFSET(英雄之路怪物!F240,$K$4-$A237,0))</f>
        <v>8.857380723678558</v>
      </c>
      <c r="E237" s="2">
        <f ca="1">IF($A237=$K$3,1,英雄之路怪物!G240/OFFSET(英雄之路怪物!G240,$K$4-$A237,0))</f>
        <v>5.8526305494505548</v>
      </c>
      <c r="F237" s="2">
        <f ca="1">IF($A237=$K$3,1,英雄之路怪物!H240/OFFSET(英雄之路怪物!H240,$K$4-$A237,0))</f>
        <v>8.9314348390676521</v>
      </c>
    </row>
    <row r="238" spans="1:6">
      <c r="A238" s="2">
        <f>英雄之路怪物!C241</f>
        <v>43</v>
      </c>
      <c r="B238" s="2">
        <f>MOD(英雄之路怪物!D241,10)</f>
        <v>4</v>
      </c>
      <c r="C238" s="2">
        <f ca="1">IF($A238=$K$3,1,英雄之路怪物!E241/OFFSET(英雄之路怪物!E241,$K$4-$A238,0))</f>
        <v>9.6523654393896958</v>
      </c>
      <c r="D238" s="2">
        <f ca="1">IF($A238=$K$3,1,英雄之路怪物!F241/OFFSET(英雄之路怪物!F241,$K$4-$A238,0))</f>
        <v>9.663461324059778</v>
      </c>
      <c r="E238" s="2">
        <f ca="1">IF($A238=$K$3,1,英雄之路怪物!G241/OFFSET(英雄之路怪物!G241,$K$4-$A238,0))</f>
        <v>6.2125189970267849</v>
      </c>
      <c r="F238" s="2">
        <f ca="1">IF($A238=$K$3,1,英雄之路怪物!H241/OFFSET(英雄之路怪物!H241,$K$4-$A238,0))</f>
        <v>9.6523654393896976</v>
      </c>
    </row>
    <row r="239" spans="1:6">
      <c r="A239" s="2">
        <f>英雄之路怪物!C242</f>
        <v>44</v>
      </c>
      <c r="B239" s="2">
        <f>MOD(英雄之路怪物!D242,10)</f>
        <v>4</v>
      </c>
      <c r="C239" s="2">
        <f ca="1">IF($A239=$K$3,1,英雄之路怪物!E242/OFFSET(英雄之路怪物!E242,$K$4-$A239,0))</f>
        <v>10.405383243994166</v>
      </c>
      <c r="D239" s="2">
        <f ca="1">IF($A239=$K$3,1,英雄之路怪物!F242/OFFSET(英雄之路怪物!F242,$K$4-$A239,0))</f>
        <v>10.518143023580853</v>
      </c>
      <c r="E239" s="2">
        <f ca="1">IF($A239=$K$3,1,英雄之路怪物!G242/OFFSET(英雄之路怪物!G242,$K$4-$A239,0))</f>
        <v>6.5786386975141289</v>
      </c>
      <c r="F239" s="2">
        <f ca="1">IF($A239=$K$3,1,英雄之路怪物!H242/OFFSET(英雄之路怪物!H242,$K$4-$A239,0))</f>
        <v>10.405383243994166</v>
      </c>
    </row>
    <row r="240" spans="1:6">
      <c r="A240" s="2">
        <f>英雄之路怪物!C243</f>
        <v>45</v>
      </c>
      <c r="B240" s="2">
        <f>MOD(英雄之路怪物!D243,10)</f>
        <v>4</v>
      </c>
      <c r="C240" s="2">
        <f ca="1">IF($A240=$K$3,1,英雄之路怪物!E243/OFFSET(英雄之路怪物!E243,$K$4-$A240,0))</f>
        <v>11.190547133536286</v>
      </c>
      <c r="D240" s="2">
        <f ca="1">IF($A240=$K$3,1,英雄之路怪物!F243/OFFSET(英雄之路怪物!F243,$K$4-$A240,0))</f>
        <v>11.42298165033621</v>
      </c>
      <c r="E240" s="2">
        <f ca="1">IF($A240=$K$3,1,英雄之路怪物!G243/OFFSET(英雄之路怪物!G243,$K$4-$A240,0))</f>
        <v>6.9503598246991114</v>
      </c>
      <c r="F240" s="2">
        <f ca="1">IF($A240=$K$3,1,英雄之路怪物!H243/OFFSET(英雄之路怪物!H243,$K$4-$A240,0))</f>
        <v>11.190547133536288</v>
      </c>
    </row>
    <row r="241" spans="1:6">
      <c r="A241" s="2">
        <f>英雄之路怪物!C244</f>
        <v>46</v>
      </c>
      <c r="B241" s="2">
        <f>MOD(英雄之路怪物!D244,10)</f>
        <v>4</v>
      </c>
      <c r="C241" s="2">
        <f ca="1">IF($A241=$K$3,1,英雄之路怪物!E244/OFFSET(英雄之路怪物!E244,$K$4-$A241,0))</f>
        <v>12.007857535984909</v>
      </c>
      <c r="D241" s="2">
        <f ca="1">IF($A241=$K$3,1,英雄之路怪物!F244/OFFSET(英雄之路怪物!F244,$K$4-$A241,0))</f>
        <v>12.379531122157887</v>
      </c>
      <c r="E241" s="2">
        <f ca="1">IF($A241=$K$3,1,英雄之路怪物!G244/OFFSET(英雄之路怪物!G244,$K$4-$A241,0))</f>
        <v>7.3270262217782278</v>
      </c>
      <c r="F241" s="2">
        <f ca="1">IF($A241=$K$3,1,英雄之路怪物!H244/OFFSET(英雄之路怪物!H244,$K$4-$A241,0))</f>
        <v>12.007857535984911</v>
      </c>
    </row>
    <row r="242" spans="1:6">
      <c r="A242" s="2">
        <f>英雄之路怪物!C245</f>
        <v>47</v>
      </c>
      <c r="B242" s="2">
        <f>MOD(英雄之路怪物!D245,10)</f>
        <v>4</v>
      </c>
      <c r="C242" s="2">
        <f ca="1">IF($A242=$K$3,1,英雄之路怪物!E245/OFFSET(英雄之路怪物!E245,$K$4-$A242,0))</f>
        <v>12.857254751353809</v>
      </c>
      <c r="D242" s="2">
        <f ca="1">IF($A242=$K$3,1,英雄之路怪物!F245/OFFSET(英雄之路怪物!F245,$K$4-$A242,0))</f>
        <v>13.389341028459137</v>
      </c>
      <c r="E242" s="2">
        <f ca="1">IF($A242=$K$3,1,英雄之路怪物!G245/OFFSET(英雄之路怪物!G245,$K$4-$A242,0))</f>
        <v>7.707955401357907</v>
      </c>
      <c r="F242" s="2">
        <f ca="1">IF($A242=$K$3,1,英雄之路怪物!H245/OFFSET(英雄之路怪物!H245,$K$4-$A242,0))</f>
        <v>12.85725475135381</v>
      </c>
    </row>
    <row r="243" spans="1:6">
      <c r="A243" s="2">
        <f>英雄之路怪物!C246</f>
        <v>48</v>
      </c>
      <c r="B243" s="2">
        <f>MOD(英雄之路怪物!D246,10)</f>
        <v>4</v>
      </c>
      <c r="C243" s="2">
        <f ca="1">IF($A243=$K$3,1,英雄之路怪物!E246/OFFSET(英雄之路怪物!E246,$K$4-$A243,0))</f>
        <v>13.738617276040401</v>
      </c>
      <c r="D243" s="2">
        <f ca="1">IF($A243=$K$3,1,英雄之路怪物!F246/OFFSET(英雄之路怪物!F246,$K$4-$A243,0))</f>
        <v>14.453954089811678</v>
      </c>
      <c r="E243" s="2">
        <f ca="1">IF($A243=$K$3,1,英雄之路怪物!G246/OFFSET(英雄之路怪物!G246,$K$4-$A243,0))</f>
        <v>8.0924385454545487</v>
      </c>
      <c r="F243" s="2">
        <f ca="1">IF($A243=$K$3,1,英雄之路怪物!H246/OFFSET(英雄之路怪物!H246,$K$4-$A243,0))</f>
        <v>13.738617276040401</v>
      </c>
    </row>
    <row r="244" spans="1:6">
      <c r="A244" s="2">
        <f>英雄之路怪物!C247</f>
        <v>49</v>
      </c>
      <c r="B244" s="2">
        <f>MOD(英雄之路怪物!D247,10)</f>
        <v>4</v>
      </c>
      <c r="C244" s="2">
        <f ca="1">IF($A244=$K$3,1,英雄之路怪物!E247/OFFSET(英雄之路怪物!E247,$K$4-$A244,0))</f>
        <v>14.651760126989577</v>
      </c>
      <c r="D244" s="2">
        <f ca="1">IF($A244=$K$3,1,英雄之路怪物!F247/OFFSET(英雄之路怪物!F247,$K$4-$A244,0))</f>
        <v>15.57490348798299</v>
      </c>
      <c r="E244" s="2">
        <f ca="1">IF($A244=$K$3,1,英雄之路怪物!G247/OFFSET(英雄之路怪物!G247,$K$4-$A244,0))</f>
        <v>8.4797405054945099</v>
      </c>
      <c r="F244" s="2">
        <f ca="1">IF($A244=$K$3,1,英雄之路怪物!H247/OFFSET(英雄之路怪物!H247,$K$4-$A244,0))</f>
        <v>14.651760126989579</v>
      </c>
    </row>
    <row r="245" spans="1:6">
      <c r="A245" s="2">
        <f>英雄之路怪物!C248</f>
        <v>50</v>
      </c>
      <c r="B245" s="2">
        <f>MOD(英雄之路怪物!D248,10)</f>
        <v>4</v>
      </c>
      <c r="C245" s="2">
        <f ca="1">IF($A245=$K$3,1,英雄之路怪物!E248/OFFSET(英雄之路怪物!E248,$K$4-$A245,0))</f>
        <v>15.699041278800447</v>
      </c>
      <c r="D245" s="2">
        <f ca="1">IF($A245=$K$3,1,英雄之路怪物!F248/OFFSET(英雄之路怪物!F248,$K$4-$A245,0))</f>
        <v>16.863931835362955</v>
      </c>
      <c r="E245" s="2">
        <f ca="1">IF($A245=$K$3,1,英雄之路怪物!G248/OFFSET(英雄之路怪物!G248,$K$4-$A245,0))</f>
        <v>8.9274491431187908</v>
      </c>
      <c r="F245" s="2">
        <f ca="1">IF($A245=$K$3,1,英雄之路怪物!H248/OFFSET(英雄之路怪物!H248,$K$4-$A245,0))</f>
        <v>15.699041278800449</v>
      </c>
    </row>
    <row r="246" spans="1:6">
      <c r="A246" s="2">
        <f>英雄之路怪物!C249</f>
        <v>51</v>
      </c>
      <c r="B246" s="2">
        <f>MOD(英雄之路怪物!D249,10)</f>
        <v>4</v>
      </c>
      <c r="C246" s="2">
        <f ca="1">IF($A246=$K$3,1,英雄之路怪物!E249/OFFSET(英雄之路怪物!E249,$K$4-$A246,0))</f>
        <v>16.694329391226663</v>
      </c>
      <c r="D246" s="2">
        <f ca="1">IF($A246=$K$3,1,英雄之路怪物!F249/OFFSET(英雄之路怪物!F249,$K$4-$A246,0))</f>
        <v>18.355481630003489</v>
      </c>
      <c r="E246" s="2">
        <f ca="1">IF($A246=$K$3,1,英雄之路怪物!G249/OFFSET(英雄之路怪物!G249,$K$4-$A246,0))</f>
        <v>9.6914017762211362</v>
      </c>
      <c r="F246" s="2">
        <f ca="1">IF($A246=$K$3,1,英雄之路怪物!H249/OFFSET(英雄之路怪物!H249,$K$4-$A246,0))</f>
        <v>16.694329391226663</v>
      </c>
    </row>
    <row r="247" spans="1:6">
      <c r="A247" s="2">
        <f>英雄之路怪物!C250</f>
        <v>52</v>
      </c>
      <c r="B247" s="2">
        <f>MOD(英雄之路怪物!D250,10)</f>
        <v>4</v>
      </c>
      <c r="C247" s="2">
        <f ca="1">IF($A247=$K$3,1,英雄之路怪物!E250/OFFSET(英雄之路怪物!E250,$K$4-$A247,0))</f>
        <v>18.367836205844615</v>
      </c>
      <c r="D247" s="2">
        <f ca="1">IF($A247=$K$3,1,英雄之路怪物!F250/OFFSET(英雄之路怪物!F250,$K$4-$A247,0))</f>
        <v>19.945069478423662</v>
      </c>
      <c r="E247" s="2">
        <f ca="1">IF($A247=$K$3,1,英雄之路怪物!G250/OFFSET(英雄之路怪物!G250,$K$4-$A247,0))</f>
        <v>10.202775599162742</v>
      </c>
      <c r="F247" s="2">
        <f ca="1">IF($A247=$K$3,1,英雄之路怪物!H250/OFFSET(英雄之路怪物!H250,$K$4-$A247,0))</f>
        <v>18.367836205844615</v>
      </c>
    </row>
    <row r="248" spans="1:6">
      <c r="A248" s="2">
        <f>英雄之路怪物!C251</f>
        <v>53</v>
      </c>
      <c r="B248" s="2">
        <f>MOD(英雄之路怪物!D251,10)</f>
        <v>4</v>
      </c>
      <c r="C248" s="2">
        <f ca="1">IF($A248=$K$3,1,英雄之路怪物!E251/OFFSET(英雄之路怪物!E251,$K$4-$A248,0))</f>
        <v>19.813164889564217</v>
      </c>
      <c r="D248" s="2">
        <f ca="1">IF($A248=$K$3,1,英雄之路怪物!F251/OFFSET(英雄之路怪物!F251,$K$4-$A248,0))</f>
        <v>21.637593041357022</v>
      </c>
      <c r="E248" s="2">
        <f ca="1">IF($A248=$K$3,1,英雄之路怪物!G251/OFFSET(英雄之路怪物!G251,$K$4-$A248,0))</f>
        <v>10.879874594017098</v>
      </c>
      <c r="F248" s="2">
        <f ca="1">IF($A248=$K$3,1,英雄之路怪物!H251/OFFSET(英雄之路怪物!H251,$K$4-$A248,0))</f>
        <v>19.81316488956422</v>
      </c>
    </row>
    <row r="249" spans="1:6">
      <c r="A249" s="2">
        <f>英雄之路怪物!C252</f>
        <v>54</v>
      </c>
      <c r="B249" s="2">
        <f>MOD(英雄之路怪物!D252,10)</f>
        <v>4</v>
      </c>
      <c r="C249" s="2">
        <f ca="1">IF($A249=$K$3,1,英雄之路怪物!E252/OFFSET(英雄之路怪物!E252,$K$4-$A249,0))</f>
        <v>21.335637090425063</v>
      </c>
      <c r="D249" s="2">
        <f ca="1">IF($A249=$K$3,1,英雄之路怪物!F252/OFFSET(英雄之路怪物!F252,$K$4-$A249,0))</f>
        <v>23.438160547163392</v>
      </c>
      <c r="E249" s="2">
        <f ca="1">IF($A249=$K$3,1,英雄之路怪物!G252/OFFSET(英雄之路怪物!G252,$K$4-$A249,0))</f>
        <v>11.583867509448227</v>
      </c>
      <c r="F249" s="2">
        <f ca="1">IF($A249=$K$3,1,英雄之路怪物!H252/OFFSET(英雄之路怪物!H252,$K$4-$A249,0))</f>
        <v>21.335637090425067</v>
      </c>
    </row>
    <row r="250" spans="1:6">
      <c r="A250" s="2">
        <f>英雄之路怪物!C253</f>
        <v>55</v>
      </c>
      <c r="B250" s="2">
        <f>MOD(英雄之路怪物!D253,10)</f>
        <v>4</v>
      </c>
      <c r="C250" s="2">
        <f ca="1">IF($A250=$K$3,1,英雄之路怪物!E253/OFFSET(英雄之路怪物!E253,$K$4-$A250,0))</f>
        <v>22.937686428827639</v>
      </c>
      <c r="D250" s="2">
        <f ca="1">IF($A250=$K$3,1,英雄之路怪物!F253/OFFSET(英雄之路怪物!F253,$K$4-$A250,0))</f>
        <v>25.352100220230088</v>
      </c>
      <c r="E250" s="2">
        <f ca="1">IF($A250=$K$3,1,英雄之路怪物!G253/OFFSET(英雄之路怪物!G253,$K$4-$A250,0))</f>
        <v>12.315206902472523</v>
      </c>
      <c r="F250" s="2">
        <f ca="1">IF($A250=$K$3,1,英雄之路怪物!H253/OFFSET(英雄之路怪物!H253,$K$4-$A250,0))</f>
        <v>22.937686428827639</v>
      </c>
    </row>
    <row r="251" spans="1:6">
      <c r="A251" s="2">
        <f>英雄之路怪物!C254</f>
        <v>56</v>
      </c>
      <c r="B251" s="2">
        <f>MOD(英雄之路怪物!D254,10)</f>
        <v>4</v>
      </c>
      <c r="C251" s="2">
        <f ca="1">IF($A251=$K$3,1,英雄之路怪物!E254/OFFSET(英雄之路怪物!E254,$K$4-$A251,0))</f>
        <v>24.621779784981591</v>
      </c>
      <c r="D251" s="2">
        <f ca="1">IF($A251=$K$3,1,英雄之路怪物!F254/OFFSET(英雄之路怪物!F254,$K$4-$A251,0))</f>
        <v>27.384970220551534</v>
      </c>
      <c r="E251" s="2">
        <f ca="1">IF($A251=$K$3,1,英雄之路怪物!G254/OFFSET(英雄之路怪物!G254,$K$4-$A251,0))</f>
        <v>13.074345330106402</v>
      </c>
      <c r="F251" s="2">
        <f ca="1">IF($A251=$K$3,1,英雄之路怪物!H254/OFFSET(英雄之路怪物!H254,$K$4-$A251,0))</f>
        <v>24.621779784981591</v>
      </c>
    </row>
    <row r="252" spans="1:6">
      <c r="A252" s="2">
        <f>英雄之路怪物!C255</f>
        <v>57</v>
      </c>
      <c r="B252" s="2">
        <f>MOD(英雄之路怪物!D255,10)</f>
        <v>4</v>
      </c>
      <c r="C252" s="2">
        <f ca="1">IF($A252=$K$3,1,英雄之路怪物!E255/OFFSET(英雄之路怪物!E255,$K$4-$A252,0))</f>
        <v>26.390417286583428</v>
      </c>
      <c r="D252" s="2">
        <f ca="1">IF($A252=$K$3,1,英雄之路怪物!F255/OFFSET(英雄之路怪物!F255,$K$4-$A252,0))</f>
        <v>29.542569127115442</v>
      </c>
      <c r="E252" s="2">
        <f ca="1">IF($A252=$K$3,1,英雄之路怪物!G255/OFFSET(英雄之路怪物!G255,$K$4-$A252,0))</f>
        <v>13.861735349366249</v>
      </c>
      <c r="F252" s="2">
        <f ca="1">IF($A252=$K$3,1,英雄之路怪物!H255/OFFSET(英雄之路怪物!H255,$K$4-$A252,0))</f>
        <v>26.390417286583432</v>
      </c>
    </row>
    <row r="253" spans="1:6">
      <c r="A253" s="2">
        <f>英雄之路怪物!C256</f>
        <v>58</v>
      </c>
      <c r="B253" s="2">
        <f>MOD(英雄之路怪物!D256,10)</f>
        <v>4</v>
      </c>
      <c r="C253" s="2">
        <f ca="1">IF($A253=$K$3,1,英雄之路怪物!E256/OFFSET(英雄之路怪物!E256,$K$4-$A253,0))</f>
        <v>28.246132296226452</v>
      </c>
      <c r="D253" s="2">
        <f ca="1">IF($A253=$K$3,1,英雄之路怪物!F256/OFFSET(英雄之路怪物!F256,$K$4-$A253,0))</f>
        <v>31.830947000126613</v>
      </c>
      <c r="E253" s="2">
        <f ca="1">IF($A253=$K$3,1,英雄之路怪物!G256/OFFSET(英雄之路怪物!G256,$K$4-$A253,0))</f>
        <v>14.677829517268446</v>
      </c>
      <c r="F253" s="2">
        <f ca="1">IF($A253=$K$3,1,英雄之路怪物!H256/OFFSET(英雄之路怪物!H256,$K$4-$A253,0))</f>
        <v>28.246132296226452</v>
      </c>
    </row>
    <row r="254" spans="1:6">
      <c r="A254" s="2">
        <f>英雄之路怪物!C257</f>
        <v>59</v>
      </c>
      <c r="B254" s="2">
        <f>MOD(英雄之路怪物!D257,10)</f>
        <v>4</v>
      </c>
      <c r="C254" s="2">
        <f ca="1">IF($A254=$K$3,1,英雄之路怪物!E257/OFFSET(英雄之路怪物!E257,$K$4-$A254,0))</f>
        <v>30.19149139859968</v>
      </c>
      <c r="D254" s="2">
        <f ca="1">IF($A254=$K$3,1,英雄之路怪物!F257/OFFSET(英雄之路怪物!F257,$K$4-$A254,0))</f>
        <v>34.256417059701107</v>
      </c>
      <c r="E254" s="2">
        <f ca="1">IF($A254=$K$3,1,英雄之路怪物!G257/OFFSET(英雄之路怪物!G257,$K$4-$A254,0))</f>
        <v>15.523080390829415</v>
      </c>
      <c r="F254" s="2">
        <f ca="1">IF($A254=$K$3,1,英雄之路怪物!H257/OFFSET(英雄之路怪物!H257,$K$4-$A254,0))</f>
        <v>30.19149139859968</v>
      </c>
    </row>
    <row r="255" spans="1:6">
      <c r="A255" s="2">
        <f>英雄之路怪物!C258</f>
        <v>60</v>
      </c>
      <c r="B255" s="2">
        <f>MOD(英雄之路怪物!D258,10)</f>
        <v>4</v>
      </c>
      <c r="C255" s="2">
        <f ca="1">IF($A255=$K$3,1,英雄之路怪物!E258/OFFSET(英雄之路怪物!E258,$K$4-$A255,0))</f>
        <v>32.3878583992865</v>
      </c>
      <c r="D255" s="2">
        <f ca="1">IF($A255=$K$3,1,英雄之路怪物!F258/OFFSET(英雄之路怪物!F258,$K$4-$A255,0))</f>
        <v>37.006974760509266</v>
      </c>
      <c r="E255" s="2">
        <f ca="1">IF($A255=$K$3,1,英雄之路怪物!G258/OFFSET(英雄之路怪物!G258,$K$4-$A255,0))</f>
        <v>16.478718559218564</v>
      </c>
      <c r="F255" s="2">
        <f ca="1">IF($A255=$K$3,1,英雄之路怪物!H258/OFFSET(英雄之路怪物!H258,$K$4-$A255,0))</f>
        <v>32.3878583992865</v>
      </c>
    </row>
    <row r="256" spans="1:6">
      <c r="A256" s="2">
        <f>英雄之路怪物!C259</f>
        <v>61</v>
      </c>
      <c r="B256" s="2">
        <f>MOD(英雄之路怪物!D259,10)</f>
        <v>4</v>
      </c>
      <c r="C256" s="2">
        <f ca="1">IF($A256=$K$3,1,英雄之路怪物!E259/OFFSET(英雄之路怪物!E259,$K$4-$A256,0))</f>
        <v>34.691974005309049</v>
      </c>
      <c r="D256" s="2">
        <f ca="1">IF($A256=$K$3,1,英雄之路怪物!F259/OFFSET(英雄之路怪物!F259,$K$4-$A256,0))</f>
        <v>39.925520182084497</v>
      </c>
      <c r="E256" s="2">
        <f ca="1">IF($A256=$K$3,1,英雄之路怪物!G259/OFFSET(英雄之路怪物!G259,$K$4-$A256,0))</f>
        <v>17.469236160714289</v>
      </c>
      <c r="F256" s="2">
        <f ca="1">IF($A256=$K$3,1,英雄之路怪物!H259/OFFSET(英雄之路怪物!H259,$K$4-$A256,0))</f>
        <v>34.691974005309056</v>
      </c>
    </row>
    <row r="257" spans="1:6">
      <c r="A257" s="2">
        <f>英雄之路怪物!C260</f>
        <v>62</v>
      </c>
      <c r="B257" s="2">
        <f>MOD(英雄之路怪物!D260,10)</f>
        <v>4</v>
      </c>
      <c r="C257" s="2">
        <f ca="1">IF($A257=$K$3,1,英雄之路怪物!E260/OFFSET(英雄之路怪物!E260,$K$4-$A257,0))</f>
        <v>37.106971775412397</v>
      </c>
      <c r="D257" s="2">
        <f ca="1">IF($A257=$K$3,1,英雄之路怪物!F260/OFFSET(英雄之路怪物!F260,$K$4-$A257,0))</f>
        <v>43.020227109939746</v>
      </c>
      <c r="E257" s="2">
        <f ca="1">IF($A257=$K$3,1,英雄之路怪物!G260/OFFSET(英雄之路怪物!G260,$K$4-$A257,0))</f>
        <v>18.495176263736273</v>
      </c>
      <c r="F257" s="2">
        <f ca="1">IF($A257=$K$3,1,英雄之路怪物!H260/OFFSET(英雄之路怪物!H260,$K$4-$A257,0))</f>
        <v>37.106971775412397</v>
      </c>
    </row>
    <row r="258" spans="1:6">
      <c r="A258" s="2">
        <f>英雄之路怪物!C261</f>
        <v>63</v>
      </c>
      <c r="B258" s="2">
        <f>MOD(英雄之路怪物!D261,10)</f>
        <v>4</v>
      </c>
      <c r="C258" s="2">
        <f ca="1">IF($A258=$K$3,1,英雄之路怪物!E261/OFFSET(英雄之路怪物!E261,$K$4-$A258,0))</f>
        <v>39.636025087792028</v>
      </c>
      <c r="D258" s="2">
        <f ca="1">IF($A258=$K$3,1,英雄之路怪物!F261/OFFSET(英雄之路怪物!F261,$K$4-$A258,0))</f>
        <v>46.299632562195143</v>
      </c>
      <c r="E258" s="2">
        <f ca="1">IF($A258=$K$3,1,英雄之路怪物!G261/OFFSET(英雄之路怪物!G261,$K$4-$A258,0))</f>
        <v>19.557081936704165</v>
      </c>
      <c r="F258" s="2">
        <f ca="1">IF($A258=$K$3,1,英雄之路怪物!H261/OFFSET(英雄之路怪物!H261,$K$4-$A258,0))</f>
        <v>39.636025087792035</v>
      </c>
    </row>
    <row r="259" spans="1:6">
      <c r="A259" s="2">
        <f>英雄之路怪物!C262</f>
        <v>64</v>
      </c>
      <c r="B259" s="2">
        <f>MOD(英雄之路怪物!D262,10)</f>
        <v>4</v>
      </c>
      <c r="C259" s="2">
        <f ca="1">IF($A259=$K$3,1,英雄之路怪物!E262/OFFSET(英雄之路怪物!E262,$K$4-$A259,0))</f>
        <v>42.282347124790761</v>
      </c>
      <c r="D259" s="2">
        <f ca="1">IF($A259=$K$3,1,英雄之路怪物!F262/OFFSET(英雄之路怪物!F262,$K$4-$A259,0))</f>
        <v>49.772654479477652</v>
      </c>
      <c r="E259" s="2">
        <f ca="1">IF($A259=$K$3,1,英雄之路怪物!G262/OFFSET(英雄之路怪物!G262,$K$4-$A259,0))</f>
        <v>20.6554962480377</v>
      </c>
      <c r="F259" s="2">
        <f ca="1">IF($A259=$K$3,1,英雄之路怪物!H262/OFFSET(英雄之路怪物!H262,$K$4-$A259,0))</f>
        <v>42.282347124790768</v>
      </c>
    </row>
    <row r="260" spans="1:6">
      <c r="A260" s="2">
        <f>英雄之路怪物!C263</f>
        <v>65</v>
      </c>
      <c r="B260" s="2">
        <f>MOD(英雄之路怪物!D263,10)</f>
        <v>4</v>
      </c>
      <c r="C260" s="2">
        <f ca="1">IF($A260=$K$3,1,英雄之路怪物!E263/OFFSET(英雄之路怪物!E263,$K$4-$A260,0))</f>
        <v>45.049190857524657</v>
      </c>
      <c r="D260" s="2">
        <f ca="1">IF($A260=$K$3,1,英雄之路怪物!F263/OFFSET(英雄之路怪物!F263,$K$4-$A260,0))</f>
        <v>53.448610458814869</v>
      </c>
      <c r="E260" s="2">
        <f ca="1">IF($A260=$K$3,1,英雄之路怪物!G263/OFFSET(英雄之路怪物!G263,$K$4-$A260,0))</f>
        <v>21.790962266156473</v>
      </c>
      <c r="F260" s="2">
        <f ca="1">IF($A260=$K$3,1,英雄之路怪物!H263/OFFSET(英雄之路怪物!H263,$K$4-$A260,0))</f>
        <v>45.049190857524657</v>
      </c>
    </row>
    <row r="261" spans="1:6">
      <c r="A261" s="2">
        <f>英雄之路怪物!C264</f>
        <v>66</v>
      </c>
      <c r="B261" s="2">
        <f>MOD(英雄之路怪物!D264,10)</f>
        <v>4</v>
      </c>
      <c r="C261" s="2">
        <f ca="1">IF($A261=$K$3,1,英雄之路怪物!E264/OFFSET(英雄之路怪物!E264,$K$4-$A261,0))</f>
        <v>47.939849030470945</v>
      </c>
      <c r="D261" s="2">
        <f ca="1">IF($A261=$K$3,1,英雄之路怪物!F264/OFFSET(英雄之路怪物!F264,$K$4-$A261,0))</f>
        <v>57.337237604118563</v>
      </c>
      <c r="E261" s="2">
        <f ca="1">IF($A261=$K$3,1,英雄之路怪物!G264/OFFSET(英雄之路怪物!G264,$K$4-$A261,0))</f>
        <v>22.964023059480223</v>
      </c>
      <c r="F261" s="2">
        <f ca="1">IF($A261=$K$3,1,英雄之路怪物!H264/OFFSET(英雄之路怪物!H264,$K$4-$A261,0))</f>
        <v>47.939849030470953</v>
      </c>
    </row>
    <row r="262" spans="1:6">
      <c r="A262" s="2">
        <f>英雄之路怪物!C265</f>
        <v>67</v>
      </c>
      <c r="B262" s="2">
        <f>MOD(英雄之路怪物!D265,10)</f>
        <v>4</v>
      </c>
      <c r="C262" s="2">
        <f ca="1">IF($A262=$K$3,1,英雄之路怪物!E265/OFFSET(英雄之路怪物!E265,$K$4-$A262,0))</f>
        <v>50.957654146047417</v>
      </c>
      <c r="D262" s="2">
        <f ca="1">IF($A262=$K$3,1,英雄之路怪物!F265/OFFSET(英雄之路怪物!F265,$K$4-$A262,0))</f>
        <v>60.931317657981204</v>
      </c>
      <c r="E262" s="2">
        <f ca="1">IF($A262=$K$3,1,英雄之路怪物!G265/OFFSET(英雄之路怪物!G265,$K$4-$A262,0))</f>
        <v>24.175221696428579</v>
      </c>
      <c r="F262" s="2">
        <f ca="1">IF($A262=$K$3,1,英雄之路怪物!H265/OFFSET(英雄之路怪物!H265,$K$4-$A262,0))</f>
        <v>50.957654146047417</v>
      </c>
    </row>
    <row r="263" spans="1:6">
      <c r="A263" s="2">
        <f>英雄之路怪物!C266</f>
        <v>68</v>
      </c>
      <c r="B263" s="2">
        <f>MOD(英雄之路怪物!D266,10)</f>
        <v>4</v>
      </c>
      <c r="C263" s="2">
        <f ca="1">IF($A263=$K$3,1,英雄之路怪物!E266/OFFSET(英雄之路怪物!E266,$K$4-$A263,0))</f>
        <v>54.105978449208756</v>
      </c>
      <c r="D263" s="2">
        <f ca="1">IF($A263=$K$3,1,英雄之路怪物!F266/OFFSET(英雄之路怪物!F266,$K$4-$A263,0))</f>
        <v>64.690171137659974</v>
      </c>
      <c r="E263" s="2">
        <f ca="1">IF($A263=$K$3,1,英雄之路怪物!G266/OFFSET(英雄之路怪物!G266,$K$4-$A263,0))</f>
        <v>25.42510124542126</v>
      </c>
      <c r="F263" s="2">
        <f ca="1">IF($A263=$K$3,1,英雄之路怪物!H266/OFFSET(英雄之路怪物!H266,$K$4-$A263,0))</f>
        <v>54.105978449208763</v>
      </c>
    </row>
    <row r="264" spans="1:6">
      <c r="A264" s="2">
        <f>英雄之路怪物!C267</f>
        <v>69</v>
      </c>
      <c r="B264" s="2">
        <f>MOD(英雄之路怪物!D267,10)</f>
        <v>4</v>
      </c>
      <c r="C264" s="2">
        <f ca="1">IF($A264=$K$3,1,英雄之路怪物!E267/OFFSET(英雄之路怪物!E267,$K$4-$A264,0))</f>
        <v>57.388233912081922</v>
      </c>
      <c r="D264" s="2">
        <f ca="1">IF($A264=$K$3,1,英雄之路怪物!F267/OFFSET(英雄之路怪物!F267,$K$4-$A264,0))</f>
        <v>68.619713185921412</v>
      </c>
      <c r="E264" s="2">
        <f ca="1">IF($A264=$K$3,1,英雄之路怪物!G267/OFFSET(英雄之路怪物!G267,$K$4-$A264,0))</f>
        <v>26.714204774877924</v>
      </c>
      <c r="F264" s="2">
        <f ca="1">IF($A264=$K$3,1,英雄之路怪物!H267/OFFSET(英雄之路怪物!H267,$K$4-$A264,0))</f>
        <v>57.38823391208193</v>
      </c>
    </row>
    <row r="265" spans="1:6">
      <c r="A265" s="2">
        <f>英雄之路怪物!C268</f>
        <v>70</v>
      </c>
      <c r="B265" s="2">
        <f>MOD(英雄之路怪物!D268,10)</f>
        <v>4</v>
      </c>
      <c r="C265" s="2">
        <f ca="1">IF($A265=$K$3,1,英雄之路怪物!E268/OFFSET(英雄之路怪物!E268,$K$4-$A265,0))</f>
        <v>61.038205067972619</v>
      </c>
      <c r="D265" s="2">
        <f ca="1">IF($A265=$K$3,1,英雄之路怪物!F268/OFFSET(英雄之路怪物!F268,$K$4-$A265,0))</f>
        <v>73.001563143980221</v>
      </c>
      <c r="E265" s="2">
        <f ca="1">IF($A265=$K$3,1,英雄之路怪物!G268/OFFSET(英雄之路怪物!G268,$K$4-$A265,0))</f>
        <v>28.149299123495577</v>
      </c>
      <c r="F265" s="2">
        <f ca="1">IF($A265=$K$3,1,英雄之路怪物!H268/OFFSET(英雄之路怪物!H268,$K$4-$A265,0))</f>
        <v>61.038205067972619</v>
      </c>
    </row>
    <row r="266" spans="1:6">
      <c r="A266" s="2">
        <f>英雄之路怪物!C269</f>
        <v>71</v>
      </c>
      <c r="B266" s="2">
        <f>MOD(英雄之路怪物!D269,10)</f>
        <v>4</v>
      </c>
      <c r="C266" s="2">
        <f ca="1">IF($A266=$K$3,1,英雄之路怪物!E269/OFFSET(英雄之路怪物!E269,$K$4-$A266,0))</f>
        <v>64.845187599564952</v>
      </c>
      <c r="D266" s="2">
        <f ca="1">IF($A266=$K$3,1,英雄之路怪物!F269/OFFSET(英雄之路怪物!F269,$K$4-$A266,0))</f>
        <v>77.58615484361772</v>
      </c>
      <c r="E266" s="2">
        <f ca="1">IF($A266=$K$3,1,英雄之路怪物!G269/OFFSET(英雄之路怪物!G269,$K$4-$A266,0))</f>
        <v>29.630124612186769</v>
      </c>
      <c r="F266" s="2">
        <f ca="1">IF($A266=$K$3,1,英雄之路怪物!H269/OFFSET(英雄之路怪物!H269,$K$4-$A266,0))</f>
        <v>64.845187599564952</v>
      </c>
    </row>
    <row r="267" spans="1:6">
      <c r="A267" s="2">
        <f>英雄之路怪物!C270</f>
        <v>72</v>
      </c>
      <c r="B267" s="2">
        <f>MOD(英雄之路怪物!D270,10)</f>
        <v>4</v>
      </c>
      <c r="C267" s="2">
        <f ca="1">IF($A267=$K$3,1,英雄之路怪物!E270/OFFSET(英雄之路怪物!E270,$K$4-$A267,0))</f>
        <v>68.813229768740968</v>
      </c>
      <c r="D267" s="2">
        <f ca="1">IF($A267=$K$3,1,英雄之路怪物!F270/OFFSET(英雄之路怪物!F270,$K$4-$A267,0))</f>
        <v>82.380909233755332</v>
      </c>
      <c r="E267" s="2">
        <f ca="1">IF($A267=$K$3,1,英雄之路怪物!G270/OFFSET(英雄之路怪物!G270,$K$4-$A267,0))</f>
        <v>31.157314820774477</v>
      </c>
      <c r="F267" s="2">
        <f ca="1">IF($A267=$K$3,1,英雄之路怪物!H270/OFFSET(英雄之路怪物!H270,$K$4-$A267,0))</f>
        <v>68.813229768740968</v>
      </c>
    </row>
    <row r="268" spans="1:6">
      <c r="A268" s="2">
        <f>英雄之路怪物!C271</f>
        <v>73</v>
      </c>
      <c r="B268" s="2">
        <f>MOD(英雄之路怪物!D271,10)</f>
        <v>4</v>
      </c>
      <c r="C268" s="2">
        <f ca="1">IF($A268=$K$3,1,英雄之路怪物!E271/OFFSET(英雄之路怪物!E271,$K$4-$A268,0))</f>
        <v>72.946426135465188</v>
      </c>
      <c r="D268" s="2">
        <f ca="1">IF($A268=$K$3,1,英雄之路怪物!F271/OFFSET(英雄之路怪物!F271,$K$4-$A268,0))</f>
        <v>87.39354230349069</v>
      </c>
      <c r="E268" s="2">
        <f ca="1">IF($A268=$K$3,1,英雄之路怪物!G271/OFFSET(英雄之路怪物!G271,$K$4-$A268,0))</f>
        <v>32.731503329081654</v>
      </c>
      <c r="F268" s="2">
        <f ca="1">IF($A268=$K$3,1,英雄之路怪物!H271/OFFSET(英雄之路怪物!H271,$K$4-$A268,0))</f>
        <v>72.946426135465202</v>
      </c>
    </row>
    <row r="269" spans="1:6">
      <c r="A269" s="2">
        <f>英雄之路怪物!C272</f>
        <v>74</v>
      </c>
      <c r="B269" s="2">
        <f>MOD(英雄之路怪物!D272,10)</f>
        <v>4</v>
      </c>
      <c r="C269" s="2">
        <f ca="1">IF($A269=$K$3,1,英雄之路怪物!E272/OFFSET(英雄之路怪物!E272,$K$4-$A269,0))</f>
        <v>77.248917540456901</v>
      </c>
      <c r="D269" s="2">
        <f ca="1">IF($A269=$K$3,1,英雄之路怪物!F272/OFFSET(英雄之路怪物!F272,$K$4-$A269,0))</f>
        <v>92.632081001531915</v>
      </c>
      <c r="E269" s="2">
        <f ca="1">IF($A269=$K$3,1,英雄之路怪物!G272/OFFSET(英雄之路怪物!G272,$K$4-$A269,0))</f>
        <v>34.353323716931236</v>
      </c>
      <c r="F269" s="2">
        <f ca="1">IF($A269=$K$3,1,英雄之路怪物!H272/OFFSET(英雄之路怪物!H272,$K$4-$A269,0))</f>
        <v>77.248917540456929</v>
      </c>
    </row>
    <row r="270" spans="1:6">
      <c r="A270" s="2">
        <f>英雄之路怪物!C273</f>
        <v>75</v>
      </c>
      <c r="B270" s="2">
        <f>MOD(英雄之路怪物!D273,10)</f>
        <v>4</v>
      </c>
      <c r="C270" s="2">
        <f ca="1">IF($A270=$K$3,1,英雄之路怪物!E273/OFFSET(英雄之路怪物!E273,$K$4-$A270,0))</f>
        <v>81.724891087975308</v>
      </c>
      <c r="D270" s="2">
        <f ca="1">IF($A270=$K$3,1,英雄之路怪物!F273/OFFSET(英雄之路怪物!F273,$K$4-$A270,0))</f>
        <v>98.104880197630649</v>
      </c>
      <c r="E270" s="2">
        <f ca="1">IF($A270=$K$3,1,英雄之路怪物!G273/OFFSET(英雄之路怪物!G273,$K$4-$A270,0))</f>
        <v>36.023409564146213</v>
      </c>
      <c r="F270" s="2">
        <f ca="1">IF($A270=$K$3,1,英雄之路怪物!H273/OFFSET(英雄之路怪物!H273,$K$4-$A270,0))</f>
        <v>81.724891087975323</v>
      </c>
    </row>
    <row r="271" spans="1:6">
      <c r="A271" s="2">
        <f>英雄之路怪物!C274</f>
        <v>76</v>
      </c>
      <c r="B271" s="2">
        <f>MOD(英雄之路怪物!D274,10)</f>
        <v>4</v>
      </c>
      <c r="C271" s="2">
        <f ca="1">IF($A271=$K$3,1,英雄之路怪物!E274/OFFSET(英雄之路怪物!E274,$K$4-$A271,0))</f>
        <v>86.378580128730732</v>
      </c>
      <c r="D271" s="2">
        <f ca="1">IF($A271=$K$3,1,英雄之路怪物!F274/OFFSET(英雄之路怪物!F274,$K$4-$A271,0))</f>
        <v>103.8206407664632</v>
      </c>
      <c r="E271" s="2">
        <f ca="1">IF($A271=$K$3,1,英雄之路怪物!G274/OFFSET(英雄之路怪物!G274,$K$4-$A271,0))</f>
        <v>37.742394450549462</v>
      </c>
      <c r="F271" s="2">
        <f ca="1">IF($A271=$K$3,1,英雄之路怪物!H274/OFFSET(英雄之路怪物!H274,$K$4-$A271,0))</f>
        <v>86.378580128730746</v>
      </c>
    </row>
    <row r="272" spans="1:6">
      <c r="A272" s="2">
        <f>英雄之路怪物!C275</f>
        <v>77</v>
      </c>
      <c r="B272" s="2">
        <f>MOD(英雄之路怪物!D275,10)</f>
        <v>4</v>
      </c>
      <c r="C272" s="2">
        <f ca="1">IF($A272=$K$3,1,英雄之路怪物!E275/OFFSET(英雄之路怪物!E275,$K$4-$A272,0))</f>
        <v>91.214264242931264</v>
      </c>
      <c r="D272" s="2">
        <f ca="1">IF($A272=$K$3,1,英雄之路怪物!F275/OFFSET(英雄之路怪物!F275,$K$4-$A272,0))</f>
        <v>109.78842888158552</v>
      </c>
      <c r="E272" s="2">
        <f ca="1">IF($A272=$K$3,1,英雄之路怪物!G275/OFFSET(英雄之路怪物!G275,$K$4-$A272,0))</f>
        <v>39.510911955964012</v>
      </c>
      <c r="F272" s="2">
        <f ca="1">IF($A272=$K$3,1,英雄之路怪物!H275/OFFSET(英雄之路怪物!H275,$K$4-$A272,0))</f>
        <v>91.214264242931264</v>
      </c>
    </row>
    <row r="273" spans="1:6">
      <c r="A273" s="2">
        <f>英雄之路怪物!C276</f>
        <v>78</v>
      </c>
      <c r="B273" s="2">
        <f>MOD(英雄之路怪物!D276,10)</f>
        <v>4</v>
      </c>
      <c r="C273" s="2">
        <f ca="1">IF($A273=$K$3,1,英雄之路怪物!E276/OFFSET(英雄之路怪物!E276,$K$4-$A273,0))</f>
        <v>96.236269223474267</v>
      </c>
      <c r="D273" s="2">
        <f ca="1">IF($A273=$K$3,1,英雄之路怪物!F276/OFFSET(英雄之路怪物!F276,$K$4-$A273,0))</f>
        <v>116.01769661499407</v>
      </c>
      <c r="E273" s="2">
        <f ca="1">IF($A273=$K$3,1,英雄之路怪物!G276/OFFSET(英雄之路怪物!G276,$K$4-$A273,0))</f>
        <v>41.32959566021281</v>
      </c>
      <c r="F273" s="2">
        <f ca="1">IF($A273=$K$3,1,英雄之路怪物!H276/OFFSET(英雄之路怪物!H276,$K$4-$A273,0))</f>
        <v>96.236269223474267</v>
      </c>
    </row>
    <row r="274" spans="1:6">
      <c r="A274" s="2">
        <f>英雄之路怪物!C277</f>
        <v>79</v>
      </c>
      <c r="B274" s="2">
        <f>MOD(英雄之路怪物!D277,10)</f>
        <v>4</v>
      </c>
      <c r="C274" s="2">
        <f ca="1">IF($A274=$K$3,1,英雄之路怪物!E277/OFFSET(英雄之路怪物!E277,$K$4-$A274,0))</f>
        <v>101.44896705929044</v>
      </c>
      <c r="D274" s="2">
        <f ca="1">IF($A274=$K$3,1,英雄之路怪物!F277/OFFSET(英雄之路怪物!F277,$K$4-$A274,0))</f>
        <v>122.51830394654247</v>
      </c>
      <c r="E274" s="2">
        <f ca="1">IF($A274=$K$3,1,英雄之路怪物!G277/OFFSET(英雄之路怪物!G277,$K$4-$A274,0))</f>
        <v>43.199079143118823</v>
      </c>
      <c r="F274" s="2">
        <f ca="1">IF($A274=$K$3,1,英雄之路怪物!H277/OFFSET(英雄之路怪物!H277,$K$4-$A274,0))</f>
        <v>101.44896705929044</v>
      </c>
    </row>
    <row r="275" spans="1:6">
      <c r="A275" s="2">
        <f>英雄之路怪物!C278</f>
        <v>80</v>
      </c>
      <c r="B275" s="2">
        <f>MOD(英雄之路怪物!D278,10)</f>
        <v>4</v>
      </c>
      <c r="C275" s="2">
        <f ca="1">IF($A275=$K$3,1,英雄之路怪物!E278/OFFSET(英雄之路怪物!E278,$K$4-$A275,0))</f>
        <v>107.17575136934924</v>
      </c>
      <c r="D275" s="2">
        <f ca="1">IF($A275=$K$3,1,英雄之路怪物!F278/OFFSET(英雄之路怪物!F278,$K$4-$A275,0))</f>
        <v>129.68651406513814</v>
      </c>
      <c r="E275" s="2">
        <f ca="1">IF($A275=$K$3,1,英雄之路怪物!G278/OFFSET(英雄之路怪物!G278,$K$4-$A275,0))</f>
        <v>45.254682539682527</v>
      </c>
      <c r="F275" s="2">
        <f ca="1">IF($A275=$K$3,1,英雄之路怪物!H278/OFFSET(英雄之路怪物!H278,$K$4-$A275,0))</f>
        <v>107.17575136934927</v>
      </c>
    </row>
    <row r="276" spans="1:6">
      <c r="A276" s="2">
        <f>英雄之路怪物!C279</f>
        <v>81</v>
      </c>
      <c r="B276" s="2">
        <f>MOD(英雄之路怪物!D279,10)</f>
        <v>4</v>
      </c>
      <c r="C276" s="2">
        <f ca="1">IF($A276=$K$3,1,英雄之路怪物!E279/OFFSET(英雄之路怪物!E279,$K$4-$A276,0))</f>
        <v>113.12184528078674</v>
      </c>
      <c r="D276" s="2">
        <f ca="1">IF($A276=$K$3,1,英雄之路怪物!F279/OFFSET(英雄之路怪物!F279,$K$4-$A276,0))</f>
        <v>155.71401437603362</v>
      </c>
      <c r="E276" s="2">
        <f ca="1">IF($A276=$K$3,1,英雄之路怪物!G279/OFFSET(英雄之路怪物!G279,$K$4-$A276,0))</f>
        <v>47.368377306674844</v>
      </c>
      <c r="F276" s="2">
        <f ca="1">IF($A276=$K$3,1,英雄之路怪物!H279/OFFSET(英雄之路怪物!H279,$K$4-$A276,0))</f>
        <v>113.12184528078674</v>
      </c>
    </row>
    <row r="277" spans="1:6">
      <c r="A277" s="2">
        <f>英雄之路怪物!C280</f>
        <v>82</v>
      </c>
      <c r="B277" s="2">
        <f>MOD(英雄之路怪物!D280,10)</f>
        <v>4</v>
      </c>
      <c r="C277" s="2">
        <f ca="1">IF($A277=$K$3,1,英雄之路怪物!E280/OFFSET(英雄之路怪物!E280,$K$4-$A277,0))</f>
        <v>119.29232614432996</v>
      </c>
      <c r="D277" s="2">
        <f ca="1">IF($A277=$K$3,1,英雄之路怪物!F280/OFFSET(英雄之路怪物!F280,$K$4-$A277,0))</f>
        <v>165.97861501513222</v>
      </c>
      <c r="E277" s="2">
        <f ca="1">IF($A277=$K$3,1,英雄之路怪物!G280/OFFSET(英雄之路怪物!G280,$K$4-$A277,0))</f>
        <v>49.540887535321829</v>
      </c>
      <c r="F277" s="2">
        <f ca="1">IF($A277=$K$3,1,英雄之路怪物!H280/OFFSET(英雄之路怪物!H280,$K$4-$A277,0))</f>
        <v>119.29232614432998</v>
      </c>
    </row>
    <row r="278" spans="1:6">
      <c r="A278" s="2">
        <f>英雄之路怪物!C281</f>
        <v>83</v>
      </c>
      <c r="B278" s="2">
        <f>MOD(英雄之路怪物!D281,10)</f>
        <v>4</v>
      </c>
      <c r="C278" s="2">
        <f ca="1">IF($A278=$K$3,1,英雄之路怪物!E281/OFFSET(英雄之路怪物!E281,$K$4-$A278,0))</f>
        <v>125.69232405416851</v>
      </c>
      <c r="D278" s="2">
        <f ca="1">IF($A278=$K$3,1,英雄之路怪物!F281/OFFSET(英雄之路怪物!F281,$K$4-$A278,0))</f>
        <v>176.80053067127213</v>
      </c>
      <c r="E278" s="2">
        <f ca="1">IF($A278=$K$3,1,英雄之路怪物!G281/OFFSET(英雄之路怪物!G281,$K$4-$A278,0))</f>
        <v>51.772937316849827</v>
      </c>
      <c r="F278" s="2">
        <f ca="1">IF($A278=$K$3,1,英雄之路怪物!H281/OFFSET(英雄之路怪物!H281,$K$4-$A278,0))</f>
        <v>125.69232405416852</v>
      </c>
    </row>
    <row r="279" spans="1:6">
      <c r="A279" s="2">
        <f>英雄之路怪物!C282</f>
        <v>84</v>
      </c>
      <c r="B279" s="2">
        <f>MOD(英雄之路怪物!D282,10)</f>
        <v>4</v>
      </c>
      <c r="C279" s="2">
        <f ca="1">IF($A279=$K$3,1,英雄之路怪物!E282/OFFSET(英雄之路怪物!E282,$K$4-$A279,0))</f>
        <v>132.32702182976914</v>
      </c>
      <c r="D279" s="2">
        <f ca="1">IF($A279=$K$3,1,英雄之路怪物!F282/OFFSET(英雄之路怪物!F282,$K$4-$A279,0))</f>
        <v>188.20717679557109</v>
      </c>
      <c r="E279" s="2">
        <f ca="1">IF($A279=$K$3,1,英雄之路怪物!G282/OFFSET(英雄之路怪物!G282,$K$4-$A279,0))</f>
        <v>54.065250742485041</v>
      </c>
      <c r="F279" s="2">
        <f ca="1">IF($A279=$K$3,1,英雄之路怪物!H282/OFFSET(英雄之路怪物!H282,$K$4-$A279,0))</f>
        <v>132.32702182976914</v>
      </c>
    </row>
    <row r="280" spans="1:6">
      <c r="A280" s="2">
        <f>英雄之路怪物!C283</f>
        <v>85</v>
      </c>
      <c r="B280" s="2">
        <f>MOD(英雄之路怪物!D283,10)</f>
        <v>4</v>
      </c>
      <c r="C280" s="2">
        <f ca="1">IF($A280=$K$3,1,英雄之路怪物!E283/OFFSET(英雄之路怪物!E283,$K$4-$A280,0))</f>
        <v>139.20165499788169</v>
      </c>
      <c r="D280" s="2">
        <f ca="1">IF($A280=$K$3,1,英雄之路怪物!F283/OFFSET(英雄之路怪物!F283,$K$4-$A280,0))</f>
        <v>200.22739261588021</v>
      </c>
      <c r="E280" s="2">
        <f ca="1">IF($A280=$K$3,1,英雄之路怪物!G283/OFFSET(英雄之路怪物!G283,$K$4-$A280,0))</f>
        <v>56.418551903453668</v>
      </c>
      <c r="F280" s="2">
        <f ca="1">IF($A280=$K$3,1,英雄之路怪物!H283/OFFSET(英雄之路怪物!H283,$K$4-$A280,0))</f>
        <v>139.20165499788169</v>
      </c>
    </row>
    <row r="281" spans="1:6">
      <c r="A281" s="2">
        <f>英雄之路怪物!C284</f>
        <v>86</v>
      </c>
      <c r="B281" s="2">
        <f>MOD(英雄之路怪物!D284,10)</f>
        <v>4</v>
      </c>
      <c r="C281" s="2">
        <f ca="1">IF($A281=$K$3,1,英雄之路怪物!E284/OFFSET(英雄之路怪物!E284,$K$4-$A281,0))</f>
        <v>146.32151177473924</v>
      </c>
      <c r="D281" s="2">
        <f ca="1">IF($A281=$K$3,1,英雄之路怪物!F284/OFFSET(英雄之路怪物!F284,$K$4-$A281,0))</f>
        <v>212.89152938740807</v>
      </c>
      <c r="E281" s="2">
        <f ca="1">IF($A281=$K$3,1,英雄之路怪物!G284/OFFSET(英雄之路怪物!G284,$K$4-$A281,0))</f>
        <v>58.833564890982032</v>
      </c>
      <c r="F281" s="2">
        <f ca="1">IF($A281=$K$3,1,英雄之路怪物!H284/OFFSET(英雄之路怪物!H284,$K$4-$A281,0))</f>
        <v>146.32151177473926</v>
      </c>
    </row>
    <row r="282" spans="1:6">
      <c r="A282" s="2">
        <f>英雄之路怪物!C285</f>
        <v>87</v>
      </c>
      <c r="B282" s="2">
        <f>MOD(英雄之路怪物!D285,10)</f>
        <v>4</v>
      </c>
      <c r="C282" s="2">
        <f ca="1">IF($A282=$K$3,1,英雄之路怪物!E285/OFFSET(英雄之路怪物!E285,$K$4-$A282,0))</f>
        <v>153.69193304845504</v>
      </c>
      <c r="D282" s="2">
        <f ca="1">IF($A282=$K$3,1,英雄之路怪物!F285/OFFSET(英雄之路怪物!F285,$K$4-$A282,0))</f>
        <v>226.23154528983446</v>
      </c>
      <c r="E282" s="2">
        <f ca="1">IF($A282=$K$3,1,英雄之路怪物!G285/OFFSET(英雄之路怪物!G285,$K$4-$A282,0))</f>
        <v>61.311013796296315</v>
      </c>
      <c r="F282" s="2">
        <f ca="1">IF($A282=$K$3,1,英雄之路怪物!H285/OFFSET(英雄之路怪物!H285,$K$4-$A282,0))</f>
        <v>153.69193304845504</v>
      </c>
    </row>
    <row r="283" spans="1:6">
      <c r="A283" s="2">
        <f>英雄之路怪物!C286</f>
        <v>88</v>
      </c>
      <c r="B283" s="2">
        <f>MOD(英雄之路怪物!D286,10)</f>
        <v>4</v>
      </c>
      <c r="C283" s="2">
        <f ca="1">IF($A283=$K$3,1,英雄之路怪物!E286/OFFSET(英雄之路怪物!E286,$K$4-$A283,0))</f>
        <v>161.31831236161824</v>
      </c>
      <c r="D283" s="2">
        <f ca="1">IF($A283=$K$3,1,英雄之路怪物!F286/OFFSET(英雄之路怪物!F286,$K$4-$A283,0))</f>
        <v>240.28110756234122</v>
      </c>
      <c r="E283" s="2">
        <f ca="1">IF($A283=$K$3,1,英雄之路怪物!G286/OFFSET(英雄之路怪物!G286,$K$4-$A283,0))</f>
        <v>63.851622710622685</v>
      </c>
      <c r="F283" s="2">
        <f ca="1">IF($A283=$K$3,1,英雄之路怪物!H286/OFFSET(英雄之路怪物!H286,$K$4-$A283,0))</f>
        <v>161.31831236161827</v>
      </c>
    </row>
    <row r="284" spans="1:6">
      <c r="A284" s="2">
        <f>英雄之路怪物!C287</f>
        <v>89</v>
      </c>
      <c r="B284" s="2">
        <f>MOD(英雄之路怪物!D287,10)</f>
        <v>4</v>
      </c>
      <c r="C284" s="2">
        <f ca="1">IF($A284=$K$3,1,英雄之路怪物!E287/OFFSET(英雄之路怪物!E287,$K$4-$A284,0))</f>
        <v>169.20609589408824</v>
      </c>
      <c r="D284" s="2">
        <f ca="1">IF($A284=$K$3,1,英雄之路怪物!F287/OFFSET(英雄之路怪物!F287,$K$4-$A284,0))</f>
        <v>255.07570252890127</v>
      </c>
      <c r="E284" s="2">
        <f ca="1">IF($A284=$K$3,1,英雄之路怪物!G287/OFFSET(英雄之路怪物!G287,$K$4-$A284,0))</f>
        <v>66.456115725187473</v>
      </c>
      <c r="F284" s="2">
        <f ca="1">IF($A284=$K$3,1,英雄之路怪物!H287/OFFSET(英雄之路怪物!H287,$K$4-$A284,0))</f>
        <v>169.20609589408826</v>
      </c>
    </row>
    <row r="285" spans="1:6">
      <c r="A285" s="2">
        <f>英雄之路怪物!C288</f>
        <v>90</v>
      </c>
      <c r="B285" s="2">
        <f>MOD(英雄之路怪物!D288,10)</f>
        <v>4</v>
      </c>
      <c r="C285" s="2">
        <f ca="1">IF($A285=$K$3,1,英雄之路怪物!E288/OFFSET(英雄之路怪物!E288,$K$4-$A285,0))</f>
        <v>177.36078244598949</v>
      </c>
      <c r="D285" s="2">
        <f ca="1">IF($A285=$K$3,1,英雄之路怪物!F288/OFFSET(英雄之路怪物!F288,$K$4-$A285,0))</f>
        <v>270.65275423424396</v>
      </c>
      <c r="E285" s="2">
        <f ca="1">IF($A285=$K$3,1,英雄之路怪物!G288/OFFSET(英雄之路怪物!G288,$K$4-$A285,0))</f>
        <v>69.12521693121694</v>
      </c>
      <c r="F285" s="2">
        <f ca="1">IF($A285=$K$3,1,英雄之路怪物!H288/OFFSET(英雄之路怪物!H288,$K$4-$A285,0))</f>
        <v>177.36078244598951</v>
      </c>
    </row>
    <row r="286" spans="1:6">
      <c r="A286" s="2">
        <f>英雄之路怪物!C289</f>
        <v>20</v>
      </c>
      <c r="B286" s="2">
        <f>MOD(英雄之路怪物!D289,10)</f>
        <v>5</v>
      </c>
      <c r="C286" s="2">
        <f ca="1">IF($A286=$K$3,1,英雄之路怪物!E289/OFFSET(英雄之路怪物!E289,$K$4-$A286,0))</f>
        <v>1</v>
      </c>
      <c r="D286" s="2">
        <f ca="1">IF($A286=$K$3,1,英雄之路怪物!F289/OFFSET(英雄之路怪物!F289,$K$4-$A286,0))</f>
        <v>1</v>
      </c>
      <c r="E286" s="2">
        <f ca="1">IF($A286=$K$3,1,英雄之路怪物!G289/OFFSET(英雄之路怪物!G289,$K$4-$A286,0))</f>
        <v>1</v>
      </c>
      <c r="F286" s="2">
        <f ca="1">IF($A286=$K$3,1,英雄之路怪物!H289/OFFSET(英雄之路怪物!H289,$K$4-$A286,0))</f>
        <v>1</v>
      </c>
    </row>
    <row r="287" spans="1:6">
      <c r="A287" s="2">
        <f>英雄之路怪物!C290</f>
        <v>21</v>
      </c>
      <c r="B287" s="2">
        <f>MOD(英雄之路怪物!D290,10)</f>
        <v>5</v>
      </c>
      <c r="C287" s="2">
        <f ca="1">IF($A287=$K$3,1,英雄之路怪物!E290/OFFSET(英雄之路怪物!E290,$K$4-$A287,0))</f>
        <v>1.117596838754978</v>
      </c>
      <c r="D287" s="2">
        <f ca="1">IF($A287=$K$3,1,英雄之路怪物!F290/OFFSET(英雄之路怪物!F290,$K$4-$A287,0))</f>
        <v>1.1095204807543111</v>
      </c>
      <c r="E287" s="2">
        <f ca="1">IF($A287=$K$3,1,英雄之路怪物!G290/OFFSET(英雄之路怪物!G290,$K$4-$A287,0))</f>
        <v>1.0931717687074833</v>
      </c>
      <c r="F287" s="2">
        <f ca="1">IF($A287=$K$3,1,英雄之路怪物!H290/OFFSET(英雄之路怪物!H290,$K$4-$A287,0))</f>
        <v>1.117596838754978</v>
      </c>
    </row>
    <row r="288" spans="1:6">
      <c r="A288" s="2">
        <f>英雄之路怪物!C291</f>
        <v>22</v>
      </c>
      <c r="B288" s="2">
        <f>MOD(英雄之路怪物!D291,10)</f>
        <v>5</v>
      </c>
      <c r="C288" s="2">
        <f ca="1">IF($A288=$K$3,1,英雄之路怪物!E291/OFFSET(英雄之路怪物!E291,$K$4-$A288,0))</f>
        <v>1.2431201966962262</v>
      </c>
      <c r="D288" s="2">
        <f ca="1">IF($A288=$K$3,1,英雄之路怪物!F291/OFFSET(英雄之路怪物!F291,$K$4-$A288,0))</f>
        <v>1.22604988148337</v>
      </c>
      <c r="E288" s="2">
        <f ca="1">IF($A288=$K$3,1,英雄之路怪物!G291/OFFSET(英雄之路怪物!G291,$K$4-$A288,0))</f>
        <v>1.1902040816326529</v>
      </c>
      <c r="F288" s="2">
        <f ca="1">IF($A288=$K$3,1,英雄之路怪物!H291/OFFSET(英雄之路怪物!H291,$K$4-$A288,0))</f>
        <v>1.2431201966962262</v>
      </c>
    </row>
    <row r="289" spans="1:6">
      <c r="A289" s="2">
        <f>英雄之路怪物!C292</f>
        <v>23</v>
      </c>
      <c r="B289" s="2">
        <f>MOD(英雄之路怪物!D292,10)</f>
        <v>5</v>
      </c>
      <c r="C289" s="2">
        <f ca="1">IF($A289=$K$3,1,英雄之路怪物!E292/OFFSET(英雄之路怪物!E292,$K$4-$A289,0))</f>
        <v>1.4024517884049481</v>
      </c>
      <c r="D289" s="2">
        <f ca="1">IF($A289=$K$3,1,英雄之路怪物!F292/OFFSET(英雄之路怪物!F292,$K$4-$A289,0))</f>
        <v>1.374995739522912</v>
      </c>
      <c r="E289" s="2">
        <f ca="1">IF($A289=$K$3,1,英雄之路怪物!G292/OFFSET(英雄之路怪物!G292,$K$4-$A289,0))</f>
        <v>1.31516810570382</v>
      </c>
      <c r="F289" s="2">
        <f ca="1">IF($A289=$K$3,1,英雄之路怪物!H292/OFFSET(英雄之路怪物!H292,$K$4-$A289,0))</f>
        <v>1.4024517884049481</v>
      </c>
    </row>
    <row r="290" spans="1:6">
      <c r="A290" s="2">
        <f>英雄之路怪物!C293</f>
        <v>24</v>
      </c>
      <c r="B290" s="2">
        <f>MOD(英雄之路怪物!D293,10)</f>
        <v>5</v>
      </c>
      <c r="C290" s="2">
        <f ca="1">IF($A290=$K$3,1,英雄之路怪物!E293/OFFSET(英雄之路怪物!E293,$K$4-$A290,0))</f>
        <v>1.5727679083562147</v>
      </c>
      <c r="D290" s="2">
        <f ca="1">IF($A290=$K$3,1,英雄之路怪物!F293/OFFSET(英雄之路怪物!F293,$K$4-$A290,0))</f>
        <v>1.533738445309383</v>
      </c>
      <c r="E290" s="2">
        <f ca="1">IF($A290=$K$3,1,英雄之路怪物!G293/OFFSET(英雄之路怪物!G293,$K$4-$A290,0))</f>
        <v>1.4454515325943895</v>
      </c>
      <c r="F290" s="2">
        <f ca="1">IF($A290=$K$3,1,英雄之路怪物!H293/OFFSET(英雄之路怪物!H293,$K$4-$A290,0))</f>
        <v>1.5727679083562145</v>
      </c>
    </row>
    <row r="291" spans="1:6">
      <c r="A291" s="2">
        <f>英雄之路怪物!C294</f>
        <v>25</v>
      </c>
      <c r="B291" s="2">
        <f>MOD(英雄之路怪物!D294,10)</f>
        <v>5</v>
      </c>
      <c r="C291" s="2">
        <f ca="1">IF($A291=$K$3,1,英雄之路怪物!E294/OFFSET(英雄之路怪物!E294,$K$4-$A291,0))</f>
        <v>1.7543614190545793</v>
      </c>
      <c r="D291" s="2">
        <f ca="1">IF($A291=$K$3,1,英雄之路怪物!F294/OFFSET(英雄之路怪物!F294,$K$4-$A291,0))</f>
        <v>1.7026182137524801</v>
      </c>
      <c r="E291" s="2">
        <f ca="1">IF($A291=$K$3,1,英雄之路怪物!G294/OFFSET(英雄之路怪物!G294,$K$4-$A291,0))</f>
        <v>1.5810543623043625</v>
      </c>
      <c r="F291" s="2">
        <f ca="1">IF($A291=$K$3,1,英雄之路怪物!H294/OFFSET(英雄之路怪物!H294,$K$4-$A291,0))</f>
        <v>1.7543614190545793</v>
      </c>
    </row>
    <row r="292" spans="1:6">
      <c r="A292" s="2">
        <f>英雄之路怪物!C295</f>
        <v>26</v>
      </c>
      <c r="B292" s="2">
        <f>MOD(英雄之路怪物!D295,10)</f>
        <v>5</v>
      </c>
      <c r="C292" s="2">
        <f ca="1">IF($A292=$K$3,1,英雄之路怪物!E295/OFFSET(英雄之路怪物!E295,$K$4-$A292,0))</f>
        <v>1.972233786607722</v>
      </c>
      <c r="D292" s="2">
        <f ca="1">IF($A292=$K$3,1,英雄之路怪物!F295/OFFSET(英雄之路怪物!F295,$K$4-$A292,0))</f>
        <v>1.9058629331394403</v>
      </c>
      <c r="E292" s="2">
        <f ca="1">IF($A292=$K$3,1,英雄之路怪物!G295/OFFSET(英雄之路怪物!G295,$K$4-$A292,0))</f>
        <v>1.7438244612530327</v>
      </c>
      <c r="F292" s="2">
        <f ca="1">IF($A292=$K$3,1,英雄之路怪物!H295/OFFSET(英雄之路怪物!H295,$K$4-$A292,0))</f>
        <v>1.9722337866077222</v>
      </c>
    </row>
    <row r="293" spans="1:6">
      <c r="A293" s="2">
        <f>英雄之路怪物!C296</f>
        <v>27</v>
      </c>
      <c r="B293" s="2">
        <f>MOD(英雄之路怪物!D296,10)</f>
        <v>5</v>
      </c>
      <c r="C293" s="2">
        <f ca="1">IF($A293=$K$3,1,英雄之路怪物!E296/OFFSET(英雄之路怪物!E296,$K$4-$A293,0))</f>
        <v>2.2042918205274931</v>
      </c>
      <c r="D293" s="2">
        <f ca="1">IF($A293=$K$3,1,英雄之路怪物!F296/OFFSET(英雄之路怪物!F296,$K$4-$A293,0))</f>
        <v>2.1220114367205052</v>
      </c>
      <c r="E293" s="2">
        <f ca="1">IF($A293=$K$3,1,英雄之路怪物!G296/OFFSET(英雄之路怪物!G296,$K$4-$A293,0))</f>
        <v>1.9131277333777335</v>
      </c>
      <c r="F293" s="2">
        <f ca="1">IF($A293=$K$3,1,英雄之路怪物!H296/OFFSET(英雄之路怪物!H296,$K$4-$A293,0))</f>
        <v>2.2042918205274931</v>
      </c>
    </row>
    <row r="294" spans="1:6">
      <c r="A294" s="2">
        <f>英雄之路怪物!C297</f>
        <v>28</v>
      </c>
      <c r="B294" s="2">
        <f>MOD(英雄之路怪物!D297,10)</f>
        <v>5</v>
      </c>
      <c r="C294" s="2">
        <f ca="1">IF($A294=$K$3,1,英雄之路怪物!E297/OFFSET(英雄之路怪物!E297,$K$4-$A294,0))</f>
        <v>2.4508928136691663</v>
      </c>
      <c r="D294" s="2">
        <f ca="1">IF($A294=$K$3,1,英雄之路怪物!F297/OFFSET(英雄之路怪物!F297,$K$4-$A294,0))</f>
        <v>2.3515094636709608</v>
      </c>
      <c r="E294" s="2">
        <f ca="1">IF($A294=$K$3,1,英雄之路怪物!G297/OFFSET(英雄之路怪物!G297,$K$4-$A294,0))</f>
        <v>2.0889641786784643</v>
      </c>
      <c r="F294" s="2">
        <f ca="1">IF($A294=$K$3,1,英雄之路怪物!H297/OFFSET(英雄之路怪物!H297,$K$4-$A294,0))</f>
        <v>2.4508928136691668</v>
      </c>
    </row>
    <row r="295" spans="1:6">
      <c r="A295" s="2">
        <f>英雄之路怪物!C298</f>
        <v>29</v>
      </c>
      <c r="B295" s="2">
        <f>MOD(英雄之路怪物!D298,10)</f>
        <v>5</v>
      </c>
      <c r="C295" s="2">
        <f ca="1">IF($A295=$K$3,1,英雄之路怪物!E298/OFFSET(英雄之路怪物!E298,$K$4-$A295,0))</f>
        <v>2.7123930236100176</v>
      </c>
      <c r="D295" s="2">
        <f ca="1">IF($A295=$K$3,1,英雄之路怪物!F298/OFFSET(英雄之路怪物!F298,$K$4-$A295,0))</f>
        <v>2.5948157044254323</v>
      </c>
      <c r="E295" s="2">
        <f ca="1">IF($A295=$K$3,1,英雄之路怪物!G298/OFFSET(英雄之路怪物!G298,$K$4-$A295,0))</f>
        <v>2.2713337971552265</v>
      </c>
      <c r="F295" s="2">
        <f ca="1">IF($A295=$K$3,1,英雄之路怪物!H298/OFFSET(英雄之路怪物!H298,$K$4-$A295,0))</f>
        <v>2.712393023610018</v>
      </c>
    </row>
    <row r="296" spans="1:6">
      <c r="A296" s="2">
        <f>英雄之路怪物!C299</f>
        <v>30</v>
      </c>
      <c r="B296" s="2">
        <f>MOD(英雄之路怪物!D299,10)</f>
        <v>5</v>
      </c>
      <c r="C296" s="2">
        <f ca="1">IF($A296=$K$3,1,英雄之路怪物!E299/OFFSET(英雄之路怪物!E299,$K$4-$A296,0))</f>
        <v>3.0265120612034342</v>
      </c>
      <c r="D296" s="2">
        <f ca="1">IF($A296=$K$3,1,英雄之路怪物!F299/OFFSET(英雄之路怪物!F299,$K$4-$A296,0))</f>
        <v>2.8880573029357315</v>
      </c>
      <c r="E296" s="2">
        <f ca="1">IF($A296=$K$3,1,英雄之路怪物!G299/OFFSET(英雄之路怪物!G299,$K$4-$A296,0))</f>
        <v>2.4909895461681182</v>
      </c>
      <c r="F296" s="2">
        <f ca="1">IF($A296=$K$3,1,英雄之路怪物!H299/OFFSET(英雄之路怪物!H299,$K$4-$A296,0))</f>
        <v>3.0265120612034346</v>
      </c>
    </row>
    <row r="297" spans="1:6">
      <c r="A297" s="2">
        <f>英雄之路怪物!C300</f>
        <v>31</v>
      </c>
      <c r="B297" s="2">
        <f>MOD(英雄之路怪物!D300,10)</f>
        <v>5</v>
      </c>
      <c r="C297" s="2">
        <f ca="1">IF($A297=$K$3,1,英雄之路怪物!E300/OFFSET(英雄之路怪物!E300,$K$4-$A297,0))</f>
        <v>3.3695317344270128</v>
      </c>
      <c r="D297" s="2">
        <f ca="1">IF($A297=$K$3,1,英雄之路怪物!F300/OFFSET(英雄之路怪物!F300,$K$4-$A297,0))</f>
        <v>3.2052392989389573</v>
      </c>
      <c r="E297" s="2">
        <f ca="1">IF($A297=$K$3,1,英雄之路怪物!G300/OFFSET(英雄之路怪物!G300,$K$4-$A297,0))</f>
        <v>2.7213972107142856</v>
      </c>
      <c r="F297" s="2">
        <f ca="1">IF($A297=$K$3,1,英雄之路怪物!H300/OFFSET(英雄之路怪物!H300,$K$4-$A297,0))</f>
        <v>3.3695317344270124</v>
      </c>
    </row>
    <row r="298" spans="1:6">
      <c r="A298" s="2">
        <f>英雄之路怪物!C301</f>
        <v>32</v>
      </c>
      <c r="B298" s="2">
        <f>MOD(英雄之路怪物!D301,10)</f>
        <v>5</v>
      </c>
      <c r="C298" s="2">
        <f ca="1">IF($A298=$K$3,1,英雄之路怪物!E301/OFFSET(英雄之路怪物!E301,$K$4-$A298,0))</f>
        <v>3.736134403677501</v>
      </c>
      <c r="D298" s="2">
        <f ca="1">IF($A298=$K$3,1,英雄之路怪物!F301/OFFSET(英雄之路怪物!F301,$K$4-$A298,0))</f>
        <v>3.5437905178032878</v>
      </c>
      <c r="E298" s="2">
        <f ca="1">IF($A298=$K$3,1,英雄之路怪物!G301/OFFSET(英雄之路怪物!G301,$K$4-$A298,0))</f>
        <v>2.9619607008325004</v>
      </c>
      <c r="F298" s="2">
        <f ca="1">IF($A298=$K$3,1,英雄之路怪物!H301/OFFSET(英雄之路怪物!H301,$K$4-$A298,0))</f>
        <v>3.7361344036775006</v>
      </c>
    </row>
    <row r="299" spans="1:6">
      <c r="A299" s="2">
        <f>英雄之路怪物!C302</f>
        <v>33</v>
      </c>
      <c r="B299" s="2">
        <f>MOD(英雄之路怪物!D302,10)</f>
        <v>5</v>
      </c>
      <c r="C299" s="2">
        <f ca="1">IF($A299=$K$3,1,英雄之路怪物!E302/OFFSET(英雄之路怪物!E302,$K$4-$A299,0))</f>
        <v>4.1255219053527252</v>
      </c>
      <c r="D299" s="2">
        <f ca="1">IF($A299=$K$3,1,英雄之路怪物!F302/OFFSET(英雄之路怪物!F302,$K$4-$A299,0))</f>
        <v>3.9030291687753933</v>
      </c>
      <c r="E299" s="2">
        <f ca="1">IF($A299=$K$3,1,英雄之路怪物!G302/OFFSET(英雄之路怪物!G302,$K$4-$A299,0))</f>
        <v>3.2114633441290867</v>
      </c>
      <c r="F299" s="2">
        <f ca="1">IF($A299=$K$3,1,英雄之路怪物!H302/OFFSET(英雄之路怪物!H302,$K$4-$A299,0))</f>
        <v>4.1255219053527252</v>
      </c>
    </row>
    <row r="300" spans="1:6">
      <c r="A300" s="2">
        <f>英雄之路怪物!C303</f>
        <v>34</v>
      </c>
      <c r="B300" s="2">
        <f>MOD(英雄之路怪物!D303,10)</f>
        <v>5</v>
      </c>
      <c r="C300" s="2">
        <f ca="1">IF($A300=$K$3,1,英雄之路怪物!E303/OFFSET(英雄之路怪物!E303,$K$4-$A300,0))</f>
        <v>4.538082335892768</v>
      </c>
      <c r="D300" s="2">
        <f ca="1">IF($A300=$K$3,1,英雄之路怪物!F303/OFFSET(英雄之路怪物!F303,$K$4-$A300,0))</f>
        <v>4.2834270427550107</v>
      </c>
      <c r="E300" s="2">
        <f ca="1">IF($A300=$K$3,1,英雄之路怪物!G303/OFFSET(英雄之路怪物!G303,$K$4-$A300,0))</f>
        <v>3.4696725503496499</v>
      </c>
      <c r="F300" s="2">
        <f ca="1">IF($A300=$K$3,1,英雄之路怪物!H303/OFFSET(英雄之路怪物!H303,$K$4-$A300,0))</f>
        <v>4.538082335892768</v>
      </c>
    </row>
    <row r="301" spans="1:6">
      <c r="A301" s="2">
        <f>英雄之路怪物!C304</f>
        <v>35</v>
      </c>
      <c r="B301" s="2">
        <f>MOD(英雄之路怪物!D304,10)</f>
        <v>5</v>
      </c>
      <c r="C301" s="2">
        <f ca="1">IF($A301=$K$3,1,英雄之路怪物!E304/OFFSET(英雄之路怪物!E304,$K$4-$A301,0))</f>
        <v>4.9741715657997148</v>
      </c>
      <c r="D301" s="2">
        <f ca="1">IF($A301=$K$3,1,英雄之路怪物!F304/OFFSET(英雄之路怪物!F304,$K$4-$A301,0))</f>
        <v>4.6854476569608421</v>
      </c>
      <c r="E301" s="2">
        <f ca="1">IF($A301=$K$3,1,英雄之路怪物!G304/OFFSET(英雄之路怪物!G304,$K$4-$A301,0))</f>
        <v>3.7363379560915271</v>
      </c>
      <c r="F301" s="2">
        <f ca="1">IF($A301=$K$3,1,英雄之路怪物!H304/OFFSET(英雄之路怪物!H304,$K$4-$A301,0))</f>
        <v>4.9741715657997156</v>
      </c>
    </row>
    <row r="302" spans="1:6">
      <c r="A302" s="2">
        <f>英雄之路怪物!C305</f>
        <v>36</v>
      </c>
      <c r="B302" s="2">
        <f>MOD(英雄之路怪物!D305,10)</f>
        <v>5</v>
      </c>
      <c r="C302" s="2">
        <f ca="1">IF($A302=$K$3,1,英雄之路怪物!E305/OFFSET(英雄之路怪物!E305,$K$4-$A302,0))</f>
        <v>5.4341119881686373</v>
      </c>
      <c r="D302" s="2">
        <f ca="1">IF($A302=$K$3,1,英雄之路怪物!F305/OFFSET(英雄之路怪物!F305,$K$4-$A302,0))</f>
        <v>5.1095459383355912</v>
      </c>
      <c r="E302" s="2">
        <f ca="1">IF($A302=$K$3,1,英雄之路怪物!G305/OFFSET(英雄之路怪物!G305,$K$4-$A302,0))</f>
        <v>4.0111914248037674</v>
      </c>
      <c r="F302" s="2">
        <f ca="1">IF($A302=$K$3,1,英雄之路怪物!H305/OFFSET(英雄之路怪物!H305,$K$4-$A302,0))</f>
        <v>5.4341119881686373</v>
      </c>
    </row>
    <row r="303" spans="1:6">
      <c r="A303" s="2">
        <f>英雄之路怪物!C306</f>
        <v>37</v>
      </c>
      <c r="B303" s="2">
        <f>MOD(英雄之路怪物!D306,10)</f>
        <v>5</v>
      </c>
      <c r="C303" s="2">
        <f ca="1">IF($A303=$K$3,1,英雄之路怪物!E306/OFFSET(英雄之路怪物!E306,$K$4-$A303,0))</f>
        <v>5.9181912644716714</v>
      </c>
      <c r="D303" s="2">
        <f ca="1">IF($A303=$K$3,1,英雄之路怪物!F306/OFFSET(英雄之路怪物!F306,$K$4-$A303,0))</f>
        <v>5.6117214510807587</v>
      </c>
      <c r="E303" s="2">
        <f ca="1">IF($A303=$K$3,1,英雄之路怪物!G306/OFFSET(英雄之路怪物!G306,$K$4-$A303,0))</f>
        <v>4.2939470467871415</v>
      </c>
      <c r="F303" s="2">
        <f ca="1">IF($A303=$K$3,1,英雄之路怪物!H306/OFFSET(英雄之路怪物!H306,$K$4-$A303,0))</f>
        <v>5.9181912644716714</v>
      </c>
    </row>
    <row r="304" spans="1:6">
      <c r="A304" s="2">
        <f>英雄之路怪物!C307</f>
        <v>38</v>
      </c>
      <c r="B304" s="2">
        <f>MOD(英雄之路怪物!D307,10)</f>
        <v>5</v>
      </c>
      <c r="C304" s="2">
        <f ca="1">IF($A304=$K$3,1,英雄之路怪物!E307/OFFSET(英雄之路怪物!E307,$K$4-$A304,0))</f>
        <v>6.4266610681996923</v>
      </c>
      <c r="D304" s="2">
        <f ca="1">IF($A304=$K$3,1,英雄之路怪物!F307/OFFSET(英雄之路怪物!F307,$K$4-$A304,0))</f>
        <v>6.1465504124383461</v>
      </c>
      <c r="E304" s="2">
        <f ca="1">IF($A304=$K$3,1,英雄之路怪物!G307/OFFSET(英雄之路怪物!G307,$K$4-$A304,0))</f>
        <v>4.5843011391941397</v>
      </c>
      <c r="F304" s="2">
        <f ca="1">IF($A304=$K$3,1,英雄之路怪物!H307/OFFSET(英雄之路怪物!H307,$K$4-$A304,0))</f>
        <v>6.4266610681996923</v>
      </c>
    </row>
    <row r="305" spans="1:6">
      <c r="A305" s="2">
        <f>英雄之路怪物!C308</f>
        <v>39</v>
      </c>
      <c r="B305" s="2">
        <f>MOD(英雄之路怪物!D308,10)</f>
        <v>5</v>
      </c>
      <c r="C305" s="2">
        <f ca="1">IF($A305=$K$3,1,英雄之路怪物!E308/OFFSET(英雄之路怪物!E308,$K$4-$A305,0))</f>
        <v>6.9597358268613378</v>
      </c>
      <c r="D305" s="2">
        <f ca="1">IF($A305=$K$3,1,英雄之路怪物!F308/OFFSET(英雄之路怪物!F308,$K$4-$A305,0))</f>
        <v>6.715206181661264</v>
      </c>
      <c r="E305" s="2">
        <f ca="1">IF($A305=$K$3,1,英雄之路怪物!G308/OFFSET(英雄之路怪物!G308,$K$4-$A305,0))</f>
        <v>4.8819322460289714</v>
      </c>
      <c r="F305" s="2">
        <f ca="1">IF($A305=$K$3,1,英雄之路怪物!H308/OFFSET(英雄之路怪物!H308,$K$4-$A305,0))</f>
        <v>6.9597358268613387</v>
      </c>
    </row>
    <row r="306" spans="1:6">
      <c r="A306" s="2">
        <f>英雄之路怪物!C309</f>
        <v>40</v>
      </c>
      <c r="B306" s="2">
        <f>MOD(英雄之路怪物!D309,10)</f>
        <v>5</v>
      </c>
      <c r="C306" s="2">
        <f ca="1">IF($A306=$K$3,1,英雄之路怪物!E309/OFFSET(英雄之路怪物!E309,$K$4-$A306,0))</f>
        <v>7.5853175119679284</v>
      </c>
      <c r="D306" s="2">
        <f ca="1">IF($A306=$K$3,1,英雄之路怪物!F309/OFFSET(英雄之路怪物!F309,$K$4-$A306,0))</f>
        <v>7.3848036637746608</v>
      </c>
      <c r="E306" s="2">
        <f ca="1">IF($A306=$K$3,1,英雄之路怪物!G309/OFFSET(英雄之路怪物!G309,$K$4-$A306,0))</f>
        <v>5.2332263736263753</v>
      </c>
      <c r="F306" s="2">
        <f ca="1">IF($A306=$K$3,1,英雄之路怪物!H309/OFFSET(英雄之路怪物!H309,$K$4-$A306,0))</f>
        <v>7.5853175119679292</v>
      </c>
    </row>
    <row r="307" spans="1:6">
      <c r="A307" s="2">
        <f>英雄之路怪物!C310</f>
        <v>41</v>
      </c>
      <c r="B307" s="2">
        <f>MOD(英雄之路怪物!D310,10)</f>
        <v>5</v>
      </c>
      <c r="C307" s="2">
        <f ca="1">IF($A307=$K$3,1,英雄之路怪物!E310/OFFSET(英雄之路怪物!E310,$K$4-$A307,0))</f>
        <v>8.2424757843041991</v>
      </c>
      <c r="D307" s="2">
        <f ca="1">IF($A307=$K$3,1,英雄之路怪物!F310/OFFSET(英雄之路怪物!F310,$K$4-$A307,0))</f>
        <v>8.0983457867810298</v>
      </c>
      <c r="E307" s="2">
        <f ca="1">IF($A307=$K$3,1,英雄之路怪物!G310/OFFSET(英雄之路怪物!G310,$K$4-$A307,0))</f>
        <v>5.5941008275252537</v>
      </c>
      <c r="F307" s="2">
        <f ca="1">IF($A307=$K$3,1,英雄之路怪物!H310/OFFSET(英雄之路怪物!H310,$K$4-$A307,0))</f>
        <v>8.2424757843041991</v>
      </c>
    </row>
    <row r="308" spans="1:6">
      <c r="A308" s="2">
        <f>英雄之路怪物!C311</f>
        <v>42</v>
      </c>
      <c r="B308" s="2">
        <f>MOD(英雄之路怪物!D311,10)</f>
        <v>5</v>
      </c>
      <c r="C308" s="2">
        <f ca="1">IF($A308=$K$3,1,英雄之路怪物!E311/OFFSET(英雄之路怪物!E311,$K$4-$A308,0))</f>
        <v>8.9314348390676503</v>
      </c>
      <c r="D308" s="2">
        <f ca="1">IF($A308=$K$3,1,英雄之路怪物!F311/OFFSET(英雄之路怪物!F311,$K$4-$A308,0))</f>
        <v>8.857380723678558</v>
      </c>
      <c r="E308" s="2">
        <f ca="1">IF($A308=$K$3,1,英雄之路怪物!G311/OFFSET(英雄之路怪物!G311,$K$4-$A308,0))</f>
        <v>5.9641092265829432</v>
      </c>
      <c r="F308" s="2">
        <f ca="1">IF($A308=$K$3,1,英雄之路怪物!H311/OFFSET(英雄之路怪物!H311,$K$4-$A308,0))</f>
        <v>8.9314348390676503</v>
      </c>
    </row>
    <row r="309" spans="1:6">
      <c r="A309" s="2">
        <f>英雄之路怪物!C312</f>
        <v>43</v>
      </c>
      <c r="B309" s="2">
        <f>MOD(英雄之路怪物!D312,10)</f>
        <v>5</v>
      </c>
      <c r="C309" s="2">
        <f ca="1">IF($A309=$K$3,1,英雄之路怪物!E312/OFFSET(英雄之路怪物!E312,$K$4-$A309,0))</f>
        <v>9.652365439389694</v>
      </c>
      <c r="D309" s="2">
        <f ca="1">IF($A309=$K$3,1,英雄之路怪物!F312/OFFSET(英雄之路怪物!F312,$K$4-$A309,0))</f>
        <v>9.663461324059778</v>
      </c>
      <c r="E309" s="2">
        <f ca="1">IF($A309=$K$3,1,英雄之路怪物!G312/OFFSET(英雄之路怪物!G312,$K$4-$A309,0))</f>
        <v>6.3427814921257317</v>
      </c>
      <c r="F309" s="2">
        <f ca="1">IF($A309=$K$3,1,英雄之路怪物!H312/OFFSET(英雄之路怪物!H312,$K$4-$A309,0))</f>
        <v>9.6523654393896958</v>
      </c>
    </row>
    <row r="310" spans="1:6">
      <c r="A310" s="2">
        <f>英雄之路怪物!C313</f>
        <v>44</v>
      </c>
      <c r="B310" s="2">
        <f>MOD(英雄之路怪物!D313,10)</f>
        <v>5</v>
      </c>
      <c r="C310" s="2">
        <f ca="1">IF($A310=$K$3,1,英雄之路怪物!E313/OFFSET(英雄之路怪物!E313,$K$4-$A310,0))</f>
        <v>10.405383243994164</v>
      </c>
      <c r="D310" s="2">
        <f ca="1">IF($A310=$K$3,1,英雄之路怪物!F313/OFFSET(英雄之路怪物!F313,$K$4-$A310,0))</f>
        <v>10.518143023580853</v>
      </c>
      <c r="E310" s="2">
        <f ca="1">IF($A310=$K$3,1,英雄之路怪物!G313/OFFSET(英雄之路怪物!G313,$K$4-$A310,0))</f>
        <v>6.7296238479488766</v>
      </c>
      <c r="F310" s="2">
        <f ca="1">IF($A310=$K$3,1,英雄之路怪物!H313/OFFSET(英雄之路怪物!H313,$K$4-$A310,0))</f>
        <v>10.405383243994164</v>
      </c>
    </row>
    <row r="311" spans="1:6">
      <c r="A311" s="2">
        <f>英雄之路怪物!C314</f>
        <v>45</v>
      </c>
      <c r="B311" s="2">
        <f>MOD(英雄之路怪物!D314,10)</f>
        <v>5</v>
      </c>
      <c r="C311" s="2">
        <f ca="1">IF($A311=$K$3,1,英雄之路怪物!E314/OFFSET(英雄之路怪物!E314,$K$4-$A311,0))</f>
        <v>11.190547133536286</v>
      </c>
      <c r="D311" s="2">
        <f ca="1">IF($A311=$K$3,1,英雄之路怪物!F314/OFFSET(英雄之路怪物!F314,$K$4-$A311,0))</f>
        <v>11.42298165033621</v>
      </c>
      <c r="E311" s="2">
        <f ca="1">IF($A311=$K$3,1,英雄之路怪物!G314/OFFSET(英雄之路怪物!G314,$K$4-$A311,0))</f>
        <v>7.1241188203165882</v>
      </c>
      <c r="F311" s="2">
        <f ca="1">IF($A311=$K$3,1,英雄之路怪物!H314/OFFSET(英雄之路怪物!H314,$K$4-$A311,0))</f>
        <v>11.190547133536286</v>
      </c>
    </row>
    <row r="312" spans="1:6">
      <c r="A312" s="2">
        <f>英雄之路怪物!C315</f>
        <v>46</v>
      </c>
      <c r="B312" s="2">
        <f>MOD(英雄之路怪物!D315,10)</f>
        <v>5</v>
      </c>
      <c r="C312" s="2">
        <f ca="1">IF($A312=$K$3,1,英雄之路怪物!E315/OFFSET(英雄之路怪物!E315,$K$4-$A312,0))</f>
        <v>12.007857535984908</v>
      </c>
      <c r="D312" s="2">
        <f ca="1">IF($A312=$K$3,1,英雄之路怪物!F315/OFFSET(英雄之路怪物!F315,$K$4-$A312,0))</f>
        <v>12.379531122157887</v>
      </c>
      <c r="E312" s="2">
        <f ca="1">IF($A312=$K$3,1,英雄之路怪物!G315/OFFSET(英雄之路怪物!G315,$K$4-$A312,0))</f>
        <v>7.5257252379620398</v>
      </c>
      <c r="F312" s="2">
        <f ca="1">IF($A312=$K$3,1,英雄之路怪物!H315/OFFSET(英雄之路怪物!H315,$K$4-$A312,0))</f>
        <v>12.007857535984909</v>
      </c>
    </row>
    <row r="313" spans="1:6">
      <c r="A313" s="2">
        <f>英雄之路怪物!C316</f>
        <v>47</v>
      </c>
      <c r="B313" s="2">
        <f>MOD(英雄之路怪物!D316,10)</f>
        <v>5</v>
      </c>
      <c r="C313" s="2">
        <f ca="1">IF($A313=$K$3,1,英雄之路怪物!E316/OFFSET(英雄之路怪物!E316,$K$4-$A313,0))</f>
        <v>12.857254751353809</v>
      </c>
      <c r="D313" s="2">
        <f ca="1">IF($A313=$K$3,1,英雄之路怪物!F316/OFFSET(英雄之路怪物!F316,$K$4-$A313,0))</f>
        <v>13.389341028459137</v>
      </c>
      <c r="E313" s="2">
        <f ca="1">IF($A313=$K$3,1,英雄之路怪物!G316/OFFSET(英雄之路怪物!G316,$K$4-$A313,0))</f>
        <v>7.9338782320873582</v>
      </c>
      <c r="F313" s="2">
        <f ca="1">IF($A313=$K$3,1,英雄之路怪物!H316/OFFSET(英雄之路怪物!H316,$K$4-$A313,0))</f>
        <v>12.857254751353809</v>
      </c>
    </row>
    <row r="314" spans="1:6">
      <c r="A314" s="2">
        <f>英雄之路怪物!C317</f>
        <v>48</v>
      </c>
      <c r="B314" s="2">
        <f>MOD(英雄之路怪物!D317,10)</f>
        <v>5</v>
      </c>
      <c r="C314" s="2">
        <f ca="1">IF($A314=$K$3,1,英雄之路怪物!E317/OFFSET(英雄之路怪物!E317,$K$4-$A314,0))</f>
        <v>13.738617276040399</v>
      </c>
      <c r="D314" s="2">
        <f ca="1">IF($A314=$K$3,1,英雄之路怪物!F317/OFFSET(英雄之路怪物!F317,$K$4-$A314,0))</f>
        <v>14.453954089811678</v>
      </c>
      <c r="E314" s="2">
        <f ca="1">IF($A314=$K$3,1,英雄之路怪物!G317/OFFSET(英雄之路怪物!G317,$K$4-$A314,0))</f>
        <v>8.3479892363636381</v>
      </c>
      <c r="F314" s="2">
        <f ca="1">IF($A314=$K$3,1,英雄之路怪物!H317/OFFSET(英雄之路怪物!H317,$K$4-$A314,0))</f>
        <v>13.738617276040403</v>
      </c>
    </row>
    <row r="315" spans="1:6">
      <c r="A315" s="2">
        <f>英雄之路怪物!C318</f>
        <v>49</v>
      </c>
      <c r="B315" s="2">
        <f>MOD(英雄之路怪物!D318,10)</f>
        <v>5</v>
      </c>
      <c r="C315" s="2">
        <f ca="1">IF($A315=$K$3,1,英雄之路怪物!E318/OFFSET(英雄之路怪物!E318,$K$4-$A315,0))</f>
        <v>14.651760126989576</v>
      </c>
      <c r="D315" s="2">
        <f ca="1">IF($A315=$K$3,1,英雄之路怪物!F318/OFFSET(英雄之路怪物!F318,$K$4-$A315,0))</f>
        <v>15.57490348798299</v>
      </c>
      <c r="E315" s="2">
        <f ca="1">IF($A315=$K$3,1,英雄之路怪物!G318/OFFSET(英雄之路怪物!G318,$K$4-$A315,0))</f>
        <v>8.7674459869309285</v>
      </c>
      <c r="F315" s="2">
        <f ca="1">IF($A315=$K$3,1,英雄之路怪物!H318/OFFSET(英雄之路怪物!H318,$K$4-$A315,0))</f>
        <v>14.651760126989576</v>
      </c>
    </row>
    <row r="316" spans="1:6">
      <c r="A316" s="2">
        <f>英雄之路怪物!C319</f>
        <v>50</v>
      </c>
      <c r="B316" s="2">
        <f>MOD(英雄之路怪物!D319,10)</f>
        <v>5</v>
      </c>
      <c r="C316" s="2">
        <f ca="1">IF($A316=$K$3,1,英雄之路怪物!E319/OFFSET(英雄之路怪物!E319,$K$4-$A316,0))</f>
        <v>15.699041278800449</v>
      </c>
      <c r="D316" s="2">
        <f ca="1">IF($A316=$K$3,1,英雄之路怪物!F319/OFFSET(英雄之路怪物!F319,$K$4-$A316,0))</f>
        <v>16.863931835362955</v>
      </c>
      <c r="E316" s="2">
        <f ca="1">IF($A316=$K$3,1,英雄之路怪物!G319/OFFSET(英雄之路怪物!G319,$K$4-$A316,0))</f>
        <v>9.2520836574140137</v>
      </c>
      <c r="F316" s="2">
        <f ca="1">IF($A316=$K$3,1,英雄之路怪物!H319/OFFSET(英雄之路怪物!H319,$K$4-$A316,0))</f>
        <v>15.699041278800451</v>
      </c>
    </row>
    <row r="317" spans="1:6">
      <c r="A317" s="2">
        <f>英雄之路怪物!C320</f>
        <v>51</v>
      </c>
      <c r="B317" s="2">
        <f>MOD(英雄之路怪物!D320,10)</f>
        <v>5</v>
      </c>
      <c r="C317" s="2">
        <f ca="1">IF($A317=$K$3,1,英雄之路怪物!E320/OFFSET(英雄之路怪物!E320,$K$4-$A317,0))</f>
        <v>16.694329391226663</v>
      </c>
      <c r="D317" s="2">
        <f ca="1">IF($A317=$K$3,1,英雄之路怪物!F320/OFFSET(英雄之路怪物!F320,$K$4-$A317,0))</f>
        <v>18.355481630003489</v>
      </c>
      <c r="E317" s="2">
        <f ca="1">IF($A317=$K$3,1,英雄之路怪物!G320/OFFSET(英雄之路怪物!G320,$K$4-$A317,0))</f>
        <v>9.9087532993784002</v>
      </c>
      <c r="F317" s="2">
        <f ca="1">IF($A317=$K$3,1,英雄之路怪物!H320/OFFSET(英雄之路怪物!H320,$K$4-$A317,0))</f>
        <v>16.694329391226663</v>
      </c>
    </row>
    <row r="318" spans="1:6">
      <c r="A318" s="2">
        <f>英雄之路怪物!C321</f>
        <v>52</v>
      </c>
      <c r="B318" s="2">
        <f>MOD(英雄之路怪物!D321,10)</f>
        <v>5</v>
      </c>
      <c r="C318" s="2">
        <f ca="1">IF($A318=$K$3,1,英雄之路怪物!E321/OFFSET(英雄之路怪物!E321,$K$4-$A318,0))</f>
        <v>18.367836205844615</v>
      </c>
      <c r="D318" s="2">
        <f ca="1">IF($A318=$K$3,1,英雄之路怪物!F321/OFFSET(英雄之路怪物!F321,$K$4-$A318,0))</f>
        <v>19.945069478423662</v>
      </c>
      <c r="E318" s="2">
        <f ca="1">IF($A318=$K$3,1,英雄之路怪物!G321/OFFSET(英雄之路怪物!G321,$K$4-$A318,0))</f>
        <v>10.573785620950479</v>
      </c>
      <c r="F318" s="2">
        <f ca="1">IF($A318=$K$3,1,英雄之路怪物!H321/OFFSET(英雄之路怪物!H321,$K$4-$A318,0))</f>
        <v>18.367836205844618</v>
      </c>
    </row>
    <row r="319" spans="1:6">
      <c r="A319" s="2">
        <f>英雄之路怪物!C322</f>
        <v>53</v>
      </c>
      <c r="B319" s="2">
        <f>MOD(英雄之路怪物!D322,10)</f>
        <v>5</v>
      </c>
      <c r="C319" s="2">
        <f ca="1">IF($A319=$K$3,1,英雄之路怪物!E322/OFFSET(英雄之路怪物!E322,$K$4-$A319,0))</f>
        <v>19.81316488956422</v>
      </c>
      <c r="D319" s="2">
        <f ca="1">IF($A319=$K$3,1,英雄之路怪物!F322/OFFSET(英雄之路怪物!F322,$K$4-$A319,0))</f>
        <v>21.637593041357022</v>
      </c>
      <c r="E319" s="2">
        <f ca="1">IF($A319=$K$3,1,英雄之路怪物!G322/OFFSET(英雄之路怪物!G322,$K$4-$A319,0))</f>
        <v>11.275506397435898</v>
      </c>
      <c r="F319" s="2">
        <f ca="1">IF($A319=$K$3,1,英雄之路怪物!H322/OFFSET(英雄之路怪物!H322,$K$4-$A319,0))</f>
        <v>19.81316488956422</v>
      </c>
    </row>
    <row r="320" spans="1:6">
      <c r="A320" s="2">
        <f>英雄之路怪物!C323</f>
        <v>54</v>
      </c>
      <c r="B320" s="2">
        <f>MOD(英雄之路怪物!D323,10)</f>
        <v>5</v>
      </c>
      <c r="C320" s="2">
        <f ca="1">IF($A320=$K$3,1,英雄之路怪物!E323/OFFSET(英雄之路怪物!E323,$K$4-$A320,0))</f>
        <v>21.335637090425067</v>
      </c>
      <c r="D320" s="2">
        <f ca="1">IF($A320=$K$3,1,英雄之路怪物!F323/OFFSET(英雄之路怪物!F323,$K$4-$A320,0))</f>
        <v>23.438160547163392</v>
      </c>
      <c r="E320" s="2">
        <f ca="1">IF($A320=$K$3,1,英雄之路怪物!G323/OFFSET(英雄之路怪物!G323,$K$4-$A320,0))</f>
        <v>12.005099055246342</v>
      </c>
      <c r="F320" s="2">
        <f ca="1">IF($A320=$K$3,1,英雄之路怪物!H323/OFFSET(英雄之路怪物!H323,$K$4-$A320,0))</f>
        <v>21.33563709042507</v>
      </c>
    </row>
    <row r="321" spans="1:6">
      <c r="A321" s="2">
        <f>英雄之路怪物!C324</f>
        <v>55</v>
      </c>
      <c r="B321" s="2">
        <f>MOD(英雄之路怪物!D324,10)</f>
        <v>5</v>
      </c>
      <c r="C321" s="2">
        <f ca="1">IF($A321=$K$3,1,英雄之路怪物!E324/OFFSET(英雄之路怪物!E324,$K$4-$A321,0))</f>
        <v>22.937686428827643</v>
      </c>
      <c r="D321" s="2">
        <f ca="1">IF($A321=$K$3,1,英雄之路怪物!F324/OFFSET(英雄之路怪物!F324,$K$4-$A321,0))</f>
        <v>25.352100220230088</v>
      </c>
      <c r="E321" s="2">
        <f ca="1">IF($A321=$K$3,1,英雄之路怪物!G324/OFFSET(英雄之路怪物!G324,$K$4-$A321,0))</f>
        <v>12.76303260801698</v>
      </c>
      <c r="F321" s="2">
        <f ca="1">IF($A321=$K$3,1,英雄之路怪物!H324/OFFSET(英雄之路怪物!H324,$K$4-$A321,0))</f>
        <v>22.937686428827643</v>
      </c>
    </row>
    <row r="322" spans="1:6">
      <c r="A322" s="2">
        <f>英雄之路怪物!C325</f>
        <v>56</v>
      </c>
      <c r="B322" s="2">
        <f>MOD(英雄之路怪物!D325,10)</f>
        <v>5</v>
      </c>
      <c r="C322" s="2">
        <f ca="1">IF($A322=$K$3,1,英雄之路怪物!E325/OFFSET(英雄之路怪物!E325,$K$4-$A322,0))</f>
        <v>24.621779784981594</v>
      </c>
      <c r="D322" s="2">
        <f ca="1">IF($A322=$K$3,1,英雄之路怪物!F325/OFFSET(英雄之路怪物!F325,$K$4-$A322,0))</f>
        <v>27.384970220551534</v>
      </c>
      <c r="E322" s="2">
        <f ca="1">IF($A322=$K$3,1,英雄之路怪物!G325/OFFSET(英雄之路怪物!G325,$K$4-$A322,0))</f>
        <v>13.549776069383</v>
      </c>
      <c r="F322" s="2">
        <f ca="1">IF($A322=$K$3,1,英雄之路怪物!H325/OFFSET(英雄之路怪物!H325,$K$4-$A322,0))</f>
        <v>24.621779784981594</v>
      </c>
    </row>
    <row r="323" spans="1:6">
      <c r="A323" s="2">
        <f>英雄之路怪物!C326</f>
        <v>57</v>
      </c>
      <c r="B323" s="2">
        <f>MOD(英雄之路怪物!D326,10)</f>
        <v>5</v>
      </c>
      <c r="C323" s="2">
        <f ca="1">IF($A323=$K$3,1,英雄之路怪物!E326/OFFSET(英雄之路怪物!E326,$K$4-$A323,0))</f>
        <v>26.390417286583432</v>
      </c>
      <c r="D323" s="2">
        <f ca="1">IF($A323=$K$3,1,英雄之路怪物!F326/OFFSET(英雄之路怪物!F326,$K$4-$A323,0))</f>
        <v>29.542569127115442</v>
      </c>
      <c r="E323" s="2">
        <f ca="1">IF($A323=$K$3,1,英雄之路怪物!G326/OFFSET(英雄之路怪物!G326,$K$4-$A323,0))</f>
        <v>14.365798452979561</v>
      </c>
      <c r="F323" s="2">
        <f ca="1">IF($A323=$K$3,1,英雄之路怪物!H326/OFFSET(英雄之路怪物!H326,$K$4-$A323,0))</f>
        <v>26.390417286583432</v>
      </c>
    </row>
    <row r="324" spans="1:6">
      <c r="A324" s="2">
        <f>英雄之路怪物!C327</f>
        <v>58</v>
      </c>
      <c r="B324" s="2">
        <f>MOD(英雄之路怪物!D327,10)</f>
        <v>5</v>
      </c>
      <c r="C324" s="2">
        <f ca="1">IF($A324=$K$3,1,英雄之路怪物!E327/OFFSET(英雄之路怪物!E327,$K$4-$A324,0))</f>
        <v>28.246132296226452</v>
      </c>
      <c r="D324" s="2">
        <f ca="1">IF($A324=$K$3,1,英雄之路怪物!F327/OFFSET(英雄之路怪物!F327,$K$4-$A324,0))</f>
        <v>31.830947000126613</v>
      </c>
      <c r="E324" s="2">
        <f ca="1">IF($A324=$K$3,1,英雄之路怪物!G327/OFFSET(英雄之路怪物!G327,$K$4-$A324,0))</f>
        <v>15.211568772441845</v>
      </c>
      <c r="F324" s="2">
        <f ca="1">IF($A324=$K$3,1,英雄之路怪物!H327/OFFSET(英雄之路怪物!H327,$K$4-$A324,0))</f>
        <v>28.246132296226452</v>
      </c>
    </row>
    <row r="325" spans="1:6">
      <c r="A325" s="2">
        <f>英雄之路怪物!C328</f>
        <v>59</v>
      </c>
      <c r="B325" s="2">
        <f>MOD(英雄之路怪物!D328,10)</f>
        <v>5</v>
      </c>
      <c r="C325" s="2">
        <f ca="1">IF($A325=$K$3,1,英雄之路怪物!E328/OFFSET(英雄之路怪物!E328,$K$4-$A325,0))</f>
        <v>30.191491398599684</v>
      </c>
      <c r="D325" s="2">
        <f ca="1">IF($A325=$K$3,1,英雄之路怪物!F328/OFFSET(英雄之路怪物!F328,$K$4-$A325,0))</f>
        <v>34.256417059701107</v>
      </c>
      <c r="E325" s="2">
        <f ca="1">IF($A325=$K$3,1,英雄之路怪物!G328/OFFSET(英雄之路怪物!G328,$K$4-$A325,0))</f>
        <v>16.087556041405026</v>
      </c>
      <c r="F325" s="2">
        <f ca="1">IF($A325=$K$3,1,英雄之路怪物!H328/OFFSET(英雄之路怪物!H328,$K$4-$A325,0))</f>
        <v>30.191491398599688</v>
      </c>
    </row>
    <row r="326" spans="1:6">
      <c r="A326" s="2">
        <f>英雄之路怪物!C329</f>
        <v>60</v>
      </c>
      <c r="B326" s="2">
        <f>MOD(英雄之路怪物!D329,10)</f>
        <v>5</v>
      </c>
      <c r="C326" s="2">
        <f ca="1">IF($A326=$K$3,1,英雄之路怪物!E329/OFFSET(英雄之路怪物!E329,$K$4-$A326,0))</f>
        <v>32.3878583992865</v>
      </c>
      <c r="D326" s="2">
        <f ca="1">IF($A326=$K$3,1,英雄之路怪物!F329/OFFSET(英雄之路怪物!F329,$K$4-$A326,0))</f>
        <v>37.006974760509266</v>
      </c>
      <c r="E326" s="2">
        <f ca="1">IF($A326=$K$3,1,英雄之路怪物!G329/OFFSET(英雄之路怪物!G329,$K$4-$A326,0))</f>
        <v>17.077944688644696</v>
      </c>
      <c r="F326" s="2">
        <f ca="1">IF($A326=$K$3,1,英雄之路怪物!H329/OFFSET(英雄之路怪物!H329,$K$4-$A326,0))</f>
        <v>32.3878583992865</v>
      </c>
    </row>
    <row r="327" spans="1:6">
      <c r="A327" s="2">
        <f>英雄之路怪物!C330</f>
        <v>61</v>
      </c>
      <c r="B327" s="2">
        <f>MOD(英雄之路怪物!D330,10)</f>
        <v>5</v>
      </c>
      <c r="C327" s="2">
        <f ca="1">IF($A327=$K$3,1,英雄之路怪物!E330/OFFSET(英雄之路怪物!E330,$K$4-$A327,0))</f>
        <v>34.691974005309056</v>
      </c>
      <c r="D327" s="2">
        <f ca="1">IF($A327=$K$3,1,英雄之路怪物!F330/OFFSET(英雄之路怪物!F330,$K$4-$A327,0))</f>
        <v>39.925520182084497</v>
      </c>
      <c r="E327" s="2">
        <f ca="1">IF($A327=$K$3,1,英雄之路怪物!G330/OFFSET(英雄之路怪物!G330,$K$4-$A327,0))</f>
        <v>18.104481112012987</v>
      </c>
      <c r="F327" s="2">
        <f ca="1">IF($A327=$K$3,1,英雄之路怪物!H330/OFFSET(英雄之路怪物!H330,$K$4-$A327,0))</f>
        <v>34.691974005309056</v>
      </c>
    </row>
    <row r="328" spans="1:6">
      <c r="A328" s="2">
        <f>英雄之路怪物!C331</f>
        <v>62</v>
      </c>
      <c r="B328" s="2">
        <f>MOD(英雄之路怪物!D331,10)</f>
        <v>5</v>
      </c>
      <c r="C328" s="2">
        <f ca="1">IF($A328=$K$3,1,英雄之路怪物!E331/OFFSET(英雄之路怪物!E331,$K$4-$A328,0))</f>
        <v>37.106971775412404</v>
      </c>
      <c r="D328" s="2">
        <f ca="1">IF($A328=$K$3,1,英雄之路怪物!F331/OFFSET(英雄之路怪物!F331,$K$4-$A328,0))</f>
        <v>43.020227109939746</v>
      </c>
      <c r="E328" s="2">
        <f ca="1">IF($A328=$K$3,1,英雄之路怪物!G331/OFFSET(英雄之路怪物!G331,$K$4-$A328,0))</f>
        <v>19.167728127872131</v>
      </c>
      <c r="F328" s="2">
        <f ca="1">IF($A328=$K$3,1,英雄之路怪物!H331/OFFSET(英雄之路怪物!H331,$K$4-$A328,0))</f>
        <v>37.106971775412397</v>
      </c>
    </row>
    <row r="329" spans="1:6">
      <c r="A329" s="2">
        <f>英雄之路怪物!C332</f>
        <v>63</v>
      </c>
      <c r="B329" s="2">
        <f>MOD(英雄之路怪物!D332,10)</f>
        <v>5</v>
      </c>
      <c r="C329" s="2">
        <f ca="1">IF($A329=$K$3,1,英雄之路怪物!E332/OFFSET(英雄之路怪物!E332,$K$4-$A329,0))</f>
        <v>39.636025087792035</v>
      </c>
      <c r="D329" s="2">
        <f ca="1">IF($A329=$K$3,1,英雄之路怪物!F332/OFFSET(英雄之路怪物!F332,$K$4-$A329,0))</f>
        <v>46.299632562195143</v>
      </c>
      <c r="E329" s="2">
        <f ca="1">IF($A329=$K$3,1,英雄之路怪物!G332/OFFSET(英雄之路怪物!G332,$K$4-$A329,0))</f>
        <v>20.268248552584321</v>
      </c>
      <c r="F329" s="2">
        <f ca="1">IF($A329=$K$3,1,英雄之路怪物!H332/OFFSET(英雄之路怪物!H332,$K$4-$A329,0))</f>
        <v>39.636025087792042</v>
      </c>
    </row>
    <row r="330" spans="1:6">
      <c r="A330" s="2">
        <f>英雄之路怪物!C333</f>
        <v>64</v>
      </c>
      <c r="B330" s="2">
        <f>MOD(英雄之路怪物!D333,10)</f>
        <v>5</v>
      </c>
      <c r="C330" s="2">
        <f ca="1">IF($A330=$K$3,1,英雄之路怪物!E333/OFFSET(英雄之路怪物!E333,$K$4-$A330,0))</f>
        <v>42.282347124790768</v>
      </c>
      <c r="D330" s="2">
        <f ca="1">IF($A330=$K$3,1,英雄之路怪物!F333/OFFSET(英雄之路怪物!F333,$K$4-$A330,0))</f>
        <v>49.772654479477652</v>
      </c>
      <c r="E330" s="2">
        <f ca="1">IF($A330=$K$3,1,英雄之路怪物!G333/OFFSET(英雄之路怪物!G333,$K$4-$A330,0))</f>
        <v>21.406605202511781</v>
      </c>
      <c r="F330" s="2">
        <f ca="1">IF($A330=$K$3,1,英雄之路怪物!H333/OFFSET(英雄之路怪物!H333,$K$4-$A330,0))</f>
        <v>42.282347124790775</v>
      </c>
    </row>
    <row r="331" spans="1:6">
      <c r="A331" s="2">
        <f>英雄之路怪物!C334</f>
        <v>65</v>
      </c>
      <c r="B331" s="2">
        <f>MOD(英雄之路怪物!D334,10)</f>
        <v>5</v>
      </c>
      <c r="C331" s="2">
        <f ca="1">IF($A331=$K$3,1,英雄之路怪物!E334/OFFSET(英雄之路怪物!E334,$K$4-$A331,0))</f>
        <v>45.049190857524657</v>
      </c>
      <c r="D331" s="2">
        <f ca="1">IF($A331=$K$3,1,英雄之路怪物!F334/OFFSET(英雄之路怪物!F334,$K$4-$A331,0))</f>
        <v>53.448610458814869</v>
      </c>
      <c r="E331" s="2">
        <f ca="1">IF($A331=$K$3,1,英雄之路怪物!G334/OFFSET(英雄之路怪物!G334,$K$4-$A331,0))</f>
        <v>22.5833608940167</v>
      </c>
      <c r="F331" s="2">
        <f ca="1">IF($A331=$K$3,1,英雄之路怪物!H334/OFFSET(英雄之路怪物!H334,$K$4-$A331,0))</f>
        <v>45.049190857524664</v>
      </c>
    </row>
    <row r="332" spans="1:6">
      <c r="A332" s="2">
        <f>英雄之路怪物!C335</f>
        <v>66</v>
      </c>
      <c r="B332" s="2">
        <f>MOD(英雄之路怪物!D335,10)</f>
        <v>5</v>
      </c>
      <c r="C332" s="2">
        <f ca="1">IF($A332=$K$3,1,英雄之路怪物!E335/OFFSET(英雄之路怪物!E335,$K$4-$A332,0))</f>
        <v>47.939849030470953</v>
      </c>
      <c r="D332" s="2">
        <f ca="1">IF($A332=$K$3,1,英雄之路怪物!F335/OFFSET(英雄之路怪物!F335,$K$4-$A332,0))</f>
        <v>57.337237604118563</v>
      </c>
      <c r="E332" s="2">
        <f ca="1">IF($A332=$K$3,1,英雄之路怪物!G335/OFFSET(英雄之路怪物!G335,$K$4-$A332,0))</f>
        <v>23.799078443461312</v>
      </c>
      <c r="F332" s="2">
        <f ca="1">IF($A332=$K$3,1,英雄之路怪物!H335/OFFSET(英雄之路怪物!H335,$K$4-$A332,0))</f>
        <v>47.93984903047096</v>
      </c>
    </row>
    <row r="333" spans="1:6">
      <c r="A333" s="2">
        <f>英雄之路怪物!C336</f>
        <v>67</v>
      </c>
      <c r="B333" s="2">
        <f>MOD(英雄之路怪物!D336,10)</f>
        <v>5</v>
      </c>
      <c r="C333" s="2">
        <f ca="1">IF($A333=$K$3,1,英雄之路怪物!E336/OFFSET(英雄之路怪物!E336,$K$4-$A333,0))</f>
        <v>50.957654146047425</v>
      </c>
      <c r="D333" s="2">
        <f ca="1">IF($A333=$K$3,1,英雄之路怪物!F336/OFFSET(英雄之路怪物!F336,$K$4-$A333,0))</f>
        <v>60.931317657981204</v>
      </c>
      <c r="E333" s="2">
        <f ca="1">IF($A333=$K$3,1,英雄之路怪物!G336/OFFSET(英雄之路怪物!G336,$K$4-$A333,0))</f>
        <v>25.054320667207801</v>
      </c>
      <c r="F333" s="2">
        <f ca="1">IF($A333=$K$3,1,英雄之路怪物!H336/OFFSET(英雄之路怪物!H336,$K$4-$A333,0))</f>
        <v>50.957654146047425</v>
      </c>
    </row>
    <row r="334" spans="1:6">
      <c r="A334" s="2">
        <f>英雄之路怪物!C337</f>
        <v>68</v>
      </c>
      <c r="B334" s="2">
        <f>MOD(英雄之路怪物!D337,10)</f>
        <v>5</v>
      </c>
      <c r="C334" s="2">
        <f ca="1">IF($A334=$K$3,1,英雄之路怪物!E337/OFFSET(英雄之路怪物!E337,$K$4-$A334,0))</f>
        <v>54.105978449208763</v>
      </c>
      <c r="D334" s="2">
        <f ca="1">IF($A334=$K$3,1,英雄之路怪物!F337/OFFSET(英雄之路怪物!F337,$K$4-$A334,0))</f>
        <v>64.690171137659974</v>
      </c>
      <c r="E334" s="2">
        <f ca="1">IF($A334=$K$3,1,英雄之路怪物!G337/OFFSET(英雄之路怪物!G337,$K$4-$A334,0))</f>
        <v>26.3496503816184</v>
      </c>
      <c r="F334" s="2">
        <f ca="1">IF($A334=$K$3,1,英雄之路怪物!H337/OFFSET(英雄之路怪物!H337,$K$4-$A334,0))</f>
        <v>54.10597844920877</v>
      </c>
    </row>
    <row r="335" spans="1:6">
      <c r="A335" s="2">
        <f>英雄之路怪物!C338</f>
        <v>69</v>
      </c>
      <c r="B335" s="2">
        <f>MOD(英雄之路怪物!D338,10)</f>
        <v>5</v>
      </c>
      <c r="C335" s="2">
        <f ca="1">IF($A335=$K$3,1,英雄之路怪物!E338/OFFSET(英雄之路怪物!E338,$K$4-$A335,0))</f>
        <v>57.388233912081937</v>
      </c>
      <c r="D335" s="2">
        <f ca="1">IF($A335=$K$3,1,英雄之路怪物!F338/OFFSET(英雄之路怪物!F338,$K$4-$A335,0))</f>
        <v>68.619713185921412</v>
      </c>
      <c r="E335" s="2">
        <f ca="1">IF($A335=$K$3,1,英雄之路怪物!G338/OFFSET(英雄之路怪物!G338,$K$4-$A335,0))</f>
        <v>27.685630403055296</v>
      </c>
      <c r="F335" s="2">
        <f ca="1">IF($A335=$K$3,1,英雄之路怪物!H338/OFFSET(英雄之路怪物!H338,$K$4-$A335,0))</f>
        <v>57.388233912081937</v>
      </c>
    </row>
    <row r="336" spans="1:6">
      <c r="A336" s="2">
        <f>英雄之路怪物!C339</f>
        <v>70</v>
      </c>
      <c r="B336" s="2">
        <f>MOD(英雄之路怪物!D339,10)</f>
        <v>5</v>
      </c>
      <c r="C336" s="2">
        <f ca="1">IF($A336=$K$3,1,英雄之路怪物!E339/OFFSET(英雄之路怪物!E339,$K$4-$A336,0))</f>
        <v>61.038205067972626</v>
      </c>
      <c r="D336" s="2">
        <f ca="1">IF($A336=$K$3,1,英雄之路怪物!F339/OFFSET(英雄之路怪物!F339,$K$4-$A336,0))</f>
        <v>73.001563143980221</v>
      </c>
      <c r="E336" s="2">
        <f ca="1">IF($A336=$K$3,1,英雄之路怪物!G339/OFFSET(英雄之路怪物!G339,$K$4-$A336,0))</f>
        <v>29.172910000713586</v>
      </c>
      <c r="F336" s="2">
        <f ca="1">IF($A336=$K$3,1,英雄之路怪物!H339/OFFSET(英雄之路怪物!H339,$K$4-$A336,0))</f>
        <v>61.038205067972619</v>
      </c>
    </row>
    <row r="337" spans="1:6">
      <c r="A337" s="2">
        <f>英雄之路怪物!C340</f>
        <v>71</v>
      </c>
      <c r="B337" s="2">
        <f>MOD(英雄之路怪物!D340,10)</f>
        <v>5</v>
      </c>
      <c r="C337" s="2">
        <f ca="1">IF($A337=$K$3,1,英雄之路怪物!E340/OFFSET(英雄之路怪物!E340,$K$4-$A337,0))</f>
        <v>64.845187599564966</v>
      </c>
      <c r="D337" s="2">
        <f ca="1">IF($A337=$K$3,1,英雄之路怪物!F340/OFFSET(英雄之路怪物!F340,$K$4-$A337,0))</f>
        <v>77.58615484361772</v>
      </c>
      <c r="E337" s="2">
        <f ca="1">IF($A337=$K$3,1,英雄之路怪物!G340/OFFSET(英雄之路怪物!G340,$K$4-$A337,0))</f>
        <v>30.707583688993559</v>
      </c>
      <c r="F337" s="2">
        <f ca="1">IF($A337=$K$3,1,英雄之路怪物!H340/OFFSET(英雄之路怪物!H340,$K$4-$A337,0))</f>
        <v>64.845187599564952</v>
      </c>
    </row>
    <row r="338" spans="1:6">
      <c r="A338" s="2">
        <f>英雄之路怪物!C341</f>
        <v>72</v>
      </c>
      <c r="B338" s="2">
        <f>MOD(英雄之路怪物!D341,10)</f>
        <v>5</v>
      </c>
      <c r="C338" s="2">
        <f ca="1">IF($A338=$K$3,1,英雄之路怪物!E341/OFFSET(英雄之路怪物!E341,$K$4-$A338,0))</f>
        <v>68.813229768740968</v>
      </c>
      <c r="D338" s="2">
        <f ca="1">IF($A338=$K$3,1,英雄之路怪物!F341/OFFSET(英雄之路怪物!F341,$K$4-$A338,0))</f>
        <v>82.380909233755332</v>
      </c>
      <c r="E338" s="2">
        <f ca="1">IF($A338=$K$3,1,英雄之路怪物!G341/OFFSET(英雄之路怪物!G341,$K$4-$A338,0))</f>
        <v>32.290308086984453</v>
      </c>
      <c r="F338" s="2">
        <f ca="1">IF($A338=$K$3,1,英雄之路怪物!H341/OFFSET(英雄之路怪物!H341,$K$4-$A338,0))</f>
        <v>68.813229768740982</v>
      </c>
    </row>
    <row r="339" spans="1:6">
      <c r="A339" s="2">
        <f>英雄之路怪物!C342</f>
        <v>73</v>
      </c>
      <c r="B339" s="2">
        <f>MOD(英雄之路怪物!D342,10)</f>
        <v>5</v>
      </c>
      <c r="C339" s="2">
        <f ca="1">IF($A339=$K$3,1,英雄之路怪物!E342/OFFSET(英雄之路怪物!E342,$K$4-$A339,0))</f>
        <v>72.946426135465202</v>
      </c>
      <c r="D339" s="2">
        <f ca="1">IF($A339=$K$3,1,英雄之路怪物!F342/OFFSET(英雄之路怪物!F342,$K$4-$A339,0))</f>
        <v>87.39354230349069</v>
      </c>
      <c r="E339" s="2">
        <f ca="1">IF($A339=$K$3,1,英雄之路怪物!G342/OFFSET(英雄之路怪物!G342,$K$4-$A339,0))</f>
        <v>33.921739813775524</v>
      </c>
      <c r="F339" s="2">
        <f ca="1">IF($A339=$K$3,1,英雄之路怪物!H342/OFFSET(英雄之路怪物!H342,$K$4-$A339,0))</f>
        <v>72.946426135465202</v>
      </c>
    </row>
    <row r="340" spans="1:6">
      <c r="A340" s="2">
        <f>英雄之路怪物!C343</f>
        <v>74</v>
      </c>
      <c r="B340" s="2">
        <f>MOD(英雄之路怪物!D343,10)</f>
        <v>5</v>
      </c>
      <c r="C340" s="2">
        <f ca="1">IF($A340=$K$3,1,英雄之路怪物!E343/OFFSET(英雄之路怪物!E343,$K$4-$A340,0))</f>
        <v>77.248917540456929</v>
      </c>
      <c r="D340" s="2">
        <f ca="1">IF($A340=$K$3,1,英雄之路怪物!F343/OFFSET(英雄之路怪物!F343,$K$4-$A340,0))</f>
        <v>92.632081001531915</v>
      </c>
      <c r="E340" s="2">
        <f ca="1">IF($A340=$K$3,1,英雄之路怪物!G343/OFFSET(英雄之路怪物!G343,$K$4-$A340,0))</f>
        <v>35.602535488455999</v>
      </c>
      <c r="F340" s="2">
        <f ca="1">IF($A340=$K$3,1,英雄之路怪物!H343/OFFSET(英雄之路怪物!H343,$K$4-$A340,0))</f>
        <v>77.248917540456929</v>
      </c>
    </row>
    <row r="341" spans="1:6">
      <c r="A341" s="2">
        <f>英雄之路怪物!C344</f>
        <v>75</v>
      </c>
      <c r="B341" s="2">
        <f>MOD(英雄之路怪物!D344,10)</f>
        <v>5</v>
      </c>
      <c r="C341" s="2">
        <f ca="1">IF($A341=$K$3,1,英雄之路怪物!E344/OFFSET(英雄之路怪物!E344,$K$4-$A341,0))</f>
        <v>81.724891087975323</v>
      </c>
      <c r="D341" s="2">
        <f ca="1">IF($A341=$K$3,1,英雄之路怪物!F344/OFFSET(英雄之路怪物!F344,$K$4-$A341,0))</f>
        <v>98.104880197630649</v>
      </c>
      <c r="E341" s="2">
        <f ca="1">IF($A341=$K$3,1,英雄之路怪物!G344/OFFSET(英雄之路怪物!G344,$K$4-$A341,0))</f>
        <v>37.333351730115147</v>
      </c>
      <c r="F341" s="2">
        <f ca="1">IF($A341=$K$3,1,英雄之路怪物!H344/OFFSET(英雄之路怪物!H344,$K$4-$A341,0))</f>
        <v>81.724891087975323</v>
      </c>
    </row>
    <row r="342" spans="1:6">
      <c r="A342" s="2">
        <f>英雄之路怪物!C345</f>
        <v>76</v>
      </c>
      <c r="B342" s="2">
        <f>MOD(英雄之路怪物!D345,10)</f>
        <v>5</v>
      </c>
      <c r="C342" s="2">
        <f ca="1">IF($A342=$K$3,1,英雄之路怪物!E345/OFFSET(英雄之路怪物!E345,$K$4-$A342,0))</f>
        <v>86.378580128730746</v>
      </c>
      <c r="D342" s="2">
        <f ca="1">IF($A342=$K$3,1,英雄之路怪物!F345/OFFSET(英雄之路怪物!F345,$K$4-$A342,0))</f>
        <v>103.8206407664632</v>
      </c>
      <c r="E342" s="2">
        <f ca="1">IF($A342=$K$3,1,英雄之路怪物!G345/OFFSET(英雄之路怪物!G345,$K$4-$A342,0))</f>
        <v>39.114845157842169</v>
      </c>
      <c r="F342" s="2">
        <f ca="1">IF($A342=$K$3,1,英雄之路怪物!H345/OFFSET(英雄之路怪物!H345,$K$4-$A342,0))</f>
        <v>86.378580128730746</v>
      </c>
    </row>
    <row r="343" spans="1:6">
      <c r="A343" s="2">
        <f>英雄之路怪物!C346</f>
        <v>77</v>
      </c>
      <c r="B343" s="2">
        <f>MOD(英雄之路怪物!D346,10)</f>
        <v>5</v>
      </c>
      <c r="C343" s="2">
        <f ca="1">IF($A343=$K$3,1,英雄之路怪物!E346/OFFSET(英雄之路怪物!E346,$K$4-$A343,0))</f>
        <v>91.214264242931264</v>
      </c>
      <c r="D343" s="2">
        <f ca="1">IF($A343=$K$3,1,英雄之路怪物!F346/OFFSET(英雄之路怪物!F346,$K$4-$A343,0))</f>
        <v>109.78842888158552</v>
      </c>
      <c r="E343" s="2">
        <f ca="1">IF($A343=$K$3,1,英雄之路怪物!G346/OFFSET(英雄之路怪物!G346,$K$4-$A343,0))</f>
        <v>40.947672390726339</v>
      </c>
      <c r="F343" s="2">
        <f ca="1">IF($A343=$K$3,1,英雄之路怪物!H346/OFFSET(英雄之路怪物!H346,$K$4-$A343,0))</f>
        <v>91.214264242931279</v>
      </c>
    </row>
    <row r="344" spans="1:6">
      <c r="A344" s="2">
        <f>英雄之路怪物!C347</f>
        <v>78</v>
      </c>
      <c r="B344" s="2">
        <f>MOD(英雄之路怪物!D347,10)</f>
        <v>5</v>
      </c>
      <c r="C344" s="2">
        <f ca="1">IF($A344=$K$3,1,英雄之路怪物!E347/OFFSET(英雄之路怪物!E347,$K$4-$A344,0))</f>
        <v>96.236269223474281</v>
      </c>
      <c r="D344" s="2">
        <f ca="1">IF($A344=$K$3,1,英雄之路怪物!F347/OFFSET(英雄之路怪物!F347,$K$4-$A344,0))</f>
        <v>116.01769661499407</v>
      </c>
      <c r="E344" s="2">
        <f ca="1">IF($A344=$K$3,1,英雄之路怪物!G347/OFFSET(英雄之路怪物!G347,$K$4-$A344,0))</f>
        <v>42.832490047856901</v>
      </c>
      <c r="F344" s="2">
        <f ca="1">IF($A344=$K$3,1,英雄之路怪物!H347/OFFSET(英雄之路怪物!H347,$K$4-$A344,0))</f>
        <v>96.236269223474281</v>
      </c>
    </row>
    <row r="345" spans="1:6">
      <c r="A345" s="2">
        <f>英雄之路怪物!C348</f>
        <v>79</v>
      </c>
      <c r="B345" s="2">
        <f>MOD(英雄之路怪物!D348,10)</f>
        <v>5</v>
      </c>
      <c r="C345" s="2">
        <f ca="1">IF($A345=$K$3,1,英雄之路怪物!E348/OFFSET(英雄之路怪物!E348,$K$4-$A345,0))</f>
        <v>101.44896705929044</v>
      </c>
      <c r="D345" s="2">
        <f ca="1">IF($A345=$K$3,1,英雄之路怪物!F348/OFFSET(英雄之路怪物!F348,$K$4-$A345,0))</f>
        <v>122.51830394654247</v>
      </c>
      <c r="E345" s="2">
        <f ca="1">IF($A345=$K$3,1,英雄之路怪物!G348/OFFSET(英雄之路怪物!G348,$K$4-$A345,0))</f>
        <v>44.769954748323123</v>
      </c>
      <c r="F345" s="2">
        <f ca="1">IF($A345=$K$3,1,英雄之路怪物!H348/OFFSET(英雄之路怪物!H348,$K$4-$A345,0))</f>
        <v>101.44896705929045</v>
      </c>
    </row>
    <row r="346" spans="1:6">
      <c r="A346" s="2">
        <f>英雄之路怪物!C349</f>
        <v>80</v>
      </c>
      <c r="B346" s="2">
        <f>MOD(英雄之路怪物!D349,10)</f>
        <v>5</v>
      </c>
      <c r="C346" s="2">
        <f ca="1">IF($A346=$K$3,1,英雄之路怪物!E349/OFFSET(英雄之路怪物!E349,$K$4-$A346,0))</f>
        <v>107.17575136934927</v>
      </c>
      <c r="D346" s="2">
        <f ca="1">IF($A346=$K$3,1,英雄之路怪物!F349/OFFSET(英雄之路怪物!F349,$K$4-$A346,0))</f>
        <v>129.68651406513814</v>
      </c>
      <c r="E346" s="2">
        <f ca="1">IF($A346=$K$3,1,英雄之路怪物!G349/OFFSET(英雄之路怪物!G349,$K$4-$A346,0))</f>
        <v>46.900307359307348</v>
      </c>
      <c r="F346" s="2">
        <f ca="1">IF($A346=$K$3,1,英雄之路怪物!H349/OFFSET(英雄之路怪物!H349,$K$4-$A346,0))</f>
        <v>107.17575136934929</v>
      </c>
    </row>
    <row r="347" spans="1:6">
      <c r="A347" s="2">
        <f>英雄之路怪物!C350</f>
        <v>81</v>
      </c>
      <c r="B347" s="2">
        <f>MOD(英雄之路怪物!D350,10)</f>
        <v>5</v>
      </c>
      <c r="C347" s="2">
        <f ca="1">IF($A347=$K$3,1,英雄之路怪物!E350/OFFSET(英雄之路怪物!E350,$K$4-$A347,0))</f>
        <v>113.12184528078676</v>
      </c>
      <c r="D347" s="2">
        <f ca="1">IF($A347=$K$3,1,英雄之路怪物!F350/OFFSET(英雄之路怪物!F350,$K$4-$A347,0))</f>
        <v>155.71401437603362</v>
      </c>
      <c r="E347" s="2">
        <f ca="1">IF($A347=$K$3,1,英雄之路怪物!G350/OFFSET(英雄之路怪物!G350,$K$4-$A347,0))</f>
        <v>49.090863754190266</v>
      </c>
      <c r="F347" s="2">
        <f ca="1">IF($A347=$K$3,1,英雄之路怪物!H350/OFFSET(英雄之路怪物!H350,$K$4-$A347,0))</f>
        <v>113.12184528078674</v>
      </c>
    </row>
    <row r="348" spans="1:6">
      <c r="A348" s="2">
        <f>英雄之路怪物!C351</f>
        <v>82</v>
      </c>
      <c r="B348" s="2">
        <f>MOD(英雄之路怪物!D351,10)</f>
        <v>5</v>
      </c>
      <c r="C348" s="2">
        <f ca="1">IF($A348=$K$3,1,英雄之路怪物!E351/OFFSET(英雄之路怪物!E351,$K$4-$A348,0))</f>
        <v>119.29232614432998</v>
      </c>
      <c r="D348" s="2">
        <f ca="1">IF($A348=$K$3,1,英雄之路怪物!F351/OFFSET(英雄之路怪物!F351,$K$4-$A348,0))</f>
        <v>165.97861501513222</v>
      </c>
      <c r="E348" s="2">
        <f ca="1">IF($A348=$K$3,1,英雄之路怪物!G351/OFFSET(英雄之路怪物!G351,$K$4-$A348,0))</f>
        <v>51.34237435478807</v>
      </c>
      <c r="F348" s="2">
        <f ca="1">IF($A348=$K$3,1,英雄之路怪物!H351/OFFSET(英雄之路怪物!H351,$K$4-$A348,0))</f>
        <v>119.29232614432999</v>
      </c>
    </row>
    <row r="349" spans="1:6">
      <c r="A349" s="2">
        <f>英雄之路怪物!C352</f>
        <v>83</v>
      </c>
      <c r="B349" s="2">
        <f>MOD(英雄之路怪物!D352,10)</f>
        <v>5</v>
      </c>
      <c r="C349" s="2">
        <f ca="1">IF($A349=$K$3,1,英雄之路怪物!E352/OFFSET(英雄之路怪物!E352,$K$4-$A349,0))</f>
        <v>125.69232405416852</v>
      </c>
      <c r="D349" s="2">
        <f ca="1">IF($A349=$K$3,1,英雄之路怪物!F352/OFFSET(英雄之路怪物!F352,$K$4-$A349,0))</f>
        <v>176.80053067127213</v>
      </c>
      <c r="E349" s="2">
        <f ca="1">IF($A349=$K$3,1,英雄之路怪物!G352/OFFSET(英雄之路怪物!G352,$K$4-$A349,0))</f>
        <v>53.655589582917088</v>
      </c>
      <c r="F349" s="2">
        <f ca="1">IF($A349=$K$3,1,英雄之路怪物!H352/OFFSET(英雄之路怪物!H352,$K$4-$A349,0))</f>
        <v>125.69232405416852</v>
      </c>
    </row>
    <row r="350" spans="1:6">
      <c r="A350" s="2">
        <f>英雄之路怪物!C353</f>
        <v>84</v>
      </c>
      <c r="B350" s="2">
        <f>MOD(英雄之路怪物!D353,10)</f>
        <v>5</v>
      </c>
      <c r="C350" s="2">
        <f ca="1">IF($A350=$K$3,1,英雄之路怪物!E353/OFFSET(英雄之路怪物!E353,$K$4-$A350,0))</f>
        <v>132.32702182976914</v>
      </c>
      <c r="D350" s="2">
        <f ca="1">IF($A350=$K$3,1,英雄之路怪物!F353/OFFSET(英雄之路怪物!F353,$K$4-$A350,0))</f>
        <v>188.20717679557109</v>
      </c>
      <c r="E350" s="2">
        <f ca="1">IF($A350=$K$3,1,英雄之路怪物!G353/OFFSET(英雄之路怪物!G353,$K$4-$A350,0))</f>
        <v>56.031259860393583</v>
      </c>
      <c r="F350" s="2">
        <f ca="1">IF($A350=$K$3,1,英雄之路怪物!H353/OFFSET(英雄之路怪物!H353,$K$4-$A350,0))</f>
        <v>132.32702182976917</v>
      </c>
    </row>
    <row r="351" spans="1:6">
      <c r="A351" s="2">
        <f>英雄之路怪物!C354</f>
        <v>85</v>
      </c>
      <c r="B351" s="2">
        <f>MOD(英雄之路怪物!D354,10)</f>
        <v>5</v>
      </c>
      <c r="C351" s="2">
        <f ca="1">IF($A351=$K$3,1,英雄之路怪物!E354/OFFSET(英雄之路怪物!E354,$K$4-$A351,0))</f>
        <v>139.20165499788169</v>
      </c>
      <c r="D351" s="2">
        <f ca="1">IF($A351=$K$3,1,英雄之路怪物!F354/OFFSET(英雄之路怪物!F354,$K$4-$A351,0))</f>
        <v>200.22739261588021</v>
      </c>
      <c r="E351" s="2">
        <f ca="1">IF($A351=$K$3,1,英雄之路怪物!G354/OFFSET(英雄之路怪物!G354,$K$4-$A351,0))</f>
        <v>58.470135609033811</v>
      </c>
      <c r="F351" s="2">
        <f ca="1">IF($A351=$K$3,1,英雄之路怪物!H354/OFFSET(英雄之路怪物!H354,$K$4-$A351,0))</f>
        <v>139.20165499788169</v>
      </c>
    </row>
    <row r="352" spans="1:6">
      <c r="A352" s="2">
        <f>英雄之路怪物!C355</f>
        <v>86</v>
      </c>
      <c r="B352" s="2">
        <f>MOD(英雄之路怪物!D355,10)</f>
        <v>5</v>
      </c>
      <c r="C352" s="2">
        <f ca="1">IF($A352=$K$3,1,英雄之路怪物!E355/OFFSET(英雄之路怪物!E355,$K$4-$A352,0))</f>
        <v>146.32151177473926</v>
      </c>
      <c r="D352" s="2">
        <f ca="1">IF($A352=$K$3,1,英雄之路怪物!F355/OFFSET(英雄之路怪物!F355,$K$4-$A352,0))</f>
        <v>212.89152938740807</v>
      </c>
      <c r="E352" s="2">
        <f ca="1">IF($A352=$K$3,1,英雄之路怪物!G355/OFFSET(英雄之路怪物!G355,$K$4-$A352,0))</f>
        <v>60.972967250654101</v>
      </c>
      <c r="F352" s="2">
        <f ca="1">IF($A352=$K$3,1,英雄之路怪物!H355/OFFSET(英雄之路怪物!H355,$K$4-$A352,0))</f>
        <v>146.32151177473926</v>
      </c>
    </row>
    <row r="353" spans="1:6">
      <c r="A353" s="2">
        <f>英雄之路怪物!C356</f>
        <v>87</v>
      </c>
      <c r="B353" s="2">
        <f>MOD(英雄之路怪物!D356,10)</f>
        <v>5</v>
      </c>
      <c r="C353" s="2">
        <f ca="1">IF($A353=$K$3,1,英雄之路怪物!E356/OFFSET(英雄之路怪物!E356,$K$4-$A353,0))</f>
        <v>153.69193304845504</v>
      </c>
      <c r="D353" s="2">
        <f ca="1">IF($A353=$K$3,1,英雄之路怪物!F356/OFFSET(英雄之路怪物!F356,$K$4-$A353,0))</f>
        <v>226.23154528983446</v>
      </c>
      <c r="E353" s="2">
        <f ca="1">IF($A353=$K$3,1,英雄之路怪物!G356/OFFSET(英雄之路怪物!G356,$K$4-$A353,0))</f>
        <v>63.540505207070694</v>
      </c>
      <c r="F353" s="2">
        <f ca="1">IF($A353=$K$3,1,英雄之路怪物!H356/OFFSET(英雄之路怪物!H356,$K$4-$A353,0))</f>
        <v>153.69193304845504</v>
      </c>
    </row>
    <row r="354" spans="1:6">
      <c r="A354" s="2">
        <f>英雄之路怪物!C357</f>
        <v>88</v>
      </c>
      <c r="B354" s="2">
        <f>MOD(英雄之路怪物!D357,10)</f>
        <v>5</v>
      </c>
      <c r="C354" s="2">
        <f ca="1">IF($A354=$K$3,1,英雄之路怪物!E357/OFFSET(英雄之路怪物!E357,$K$4-$A354,0))</f>
        <v>161.31831236161827</v>
      </c>
      <c r="D354" s="2">
        <f ca="1">IF($A354=$K$3,1,英雄之路怪物!F357/OFFSET(英雄之路怪物!F357,$K$4-$A354,0))</f>
        <v>240.28110756234122</v>
      </c>
      <c r="E354" s="2">
        <f ca="1">IF($A354=$K$3,1,英雄之路怪物!G357/OFFSET(英雄之路怪物!G357,$K$4-$A354,0))</f>
        <v>66.17349990009987</v>
      </c>
      <c r="F354" s="2">
        <f ca="1">IF($A354=$K$3,1,英雄之路怪物!H357/OFFSET(英雄之路怪物!H357,$K$4-$A354,0))</f>
        <v>161.3183123616183</v>
      </c>
    </row>
    <row r="355" spans="1:6">
      <c r="A355" s="2">
        <f>英雄之路怪物!C358</f>
        <v>89</v>
      </c>
      <c r="B355" s="2">
        <f>MOD(英雄之路怪物!D358,10)</f>
        <v>5</v>
      </c>
      <c r="C355" s="2">
        <f ca="1">IF($A355=$K$3,1,英雄之路怪物!E358/OFFSET(英雄之路怪物!E358,$K$4-$A355,0))</f>
        <v>169.20609589408826</v>
      </c>
      <c r="D355" s="2">
        <f ca="1">IF($A355=$K$3,1,英雄之路怪物!F358/OFFSET(英雄之路怪物!F358,$K$4-$A355,0))</f>
        <v>255.07570252890127</v>
      </c>
      <c r="E355" s="2">
        <f ca="1">IF($A355=$K$3,1,英雄之路怪物!G358/OFFSET(英雄之路怪物!G358,$K$4-$A355,0))</f>
        <v>68.872701751557926</v>
      </c>
      <c r="F355" s="2">
        <f ca="1">IF($A355=$K$3,1,英雄之路怪物!H358/OFFSET(英雄之路怪物!H358,$K$4-$A355,0))</f>
        <v>169.20609589408829</v>
      </c>
    </row>
    <row r="356" spans="1:6">
      <c r="A356" s="2">
        <f>英雄之路怪物!C359</f>
        <v>90</v>
      </c>
      <c r="B356" s="2">
        <f>MOD(英雄之路怪物!D359,10)</f>
        <v>5</v>
      </c>
      <c r="C356" s="2">
        <f ca="1">IF($A356=$K$3,1,英雄之路怪物!E359/OFFSET(英雄之路怪物!E359,$K$4-$A356,0))</f>
        <v>177.36078244598954</v>
      </c>
      <c r="D356" s="2">
        <f ca="1">IF($A356=$K$3,1,英雄之路怪物!F359/OFFSET(英雄之路怪物!F359,$K$4-$A356,0))</f>
        <v>270.65275423424396</v>
      </c>
      <c r="E356" s="2">
        <f ca="1">IF($A356=$K$3,1,英雄之路怪物!G359/OFFSET(英雄之路怪物!G359,$K$4-$A356,0))</f>
        <v>71.638861183261142</v>
      </c>
      <c r="F356" s="2">
        <f ca="1">IF($A356=$K$3,1,英雄之路怪物!H359/OFFSET(英雄之路怪物!H359,$K$4-$A356,0))</f>
        <v>177.36078244598951</v>
      </c>
    </row>
    <row r="357" spans="1:6">
      <c r="A357" s="2">
        <f>英雄之路怪物!C360</f>
        <v>20</v>
      </c>
      <c r="B357" s="2">
        <f>MOD(英雄之路怪物!D360,10)</f>
        <v>6</v>
      </c>
      <c r="C357" s="2">
        <f ca="1">IF($A357=$K$3,1,英雄之路怪物!E360/OFFSET(英雄之路怪物!E360,$K$4-$A357,0))</f>
        <v>1</v>
      </c>
      <c r="D357" s="2">
        <f ca="1">IF($A357=$K$3,1,英雄之路怪物!F360/OFFSET(英雄之路怪物!F360,$K$4-$A357,0))</f>
        <v>1</v>
      </c>
      <c r="E357" s="2">
        <f ca="1">IF($A357=$K$3,1,英雄之路怪物!G360/OFFSET(英雄之路怪物!G360,$K$4-$A357,0))</f>
        <v>1</v>
      </c>
      <c r="F357" s="2">
        <f ca="1">IF($A357=$K$3,1,英雄之路怪物!H360/OFFSET(英雄之路怪物!H360,$K$4-$A357,0))</f>
        <v>1</v>
      </c>
    </row>
    <row r="358" spans="1:6">
      <c r="A358" s="2">
        <f>英雄之路怪物!C361</f>
        <v>21</v>
      </c>
      <c r="B358" s="2">
        <f>MOD(英雄之路怪物!D361,10)</f>
        <v>6</v>
      </c>
      <c r="C358" s="2">
        <f ca="1">IF($A358=$K$3,1,英雄之路怪物!E361/OFFSET(英雄之路怪物!E361,$K$4-$A358,0))</f>
        <v>1.117596838754978</v>
      </c>
      <c r="D358" s="2">
        <f ca="1">IF($A358=$K$3,1,英雄之路怪物!F361/OFFSET(英雄之路怪物!F361,$K$4-$A358,0))</f>
        <v>1.1095204807543111</v>
      </c>
      <c r="E358" s="2">
        <f ca="1">IF($A358=$K$3,1,英雄之路怪物!G361/OFFSET(英雄之路怪物!G361,$K$4-$A358,0))</f>
        <v>1.0931717687074829</v>
      </c>
      <c r="F358" s="2">
        <f ca="1">IF($A358=$K$3,1,英雄之路怪物!H361/OFFSET(英雄之路怪物!H361,$K$4-$A358,0))</f>
        <v>1.117596838754978</v>
      </c>
    </row>
    <row r="359" spans="1:6">
      <c r="A359" s="2">
        <f>英雄之路怪物!C362</f>
        <v>22</v>
      </c>
      <c r="B359" s="2">
        <f>MOD(英雄之路怪物!D362,10)</f>
        <v>6</v>
      </c>
      <c r="C359" s="2">
        <f ca="1">IF($A359=$K$3,1,英雄之路怪物!E362/OFFSET(英雄之路怪物!E362,$K$4-$A359,0))</f>
        <v>1.2431201966962262</v>
      </c>
      <c r="D359" s="2">
        <f ca="1">IF($A359=$K$3,1,英雄之路怪物!F362/OFFSET(英雄之路怪物!F362,$K$4-$A359,0))</f>
        <v>1.22604988148337</v>
      </c>
      <c r="E359" s="2">
        <f ca="1">IF($A359=$K$3,1,英雄之路怪物!G362/OFFSET(英雄之路怪物!G362,$K$4-$A359,0))</f>
        <v>1.1902040816326529</v>
      </c>
      <c r="F359" s="2">
        <f ca="1">IF($A359=$K$3,1,英雄之路怪物!H362/OFFSET(英雄之路怪物!H362,$K$4-$A359,0))</f>
        <v>1.2431201966962262</v>
      </c>
    </row>
    <row r="360" spans="1:6">
      <c r="A360" s="2">
        <f>英雄之路怪物!C363</f>
        <v>23</v>
      </c>
      <c r="B360" s="2">
        <f>MOD(英雄之路怪物!D363,10)</f>
        <v>6</v>
      </c>
      <c r="C360" s="2">
        <f ca="1">IF($A360=$K$3,1,英雄之路怪物!E363/OFFSET(英雄之路怪物!E363,$K$4-$A360,0))</f>
        <v>1.4024517884049481</v>
      </c>
      <c r="D360" s="2">
        <f ca="1">IF($A360=$K$3,1,英雄之路怪物!F363/OFFSET(英雄之路怪物!F363,$K$4-$A360,0))</f>
        <v>1.374995739522912</v>
      </c>
      <c r="E360" s="2">
        <f ca="1">IF($A360=$K$3,1,英雄之路怪物!G363/OFFSET(英雄之路怪物!G363,$K$4-$A360,0))</f>
        <v>1.31516810570382</v>
      </c>
      <c r="F360" s="2">
        <f ca="1">IF($A360=$K$3,1,英雄之路怪物!H363/OFFSET(英雄之路怪物!H363,$K$4-$A360,0))</f>
        <v>1.4024517884049481</v>
      </c>
    </row>
    <row r="361" spans="1:6">
      <c r="A361" s="2">
        <f>英雄之路怪物!C364</f>
        <v>24</v>
      </c>
      <c r="B361" s="2">
        <f>MOD(英雄之路怪物!D364,10)</f>
        <v>6</v>
      </c>
      <c r="C361" s="2">
        <f ca="1">IF($A361=$K$3,1,英雄之路怪物!E364/OFFSET(英雄之路怪物!E364,$K$4-$A361,0))</f>
        <v>1.5727679083562145</v>
      </c>
      <c r="D361" s="2">
        <f ca="1">IF($A361=$K$3,1,英雄之路怪物!F364/OFFSET(英雄之路怪物!F364,$K$4-$A361,0))</f>
        <v>1.533738445309383</v>
      </c>
      <c r="E361" s="2">
        <f ca="1">IF($A361=$K$3,1,英雄之路怪物!G364/OFFSET(英雄之路怪物!G364,$K$4-$A361,0))</f>
        <v>1.4454515325943891</v>
      </c>
      <c r="F361" s="2">
        <f ca="1">IF($A361=$K$3,1,英雄之路怪物!H364/OFFSET(英雄之路怪物!H364,$K$4-$A361,0))</f>
        <v>1.5727679083562147</v>
      </c>
    </row>
    <row r="362" spans="1:6">
      <c r="A362" s="2">
        <f>英雄之路怪物!C365</f>
        <v>25</v>
      </c>
      <c r="B362" s="2">
        <f>MOD(英雄之路怪物!D365,10)</f>
        <v>6</v>
      </c>
      <c r="C362" s="2">
        <f ca="1">IF($A362=$K$3,1,英雄之路怪物!E365/OFFSET(英雄之路怪物!E365,$K$4-$A362,0))</f>
        <v>1.7543614190545793</v>
      </c>
      <c r="D362" s="2">
        <f ca="1">IF($A362=$K$3,1,英雄之路怪物!F365/OFFSET(英雄之路怪物!F365,$K$4-$A362,0))</f>
        <v>1.7026182137524801</v>
      </c>
      <c r="E362" s="2">
        <f ca="1">IF($A362=$K$3,1,英雄之路怪物!G365/OFFSET(英雄之路怪物!G365,$K$4-$A362,0))</f>
        <v>1.5810543623043622</v>
      </c>
      <c r="F362" s="2">
        <f ca="1">IF($A362=$K$3,1,英雄之路怪物!H365/OFFSET(英雄之路怪物!H365,$K$4-$A362,0))</f>
        <v>1.7543614190545795</v>
      </c>
    </row>
    <row r="363" spans="1:6">
      <c r="A363" s="2">
        <f>英雄之路怪物!C366</f>
        <v>26</v>
      </c>
      <c r="B363" s="2">
        <f>MOD(英雄之路怪物!D366,10)</f>
        <v>6</v>
      </c>
      <c r="C363" s="2">
        <f ca="1">IF($A363=$K$3,1,英雄之路怪物!E366/OFFSET(英雄之路怪物!E366,$K$4-$A363,0))</f>
        <v>1.9722337866077222</v>
      </c>
      <c r="D363" s="2">
        <f ca="1">IF($A363=$K$3,1,英雄之路怪物!F366/OFFSET(英雄之路怪物!F366,$K$4-$A363,0))</f>
        <v>1.9058629331394403</v>
      </c>
      <c r="E363" s="2">
        <f ca="1">IF($A363=$K$3,1,英雄之路怪物!G366/OFFSET(英雄之路怪物!G366,$K$4-$A363,0))</f>
        <v>1.7438244612530325</v>
      </c>
      <c r="F363" s="2">
        <f ca="1">IF($A363=$K$3,1,英雄之路怪物!H366/OFFSET(英雄之路怪物!H366,$K$4-$A363,0))</f>
        <v>1.9722337866077222</v>
      </c>
    </row>
    <row r="364" spans="1:6">
      <c r="A364" s="2">
        <f>英雄之路怪物!C367</f>
        <v>27</v>
      </c>
      <c r="B364" s="2">
        <f>MOD(英雄之路怪物!D367,10)</f>
        <v>6</v>
      </c>
      <c r="C364" s="2">
        <f ca="1">IF($A364=$K$3,1,英雄之路怪物!E367/OFFSET(英雄之路怪物!E367,$K$4-$A364,0))</f>
        <v>2.2042918205274931</v>
      </c>
      <c r="D364" s="2">
        <f ca="1">IF($A364=$K$3,1,英雄之路怪物!F367/OFFSET(英雄之路怪物!F367,$K$4-$A364,0))</f>
        <v>2.1220114367205052</v>
      </c>
      <c r="E364" s="2">
        <f ca="1">IF($A364=$K$3,1,英雄之路怪物!G367/OFFSET(英雄之路怪物!G367,$K$4-$A364,0))</f>
        <v>1.9131277333777335</v>
      </c>
      <c r="F364" s="2">
        <f ca="1">IF($A364=$K$3,1,英雄之路怪物!H367/OFFSET(英雄之路怪物!H367,$K$4-$A364,0))</f>
        <v>2.2042918205274935</v>
      </c>
    </row>
    <row r="365" spans="1:6">
      <c r="A365" s="2">
        <f>英雄之路怪物!C368</f>
        <v>28</v>
      </c>
      <c r="B365" s="2">
        <f>MOD(英雄之路怪物!D368,10)</f>
        <v>6</v>
      </c>
      <c r="C365" s="2">
        <f ca="1">IF($A365=$K$3,1,英雄之路怪物!E368/OFFSET(英雄之路怪物!E368,$K$4-$A365,0))</f>
        <v>2.4508928136691668</v>
      </c>
      <c r="D365" s="2">
        <f ca="1">IF($A365=$K$3,1,英雄之路怪物!F368/OFFSET(英雄之路怪物!F368,$K$4-$A365,0))</f>
        <v>2.3515094636709608</v>
      </c>
      <c r="E365" s="2">
        <f ca="1">IF($A365=$K$3,1,英雄之路怪物!G368/OFFSET(英雄之路怪物!G368,$K$4-$A365,0))</f>
        <v>2.0889641786784638</v>
      </c>
      <c r="F365" s="2">
        <f ca="1">IF($A365=$K$3,1,英雄之路怪物!H368/OFFSET(英雄之路怪物!H368,$K$4-$A365,0))</f>
        <v>2.4508928136691668</v>
      </c>
    </row>
    <row r="366" spans="1:6">
      <c r="A366" s="2">
        <f>英雄之路怪物!C369</f>
        <v>29</v>
      </c>
      <c r="B366" s="2">
        <f>MOD(英雄之路怪物!D369,10)</f>
        <v>6</v>
      </c>
      <c r="C366" s="2">
        <f ca="1">IF($A366=$K$3,1,英雄之路怪物!E369/OFFSET(英雄之路怪物!E369,$K$4-$A366,0))</f>
        <v>2.712393023610018</v>
      </c>
      <c r="D366" s="2">
        <f ca="1">IF($A366=$K$3,1,英雄之路怪物!F369/OFFSET(英雄之路怪物!F369,$K$4-$A366,0))</f>
        <v>2.5948157044254323</v>
      </c>
      <c r="E366" s="2">
        <f ca="1">IF($A366=$K$3,1,英雄之路怪物!G369/OFFSET(英雄之路怪物!G369,$K$4-$A366,0))</f>
        <v>2.2713337971552265</v>
      </c>
      <c r="F366" s="2">
        <f ca="1">IF($A366=$K$3,1,英雄之路怪物!H369/OFFSET(英雄之路怪物!H369,$K$4-$A366,0))</f>
        <v>2.712393023610018</v>
      </c>
    </row>
    <row r="367" spans="1:6">
      <c r="A367" s="2">
        <f>英雄之路怪物!C370</f>
        <v>30</v>
      </c>
      <c r="B367" s="2">
        <f>MOD(英雄之路怪物!D370,10)</f>
        <v>6</v>
      </c>
      <c r="C367" s="2">
        <f ca="1">IF($A367=$K$3,1,英雄之路怪物!E370/OFFSET(英雄之路怪物!E370,$K$4-$A367,0))</f>
        <v>3.0265120612034346</v>
      </c>
      <c r="D367" s="2">
        <f ca="1">IF($A367=$K$3,1,英雄之路怪物!F370/OFFSET(英雄之路怪物!F370,$K$4-$A367,0))</f>
        <v>2.8880573029357315</v>
      </c>
      <c r="E367" s="2">
        <f ca="1">IF($A367=$K$3,1,英雄之路怪物!G370/OFFSET(英雄之路怪物!G370,$K$4-$A367,0))</f>
        <v>2.4909895461681177</v>
      </c>
      <c r="F367" s="2">
        <f ca="1">IF($A367=$K$3,1,英雄之路怪物!H370/OFFSET(英雄之路怪物!H370,$K$4-$A367,0))</f>
        <v>3.0265120612034346</v>
      </c>
    </row>
    <row r="368" spans="1:6">
      <c r="A368" s="2">
        <f>英雄之路怪物!C371</f>
        <v>31</v>
      </c>
      <c r="B368" s="2">
        <f>MOD(英雄之路怪物!D371,10)</f>
        <v>6</v>
      </c>
      <c r="C368" s="2">
        <f ca="1">IF($A368=$K$3,1,英雄之路怪物!E371/OFFSET(英雄之路怪物!E371,$K$4-$A368,0))</f>
        <v>3.3695317344270128</v>
      </c>
      <c r="D368" s="2">
        <f ca="1">IF($A368=$K$3,1,英雄之路怪物!F371/OFFSET(英雄之路怪物!F371,$K$4-$A368,0))</f>
        <v>3.2052392989389573</v>
      </c>
      <c r="E368" s="2">
        <f ca="1">IF($A368=$K$3,1,英雄之路怪物!G371/OFFSET(英雄之路怪物!G371,$K$4-$A368,0))</f>
        <v>2.7190362530416015</v>
      </c>
      <c r="F368" s="2">
        <f ca="1">IF($A368=$K$3,1,英雄之路怪物!H371/OFFSET(英雄之路怪物!H371,$K$4-$A368,0))</f>
        <v>3.3695317344270128</v>
      </c>
    </row>
    <row r="369" spans="1:6">
      <c r="A369" s="2">
        <f>英雄之路怪物!C372</f>
        <v>32</v>
      </c>
      <c r="B369" s="2">
        <f>MOD(英雄之路怪物!D372,10)</f>
        <v>6</v>
      </c>
      <c r="C369" s="2">
        <f ca="1">IF($A369=$K$3,1,英雄之路怪物!E372/OFFSET(英雄之路怪物!E372,$K$4-$A369,0))</f>
        <v>3.736134403677501</v>
      </c>
      <c r="D369" s="2">
        <f ca="1">IF($A369=$K$3,1,英雄之路怪物!F372/OFFSET(英雄之路怪物!F372,$K$4-$A369,0))</f>
        <v>3.5437905178032878</v>
      </c>
      <c r="E369" s="2">
        <f ca="1">IF($A369=$K$3,1,英雄之路怪物!G372/OFFSET(英雄之路怪物!G372,$K$4-$A369,0))</f>
        <v>2.9567581937467291</v>
      </c>
      <c r="F369" s="2">
        <f ca="1">IF($A369=$K$3,1,英雄之路怪物!H372/OFFSET(英雄之路怪物!H372,$K$4-$A369,0))</f>
        <v>3.736134403677501</v>
      </c>
    </row>
    <row r="370" spans="1:6">
      <c r="A370" s="2">
        <f>英雄之路怪物!C373</f>
        <v>33</v>
      </c>
      <c r="B370" s="2">
        <f>MOD(英雄之路怪物!D373,10)</f>
        <v>6</v>
      </c>
      <c r="C370" s="2">
        <f ca="1">IF($A370=$K$3,1,英雄之路怪物!E373/OFFSET(英雄之路怪物!E373,$K$4-$A370,0))</f>
        <v>4.1255219053527243</v>
      </c>
      <c r="D370" s="2">
        <f ca="1">IF($A370=$K$3,1,英雄之路怪物!F373/OFFSET(英雄之路怪物!F373,$K$4-$A370,0))</f>
        <v>3.9030291687753933</v>
      </c>
      <c r="E370" s="2">
        <f ca="1">IF($A370=$K$3,1,英雄之路怪物!G373/OFFSET(英雄之路怪物!G373,$K$4-$A370,0))</f>
        <v>3.2028969036734964</v>
      </c>
      <c r="F370" s="2">
        <f ca="1">IF($A370=$K$3,1,英雄之路怪物!H373/OFFSET(英雄之路怪物!H373,$K$4-$A370,0))</f>
        <v>4.1255219053527243</v>
      </c>
    </row>
    <row r="371" spans="1:6">
      <c r="A371" s="2">
        <f>英雄之路怪物!C374</f>
        <v>34</v>
      </c>
      <c r="B371" s="2">
        <f>MOD(英雄之路怪物!D374,10)</f>
        <v>6</v>
      </c>
      <c r="C371" s="2">
        <f ca="1">IF($A371=$K$3,1,英雄之路怪物!E374/OFFSET(英雄之路怪物!E374,$K$4-$A371,0))</f>
        <v>4.538082335892768</v>
      </c>
      <c r="D371" s="2">
        <f ca="1">IF($A371=$K$3,1,英雄之路怪物!F374/OFFSET(英雄之路怪物!F374,$K$4-$A371,0))</f>
        <v>4.2834270427550107</v>
      </c>
      <c r="E371" s="2">
        <f ca="1">IF($A371=$K$3,1,英雄之路怪物!G374/OFFSET(英雄之路怪物!G374,$K$4-$A371,0))</f>
        <v>3.4571767308405881</v>
      </c>
      <c r="F371" s="2">
        <f ca="1">IF($A371=$K$3,1,英雄之路怪物!H374/OFFSET(英雄之路怪物!H374,$K$4-$A371,0))</f>
        <v>4.5380823358927689</v>
      </c>
    </row>
    <row r="372" spans="1:6">
      <c r="A372" s="2">
        <f>英雄之路怪物!C375</f>
        <v>35</v>
      </c>
      <c r="B372" s="2">
        <f>MOD(英雄之路怪物!D375,10)</f>
        <v>6</v>
      </c>
      <c r="C372" s="2">
        <f ca="1">IF($A372=$K$3,1,英雄之路怪物!E375/OFFSET(英雄之路怪物!E375,$K$4-$A372,0))</f>
        <v>4.9741715657997156</v>
      </c>
      <c r="D372" s="2">
        <f ca="1">IF($A372=$K$3,1,英雄之路怪物!F375/OFFSET(英雄之路怪物!F375,$K$4-$A372,0))</f>
        <v>4.6854476569608421</v>
      </c>
      <c r="E372" s="2">
        <f ca="1">IF($A372=$K$3,1,英雄之路怪物!G375/OFFSET(英雄之路怪物!G375,$K$4-$A372,0))</f>
        <v>3.7193029806078282</v>
      </c>
      <c r="F372" s="2">
        <f ca="1">IF($A372=$K$3,1,英雄之路怪物!H375/OFFSET(英雄之路怪物!H375,$K$4-$A372,0))</f>
        <v>4.9741715657997156</v>
      </c>
    </row>
    <row r="373" spans="1:6">
      <c r="A373" s="2">
        <f>英雄之路怪物!C376</f>
        <v>36</v>
      </c>
      <c r="B373" s="2">
        <f>MOD(英雄之路怪物!D376,10)</f>
        <v>6</v>
      </c>
      <c r="C373" s="2">
        <f ca="1">IF($A373=$K$3,1,英雄之路怪物!E376/OFFSET(英雄之路怪物!E376,$K$4-$A373,0))</f>
        <v>5.4341119881686373</v>
      </c>
      <c r="D373" s="2">
        <f ca="1">IF($A373=$K$3,1,英雄之路怪物!F376/OFFSET(英雄之路怪物!F376,$K$4-$A373,0))</f>
        <v>5.1095459383355912</v>
      </c>
      <c r="E373" s="2">
        <f ca="1">IF($A373=$K$3,1,英雄之路怪物!G376/OFFSET(英雄之路怪物!G376,$K$4-$A373,0))</f>
        <v>3.9889619156761613</v>
      </c>
      <c r="F373" s="2">
        <f ca="1">IF($A373=$K$3,1,英雄之路怪物!H376/OFFSET(英雄之路怪物!H376,$K$4-$A373,0))</f>
        <v>5.4341119881686373</v>
      </c>
    </row>
    <row r="374" spans="1:6">
      <c r="A374" s="2">
        <f>英雄之路怪物!C377</f>
        <v>37</v>
      </c>
      <c r="B374" s="2">
        <f>MOD(英雄之路怪物!D377,10)</f>
        <v>6</v>
      </c>
      <c r="C374" s="2">
        <f ca="1">IF($A374=$K$3,1,英雄之路怪物!E377/OFFSET(英雄之路怪物!E377,$K$4-$A374,0))</f>
        <v>5.9181912644716723</v>
      </c>
      <c r="D374" s="2">
        <f ca="1">IF($A374=$K$3,1,英雄之路怪物!F377/OFFSET(英雄之路怪物!F377,$K$4-$A374,0))</f>
        <v>5.6117214510807587</v>
      </c>
      <c r="E374" s="2">
        <f ca="1">IF($A374=$K$3,1,英雄之路怪物!G377/OFFSET(英雄之路怪物!G377,$K$4-$A374,0))</f>
        <v>4.2658207560876633</v>
      </c>
      <c r="F374" s="2">
        <f ca="1">IF($A374=$K$3,1,英雄之路怪物!H377/OFFSET(英雄之路怪物!H377,$K$4-$A374,0))</f>
        <v>5.9181912644716723</v>
      </c>
    </row>
    <row r="375" spans="1:6">
      <c r="A375" s="2">
        <f>英雄之路怪物!C378</f>
        <v>38</v>
      </c>
      <c r="B375" s="2">
        <f>MOD(英雄之路怪物!D378,10)</f>
        <v>6</v>
      </c>
      <c r="C375" s="2">
        <f ca="1">IF($A375=$K$3,1,英雄之路怪物!E378/OFFSET(英雄之路怪物!E378,$K$4-$A375,0))</f>
        <v>6.4266610681996932</v>
      </c>
      <c r="D375" s="2">
        <f ca="1">IF($A375=$K$3,1,英雄之路怪物!F378/OFFSET(英雄之路怪物!F378,$K$4-$A375,0))</f>
        <v>6.1465504124383461</v>
      </c>
      <c r="E375" s="2">
        <f ca="1">IF($A375=$K$3,1,英雄之路怪物!G378/OFFSET(英雄之路怪物!G378,$K$4-$A375,0))</f>
        <v>4.5495276792255375</v>
      </c>
      <c r="F375" s="2">
        <f ca="1">IF($A375=$K$3,1,英雄之路怪物!H378/OFFSET(英雄之路怪物!H378,$K$4-$A375,0))</f>
        <v>6.4266610681996932</v>
      </c>
    </row>
    <row r="376" spans="1:6">
      <c r="A376" s="2">
        <f>英雄之路怪物!C379</f>
        <v>39</v>
      </c>
      <c r="B376" s="2">
        <f>MOD(英雄之路怪物!D379,10)</f>
        <v>6</v>
      </c>
      <c r="C376" s="2">
        <f ca="1">IF($A376=$K$3,1,英雄之路怪物!E379/OFFSET(英雄之路怪物!E379,$K$4-$A376,0))</f>
        <v>6.9597358268613387</v>
      </c>
      <c r="D376" s="2">
        <f ca="1">IF($A376=$K$3,1,英雄之路怪物!F379/OFFSET(英雄之路怪物!F379,$K$4-$A376,0))</f>
        <v>6.715206181661264</v>
      </c>
      <c r="E376" s="2">
        <f ca="1">IF($A376=$K$3,1,英雄之路怪物!G379/OFFSET(英雄之路怪物!G379,$K$4-$A376,0))</f>
        <v>4.8397118198141129</v>
      </c>
      <c r="F376" s="2">
        <f ca="1">IF($A376=$K$3,1,英雄之路怪物!H379/OFFSET(英雄之路怪物!H379,$K$4-$A376,0))</f>
        <v>6.9597358268613387</v>
      </c>
    </row>
    <row r="377" spans="1:6">
      <c r="A377" s="2">
        <f>英雄之路怪物!C380</f>
        <v>40</v>
      </c>
      <c r="B377" s="2">
        <f>MOD(英雄之路怪物!D380,10)</f>
        <v>6</v>
      </c>
      <c r="C377" s="2">
        <f ca="1">IF($A377=$K$3,1,英雄之路怪物!E380/OFFSET(英雄之路怪物!E380,$K$4-$A377,0))</f>
        <v>7.5853175119679284</v>
      </c>
      <c r="D377" s="2">
        <f ca="1">IF($A377=$K$3,1,英雄之路怪物!F380/OFFSET(英雄之路怪物!F380,$K$4-$A377,0))</f>
        <v>7.3848036637746608</v>
      </c>
      <c r="E377" s="2">
        <f ca="1">IF($A377=$K$3,1,英雄之路怪物!G380/OFFSET(英雄之路怪物!G380,$K$4-$A377,0))</f>
        <v>5.1822533894676779</v>
      </c>
      <c r="F377" s="2">
        <f ca="1">IF($A377=$K$3,1,英雄之路怪物!H380/OFFSET(英雄之路怪物!H380,$K$4-$A377,0))</f>
        <v>7.5853175119679284</v>
      </c>
    </row>
    <row r="378" spans="1:6">
      <c r="A378" s="2">
        <f>英雄之路怪物!C381</f>
        <v>41</v>
      </c>
      <c r="B378" s="2">
        <f>MOD(英雄之路怪物!D381,10)</f>
        <v>6</v>
      </c>
      <c r="C378" s="2">
        <f ca="1">IF($A378=$K$3,1,英雄之路怪物!E381/OFFSET(英雄之路怪物!E381,$K$4-$A378,0))</f>
        <v>8.2424757843042009</v>
      </c>
      <c r="D378" s="2">
        <f ca="1">IF($A378=$K$3,1,英雄之路怪物!F381/OFFSET(英雄之路怪物!F381,$K$4-$A378,0))</f>
        <v>8.0983457867810298</v>
      </c>
      <c r="E378" s="2">
        <f ca="1">IF($A378=$K$3,1,英雄之路怪物!G381/OFFSET(英雄之路怪物!G381,$K$4-$A378,0))</f>
        <v>5.5333354136647097</v>
      </c>
      <c r="F378" s="2">
        <f ca="1">IF($A378=$K$3,1,英雄之路怪物!H381/OFFSET(英雄之路怪物!H381,$K$4-$A378,0))</f>
        <v>8.2424757843042009</v>
      </c>
    </row>
    <row r="379" spans="1:6">
      <c r="A379" s="2">
        <f>英雄之路怪物!C382</f>
        <v>42</v>
      </c>
      <c r="B379" s="2">
        <f>MOD(英雄之路怪物!D382,10)</f>
        <v>6</v>
      </c>
      <c r="C379" s="2">
        <f ca="1">IF($A379=$K$3,1,英雄之路怪物!E382/OFFSET(英雄之路怪物!E382,$K$4-$A379,0))</f>
        <v>8.9314348390676503</v>
      </c>
      <c r="D379" s="2">
        <f ca="1">IF($A379=$K$3,1,英雄之路怪物!F382/OFFSET(英雄之路怪物!F382,$K$4-$A379,0))</f>
        <v>8.857380723678558</v>
      </c>
      <c r="E379" s="2">
        <f ca="1">IF($A379=$K$3,1,英雄之路怪物!G382/OFFSET(英雄之路怪物!G382,$K$4-$A379,0))</f>
        <v>5.8924443627121219</v>
      </c>
      <c r="F379" s="2">
        <f ca="1">IF($A379=$K$3,1,英雄之路怪物!H382/OFFSET(英雄之路怪物!H382,$K$4-$A379,0))</f>
        <v>8.9314348390676503</v>
      </c>
    </row>
    <row r="380" spans="1:6">
      <c r="A380" s="2">
        <f>英雄之路怪物!C383</f>
        <v>43</v>
      </c>
      <c r="B380" s="2">
        <f>MOD(英雄之路怪物!D383,10)</f>
        <v>6</v>
      </c>
      <c r="C380" s="2">
        <f ca="1">IF($A380=$K$3,1,英雄之路怪物!E383/OFFSET(英雄之路怪物!E383,$K$4-$A380,0))</f>
        <v>9.6523654393896976</v>
      </c>
      <c r="D380" s="2">
        <f ca="1">IF($A380=$K$3,1,英雄之路怪物!F383/OFFSET(英雄之路怪物!F383,$K$4-$A380,0))</f>
        <v>9.663461324059778</v>
      </c>
      <c r="E380" s="2">
        <f ca="1">IF($A380=$K$3,1,英雄之路怪物!G383/OFFSET(英雄之路怪物!G383,$K$4-$A380,0))</f>
        <v>6.2590413167049785</v>
      </c>
      <c r="F380" s="2">
        <f ca="1">IF($A380=$K$3,1,英雄之路怪物!H383/OFFSET(英雄之路怪物!H383,$K$4-$A380,0))</f>
        <v>9.6523654393896958</v>
      </c>
    </row>
    <row r="381" spans="1:6">
      <c r="A381" s="2">
        <f>英雄之路怪物!C384</f>
        <v>44</v>
      </c>
      <c r="B381" s="2">
        <f>MOD(英雄之路怪物!D384,10)</f>
        <v>6</v>
      </c>
      <c r="C381" s="2">
        <f ca="1">IF($A381=$K$3,1,英雄之路怪物!E384/OFFSET(英雄之路怪物!E384,$K$4-$A381,0))</f>
        <v>10.405383243994166</v>
      </c>
      <c r="D381" s="2">
        <f ca="1">IF($A381=$K$3,1,英雄之路怪物!F384/OFFSET(英雄之路怪物!F384,$K$4-$A381,0))</f>
        <v>10.518143023580853</v>
      </c>
      <c r="E381" s="2">
        <f ca="1">IF($A381=$K$3,1,英雄之路怪物!G384/OFFSET(英雄之路怪物!G384,$K$4-$A381,0))</f>
        <v>6.6325619655265378</v>
      </c>
      <c r="F381" s="2">
        <f ca="1">IF($A381=$K$3,1,英雄之路怪物!H384/OFFSET(英雄之路怪物!H384,$K$4-$A381,0))</f>
        <v>10.405383243994166</v>
      </c>
    </row>
    <row r="382" spans="1:6">
      <c r="A382" s="2">
        <f>英雄之路怪物!C385</f>
        <v>45</v>
      </c>
      <c r="B382" s="2">
        <f>MOD(英雄之路怪物!D385,10)</f>
        <v>6</v>
      </c>
      <c r="C382" s="2">
        <f ca="1">IF($A382=$K$3,1,英雄之路怪物!E385/OFFSET(英雄之路怪物!E385,$K$4-$A382,0))</f>
        <v>11.190547133536288</v>
      </c>
      <c r="D382" s="2">
        <f ca="1">IF($A382=$K$3,1,英雄之路怪物!F385/OFFSET(英雄之路怪物!F385,$K$4-$A382,0))</f>
        <v>11.42298165033621</v>
      </c>
      <c r="E382" s="2">
        <f ca="1">IF($A382=$K$3,1,英雄之路怪物!G385/OFFSET(英雄之路怪物!G385,$K$4-$A382,0))</f>
        <v>7.0124166088482127</v>
      </c>
      <c r="F382" s="2">
        <f ca="1">IF($A382=$K$3,1,英雄之路怪物!H385/OFFSET(英雄之路怪物!H385,$K$4-$A382,0))</f>
        <v>11.190547133536288</v>
      </c>
    </row>
    <row r="383" spans="1:6">
      <c r="A383" s="2">
        <f>英雄之路怪物!C386</f>
        <v>46</v>
      </c>
      <c r="B383" s="2">
        <f>MOD(英雄之路怪物!D386,10)</f>
        <v>6</v>
      </c>
      <c r="C383" s="2">
        <f ca="1">IF($A383=$K$3,1,英雄之路怪物!E386/OFFSET(英雄之路怪物!E386,$K$4-$A383,0))</f>
        <v>12.007857535984908</v>
      </c>
      <c r="D383" s="2">
        <f ca="1">IF($A383=$K$3,1,英雄之路怪物!F386/OFFSET(英雄之路怪物!F386,$K$4-$A383,0))</f>
        <v>12.379531122157887</v>
      </c>
      <c r="E383" s="2">
        <f ca="1">IF($A383=$K$3,1,英雄之路怪物!G386/OFFSET(英雄之路怪物!G386,$K$4-$A383,0))</f>
        <v>7.3979901561295867</v>
      </c>
      <c r="F383" s="2">
        <f ca="1">IF($A383=$K$3,1,英雄之路怪物!H386/OFFSET(英雄之路怪物!H386,$K$4-$A383,0))</f>
        <v>12.007857535984909</v>
      </c>
    </row>
    <row r="384" spans="1:6">
      <c r="A384" s="2">
        <f>英雄之路怪物!C387</f>
        <v>47</v>
      </c>
      <c r="B384" s="2">
        <f>MOD(英雄之路怪物!D387,10)</f>
        <v>6</v>
      </c>
      <c r="C384" s="2">
        <f ca="1">IF($A384=$K$3,1,英雄之路怪物!E387/OFFSET(英雄之路怪物!E387,$K$4-$A384,0))</f>
        <v>12.85725475135381</v>
      </c>
      <c r="D384" s="2">
        <f ca="1">IF($A384=$K$3,1,英雄之路怪物!F387/OFFSET(英雄之路怪物!F387,$K$4-$A384,0))</f>
        <v>13.389341028459137</v>
      </c>
      <c r="E384" s="2">
        <f ca="1">IF($A384=$K$3,1,英雄之路怪物!G387/OFFSET(英雄之路怪物!G387,$K$4-$A384,0))</f>
        <v>7.7886421266184218</v>
      </c>
      <c r="F384" s="2">
        <f ca="1">IF($A384=$K$3,1,英雄之路怪物!H387/OFFSET(英雄之路怪物!H387,$K$4-$A384,0))</f>
        <v>12.857254751353812</v>
      </c>
    </row>
    <row r="385" spans="1:6">
      <c r="A385" s="2">
        <f>英雄之路怪物!C388</f>
        <v>48</v>
      </c>
      <c r="B385" s="2">
        <f>MOD(英雄之路怪物!D388,10)</f>
        <v>6</v>
      </c>
      <c r="C385" s="2">
        <f ca="1">IF($A385=$K$3,1,英雄之路怪物!E388/OFFSET(英雄之路怪物!E388,$K$4-$A385,0))</f>
        <v>13.738617276040401</v>
      </c>
      <c r="D385" s="2">
        <f ca="1">IF($A385=$K$3,1,英雄之路怪物!F388/OFFSET(英雄之路怪物!F388,$K$4-$A385,0))</f>
        <v>14.453954089811678</v>
      </c>
      <c r="E385" s="2">
        <f ca="1">IF($A385=$K$3,1,英雄之路怪物!G388/OFFSET(英雄之路怪物!G388,$K$4-$A385,0))</f>
        <v>8.1837066493506505</v>
      </c>
      <c r="F385" s="2">
        <f ca="1">IF($A385=$K$3,1,英雄之路怪物!H388/OFFSET(英雄之路怪物!H388,$K$4-$A385,0))</f>
        <v>13.738617276040401</v>
      </c>
    </row>
    <row r="386" spans="1:6">
      <c r="A386" s="2">
        <f>英雄之路怪物!C389</f>
        <v>49</v>
      </c>
      <c r="B386" s="2">
        <f>MOD(英雄之路怪物!D389,10)</f>
        <v>6</v>
      </c>
      <c r="C386" s="2">
        <f ca="1">IF($A386=$K$3,1,英雄之路怪物!E389/OFFSET(英雄之路怪物!E389,$K$4-$A386,0))</f>
        <v>14.651760126989577</v>
      </c>
      <c r="D386" s="2">
        <f ca="1">IF($A386=$K$3,1,英雄之路怪物!F389/OFFSET(英雄之路怪物!F389,$K$4-$A386,0))</f>
        <v>15.57490348798299</v>
      </c>
      <c r="E386" s="2">
        <f ca="1">IF($A386=$K$3,1,英雄之路怪物!G389/OFFSET(英雄之路怪物!G389,$K$4-$A386,0))</f>
        <v>8.5824924631503752</v>
      </c>
      <c r="F386" s="2">
        <f ca="1">IF($A386=$K$3,1,英雄之路怪物!H389/OFFSET(英雄之路怪物!H389,$K$4-$A386,0))</f>
        <v>14.651760126989576</v>
      </c>
    </row>
    <row r="387" spans="1:6">
      <c r="A387" s="2">
        <f>英雄之路怪物!C390</f>
        <v>50</v>
      </c>
      <c r="B387" s="2">
        <f>MOD(英雄之路怪物!D390,10)</f>
        <v>6</v>
      </c>
      <c r="C387" s="2">
        <f ca="1">IF($A387=$K$3,1,英雄之路怪物!E390/OFFSET(英雄之路怪物!E390,$K$4-$A387,0))</f>
        <v>15.699041278800449</v>
      </c>
      <c r="D387" s="2">
        <f ca="1">IF($A387=$K$3,1,英雄之路怪物!F390/OFFSET(英雄之路怪物!F390,$K$4-$A387,0))</f>
        <v>16.863931835362955</v>
      </c>
      <c r="E387" s="2">
        <f ca="1">IF($A387=$K$3,1,英雄之路怪物!G390/OFFSET(英雄之路怪物!G390,$K$4-$A387,0))</f>
        <v>9.0433900410813735</v>
      </c>
      <c r="F387" s="2">
        <f ca="1">IF($A387=$K$3,1,英雄之路怪物!H390/OFFSET(英雄之路怪物!H390,$K$4-$A387,0))</f>
        <v>15.699041278800449</v>
      </c>
    </row>
    <row r="388" spans="1:6">
      <c r="A388" s="2">
        <f>英雄之路怪物!C391</f>
        <v>51</v>
      </c>
      <c r="B388" s="2">
        <f>MOD(英雄之路怪物!D391,10)</f>
        <v>6</v>
      </c>
      <c r="C388" s="2">
        <f ca="1">IF($A388=$K$3,1,英雄之路怪物!E391/OFFSET(英雄之路怪物!E391,$K$4-$A388,0))</f>
        <v>16.694329391226663</v>
      </c>
      <c r="D388" s="2">
        <f ca="1">IF($A388=$K$3,1,英雄之路怪物!F391/OFFSET(英雄之路怪物!F391,$K$4-$A388,0))</f>
        <v>18.355481630003489</v>
      </c>
      <c r="E388" s="2">
        <f ca="1">IF($A388=$K$3,1,英雄之路怪物!G391/OFFSET(英雄之路怪物!G391,$K$4-$A388,0))</f>
        <v>9.7690273202058773</v>
      </c>
      <c r="F388" s="2">
        <f ca="1">IF($A388=$K$3,1,英雄之路怪物!H391/OFFSET(英雄之路怪物!H391,$K$4-$A388,0))</f>
        <v>16.694329391226663</v>
      </c>
    </row>
    <row r="389" spans="1:6">
      <c r="A389" s="2">
        <f>英雄之路怪物!C392</f>
        <v>52</v>
      </c>
      <c r="B389" s="2">
        <f>MOD(英雄之路怪物!D392,10)</f>
        <v>6</v>
      </c>
      <c r="C389" s="2">
        <f ca="1">IF($A389=$K$3,1,英雄之路怪物!E392/OFFSET(英雄之路怪物!E392,$K$4-$A389,0))</f>
        <v>18.367836205844618</v>
      </c>
      <c r="D389" s="2">
        <f ca="1">IF($A389=$K$3,1,英雄之路怪物!F392/OFFSET(英雄之路怪物!F392,$K$4-$A389,0))</f>
        <v>19.945069478423662</v>
      </c>
      <c r="E389" s="2">
        <f ca="1">IF($A389=$K$3,1,英雄之路怪物!G392/OFFSET(英雄之路怪物!G392,$K$4-$A389,0))</f>
        <v>10.33527917837265</v>
      </c>
      <c r="F389" s="2">
        <f ca="1">IF($A389=$K$3,1,英雄之路怪物!H392/OFFSET(英雄之路怪物!H392,$K$4-$A389,0))</f>
        <v>18.367836205844618</v>
      </c>
    </row>
    <row r="390" spans="1:6">
      <c r="A390" s="2">
        <f>英雄之路怪物!C393</f>
        <v>53</v>
      </c>
      <c r="B390" s="2">
        <f>MOD(英雄之路怪物!D393,10)</f>
        <v>6</v>
      </c>
      <c r="C390" s="2">
        <f ca="1">IF($A390=$K$3,1,英雄之路怪物!E393/OFFSET(英雄之路怪物!E393,$K$4-$A390,0))</f>
        <v>19.813164889564217</v>
      </c>
      <c r="D390" s="2">
        <f ca="1">IF($A390=$K$3,1,英雄之路怪物!F393/OFFSET(英雄之路怪物!F393,$K$4-$A390,0))</f>
        <v>21.637593041357022</v>
      </c>
      <c r="E390" s="2">
        <f ca="1">IF($A390=$K$3,1,英雄之路怪物!G393/OFFSET(英雄之路怪物!G393,$K$4-$A390,0))</f>
        <v>11.021171666666675</v>
      </c>
      <c r="F390" s="2">
        <f ca="1">IF($A390=$K$3,1,英雄之路怪物!H393/OFFSET(英雄之路怪物!H393,$K$4-$A390,0))</f>
        <v>19.813164889564217</v>
      </c>
    </row>
    <row r="391" spans="1:6">
      <c r="A391" s="2">
        <f>英雄之路怪物!C394</f>
        <v>54</v>
      </c>
      <c r="B391" s="2">
        <f>MOD(英雄之路怪物!D394,10)</f>
        <v>6</v>
      </c>
      <c r="C391" s="2">
        <f ca="1">IF($A391=$K$3,1,英雄之路怪物!E394/OFFSET(英雄之路怪物!E394,$K$4-$A391,0))</f>
        <v>21.335637090425067</v>
      </c>
      <c r="D391" s="2">
        <f ca="1">IF($A391=$K$3,1,英雄之路怪物!F394/OFFSET(英雄之路怪物!F394,$K$4-$A391,0))</f>
        <v>23.438160547163392</v>
      </c>
      <c r="E391" s="2">
        <f ca="1">IF($A391=$K$3,1,英雄之路怪物!G394/OFFSET(英雄之路怪物!G394,$K$4-$A391,0))</f>
        <v>11.734307347233273</v>
      </c>
      <c r="F391" s="2">
        <f ca="1">IF($A391=$K$3,1,英雄之路怪物!H394/OFFSET(英雄之路怪物!H394,$K$4-$A391,0))</f>
        <v>21.335637090425067</v>
      </c>
    </row>
    <row r="392" spans="1:6">
      <c r="A392" s="2">
        <f>英雄之路怪物!C395</f>
        <v>55</v>
      </c>
      <c r="B392" s="2">
        <f>MOD(英雄之路怪物!D395,10)</f>
        <v>6</v>
      </c>
      <c r="C392" s="2">
        <f ca="1">IF($A392=$K$3,1,英雄之路怪物!E395/OFFSET(英雄之路怪物!E395,$K$4-$A392,0))</f>
        <v>22.937686428827639</v>
      </c>
      <c r="D392" s="2">
        <f ca="1">IF($A392=$K$3,1,英雄之路怪物!F395/OFFSET(英雄之路怪物!F395,$K$4-$A392,0))</f>
        <v>25.352100220230088</v>
      </c>
      <c r="E392" s="2">
        <f ca="1">IF($A392=$K$3,1,英雄之路怪物!G395/OFFSET(英雄之路怪物!G395,$K$4-$A392,0))</f>
        <v>12.475144654452691</v>
      </c>
      <c r="F392" s="2">
        <f ca="1">IF($A392=$K$3,1,英雄之路怪物!H395/OFFSET(英雄之路怪物!H395,$K$4-$A392,0))</f>
        <v>22.937686428827643</v>
      </c>
    </row>
    <row r="393" spans="1:6">
      <c r="A393" s="2">
        <f>英雄之路怪物!C396</f>
        <v>56</v>
      </c>
      <c r="B393" s="2">
        <f>MOD(英雄之路怪物!D396,10)</f>
        <v>6</v>
      </c>
      <c r="C393" s="2">
        <f ca="1">IF($A393=$K$3,1,英雄之路怪物!E396/OFFSET(英雄之路怪物!E396,$K$4-$A393,0))</f>
        <v>24.621779784981594</v>
      </c>
      <c r="D393" s="2">
        <f ca="1">IF($A393=$K$3,1,英雄之路怪物!F396/OFFSET(英雄之路怪物!F396,$K$4-$A393,0))</f>
        <v>27.384970220551534</v>
      </c>
      <c r="E393" s="2">
        <f ca="1">IF($A393=$K$3,1,英雄之路怪物!G396/OFFSET(英雄之路怪物!G396,$K$4-$A393,0))</f>
        <v>13.244142022705194</v>
      </c>
      <c r="F393" s="2">
        <f ca="1">IF($A393=$K$3,1,英雄之路怪物!H396/OFFSET(英雄之路怪物!H396,$K$4-$A393,0))</f>
        <v>24.621779784981594</v>
      </c>
    </row>
    <row r="394" spans="1:6">
      <c r="A394" s="2">
        <f>英雄之路怪物!C397</f>
        <v>57</v>
      </c>
      <c r="B394" s="2">
        <f>MOD(英雄之路怪物!D397,10)</f>
        <v>6</v>
      </c>
      <c r="C394" s="2">
        <f ca="1">IF($A394=$K$3,1,英雄之路怪物!E397/OFFSET(英雄之路怪物!E397,$K$4-$A394,0))</f>
        <v>26.390417286583432</v>
      </c>
      <c r="D394" s="2">
        <f ca="1">IF($A394=$K$3,1,英雄之路怪物!F397/OFFSET(英雄之路怪物!F397,$K$4-$A394,0))</f>
        <v>29.542569127115442</v>
      </c>
      <c r="E394" s="2">
        <f ca="1">IF($A394=$K$3,1,英雄之路怪物!G397/OFFSET(英雄之路怪物!G397,$K$4-$A394,0))</f>
        <v>14.041757886371006</v>
      </c>
      <c r="F394" s="2">
        <f ca="1">IF($A394=$K$3,1,英雄之路怪物!H397/OFFSET(英雄之路怪物!H397,$K$4-$A394,0))</f>
        <v>26.390417286583432</v>
      </c>
    </row>
    <row r="395" spans="1:6">
      <c r="A395" s="2">
        <f>英雄之路怪物!C398</f>
        <v>58</v>
      </c>
      <c r="B395" s="2">
        <f>MOD(英雄之路怪物!D398,10)</f>
        <v>6</v>
      </c>
      <c r="C395" s="2">
        <f ca="1">IF($A395=$K$3,1,英雄之路怪物!E398/OFFSET(英雄之路怪物!E398,$K$4-$A395,0))</f>
        <v>28.246132296226456</v>
      </c>
      <c r="D395" s="2">
        <f ca="1">IF($A395=$K$3,1,英雄之路怪物!F398/OFFSET(英雄之路怪物!F398,$K$4-$A395,0))</f>
        <v>31.830947000126613</v>
      </c>
      <c r="E395" s="2">
        <f ca="1">IF($A395=$K$3,1,英雄之路怪物!G398/OFFSET(英雄之路怪物!G398,$K$4-$A395,0))</f>
        <v>14.86845067983038</v>
      </c>
      <c r="F395" s="2">
        <f ca="1">IF($A395=$K$3,1,英雄之路怪物!H398/OFFSET(英雄之路怪物!H398,$K$4-$A395,0))</f>
        <v>28.246132296226452</v>
      </c>
    </row>
    <row r="396" spans="1:6">
      <c r="A396" s="2">
        <f>英雄之路怪物!C399</f>
        <v>59</v>
      </c>
      <c r="B396" s="2">
        <f>MOD(英雄之路怪物!D399,10)</f>
        <v>6</v>
      </c>
      <c r="C396" s="2">
        <f ca="1">IF($A396=$K$3,1,英雄之路怪物!E399/OFFSET(英雄之路怪物!E399,$K$4-$A396,0))</f>
        <v>30.19149139859968</v>
      </c>
      <c r="D396" s="2">
        <f ca="1">IF($A396=$K$3,1,英雄之路怪物!F399/OFFSET(英雄之路怪物!F399,$K$4-$A396,0))</f>
        <v>34.256417059701107</v>
      </c>
      <c r="E396" s="2">
        <f ca="1">IF($A396=$K$3,1,英雄之路怪物!G399/OFFSET(英雄之路怪物!G399,$K$4-$A396,0))</f>
        <v>15.724678837463568</v>
      </c>
      <c r="F396" s="2">
        <f ca="1">IF($A396=$K$3,1,英雄之路怪物!H399/OFFSET(英雄之路怪物!H399,$K$4-$A396,0))</f>
        <v>30.191491398599684</v>
      </c>
    </row>
    <row r="397" spans="1:6">
      <c r="A397" s="2">
        <f>英雄之路怪物!C400</f>
        <v>60</v>
      </c>
      <c r="B397" s="2">
        <f>MOD(英雄之路怪物!D400,10)</f>
        <v>6</v>
      </c>
      <c r="C397" s="2">
        <f ca="1">IF($A397=$K$3,1,英雄之路怪物!E400/OFFSET(英雄之路怪物!E400,$K$4-$A397,0))</f>
        <v>32.3878583992865</v>
      </c>
      <c r="D397" s="2">
        <f ca="1">IF($A397=$K$3,1,英雄之路怪物!F400/OFFSET(英雄之路怪物!F400,$K$4-$A397,0))</f>
        <v>37.006974760509266</v>
      </c>
      <c r="E397" s="2">
        <f ca="1">IF($A397=$K$3,1,英雄之路怪物!G400/OFFSET(英雄之路怪物!G400,$K$4-$A397,0))</f>
        <v>16.692727891156473</v>
      </c>
      <c r="F397" s="2">
        <f ca="1">IF($A397=$K$3,1,英雄之路怪物!H400/OFFSET(英雄之路怪物!H400,$K$4-$A397,0))</f>
        <v>32.3878583992865</v>
      </c>
    </row>
    <row r="398" spans="1:6">
      <c r="A398" s="2">
        <f>英雄之路怪物!C401</f>
        <v>61</v>
      </c>
      <c r="B398" s="2">
        <f>MOD(英雄之路怪物!D401,10)</f>
        <v>6</v>
      </c>
      <c r="C398" s="2">
        <f ca="1">IF($A398=$K$3,1,英雄之路怪物!E401/OFFSET(英雄之路怪物!E401,$K$4-$A398,0))</f>
        <v>34.691974005309056</v>
      </c>
      <c r="D398" s="2">
        <f ca="1">IF($A398=$K$3,1,英雄之路怪物!F401/OFFSET(英雄之路怪物!F401,$K$4-$A398,0))</f>
        <v>39.925520182084497</v>
      </c>
      <c r="E398" s="2">
        <f ca="1">IF($A398=$K$3,1,英雄之路怪物!G401/OFFSET(英雄之路怪物!G401,$K$4-$A398,0))</f>
        <v>17.696109357606684</v>
      </c>
      <c r="F398" s="2">
        <f ca="1">IF($A398=$K$3,1,英雄之路怪物!H401/OFFSET(英雄之路怪物!H401,$K$4-$A398,0))</f>
        <v>34.691974005309056</v>
      </c>
    </row>
    <row r="399" spans="1:6">
      <c r="A399" s="2">
        <f>英雄之路怪物!C402</f>
        <v>62</v>
      </c>
      <c r="B399" s="2">
        <f>MOD(英雄之路怪物!D402,10)</f>
        <v>6</v>
      </c>
      <c r="C399" s="2">
        <f ca="1">IF($A399=$K$3,1,英雄之路怪物!E402/OFFSET(英雄之路怪物!E402,$K$4-$A399,0))</f>
        <v>37.106971775412404</v>
      </c>
      <c r="D399" s="2">
        <f ca="1">IF($A399=$K$3,1,英雄之路怪物!F402/OFFSET(英雄之路怪物!F402,$K$4-$A399,0))</f>
        <v>43.020227109939746</v>
      </c>
      <c r="E399" s="2">
        <f ca="1">IF($A399=$K$3,1,英雄之路怪物!G402/OFFSET(英雄之路怪物!G402,$K$4-$A399,0))</f>
        <v>18.735373358070518</v>
      </c>
      <c r="F399" s="2">
        <f ca="1">IF($A399=$K$3,1,英雄之路怪物!H402/OFFSET(英雄之路怪物!H402,$K$4-$A399,0))</f>
        <v>37.106971775412397</v>
      </c>
    </row>
    <row r="400" spans="1:6">
      <c r="A400" s="2">
        <f>英雄之路怪物!C403</f>
        <v>63</v>
      </c>
      <c r="B400" s="2">
        <f>MOD(英雄之路怪物!D403,10)</f>
        <v>6</v>
      </c>
      <c r="C400" s="2">
        <f ca="1">IF($A400=$K$3,1,英雄之路怪物!E403/OFFSET(英雄之路怪物!E403,$K$4-$A400,0))</f>
        <v>39.636025087792035</v>
      </c>
      <c r="D400" s="2">
        <f ca="1">IF($A400=$K$3,1,英雄之路怪物!F403/OFFSET(英雄之路怪物!F403,$K$4-$A400,0))</f>
        <v>46.299632562195143</v>
      </c>
      <c r="E400" s="2">
        <f ca="1">IF($A400=$K$3,1,英雄之路怪物!G403/OFFSET(英雄之路怪物!G403,$K$4-$A400,0))</f>
        <v>19.811070013804226</v>
      </c>
      <c r="F400" s="2">
        <f ca="1">IF($A400=$K$3,1,英雄之路怪物!H403/OFFSET(英雄之路怪物!H403,$K$4-$A400,0))</f>
        <v>39.636025087792035</v>
      </c>
    </row>
    <row r="401" spans="1:6">
      <c r="A401" s="2">
        <f>英雄之路怪物!C404</f>
        <v>64</v>
      </c>
      <c r="B401" s="2">
        <f>MOD(英雄之路怪物!D404,10)</f>
        <v>6</v>
      </c>
      <c r="C401" s="2">
        <f ca="1">IF($A401=$K$3,1,英雄之路怪物!E404/OFFSET(英雄之路怪物!E404,$K$4-$A401,0))</f>
        <v>42.282347124790768</v>
      </c>
      <c r="D401" s="2">
        <f ca="1">IF($A401=$K$3,1,英雄之路怪物!F404/OFFSET(英雄之路怪物!F404,$K$4-$A401,0))</f>
        <v>49.772654479477652</v>
      </c>
      <c r="E401" s="2">
        <f ca="1">IF($A401=$K$3,1,英雄之路怪物!G404/OFFSET(英雄之路怪物!G404,$K$4-$A401,0))</f>
        <v>20.923749446064164</v>
      </c>
      <c r="F401" s="2">
        <f ca="1">IF($A401=$K$3,1,英雄之路怪物!H404/OFFSET(英雄之路怪物!H404,$K$4-$A401,0))</f>
        <v>42.282347124790768</v>
      </c>
    </row>
    <row r="402" spans="1:6">
      <c r="A402" s="2">
        <f>英雄之路怪物!C405</f>
        <v>65</v>
      </c>
      <c r="B402" s="2">
        <f>MOD(英雄之路怪物!D405,10)</f>
        <v>6</v>
      </c>
      <c r="C402" s="2">
        <f ca="1">IF($A402=$K$3,1,英雄之路怪物!E405/OFFSET(英雄之路怪物!E405,$K$4-$A402,0))</f>
        <v>45.049190857524657</v>
      </c>
      <c r="D402" s="2">
        <f ca="1">IF($A402=$K$3,1,英雄之路怪物!F405/OFFSET(英雄之路怪物!F405,$K$4-$A402,0))</f>
        <v>53.448610458814869</v>
      </c>
      <c r="E402" s="2">
        <f ca="1">IF($A402=$K$3,1,英雄之路怪物!G405/OFFSET(英雄之路怪物!G405,$K$4-$A402,0))</f>
        <v>22.073961776106561</v>
      </c>
      <c r="F402" s="2">
        <f ca="1">IF($A402=$K$3,1,英雄之路怪物!H405/OFFSET(英雄之路怪物!H405,$K$4-$A402,0))</f>
        <v>45.049190857524657</v>
      </c>
    </row>
    <row r="403" spans="1:6">
      <c r="A403" s="2">
        <f>英雄之路怪物!C406</f>
        <v>66</v>
      </c>
      <c r="B403" s="2">
        <f>MOD(英雄之路怪物!D406,10)</f>
        <v>6</v>
      </c>
      <c r="C403" s="2">
        <f ca="1">IF($A403=$K$3,1,英雄之路怪物!E406/OFFSET(英雄之路怪物!E406,$K$4-$A403,0))</f>
        <v>47.939849030470953</v>
      </c>
      <c r="D403" s="2">
        <f ca="1">IF($A403=$K$3,1,英雄之路怪物!F406/OFFSET(英雄之路怪物!F406,$K$4-$A403,0))</f>
        <v>57.337237604118563</v>
      </c>
      <c r="E403" s="2">
        <f ca="1">IF($A403=$K$3,1,英雄之路怪物!G406/OFFSET(英雄之路怪物!G406,$K$4-$A403,0))</f>
        <v>23.262257125187762</v>
      </c>
      <c r="F403" s="2">
        <f ca="1">IF($A403=$K$3,1,英雄之路怪物!H406/OFFSET(英雄之路怪物!H406,$K$4-$A403,0))</f>
        <v>47.939849030470953</v>
      </c>
    </row>
    <row r="404" spans="1:6">
      <c r="A404" s="2">
        <f>英雄之路怪物!C407</f>
        <v>67</v>
      </c>
      <c r="B404" s="2">
        <f>MOD(英雄之路怪物!D407,10)</f>
        <v>6</v>
      </c>
      <c r="C404" s="2">
        <f ca="1">IF($A404=$K$3,1,英雄之路怪物!E407/OFFSET(英雄之路怪物!E407,$K$4-$A404,0))</f>
        <v>50.957654146047425</v>
      </c>
      <c r="D404" s="2">
        <f ca="1">IF($A404=$K$3,1,英雄之路怪物!F407/OFFSET(英雄之路怪物!F407,$K$4-$A404,0))</f>
        <v>60.931317657981204</v>
      </c>
      <c r="E404" s="2">
        <f ca="1">IF($A404=$K$3,1,英雄之路怪物!G407/OFFSET(英雄之路怪物!G407,$K$4-$A404,0))</f>
        <v>24.489185614564025</v>
      </c>
      <c r="F404" s="2">
        <f ca="1">IF($A404=$K$3,1,英雄之路怪物!H407/OFFSET(英雄之路怪物!H407,$K$4-$A404,0))</f>
        <v>50.957654146047417</v>
      </c>
    </row>
    <row r="405" spans="1:6">
      <c r="A405" s="2">
        <f>英雄之路怪物!C408</f>
        <v>68</v>
      </c>
      <c r="B405" s="2">
        <f>MOD(英雄之路怪物!D408,10)</f>
        <v>6</v>
      </c>
      <c r="C405" s="2">
        <f ca="1">IF($A405=$K$3,1,英雄之路怪物!E408/OFFSET(英雄之路怪物!E408,$K$4-$A405,0))</f>
        <v>54.10597844920877</v>
      </c>
      <c r="D405" s="2">
        <f ca="1">IF($A405=$K$3,1,英雄之路怪物!F408/OFFSET(英雄之路怪物!F408,$K$4-$A405,0))</f>
        <v>64.690171137659974</v>
      </c>
      <c r="E405" s="2">
        <f ca="1">IF($A405=$K$3,1,英雄之路怪物!G408/OFFSET(英雄之路怪物!G408,$K$4-$A405,0))</f>
        <v>25.755297365491675</v>
      </c>
      <c r="F405" s="2">
        <f ca="1">IF($A405=$K$3,1,英雄之路怪物!H408/OFFSET(英雄之路怪物!H408,$K$4-$A405,0))</f>
        <v>54.10597844920877</v>
      </c>
    </row>
    <row r="406" spans="1:6">
      <c r="A406" s="2">
        <f>英雄之路怪物!C409</f>
        <v>69</v>
      </c>
      <c r="B406" s="2">
        <f>MOD(英雄之路怪物!D409,10)</f>
        <v>6</v>
      </c>
      <c r="C406" s="2">
        <f ca="1">IF($A406=$K$3,1,英雄之路怪物!E409/OFFSET(英雄之路怪物!E409,$K$4-$A406,0))</f>
        <v>57.38823391208193</v>
      </c>
      <c r="D406" s="2">
        <f ca="1">IF($A406=$K$3,1,英雄之路怪物!F409/OFFSET(英雄之路怪物!F409,$K$4-$A406,0))</f>
        <v>68.619713185921412</v>
      </c>
      <c r="E406" s="2">
        <f ca="1">IF($A406=$K$3,1,英雄之路怪物!G409/OFFSET(英雄之路怪物!G409,$K$4-$A406,0))</f>
        <v>27.061142499226996</v>
      </c>
      <c r="F406" s="2">
        <f ca="1">IF($A406=$K$3,1,英雄之路怪物!H409/OFFSET(英雄之路怪物!H409,$K$4-$A406,0))</f>
        <v>57.388233912081937</v>
      </c>
    </row>
    <row r="407" spans="1:6">
      <c r="A407" s="2">
        <f>英雄之路怪物!C410</f>
        <v>70</v>
      </c>
      <c r="B407" s="2">
        <f>MOD(英雄之路怪物!D410,10)</f>
        <v>6</v>
      </c>
      <c r="C407" s="2">
        <f ca="1">IF($A407=$K$3,1,英雄之路怪物!E410/OFFSET(英雄之路怪物!E410,$K$4-$A407,0))</f>
        <v>61.038205067972626</v>
      </c>
      <c r="D407" s="2">
        <f ca="1">IF($A407=$K$3,1,英雄之路怪物!F410/OFFSET(英雄之路怪物!F410,$K$4-$A407,0))</f>
        <v>73.001563143980221</v>
      </c>
      <c r="E407" s="2">
        <f ca="1">IF($A407=$K$3,1,英雄之路怪物!G410/OFFSET(英雄之路怪物!G410,$K$4-$A407,0))</f>
        <v>28.514874436787725</v>
      </c>
      <c r="F407" s="2">
        <f ca="1">IF($A407=$K$3,1,英雄之路怪物!H410/OFFSET(英雄之路怪物!H410,$K$4-$A407,0))</f>
        <v>61.038205067972619</v>
      </c>
    </row>
    <row r="408" spans="1:6">
      <c r="A408" s="2">
        <f>英雄之路怪物!C411</f>
        <v>71</v>
      </c>
      <c r="B408" s="2">
        <f>MOD(英雄之路怪物!D411,10)</f>
        <v>6</v>
      </c>
      <c r="C408" s="2">
        <f ca="1">IF($A408=$K$3,1,英雄之路怪物!E411/OFFSET(英雄之路怪物!E411,$K$4-$A408,0))</f>
        <v>64.845187599564966</v>
      </c>
      <c r="D408" s="2">
        <f ca="1">IF($A408=$K$3,1,英雄之路怪物!F411/OFFSET(英雄之路怪物!F411,$K$4-$A408,0))</f>
        <v>77.58615484361772</v>
      </c>
      <c r="E408" s="2">
        <f ca="1">IF($A408=$K$3,1,英雄之路怪物!G411/OFFSET(英雄之路怪物!G411,$K$4-$A408,0))</f>
        <v>30.014931425332055</v>
      </c>
      <c r="F408" s="2">
        <f ca="1">IF($A408=$K$3,1,英雄之路怪物!H411/OFFSET(英雄之路怪物!H411,$K$4-$A408,0))</f>
        <v>64.845187599564952</v>
      </c>
    </row>
    <row r="409" spans="1:6">
      <c r="A409" s="2">
        <f>英雄之路怪物!C412</f>
        <v>72</v>
      </c>
      <c r="B409" s="2">
        <f>MOD(英雄之路怪物!D412,10)</f>
        <v>6</v>
      </c>
      <c r="C409" s="2">
        <f ca="1">IF($A409=$K$3,1,英雄之路怪物!E412/OFFSET(英雄之路怪物!E412,$K$4-$A409,0))</f>
        <v>68.813229768740968</v>
      </c>
      <c r="D409" s="2">
        <f ca="1">IF($A409=$K$3,1,英雄之路怪物!F412/OFFSET(英雄之路怪物!F412,$K$4-$A409,0))</f>
        <v>82.380909233755332</v>
      </c>
      <c r="E409" s="2">
        <f ca="1">IF($A409=$K$3,1,英雄之路怪物!G412/OFFSET(英雄之路怪物!G412,$K$4-$A409,0))</f>
        <v>31.561955272992336</v>
      </c>
      <c r="F409" s="2">
        <f ca="1">IF($A409=$K$3,1,英雄之路怪物!H412/OFFSET(英雄之路怪物!H412,$K$4-$A409,0))</f>
        <v>68.813229768740982</v>
      </c>
    </row>
    <row r="410" spans="1:6">
      <c r="A410" s="2">
        <f>英雄之路怪物!C413</f>
        <v>73</v>
      </c>
      <c r="B410" s="2">
        <f>MOD(英雄之路怪物!D413,10)</f>
        <v>6</v>
      </c>
      <c r="C410" s="2">
        <f ca="1">IF($A410=$K$3,1,英雄之路怪物!E413/OFFSET(英雄之路怪物!E413,$K$4-$A410,0))</f>
        <v>72.946426135465188</v>
      </c>
      <c r="D410" s="2">
        <f ca="1">IF($A410=$K$3,1,英雄之路怪物!F413/OFFSET(英雄之路怪物!F413,$K$4-$A410,0))</f>
        <v>87.39354230349069</v>
      </c>
      <c r="E410" s="2">
        <f ca="1">IF($A410=$K$3,1,英雄之路怪物!G413/OFFSET(英雄之路怪物!G413,$K$4-$A410,0))</f>
        <v>33.156587787900904</v>
      </c>
      <c r="F410" s="2">
        <f ca="1">IF($A410=$K$3,1,英雄之路怪物!H413/OFFSET(英雄之路怪物!H413,$K$4-$A410,0))</f>
        <v>72.946426135465202</v>
      </c>
    </row>
    <row r="411" spans="1:6">
      <c r="A411" s="2">
        <f>英雄之路怪物!C414</f>
        <v>74</v>
      </c>
      <c r="B411" s="2">
        <f>MOD(英雄之路怪物!D414,10)</f>
        <v>6</v>
      </c>
      <c r="C411" s="2">
        <f ca="1">IF($A411=$K$3,1,英雄之路怪物!E414/OFFSET(英雄之路怪物!E414,$K$4-$A411,0))</f>
        <v>77.248917540456915</v>
      </c>
      <c r="D411" s="2">
        <f ca="1">IF($A411=$K$3,1,英雄之路怪物!F414/OFFSET(英雄之路怪物!F414,$K$4-$A411,0))</f>
        <v>92.632081001531915</v>
      </c>
      <c r="E411" s="2">
        <f ca="1">IF($A411=$K$3,1,英雄之路怪物!G414/OFFSET(英雄之路怪物!G414,$K$4-$A411,0))</f>
        <v>34.799470778190091</v>
      </c>
      <c r="F411" s="2">
        <f ca="1">IF($A411=$K$3,1,英雄之路怪物!H414/OFFSET(英雄之路怪物!H414,$K$4-$A411,0))</f>
        <v>77.248917540456929</v>
      </c>
    </row>
    <row r="412" spans="1:6">
      <c r="A412" s="2">
        <f>英雄之路怪物!C415</f>
        <v>75</v>
      </c>
      <c r="B412" s="2">
        <f>MOD(英雄之路怪物!D415,10)</f>
        <v>6</v>
      </c>
      <c r="C412" s="2">
        <f ca="1">IF($A412=$K$3,1,英雄之路怪物!E415/OFFSET(英雄之路怪物!E415,$K$4-$A412,0))</f>
        <v>81.724891087975323</v>
      </c>
      <c r="D412" s="2">
        <f ca="1">IF($A412=$K$3,1,英雄之路怪物!F415/OFFSET(英雄之路怪物!F415,$K$4-$A412,0))</f>
        <v>98.104880197630649</v>
      </c>
      <c r="E412" s="2">
        <f ca="1">IF($A412=$K$3,1,英雄之路怪物!G415/OFFSET(英雄之路怪物!G415,$K$4-$A412,0))</f>
        <v>36.49124605199227</v>
      </c>
      <c r="F412" s="2">
        <f ca="1">IF($A412=$K$3,1,英雄之路怪物!H415/OFFSET(英雄之路怪物!H415,$K$4-$A412,0))</f>
        <v>81.724891087975323</v>
      </c>
    </row>
    <row r="413" spans="1:6">
      <c r="A413" s="2">
        <f>英雄之路怪物!C416</f>
        <v>76</v>
      </c>
      <c r="B413" s="2">
        <f>MOD(英雄之路怪物!D416,10)</f>
        <v>6</v>
      </c>
      <c r="C413" s="2">
        <f ca="1">IF($A413=$K$3,1,英雄之路怪物!E416/OFFSET(英雄之路怪物!E416,$K$4-$A413,0))</f>
        <v>86.378580128730732</v>
      </c>
      <c r="D413" s="2">
        <f ca="1">IF($A413=$K$3,1,英雄之路怪物!F416/OFFSET(英雄之路怪物!F416,$K$4-$A413,0))</f>
        <v>103.8206407664632</v>
      </c>
      <c r="E413" s="2">
        <f ca="1">IF($A413=$K$3,1,英雄之路怪物!G416/OFFSET(英雄之路怪物!G416,$K$4-$A413,0))</f>
        <v>38.232555417439727</v>
      </c>
      <c r="F413" s="2">
        <f ca="1">IF($A413=$K$3,1,英雄之路怪物!H416/OFFSET(英雄之路怪物!H416,$K$4-$A413,0))</f>
        <v>86.378580128730746</v>
      </c>
    </row>
    <row r="414" spans="1:6">
      <c r="A414" s="2">
        <f>英雄之路怪物!C417</f>
        <v>77</v>
      </c>
      <c r="B414" s="2">
        <f>MOD(英雄之路怪物!D417,10)</f>
        <v>6</v>
      </c>
      <c r="C414" s="2">
        <f ca="1">IF($A414=$K$3,1,英雄之路怪物!E417/OFFSET(英雄之路怪物!E417,$K$4-$A414,0))</f>
        <v>91.214264242931264</v>
      </c>
      <c r="D414" s="2">
        <f ca="1">IF($A414=$K$3,1,英雄之路怪物!F417/OFFSET(英雄之路怪物!F417,$K$4-$A414,0))</f>
        <v>109.78842888158552</v>
      </c>
      <c r="E414" s="2">
        <f ca="1">IF($A414=$K$3,1,英雄之路怪物!G417/OFFSET(英雄之路怪物!G417,$K$4-$A414,0))</f>
        <v>40.024040682664861</v>
      </c>
      <c r="F414" s="2">
        <f ca="1">IF($A414=$K$3,1,英雄之路怪物!H417/OFFSET(英雄之路怪物!H417,$K$4-$A414,0))</f>
        <v>91.214264242931264</v>
      </c>
    </row>
    <row r="415" spans="1:6">
      <c r="A415" s="2">
        <f>英雄之路怪物!C418</f>
        <v>78</v>
      </c>
      <c r="B415" s="2">
        <f>MOD(英雄之路怪物!D418,10)</f>
        <v>6</v>
      </c>
      <c r="C415" s="2">
        <f ca="1">IF($A415=$K$3,1,英雄之路怪物!E418/OFFSET(英雄之路怪物!E418,$K$4-$A415,0))</f>
        <v>96.236269223474267</v>
      </c>
      <c r="D415" s="2">
        <f ca="1">IF($A415=$K$3,1,英雄之路怪物!F418/OFFSET(英雄之路怪物!F418,$K$4-$A415,0))</f>
        <v>116.01769661499407</v>
      </c>
      <c r="E415" s="2">
        <f ca="1">IF($A415=$K$3,1,英雄之路怪物!G418/OFFSET(英雄之路怪物!G418,$K$4-$A415,0))</f>
        <v>41.866343655800001</v>
      </c>
      <c r="F415" s="2">
        <f ca="1">IF($A415=$K$3,1,英雄之路怪物!H418/OFFSET(英雄之路怪物!H418,$K$4-$A415,0))</f>
        <v>96.236269223474267</v>
      </c>
    </row>
    <row r="416" spans="1:6">
      <c r="A416" s="2">
        <f>英雄之路怪物!C419</f>
        <v>79</v>
      </c>
      <c r="B416" s="2">
        <f>MOD(英雄之路怪物!D419,10)</f>
        <v>6</v>
      </c>
      <c r="C416" s="2">
        <f ca="1">IF($A416=$K$3,1,英雄之路怪物!E419/OFFSET(英雄之路怪物!E419,$K$4-$A416,0))</f>
        <v>101.44896705929044</v>
      </c>
      <c r="D416" s="2">
        <f ca="1">IF($A416=$K$3,1,英雄之路怪物!F419/OFFSET(英雄之路怪物!F419,$K$4-$A416,0))</f>
        <v>122.51830394654247</v>
      </c>
      <c r="E416" s="2">
        <f ca="1">IF($A416=$K$3,1,英雄之路怪物!G419/OFFSET(英雄之路怪物!G419,$K$4-$A416,0))</f>
        <v>43.76010614497752</v>
      </c>
      <c r="F416" s="2">
        <f ca="1">IF($A416=$K$3,1,英雄之路怪物!H419/OFFSET(英雄之路怪物!H419,$K$4-$A416,0))</f>
        <v>101.44896705929044</v>
      </c>
    </row>
    <row r="417" spans="1:6">
      <c r="A417" s="2">
        <f>英雄之路怪物!C420</f>
        <v>80</v>
      </c>
      <c r="B417" s="2">
        <f>MOD(英雄之路怪物!D420,10)</f>
        <v>6</v>
      </c>
      <c r="C417" s="2">
        <f ca="1">IF($A417=$K$3,1,英雄之路怪物!E420/OFFSET(英雄之路怪物!E420,$K$4-$A417,0))</f>
        <v>107.17575136934926</v>
      </c>
      <c r="D417" s="2">
        <f ca="1">IF($A417=$K$3,1,英雄之路怪物!F420/OFFSET(英雄之路怪物!F420,$K$4-$A417,0))</f>
        <v>129.68651406513814</v>
      </c>
      <c r="E417" s="2">
        <f ca="1">IF($A417=$K$3,1,英雄之路怪物!G420/OFFSET(英雄之路怪物!G420,$K$4-$A417,0))</f>
        <v>45.842405689548549</v>
      </c>
      <c r="F417" s="2">
        <f ca="1">IF($A417=$K$3,1,英雄之路怪物!H420/OFFSET(英雄之路怪物!H420,$K$4-$A417,0))</f>
        <v>107.17575136934927</v>
      </c>
    </row>
    <row r="418" spans="1:6">
      <c r="A418" s="2">
        <f>英雄之路怪物!C421</f>
        <v>81</v>
      </c>
      <c r="B418" s="2">
        <f>MOD(英雄之路怪物!D421,10)</f>
        <v>6</v>
      </c>
      <c r="C418" s="2">
        <f ca="1">IF($A418=$K$3,1,英雄之路怪物!E421/OFFSET(英雄之路怪物!E421,$K$4-$A418,0))</f>
        <v>113.12184528078676</v>
      </c>
      <c r="D418" s="2">
        <f ca="1">IF($A418=$K$3,1,英雄之路怪物!F421/OFFSET(英雄之路怪物!F421,$K$4-$A418,0))</f>
        <v>155.71401437603362</v>
      </c>
      <c r="E418" s="2">
        <f ca="1">IF($A418=$K$3,1,英雄之路怪物!G421/OFFSET(英雄之路怪物!G421,$K$4-$A418,0))</f>
        <v>47.983551037930376</v>
      </c>
      <c r="F418" s="2">
        <f ca="1">IF($A418=$K$3,1,英雄之路怪物!H421/OFFSET(英雄之路怪物!H421,$K$4-$A418,0))</f>
        <v>113.12184528078676</v>
      </c>
    </row>
    <row r="419" spans="1:6">
      <c r="A419" s="2">
        <f>英雄之路怪物!C422</f>
        <v>82</v>
      </c>
      <c r="B419" s="2">
        <f>MOD(英雄之路怪物!D422,10)</f>
        <v>6</v>
      </c>
      <c r="C419" s="2">
        <f ca="1">IF($A419=$K$3,1,英雄之路怪物!E422/OFFSET(英雄之路怪物!E422,$K$4-$A419,0))</f>
        <v>119.29232614432998</v>
      </c>
      <c r="D419" s="2">
        <f ca="1">IF($A419=$K$3,1,英雄之路怪物!F422/OFFSET(英雄之路怪物!F422,$K$4-$A419,0))</f>
        <v>165.97861501513222</v>
      </c>
      <c r="E419" s="2">
        <f ca="1">IF($A419=$K$3,1,英雄之路怪物!G422/OFFSET(英雄之路怪物!G422,$K$4-$A419,0))</f>
        <v>50.184275685131219</v>
      </c>
      <c r="F419" s="2">
        <f ca="1">IF($A419=$K$3,1,英雄之路怪物!H422/OFFSET(英雄之路怪物!H422,$K$4-$A419,0))</f>
        <v>119.29232614432998</v>
      </c>
    </row>
    <row r="420" spans="1:6">
      <c r="A420" s="2">
        <f>英雄之路怪物!C423</f>
        <v>83</v>
      </c>
      <c r="B420" s="2">
        <f>MOD(英雄之路怪物!D423,10)</f>
        <v>6</v>
      </c>
      <c r="C420" s="2">
        <f ca="1">IF($A420=$K$3,1,英雄之路怪物!E423/OFFSET(英雄之路怪物!E423,$K$4-$A420,0))</f>
        <v>125.69232405416851</v>
      </c>
      <c r="D420" s="2">
        <f ca="1">IF($A420=$K$3,1,英雄之路怪物!F423/OFFSET(英雄之路怪物!F423,$K$4-$A420,0))</f>
        <v>176.80053067127213</v>
      </c>
      <c r="E420" s="2">
        <f ca="1">IF($A420=$K$3,1,英雄之路怪物!G423/OFFSET(英雄之路怪物!G423,$K$4-$A420,0))</f>
        <v>52.445313126159583</v>
      </c>
      <c r="F420" s="2">
        <f ca="1">IF($A420=$K$3,1,英雄之路怪物!H423/OFFSET(英雄之路怪物!H423,$K$4-$A420,0))</f>
        <v>125.69232405416852</v>
      </c>
    </row>
    <row r="421" spans="1:6">
      <c r="A421" s="2">
        <f>英雄之路怪物!C424</f>
        <v>84</v>
      </c>
      <c r="B421" s="2">
        <f>MOD(英雄之路怪物!D424,10)</f>
        <v>6</v>
      </c>
      <c r="C421" s="2">
        <f ca="1">IF($A421=$K$3,1,英雄之路怪物!E424/OFFSET(英雄之路怪物!E424,$K$4-$A421,0))</f>
        <v>132.32702182976917</v>
      </c>
      <c r="D421" s="2">
        <f ca="1">IF($A421=$K$3,1,英雄之路怪物!F424/OFFSET(英雄之路怪物!F424,$K$4-$A421,0))</f>
        <v>188.20717679557109</v>
      </c>
      <c r="E421" s="2">
        <f ca="1">IF($A421=$K$3,1,英雄之路怪物!G424/OFFSET(英雄之路怪物!G424,$K$4-$A421,0))</f>
        <v>54.767396856023829</v>
      </c>
      <c r="F421" s="2">
        <f ca="1">IF($A421=$K$3,1,英雄之路怪物!H424/OFFSET(英雄之路怪物!H424,$K$4-$A421,0))</f>
        <v>132.32702182976914</v>
      </c>
    </row>
    <row r="422" spans="1:6">
      <c r="A422" s="2">
        <f>英雄之路怪物!C425</f>
        <v>85</v>
      </c>
      <c r="B422" s="2">
        <f>MOD(英雄之路怪物!D425,10)</f>
        <v>6</v>
      </c>
      <c r="C422" s="2">
        <f ca="1">IF($A422=$K$3,1,英雄之路怪物!E425/OFFSET(英雄之路怪物!E425,$K$4-$A422,0))</f>
        <v>139.20165499788169</v>
      </c>
      <c r="D422" s="2">
        <f ca="1">IF($A422=$K$3,1,英雄之路怪物!F425/OFFSET(英雄之路怪物!F425,$K$4-$A422,0))</f>
        <v>200.22739261588021</v>
      </c>
      <c r="E422" s="2">
        <f ca="1">IF($A422=$K$3,1,英雄之路怪物!G425/OFFSET(英雄之路怪物!G425,$K$4-$A422,0))</f>
        <v>57.151260369732299</v>
      </c>
      <c r="F422" s="2">
        <f ca="1">IF($A422=$K$3,1,英雄之路怪物!H425/OFFSET(英雄之路怪物!H425,$K$4-$A422,0))</f>
        <v>139.20165499788169</v>
      </c>
    </row>
    <row r="423" spans="1:6">
      <c r="A423" s="2">
        <f>英雄之路怪物!C426</f>
        <v>86</v>
      </c>
      <c r="B423" s="2">
        <f>MOD(英雄之路怪物!D426,10)</f>
        <v>6</v>
      </c>
      <c r="C423" s="2">
        <f ca="1">IF($A423=$K$3,1,英雄之路怪物!E426/OFFSET(英雄之路怪物!E426,$K$4-$A423,0))</f>
        <v>146.32151177473924</v>
      </c>
      <c r="D423" s="2">
        <f ca="1">IF($A423=$K$3,1,英雄之路怪物!F426/OFFSET(英雄之路怪物!F426,$K$4-$A423,0))</f>
        <v>212.89152938740807</v>
      </c>
      <c r="E423" s="2">
        <f ca="1">IF($A423=$K$3,1,英雄之路怪物!G426/OFFSET(英雄之路怪物!G426,$K$4-$A423,0))</f>
        <v>59.597637162293509</v>
      </c>
      <c r="F423" s="2">
        <f ca="1">IF($A423=$K$3,1,英雄之路怪物!H426/OFFSET(英雄之路怪物!H426,$K$4-$A423,0))</f>
        <v>146.32151177473926</v>
      </c>
    </row>
    <row r="424" spans="1:6">
      <c r="A424" s="2">
        <f>英雄之路怪物!C427</f>
        <v>87</v>
      </c>
      <c r="B424" s="2">
        <f>MOD(英雄之路怪物!D427,10)</f>
        <v>6</v>
      </c>
      <c r="C424" s="2">
        <f ca="1">IF($A424=$K$3,1,英雄之路怪物!E427/OFFSET(英雄之路怪物!E427,$K$4-$A424,0))</f>
        <v>153.69193304845504</v>
      </c>
      <c r="D424" s="2">
        <f ca="1">IF($A424=$K$3,1,英雄之路怪物!F427/OFFSET(英雄之路怪物!F427,$K$4-$A424,0))</f>
        <v>226.23154528983446</v>
      </c>
      <c r="E424" s="2">
        <f ca="1">IF($A424=$K$3,1,英雄之路怪物!G427/OFFSET(英雄之路怪物!G427,$K$4-$A424,0))</f>
        <v>62.107260728715751</v>
      </c>
      <c r="F424" s="2">
        <f ca="1">IF($A424=$K$3,1,英雄之路怪物!H427/OFFSET(英雄之路怪物!H427,$K$4-$A424,0))</f>
        <v>153.69193304845504</v>
      </c>
    </row>
    <row r="425" spans="1:6">
      <c r="A425" s="2">
        <f>英雄之路怪物!C428</f>
        <v>88</v>
      </c>
      <c r="B425" s="2">
        <f>MOD(英雄之路怪物!D428,10)</f>
        <v>6</v>
      </c>
      <c r="C425" s="2">
        <f ca="1">IF($A425=$K$3,1,英雄之路怪物!E428/OFFSET(英雄之路怪物!E428,$K$4-$A425,0))</f>
        <v>161.31831236161827</v>
      </c>
      <c r="D425" s="2">
        <f ca="1">IF($A425=$K$3,1,英雄之路怪物!F428/OFFSET(英雄之路怪物!F428,$K$4-$A425,0))</f>
        <v>240.28110756234122</v>
      </c>
      <c r="E425" s="2">
        <f ca="1">IF($A425=$K$3,1,英雄之路怪物!G428/OFFSET(英雄之路怪物!G428,$K$4-$A425,0))</f>
        <v>64.680864564007408</v>
      </c>
      <c r="F425" s="2">
        <f ca="1">IF($A425=$K$3,1,英雄之路怪物!H428/OFFSET(英雄之路怪物!H428,$K$4-$A425,0))</f>
        <v>161.31831236161827</v>
      </c>
    </row>
    <row r="426" spans="1:6">
      <c r="A426" s="2">
        <f>英雄之路怪物!C429</f>
        <v>89</v>
      </c>
      <c r="B426" s="2">
        <f>MOD(英雄之路怪物!D429,10)</f>
        <v>6</v>
      </c>
      <c r="C426" s="2">
        <f ca="1">IF($A426=$K$3,1,英雄之路怪物!E429/OFFSET(英雄之路怪物!E429,$K$4-$A426,0))</f>
        <v>169.20609589408824</v>
      </c>
      <c r="D426" s="2">
        <f ca="1">IF($A426=$K$3,1,英雄之路怪物!F429/OFFSET(英雄之路怪物!F429,$K$4-$A426,0))</f>
        <v>255.07570252890127</v>
      </c>
      <c r="E426" s="2">
        <f ca="1">IF($A426=$K$3,1,英雄之路怪物!G429/OFFSET(英雄之路怪物!G429,$K$4-$A426,0))</f>
        <v>67.319182163176947</v>
      </c>
      <c r="F426" s="2">
        <f ca="1">IF($A426=$K$3,1,英雄之路怪物!H429/OFFSET(英雄之路怪物!H429,$K$4-$A426,0))</f>
        <v>169.20609589408826</v>
      </c>
    </row>
    <row r="427" spans="1:6">
      <c r="A427" s="2">
        <f>英雄之路怪物!C430</f>
        <v>90</v>
      </c>
      <c r="B427" s="2">
        <f>MOD(英雄之路怪物!D430,10)</f>
        <v>6</v>
      </c>
      <c r="C427" s="2">
        <f ca="1">IF($A427=$K$3,1,英雄之路怪物!E430/OFFSET(英雄之路怪物!E430,$K$4-$A427,0))</f>
        <v>177.36078244598951</v>
      </c>
      <c r="D427" s="2">
        <f ca="1">IF($A427=$K$3,1,英雄之路怪物!F430/OFFSET(英雄之路怪物!F430,$K$4-$A427,0))</f>
        <v>270.65275423424396</v>
      </c>
      <c r="E427" s="2">
        <f ca="1">IF($A427=$K$3,1,英雄之路怪物!G430/OFFSET(英雄之路怪物!G430,$K$4-$A427,0))</f>
        <v>70.022947021232739</v>
      </c>
      <c r="F427" s="2">
        <f ca="1">IF($A427=$K$3,1,英雄之路怪物!H430/OFFSET(英雄之路怪物!H430,$K$4-$A427,0))</f>
        <v>177.36078244598951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AE430"/>
  <sheetViews>
    <sheetView workbookViewId="0">
      <pane xSplit="3" ySplit="4" topLeftCell="L5" activePane="bottomRight" state="frozen"/>
      <selection pane="topRight" activeCell="D1" sqref="D1"/>
      <selection pane="bottomLeft" activeCell="A5" sqref="A5"/>
      <selection pane="bottomRight" activeCell="AD14" sqref="AD14"/>
    </sheetView>
  </sheetViews>
  <sheetFormatPr defaultRowHeight="13.5"/>
  <cols>
    <col min="2" max="3" width="9.5" bestFit="1" customWidth="1"/>
    <col min="4" max="4" width="8.5" bestFit="1" customWidth="1"/>
    <col min="5" max="5" width="12.75" bestFit="1" customWidth="1"/>
    <col min="6" max="6" width="11.625" bestFit="1" customWidth="1"/>
    <col min="7" max="7" width="9.5" bestFit="1" customWidth="1"/>
    <col min="8" max="8" width="12.75" bestFit="1" customWidth="1"/>
    <col min="9" max="9" width="11.625" bestFit="1" customWidth="1"/>
    <col min="10" max="10" width="9.5" bestFit="1" customWidth="1"/>
    <col min="11" max="11" width="12.75" bestFit="1" customWidth="1"/>
    <col min="12" max="12" width="11.625" bestFit="1" customWidth="1"/>
    <col min="13" max="15" width="9.5" bestFit="1" customWidth="1"/>
    <col min="16" max="16" width="9.5" customWidth="1"/>
    <col min="17" max="19" width="12.75" bestFit="1" customWidth="1"/>
    <col min="29" max="29" width="9.5" bestFit="1" customWidth="1"/>
  </cols>
  <sheetData>
    <row r="2" spans="1:31">
      <c r="AD2" s="2">
        <v>1</v>
      </c>
      <c r="AE2" s="2" t="s">
        <v>345</v>
      </c>
    </row>
    <row r="3" spans="1:31">
      <c r="E3" s="27" t="s">
        <v>87</v>
      </c>
      <c r="F3" s="22"/>
      <c r="G3" s="22"/>
      <c r="H3" s="22" t="s">
        <v>88</v>
      </c>
      <c r="I3" s="22"/>
      <c r="J3" s="22"/>
      <c r="K3" s="22" t="s">
        <v>89</v>
      </c>
      <c r="L3" s="22"/>
      <c r="M3" s="22"/>
      <c r="AD3" s="2">
        <v>2</v>
      </c>
      <c r="AE3" s="2" t="s">
        <v>346</v>
      </c>
    </row>
    <row r="4" spans="1:31">
      <c r="A4" s="2" t="s">
        <v>555</v>
      </c>
      <c r="B4" s="2" t="s">
        <v>284</v>
      </c>
      <c r="C4" s="2" t="s">
        <v>91</v>
      </c>
      <c r="D4" s="2" t="s">
        <v>58</v>
      </c>
      <c r="E4" s="13" t="s">
        <v>92</v>
      </c>
      <c r="F4" s="13" t="s">
        <v>93</v>
      </c>
      <c r="G4" s="13" t="s">
        <v>94</v>
      </c>
      <c r="H4" s="13" t="s">
        <v>92</v>
      </c>
      <c r="I4" s="13" t="s">
        <v>93</v>
      </c>
      <c r="J4" s="13" t="s">
        <v>94</v>
      </c>
      <c r="K4" s="13" t="s">
        <v>92</v>
      </c>
      <c r="L4" s="13" t="s">
        <v>93</v>
      </c>
      <c r="M4" s="13" t="s">
        <v>94</v>
      </c>
      <c r="N4" s="66" t="s">
        <v>339</v>
      </c>
      <c r="O4" s="66" t="s">
        <v>340</v>
      </c>
      <c r="P4" s="66"/>
      <c r="Q4" s="13" t="s">
        <v>356</v>
      </c>
      <c r="R4" s="13" t="s">
        <v>437</v>
      </c>
      <c r="S4" s="13" t="s">
        <v>436</v>
      </c>
      <c r="U4" s="99" t="s">
        <v>757</v>
      </c>
      <c r="V4" s="99" t="s">
        <v>754</v>
      </c>
      <c r="W4" s="99" t="s">
        <v>755</v>
      </c>
      <c r="X4" s="99" t="s">
        <v>756</v>
      </c>
      <c r="AD4" s="2">
        <v>3</v>
      </c>
      <c r="AE4" s="2" t="s">
        <v>347</v>
      </c>
    </row>
    <row r="5" spans="1:31" s="141" customFormat="1">
      <c r="A5" s="136" t="str">
        <f>$Z$11</f>
        <v>挑战BOSS</v>
      </c>
      <c r="B5" s="136" t="str">
        <f>怪物并表!$R$14</f>
        <v>英雄之路</v>
      </c>
      <c r="C5" s="136">
        <v>20</v>
      </c>
      <c r="D5" s="137">
        <f>1900+VLOOKUP(A5,$Z$11:$AA$16,2,FALSE)</f>
        <v>1901</v>
      </c>
      <c r="E5" s="138">
        <f>VLOOKUP($C5,难度推算表,副本难度推算!$M$3,FALSE)*副本难度推算!$Y$5*Q5</f>
        <v>10161.138781513228</v>
      </c>
      <c r="F5" s="138">
        <f>VLOOKUP($C5,难度推算表,副本难度推算!$P$3,FALSE)*副本难度推算!$Z$5*$R5+VLOOKUP($C5,难度推算表,副本难度推算!$H$3,FALSE)</f>
        <v>579.148043478261</v>
      </c>
      <c r="G5" s="138">
        <f>VLOOKUP($C5,难度推算表,副本难度推算!$G$3,FALSE)-VLOOKUP($C5,难度推算表,副本难度推算!$I$3,FALSE)*(2-副本难度推算!$AA$5)*(2-$S5)</f>
        <v>337.46086956521748</v>
      </c>
      <c r="H5" s="138">
        <f>VLOOKUP($C5,难度推算表,副本难度推算!$M$3,FALSE)*副本难度推算!$Y$6*Q5</f>
        <v>8128.911025210582</v>
      </c>
      <c r="I5" s="138">
        <f>VLOOKUP($C5,难度推算表,副本难度推算!$P$3,FALSE)*副本难度推算!$Z$6*$R5+VLOOKUP($C5,难度推算表,副本难度推算!$H$3,FALSE)</f>
        <v>548.23010869565223</v>
      </c>
      <c r="J5" s="138">
        <f>VLOOKUP($C5,难度推算表,副本难度推算!$G$3,FALSE)-VLOOKUP($C5,难度推算表,副本难度推算!$I$3,FALSE)*(2-副本难度推算!$AA$6)*(2-$S5)</f>
        <v>283.46713043478269</v>
      </c>
      <c r="K5" s="138">
        <f>VLOOKUP($C5,难度推算表,副本难度推算!$M$3,FALSE)*副本难度推算!$Y$7*Q5</f>
        <v>25402.846953783068</v>
      </c>
      <c r="L5" s="138">
        <f>VLOOKUP($C5,难度推算表,副本难度推算!$P$3,FALSE)*副本难度推算!$Z$7*$R5+VLOOKUP($C5,难度推算表,副本难度推算!$H$3,FALSE)</f>
        <v>640.98391304347842</v>
      </c>
      <c r="M5" s="138">
        <f>VLOOKUP($C5,难度推算表,副本难度推算!$G$3,FALSE)-VLOOKUP($C5,难度推算表,副本难度推算!$I$3,FALSE)*(2-副本难度推算!$AA$7)*(2-$S5)</f>
        <v>391.45460869565227</v>
      </c>
      <c r="N5" s="136">
        <f>VLOOKUP($C5,难度推算表,副本难度推算!$Q$3,FALSE)</f>
        <v>1506.1599999999999</v>
      </c>
      <c r="O5" s="136">
        <f>VLOOKUP($C5,难度推算表,副本难度推算!$R$3,FALSE)</f>
        <v>0</v>
      </c>
      <c r="P5" s="139"/>
      <c r="Q5" s="140">
        <f>VLOOKUP($A5,$Z$11:$AD$16,3,FALSE)*VLOOKUP(C5,$U$5:$X$75,2,FALSE)</f>
        <v>1.25</v>
      </c>
      <c r="R5" s="140">
        <f>VLOOKUP($A5,$Z$11:$AD$16,4,FALSE)*VLOOKUP(C5,$U$5:$X$75,3,FALSE)</f>
        <v>1.5</v>
      </c>
      <c r="S5" s="140">
        <f>VLOOKUP($A5,$Z$11:$AD$16,5,FALSE)*VLOOKUP(C5,$U$5:$X$75,4,FALSE)</f>
        <v>1.2</v>
      </c>
      <c r="U5" s="141">
        <v>20</v>
      </c>
      <c r="V5" s="140">
        <v>1</v>
      </c>
      <c r="W5" s="140">
        <v>1</v>
      </c>
      <c r="X5" s="140">
        <v>1</v>
      </c>
      <c r="AD5" s="136">
        <v>4</v>
      </c>
      <c r="AE5" s="136" t="s">
        <v>559</v>
      </c>
    </row>
    <row r="6" spans="1:31" s="141" customFormat="1">
      <c r="A6" s="136" t="str">
        <f t="shared" ref="A6:A69" si="0">$Z$11</f>
        <v>挑战BOSS</v>
      </c>
      <c r="B6" s="136" t="str">
        <f>怪物并表!$R$14</f>
        <v>英雄之路</v>
      </c>
      <c r="C6" s="136">
        <v>21</v>
      </c>
      <c r="D6" s="137">
        <f t="shared" ref="D6:D69" si="1">1900+VLOOKUP(A6,$Z$11:$AA$16,2,FALSE)</f>
        <v>1901</v>
      </c>
      <c r="E6" s="138">
        <f>VLOOKUP($C6,难度推算表,副本难度推算!$M$3,FALSE)*副本难度推算!$Y$5*Q6</f>
        <v>11356.05658036979</v>
      </c>
      <c r="F6" s="138">
        <f>VLOOKUP($C6,难度推算表,副本难度推算!$P$3,FALSE)*副本难度推算!$Z$5*$R6+VLOOKUP($C6,难度推算表,副本难度推算!$H$3,FALSE)</f>
        <v>645.51904260583547</v>
      </c>
      <c r="G6" s="138">
        <f>VLOOKUP($C6,难度推算表,副本难度推算!$G$3,FALSE)-VLOOKUP($C6,难度推算表,副本难度推算!$I$3,FALSE)*(2-副本难度推算!$AA$5)*(2-$S6)</f>
        <v>368.90269565217409</v>
      </c>
      <c r="H6" s="138">
        <f>VLOOKUP($C6,难度推算表,副本难度推算!$M$3,FALSE)*副本难度推算!$Y$6*Q6</f>
        <v>9084.8452642958327</v>
      </c>
      <c r="I6" s="138">
        <f>VLOOKUP($C6,难度推算表,副本难度推算!$P$3,FALSE)*副本难度推算!$Z$6*$R6+VLOOKUP($C6,难度推算表,副本难度推算!$H$3,FALSE)</f>
        <v>610.47935399742585</v>
      </c>
      <c r="J6" s="138">
        <f>VLOOKUP($C6,难度推算表,副本难度推算!$G$3,FALSE)-VLOOKUP($C6,难度推算表,副本难度推算!$I$3,FALSE)*(2-副本难度推算!$AA$6)*(2-$S6)</f>
        <v>309.87826434782619</v>
      </c>
      <c r="K6" s="138">
        <f>VLOOKUP($C6,难度推算表,副本难度推算!$M$3,FALSE)*副本难度推算!$Y$7*Q6</f>
        <v>28390.141450924475</v>
      </c>
      <c r="L6" s="138">
        <f>VLOOKUP($C6,难度推算表,副本难度推算!$P$3,FALSE)*副本难度推算!$Z$7*$R6+VLOOKUP($C6,难度推算表,副本难度推算!$H$3,FALSE)</f>
        <v>715.59841982265471</v>
      </c>
      <c r="M6" s="138">
        <f>VLOOKUP($C6,难度推算表,副本难度推算!$G$3,FALSE)-VLOOKUP($C6,难度推算表,副本难度推算!$I$3,FALSE)*(2-副本难度推算!$AA$7)*(2-$S6)</f>
        <v>427.92712695652193</v>
      </c>
      <c r="N6" s="136">
        <f>VLOOKUP($C6,难度推算表,副本难度推算!$Q$3,FALSE)</f>
        <v>1564.3879999999999</v>
      </c>
      <c r="O6" s="136">
        <f>VLOOKUP($C6,难度推算表,副本难度推算!$R$3,FALSE)</f>
        <v>0</v>
      </c>
      <c r="P6" s="139"/>
      <c r="Q6" s="140">
        <f t="shared" ref="Q6:Q69" si="2">VLOOKUP($A6,$Z$11:$AD$16,3,FALSE)*VLOOKUP(C6,$U$5:$X$75,2,FALSE)</f>
        <v>1.25</v>
      </c>
      <c r="R6" s="140">
        <f t="shared" ref="R6:R69" si="3">VLOOKUP($A6,$Z$11:$AD$16,4,FALSE)*VLOOKUP(C6,$U$5:$X$75,3,FALSE)</f>
        <v>1.5</v>
      </c>
      <c r="S6" s="140">
        <f t="shared" ref="S6:S69" si="4">VLOOKUP($A6,$Z$11:$AD$16,5,FALSE)*VLOOKUP(C6,$U$5:$X$75,4,FALSE)</f>
        <v>1.2</v>
      </c>
      <c r="U6" s="141">
        <v>21</v>
      </c>
      <c r="V6" s="140">
        <v>1</v>
      </c>
      <c r="W6" s="140">
        <v>1</v>
      </c>
      <c r="X6" s="140">
        <v>1</v>
      </c>
      <c r="AD6" s="136">
        <v>5</v>
      </c>
      <c r="AE6" s="136" t="s">
        <v>348</v>
      </c>
    </row>
    <row r="7" spans="1:31" s="141" customFormat="1">
      <c r="A7" s="136" t="str">
        <f t="shared" si="0"/>
        <v>挑战BOSS</v>
      </c>
      <c r="B7" s="136" t="str">
        <f>怪物并表!$R$14</f>
        <v>英雄之路</v>
      </c>
      <c r="C7" s="136">
        <v>22</v>
      </c>
      <c r="D7" s="137">
        <f t="shared" si="1"/>
        <v>1901</v>
      </c>
      <c r="E7" s="138">
        <f>VLOOKUP($C7,难度推算表,副本难度推算!$M$3,FALSE)*副本难度推算!$Y$5*Q7</f>
        <v>12631.516840732374</v>
      </c>
      <c r="F7" s="138">
        <f>VLOOKUP($C7,难度推算表,副本难度推算!$P$3,FALSE)*副本难度推算!$Z$5*$R7+VLOOKUP($C7,难度推算表,副本难度推算!$H$3,FALSE)</f>
        <v>716.51588595471867</v>
      </c>
      <c r="G7" s="138">
        <f>VLOOKUP($C7,难度推算表,副本难度推算!$G$3,FALSE)-VLOOKUP($C7,难度推算表,副本难度推算!$I$3,FALSE)*(2-副本难度推算!$AA$5)*(2-$S7)</f>
        <v>401.64730434782615</v>
      </c>
      <c r="H7" s="138">
        <f>VLOOKUP($C7,难度推算表,副本难度推算!$M$3,FALSE)*副本难度推算!$Y$6*Q7</f>
        <v>10105.2134725859</v>
      </c>
      <c r="I7" s="138">
        <f>VLOOKUP($C7,难度推算表,副本难度推算!$P$3,FALSE)*副本难度推算!$Z$6*$R7+VLOOKUP($C7,难度推算表,副本难度推算!$H$3,FALSE)</f>
        <v>676.99608170707302</v>
      </c>
      <c r="J7" s="138">
        <f>VLOOKUP($C7,难度推算表,副本难度推算!$G$3,FALSE)-VLOOKUP($C7,难度推算表,副本难度推算!$I$3,FALSE)*(2-副本难度推算!$AA$6)*(2-$S7)</f>
        <v>337.38373565217398</v>
      </c>
      <c r="K7" s="138">
        <f>VLOOKUP($C7,难度推算表,副本难度推算!$M$3,FALSE)*副本难度推算!$Y$7*Q7</f>
        <v>31578.792101830935</v>
      </c>
      <c r="L7" s="138">
        <f>VLOOKUP($C7,难度推算表,副本难度推算!$P$3,FALSE)*副本难度推算!$Z$7*$R7+VLOOKUP($C7,难度推算表,副本难度推算!$H$3,FALSE)</f>
        <v>795.5554944500102</v>
      </c>
      <c r="M7" s="138">
        <f>VLOOKUP($C7,难度推算表,副本难度推算!$G$3,FALSE)-VLOOKUP($C7,难度推算表,副本难度推算!$I$3,FALSE)*(2-副本难度推算!$AA$7)*(2-$S7)</f>
        <v>465.91087304347832</v>
      </c>
      <c r="N7" s="136">
        <f>VLOOKUP($C7,难度推算表,副本难度推算!$Q$3,FALSE)</f>
        <v>1622.616</v>
      </c>
      <c r="O7" s="136">
        <f>VLOOKUP($C7,难度推算表,副本难度推算!$R$3,FALSE)</f>
        <v>0</v>
      </c>
      <c r="P7" s="139"/>
      <c r="Q7" s="140">
        <f t="shared" si="2"/>
        <v>1.25</v>
      </c>
      <c r="R7" s="140">
        <f t="shared" si="3"/>
        <v>1.5</v>
      </c>
      <c r="S7" s="140">
        <f t="shared" si="4"/>
        <v>1.2</v>
      </c>
      <c r="U7" s="141">
        <v>22</v>
      </c>
      <c r="V7" s="140">
        <v>1</v>
      </c>
      <c r="W7" s="140">
        <v>1</v>
      </c>
      <c r="X7" s="140">
        <v>1</v>
      </c>
      <c r="AD7" s="136">
        <v>6</v>
      </c>
      <c r="AE7" s="136" t="s">
        <v>349</v>
      </c>
    </row>
    <row r="8" spans="1:31" s="141" customFormat="1">
      <c r="A8" s="136" t="str">
        <f t="shared" si="0"/>
        <v>挑战BOSS</v>
      </c>
      <c r="B8" s="136" t="str">
        <f>怪物并表!$R$14</f>
        <v>英雄之路</v>
      </c>
      <c r="C8" s="136">
        <v>23</v>
      </c>
      <c r="D8" s="137">
        <f t="shared" si="1"/>
        <v>1901</v>
      </c>
      <c r="E8" s="138">
        <f>VLOOKUP($C8,难度推算表,副本难度推算!$M$3,FALSE)*副本难度推算!$Y$5*Q8</f>
        <v>14250.507256364101</v>
      </c>
      <c r="F8" s="138">
        <f>VLOOKUP($C8,难度推算表,副本难度推算!$P$3,FALSE)*副本难度推算!$Z$5*$R8+VLOOKUP($C8,难度推算表,副本难度推算!$H$3,FALSE)</f>
        <v>807.09381784636957</v>
      </c>
      <c r="G8" s="138">
        <f>VLOOKUP($C8,难度推算表,副本难度推算!$G$3,FALSE)-VLOOKUP($C8,难度推算表,副本难度推算!$I$3,FALSE)*(2-副本难度推算!$AA$5)*(2-$S8)</f>
        <v>443.81777257525096</v>
      </c>
      <c r="H8" s="138">
        <f>VLOOKUP($C8,难度推算表,副本难度推算!$M$3,FALSE)*副本难度推算!$Y$6*Q8</f>
        <v>11400.405805091283</v>
      </c>
      <c r="I8" s="138">
        <f>VLOOKUP($C8,难度推算表,副本难度推算!$P$3,FALSE)*副本难度推算!$Z$6*$R8+VLOOKUP($C8,难度推算表,副本难度推算!$H$3,FALSE)</f>
        <v>761.88985786775265</v>
      </c>
      <c r="J8" s="138">
        <f>VLOOKUP($C8,难度推算表,副本难度推算!$G$3,FALSE)-VLOOKUP($C8,难度推算表,副本难度推算!$I$3,FALSE)*(2-副本难度推算!$AA$6)*(2-$S8)</f>
        <v>372.80692896321085</v>
      </c>
      <c r="K8" s="138">
        <f>VLOOKUP($C8,难度推算表,副本难度推算!$M$3,FALSE)*副本难度推算!$Y$7*Q8</f>
        <v>35626.268140910252</v>
      </c>
      <c r="L8" s="138">
        <f>VLOOKUP($C8,难度推算表,副本难度推算!$P$3,FALSE)*副本难度推算!$Z$7*$R8+VLOOKUP($C8,难度推算表,副本难度推算!$H$3,FALSE)</f>
        <v>897.50173780360331</v>
      </c>
      <c r="M8" s="138">
        <f>VLOOKUP($C8,难度推算表,副本难度推算!$G$3,FALSE)-VLOOKUP($C8,难度推算表,副本难度推算!$I$3,FALSE)*(2-副本难度推算!$AA$7)*(2-$S8)</f>
        <v>514.82861618729112</v>
      </c>
      <c r="N8" s="136">
        <f>VLOOKUP($C8,难度推算表,副本难度推算!$Q$3,FALSE)</f>
        <v>1680.8440000000001</v>
      </c>
      <c r="O8" s="136">
        <f>VLOOKUP($C8,难度推算表,副本难度推算!$R$3,FALSE)</f>
        <v>0</v>
      </c>
      <c r="P8" s="139"/>
      <c r="Q8" s="140">
        <f t="shared" si="2"/>
        <v>1.25</v>
      </c>
      <c r="R8" s="140">
        <f t="shared" si="3"/>
        <v>1.5</v>
      </c>
      <c r="S8" s="140">
        <f t="shared" si="4"/>
        <v>1.2</v>
      </c>
      <c r="U8" s="141">
        <v>23</v>
      </c>
      <c r="V8" s="140">
        <v>1</v>
      </c>
      <c r="W8" s="140">
        <v>1</v>
      </c>
      <c r="X8" s="140">
        <v>1</v>
      </c>
      <c r="Z8" s="141" t="s">
        <v>352</v>
      </c>
      <c r="AD8" s="142">
        <v>7</v>
      </c>
      <c r="AE8" s="142" t="s">
        <v>558</v>
      </c>
    </row>
    <row r="9" spans="1:31" s="141" customFormat="1">
      <c r="A9" s="136" t="str">
        <f t="shared" si="0"/>
        <v>挑战BOSS</v>
      </c>
      <c r="B9" s="136" t="str">
        <f>怪物并表!$R$14</f>
        <v>英雄之路</v>
      </c>
      <c r="C9" s="136">
        <v>24</v>
      </c>
      <c r="D9" s="137">
        <f t="shared" si="1"/>
        <v>1901</v>
      </c>
      <c r="E9" s="138">
        <f>VLOOKUP($C9,难度推算表,副本难度推算!$M$3,FALSE)*副本难度推算!$Y$5*Q9</f>
        <v>15981.112987917772</v>
      </c>
      <c r="F9" s="138">
        <f>VLOOKUP($C9,难度推算表,副本难度推算!$P$3,FALSE)*副本难度推算!$Z$5*$R9+VLOOKUP($C9,难度推算表,副本难度推算!$H$3,FALSE)</f>
        <v>904.15142158753497</v>
      </c>
      <c r="G9" s="138">
        <f>VLOOKUP($C9,难度推算表,副本难度推算!$G$3,FALSE)-VLOOKUP($C9,难度推算表,副本难度推算!$I$3,FALSE)*(2-副本难度推算!$AA$5)*(2-$S9)</f>
        <v>487.78333110367896</v>
      </c>
      <c r="H9" s="138">
        <f>VLOOKUP($C9,难度推算表,副本难度推算!$M$3,FALSE)*副本难度推算!$Y$6*Q9</f>
        <v>12784.89039033422</v>
      </c>
      <c r="I9" s="138">
        <f>VLOOKUP($C9,难度推算表,副本难度推算!$P$3,FALSE)*副本难度推算!$Z$6*$R9+VLOOKUP($C9,难度推算表,副本难度推算!$H$3,FALSE)</f>
        <v>852.75894591707572</v>
      </c>
      <c r="J9" s="138">
        <f>VLOOKUP($C9,难度推算表,副本难度推算!$G$3,FALSE)-VLOOKUP($C9,难度推算表,副本难度推算!$I$3,FALSE)*(2-副本难度推算!$AA$6)*(2-$S9)</f>
        <v>409.73799812709035</v>
      </c>
      <c r="K9" s="138">
        <f>VLOOKUP($C9,难度推算表,副本难度推算!$M$3,FALSE)*副本难度推算!$Y$7*Q9</f>
        <v>39952.782469794431</v>
      </c>
      <c r="L9" s="138">
        <f>VLOOKUP($C9,难度推算表,副本难度推算!$P$3,FALSE)*副本难度推算!$Z$7*$R9+VLOOKUP($C9,难度推算表,副本难度推算!$H$3,FALSE)</f>
        <v>1006.9363729284532</v>
      </c>
      <c r="M9" s="138">
        <f>VLOOKUP($C9,难度推算表,副本难度推算!$G$3,FALSE)-VLOOKUP($C9,难度推算表,副本难度推算!$I$3,FALSE)*(2-副本难度推算!$AA$7)*(2-$S9)</f>
        <v>565.82866408026757</v>
      </c>
      <c r="N9" s="136">
        <f>VLOOKUP($C9,难度推算表,副本难度推算!$Q$3,FALSE)</f>
        <v>1739.0720000000001</v>
      </c>
      <c r="O9" s="136">
        <f>VLOOKUP($C9,难度推算表,副本难度推算!$R$3,FALSE)</f>
        <v>0</v>
      </c>
      <c r="P9" s="139"/>
      <c r="Q9" s="140">
        <f t="shared" si="2"/>
        <v>1.25</v>
      </c>
      <c r="R9" s="140">
        <f t="shared" si="3"/>
        <v>1.5</v>
      </c>
      <c r="S9" s="140">
        <f t="shared" si="4"/>
        <v>1.2</v>
      </c>
      <c r="U9" s="141">
        <v>24</v>
      </c>
      <c r="V9" s="140">
        <v>1</v>
      </c>
      <c r="W9" s="140">
        <v>1</v>
      </c>
      <c r="X9" s="140">
        <v>1</v>
      </c>
      <c r="AA9" s="136"/>
      <c r="AB9" s="143" t="s">
        <v>351</v>
      </c>
      <c r="AC9" s="143"/>
      <c r="AD9" s="143"/>
    </row>
    <row r="10" spans="1:31" s="141" customFormat="1">
      <c r="A10" s="136" t="str">
        <f t="shared" si="0"/>
        <v>挑战BOSS</v>
      </c>
      <c r="B10" s="136" t="str">
        <f>怪物并表!$R$14</f>
        <v>英雄之路</v>
      </c>
      <c r="C10" s="136">
        <v>25</v>
      </c>
      <c r="D10" s="137">
        <f t="shared" si="1"/>
        <v>1901</v>
      </c>
      <c r="E10" s="138">
        <f>VLOOKUP($C10,难度推算表,副本难度推算!$M$3,FALSE)*副本难度推算!$Y$5*Q10</f>
        <v>17826.309851946065</v>
      </c>
      <c r="F10" s="138">
        <f>VLOOKUP($C10,难度推算表,副本难度推算!$P$3,FALSE)*副本难度推算!$Z$5*$R10+VLOOKUP($C10,难度推算表,副本难度推算!$H$3,FALSE)</f>
        <v>1007.9469635611356</v>
      </c>
      <c r="G10" s="138">
        <f>VLOOKUP($C10,难度推算表,副本难度推算!$G$3,FALSE)-VLOOKUP($C10,难度推算表,副本难度推算!$I$3,FALSE)*(2-副本难度推算!$AA$5)*(2-$S10)</f>
        <v>533.54397993311056</v>
      </c>
      <c r="H10" s="138">
        <f>VLOOKUP($C10,难度推算表,副本难度推算!$M$3,FALSE)*副本难度推算!$Y$6*Q10</f>
        <v>14261.047881556851</v>
      </c>
      <c r="I10" s="138">
        <f>VLOOKUP($C10,难度推算表,副本难度推算!$P$3,FALSE)*副本难度推算!$Z$6*$R10+VLOOKUP($C10,难度推算表,副本难度推算!$H$3,FALSE)</f>
        <v>949.835785599671</v>
      </c>
      <c r="J10" s="138">
        <f>VLOOKUP($C10,难度推算表,副本难度推算!$G$3,FALSE)-VLOOKUP($C10,难度推算表,副本难度推算!$I$3,FALSE)*(2-副本难度推算!$AA$6)*(2-$S10)</f>
        <v>448.17694314381288</v>
      </c>
      <c r="K10" s="138">
        <f>VLOOKUP($C10,难度推算表,副本难度推算!$M$3,FALSE)*副本难度推算!$Y$7*Q10</f>
        <v>44565.774629865162</v>
      </c>
      <c r="L10" s="138">
        <f>VLOOKUP($C10,难度推算表,副本难度推算!$P$3,FALSE)*副本难度推算!$Z$7*$R10+VLOOKUP($C10,难度推算表,副本难度推算!$H$3,FALSE)</f>
        <v>1124.169319484065</v>
      </c>
      <c r="M10" s="138">
        <f>VLOOKUP($C10,难度推算表,副本难度推算!$G$3,FALSE)-VLOOKUP($C10,难度推算表,副本难度推算!$I$3,FALSE)*(2-副本难度推算!$AA$7)*(2-$S10)</f>
        <v>618.91101672240825</v>
      </c>
      <c r="N10" s="136">
        <f>VLOOKUP($C10,难度推算表,副本难度推算!$Q$3,FALSE)</f>
        <v>1797.3000000000002</v>
      </c>
      <c r="O10" s="136">
        <f>VLOOKUP($C10,难度推算表,副本难度推算!$R$3,FALSE)</f>
        <v>0</v>
      </c>
      <c r="P10" s="139"/>
      <c r="Q10" s="140">
        <f t="shared" si="2"/>
        <v>1.25</v>
      </c>
      <c r="R10" s="140">
        <f t="shared" si="3"/>
        <v>1.5</v>
      </c>
      <c r="S10" s="140">
        <f t="shared" si="4"/>
        <v>1.2</v>
      </c>
      <c r="U10" s="141">
        <v>25</v>
      </c>
      <c r="V10" s="140">
        <v>1</v>
      </c>
      <c r="W10" s="140">
        <v>1</v>
      </c>
      <c r="X10" s="140">
        <v>1</v>
      </c>
      <c r="Z10" s="136" t="s">
        <v>350</v>
      </c>
      <c r="AA10" s="136" t="s">
        <v>350</v>
      </c>
      <c r="AB10" s="136" t="s">
        <v>356</v>
      </c>
      <c r="AC10" s="136" t="s">
        <v>437</v>
      </c>
      <c r="AD10" s="136" t="s">
        <v>436</v>
      </c>
    </row>
    <row r="11" spans="1:31" s="141" customFormat="1">
      <c r="A11" s="136" t="str">
        <f t="shared" si="0"/>
        <v>挑战BOSS</v>
      </c>
      <c r="B11" s="136" t="str">
        <f>怪物并表!$R$14</f>
        <v>英雄之路</v>
      </c>
      <c r="C11" s="136">
        <v>26</v>
      </c>
      <c r="D11" s="137">
        <f t="shared" si="1"/>
        <v>1901</v>
      </c>
      <c r="E11" s="138">
        <f>VLOOKUP($C11,难度推算表,副本难度推算!$M$3,FALSE)*副本难度推算!$Y$5*Q11</f>
        <v>20040.141215310407</v>
      </c>
      <c r="F11" s="138">
        <f>VLOOKUP($C11,难度推算表,副本难度推算!$P$3,FALSE)*副本难度推算!$Z$5*$R11+VLOOKUP($C11,难度推算表,副本难度推算!$H$3,FALSE)</f>
        <v>1132.9403321325431</v>
      </c>
      <c r="G11" s="138">
        <f>VLOOKUP($C11,难度推算表,副本难度推算!$G$3,FALSE)-VLOOKUP($C11,难度推算表,副本难度推算!$I$3,FALSE)*(2-副本难度推算!$AA$5)*(2-$S11)</f>
        <v>588.47251906354529</v>
      </c>
      <c r="H11" s="138">
        <f>VLOOKUP($C11,难度推算表,副本难度推算!$M$3,FALSE)*副本难度推算!$Y$6*Q11</f>
        <v>16032.112972248326</v>
      </c>
      <c r="I11" s="138">
        <f>VLOOKUP($C11,难度推算表,副本难度推算!$P$3,FALSE)*副本难度推算!$Z$6*$R11+VLOOKUP($C11,难度推算表,副本难度推算!$H$3,FALSE)</f>
        <v>1066.7241004443724</v>
      </c>
      <c r="J11" s="138">
        <f>VLOOKUP($C11,难度推算表,副本难度推算!$G$3,FALSE)-VLOOKUP($C11,难度推算表,副本难度推算!$I$3,FALSE)*(2-副本难度推算!$AA$6)*(2-$S11)</f>
        <v>494.31691601337809</v>
      </c>
      <c r="K11" s="138">
        <f>VLOOKUP($C11,难度推算表,副本难度推算!$M$3,FALSE)*副本难度推算!$Y$7*Q11</f>
        <v>50100.353038276015</v>
      </c>
      <c r="L11" s="138">
        <f>VLOOKUP($C11,难度推算表,副本难度推算!$P$3,FALSE)*副本难度推算!$Z$7*$R11+VLOOKUP($C11,难度推算表,副本难度推算!$H$3,FALSE)</f>
        <v>1265.3727955088846</v>
      </c>
      <c r="M11" s="138">
        <f>VLOOKUP($C11,难度推算表,副本难度推算!$G$3,FALSE)-VLOOKUP($C11,难度推算表,副本难度推算!$I$3,FALSE)*(2-副本难度推算!$AA$7)*(2-$S11)</f>
        <v>682.62812211371261</v>
      </c>
      <c r="N11" s="136">
        <f>VLOOKUP($C11,难度推算表,副本难度推算!$Q$3,FALSE)</f>
        <v>1855.528</v>
      </c>
      <c r="O11" s="136">
        <f>VLOOKUP($C11,难度推算表,副本难度推算!$R$3,FALSE)</f>
        <v>0</v>
      </c>
      <c r="P11" s="139"/>
      <c r="Q11" s="140">
        <f t="shared" si="2"/>
        <v>1.25</v>
      </c>
      <c r="R11" s="140">
        <f t="shared" si="3"/>
        <v>1.5</v>
      </c>
      <c r="S11" s="140">
        <f t="shared" si="4"/>
        <v>1.2</v>
      </c>
      <c r="U11" s="141">
        <v>26</v>
      </c>
      <c r="V11" s="140">
        <v>1</v>
      </c>
      <c r="W11" s="140">
        <v>1</v>
      </c>
      <c r="X11" s="140">
        <v>1</v>
      </c>
      <c r="Z11" s="136" t="str">
        <f t="shared" ref="Z11:Z16" si="5">VLOOKUP(AA11,$AD$2:$AE$7,2,FALSE)</f>
        <v>挑战BOSS</v>
      </c>
      <c r="AA11" s="136">
        <v>1</v>
      </c>
      <c r="AB11" s="136">
        <v>1.25</v>
      </c>
      <c r="AC11" s="136">
        <v>1.5</v>
      </c>
      <c r="AD11" s="136">
        <v>1.2</v>
      </c>
    </row>
    <row r="12" spans="1:31" s="141" customFormat="1">
      <c r="A12" s="136" t="str">
        <f t="shared" si="0"/>
        <v>挑战BOSS</v>
      </c>
      <c r="B12" s="136" t="str">
        <f>怪物并表!$R$14</f>
        <v>英雄之路</v>
      </c>
      <c r="C12" s="136">
        <v>27</v>
      </c>
      <c r="D12" s="137">
        <f t="shared" si="1"/>
        <v>1901</v>
      </c>
      <c r="E12" s="138">
        <f>VLOOKUP($C12,难度推算表,副本难度推算!$M$3,FALSE)*副本难度推算!$Y$5*Q12</f>
        <v>22398.115103334305</v>
      </c>
      <c r="F12" s="138">
        <f>VLOOKUP($C12,难度推算表,副本难度推算!$P$3,FALSE)*副本难度推算!$Z$5*$R12+VLOOKUP($C12,难度推算表,副本难度推算!$H$3,FALSE)</f>
        <v>1266.553479104803</v>
      </c>
      <c r="G12" s="138">
        <f>VLOOKUP($C12,难度推算表,副本难度推算!$G$3,FALSE)-VLOOKUP($C12,难度推算表,副本难度推算!$I$3,FALSE)*(2-副本难度推算!$AA$5)*(2-$S12)</f>
        <v>645.60574849498346</v>
      </c>
      <c r="H12" s="138">
        <f>VLOOKUP($C12,难度推算表,副本难度推算!$M$3,FALSE)*副本难度推算!$Y$6*Q12</f>
        <v>17918.492082667442</v>
      </c>
      <c r="I12" s="138">
        <f>VLOOKUP($C12,难度推算表,副本难度推算!$P$3,FALSE)*副本难度推算!$Z$6*$R12+VLOOKUP($C12,难度推算表,副本难度推算!$H$3,FALSE)</f>
        <v>1191.5465910739213</v>
      </c>
      <c r="J12" s="138">
        <f>VLOOKUP($C12,难度推算表,副本难度推算!$G$3,FALSE)-VLOOKUP($C12,难度推算表,副本难度推算!$I$3,FALSE)*(2-副本难度推算!$AA$6)*(2-$S12)</f>
        <v>542.30882873578616</v>
      </c>
      <c r="K12" s="138">
        <f>VLOOKUP($C12,难度推算表,副本难度推算!$M$3,FALSE)*副本难度推算!$Y$7*Q12</f>
        <v>55995.287758335762</v>
      </c>
      <c r="L12" s="138">
        <f>VLOOKUP($C12,难度推算表,副本难度推算!$P$3,FALSE)*副本难度推算!$Z$7*$R12+VLOOKUP($C12,难度推算表,副本难度推算!$H$3,FALSE)</f>
        <v>1416.5672551665662</v>
      </c>
      <c r="M12" s="138">
        <f>VLOOKUP($C12,难度推算表,副本难度推算!$G$3,FALSE)-VLOOKUP($C12,难度推算表,副本难度推算!$I$3,FALSE)*(2-副本难度推算!$AA$7)*(2-$S12)</f>
        <v>748.90266825418075</v>
      </c>
      <c r="N12" s="136">
        <f>VLOOKUP($C12,难度推算表,副本难度推算!$Q$3,FALSE)</f>
        <v>1913.7559999999999</v>
      </c>
      <c r="O12" s="136">
        <f>VLOOKUP($C12,难度推算表,副本难度推算!$R$3,FALSE)</f>
        <v>0</v>
      </c>
      <c r="P12" s="139"/>
      <c r="Q12" s="140">
        <f t="shared" si="2"/>
        <v>1.25</v>
      </c>
      <c r="R12" s="140">
        <f t="shared" si="3"/>
        <v>1.5</v>
      </c>
      <c r="S12" s="140">
        <f t="shared" si="4"/>
        <v>1.2</v>
      </c>
      <c r="U12" s="141">
        <v>27</v>
      </c>
      <c r="V12" s="140">
        <v>1</v>
      </c>
      <c r="W12" s="140">
        <v>1</v>
      </c>
      <c r="X12" s="140">
        <v>1</v>
      </c>
      <c r="Z12" s="136" t="str">
        <f t="shared" si="5"/>
        <v>百人斩</v>
      </c>
      <c r="AA12" s="136">
        <v>2</v>
      </c>
      <c r="AB12" s="136">
        <v>0.8</v>
      </c>
      <c r="AC12" s="136">
        <v>0.7</v>
      </c>
      <c r="AD12" s="136">
        <v>0.8</v>
      </c>
    </row>
    <row r="13" spans="1:31" s="141" customFormat="1">
      <c r="A13" s="136" t="str">
        <f t="shared" si="0"/>
        <v>挑战BOSS</v>
      </c>
      <c r="B13" s="136" t="str">
        <f>怪物并表!$R$14</f>
        <v>英雄之路</v>
      </c>
      <c r="C13" s="136">
        <v>28</v>
      </c>
      <c r="D13" s="137">
        <f t="shared" si="1"/>
        <v>1901</v>
      </c>
      <c r="E13" s="138">
        <f>VLOOKUP($C13,难度推算表,副本难度推算!$M$3,FALSE)*副本难度推算!$Y$5*Q13</f>
        <v>24903.862018305841</v>
      </c>
      <c r="F13" s="138">
        <f>VLOOKUP($C13,难度推算表,副本难度推算!$P$3,FALSE)*副本难度推算!$Z$5*$R13+VLOOKUP($C13,难度推算表,副本难度推算!$H$3,FALSE)</f>
        <v>1409.1247771983535</v>
      </c>
      <c r="G13" s="138">
        <f>VLOOKUP($C13,难度推算表,副本难度推算!$G$3,FALSE)-VLOOKUP($C13,难度推算表,副本难度推算!$I$3,FALSE)*(2-副本难度推算!$AA$5)*(2-$S13)</f>
        <v>704.94366822742495</v>
      </c>
      <c r="H13" s="138">
        <f>VLOOKUP($C13,难度推算表,副本难度推算!$M$3,FALSE)*副本难度推算!$Y$6*Q13</f>
        <v>19923.089614644672</v>
      </c>
      <c r="I13" s="138">
        <f>VLOOKUP($C13,难度推算表,副本难度推算!$P$3,FALSE)*副本难度推算!$Z$6*$R13+VLOOKUP($C13,难度推算表,副本难度推算!$H$3,FALSE)</f>
        <v>1324.6077929367123</v>
      </c>
      <c r="J13" s="138">
        <f>VLOOKUP($C13,难度推算表,副本难度推算!$G$3,FALSE)-VLOOKUP($C13,难度推算表,副本难度推算!$I$3,FALSE)*(2-副本难度推算!$AA$6)*(2-$S13)</f>
        <v>592.15268131103687</v>
      </c>
      <c r="K13" s="138">
        <f>VLOOKUP($C13,难度推算表,副本难度推算!$M$3,FALSE)*副本难度推算!$Y$7*Q13</f>
        <v>62259.655045764601</v>
      </c>
      <c r="L13" s="138">
        <f>VLOOKUP($C13,难度推算表,副本难度推算!$P$3,FALSE)*副本难度推算!$Z$7*$R13+VLOOKUP($C13,难度推算表,副本难度推算!$H$3,FALSE)</f>
        <v>1578.158745721636</v>
      </c>
      <c r="M13" s="138">
        <f>VLOOKUP($C13,难度推算表,副本难度推算!$G$3,FALSE)-VLOOKUP($C13,难度推算表,副本难度推算!$I$3,FALSE)*(2-副本难度推算!$AA$7)*(2-$S13)</f>
        <v>817.73465514381292</v>
      </c>
      <c r="N13" s="136">
        <f>VLOOKUP($C13,难度推算表,副本难度推算!$Q$3,FALSE)</f>
        <v>1971.9840000000002</v>
      </c>
      <c r="O13" s="136">
        <f>VLOOKUP($C13,难度推算表,副本难度推算!$R$3,FALSE)</f>
        <v>0</v>
      </c>
      <c r="P13" s="139"/>
      <c r="Q13" s="140">
        <f t="shared" si="2"/>
        <v>1.25</v>
      </c>
      <c r="R13" s="140">
        <f t="shared" si="3"/>
        <v>1.5</v>
      </c>
      <c r="S13" s="140">
        <f t="shared" si="4"/>
        <v>1.2</v>
      </c>
      <c r="U13" s="141">
        <v>28</v>
      </c>
      <c r="V13" s="140">
        <v>1</v>
      </c>
      <c r="W13" s="140">
        <v>1</v>
      </c>
      <c r="X13" s="140">
        <v>1</v>
      </c>
      <c r="Z13" s="136" t="str">
        <f t="shared" si="5"/>
        <v>护送</v>
      </c>
      <c r="AA13" s="136">
        <v>3</v>
      </c>
      <c r="AB13" s="136">
        <v>1.2</v>
      </c>
      <c r="AC13" s="136">
        <v>1.1000000000000001</v>
      </c>
      <c r="AD13" s="136">
        <v>0.8</v>
      </c>
    </row>
    <row r="14" spans="1:31" s="141" customFormat="1">
      <c r="A14" s="136" t="str">
        <f t="shared" si="0"/>
        <v>挑战BOSS</v>
      </c>
      <c r="B14" s="136" t="str">
        <f>怪物并表!$R$14</f>
        <v>英雄之路</v>
      </c>
      <c r="C14" s="136">
        <v>29</v>
      </c>
      <c r="D14" s="137">
        <f t="shared" si="1"/>
        <v>1901</v>
      </c>
      <c r="E14" s="138">
        <f>VLOOKUP($C14,难度推算表,副本难度推算!$M$3,FALSE)*副本难度推算!$Y$5*Q14</f>
        <v>27561.001942909676</v>
      </c>
      <c r="F14" s="138">
        <f>VLOOKUP($C14,难度推算表,副本难度推算!$P$3,FALSE)*副本难度推算!$Z$5*$R14+VLOOKUP($C14,难度推算表,副本难度推算!$H$3,FALSE)</f>
        <v>1561.002430786531</v>
      </c>
      <c r="G14" s="138">
        <f>VLOOKUP($C14,难度推算表,副本难度推算!$G$3,FALSE)-VLOOKUP($C14,难度推算表,副本难度推算!$I$3,FALSE)*(2-副本难度推算!$AA$5)*(2-$S14)</f>
        <v>766.48627826086999</v>
      </c>
      <c r="H14" s="138">
        <f>VLOOKUP($C14,难度推算表,副本难度推算!$M$3,FALSE)*副本难度推算!$Y$6*Q14</f>
        <v>22048.801554327743</v>
      </c>
      <c r="I14" s="138">
        <f>VLOOKUP($C14,难度推算表,副本难度推算!$P$3,FALSE)*副本难度推算!$Z$6*$R14+VLOOKUP($C14,难度推算表,副本难度推算!$H$3,FALSE)</f>
        <v>1466.2210899687475</v>
      </c>
      <c r="J14" s="138">
        <f>VLOOKUP($C14,难度推算表,副本难度推算!$G$3,FALSE)-VLOOKUP($C14,难度推算表,副本难度推算!$I$3,FALSE)*(2-副本难度推算!$AA$6)*(2-$S14)</f>
        <v>643.8484737391309</v>
      </c>
      <c r="K14" s="138">
        <f>VLOOKUP($C14,难度推算表,副本难度推算!$M$3,FALSE)*副本难度推算!$Y$7*Q14</f>
        <v>68902.504857274194</v>
      </c>
      <c r="L14" s="138">
        <f>VLOOKUP($C14,难度推算表,副本难度推算!$P$3,FALSE)*副本难度推算!$Z$7*$R14+VLOOKUP($C14,难度推算表,副本难度推算!$H$3,FALSE)</f>
        <v>1750.5651124220981</v>
      </c>
      <c r="M14" s="138">
        <f>VLOOKUP($C14,难度推算表,副本难度推算!$G$3,FALSE)-VLOOKUP($C14,难度推算表,副本难度推算!$I$3,FALSE)*(2-副本难度推算!$AA$7)*(2-$S14)</f>
        <v>889.12408278260909</v>
      </c>
      <c r="N14" s="136">
        <f>VLOOKUP($C14,难度推算表,副本难度推算!$Q$3,FALSE)</f>
        <v>2030.212</v>
      </c>
      <c r="O14" s="136">
        <f>VLOOKUP($C14,难度推算表,副本难度推算!$R$3,FALSE)</f>
        <v>0</v>
      </c>
      <c r="P14" s="139"/>
      <c r="Q14" s="140">
        <f t="shared" si="2"/>
        <v>1.25</v>
      </c>
      <c r="R14" s="140">
        <f t="shared" si="3"/>
        <v>1.5</v>
      </c>
      <c r="S14" s="140">
        <f t="shared" si="4"/>
        <v>1.2</v>
      </c>
      <c r="U14" s="141">
        <v>29</v>
      </c>
      <c r="V14" s="140">
        <v>1</v>
      </c>
      <c r="W14" s="140">
        <v>1</v>
      </c>
      <c r="X14" s="140">
        <v>1</v>
      </c>
      <c r="Z14" s="136" t="str">
        <f t="shared" si="5"/>
        <v>逃亡</v>
      </c>
      <c r="AA14" s="136">
        <v>4</v>
      </c>
      <c r="AB14" s="136">
        <v>1.3</v>
      </c>
      <c r="AC14" s="136">
        <v>0.9</v>
      </c>
      <c r="AD14" s="136">
        <v>0.8</v>
      </c>
    </row>
    <row r="15" spans="1:31" s="141" customFormat="1">
      <c r="A15" s="136" t="str">
        <f t="shared" si="0"/>
        <v>挑战BOSS</v>
      </c>
      <c r="B15" s="136" t="str">
        <f>怪物并表!$R$14</f>
        <v>英雄之路</v>
      </c>
      <c r="C15" s="136">
        <v>30</v>
      </c>
      <c r="D15" s="137">
        <f t="shared" si="1"/>
        <v>1901</v>
      </c>
      <c r="E15" s="138">
        <f>VLOOKUP($C15,难度推算表,副本难度推算!$M$3,FALSE)*副本难度推算!$Y$5*Q15</f>
        <v>30752.809077811748</v>
      </c>
      <c r="F15" s="138">
        <f>VLOOKUP($C15,难度推算表,副本难度推算!$P$3,FALSE)*副本难度推算!$Z$5*$R15+VLOOKUP($C15,难度推算表,副本难度推算!$H$3,FALSE)</f>
        <v>1744.0766460350569</v>
      </c>
      <c r="G15" s="138">
        <f>VLOOKUP($C15,难度推算表,副本难度推算!$G$3,FALSE)-VLOOKUP($C15,难度推算表,副本难度推算!$I$3,FALSE)*(2-副本难度推算!$AA$5)*(2-$S15)</f>
        <v>840.61149832775959</v>
      </c>
      <c r="H15" s="138">
        <f>VLOOKUP($C15,难度推算表,副本难度推算!$M$3,FALSE)*副本难度推算!$Y$6*Q15</f>
        <v>24602.247262249402</v>
      </c>
      <c r="I15" s="138">
        <f>VLOOKUP($C15,难度推算表,副本难度推算!$P$3,FALSE)*副本难度推算!$Z$6*$R15+VLOOKUP($C15,难度推算表,副本难度推算!$H$3,FALSE)</f>
        <v>1636.917901297772</v>
      </c>
      <c r="J15" s="138">
        <f>VLOOKUP($C15,难度推算表,副本难度推算!$G$3,FALSE)-VLOOKUP($C15,难度推算表,副本难度推算!$I$3,FALSE)*(2-副本难度推算!$AA$6)*(2-$S15)</f>
        <v>706.11365859531816</v>
      </c>
      <c r="K15" s="138">
        <f>VLOOKUP($C15,难度推算表,副本难度推算!$M$3,FALSE)*副本难度推算!$Y$7*Q15</f>
        <v>76882.022694529369</v>
      </c>
      <c r="L15" s="138">
        <f>VLOOKUP($C15,难度推算表,副本难度推算!$P$3,FALSE)*副本难度推算!$Z$7*$R15+VLOOKUP($C15,难度推算表,副本难度推算!$H$3,FALSE)</f>
        <v>1958.3941355096263</v>
      </c>
      <c r="M15" s="138">
        <f>VLOOKUP($C15,难度推算表,副本难度推算!$G$3,FALSE)-VLOOKUP($C15,难度推算表,副本难度推算!$I$3,FALSE)*(2-副本难度推算!$AA$7)*(2-$S15)</f>
        <v>975.10933806020114</v>
      </c>
      <c r="N15" s="136">
        <f>VLOOKUP($C15,难度推算表,副本难度推算!$Q$3,FALSE)</f>
        <v>2088.44</v>
      </c>
      <c r="O15" s="136">
        <f>VLOOKUP($C15,难度推算表,副本难度推算!$R$3,FALSE)</f>
        <v>0</v>
      </c>
      <c r="P15" s="139"/>
      <c r="Q15" s="140">
        <f t="shared" si="2"/>
        <v>1.25</v>
      </c>
      <c r="R15" s="140">
        <f t="shared" si="3"/>
        <v>1.5</v>
      </c>
      <c r="S15" s="140">
        <f t="shared" si="4"/>
        <v>1.2</v>
      </c>
      <c r="U15" s="141">
        <v>30</v>
      </c>
      <c r="V15" s="140">
        <v>1</v>
      </c>
      <c r="W15" s="140">
        <v>1</v>
      </c>
      <c r="X15" s="140">
        <v>1</v>
      </c>
      <c r="Z15" s="136" t="str">
        <f t="shared" si="5"/>
        <v>营救</v>
      </c>
      <c r="AA15" s="136">
        <v>5</v>
      </c>
      <c r="AB15" s="136">
        <v>1.5</v>
      </c>
      <c r="AC15" s="136">
        <v>0.9</v>
      </c>
      <c r="AD15" s="136">
        <v>1.2</v>
      </c>
    </row>
    <row r="16" spans="1:31" s="141" customFormat="1">
      <c r="A16" s="136" t="str">
        <f t="shared" si="0"/>
        <v>挑战BOSS</v>
      </c>
      <c r="B16" s="136" t="str">
        <f>怪物并表!$R$14</f>
        <v>英雄之路</v>
      </c>
      <c r="C16" s="136">
        <v>31</v>
      </c>
      <c r="D16" s="137">
        <f t="shared" si="1"/>
        <v>1901</v>
      </c>
      <c r="E16" s="138">
        <f>VLOOKUP($C16,难度推算表,副本难度推算!$M$3,FALSE)*副本难度推算!$Y$5*Q16</f>
        <v>34238.279582225849</v>
      </c>
      <c r="F16" s="138">
        <f>VLOOKUP($C16,难度推算表,副本难度推算!$P$3,FALSE)*副本难度推算!$Z$5*$R16+VLOOKUP($C16,难度推算表,副本难度推算!$H$3,FALSE)</f>
        <v>1937.4406236416326</v>
      </c>
      <c r="G16" s="138">
        <f>VLOOKUP($C16,难度推算表,副本难度推算!$G$3,FALSE)-VLOOKUP($C16,难度推算表,副本难度推算!$I$3,FALSE)*(2-副本难度推算!$AA$5)*(2-$S16)</f>
        <v>918.36506916000019</v>
      </c>
      <c r="H16" s="138">
        <f>VLOOKUP($C16,难度推算表,副本难度推算!$M$3,FALSE)*副本难度推算!$Y$6*Q16</f>
        <v>27390.62366578068</v>
      </c>
      <c r="I16" s="138">
        <f>VLOOKUP($C16,难度推算表,副本难度推算!$P$3,FALSE)*副本难度推算!$Z$6*$R16+VLOOKUP($C16,难度推算表,副本难度推算!$H$3,FALSE)</f>
        <v>1818.0581053390079</v>
      </c>
      <c r="J16" s="138">
        <f>VLOOKUP($C16,难度推算表,副本难度推算!$G$3,FALSE)-VLOOKUP($C16,难度推算表,副本难度推算!$I$3,FALSE)*(2-副本难度推算!$AA$6)*(2-$S16)</f>
        <v>767.41113471507708</v>
      </c>
      <c r="K16" s="138">
        <f>VLOOKUP($C16,难度推算表,副本难度推算!$M$3,FALSE)*副本难度推算!$Y$7*Q16</f>
        <v>85595.698955564629</v>
      </c>
      <c r="L16" s="138">
        <f>VLOOKUP($C16,难度推算表,副本难度推算!$P$3,FALSE)*副本难度推算!$Z$7*$R16+VLOOKUP($C16,难度推算表,副本难度推算!$H$3,FALSE)</f>
        <v>2176.205660246882</v>
      </c>
      <c r="M16" s="138">
        <f>VLOOKUP($C16,难度推算表,副本难度推算!$G$3,FALSE)-VLOOKUP($C16,难度推算表,副本难度推算!$I$3,FALSE)*(2-副本难度推算!$AA$7)*(2-$S16)</f>
        <v>1069.3190036049232</v>
      </c>
      <c r="N16" s="136">
        <f>VLOOKUP($C16,难度推算表,副本难度推算!$Q$3,FALSE)</f>
        <v>2146.6680000000001</v>
      </c>
      <c r="O16" s="136">
        <f>VLOOKUP($C16,难度推算表,副本难度推算!$R$3,FALSE)</f>
        <v>0</v>
      </c>
      <c r="P16" s="139"/>
      <c r="Q16" s="140">
        <f t="shared" si="2"/>
        <v>1.2375</v>
      </c>
      <c r="R16" s="140">
        <f t="shared" si="3"/>
        <v>1.4849999999999999</v>
      </c>
      <c r="S16" s="140">
        <f t="shared" si="4"/>
        <v>1.1879999999999999</v>
      </c>
      <c r="U16" s="141">
        <v>31</v>
      </c>
      <c r="V16" s="140">
        <v>0.99</v>
      </c>
      <c r="W16" s="140">
        <v>0.99</v>
      </c>
      <c r="X16" s="140">
        <v>0.99</v>
      </c>
      <c r="Z16" s="136" t="str">
        <f t="shared" si="5"/>
        <v>陷阱</v>
      </c>
      <c r="AA16" s="136">
        <v>6</v>
      </c>
      <c r="AB16" s="136">
        <v>1.1000000000000001</v>
      </c>
      <c r="AC16" s="136">
        <v>0.9</v>
      </c>
      <c r="AD16" s="136">
        <v>0.9</v>
      </c>
    </row>
    <row r="17" spans="1:24" s="141" customFormat="1">
      <c r="A17" s="136" t="str">
        <f t="shared" si="0"/>
        <v>挑战BOSS</v>
      </c>
      <c r="B17" s="136" t="str">
        <f>怪物并表!$R$14</f>
        <v>英雄之路</v>
      </c>
      <c r="C17" s="136">
        <v>32</v>
      </c>
      <c r="D17" s="137">
        <f t="shared" si="1"/>
        <v>1901</v>
      </c>
      <c r="E17" s="138">
        <f>VLOOKUP($C17,难度推算表,副本难度推算!$M$3,FALSE)*副本难度推算!$Y$5*Q17</f>
        <v>37963.380182153254</v>
      </c>
      <c r="F17" s="138">
        <f>VLOOKUP($C17,难度推算表,副本难度推算!$P$3,FALSE)*副本难度推算!$Z$5*$R17+VLOOKUP($C17,难度推算表,副本难度推算!$H$3,FALSE)</f>
        <v>2143.987771582727</v>
      </c>
      <c r="G17" s="138">
        <f>VLOOKUP($C17,难度推算表,副本难度推算!$G$3,FALSE)-VLOOKUP($C17,难度推算表,副本难度推算!$I$3,FALSE)*(2-副本难度推算!$AA$5)*(2-$S17)</f>
        <v>999.54583372093657</v>
      </c>
      <c r="H17" s="138">
        <f>VLOOKUP($C17,难度推算表,副本难度推算!$M$3,FALSE)*副本难度推算!$Y$6*Q17</f>
        <v>30370.704145722601</v>
      </c>
      <c r="I17" s="138">
        <f>VLOOKUP($C17,难度推算表,副本难度推算!$P$3,FALSE)*副本难度推算!$Z$6*$R17+VLOOKUP($C17,难度推算表,副本难度推算!$H$3,FALSE)</f>
        <v>2011.5189807950228</v>
      </c>
      <c r="J17" s="138">
        <f>VLOOKUP($C17,难度推算表,副本难度推算!$G$3,FALSE)-VLOOKUP($C17,难度推算表,副本难度推算!$I$3,FALSE)*(2-副本难度推算!$AA$6)*(2-$S17)</f>
        <v>830.7700617975654</v>
      </c>
      <c r="K17" s="138">
        <f>VLOOKUP($C17,难度推算表,副本难度推算!$M$3,FALSE)*副本难度推算!$Y$7*Q17</f>
        <v>94908.450455383136</v>
      </c>
      <c r="L17" s="138">
        <f>VLOOKUP($C17,难度推算表,副本难度推算!$P$3,FALSE)*副本难度推算!$Z$7*$R17+VLOOKUP($C17,难度推算表,副本难度推算!$H$3,FALSE)</f>
        <v>2408.9253531581353</v>
      </c>
      <c r="M17" s="138">
        <f>VLOOKUP($C17,难度推算表,副本难度推算!$G$3,FALSE)-VLOOKUP($C17,难度推算表,副本难度推算!$I$3,FALSE)*(2-副本难度推算!$AA$7)*(2-$S17)</f>
        <v>1168.321605644308</v>
      </c>
      <c r="N17" s="136">
        <f>VLOOKUP($C17,难度推算表,副本难度推算!$Q$3,FALSE)</f>
        <v>2204.8960000000002</v>
      </c>
      <c r="O17" s="136">
        <f>VLOOKUP($C17,难度推算表,副本难度推算!$R$3,FALSE)</f>
        <v>0</v>
      </c>
      <c r="P17" s="139"/>
      <c r="Q17" s="140">
        <f t="shared" si="2"/>
        <v>1.2250000000000001</v>
      </c>
      <c r="R17" s="140">
        <f t="shared" si="3"/>
        <v>1.47</v>
      </c>
      <c r="S17" s="140">
        <f t="shared" si="4"/>
        <v>1.1759999999999999</v>
      </c>
      <c r="U17" s="141">
        <v>32</v>
      </c>
      <c r="V17" s="140">
        <v>0.98</v>
      </c>
      <c r="W17" s="140">
        <v>0.98</v>
      </c>
      <c r="X17" s="140">
        <v>0.98</v>
      </c>
    </row>
    <row r="18" spans="1:24" s="141" customFormat="1">
      <c r="A18" s="136" t="str">
        <f t="shared" si="0"/>
        <v>挑战BOSS</v>
      </c>
      <c r="B18" s="136" t="str">
        <f>怪物并表!$R$14</f>
        <v>英雄之路</v>
      </c>
      <c r="C18" s="136">
        <v>33</v>
      </c>
      <c r="D18" s="137">
        <f t="shared" si="1"/>
        <v>1901</v>
      </c>
      <c r="E18" s="138">
        <f>VLOOKUP($C18,难度推算表,副本难度推算!$M$3,FALSE)*副本难度推算!$Y$5*Q18</f>
        <v>41920.000626461908</v>
      </c>
      <c r="F18" s="138">
        <f>VLOOKUP($C18,难度推算表,副本难度推算!$P$3,FALSE)*副本难度推算!$Z$5*$R18+VLOOKUP($C18,难度推算表,副本难度推算!$H$3,FALSE)</f>
        <v>2363.3141954354487</v>
      </c>
      <c r="G18" s="138">
        <f>VLOOKUP($C18,难度推算表,副本难度推算!$G$3,FALSE)-VLOOKUP($C18,难度推算表,副本难度推算!$I$3,FALSE)*(2-副本难度推算!$AA$5)*(2-$S18)</f>
        <v>1083.7432126866229</v>
      </c>
      <c r="H18" s="138">
        <f>VLOOKUP($C18,难度推算表,副本难度推算!$M$3,FALSE)*副本难度推算!$Y$6*Q18</f>
        <v>33536.000501169532</v>
      </c>
      <c r="I18" s="138">
        <f>VLOOKUP($C18,难度推算表,副本难度推算!$P$3,FALSE)*副本难度推算!$Z$6*$R18+VLOOKUP($C18,难度推算表,副本难度推算!$H$3,FALSE)</f>
        <v>2216.9199719654825</v>
      </c>
      <c r="J18" s="138">
        <f>VLOOKUP($C18,难度推算表,副本难度推算!$G$3,FALSE)-VLOOKUP($C18,难度推算表,副本难度推算!$I$3,FALSE)*(2-副本难度推算!$AA$6)*(2-$S18)</f>
        <v>895.77447289284351</v>
      </c>
      <c r="K18" s="138">
        <f>VLOOKUP($C18,难度推算表,副本难度推算!$M$3,FALSE)*副本难度推算!$Y$7*Q18</f>
        <v>104800.00156615478</v>
      </c>
      <c r="L18" s="138">
        <f>VLOOKUP($C18,难度推算表,副本难度推算!$P$3,FALSE)*副本难度推算!$Z$7*$R18+VLOOKUP($C18,难度推算表,副本难度推算!$H$3,FALSE)</f>
        <v>2656.1026423753815</v>
      </c>
      <c r="M18" s="138">
        <f>VLOOKUP($C18,难度推算表,副本难度推算!$G$3,FALSE)-VLOOKUP($C18,难度推算表,副本难度推算!$I$3,FALSE)*(2-副本难度推算!$AA$7)*(2-$S18)</f>
        <v>1271.711952480402</v>
      </c>
      <c r="N18" s="136">
        <f>VLOOKUP($C18,难度推算表,副本难度推算!$Q$3,FALSE)</f>
        <v>2263.1239999999998</v>
      </c>
      <c r="O18" s="136">
        <f>VLOOKUP($C18,难度推算表,副本难度推算!$R$3,FALSE)</f>
        <v>0</v>
      </c>
      <c r="P18" s="139"/>
      <c r="Q18" s="140">
        <f t="shared" si="2"/>
        <v>1.2124999999999999</v>
      </c>
      <c r="R18" s="140">
        <f t="shared" si="3"/>
        <v>1.4550000000000001</v>
      </c>
      <c r="S18" s="140">
        <f t="shared" si="4"/>
        <v>1.1639999999999999</v>
      </c>
      <c r="U18" s="141">
        <v>33</v>
      </c>
      <c r="V18" s="140">
        <v>0.97</v>
      </c>
      <c r="W18" s="140">
        <v>0.97</v>
      </c>
      <c r="X18" s="140">
        <v>0.97</v>
      </c>
    </row>
    <row r="19" spans="1:24" s="141" customFormat="1">
      <c r="A19" s="136" t="str">
        <f t="shared" si="0"/>
        <v>挑战BOSS</v>
      </c>
      <c r="B19" s="136" t="str">
        <f>怪物并表!$R$14</f>
        <v>英雄之路</v>
      </c>
      <c r="C19" s="136">
        <v>34</v>
      </c>
      <c r="D19" s="137">
        <f t="shared" si="1"/>
        <v>1901</v>
      </c>
      <c r="E19" s="138">
        <f>VLOOKUP($C19,难度推算表,副本难度推算!$M$3,FALSE)*副本难度推算!$Y$5*Q19</f>
        <v>46112.084416940139</v>
      </c>
      <c r="F19" s="138">
        <f>VLOOKUP($C19,难度推算表,副本难度推算!$P$3,FALSE)*副本难度推算!$Z$5*$R19+VLOOKUP($C19,难度推算表,副本难度推算!$H$3,FALSE)</f>
        <v>2595.7114029135978</v>
      </c>
      <c r="G19" s="138">
        <f>VLOOKUP($C19,难度推算表,副本难度推算!$G$3,FALSE)-VLOOKUP($C19,难度推算表,副本难度推算!$I$3,FALSE)*(2-副本难度推算!$AA$5)*(2-$S19)</f>
        <v>1170.8787159475587</v>
      </c>
      <c r="H19" s="138">
        <f>VLOOKUP($C19,难度推算表,副本难度推算!$M$3,FALSE)*副本难度推算!$Y$6*Q19</f>
        <v>36889.667533552114</v>
      </c>
      <c r="I19" s="138">
        <f>VLOOKUP($C19,难度推算表,副本难度推算!$P$3,FALSE)*副本难度推算!$Z$6*$R19+VLOOKUP($C19,难度推算表,副本难度推算!$H$3,FALSE)</f>
        <v>2434.533432029596</v>
      </c>
      <c r="J19" s="138">
        <f>VLOOKUP($C19,难度推算表,副本难度推算!$G$3,FALSE)-VLOOKUP($C19,难度推算表,副本难度推算!$I$3,FALSE)*(2-副本难度推算!$AA$6)*(2-$S19)</f>
        <v>962.28519680395993</v>
      </c>
      <c r="K19" s="138">
        <f>VLOOKUP($C19,难度推算表,副本难度推算!$M$3,FALSE)*副本难度推算!$Y$7*Q19</f>
        <v>115280.21104235035</v>
      </c>
      <c r="L19" s="138">
        <f>VLOOKUP($C19,难度推算表,副本难度推算!$P$3,FALSE)*副本难度推算!$Z$7*$R19+VLOOKUP($C19,难度推算表,副本难度推算!$H$3,FALSE)</f>
        <v>2918.0673446816013</v>
      </c>
      <c r="M19" s="138">
        <f>VLOOKUP($C19,难度推算表,副本难度推算!$G$3,FALSE)-VLOOKUP($C19,难度推算表,副本难度推算!$I$3,FALSE)*(2-副本难度推算!$AA$7)*(2-$S19)</f>
        <v>1379.4722350911575</v>
      </c>
      <c r="N19" s="136">
        <f>VLOOKUP($C19,难度推算表,副本难度推算!$Q$3,FALSE)</f>
        <v>2321.3520000000003</v>
      </c>
      <c r="O19" s="136">
        <f>VLOOKUP($C19,难度推算表,副本难度推算!$R$3,FALSE)</f>
        <v>0</v>
      </c>
      <c r="P19" s="139"/>
      <c r="Q19" s="140">
        <f t="shared" si="2"/>
        <v>1.2</v>
      </c>
      <c r="R19" s="140">
        <f t="shared" si="3"/>
        <v>1.44</v>
      </c>
      <c r="S19" s="140">
        <f t="shared" si="4"/>
        <v>1.1519999999999999</v>
      </c>
      <c r="U19" s="141">
        <v>34</v>
      </c>
      <c r="V19" s="140">
        <v>0.96</v>
      </c>
      <c r="W19" s="140">
        <v>0.96</v>
      </c>
      <c r="X19" s="140">
        <v>0.96</v>
      </c>
    </row>
    <row r="20" spans="1:24" s="141" customFormat="1">
      <c r="A20" s="136" t="str">
        <f t="shared" si="0"/>
        <v>挑战BOSS</v>
      </c>
      <c r="B20" s="136" t="str">
        <f>怪物并表!$R$14</f>
        <v>英雄之路</v>
      </c>
      <c r="C20" s="136">
        <v>35</v>
      </c>
      <c r="D20" s="137">
        <f t="shared" si="1"/>
        <v>1901</v>
      </c>
      <c r="E20" s="138">
        <f>VLOOKUP($C20,难度推算表,副本难度推算!$M$3,FALSE)*副本难度推算!$Y$5*Q20</f>
        <v>50543.247603147865</v>
      </c>
      <c r="F20" s="138">
        <f>VLOOKUP($C20,难度推算表,副本难度推算!$P$3,FALSE)*副本难度推算!$Z$5*$R20+VLOOKUP($C20,难度推算表,副本难度推算!$H$3,FALSE)</f>
        <v>2841.464620954871</v>
      </c>
      <c r="G20" s="138">
        <f>VLOOKUP($C20,难度推算表,副本难度推算!$G$3,FALSE)-VLOOKUP($C20,难度推算表,副本难度推算!$I$3,FALSE)*(2-副本难度推算!$AA$5)*(2-$S20)</f>
        <v>1260.8678556521741</v>
      </c>
      <c r="H20" s="138">
        <f>VLOOKUP($C20,难度推算表,副本难度推算!$M$3,FALSE)*副本难度推算!$Y$6*Q20</f>
        <v>40434.598082518292</v>
      </c>
      <c r="I20" s="138">
        <f>VLOOKUP($C20,难度推算表,副本难度推算!$P$3,FALSE)*副本难度推算!$Z$6*$R20+VLOOKUP($C20,难度推算表,副本难度推算!$H$3,FALSE)</f>
        <v>2664.6260614680796</v>
      </c>
      <c r="J20" s="138">
        <f>VLOOKUP($C20,难度推算表,副本难度推算!$G$3,FALSE)-VLOOKUP($C20,难度推算表,副本难度推算!$I$3,FALSE)*(2-副本难度推算!$AA$6)*(2-$S20)</f>
        <v>1030.1558650434786</v>
      </c>
      <c r="K20" s="138">
        <f>VLOOKUP($C20,难度推算表,副本难度推算!$M$3,FALSE)*副本难度推算!$Y$7*Q20</f>
        <v>126358.11900786967</v>
      </c>
      <c r="L20" s="138">
        <f>VLOOKUP($C20,难度推算表,副本难度推算!$P$3,FALSE)*副本难度推算!$Z$7*$R20+VLOOKUP($C20,难度推算表,副本难度推算!$H$3,FALSE)</f>
        <v>3195.1417399284537</v>
      </c>
      <c r="M20" s="138">
        <f>VLOOKUP($C20,难度推算表,副本难度推算!$G$3,FALSE)-VLOOKUP($C20,难度推算表,副本难度推算!$I$3,FALSE)*(2-副本难度推算!$AA$7)*(2-$S20)</f>
        <v>1491.5798462608698</v>
      </c>
      <c r="N20" s="136">
        <f>VLOOKUP($C20,难度推算表,副本难度推算!$Q$3,FALSE)</f>
        <v>2379.58</v>
      </c>
      <c r="O20" s="136">
        <f>VLOOKUP($C20,难度推算表,副本难度推算!$R$3,FALSE)</f>
        <v>0</v>
      </c>
      <c r="P20" s="139"/>
      <c r="Q20" s="140">
        <f t="shared" si="2"/>
        <v>1.1875</v>
      </c>
      <c r="R20" s="140">
        <f t="shared" si="3"/>
        <v>1.4249999999999998</v>
      </c>
      <c r="S20" s="140">
        <f t="shared" si="4"/>
        <v>1.1399999999999999</v>
      </c>
      <c r="U20" s="141">
        <v>35</v>
      </c>
      <c r="V20" s="140">
        <v>0.95</v>
      </c>
      <c r="W20" s="140">
        <v>0.95</v>
      </c>
      <c r="X20" s="140">
        <v>0.95</v>
      </c>
    </row>
    <row r="21" spans="1:24" s="141" customFormat="1">
      <c r="A21" s="136" t="str">
        <f t="shared" si="0"/>
        <v>挑战BOSS</v>
      </c>
      <c r="B21" s="136" t="str">
        <f>怪物并表!$R$14</f>
        <v>英雄之路</v>
      </c>
      <c r="C21" s="136">
        <v>36</v>
      </c>
      <c r="D21" s="137">
        <f t="shared" si="1"/>
        <v>1901</v>
      </c>
      <c r="E21" s="138">
        <f>VLOOKUP($C21,难度推算表,副本难度推算!$M$3,FALSE)*副本难度推算!$Y$5*Q21</f>
        <v>55216.76606606628</v>
      </c>
      <c r="F21" s="138">
        <f>VLOOKUP($C21,难度推算表,副本难度推算!$P$3,FALSE)*副本难度推算!$Z$5*$R21+VLOOKUP($C21,难度推算表,副本难度推算!$H$3,FALSE)</f>
        <v>3100.8525553850259</v>
      </c>
      <c r="G21" s="138">
        <f>VLOOKUP($C21,难度推算表,副本难度推算!$G$3,FALSE)-VLOOKUP($C21,难度推算表,副本难度推算!$I$3,FALSE)*(2-副本难度推算!$AA$5)*(2-$S21)</f>
        <v>1353.6201462068229</v>
      </c>
      <c r="H21" s="138">
        <f>VLOOKUP($C21,难度推算表,副本难度推算!$M$3,FALSE)*副本难度推算!$Y$6*Q21</f>
        <v>44173.412852853027</v>
      </c>
      <c r="I21" s="138">
        <f>VLOOKUP($C21,难度推算表,副本难度推算!$P$3,FALSE)*副本难度推算!$Z$6*$R21+VLOOKUP($C21,难度推算表,副本难度推算!$H$3,FALSE)</f>
        <v>2907.4586917609049</v>
      </c>
      <c r="J21" s="138">
        <f>VLOOKUP($C21,难度推算表,副本难度推算!$G$3,FALSE)-VLOOKUP($C21,难度推算表,副本难度推算!$I$3,FALSE)*(2-副本难度推算!$AA$6)*(2-$S21)</f>
        <v>1099.2329118334717</v>
      </c>
      <c r="K21" s="138">
        <f>VLOOKUP($C21,难度推算表,副本难度推算!$M$3,FALSE)*副本难度推算!$Y$7*Q21</f>
        <v>138041.9151651657</v>
      </c>
      <c r="L21" s="138">
        <f>VLOOKUP($C21,难度推算表,副本难度推算!$P$3,FALSE)*副本难度推算!$Z$7*$R21+VLOOKUP($C21,难度推算表,副本难度推算!$H$3,FALSE)</f>
        <v>3487.6402826332683</v>
      </c>
      <c r="M21" s="138">
        <f>VLOOKUP($C21,难度推算表,副本难度推算!$G$3,FALSE)-VLOOKUP($C21,难度推算表,副本难度推算!$I$3,FALSE)*(2-副本难度推算!$AA$7)*(2-$S21)</f>
        <v>1608.007380580174</v>
      </c>
      <c r="N21" s="136">
        <f>VLOOKUP($C21,难度推算表,副本难度推算!$Q$3,FALSE)</f>
        <v>2437.808</v>
      </c>
      <c r="O21" s="136">
        <f>VLOOKUP($C21,难度推算表,副本难度推算!$R$3,FALSE)</f>
        <v>0</v>
      </c>
      <c r="P21" s="139"/>
      <c r="Q21" s="140">
        <f t="shared" si="2"/>
        <v>1.1749999999999998</v>
      </c>
      <c r="R21" s="140">
        <f t="shared" si="3"/>
        <v>1.41</v>
      </c>
      <c r="S21" s="140">
        <f t="shared" si="4"/>
        <v>1.1279999999999999</v>
      </c>
      <c r="U21" s="141">
        <v>36</v>
      </c>
      <c r="V21" s="140">
        <v>0.94</v>
      </c>
      <c r="W21" s="140">
        <v>0.94</v>
      </c>
      <c r="X21" s="140">
        <v>0.94</v>
      </c>
    </row>
    <row r="22" spans="1:24" s="141" customFormat="1">
      <c r="A22" s="136" t="str">
        <f t="shared" si="0"/>
        <v>挑战BOSS</v>
      </c>
      <c r="B22" s="136" t="str">
        <f>怪物并表!$R$14</f>
        <v>英雄之路</v>
      </c>
      <c r="C22" s="136">
        <v>37</v>
      </c>
      <c r="D22" s="137">
        <f t="shared" si="1"/>
        <v>1901</v>
      </c>
      <c r="E22" s="138">
        <f>VLOOKUP($C22,难度推算表,副本难度推算!$M$3,FALSE)*副本难度推算!$Y$5*Q22</f>
        <v>60135.562773835911</v>
      </c>
      <c r="F22" s="138">
        <f>VLOOKUP($C22,难度推算表,副本难度推算!$P$3,FALSE)*副本难度推算!$Z$5*$R22+VLOOKUP($C22,难度推算表,副本难度推算!$H$3,FALSE)</f>
        <v>3416.3193555381131</v>
      </c>
      <c r="G22" s="138">
        <f>VLOOKUP($C22,难度推算表,副本难度推算!$G$3,FALSE)-VLOOKUP($C22,难度推算表,副本难度推算!$I$3,FALSE)*(2-副本难度推算!$AA$5)*(2-$S22)</f>
        <v>1449.0391042757865</v>
      </c>
      <c r="H22" s="138">
        <f>VLOOKUP($C22,难度推算表,副本难度推算!$M$3,FALSE)*副本难度推算!$Y$6*Q22</f>
        <v>48108.450219068727</v>
      </c>
      <c r="I22" s="138">
        <f>VLOOKUP($C22,难度推算表,副本难度推算!$P$3,FALSE)*副本难度推算!$Z$6*$R22+VLOOKUP($C22,难度推算表,副本难度推算!$H$3,FALSE)</f>
        <v>3201.2410535455065</v>
      </c>
      <c r="J22" s="138">
        <f>VLOOKUP($C22,难度推算表,副本难度推算!$G$3,FALSE)-VLOOKUP($C22,难度推算表,副本难度推算!$I$3,FALSE)*(2-副本难度推算!$AA$6)*(2-$S22)</f>
        <v>1169.3555741055256</v>
      </c>
      <c r="K22" s="138">
        <f>VLOOKUP($C22,难度推算表,副本难度推算!$M$3,FALSE)*副本难度推算!$Y$7*Q22</f>
        <v>150338.90693458979</v>
      </c>
      <c r="L22" s="138">
        <f>VLOOKUP($C22,难度推算表,副本难度推算!$P$3,FALSE)*副本难度推算!$Z$7*$R22+VLOOKUP($C22,难度推算表,副本难度推算!$H$3,FALSE)</f>
        <v>3846.4759595233281</v>
      </c>
      <c r="M22" s="138">
        <f>VLOOKUP($C22,难度推算表,副本难度推算!$G$3,FALSE)-VLOOKUP($C22,难度推算表,副本难度推算!$I$3,FALSE)*(2-副本难度推算!$AA$7)*(2-$S22)</f>
        <v>1728.7226344460471</v>
      </c>
      <c r="N22" s="136">
        <f>VLOOKUP($C22,难度推算表,副本难度推算!$Q$3,FALSE)</f>
        <v>2496.0360000000001</v>
      </c>
      <c r="O22" s="136">
        <f>VLOOKUP($C22,难度推算表,副本难度推算!$R$3,FALSE)</f>
        <v>0</v>
      </c>
      <c r="P22" s="139"/>
      <c r="Q22" s="140">
        <f t="shared" si="2"/>
        <v>1.1625000000000001</v>
      </c>
      <c r="R22" s="140">
        <f t="shared" si="3"/>
        <v>1.395</v>
      </c>
      <c r="S22" s="140">
        <f t="shared" si="4"/>
        <v>1.1160000000000001</v>
      </c>
      <c r="U22" s="141">
        <v>37</v>
      </c>
      <c r="V22" s="140">
        <v>0.93</v>
      </c>
      <c r="W22" s="140">
        <v>0.93</v>
      </c>
      <c r="X22" s="140">
        <v>0.93</v>
      </c>
    </row>
    <row r="23" spans="1:24" s="141" customFormat="1">
      <c r="A23" s="136" t="str">
        <f t="shared" si="0"/>
        <v>挑战BOSS</v>
      </c>
      <c r="B23" s="136" t="str">
        <f>怪物并表!$R$14</f>
        <v>英雄之路</v>
      </c>
      <c r="C23" s="136">
        <v>38</v>
      </c>
      <c r="D23" s="137">
        <f t="shared" si="1"/>
        <v>1901</v>
      </c>
      <c r="E23" s="138">
        <f>VLOOKUP($C23,难度推算表,副本难度推算!$M$3,FALSE)*副本难度推算!$Y$5*Q23</f>
        <v>65302.195015725119</v>
      </c>
      <c r="F23" s="138">
        <f>VLOOKUP($C23,难度推算表,副本难度推算!$P$3,FALSE)*副本难度推算!$Z$5*$R23+VLOOKUP($C23,难度推算表,副本难度推算!$H$3,FALSE)</f>
        <v>3753.315952002019</v>
      </c>
      <c r="G23" s="138">
        <f>VLOOKUP($C23,难度推算表,副本难度推算!$G$3,FALSE)-VLOOKUP($C23,难度推算表,副本难度推算!$I$3,FALSE)*(2-副本难度推算!$AA$5)*(2-$S23)</f>
        <v>1547.0222487812714</v>
      </c>
      <c r="H23" s="138">
        <f>VLOOKUP($C23,难度推算表,副本难度推算!$M$3,FALSE)*副本难度推算!$Y$6*Q23</f>
        <v>52241.756012580096</v>
      </c>
      <c r="I23" s="138">
        <f>VLOOKUP($C23,难度推算表,副本难度推算!$P$3,FALSE)*副本难度推算!$Z$6*$R23+VLOOKUP($C23,难度推算表,副本难度推算!$H$3,FALSE)</f>
        <v>3514.8889805877707</v>
      </c>
      <c r="J23" s="138">
        <f>VLOOKUP($C23,难度推算表,副本难度推算!$G$3,FALSE)-VLOOKUP($C23,难度推算表,副本难度推算!$I$3,FALSE)*(2-副本难度推算!$AA$6)*(2-$S23)</f>
        <v>1240.3558915007363</v>
      </c>
      <c r="K23" s="138">
        <f>VLOOKUP($C23,难度推算表,副本难度推算!$M$3,FALSE)*副本难度推算!$Y$7*Q23</f>
        <v>163255.4875393128</v>
      </c>
      <c r="L23" s="138">
        <f>VLOOKUP($C23,难度推算表,副本难度推算!$P$3,FALSE)*副本难度推算!$Z$7*$R23+VLOOKUP($C23,难度推算表,副本难度推算!$H$3,FALSE)</f>
        <v>4230.1698948305166</v>
      </c>
      <c r="M23" s="138">
        <f>VLOOKUP($C23,难度推算表,副本难度推算!$G$3,FALSE)-VLOOKUP($C23,难度推算表,副本难度推算!$I$3,FALSE)*(2-副本难度推算!$AA$7)*(2-$S23)</f>
        <v>1853.6886060618062</v>
      </c>
      <c r="N23" s="136">
        <f>VLOOKUP($C23,难度推算表,副本难度推算!$Q$3,FALSE)</f>
        <v>2554.2640000000001</v>
      </c>
      <c r="O23" s="136">
        <f>VLOOKUP($C23,难度推算表,副本难度推算!$R$3,FALSE)</f>
        <v>0</v>
      </c>
      <c r="P23" s="139"/>
      <c r="Q23" s="140">
        <f t="shared" si="2"/>
        <v>1.1500000000000001</v>
      </c>
      <c r="R23" s="140">
        <f t="shared" si="3"/>
        <v>1.3800000000000001</v>
      </c>
      <c r="S23" s="140">
        <f t="shared" si="4"/>
        <v>1.1040000000000001</v>
      </c>
      <c r="U23" s="141">
        <v>38</v>
      </c>
      <c r="V23" s="140">
        <v>0.92</v>
      </c>
      <c r="W23" s="140">
        <v>0.92</v>
      </c>
      <c r="X23" s="140">
        <v>0.92</v>
      </c>
    </row>
    <row r="24" spans="1:24" s="141" customFormat="1">
      <c r="A24" s="136" t="str">
        <f t="shared" si="0"/>
        <v>挑战BOSS</v>
      </c>
      <c r="B24" s="136" t="str">
        <f>怪物并表!$R$14</f>
        <v>英雄之路</v>
      </c>
      <c r="C24" s="136">
        <v>39</v>
      </c>
      <c r="D24" s="137">
        <f t="shared" si="1"/>
        <v>1901</v>
      </c>
      <c r="E24" s="138">
        <f>VLOOKUP($C24,难度推算表,副本难度推算!$M$3,FALSE)*副本难度推算!$Y$5*Q24</f>
        <v>70718.841619407773</v>
      </c>
      <c r="F24" s="138">
        <f>VLOOKUP($C24,难度推算表,副本难度推算!$P$3,FALSE)*副本难度推算!$Z$5*$R24+VLOOKUP($C24,难度推算表,副本难度推算!$H$3,FALSE)</f>
        <v>4112.6664320917944</v>
      </c>
      <c r="G24" s="138">
        <f>VLOOKUP($C24,难度推算表,副本难度推算!$G$3,FALSE)-VLOOKUP($C24,难度推算表,副本难度推算!$I$3,FALSE)*(2-副本难度推算!$AA$5)*(2-$S24)</f>
        <v>1647.4611009034118</v>
      </c>
      <c r="H24" s="138">
        <f>VLOOKUP($C24,难度推算表,副本难度推算!$M$3,FALSE)*副本难度推算!$Y$6*Q24</f>
        <v>56575.073295526221</v>
      </c>
      <c r="I24" s="138">
        <f>VLOOKUP($C24,难度推算表,副本难度推算!$P$3,FALSE)*副本难度推算!$Z$6*$R24+VLOOKUP($C24,难度推算表,副本难度推算!$H$3,FALSE)</f>
        <v>3849.1541477080336</v>
      </c>
      <c r="J24" s="138">
        <f>VLOOKUP($C24,难度推算表,副本难度推算!$G$3,FALSE)-VLOOKUP($C24,难度推算表,副本难度推算!$I$3,FALSE)*(2-副本难度推算!$AA$6)*(2-$S24)</f>
        <v>1312.058706369713</v>
      </c>
      <c r="K24" s="138">
        <f>VLOOKUP($C24,难度推算表,副本难度推算!$M$3,FALSE)*副本难度推算!$Y$7*Q24</f>
        <v>176797.10404851942</v>
      </c>
      <c r="L24" s="138">
        <f>VLOOKUP($C24,难度推算表,副本难度推算!$P$3,FALSE)*副本难度推算!$Z$7*$R24+VLOOKUP($C24,难度推算表,副本难度推算!$H$3,FALSE)</f>
        <v>4639.6910008593177</v>
      </c>
      <c r="M24" s="138">
        <f>VLOOKUP($C24,难度推算表,副本难度推算!$G$3,FALSE)-VLOOKUP($C24,难度推算表,副本难度推算!$I$3,FALSE)*(2-副本难度推算!$AA$7)*(2-$S24)</f>
        <v>1982.8634954371107</v>
      </c>
      <c r="N24" s="136">
        <f>VLOOKUP($C24,难度推算表,副本难度推算!$Q$3,FALSE)</f>
        <v>2612.4920000000002</v>
      </c>
      <c r="O24" s="136">
        <f>VLOOKUP($C24,难度推算表,副本难度推算!$R$3,FALSE)</f>
        <v>0</v>
      </c>
      <c r="P24" s="139"/>
      <c r="Q24" s="140">
        <f t="shared" si="2"/>
        <v>1.1375</v>
      </c>
      <c r="R24" s="140">
        <f t="shared" si="3"/>
        <v>1.365</v>
      </c>
      <c r="S24" s="140">
        <f t="shared" si="4"/>
        <v>1.0920000000000001</v>
      </c>
      <c r="U24" s="141">
        <v>39</v>
      </c>
      <c r="V24" s="140">
        <v>0.91</v>
      </c>
      <c r="W24" s="140">
        <v>0.91</v>
      </c>
      <c r="X24" s="140">
        <v>0.91</v>
      </c>
    </row>
    <row r="25" spans="1:24" s="141" customFormat="1">
      <c r="A25" s="136" t="str">
        <f t="shared" si="0"/>
        <v>挑战BOSS</v>
      </c>
      <c r="B25" s="136" t="str">
        <f>怪物并表!$R$14</f>
        <v>英雄之路</v>
      </c>
      <c r="C25" s="136">
        <v>40</v>
      </c>
      <c r="D25" s="137">
        <f t="shared" si="1"/>
        <v>1901</v>
      </c>
      <c r="E25" s="138">
        <f>VLOOKUP($C25,难度推算表,副本难度推算!$M$3,FALSE)*副本难度推算!$Y$5*Q25</f>
        <v>77075.463940948743</v>
      </c>
      <c r="F25" s="138">
        <f>VLOOKUP($C25,难度推算表,副本难度推算!$P$3,FALSE)*副本难度推算!$Z$5*$R25+VLOOKUP($C25,难度推算表,副本难度推算!$H$3,FALSE)</f>
        <v>4535.6965759866243</v>
      </c>
      <c r="G25" s="138">
        <f>VLOOKUP($C25,难度推算表,副本难度推算!$G$3,FALSE)-VLOOKUP($C25,难度推算表,副本难度推算!$I$3,FALSE)*(2-副本难度推算!$AA$5)*(2-$S25)</f>
        <v>1766.0091226755862</v>
      </c>
      <c r="H25" s="138">
        <f>VLOOKUP($C25,难度推算表,副本难度推算!$M$3,FALSE)*副本难度推算!$Y$6*Q25</f>
        <v>61660.371152758991</v>
      </c>
      <c r="I25" s="138">
        <f>VLOOKUP($C25,难度推算表,副本难度推算!$P$3,FALSE)*副本难度推算!$Z$6*$R25+VLOOKUP($C25,难度推算表,副本难度推算!$H$3,FALSE)</f>
        <v>4242.6732022675606</v>
      </c>
      <c r="J25" s="138">
        <f>VLOOKUP($C25,难度推算表,副本难度推算!$G$3,FALSE)-VLOOKUP($C25,难度推算表,副本难度推算!$I$3,FALSE)*(2-副本难度推算!$AA$6)*(2-$S25)</f>
        <v>1396.7526697525091</v>
      </c>
      <c r="K25" s="138">
        <f>VLOOKUP($C25,难度推算表,副本难度推算!$M$3,FALSE)*副本难度推算!$Y$7*Q25</f>
        <v>192688.65985237187</v>
      </c>
      <c r="L25" s="138">
        <f>VLOOKUP($C25,难度推算表,副本难度推算!$P$3,FALSE)*副本难度推算!$Z$7*$R25+VLOOKUP($C25,难度推算表,副本难度推算!$H$3,FALSE)</f>
        <v>5121.743323424751</v>
      </c>
      <c r="M25" s="138">
        <f>VLOOKUP($C25,难度推算表,副本难度推算!$G$3,FALSE)-VLOOKUP($C25,难度推算表,副本难度推算!$I$3,FALSE)*(2-副本难度推算!$AA$7)*(2-$S25)</f>
        <v>2135.2655755986634</v>
      </c>
      <c r="N25" s="136">
        <f>VLOOKUP($C25,难度推算表,副本难度推算!$Q$3,FALSE)</f>
        <v>2670.72</v>
      </c>
      <c r="O25" s="136">
        <f>VLOOKUP($C25,难度推算表,副本难度推算!$R$3,FALSE)</f>
        <v>0</v>
      </c>
      <c r="P25" s="139"/>
      <c r="Q25" s="140">
        <f t="shared" si="2"/>
        <v>1.125</v>
      </c>
      <c r="R25" s="140">
        <f t="shared" si="3"/>
        <v>1.35</v>
      </c>
      <c r="S25" s="140">
        <f t="shared" si="4"/>
        <v>1.08</v>
      </c>
      <c r="U25" s="141">
        <v>40</v>
      </c>
      <c r="V25" s="140">
        <v>0.9</v>
      </c>
      <c r="W25" s="140">
        <v>0.9</v>
      </c>
      <c r="X25" s="140">
        <v>0.9</v>
      </c>
    </row>
    <row r="26" spans="1:24" s="141" customFormat="1">
      <c r="A26" s="136" t="str">
        <f t="shared" si="0"/>
        <v>挑战BOSS</v>
      </c>
      <c r="B26" s="136" t="str">
        <f>怪物并表!$R$14</f>
        <v>英雄之路</v>
      </c>
      <c r="C26" s="136">
        <v>41</v>
      </c>
      <c r="D26" s="137">
        <f t="shared" si="1"/>
        <v>1901</v>
      </c>
      <c r="E26" s="138">
        <f>VLOOKUP($C26,难度推算表,副本难度推算!$M$3,FALSE)*副本难度推算!$Y$5*Q26</f>
        <v>83752.940347577067</v>
      </c>
      <c r="F26" s="138">
        <f>VLOOKUP($C26,难度推算表,副本难度推算!$P$3,FALSE)*副本难度推算!$Z$5*$R26+VLOOKUP($C26,难度推算表,副本难度推算!$H$3,FALSE)</f>
        <v>4987.7418591273663</v>
      </c>
      <c r="G26" s="138">
        <f>VLOOKUP($C26,难度推算表,副本难度推算!$G$3,FALSE)-VLOOKUP($C26,难度推算表,副本难度推算!$I$3,FALSE)*(2-副本难度推算!$AA$5)*(2-$S26)</f>
        <v>1887.7901296921748</v>
      </c>
      <c r="H26" s="138">
        <f>VLOOKUP($C26,难度推算表,副本难度推算!$M$3,FALSE)*副本难度推算!$Y$6*Q26</f>
        <v>67002.352278061662</v>
      </c>
      <c r="I26" s="138">
        <f>VLOOKUP($C26,难度推算表,副本难度推算!$P$3,FALSE)*副本难度推算!$Z$6*$R26+VLOOKUP($C26,难度推算表,副本难度推算!$H$3,FALSE)</f>
        <v>4662.9575469189776</v>
      </c>
      <c r="J26" s="138">
        <f>VLOOKUP($C26,难度推算表,副本难度推算!$G$3,FALSE)-VLOOKUP($C26,难度推算表,副本难度推算!$I$3,FALSE)*(2-副本难度推算!$AA$6)*(2-$S26)</f>
        <v>1482.3937239610441</v>
      </c>
      <c r="K26" s="138">
        <f>VLOOKUP($C26,难度推算表,副本难度推算!$M$3,FALSE)*副本难度推算!$Y$7*Q26</f>
        <v>209382.35086894268</v>
      </c>
      <c r="L26" s="138">
        <f>VLOOKUP($C26,难度推算表,副本难度推算!$P$3,FALSE)*副本难度推算!$Z$7*$R26+VLOOKUP($C26,难度推算表,副本难度推算!$H$3,FALSE)</f>
        <v>5637.3104835441436</v>
      </c>
      <c r="M26" s="138">
        <f>VLOOKUP($C26,难度推算表,副本难度推算!$G$3,FALSE)-VLOOKUP($C26,难度推算表,副本难度推算!$I$3,FALSE)*(2-副本难度推算!$AA$7)*(2-$S26)</f>
        <v>2293.186535423305</v>
      </c>
      <c r="N26" s="136">
        <f>VLOOKUP($C26,难度推算表,副本难度推算!$Q$3,FALSE)</f>
        <v>2728.9480000000003</v>
      </c>
      <c r="O26" s="136">
        <f>VLOOKUP($C26,难度推算表,副本难度推算!$R$3,FALSE)</f>
        <v>0</v>
      </c>
      <c r="P26" s="139"/>
      <c r="Q26" s="140">
        <f t="shared" si="2"/>
        <v>1.1125</v>
      </c>
      <c r="R26" s="140">
        <f t="shared" si="3"/>
        <v>1.335</v>
      </c>
      <c r="S26" s="140">
        <f t="shared" si="4"/>
        <v>1.0680000000000001</v>
      </c>
      <c r="U26" s="141">
        <v>41</v>
      </c>
      <c r="V26" s="140">
        <v>0.89</v>
      </c>
      <c r="W26" s="140">
        <v>0.89</v>
      </c>
      <c r="X26" s="140">
        <v>0.89</v>
      </c>
    </row>
    <row r="27" spans="1:24" s="141" customFormat="1">
      <c r="A27" s="136" t="str">
        <f t="shared" si="0"/>
        <v>挑战BOSS</v>
      </c>
      <c r="B27" s="136" t="str">
        <f>怪物并表!$R$14</f>
        <v>英雄之路</v>
      </c>
      <c r="C27" s="136">
        <v>42</v>
      </c>
      <c r="D27" s="137">
        <f t="shared" si="1"/>
        <v>1901</v>
      </c>
      <c r="E27" s="138">
        <f>VLOOKUP($C27,难度推算表,副本难度推算!$M$3,FALSE)*副本难度推算!$Y$5*Q27</f>
        <v>90753.548917808657</v>
      </c>
      <c r="F27" s="138">
        <f>VLOOKUP($C27,难度推算表,副本难度推算!$P$3,FALSE)*副本难度推算!$Z$5*$R27+VLOOKUP($C27,难度推算表,副本难度推算!$H$3,FALSE)</f>
        <v>5469.8886862687414</v>
      </c>
      <c r="G27" s="138">
        <f>VLOOKUP($C27,难度推算表,副本难度推算!$G$3,FALSE)-VLOOKUP($C27,难度推算表,副本难度推算!$I$3,FALSE)*(2-副本难度推算!$AA$5)*(2-$S27)</f>
        <v>2012.6534857846168</v>
      </c>
      <c r="H27" s="138">
        <f>VLOOKUP($C27,难度推算表,副本难度推算!$M$3,FALSE)*副本难度推算!$Y$6*Q27</f>
        <v>72602.839134246926</v>
      </c>
      <c r="I27" s="138">
        <f>VLOOKUP($C27,难度推算表,副本难度推算!$P$3,FALSE)*副本难度推算!$Z$6*$R27+VLOOKUP($C27,难度推算表,副本难度推算!$H$3,FALSE)</f>
        <v>5110.998274257252</v>
      </c>
      <c r="J27" s="138">
        <f>VLOOKUP($C27,难度推算表,副本难度推算!$G$3,FALSE)-VLOOKUP($C27,难度推算表,副本难度推算!$I$3,FALSE)*(2-副本难度推算!$AA$6)*(2-$S27)</f>
        <v>1568.7411281723093</v>
      </c>
      <c r="K27" s="138">
        <f>VLOOKUP($C27,难度推算表,副本难度推算!$M$3,FALSE)*副本难度推算!$Y$7*Q27</f>
        <v>226883.87229452163</v>
      </c>
      <c r="L27" s="138">
        <f>VLOOKUP($C27,难度推算表,副本难度推算!$P$3,FALSE)*副本难度推算!$Z$7*$R27+VLOOKUP($C27,难度推算表,副本难度推算!$H$3,FALSE)</f>
        <v>6187.6695102917201</v>
      </c>
      <c r="M27" s="138">
        <f>VLOOKUP($C27,难度推算表,副本难度推算!$G$3,FALSE)-VLOOKUP($C27,难度推算表,副本难度推算!$I$3,FALSE)*(2-副本难度推算!$AA$7)*(2-$S27)</f>
        <v>2456.5658433969247</v>
      </c>
      <c r="N27" s="136">
        <f>VLOOKUP($C27,难度推算表,副本难度推算!$Q$3,FALSE)</f>
        <v>2787.1759999999999</v>
      </c>
      <c r="O27" s="136">
        <f>VLOOKUP($C27,难度推算表,副本难度推算!$R$3,FALSE)</f>
        <v>0</v>
      </c>
      <c r="P27" s="139"/>
      <c r="Q27" s="140">
        <f t="shared" si="2"/>
        <v>1.1000000000000001</v>
      </c>
      <c r="R27" s="140">
        <f t="shared" si="3"/>
        <v>1.32</v>
      </c>
      <c r="S27" s="140">
        <f t="shared" si="4"/>
        <v>1.056</v>
      </c>
      <c r="U27" s="141">
        <v>42</v>
      </c>
      <c r="V27" s="140">
        <v>0.88</v>
      </c>
      <c r="W27" s="140">
        <v>0.88</v>
      </c>
      <c r="X27" s="140">
        <v>0.88</v>
      </c>
    </row>
    <row r="28" spans="1:24" s="141" customFormat="1">
      <c r="A28" s="136" t="str">
        <f t="shared" si="0"/>
        <v>挑战BOSS</v>
      </c>
      <c r="B28" s="136" t="str">
        <f>怪物并表!$R$14</f>
        <v>英雄之路</v>
      </c>
      <c r="C28" s="136">
        <v>43</v>
      </c>
      <c r="D28" s="137">
        <f t="shared" si="1"/>
        <v>1901</v>
      </c>
      <c r="E28" s="138">
        <f>VLOOKUP($C28,难度推算表,副本难度推算!$M$3,FALSE)*副本难度推算!$Y$5*Q28</f>
        <v>98079.024799520601</v>
      </c>
      <c r="F28" s="138">
        <f>VLOOKUP($C28,难度推算表,副本难度推算!$P$3,FALSE)*副本难度推算!$Z$5*$R28+VLOOKUP($C28,难度推算表,副本难度推算!$H$3,FALSE)</f>
        <v>5983.2270122953087</v>
      </c>
      <c r="G28" s="138">
        <f>VLOOKUP($C28,难度推算表,副本难度推算!$G$3,FALSE)-VLOOKUP($C28,难度推算表,副本难度推算!$I$3,FALSE)*(2-副本难度推算!$AA$5)*(2-$S28)</f>
        <v>2140.4405577949169</v>
      </c>
      <c r="H28" s="138">
        <f>VLOOKUP($C28,难度推算表,副本难度推算!$M$3,FALSE)*副本难度推算!$Y$6*Q28</f>
        <v>78463.219839616475</v>
      </c>
      <c r="I28" s="138">
        <f>VLOOKUP($C28,难度推算表,副本难度推算!$P$3,FALSE)*副本难度推算!$Z$6*$R28+VLOOKUP($C28,难度推算表,副本难度推算!$H$3,FALSE)</f>
        <v>5587.7896719942064</v>
      </c>
      <c r="J28" s="138">
        <f>VLOOKUP($C28,难度推算表,副本难度推算!$G$3,FALSE)-VLOOKUP($C28,难度推算表,副本难度推算!$I$3,FALSE)*(2-副本难度推算!$AA$6)*(2-$S28)</f>
        <v>1655.5445451759738</v>
      </c>
      <c r="K28" s="138">
        <f>VLOOKUP($C28,难度推算表,副本难度推算!$M$3,FALSE)*副本难度推算!$Y$7*Q28</f>
        <v>245197.56199880151</v>
      </c>
      <c r="L28" s="138">
        <f>VLOOKUP($C28,难度推算表,副本难度推算!$P$3,FALSE)*副本难度推算!$Z$7*$R28+VLOOKUP($C28,难度推算表,副本难度推算!$H$3,FALSE)</f>
        <v>6774.1016928975141</v>
      </c>
      <c r="M28" s="138">
        <f>VLOOKUP($C28,难度推算表,副本难度推算!$G$3,FALSE)-VLOOKUP($C28,难度推算表,副本难度推算!$I$3,FALSE)*(2-副本难度推算!$AA$7)*(2-$S28)</f>
        <v>2625.33657041386</v>
      </c>
      <c r="N28" s="136">
        <f>VLOOKUP($C28,难度推算表,副本难度推算!$Q$3,FALSE)</f>
        <v>2845.404</v>
      </c>
      <c r="O28" s="136">
        <f>VLOOKUP($C28,难度推算表,副本难度推算!$R$3,FALSE)</f>
        <v>0</v>
      </c>
      <c r="P28" s="139"/>
      <c r="Q28" s="140">
        <f t="shared" si="2"/>
        <v>1.0874999999999999</v>
      </c>
      <c r="R28" s="140">
        <f t="shared" si="3"/>
        <v>1.3049999999999999</v>
      </c>
      <c r="S28" s="140">
        <f t="shared" si="4"/>
        <v>1.044</v>
      </c>
      <c r="U28" s="141">
        <v>43</v>
      </c>
      <c r="V28" s="140">
        <v>0.87</v>
      </c>
      <c r="W28" s="140">
        <v>0.87</v>
      </c>
      <c r="X28" s="140">
        <v>0.87</v>
      </c>
    </row>
    <row r="29" spans="1:24" s="141" customFormat="1">
      <c r="A29" s="136" t="str">
        <f t="shared" si="0"/>
        <v>挑战BOSS</v>
      </c>
      <c r="B29" s="136" t="str">
        <f>怪物并表!$R$14</f>
        <v>英雄之路</v>
      </c>
      <c r="C29" s="136">
        <v>44</v>
      </c>
      <c r="D29" s="137">
        <f t="shared" si="1"/>
        <v>1901</v>
      </c>
      <c r="E29" s="138">
        <f>VLOOKUP($C29,难度推算表,副本难度推算!$M$3,FALSE)*副本难度推算!$Y$5*Q29</f>
        <v>105730.54321705701</v>
      </c>
      <c r="F29" s="138">
        <f>VLOOKUP($C29,难度推算表,副本难度推算!$P$3,FALSE)*副本难度推算!$Z$5*$R29+VLOOKUP($C29,难度推算表,副本难度推算!$H$3,FALSE)</f>
        <v>6528.8487552428123</v>
      </c>
      <c r="G29" s="138">
        <f>VLOOKUP($C29,难度推算表,副本难度推算!$G$3,FALSE)-VLOOKUP($C29,难度推算表,副本难度推算!$I$3,FALSE)*(2-副本难度推算!$AA$5)*(2-$S29)</f>
        <v>2270.9847155756529</v>
      </c>
      <c r="H29" s="138">
        <f>VLOOKUP($C29,难度推算表,副本难度推算!$M$3,FALSE)*副本难度推算!$Y$6*Q29</f>
        <v>84584.434573645616</v>
      </c>
      <c r="I29" s="138">
        <f>VLOOKUP($C29,难度推算表,副本难度推算!$P$3,FALSE)*副本难度推算!$Z$6*$R29+VLOOKUP($C29,难度推算表,副本难度推算!$H$3,FALSE)</f>
        <v>6094.327794677728</v>
      </c>
      <c r="J29" s="138">
        <f>VLOOKUP($C29,难度推算表,副本难度推算!$G$3,FALSE)-VLOOKUP($C29,难度推算表,副本难度推算!$I$3,FALSE)*(2-副本难度推算!$AA$6)*(2-$S29)</f>
        <v>1742.5440413743954</v>
      </c>
      <c r="K29" s="138">
        <f>VLOOKUP($C29,难度推算表,副本难度推算!$M$3,FALSE)*副本难度推算!$Y$7*Q29</f>
        <v>264326.35804264253</v>
      </c>
      <c r="L29" s="138">
        <f>VLOOKUP($C29,难度推算表,副本难度推算!$P$3,FALSE)*副本难度推算!$Z$7*$R29+VLOOKUP($C29,难度推算表,副本难度推算!$H$3,FALSE)</f>
        <v>7397.8906763729792</v>
      </c>
      <c r="M29" s="138">
        <f>VLOOKUP($C29,难度推算表,副本难度推算!$G$3,FALSE)-VLOOKUP($C29,难度推算表,副本难度推算!$I$3,FALSE)*(2-副本难度推算!$AA$7)*(2-$S29)</f>
        <v>2799.4253897769099</v>
      </c>
      <c r="N29" s="136">
        <f>VLOOKUP($C29,难度推算表,副本难度推算!$Q$3,FALSE)</f>
        <v>2903.6320000000001</v>
      </c>
      <c r="O29" s="136">
        <f>VLOOKUP($C29,难度推算表,副本难度推算!$R$3,FALSE)</f>
        <v>0</v>
      </c>
      <c r="P29" s="139"/>
      <c r="Q29" s="140">
        <f t="shared" si="2"/>
        <v>1.075</v>
      </c>
      <c r="R29" s="140">
        <f t="shared" si="3"/>
        <v>1.29</v>
      </c>
      <c r="S29" s="140">
        <f t="shared" si="4"/>
        <v>1.032</v>
      </c>
      <c r="U29" s="141">
        <v>44</v>
      </c>
      <c r="V29" s="140">
        <v>0.86</v>
      </c>
      <c r="W29" s="140">
        <v>0.86</v>
      </c>
      <c r="X29" s="140">
        <v>0.86</v>
      </c>
    </row>
    <row r="30" spans="1:24" s="141" customFormat="1">
      <c r="A30" s="136" t="str">
        <f t="shared" si="0"/>
        <v>挑战BOSS</v>
      </c>
      <c r="B30" s="136" t="str">
        <f>怪物并表!$R$14</f>
        <v>英雄之路</v>
      </c>
      <c r="C30" s="136">
        <v>45</v>
      </c>
      <c r="D30" s="137">
        <f t="shared" si="1"/>
        <v>1901</v>
      </c>
      <c r="E30" s="138">
        <f>VLOOKUP($C30,难度推算表,副本难度推算!$M$3,FALSE)*副本难度推算!$Y$5*Q30</f>
        <v>113708.70246492725</v>
      </c>
      <c r="F30" s="138">
        <f>VLOOKUP($C30,难度推算表,副本难度推算!$P$3,FALSE)*副本难度推算!$Z$5*$R30+VLOOKUP($C30,难度推算表,副本难度推算!$H$3,FALSE)</f>
        <v>7107.8461310575367</v>
      </c>
      <c r="G30" s="138">
        <f>VLOOKUP($C30,难度推算表,副本难度推算!$G$3,FALSE)-VLOOKUP($C30,难度推算表,副本难度推算!$I$3,FALSE)*(2-副本难度推算!$AA$5)*(2-$S30)</f>
        <v>2404.1113319899673</v>
      </c>
      <c r="H30" s="138">
        <f>VLOOKUP($C30,难度推算表,副本难度推算!$M$3,FALSE)*副本难度推算!$Y$6*Q30</f>
        <v>90966.961971941811</v>
      </c>
      <c r="I30" s="138">
        <f>VLOOKUP($C30,难度推算表,副本难度推算!$P$3,FALSE)*副本难度推算!$Z$6*$R30+VLOOKUP($C30,难度推算表,副本难度推算!$H$3,FALSE)</f>
        <v>6631.6089649751957</v>
      </c>
      <c r="J30" s="138">
        <f>VLOOKUP($C30,难度推算表,副本难度推算!$G$3,FALSE)-VLOOKUP($C30,难度推算表,副本难度推算!$I$3,FALSE)*(2-副本难度推算!$AA$6)*(2-$S30)</f>
        <v>1829.4700867826095</v>
      </c>
      <c r="K30" s="138">
        <f>VLOOKUP($C30,难度推算表,副本难度推算!$M$3,FALSE)*副本难度推算!$Y$7*Q30</f>
        <v>284271.75616231811</v>
      </c>
      <c r="L30" s="138">
        <f>VLOOKUP($C30,难度推算表,副本难度推算!$P$3,FALSE)*副本难度推算!$Z$7*$R30+VLOOKUP($C30,难度推算表,副本难度推算!$H$3,FALSE)</f>
        <v>8060.3204632222223</v>
      </c>
      <c r="M30" s="138">
        <f>VLOOKUP($C30,难度推算表,副本难度推算!$G$3,FALSE)-VLOOKUP($C30,难度推算表,副本难度推算!$I$3,FALSE)*(2-副本难度推算!$AA$7)*(2-$S30)</f>
        <v>2978.7525771973255</v>
      </c>
      <c r="N30" s="136">
        <f>VLOOKUP($C30,难度推算表,副本难度推算!$Q$3,FALSE)</f>
        <v>2961.86</v>
      </c>
      <c r="O30" s="136">
        <f>VLOOKUP($C30,难度推算表,副本难度推算!$R$3,FALSE)</f>
        <v>0</v>
      </c>
      <c r="P30" s="139"/>
      <c r="Q30" s="140">
        <f t="shared" si="2"/>
        <v>1.0625</v>
      </c>
      <c r="R30" s="140">
        <f t="shared" si="3"/>
        <v>1.2749999999999999</v>
      </c>
      <c r="S30" s="140">
        <f t="shared" si="4"/>
        <v>1.02</v>
      </c>
      <c r="U30" s="141">
        <v>45</v>
      </c>
      <c r="V30" s="140">
        <v>0.85</v>
      </c>
      <c r="W30" s="140">
        <v>0.85</v>
      </c>
      <c r="X30" s="140">
        <v>0.85</v>
      </c>
    </row>
    <row r="31" spans="1:24" s="141" customFormat="1">
      <c r="A31" s="136" t="str">
        <f t="shared" si="0"/>
        <v>挑战BOSS</v>
      </c>
      <c r="B31" s="136" t="str">
        <f>怪物并表!$R$14</f>
        <v>英雄之路</v>
      </c>
      <c r="C31" s="136">
        <v>46</v>
      </c>
      <c r="D31" s="137">
        <f t="shared" si="1"/>
        <v>1901</v>
      </c>
      <c r="E31" s="138">
        <f>VLOOKUP($C31,难度推算表,副本难度推算!$M$3,FALSE)*副本难度推算!$Y$5*Q31</f>
        <v>122013.50689178212</v>
      </c>
      <c r="F31" s="138">
        <f>VLOOKUP($C31,难度推算表,副本难度推算!$P$3,FALSE)*副本难度推算!$Z$5*$R31+VLOOKUP($C31,难度推算表,副本难度推算!$H$3,FALSE)</f>
        <v>7721.3099055536904</v>
      </c>
      <c r="G31" s="138">
        <f>VLOOKUP($C31,难度推算表,副本难度推算!$G$3,FALSE)-VLOOKUP($C31,难度推算表,副本难度推算!$I$3,FALSE)*(2-副本难度推算!$AA$5)*(2-$S31)</f>
        <v>2539.6377829115731</v>
      </c>
      <c r="H31" s="138">
        <f>VLOOKUP($C31,难度推算表,副本难度推算!$M$3,FALSE)*副本难度推算!$Y$6*Q31</f>
        <v>97610.805513425701</v>
      </c>
      <c r="I31" s="138">
        <f>VLOOKUP($C31,难度推算表,副本难度推算!$P$3,FALSE)*副本难度推算!$Z$6*$R31+VLOOKUP($C31,难度推算表,副本难度推算!$H$3,FALSE)</f>
        <v>7200.6282004351106</v>
      </c>
      <c r="J31" s="138">
        <f>VLOOKUP($C31,难度推算表,副本难度推算!$G$3,FALSE)-VLOOKUP($C31,难度推算表,副本难度推算!$I$3,FALSE)*(2-副本难度推算!$AA$6)*(2-$S31)</f>
        <v>1916.043555028336</v>
      </c>
      <c r="K31" s="138">
        <f>VLOOKUP($C31,难度推算表,副本难度推算!$M$3,FALSE)*副本难度推算!$Y$7*Q31</f>
        <v>305033.76722945529</v>
      </c>
      <c r="L31" s="138">
        <f>VLOOKUP($C31,难度推算表,副本难度推算!$P$3,FALSE)*副本难度推算!$Z$7*$R31+VLOOKUP($C31,难度推算表,副本难度推算!$H$3,FALSE)</f>
        <v>8762.6733157908493</v>
      </c>
      <c r="M31" s="138">
        <f>VLOOKUP($C31,难度推算表,副本难度推算!$G$3,FALSE)-VLOOKUP($C31,难度推算表,副本难度推算!$I$3,FALSE)*(2-副本难度推算!$AA$7)*(2-$S31)</f>
        <v>3163.2320107948108</v>
      </c>
      <c r="N31" s="136">
        <f>VLOOKUP($C31,难度推算表,副本难度推算!$Q$3,FALSE)</f>
        <v>3020.0879999999997</v>
      </c>
      <c r="O31" s="136">
        <f>VLOOKUP($C31,难度推算表,副本难度推算!$R$3,FALSE)</f>
        <v>0</v>
      </c>
      <c r="P31" s="139"/>
      <c r="Q31" s="140">
        <f t="shared" si="2"/>
        <v>1.05</v>
      </c>
      <c r="R31" s="140">
        <f t="shared" si="3"/>
        <v>1.26</v>
      </c>
      <c r="S31" s="140">
        <f t="shared" si="4"/>
        <v>1.008</v>
      </c>
      <c r="U31" s="141">
        <v>46</v>
      </c>
      <c r="V31" s="140">
        <v>0.84</v>
      </c>
      <c r="W31" s="140">
        <v>0.84</v>
      </c>
      <c r="X31" s="140">
        <v>0.84</v>
      </c>
    </row>
    <row r="32" spans="1:24" s="141" customFormat="1">
      <c r="A32" s="136" t="str">
        <f t="shared" si="0"/>
        <v>挑战BOSS</v>
      </c>
      <c r="B32" s="136" t="str">
        <f>怪物并表!$R$14</f>
        <v>英雄之路</v>
      </c>
      <c r="C32" s="136">
        <v>47</v>
      </c>
      <c r="D32" s="137">
        <f t="shared" si="1"/>
        <v>1901</v>
      </c>
      <c r="E32" s="138">
        <f>VLOOKUP($C32,难度推算表,副本难度推算!$M$3,FALSE)*副本难度推算!$Y$5*Q32</f>
        <v>130644.34987777639</v>
      </c>
      <c r="F32" s="138">
        <f>VLOOKUP($C32,难度推算表,副本难度推算!$P$3,FALSE)*副本难度推算!$Z$5*$R32+VLOOKUP($C32,难度推算表,副本难度推算!$H$3,FALSE)</f>
        <v>8370.3275587251483</v>
      </c>
      <c r="G32" s="138">
        <f>VLOOKUP($C32,难度推算表,副本难度推算!$G$3,FALSE)-VLOOKUP($C32,难度推算表,副本难度推算!$I$3,FALSE)*(2-副本难度推算!$AA$5)*(2-$S32)</f>
        <v>2677.3734472247502</v>
      </c>
      <c r="H32" s="138">
        <f>VLOOKUP($C32,难度推算表,副本难度推算!$M$3,FALSE)*副本难度推算!$Y$6*Q32</f>
        <v>104515.47990222112</v>
      </c>
      <c r="I32" s="138">
        <f>VLOOKUP($C32,难度推算表,副本难度推算!$P$3,FALSE)*副本难度推算!$Z$6*$R32+VLOOKUP($C32,难度推算表,副本难度推算!$H$3,FALSE)</f>
        <v>7802.3775613676826</v>
      </c>
      <c r="J32" s="138">
        <f>VLOOKUP($C32,难度推算表,副本难度推算!$G$3,FALSE)-VLOOKUP($C32,难度推算表,副本难度推算!$I$3,FALSE)*(2-副本难度推算!$AA$6)*(2-$S32)</f>
        <v>2001.9757233519745</v>
      </c>
      <c r="K32" s="138">
        <f>VLOOKUP($C32,难度推算表,副本难度推算!$M$3,FALSE)*副本难度推算!$Y$7*Q32</f>
        <v>326610.87469444104</v>
      </c>
      <c r="L32" s="138">
        <f>VLOOKUP($C32,难度推算表,副本难度推算!$P$3,FALSE)*副本难度推算!$Z$7*$R32+VLOOKUP($C32,难度推算表,副本难度推算!$H$3,FALSE)</f>
        <v>9506.227553440076</v>
      </c>
      <c r="M32" s="138">
        <f>VLOOKUP($C32,难度推算表,副本难度推算!$G$3,FALSE)-VLOOKUP($C32,难度推算表,副本难度推算!$I$3,FALSE)*(2-副本难度推算!$AA$7)*(2-$S32)</f>
        <v>3352.7711710975259</v>
      </c>
      <c r="N32" s="136">
        <f>VLOOKUP($C32,难度推算表,副本难度推算!$Q$3,FALSE)</f>
        <v>3078.3160000000003</v>
      </c>
      <c r="O32" s="136">
        <f>VLOOKUP($C32,难度推算表,副本难度推算!$R$3,FALSE)</f>
        <v>0</v>
      </c>
      <c r="P32" s="139"/>
      <c r="Q32" s="140">
        <f t="shared" si="2"/>
        <v>1.0374999999999999</v>
      </c>
      <c r="R32" s="140">
        <f t="shared" si="3"/>
        <v>1.2449999999999999</v>
      </c>
      <c r="S32" s="140">
        <f t="shared" si="4"/>
        <v>0.99599999999999989</v>
      </c>
      <c r="U32" s="141">
        <v>47</v>
      </c>
      <c r="V32" s="140">
        <v>0.83</v>
      </c>
      <c r="W32" s="140">
        <v>0.83</v>
      </c>
      <c r="X32" s="140">
        <v>0.83</v>
      </c>
    </row>
    <row r="33" spans="1:24" s="141" customFormat="1">
      <c r="A33" s="136" t="str">
        <f t="shared" si="0"/>
        <v>挑战BOSS</v>
      </c>
      <c r="B33" s="136" t="str">
        <f>怪物并表!$R$14</f>
        <v>英雄之路</v>
      </c>
      <c r="C33" s="136">
        <v>48</v>
      </c>
      <c r="D33" s="137">
        <f t="shared" si="1"/>
        <v>1901</v>
      </c>
      <c r="E33" s="138">
        <f>VLOOKUP($C33,难度推算表,副本难度推算!$M$3,FALSE)*副本难度推算!$Y$5*Q33</f>
        <v>139599.9968079417</v>
      </c>
      <c r="F33" s="138">
        <f>VLOOKUP($C33,难度推算表,副本难度推算!$P$3,FALSE)*副本难度推算!$Z$5*$R33+VLOOKUP($C33,难度推算表,副本难度推算!$H$3,FALSE)</f>
        <v>9055.9813562415275</v>
      </c>
      <c r="G33" s="138">
        <f>VLOOKUP($C33,难度推算表,副本难度推算!$G$3,FALSE)-VLOOKUP($C33,难度推算表,副本难度推算!$I$3,FALSE)*(2-副本难度推算!$AA$5)*(2-$S33)</f>
        <v>2817.1197068243491</v>
      </c>
      <c r="H33" s="138">
        <f>VLOOKUP($C33,难度推算表,副本难度推算!$M$3,FALSE)*副本难度推算!$Y$6*Q33</f>
        <v>111679.99744635337</v>
      </c>
      <c r="I33" s="138">
        <f>VLOOKUP($C33,难度推算表,副本难度推算!$P$3,FALSE)*副本难度推算!$Z$6*$R33+VLOOKUP($C33,难度推算表,副本难度推算!$H$3,FALSE)</f>
        <v>8437.8444151912881</v>
      </c>
      <c r="J33" s="138">
        <f>VLOOKUP($C33,难度推算表,副本难度推算!$G$3,FALSE)-VLOOKUP($C33,难度推算表,副本难度推算!$I$3,FALSE)*(2-副本难度推算!$AA$6)*(2-$S33)</f>
        <v>2086.9682726066103</v>
      </c>
      <c r="K33" s="138">
        <f>VLOOKUP($C33,难度推算表,副本难度推算!$M$3,FALSE)*副本难度推算!$Y$7*Q33</f>
        <v>348999.99201985425</v>
      </c>
      <c r="L33" s="138">
        <f>VLOOKUP($C33,难度推算表,副本难度推算!$P$3,FALSE)*副本难度推算!$Z$7*$R33+VLOOKUP($C33,难度推算表,副本难度推算!$H$3,FALSE)</f>
        <v>10292.255238342006</v>
      </c>
      <c r="M33" s="138">
        <f>VLOOKUP($C33,难度推算表,副本难度推算!$G$3,FALSE)-VLOOKUP($C33,难度推算表,副本难度推算!$I$3,FALSE)*(2-副本难度推算!$AA$7)*(2-$S33)</f>
        <v>3547.2711410420884</v>
      </c>
      <c r="N33" s="136">
        <f>VLOOKUP($C33,难度推算表,副本难度推算!$Q$3,FALSE)</f>
        <v>3136.5439999999999</v>
      </c>
      <c r="O33" s="136">
        <f>VLOOKUP($C33,难度推算表,副本难度推算!$R$3,FALSE)</f>
        <v>0</v>
      </c>
      <c r="P33" s="139"/>
      <c r="Q33" s="140">
        <f t="shared" si="2"/>
        <v>1.0249999999999999</v>
      </c>
      <c r="R33" s="140">
        <f t="shared" si="3"/>
        <v>1.23</v>
      </c>
      <c r="S33" s="140">
        <f t="shared" si="4"/>
        <v>0.98399999999999987</v>
      </c>
      <c r="U33" s="141">
        <v>48</v>
      </c>
      <c r="V33" s="140">
        <v>0.82</v>
      </c>
      <c r="W33" s="140">
        <v>0.82</v>
      </c>
      <c r="X33" s="140">
        <v>0.82</v>
      </c>
    </row>
    <row r="34" spans="1:24" s="141" customFormat="1">
      <c r="A34" s="136" t="str">
        <f t="shared" si="0"/>
        <v>挑战BOSS</v>
      </c>
      <c r="B34" s="136" t="str">
        <f>怪物并表!$R$14</f>
        <v>英雄之路</v>
      </c>
      <c r="C34" s="136">
        <v>49</v>
      </c>
      <c r="D34" s="137">
        <f t="shared" si="1"/>
        <v>1901</v>
      </c>
      <c r="E34" s="138">
        <f>VLOOKUP($C34,难度推算表,副本难度推算!$M$3,FALSE)*副本难度推算!$Y$5*Q34</f>
        <v>148878.56804378296</v>
      </c>
      <c r="F34" s="138">
        <f>VLOOKUP($C34,难度推算表,副本难度推算!$P$3,FALSE)*副本难度推算!$Z$5*$R34+VLOOKUP($C34,难度推算表,副本难度推算!$H$3,FALSE)</f>
        <v>9779.3463226069507</v>
      </c>
      <c r="G34" s="138">
        <f>VLOOKUP($C34,难度推算表,副本难度推算!$G$3,FALSE)-VLOOKUP($C34,难度推算表,副本难度推算!$I$3,FALSE)*(2-副本难度推算!$AA$5)*(2-$S34)</f>
        <v>2958.6699466157875</v>
      </c>
      <c r="H34" s="138">
        <f>VLOOKUP($C34,难度推算表,副本难度推算!$M$3,FALSE)*副本难度推算!$Y$6*Q34</f>
        <v>119102.85443502637</v>
      </c>
      <c r="I34" s="138">
        <f>VLOOKUP($C34,难度推算表,副本难度推算!$P$3,FALSE)*副本难度推算!$Z$6*$R34+VLOOKUP($C34,难度推算表,副本难度推算!$H$3,FALSE)</f>
        <v>9108.009612275353</v>
      </c>
      <c r="J34" s="138">
        <f>VLOOKUP($C34,难度推算表,副本难度推算!$G$3,FALSE)-VLOOKUP($C34,难度推算表,副本难度推算!$I$3,FALSE)*(2-副本难度推算!$AA$6)*(2-$S34)</f>
        <v>2170.7132872580087</v>
      </c>
      <c r="K34" s="138">
        <f>VLOOKUP($C34,难度推算表,副本难度推算!$M$3,FALSE)*副本难度推算!$Y$7*Q34</f>
        <v>372196.42010945739</v>
      </c>
      <c r="L34" s="138">
        <f>VLOOKUP($C34,难度推算表,副本难度推算!$P$3,FALSE)*副本难度推算!$Z$7*$R34+VLOOKUP($C34,难度推算表,副本难度推算!$H$3,FALSE)</f>
        <v>11122.019743270148</v>
      </c>
      <c r="M34" s="138">
        <f>VLOOKUP($C34,难度推算表,副本难度推算!$G$3,FALSE)-VLOOKUP($C34,难度推算表,副本难度推算!$I$3,FALSE)*(2-副本难度推算!$AA$7)*(2-$S34)</f>
        <v>3746.6266059735672</v>
      </c>
      <c r="N34" s="136">
        <f>VLOOKUP($C34,难度推算表,副本难度推算!$Q$3,FALSE)</f>
        <v>3194.7719999999999</v>
      </c>
      <c r="O34" s="136">
        <f>VLOOKUP($C34,难度推算表,副本难度推算!$R$3,FALSE)</f>
        <v>0</v>
      </c>
      <c r="P34" s="139"/>
      <c r="Q34" s="140">
        <f t="shared" si="2"/>
        <v>1.0125000000000002</v>
      </c>
      <c r="R34" s="140">
        <f t="shared" si="3"/>
        <v>1.2150000000000001</v>
      </c>
      <c r="S34" s="140">
        <f t="shared" si="4"/>
        <v>0.97199999999999998</v>
      </c>
      <c r="U34" s="141">
        <v>49</v>
      </c>
      <c r="V34" s="140">
        <v>0.81</v>
      </c>
      <c r="W34" s="140">
        <v>0.81</v>
      </c>
      <c r="X34" s="140">
        <v>0.81</v>
      </c>
    </row>
    <row r="35" spans="1:24" s="141" customFormat="1">
      <c r="A35" s="136" t="str">
        <f t="shared" si="0"/>
        <v>挑战BOSS</v>
      </c>
      <c r="B35" s="136" t="str">
        <f>怪物并表!$R$14</f>
        <v>英雄之路</v>
      </c>
      <c r="C35" s="136">
        <v>50</v>
      </c>
      <c r="D35" s="137">
        <f t="shared" si="1"/>
        <v>1901</v>
      </c>
      <c r="E35" s="138">
        <f>VLOOKUP($C35,难度推算表,副本难度推算!$M$3,FALSE)*副本难度推算!$Y$5*Q35</f>
        <v>159520.13717059622</v>
      </c>
      <c r="F35" s="138">
        <f>VLOOKUP($C35,难度推算表,副本难度推算!$P$3,FALSE)*副本难度推算!$Z$5*$R35+VLOOKUP($C35,难度推算表,副本难度推算!$H$3,FALSE)</f>
        <v>10610.84000554229</v>
      </c>
      <c r="G35" s="138">
        <f>VLOOKUP($C35,难度推算表,副本难度推算!$G$3,FALSE)-VLOOKUP($C35,难度推算表,副本难度推算!$I$3,FALSE)*(2-副本难度推算!$AA$5)*(2-$S35)</f>
        <v>3122.216196321071</v>
      </c>
      <c r="H35" s="138">
        <f>VLOOKUP($C35,难度推算表,副本难度推算!$M$3,FALSE)*副本难度推算!$Y$6*Q35</f>
        <v>127616.10973647698</v>
      </c>
      <c r="I35" s="138">
        <f>VLOOKUP($C35,难度推算表,副本难度推算!$P$3,FALSE)*副本难度推算!$Z$6*$R35+VLOOKUP($C35,难度推算表,副本难度推算!$H$3,FALSE)</f>
        <v>9878.4103414429101</v>
      </c>
      <c r="J35" s="138">
        <f>VLOOKUP($C35,难度推算表,副本难度推算!$G$3,FALSE)-VLOOKUP($C35,难度推算表,副本难度推算!$I$3,FALSE)*(2-副本难度推算!$AA$6)*(2-$S35)</f>
        <v>2267.7149215384625</v>
      </c>
      <c r="K35" s="138">
        <f>VLOOKUP($C35,难度推算表,副本难度推算!$M$3,FALSE)*副本难度推算!$Y$7*Q35</f>
        <v>398800.34292649059</v>
      </c>
      <c r="L35" s="138">
        <f>VLOOKUP($C35,难度推算表,副本难度推算!$P$3,FALSE)*副本难度推算!$Z$7*$R35+VLOOKUP($C35,难度推算表,副本难度推算!$H$3,FALSE)</f>
        <v>12075.699333741049</v>
      </c>
      <c r="M35" s="138">
        <f>VLOOKUP($C35,难度推算表,副本难度推算!$G$3,FALSE)-VLOOKUP($C35,难度推算表,副本难度推算!$I$3,FALSE)*(2-副本难度推算!$AA$7)*(2-$S35)</f>
        <v>3976.7174711036801</v>
      </c>
      <c r="N35" s="136">
        <f>VLOOKUP($C35,难度推算表,副本难度推算!$Q$3,FALSE)</f>
        <v>3253</v>
      </c>
      <c r="O35" s="136">
        <f>VLOOKUP($C35,难度推算表,副本难度推算!$R$3,FALSE)</f>
        <v>0</v>
      </c>
      <c r="P35" s="139"/>
      <c r="Q35" s="140">
        <f t="shared" si="2"/>
        <v>1</v>
      </c>
      <c r="R35" s="140">
        <f t="shared" si="3"/>
        <v>1.2000000000000002</v>
      </c>
      <c r="S35" s="140">
        <f t="shared" si="4"/>
        <v>0.96</v>
      </c>
      <c r="U35" s="141">
        <v>50</v>
      </c>
      <c r="V35" s="140">
        <v>0.8</v>
      </c>
      <c r="W35" s="140">
        <v>0.8</v>
      </c>
      <c r="X35" s="140">
        <v>0.8</v>
      </c>
    </row>
    <row r="36" spans="1:24" s="141" customFormat="1">
      <c r="A36" s="136" t="str">
        <f t="shared" si="0"/>
        <v>挑战BOSS</v>
      </c>
      <c r="B36" s="136" t="str">
        <f>怪物并表!$R$14</f>
        <v>英雄之路</v>
      </c>
      <c r="C36" s="136">
        <v>51</v>
      </c>
      <c r="D36" s="137">
        <f t="shared" si="1"/>
        <v>1901</v>
      </c>
      <c r="E36" s="138">
        <f>VLOOKUP($C36,难度推算表,副本难度推算!$M$3,FALSE)*副本难度推算!$Y$5*Q36</f>
        <v>169633.39780854934</v>
      </c>
      <c r="F36" s="138">
        <f>VLOOKUP($C36,难度推算表,副本难度推算!$P$3,FALSE)*副本难度推算!$Z$5*$R36+VLOOKUP($C36,难度推算表,副本难度推算!$H$3,FALSE)</f>
        <v>11589.805960596219</v>
      </c>
      <c r="G36" s="138">
        <f>VLOOKUP($C36,难度推算表,副本难度推算!$G$3,FALSE)-VLOOKUP($C36,难度推算表,副本难度推算!$I$3,FALSE)*(2-副本难度推算!$AA$5)*(2-$S36)</f>
        <v>3343.8165047154525</v>
      </c>
      <c r="H36" s="138">
        <f>VLOOKUP($C36,难度推算表,副本难度推算!$M$3,FALSE)*副本难度推算!$Y$6*Q36</f>
        <v>135706.71824683947</v>
      </c>
      <c r="I36" s="138">
        <f>VLOOKUP($C36,难度推算表,副本难度推算!$P$3,FALSE)*副本难度推算!$Z$6*$R36+VLOOKUP($C36,难度推算表,副本难度推算!$H$3,FALSE)</f>
        <v>10782.476204786763</v>
      </c>
      <c r="J36" s="138">
        <f>VLOOKUP($C36,难度推算表,副本难度推算!$G$3,FALSE)-VLOOKUP($C36,难度推算表,副本难度推算!$I$3,FALSE)*(2-副本难度推算!$AA$6)*(2-$S36)</f>
        <v>2445.8186362271044</v>
      </c>
      <c r="K36" s="138">
        <f>VLOOKUP($C36,难度推算表,副本难度推算!$M$3,FALSE)*副本难度推算!$Y$7*Q36</f>
        <v>424083.49452137336</v>
      </c>
      <c r="L36" s="138">
        <f>VLOOKUP($C36,难度推算表,副本难度推算!$P$3,FALSE)*副本难度推算!$Z$7*$R36+VLOOKUP($C36,难度推算表,副本难度推算!$H$3,FALSE)</f>
        <v>13204.465472215126</v>
      </c>
      <c r="M36" s="138">
        <f>VLOOKUP($C36,难度推算表,副本难度推算!$G$3,FALSE)-VLOOKUP($C36,难度推算表,副本难度推算!$I$3,FALSE)*(2-副本难度推算!$AA$7)*(2-$S36)</f>
        <v>4241.8143732038006</v>
      </c>
      <c r="N36" s="136">
        <f>VLOOKUP($C36,难度推算表,副本难度推算!$Q$3,FALSE)</f>
        <v>3311.2280000000001</v>
      </c>
      <c r="O36" s="136">
        <f>VLOOKUP($C36,难度推算表,副本难度推算!$R$3,FALSE)</f>
        <v>0</v>
      </c>
      <c r="P36" s="139"/>
      <c r="Q36" s="140">
        <f t="shared" si="2"/>
        <v>1</v>
      </c>
      <c r="R36" s="140">
        <f t="shared" si="3"/>
        <v>1.2000000000000002</v>
      </c>
      <c r="S36" s="140">
        <f t="shared" si="4"/>
        <v>0.96</v>
      </c>
      <c r="U36" s="141">
        <v>51</v>
      </c>
      <c r="V36" s="140">
        <v>0.8</v>
      </c>
      <c r="W36" s="140">
        <v>0.8</v>
      </c>
      <c r="X36" s="140">
        <v>0.8</v>
      </c>
    </row>
    <row r="37" spans="1:24" s="141" customFormat="1">
      <c r="A37" s="136" t="str">
        <f t="shared" si="0"/>
        <v>挑战BOSS</v>
      </c>
      <c r="B37" s="136" t="str">
        <f>怪物并表!$R$14</f>
        <v>英雄之路</v>
      </c>
      <c r="C37" s="136">
        <v>52</v>
      </c>
      <c r="D37" s="137">
        <f t="shared" si="1"/>
        <v>1901</v>
      </c>
      <c r="E37" s="138">
        <f>VLOOKUP($C37,难度推算表,副本难度推算!$M$3,FALSE)*副本难度推算!$Y$5*Q37</f>
        <v>186638.13280369047</v>
      </c>
      <c r="F37" s="138">
        <f>VLOOKUP($C37,难度推算表,副本难度推算!$P$3,FALSE)*副本难度推算!$Z$5*$R37+VLOOKUP($C37,难度推算表,副本难度推算!$H$3,FALSE)</f>
        <v>12636.816935257066</v>
      </c>
      <c r="G37" s="138">
        <f>VLOOKUP($C37,难度推算表,副本难度推算!$G$3,FALSE)-VLOOKUP($C37,难度推算表,副本难度推算!$I$3,FALSE)*(2-副本难度推算!$AA$5)*(2-$S37)</f>
        <v>3568.2388902421417</v>
      </c>
      <c r="H37" s="138">
        <f>VLOOKUP($C37,难度推算表,副本难度推算!$M$3,FALSE)*副本难度推算!$Y$6*Q37</f>
        <v>149310.5062429524</v>
      </c>
      <c r="I37" s="138">
        <f>VLOOKUP($C37,难度推算表,副本难度推算!$P$3,FALSE)*副本难度推算!$Z$6*$R37+VLOOKUP($C37,难度推算表,副本难度推算!$H$3,FALSE)</f>
        <v>11748.739335441056</v>
      </c>
      <c r="J37" s="138">
        <f>VLOOKUP($C37,难度推算表,副本难度推算!$G$3,FALSE)-VLOOKUP($C37,难度推算表,副本难度推算!$I$3,FALSE)*(2-副本难度推算!$AA$6)*(2-$S37)</f>
        <v>2591.6682465969234</v>
      </c>
      <c r="K37" s="138">
        <f>VLOOKUP($C37,难度推算表,副本难度推算!$M$3,FALSE)*副本难度推算!$Y$7*Q37</f>
        <v>466595.3320092262</v>
      </c>
      <c r="L37" s="138">
        <f>VLOOKUP($C37,难度推算表,副本难度推算!$P$3,FALSE)*副本难度推算!$Z$7*$R37+VLOOKUP($C37,难度推算表,副本难度推算!$H$3,FALSE)</f>
        <v>14412.972134889078</v>
      </c>
      <c r="M37" s="138">
        <f>VLOOKUP($C37,难度推算表,副本难度推算!$G$3,FALSE)-VLOOKUP($C37,难度推算表,副本难度推算!$I$3,FALSE)*(2-副本难度推算!$AA$7)*(2-$S37)</f>
        <v>4544.8095338873591</v>
      </c>
      <c r="N37" s="136">
        <f>VLOOKUP($C37,难度推算表,副本难度推算!$Q$3,FALSE)</f>
        <v>3369.4560000000001</v>
      </c>
      <c r="O37" s="136">
        <f>VLOOKUP($C37,难度推算表,副本难度推算!$R$3,FALSE)</f>
        <v>0</v>
      </c>
      <c r="P37" s="139"/>
      <c r="Q37" s="140">
        <f t="shared" si="2"/>
        <v>1</v>
      </c>
      <c r="R37" s="140">
        <f t="shared" si="3"/>
        <v>1.2000000000000002</v>
      </c>
      <c r="S37" s="140">
        <f t="shared" si="4"/>
        <v>0.96</v>
      </c>
      <c r="U37" s="141">
        <v>52</v>
      </c>
      <c r="V37" s="140">
        <v>0.8</v>
      </c>
      <c r="W37" s="140">
        <v>0.8</v>
      </c>
      <c r="X37" s="140">
        <v>0.8</v>
      </c>
    </row>
    <row r="38" spans="1:24" s="141" customFormat="1">
      <c r="A38" s="136" t="str">
        <f t="shared" si="0"/>
        <v>挑战BOSS</v>
      </c>
      <c r="B38" s="136" t="str">
        <f>怪物并表!$R$14</f>
        <v>英雄之路</v>
      </c>
      <c r="C38" s="136">
        <v>53</v>
      </c>
      <c r="D38" s="137">
        <f t="shared" si="1"/>
        <v>1901</v>
      </c>
      <c r="E38" s="138">
        <f>VLOOKUP($C38,难度推算表,副本难度推算!$M$3,FALSE)*副本难度推算!$Y$5*Q38</f>
        <v>201324.31814386719</v>
      </c>
      <c r="F38" s="138">
        <f>VLOOKUP($C38,难度推算表,副本难度推算!$P$3,FALSE)*副本难度推算!$Z$5*$R38+VLOOKUP($C38,难度推算表,副本难度推算!$H$3,FALSE)</f>
        <v>13755.479807578602</v>
      </c>
      <c r="G38" s="138">
        <f>VLOOKUP($C38,难度推算表,副本难度推算!$G$3,FALSE)-VLOOKUP($C38,难度推算表,副本难度推算!$I$3,FALSE)*(2-副本难度推算!$AA$5)*(2-$S38)</f>
        <v>3805.0421936668909</v>
      </c>
      <c r="H38" s="138">
        <f>VLOOKUP($C38,难度推算表,副本难度推算!$M$3,FALSE)*副本难度推算!$Y$6*Q38</f>
        <v>161059.45451509376</v>
      </c>
      <c r="I38" s="138">
        <f>VLOOKUP($C38,难度推算表,副本难度推算!$P$3,FALSE)*副本难度推算!$Z$6*$R38+VLOOKUP($C38,难度推算表,副本难度推算!$H$3,FALSE)</f>
        <v>12780.462584048837</v>
      </c>
      <c r="J38" s="138">
        <f>VLOOKUP($C38,难度推算表,副本难度推算!$G$3,FALSE)-VLOOKUP($C38,难度推算表,副本难度推算!$I$3,FALSE)*(2-副本难度推算!$AA$6)*(2-$S38)</f>
        <v>2763.6622248738477</v>
      </c>
      <c r="K38" s="138">
        <f>VLOOKUP($C38,难度推算表,副本难度推算!$M$3,FALSE)*副本难度推算!$Y$7*Q38</f>
        <v>503310.79535966797</v>
      </c>
      <c r="L38" s="138">
        <f>VLOOKUP($C38,难度推算表,副本难度推算!$P$3,FALSE)*副本难度推算!$Z$7*$R38+VLOOKUP($C38,难度推算表,副本难度推算!$H$3,FALSE)</f>
        <v>15705.514254638132</v>
      </c>
      <c r="M38" s="138">
        <f>VLOOKUP($C38,难度推算表,副本难度推算!$G$3,FALSE)-VLOOKUP($C38,难度推算表,副本难度推算!$I$3,FALSE)*(2-副本难度推算!$AA$7)*(2-$S38)</f>
        <v>4846.422162459935</v>
      </c>
      <c r="N38" s="136">
        <f>VLOOKUP($C38,难度推算表,副本难度推算!$Q$3,FALSE)</f>
        <v>3427.6839999999997</v>
      </c>
      <c r="O38" s="136">
        <f>VLOOKUP($C38,难度推算表,副本难度推算!$R$3,FALSE)</f>
        <v>0</v>
      </c>
      <c r="P38" s="139"/>
      <c r="Q38" s="140">
        <f t="shared" si="2"/>
        <v>1</v>
      </c>
      <c r="R38" s="140">
        <f t="shared" si="3"/>
        <v>1.2000000000000002</v>
      </c>
      <c r="S38" s="140">
        <f t="shared" si="4"/>
        <v>0.96</v>
      </c>
      <c r="U38" s="141">
        <v>53</v>
      </c>
      <c r="V38" s="140">
        <v>0.8</v>
      </c>
      <c r="W38" s="140">
        <v>0.8</v>
      </c>
      <c r="X38" s="140">
        <v>0.8</v>
      </c>
    </row>
    <row r="39" spans="1:24" s="141" customFormat="1">
      <c r="A39" s="136" t="str">
        <f t="shared" si="0"/>
        <v>挑战BOSS</v>
      </c>
      <c r="B39" s="136" t="str">
        <f>怪物并表!$R$14</f>
        <v>英雄之路</v>
      </c>
      <c r="C39" s="136">
        <v>54</v>
      </c>
      <c r="D39" s="137">
        <f t="shared" si="1"/>
        <v>1901</v>
      </c>
      <c r="E39" s="138">
        <f>VLOOKUP($C39,难度推算表,副本难度推算!$M$3,FALSE)*副本难度推算!$Y$5*Q39</f>
        <v>216794.36946781015</v>
      </c>
      <c r="F39" s="138">
        <f>VLOOKUP($C39,难度推算表,副本难度推算!$P$3,FALSE)*副本难度推算!$Z$5*$R39+VLOOKUP($C39,难度推算表,副本难度推算!$H$3,FALSE)</f>
        <v>14949.561303221672</v>
      </c>
      <c r="G39" s="138">
        <f>VLOOKUP($C39,难度推算表,副本难度推算!$G$3,FALSE)-VLOOKUP($C39,难度推算表,副本难度推算!$I$3,FALSE)*(2-副本难度推算!$AA$5)*(2-$S39)</f>
        <v>4051.2511664000012</v>
      </c>
      <c r="H39" s="138">
        <f>VLOOKUP($C39,难度推算表,副本难度推算!$M$3,FALSE)*副本难度推算!$Y$6*Q39</f>
        <v>173435.49557424814</v>
      </c>
      <c r="I39" s="138">
        <f>VLOOKUP($C39,难度推算表,副本难度推算!$P$3,FALSE)*副本难度推算!$Z$6*$R39+VLOOKUP($C39,难度推算表,副本难度推算!$H$3,FALSE)</f>
        <v>13881.052664099507</v>
      </c>
      <c r="J39" s="138">
        <f>VLOOKUP($C39,难度推算表,副本难度推算!$G$3,FALSE)-VLOOKUP($C39,难度推算表,副本难度推算!$I$3,FALSE)*(2-副本难度推算!$AA$6)*(2-$S39)</f>
        <v>2942.4876892800012</v>
      </c>
      <c r="K39" s="138">
        <f>VLOOKUP($C39,难度推算表,副本难度推算!$M$3,FALSE)*副本难度推算!$Y$7*Q39</f>
        <v>541985.92366952542</v>
      </c>
      <c r="L39" s="138">
        <f>VLOOKUP($C39,难度推算表,副本难度推算!$P$3,FALSE)*副本难度推算!$Z$7*$R39+VLOOKUP($C39,难度推算表,副本难度推算!$H$3,FALSE)</f>
        <v>17086.578581466005</v>
      </c>
      <c r="M39" s="138">
        <f>VLOOKUP($C39,难度推算表,副本难度推算!$G$3,FALSE)-VLOOKUP($C39,难度推算表,副本难度推算!$I$3,FALSE)*(2-副本难度推算!$AA$7)*(2-$S39)</f>
        <v>5160.0146435200013</v>
      </c>
      <c r="N39" s="136">
        <f>VLOOKUP($C39,难度推算表,副本难度推算!$Q$3,FALSE)</f>
        <v>3485.9119999999998</v>
      </c>
      <c r="O39" s="136">
        <f>VLOOKUP($C39,难度推算表,副本难度推算!$R$3,FALSE)</f>
        <v>0</v>
      </c>
      <c r="P39" s="139"/>
      <c r="Q39" s="140">
        <f t="shared" si="2"/>
        <v>1</v>
      </c>
      <c r="R39" s="140">
        <f t="shared" si="3"/>
        <v>1.2000000000000002</v>
      </c>
      <c r="S39" s="140">
        <f t="shared" si="4"/>
        <v>0.96</v>
      </c>
      <c r="U39" s="141">
        <v>54</v>
      </c>
      <c r="V39" s="140">
        <v>0.8</v>
      </c>
      <c r="W39" s="140">
        <v>0.8</v>
      </c>
      <c r="X39" s="140">
        <v>0.8</v>
      </c>
    </row>
    <row r="40" spans="1:24" s="141" customFormat="1">
      <c r="A40" s="136" t="str">
        <f t="shared" si="0"/>
        <v>挑战BOSS</v>
      </c>
      <c r="B40" s="136" t="str">
        <f>怪物并表!$R$14</f>
        <v>英雄之路</v>
      </c>
      <c r="C40" s="136">
        <v>55</v>
      </c>
      <c r="D40" s="137">
        <f t="shared" si="1"/>
        <v>1901</v>
      </c>
      <c r="E40" s="138">
        <f>VLOOKUP($C40,难度推算表,副本难度推算!$M$3,FALSE)*副本难度推算!$Y$5*Q40</f>
        <v>233073.01513015016</v>
      </c>
      <c r="F40" s="138">
        <f>VLOOKUP($C40,难度推算表,副本难度推算!$P$3,FALSE)*副本难度推算!$Z$5*$R40+VLOOKUP($C40,难度推算表,副本难度推算!$H$3,FALSE)</f>
        <v>16222.995152809741</v>
      </c>
      <c r="G40" s="138">
        <f>VLOOKUP($C40,难度推算表,副本难度推算!$G$3,FALSE)-VLOOKUP($C40,难度推算表,副本难度推算!$I$3,FALSE)*(2-副本难度推算!$AA$5)*(2-$S40)</f>
        <v>4307.0240821906355</v>
      </c>
      <c r="H40" s="138">
        <f>VLOOKUP($C40,难度推算表,副本难度推算!$M$3,FALSE)*副本难度推算!$Y$6*Q40</f>
        <v>186458.41210412013</v>
      </c>
      <c r="I40" s="138">
        <f>VLOOKUP($C40,难度推算表,副本难度推算!$P$3,FALSE)*副本难度推算!$Z$6*$R40+VLOOKUP($C40,难度推算表,副本难度推算!$H$3,FALSE)</f>
        <v>15054.066593548836</v>
      </c>
      <c r="J40" s="138">
        <f>VLOOKUP($C40,难度推算表,副本难度推算!$G$3,FALSE)-VLOOKUP($C40,难度推算表,副本难度推算!$I$3,FALSE)*(2-副本难度推算!$AA$6)*(2-$S40)</f>
        <v>3128.2595965384617</v>
      </c>
      <c r="K40" s="138">
        <f>VLOOKUP($C40,难度推算表,副本难度推算!$M$3,FALSE)*副本难度推算!$Y$7*Q40</f>
        <v>582682.53782537545</v>
      </c>
      <c r="L40" s="138">
        <f>VLOOKUP($C40,难度推算表,副本难度推算!$P$3,FALSE)*副本难度推算!$Z$7*$R40+VLOOKUP($C40,难度推算表,副本难度推算!$H$3,FALSE)</f>
        <v>18560.852271331554</v>
      </c>
      <c r="M40" s="138">
        <f>VLOOKUP($C40,难度推算表,副本难度推算!$G$3,FALSE)-VLOOKUP($C40,难度推算表,副本难度推算!$I$3,FALSE)*(2-副本难度推算!$AA$7)*(2-$S40)</f>
        <v>5485.7885678428102</v>
      </c>
      <c r="N40" s="136">
        <f>VLOOKUP($C40,难度推算表,副本难度推算!$Q$3,FALSE)</f>
        <v>3544.1399999999994</v>
      </c>
      <c r="O40" s="136">
        <f>VLOOKUP($C40,难度推算表,副本难度推算!$R$3,FALSE)</f>
        <v>0</v>
      </c>
      <c r="P40" s="139"/>
      <c r="Q40" s="140">
        <f t="shared" si="2"/>
        <v>1</v>
      </c>
      <c r="R40" s="140">
        <f t="shared" si="3"/>
        <v>1.2000000000000002</v>
      </c>
      <c r="S40" s="140">
        <f t="shared" si="4"/>
        <v>0.96</v>
      </c>
      <c r="U40" s="141">
        <v>55</v>
      </c>
      <c r="V40" s="140">
        <v>0.8</v>
      </c>
      <c r="W40" s="140">
        <v>0.8</v>
      </c>
      <c r="X40" s="140">
        <v>0.8</v>
      </c>
    </row>
    <row r="41" spans="1:24" s="141" customFormat="1">
      <c r="A41" s="136" t="str">
        <f t="shared" si="0"/>
        <v>挑战BOSS</v>
      </c>
      <c r="B41" s="136" t="str">
        <f>怪物并表!$R$14</f>
        <v>英雄之路</v>
      </c>
      <c r="C41" s="136">
        <v>56</v>
      </c>
      <c r="D41" s="137">
        <f t="shared" si="1"/>
        <v>1901</v>
      </c>
      <c r="E41" s="138">
        <f>VLOOKUP($C41,难度推算表,副本难度推算!$M$3,FALSE)*副本难度推算!$Y$5*Q41</f>
        <v>250185.32144305485</v>
      </c>
      <c r="F41" s="138">
        <f>VLOOKUP($C41,难度推算表,副本难度推算!$P$3,FALSE)*副本难度推算!$Z$5*$R41+VLOOKUP($C41,难度推算表,副本难度推算!$H$3,FALSE)</f>
        <v>17579.889637333854</v>
      </c>
      <c r="G41" s="138">
        <f>VLOOKUP($C41,难度推算表,副本难度推算!$G$3,FALSE)-VLOOKUP($C41,难度推算表,副本难度推算!$I$3,FALSE)*(2-副本难度推算!$AA$5)*(2-$S41)</f>
        <v>4572.5192147879616</v>
      </c>
      <c r="H41" s="138">
        <f>VLOOKUP($C41,难度推算表,副本难度推算!$M$3,FALSE)*副本难度推算!$Y$6*Q41</f>
        <v>200148.25715444388</v>
      </c>
      <c r="I41" s="138">
        <f>VLOOKUP($C41,难度推算表,副本难度推算!$P$3,FALSE)*副本难度推算!$Z$6*$R41+VLOOKUP($C41,难度推算表,副本难度推算!$H$3,FALSE)</f>
        <v>16303.21848568341</v>
      </c>
      <c r="J41" s="138">
        <f>VLOOKUP($C41,难度推算表,副本难度推算!$G$3,FALSE)-VLOOKUP($C41,难度推算表,副本难度推算!$I$3,FALSE)*(2-副本难度推算!$AA$6)*(2-$S41)</f>
        <v>3321.0929033723087</v>
      </c>
      <c r="K41" s="138">
        <f>VLOOKUP($C41,难度推算表,副本难度推算!$M$3,FALSE)*副本难度推算!$Y$7*Q41</f>
        <v>625463.30360763718</v>
      </c>
      <c r="L41" s="138">
        <f>VLOOKUP($C41,难度推算表,副本难度推算!$P$3,FALSE)*副本难度推算!$Z$7*$R41+VLOOKUP($C41,难度推算表,副本难度推算!$H$3,FALSE)</f>
        <v>20133.231940634738</v>
      </c>
      <c r="M41" s="138">
        <f>VLOOKUP($C41,难度推算表,副本难度推算!$G$3,FALSE)-VLOOKUP($C41,难度推算表,副本难度推算!$I$3,FALSE)*(2-副本难度推算!$AA$7)*(2-$S41)</f>
        <v>5823.9455262036145</v>
      </c>
      <c r="N41" s="136">
        <f>VLOOKUP($C41,难度推算表,副本难度推算!$Q$3,FALSE)</f>
        <v>3602.3680000000004</v>
      </c>
      <c r="O41" s="136">
        <f>VLOOKUP($C41,难度推算表,副本难度推算!$R$3,FALSE)</f>
        <v>0</v>
      </c>
      <c r="P41" s="139"/>
      <c r="Q41" s="140">
        <f t="shared" si="2"/>
        <v>1</v>
      </c>
      <c r="R41" s="140">
        <f t="shared" si="3"/>
        <v>1.2000000000000002</v>
      </c>
      <c r="S41" s="140">
        <f t="shared" si="4"/>
        <v>0.96</v>
      </c>
      <c r="U41" s="141">
        <v>56</v>
      </c>
      <c r="V41" s="140">
        <v>0.8</v>
      </c>
      <c r="W41" s="140">
        <v>0.8</v>
      </c>
      <c r="X41" s="140">
        <v>0.8</v>
      </c>
    </row>
    <row r="42" spans="1:24" s="141" customFormat="1">
      <c r="A42" s="136" t="str">
        <f t="shared" si="0"/>
        <v>挑战BOSS</v>
      </c>
      <c r="B42" s="136" t="str">
        <f>怪物并表!$R$14</f>
        <v>英雄之路</v>
      </c>
      <c r="C42" s="136">
        <v>57</v>
      </c>
      <c r="D42" s="137">
        <f t="shared" si="1"/>
        <v>1901</v>
      </c>
      <c r="E42" s="138">
        <f>VLOOKUP($C42,难度推算表,副本难度推算!$M$3,FALSE)*副本难度推算!$Y$5*Q42</f>
        <v>268156.69255101995</v>
      </c>
      <c r="F42" s="138">
        <f>VLOOKUP($C42,难度推算表,副本难度推算!$P$3,FALSE)*副本难度推算!$Z$5*$R42+VLOOKUP($C42,难度推算表,副本难度推算!$H$3,FALSE)</f>
        <v>19024.535546376028</v>
      </c>
      <c r="G42" s="138">
        <f>VLOOKUP($C42,难度推算表,副本难度推算!$G$3,FALSE)-VLOOKUP($C42,难度推算表,副本难度推算!$I$3,FALSE)*(2-副本难度推算!$AA$5)*(2-$S42)</f>
        <v>4847.8948379411386</v>
      </c>
      <c r="H42" s="138">
        <f>VLOOKUP($C42,难度推算表,副本难度推算!$M$3,FALSE)*副本难度推算!$Y$6*Q42</f>
        <v>214525.35404081596</v>
      </c>
      <c r="I42" s="138">
        <f>VLOOKUP($C42,难度推算表,副本难度推算!$P$3,FALSE)*副本难度推算!$Z$6*$R42+VLOOKUP($C42,难度推算表,副本难度推算!$H$3,FALSE)</f>
        <v>17632.386711521707</v>
      </c>
      <c r="J42" s="138">
        <f>VLOOKUP($C42,难度推算表,副本难度推算!$G$3,FALSE)-VLOOKUP($C42,难度推算表,副本难度推算!$I$3,FALSE)*(2-副本难度推算!$AA$6)*(2-$S42)</f>
        <v>3521.1025665046163</v>
      </c>
      <c r="K42" s="138">
        <f>VLOOKUP($C42,难度推算表,副本难度推算!$M$3,FALSE)*副本难度推算!$Y$7*Q42</f>
        <v>670391.73137754994</v>
      </c>
      <c r="L42" s="138">
        <f>VLOOKUP($C42,难度推算表,副本难度推算!$P$3,FALSE)*副本难度推算!$Z$7*$R42+VLOOKUP($C42,难度推算表,副本难度推算!$H$3,FALSE)</f>
        <v>21808.833216084677</v>
      </c>
      <c r="M42" s="138">
        <f>VLOOKUP($C42,难度推算表,副本难度推算!$G$3,FALSE)-VLOOKUP($C42,难度推算表,副本难度推算!$I$3,FALSE)*(2-副本难度推算!$AA$7)*(2-$S42)</f>
        <v>6174.6871093776608</v>
      </c>
      <c r="N42" s="136">
        <f>VLOOKUP($C42,难度推算表,副本难度推算!$Q$3,FALSE)</f>
        <v>3660.596</v>
      </c>
      <c r="O42" s="136">
        <f>VLOOKUP($C42,难度推算表,副本难度推算!$R$3,FALSE)</f>
        <v>0</v>
      </c>
      <c r="P42" s="139"/>
      <c r="Q42" s="140">
        <f t="shared" si="2"/>
        <v>1</v>
      </c>
      <c r="R42" s="140">
        <f t="shared" si="3"/>
        <v>1.2000000000000002</v>
      </c>
      <c r="S42" s="140">
        <f t="shared" si="4"/>
        <v>0.96</v>
      </c>
      <c r="U42" s="141">
        <v>57</v>
      </c>
      <c r="V42" s="140">
        <v>0.8</v>
      </c>
      <c r="W42" s="140">
        <v>0.8</v>
      </c>
      <c r="X42" s="140">
        <v>0.8</v>
      </c>
    </row>
    <row r="43" spans="1:24" s="141" customFormat="1">
      <c r="A43" s="136" t="str">
        <f t="shared" si="0"/>
        <v>挑战BOSS</v>
      </c>
      <c r="B43" s="136" t="str">
        <f>怪物并表!$R$14</f>
        <v>英雄之路</v>
      </c>
      <c r="C43" s="136">
        <v>58</v>
      </c>
      <c r="D43" s="137">
        <f t="shared" si="1"/>
        <v>1901</v>
      </c>
      <c r="E43" s="138">
        <f>VLOOKUP($C43,难度推算表,副本难度推算!$M$3,FALSE)*副本难度推算!$Y$5*Q43</f>
        <v>287012.87030293985</v>
      </c>
      <c r="F43" s="138">
        <f>VLOOKUP($C43,难度推算表,副本难度推算!$P$3,FALSE)*副本难度推算!$Z$5*$R43+VLOOKUP($C43,难度推算表,副本难度推算!$H$3,FALSE)</f>
        <v>20561.41457574386</v>
      </c>
      <c r="G43" s="138">
        <f>VLOOKUP($C43,难度推算表,副本难度推算!$G$3,FALSE)-VLOOKUP($C43,难度推算表,副本难度推算!$I$3,FALSE)*(2-副本难度推算!$AA$5)*(2-$S43)</f>
        <v>5133.3092253993327</v>
      </c>
      <c r="H43" s="138">
        <f>VLOOKUP($C43,难度推算表,副本难度推算!$M$3,FALSE)*副本难度推算!$Y$6*Q43</f>
        <v>229610.29624235188</v>
      </c>
      <c r="I43" s="138">
        <f>VLOOKUP($C43,难度推算表,副本难度推算!$P$3,FALSE)*副本难度推算!$Z$6*$R43+VLOOKUP($C43,难度推算表,副本难度推算!$H$3,FALSE)</f>
        <v>19045.621457685196</v>
      </c>
      <c r="J43" s="138">
        <f>VLOOKUP($C43,难度推算表,副本难度推算!$G$3,FALSE)-VLOOKUP($C43,难度推算表,副本难度推算!$I$3,FALSE)*(2-副本难度推算!$AA$6)*(2-$S43)</f>
        <v>3728.4035426584633</v>
      </c>
      <c r="K43" s="138">
        <f>VLOOKUP($C43,难度推算表,副本难度推算!$M$3,FALSE)*副本难度推算!$Y$7*Q43</f>
        <v>717532.17575734959</v>
      </c>
      <c r="L43" s="138">
        <f>VLOOKUP($C43,难度推算表,副本难度推算!$P$3,FALSE)*副本难度推算!$Z$7*$R43+VLOOKUP($C43,难度推算表,副本难度推算!$H$3,FALSE)</f>
        <v>23593.000811861195</v>
      </c>
      <c r="M43" s="138">
        <f>VLOOKUP($C43,难度推算表,副本难度推算!$G$3,FALSE)-VLOOKUP($C43,难度推算表,副本难度推算!$I$3,FALSE)*(2-副本难度推算!$AA$7)*(2-$S43)</f>
        <v>6538.2149081402031</v>
      </c>
      <c r="N43" s="136">
        <f>VLOOKUP($C43,难度推算表,副本难度推算!$Q$3,FALSE)</f>
        <v>3718.8240000000001</v>
      </c>
      <c r="O43" s="136">
        <f>VLOOKUP($C43,难度推算表,副本难度推算!$R$3,FALSE)</f>
        <v>0</v>
      </c>
      <c r="P43" s="139"/>
      <c r="Q43" s="140">
        <f t="shared" si="2"/>
        <v>1</v>
      </c>
      <c r="R43" s="140">
        <f t="shared" si="3"/>
        <v>1.2000000000000002</v>
      </c>
      <c r="S43" s="140">
        <f t="shared" si="4"/>
        <v>0.96</v>
      </c>
      <c r="U43" s="141">
        <v>58</v>
      </c>
      <c r="V43" s="140">
        <v>0.8</v>
      </c>
      <c r="W43" s="140">
        <v>0.8</v>
      </c>
      <c r="X43" s="140">
        <v>0.8</v>
      </c>
    </row>
    <row r="44" spans="1:24" s="141" customFormat="1">
      <c r="A44" s="136" t="str">
        <f t="shared" si="0"/>
        <v>挑战BOSS</v>
      </c>
      <c r="B44" s="136" t="str">
        <f>怪物并表!$R$14</f>
        <v>英雄之路</v>
      </c>
      <c r="C44" s="136">
        <v>59</v>
      </c>
      <c r="D44" s="137">
        <f t="shared" si="1"/>
        <v>1901</v>
      </c>
      <c r="E44" s="138">
        <f>VLOOKUP($C44,难度推算表,副本难度推算!$M$3,FALSE)*副本难度推算!$Y$5*Q44</f>
        <v>306779.93412203423</v>
      </c>
      <c r="F44" s="138">
        <f>VLOOKUP($C44,难度推算表,副本难度推算!$P$3,FALSE)*副本难度推算!$Z$5*$R44+VLOOKUP($C44,难度推算表,副本难度推算!$H$3,FALSE)</f>
        <v>22195.208193084702</v>
      </c>
      <c r="G44" s="138">
        <f>VLOOKUP($C44,难度推算表,副本难度推算!$G$3,FALSE)-VLOOKUP($C44,难度推算表,副本难度推算!$I$3,FALSE)*(2-副本难度推算!$AA$5)*(2-$S44)</f>
        <v>5428.9206509117075</v>
      </c>
      <c r="H44" s="138">
        <f>VLOOKUP($C44,难度推算表,副本难度推算!$M$3,FALSE)*副本难度推算!$Y$6*Q44</f>
        <v>245423.9472976274</v>
      </c>
      <c r="I44" s="138">
        <f>VLOOKUP($C44,难度推算表,副本难度推算!$P$3,FALSE)*副本难度推算!$Z$6*$R44+VLOOKUP($C44,难度推算表,副本难度推算!$H$3,FALSE)</f>
        <v>20547.15270545115</v>
      </c>
      <c r="J44" s="138">
        <f>VLOOKUP($C44,难度推算表,副本难度推算!$G$3,FALSE)-VLOOKUP($C44,难度推算表,副本难度推算!$I$3,FALSE)*(2-副本难度推算!$AA$6)*(2-$S44)</f>
        <v>3943.1107885569254</v>
      </c>
      <c r="K44" s="138">
        <f>VLOOKUP($C44,难度推算表,副本难度推算!$M$3,FALSE)*副本难度推算!$Y$7*Q44</f>
        <v>766949.83530508564</v>
      </c>
      <c r="L44" s="138">
        <f>VLOOKUP($C44,难度推算表,副本难度推算!$P$3,FALSE)*副本难度推算!$Z$7*$R44+VLOOKUP($C44,难度推算表,副本难度推算!$H$3,FALSE)</f>
        <v>25491.319168351813</v>
      </c>
      <c r="M44" s="138">
        <f>VLOOKUP($C44,难度推算表,副本难度推算!$G$3,FALSE)-VLOOKUP($C44,难度推算表,副本难度推算!$I$3,FALSE)*(2-副本难度推算!$AA$7)*(2-$S44)</f>
        <v>6914.7305132664906</v>
      </c>
      <c r="N44" s="136">
        <f>VLOOKUP($C44,难度推算表,副本难度推算!$Q$3,FALSE)</f>
        <v>3777.0519999999997</v>
      </c>
      <c r="O44" s="136">
        <f>VLOOKUP($C44,难度推算表,副本难度推算!$R$3,FALSE)</f>
        <v>0</v>
      </c>
      <c r="P44" s="139"/>
      <c r="Q44" s="140">
        <f t="shared" si="2"/>
        <v>1</v>
      </c>
      <c r="R44" s="140">
        <f t="shared" si="3"/>
        <v>1.2000000000000002</v>
      </c>
      <c r="S44" s="140">
        <f t="shared" si="4"/>
        <v>0.96</v>
      </c>
      <c r="U44" s="141">
        <v>59</v>
      </c>
      <c r="V44" s="140">
        <v>0.8</v>
      </c>
      <c r="W44" s="140">
        <v>0.8</v>
      </c>
      <c r="X44" s="140">
        <v>0.8</v>
      </c>
    </row>
    <row r="45" spans="1:24" s="141" customFormat="1">
      <c r="A45" s="136" t="str">
        <f t="shared" si="0"/>
        <v>挑战BOSS</v>
      </c>
      <c r="B45" s="136" t="str">
        <f>怪物并表!$R$14</f>
        <v>英雄之路</v>
      </c>
      <c r="C45" s="136">
        <v>60</v>
      </c>
      <c r="D45" s="137">
        <f t="shared" si="1"/>
        <v>1901</v>
      </c>
      <c r="E45" s="138">
        <f>VLOOKUP($C45,难度推算表,副本难度推算!$M$3,FALSE)*副本难度推算!$Y$5*Q45</f>
        <v>329097.52403114893</v>
      </c>
      <c r="F45" s="138">
        <f>VLOOKUP($C45,难度推算表,副本难度推算!$P$3,FALSE)*副本难度推算!$Z$5*$R45+VLOOKUP($C45,难度推算表,副本难度推算!$H$3,FALSE)</f>
        <v>24048.692750969913</v>
      </c>
      <c r="G45" s="138">
        <f>VLOOKUP($C45,难度推算表,副本难度推算!$G$3,FALSE)-VLOOKUP($C45,难度推算表,副本难度推算!$I$3,FALSE)*(2-副本难度推算!$AA$5)*(2-$S45)</f>
        <v>5763.1380650167257</v>
      </c>
      <c r="H45" s="138">
        <f>VLOOKUP($C45,难度推算表,副本难度推算!$M$3,FALSE)*副本难度推算!$Y$6*Q45</f>
        <v>263278.01922491915</v>
      </c>
      <c r="I45" s="138">
        <f>VLOOKUP($C45,难度推算表,副本难度推算!$P$3,FALSE)*副本难度推算!$Z$6*$R45+VLOOKUP($C45,难度推算表,副本难度推算!$H$3,FALSE)</f>
        <v>22250.469587979944</v>
      </c>
      <c r="J45" s="138">
        <f>VLOOKUP($C45,难度推算表,副本难度推算!$G$3,FALSE)-VLOOKUP($C45,难度推算表,副本难度推算!$I$3,FALSE)*(2-副本难度推算!$AA$6)*(2-$S45)</f>
        <v>4185.8581735384632</v>
      </c>
      <c r="K45" s="138">
        <f>VLOOKUP($C45,难度推算表,副本难度推算!$M$3,FALSE)*副本难度推算!$Y$7*Q45</f>
        <v>822743.81007787236</v>
      </c>
      <c r="L45" s="138">
        <f>VLOOKUP($C45,难度推算表,副本难度推算!$P$3,FALSE)*副本难度推算!$Z$7*$R45+VLOOKUP($C45,难度推算表,副本难度推算!$H$3,FALSE)</f>
        <v>27645.139076949847</v>
      </c>
      <c r="M45" s="138">
        <f>VLOOKUP($C45,难度推算表,副本难度推算!$G$3,FALSE)-VLOOKUP($C45,难度推算表,副本难度推算!$I$3,FALSE)*(2-副本难度推算!$AA$7)*(2-$S45)</f>
        <v>7340.4179564949873</v>
      </c>
      <c r="N45" s="136">
        <f>VLOOKUP($C45,难度推算表,副本难度推算!$Q$3,FALSE)</f>
        <v>3835.2799999999997</v>
      </c>
      <c r="O45" s="136">
        <f>VLOOKUP($C45,难度推算表,副本难度推算!$R$3,FALSE)</f>
        <v>0</v>
      </c>
      <c r="P45" s="139"/>
      <c r="Q45" s="140">
        <f t="shared" si="2"/>
        <v>1</v>
      </c>
      <c r="R45" s="140">
        <f t="shared" si="3"/>
        <v>1.2000000000000002</v>
      </c>
      <c r="S45" s="140">
        <f t="shared" si="4"/>
        <v>0.96</v>
      </c>
      <c r="U45" s="141">
        <v>60</v>
      </c>
      <c r="V45" s="140">
        <v>0.8</v>
      </c>
      <c r="W45" s="140">
        <v>0.8</v>
      </c>
      <c r="X45" s="140">
        <v>0.8</v>
      </c>
    </row>
    <row r="46" spans="1:24" s="141" customFormat="1">
      <c r="A46" s="136" t="str">
        <f t="shared" si="0"/>
        <v>挑战BOSS</v>
      </c>
      <c r="B46" s="136" t="str">
        <f>怪物并表!$R$14</f>
        <v>英雄之路</v>
      </c>
      <c r="C46" s="136">
        <v>61</v>
      </c>
      <c r="D46" s="137">
        <f t="shared" si="1"/>
        <v>1901</v>
      </c>
      <c r="E46" s="138">
        <f>VLOOKUP($C46,难度推算表,副本难度推算!$M$3,FALSE)*副本难度推算!$Y$5*Q46</f>
        <v>352509.96247259458</v>
      </c>
      <c r="F46" s="138">
        <f>VLOOKUP($C46,难度推算表,副本难度推算!$P$3,FALSE)*副本难度推算!$Z$5*$R46+VLOOKUP($C46,难度推算表,副本难度推算!$H$3,FALSE)</f>
        <v>26021.141029790506</v>
      </c>
      <c r="G46" s="138">
        <f>VLOOKUP($C46,难度推算表,副本难度推算!$G$3,FALSE)-VLOOKUP($C46,难度推算表,副本难度推算!$I$3,FALSE)*(2-副本难度推算!$AA$5)*(2-$S46)</f>
        <v>6109.5539390869581</v>
      </c>
      <c r="H46" s="138">
        <f>VLOOKUP($C46,难度推算表,副本难度推算!$M$3,FALSE)*副本难度推算!$Y$6*Q46</f>
        <v>282007.96997807565</v>
      </c>
      <c r="I46" s="138">
        <f>VLOOKUP($C46,难度推算表,副本难度推算!$P$3,FALSE)*副本难度推算!$Z$6*$R46+VLOOKUP($C46,难度推算表,副本难度推算!$H$3,FALSE)</f>
        <v>24062.137867767979</v>
      </c>
      <c r="J46" s="138">
        <f>VLOOKUP($C46,难度推算表,副本难度推算!$G$3,FALSE)-VLOOKUP($C46,难度推算表,副本难度推算!$I$3,FALSE)*(2-副本难度推算!$AA$6)*(2-$S46)</f>
        <v>4437.4654926000021</v>
      </c>
      <c r="K46" s="138">
        <f>VLOOKUP($C46,难度推算表,副本难度推算!$M$3,FALSE)*副本难度推算!$Y$7*Q46</f>
        <v>881274.90618148644</v>
      </c>
      <c r="L46" s="138">
        <f>VLOOKUP($C46,难度推算表,副本难度推算!$P$3,FALSE)*副本难度推算!$Z$7*$R46+VLOOKUP($C46,难度推算表,副本难度推算!$H$3,FALSE)</f>
        <v>29939.147353835564</v>
      </c>
      <c r="M46" s="138">
        <f>VLOOKUP($C46,难度推算表,副本难度推算!$G$3,FALSE)-VLOOKUP($C46,难度推算表,副本难度推算!$I$3,FALSE)*(2-副本难度推算!$AA$7)*(2-$S46)</f>
        <v>7781.6423855739158</v>
      </c>
      <c r="N46" s="136">
        <f>VLOOKUP($C46,难度推算表,副本难度推算!$Q$3,FALSE)</f>
        <v>3893.5080000000003</v>
      </c>
      <c r="O46" s="136">
        <f>VLOOKUP($C46,难度推算表,副本难度推算!$R$3,FALSE)</f>
        <v>0</v>
      </c>
      <c r="P46" s="139"/>
      <c r="Q46" s="140">
        <f t="shared" si="2"/>
        <v>1</v>
      </c>
      <c r="R46" s="140">
        <f t="shared" si="3"/>
        <v>1.2000000000000002</v>
      </c>
      <c r="S46" s="140">
        <f t="shared" si="4"/>
        <v>0.96</v>
      </c>
      <c r="U46" s="141">
        <v>61</v>
      </c>
      <c r="V46" s="140">
        <v>0.8</v>
      </c>
      <c r="W46" s="140">
        <v>0.8</v>
      </c>
      <c r="X46" s="140">
        <v>0.8</v>
      </c>
    </row>
    <row r="47" spans="1:24" s="141" customFormat="1">
      <c r="A47" s="136" t="str">
        <f t="shared" si="0"/>
        <v>挑战BOSS</v>
      </c>
      <c r="B47" s="136" t="str">
        <f>怪物并表!$R$14</f>
        <v>英雄之路</v>
      </c>
      <c r="C47" s="136">
        <v>62</v>
      </c>
      <c r="D47" s="137">
        <f t="shared" si="1"/>
        <v>1901</v>
      </c>
      <c r="E47" s="138">
        <f>VLOOKUP($C47,难度推算表,副本难度推算!$M$3,FALSE)*副本难度推算!$Y$5*Q47</f>
        <v>377049.08997165965</v>
      </c>
      <c r="F47" s="138">
        <f>VLOOKUP($C47,难度推算表,副本难度推算!$P$3,FALSE)*副本难度推算!$Z$5*$R47+VLOOKUP($C47,难度推算表,副本难度推算!$H$3,FALSE)</f>
        <v>28118.624689085926</v>
      </c>
      <c r="G47" s="138">
        <f>VLOOKUP($C47,难度推算表,副本难度推算!$G$3,FALSE)-VLOOKUP($C47,难度推算表,副本难度推算!$I$3,FALSE)*(2-副本难度推算!$AA$5)*(2-$S47)</f>
        <v>6468.3582016214077</v>
      </c>
      <c r="H47" s="138">
        <f>VLOOKUP($C47,难度推算表,副本难度推算!$M$3,FALSE)*副本难度推算!$Y$6*Q47</f>
        <v>301639.27197732771</v>
      </c>
      <c r="I47" s="138">
        <f>VLOOKUP($C47,难度推算表,副本难度推算!$P$3,FALSE)*副本难度推算!$Z$6*$R47+VLOOKUP($C47,难度推算表,副本难度推算!$H$3,FALSE)</f>
        <v>25987.642030874325</v>
      </c>
      <c r="J47" s="138">
        <f>VLOOKUP($C47,难度推算表,副本难度推算!$G$3,FALSE)-VLOOKUP($C47,难度推算表,副本难度推算!$I$3,FALSE)*(2-副本难度推算!$AA$6)*(2-$S47)</f>
        <v>4698.0706938092335</v>
      </c>
      <c r="K47" s="138">
        <f>VLOOKUP($C47,难度推算表,副本难度推算!$M$3,FALSE)*副本难度推算!$Y$7*Q47</f>
        <v>942622.72492914915</v>
      </c>
      <c r="L47" s="138">
        <f>VLOOKUP($C47,难度推算表,副本难度推算!$P$3,FALSE)*副本难度推算!$Z$7*$R47+VLOOKUP($C47,难度推算表,副本难度推算!$H$3,FALSE)</f>
        <v>32380.590005509133</v>
      </c>
      <c r="M47" s="138">
        <f>VLOOKUP($C47,难度推算表,副本难度推算!$G$3,FALSE)-VLOOKUP($C47,难度推算表,副本难度推算!$I$3,FALSE)*(2-副本难度推算!$AA$7)*(2-$S47)</f>
        <v>8238.6457094335819</v>
      </c>
      <c r="N47" s="136">
        <f>VLOOKUP($C47,难度推算表,副本难度推算!$Q$3,FALSE)</f>
        <v>3951.7360000000003</v>
      </c>
      <c r="O47" s="136">
        <f>VLOOKUP($C47,难度推算表,副本难度推算!$R$3,FALSE)</f>
        <v>0</v>
      </c>
      <c r="P47" s="139"/>
      <c r="Q47" s="140">
        <f t="shared" si="2"/>
        <v>1</v>
      </c>
      <c r="R47" s="140">
        <f t="shared" si="3"/>
        <v>1.2000000000000002</v>
      </c>
      <c r="S47" s="140">
        <f t="shared" si="4"/>
        <v>0.96</v>
      </c>
      <c r="U47" s="141">
        <v>62</v>
      </c>
      <c r="V47" s="140">
        <v>0.8</v>
      </c>
      <c r="W47" s="140">
        <v>0.8</v>
      </c>
      <c r="X47" s="140">
        <v>0.8</v>
      </c>
    </row>
    <row r="48" spans="1:24" s="141" customFormat="1">
      <c r="A48" s="136" t="str">
        <f t="shared" si="0"/>
        <v>挑战BOSS</v>
      </c>
      <c r="B48" s="136" t="str">
        <f>怪物并表!$R$14</f>
        <v>英雄之路</v>
      </c>
      <c r="C48" s="136">
        <v>63</v>
      </c>
      <c r="D48" s="137">
        <f t="shared" si="1"/>
        <v>1901</v>
      </c>
      <c r="E48" s="138">
        <f>VLOOKUP($C48,难度推算表,副本难度推算!$M$3,FALSE)*副本难度推算!$Y$5*Q48</f>
        <v>402747.15166459483</v>
      </c>
      <c r="F48" s="138">
        <f>VLOOKUP($C48,难度推算表,副本难度推算!$P$3,FALSE)*副本难度推算!$Z$5*$R48+VLOOKUP($C48,难度推算表,副本难度推算!$H$3,FALSE)</f>
        <v>30347.49112813815</v>
      </c>
      <c r="G48" s="138">
        <f>VLOOKUP($C48,难度推算表,副本难度推算!$G$3,FALSE)-VLOOKUP($C48,难度推算表,副本难度推算!$I$3,FALSE)*(2-副本难度推算!$AA$5)*(2-$S48)</f>
        <v>6839.740781119066</v>
      </c>
      <c r="H48" s="138">
        <f>VLOOKUP($C48,难度推算表,副本难度推算!$M$3,FALSE)*副本难度推算!$Y$6*Q48</f>
        <v>322197.72133167589</v>
      </c>
      <c r="I48" s="138">
        <f>VLOOKUP($C48,难度推算表,副本难度推算!$P$3,FALSE)*副本难度推算!$Z$6*$R48+VLOOKUP($C48,难度推算表,副本难度推算!$H$3,FALSE)</f>
        <v>28032.714729126339</v>
      </c>
      <c r="J48" s="138">
        <f>VLOOKUP($C48,难度推算表,副本难度推算!$G$3,FALSE)-VLOOKUP($C48,难度推算表,副本难度推算!$I$3,FALSE)*(2-副本难度推算!$AA$6)*(2-$S48)</f>
        <v>4967.811725233847</v>
      </c>
      <c r="K48" s="138">
        <f>VLOOKUP($C48,难度推算表,副本难度推算!$M$3,FALSE)*副本难度推算!$Y$7*Q48</f>
        <v>1006867.8791614871</v>
      </c>
      <c r="L48" s="138">
        <f>VLOOKUP($C48,难度推算表,副本难度推算!$P$3,FALSE)*副本难度推算!$Z$7*$R48+VLOOKUP($C48,难度推算表,副本难度推算!$H$3,FALSE)</f>
        <v>34977.043926161765</v>
      </c>
      <c r="M48" s="138">
        <f>VLOOKUP($C48,难度推算表,副本难度推算!$G$3,FALSE)-VLOOKUP($C48,难度推算表,副本难度推算!$I$3,FALSE)*(2-副本难度推算!$AA$7)*(2-$S48)</f>
        <v>8711.6698370042832</v>
      </c>
      <c r="N48" s="136">
        <f>VLOOKUP($C48,难度推算表,副本难度推算!$Q$3,FALSE)</f>
        <v>4009.9639999999999</v>
      </c>
      <c r="O48" s="136">
        <f>VLOOKUP($C48,难度推算表,副本难度推算!$R$3,FALSE)</f>
        <v>0</v>
      </c>
      <c r="P48" s="139"/>
      <c r="Q48" s="140">
        <f t="shared" si="2"/>
        <v>1</v>
      </c>
      <c r="R48" s="140">
        <f t="shared" si="3"/>
        <v>1.2000000000000002</v>
      </c>
      <c r="S48" s="140">
        <f t="shared" si="4"/>
        <v>0.96</v>
      </c>
      <c r="U48" s="141">
        <v>63</v>
      </c>
      <c r="V48" s="140">
        <v>0.8</v>
      </c>
      <c r="W48" s="140">
        <v>0.8</v>
      </c>
      <c r="X48" s="140">
        <v>0.8</v>
      </c>
    </row>
    <row r="49" spans="1:24" s="141" customFormat="1">
      <c r="A49" s="136" t="str">
        <f t="shared" si="0"/>
        <v>挑战BOSS</v>
      </c>
      <c r="B49" s="136" t="str">
        <f>怪物并表!$R$14</f>
        <v>英雄之路</v>
      </c>
      <c r="C49" s="136">
        <v>64</v>
      </c>
      <c r="D49" s="137">
        <f t="shared" si="1"/>
        <v>1901</v>
      </c>
      <c r="E49" s="138">
        <f>VLOOKUP($C49,难度推算表,副本难度推算!$M$3,FALSE)*副本难度推算!$Y$5*Q49</f>
        <v>429636.79714311572</v>
      </c>
      <c r="F49" s="138">
        <f>VLOOKUP($C49,难度推算表,副本难度推算!$P$3,FALSE)*副本难度推算!$Z$5*$R49+VLOOKUP($C49,难度推算表,副本难度推算!$H$3,FALSE)</f>
        <v>32714.376914855253</v>
      </c>
      <c r="G49" s="138">
        <f>VLOOKUP($C49,难度推算表,副本难度推算!$G$3,FALSE)-VLOOKUP($C49,难度推算表,副本难度推算!$I$3,FALSE)*(2-副本难度推算!$AA$5)*(2-$S49)</f>
        <v>7223.8916060789343</v>
      </c>
      <c r="H49" s="138">
        <f>VLOOKUP($C49,难度推算表,副本难度推算!$M$3,FALSE)*副本难度推算!$Y$6*Q49</f>
        <v>343709.43771449261</v>
      </c>
      <c r="I49" s="138">
        <f>VLOOKUP($C49,难度推算表,副本难度推算!$P$3,FALSE)*副本难度推算!$Z$6*$R49+VLOOKUP($C49,难度推算表,副本难度推算!$H$3,FALSE)</f>
        <v>30203.34886611488</v>
      </c>
      <c r="J49" s="138">
        <f>VLOOKUP($C49,难度推算表,副本难度推算!$G$3,FALSE)-VLOOKUP($C49,难度推算表,副本难度推算!$I$3,FALSE)*(2-副本难度推算!$AA$6)*(2-$S49)</f>
        <v>5246.8265349415433</v>
      </c>
      <c r="K49" s="138">
        <f>VLOOKUP($C49,难度推算表,副本难度推算!$M$3,FALSE)*副本难度推算!$Y$7*Q49</f>
        <v>1074091.9928577894</v>
      </c>
      <c r="L49" s="138">
        <f>VLOOKUP($C49,难度推算表,副本难度推算!$P$3,FALSE)*副本难度推算!$Z$7*$R49+VLOOKUP($C49,难度推算表,副本难度推算!$H$3,FALSE)</f>
        <v>37736.433012335998</v>
      </c>
      <c r="M49" s="138">
        <f>VLOOKUP($C49,难度推算表,副本难度推算!$G$3,FALSE)-VLOOKUP($C49,难度推算表,副本难度推算!$I$3,FALSE)*(2-副本难度推算!$AA$7)*(2-$S49)</f>
        <v>9200.9566772163253</v>
      </c>
      <c r="N49" s="136">
        <f>VLOOKUP($C49,难度推算表,副本难度推算!$Q$3,FALSE)</f>
        <v>4068.192</v>
      </c>
      <c r="O49" s="136">
        <f>VLOOKUP($C49,难度推算表,副本难度推算!$R$3,FALSE)</f>
        <v>0</v>
      </c>
      <c r="P49" s="139"/>
      <c r="Q49" s="140">
        <f t="shared" si="2"/>
        <v>1</v>
      </c>
      <c r="R49" s="140">
        <f t="shared" si="3"/>
        <v>1.2000000000000002</v>
      </c>
      <c r="S49" s="140">
        <f t="shared" si="4"/>
        <v>0.96</v>
      </c>
      <c r="U49" s="141">
        <v>64</v>
      </c>
      <c r="V49" s="140">
        <v>0.8</v>
      </c>
      <c r="W49" s="140">
        <v>0.8</v>
      </c>
      <c r="X49" s="140">
        <v>0.8</v>
      </c>
    </row>
    <row r="50" spans="1:24" s="141" customFormat="1">
      <c r="A50" s="136" t="str">
        <f t="shared" si="0"/>
        <v>挑战BOSS</v>
      </c>
      <c r="B50" s="136" t="str">
        <f>怪物并表!$R$14</f>
        <v>英雄之路</v>
      </c>
      <c r="C50" s="136">
        <v>65</v>
      </c>
      <c r="D50" s="137">
        <f t="shared" si="1"/>
        <v>1901</v>
      </c>
      <c r="E50" s="138">
        <f>VLOOKUP($C50,难度推算表,副本难度推算!$M$3,FALSE)*副本难度推算!$Y$5*Q50</f>
        <v>457751.08029818488</v>
      </c>
      <c r="F50" s="138">
        <f>VLOOKUP($C50,难度推算表,副本难度推算!$P$3,FALSE)*副本难度推算!$Z$5*$R50+VLOOKUP($C50,难度推算表,副本难度推算!$H$3,FALSE)</f>
        <v>35226.222007179269</v>
      </c>
      <c r="G50" s="138">
        <f>VLOOKUP($C50,难度推算表,副本难度推算!$G$3,FALSE)-VLOOKUP($C50,难度推算表,副本难度推算!$I$3,FALSE)*(2-副本难度推算!$AA$5)*(2-$S50)</f>
        <v>7621.0006050000029</v>
      </c>
      <c r="H50" s="138">
        <f>VLOOKUP($C50,难度推算表,副本难度推算!$M$3,FALSE)*副本难度推算!$Y$6*Q50</f>
        <v>366200.86423854792</v>
      </c>
      <c r="I50" s="138">
        <f>VLOOKUP($C50,难度推算表,副本难度推算!$P$3,FALSE)*副本难度推算!$Z$6*$R50+VLOOKUP($C50,难度推算表,副本难度推算!$H$3,FALSE)</f>
        <v>32505.810396461347</v>
      </c>
      <c r="J50" s="138">
        <f>VLOOKUP($C50,难度推算表,副本难度推算!$G$3,FALSE)-VLOOKUP($C50,难度推算表,副本难度推算!$I$3,FALSE)*(2-副本难度推算!$AA$6)*(2-$S50)</f>
        <v>5535.2530710000028</v>
      </c>
      <c r="K50" s="138">
        <f>VLOOKUP($C50,难度推算表,副本难度推算!$M$3,FALSE)*副本难度推算!$Y$7*Q50</f>
        <v>1144377.7007454622</v>
      </c>
      <c r="L50" s="138">
        <f>VLOOKUP($C50,难度推算表,副本难度推算!$P$3,FALSE)*副本难度推算!$Z$7*$R50+VLOOKUP($C50,难度推算表,副本难度推算!$H$3,FALSE)</f>
        <v>40667.045228615127</v>
      </c>
      <c r="M50" s="138">
        <f>VLOOKUP($C50,难度推算表,副本难度推算!$G$3,FALSE)-VLOOKUP($C50,难度推算表,副本难度推算!$I$3,FALSE)*(2-副本难度推算!$AA$7)*(2-$S50)</f>
        <v>9706.7481390000012</v>
      </c>
      <c r="N50" s="136">
        <f>VLOOKUP($C50,难度推算表,副本难度推算!$Q$3,FALSE)</f>
        <v>4126.42</v>
      </c>
      <c r="O50" s="136">
        <f>VLOOKUP($C50,难度推算表,副本难度推算!$R$3,FALSE)</f>
        <v>0</v>
      </c>
      <c r="P50" s="139"/>
      <c r="Q50" s="140">
        <f t="shared" si="2"/>
        <v>1</v>
      </c>
      <c r="R50" s="140">
        <f t="shared" si="3"/>
        <v>1.2000000000000002</v>
      </c>
      <c r="S50" s="140">
        <f t="shared" si="4"/>
        <v>0.96</v>
      </c>
      <c r="U50" s="141">
        <v>65</v>
      </c>
      <c r="V50" s="140">
        <v>0.8</v>
      </c>
      <c r="W50" s="140">
        <v>0.8</v>
      </c>
      <c r="X50" s="140">
        <v>0.8</v>
      </c>
    </row>
    <row r="51" spans="1:24" s="141" customFormat="1">
      <c r="A51" s="136" t="str">
        <f t="shared" si="0"/>
        <v>挑战BOSS</v>
      </c>
      <c r="B51" s="136" t="str">
        <f>怪物并表!$R$14</f>
        <v>英雄之路</v>
      </c>
      <c r="C51" s="136">
        <v>66</v>
      </c>
      <c r="D51" s="137">
        <f t="shared" si="1"/>
        <v>1901</v>
      </c>
      <c r="E51" s="138">
        <f>VLOOKUP($C51,难度推算表,副本难度推算!$M$3,FALSE)*副本难度推算!$Y$5*Q51</f>
        <v>487123.45916340762</v>
      </c>
      <c r="F51" s="138">
        <f>VLOOKUP($C51,难度推算表,副本难度推算!$P$3,FALSE)*副本难度推算!$Z$5*$R51+VLOOKUP($C51,难度推算表,副本难度推算!$H$3,FALSE)</f>
        <v>37890.284822127651</v>
      </c>
      <c r="G51" s="138">
        <f>VLOOKUP($C51,难度推算表,副本难度推算!$G$3,FALSE)-VLOOKUP($C51,难度推算表,副本难度推算!$I$3,FALSE)*(2-副本难度推算!$AA$5)*(2-$S51)</f>
        <v>8031.2577063812769</v>
      </c>
      <c r="H51" s="138">
        <f>VLOOKUP($C51,难度推算表,副本难度推算!$M$3,FALSE)*副本难度推算!$Y$6*Q51</f>
        <v>389698.76733072614</v>
      </c>
      <c r="I51" s="138">
        <f>VLOOKUP($C51,难度推算表,副本难度推算!$P$3,FALSE)*副本难度推算!$Z$6*$R51+VLOOKUP($C51,难度推算表,副本难度推算!$H$3,FALSE)</f>
        <v>34946.65188795502</v>
      </c>
      <c r="J51" s="138">
        <f>VLOOKUP($C51,难度推算表,副本难度推算!$G$3,FALSE)-VLOOKUP($C51,难度推算表,副本难度推算!$I$3,FALSE)*(2-副本难度推算!$AA$6)*(2-$S51)</f>
        <v>5833.229281476928</v>
      </c>
      <c r="K51" s="138">
        <f>VLOOKUP($C51,难度推算表,副本难度推算!$M$3,FALSE)*副本难度推算!$Y$7*Q51</f>
        <v>1217808.647908519</v>
      </c>
      <c r="L51" s="138">
        <f>VLOOKUP($C51,难度推算表,副本难度推算!$P$3,FALSE)*副本难度推算!$Z$7*$R51+VLOOKUP($C51,难度推算表,副本难度推算!$H$3,FALSE)</f>
        <v>43777.550690472912</v>
      </c>
      <c r="M51" s="138">
        <f>VLOOKUP($C51,难度推算表,副本难度推算!$G$3,FALSE)-VLOOKUP($C51,难度推算表,副本难度推算!$I$3,FALSE)*(2-副本难度推算!$AA$7)*(2-$S51)</f>
        <v>10229.286131285626</v>
      </c>
      <c r="N51" s="136">
        <f>VLOOKUP($C51,难度推算表,副本难度推算!$Q$3,FALSE)</f>
        <v>4184.6480000000001</v>
      </c>
      <c r="O51" s="136">
        <f>VLOOKUP($C51,难度推算表,副本难度推算!$R$3,FALSE)</f>
        <v>0</v>
      </c>
      <c r="P51" s="139"/>
      <c r="Q51" s="140">
        <f t="shared" si="2"/>
        <v>1</v>
      </c>
      <c r="R51" s="140">
        <f t="shared" si="3"/>
        <v>1.2000000000000002</v>
      </c>
      <c r="S51" s="140">
        <f t="shared" si="4"/>
        <v>0.96</v>
      </c>
      <c r="U51" s="141">
        <v>66</v>
      </c>
      <c r="V51" s="140">
        <v>0.8</v>
      </c>
      <c r="W51" s="140">
        <v>0.8</v>
      </c>
      <c r="X51" s="140">
        <v>0.8</v>
      </c>
    </row>
    <row r="52" spans="1:24" s="141" customFormat="1">
      <c r="A52" s="136" t="str">
        <f t="shared" si="0"/>
        <v>挑战BOSS</v>
      </c>
      <c r="B52" s="136" t="str">
        <f>怪物并表!$R$14</f>
        <v>英雄之路</v>
      </c>
      <c r="C52" s="136">
        <v>67</v>
      </c>
      <c r="D52" s="137">
        <f t="shared" si="1"/>
        <v>1901</v>
      </c>
      <c r="E52" s="138">
        <f>VLOOKUP($C52,难度推算表,副本难度推算!$M$3,FALSE)*副本难度推算!$Y$5*Q52</f>
        <v>517787.79575834068</v>
      </c>
      <c r="F52" s="138">
        <f>VLOOKUP($C52,难度推算表,副本难度推算!$P$3,FALSE)*副本难度推算!$Z$5*$R52+VLOOKUP($C52,难度推算表,副本难度推算!$H$3,FALSE)</f>
        <v>40321.388914240328</v>
      </c>
      <c r="G52" s="138">
        <f>VLOOKUP($C52,难度推算表,副本难度推算!$G$3,FALSE)-VLOOKUP($C52,难度推算表,副本难度推算!$I$3,FALSE)*(2-副本难度推算!$AA$5)*(2-$S52)</f>
        <v>8454.8528387217448</v>
      </c>
      <c r="H52" s="138">
        <f>VLOOKUP($C52,难度推算表,副本难度推算!$M$3,FALSE)*副本难度推算!$Y$6*Q52</f>
        <v>414230.23660667258</v>
      </c>
      <c r="I52" s="138">
        <f>VLOOKUP($C52,难度推算表,副本难度推算!$P$3,FALSE)*副本难度推算!$Z$6*$R52+VLOOKUP($C52,难度推算表,副本难度推算!$H$3,FALSE)</f>
        <v>37179.234532155424</v>
      </c>
      <c r="J52" s="138">
        <f>VLOOKUP($C52,难度推算表,副本难度推算!$G$3,FALSE)-VLOOKUP($C52,难度推算表,副本难度推算!$I$3,FALSE)*(2-副本难度推算!$AA$6)*(2-$S52)</f>
        <v>6140.893114440003</v>
      </c>
      <c r="K52" s="138">
        <f>VLOOKUP($C52,难度推算表,副本难度推算!$M$3,FALSE)*副本难度推算!$Y$7*Q52</f>
        <v>1294469.4893958517</v>
      </c>
      <c r="L52" s="138">
        <f>VLOOKUP($C52,难度推算表,副本难度推算!$P$3,FALSE)*副本难度推算!$Z$7*$R52+VLOOKUP($C52,难度推算表,副本难度推算!$H$3,FALSE)</f>
        <v>46605.697678410128</v>
      </c>
      <c r="M52" s="138">
        <f>VLOOKUP($C52,难度推算表,副本难度推算!$G$3,FALSE)-VLOOKUP($C52,难度推算表,副本难度推算!$I$3,FALSE)*(2-副本难度推算!$AA$7)*(2-$S52)</f>
        <v>10768.812563003485</v>
      </c>
      <c r="N52" s="136">
        <f>VLOOKUP($C52,难度推算表,副本难度推算!$Q$3,FALSE)</f>
        <v>4242.8759999999993</v>
      </c>
      <c r="O52" s="136">
        <f>VLOOKUP($C52,难度推算表,副本难度推算!$R$3,FALSE)</f>
        <v>0</v>
      </c>
      <c r="P52" s="139"/>
      <c r="Q52" s="140">
        <f t="shared" si="2"/>
        <v>1</v>
      </c>
      <c r="R52" s="140">
        <f t="shared" si="3"/>
        <v>1.2000000000000002</v>
      </c>
      <c r="S52" s="140">
        <f t="shared" si="4"/>
        <v>0.96</v>
      </c>
      <c r="U52" s="141">
        <v>67</v>
      </c>
      <c r="V52" s="140">
        <v>0.8</v>
      </c>
      <c r="W52" s="140">
        <v>0.8</v>
      </c>
      <c r="X52" s="140">
        <v>0.8</v>
      </c>
    </row>
    <row r="53" spans="1:24" s="141" customFormat="1">
      <c r="A53" s="136" t="str">
        <f t="shared" si="0"/>
        <v>挑战BOSS</v>
      </c>
      <c r="B53" s="136" t="str">
        <f>怪物并表!$R$14</f>
        <v>英雄之路</v>
      </c>
      <c r="C53" s="136">
        <v>68</v>
      </c>
      <c r="D53" s="137">
        <f t="shared" si="1"/>
        <v>1901</v>
      </c>
      <c r="E53" s="138">
        <f>VLOOKUP($C53,难度推算表,副本难度推算!$M$3,FALSE)*副本难度推算!$Y$5*Q53</f>
        <v>549778.35593197402</v>
      </c>
      <c r="F53" s="138">
        <f>VLOOKUP($C53,难度推算表,副本难度推算!$P$3,FALSE)*副本难度推算!$Z$5*$R53+VLOOKUP($C53,难度推算表,副本难度推算!$H$3,FALSE)</f>
        <v>42868.083686545833</v>
      </c>
      <c r="G53" s="138">
        <f>VLOOKUP($C53,难度推算表,副本难度推算!$G$3,FALSE)-VLOOKUP($C53,难度推算表,副本难度推算!$I$3,FALSE)*(2-副本难度推算!$AA$5)*(2-$S53)</f>
        <v>8891.9759305204097</v>
      </c>
      <c r="H53" s="138">
        <f>VLOOKUP($C53,难度推算表,副本难度推算!$M$3,FALSE)*副本难度推算!$Y$6*Q53</f>
        <v>439822.68474557926</v>
      </c>
      <c r="I53" s="138">
        <f>VLOOKUP($C53,难度推算表,副本难度推算!$P$3,FALSE)*副本难度推算!$Z$6*$R53+VLOOKUP($C53,难度推算表,副本难度推算!$H$3,FALSE)</f>
        <v>39517.272784261819</v>
      </c>
      <c r="J53" s="138">
        <f>VLOOKUP($C53,难度推算表,副本难度推算!$G$3,FALSE)-VLOOKUP($C53,难度推算表,副本难度推算!$I$3,FALSE)*(2-副本难度推算!$AA$6)*(2-$S53)</f>
        <v>6458.3825179569285</v>
      </c>
      <c r="K53" s="138">
        <f>VLOOKUP($C53,难度推算表,副本难度推算!$M$3,FALSE)*副本难度推算!$Y$7*Q53</f>
        <v>1374445.889829935</v>
      </c>
      <c r="L53" s="138">
        <f>VLOOKUP($C53,难度推算表,副本难度推算!$P$3,FALSE)*副本难度推算!$Z$7*$R53+VLOOKUP($C53,难度推算表,副本难度推算!$H$3,FALSE)</f>
        <v>49569.705491113855</v>
      </c>
      <c r="M53" s="138">
        <f>VLOOKUP($C53,难度推算表,副本难度推算!$G$3,FALSE)-VLOOKUP($C53,难度推算表,副本难度推算!$I$3,FALSE)*(2-副本难度推算!$AA$7)*(2-$S53)</f>
        <v>11325.569343083889</v>
      </c>
      <c r="N53" s="136">
        <f>VLOOKUP($C53,难度推算表,副本难度推算!$Q$3,FALSE)</f>
        <v>4301.1040000000003</v>
      </c>
      <c r="O53" s="136">
        <f>VLOOKUP($C53,难度推算表,副本难度推算!$R$3,FALSE)</f>
        <v>0</v>
      </c>
      <c r="P53" s="139"/>
      <c r="Q53" s="140">
        <f t="shared" si="2"/>
        <v>1</v>
      </c>
      <c r="R53" s="140">
        <f t="shared" si="3"/>
        <v>1.2000000000000002</v>
      </c>
      <c r="S53" s="140">
        <f t="shared" si="4"/>
        <v>0.96</v>
      </c>
      <c r="U53" s="141">
        <v>68</v>
      </c>
      <c r="V53" s="140">
        <v>0.8</v>
      </c>
      <c r="W53" s="140">
        <v>0.8</v>
      </c>
      <c r="X53" s="140">
        <v>0.8</v>
      </c>
    </row>
    <row r="54" spans="1:24" s="141" customFormat="1">
      <c r="A54" s="136" t="str">
        <f t="shared" si="0"/>
        <v>挑战BOSS</v>
      </c>
      <c r="B54" s="136" t="str">
        <f>怪物并表!$R$14</f>
        <v>英雄之路</v>
      </c>
      <c r="C54" s="136">
        <v>69</v>
      </c>
      <c r="D54" s="137">
        <f t="shared" si="1"/>
        <v>1901</v>
      </c>
      <c r="E54" s="138">
        <f>VLOOKUP($C54,难度推算表,副本难度推算!$M$3,FALSE)*副本难度推算!$Y$5*Q54</f>
        <v>583129.80920660822</v>
      </c>
      <c r="F54" s="138">
        <f>VLOOKUP($C54,难度推算表,副本难度推算!$P$3,FALSE)*副本难度推算!$Z$5*$R54+VLOOKUP($C54,难度推算表,副本难度推算!$H$3,FALSE)</f>
        <v>45534.726201498619</v>
      </c>
      <c r="G54" s="138">
        <f>VLOOKUP($C54,难度推算表,副本难度推算!$G$3,FALSE)-VLOOKUP($C54,难度推算表,副本难度推算!$I$3,FALSE)*(2-副本难度推算!$AA$5)*(2-$S54)</f>
        <v>9342.8169102762622</v>
      </c>
      <c r="H54" s="138">
        <f>VLOOKUP($C54,难度推算表,副本难度推算!$M$3,FALSE)*副本难度推算!$Y$6*Q54</f>
        <v>466503.84736528661</v>
      </c>
      <c r="I54" s="138">
        <f>VLOOKUP($C54,难度推算表,副本难度推算!$P$3,FALSE)*副本难度推算!$Z$6*$R54+VLOOKUP($C54,难度推算表,副本难度推算!$H$3,FALSE)</f>
        <v>41964.707992956784</v>
      </c>
      <c r="J54" s="138">
        <f>VLOOKUP($C54,难度推算表,副本难度推算!$G$3,FALSE)-VLOOKUP($C54,难度推算表,副本难度推算!$I$3,FALSE)*(2-副本难度推算!$AA$6)*(2-$S54)</f>
        <v>6785.8354400953922</v>
      </c>
      <c r="K54" s="138">
        <f>VLOOKUP($C54,难度推算表,副本难度推算!$M$3,FALSE)*副本难度推算!$Y$7*Q54</f>
        <v>1457824.5230165205</v>
      </c>
      <c r="L54" s="138">
        <f>VLOOKUP($C54,难度推算表,副本难度推算!$P$3,FALSE)*副本难度推算!$Z$7*$R54+VLOOKUP($C54,难度推算表,副本难度推算!$H$3,FALSE)</f>
        <v>52674.762618582274</v>
      </c>
      <c r="M54" s="138">
        <f>VLOOKUP($C54,难度推算表,副本难度推算!$G$3,FALSE)-VLOOKUP($C54,难度推算表,副本难度推算!$I$3,FALSE)*(2-副本难度推算!$AA$7)*(2-$S54)</f>
        <v>11899.798380457134</v>
      </c>
      <c r="N54" s="136">
        <f>VLOOKUP($C54,难度推算表,副本难度推算!$Q$3,FALSE)</f>
        <v>4359.3320000000003</v>
      </c>
      <c r="O54" s="136">
        <f>VLOOKUP($C54,难度推算表,副本难度推算!$R$3,FALSE)</f>
        <v>0</v>
      </c>
      <c r="P54" s="139"/>
      <c r="Q54" s="140">
        <f t="shared" si="2"/>
        <v>1</v>
      </c>
      <c r="R54" s="140">
        <f t="shared" si="3"/>
        <v>1.2000000000000002</v>
      </c>
      <c r="S54" s="140">
        <f t="shared" si="4"/>
        <v>0.96</v>
      </c>
      <c r="U54" s="141">
        <v>69</v>
      </c>
      <c r="V54" s="140">
        <v>0.8</v>
      </c>
      <c r="W54" s="140">
        <v>0.8</v>
      </c>
      <c r="X54" s="140">
        <v>0.8</v>
      </c>
    </row>
    <row r="55" spans="1:24" s="141" customFormat="1">
      <c r="A55" s="136" t="str">
        <f t="shared" si="0"/>
        <v>挑战BOSS</v>
      </c>
      <c r="B55" s="136" t="str">
        <f>怪物并表!$R$14</f>
        <v>英雄之路</v>
      </c>
      <c r="C55" s="136">
        <v>70</v>
      </c>
      <c r="D55" s="137">
        <f t="shared" si="1"/>
        <v>1901</v>
      </c>
      <c r="E55" s="138">
        <f>VLOOKUP($C55,难度推算表,副本难度推算!$M$3,FALSE)*副本难度推算!$Y$5*Q55</f>
        <v>620217.67267013376</v>
      </c>
      <c r="F55" s="138">
        <f>VLOOKUP($C55,难度推算表,副本难度推算!$P$3,FALSE)*副本难度推算!$Z$5*$R55+VLOOKUP($C55,难度推算表,副本难度推算!$H$3,FALSE)</f>
        <v>48508.897986276141</v>
      </c>
      <c r="G55" s="138">
        <f>VLOOKUP($C55,难度推算表,副本难度推算!$G$3,FALSE)-VLOOKUP($C55,难度推算表,副本难度推算!$I$3,FALSE)*(2-副本难度推算!$AA$5)*(2-$S55)</f>
        <v>9844.7155765886364</v>
      </c>
      <c r="H55" s="138">
        <f>VLOOKUP($C55,难度推算表,副本难度推算!$M$3,FALSE)*副本难度推算!$Y$6*Q55</f>
        <v>496174.13813610701</v>
      </c>
      <c r="I55" s="138">
        <f>VLOOKUP($C55,难度推算表,副本难度推算!$P$3,FALSE)*副本难度推算!$Z$6*$R55+VLOOKUP($C55,难度推算表,副本难度推算!$H$3,FALSE)</f>
        <v>44694.294037815751</v>
      </c>
      <c r="J55" s="138">
        <f>VLOOKUP($C55,难度推算表,副本难度推算!$G$3,FALSE)-VLOOKUP($C55,难度推算表,副本难度推算!$I$3,FALSE)*(2-副本难度推算!$AA$6)*(2-$S55)</f>
        <v>7150.3723661538515</v>
      </c>
      <c r="K55" s="138">
        <f>VLOOKUP($C55,难度推算表,副本难度推算!$M$3,FALSE)*副本难度推算!$Y$7*Q55</f>
        <v>1550544.1816753345</v>
      </c>
      <c r="L55" s="138">
        <f>VLOOKUP($C55,难度推算表,副本难度推算!$P$3,FALSE)*副本难度推算!$Z$7*$R55+VLOOKUP($C55,难度推算表,副本难度推算!$H$3,FALSE)</f>
        <v>56138.10588319692</v>
      </c>
      <c r="M55" s="138">
        <f>VLOOKUP($C55,难度推算表,副本难度推算!$G$3,FALSE)-VLOOKUP($C55,难度推算表,副本难度推算!$I$3,FALSE)*(2-副本难度推算!$AA$7)*(2-$S55)</f>
        <v>12539.058787023421</v>
      </c>
      <c r="N55" s="136">
        <f>VLOOKUP($C55,难度推算表,副本难度推算!$Q$3,FALSE)</f>
        <v>4417.5600000000004</v>
      </c>
      <c r="O55" s="136">
        <f>VLOOKUP($C55,难度推算表,副本难度推算!$R$3,FALSE)</f>
        <v>0</v>
      </c>
      <c r="P55" s="139"/>
      <c r="Q55" s="140">
        <f t="shared" si="2"/>
        <v>1</v>
      </c>
      <c r="R55" s="140">
        <f t="shared" si="3"/>
        <v>1.2000000000000002</v>
      </c>
      <c r="S55" s="140">
        <f t="shared" si="4"/>
        <v>0.96</v>
      </c>
      <c r="U55" s="141">
        <v>70</v>
      </c>
      <c r="V55" s="140">
        <v>0.8</v>
      </c>
      <c r="W55" s="140">
        <v>0.8</v>
      </c>
      <c r="X55" s="140">
        <v>0.8</v>
      </c>
    </row>
    <row r="56" spans="1:24" s="141" customFormat="1">
      <c r="A56" s="136" t="str">
        <f t="shared" si="0"/>
        <v>挑战BOSS</v>
      </c>
      <c r="B56" s="136" t="str">
        <f>怪物并表!$R$14</f>
        <v>英雄之路</v>
      </c>
      <c r="C56" s="136">
        <v>71</v>
      </c>
      <c r="D56" s="137">
        <f t="shared" si="1"/>
        <v>1901</v>
      </c>
      <c r="E56" s="138">
        <f>VLOOKUP($C56,难度推算表,副本难度推算!$M$3,FALSE)*副本难度推算!$Y$5*Q56</f>
        <v>658900.95051244006</v>
      </c>
      <c r="F56" s="138">
        <f>VLOOKUP($C56,难度推算表,副本难度推算!$P$3,FALSE)*副本难度推算!$Z$5*$R56+VLOOKUP($C56,难度推算表,副本难度推算!$H$3,FALSE)</f>
        <v>51625.752921612206</v>
      </c>
      <c r="G56" s="138">
        <f>VLOOKUP($C56,难度推算表,副本难度推算!$G$3,FALSE)-VLOOKUP($C56,难度推算表,副本难度推算!$I$3,FALSE)*(2-副本难度推算!$AA$5)*(2-$S56)</f>
        <v>10362.607893934455</v>
      </c>
      <c r="H56" s="138">
        <f>VLOOKUP($C56,难度推算表,副本难度推算!$M$3,FALSE)*副本难度推算!$Y$6*Q56</f>
        <v>527120.76040995202</v>
      </c>
      <c r="I56" s="138">
        <f>VLOOKUP($C56,难度推算表,副本难度推算!$P$3,FALSE)*副本难度推算!$Z$6*$R56+VLOOKUP($C56,难度推算表,副本难度推算!$H$3,FALSE)</f>
        <v>47553.97846039146</v>
      </c>
      <c r="J56" s="138">
        <f>VLOOKUP($C56,难度推算表,副本难度推算!$G$3,FALSE)-VLOOKUP($C56,难度推算表,副本难度推算!$I$3,FALSE)*(2-副本难度推算!$AA$6)*(2-$S56)</f>
        <v>7526.5257334892376</v>
      </c>
      <c r="K56" s="138">
        <f>VLOOKUP($C56,难度推算表,副本难度推算!$M$3,FALSE)*副本难度推算!$Y$7*Q56</f>
        <v>1647252.3762811001</v>
      </c>
      <c r="L56" s="138">
        <f>VLOOKUP($C56,难度推算表,副本难度推算!$P$3,FALSE)*副本难度推算!$Z$7*$R56+VLOOKUP($C56,难度推算表,副本难度推算!$H$3,FALSE)</f>
        <v>59769.301844053698</v>
      </c>
      <c r="M56" s="138">
        <f>VLOOKUP($C56,难度推算表,副本难度推算!$G$3,FALSE)-VLOOKUP($C56,难度推算表,副本难度推算!$I$3,FALSE)*(2-副本难度推算!$AA$7)*(2-$S56)</f>
        <v>13198.690054379673</v>
      </c>
      <c r="N56" s="136">
        <f>VLOOKUP($C56,难度推算表,副本难度推算!$Q$3,FALSE)</f>
        <v>4475.7879999999996</v>
      </c>
      <c r="O56" s="136">
        <f>VLOOKUP($C56,难度推算表,副本难度推算!$R$3,FALSE)</f>
        <v>0</v>
      </c>
      <c r="P56" s="139"/>
      <c r="Q56" s="140">
        <f t="shared" si="2"/>
        <v>1</v>
      </c>
      <c r="R56" s="140">
        <f t="shared" si="3"/>
        <v>1.2000000000000002</v>
      </c>
      <c r="S56" s="140">
        <f t="shared" si="4"/>
        <v>0.96</v>
      </c>
      <c r="U56" s="141">
        <v>71</v>
      </c>
      <c r="V56" s="140">
        <v>0.8</v>
      </c>
      <c r="W56" s="140">
        <v>0.8</v>
      </c>
      <c r="X56" s="140">
        <v>0.8</v>
      </c>
    </row>
    <row r="57" spans="1:24" s="141" customFormat="1">
      <c r="A57" s="136" t="str">
        <f t="shared" si="0"/>
        <v>挑战BOSS</v>
      </c>
      <c r="B57" s="136" t="str">
        <f>怪物并表!$R$14</f>
        <v>英雄之路</v>
      </c>
      <c r="C57" s="136">
        <v>72</v>
      </c>
      <c r="D57" s="137">
        <f t="shared" si="1"/>
        <v>1901</v>
      </c>
      <c r="E57" s="138">
        <f>VLOOKUP($C57,难度推算表,副本难度推算!$M$3,FALSE)*副本难度推算!$Y$5*Q57</f>
        <v>699220.77768433432</v>
      </c>
      <c r="F57" s="138">
        <f>VLOOKUP($C57,难度推算表,副本难度推算!$P$3,FALSE)*副本难度推算!$Z$5*$R57+VLOOKUP($C57,难度推算表,副本难度推算!$H$3,FALSE)</f>
        <v>54890.768954472514</v>
      </c>
      <c r="G57" s="138">
        <f>VLOOKUP($C57,难度推算表,副本难度推算!$G$3,FALSE)-VLOOKUP($C57,难度推算表,副本难度推算!$I$3,FALSE)*(2-副本难度推算!$AA$5)*(2-$S57)</f>
        <v>10896.715445562548</v>
      </c>
      <c r="H57" s="138">
        <f>VLOOKUP($C57,难度推算表,副本难度推算!$M$3,FALSE)*副本难度推算!$Y$6*Q57</f>
        <v>559376.62214746745</v>
      </c>
      <c r="I57" s="138">
        <f>VLOOKUP($C57,难度推算表,副本难度推算!$P$3,FALSE)*副本难度推算!$Z$6*$R57+VLOOKUP($C57,难度推算表,副本难度推算!$H$3,FALSE)</f>
        <v>50548.714737505528</v>
      </c>
      <c r="J57" s="138">
        <f>VLOOKUP($C57,难度推算表,副本难度推算!$G$3,FALSE)-VLOOKUP($C57,难度推算表,副本难度推算!$I$3,FALSE)*(2-副本难度推算!$AA$6)*(2-$S57)</f>
        <v>7914.456481513851</v>
      </c>
      <c r="K57" s="138">
        <f>VLOOKUP($C57,难度推算表,副本难度推算!$M$3,FALSE)*副本难度推算!$Y$7*Q57</f>
        <v>1748051.9442108357</v>
      </c>
      <c r="L57" s="138">
        <f>VLOOKUP($C57,难度推算表,副本难度推算!$P$3,FALSE)*副本难度推算!$Z$7*$R57+VLOOKUP($C57,难度推算表,副本难度推算!$H$3,FALSE)</f>
        <v>63574.877388406479</v>
      </c>
      <c r="M57" s="138">
        <f>VLOOKUP($C57,难度推算表,副本难度推算!$G$3,FALSE)-VLOOKUP($C57,难度推算表,副本难度推算!$I$3,FALSE)*(2-副本难度推算!$AA$7)*(2-$S57)</f>
        <v>13878.974409611244</v>
      </c>
      <c r="N57" s="136">
        <f>VLOOKUP($C57,难度推算表,副本难度推算!$Q$3,FALSE)</f>
        <v>4534.0159999999996</v>
      </c>
      <c r="O57" s="136">
        <f>VLOOKUP($C57,难度推算表,副本难度推算!$R$3,FALSE)</f>
        <v>0</v>
      </c>
      <c r="P57" s="139"/>
      <c r="Q57" s="140">
        <f t="shared" si="2"/>
        <v>1</v>
      </c>
      <c r="R57" s="140">
        <f t="shared" si="3"/>
        <v>1.2000000000000002</v>
      </c>
      <c r="S57" s="140">
        <f t="shared" si="4"/>
        <v>0.96</v>
      </c>
      <c r="U57" s="141">
        <v>72</v>
      </c>
      <c r="V57" s="140">
        <v>0.8</v>
      </c>
      <c r="W57" s="140">
        <v>0.8</v>
      </c>
      <c r="X57" s="140">
        <v>0.8</v>
      </c>
    </row>
    <row r="58" spans="1:24" s="141" customFormat="1">
      <c r="A58" s="136" t="str">
        <f t="shared" si="0"/>
        <v>挑战BOSS</v>
      </c>
      <c r="B58" s="136" t="str">
        <f>怪物并表!$R$14</f>
        <v>英雄之路</v>
      </c>
      <c r="C58" s="136">
        <v>73</v>
      </c>
      <c r="D58" s="137">
        <f t="shared" si="1"/>
        <v>1901</v>
      </c>
      <c r="E58" s="138">
        <f>VLOOKUP($C58,难度推算表,副本难度推算!$M$3,FALSE)*副本难度推算!$Y$5*Q58</f>
        <v>741218.75957786536</v>
      </c>
      <c r="F58" s="138">
        <f>VLOOKUP($C58,难度推算表,副本难度推算!$P$3,FALSE)*副本难度推算!$Z$5*$R58+VLOOKUP($C58,难度推算表,副本难度推算!$H$3,FALSE)</f>
        <v>58309.648004838033</v>
      </c>
      <c r="G58" s="138">
        <f>VLOOKUP($C58,难度推算表,副本难度推算!$G$3,FALSE)-VLOOKUP($C58,难度推算表,副本难度推算!$I$3,FALSE)*(2-副本难度推算!$AA$5)*(2-$S58)</f>
        <v>11447.259814721747</v>
      </c>
      <c r="H58" s="138">
        <f>VLOOKUP($C58,难度推算表,副本难度推算!$M$3,FALSE)*副本难度推算!$Y$6*Q58</f>
        <v>592975.00766229234</v>
      </c>
      <c r="I58" s="138">
        <f>VLOOKUP($C58,难度推算表,副本难度推算!$P$3,FALSE)*副本难度推算!$Z$6*$R58+VLOOKUP($C58,难度推算表,副本难度推算!$H$3,FALSE)</f>
        <v>53683.657921693368</v>
      </c>
      <c r="J58" s="138">
        <f>VLOOKUP($C58,难度推算表,副本难度推算!$G$3,FALSE)-VLOOKUP($C58,难度推算表,副本难度推算!$I$3,FALSE)*(2-副本难度推算!$AA$6)*(2-$S58)</f>
        <v>8314.3255496400088</v>
      </c>
      <c r="K58" s="138">
        <f>VLOOKUP($C58,难度推算表,副本难度推算!$M$3,FALSE)*副本难度推算!$Y$7*Q58</f>
        <v>1853046.8989446633</v>
      </c>
      <c r="L58" s="138">
        <f>VLOOKUP($C58,难度推算表,副本难度推算!$P$3,FALSE)*副本难度推算!$Z$7*$R58+VLOOKUP($C58,难度推算表,副本难度推算!$H$3,FALSE)</f>
        <v>67561.628171127377</v>
      </c>
      <c r="M58" s="138">
        <f>VLOOKUP($C58,难度推算表,副本难度推算!$G$3,FALSE)-VLOOKUP($C58,难度推算表,副本难度推算!$I$3,FALSE)*(2-副本难度推算!$AA$7)*(2-$S58)</f>
        <v>14580.194079803487</v>
      </c>
      <c r="N58" s="136">
        <f>VLOOKUP($C58,难度推算表,副本难度推算!$Q$3,FALSE)</f>
        <v>4592.2439999999997</v>
      </c>
      <c r="O58" s="136">
        <f>VLOOKUP($C58,难度推算表,副本难度推算!$R$3,FALSE)</f>
        <v>0</v>
      </c>
      <c r="P58" s="139"/>
      <c r="Q58" s="140">
        <f t="shared" si="2"/>
        <v>1</v>
      </c>
      <c r="R58" s="140">
        <f t="shared" si="3"/>
        <v>1.2000000000000002</v>
      </c>
      <c r="S58" s="140">
        <f t="shared" si="4"/>
        <v>0.96</v>
      </c>
      <c r="U58" s="141">
        <v>73</v>
      </c>
      <c r="V58" s="140">
        <v>0.8</v>
      </c>
      <c r="W58" s="140">
        <v>0.8</v>
      </c>
      <c r="X58" s="140">
        <v>0.8</v>
      </c>
    </row>
    <row r="59" spans="1:24" s="141" customFormat="1">
      <c r="A59" s="136" t="str">
        <f t="shared" si="0"/>
        <v>挑战BOSS</v>
      </c>
      <c r="B59" s="136" t="str">
        <f>怪物并表!$R$14</f>
        <v>英雄之路</v>
      </c>
      <c r="C59" s="136">
        <v>74</v>
      </c>
      <c r="D59" s="137">
        <f t="shared" si="1"/>
        <v>1901</v>
      </c>
      <c r="E59" s="138">
        <f>VLOOKUP($C59,难度推算表,副本难度推算!$M$3,FALSE)*副本难度推算!$Y$5*Q59</f>
        <v>784936.97185025411</v>
      </c>
      <c r="F59" s="138">
        <f>VLOOKUP($C59,难度推算表,副本难度推算!$P$3,FALSE)*副本难度推算!$Z$5*$R59+VLOOKUP($C59,难度推算表,副本难度推算!$H$3,FALSE)</f>
        <v>61888.328050579956</v>
      </c>
      <c r="G59" s="138">
        <f>VLOOKUP($C59,难度推算表,副本难度推算!$G$3,FALSE)-VLOOKUP($C59,难度推算表,副本难度推算!$I$3,FALSE)*(2-副本难度推算!$AA$5)*(2-$S59)</f>
        <v>12014.462584660876</v>
      </c>
      <c r="H59" s="138">
        <f>VLOOKUP($C59,难度推算表,副本难度推算!$M$3,FALSE)*副本难度推算!$Y$6*Q59</f>
        <v>627949.57748020336</v>
      </c>
      <c r="I59" s="138">
        <f>VLOOKUP($C59,难度推算表,副本难度推算!$P$3,FALSE)*副本难度推算!$Z$6*$R59+VLOOKUP($C59,难度推算表,副本难度推算!$H$3,FALSE)</f>
        <v>56964.175517591524</v>
      </c>
      <c r="J59" s="138">
        <f>VLOOKUP($C59,难度推算表,副本难度推算!$G$3,FALSE)-VLOOKUP($C59,难度推算表,副本难度推算!$I$3,FALSE)*(2-副本难度推算!$AA$6)*(2-$S59)</f>
        <v>8726.2938772800044</v>
      </c>
      <c r="K59" s="138">
        <f>VLOOKUP($C59,难度推算表,副本难度推算!$M$3,FALSE)*副本难度推算!$Y$7*Q59</f>
        <v>1962342.4296256353</v>
      </c>
      <c r="L59" s="138">
        <f>VLOOKUP($C59,难度推算表,副本难度推算!$P$3,FALSE)*副本难度推算!$Z$7*$R59+VLOOKUP($C59,难度推算表,副本难度推算!$H$3,FALSE)</f>
        <v>71736.633116556812</v>
      </c>
      <c r="M59" s="138">
        <f>VLOOKUP($C59,难度推算表,副本难度推算!$G$3,FALSE)-VLOOKUP($C59,难度推算表,副本难度推算!$I$3,FALSE)*(2-副本难度推算!$AA$7)*(2-$S59)</f>
        <v>15302.631292041746</v>
      </c>
      <c r="N59" s="136">
        <f>VLOOKUP($C59,难度推算表,副本难度推算!$Q$3,FALSE)</f>
        <v>4650.4720000000007</v>
      </c>
      <c r="O59" s="136">
        <f>VLOOKUP($C59,难度推算表,副本难度推算!$R$3,FALSE)</f>
        <v>0</v>
      </c>
      <c r="P59" s="139"/>
      <c r="Q59" s="140">
        <f t="shared" si="2"/>
        <v>1</v>
      </c>
      <c r="R59" s="140">
        <f t="shared" si="3"/>
        <v>1.2000000000000002</v>
      </c>
      <c r="S59" s="140">
        <f t="shared" si="4"/>
        <v>0.96</v>
      </c>
      <c r="U59" s="141">
        <v>74</v>
      </c>
      <c r="V59" s="140">
        <v>0.8</v>
      </c>
      <c r="W59" s="140">
        <v>0.8</v>
      </c>
      <c r="X59" s="140">
        <v>0.8</v>
      </c>
    </row>
    <row r="60" spans="1:24" s="141" customFormat="1">
      <c r="A60" s="136" t="str">
        <f t="shared" si="0"/>
        <v>挑战BOSS</v>
      </c>
      <c r="B60" s="136" t="str">
        <f>怪物并表!$R$14</f>
        <v>英雄之路</v>
      </c>
      <c r="C60" s="136">
        <v>75</v>
      </c>
      <c r="D60" s="137">
        <f t="shared" si="1"/>
        <v>1901</v>
      </c>
      <c r="E60" s="138">
        <f>VLOOKUP($C60,难度推算表,副本难度推算!$M$3,FALSE)*副本难度推算!$Y$5*Q60</f>
        <v>830417.96024897066</v>
      </c>
      <c r="F60" s="138">
        <f>VLOOKUP($C60,难度推算表,副本难度推算!$P$3,FALSE)*副本难度推算!$Z$5*$R60+VLOOKUP($C60,难度推算表,副本难度推算!$H$3,FALSE)</f>
        <v>65632.996003344539</v>
      </c>
      <c r="G60" s="138">
        <f>VLOOKUP($C60,难度推算表,副本难度推算!$G$3,FALSE)-VLOOKUP($C60,难度推算表,副本难度推算!$I$3,FALSE)*(2-副本难度推算!$AA$5)*(2-$S60)</f>
        <v>12598.545338628774</v>
      </c>
      <c r="H60" s="138">
        <f>VLOOKUP($C60,难度推算表,副本难度推算!$M$3,FALSE)*副本难度推算!$Y$6*Q60</f>
        <v>664334.36819917662</v>
      </c>
      <c r="I60" s="138">
        <f>VLOOKUP($C60,难度推算表,副本难度推算!$P$3,FALSE)*副本难度推算!$Z$6*$R60+VLOOKUP($C60,难度推算表,副本难度推算!$H$3,FALSE)</f>
        <v>60395.859070234168</v>
      </c>
      <c r="J60" s="138">
        <f>VLOOKUP($C60,难度推算表,副本难度推算!$G$3,FALSE)-VLOOKUP($C60,难度推算表,副本难度推算!$I$3,FALSE)*(2-副本难度推算!$AA$6)*(2-$S60)</f>
        <v>9150.5224038461638</v>
      </c>
      <c r="K60" s="138">
        <f>VLOOKUP($C60,难度推算表,副本难度推算!$M$3,FALSE)*副本难度推算!$Y$7*Q60</f>
        <v>2076044.9006224265</v>
      </c>
      <c r="L60" s="138">
        <f>VLOOKUP($C60,难度推算表,副本难度推算!$P$3,FALSE)*副本难度推算!$Z$7*$R60+VLOOKUP($C60,难度推算表,副本难度推算!$H$3,FALSE)</f>
        <v>76107.26986956528</v>
      </c>
      <c r="M60" s="138">
        <f>VLOOKUP($C60,难度推算表,副本难度推算!$G$3,FALSE)-VLOOKUP($C60,难度推算表,副本难度推算!$I$3,FALSE)*(2-副本难度推算!$AA$7)*(2-$S60)</f>
        <v>16046.568273411383</v>
      </c>
      <c r="N60" s="136">
        <f>VLOOKUP($C60,难度推算表,副本难度推算!$Q$3,FALSE)</f>
        <v>4708.7</v>
      </c>
      <c r="O60" s="136">
        <f>VLOOKUP($C60,难度推算表,副本难度推算!$R$3,FALSE)</f>
        <v>0</v>
      </c>
      <c r="P60" s="139"/>
      <c r="Q60" s="140">
        <f t="shared" si="2"/>
        <v>1</v>
      </c>
      <c r="R60" s="140">
        <f t="shared" si="3"/>
        <v>1.2000000000000002</v>
      </c>
      <c r="S60" s="140">
        <f t="shared" si="4"/>
        <v>0.96</v>
      </c>
      <c r="U60" s="141">
        <v>75</v>
      </c>
      <c r="V60" s="140">
        <v>0.8</v>
      </c>
      <c r="W60" s="140">
        <v>0.8</v>
      </c>
      <c r="X60" s="140">
        <v>0.8</v>
      </c>
    </row>
    <row r="61" spans="1:24" s="141" customFormat="1">
      <c r="A61" s="136" t="str">
        <f t="shared" si="0"/>
        <v>挑战BOSS</v>
      </c>
      <c r="B61" s="136" t="str">
        <f>怪物并表!$R$14</f>
        <v>英雄之路</v>
      </c>
      <c r="C61" s="136">
        <v>76</v>
      </c>
      <c r="D61" s="137">
        <f t="shared" si="1"/>
        <v>1901</v>
      </c>
      <c r="E61" s="138">
        <f>VLOOKUP($C61,难度推算表,副本难度推算!$M$3,FALSE)*副本难度推算!$Y$5*Q61</f>
        <v>877704.74043809366</v>
      </c>
      <c r="F61" s="138">
        <f>VLOOKUP($C61,难度推算表,副本难度推算!$P$3,FALSE)*副本难度推算!$Z$5*$R61+VLOOKUP($C61,难度推算表,副本难度推算!$H$3,FALSE)</f>
        <v>69550.101436518627</v>
      </c>
      <c r="G61" s="138">
        <f>VLOOKUP($C61,难度推算表,副本难度推算!$G$3,FALSE)-VLOOKUP($C61,难度推算表,副本难度推算!$I$3,FALSE)*(2-副本难度推算!$AA$5)*(2-$S61)</f>
        <v>13199.729659874254</v>
      </c>
      <c r="H61" s="138">
        <f>VLOOKUP($C61,难度推算表,副本难度推算!$M$3,FALSE)*副本难度推算!$Y$6*Q61</f>
        <v>702163.79235047498</v>
      </c>
      <c r="I61" s="138">
        <f>VLOOKUP($C61,难度推算表,副本难度推算!$P$3,FALSE)*副本难度推算!$Z$6*$R61+VLOOKUP($C61,难度推算表,副本难度推算!$H$3,FALSE)</f>
        <v>63984.536520221962</v>
      </c>
      <c r="J61" s="138">
        <f>VLOOKUP($C61,难度推算表,副本难度推算!$G$3,FALSE)-VLOOKUP($C61,难度推算表,副本难度推算!$I$3,FALSE)*(2-副本难度推算!$AA$6)*(2-$S61)</f>
        <v>9587.1720687507768</v>
      </c>
      <c r="K61" s="138">
        <f>VLOOKUP($C61,难度推算表,副本难度推算!$M$3,FALSE)*副本难度推算!$Y$7*Q61</f>
        <v>2194261.851095234</v>
      </c>
      <c r="L61" s="138">
        <f>VLOOKUP($C61,难度推算表,副本难度推算!$P$3,FALSE)*副本难度推算!$Z$7*$R61+VLOOKUP($C61,难度推算表,副本难度推算!$H$3,FALSE)</f>
        <v>80681.231269112002</v>
      </c>
      <c r="M61" s="138">
        <f>VLOOKUP($C61,难度推算表,副本难度推算!$G$3,FALSE)-VLOOKUP($C61,难度推算表,副本难度推算!$I$3,FALSE)*(2-副本难度推算!$AA$7)*(2-$S61)</f>
        <v>16812.287250997731</v>
      </c>
      <c r="N61" s="136">
        <f>VLOOKUP($C61,难度推算表,副本难度推算!$Q$3,FALSE)</f>
        <v>4766.9279999999999</v>
      </c>
      <c r="O61" s="136">
        <f>VLOOKUP($C61,难度推算表,副本难度推算!$R$3,FALSE)</f>
        <v>0</v>
      </c>
      <c r="P61" s="139"/>
      <c r="Q61" s="140">
        <f t="shared" si="2"/>
        <v>1</v>
      </c>
      <c r="R61" s="140">
        <f t="shared" si="3"/>
        <v>1.2000000000000002</v>
      </c>
      <c r="S61" s="140">
        <f t="shared" si="4"/>
        <v>0.96</v>
      </c>
      <c r="U61" s="141">
        <v>76</v>
      </c>
      <c r="V61" s="140">
        <v>0.8</v>
      </c>
      <c r="W61" s="140">
        <v>0.8</v>
      </c>
      <c r="X61" s="140">
        <v>0.8</v>
      </c>
    </row>
    <row r="62" spans="1:24" s="141" customFormat="1">
      <c r="A62" s="136" t="str">
        <f t="shared" si="0"/>
        <v>挑战BOSS</v>
      </c>
      <c r="B62" s="136" t="str">
        <f>怪物并表!$R$14</f>
        <v>英雄之路</v>
      </c>
      <c r="C62" s="136">
        <v>77</v>
      </c>
      <c r="D62" s="137">
        <f t="shared" si="1"/>
        <v>1901</v>
      </c>
      <c r="E62" s="138">
        <f>VLOOKUP($C62,难度推算表,副本难度推算!$M$3,FALSE)*副本难度推算!$Y$5*Q62</f>
        <v>926840.79782604403</v>
      </c>
      <c r="F62" s="138">
        <f>VLOOKUP($C62,难度推算表,副本难度推算!$P$3,FALSE)*副本难度推算!$Z$5*$R62+VLOOKUP($C62,难度推算表,副本难度推算!$H$3,FALSE)</f>
        <v>73646.371231795303</v>
      </c>
      <c r="G62" s="138">
        <f>VLOOKUP($C62,难度推算表,副本难度推算!$G$3,FALSE)-VLOOKUP($C62,难度推算表,副本难度推算!$I$3,FALSE)*(2-副本难度推算!$AA$5)*(2-$S62)</f>
        <v>13818.237131646158</v>
      </c>
      <c r="H62" s="138">
        <f>VLOOKUP($C62,难度推算表,副本难度推算!$M$3,FALSE)*副本难度推算!$Y$6*Q62</f>
        <v>741472.63826083532</v>
      </c>
      <c r="I62" s="138">
        <f>VLOOKUP($C62,难度推算表,副本难度推算!$P$3,FALSE)*副本难度推算!$Z$6*$R62+VLOOKUP($C62,难度推算表,副本难度推算!$H$3,FALSE)</f>
        <v>67736.285385631156</v>
      </c>
      <c r="J62" s="138">
        <f>VLOOKUP($C62,难度推算表,副本难度推算!$G$3,FALSE)-VLOOKUP($C62,难度推算表,副本难度推算!$I$3,FALSE)*(2-副本难度推算!$AA$6)*(2-$S62)</f>
        <v>10036.403811406155</v>
      </c>
      <c r="K62" s="138">
        <f>VLOOKUP($C62,难度推算表,副本难度推算!$M$3,FALSE)*副本难度推算!$Y$7*Q62</f>
        <v>2317101.9945651102</v>
      </c>
      <c r="L62" s="138">
        <f>VLOOKUP($C62,难度推算表,副本难度推算!$P$3,FALSE)*副本难度推算!$Z$7*$R62+VLOOKUP($C62,难度推算表,副本难度推算!$H$3,FALSE)</f>
        <v>85466.542924123583</v>
      </c>
      <c r="M62" s="138">
        <f>VLOOKUP($C62,难度推算表,副本难度推算!$G$3,FALSE)-VLOOKUP($C62,难度推算表,副本难度推算!$I$3,FALSE)*(2-副本难度推算!$AA$7)*(2-$S62)</f>
        <v>17600.07045188616</v>
      </c>
      <c r="N62" s="136">
        <f>VLOOKUP($C62,难度推算表,副本难度推算!$Q$3,FALSE)</f>
        <v>4825.1559999999999</v>
      </c>
      <c r="O62" s="136">
        <f>VLOOKUP($C62,难度推算表,副本难度推算!$R$3,FALSE)</f>
        <v>0</v>
      </c>
      <c r="P62" s="139"/>
      <c r="Q62" s="140">
        <f t="shared" si="2"/>
        <v>1</v>
      </c>
      <c r="R62" s="140">
        <f t="shared" si="3"/>
        <v>1.2000000000000002</v>
      </c>
      <c r="S62" s="140">
        <f t="shared" si="4"/>
        <v>0.96</v>
      </c>
      <c r="U62" s="141">
        <v>77</v>
      </c>
      <c r="V62" s="140">
        <v>0.8</v>
      </c>
      <c r="W62" s="140">
        <v>0.8</v>
      </c>
      <c r="X62" s="140">
        <v>0.8</v>
      </c>
    </row>
    <row r="63" spans="1:24" s="141" customFormat="1">
      <c r="A63" s="136" t="str">
        <f t="shared" si="0"/>
        <v>挑战BOSS</v>
      </c>
      <c r="B63" s="136" t="str">
        <f>怪物并表!$R$14</f>
        <v>英雄之路</v>
      </c>
      <c r="C63" s="136">
        <v>78</v>
      </c>
      <c r="D63" s="137">
        <f t="shared" si="1"/>
        <v>1901</v>
      </c>
      <c r="E63" s="138">
        <f>VLOOKUP($C63,难度推算表,副本难度推算!$M$3,FALSE)*副本难度推算!$Y$5*Q63</f>
        <v>977870.08739479212</v>
      </c>
      <c r="F63" s="138">
        <f>VLOOKUP($C63,难度推算表,副本难度推算!$P$3,FALSE)*副本难度推算!$Z$5*$R63+VLOOKUP($C63,难度推算表,副本难度推算!$H$3,FALSE)</f>
        <v>77928.825216860059</v>
      </c>
      <c r="G63" s="138">
        <f>VLOOKUP($C63,难度推算表,副本难度推算!$G$3,FALSE)-VLOOKUP($C63,难度推算表,副本难度推算!$I$3,FALSE)*(2-副本难度推算!$AA$5)*(2-$S63)</f>
        <v>14454.289337193313</v>
      </c>
      <c r="H63" s="138">
        <f>VLOOKUP($C63,难度推算表,副本难度推算!$M$3,FALSE)*副本难度推算!$Y$6*Q63</f>
        <v>782296.06991583377</v>
      </c>
      <c r="I63" s="138">
        <f>VLOOKUP($C63,难度推算表,副本难度推算!$P$3,FALSE)*副本难度推算!$Z$6*$R63+VLOOKUP($C63,难度推算表,副本难度推算!$H$3,FALSE)</f>
        <v>71657.446835931245</v>
      </c>
      <c r="J63" s="138">
        <f>VLOOKUP($C63,难度推算表,副本难度推算!$G$3,FALSE)-VLOOKUP($C63,难度推算表,副本难度推算!$I$3,FALSE)*(2-副本难度推算!$AA$6)*(2-$S63)</f>
        <v>10498.378571224617</v>
      </c>
      <c r="K63" s="138">
        <f>VLOOKUP($C63,难度推算表,副本难度推算!$M$3,FALSE)*副本难度推算!$Y$7*Q63</f>
        <v>2444675.2184869805</v>
      </c>
      <c r="L63" s="138">
        <f>VLOOKUP($C63,难度推算表,副本难度推算!$P$3,FALSE)*副本难度推算!$Z$7*$R63+VLOOKUP($C63,难度推算表,副本难度推算!$H$3,FALSE)</f>
        <v>90471.581978717688</v>
      </c>
      <c r="M63" s="138">
        <f>VLOOKUP($C63,难度推算表,副本难度推算!$G$3,FALSE)-VLOOKUP($C63,难度推算表,副本难度推算!$I$3,FALSE)*(2-副本难度推算!$AA$7)*(2-$S63)</f>
        <v>18410.200103162009</v>
      </c>
      <c r="N63" s="136">
        <f>VLOOKUP($C63,难度推算表,副本难度推算!$Q$3,FALSE)</f>
        <v>4883.384</v>
      </c>
      <c r="O63" s="136">
        <f>VLOOKUP($C63,难度推算表,副本难度推算!$R$3,FALSE)</f>
        <v>0</v>
      </c>
      <c r="P63" s="139"/>
      <c r="Q63" s="140">
        <f t="shared" si="2"/>
        <v>1</v>
      </c>
      <c r="R63" s="140">
        <f t="shared" si="3"/>
        <v>1.2000000000000002</v>
      </c>
      <c r="S63" s="140">
        <f t="shared" si="4"/>
        <v>0.96</v>
      </c>
      <c r="U63" s="141">
        <v>78</v>
      </c>
      <c r="V63" s="140">
        <v>0.8</v>
      </c>
      <c r="W63" s="140">
        <v>0.8</v>
      </c>
      <c r="X63" s="140">
        <v>0.8</v>
      </c>
    </row>
    <row r="64" spans="1:24" s="141" customFormat="1">
      <c r="A64" s="136" t="str">
        <f t="shared" si="0"/>
        <v>挑战BOSS</v>
      </c>
      <c r="B64" s="136" t="str">
        <f>怪物并表!$R$14</f>
        <v>英雄之路</v>
      </c>
      <c r="C64" s="136">
        <v>79</v>
      </c>
      <c r="D64" s="137">
        <f t="shared" si="1"/>
        <v>1901</v>
      </c>
      <c r="E64" s="138">
        <f>VLOOKUP($C64,难度推算表,副本难度推算!$M$3,FALSE)*副本难度推算!$Y$5*Q64</f>
        <v>1030837.0335306139</v>
      </c>
      <c r="F64" s="138">
        <f>VLOOKUP($C64,难度推算表,副本难度推算!$P$3,FALSE)*副本难度推算!$Z$5*$R64+VLOOKUP($C64,难度推算表,副本难度推算!$H$3,FALSE)</f>
        <v>82404.792873337326</v>
      </c>
      <c r="G64" s="138">
        <f>VLOOKUP($C64,难度推算表,副本难度推算!$G$3,FALSE)-VLOOKUP($C64,难度推算表,副本难度推算!$I$3,FALSE)*(2-副本难度推算!$AA$5)*(2-$S64)</f>
        <v>15108.107859764557</v>
      </c>
      <c r="H64" s="138">
        <f>VLOOKUP($C64,难度推算表,副本难度推算!$M$3,FALSE)*副本难度推算!$Y$6*Q64</f>
        <v>824669.62682449119</v>
      </c>
      <c r="I64" s="138">
        <f>VLOOKUP($C64,难度推算表,副本难度推算!$P$3,FALSE)*副本难度推算!$Z$6*$R64+VLOOKUP($C64,难度推算表,副本难度推算!$H$3,FALSE)</f>
        <v>75754.640729136707</v>
      </c>
      <c r="J64" s="138">
        <f>VLOOKUP($C64,难度推算表,副本难度推算!$G$3,FALSE)-VLOOKUP($C64,难度推算表,副本难度推算!$I$3,FALSE)*(2-副本难度推算!$AA$6)*(2-$S64)</f>
        <v>10973.257287618471</v>
      </c>
      <c r="K64" s="138">
        <f>VLOOKUP($C64,难度推算表,副本难度推算!$M$3,FALSE)*副本难度推算!$Y$7*Q64</f>
        <v>2577092.5838265345</v>
      </c>
      <c r="L64" s="138">
        <f>VLOOKUP($C64,难度推算表,副本难度推算!$P$3,FALSE)*副本难度推算!$Z$7*$R64+VLOOKUP($C64,难度推算表,副本难度推算!$H$3,FALSE)</f>
        <v>95705.09716173858</v>
      </c>
      <c r="M64" s="138">
        <f>VLOOKUP($C64,难度推算表,副本难度推算!$G$3,FALSE)-VLOOKUP($C64,难度推算表,副本难度推算!$I$3,FALSE)*(2-副本难度推算!$AA$7)*(2-$S64)</f>
        <v>19242.958431910647</v>
      </c>
      <c r="N64" s="136">
        <f>VLOOKUP($C64,难度推算表,副本难度推算!$Q$3,FALSE)</f>
        <v>4941.6120000000001</v>
      </c>
      <c r="O64" s="136">
        <f>VLOOKUP($C64,难度推算表,副本难度推算!$R$3,FALSE)</f>
        <v>0</v>
      </c>
      <c r="P64" s="139"/>
      <c r="Q64" s="140">
        <f t="shared" si="2"/>
        <v>1</v>
      </c>
      <c r="R64" s="140">
        <f t="shared" si="3"/>
        <v>1.2000000000000002</v>
      </c>
      <c r="S64" s="140">
        <f t="shared" si="4"/>
        <v>0.96</v>
      </c>
      <c r="U64" s="141">
        <v>79</v>
      </c>
      <c r="V64" s="140">
        <v>0.8</v>
      </c>
      <c r="W64" s="140">
        <v>0.8</v>
      </c>
      <c r="X64" s="140">
        <v>0.8</v>
      </c>
    </row>
    <row r="65" spans="1:24" s="141" customFormat="1">
      <c r="A65" s="136" t="str">
        <f t="shared" si="0"/>
        <v>挑战BOSS</v>
      </c>
      <c r="B65" s="136" t="str">
        <f>怪物并表!$R$14</f>
        <v>英雄之路</v>
      </c>
      <c r="C65" s="136">
        <v>80</v>
      </c>
      <c r="D65" s="137">
        <f t="shared" si="1"/>
        <v>1901</v>
      </c>
      <c r="E65" s="138">
        <f>VLOOKUP($C65,难度推算表,副本难度推算!$M$3,FALSE)*副本难度推算!$Y$5*Q65</f>
        <v>1089027.6836769141</v>
      </c>
      <c r="F65" s="138">
        <f>VLOOKUP($C65,难度推算表,副本难度推算!$P$3,FALSE)*副本难度推算!$Z$5*$R65+VLOOKUP($C65,难度推算表,副本难度推算!$H$3,FALSE)</f>
        <v>87341.877264728595</v>
      </c>
      <c r="G65" s="138">
        <f>VLOOKUP($C65,难度推算表,副本难度推算!$G$3,FALSE)-VLOOKUP($C65,难度推算表,副本难度推算!$I$3,FALSE)*(2-副本难度推算!$AA$5)*(2-$S65)</f>
        <v>15827.018504347827</v>
      </c>
      <c r="H65" s="138">
        <f>VLOOKUP($C65,难度推算表,副本难度推算!$M$3,FALSE)*副本难度推算!$Y$6*Q65</f>
        <v>871222.14694153133</v>
      </c>
      <c r="I65" s="138">
        <f>VLOOKUP($C65,难度推算表,副本难度推算!$P$3,FALSE)*副本难度推算!$Z$6*$R65+VLOOKUP($C65,难度推算表,副本难度推算!$H$3,FALSE)</f>
        <v>80273.691486081821</v>
      </c>
      <c r="J65" s="138">
        <f>VLOOKUP($C65,难度推算表,副本难度推算!$G$3,FALSE)-VLOOKUP($C65,难度推算表,副本难度推算!$I$3,FALSE)*(2-副本难度推算!$AA$6)*(2-$S65)</f>
        <v>11495.41344</v>
      </c>
      <c r="K65" s="138">
        <f>VLOOKUP($C65,难度推算表,副本难度推算!$M$3,FALSE)*副本难度推算!$Y$7*Q65</f>
        <v>2722569.2091922853</v>
      </c>
      <c r="L65" s="138">
        <f>VLOOKUP($C65,难度推算表,副本难度推算!$P$3,FALSE)*副本难度推算!$Z$7*$R65+VLOOKUP($C65,难度推算表,副本难度推算!$H$3,FALSE)</f>
        <v>101478.24882202213</v>
      </c>
      <c r="M65" s="138">
        <f>VLOOKUP($C65,难度推算表,副本难度推算!$G$3,FALSE)-VLOOKUP($C65,难度推算表,副本难度推算!$I$3,FALSE)*(2-副本难度推算!$AA$7)*(2-$S65)</f>
        <v>20158.623568695653</v>
      </c>
      <c r="N65" s="136">
        <f>VLOOKUP($C65,难度推算表,副本难度推算!$Q$3,FALSE)</f>
        <v>4999.84</v>
      </c>
      <c r="O65" s="136">
        <f>VLOOKUP($C65,难度推算表,副本难度推算!$R$3,FALSE)</f>
        <v>0</v>
      </c>
      <c r="P65" s="139"/>
      <c r="Q65" s="140">
        <f t="shared" si="2"/>
        <v>1</v>
      </c>
      <c r="R65" s="140">
        <f t="shared" si="3"/>
        <v>1.2000000000000002</v>
      </c>
      <c r="S65" s="140">
        <f t="shared" si="4"/>
        <v>0.96</v>
      </c>
      <c r="U65" s="141">
        <v>80</v>
      </c>
      <c r="V65" s="140">
        <v>0.8</v>
      </c>
      <c r="W65" s="140">
        <v>0.8</v>
      </c>
      <c r="X65" s="140">
        <v>0.8</v>
      </c>
    </row>
    <row r="66" spans="1:24" s="141" customFormat="1">
      <c r="A66" s="136" t="str">
        <f t="shared" si="0"/>
        <v>挑战BOSS</v>
      </c>
      <c r="B66" s="136" t="str">
        <f>怪物并表!$R$14</f>
        <v>英雄之路</v>
      </c>
      <c r="C66" s="136">
        <v>81</v>
      </c>
      <c r="D66" s="137">
        <f t="shared" si="1"/>
        <v>1901</v>
      </c>
      <c r="E66" s="138">
        <f>VLOOKUP($C66,难度推算表,副本难度推算!$M$3,FALSE)*副本难度推算!$Y$5*Q66</f>
        <v>1149446.7691189412</v>
      </c>
      <c r="F66" s="138">
        <f>VLOOKUP($C66,难度推算表,副本难度推算!$P$3,FALSE)*副本难度推算!$Z$5*$R66+VLOOKUP($C66,难度推算表,副本难度推算!$H$3,FALSE)</f>
        <v>106581.30418407614</v>
      </c>
      <c r="G66" s="138">
        <f>VLOOKUP($C66,难度推算表,副本难度推算!$G$3,FALSE)-VLOOKUP($C66,难度推算表,副本难度推算!$I$3,FALSE)*(2-副本难度推算!$AA$5)*(2-$S66)</f>
        <v>16566.245570196665</v>
      </c>
      <c r="H66" s="138">
        <f>VLOOKUP($C66,难度推算表,副本难度推算!$M$3,FALSE)*副本难度推算!$Y$6*Q66</f>
        <v>919557.41529515292</v>
      </c>
      <c r="I66" s="138">
        <f>VLOOKUP($C66,难度推算表,副本难度推算!$P$3,FALSE)*副本难度推算!$Z$6*$R66+VLOOKUP($C66,难度推算表,副本难度推算!$H$3,FALSE)</f>
        <v>97666.989088847127</v>
      </c>
      <c r="J66" s="138">
        <f>VLOOKUP($C66,难度推算表,副本难度推算!$G$3,FALSE)-VLOOKUP($C66,难度推算表,副本难度推算!$I$3,FALSE)*(2-副本难度推算!$AA$6)*(2-$S66)</f>
        <v>12032.325729932316</v>
      </c>
      <c r="K66" s="138">
        <f>VLOOKUP($C66,难度推算表,副本难度推算!$M$3,FALSE)*副本难度推算!$Y$7*Q66</f>
        <v>2873616.922797353</v>
      </c>
      <c r="L66" s="138">
        <f>VLOOKUP($C66,难度推算表,副本难度推算!$P$3,FALSE)*副本难度推算!$Z$7*$R66+VLOOKUP($C66,难度推算表,副本难度推算!$H$3,FALSE)</f>
        <v>124409.93437453416</v>
      </c>
      <c r="M66" s="138">
        <f>VLOOKUP($C66,难度推算表,副本难度推算!$G$3,FALSE)-VLOOKUP($C66,难度推算表,副本难度推算!$I$3,FALSE)*(2-副本难度推算!$AA$7)*(2-$S66)</f>
        <v>21100.165410461013</v>
      </c>
      <c r="N66" s="136">
        <f>VLOOKUP($C66,难度推算表,副本难度推算!$Q$3,FALSE)</f>
        <v>5058.0680000000002</v>
      </c>
      <c r="O66" s="136">
        <f>VLOOKUP($C66,难度推算表,副本难度推算!$R$3,FALSE)</f>
        <v>0</v>
      </c>
      <c r="P66" s="139"/>
      <c r="Q66" s="140">
        <f t="shared" si="2"/>
        <v>1</v>
      </c>
      <c r="R66" s="140">
        <f t="shared" si="3"/>
        <v>1.2000000000000002</v>
      </c>
      <c r="S66" s="140">
        <f t="shared" si="4"/>
        <v>0.96</v>
      </c>
      <c r="U66" s="141">
        <v>81</v>
      </c>
      <c r="V66" s="140">
        <v>0.8</v>
      </c>
      <c r="W66" s="140">
        <v>0.8</v>
      </c>
      <c r="X66" s="140">
        <v>0.8</v>
      </c>
    </row>
    <row r="67" spans="1:24" s="141" customFormat="1">
      <c r="A67" s="136" t="str">
        <f t="shared" si="0"/>
        <v>挑战BOSS</v>
      </c>
      <c r="B67" s="136" t="str">
        <f>怪物并表!$R$14</f>
        <v>英雄之路</v>
      </c>
      <c r="C67" s="136">
        <v>82</v>
      </c>
      <c r="D67" s="137">
        <f t="shared" si="1"/>
        <v>1901</v>
      </c>
      <c r="E67" s="138">
        <f>VLOOKUP($C67,难度推算表,副本难度推算!$M$3,FALSE)*副本难度推算!$Y$5*Q67</f>
        <v>1212145.8815220755</v>
      </c>
      <c r="F67" s="138">
        <f>VLOOKUP($C67,难度推算表,副本难度推算!$P$3,FALSE)*副本难度推算!$Z$5*$R67+VLOOKUP($C67,难度推算表,副本难度推算!$H$3,FALSE)</f>
        <v>113840.25077429126</v>
      </c>
      <c r="G67" s="138">
        <f>VLOOKUP($C67,难度推算表,副本难度推算!$G$3,FALSE)-VLOOKUP($C67,难度推算表,副本难度推算!$I$3,FALSE)*(2-副本难度推算!$AA$5)*(2-$S67)</f>
        <v>17326.042295309704</v>
      </c>
      <c r="H67" s="138">
        <f>VLOOKUP($C67,难度推算表,副本难度推算!$M$3,FALSE)*副本难度推算!$Y$6*Q67</f>
        <v>969716.7052176604</v>
      </c>
      <c r="I67" s="138">
        <f>VLOOKUP($C67,难度推算表,副本难度推算!$P$3,FALSE)*副本难度推算!$Z$6*$R67+VLOOKUP($C67,难度推算表,副本难度推算!$H$3,FALSE)</f>
        <v>104280.01962268422</v>
      </c>
      <c r="J67" s="138">
        <f>VLOOKUP($C67,难度推算表,副本难度推算!$G$3,FALSE)-VLOOKUP($C67,难度推算表,副本难度推算!$I$3,FALSE)*(2-副本难度推算!$AA$6)*(2-$S67)</f>
        <v>12584.178088172313</v>
      </c>
      <c r="K67" s="138">
        <f>VLOOKUP($C67,难度推算表,副本难度推算!$M$3,FALSE)*副本难度推算!$Y$7*Q67</f>
        <v>3030364.7038051886</v>
      </c>
      <c r="L67" s="138">
        <f>VLOOKUP($C67,难度推算表,副本难度推算!$P$3,FALSE)*副本难度推算!$Z$7*$R67+VLOOKUP($C67,难度推算表,副本难度推算!$H$3,FALSE)</f>
        <v>132960.71307750535</v>
      </c>
      <c r="M67" s="138">
        <f>VLOOKUP($C67,难度推算表,副本难度推算!$G$3,FALSE)-VLOOKUP($C67,难度推算表,副本难度推算!$I$3,FALSE)*(2-副本难度推算!$AA$7)*(2-$S67)</f>
        <v>22067.906502447098</v>
      </c>
      <c r="N67" s="136">
        <f>VLOOKUP($C67,难度推算表,副本难度推算!$Q$3,FALSE)</f>
        <v>5116.2960000000003</v>
      </c>
      <c r="O67" s="136">
        <f>VLOOKUP($C67,难度推算表,副本难度推算!$R$3,FALSE)</f>
        <v>0</v>
      </c>
      <c r="P67" s="139"/>
      <c r="Q67" s="140">
        <f t="shared" si="2"/>
        <v>1</v>
      </c>
      <c r="R67" s="140">
        <f t="shared" si="3"/>
        <v>1.2000000000000002</v>
      </c>
      <c r="S67" s="140">
        <f t="shared" si="4"/>
        <v>0.96</v>
      </c>
      <c r="U67" s="141">
        <v>82</v>
      </c>
      <c r="V67" s="140">
        <v>0.8</v>
      </c>
      <c r="W67" s="140">
        <v>0.8</v>
      </c>
      <c r="X67" s="140">
        <v>0.8</v>
      </c>
    </row>
    <row r="68" spans="1:24" s="141" customFormat="1">
      <c r="A68" s="136" t="str">
        <f t="shared" si="0"/>
        <v>挑战BOSS</v>
      </c>
      <c r="B68" s="136" t="str">
        <f>怪物并表!$R$14</f>
        <v>英雄之路</v>
      </c>
      <c r="C68" s="136">
        <v>83</v>
      </c>
      <c r="D68" s="137">
        <f t="shared" si="1"/>
        <v>1901</v>
      </c>
      <c r="E68" s="138">
        <f>VLOOKUP($C68,难度推算表,副本难度推算!$M$3,FALSE)*副本难度推算!$Y$5*Q68</f>
        <v>1277177.1484853395</v>
      </c>
      <c r="F68" s="138">
        <f>VLOOKUP($C68,难度推算表,副本难度推算!$P$3,FALSE)*副本难度推算!$Z$5*$R68+VLOOKUP($C68,难度推算表,副本难度推算!$H$3,FALSE)</f>
        <v>121507.65777888946</v>
      </c>
      <c r="G68" s="138">
        <f>VLOOKUP($C68,难度推算表,副本难度推算!$G$3,FALSE)-VLOOKUP($C68,难度推算表,副本难度推算!$I$3,FALSE)*(2-副本难度推算!$AA$5)*(2-$S68)</f>
        <v>18106.661917685626</v>
      </c>
      <c r="H68" s="138">
        <f>VLOOKUP($C68,难度推算表,副本难度推算!$M$3,FALSE)*副本难度推算!$Y$6*Q68</f>
        <v>1021741.7187882717</v>
      </c>
      <c r="I68" s="138">
        <f>VLOOKUP($C68,难度推算表,副本难度推算!$P$3,FALSE)*副本难度推算!$Z$6*$R68+VLOOKUP($C68,难度推算表,副本难度推算!$H$3,FALSE)</f>
        <v>111262.85641338849</v>
      </c>
      <c r="J68" s="138">
        <f>VLOOKUP($C68,难度推算表,副本难度推算!$G$3,FALSE)-VLOOKUP($C68,难度推算表,副本难度推算!$I$3,FALSE)*(2-副本难度推算!$AA$6)*(2-$S68)</f>
        <v>13151.154445476928</v>
      </c>
      <c r="K68" s="138">
        <f>VLOOKUP($C68,难度推算表,副本难度推算!$M$3,FALSE)*副本难度推算!$Y$7*Q68</f>
        <v>3192942.8712133486</v>
      </c>
      <c r="L68" s="138">
        <f>VLOOKUP($C68,难度推算表,副本难度推算!$P$3,FALSE)*副本难度推算!$Z$7*$R68+VLOOKUP($C68,难度推算表,副本难度推算!$H$3,FALSE)</f>
        <v>141997.26050989144</v>
      </c>
      <c r="M68" s="138">
        <f>VLOOKUP($C68,难度推算表,副本难度推算!$G$3,FALSE)-VLOOKUP($C68,难度推算表,副本难度推算!$I$3,FALSE)*(2-副本难度推算!$AA$7)*(2-$S68)</f>
        <v>23062.169389894323</v>
      </c>
      <c r="N68" s="136">
        <f>VLOOKUP($C68,难度推算表,副本难度推算!$Q$3,FALSE)</f>
        <v>5174.5240000000003</v>
      </c>
      <c r="O68" s="136">
        <f>VLOOKUP($C68,难度推算表,副本难度推算!$R$3,FALSE)</f>
        <v>0</v>
      </c>
      <c r="P68" s="139"/>
      <c r="Q68" s="140">
        <f t="shared" si="2"/>
        <v>1</v>
      </c>
      <c r="R68" s="140">
        <f t="shared" si="3"/>
        <v>1.2000000000000002</v>
      </c>
      <c r="S68" s="140">
        <f t="shared" si="4"/>
        <v>0.96</v>
      </c>
      <c r="U68" s="141">
        <v>83</v>
      </c>
      <c r="V68" s="140">
        <v>0.8</v>
      </c>
      <c r="W68" s="140">
        <v>0.8</v>
      </c>
      <c r="X68" s="140">
        <v>0.8</v>
      </c>
    </row>
    <row r="69" spans="1:24" s="141" customFormat="1">
      <c r="A69" s="136" t="str">
        <f t="shared" si="0"/>
        <v>挑战BOSS</v>
      </c>
      <c r="B69" s="136" t="str">
        <f>怪物并表!$R$14</f>
        <v>英雄之路</v>
      </c>
      <c r="C69" s="136">
        <v>84</v>
      </c>
      <c r="D69" s="137">
        <f t="shared" si="1"/>
        <v>1901</v>
      </c>
      <c r="E69" s="138">
        <f>VLOOKUP($C69,难度推算表,副本难度推算!$M$3,FALSE)*副本难度推算!$Y$5*Q69</f>
        <v>1344593.2333566146</v>
      </c>
      <c r="F69" s="138">
        <f>VLOOKUP($C69,难度推算表,副本难度推算!$P$3,FALSE)*副本难度推算!$Z$5*$R69+VLOOKUP($C69,难度推算表,副本难度推算!$H$3,FALSE)</f>
        <v>129604.15930092316</v>
      </c>
      <c r="G69" s="138">
        <f>VLOOKUP($C69,难度推算表,副本难度推算!$G$3,FALSE)-VLOOKUP($C69,难度推算表,副本难度推算!$I$3,FALSE)*(2-副本难度推算!$AA$5)*(2-$S69)</f>
        <v>18908.357675323085</v>
      </c>
      <c r="H69" s="138">
        <f>VLOOKUP($C69,难度推算表,副本难度推算!$M$3,FALSE)*副本难度推算!$Y$6*Q69</f>
        <v>1075674.5866852917</v>
      </c>
      <c r="I69" s="138">
        <f>VLOOKUP($C69,难度推算表,副本难度推算!$P$3,FALSE)*副本难度推算!$Z$6*$R69+VLOOKUP($C69,难度推算表,副本难度推算!$H$3,FALSE)</f>
        <v>118634.09681033852</v>
      </c>
      <c r="J69" s="138">
        <f>VLOOKUP($C69,难度推算表,副本难度推算!$G$3,FALSE)-VLOOKUP($C69,难度推算表,副本难度推算!$I$3,FALSE)*(2-副本难度推算!$AA$6)*(2-$S69)</f>
        <v>13733.438732603085</v>
      </c>
      <c r="K69" s="138">
        <f>VLOOKUP($C69,难度推算表,副本难度推算!$M$3,FALSE)*副本难度推算!$Y$7*Q69</f>
        <v>3361483.0833915365</v>
      </c>
      <c r="L69" s="138">
        <f>VLOOKUP($C69,难度推算表,副本难度推算!$P$3,FALSE)*副本难度推算!$Z$7*$R69+VLOOKUP($C69,难度推算表,副本难度推算!$H$3,FALSE)</f>
        <v>151544.28428209241</v>
      </c>
      <c r="M69" s="138">
        <f>VLOOKUP($C69,难度推算表,副本难度推算!$G$3,FALSE)-VLOOKUP($C69,难度推算表,副本难度推算!$I$3,FALSE)*(2-副本难度推算!$AA$7)*(2-$S69)</f>
        <v>24083.276618043081</v>
      </c>
      <c r="N69" s="136">
        <f>VLOOKUP($C69,难度推算表,副本难度推算!$Q$3,FALSE)</f>
        <v>5232.7520000000004</v>
      </c>
      <c r="O69" s="136">
        <f>VLOOKUP($C69,难度推算表,副本难度推算!$R$3,FALSE)</f>
        <v>0</v>
      </c>
      <c r="P69" s="139"/>
      <c r="Q69" s="140">
        <f t="shared" si="2"/>
        <v>1</v>
      </c>
      <c r="R69" s="140">
        <f t="shared" si="3"/>
        <v>1.2000000000000002</v>
      </c>
      <c r="S69" s="140">
        <f t="shared" si="4"/>
        <v>0.96</v>
      </c>
      <c r="U69" s="141">
        <v>84</v>
      </c>
      <c r="V69" s="140">
        <v>0.8</v>
      </c>
      <c r="W69" s="140">
        <v>0.8</v>
      </c>
      <c r="X69" s="140">
        <v>0.8</v>
      </c>
    </row>
    <row r="70" spans="1:24" s="141" customFormat="1">
      <c r="A70" s="136" t="str">
        <f t="shared" ref="A70:A75" si="6">$Z$11</f>
        <v>挑战BOSS</v>
      </c>
      <c r="B70" s="136" t="str">
        <f>怪物并表!$R$14</f>
        <v>英雄之路</v>
      </c>
      <c r="C70" s="136">
        <v>85</v>
      </c>
      <c r="D70" s="137">
        <f t="shared" ref="D70:D133" si="7">1900+VLOOKUP(A70,$Z$11:$AA$16,2,FALSE)</f>
        <v>1901</v>
      </c>
      <c r="E70" s="138">
        <f>VLOOKUP($C70,难度推算表,副本难度推算!$M$3,FALSE)*副本难度推算!$Y$5*Q70</f>
        <v>1414447.3350498001</v>
      </c>
      <c r="F70" s="138">
        <f>VLOOKUP($C70,难度推算表,副本难度推算!$P$3,FALSE)*副本难度推算!$Z$5*$R70+VLOOKUP($C70,难度推算表,副本难度推算!$H$3,FALSE)</f>
        <v>138151.47027105247</v>
      </c>
      <c r="G70" s="138">
        <f>VLOOKUP($C70,难度推算表,副本难度推算!$G$3,FALSE)-VLOOKUP($C70,难度推算表,副本难度推算!$I$3,FALSE)*(2-副本难度推算!$AA$5)*(2-$S70)</f>
        <v>19731.382806220736</v>
      </c>
      <c r="H70" s="138">
        <f>VLOOKUP($C70,难度推算表,副本难度推算!$M$3,FALSE)*副本难度推算!$Y$6*Q70</f>
        <v>1131557.8680398401</v>
      </c>
      <c r="I70" s="138">
        <f>VLOOKUP($C70,难度推算表,副本难度推算!$P$3,FALSE)*副本难度推算!$Z$6*$R70+VLOOKUP($C70,难度推算表,副本难度推算!$H$3,FALSE)</f>
        <v>126413.31090775994</v>
      </c>
      <c r="J70" s="138">
        <f>VLOOKUP($C70,难度推算表,副本难度推算!$G$3,FALSE)-VLOOKUP($C70,难度推算表,副本难度推算!$I$3,FALSE)*(2-副本难度推算!$AA$6)*(2-$S70)</f>
        <v>14331.214880307693</v>
      </c>
      <c r="K70" s="138">
        <f>VLOOKUP($C70,难度推算表,副本难度推算!$M$3,FALSE)*副本难度推算!$Y$7*Q70</f>
        <v>3536118.3376245005</v>
      </c>
      <c r="L70" s="138">
        <f>VLOOKUP($C70,难度推算表,副本难度推算!$P$3,FALSE)*副本难度推算!$Z$7*$R70+VLOOKUP($C70,难度推算表,副本难度推算!$H$3,FALSE)</f>
        <v>161627.78899763754</v>
      </c>
      <c r="M70" s="138">
        <f>VLOOKUP($C70,难度推算表,副本难度推算!$G$3,FALSE)-VLOOKUP($C70,难度推算表,副本难度推算!$I$3,FALSE)*(2-副本难度推算!$AA$7)*(2-$S70)</f>
        <v>25131.550732133775</v>
      </c>
      <c r="N70" s="136">
        <f>VLOOKUP($C70,难度推算表,副本难度推算!$Q$3,FALSE)</f>
        <v>5290.98</v>
      </c>
      <c r="O70" s="136">
        <f>VLOOKUP($C70,难度推算表,副本难度推算!$R$3,FALSE)</f>
        <v>0</v>
      </c>
      <c r="P70" s="139"/>
      <c r="Q70" s="140">
        <f t="shared" ref="Q70:Q133" si="8">VLOOKUP($A70,$Z$11:$AD$16,3,FALSE)*VLOOKUP(C70,$U$5:$X$75,2,FALSE)</f>
        <v>1</v>
      </c>
      <c r="R70" s="140">
        <f t="shared" ref="R70:R133" si="9">VLOOKUP($A70,$Z$11:$AD$16,4,FALSE)*VLOOKUP(C70,$U$5:$X$75,3,FALSE)</f>
        <v>1.2000000000000002</v>
      </c>
      <c r="S70" s="140">
        <f t="shared" ref="S70:S133" si="10">VLOOKUP($A70,$Z$11:$AD$16,5,FALSE)*VLOOKUP(C70,$U$5:$X$75,4,FALSE)</f>
        <v>0.96</v>
      </c>
      <c r="U70" s="141">
        <v>85</v>
      </c>
      <c r="V70" s="140">
        <v>0.8</v>
      </c>
      <c r="W70" s="140">
        <v>0.8</v>
      </c>
      <c r="X70" s="140">
        <v>0.8</v>
      </c>
    </row>
    <row r="71" spans="1:24" s="141" customFormat="1">
      <c r="A71" s="136" t="str">
        <f t="shared" si="6"/>
        <v>挑战BOSS</v>
      </c>
      <c r="B71" s="136" t="str">
        <f>怪物并表!$R$14</f>
        <v>英雄之路</v>
      </c>
      <c r="C71" s="136">
        <v>86</v>
      </c>
      <c r="D71" s="137">
        <f t="shared" si="7"/>
        <v>1901</v>
      </c>
      <c r="E71" s="138">
        <f>VLOOKUP($C71,难度推算表,副本难度推算!$M$3,FALSE)*副本难度推算!$Y$5*Q71</f>
        <v>1486793.1878639471</v>
      </c>
      <c r="F71" s="138">
        <f>VLOOKUP($C71,难度推算表,副本难度推算!$P$3,FALSE)*副本难度推算!$Z$5*$R71+VLOOKUP($C71,难度推算表,副本难度推算!$H$3,FALSE)</f>
        <v>147172.45344099245</v>
      </c>
      <c r="G71" s="138">
        <f>VLOOKUP($C71,难度推算表,副本难度推算!$G$3,FALSE)-VLOOKUP($C71,难度推算表,副本难度推算!$I$3,FALSE)*(2-副本难度推算!$AA$5)*(2-$S71)</f>
        <v>20575.99054837726</v>
      </c>
      <c r="H71" s="138">
        <f>VLOOKUP($C71,难度推算表,副本难度推算!$M$3,FALSE)*副本难度推算!$Y$6*Q71</f>
        <v>1189434.5502911578</v>
      </c>
      <c r="I71" s="138">
        <f>VLOOKUP($C71,难度推算表,副本难度推算!$P$3,FALSE)*副本难度推算!$Z$6*$R71+VLOOKUP($C71,难度推算表,副本难度推算!$H$3,FALSE)</f>
        <v>134621.10183882766</v>
      </c>
      <c r="J71" s="138">
        <f>VLOOKUP($C71,难度推算表,副本难度推算!$G$3,FALSE)-VLOOKUP($C71,难度推算表,副本难度推算!$I$3,FALSE)*(2-副本难度推算!$AA$6)*(2-$S71)</f>
        <v>14944.666819347694</v>
      </c>
      <c r="K71" s="138">
        <f>VLOOKUP($C71,难度推算表,副本难度推算!$M$3,FALSE)*副本难度推算!$Y$7*Q71</f>
        <v>3716982.9696598677</v>
      </c>
      <c r="L71" s="138">
        <f>VLOOKUP($C71,难度推算表,副本难度推算!$P$3,FALSE)*副本难度推算!$Z$7*$R71+VLOOKUP($C71,难度推算表,副本难度推算!$H$3,FALSE)</f>
        <v>172275.15664532204</v>
      </c>
      <c r="M71" s="138">
        <f>VLOOKUP($C71,难度推算表,副本难度推算!$G$3,FALSE)-VLOOKUP($C71,难度推算表,副本难度推算!$I$3,FALSE)*(2-副本难度推算!$AA$7)*(2-$S71)</f>
        <v>26207.314277406826</v>
      </c>
      <c r="N71" s="136">
        <f>VLOOKUP($C71,难度推算表,副本难度推算!$Q$3,FALSE)</f>
        <v>5349.2079999999996</v>
      </c>
      <c r="O71" s="136">
        <f>VLOOKUP($C71,难度推算表,副本难度推算!$R$3,FALSE)</f>
        <v>0</v>
      </c>
      <c r="P71" s="139"/>
      <c r="Q71" s="140">
        <f t="shared" si="8"/>
        <v>1</v>
      </c>
      <c r="R71" s="140">
        <f t="shared" si="9"/>
        <v>1.2000000000000002</v>
      </c>
      <c r="S71" s="140">
        <f t="shared" si="10"/>
        <v>0.96</v>
      </c>
      <c r="U71" s="141">
        <v>86</v>
      </c>
      <c r="V71" s="140">
        <v>0.8</v>
      </c>
      <c r="W71" s="140">
        <v>0.8</v>
      </c>
      <c r="X71" s="140">
        <v>0.8</v>
      </c>
    </row>
    <row r="72" spans="1:24" s="141" customFormat="1">
      <c r="A72" s="136" t="str">
        <f t="shared" si="6"/>
        <v>挑战BOSS</v>
      </c>
      <c r="B72" s="136" t="str">
        <f>怪物并表!$R$14</f>
        <v>英雄之路</v>
      </c>
      <c r="C72" s="136">
        <v>87</v>
      </c>
      <c r="D72" s="137">
        <f t="shared" si="7"/>
        <v>1901</v>
      </c>
      <c r="E72" s="138">
        <f>VLOOKUP($C72,难度推算表,副本难度推算!$M$3,FALSE)*副本难度推算!$Y$5*Q72</f>
        <v>1561685.0613043909</v>
      </c>
      <c r="F72" s="138">
        <f>VLOOKUP($C72,难度推算表,副本难度推算!$P$3,FALSE)*副本难度推算!$Z$5*$R72+VLOOKUP($C72,难度推算表,副本难度推算!$H$3,FALSE)</f>
        <v>156691.19142249043</v>
      </c>
      <c r="G72" s="138">
        <f>VLOOKUP($C72,难度推算表,副本难度推算!$G$3,FALSE)-VLOOKUP($C72,难度推算表,副本难度推算!$I$3,FALSE)*(2-副本难度推算!$AA$5)*(2-$S72)</f>
        <v>21442.434139791305</v>
      </c>
      <c r="H72" s="138">
        <f>VLOOKUP($C72,难度推算表,副本难度推算!$M$3,FALSE)*副本难度推算!$Y$6*Q72</f>
        <v>1249348.0490435127</v>
      </c>
      <c r="I72" s="138">
        <f>VLOOKUP($C72,难度推算表,副本难度推算!$P$3,FALSE)*副本难度推算!$Z$6*$R72+VLOOKUP($C72,难度推算表,副本难度推算!$H$3,FALSE)</f>
        <v>143279.17061074573</v>
      </c>
      <c r="J72" s="138">
        <f>VLOOKUP($C72,难度推算表,副本难度推算!$G$3,FALSE)-VLOOKUP($C72,难度推算表,副本难度推算!$I$3,FALSE)*(2-副本难度推算!$AA$6)*(2-$S72)</f>
        <v>15573.97848048</v>
      </c>
      <c r="K72" s="138">
        <f>VLOOKUP($C72,难度推算表,副本难度推算!$M$3,FALSE)*副本难度推算!$Y$7*Q72</f>
        <v>3904212.653260977</v>
      </c>
      <c r="L72" s="138">
        <f>VLOOKUP($C72,难度推算表,副本难度推算!$P$3,FALSE)*副本难度推算!$Z$7*$R72+VLOOKUP($C72,难度推算表,副本难度推算!$H$3,FALSE)</f>
        <v>183515.23304597984</v>
      </c>
      <c r="M72" s="138">
        <f>VLOOKUP($C72,难度推算表,副本难度推算!$G$3,FALSE)-VLOOKUP($C72,难度推算表,副本难度推算!$I$3,FALSE)*(2-副本难度推算!$AA$7)*(2-$S72)</f>
        <v>27310.889799102606</v>
      </c>
      <c r="N72" s="136">
        <f>VLOOKUP($C72,难度推算表,副本难度推算!$Q$3,FALSE)</f>
        <v>5407.4360000000006</v>
      </c>
      <c r="O72" s="136">
        <f>VLOOKUP($C72,难度推算表,副本难度推算!$R$3,FALSE)</f>
        <v>0</v>
      </c>
      <c r="P72" s="139"/>
      <c r="Q72" s="140">
        <f t="shared" si="8"/>
        <v>1</v>
      </c>
      <c r="R72" s="140">
        <f t="shared" si="9"/>
        <v>1.2000000000000002</v>
      </c>
      <c r="S72" s="140">
        <f t="shared" si="10"/>
        <v>0.96</v>
      </c>
      <c r="U72" s="141">
        <v>87</v>
      </c>
      <c r="V72" s="140">
        <v>0.8</v>
      </c>
      <c r="W72" s="140">
        <v>0.8</v>
      </c>
      <c r="X72" s="140">
        <v>0.8</v>
      </c>
    </row>
    <row r="73" spans="1:24" s="141" customFormat="1">
      <c r="A73" s="136" t="str">
        <f t="shared" si="6"/>
        <v>挑战BOSS</v>
      </c>
      <c r="B73" s="136" t="str">
        <f>怪物并表!$R$14</f>
        <v>英雄之路</v>
      </c>
      <c r="C73" s="136">
        <v>88</v>
      </c>
      <c r="D73" s="137">
        <f t="shared" si="7"/>
        <v>1901</v>
      </c>
      <c r="E73" s="138">
        <f>VLOOKUP($C73,难度推算表,副本难度推算!$M$3,FALSE)*副本难度推算!$Y$5*Q73</f>
        <v>1639177.7599059038</v>
      </c>
      <c r="F73" s="138">
        <f>VLOOKUP($C73,难度推算表,副本难度推算!$P$3,FALSE)*副本难度推算!$Z$5*$R73+VLOOKUP($C73,难度推算表,副本难度推算!$H$3,FALSE)</f>
        <v>166733.06422080382</v>
      </c>
      <c r="G73" s="138">
        <f>VLOOKUP($C73,难度推算表,副本难度推算!$G$3,FALSE)-VLOOKUP($C73,难度推算表,副本难度推算!$I$3,FALSE)*(2-副本难度推算!$AA$5)*(2-$S73)</f>
        <v>22330.966818461533</v>
      </c>
      <c r="H73" s="138">
        <f>VLOOKUP($C73,难度推算表,副本难度推算!$M$3,FALSE)*副本难度推算!$Y$6*Q73</f>
        <v>1311342.2079247232</v>
      </c>
      <c r="I73" s="138">
        <f>VLOOKUP($C73,难度推算表,副本难度推算!$P$3,FALSE)*副本难度推算!$Z$6*$R73+VLOOKUP($C73,难度推算表,副本难度推算!$H$3,FALSE)</f>
        <v>152410.38588487729</v>
      </c>
      <c r="J73" s="138">
        <f>VLOOKUP($C73,难度推算表,副本难度推算!$G$3,FALSE)-VLOOKUP($C73,难度推算表,副本难度推算!$I$3,FALSE)*(2-副本难度推算!$AA$6)*(2-$S73)</f>
        <v>16219.333794461534</v>
      </c>
      <c r="K73" s="138">
        <f>VLOOKUP($C73,难度推算表,副本难度推算!$M$3,FALSE)*副本难度推算!$Y$7*Q73</f>
        <v>4097944.3997647595</v>
      </c>
      <c r="L73" s="138">
        <f>VLOOKUP($C73,难度推算表,副本难度推算!$P$3,FALSE)*副本难度推算!$Z$7*$R73+VLOOKUP($C73,难度推算表,副本难度推算!$H$3,FALSE)</f>
        <v>195378.42089265687</v>
      </c>
      <c r="M73" s="138">
        <f>VLOOKUP($C73,难度推算表,副本难度推算!$G$3,FALSE)-VLOOKUP($C73,难度推算表,副本难度推算!$I$3,FALSE)*(2-副本难度推算!$AA$7)*(2-$S73)</f>
        <v>28442.599842461528</v>
      </c>
      <c r="N73" s="136">
        <f>VLOOKUP($C73,难度推算表,副本难度推算!$Q$3,FALSE)</f>
        <v>5465.6640000000007</v>
      </c>
      <c r="O73" s="136">
        <f>VLOOKUP($C73,难度推算表,副本难度推算!$R$3,FALSE)</f>
        <v>0</v>
      </c>
      <c r="P73" s="139"/>
      <c r="Q73" s="140">
        <f t="shared" si="8"/>
        <v>1</v>
      </c>
      <c r="R73" s="140">
        <f t="shared" si="9"/>
        <v>1.2000000000000002</v>
      </c>
      <c r="S73" s="140">
        <f t="shared" si="10"/>
        <v>0.96</v>
      </c>
      <c r="U73" s="141">
        <v>88</v>
      </c>
      <c r="V73" s="140">
        <v>0.8</v>
      </c>
      <c r="W73" s="140">
        <v>0.8</v>
      </c>
      <c r="X73" s="140">
        <v>0.8</v>
      </c>
    </row>
    <row r="74" spans="1:24" s="141" customFormat="1">
      <c r="A74" s="136" t="str">
        <f t="shared" si="6"/>
        <v>挑战BOSS</v>
      </c>
      <c r="B74" s="136" t="str">
        <f>怪物并表!$R$14</f>
        <v>英雄之路</v>
      </c>
      <c r="C74" s="136">
        <v>89</v>
      </c>
      <c r="D74" s="137">
        <f t="shared" si="7"/>
        <v>1901</v>
      </c>
      <c r="E74" s="138">
        <f>VLOOKUP($C74,难度推算表,副本难度推算!$M$3,FALSE)*副本难度推算!$Y$5*Q74</f>
        <v>1719326.623057866</v>
      </c>
      <c r="F74" s="138">
        <f>VLOOKUP($C74,难度推算表,副本难度推算!$P$3,FALSE)*副本难度推算!$Z$5*$R74+VLOOKUP($C74,难度推算表,副本难度推算!$H$3,FALSE)</f>
        <v>177324.83275788647</v>
      </c>
      <c r="G74" s="138">
        <f>VLOOKUP($C74,难度推算表,副本难度推算!$G$3,FALSE)-VLOOKUP($C74,难度推算表,副本难度推算!$I$3,FALSE)*(2-副本难度推算!$AA$5)*(2-$S74)</f>
        <v>23241.841822386614</v>
      </c>
      <c r="H74" s="138">
        <f>VLOOKUP($C74,难度推算表,副本难度推算!$M$3,FALSE)*副本难度推算!$Y$6*Q74</f>
        <v>1375461.298446293</v>
      </c>
      <c r="I74" s="138">
        <f>VLOOKUP($C74,难度推算表,副本难度推算!$P$3,FALSE)*副本难度推算!$Z$6*$R74+VLOOKUP($C74,难度推算表,副本难度推算!$H$3,FALSE)</f>
        <v>162038.85914761221</v>
      </c>
      <c r="J74" s="138">
        <f>VLOOKUP($C74,难度推算表,副本难度推算!$G$3,FALSE)-VLOOKUP($C74,难度推算表,副本难度推算!$I$3,FALSE)*(2-副本难度推算!$AA$6)*(2-$S74)</f>
        <v>16880.916692049221</v>
      </c>
      <c r="K74" s="138">
        <f>VLOOKUP($C74,难度推算表,副本难度推算!$M$3,FALSE)*副本难度推算!$Y$7*Q74</f>
        <v>4298316.5576446652</v>
      </c>
      <c r="L74" s="138">
        <f>VLOOKUP($C74,难度推算表,副本难度推算!$P$3,FALSE)*副本难度推算!$Z$7*$R74+VLOOKUP($C74,难度推算表,副本难度推算!$H$3,FALSE)</f>
        <v>207896.77997843499</v>
      </c>
      <c r="M74" s="138">
        <f>VLOOKUP($C74,难度推算表,副本难度推算!$G$3,FALSE)-VLOOKUP($C74,难度推算表,副本难度推算!$I$3,FALSE)*(2-副本难度推算!$AA$7)*(2-$S74)</f>
        <v>29602.766952724003</v>
      </c>
      <c r="N74" s="136">
        <f>VLOOKUP($C74,难度推算表,副本难度推算!$Q$3,FALSE)</f>
        <v>5523.8919999999998</v>
      </c>
      <c r="O74" s="136">
        <f>VLOOKUP($C74,难度推算表,副本难度推算!$R$3,FALSE)</f>
        <v>0</v>
      </c>
      <c r="P74" s="139"/>
      <c r="Q74" s="140">
        <f t="shared" si="8"/>
        <v>1</v>
      </c>
      <c r="R74" s="140">
        <f t="shared" si="9"/>
        <v>1.2000000000000002</v>
      </c>
      <c r="S74" s="140">
        <f t="shared" si="10"/>
        <v>0.96</v>
      </c>
      <c r="U74" s="141">
        <v>89</v>
      </c>
      <c r="V74" s="140">
        <v>0.8</v>
      </c>
      <c r="W74" s="140">
        <v>0.8</v>
      </c>
      <c r="X74" s="140">
        <v>0.8</v>
      </c>
    </row>
    <row r="75" spans="1:24" s="141" customFormat="1">
      <c r="A75" s="136" t="str">
        <f t="shared" si="6"/>
        <v>挑战BOSS</v>
      </c>
      <c r="B75" s="136" t="str">
        <f>怪物并表!$R$14</f>
        <v>英雄之路</v>
      </c>
      <c r="C75" s="136">
        <v>90</v>
      </c>
      <c r="D75" s="137">
        <f t="shared" si="7"/>
        <v>1901</v>
      </c>
      <c r="E75" s="138">
        <f>VLOOKUP($C75,难度推算表,副本难度推算!$M$3,FALSE)*副本难度推算!$Y$5*Q75</f>
        <v>1802187.5248314743</v>
      </c>
      <c r="F75" s="138">
        <f>VLOOKUP($C75,难度推算表,副本难度推算!$P$3,FALSE)*副本难度推算!$Z$5*$R75+VLOOKUP($C75,难度推算表,副本难度推算!$H$3,FALSE)</f>
        <v>188494.72893217389</v>
      </c>
      <c r="G75" s="138">
        <f>VLOOKUP($C75,难度推算表,副本难度推算!$G$3,FALSE)-VLOOKUP($C75,难度推算表,副本难度推算!$I$3,FALSE)*(2-副本难度推算!$AA$5)*(2-$S75)</f>
        <v>24175.31238956521</v>
      </c>
      <c r="H75" s="138">
        <f>VLOOKUP($C75,难度推算表,副本难度推算!$M$3,FALSE)*副本难度推算!$Y$6*Q75</f>
        <v>1441750.0198651794</v>
      </c>
      <c r="I75" s="138">
        <f>VLOOKUP($C75,难度推算表,副本难度推算!$P$3,FALSE)*副本难度推算!$Z$6*$R75+VLOOKUP($C75,难度推算表,副本难度推算!$H$3,FALSE)</f>
        <v>172190.02576417392</v>
      </c>
      <c r="J75" s="138">
        <f>VLOOKUP($C75,难度推算表,副本难度推算!$G$3,FALSE)-VLOOKUP($C75,难度推算表,副本难度推算!$I$3,FALSE)*(2-副本难度推算!$AA$6)*(2-$S75)</f>
        <v>17558.911103999999</v>
      </c>
      <c r="K75" s="138">
        <f>VLOOKUP($C75,难度推算表,副本难度推算!$M$3,FALSE)*副本难度推算!$Y$7*Q75</f>
        <v>4505468.8120786855</v>
      </c>
      <c r="L75" s="138">
        <f>VLOOKUP($C75,难度推算表,副本难度推算!$P$3,FALSE)*副本难度推算!$Z$7*$R75+VLOOKUP($C75,难度推算表,副本难度推算!$H$3,FALSE)</f>
        <v>221104.13526817388</v>
      </c>
      <c r="M75" s="138">
        <f>VLOOKUP($C75,难度推算表,副本难度推算!$G$3,FALSE)-VLOOKUP($C75,难度推算表,副本难度推算!$I$3,FALSE)*(2-副本难度推算!$AA$7)*(2-$S75)</f>
        <v>30791.713675130421</v>
      </c>
      <c r="N75" s="136">
        <f>VLOOKUP($C75,难度推算表,副本难度推算!$Q$3,FALSE)</f>
        <v>5582.12</v>
      </c>
      <c r="O75" s="136">
        <f>VLOOKUP($C75,难度推算表,副本难度推算!$R$3,FALSE)</f>
        <v>0</v>
      </c>
      <c r="P75" s="139"/>
      <c r="Q75" s="140">
        <f t="shared" si="8"/>
        <v>1</v>
      </c>
      <c r="R75" s="140">
        <f t="shared" si="9"/>
        <v>1.2000000000000002</v>
      </c>
      <c r="S75" s="140">
        <f t="shared" si="10"/>
        <v>0.96</v>
      </c>
      <c r="U75" s="141">
        <v>90</v>
      </c>
      <c r="V75" s="140">
        <v>0.8</v>
      </c>
      <c r="W75" s="140">
        <v>0.8</v>
      </c>
      <c r="X75" s="140">
        <v>0.8</v>
      </c>
    </row>
    <row r="76" spans="1:24">
      <c r="A76" s="2" t="str">
        <f>$Z$12</f>
        <v>百人斩</v>
      </c>
      <c r="B76" s="2" t="str">
        <f>怪物并表!$R$14</f>
        <v>英雄之路</v>
      </c>
      <c r="C76" s="2">
        <v>20</v>
      </c>
      <c r="D76" s="28">
        <f t="shared" si="7"/>
        <v>1902</v>
      </c>
      <c r="E76" s="72">
        <f>VLOOKUP($C76,难度推算表,副本难度推算!$M$3,FALSE)*副本难度推算!$Y$5*Q76</f>
        <v>6503.1288201684656</v>
      </c>
      <c r="F76" s="72">
        <f>VLOOKUP($C76,难度推算表,副本难度推算!$P$3,FALSE)*副本难度推算!$Z$5*$R76+VLOOKUP($C76,难度推算表,副本难度推算!$H$3,FALSE)</f>
        <v>414.25239130434795</v>
      </c>
      <c r="G76" s="72">
        <f>VLOOKUP($C76,难度推算表,副本难度推算!$G$3,FALSE)-VLOOKUP($C76,难度推算表,副本难度推算!$I$3,FALSE)*(2-副本难度推算!$AA$5)*(2-$S76)</f>
        <v>202.47652173913053</v>
      </c>
      <c r="H76" s="72">
        <f>VLOOKUP($C76,难度推算表,副本难度推算!$M$3,FALSE)*副本难度推算!$Y$6*Q76</f>
        <v>5202.503056134773</v>
      </c>
      <c r="I76" s="72">
        <f>VLOOKUP($C76,难度推算表,副本难度推算!$P$3,FALSE)*副本难度推算!$Z$6*$R76+VLOOKUP($C76,难度推算表,副本难度推算!$H$3,FALSE)</f>
        <v>399.82402173913056</v>
      </c>
      <c r="J76" s="72">
        <f>VLOOKUP($C76,难度推算表,副本难度推算!$G$3,FALSE)-VLOOKUP($C76,难度推算表,副本难度推算!$I$3,FALSE)*(2-副本难度推算!$AA$6)*(2-$S76)</f>
        <v>121.48591304347838</v>
      </c>
      <c r="K76" s="72">
        <f>VLOOKUP($C76,难度推算表,副本难度推算!$M$3,FALSE)*副本难度推算!$Y$7*Q76</f>
        <v>16257.822050421164</v>
      </c>
      <c r="L76" s="72">
        <f>VLOOKUP($C76,难度推算表,副本难度推算!$P$3,FALSE)*副本难度推算!$Z$7*$R76+VLOOKUP($C76,难度推算表,副本难度推算!$H$3,FALSE)</f>
        <v>443.10913043478268</v>
      </c>
      <c r="M76" s="72">
        <f>VLOOKUP($C76,难度推算表,副本难度推算!$G$3,FALSE)-VLOOKUP($C76,难度推算表,副本难度推算!$I$3,FALSE)*(2-副本难度推算!$AA$7)*(2-$S76)</f>
        <v>283.46713043478269</v>
      </c>
      <c r="N76" s="2">
        <f>VLOOKUP($C76,难度推算表,副本难度推算!$Q$3,FALSE)</f>
        <v>1506.1599999999999</v>
      </c>
      <c r="O76" s="2">
        <f>VLOOKUP($C76,难度推算表,副本难度推算!$R$3,FALSE)</f>
        <v>0</v>
      </c>
      <c r="Q76" s="140">
        <f t="shared" si="8"/>
        <v>0.8</v>
      </c>
      <c r="R76" s="140">
        <f t="shared" si="9"/>
        <v>0.7</v>
      </c>
      <c r="S76" s="140">
        <f t="shared" si="10"/>
        <v>0.8</v>
      </c>
      <c r="V76" s="140"/>
      <c r="W76" s="140"/>
      <c r="X76" s="140"/>
    </row>
    <row r="77" spans="1:24">
      <c r="A77" s="2" t="str">
        <f>$Z$12</f>
        <v>百人斩</v>
      </c>
      <c r="B77" s="2" t="str">
        <f>怪物并表!$R$14</f>
        <v>英雄之路</v>
      </c>
      <c r="C77" s="2">
        <v>21</v>
      </c>
      <c r="D77" s="28">
        <f t="shared" si="7"/>
        <v>1902</v>
      </c>
      <c r="E77" s="72">
        <f>VLOOKUP($C77,难度推算表,副本难度推算!$M$3,FALSE)*副本难度推算!$Y$5*Q77</f>
        <v>7267.8762114366664</v>
      </c>
      <c r="F77" s="72">
        <f>VLOOKUP($C77,难度推算表,副本难度推算!$P$3,FALSE)*副本难度推算!$Z$5*$R77+VLOOKUP($C77,难度推算表,副本难度推算!$H$3,FALSE)</f>
        <v>458.64070336098416</v>
      </c>
      <c r="G77" s="72">
        <f>VLOOKUP($C77,难度推算表,副本难度推算!$G$3,FALSE)-VLOOKUP($C77,难度推算表,副本难度推算!$I$3,FALSE)*(2-副本难度推算!$AA$5)*(2-$S77)</f>
        <v>221.34161739130445</v>
      </c>
      <c r="H77" s="72">
        <f>VLOOKUP($C77,难度推算表,副本难度推算!$M$3,FALSE)*副本难度推算!$Y$6*Q77</f>
        <v>5814.3009691493335</v>
      </c>
      <c r="I77" s="72">
        <f>VLOOKUP($C77,难度推算表,副本难度推算!$P$3,FALSE)*副本难度推算!$Z$6*$R77+VLOOKUP($C77,难度推算表,副本难度推算!$H$3,FALSE)</f>
        <v>442.28884867705966</v>
      </c>
      <c r="J77" s="72">
        <f>VLOOKUP($C77,难度推算表,副本难度推算!$G$3,FALSE)-VLOOKUP($C77,难度推算表,副本难度推算!$I$3,FALSE)*(2-副本难度推算!$AA$6)*(2-$S77)</f>
        <v>132.80497043478272</v>
      </c>
      <c r="K77" s="72">
        <f>VLOOKUP($C77,难度推算表,副本难度推算!$M$3,FALSE)*副本难度推算!$Y$7*Q77</f>
        <v>18169.690528591665</v>
      </c>
      <c r="L77" s="72">
        <f>VLOOKUP($C77,难度推算表,副本难度推算!$P$3,FALSE)*副本难度推算!$Z$7*$R77+VLOOKUP($C77,难度推算表,副本难度推算!$H$3,FALSE)</f>
        <v>491.34441272883316</v>
      </c>
      <c r="M77" s="72">
        <f>VLOOKUP($C77,难度推算表,副本难度推算!$G$3,FALSE)-VLOOKUP($C77,难度推算表,副本难度推算!$I$3,FALSE)*(2-副本难度推算!$AA$7)*(2-$S77)</f>
        <v>309.87826434782625</v>
      </c>
      <c r="N77" s="2">
        <f>VLOOKUP($C77,难度推算表,副本难度推算!$Q$3,FALSE)</f>
        <v>1564.3879999999999</v>
      </c>
      <c r="O77" s="2">
        <f>VLOOKUP($C77,难度推算表,副本难度推算!$R$3,FALSE)</f>
        <v>0</v>
      </c>
      <c r="Q77" s="140">
        <f t="shared" si="8"/>
        <v>0.8</v>
      </c>
      <c r="R77" s="140">
        <f t="shared" si="9"/>
        <v>0.7</v>
      </c>
      <c r="S77" s="140">
        <f t="shared" si="10"/>
        <v>0.8</v>
      </c>
      <c r="V77" s="140"/>
      <c r="W77" s="140"/>
      <c r="X77" s="140"/>
    </row>
    <row r="78" spans="1:24">
      <c r="A78" s="2" t="str">
        <f t="shared" ref="A78:A141" si="11">$Z$12</f>
        <v>百人斩</v>
      </c>
      <c r="B78" s="2" t="str">
        <f>怪物并表!$R$14</f>
        <v>英雄之路</v>
      </c>
      <c r="C78" s="2">
        <v>22</v>
      </c>
      <c r="D78" s="28">
        <f t="shared" si="7"/>
        <v>1902</v>
      </c>
      <c r="E78" s="72">
        <f>VLOOKUP($C78,难度推算表,副本难度推算!$M$3,FALSE)*副本难度推算!$Y$5*Q78</f>
        <v>8084.1707780687202</v>
      </c>
      <c r="F78" s="72">
        <f>VLOOKUP($C78,难度推算表,副本难度推算!$P$3,FALSE)*副本难度推算!$Z$5*$R78+VLOOKUP($C78,难度推算表,副本难度推算!$H$3,FALSE)</f>
        <v>505.74359663394125</v>
      </c>
      <c r="G78" s="72">
        <f>VLOOKUP($C78,难度推算表,副本难度推算!$G$3,FALSE)-VLOOKUP($C78,难度推算表,副本难度推算!$I$3,FALSE)*(2-副本难度推算!$AA$5)*(2-$S78)</f>
        <v>240.98838260869576</v>
      </c>
      <c r="H78" s="72">
        <f>VLOOKUP($C78,难度推算表,副本难度推算!$M$3,FALSE)*副本难度推算!$Y$6*Q78</f>
        <v>6467.3366224549764</v>
      </c>
      <c r="I78" s="72">
        <f>VLOOKUP($C78,难度推算表,副本难度推算!$P$3,FALSE)*副本难度推算!$Z$6*$R78+VLOOKUP($C78,难度推算表,副本难度推算!$H$3,FALSE)</f>
        <v>487.30102131837316</v>
      </c>
      <c r="J78" s="72">
        <f>VLOOKUP($C78,难度推算表,副本难度推算!$G$3,FALSE)-VLOOKUP($C78,难度推算表,副本难度推算!$I$3,FALSE)*(2-副本难度推算!$AA$6)*(2-$S78)</f>
        <v>144.59302956521753</v>
      </c>
      <c r="K78" s="72">
        <f>VLOOKUP($C78,难度推算表,副本难度推算!$M$3,FALSE)*副本难度推算!$Y$7*Q78</f>
        <v>20210.426945171799</v>
      </c>
      <c r="L78" s="72">
        <f>VLOOKUP($C78,难度推算表,副本难度推算!$P$3,FALSE)*副本难度推算!$Z$7*$R78+VLOOKUP($C78,难度推算表,副本难度推算!$H$3,FALSE)</f>
        <v>542.62874726507721</v>
      </c>
      <c r="M78" s="72">
        <f>VLOOKUP($C78,难度推算表,副本难度推算!$G$3,FALSE)-VLOOKUP($C78,难度推算表,副本难度推算!$I$3,FALSE)*(2-副本难度推算!$AA$7)*(2-$S78)</f>
        <v>337.38373565217398</v>
      </c>
      <c r="N78" s="2">
        <f>VLOOKUP($C78,难度推算表,副本难度推算!$Q$3,FALSE)</f>
        <v>1622.616</v>
      </c>
      <c r="O78" s="2">
        <f>VLOOKUP($C78,难度推算表,副本难度推算!$R$3,FALSE)</f>
        <v>0</v>
      </c>
      <c r="Q78" s="140">
        <f t="shared" si="8"/>
        <v>0.8</v>
      </c>
      <c r="R78" s="140">
        <f t="shared" si="9"/>
        <v>0.7</v>
      </c>
      <c r="S78" s="140">
        <f t="shared" si="10"/>
        <v>0.8</v>
      </c>
      <c r="V78" s="140"/>
      <c r="W78" s="140"/>
      <c r="X78" s="140"/>
    </row>
    <row r="79" spans="1:24">
      <c r="A79" s="2" t="str">
        <f t="shared" si="11"/>
        <v>百人斩</v>
      </c>
      <c r="B79" s="2" t="str">
        <f>怪物并表!$R$14</f>
        <v>英雄之路</v>
      </c>
      <c r="C79" s="2">
        <v>23</v>
      </c>
      <c r="D79" s="28">
        <f t="shared" si="7"/>
        <v>1902</v>
      </c>
      <c r="E79" s="72">
        <f>VLOOKUP($C79,难度推算表,副本难度推算!$M$3,FALSE)*副本难度推算!$Y$5*Q79</f>
        <v>9120.3246440730254</v>
      </c>
      <c r="F79" s="72">
        <f>VLOOKUP($C79,难度推算表,副本难度推算!$P$3,FALSE)*副本难度推算!$Z$5*$R79+VLOOKUP($C79,难度推算表,副本难度推算!$H$3,FALSE)</f>
        <v>566.00603129374622</v>
      </c>
      <c r="G79" s="72">
        <f>VLOOKUP($C79,难度推算表,副本难度推算!$G$3,FALSE)-VLOOKUP($C79,难度推算表,副本难度推算!$I$3,FALSE)*(2-副本难度推算!$AA$5)*(2-$S79)</f>
        <v>266.29066354515066</v>
      </c>
      <c r="H79" s="72">
        <f>VLOOKUP($C79,难度推算表,副本难度推算!$M$3,FALSE)*副本难度推算!$Y$6*Q79</f>
        <v>7296.2597152584203</v>
      </c>
      <c r="I79" s="72">
        <f>VLOOKUP($C79,难度推算表,副本难度推算!$P$3,FALSE)*副本难度推算!$Z$6*$R79+VLOOKUP($C79,难度推算表,副本难度推算!$H$3,FALSE)</f>
        <v>544.91084997039161</v>
      </c>
      <c r="J79" s="72">
        <f>VLOOKUP($C79,难度推算表,副本难度推算!$G$3,FALSE)-VLOOKUP($C79,难度推算表,副本难度推算!$I$3,FALSE)*(2-副本难度推算!$AA$6)*(2-$S79)</f>
        <v>159.77439812709042</v>
      </c>
      <c r="K79" s="72">
        <f>VLOOKUP($C79,难度推算表,副本难度推算!$M$3,FALSE)*副本难度推算!$Y$7*Q79</f>
        <v>22800.811610182562</v>
      </c>
      <c r="L79" s="72">
        <f>VLOOKUP($C79,难度推算表,副本难度推算!$P$3,FALSE)*副本难度推算!$Z$7*$R79+VLOOKUP($C79,难度推算表,副本难度推算!$H$3,FALSE)</f>
        <v>608.19639394045521</v>
      </c>
      <c r="M79" s="72">
        <f>VLOOKUP($C79,难度推算表,副本难度推算!$G$3,FALSE)-VLOOKUP($C79,难度推算表,副本难度推算!$I$3,FALSE)*(2-副本难度推算!$AA$7)*(2-$S79)</f>
        <v>372.80692896321079</v>
      </c>
      <c r="N79" s="2">
        <f>VLOOKUP($C79,难度推算表,副本难度推算!$Q$3,FALSE)</f>
        <v>1680.8440000000001</v>
      </c>
      <c r="O79" s="2">
        <f>VLOOKUP($C79,难度推算表,副本难度推算!$R$3,FALSE)</f>
        <v>0</v>
      </c>
      <c r="Q79" s="140">
        <f t="shared" si="8"/>
        <v>0.8</v>
      </c>
      <c r="R79" s="140">
        <f t="shared" si="9"/>
        <v>0.7</v>
      </c>
      <c r="S79" s="140">
        <f t="shared" si="10"/>
        <v>0.8</v>
      </c>
      <c r="V79" s="140"/>
      <c r="W79" s="140"/>
      <c r="X79" s="140"/>
    </row>
    <row r="80" spans="1:24">
      <c r="A80" s="2" t="str">
        <f t="shared" si="11"/>
        <v>百人斩</v>
      </c>
      <c r="B80" s="2" t="str">
        <f>怪物并表!$R$14</f>
        <v>英雄之路</v>
      </c>
      <c r="C80" s="2">
        <v>24</v>
      </c>
      <c r="D80" s="28">
        <f t="shared" si="7"/>
        <v>1902</v>
      </c>
      <c r="E80" s="72">
        <f>VLOOKUP($C80,难度推算表,副本难度推算!$M$3,FALSE)*副本难度推算!$Y$5*Q80</f>
        <v>10227.912312267375</v>
      </c>
      <c r="F80" s="72">
        <f>VLOOKUP($C80,难度推算表,副本难度推算!$P$3,FALSE)*副本难度推算!$Z$5*$R80+VLOOKUP($C80,难度推算表,副本难度推算!$H$3,FALSE)</f>
        <v>630.05821801175261</v>
      </c>
      <c r="G80" s="72">
        <f>VLOOKUP($C80,难度推算表,副本难度推算!$G$3,FALSE)-VLOOKUP($C80,难度推算表,副本难度推算!$I$3,FALSE)*(2-副本难度推算!$AA$5)*(2-$S80)</f>
        <v>292.66999866220738</v>
      </c>
      <c r="H80" s="72">
        <f>VLOOKUP($C80,难度推算表,副本难度推算!$M$3,FALSE)*副本难度推算!$Y$6*Q80</f>
        <v>8182.3298498139011</v>
      </c>
      <c r="I80" s="72">
        <f>VLOOKUP($C80,难度推算表,副本难度推算!$P$3,FALSE)*副本难度推算!$Z$6*$R80+VLOOKUP($C80,难度推算表,副本难度推算!$H$3,FALSE)</f>
        <v>606.07506269887165</v>
      </c>
      <c r="J80" s="72">
        <f>VLOOKUP($C80,难度推算表,副本难度推算!$G$3,FALSE)-VLOOKUP($C80,难度推算表,副本难度推算!$I$3,FALSE)*(2-副本难度推算!$AA$6)*(2-$S80)</f>
        <v>175.6019991973244</v>
      </c>
      <c r="K80" s="72">
        <f>VLOOKUP($C80,难度推算表,副本难度推算!$M$3,FALSE)*副本难度推算!$Y$7*Q80</f>
        <v>25569.780780668436</v>
      </c>
      <c r="L80" s="72">
        <f>VLOOKUP($C80,难度推算表,副本难度推算!$P$3,FALSE)*副本难度推算!$Z$7*$R80+VLOOKUP($C80,难度推算表,副本难度推算!$H$3,FALSE)</f>
        <v>678.02452863751455</v>
      </c>
      <c r="M80" s="72">
        <f>VLOOKUP($C80,难度推算表,副本难度推算!$G$3,FALSE)-VLOOKUP($C80,难度推算表,副本难度推算!$I$3,FALSE)*(2-副本难度推算!$AA$7)*(2-$S80)</f>
        <v>409.73799812709035</v>
      </c>
      <c r="N80" s="2">
        <f>VLOOKUP($C80,难度推算表,副本难度推算!$Q$3,FALSE)</f>
        <v>1739.0720000000001</v>
      </c>
      <c r="O80" s="2">
        <f>VLOOKUP($C80,难度推算表,副本难度推算!$R$3,FALSE)</f>
        <v>0</v>
      </c>
      <c r="Q80" s="140">
        <f t="shared" si="8"/>
        <v>0.8</v>
      </c>
      <c r="R80" s="140">
        <f t="shared" si="9"/>
        <v>0.7</v>
      </c>
      <c r="S80" s="140">
        <f t="shared" si="10"/>
        <v>0.8</v>
      </c>
      <c r="V80" s="140"/>
      <c r="W80" s="140"/>
      <c r="X80" s="140"/>
    </row>
    <row r="81" spans="1:24">
      <c r="A81" s="2" t="str">
        <f t="shared" si="11"/>
        <v>百人斩</v>
      </c>
      <c r="B81" s="2" t="str">
        <f>怪物并表!$R$14</f>
        <v>英雄之路</v>
      </c>
      <c r="C81" s="2">
        <v>25</v>
      </c>
      <c r="D81" s="28">
        <f t="shared" si="7"/>
        <v>1902</v>
      </c>
      <c r="E81" s="72">
        <f>VLOOKUP($C81,难度推算表,副本难度推算!$M$3,FALSE)*副本难度推算!$Y$5*Q81</f>
        <v>11408.838305245481</v>
      </c>
      <c r="F81" s="72">
        <f>VLOOKUP($C81,难度推算表,副本难度推算!$P$3,FALSE)*副本难度推算!$Z$5*$R81+VLOOKUP($C81,难度推算表,副本难度推算!$H$3,FALSE)</f>
        <v>698.0206810999905</v>
      </c>
      <c r="G81" s="72">
        <f>VLOOKUP($C81,难度推算表,副本难度推算!$G$3,FALSE)-VLOOKUP($C81,难度推算表,副本难度推算!$I$3,FALSE)*(2-副本难度推算!$AA$5)*(2-$S81)</f>
        <v>320.12638795986629</v>
      </c>
      <c r="H81" s="72">
        <f>VLOOKUP($C81,难度推算表,副本难度推算!$M$3,FALSE)*副本难度推算!$Y$6*Q81</f>
        <v>9127.0706441963848</v>
      </c>
      <c r="I81" s="72">
        <f>VLOOKUP($C81,难度推算表,副本难度推算!$P$3,FALSE)*副本难度推算!$Z$6*$R81+VLOOKUP($C81,难度推算表,副本难度推算!$H$3,FALSE)</f>
        <v>670.90213138464026</v>
      </c>
      <c r="J81" s="72">
        <f>VLOOKUP($C81,难度推算表,副本难度推算!$G$3,FALSE)-VLOOKUP($C81,难度推算表,副本难度推算!$I$3,FALSE)*(2-副本难度推算!$AA$6)*(2-$S81)</f>
        <v>192.07583277591971</v>
      </c>
      <c r="K81" s="72">
        <f>VLOOKUP($C81,难度推算表,副本难度推算!$M$3,FALSE)*副本难度推算!$Y$7*Q81</f>
        <v>28522.095763113706</v>
      </c>
      <c r="L81" s="72">
        <f>VLOOKUP($C81,难度推算表,副本难度推算!$P$3,FALSE)*副本难度推算!$Z$7*$R81+VLOOKUP($C81,难度推算表,副本难度推算!$H$3,FALSE)</f>
        <v>752.25778053069087</v>
      </c>
      <c r="M81" s="72">
        <f>VLOOKUP($C81,难度推算表,副本难度推算!$G$3,FALSE)-VLOOKUP($C81,难度推算表,副本难度推算!$I$3,FALSE)*(2-副本难度推算!$AA$7)*(2-$S81)</f>
        <v>448.17694314381288</v>
      </c>
      <c r="N81" s="2">
        <f>VLOOKUP($C81,难度推算表,副本难度推算!$Q$3,FALSE)</f>
        <v>1797.3000000000002</v>
      </c>
      <c r="O81" s="2">
        <f>VLOOKUP($C81,难度推算表,副本难度推算!$R$3,FALSE)</f>
        <v>0</v>
      </c>
      <c r="Q81" s="140">
        <f t="shared" si="8"/>
        <v>0.8</v>
      </c>
      <c r="R81" s="140">
        <f t="shared" si="9"/>
        <v>0.7</v>
      </c>
      <c r="S81" s="140">
        <f t="shared" si="10"/>
        <v>0.8</v>
      </c>
      <c r="V81" s="140"/>
      <c r="W81" s="140"/>
      <c r="X81" s="140"/>
    </row>
    <row r="82" spans="1:24">
      <c r="A82" s="2" t="str">
        <f t="shared" si="11"/>
        <v>百人斩</v>
      </c>
      <c r="B82" s="2" t="str">
        <f>怪物并表!$R$14</f>
        <v>英雄之路</v>
      </c>
      <c r="C82" s="2">
        <v>26</v>
      </c>
      <c r="D82" s="28">
        <f t="shared" si="7"/>
        <v>1902</v>
      </c>
      <c r="E82" s="72">
        <f>VLOOKUP($C82,难度推算表,副本难度推算!$M$3,FALSE)*副本难度推算!$Y$5*Q82</f>
        <v>12825.690377798661</v>
      </c>
      <c r="F82" s="72">
        <f>VLOOKUP($C82,难度推算表,副本难度推算!$P$3,FALSE)*副本难度推算!$Z$5*$R82+VLOOKUP($C82,难度推算表,副本难度推算!$H$3,FALSE)</f>
        <v>779.78709646229947</v>
      </c>
      <c r="G82" s="72">
        <f>VLOOKUP($C82,难度推算表,副本难度推算!$G$3,FALSE)-VLOOKUP($C82,难度推算表,副本难度推算!$I$3,FALSE)*(2-副本难度推算!$AA$5)*(2-$S82)</f>
        <v>353.08351143812718</v>
      </c>
      <c r="H82" s="72">
        <f>VLOOKUP($C82,难度推算表,副本难度推算!$M$3,FALSE)*副本难度推算!$Y$6*Q82</f>
        <v>10260.55230223893</v>
      </c>
      <c r="I82" s="72">
        <f>VLOOKUP($C82,难度推算表,副本难度推算!$P$3,FALSE)*副本难度推算!$Z$6*$R82+VLOOKUP($C82,难度推算表,副本难度推算!$H$3,FALSE)</f>
        <v>748.88618834115312</v>
      </c>
      <c r="J82" s="72">
        <f>VLOOKUP($C82,难度推算表,副本难度推算!$G$3,FALSE)-VLOOKUP($C82,难度推算表,副本难度推算!$I$3,FALSE)*(2-副本难度推算!$AA$6)*(2-$S82)</f>
        <v>211.85010686287626</v>
      </c>
      <c r="K82" s="72">
        <f>VLOOKUP($C82,难度推算表,副本难度推算!$M$3,FALSE)*副本难度推算!$Y$7*Q82</f>
        <v>32064.225944496651</v>
      </c>
      <c r="L82" s="72">
        <f>VLOOKUP($C82,难度推算表,副本难度推算!$P$3,FALSE)*副本难度推算!$Z$7*$R82+VLOOKUP($C82,难度推算表,副本难度推算!$H$3,FALSE)</f>
        <v>841.58891270459208</v>
      </c>
      <c r="M82" s="72">
        <f>VLOOKUP($C82,难度推算表,副本难度推算!$G$3,FALSE)-VLOOKUP($C82,难度推算表,副本难度推算!$I$3,FALSE)*(2-副本难度推算!$AA$7)*(2-$S82)</f>
        <v>494.31691601337809</v>
      </c>
      <c r="N82" s="2">
        <f>VLOOKUP($C82,难度推算表,副本难度推算!$Q$3,FALSE)</f>
        <v>1855.528</v>
      </c>
      <c r="O82" s="2">
        <f>VLOOKUP($C82,难度推算表,副本难度推算!$R$3,FALSE)</f>
        <v>0</v>
      </c>
      <c r="Q82" s="140">
        <f t="shared" si="8"/>
        <v>0.8</v>
      </c>
      <c r="R82" s="140">
        <f t="shared" si="9"/>
        <v>0.7</v>
      </c>
      <c r="S82" s="140">
        <f t="shared" si="10"/>
        <v>0.8</v>
      </c>
      <c r="V82" s="140"/>
      <c r="W82" s="140"/>
      <c r="X82" s="140"/>
    </row>
    <row r="83" spans="1:24">
      <c r="A83" s="2" t="str">
        <f t="shared" si="11"/>
        <v>百人斩</v>
      </c>
      <c r="B83" s="2" t="str">
        <f>怪物并表!$R$14</f>
        <v>英雄之路</v>
      </c>
      <c r="C83" s="2">
        <v>27</v>
      </c>
      <c r="D83" s="28">
        <f t="shared" si="7"/>
        <v>1902</v>
      </c>
      <c r="E83" s="72">
        <f>VLOOKUP($C83,难度推算表,副本难度推算!$M$3,FALSE)*副本难度推算!$Y$5*Q83</f>
        <v>14334.793666133955</v>
      </c>
      <c r="F83" s="72">
        <f>VLOOKUP($C83,难度推算表,副本难度推算!$P$3,FALSE)*副本难度推算!$Z$5*$R83+VLOOKUP($C83,难度推算表,副本难度推算!$H$3,FALSE)</f>
        <v>866.51674294010104</v>
      </c>
      <c r="G83" s="72">
        <f>VLOOKUP($C83,难度推算表,副本难度推算!$G$3,FALSE)-VLOOKUP($C83,难度推算表,副本难度推算!$I$3,FALSE)*(2-副本难度推算!$AA$5)*(2-$S83)</f>
        <v>387.36344909699017</v>
      </c>
      <c r="H83" s="72">
        <f>VLOOKUP($C83,难度推算表,副本难度推算!$M$3,FALSE)*副本难度推算!$Y$6*Q83</f>
        <v>11467.834932907164</v>
      </c>
      <c r="I83" s="72">
        <f>VLOOKUP($C83,难度推算表,副本难度推算!$P$3,FALSE)*副本难度推算!$Z$6*$R83+VLOOKUP($C83,难度推算表,副本难度推算!$H$3,FALSE)</f>
        <v>831.51352852568959</v>
      </c>
      <c r="J83" s="72">
        <f>VLOOKUP($C83,难度推算表,副本难度推算!$G$3,FALSE)-VLOOKUP($C83,难度推算表,副本难度推算!$I$3,FALSE)*(2-副本难度推算!$AA$6)*(2-$S83)</f>
        <v>232.41806945819417</v>
      </c>
      <c r="K83" s="72">
        <f>VLOOKUP($C83,难度推算表,副本难度推算!$M$3,FALSE)*副本难度推算!$Y$7*Q83</f>
        <v>35836.984165334892</v>
      </c>
      <c r="L83" s="72">
        <f>VLOOKUP($C83,难度推算表,副本难度推算!$P$3,FALSE)*副本难度推算!$Z$7*$R83+VLOOKUP($C83,难度推算表,副本难度推算!$H$3,FALSE)</f>
        <v>936.52317176892382</v>
      </c>
      <c r="M83" s="72">
        <f>VLOOKUP($C83,难度推算表,副本难度推算!$G$3,FALSE)-VLOOKUP($C83,难度推算表,副本难度推算!$I$3,FALSE)*(2-副本难度推算!$AA$7)*(2-$S83)</f>
        <v>542.30882873578616</v>
      </c>
      <c r="N83" s="2">
        <f>VLOOKUP($C83,难度推算表,副本难度推算!$Q$3,FALSE)</f>
        <v>1913.7559999999999</v>
      </c>
      <c r="O83" s="2">
        <f>VLOOKUP($C83,难度推算表,副本难度推算!$R$3,FALSE)</f>
        <v>0</v>
      </c>
      <c r="Q83" s="140">
        <f t="shared" si="8"/>
        <v>0.8</v>
      </c>
      <c r="R83" s="140">
        <f t="shared" si="9"/>
        <v>0.7</v>
      </c>
      <c r="S83" s="140">
        <f t="shared" si="10"/>
        <v>0.8</v>
      </c>
      <c r="V83" s="140"/>
      <c r="W83" s="140"/>
      <c r="X83" s="140"/>
    </row>
    <row r="84" spans="1:24">
      <c r="A84" s="2" t="str">
        <f t="shared" si="11"/>
        <v>百人斩</v>
      </c>
      <c r="B84" s="2" t="str">
        <f>怪物并表!$R$14</f>
        <v>英雄之路</v>
      </c>
      <c r="C84" s="2">
        <v>28</v>
      </c>
      <c r="D84" s="28">
        <f t="shared" si="7"/>
        <v>1902</v>
      </c>
      <c r="E84" s="72">
        <f>VLOOKUP($C84,难度推算表,副本难度推算!$M$3,FALSE)*副本难度推算!$Y$5*Q84</f>
        <v>15938.471691715738</v>
      </c>
      <c r="F84" s="72">
        <f>VLOOKUP($C84,难度推算表,副本难度推算!$P$3,FALSE)*副本难度推算!$Z$5*$R84+VLOOKUP($C84,难度推算表,副本难度推算!$H$3,FALSE)</f>
        <v>958.36752780293295</v>
      </c>
      <c r="G84" s="72">
        <f>VLOOKUP($C84,难度推算表,副本难度推算!$G$3,FALSE)-VLOOKUP($C84,难度推算表,副本难度推算!$I$3,FALSE)*(2-副本难度推算!$AA$5)*(2-$S84)</f>
        <v>422.96620093645492</v>
      </c>
      <c r="H84" s="72">
        <f>VLOOKUP($C84,难度推算表,副本难度推算!$M$3,FALSE)*副本难度推算!$Y$6*Q84</f>
        <v>12750.777353372592</v>
      </c>
      <c r="I84" s="72">
        <f>VLOOKUP($C84,难度推算表,副本难度推算!$P$3,FALSE)*副本难度推算!$Z$6*$R84+VLOOKUP($C84,难度推算表,副本难度推算!$H$3,FALSE)</f>
        <v>918.92626848083364</v>
      </c>
      <c r="J84" s="72">
        <f>VLOOKUP($C84,难度推算表,副本难度推算!$G$3,FALSE)-VLOOKUP($C84,难度推算表,副本难度推算!$I$3,FALSE)*(2-副本难度推算!$AA$6)*(2-$S84)</f>
        <v>253.77972056187298</v>
      </c>
      <c r="K84" s="72">
        <f>VLOOKUP($C84,难度推算表,副本难度推算!$M$3,FALSE)*副本难度推算!$Y$7*Q84</f>
        <v>39846.179229289351</v>
      </c>
      <c r="L84" s="72">
        <f>VLOOKUP($C84,难度推算表,副本难度推算!$P$3,FALSE)*副本难度推算!$Z$7*$R84+VLOOKUP($C84,难度推算表,副本难度推算!$H$3,FALSE)</f>
        <v>1037.2500464471314</v>
      </c>
      <c r="M84" s="72">
        <f>VLOOKUP($C84,难度推算表,副本难度推算!$G$3,FALSE)-VLOOKUP($C84,难度推算表,副本难度推算!$I$3,FALSE)*(2-副本难度推算!$AA$7)*(2-$S84)</f>
        <v>592.15268131103699</v>
      </c>
      <c r="N84" s="2">
        <f>VLOOKUP($C84,难度推算表,副本难度推算!$Q$3,FALSE)</f>
        <v>1971.9840000000002</v>
      </c>
      <c r="O84" s="2">
        <f>VLOOKUP($C84,难度推算表,副本难度推算!$R$3,FALSE)</f>
        <v>0</v>
      </c>
      <c r="Q84" s="140">
        <f t="shared" si="8"/>
        <v>0.8</v>
      </c>
      <c r="R84" s="140">
        <f t="shared" si="9"/>
        <v>0.7</v>
      </c>
      <c r="S84" s="140">
        <f t="shared" si="10"/>
        <v>0.8</v>
      </c>
      <c r="V84" s="140"/>
      <c r="W84" s="140"/>
      <c r="X84" s="140"/>
    </row>
    <row r="85" spans="1:24">
      <c r="A85" s="2" t="str">
        <f t="shared" si="11"/>
        <v>百人斩</v>
      </c>
      <c r="B85" s="2" t="str">
        <f>怪物并表!$R$14</f>
        <v>英雄之路</v>
      </c>
      <c r="C85" s="2">
        <v>29</v>
      </c>
      <c r="D85" s="28">
        <f t="shared" si="7"/>
        <v>1902</v>
      </c>
      <c r="E85" s="72">
        <f>VLOOKUP($C85,难度推算表,副本难度推算!$M$3,FALSE)*副本难度推算!$Y$5*Q85</f>
        <v>17639.041243462194</v>
      </c>
      <c r="F85" s="72">
        <f>VLOOKUP($C85,难度推算表,副本难度推算!$P$3,FALSE)*副本难度推算!$Z$5*$R85+VLOOKUP($C85,难度推算表,副本难度推算!$H$3,FALSE)</f>
        <v>1055.501946425019</v>
      </c>
      <c r="G85" s="72">
        <f>VLOOKUP($C85,难度推算表,副本难度推算!$G$3,FALSE)-VLOOKUP($C85,难度推算表,副本难度推算!$I$3,FALSE)*(2-副本难度推算!$AA$5)*(2-$S85)</f>
        <v>459.89176695652213</v>
      </c>
      <c r="H85" s="72">
        <f>VLOOKUP($C85,难度推算表,副本难度推算!$M$3,FALSE)*副本难度推算!$Y$6*Q85</f>
        <v>14111.232994769756</v>
      </c>
      <c r="I85" s="72">
        <f>VLOOKUP($C85,难度推算表,副本难度推算!$P$3,FALSE)*副本难度推算!$Z$6*$R85+VLOOKUP($C85,难度推算表,副本难度推算!$H$3,FALSE)</f>
        <v>1011.2706540433868</v>
      </c>
      <c r="J85" s="72">
        <f>VLOOKUP($C85,难度推算表,副本难度推算!$G$3,FALSE)-VLOOKUP($C85,难度推算表,副本难度推算!$I$3,FALSE)*(2-副本难度推算!$AA$6)*(2-$S85)</f>
        <v>275.93506017391337</v>
      </c>
      <c r="K85" s="72">
        <f>VLOOKUP($C85,难度推算表,副本难度推算!$M$3,FALSE)*副本难度推算!$Y$7*Q85</f>
        <v>44097.603108655487</v>
      </c>
      <c r="L85" s="72">
        <f>VLOOKUP($C85,难度推算表,副本难度推算!$P$3,FALSE)*副本难度推算!$Z$7*$R85+VLOOKUP($C85,难度推算表,副本难度推算!$H$3,FALSE)</f>
        <v>1143.9645311882837</v>
      </c>
      <c r="M85" s="72">
        <f>VLOOKUP($C85,难度推算表,副本难度推算!$G$3,FALSE)-VLOOKUP($C85,难度推算表,副本难度推算!$I$3,FALSE)*(2-副本难度推算!$AA$7)*(2-$S85)</f>
        <v>643.84847373913078</v>
      </c>
      <c r="N85" s="2">
        <f>VLOOKUP($C85,难度推算表,副本难度推算!$Q$3,FALSE)</f>
        <v>2030.212</v>
      </c>
      <c r="O85" s="2">
        <f>VLOOKUP($C85,难度推算表,副本难度推算!$R$3,FALSE)</f>
        <v>0</v>
      </c>
      <c r="Q85" s="140">
        <f t="shared" si="8"/>
        <v>0.8</v>
      </c>
      <c r="R85" s="140">
        <f t="shared" si="9"/>
        <v>0.7</v>
      </c>
      <c r="S85" s="140">
        <f t="shared" si="10"/>
        <v>0.8</v>
      </c>
      <c r="V85" s="140"/>
      <c r="W85" s="140"/>
      <c r="X85" s="140"/>
    </row>
    <row r="86" spans="1:24">
      <c r="A86" s="2" t="str">
        <f t="shared" si="11"/>
        <v>百人斩</v>
      </c>
      <c r="B86" s="2" t="str">
        <f>怪物并表!$R$14</f>
        <v>英雄之路</v>
      </c>
      <c r="C86" s="2">
        <v>30</v>
      </c>
      <c r="D86" s="28">
        <f t="shared" si="7"/>
        <v>1902</v>
      </c>
      <c r="E86" s="72">
        <f>VLOOKUP($C86,难度推算表,副本难度推算!$M$3,FALSE)*副本难度推算!$Y$5*Q86</f>
        <v>19681.797809799522</v>
      </c>
      <c r="F86" s="72">
        <f>VLOOKUP($C86,难度推算表,副本难度推算!$P$3,FALSE)*副本难度推算!$Z$5*$R86+VLOOKUP($C86,难度推算表,副本难度推算!$H$3,FALSE)</f>
        <v>1172.5633407695373</v>
      </c>
      <c r="G86" s="72">
        <f>VLOOKUP($C86,难度推算表,副本难度推算!$G$3,FALSE)-VLOOKUP($C86,难度推算表,副本难度推算!$I$3,FALSE)*(2-副本难度推算!$AA$5)*(2-$S86)</f>
        <v>504.36689899665589</v>
      </c>
      <c r="H86" s="72">
        <f>VLOOKUP($C86,难度推算表,副本难度推算!$M$3,FALSE)*副本难度推算!$Y$6*Q86</f>
        <v>15745.438247839618</v>
      </c>
      <c r="I86" s="72">
        <f>VLOOKUP($C86,难度推算表,副本难度推算!$P$3,FALSE)*副本难度推算!$Z$6*$R86+VLOOKUP($C86,难度推算表,副本难度推算!$H$3,FALSE)</f>
        <v>1122.5559265588042</v>
      </c>
      <c r="J86" s="72">
        <f>VLOOKUP($C86,难度推算表,副本难度推算!$G$3,FALSE)-VLOOKUP($C86,难度推算表,副本难度推算!$I$3,FALSE)*(2-副本难度推算!$AA$6)*(2-$S86)</f>
        <v>302.62013939799363</v>
      </c>
      <c r="K86" s="72">
        <f>VLOOKUP($C86,难度推算表,副本难度推算!$M$3,FALSE)*副本难度推算!$Y$7*Q86</f>
        <v>49204.494524498798</v>
      </c>
      <c r="L86" s="72">
        <f>VLOOKUP($C86,难度推算表,副本难度推算!$P$3,FALSE)*副本难度推算!$Z$7*$R86+VLOOKUP($C86,难度推算表,副本难度推算!$H$3,FALSE)</f>
        <v>1272.5781691910031</v>
      </c>
      <c r="M86" s="72">
        <f>VLOOKUP($C86,难度推算表,副本难度推算!$G$3,FALSE)-VLOOKUP($C86,难度推算表,副本难度推算!$I$3,FALSE)*(2-副本难度推算!$AA$7)*(2-$S86)</f>
        <v>706.11365859531804</v>
      </c>
      <c r="N86" s="2">
        <f>VLOOKUP($C86,难度推算表,副本难度推算!$Q$3,FALSE)</f>
        <v>2088.44</v>
      </c>
      <c r="O86" s="2">
        <f>VLOOKUP($C86,难度推算表,副本难度推算!$R$3,FALSE)</f>
        <v>0</v>
      </c>
      <c r="Q86" s="140">
        <f t="shared" si="8"/>
        <v>0.8</v>
      </c>
      <c r="R86" s="140">
        <f t="shared" si="9"/>
        <v>0.7</v>
      </c>
      <c r="S86" s="140">
        <f t="shared" si="10"/>
        <v>0.8</v>
      </c>
      <c r="V86" s="140"/>
      <c r="W86" s="140"/>
      <c r="X86" s="140"/>
    </row>
    <row r="87" spans="1:24">
      <c r="A87" s="2" t="str">
        <f t="shared" si="11"/>
        <v>百人斩</v>
      </c>
      <c r="B87" s="2" t="str">
        <f>怪物并表!$R$14</f>
        <v>英雄之路</v>
      </c>
      <c r="C87" s="2">
        <v>31</v>
      </c>
      <c r="D87" s="28">
        <f t="shared" si="7"/>
        <v>1902</v>
      </c>
      <c r="E87" s="72">
        <f>VLOOKUP($C87,难度推算表,副本难度推算!$M$3,FALSE)*副本难度推算!$Y$5*Q87</f>
        <v>21912.498932624545</v>
      </c>
      <c r="F87" s="72">
        <f>VLOOKUP($C87,难度推算表,副本难度推算!$P$3,FALSE)*副本难度推算!$Z$5*$R87+VLOOKUP($C87,难度推算表,副本难度推算!$H$3,FALSE)</f>
        <v>1300.733859360967</v>
      </c>
      <c r="G87" s="72">
        <f>VLOOKUP($C87,难度推算表,副本难度推算!$G$3,FALSE)-VLOOKUP($C87,难度推算表,副本难度推算!$I$3,FALSE)*(2-副本难度推算!$AA$5)*(2-$S87)</f>
        <v>550.27542605538474</v>
      </c>
      <c r="H87" s="72">
        <f>VLOOKUP($C87,难度推算表,副本难度推算!$M$3,FALSE)*副本难度推算!$Y$6*Q87</f>
        <v>17529.999146099635</v>
      </c>
      <c r="I87" s="72">
        <f>VLOOKUP($C87,难度推算表,副本难度推算!$P$3,FALSE)*副本难度推算!$Z$6*$R87+VLOOKUP($C87,难度推算表,副本难度推算!$H$3,FALSE)</f>
        <v>1245.0220174864089</v>
      </c>
      <c r="J87" s="72">
        <f>VLOOKUP($C87,难度推算表,副本难度推算!$G$3,FALSE)-VLOOKUP($C87,难度推算表,副本难度推算!$I$3,FALSE)*(2-副本难度推算!$AA$6)*(2-$S87)</f>
        <v>325.7035629895388</v>
      </c>
      <c r="K87" s="72">
        <f>VLOOKUP($C87,难度推算表,副本难度推算!$M$3,FALSE)*副本难度推算!$Y$7*Q87</f>
        <v>54781.247331561361</v>
      </c>
      <c r="L87" s="72">
        <f>VLOOKUP($C87,难度推算表,副本难度推算!$P$3,FALSE)*副本难度推算!$Z$7*$R87+VLOOKUP($C87,难度推算表,副本难度推算!$H$3,FALSE)</f>
        <v>1412.1575431100835</v>
      </c>
      <c r="M87" s="72">
        <f>VLOOKUP($C87,难度推算表,副本难度推算!$G$3,FALSE)-VLOOKUP($C87,难度推算表,副本难度推算!$I$3,FALSE)*(2-副本难度推算!$AA$7)*(2-$S87)</f>
        <v>774.84728912123103</v>
      </c>
      <c r="N87" s="2">
        <f>VLOOKUP($C87,难度推算表,副本难度推算!$Q$3,FALSE)</f>
        <v>2146.6680000000001</v>
      </c>
      <c r="O87" s="2">
        <f>VLOOKUP($C87,难度推算表,副本难度推算!$R$3,FALSE)</f>
        <v>0</v>
      </c>
      <c r="Q87" s="140">
        <f t="shared" si="8"/>
        <v>0.79200000000000004</v>
      </c>
      <c r="R87" s="140">
        <f t="shared" si="9"/>
        <v>0.69299999999999995</v>
      </c>
      <c r="S87" s="140">
        <f t="shared" si="10"/>
        <v>0.79200000000000004</v>
      </c>
      <c r="V87" s="140"/>
      <c r="W87" s="140"/>
      <c r="X87" s="140"/>
    </row>
    <row r="88" spans="1:24">
      <c r="A88" s="2" t="str">
        <f t="shared" si="11"/>
        <v>百人斩</v>
      </c>
      <c r="B88" s="2" t="str">
        <f>怪物并表!$R$14</f>
        <v>英雄之路</v>
      </c>
      <c r="C88" s="2">
        <v>32</v>
      </c>
      <c r="D88" s="28">
        <f t="shared" si="7"/>
        <v>1902</v>
      </c>
      <c r="E88" s="72">
        <f>VLOOKUP($C88,难度推算表,副本难度推算!$M$3,FALSE)*副本难度推算!$Y$5*Q88</f>
        <v>24296.563316578082</v>
      </c>
      <c r="F88" s="72">
        <f>VLOOKUP($C88,难度推算表,副本难度推算!$P$3,FALSE)*副本难度推算!$Z$5*$R88+VLOOKUP($C88,难度推算表,副本难度推算!$H$3,FALSE)</f>
        <v>1437.4875540483051</v>
      </c>
      <c r="G88" s="72">
        <f>VLOOKUP($C88,难度推算表,副本难度推算!$G$3,FALSE)-VLOOKUP($C88,难度推算表,副本难度推算!$I$3,FALSE)*(2-副本难度推算!$AA$5)*(2-$S88)</f>
        <v>598.0889005051506</v>
      </c>
      <c r="H88" s="72">
        <f>VLOOKUP($C88,难度推算表,副本难度推算!$M$3,FALSE)*副本难度推算!$Y$6*Q88</f>
        <v>19437.250653262465</v>
      </c>
      <c r="I88" s="72">
        <f>VLOOKUP($C88,难度推算表,副本难度推算!$P$3,FALSE)*副本难度推算!$Z$6*$R88+VLOOKUP($C88,难度推算表,副本难度推算!$H$3,FALSE)</f>
        <v>1375.6687850140431</v>
      </c>
      <c r="J88" s="72">
        <f>VLOOKUP($C88,难度推算表,副本难度推算!$G$3,FALSE)-VLOOKUP($C88,难度推算表,副本难度推算!$I$3,FALSE)*(2-副本难度推算!$AA$6)*(2-$S88)</f>
        <v>349.0217419386222</v>
      </c>
      <c r="K88" s="72">
        <f>VLOOKUP($C88,难度推算表,副本难度推算!$M$3,FALSE)*副本难度推算!$Y$7*Q88</f>
        <v>60741.408291445208</v>
      </c>
      <c r="L88" s="72">
        <f>VLOOKUP($C88,难度推算表,副本难度推算!$P$3,FALSE)*副本难度推算!$Z$7*$R88+VLOOKUP($C88,难度推算表,副本难度推算!$H$3,FALSE)</f>
        <v>1561.1250921168289</v>
      </c>
      <c r="M88" s="72">
        <f>VLOOKUP($C88,难度推算表,副本难度推算!$G$3,FALSE)-VLOOKUP($C88,难度推算表,副本难度推算!$I$3,FALSE)*(2-副本难度推算!$AA$7)*(2-$S88)</f>
        <v>847.15605907167912</v>
      </c>
      <c r="N88" s="2">
        <f>VLOOKUP($C88,难度推算表,副本难度推算!$Q$3,FALSE)</f>
        <v>2204.8960000000002</v>
      </c>
      <c r="O88" s="2">
        <f>VLOOKUP($C88,难度推算表,副本难度推算!$R$3,FALSE)</f>
        <v>0</v>
      </c>
      <c r="Q88" s="140">
        <f t="shared" si="8"/>
        <v>0.78400000000000003</v>
      </c>
      <c r="R88" s="140">
        <f t="shared" si="9"/>
        <v>0.68599999999999994</v>
      </c>
      <c r="S88" s="140">
        <f t="shared" si="10"/>
        <v>0.78400000000000003</v>
      </c>
      <c r="V88" s="140"/>
      <c r="W88" s="140"/>
      <c r="X88" s="140"/>
    </row>
    <row r="89" spans="1:24">
      <c r="A89" s="2" t="str">
        <f t="shared" si="11"/>
        <v>百人斩</v>
      </c>
      <c r="B89" s="2" t="str">
        <f>怪物并表!$R$14</f>
        <v>英雄之路</v>
      </c>
      <c r="C89" s="2">
        <v>33</v>
      </c>
      <c r="D89" s="28">
        <f t="shared" si="7"/>
        <v>1902</v>
      </c>
      <c r="E89" s="72">
        <f>VLOOKUP($C89,难度推算表,副本难度推算!$M$3,FALSE)*副本难度推算!$Y$5*Q89</f>
        <v>26828.800400935623</v>
      </c>
      <c r="F89" s="72">
        <f>VLOOKUP($C89,难度推算表,副本难度推算!$P$3,FALSE)*副本难度推算!$Z$5*$R89+VLOOKUP($C89,难度推算表,副本难度推算!$H$3,FALSE)</f>
        <v>1582.5450035956289</v>
      </c>
      <c r="G89" s="72">
        <f>VLOOKUP($C89,难度推算表,副本难度推算!$G$3,FALSE)-VLOOKUP($C89,难度推算表,副本难度推算!$I$3,FALSE)*(2-副本难度推算!$AA$5)*(2-$S89)</f>
        <v>647.54781172976641</v>
      </c>
      <c r="H89" s="72">
        <f>VLOOKUP($C89,难度推算表,副本难度推算!$M$3,FALSE)*副本难度推算!$Y$6*Q89</f>
        <v>21463.0403207485</v>
      </c>
      <c r="I89" s="72">
        <f>VLOOKUP($C89,难度推算表,副本难度推算!$P$3,FALSE)*副本难度推算!$Z$6*$R89+VLOOKUP($C89,难度推算表,副本难度推算!$H$3,FALSE)</f>
        <v>1514.2276993096448</v>
      </c>
      <c r="J89" s="72">
        <f>VLOOKUP($C89,难度推算表,副本难度推算!$G$3,FALSE)-VLOOKUP($C89,难度推算表,副本难度推算!$I$3,FALSE)*(2-副本难度推算!$AA$6)*(2-$S89)</f>
        <v>372.33999174461587</v>
      </c>
      <c r="K89" s="72">
        <f>VLOOKUP($C89,难度推算表,副本难度推算!$M$3,FALSE)*副本难度推算!$Y$7*Q89</f>
        <v>67072.001002339064</v>
      </c>
      <c r="L89" s="72">
        <f>VLOOKUP($C89,难度推算表,副本难度推算!$P$3,FALSE)*副本难度推算!$Z$7*$R89+VLOOKUP($C89,难度推算表,副本难度推算!$H$3,FALSE)</f>
        <v>1719.1796121675975</v>
      </c>
      <c r="M89" s="72">
        <f>VLOOKUP($C89,难度推算表,副本难度推算!$G$3,FALSE)-VLOOKUP($C89,难度推算表,副本难度推算!$I$3,FALSE)*(2-副本难度推算!$AA$7)*(2-$S89)</f>
        <v>922.75563171491694</v>
      </c>
      <c r="N89" s="2">
        <f>VLOOKUP($C89,难度推算表,副本难度推算!$Q$3,FALSE)</f>
        <v>2263.1239999999998</v>
      </c>
      <c r="O89" s="2">
        <f>VLOOKUP($C89,难度推算表,副本难度推算!$R$3,FALSE)</f>
        <v>0</v>
      </c>
      <c r="Q89" s="140">
        <f t="shared" si="8"/>
        <v>0.77600000000000002</v>
      </c>
      <c r="R89" s="140">
        <f t="shared" si="9"/>
        <v>0.67899999999999994</v>
      </c>
      <c r="S89" s="140">
        <f t="shared" si="10"/>
        <v>0.77600000000000002</v>
      </c>
      <c r="V89" s="140"/>
      <c r="W89" s="140"/>
      <c r="X89" s="140"/>
    </row>
    <row r="90" spans="1:24">
      <c r="A90" s="2" t="str">
        <f t="shared" si="11"/>
        <v>百人斩</v>
      </c>
      <c r="B90" s="2" t="str">
        <f>怪物并表!$R$14</f>
        <v>英雄之路</v>
      </c>
      <c r="C90" s="2">
        <v>34</v>
      </c>
      <c r="D90" s="28">
        <f t="shared" si="7"/>
        <v>1902</v>
      </c>
      <c r="E90" s="72">
        <f>VLOOKUP($C90,难度推算表,副本难度推算!$M$3,FALSE)*副本难度推算!$Y$5*Q90</f>
        <v>29511.734026841692</v>
      </c>
      <c r="F90" s="72">
        <f>VLOOKUP($C90,难度推算表,副本难度推算!$P$3,FALSE)*副本难度推算!$Z$5*$R90+VLOOKUP($C90,难度推算表,副本难度推算!$H$3,FALSE)</f>
        <v>1736.095558198921</v>
      </c>
      <c r="G90" s="72">
        <f>VLOOKUP($C90,难度推算表,副本难度推算!$G$3,FALSE)-VLOOKUP($C90,难度推算表,副本难度推算!$I$3,FALSE)*(2-副本难度推算!$AA$5)*(2-$S90)</f>
        <v>698.59150279224104</v>
      </c>
      <c r="H90" s="72">
        <f>VLOOKUP($C90,难度推算表,副本难度推算!$M$3,FALSE)*副本难度推算!$Y$6*Q90</f>
        <v>23609.387221473356</v>
      </c>
      <c r="I90" s="72">
        <f>VLOOKUP($C90,难度推算表,副本难度推算!$P$3,FALSE)*副本难度推算!$Z$6*$R90+VLOOKUP($C90,难度推算表,副本难度推算!$H$3,FALSE)</f>
        <v>1660.8791717863869</v>
      </c>
      <c r="J90" s="72">
        <f>VLOOKUP($C90,难度推算表,副本难度推算!$G$3,FALSE)-VLOOKUP($C90,难度推算表,副本难度推算!$I$3,FALSE)*(2-副本难度推算!$AA$6)*(2-$S90)</f>
        <v>395.54054101757879</v>
      </c>
      <c r="K90" s="72">
        <f>VLOOKUP($C90,难度推算表,副本难度推算!$M$3,FALSE)*副本难度推算!$Y$7*Q90</f>
        <v>73779.335067104228</v>
      </c>
      <c r="L90" s="72">
        <f>VLOOKUP($C90,难度推算表,副本难度推算!$P$3,FALSE)*副本难度推算!$Z$7*$R90+VLOOKUP($C90,难度推算表,副本难度推算!$H$3,FALSE)</f>
        <v>1886.5283310239893</v>
      </c>
      <c r="M90" s="72">
        <f>VLOOKUP($C90,难度推算表,副本难度推算!$G$3,FALSE)-VLOOKUP($C90,难度推算表,副本难度推算!$I$3,FALSE)*(2-副本难度推算!$AA$7)*(2-$S90)</f>
        <v>1001.6424645669033</v>
      </c>
      <c r="N90" s="2">
        <f>VLOOKUP($C90,难度推算表,副本难度推算!$Q$3,FALSE)</f>
        <v>2321.3520000000003</v>
      </c>
      <c r="O90" s="2">
        <f>VLOOKUP($C90,难度推算表,副本难度推算!$R$3,FALSE)</f>
        <v>0</v>
      </c>
      <c r="Q90" s="140">
        <f t="shared" si="8"/>
        <v>0.76800000000000002</v>
      </c>
      <c r="R90" s="140">
        <f t="shared" si="9"/>
        <v>0.67199999999999993</v>
      </c>
      <c r="S90" s="140">
        <f t="shared" si="10"/>
        <v>0.76800000000000002</v>
      </c>
      <c r="V90" s="140"/>
      <c r="W90" s="140"/>
      <c r="X90" s="140"/>
    </row>
    <row r="91" spans="1:24">
      <c r="A91" s="2" t="str">
        <f t="shared" si="11"/>
        <v>百人斩</v>
      </c>
      <c r="B91" s="2" t="str">
        <f>怪物并表!$R$14</f>
        <v>英雄之路</v>
      </c>
      <c r="C91" s="2">
        <v>35</v>
      </c>
      <c r="D91" s="28">
        <f t="shared" si="7"/>
        <v>1902</v>
      </c>
      <c r="E91" s="72">
        <f>VLOOKUP($C91,难度推算表,副本难度推算!$M$3,FALSE)*副本难度推算!$Y$5*Q91</f>
        <v>32347.678466014637</v>
      </c>
      <c r="F91" s="72">
        <f>VLOOKUP($C91,难度推算表,副本难度推算!$P$3,FALSE)*副本难度推算!$Z$5*$R91+VLOOKUP($C91,难度推算表,副本难度推算!$H$3,FALSE)</f>
        <v>1898.3256370253168</v>
      </c>
      <c r="G91" s="72">
        <f>VLOOKUP($C91,难度推算表,副本难度推算!$G$3,FALSE)-VLOOKUP($C91,难度推算表,副本难度推算!$I$3,FALSE)*(2-副本难度推算!$AA$5)*(2-$S91)</f>
        <v>751.15531826086999</v>
      </c>
      <c r="H91" s="72">
        <f>VLOOKUP($C91,难度推算表,副本难度推算!$M$3,FALSE)*副本难度推算!$Y$6*Q91</f>
        <v>25878.142772811709</v>
      </c>
      <c r="I91" s="72">
        <f>VLOOKUP($C91,难度推算表,副本难度推算!$P$3,FALSE)*副本难度推算!$Z$6*$R91+VLOOKUP($C91,难度推算表,副本难度推算!$H$3,FALSE)</f>
        <v>1815.8009759314809</v>
      </c>
      <c r="J91" s="72">
        <f>VLOOKUP($C91,难度推算表,副本难度推算!$G$3,FALSE)-VLOOKUP($C91,难度推算表,副本难度推算!$I$3,FALSE)*(2-副本难度推算!$AA$6)*(2-$S91)</f>
        <v>418.50082017391355</v>
      </c>
      <c r="K91" s="72">
        <f>VLOOKUP($C91,难度推算表,副本难度推算!$M$3,FALSE)*副本难度推算!$Y$7*Q91</f>
        <v>80869.196165036599</v>
      </c>
      <c r="L91" s="72">
        <f>VLOOKUP($C91,难度推算表,副本难度推算!$P$3,FALSE)*副本难度推算!$Z$7*$R91+VLOOKUP($C91,难度推算表,副本难度推算!$H$3,FALSE)</f>
        <v>2063.3749592129889</v>
      </c>
      <c r="M91" s="72">
        <f>VLOOKUP($C91,难度推算表,副本难度推算!$G$3,FALSE)-VLOOKUP($C91,难度推算表,副本难度推算!$I$3,FALSE)*(2-副本难度推算!$AA$7)*(2-$S91)</f>
        <v>1083.8098163478264</v>
      </c>
      <c r="N91" s="2">
        <f>VLOOKUP($C91,难度推算表,副本难度推算!$Q$3,FALSE)</f>
        <v>2379.58</v>
      </c>
      <c r="O91" s="2">
        <f>VLOOKUP($C91,难度推算表,副本难度推算!$R$3,FALSE)</f>
        <v>0</v>
      </c>
      <c r="Q91" s="140">
        <f t="shared" si="8"/>
        <v>0.76</v>
      </c>
      <c r="R91" s="140">
        <f t="shared" si="9"/>
        <v>0.66499999999999992</v>
      </c>
      <c r="S91" s="140">
        <f t="shared" si="10"/>
        <v>0.76</v>
      </c>
      <c r="V91" s="140"/>
      <c r="W91" s="140"/>
      <c r="X91" s="140"/>
    </row>
    <row r="92" spans="1:24">
      <c r="A92" s="2" t="str">
        <f t="shared" si="11"/>
        <v>百人斩</v>
      </c>
      <c r="B92" s="2" t="str">
        <f>怪物并表!$R$14</f>
        <v>英雄之路</v>
      </c>
      <c r="C92" s="2">
        <v>36</v>
      </c>
      <c r="D92" s="28">
        <f t="shared" si="7"/>
        <v>1902</v>
      </c>
      <c r="E92" s="72">
        <f>VLOOKUP($C92,难度推算表,副本难度推算!$M$3,FALSE)*副本难度推算!$Y$5*Q92</f>
        <v>35338.730282282428</v>
      </c>
      <c r="F92" s="72">
        <f>VLOOKUP($C92,难度推算表,副本难度推算!$P$3,FALSE)*副本难度推算!$Z$5*$R92+VLOOKUP($C92,难度推算表,副本难度推算!$H$3,FALSE)</f>
        <v>2069.4186160563786</v>
      </c>
      <c r="G92" s="72">
        <f>VLOOKUP($C92,难度推算表,副本难度推算!$G$3,FALSE)-VLOOKUP($C92,难度推算表,副本难度推算!$I$3,FALSE)*(2-副本难度推算!$AA$5)*(2-$S92)</f>
        <v>805.17060420923099</v>
      </c>
      <c r="H92" s="72">
        <f>VLOOKUP($C92,难度推算表,副本难度推算!$M$3,FALSE)*副本难度推算!$Y$6*Q92</f>
        <v>28270.984225825941</v>
      </c>
      <c r="I92" s="72">
        <f>VLOOKUP($C92,难度推算表,副本难度推算!$P$3,FALSE)*副本难度推算!$Z$6*$R92+VLOOKUP($C92,难度推算表,副本难度推算!$H$3,FALSE)</f>
        <v>1979.1681463651225</v>
      </c>
      <c r="J92" s="72">
        <f>VLOOKUP($C92,难度推算表,副本难度推算!$G$3,FALSE)-VLOOKUP($C92,难度推算表,副本难度推算!$I$3,FALSE)*(2-副本难度推算!$AA$6)*(2-$S92)</f>
        <v>441.09346143636139</v>
      </c>
      <c r="K92" s="72">
        <f>VLOOKUP($C92,难度推算表,副本难度推算!$M$3,FALSE)*副本难度推算!$Y$7*Q92</f>
        <v>88346.825705706069</v>
      </c>
      <c r="L92" s="72">
        <f>VLOOKUP($C92,难度推算表,副本难度推算!$P$3,FALSE)*副本难度推算!$Z$7*$R92+VLOOKUP($C92,难度推算表,副本难度推算!$H$3,FALSE)</f>
        <v>2249.9195554388921</v>
      </c>
      <c r="M92" s="72">
        <f>VLOOKUP($C92,难度推算表,副本难度推算!$G$3,FALSE)-VLOOKUP($C92,难度推算表,副本难度推算!$I$3,FALSE)*(2-副本难度推算!$AA$7)*(2-$S92)</f>
        <v>1169.2477469821006</v>
      </c>
      <c r="N92" s="2">
        <f>VLOOKUP($C92,难度推算表,副本难度推算!$Q$3,FALSE)</f>
        <v>2437.808</v>
      </c>
      <c r="O92" s="2">
        <f>VLOOKUP($C92,难度推算表,副本难度推算!$R$3,FALSE)</f>
        <v>0</v>
      </c>
      <c r="Q92" s="140">
        <f t="shared" si="8"/>
        <v>0.752</v>
      </c>
      <c r="R92" s="140">
        <f t="shared" si="9"/>
        <v>0.65799999999999992</v>
      </c>
      <c r="S92" s="140">
        <f t="shared" si="10"/>
        <v>0.752</v>
      </c>
      <c r="V92" s="140"/>
      <c r="W92" s="140"/>
      <c r="X92" s="140"/>
    </row>
    <row r="93" spans="1:24">
      <c r="A93" s="2" t="str">
        <f t="shared" si="11"/>
        <v>百人斩</v>
      </c>
      <c r="B93" s="2" t="str">
        <f>怪物并表!$R$14</f>
        <v>英雄之路</v>
      </c>
      <c r="C93" s="2">
        <v>37</v>
      </c>
      <c r="D93" s="28">
        <f t="shared" si="7"/>
        <v>1902</v>
      </c>
      <c r="E93" s="72">
        <f>VLOOKUP($C93,难度推算表,副本难度推算!$M$3,FALSE)*副本难度推算!$Y$5*Q93</f>
        <v>38486.760175254982</v>
      </c>
      <c r="F93" s="72">
        <f>VLOOKUP($C93,难度推算表,副本难度推算!$P$3,FALSE)*副本难度推算!$Z$5*$R93+VLOOKUP($C93,难度推算表,副本难度推算!$H$3,FALSE)</f>
        <v>2269.2350782442077</v>
      </c>
      <c r="G93" s="72">
        <f>VLOOKUP($C93,难度推算表,副本难度推算!$G$3,FALSE)-VLOOKUP($C93,难度推算表,副本难度推算!$I$3,FALSE)*(2-副本难度推算!$AA$5)*(2-$S93)</f>
        <v>860.56470821618791</v>
      </c>
      <c r="H93" s="72">
        <f>VLOOKUP($C93,难度推算表,副本难度推算!$M$3,FALSE)*副本难度推算!$Y$6*Q93</f>
        <v>30789.408140203988</v>
      </c>
      <c r="I93" s="72">
        <f>VLOOKUP($C93,难度推算表,副本难度推算!$P$3,FALSE)*副本难度推算!$Z$6*$R93+VLOOKUP($C93,难度推算表,副本难度推算!$H$3,FALSE)</f>
        <v>2168.8652039809913</v>
      </c>
      <c r="J93" s="72">
        <f>VLOOKUP($C93,难度推算表,副本难度推算!$G$3,FALSE)-VLOOKUP($C93,难度推算表,副本难度推算!$I$3,FALSE)*(2-副本难度推算!$AA$6)*(2-$S93)</f>
        <v>463.18629883400763</v>
      </c>
      <c r="K93" s="72">
        <f>VLOOKUP($C93,难度推算表,副本难度推算!$M$3,FALSE)*副本难度推算!$Y$7*Q93</f>
        <v>96216.900438137469</v>
      </c>
      <c r="L93" s="72">
        <f>VLOOKUP($C93,难度推算表,副本难度推算!$P$3,FALSE)*副本难度推算!$Z$7*$R93+VLOOKUP($C93,难度推算表,副本难度推算!$H$3,FALSE)</f>
        <v>2469.9748267706409</v>
      </c>
      <c r="M93" s="72">
        <f>VLOOKUP($C93,难度推算表,副本难度推算!$G$3,FALSE)-VLOOKUP($C93,难度推算表,副本难度推算!$I$3,FALSE)*(2-副本难度推算!$AA$7)*(2-$S93)</f>
        <v>1257.9431175983682</v>
      </c>
      <c r="N93" s="2">
        <f>VLOOKUP($C93,难度推算表,副本难度推算!$Q$3,FALSE)</f>
        <v>2496.0360000000001</v>
      </c>
      <c r="O93" s="2">
        <f>VLOOKUP($C93,难度推算表,副本难度推算!$R$3,FALSE)</f>
        <v>0</v>
      </c>
      <c r="Q93" s="140">
        <f t="shared" si="8"/>
        <v>0.74400000000000011</v>
      </c>
      <c r="R93" s="140">
        <f t="shared" si="9"/>
        <v>0.65100000000000002</v>
      </c>
      <c r="S93" s="140">
        <f t="shared" si="10"/>
        <v>0.74400000000000011</v>
      </c>
      <c r="V93" s="140"/>
      <c r="W93" s="140"/>
      <c r="X93" s="140"/>
    </row>
    <row r="94" spans="1:24">
      <c r="A94" s="2" t="str">
        <f t="shared" si="11"/>
        <v>百人斩</v>
      </c>
      <c r="B94" s="2" t="str">
        <f>怪物并表!$R$14</f>
        <v>英雄之路</v>
      </c>
      <c r="C94" s="2">
        <v>38</v>
      </c>
      <c r="D94" s="28">
        <f t="shared" si="7"/>
        <v>1902</v>
      </c>
      <c r="E94" s="72">
        <f>VLOOKUP($C94,难度推算表,副本难度推算!$M$3,FALSE)*副本难度推算!$Y$5*Q94</f>
        <v>41793.404810064079</v>
      </c>
      <c r="F94" s="72">
        <f>VLOOKUP($C94,难度推算表,副本难度推算!$P$3,FALSE)*副本难度推算!$Z$5*$R94+VLOOKUP($C94,难度推算表,副本难度推算!$H$3,FALSE)</f>
        <v>2481.7054377926925</v>
      </c>
      <c r="G94" s="72">
        <f>VLOOKUP($C94,难度推算表,副本难度推算!$G$3,FALSE)-VLOOKUP($C94,难度推算表,副本难度推算!$I$3,FALSE)*(2-副本难度推算!$AA$5)*(2-$S94)</f>
        <v>917.26097936588712</v>
      </c>
      <c r="H94" s="72">
        <f>VLOOKUP($C94,难度推算表,副本难度推算!$M$3,FALSE)*副本难度推算!$Y$6*Q94</f>
        <v>33434.723848051261</v>
      </c>
      <c r="I94" s="72">
        <f>VLOOKUP($C94,难度推算表,副本难度推算!$P$3,FALSE)*副本难度推算!$Z$6*$R94+VLOOKUP($C94,难度推算表,副本难度推算!$H$3,FALSE)</f>
        <v>2370.4395177993765</v>
      </c>
      <c r="J94" s="72">
        <f>VLOOKUP($C94,难度推算表,副本难度推算!$G$3,FALSE)-VLOOKUP($C94,难度推算表,副本难度推算!$I$3,FALSE)*(2-副本难度推算!$AA$6)*(2-$S94)</f>
        <v>484.64236820227507</v>
      </c>
      <c r="K94" s="72">
        <f>VLOOKUP($C94,难度推算表,副本难度推算!$M$3,FALSE)*副本难度推算!$Y$7*Q94</f>
        <v>104483.51202516021</v>
      </c>
      <c r="L94" s="72">
        <f>VLOOKUP($C94,难度推算表,副本难度推算!$P$3,FALSE)*副本难度推算!$Z$7*$R94+VLOOKUP($C94,难度推算表,副本难度推算!$H$3,FALSE)</f>
        <v>2704.2372777793248</v>
      </c>
      <c r="M94" s="72">
        <f>VLOOKUP($C94,难度推算表,副本难度推算!$G$3,FALSE)-VLOOKUP($C94,难度推算表,副本难度推算!$I$3,FALSE)*(2-副本难度推算!$AA$7)*(2-$S94)</f>
        <v>1349.8795905294987</v>
      </c>
      <c r="N94" s="2">
        <f>VLOOKUP($C94,难度推算表,副本难度推算!$Q$3,FALSE)</f>
        <v>2554.2640000000001</v>
      </c>
      <c r="O94" s="2">
        <f>VLOOKUP($C94,难度推算表,副本难度推算!$R$3,FALSE)</f>
        <v>0</v>
      </c>
      <c r="Q94" s="140">
        <f t="shared" si="8"/>
        <v>0.7360000000000001</v>
      </c>
      <c r="R94" s="140">
        <f t="shared" si="9"/>
        <v>0.64400000000000002</v>
      </c>
      <c r="S94" s="140">
        <f t="shared" si="10"/>
        <v>0.7360000000000001</v>
      </c>
      <c r="V94" s="140"/>
      <c r="W94" s="140"/>
      <c r="X94" s="140"/>
    </row>
    <row r="95" spans="1:24">
      <c r="A95" s="2" t="str">
        <f t="shared" si="11"/>
        <v>百人斩</v>
      </c>
      <c r="B95" s="2" t="str">
        <f>怪物并表!$R$14</f>
        <v>英雄之路</v>
      </c>
      <c r="C95" s="2">
        <v>39</v>
      </c>
      <c r="D95" s="28">
        <f t="shared" si="7"/>
        <v>1902</v>
      </c>
      <c r="E95" s="72">
        <f>VLOOKUP($C95,难度推算表,副本难度推算!$M$3,FALSE)*副本难度推算!$Y$5*Q95</f>
        <v>45260.058636420974</v>
      </c>
      <c r="F95" s="72">
        <f>VLOOKUP($C95,难度推算表,副本难度推算!$P$3,FALSE)*副本难度推算!$Z$5*$R95+VLOOKUP($C95,难度推算表,副本难度推算!$H$3,FALSE)</f>
        <v>2707.2675820450677</v>
      </c>
      <c r="G95" s="72">
        <f>VLOOKUP($C95,难度推算表,副本难度推算!$G$3,FALSE)-VLOOKUP($C95,难度推算表,副本难度推算!$I$3,FALSE)*(2-副本难度推算!$AA$5)*(2-$S95)</f>
        <v>975.17876824775976</v>
      </c>
      <c r="H95" s="72">
        <f>VLOOKUP($C95,难度推算表,副本难度推算!$M$3,FALSE)*副本难度推算!$Y$6*Q95</f>
        <v>36208.046909136785</v>
      </c>
      <c r="I95" s="72">
        <f>VLOOKUP($C95,难度推算表,副本难度推算!$P$3,FALSE)*副本难度推算!$Z$6*$R95+VLOOKUP($C95,难度推算表,副本难度推算!$H$3,FALSE)</f>
        <v>2584.2951826659787</v>
      </c>
      <c r="J95" s="72">
        <f>VLOOKUP($C95,难度推算表,副本难度推算!$G$3,FALSE)-VLOOKUP($C95,难度推算表,副本难度推算!$I$3,FALSE)*(2-副本难度推算!$AA$6)*(2-$S95)</f>
        <v>505.31990718293082</v>
      </c>
      <c r="K95" s="72">
        <f>VLOOKUP($C95,难度推算表,副本难度推算!$M$3,FALSE)*副本难度推算!$Y$7*Q95</f>
        <v>113150.14659105244</v>
      </c>
      <c r="L95" s="72">
        <f>VLOOKUP($C95,难度推算表,副本难度推算!$P$3,FALSE)*副本难度推算!$Z$7*$R95+VLOOKUP($C95,难度推算表,副本难度推算!$H$3,FALSE)</f>
        <v>2953.2123808032447</v>
      </c>
      <c r="M95" s="72">
        <f>VLOOKUP($C95,难度推算表,副本难度推算!$G$3,FALSE)-VLOOKUP($C95,难度推算表,副本难度推算!$I$3,FALSE)*(2-副本难度推算!$AA$7)*(2-$S95)</f>
        <v>1445.0376293125892</v>
      </c>
      <c r="N95" s="2">
        <f>VLOOKUP($C95,难度推算表,副本难度推算!$Q$3,FALSE)</f>
        <v>2612.4920000000002</v>
      </c>
      <c r="O95" s="2">
        <f>VLOOKUP($C95,难度推算表,副本难度推算!$R$3,FALSE)</f>
        <v>0</v>
      </c>
      <c r="Q95" s="140">
        <f t="shared" si="8"/>
        <v>0.72800000000000009</v>
      </c>
      <c r="R95" s="140">
        <f t="shared" si="9"/>
        <v>0.63700000000000001</v>
      </c>
      <c r="S95" s="140">
        <f t="shared" si="10"/>
        <v>0.72800000000000009</v>
      </c>
      <c r="V95" s="140"/>
      <c r="W95" s="140"/>
      <c r="X95" s="140"/>
    </row>
    <row r="96" spans="1:24">
      <c r="A96" s="2" t="str">
        <f t="shared" si="11"/>
        <v>百人斩</v>
      </c>
      <c r="B96" s="2" t="str">
        <f>怪物并表!$R$14</f>
        <v>英雄之路</v>
      </c>
      <c r="C96" s="2">
        <v>40</v>
      </c>
      <c r="D96" s="28">
        <f t="shared" si="7"/>
        <v>1902</v>
      </c>
      <c r="E96" s="72">
        <f>VLOOKUP($C96,难度推算表,副本难度推算!$M$3,FALSE)*副本难度推算!$Y$5*Q96</f>
        <v>49328.296922207199</v>
      </c>
      <c r="F96" s="72">
        <f>VLOOKUP($C96,难度推算表,副本难度推算!$P$3,FALSE)*副本难度推算!$Z$5*$R96+VLOOKUP($C96,难度推算表,副本难度推算!$H$3,FALSE)</f>
        <v>2972.9052494849511</v>
      </c>
      <c r="G96" s="72">
        <f>VLOOKUP($C96,难度推算表,副本难度推算!$G$3,FALSE)-VLOOKUP($C96,难度推算表,副本难度推算!$I$3,FALSE)*(2-副本难度推算!$AA$5)*(2-$S96)</f>
        <v>1043.5508452173922</v>
      </c>
      <c r="H96" s="72">
        <f>VLOOKUP($C96,难度推算表,副本难度推算!$M$3,FALSE)*副本难度推算!$Y$6*Q96</f>
        <v>39462.63753776576</v>
      </c>
      <c r="I96" s="72">
        <f>VLOOKUP($C96,难度推算表,副本难度推算!$P$3,FALSE)*副本难度推算!$Z$6*$R96+VLOOKUP($C96,难度推算表,副本难度推算!$H$3,FALSE)</f>
        <v>2836.1610084160548</v>
      </c>
      <c r="J96" s="72">
        <f>VLOOKUP($C96,难度推算表,副本难度推算!$G$3,FALSE)-VLOOKUP($C96,难度推算表,副本难度推算!$I$3,FALSE)*(2-副本难度推算!$AA$6)*(2-$S96)</f>
        <v>529.80273680267646</v>
      </c>
      <c r="K96" s="72">
        <f>VLOOKUP($C96,难度推算表,副本难度推算!$M$3,FALSE)*副本难度推算!$Y$7*Q96</f>
        <v>123320.74230551801</v>
      </c>
      <c r="L96" s="72">
        <f>VLOOKUP($C96,难度推算表,副本难度推算!$P$3,FALSE)*副本难度推算!$Z$7*$R96+VLOOKUP($C96,难度推算表,副本难度推算!$H$3,FALSE)</f>
        <v>3246.3937316227439</v>
      </c>
      <c r="M96" s="72">
        <f>VLOOKUP($C96,难度推算表,副本难度推算!$G$3,FALSE)-VLOOKUP($C96,难度推算表,副本难度推算!$I$3,FALSE)*(2-副本难度推算!$AA$7)*(2-$S96)</f>
        <v>1557.2989536321079</v>
      </c>
      <c r="N96" s="2">
        <f>VLOOKUP($C96,难度推算表,副本难度推算!$Q$3,FALSE)</f>
        <v>2670.72</v>
      </c>
      <c r="O96" s="2">
        <f>VLOOKUP($C96,难度推算表,副本难度推算!$R$3,FALSE)</f>
        <v>0</v>
      </c>
      <c r="Q96" s="140">
        <f t="shared" si="8"/>
        <v>0.72000000000000008</v>
      </c>
      <c r="R96" s="140">
        <f t="shared" si="9"/>
        <v>0.63</v>
      </c>
      <c r="S96" s="140">
        <f t="shared" si="10"/>
        <v>0.72000000000000008</v>
      </c>
      <c r="V96" s="140"/>
      <c r="W96" s="140"/>
      <c r="X96" s="140"/>
    </row>
    <row r="97" spans="1:24">
      <c r="A97" s="2" t="str">
        <f t="shared" si="11"/>
        <v>百人斩</v>
      </c>
      <c r="B97" s="2" t="str">
        <f>怪物并表!$R$14</f>
        <v>英雄之路</v>
      </c>
      <c r="C97" s="2">
        <v>41</v>
      </c>
      <c r="D97" s="28">
        <f t="shared" si="7"/>
        <v>1902</v>
      </c>
      <c r="E97" s="72">
        <f>VLOOKUP($C97,难度推算表,副本难度推算!$M$3,FALSE)*副本难度推算!$Y$5*Q97</f>
        <v>53601.88182244933</v>
      </c>
      <c r="F97" s="72">
        <f>VLOOKUP($C97,难度推算表,副本难度推算!$P$3,FALSE)*副本难度推算!$Z$5*$R97+VLOOKUP($C97,难度推算表,副本难度推算!$H$3,FALSE)</f>
        <v>3255.5588606826263</v>
      </c>
      <c r="G97" s="72">
        <f>VLOOKUP($C97,难度推算表,副本难度推算!$G$3,FALSE)-VLOOKUP($C97,难度推算表,副本难度推算!$I$3,FALSE)*(2-副本难度推算!$AA$5)*(2-$S97)</f>
        <v>1113.5351917078269</v>
      </c>
      <c r="H97" s="72">
        <f>VLOOKUP($C97,难度推算表,副本难度推算!$M$3,FALSE)*副本难度推算!$Y$6*Q97</f>
        <v>42881.505457959465</v>
      </c>
      <c r="I97" s="72">
        <f>VLOOKUP($C97,难度推算表,副本难度推算!$P$3,FALSE)*副本难度推算!$Z$6*$R97+VLOOKUP($C97,难度推算表,副本难度推算!$H$3,FALSE)</f>
        <v>3103.9928483187114</v>
      </c>
      <c r="J97" s="72">
        <f>VLOOKUP($C97,难度推算表,副本难度推算!$G$3,FALSE)-VLOOKUP($C97,难度推算表,副本难度推算!$I$3,FALSE)*(2-副本难度推算!$AA$6)*(2-$S97)</f>
        <v>553.28779837982665</v>
      </c>
      <c r="K97" s="72">
        <f>VLOOKUP($C97,难度推算表,副本难度推算!$M$3,FALSE)*副本难度推算!$Y$7*Q97</f>
        <v>134004.70455612332</v>
      </c>
      <c r="L97" s="72">
        <f>VLOOKUP($C97,难度推算表,副本难度推算!$P$3,FALSE)*副本难度推算!$Z$7*$R97+VLOOKUP($C97,难度推算表,副本难度推算!$H$3,FALSE)</f>
        <v>3558.6908854104558</v>
      </c>
      <c r="M97" s="72">
        <f>VLOOKUP($C97,难度推算表,副本难度推算!$G$3,FALSE)-VLOOKUP($C97,难度推算表,副本难度推算!$I$3,FALSE)*(2-副本难度推算!$AA$7)*(2-$S97)</f>
        <v>1673.7825850358267</v>
      </c>
      <c r="N97" s="2">
        <f>VLOOKUP($C97,难度推算表,副本难度推算!$Q$3,FALSE)</f>
        <v>2728.9480000000003</v>
      </c>
      <c r="O97" s="2">
        <f>VLOOKUP($C97,难度推算表,副本难度推算!$R$3,FALSE)</f>
        <v>0</v>
      </c>
      <c r="Q97" s="140">
        <f t="shared" si="8"/>
        <v>0.71200000000000008</v>
      </c>
      <c r="R97" s="140">
        <f t="shared" si="9"/>
        <v>0.623</v>
      </c>
      <c r="S97" s="140">
        <f t="shared" si="10"/>
        <v>0.71200000000000008</v>
      </c>
      <c r="V97" s="140"/>
      <c r="W97" s="140"/>
      <c r="X97" s="140"/>
    </row>
    <row r="98" spans="1:24">
      <c r="A98" s="2" t="str">
        <f t="shared" si="11"/>
        <v>百人斩</v>
      </c>
      <c r="B98" s="2" t="str">
        <f>怪物并表!$R$14</f>
        <v>英雄之路</v>
      </c>
      <c r="C98" s="2">
        <v>42</v>
      </c>
      <c r="D98" s="28">
        <f t="shared" si="7"/>
        <v>1902</v>
      </c>
      <c r="E98" s="72">
        <f>VLOOKUP($C98,难度推算表,副本难度推算!$M$3,FALSE)*副本难度推算!$Y$5*Q98</f>
        <v>58082.271307397539</v>
      </c>
      <c r="F98" s="72">
        <f>VLOOKUP($C98,难度推算表,副本难度推算!$P$3,FALSE)*副本难度推算!$Z$5*$R98+VLOOKUP($C98,难度推算表,副本难度推算!$H$3,FALSE)</f>
        <v>3555.806488874131</v>
      </c>
      <c r="G98" s="72">
        <f>VLOOKUP($C98,难度推算表,副本难度推算!$G$3,FALSE)-VLOOKUP($C98,难度推算表,副本难度推算!$I$3,FALSE)*(2-副本难度推算!$AA$5)*(2-$S98)</f>
        <v>1185.0202766769248</v>
      </c>
      <c r="H98" s="72">
        <f>VLOOKUP($C98,难度推算表,副本难度推算!$M$3,FALSE)*副本难度推算!$Y$6*Q98</f>
        <v>46465.817045918033</v>
      </c>
      <c r="I98" s="72">
        <f>VLOOKUP($C98,难度推算表,副本难度推算!$P$3,FALSE)*副本难度推算!$Z$6*$R98+VLOOKUP($C98,难度推算表,副本难度推算!$H$3,FALSE)</f>
        <v>3388.3242966021025</v>
      </c>
      <c r="J98" s="72">
        <f>VLOOKUP($C98,难度推算表,副本难度推算!$G$3,FALSE)-VLOOKUP($C98,难度推算表,副本难度推算!$I$3,FALSE)*(2-副本难度推算!$AA$6)*(2-$S98)</f>
        <v>575.58127724307906</v>
      </c>
      <c r="K98" s="72">
        <f>VLOOKUP($C98,难度推算表,副本难度推算!$M$3,FALSE)*副本难度推算!$Y$7*Q98</f>
        <v>145205.67826849385</v>
      </c>
      <c r="L98" s="72">
        <f>VLOOKUP($C98,难度推算表,副本难度推算!$P$3,FALSE)*副本难度推算!$Z$7*$R98+VLOOKUP($C98,难度推算表,副本难度推算!$H$3,FALSE)</f>
        <v>3890.7708734181879</v>
      </c>
      <c r="M98" s="72">
        <f>VLOOKUP($C98,难度推算表,副本难度推算!$G$3,FALSE)-VLOOKUP($C98,难度推算表,副本难度推算!$I$3,FALSE)*(2-副本难度推算!$AA$7)*(2-$S98)</f>
        <v>1794.4592761107706</v>
      </c>
      <c r="N98" s="2">
        <f>VLOOKUP($C98,难度推算表,副本难度推算!$Q$3,FALSE)</f>
        <v>2787.1759999999999</v>
      </c>
      <c r="O98" s="2">
        <f>VLOOKUP($C98,难度推算表,副本难度推算!$R$3,FALSE)</f>
        <v>0</v>
      </c>
      <c r="Q98" s="140">
        <f t="shared" si="8"/>
        <v>0.70400000000000007</v>
      </c>
      <c r="R98" s="140">
        <f t="shared" si="9"/>
        <v>0.61599999999999999</v>
      </c>
      <c r="S98" s="140">
        <f t="shared" si="10"/>
        <v>0.70400000000000007</v>
      </c>
      <c r="V98" s="140"/>
      <c r="W98" s="140"/>
      <c r="X98" s="140"/>
    </row>
    <row r="99" spans="1:24">
      <c r="A99" s="2" t="str">
        <f t="shared" si="11"/>
        <v>百人斩</v>
      </c>
      <c r="B99" s="2" t="str">
        <f>怪物并表!$R$14</f>
        <v>英雄之路</v>
      </c>
      <c r="C99" s="2">
        <v>43</v>
      </c>
      <c r="D99" s="28">
        <f t="shared" si="7"/>
        <v>1902</v>
      </c>
      <c r="E99" s="72">
        <f>VLOOKUP($C99,难度推算表,副本难度推算!$M$3,FALSE)*副本难度推算!$Y$5*Q99</f>
        <v>62770.575871693189</v>
      </c>
      <c r="F99" s="72">
        <f>VLOOKUP($C99,难度推算表,副本难度推算!$P$3,FALSE)*副本难度推算!$Z$5*$R99+VLOOKUP($C99,难度推算表,副本难度推算!$H$3,FALSE)</f>
        <v>3874.2278640227614</v>
      </c>
      <c r="G99" s="72">
        <f>VLOOKUP($C99,难度推算表,副本难度推算!$G$3,FALSE)-VLOOKUP($C99,难度推算表,副本难度推算!$I$3,FALSE)*(2-副本难度推算!$AA$5)*(2-$S99)</f>
        <v>1257.8892377562552</v>
      </c>
      <c r="H99" s="72">
        <f>VLOOKUP($C99,难度推算表,副本难度推算!$M$3,FALSE)*副本难度推算!$Y$6*Q99</f>
        <v>50216.460697354552</v>
      </c>
      <c r="I99" s="72">
        <f>VLOOKUP($C99,难度推算表,副本难度推算!$P$3,FALSE)*副本难度推算!$Z$6*$R99+VLOOKUP($C99,难度推算表,副本难度推算!$H$3,FALSE)</f>
        <v>3689.6904385489133</v>
      </c>
      <c r="J99" s="72">
        <f>VLOOKUP($C99,难度推算表,副本难度推算!$G$3,FALSE)-VLOOKUP($C99,难度推算表,副本难度推算!$I$3,FALSE)*(2-副本难度推算!$AA$6)*(2-$S99)</f>
        <v>596.48296112957951</v>
      </c>
      <c r="K99" s="72">
        <f>VLOOKUP($C99,难度推算表,副本难度推算!$M$3,FALSE)*副本难度推算!$Y$7*Q99</f>
        <v>156926.43967923298</v>
      </c>
      <c r="L99" s="72">
        <f>VLOOKUP($C99,难度推算表,副本难度推算!$P$3,FALSE)*副本难度推算!$Z$7*$R99+VLOOKUP($C99,难度推算表,副本难度推算!$H$3,FALSE)</f>
        <v>4243.3027149704567</v>
      </c>
      <c r="M99" s="72">
        <f>VLOOKUP($C99,难度推算表,副本难度推算!$G$3,FALSE)-VLOOKUP($C99,难度推算表,副本难度推算!$I$3,FALSE)*(2-副本难度推算!$AA$7)*(2-$S99)</f>
        <v>1919.2955143829304</v>
      </c>
      <c r="N99" s="2">
        <f>VLOOKUP($C99,难度推算表,副本难度推算!$Q$3,FALSE)</f>
        <v>2845.404</v>
      </c>
      <c r="O99" s="2">
        <f>VLOOKUP($C99,难度推算表,副本难度推算!$R$3,FALSE)</f>
        <v>0</v>
      </c>
      <c r="Q99" s="140">
        <f t="shared" si="8"/>
        <v>0.69600000000000006</v>
      </c>
      <c r="R99" s="140">
        <f t="shared" si="9"/>
        <v>0.60899999999999999</v>
      </c>
      <c r="S99" s="140">
        <f t="shared" si="10"/>
        <v>0.69600000000000006</v>
      </c>
      <c r="V99" s="140"/>
      <c r="W99" s="140"/>
      <c r="X99" s="140"/>
    </row>
    <row r="100" spans="1:24">
      <c r="A100" s="2" t="str">
        <f t="shared" si="11"/>
        <v>百人斩</v>
      </c>
      <c r="B100" s="2" t="str">
        <f>怪物并表!$R$14</f>
        <v>英雄之路</v>
      </c>
      <c r="C100" s="2">
        <v>44</v>
      </c>
      <c r="D100" s="28">
        <f t="shared" si="7"/>
        <v>1902</v>
      </c>
      <c r="E100" s="72">
        <f>VLOOKUP($C100,难度推算表,副本难度推算!$M$3,FALSE)*副本难度推算!$Y$5*Q100</f>
        <v>67667.547658916505</v>
      </c>
      <c r="F100" s="72">
        <f>VLOOKUP($C100,难度推算表,副本难度推算!$P$3,FALSE)*副本难度推算!$Z$5*$R100+VLOOKUP($C100,难度推算表,副本难度推算!$H$3,FALSE)</f>
        <v>4211.4036322290312</v>
      </c>
      <c r="G100" s="72">
        <f>VLOOKUP($C100,难度推算表,副本难度推算!$G$3,FALSE)-VLOOKUP($C100,难度推算表,副本难度推算!$I$3,FALSE)*(2-副本难度推算!$AA$5)*(2-$S100)</f>
        <v>1332.0198812511048</v>
      </c>
      <c r="H100" s="72">
        <f>VLOOKUP($C100,难度推算表,副本难度推算!$M$3,FALSE)*副本难度推算!$Y$6*Q100</f>
        <v>54134.038127133201</v>
      </c>
      <c r="I100" s="72">
        <f>VLOOKUP($C100,难度推算表,副本难度推算!$P$3,FALSE)*副本难度推算!$Z$6*$R100+VLOOKUP($C100,难度推算表,副本难度推算!$H$3,FALSE)</f>
        <v>4008.6271839653255</v>
      </c>
      <c r="J100" s="72">
        <f>VLOOKUP($C100,难度推算表,副本难度推算!$G$3,FALSE)-VLOOKUP($C100,难度推算表,副本难度推算!$I$3,FALSE)*(2-副本难度推算!$AA$6)*(2-$S100)</f>
        <v>615.78624018493792</v>
      </c>
      <c r="K100" s="72">
        <f>VLOOKUP($C100,难度推算表,副本难度推算!$M$3,FALSE)*副本难度推算!$Y$7*Q100</f>
        <v>169168.86914729123</v>
      </c>
      <c r="L100" s="72">
        <f>VLOOKUP($C100,难度推算表,副本难度推算!$P$3,FALSE)*副本难度推算!$Z$7*$R100+VLOOKUP($C100,难度推算表,副本难度推算!$H$3,FALSE)</f>
        <v>4616.9565287564428</v>
      </c>
      <c r="M100" s="72">
        <f>VLOOKUP($C100,难度推算表,副本难度推算!$G$3,FALSE)-VLOOKUP($C100,难度推算表,副本难度推算!$I$3,FALSE)*(2-副本难度推算!$AA$7)*(2-$S100)</f>
        <v>2048.2535223172717</v>
      </c>
      <c r="N100" s="2">
        <f>VLOOKUP($C100,难度推算表,副本难度推算!$Q$3,FALSE)</f>
        <v>2903.6320000000001</v>
      </c>
      <c r="O100" s="2">
        <f>VLOOKUP($C100,难度推算表,副本难度推算!$R$3,FALSE)</f>
        <v>0</v>
      </c>
      <c r="Q100" s="140">
        <f t="shared" si="8"/>
        <v>0.68800000000000006</v>
      </c>
      <c r="R100" s="140">
        <f t="shared" si="9"/>
        <v>0.60199999999999998</v>
      </c>
      <c r="S100" s="140">
        <f t="shared" si="10"/>
        <v>0.68800000000000006</v>
      </c>
      <c r="V100" s="140"/>
      <c r="W100" s="140"/>
      <c r="X100" s="140"/>
    </row>
    <row r="101" spans="1:24">
      <c r="A101" s="2" t="str">
        <f t="shared" si="11"/>
        <v>百人斩</v>
      </c>
      <c r="B101" s="2" t="str">
        <f>怪物并表!$R$14</f>
        <v>英雄之路</v>
      </c>
      <c r="C101" s="2">
        <v>45</v>
      </c>
      <c r="D101" s="28">
        <f t="shared" si="7"/>
        <v>1902</v>
      </c>
      <c r="E101" s="72">
        <f>VLOOKUP($C101,难度推算表,副本难度推算!$M$3,FALSE)*副本难度推算!$Y$5*Q101</f>
        <v>72773.56957755344</v>
      </c>
      <c r="F101" s="72">
        <f>VLOOKUP($C101,难度推算表,副本难度推算!$P$3,FALSE)*副本难度推算!$Z$5*$R101+VLOOKUP($C101,难度推算表,副本难度推算!$H$3,FALSE)</f>
        <v>4567.9145786183781</v>
      </c>
      <c r="G101" s="72">
        <f>VLOOKUP($C101,难度推算表,副本难度推算!$G$3,FALSE)-VLOOKUP($C101,难度推算表,副本难度推算!$I$3,FALSE)*(2-副本难度推算!$AA$5)*(2-$S101)</f>
        <v>1407.2846821404692</v>
      </c>
      <c r="H101" s="72">
        <f>VLOOKUP($C101,难度推算表,副本难度推算!$M$3,FALSE)*副本难度推算!$Y$6*Q101</f>
        <v>58218.855662042763</v>
      </c>
      <c r="I101" s="72">
        <f>VLOOKUP($C101,难度推算表,副本难度推算!$P$3,FALSE)*副本难度推算!$Z$6*$R101+VLOOKUP($C101,难度推算表,副本难度推算!$H$3,FALSE)</f>
        <v>4345.6705677799528</v>
      </c>
      <c r="J101" s="72">
        <f>VLOOKUP($C101,难度推算表,副本难度推算!$G$3,FALSE)-VLOOKUP($C101,难度推算表,副本难度推算!$I$3,FALSE)*(2-副本难度推算!$AA$6)*(2-$S101)</f>
        <v>633.27810696321194</v>
      </c>
      <c r="K101" s="72">
        <f>VLOOKUP($C101,难度推算表,副本难度推算!$M$3,FALSE)*副本难度推算!$Y$7*Q101</f>
        <v>181933.92394388362</v>
      </c>
      <c r="L101" s="72">
        <f>VLOOKUP($C101,难度推算表,副本难度推算!$P$3,FALSE)*副本难度推算!$Z$7*$R101+VLOOKUP($C101,难度推算表,副本难度推算!$H$3,FALSE)</f>
        <v>5012.4026002952305</v>
      </c>
      <c r="M101" s="72">
        <f>VLOOKUP($C101,难度推算表,副本难度推算!$G$3,FALSE)-VLOOKUP($C101,难度推算表,副本难度推算!$I$3,FALSE)*(2-副本难度推算!$AA$7)*(2-$S101)</f>
        <v>2181.2912573177268</v>
      </c>
      <c r="N101" s="2">
        <f>VLOOKUP($C101,难度推算表,副本难度推算!$Q$3,FALSE)</f>
        <v>2961.86</v>
      </c>
      <c r="O101" s="2">
        <f>VLOOKUP($C101,难度推算表,副本难度推算!$R$3,FALSE)</f>
        <v>0</v>
      </c>
      <c r="Q101" s="140">
        <f t="shared" si="8"/>
        <v>0.68</v>
      </c>
      <c r="R101" s="140">
        <f t="shared" si="9"/>
        <v>0.59499999999999997</v>
      </c>
      <c r="S101" s="140">
        <f t="shared" si="10"/>
        <v>0.68</v>
      </c>
      <c r="V101" s="140"/>
      <c r="W101" s="140"/>
      <c r="X101" s="140"/>
    </row>
    <row r="102" spans="1:24">
      <c r="A102" s="2" t="str">
        <f t="shared" si="11"/>
        <v>百人斩</v>
      </c>
      <c r="B102" s="2" t="str">
        <f>怪物并表!$R$14</f>
        <v>英雄之路</v>
      </c>
      <c r="C102" s="2">
        <v>46</v>
      </c>
      <c r="D102" s="28">
        <f t="shared" si="7"/>
        <v>1902</v>
      </c>
      <c r="E102" s="72">
        <f>VLOOKUP($C102,难度推算表,副本难度推算!$M$3,FALSE)*副本难度推算!$Y$5*Q102</f>
        <v>78088.644410740555</v>
      </c>
      <c r="F102" s="72">
        <f>VLOOKUP($C102,难度推算表,副本难度推算!$P$3,FALSE)*副本难度推算!$Z$5*$R102+VLOOKUP($C102,难度推算表,副本难度推算!$H$3,FALSE)</f>
        <v>4944.340811587932</v>
      </c>
      <c r="G102" s="72">
        <f>VLOOKUP($C102,难度推算表,副本难度推算!$G$3,FALSE)-VLOOKUP($C102,难度推算表,副本难度推算!$I$3,FALSE)*(2-副本难度推算!$AA$5)*(2-$S102)</f>
        <v>1483.5507840770588</v>
      </c>
      <c r="H102" s="72">
        <f>VLOOKUP($C102,难度推算表,副本难度推算!$M$3,FALSE)*副本难度推算!$Y$6*Q102</f>
        <v>62470.91552859245</v>
      </c>
      <c r="I102" s="72">
        <f>VLOOKUP($C102,难度推算表,副本难度推算!$P$3,FALSE)*副本难度推算!$Z$6*$R102+VLOOKUP($C102,难度推算表,副本难度推算!$H$3,FALSE)</f>
        <v>4701.3560158659284</v>
      </c>
      <c r="J102" s="72">
        <f>VLOOKUP($C102,难度推算表,副本难度推算!$G$3,FALSE)-VLOOKUP($C102,难度推算表,副本难度推算!$I$3,FALSE)*(2-副本难度推算!$AA$6)*(2-$S102)</f>
        <v>648.73915642691827</v>
      </c>
      <c r="K102" s="72">
        <f>VLOOKUP($C102,难度推算表,副本难度推算!$M$3,FALSE)*副本难度推算!$Y$7*Q102</f>
        <v>195221.61102685137</v>
      </c>
      <c r="L102" s="72">
        <f>VLOOKUP($C102,难度推算表,副本难度推算!$P$3,FALSE)*副本难度推算!$Z$7*$R102+VLOOKUP($C102,难度推算表,副本难度推算!$H$3,FALSE)</f>
        <v>5430.3104030319391</v>
      </c>
      <c r="M102" s="72">
        <f>VLOOKUP($C102,难度推算表,副本难度推算!$G$3,FALSE)-VLOOKUP($C102,难度推算表,副本难度推算!$I$3,FALSE)*(2-副本难度推算!$AA$7)*(2-$S102)</f>
        <v>2318.3624117271988</v>
      </c>
      <c r="N102" s="2">
        <f>VLOOKUP($C102,难度推算表,副本难度推算!$Q$3,FALSE)</f>
        <v>3020.0879999999997</v>
      </c>
      <c r="O102" s="2">
        <f>VLOOKUP($C102,难度推算表,副本难度推算!$R$3,FALSE)</f>
        <v>0</v>
      </c>
      <c r="Q102" s="140">
        <f t="shared" si="8"/>
        <v>0.67200000000000004</v>
      </c>
      <c r="R102" s="140">
        <f t="shared" si="9"/>
        <v>0.58799999999999997</v>
      </c>
      <c r="S102" s="140">
        <f t="shared" si="10"/>
        <v>0.67200000000000004</v>
      </c>
      <c r="V102" s="140"/>
      <c r="W102" s="140"/>
      <c r="X102" s="140"/>
    </row>
    <row r="103" spans="1:24">
      <c r="A103" s="2" t="str">
        <f t="shared" si="11"/>
        <v>百人斩</v>
      </c>
      <c r="B103" s="2" t="str">
        <f>怪物并表!$R$14</f>
        <v>英雄之路</v>
      </c>
      <c r="C103" s="2">
        <v>47</v>
      </c>
      <c r="D103" s="28">
        <f t="shared" si="7"/>
        <v>1902</v>
      </c>
      <c r="E103" s="72">
        <f>VLOOKUP($C103,难度推算表,副本难度推算!$M$3,FALSE)*副本难度推算!$Y$5*Q103</f>
        <v>83612.383921776913</v>
      </c>
      <c r="F103" s="72">
        <f>VLOOKUP($C103,难度推算表,副本难度推算!$P$3,FALSE)*副本难度推算!$Z$5*$R103+VLOOKUP($C103,难度推算表,副本难度推算!$H$3,FALSE)</f>
        <v>5341.2609061520034</v>
      </c>
      <c r="G103" s="72">
        <f>VLOOKUP($C103,难度推算表,副本难度推算!$G$3,FALSE)-VLOOKUP($C103,难度推算表,副本难度推算!$I$3,FALSE)*(2-副本难度推算!$AA$5)*(2-$S103)</f>
        <v>1560.6799993872928</v>
      </c>
      <c r="H103" s="72">
        <f>VLOOKUP($C103,难度推算表,副本难度推算!$M$3,FALSE)*副本难度推算!$Y$6*Q103</f>
        <v>66889.907137421527</v>
      </c>
      <c r="I103" s="72">
        <f>VLOOKUP($C103,难度推算表,副本难度推算!$P$3,FALSE)*副本难度推算!$Z$6*$R103+VLOOKUP($C103,难度推算表,副本难度推算!$H$3,FALSE)</f>
        <v>5076.2175740518542</v>
      </c>
      <c r="J103" s="72">
        <f>VLOOKUP($C103,难度推算表,副本难度推算!$G$3,FALSE)-VLOOKUP($C103,难度推算表,副本难度推算!$I$3,FALSE)*(2-副本难度推算!$AA$6)*(2-$S103)</f>
        <v>661.94358594702499</v>
      </c>
      <c r="K103" s="72">
        <f>VLOOKUP($C103,难度推算表,副本难度推算!$M$3,FALSE)*副本难度推算!$Y$7*Q103</f>
        <v>209030.95980444227</v>
      </c>
      <c r="L103" s="72">
        <f>VLOOKUP($C103,难度推算表,副本难度推算!$P$3,FALSE)*副本难度推算!$Z$7*$R103+VLOOKUP($C103,难度推算表,副本难度推算!$H$3,FALSE)</f>
        <v>5871.3475703523036</v>
      </c>
      <c r="M103" s="72">
        <f>VLOOKUP($C103,难度推算表,副本难度推算!$G$3,FALSE)-VLOOKUP($C103,难度推算表,副本难度推算!$I$3,FALSE)*(2-副本难度推算!$AA$7)*(2-$S103)</f>
        <v>2459.4164128275593</v>
      </c>
      <c r="N103" s="2">
        <f>VLOOKUP($C103,难度推算表,副本难度推算!$Q$3,FALSE)</f>
        <v>3078.3160000000003</v>
      </c>
      <c r="O103" s="2">
        <f>VLOOKUP($C103,难度推算表,副本难度推算!$R$3,FALSE)</f>
        <v>0</v>
      </c>
      <c r="Q103" s="140">
        <f t="shared" si="8"/>
        <v>0.66400000000000003</v>
      </c>
      <c r="R103" s="140">
        <f t="shared" si="9"/>
        <v>0.58099999999999996</v>
      </c>
      <c r="S103" s="140">
        <f t="shared" si="10"/>
        <v>0.66400000000000003</v>
      </c>
      <c r="V103" s="140"/>
      <c r="W103" s="140"/>
      <c r="X103" s="140"/>
    </row>
    <row r="104" spans="1:24">
      <c r="A104" s="2" t="str">
        <f t="shared" si="11"/>
        <v>百人斩</v>
      </c>
      <c r="B104" s="2" t="str">
        <f>怪物并表!$R$14</f>
        <v>英雄之路</v>
      </c>
      <c r="C104" s="2">
        <v>48</v>
      </c>
      <c r="D104" s="28">
        <f t="shared" si="7"/>
        <v>1902</v>
      </c>
      <c r="E104" s="72">
        <f>VLOOKUP($C104,难度推算表,副本难度推算!$M$3,FALSE)*副本难度推算!$Y$5*Q104</f>
        <v>89343.997957082713</v>
      </c>
      <c r="F104" s="72">
        <f>VLOOKUP($C104,难度推算表,副本难度推算!$P$3,FALSE)*副本难度推算!$Z$5*$R104+VLOOKUP($C104,难度推算表,副本难度推算!$H$3,FALSE)</f>
        <v>5759.2510039735835</v>
      </c>
      <c r="G104" s="72">
        <f>VLOOKUP($C104,难度推算表,副本难度推算!$G$3,FALSE)-VLOOKUP($C104,难度推算表,副本难度推算!$I$3,FALSE)*(2-副本难度推算!$AA$5)*(2-$S104)</f>
        <v>1638.5288090713057</v>
      </c>
      <c r="H104" s="72">
        <f>VLOOKUP($C104,难度推算表,副本难度推算!$M$3,FALSE)*副本难度推算!$Y$6*Q104</f>
        <v>71475.198365666176</v>
      </c>
      <c r="I104" s="72">
        <f>VLOOKUP($C104,难度推算表,副本难度推算!$P$3,FALSE)*副本难度推算!$Z$6*$R104+VLOOKUP($C104,难度推算表,副本难度推算!$H$3,FALSE)</f>
        <v>5470.7870981501383</v>
      </c>
      <c r="J104" s="72">
        <f>VLOOKUP($C104,难度推算表,副本难度推算!$G$3,FALSE)-VLOOKUP($C104,难度推算表,副本难度推算!$I$3,FALSE)*(2-副本难度推算!$AA$6)*(2-$S104)</f>
        <v>672.65919530295832</v>
      </c>
      <c r="K104" s="72">
        <f>VLOOKUP($C104,难度推算表,副本难度推算!$M$3,FALSE)*副本难度推算!$Y$7*Q104</f>
        <v>223359.99489270675</v>
      </c>
      <c r="L104" s="72">
        <f>VLOOKUP($C104,难度推算表,副本难度推算!$P$3,FALSE)*副本难度推算!$Z$7*$R104+VLOOKUP($C104,难度推算表,副本难度推算!$H$3,FALSE)</f>
        <v>6336.178815620473</v>
      </c>
      <c r="M104" s="72">
        <f>VLOOKUP($C104,难度推算表,副本难度推算!$G$3,FALSE)-VLOOKUP($C104,难度推算表,副本难度推算!$I$3,FALSE)*(2-副本难度推算!$AA$7)*(2-$S104)</f>
        <v>2604.3984228396534</v>
      </c>
      <c r="N104" s="2">
        <f>VLOOKUP($C104,难度推算表,副本难度推算!$Q$3,FALSE)</f>
        <v>3136.5439999999999</v>
      </c>
      <c r="O104" s="2">
        <f>VLOOKUP($C104,难度推算表,副本难度推算!$R$3,FALSE)</f>
        <v>0</v>
      </c>
      <c r="Q104" s="140">
        <f t="shared" si="8"/>
        <v>0.65600000000000003</v>
      </c>
      <c r="R104" s="140">
        <f t="shared" si="9"/>
        <v>0.57399999999999995</v>
      </c>
      <c r="S104" s="140">
        <f t="shared" si="10"/>
        <v>0.65600000000000003</v>
      </c>
      <c r="V104" s="140"/>
      <c r="W104" s="140"/>
      <c r="X104" s="140"/>
    </row>
    <row r="105" spans="1:24">
      <c r="A105" s="2" t="str">
        <f t="shared" si="11"/>
        <v>百人斩</v>
      </c>
      <c r="B105" s="2" t="str">
        <f>怪物并表!$R$14</f>
        <v>英雄之路</v>
      </c>
      <c r="C105" s="2">
        <v>49</v>
      </c>
      <c r="D105" s="28">
        <f t="shared" si="7"/>
        <v>1902</v>
      </c>
      <c r="E105" s="72">
        <f>VLOOKUP($C105,难度推算表,副本难度推算!$M$3,FALSE)*副本难度推算!$Y$5*Q105</f>
        <v>95282.283548021107</v>
      </c>
      <c r="F105" s="72">
        <f>VLOOKUP($C105,难度推算表,副本难度推算!$P$3,FALSE)*副本难度推算!$Z$5*$R105+VLOOKUP($C105,难度推算表,副本难度推算!$H$3,FALSE)</f>
        <v>6198.8838675050956</v>
      </c>
      <c r="G105" s="72">
        <f>VLOOKUP($C105,难度推算表,副本难度推算!$G$3,FALSE)-VLOOKUP($C105,难度推算表,副本难度推算!$I$3,FALSE)*(2-副本难度推算!$AA$5)*(2-$S105)</f>
        <v>1716.9483628029448</v>
      </c>
      <c r="H105" s="72">
        <f>VLOOKUP($C105,难度推算表,副本难度推算!$M$3,FALSE)*副本难度推算!$Y$6*Q105</f>
        <v>76225.826838416877</v>
      </c>
      <c r="I105" s="72">
        <f>VLOOKUP($C105,难度推算表,副本难度推算!$P$3,FALSE)*副本难度推算!$Z$6*$R105+VLOOKUP($C105,难度推算表,副本难度推算!$H$3,FALSE)</f>
        <v>5885.5934026836831</v>
      </c>
      <c r="J105" s="72">
        <f>VLOOKUP($C105,难度推算表,副本难度推算!$G$3,FALSE)-VLOOKUP($C105,难度推算表,副本难度推算!$I$3,FALSE)*(2-副本难度推算!$AA$6)*(2-$S105)</f>
        <v>680.64738668259724</v>
      </c>
      <c r="K105" s="72">
        <f>VLOOKUP($C105,难度推算表,副本难度推算!$M$3,FALSE)*副本难度推算!$Y$7*Q105</f>
        <v>238205.70887005274</v>
      </c>
      <c r="L105" s="72">
        <f>VLOOKUP($C105,难度推算表,副本难度推算!$P$3,FALSE)*副本难度推算!$Z$7*$R105+VLOOKUP($C105,难度推算表,副本难度推算!$H$3,FALSE)</f>
        <v>6825.4647971479208</v>
      </c>
      <c r="M105" s="72">
        <f>VLOOKUP($C105,难度推算表,副本难度推算!$G$3,FALSE)-VLOOKUP($C105,难度推算表,副本难度推算!$I$3,FALSE)*(2-副本难度推算!$AA$7)*(2-$S105)</f>
        <v>2753.2493389232932</v>
      </c>
      <c r="N105" s="2">
        <f>VLOOKUP($C105,难度推算表,副本难度推算!$Q$3,FALSE)</f>
        <v>3194.7719999999999</v>
      </c>
      <c r="O105" s="2">
        <f>VLOOKUP($C105,难度推算表,副本难度推算!$R$3,FALSE)</f>
        <v>0</v>
      </c>
      <c r="Q105" s="140">
        <f t="shared" si="8"/>
        <v>0.64800000000000013</v>
      </c>
      <c r="R105" s="140">
        <f t="shared" si="9"/>
        <v>0.56699999999999995</v>
      </c>
      <c r="S105" s="140">
        <f t="shared" si="10"/>
        <v>0.64800000000000013</v>
      </c>
      <c r="V105" s="140"/>
      <c r="W105" s="140"/>
      <c r="X105" s="140"/>
    </row>
    <row r="106" spans="1:24">
      <c r="A106" s="2" t="str">
        <f t="shared" si="11"/>
        <v>百人斩</v>
      </c>
      <c r="B106" s="2" t="str">
        <f>怪物并表!$R$14</f>
        <v>英雄之路</v>
      </c>
      <c r="C106" s="2">
        <v>50</v>
      </c>
      <c r="D106" s="28">
        <f t="shared" si="7"/>
        <v>1902</v>
      </c>
      <c r="E106" s="72">
        <f>VLOOKUP($C106,难度推算表,副本难度推算!$M$3,FALSE)*副本难度推算!$Y$5*Q106</f>
        <v>102092.88778918161</v>
      </c>
      <c r="F106" s="72">
        <f>VLOOKUP($C106,难度推算表,副本难度推算!$P$3,FALSE)*副本难度推算!$Z$5*$R106+VLOOKUP($C106,难度推算表,副本难度推算!$H$3,FALSE)</f>
        <v>6704.5484636789324</v>
      </c>
      <c r="G106" s="72">
        <f>VLOOKUP($C106,难度推算表,副本难度推算!$G$3,FALSE)-VLOOKUP($C106,难度推算表,副本难度推算!$I$3,FALSE)*(2-副本难度推算!$AA$5)*(2-$S106)</f>
        <v>1807.598850501674</v>
      </c>
      <c r="H106" s="72">
        <f>VLOOKUP($C106,难度推算表,副本难度推算!$M$3,FALSE)*副本难度推算!$Y$6*Q106</f>
        <v>81674.310231345284</v>
      </c>
      <c r="I106" s="72">
        <f>VLOOKUP($C106,难度推算表,副本难度推算!$P$3,FALSE)*副本难度推算!$Z$6*$R106+VLOOKUP($C106,难度推算表,副本难度推算!$H$3,FALSE)</f>
        <v>6362.7479537658892</v>
      </c>
      <c r="J106" s="72">
        <f>VLOOKUP($C106,难度推算表,副本难度推算!$G$3,FALSE)-VLOOKUP($C106,难度推算表,副本难度推算!$I$3,FALSE)*(2-副本难度推算!$AA$6)*(2-$S106)</f>
        <v>690.17410655518506</v>
      </c>
      <c r="K106" s="72">
        <f>VLOOKUP($C106,难度推算表,副本难度推算!$M$3,FALSE)*副本难度推算!$Y$7*Q106</f>
        <v>255232.21947295402</v>
      </c>
      <c r="L106" s="72">
        <f>VLOOKUP($C106,难度推算表,副本难度推算!$P$3,FALSE)*副本难度推算!$Z$7*$R106+VLOOKUP($C106,难度推算表,副本难度推算!$H$3,FALSE)</f>
        <v>7388.1494835050189</v>
      </c>
      <c r="M106" s="72">
        <f>VLOOKUP($C106,难度推算表,副本难度推算!$G$3,FALSE)-VLOOKUP($C106,难度推算表,副本难度推算!$I$3,FALSE)*(2-副本难度推算!$AA$7)*(2-$S106)</f>
        <v>2925.0235944481619</v>
      </c>
      <c r="N106" s="2">
        <f>VLOOKUP($C106,难度推算表,副本难度推算!$Q$3,FALSE)</f>
        <v>3253</v>
      </c>
      <c r="O106" s="2">
        <f>VLOOKUP($C106,难度推算表,副本难度推算!$R$3,FALSE)</f>
        <v>0</v>
      </c>
      <c r="Q106" s="140">
        <f t="shared" si="8"/>
        <v>0.64000000000000012</v>
      </c>
      <c r="R106" s="140">
        <f t="shared" si="9"/>
        <v>0.55999999999999994</v>
      </c>
      <c r="S106" s="140">
        <f t="shared" si="10"/>
        <v>0.64000000000000012</v>
      </c>
      <c r="V106" s="140"/>
      <c r="W106" s="140"/>
      <c r="X106" s="140"/>
    </row>
    <row r="107" spans="1:24">
      <c r="A107" s="2" t="str">
        <f t="shared" si="11"/>
        <v>百人斩</v>
      </c>
      <c r="B107" s="2" t="str">
        <f>怪物并表!$R$14</f>
        <v>英雄之路</v>
      </c>
      <c r="C107" s="2">
        <v>51</v>
      </c>
      <c r="D107" s="28">
        <f t="shared" si="7"/>
        <v>1902</v>
      </c>
      <c r="E107" s="72">
        <f>VLOOKUP($C107,难度推算表,副本难度推算!$M$3,FALSE)*副本难度推算!$Y$5*Q107</f>
        <v>108565.3745974716</v>
      </c>
      <c r="F107" s="72">
        <f>VLOOKUP($C107,难度推算表,副本难度推算!$P$3,FALSE)*副本难度推算!$Z$5*$R107+VLOOKUP($C107,难度推算表,副本难度推算!$H$3,FALSE)</f>
        <v>7284.0472629457927</v>
      </c>
      <c r="G107" s="72">
        <f>VLOOKUP($C107,难度推算表,副本难度推算!$G$3,FALSE)-VLOOKUP($C107,难度推算表,副本难度推算!$I$3,FALSE)*(2-副本难度推算!$AA$5)*(2-$S107)</f>
        <v>1962.281322425687</v>
      </c>
      <c r="H107" s="72">
        <f>VLOOKUP($C107,难度推算表,副本难度推算!$M$3,FALSE)*副本难度推算!$Y$6*Q107</f>
        <v>86852.29967797728</v>
      </c>
      <c r="I107" s="72">
        <f>VLOOKUP($C107,难度推算表,副本难度推算!$P$3,FALSE)*副本难度推算!$Z$6*$R107+VLOOKUP($C107,难度推算表,副本难度推算!$H$3,FALSE)</f>
        <v>6907.2933769013816</v>
      </c>
      <c r="J107" s="72">
        <f>VLOOKUP($C107,难度推算表,副本难度推算!$G$3,FALSE)-VLOOKUP($C107,难度推算表,副本难度推算!$I$3,FALSE)*(2-副本难度推算!$AA$6)*(2-$S107)</f>
        <v>787.97641747938542</v>
      </c>
      <c r="K107" s="72">
        <f>VLOOKUP($C107,难度推算表,副本难度推算!$M$3,FALSE)*副本难度推算!$Y$7*Q107</f>
        <v>271413.43649367901</v>
      </c>
      <c r="L107" s="72">
        <f>VLOOKUP($C107,难度推算表,副本难度推算!$P$3,FALSE)*副本难度推算!$Z$7*$R107+VLOOKUP($C107,难度推算表,副本难度推算!$H$3,FALSE)</f>
        <v>8037.5550350346166</v>
      </c>
      <c r="M107" s="72">
        <f>VLOOKUP($C107,难度推算表,副本难度推算!$G$3,FALSE)-VLOOKUP($C107,难度推算表,副本难度推算!$I$3,FALSE)*(2-副本难度推算!$AA$7)*(2-$S107)</f>
        <v>3136.5862273719877</v>
      </c>
      <c r="N107" s="2">
        <f>VLOOKUP($C107,难度推算表,副本难度推算!$Q$3,FALSE)</f>
        <v>3311.2280000000001</v>
      </c>
      <c r="O107" s="2">
        <f>VLOOKUP($C107,难度推算表,副本难度推算!$R$3,FALSE)</f>
        <v>0</v>
      </c>
      <c r="Q107" s="140">
        <f t="shared" si="8"/>
        <v>0.64000000000000012</v>
      </c>
      <c r="R107" s="140">
        <f t="shared" si="9"/>
        <v>0.55999999999999994</v>
      </c>
      <c r="S107" s="140">
        <f t="shared" si="10"/>
        <v>0.64000000000000012</v>
      </c>
      <c r="V107" s="140"/>
      <c r="W107" s="140"/>
      <c r="X107" s="140"/>
    </row>
    <row r="108" spans="1:24">
      <c r="A108" s="2" t="str">
        <f t="shared" si="11"/>
        <v>百人斩</v>
      </c>
      <c r="B108" s="2" t="str">
        <f>怪物并表!$R$14</f>
        <v>英雄之路</v>
      </c>
      <c r="C108" s="2">
        <v>52</v>
      </c>
      <c r="D108" s="28">
        <f t="shared" si="7"/>
        <v>1902</v>
      </c>
      <c r="E108" s="72">
        <f>VLOOKUP($C108,难度推算表,副本难度推算!$M$3,FALSE)*副本难度推算!$Y$5*Q108</f>
        <v>119448.40499436193</v>
      </c>
      <c r="F108" s="72">
        <f>VLOOKUP($C108,难度推算表,副本难度推算!$P$3,FALSE)*副本难度推算!$Z$5*$R108+VLOOKUP($C108,难度推算表,副本难度推算!$H$3,FALSE)</f>
        <v>7900.403069571691</v>
      </c>
      <c r="G108" s="72">
        <f>VLOOKUP($C108,难度推算表,副本难度推算!$G$3,FALSE)-VLOOKUP($C108,难度推算表,副本难度推算!$I$3,FALSE)*(2-副本难度推算!$AA$5)*(2-$S108)</f>
        <v>2065.8225154033453</v>
      </c>
      <c r="H108" s="72">
        <f>VLOOKUP($C108,难度推算表,副本难度推算!$M$3,FALSE)*副本难度推算!$Y$6*Q108</f>
        <v>95558.723995489549</v>
      </c>
      <c r="I108" s="72">
        <f>VLOOKUP($C108,难度推算表,副本难度推算!$P$3,FALSE)*副本难度推算!$Z$6*$R108+VLOOKUP($C108,难度推算表,副本难度推算!$H$3,FALSE)</f>
        <v>7485.9668563242212</v>
      </c>
      <c r="J108" s="72">
        <f>VLOOKUP($C108,难度推算表,副本难度推算!$G$3,FALSE)-VLOOKUP($C108,难度推算表,副本难度推算!$I$3,FALSE)*(2-副本难度推算!$AA$6)*(2-$S108)</f>
        <v>788.76859679036897</v>
      </c>
      <c r="K108" s="72">
        <f>VLOOKUP($C108,难度推算表,副本难度推算!$M$3,FALSE)*副本难度推算!$Y$7*Q108</f>
        <v>298621.01248590485</v>
      </c>
      <c r="L108" s="72">
        <f>VLOOKUP($C108,难度推算表,副本难度推算!$P$3,FALSE)*副本难度推算!$Z$7*$R108+VLOOKUP($C108,难度推算表,副本难度推算!$H$3,FALSE)</f>
        <v>8729.2754960666316</v>
      </c>
      <c r="M108" s="72">
        <f>VLOOKUP($C108,难度推算表,副本难度推算!$G$3,FALSE)-VLOOKUP($C108,难度推算表,副本难度推算!$I$3,FALSE)*(2-副本难度推算!$AA$7)*(2-$S108)</f>
        <v>3342.8764340163216</v>
      </c>
      <c r="N108" s="2">
        <f>VLOOKUP($C108,难度推算表,副本难度推算!$Q$3,FALSE)</f>
        <v>3369.4560000000001</v>
      </c>
      <c r="O108" s="2">
        <f>VLOOKUP($C108,难度推算表,副本难度推算!$R$3,FALSE)</f>
        <v>0</v>
      </c>
      <c r="Q108" s="140">
        <f t="shared" si="8"/>
        <v>0.64000000000000012</v>
      </c>
      <c r="R108" s="140">
        <f t="shared" si="9"/>
        <v>0.55999999999999994</v>
      </c>
      <c r="S108" s="140">
        <f t="shared" si="10"/>
        <v>0.64000000000000012</v>
      </c>
      <c r="V108" s="140"/>
      <c r="W108" s="140"/>
      <c r="X108" s="140"/>
    </row>
    <row r="109" spans="1:24">
      <c r="A109" s="2" t="str">
        <f t="shared" si="11"/>
        <v>百人斩</v>
      </c>
      <c r="B109" s="2" t="str">
        <f>怪物并表!$R$14</f>
        <v>英雄之路</v>
      </c>
      <c r="C109" s="2">
        <v>53</v>
      </c>
      <c r="D109" s="28">
        <f t="shared" si="7"/>
        <v>1902</v>
      </c>
      <c r="E109" s="72">
        <f>VLOOKUP($C109,难度推算表,副本难度推算!$M$3,FALSE)*副本难度推算!$Y$5*Q109</f>
        <v>128847.56361207503</v>
      </c>
      <c r="F109" s="72">
        <f>VLOOKUP($C109,难度推算表,副本难度推算!$P$3,FALSE)*副本难度推算!$Z$5*$R109+VLOOKUP($C109,难度推算表,副本难度推算!$H$3,FALSE)</f>
        <v>8555.3879487531813</v>
      </c>
      <c r="G109" s="72">
        <f>VLOOKUP($C109,难度推算表,副本难度推算!$G$3,FALSE)-VLOOKUP($C109,难度推算表,副本难度推算!$I$3,FALSE)*(2-副本难度推算!$AA$5)*(2-$S109)</f>
        <v>2202.9191647545167</v>
      </c>
      <c r="H109" s="72">
        <f>VLOOKUP($C109,难度推算表,副本难度推算!$M$3,FALSE)*副本难度推算!$Y$6*Q109</f>
        <v>103078.05088966002</v>
      </c>
      <c r="I109" s="72">
        <f>VLOOKUP($C109,难度推算表,副本难度推算!$P$3,FALSE)*副本难度推算!$Z$6*$R109+VLOOKUP($C109,难度推算表,副本难度推算!$H$3,FALSE)</f>
        <v>8100.3799111059561</v>
      </c>
      <c r="J109" s="72">
        <f>VLOOKUP($C109,难度推算表,副本难度推算!$G$3,FALSE)-VLOOKUP($C109,难度推算表,副本难度推算!$I$3,FALSE)*(2-副本难度推算!$AA$6)*(2-$S109)</f>
        <v>841.11459017899779</v>
      </c>
      <c r="K109" s="72">
        <f>VLOOKUP($C109,难度推算表,副本难度推算!$M$3,FALSE)*副本难度推算!$Y$7*Q109</f>
        <v>322118.90903018758</v>
      </c>
      <c r="L109" s="72">
        <f>VLOOKUP($C109,难度推算表,副本难度推算!$P$3,FALSE)*副本难度推算!$Z$7*$R109+VLOOKUP($C109,难度推算表,副本难度推算!$H$3,FALSE)</f>
        <v>9465.4040240476279</v>
      </c>
      <c r="M109" s="72">
        <f>VLOOKUP($C109,难度推算表,副本难度推算!$G$3,FALSE)-VLOOKUP($C109,难度推算表,副本难度推算!$I$3,FALSE)*(2-副本难度推算!$AA$7)*(2-$S109)</f>
        <v>3564.7237393300347</v>
      </c>
      <c r="N109" s="2">
        <f>VLOOKUP($C109,难度推算表,副本难度推算!$Q$3,FALSE)</f>
        <v>3427.6839999999997</v>
      </c>
      <c r="O109" s="2">
        <f>VLOOKUP($C109,难度推算表,副本难度推算!$R$3,FALSE)</f>
        <v>0</v>
      </c>
      <c r="Q109" s="140">
        <f t="shared" si="8"/>
        <v>0.64000000000000012</v>
      </c>
      <c r="R109" s="140">
        <f t="shared" si="9"/>
        <v>0.55999999999999994</v>
      </c>
      <c r="S109" s="140">
        <f t="shared" si="10"/>
        <v>0.64000000000000012</v>
      </c>
      <c r="V109" s="140"/>
      <c r="W109" s="140"/>
      <c r="X109" s="140"/>
    </row>
    <row r="110" spans="1:24">
      <c r="A110" s="2" t="str">
        <f t="shared" si="11"/>
        <v>百人斩</v>
      </c>
      <c r="B110" s="2" t="str">
        <f>怪物并表!$R$14</f>
        <v>英雄之路</v>
      </c>
      <c r="C110" s="2">
        <v>54</v>
      </c>
      <c r="D110" s="28">
        <f t="shared" si="7"/>
        <v>1902</v>
      </c>
      <c r="E110" s="72">
        <f>VLOOKUP($C110,难度推算表,副本难度推算!$M$3,FALSE)*副本难度推算!$Y$5*Q110</f>
        <v>138748.39645939853</v>
      </c>
      <c r="F110" s="72">
        <f>VLOOKUP($C110,难度推算表,副本难度推算!$P$3,FALSE)*副本难度推算!$Z$5*$R110+VLOOKUP($C110,难度推算表,副本难度推算!$H$3,FALSE)</f>
        <v>9250.8485612367804</v>
      </c>
      <c r="G110" s="72">
        <f>VLOOKUP($C110,难度推算表,副本难度推算!$G$3,FALSE)-VLOOKUP($C110,难度推算表,副本难度推算!$I$3,FALSE)*(2-副本难度推算!$AA$5)*(2-$S110)</f>
        <v>2345.4612016000019</v>
      </c>
      <c r="H110" s="72">
        <f>VLOOKUP($C110,难度推算表,副本难度推算!$M$3,FALSE)*副本难度推算!$Y$6*Q110</f>
        <v>110998.71716751883</v>
      </c>
      <c r="I110" s="72">
        <f>VLOOKUP($C110,难度推算表,副本难度推算!$P$3,FALSE)*副本难度推算!$Z$6*$R110+VLOOKUP($C110,难度推算表,副本难度推算!$H$3,FALSE)</f>
        <v>8752.2111963131028</v>
      </c>
      <c r="J110" s="72">
        <f>VLOOKUP($C110,难度推算表,副本难度推算!$G$3,FALSE)-VLOOKUP($C110,难度推算表,副本难度推算!$I$3,FALSE)*(2-副本难度推算!$AA$6)*(2-$S110)</f>
        <v>895.53973152000071</v>
      </c>
      <c r="K110" s="72">
        <f>VLOOKUP($C110,难度推算表,副本难度推算!$M$3,FALSE)*副本难度推算!$Y$7*Q110</f>
        <v>346870.99114849634</v>
      </c>
      <c r="L110" s="72">
        <f>VLOOKUP($C110,难度推算表,副本难度推算!$P$3,FALSE)*副本难度推算!$Z$7*$R110+VLOOKUP($C110,难度推算表,副本难度推算!$H$3,FALSE)</f>
        <v>10248.123291084135</v>
      </c>
      <c r="M110" s="72">
        <f>VLOOKUP($C110,难度推算表,副本难度推算!$G$3,FALSE)-VLOOKUP($C110,难度推算表,副本难度推算!$I$3,FALSE)*(2-副本难度推算!$AA$7)*(2-$S110)</f>
        <v>3795.3826716800022</v>
      </c>
      <c r="N110" s="2">
        <f>VLOOKUP($C110,难度推算表,副本难度推算!$Q$3,FALSE)</f>
        <v>3485.9119999999998</v>
      </c>
      <c r="O110" s="2">
        <f>VLOOKUP($C110,难度推算表,副本难度推算!$R$3,FALSE)</f>
        <v>0</v>
      </c>
      <c r="Q110" s="140">
        <f t="shared" si="8"/>
        <v>0.64000000000000012</v>
      </c>
      <c r="R110" s="140">
        <f t="shared" si="9"/>
        <v>0.55999999999999994</v>
      </c>
      <c r="S110" s="140">
        <f t="shared" si="10"/>
        <v>0.64000000000000012</v>
      </c>
      <c r="V110" s="140"/>
      <c r="W110" s="140"/>
      <c r="X110" s="140"/>
    </row>
    <row r="111" spans="1:24">
      <c r="A111" s="2" t="str">
        <f t="shared" si="11"/>
        <v>百人斩</v>
      </c>
      <c r="B111" s="2" t="str">
        <f>怪物并表!$R$14</f>
        <v>英雄之路</v>
      </c>
      <c r="C111" s="2">
        <v>55</v>
      </c>
      <c r="D111" s="28">
        <f t="shared" si="7"/>
        <v>1902</v>
      </c>
      <c r="E111" s="72">
        <f>VLOOKUP($C111,难度推算表,副本难度推算!$M$3,FALSE)*副本难度推算!$Y$5*Q111</f>
        <v>149166.72968329614</v>
      </c>
      <c r="F111" s="72">
        <f>VLOOKUP($C111,难度推算表,副本难度推算!$P$3,FALSE)*副本难度推算!$Z$5*$R111+VLOOKUP($C111,难度推算表,副本难度推算!$H$3,FALSE)</f>
        <v>9988.7095034182348</v>
      </c>
      <c r="G111" s="72">
        <f>VLOOKUP($C111,难度推算表,副本难度推算!$G$3,FALSE)-VLOOKUP($C111,难度推算表,副本难度推算!$I$3,FALSE)*(2-副本难度推算!$AA$5)*(2-$S111)</f>
        <v>2493.5402581103681</v>
      </c>
      <c r="H111" s="72">
        <f>VLOOKUP($C111,难度推算表,副本难度推算!$M$3,FALSE)*副本难度推算!$Y$6*Q111</f>
        <v>119333.3837466369</v>
      </c>
      <c r="I111" s="72">
        <f>VLOOKUP($C111,难度推算表,副本难度推算!$P$3,FALSE)*副本难度推算!$Z$6*$R111+VLOOKUP($C111,难度推算表,副本难度推算!$H$3,FALSE)</f>
        <v>9443.2095090964795</v>
      </c>
      <c r="J111" s="72">
        <f>VLOOKUP($C111,难度推算表,副本难度推算!$G$3,FALSE)-VLOOKUP($C111,难度推算表,副本难度推算!$I$3,FALSE)*(2-副本难度推算!$AA$6)*(2-$S111)</f>
        <v>952.07900764213991</v>
      </c>
      <c r="K111" s="72">
        <f>VLOOKUP($C111,难度推算表,副本难度推算!$M$3,FALSE)*副本难度推算!$Y$7*Q111</f>
        <v>372916.82420824037</v>
      </c>
      <c r="L111" s="72">
        <f>VLOOKUP($C111,难度推算表,副本难度推算!$P$3,FALSE)*副本难度推算!$Z$7*$R111+VLOOKUP($C111,难度推算表,副本难度推算!$H$3,FALSE)</f>
        <v>11079.709492061747</v>
      </c>
      <c r="M111" s="72">
        <f>VLOOKUP($C111,难度推算表,副本难度推算!$G$3,FALSE)-VLOOKUP($C111,难度推算表,副本难度推算!$I$3,FALSE)*(2-副本难度推算!$AA$7)*(2-$S111)</f>
        <v>4035.0015085785963</v>
      </c>
      <c r="N111" s="2">
        <f>VLOOKUP($C111,难度推算表,副本难度推算!$Q$3,FALSE)</f>
        <v>3544.1399999999994</v>
      </c>
      <c r="O111" s="2">
        <f>VLOOKUP($C111,难度推算表,副本难度推算!$R$3,FALSE)</f>
        <v>0</v>
      </c>
      <c r="Q111" s="140">
        <f t="shared" si="8"/>
        <v>0.64000000000000012</v>
      </c>
      <c r="R111" s="140">
        <f t="shared" si="9"/>
        <v>0.55999999999999994</v>
      </c>
      <c r="S111" s="140">
        <f t="shared" si="10"/>
        <v>0.64000000000000012</v>
      </c>
      <c r="V111" s="140"/>
      <c r="W111" s="140"/>
      <c r="X111" s="140"/>
    </row>
    <row r="112" spans="1:24">
      <c r="A112" s="2" t="str">
        <f t="shared" si="11"/>
        <v>百人斩</v>
      </c>
      <c r="B112" s="2" t="str">
        <f>怪物并表!$R$14</f>
        <v>英雄之路</v>
      </c>
      <c r="C112" s="2">
        <v>56</v>
      </c>
      <c r="D112" s="28">
        <f t="shared" si="7"/>
        <v>1902</v>
      </c>
      <c r="E112" s="72">
        <f>VLOOKUP($C112,难度推算表,副本难度推算!$M$3,FALSE)*副本难度推算!$Y$5*Q112</f>
        <v>160118.60572355514</v>
      </c>
      <c r="F112" s="72">
        <f>VLOOKUP($C112,难度推算表,副本难度推算!$P$3,FALSE)*副本难度推算!$Z$5*$R112+VLOOKUP($C112,难度推算表,副本难度推算!$H$3,FALSE)</f>
        <v>10770.976828531493</v>
      </c>
      <c r="G112" s="72">
        <f>VLOOKUP($C112,难度推算表,副本难度推算!$G$3,FALSE)-VLOOKUP($C112,难度推算表,副本难度推算!$I$3,FALSE)*(2-副本难度推算!$AA$5)*(2-$S112)</f>
        <v>2647.2479664561888</v>
      </c>
      <c r="H112" s="72">
        <f>VLOOKUP($C112,难度推算表,副本难度推算!$M$3,FALSE)*副本难度推算!$Y$6*Q112</f>
        <v>128094.88457884411</v>
      </c>
      <c r="I112" s="72">
        <f>VLOOKUP($C112,难度推算表,副本难度推算!$P$3,FALSE)*副本难度推算!$Z$6*$R112+VLOOKUP($C112,难度推算表,副本难度推算!$H$3,FALSE)</f>
        <v>10175.196957761287</v>
      </c>
      <c r="J112" s="72">
        <f>VLOOKUP($C112,难度推算表,副本难度推算!$G$3,FALSE)-VLOOKUP($C112,难度推算表,副本难度推算!$I$3,FALSE)*(2-副本难度推算!$AA$6)*(2-$S112)</f>
        <v>1010.7674053741812</v>
      </c>
      <c r="K112" s="72">
        <f>VLOOKUP($C112,难度推算表,副本难度推算!$M$3,FALSE)*副本难度推算!$Y$7*Q112</f>
        <v>400296.51430888788</v>
      </c>
      <c r="L112" s="72">
        <f>VLOOKUP($C112,难度推算表,副本难度推算!$P$3,FALSE)*副本难度推算!$Z$7*$R112+VLOOKUP($C112,难度推算表,副本难度推算!$H$3,FALSE)</f>
        <v>11962.536570071907</v>
      </c>
      <c r="M112" s="72">
        <f>VLOOKUP($C112,难度推算表,副本难度推算!$G$3,FALSE)-VLOOKUP($C112,难度推算表,副本难度推算!$I$3,FALSE)*(2-副本难度推算!$AA$7)*(2-$S112)</f>
        <v>4283.7285275381964</v>
      </c>
      <c r="N112" s="2">
        <f>VLOOKUP($C112,难度推算表,副本难度推算!$Q$3,FALSE)</f>
        <v>3602.3680000000004</v>
      </c>
      <c r="O112" s="2">
        <f>VLOOKUP($C112,难度推算表,副本难度推算!$R$3,FALSE)</f>
        <v>0</v>
      </c>
      <c r="Q112" s="140">
        <f t="shared" si="8"/>
        <v>0.64000000000000012</v>
      </c>
      <c r="R112" s="140">
        <f t="shared" si="9"/>
        <v>0.55999999999999994</v>
      </c>
      <c r="S112" s="140">
        <f t="shared" si="10"/>
        <v>0.64000000000000012</v>
      </c>
      <c r="V112" s="140"/>
      <c r="W112" s="140"/>
      <c r="X112" s="140"/>
    </row>
    <row r="113" spans="1:24">
      <c r="A113" s="2" t="str">
        <f t="shared" si="11"/>
        <v>百人斩</v>
      </c>
      <c r="B113" s="2" t="str">
        <f>怪物并表!$R$14</f>
        <v>英雄之路</v>
      </c>
      <c r="C113" s="2">
        <v>57</v>
      </c>
      <c r="D113" s="28">
        <f t="shared" si="7"/>
        <v>1902</v>
      </c>
      <c r="E113" s="72">
        <f>VLOOKUP($C113,难度推算表,副本难度推算!$M$3,FALSE)*副本难度推算!$Y$5*Q113</f>
        <v>171620.28323265282</v>
      </c>
      <c r="F113" s="72">
        <f>VLOOKUP($C113,难度推算表,副本难度推算!$P$3,FALSE)*副本难度推算!$Z$5*$R113+VLOOKUP($C113,难度推算表,副本难度推算!$H$3,FALSE)</f>
        <v>11599.741760486293</v>
      </c>
      <c r="G113" s="72">
        <f>VLOOKUP($C113,难度推算表,副本难度推算!$G$3,FALSE)-VLOOKUP($C113,难度推算表,副本难度推算!$I$3,FALSE)*(2-副本难度推算!$AA$5)*(2-$S113)</f>
        <v>2806.6759588080295</v>
      </c>
      <c r="H113" s="72">
        <f>VLOOKUP($C113,难度推算表,副本难度推算!$M$3,FALSE)*副本难度推算!$Y$6*Q113</f>
        <v>137296.22658612224</v>
      </c>
      <c r="I113" s="72">
        <f>VLOOKUP($C113,难度推算表,副本难度推算!$P$3,FALSE)*副本难度推算!$Z$6*$R113+VLOOKUP($C113,难度推算表,副本难度推算!$H$3,FALSE)</f>
        <v>10950.072304220943</v>
      </c>
      <c r="J113" s="72">
        <f>VLOOKUP($C113,难度推算表,副本难度推算!$G$3,FALSE)-VLOOKUP($C113,难度推算表,副本难度推算!$I$3,FALSE)*(2-副本难度推算!$AA$6)*(2-$S113)</f>
        <v>1071.6399115448839</v>
      </c>
      <c r="K113" s="72">
        <f>VLOOKUP($C113,难度推算表,副本难度推算!$M$3,FALSE)*副本难度推算!$Y$7*Q113</f>
        <v>429050.70808163204</v>
      </c>
      <c r="L113" s="72">
        <f>VLOOKUP($C113,难度推算表,副本难度推算!$P$3,FALSE)*副本难度推算!$Z$7*$R113+VLOOKUP($C113,难度推算表,副本难度推算!$H$3,FALSE)</f>
        <v>12899.080673016997</v>
      </c>
      <c r="M113" s="72">
        <f>VLOOKUP($C113,难度推算表,副本难度推算!$G$3,FALSE)-VLOOKUP($C113,难度推算表,副本难度推算!$I$3,FALSE)*(2-副本难度推算!$AA$7)*(2-$S113)</f>
        <v>4541.7120060711723</v>
      </c>
      <c r="N113" s="2">
        <f>VLOOKUP($C113,难度推算表,副本难度推算!$Q$3,FALSE)</f>
        <v>3660.596</v>
      </c>
      <c r="O113" s="2">
        <f>VLOOKUP($C113,难度推算表,副本难度推算!$R$3,FALSE)</f>
        <v>0</v>
      </c>
      <c r="Q113" s="140">
        <f t="shared" si="8"/>
        <v>0.64000000000000012</v>
      </c>
      <c r="R113" s="140">
        <f t="shared" si="9"/>
        <v>0.55999999999999994</v>
      </c>
      <c r="S113" s="140">
        <f t="shared" si="10"/>
        <v>0.64000000000000012</v>
      </c>
      <c r="V113" s="140"/>
      <c r="W113" s="140"/>
      <c r="X113" s="140"/>
    </row>
    <row r="114" spans="1:24">
      <c r="A114" s="2" t="str">
        <f t="shared" si="11"/>
        <v>百人斩</v>
      </c>
      <c r="B114" s="2" t="str">
        <f>怪物并表!$R$14</f>
        <v>英雄之路</v>
      </c>
      <c r="C114" s="2">
        <v>58</v>
      </c>
      <c r="D114" s="28">
        <f t="shared" si="7"/>
        <v>1902</v>
      </c>
      <c r="E114" s="72">
        <f>VLOOKUP($C114,难度推算表,副本难度推算!$M$3,FALSE)*副本难度推算!$Y$5*Q114</f>
        <v>183688.23699388152</v>
      </c>
      <c r="F114" s="72">
        <f>VLOOKUP($C114,难度推算表,副本难度推算!$P$3,FALSE)*副本难度推算!$Z$5*$R114+VLOOKUP($C114,难度推算表,副本难度推算!$H$3,FALSE)</f>
        <v>12477.184612764304</v>
      </c>
      <c r="G114" s="72">
        <f>VLOOKUP($C114,难度推算表,副本难度推算!$G$3,FALSE)-VLOOKUP($C114,难度推算表,副本难度推算!$I$3,FALSE)*(2-副本难度推算!$AA$5)*(2-$S114)</f>
        <v>2971.9158673364564</v>
      </c>
      <c r="H114" s="72">
        <f>VLOOKUP($C114,难度推算表,副本难度推算!$M$3,FALSE)*副本难度推算!$Y$6*Q114</f>
        <v>146950.58959510524</v>
      </c>
      <c r="I114" s="72">
        <f>VLOOKUP($C114,难度推算表,副本难度推算!$P$3,FALSE)*副本难度推算!$Z$6*$R114+VLOOKUP($C114,难度推算表,副本难度推算!$H$3,FALSE)</f>
        <v>11769.814491003592</v>
      </c>
      <c r="J114" s="72">
        <f>VLOOKUP($C114,难度推算表,副本难度推算!$G$3,FALSE)-VLOOKUP($C114,难度推算表,副本难度推算!$I$3,FALSE)*(2-副本难度推算!$AA$6)*(2-$S114)</f>
        <v>1134.7315129830113</v>
      </c>
      <c r="K114" s="72">
        <f>VLOOKUP($C114,难度推算表,副本难度推算!$M$3,FALSE)*副本难度推算!$Y$7*Q114</f>
        <v>459220.59248470381</v>
      </c>
      <c r="L114" s="72">
        <f>VLOOKUP($C114,难度推算表,副本难度推算!$P$3,FALSE)*副本难度推算!$Z$7*$R114+VLOOKUP($C114,难度推算表,副本难度推算!$H$3,FALSE)</f>
        <v>13891.924856285725</v>
      </c>
      <c r="M114" s="72">
        <f>VLOOKUP($C114,难度推算表,副本难度推算!$G$3,FALSE)-VLOOKUP($C114,难度推算表,副本难度推算!$I$3,FALSE)*(2-副本难度推算!$AA$7)*(2-$S114)</f>
        <v>4809.1002216899024</v>
      </c>
      <c r="N114" s="2">
        <f>VLOOKUP($C114,难度推算表,副本难度推算!$Q$3,FALSE)</f>
        <v>3718.8240000000001</v>
      </c>
      <c r="O114" s="2">
        <f>VLOOKUP($C114,难度推算表,副本难度推算!$R$3,FALSE)</f>
        <v>0</v>
      </c>
      <c r="Q114" s="140">
        <f t="shared" si="8"/>
        <v>0.64000000000000012</v>
      </c>
      <c r="R114" s="140">
        <f t="shared" si="9"/>
        <v>0.55999999999999994</v>
      </c>
      <c r="S114" s="140">
        <f t="shared" si="10"/>
        <v>0.64000000000000012</v>
      </c>
      <c r="V114" s="140"/>
      <c r="W114" s="140"/>
      <c r="X114" s="140"/>
    </row>
    <row r="115" spans="1:24">
      <c r="A115" s="2" t="str">
        <f t="shared" si="11"/>
        <v>百人斩</v>
      </c>
      <c r="B115" s="2" t="str">
        <f>怪物并表!$R$14</f>
        <v>英雄之路</v>
      </c>
      <c r="C115" s="2">
        <v>59</v>
      </c>
      <c r="D115" s="28">
        <f t="shared" si="7"/>
        <v>1902</v>
      </c>
      <c r="E115" s="72">
        <f>VLOOKUP($C115,难度推算表,副本难度推算!$M$3,FALSE)*副本难度推算!$Y$5*Q115</f>
        <v>196339.15783810194</v>
      </c>
      <c r="F115" s="72">
        <f>VLOOKUP($C115,难度推算表,副本难度推算!$P$3,FALSE)*副本难度推算!$Z$5*$R115+VLOOKUP($C115,难度推算表,副本难度推算!$H$3,FALSE)</f>
        <v>13405.578925705748</v>
      </c>
      <c r="G115" s="72">
        <f>VLOOKUP($C115,难度推算表,副本难度推算!$G$3,FALSE)-VLOOKUP($C115,难度推算表,副本难度推算!$I$3,FALSE)*(2-副本难度推算!$AA$5)*(2-$S115)</f>
        <v>3143.0593242120431</v>
      </c>
      <c r="H115" s="72">
        <f>VLOOKUP($C115,难度推算表,副本难度推算!$M$3,FALSE)*副本难度推算!$Y$6*Q115</f>
        <v>157071.32627048157</v>
      </c>
      <c r="I115" s="72">
        <f>VLOOKUP($C115,难度推算表,副本难度推算!$P$3,FALSE)*副本难度推算!$Z$6*$R115+VLOOKUP($C115,难度推算表,副本难度推算!$H$3,FALSE)</f>
        <v>12636.486364810091</v>
      </c>
      <c r="J115" s="72">
        <f>VLOOKUP($C115,难度推算表,副本难度推算!$G$3,FALSE)-VLOOKUP($C115,难度推算表,副本难度推算!$I$3,FALSE)*(2-副本难度推算!$AA$6)*(2-$S115)</f>
        <v>1200.077196517328</v>
      </c>
      <c r="K115" s="72">
        <f>VLOOKUP($C115,难度推算表,副本难度推算!$M$3,FALSE)*副本难度推算!$Y$7*Q115</f>
        <v>490847.89459525491</v>
      </c>
      <c r="L115" s="72">
        <f>VLOOKUP($C115,难度推算表,副本难度推算!$P$3,FALSE)*副本难度推算!$Z$7*$R115+VLOOKUP($C115,难度推算表,副本难度推算!$H$3,FALSE)</f>
        <v>14943.764047497065</v>
      </c>
      <c r="M115" s="72">
        <f>VLOOKUP($C115,难度推算表,副本难度推算!$G$3,FALSE)-VLOOKUP($C115,难度推算表,副本难度推算!$I$3,FALSE)*(2-副本难度推算!$AA$7)*(2-$S115)</f>
        <v>5086.0414519067581</v>
      </c>
      <c r="N115" s="2">
        <f>VLOOKUP($C115,难度推算表,副本难度推算!$Q$3,FALSE)</f>
        <v>3777.0519999999997</v>
      </c>
      <c r="O115" s="2">
        <f>VLOOKUP($C115,难度推算表,副本难度推算!$R$3,FALSE)</f>
        <v>0</v>
      </c>
      <c r="Q115" s="140">
        <f t="shared" si="8"/>
        <v>0.64000000000000012</v>
      </c>
      <c r="R115" s="140">
        <f t="shared" si="9"/>
        <v>0.55999999999999994</v>
      </c>
      <c r="S115" s="140">
        <f t="shared" si="10"/>
        <v>0.64000000000000012</v>
      </c>
      <c r="V115" s="140"/>
      <c r="W115" s="140"/>
      <c r="X115" s="140"/>
    </row>
    <row r="116" spans="1:24">
      <c r="A116" s="2" t="str">
        <f t="shared" si="11"/>
        <v>百人斩</v>
      </c>
      <c r="B116" s="2" t="str">
        <f>怪物并表!$R$14</f>
        <v>英雄之路</v>
      </c>
      <c r="C116" s="2">
        <v>60</v>
      </c>
      <c r="D116" s="28">
        <f t="shared" si="7"/>
        <v>1902</v>
      </c>
      <c r="E116" s="72">
        <f>VLOOKUP($C116,难度推算表,副本难度推算!$M$3,FALSE)*副本难度推算!$Y$5*Q116</f>
        <v>210622.41537993535</v>
      </c>
      <c r="F116" s="72">
        <f>VLOOKUP($C116,难度推算表,副本难度推算!$P$3,FALSE)*副本难度推算!$Z$5*$R116+VLOOKUP($C116,难度推算表,副本难度推算!$H$3,FALSE)</f>
        <v>14458.169215023416</v>
      </c>
      <c r="G116" s="72">
        <f>VLOOKUP($C116,难度推算表,副本难度推算!$G$3,FALSE)-VLOOKUP($C116,难度推算表,副本难度推算!$I$3,FALSE)*(2-副本难度推算!$AA$5)*(2-$S116)</f>
        <v>3336.5536165886315</v>
      </c>
      <c r="H116" s="72">
        <f>VLOOKUP($C116,难度推算表,副本难度推算!$M$3,FALSE)*副本难度推算!$Y$6*Q116</f>
        <v>168497.9323039483</v>
      </c>
      <c r="I116" s="72">
        <f>VLOOKUP($C116,难度推算表,副本难度推算!$P$3,FALSE)*副本难度推算!$Z$6*$R116+VLOOKUP($C116,难度推算表,副本难度推算!$H$3,FALSE)</f>
        <v>13618.998405628099</v>
      </c>
      <c r="J116" s="72">
        <f>VLOOKUP($C116,难度推算表,副本难度推算!$G$3,FALSE)-VLOOKUP($C116,难度推算表,副本难度推算!$I$3,FALSE)*(2-副本难度推算!$AA$6)*(2-$S116)</f>
        <v>1273.9568354247513</v>
      </c>
      <c r="K116" s="72">
        <f>VLOOKUP($C116,难度推算表,副本难度推算!$M$3,FALSE)*副本难度推算!$Y$7*Q116</f>
        <v>526556.03844983841</v>
      </c>
      <c r="L116" s="72">
        <f>VLOOKUP($C116,难度推算表,副本难度推算!$P$3,FALSE)*副本难度推算!$Z$7*$R116+VLOOKUP($C116,难度推算表,副本难度推算!$H$3,FALSE)</f>
        <v>16136.510833814053</v>
      </c>
      <c r="M116" s="72">
        <f>VLOOKUP($C116,难度推算表,副本难度推算!$G$3,FALSE)-VLOOKUP($C116,难度推算表,副本难度推算!$I$3,FALSE)*(2-副本难度推算!$AA$7)*(2-$S116)</f>
        <v>5399.1503977525117</v>
      </c>
      <c r="N116" s="2">
        <f>VLOOKUP($C116,难度推算表,副本难度推算!$Q$3,FALSE)</f>
        <v>3835.2799999999997</v>
      </c>
      <c r="O116" s="2">
        <f>VLOOKUP($C116,难度推算表,副本难度推算!$R$3,FALSE)</f>
        <v>0</v>
      </c>
      <c r="Q116" s="140">
        <f t="shared" si="8"/>
        <v>0.64000000000000012</v>
      </c>
      <c r="R116" s="140">
        <f t="shared" si="9"/>
        <v>0.55999999999999994</v>
      </c>
      <c r="S116" s="140">
        <f t="shared" si="10"/>
        <v>0.64000000000000012</v>
      </c>
      <c r="V116" s="140"/>
      <c r="W116" s="140"/>
      <c r="X116" s="140"/>
    </row>
    <row r="117" spans="1:24">
      <c r="A117" s="2" t="str">
        <f t="shared" si="11"/>
        <v>百人斩</v>
      </c>
      <c r="B117" s="2" t="str">
        <f>怪物并表!$R$14</f>
        <v>英雄之路</v>
      </c>
      <c r="C117" s="2">
        <v>61</v>
      </c>
      <c r="D117" s="28">
        <f t="shared" si="7"/>
        <v>1902</v>
      </c>
      <c r="E117" s="72">
        <f>VLOOKUP($C117,难度推算表,副本难度推算!$M$3,FALSE)*副本难度推算!$Y$5*Q117</f>
        <v>225606.37598246057</v>
      </c>
      <c r="F117" s="72">
        <f>VLOOKUP($C117,难度推算表,副本难度推算!$P$3,FALSE)*副本难度推算!$Z$5*$R117+VLOOKUP($C117,难度推算表,副本难度推算!$H$3,FALSE)</f>
        <v>15573.124165670353</v>
      </c>
      <c r="G117" s="72">
        <f>VLOOKUP($C117,难度推算表,副本难度推算!$G$3,FALSE)-VLOOKUP($C117,难度推算表,副本难度推算!$I$3,FALSE)*(2-副本难度推算!$AA$5)*(2-$S117)</f>
        <v>3537.110175260872</v>
      </c>
      <c r="H117" s="72">
        <f>VLOOKUP($C117,难度推算表,副本难度推算!$M$3,FALSE)*副本难度推算!$Y$6*Q117</f>
        <v>180485.10078596845</v>
      </c>
      <c r="I117" s="72">
        <f>VLOOKUP($C117,难度推算表,副本难度推算!$P$3,FALSE)*副本难度推算!$Z$6*$R117+VLOOKUP($C117,难度推算表,副本难度推算!$H$3,FALSE)</f>
        <v>14658.922690059841</v>
      </c>
      <c r="J117" s="72">
        <f>VLOOKUP($C117,难度推算表,副本难度推算!$G$3,FALSE)-VLOOKUP($C117,难度推算表,副本难度推算!$I$3,FALSE)*(2-副本难度推算!$AA$6)*(2-$S117)</f>
        <v>1350.532976008697</v>
      </c>
      <c r="K117" s="72">
        <f>VLOOKUP($C117,难度推算表,副本难度推算!$M$3,FALSE)*副本难度推算!$Y$7*Q117</f>
        <v>564015.93995615141</v>
      </c>
      <c r="L117" s="72">
        <f>VLOOKUP($C117,难度推算表,副本难度推算!$P$3,FALSE)*副本难度推算!$Z$7*$R117+VLOOKUP($C117,难度推算表,副本难度推算!$H$3,FALSE)</f>
        <v>17401.527116891379</v>
      </c>
      <c r="M117" s="72">
        <f>VLOOKUP($C117,难度推算表,副本难度推算!$G$3,FALSE)-VLOOKUP($C117,难度推算表,副本难度推算!$I$3,FALSE)*(2-副本难度推算!$AA$7)*(2-$S117)</f>
        <v>5723.6873745130451</v>
      </c>
      <c r="N117" s="2">
        <f>VLOOKUP($C117,难度推算表,副本难度推算!$Q$3,FALSE)</f>
        <v>3893.5080000000003</v>
      </c>
      <c r="O117" s="2">
        <f>VLOOKUP($C117,难度推算表,副本难度推算!$R$3,FALSE)</f>
        <v>0</v>
      </c>
      <c r="Q117" s="140">
        <f t="shared" si="8"/>
        <v>0.64000000000000012</v>
      </c>
      <c r="R117" s="140">
        <f t="shared" si="9"/>
        <v>0.55999999999999994</v>
      </c>
      <c r="S117" s="140">
        <f t="shared" si="10"/>
        <v>0.64000000000000012</v>
      </c>
      <c r="V117" s="140"/>
      <c r="W117" s="140"/>
      <c r="X117" s="140"/>
    </row>
    <row r="118" spans="1:24">
      <c r="A118" s="2" t="str">
        <f t="shared" si="11"/>
        <v>百人斩</v>
      </c>
      <c r="B118" s="2" t="str">
        <f>怪物并表!$R$14</f>
        <v>英雄之路</v>
      </c>
      <c r="C118" s="2">
        <v>62</v>
      </c>
      <c r="D118" s="28">
        <f t="shared" si="7"/>
        <v>1902</v>
      </c>
      <c r="E118" s="72">
        <f>VLOOKUP($C118,难度推算表,副本难度推算!$M$3,FALSE)*副本难度推算!$Y$5*Q118</f>
        <v>241311.41758186222</v>
      </c>
      <c r="F118" s="72">
        <f>VLOOKUP($C118,难度推算表,副本难度推算!$P$3,FALSE)*副本难度推算!$Z$5*$R118+VLOOKUP($C118,难度推算表,副本难度推算!$H$3,FALSE)</f>
        <v>16753.383845290715</v>
      </c>
      <c r="G118" s="72">
        <f>VLOOKUP($C118,难度推算表,副本难度推算!$G$3,FALSE)-VLOOKUP($C118,难度推算表,副本难度推算!$I$3,FALSE)*(2-副本难度推算!$AA$5)*(2-$S118)</f>
        <v>3744.8389588334485</v>
      </c>
      <c r="H118" s="72">
        <f>VLOOKUP($C118,难度推算表,副本难度推算!$M$3,FALSE)*副本难度推算!$Y$6*Q118</f>
        <v>193049.13406548978</v>
      </c>
      <c r="I118" s="72">
        <f>VLOOKUP($C118,难度推算表,副本难度推算!$P$3,FALSE)*副本难度推算!$Z$6*$R118+VLOOKUP($C118,难度推算表,副本难度推算!$H$3,FALSE)</f>
        <v>15758.925271458633</v>
      </c>
      <c r="J118" s="72">
        <f>VLOOKUP($C118,难度推算表,副本难度推算!$G$3,FALSE)-VLOOKUP($C118,难度推算表,副本难度推算!$I$3,FALSE)*(2-副本难度推算!$AA$6)*(2-$S118)</f>
        <v>1429.8476024636821</v>
      </c>
      <c r="K118" s="72">
        <f>VLOOKUP($C118,难度推算表,副本难度推算!$M$3,FALSE)*副本难度推算!$Y$7*Q118</f>
        <v>603278.54395465553</v>
      </c>
      <c r="L118" s="72">
        <f>VLOOKUP($C118,难度推算表,副本难度推算!$P$3,FALSE)*副本难度推算!$Z$7*$R118+VLOOKUP($C118,难度推算表,副本难度推算!$H$3,FALSE)</f>
        <v>18742.300992954872</v>
      </c>
      <c r="M118" s="72">
        <f>VLOOKUP($C118,难度推算表,副本难度推算!$G$3,FALSE)-VLOOKUP($C118,难度推算表,副本难度推算!$I$3,FALSE)*(2-副本难度推算!$AA$7)*(2-$S118)</f>
        <v>6059.8303152032149</v>
      </c>
      <c r="N118" s="2">
        <f>VLOOKUP($C118,难度推算表,副本难度推算!$Q$3,FALSE)</f>
        <v>3951.7360000000003</v>
      </c>
      <c r="O118" s="2">
        <f>VLOOKUP($C118,难度推算表,副本难度推算!$R$3,FALSE)</f>
        <v>0</v>
      </c>
      <c r="Q118" s="140">
        <f t="shared" si="8"/>
        <v>0.64000000000000012</v>
      </c>
      <c r="R118" s="140">
        <f t="shared" si="9"/>
        <v>0.55999999999999994</v>
      </c>
      <c r="S118" s="140">
        <f t="shared" si="10"/>
        <v>0.64000000000000012</v>
      </c>
      <c r="V118" s="140"/>
      <c r="W118" s="140"/>
      <c r="X118" s="140"/>
    </row>
    <row r="119" spans="1:24">
      <c r="A119" s="2" t="str">
        <f t="shared" si="11"/>
        <v>百人斩</v>
      </c>
      <c r="B119" s="2" t="str">
        <f>怪物并表!$R$14</f>
        <v>英雄之路</v>
      </c>
      <c r="C119" s="2">
        <v>63</v>
      </c>
      <c r="D119" s="28">
        <f t="shared" si="7"/>
        <v>1902</v>
      </c>
      <c r="E119" s="72">
        <f>VLOOKUP($C119,难度推算表,副本难度推算!$M$3,FALSE)*副本难度推算!$Y$5*Q119</f>
        <v>257758.17706534074</v>
      </c>
      <c r="F119" s="72">
        <f>VLOOKUP($C119,难度推算表,副本难度推算!$P$3,FALSE)*副本难度推算!$Z$5*$R119+VLOOKUP($C119,难度推算表,副本难度推算!$H$3,FALSE)</f>
        <v>18002.017000075168</v>
      </c>
      <c r="G119" s="72">
        <f>VLOOKUP($C119,难度推算表,副本难度推算!$G$3,FALSE)-VLOOKUP($C119,难度推算表,副本难度推算!$I$3,FALSE)*(2-副本难度推算!$AA$5)*(2-$S119)</f>
        <v>3959.8499259110376</v>
      </c>
      <c r="H119" s="72">
        <f>VLOOKUP($C119,难度推算表,副本难度推算!$M$3,FALSE)*副本难度推算!$Y$6*Q119</f>
        <v>206206.5416522726</v>
      </c>
      <c r="I119" s="72">
        <f>VLOOKUP($C119,难度推算表,副本难度推算!$P$3,FALSE)*副本难度推算!$Z$6*$R119+VLOOKUP($C119,难度推算表,副本难度推算!$H$3,FALSE)</f>
        <v>16921.78801386966</v>
      </c>
      <c r="J119" s="72">
        <f>VLOOKUP($C119,难度推算表,副本难度推算!$G$3,FALSE)-VLOOKUP($C119,难度推算表,副本难度推算!$I$3,FALSE)*(2-副本难度推算!$AA$6)*(2-$S119)</f>
        <v>1511.9426989842159</v>
      </c>
      <c r="K119" s="72">
        <f>VLOOKUP($C119,难度推算表,副本难度推算!$M$3,FALSE)*副本难度推算!$Y$7*Q119</f>
        <v>644395.44266335189</v>
      </c>
      <c r="L119" s="72">
        <f>VLOOKUP($C119,难度推算表,副本难度推算!$P$3,FALSE)*副本难度推算!$Z$7*$R119+VLOOKUP($C119,难度推算表,副本难度推算!$H$3,FALSE)</f>
        <v>20162.47497248619</v>
      </c>
      <c r="M119" s="72">
        <f>VLOOKUP($C119,难度推算表,副本难度推算!$G$3,FALSE)-VLOOKUP($C119,难度推算表,副本难度推算!$I$3,FALSE)*(2-副本难度推算!$AA$7)*(2-$S119)</f>
        <v>6407.7571528378612</v>
      </c>
      <c r="N119" s="2">
        <f>VLOOKUP($C119,难度推算表,副本难度推算!$Q$3,FALSE)</f>
        <v>4009.9639999999999</v>
      </c>
      <c r="O119" s="2">
        <f>VLOOKUP($C119,难度推算表,副本难度推算!$R$3,FALSE)</f>
        <v>0</v>
      </c>
      <c r="Q119" s="140">
        <f t="shared" si="8"/>
        <v>0.64000000000000012</v>
      </c>
      <c r="R119" s="140">
        <f t="shared" si="9"/>
        <v>0.55999999999999994</v>
      </c>
      <c r="S119" s="140">
        <f t="shared" si="10"/>
        <v>0.64000000000000012</v>
      </c>
      <c r="V119" s="140"/>
      <c r="W119" s="140"/>
      <c r="X119" s="140"/>
    </row>
    <row r="120" spans="1:24">
      <c r="A120" s="2" t="str">
        <f t="shared" si="11"/>
        <v>百人斩</v>
      </c>
      <c r="B120" s="2" t="str">
        <f>怪物并表!$R$14</f>
        <v>英雄之路</v>
      </c>
      <c r="C120" s="2">
        <v>64</v>
      </c>
      <c r="D120" s="28">
        <f t="shared" si="7"/>
        <v>1902</v>
      </c>
      <c r="E120" s="72">
        <f>VLOOKUP($C120,难度推算表,副本难度推算!$M$3,FALSE)*副本难度推算!$Y$5*Q120</f>
        <v>274967.55017159414</v>
      </c>
      <c r="F120" s="72">
        <f>VLOOKUP($C120,难度推算表,副本难度推算!$P$3,FALSE)*副本难度推算!$Z$5*$R120+VLOOKUP($C120,难度推算表,副本难度推算!$H$3,FALSE)</f>
        <v>19322.227321573257</v>
      </c>
      <c r="G120" s="72">
        <f>VLOOKUP($C120,难度推算表,副本难度推算!$G$3,FALSE)-VLOOKUP($C120,难度推算表,副本难度推算!$I$3,FALSE)*(2-副本难度推算!$AA$5)*(2-$S120)</f>
        <v>4182.2530350983343</v>
      </c>
      <c r="H120" s="72">
        <f>VLOOKUP($C120,难度推算表,副本难度推算!$M$3,FALSE)*副本难度推算!$Y$6*Q120</f>
        <v>219974.04013727533</v>
      </c>
      <c r="I120" s="72">
        <f>VLOOKUP($C120,难度推算表,副本难度推算!$P$3,FALSE)*副本难度推算!$Z$6*$R120+VLOOKUP($C120,难度推算表,副本难度推算!$H$3,FALSE)</f>
        <v>18150.414232161078</v>
      </c>
      <c r="J120" s="72">
        <f>VLOOKUP($C120,难度推算表,副本难度推算!$G$3,FALSE)-VLOOKUP($C120,难度推算表,副本难度推算!$I$3,FALSE)*(2-副本难度推算!$AA$6)*(2-$S120)</f>
        <v>1596.8602497648226</v>
      </c>
      <c r="K120" s="72">
        <f>VLOOKUP($C120,难度推算表,副本难度推算!$M$3,FALSE)*副本难度推算!$Y$7*Q120</f>
        <v>687418.87542898534</v>
      </c>
      <c r="L120" s="72">
        <f>VLOOKUP($C120,难度推算表,副本难度推算!$P$3,FALSE)*副本难度推算!$Z$7*$R120+VLOOKUP($C120,难度推算表,副本难度推算!$H$3,FALSE)</f>
        <v>21665.853500397603</v>
      </c>
      <c r="M120" s="72">
        <f>VLOOKUP($C120,难度推算表,副本难度推算!$G$3,FALSE)-VLOOKUP($C120,难度推算表,副本难度推算!$I$3,FALSE)*(2-副本难度推算!$AA$7)*(2-$S120)</f>
        <v>6767.6458204318442</v>
      </c>
      <c r="N120" s="2">
        <f>VLOOKUP($C120,难度推算表,副本难度推算!$Q$3,FALSE)</f>
        <v>4068.192</v>
      </c>
      <c r="O120" s="2">
        <f>VLOOKUP($C120,难度推算表,副本难度推算!$R$3,FALSE)</f>
        <v>0</v>
      </c>
      <c r="Q120" s="140">
        <f t="shared" si="8"/>
        <v>0.64000000000000012</v>
      </c>
      <c r="R120" s="140">
        <f t="shared" si="9"/>
        <v>0.55999999999999994</v>
      </c>
      <c r="S120" s="140">
        <f t="shared" si="10"/>
        <v>0.64000000000000012</v>
      </c>
      <c r="V120" s="140"/>
      <c r="W120" s="140"/>
      <c r="X120" s="140"/>
    </row>
    <row r="121" spans="1:24">
      <c r="A121" s="2" t="str">
        <f t="shared" si="11"/>
        <v>百人斩</v>
      </c>
      <c r="B121" s="2" t="str">
        <f>怪物并表!$R$14</f>
        <v>英雄之路</v>
      </c>
      <c r="C121" s="2">
        <v>65</v>
      </c>
      <c r="D121" s="28">
        <f t="shared" si="7"/>
        <v>1902</v>
      </c>
      <c r="E121" s="72">
        <f>VLOOKUP($C121,难度推算表,副本难度推算!$M$3,FALSE)*副本难度推算!$Y$5*Q121</f>
        <v>292960.69139083836</v>
      </c>
      <c r="F121" s="72">
        <f>VLOOKUP($C121,难度推算表,副本难度推算!$P$3,FALSE)*副本难度推算!$Z$5*$R121+VLOOKUP($C121,难度推算表,副本难度推算!$H$3,FALSE)</f>
        <v>20717.360083350326</v>
      </c>
      <c r="G121" s="72">
        <f>VLOOKUP($C121,难度推算表,副本难度推算!$G$3,FALSE)-VLOOKUP($C121,难度推算表,副本难度推算!$I$3,FALSE)*(2-副本难度推算!$AA$5)*(2-$S121)</f>
        <v>4412.1582450000042</v>
      </c>
      <c r="H121" s="72">
        <f>VLOOKUP($C121,难度推算表,副本难度推算!$M$3,FALSE)*副本难度推算!$Y$6*Q121</f>
        <v>234368.55311267072</v>
      </c>
      <c r="I121" s="72">
        <f>VLOOKUP($C121,难度推算表,副本难度推算!$P$3,FALSE)*副本难度推算!$Z$6*$R121+VLOOKUP($C121,难度推算表,副本难度推算!$H$3,FALSE)</f>
        <v>19447.834665015293</v>
      </c>
      <c r="J121" s="72">
        <f>VLOOKUP($C121,难度推算表,副本难度推算!$G$3,FALSE)-VLOOKUP($C121,难度推算表,副本难度推算!$I$3,FALSE)*(2-副本难度推算!$AA$6)*(2-$S121)</f>
        <v>1684.6422390000062</v>
      </c>
      <c r="K121" s="72">
        <f>VLOOKUP($C121,难度推算表,副本难度推算!$M$3,FALSE)*副本难度推算!$Y$7*Q121</f>
        <v>732401.72847709595</v>
      </c>
      <c r="L121" s="72">
        <f>VLOOKUP($C121,难度推算表,副本难度推算!$P$3,FALSE)*副本难度推算!$Z$7*$R121+VLOOKUP($C121,难度推算表,副本难度推算!$H$3,FALSE)</f>
        <v>23256.410920020389</v>
      </c>
      <c r="M121" s="72">
        <f>VLOOKUP($C121,难度推算表,副本难度推算!$G$3,FALSE)-VLOOKUP($C121,难度推算表,副本难度推算!$I$3,FALSE)*(2-副本难度推算!$AA$7)*(2-$S121)</f>
        <v>7139.6742510000022</v>
      </c>
      <c r="N121" s="2">
        <f>VLOOKUP($C121,难度推算表,副本难度推算!$Q$3,FALSE)</f>
        <v>4126.42</v>
      </c>
      <c r="O121" s="2">
        <f>VLOOKUP($C121,难度推算表,副本难度推算!$R$3,FALSE)</f>
        <v>0</v>
      </c>
      <c r="Q121" s="140">
        <f t="shared" si="8"/>
        <v>0.64000000000000012</v>
      </c>
      <c r="R121" s="140">
        <f t="shared" si="9"/>
        <v>0.55999999999999994</v>
      </c>
      <c r="S121" s="140">
        <f t="shared" si="10"/>
        <v>0.64000000000000012</v>
      </c>
      <c r="V121" s="140"/>
      <c r="W121" s="140"/>
      <c r="X121" s="140"/>
    </row>
    <row r="122" spans="1:24">
      <c r="A122" s="2" t="str">
        <f t="shared" si="11"/>
        <v>百人斩</v>
      </c>
      <c r="B122" s="2" t="str">
        <f>怪物并表!$R$14</f>
        <v>英雄之路</v>
      </c>
      <c r="C122" s="2">
        <v>66</v>
      </c>
      <c r="D122" s="28">
        <f t="shared" si="7"/>
        <v>1902</v>
      </c>
      <c r="E122" s="72">
        <f>VLOOKUP($C122,难度推算表,副本难度推算!$M$3,FALSE)*副本难度推算!$Y$5*Q122</f>
        <v>311759.01386458095</v>
      </c>
      <c r="F122" s="72">
        <f>VLOOKUP($C122,难度推算表,副本难度推算!$P$3,FALSE)*副本难度推算!$Z$5*$R122+VLOOKUP($C122,难度推算表,副本难度推算!$H$3,FALSE)</f>
        <v>22190.90917320695</v>
      </c>
      <c r="G122" s="72">
        <f>VLOOKUP($C122,难度推算表,副本难度推算!$G$3,FALSE)-VLOOKUP($C122,难度推算表,副本难度推算!$I$3,FALSE)*(2-副本难度推算!$AA$5)*(2-$S122)</f>
        <v>4649.6755142207421</v>
      </c>
      <c r="H122" s="72">
        <f>VLOOKUP($C122,难度推算表,副本难度推算!$M$3,FALSE)*副本难度推算!$Y$6*Q122</f>
        <v>249407.21109166479</v>
      </c>
      <c r="I122" s="72">
        <f>VLOOKUP($C122,难度推算表,副本难度推算!$P$3,FALSE)*副本难度推算!$Z$6*$R122+VLOOKUP($C122,难度推算表,副本难度推算!$H$3,FALSE)</f>
        <v>20817.213803926388</v>
      </c>
      <c r="J122" s="72">
        <f>VLOOKUP($C122,难度推算表,副本难度推算!$G$3,FALSE)-VLOOKUP($C122,难度推算表,副本难度推算!$I$3,FALSE)*(2-副本难度推算!$AA$6)*(2-$S122)</f>
        <v>1775.330650884287</v>
      </c>
      <c r="K122" s="72">
        <f>VLOOKUP($C122,难度推算表,副本难度推算!$M$3,FALSE)*副本难度推算!$Y$7*Q122</f>
        <v>779397.53466145229</v>
      </c>
      <c r="L122" s="72">
        <f>VLOOKUP($C122,难度推算表,副本难度推算!$P$3,FALSE)*副本难度推算!$Z$7*$R122+VLOOKUP($C122,难度推算表,副本难度推算!$H$3,FALSE)</f>
        <v>24938.299911768074</v>
      </c>
      <c r="M122" s="72">
        <f>VLOOKUP($C122,难度推算表,副本难度推算!$G$3,FALSE)-VLOOKUP($C122,难度推算表,副本难度推算!$I$3,FALSE)*(2-副本难度推算!$AA$7)*(2-$S122)</f>
        <v>7524.0203775571972</v>
      </c>
      <c r="N122" s="2">
        <f>VLOOKUP($C122,难度推算表,副本难度推算!$Q$3,FALSE)</f>
        <v>4184.6480000000001</v>
      </c>
      <c r="O122" s="2">
        <f>VLOOKUP($C122,难度推算表,副本难度推算!$R$3,FALSE)</f>
        <v>0</v>
      </c>
      <c r="Q122" s="140">
        <f t="shared" si="8"/>
        <v>0.64000000000000012</v>
      </c>
      <c r="R122" s="140">
        <f t="shared" si="9"/>
        <v>0.55999999999999994</v>
      </c>
      <c r="S122" s="140">
        <f t="shared" si="10"/>
        <v>0.64000000000000012</v>
      </c>
      <c r="V122" s="140"/>
      <c r="W122" s="140"/>
      <c r="X122" s="140"/>
    </row>
    <row r="123" spans="1:24">
      <c r="A123" s="2" t="str">
        <f t="shared" si="11"/>
        <v>百人斩</v>
      </c>
      <c r="B123" s="2" t="str">
        <f>怪物并表!$R$14</f>
        <v>英雄之路</v>
      </c>
      <c r="C123" s="2">
        <v>67</v>
      </c>
      <c r="D123" s="28">
        <f t="shared" si="7"/>
        <v>1902</v>
      </c>
      <c r="E123" s="72">
        <f>VLOOKUP($C123,难度推算表,副本难度推算!$M$3,FALSE)*副本难度推算!$Y$5*Q123</f>
        <v>331384.1892853381</v>
      </c>
      <c r="F123" s="72">
        <f>VLOOKUP($C123,难度推算表,副本难度推算!$P$3,FALSE)*副本难度推算!$Z$5*$R123+VLOOKUP($C123,难度推算表,副本难度推算!$H$3,FALSE)</f>
        <v>23563.232209787515</v>
      </c>
      <c r="G123" s="72">
        <f>VLOOKUP($C123,难度推算表,副本难度推算!$G$3,FALSE)-VLOOKUP($C123,难度推算表,副本难度推算!$I$3,FALSE)*(2-副本难度推算!$AA$5)*(2-$S123)</f>
        <v>4894.9148013652211</v>
      </c>
      <c r="H123" s="72">
        <f>VLOOKUP($C123,难度推算表,副本难度推算!$M$3,FALSE)*副本难度推算!$Y$6*Q123</f>
        <v>265107.35142827051</v>
      </c>
      <c r="I123" s="72">
        <f>VLOOKUP($C123,难度推算表,副本难度推算!$P$3,FALSE)*副本难度推算!$Z$6*$R123+VLOOKUP($C123,难度推算表,副本难度推算!$H$3,FALSE)</f>
        <v>22096.893498147896</v>
      </c>
      <c r="J123" s="72">
        <f>VLOOKUP($C123,难度推算表,副本难度推算!$G$3,FALSE)-VLOOKUP($C123,难度推算表,副本难度推算!$I$3,FALSE)*(2-副本难度推算!$AA$6)*(2-$S123)</f>
        <v>1868.9674696121729</v>
      </c>
      <c r="K123" s="72">
        <f>VLOOKUP($C123,难度推算表,副本难度推算!$M$3,FALSE)*副本难度推算!$Y$7*Q123</f>
        <v>828460.47321334528</v>
      </c>
      <c r="L123" s="72">
        <f>VLOOKUP($C123,难度推算表,副本难度推算!$P$3,FALSE)*副本难度推算!$Z$7*$R123+VLOOKUP($C123,难度推算表,副本难度推算!$H$3,FALSE)</f>
        <v>26495.909633066753</v>
      </c>
      <c r="M123" s="72">
        <f>VLOOKUP($C123,难度推算表,副本难度推算!$G$3,FALSE)-VLOOKUP($C123,难度推算表,副本难度推算!$I$3,FALSE)*(2-副本难度推算!$AA$7)*(2-$S123)</f>
        <v>7920.8621331182658</v>
      </c>
      <c r="N123" s="2">
        <f>VLOOKUP($C123,难度推算表,副本难度推算!$Q$3,FALSE)</f>
        <v>4242.8759999999993</v>
      </c>
      <c r="O123" s="2">
        <f>VLOOKUP($C123,难度推算表,副本难度推算!$R$3,FALSE)</f>
        <v>0</v>
      </c>
      <c r="Q123" s="140">
        <f t="shared" si="8"/>
        <v>0.64000000000000012</v>
      </c>
      <c r="R123" s="140">
        <f t="shared" si="9"/>
        <v>0.55999999999999994</v>
      </c>
      <c r="S123" s="140">
        <f t="shared" si="10"/>
        <v>0.64000000000000012</v>
      </c>
      <c r="V123" s="140"/>
      <c r="W123" s="140"/>
      <c r="X123" s="140"/>
    </row>
    <row r="124" spans="1:24">
      <c r="A124" s="2" t="str">
        <f t="shared" si="11"/>
        <v>百人斩</v>
      </c>
      <c r="B124" s="2" t="str">
        <f>怪物并表!$R$14</f>
        <v>英雄之路</v>
      </c>
      <c r="C124" s="2">
        <v>68</v>
      </c>
      <c r="D124" s="28">
        <f t="shared" si="7"/>
        <v>1902</v>
      </c>
      <c r="E124" s="72">
        <f>VLOOKUP($C124,难度推算表,副本难度推算!$M$3,FALSE)*副本难度推算!$Y$5*Q124</f>
        <v>351858.14779646345</v>
      </c>
      <c r="F124" s="72">
        <f>VLOOKUP($C124,难度推算表,副本难度推算!$P$3,FALSE)*副本难度推算!$Z$5*$R124+VLOOKUP($C124,难度推算表,副本难度推算!$H$3,FALSE)</f>
        <v>24997.092207697755</v>
      </c>
      <c r="G124" s="72">
        <f>VLOOKUP($C124,难度推算表,副本难度推算!$G$3,FALSE)-VLOOKUP($C124,难度推算表,副本难度推算!$I$3,FALSE)*(2-副本难度推算!$AA$5)*(2-$S124)</f>
        <v>5147.9860650381324</v>
      </c>
      <c r="H124" s="72">
        <f>VLOOKUP($C124,难度推算表,副本难度推算!$M$3,FALSE)*副本难度推算!$Y$6*Q124</f>
        <v>281486.51823717076</v>
      </c>
      <c r="I124" s="72">
        <f>VLOOKUP($C124,难度推算表,副本难度推算!$P$3,FALSE)*副本难度推算!$Z$6*$R124+VLOOKUP($C124,难度推算表,副本难度推算!$H$3,FALSE)</f>
        <v>23433.380453298549</v>
      </c>
      <c r="J124" s="72">
        <f>VLOOKUP($C124,难度推算表,副本难度推算!$G$3,FALSE)-VLOOKUP($C124,难度推算表,副本难度推算!$I$3,FALSE)*(2-副本难度推算!$AA$6)*(2-$S124)</f>
        <v>1965.594679378195</v>
      </c>
      <c r="K124" s="72">
        <f>VLOOKUP($C124,难度推算表,副本难度推算!$M$3,FALSE)*副本难度推算!$Y$7*Q124</f>
        <v>879645.36949115864</v>
      </c>
      <c r="L124" s="72">
        <f>VLOOKUP($C124,难度推算表,副本难度推算!$P$3,FALSE)*副本难度推算!$Z$7*$R124+VLOOKUP($C124,难度推算表,副本难度推算!$H$3,FALSE)</f>
        <v>28124.515716496164</v>
      </c>
      <c r="M124" s="72">
        <f>VLOOKUP($C124,难度推算表,副本难度推算!$G$3,FALSE)-VLOOKUP($C124,难度推算表,副本难度推算!$I$3,FALSE)*(2-副本难度推算!$AA$7)*(2-$S124)</f>
        <v>8330.3774506980699</v>
      </c>
      <c r="N124" s="2">
        <f>VLOOKUP($C124,难度推算表,副本难度推算!$Q$3,FALSE)</f>
        <v>4301.1040000000003</v>
      </c>
      <c r="O124" s="2">
        <f>VLOOKUP($C124,难度推算表,副本难度推算!$R$3,FALSE)</f>
        <v>0</v>
      </c>
      <c r="Q124" s="140">
        <f t="shared" si="8"/>
        <v>0.64000000000000012</v>
      </c>
      <c r="R124" s="140">
        <f t="shared" si="9"/>
        <v>0.55999999999999994</v>
      </c>
      <c r="S124" s="140">
        <f t="shared" si="10"/>
        <v>0.64000000000000012</v>
      </c>
      <c r="V124" s="140"/>
      <c r="W124" s="140"/>
      <c r="X124" s="140"/>
    </row>
    <row r="125" spans="1:24">
      <c r="A125" s="2" t="str">
        <f t="shared" si="11"/>
        <v>百人斩</v>
      </c>
      <c r="B125" s="2" t="str">
        <f>怪物并表!$R$14</f>
        <v>英雄之路</v>
      </c>
      <c r="C125" s="2">
        <v>69</v>
      </c>
      <c r="D125" s="28">
        <f t="shared" si="7"/>
        <v>1902</v>
      </c>
      <c r="E125" s="72">
        <f>VLOOKUP($C125,难度推算表,副本难度推算!$M$3,FALSE)*副本难度推算!$Y$5*Q125</f>
        <v>373203.07789222931</v>
      </c>
      <c r="F125" s="72">
        <f>VLOOKUP($C125,难度推算表,副本难度推算!$P$3,FALSE)*副本难度推算!$Z$5*$R125+VLOOKUP($C125,难度推算表,副本难度推算!$H$3,FALSE)</f>
        <v>26494.629089275499</v>
      </c>
      <c r="G125" s="72">
        <f>VLOOKUP($C125,难度推算表,副本难度推算!$G$3,FALSE)-VLOOKUP($C125,难度推算表,副本难度推算!$I$3,FALSE)*(2-副本难度推算!$AA$5)*(2-$S125)</f>
        <v>5408.9992638441545</v>
      </c>
      <c r="H125" s="72">
        <f>VLOOKUP($C125,难度推算表,副本难度推算!$M$3,FALSE)*副本难度推算!$Y$6*Q125</f>
        <v>298562.46231378347</v>
      </c>
      <c r="I125" s="72">
        <f>VLOOKUP($C125,难度推算表,副本难度推算!$P$3,FALSE)*副本难度推算!$Z$6*$R125+VLOOKUP($C125,难度推算表,副本难度推算!$H$3,FALSE)</f>
        <v>24828.620591955976</v>
      </c>
      <c r="J125" s="72">
        <f>VLOOKUP($C125,难度推算表,副本难度推算!$G$3,FALSE)-VLOOKUP($C125,难度推算表,副本难度推算!$I$3,FALSE)*(2-副本难度推算!$AA$6)*(2-$S125)</f>
        <v>2065.2542643768611</v>
      </c>
      <c r="K125" s="72">
        <f>VLOOKUP($C125,难度推算表,副本难度推算!$M$3,FALSE)*副本难度推算!$Y$7*Q125</f>
        <v>933007.69473057333</v>
      </c>
      <c r="L125" s="72">
        <f>VLOOKUP($C125,难度推算表,副本难度推算!$P$3,FALSE)*副本难度推算!$Z$7*$R125+VLOOKUP($C125,难度推算表,副本难度推算!$H$3,FALSE)</f>
        <v>29826.64608391454</v>
      </c>
      <c r="M125" s="72">
        <f>VLOOKUP($C125,难度推算表,副本难度推算!$G$3,FALSE)-VLOOKUP($C125,难度推算表,副本难度推算!$I$3,FALSE)*(2-副本难度推算!$AA$7)*(2-$S125)</f>
        <v>8752.744263311446</v>
      </c>
      <c r="N125" s="2">
        <f>VLOOKUP($C125,难度推算表,副本难度推算!$Q$3,FALSE)</f>
        <v>4359.3320000000003</v>
      </c>
      <c r="O125" s="2">
        <f>VLOOKUP($C125,难度推算表,副本难度推算!$R$3,FALSE)</f>
        <v>0</v>
      </c>
      <c r="Q125" s="140">
        <f t="shared" si="8"/>
        <v>0.64000000000000012</v>
      </c>
      <c r="R125" s="140">
        <f t="shared" si="9"/>
        <v>0.55999999999999994</v>
      </c>
      <c r="S125" s="140">
        <f t="shared" si="10"/>
        <v>0.64000000000000012</v>
      </c>
      <c r="V125" s="140"/>
      <c r="W125" s="140"/>
      <c r="X125" s="140"/>
    </row>
    <row r="126" spans="1:24">
      <c r="A126" s="2" t="str">
        <f t="shared" si="11"/>
        <v>百人斩</v>
      </c>
      <c r="B126" s="2" t="str">
        <f>怪物并表!$R$14</f>
        <v>英雄之路</v>
      </c>
      <c r="C126" s="2">
        <v>70</v>
      </c>
      <c r="D126" s="28">
        <f t="shared" si="7"/>
        <v>1902</v>
      </c>
      <c r="E126" s="72">
        <f>VLOOKUP($C126,难度推算表,副本难度推算!$M$3,FALSE)*副本难度推算!$Y$5*Q126</f>
        <v>396939.31050888571</v>
      </c>
      <c r="F126" s="72">
        <f>VLOOKUP($C126,难度推算表,副本难度推算!$P$3,FALSE)*副本难度推算!$Z$5*$R126+VLOOKUP($C126,难度推算表,副本难度推算!$H$3,FALSE)</f>
        <v>28164.343594487393</v>
      </c>
      <c r="G126" s="72">
        <f>VLOOKUP($C126,难度推算表,副本难度推算!$G$3,FALSE)-VLOOKUP($C126,难度推算表,副本难度推算!$I$3,FALSE)*(2-副本难度推算!$AA$5)*(2-$S126)</f>
        <v>5699.5721759197404</v>
      </c>
      <c r="H126" s="72">
        <f>VLOOKUP($C126,难度推算表,副本难度推算!$M$3,FALSE)*副本难度推算!$Y$6*Q126</f>
        <v>317551.44840710855</v>
      </c>
      <c r="I126" s="72">
        <f>VLOOKUP($C126,难度推算表,副本难度推算!$P$3,FALSE)*副本难度推算!$Z$6*$R126+VLOOKUP($C126,难度推算表,副本难度推算!$H$3,FALSE)</f>
        <v>26384.19508520588</v>
      </c>
      <c r="J126" s="72">
        <f>VLOOKUP($C126,难度推算表,副本难度推算!$G$3,FALSE)-VLOOKUP($C126,难度推算表,副本难度推算!$I$3,FALSE)*(2-副本难度推算!$AA$6)*(2-$S126)</f>
        <v>2176.2002853511731</v>
      </c>
      <c r="K126" s="72">
        <f>VLOOKUP($C126,难度推算表,副本难度推算!$M$3,FALSE)*副本难度推算!$Y$7*Q126</f>
        <v>992348.27627221425</v>
      </c>
      <c r="L126" s="72">
        <f>VLOOKUP($C126,难度推算表,副本难度推算!$P$3,FALSE)*副本难度推算!$Z$7*$R126+VLOOKUP($C126,难度推算表,副本难度推算!$H$3,FALSE)</f>
        <v>31724.640613050422</v>
      </c>
      <c r="M126" s="72">
        <f>VLOOKUP($C126,难度推算表,副本难度推算!$G$3,FALSE)-VLOOKUP($C126,难度推算表,副本难度推算!$I$3,FALSE)*(2-副本难度推算!$AA$7)*(2-$S126)</f>
        <v>9222.9440664883041</v>
      </c>
      <c r="N126" s="2">
        <f>VLOOKUP($C126,难度推算表,副本难度推算!$Q$3,FALSE)</f>
        <v>4417.5600000000004</v>
      </c>
      <c r="O126" s="2">
        <f>VLOOKUP($C126,难度推算表,副本难度推算!$R$3,FALSE)</f>
        <v>0</v>
      </c>
      <c r="Q126" s="140">
        <f t="shared" si="8"/>
        <v>0.64000000000000012</v>
      </c>
      <c r="R126" s="140">
        <f t="shared" si="9"/>
        <v>0.55999999999999994</v>
      </c>
      <c r="S126" s="140">
        <f t="shared" si="10"/>
        <v>0.64000000000000012</v>
      </c>
      <c r="V126" s="140"/>
      <c r="W126" s="140"/>
      <c r="X126" s="140"/>
    </row>
    <row r="127" spans="1:24">
      <c r="A127" s="2" t="str">
        <f t="shared" si="11"/>
        <v>百人斩</v>
      </c>
      <c r="B127" s="2" t="str">
        <f>怪物并表!$R$14</f>
        <v>英雄之路</v>
      </c>
      <c r="C127" s="2">
        <v>71</v>
      </c>
      <c r="D127" s="28">
        <f t="shared" si="7"/>
        <v>1902</v>
      </c>
      <c r="E127" s="72">
        <f>VLOOKUP($C127,难度推算表,副本难度推算!$M$3,FALSE)*副本难度推算!$Y$5*Q127</f>
        <v>421696.6083279617</v>
      </c>
      <c r="F127" s="72">
        <f>VLOOKUP($C127,难度推算表,副本难度推算!$P$3,FALSE)*副本难度推算!$Z$5*$R127+VLOOKUP($C127,难度推算表,副本难度推算!$H$3,FALSE)</f>
        <v>29909.622461768191</v>
      </c>
      <c r="G127" s="72">
        <f>VLOOKUP($C127,难度推算表,副本难度推算!$G$3,FALSE)-VLOOKUP($C127,难度推算表,副本难度推算!$I$3,FALSE)*(2-副本难度推算!$AA$5)*(2-$S127)</f>
        <v>5999.4045701725809</v>
      </c>
      <c r="H127" s="72">
        <f>VLOOKUP($C127,难度推算表,副本难度推算!$M$3,FALSE)*副本难度推算!$Y$6*Q127</f>
        <v>337357.28666236938</v>
      </c>
      <c r="I127" s="72">
        <f>VLOOKUP($C127,难度推算表,副本难度推算!$P$3,FALSE)*副本难度推算!$Z$6*$R127+VLOOKUP($C127,难度推算表,副本难度推算!$H$3,FALSE)</f>
        <v>28009.461046531844</v>
      </c>
      <c r="J127" s="72">
        <f>VLOOKUP($C127,难度推算表,副本难度推算!$G$3,FALSE)-VLOOKUP($C127,难度推算表,副本难度推算!$I$3,FALSE)*(2-副本难度推算!$AA$6)*(2-$S127)</f>
        <v>2290.6817449749869</v>
      </c>
      <c r="K127" s="72">
        <f>VLOOKUP($C127,难度推算表,副本难度推算!$M$3,FALSE)*副本难度推算!$Y$7*Q127</f>
        <v>1054241.5208199043</v>
      </c>
      <c r="L127" s="72">
        <f>VLOOKUP($C127,难度推算表,副本难度推算!$P$3,FALSE)*副本难度推算!$Z$7*$R127+VLOOKUP($C127,难度推算表,副本难度推算!$H$3,FALSE)</f>
        <v>33709.945292240889</v>
      </c>
      <c r="M127" s="72">
        <f>VLOOKUP($C127,难度推算表,副本难度推算!$G$3,FALSE)-VLOOKUP($C127,难度推算表,副本难度推算!$I$3,FALSE)*(2-副本难度推算!$AA$7)*(2-$S127)</f>
        <v>9708.1273953701748</v>
      </c>
      <c r="N127" s="2">
        <f>VLOOKUP($C127,难度推算表,副本难度推算!$Q$3,FALSE)</f>
        <v>4475.7879999999996</v>
      </c>
      <c r="O127" s="2">
        <f>VLOOKUP($C127,难度推算表,副本难度推算!$R$3,FALSE)</f>
        <v>0</v>
      </c>
      <c r="Q127" s="140">
        <f t="shared" si="8"/>
        <v>0.64000000000000012</v>
      </c>
      <c r="R127" s="140">
        <f t="shared" si="9"/>
        <v>0.55999999999999994</v>
      </c>
      <c r="S127" s="140">
        <f t="shared" si="10"/>
        <v>0.64000000000000012</v>
      </c>
      <c r="V127" s="140"/>
      <c r="W127" s="140"/>
      <c r="X127" s="140"/>
    </row>
    <row r="128" spans="1:24">
      <c r="A128" s="2" t="str">
        <f t="shared" si="11"/>
        <v>百人斩</v>
      </c>
      <c r="B128" s="2" t="str">
        <f>怪物并表!$R$14</f>
        <v>英雄之路</v>
      </c>
      <c r="C128" s="2">
        <v>72</v>
      </c>
      <c r="D128" s="28">
        <f t="shared" si="7"/>
        <v>1902</v>
      </c>
      <c r="E128" s="72">
        <f>VLOOKUP($C128,难度推算表,副本难度推算!$M$3,FALSE)*副本难度推算!$Y$5*Q128</f>
        <v>447501.29771797406</v>
      </c>
      <c r="F128" s="72">
        <f>VLOOKUP($C128,难度推算表,副本难度推算!$P$3,FALSE)*副本难度推算!$Z$5*$R128+VLOOKUP($C128,难度推算表,副本难度推算!$H$3,FALSE)</f>
        <v>31733.146463981931</v>
      </c>
      <c r="G128" s="72">
        <f>VLOOKUP($C128,难度推算表,副本难度推算!$G$3,FALSE)-VLOOKUP($C128,难度推算表,副本难度推算!$I$3,FALSE)*(2-副本难度推算!$AA$5)*(2-$S128)</f>
        <v>6308.6247316414774</v>
      </c>
      <c r="H128" s="72">
        <f>VLOOKUP($C128,难度推算表,副本难度推算!$M$3,FALSE)*副本难度推算!$Y$6*Q128</f>
        <v>358001.03817437927</v>
      </c>
      <c r="I128" s="72">
        <f>VLOOKUP($C128,难度推算表,副本难度推算!$P$3,FALSE)*副本难度推算!$Z$6*$R128+VLOOKUP($C128,难度推算表,副本难度推算!$H$3,FALSE)</f>
        <v>29706.854496064007</v>
      </c>
      <c r="J128" s="72">
        <f>VLOOKUP($C128,难度推算表,副本难度推算!$G$3,FALSE)-VLOOKUP($C128,难度推算表,副本难度推算!$I$3,FALSE)*(2-副本难度推算!$AA$6)*(2-$S128)</f>
        <v>2408.7476248085659</v>
      </c>
      <c r="K128" s="72">
        <f>VLOOKUP($C128,难度推算表,副本难度推算!$M$3,FALSE)*副本难度推算!$Y$7*Q128</f>
        <v>1118753.2442949351</v>
      </c>
      <c r="L128" s="72">
        <f>VLOOKUP($C128,难度推算表,副本难度推算!$P$3,FALSE)*副本难度推算!$Z$7*$R128+VLOOKUP($C128,难度推算表,副本难度推算!$H$3,FALSE)</f>
        <v>35785.730399817781</v>
      </c>
      <c r="M128" s="72">
        <f>VLOOKUP($C128,难度推算表,副本难度推算!$G$3,FALSE)-VLOOKUP($C128,难度推算表,副本难度推算!$I$3,FALSE)*(2-副本难度推算!$AA$7)*(2-$S128)</f>
        <v>10208.501838474387</v>
      </c>
      <c r="N128" s="2">
        <f>VLOOKUP($C128,难度推算表,副本难度推算!$Q$3,FALSE)</f>
        <v>4534.0159999999996</v>
      </c>
      <c r="O128" s="2">
        <f>VLOOKUP($C128,难度推算表,副本难度推算!$R$3,FALSE)</f>
        <v>0</v>
      </c>
      <c r="Q128" s="140">
        <f t="shared" si="8"/>
        <v>0.64000000000000012</v>
      </c>
      <c r="R128" s="140">
        <f t="shared" si="9"/>
        <v>0.55999999999999994</v>
      </c>
      <c r="S128" s="140">
        <f t="shared" si="10"/>
        <v>0.64000000000000012</v>
      </c>
      <c r="V128" s="140"/>
      <c r="W128" s="140"/>
      <c r="X128" s="140"/>
    </row>
    <row r="129" spans="1:24">
      <c r="A129" s="2" t="str">
        <f t="shared" si="11"/>
        <v>百人斩</v>
      </c>
      <c r="B129" s="2" t="str">
        <f>怪物并表!$R$14</f>
        <v>英雄之路</v>
      </c>
      <c r="C129" s="2">
        <v>73</v>
      </c>
      <c r="D129" s="28">
        <f t="shared" si="7"/>
        <v>1902</v>
      </c>
      <c r="E129" s="72">
        <f>VLOOKUP($C129,难度推算表,副本难度推算!$M$3,FALSE)*副本难度推算!$Y$5*Q129</f>
        <v>474380.00612983393</v>
      </c>
      <c r="F129" s="72">
        <f>VLOOKUP($C129,难度推算表,副本难度推算!$P$3,FALSE)*副本难度推算!$Z$5*$R129+VLOOKUP($C129,难度推算表,副本难度推算!$H$3,FALSE)</f>
        <v>33637.700894733112</v>
      </c>
      <c r="G129" s="72">
        <f>VLOOKUP($C129,难度推算表,副本难度推算!$G$3,FALSE)-VLOOKUP($C129,难度推算表,副本难度推算!$I$3,FALSE)*(2-副本难度推算!$AA$5)*(2-$S129)</f>
        <v>6627.3609453652243</v>
      </c>
      <c r="H129" s="72">
        <f>VLOOKUP($C129,难度推算表,副本难度推算!$M$3,FALSE)*副本难度推算!$Y$6*Q129</f>
        <v>379504.00490386714</v>
      </c>
      <c r="I129" s="72">
        <f>VLOOKUP($C129,难度推算表,副本难度推算!$P$3,FALSE)*副本难度推算!$Z$6*$R129+VLOOKUP($C129,难度推算表,副本难度推算!$H$3,FALSE)</f>
        <v>31478.905522598936</v>
      </c>
      <c r="J129" s="72">
        <f>VLOOKUP($C129,难度推算表,副本难度推算!$G$3,FALSE)-VLOOKUP($C129,难度推算表,副本难度推算!$I$3,FALSE)*(2-副本难度推算!$AA$6)*(2-$S129)</f>
        <v>2530.446906412184</v>
      </c>
      <c r="K129" s="72">
        <f>VLOOKUP($C129,难度推算表,副本难度推算!$M$3,FALSE)*副本难度推算!$Y$7*Q129</f>
        <v>1185950.0153245847</v>
      </c>
      <c r="L129" s="72">
        <f>VLOOKUP($C129,难度推算表,副本难度推算!$P$3,FALSE)*副本难度推算!$Z$7*$R129+VLOOKUP($C129,难度推算表,副本难度推算!$H$3,FALSE)</f>
        <v>37955.291639001473</v>
      </c>
      <c r="M129" s="72">
        <f>VLOOKUP($C129,难度推算表,副本难度推算!$G$3,FALSE)-VLOOKUP($C129,难度推算表,副本难度推算!$I$3,FALSE)*(2-副本难度推算!$AA$7)*(2-$S129)</f>
        <v>10724.274984318268</v>
      </c>
      <c r="N129" s="2">
        <f>VLOOKUP($C129,难度推算表,副本难度推算!$Q$3,FALSE)</f>
        <v>4592.2439999999997</v>
      </c>
      <c r="O129" s="2">
        <f>VLOOKUP($C129,难度推算表,副本难度推算!$R$3,FALSE)</f>
        <v>0</v>
      </c>
      <c r="Q129" s="140">
        <f t="shared" si="8"/>
        <v>0.64000000000000012</v>
      </c>
      <c r="R129" s="140">
        <f t="shared" si="9"/>
        <v>0.55999999999999994</v>
      </c>
      <c r="S129" s="140">
        <f t="shared" si="10"/>
        <v>0.64000000000000012</v>
      </c>
      <c r="V129" s="140"/>
      <c r="W129" s="140"/>
      <c r="X129" s="140"/>
    </row>
    <row r="130" spans="1:24">
      <c r="A130" s="2" t="str">
        <f t="shared" si="11"/>
        <v>百人斩</v>
      </c>
      <c r="B130" s="2" t="str">
        <f>怪物并表!$R$14</f>
        <v>英雄之路</v>
      </c>
      <c r="C130" s="2">
        <v>74</v>
      </c>
      <c r="D130" s="28">
        <f t="shared" si="7"/>
        <v>1902</v>
      </c>
      <c r="E130" s="72">
        <f>VLOOKUP($C130,难度推算表,副本难度推算!$M$3,FALSE)*副本难度推算!$Y$5*Q130</f>
        <v>502359.66198416275</v>
      </c>
      <c r="F130" s="72">
        <f>VLOOKUP($C130,难度推算表,副本难度推算!$P$3,FALSE)*副本难度推算!$Z$5*$R130+VLOOKUP($C130,难度推算表,副本难度推算!$H$3,FALSE)</f>
        <v>35626.181207974994</v>
      </c>
      <c r="G130" s="72">
        <f>VLOOKUP($C130,难度推算表,副本难度推算!$G$3,FALSE)-VLOOKUP($C130,难度推算表,副本难度推算!$I$3,FALSE)*(2-副本难度推算!$AA$5)*(2-$S130)</f>
        <v>6955.7414963826159</v>
      </c>
      <c r="H130" s="72">
        <f>VLOOKUP($C130,难度推算表,副本难度推算!$M$3,FALSE)*副本难度推算!$Y$6*Q130</f>
        <v>401887.72958733025</v>
      </c>
      <c r="I130" s="72">
        <f>VLOOKUP($C130,难度推算表,副本难度推算!$P$3,FALSE)*副本难度推算!$Z$6*$R130+VLOOKUP($C130,难度推算表,副本难度推算!$H$3,FALSE)</f>
        <v>33328.243359247055</v>
      </c>
      <c r="J130" s="72">
        <f>VLOOKUP($C130,难度推算表,副本难度推算!$G$3,FALSE)-VLOOKUP($C130,难度推算表,副本难度推算!$I$3,FALSE)*(2-副本难度推算!$AA$6)*(2-$S130)</f>
        <v>2655.8285713460937</v>
      </c>
      <c r="K130" s="72">
        <f>VLOOKUP($C130,难度推算表,副本难度推算!$M$3,FALSE)*副本难度推算!$Y$7*Q130</f>
        <v>1255899.1549604067</v>
      </c>
      <c r="L130" s="72">
        <f>VLOOKUP($C130,难度推算表,副本难度推算!$P$3,FALSE)*副本难度推算!$Z$7*$R130+VLOOKUP($C130,难度推算表,副本难度推算!$H$3,FALSE)</f>
        <v>40222.056905430858</v>
      </c>
      <c r="M130" s="72">
        <f>VLOOKUP($C130,难度推算表,副本难度推算!$G$3,FALSE)-VLOOKUP($C130,难度推算表,副本难度推算!$I$3,FALSE)*(2-副本难度推算!$AA$7)*(2-$S130)</f>
        <v>11255.654421419138</v>
      </c>
      <c r="N130" s="2">
        <f>VLOOKUP($C130,难度推算表,副本难度推算!$Q$3,FALSE)</f>
        <v>4650.4720000000007</v>
      </c>
      <c r="O130" s="2">
        <f>VLOOKUP($C130,难度推算表,副本难度推算!$R$3,FALSE)</f>
        <v>0</v>
      </c>
      <c r="Q130" s="140">
        <f t="shared" si="8"/>
        <v>0.64000000000000012</v>
      </c>
      <c r="R130" s="140">
        <f t="shared" si="9"/>
        <v>0.55999999999999994</v>
      </c>
      <c r="S130" s="140">
        <f t="shared" si="10"/>
        <v>0.64000000000000012</v>
      </c>
      <c r="V130" s="140"/>
      <c r="W130" s="140"/>
      <c r="X130" s="140"/>
    </row>
    <row r="131" spans="1:24">
      <c r="A131" s="2" t="str">
        <f t="shared" si="11"/>
        <v>百人斩</v>
      </c>
      <c r="B131" s="2" t="str">
        <f>怪物并表!$R$14</f>
        <v>英雄之路</v>
      </c>
      <c r="C131" s="2">
        <v>75</v>
      </c>
      <c r="D131" s="28">
        <f t="shared" si="7"/>
        <v>1902</v>
      </c>
      <c r="E131" s="72">
        <f>VLOOKUP($C131,难度推算表,副本难度推算!$M$3,FALSE)*副本难度推算!$Y$5*Q131</f>
        <v>531467.49455934134</v>
      </c>
      <c r="F131" s="72">
        <f>VLOOKUP($C131,难度推算表,副本难度推算!$P$3,FALSE)*副本难度推算!$Z$5*$R131+VLOOKUP($C131,难度推算表,副本难度推算!$H$3,FALSE)</f>
        <v>37701.599026755874</v>
      </c>
      <c r="G131" s="72">
        <f>VLOOKUP($C131,难度推算表,副本难度推算!$G$3,FALSE)-VLOOKUP($C131,难度推算表,副本难度推算!$I$3,FALSE)*(2-副本难度推算!$AA$5)*(2-$S131)</f>
        <v>7293.8946697324536</v>
      </c>
      <c r="H131" s="72">
        <f>VLOOKUP($C131,难度推算表,副本难度推算!$M$3,FALSE)*副本难度推算!$Y$6*Q131</f>
        <v>425173.99564747314</v>
      </c>
      <c r="I131" s="72">
        <f>VLOOKUP($C131,难度推算表,副本难度推算!$P$3,FALSE)*副本难度推算!$Z$6*$R131+VLOOKUP($C131,难度推算表,副本难度推算!$H$3,FALSE)</f>
        <v>35257.601791304376</v>
      </c>
      <c r="J131" s="72">
        <f>VLOOKUP($C131,难度推算表,副本难度推算!$G$3,FALSE)-VLOOKUP($C131,难度推算表,副本难度推算!$I$3,FALSE)*(2-副本难度推算!$AA$6)*(2-$S131)</f>
        <v>2784.9416011705798</v>
      </c>
      <c r="K131" s="72">
        <f>VLOOKUP($C131,难度推算表,副本难度推算!$M$3,FALSE)*副本难度推算!$Y$7*Q131</f>
        <v>1328668.7363983532</v>
      </c>
      <c r="L131" s="72">
        <f>VLOOKUP($C131,难度推算表,副本难度推算!$P$3,FALSE)*副本难度推算!$Z$7*$R131+VLOOKUP($C131,难度推算表,副本难度推算!$H$3,FALSE)</f>
        <v>42589.593497658891</v>
      </c>
      <c r="M131" s="72">
        <f>VLOOKUP($C131,难度推算表,副本难度推算!$G$3,FALSE)-VLOOKUP($C131,难度推算表,副本难度推算!$I$3,FALSE)*(2-副本难度推算!$AA$7)*(2-$S131)</f>
        <v>11802.847738294327</v>
      </c>
      <c r="N131" s="2">
        <f>VLOOKUP($C131,难度推算表,副本难度推算!$Q$3,FALSE)</f>
        <v>4708.7</v>
      </c>
      <c r="O131" s="2">
        <f>VLOOKUP($C131,难度推算表,副本难度推算!$R$3,FALSE)</f>
        <v>0</v>
      </c>
      <c r="Q131" s="140">
        <f t="shared" si="8"/>
        <v>0.64000000000000012</v>
      </c>
      <c r="R131" s="140">
        <f t="shared" si="9"/>
        <v>0.55999999999999994</v>
      </c>
      <c r="S131" s="140">
        <f t="shared" si="10"/>
        <v>0.64000000000000012</v>
      </c>
      <c r="V131" s="140"/>
      <c r="W131" s="140"/>
      <c r="X131" s="140"/>
    </row>
    <row r="132" spans="1:24">
      <c r="A132" s="2" t="str">
        <f t="shared" si="11"/>
        <v>百人斩</v>
      </c>
      <c r="B132" s="2" t="str">
        <f>怪物并表!$R$14</f>
        <v>英雄之路</v>
      </c>
      <c r="C132" s="2">
        <v>76</v>
      </c>
      <c r="D132" s="28">
        <f t="shared" si="7"/>
        <v>1902</v>
      </c>
      <c r="E132" s="72">
        <f>VLOOKUP($C132,难度推算表,副本难度推算!$M$3,FALSE)*副本难度推算!$Y$5*Q132</f>
        <v>561731.0338803801</v>
      </c>
      <c r="F132" s="72">
        <f>VLOOKUP($C132,难度推算表,副本难度推算!$P$3,FALSE)*副本难度推算!$Z$5*$R132+VLOOKUP($C132,难度推算表,副本难度推算!$H$3,FALSE)</f>
        <v>39867.08854960301</v>
      </c>
      <c r="G132" s="72">
        <f>VLOOKUP($C132,难度推算表,副本难度推算!$G$3,FALSE)-VLOOKUP($C132,难度推算表,副本难度推算!$I$3,FALSE)*(2-副本难度推算!$AA$5)*(2-$S132)</f>
        <v>7641.9487504535173</v>
      </c>
      <c r="H132" s="72">
        <f>VLOOKUP($C132,难度推算表,副本难度推算!$M$3,FALSE)*副本难度推算!$Y$6*Q132</f>
        <v>449384.8271043041</v>
      </c>
      <c r="I132" s="72">
        <f>VLOOKUP($C132,难度推算表,副本难度推算!$P$3,FALSE)*副本难度推算!$Z$6*$R132+VLOOKUP($C132,难度推算表,副本难度推算!$H$3,FALSE)</f>
        <v>37269.824921997897</v>
      </c>
      <c r="J132" s="72">
        <f>VLOOKUP($C132,难度推算表,副本难度推算!$G$3,FALSE)-VLOOKUP($C132,难度推算表,副本难度推算!$I$3,FALSE)*(2-副本难度推算!$AA$6)*(2-$S132)</f>
        <v>2917.8349774458948</v>
      </c>
      <c r="K132" s="72">
        <f>VLOOKUP($C132,难度推算表,副本难度推算!$M$3,FALSE)*副本难度推算!$Y$7*Q132</f>
        <v>1404327.58470095</v>
      </c>
      <c r="L132" s="72">
        <f>VLOOKUP($C132,难度推算表,副本难度推算!$P$3,FALSE)*副本难度推算!$Z$7*$R132+VLOOKUP($C132,难度推算表,副本难度推算!$H$3,FALSE)</f>
        <v>45061.615804813242</v>
      </c>
      <c r="M132" s="72">
        <f>VLOOKUP($C132,难度推算表,副本难度推算!$G$3,FALSE)-VLOOKUP($C132,难度推算表,副本难度推算!$I$3,FALSE)*(2-副本难度推算!$AA$7)*(2-$S132)</f>
        <v>12366.062523461143</v>
      </c>
      <c r="N132" s="2">
        <f>VLOOKUP($C132,难度推算表,副本难度推算!$Q$3,FALSE)</f>
        <v>4766.9279999999999</v>
      </c>
      <c r="O132" s="2">
        <f>VLOOKUP($C132,难度推算表,副本难度推算!$R$3,FALSE)</f>
        <v>0</v>
      </c>
      <c r="Q132" s="140">
        <f t="shared" si="8"/>
        <v>0.64000000000000012</v>
      </c>
      <c r="R132" s="140">
        <f t="shared" si="9"/>
        <v>0.55999999999999994</v>
      </c>
      <c r="S132" s="140">
        <f t="shared" si="10"/>
        <v>0.64000000000000012</v>
      </c>
      <c r="V132" s="140"/>
      <c r="W132" s="140"/>
      <c r="X132" s="140"/>
    </row>
    <row r="133" spans="1:24">
      <c r="A133" s="2" t="str">
        <f t="shared" si="11"/>
        <v>百人斩</v>
      </c>
      <c r="B133" s="2" t="str">
        <f>怪物并表!$R$14</f>
        <v>英雄之路</v>
      </c>
      <c r="C133" s="2">
        <v>77</v>
      </c>
      <c r="D133" s="28">
        <f t="shared" si="7"/>
        <v>1902</v>
      </c>
      <c r="E133" s="72">
        <f>VLOOKUP($C133,难度推算表,副本难度推算!$M$3,FALSE)*副本难度推算!$Y$5*Q133</f>
        <v>593178.1106086683</v>
      </c>
      <c r="F133" s="72">
        <f>VLOOKUP($C133,难度推算表,副本难度推算!$P$3,FALSE)*副本难度推算!$Z$5*$R133+VLOOKUP($C133,难度推算表,副本难度推算!$H$3,FALSE)</f>
        <v>42125.913385586522</v>
      </c>
      <c r="G133" s="72">
        <f>VLOOKUP($C133,难度推算表,副本难度推算!$G$3,FALSE)-VLOOKUP($C133,难度推算表,副本难度推算!$I$3,FALSE)*(2-副本难度推算!$AA$5)*(2-$S133)</f>
        <v>8000.0320235846193</v>
      </c>
      <c r="H133" s="72">
        <f>VLOOKUP($C133,难度推算表,副本难度推算!$M$3,FALSE)*副本难度推算!$Y$6*Q133</f>
        <v>474542.48848693469</v>
      </c>
      <c r="I133" s="72">
        <f>VLOOKUP($C133,难度推算表,副本难度推算!$P$3,FALSE)*副本难度推算!$Z$6*$R133+VLOOKUP($C133,难度推算表,副本难度推算!$H$3,FALSE)</f>
        <v>39367.873324043256</v>
      </c>
      <c r="J133" s="72">
        <f>VLOOKUP($C133,难度推算表,副本难度推算!$G$3,FALSE)-VLOOKUP($C133,难度推算表,副本难度推算!$I$3,FALSE)*(2-副本难度推算!$AA$6)*(2-$S133)</f>
        <v>3054.5576817323054</v>
      </c>
      <c r="K133" s="72">
        <f>VLOOKUP($C133,难度推算表,副本难度推算!$M$3,FALSE)*副本难度推算!$Y$7*Q133</f>
        <v>1482945.2765216709</v>
      </c>
      <c r="L133" s="72">
        <f>VLOOKUP($C133,难度推算表,副本难度推算!$P$3,FALSE)*副本难度推算!$Z$7*$R133+VLOOKUP($C133,难度推算表,副本难度推算!$H$3,FALSE)</f>
        <v>47641.993508673047</v>
      </c>
      <c r="M133" s="72">
        <f>VLOOKUP($C133,难度推算表,副本难度推算!$G$3,FALSE)-VLOOKUP($C133,难度推算表,副本难度推算!$I$3,FALSE)*(2-副本难度推算!$AA$7)*(2-$S133)</f>
        <v>12945.506365436926</v>
      </c>
      <c r="N133" s="2">
        <f>VLOOKUP($C133,难度推算表,副本难度推算!$Q$3,FALSE)</f>
        <v>4825.1559999999999</v>
      </c>
      <c r="O133" s="2">
        <f>VLOOKUP($C133,难度推算表,副本难度推算!$R$3,FALSE)</f>
        <v>0</v>
      </c>
      <c r="Q133" s="140">
        <f t="shared" si="8"/>
        <v>0.64000000000000012</v>
      </c>
      <c r="R133" s="140">
        <f t="shared" si="9"/>
        <v>0.55999999999999994</v>
      </c>
      <c r="S133" s="140">
        <f t="shared" si="10"/>
        <v>0.64000000000000012</v>
      </c>
      <c r="V133" s="140"/>
      <c r="W133" s="140"/>
      <c r="X133" s="140"/>
    </row>
    <row r="134" spans="1:24">
      <c r="A134" s="2" t="str">
        <f t="shared" si="11"/>
        <v>百人斩</v>
      </c>
      <c r="B134" s="2" t="str">
        <f>怪物并表!$R$14</f>
        <v>英雄之路</v>
      </c>
      <c r="C134" s="2">
        <v>78</v>
      </c>
      <c r="D134" s="28">
        <f t="shared" ref="D134:D197" si="12">1900+VLOOKUP(A134,$Z$11:$AA$16,2,FALSE)</f>
        <v>1902</v>
      </c>
      <c r="E134" s="72">
        <f>VLOOKUP($C134,难度推算表,副本难度推算!$M$3,FALSE)*副本难度推算!$Y$5*Q134</f>
        <v>625836.85593266704</v>
      </c>
      <c r="F134" s="72">
        <f>VLOOKUP($C134,难度推算表,副本难度推算!$P$3,FALSE)*副本难度推算!$Z$5*$R134+VLOOKUP($C134,难度推算表,副本难度推算!$H$3,FALSE)</f>
        <v>44481.473851906369</v>
      </c>
      <c r="G134" s="72">
        <f>VLOOKUP($C134,难度推算表,副本难度推算!$G$3,FALSE)-VLOOKUP($C134,难度推算表,副本难度推算!$I$3,FALSE)*(2-副本难度推算!$AA$5)*(2-$S134)</f>
        <v>8368.272774164554</v>
      </c>
      <c r="H134" s="72">
        <f>VLOOKUP($C134,难度推算表,副本难度推算!$M$3,FALSE)*副本难度推算!$Y$6*Q134</f>
        <v>500669.48474613373</v>
      </c>
      <c r="I134" s="72">
        <f>VLOOKUP($C134,难度推算表,副本难度推算!$P$3,FALSE)*副本难度推算!$Z$6*$R134+VLOOKUP($C134,难度推算表,副本难度推算!$H$3,FALSE)</f>
        <v>41554.830607472926</v>
      </c>
      <c r="J134" s="72">
        <f>VLOOKUP($C134,难度推算表,副本难度推算!$G$3,FALSE)-VLOOKUP($C134,难度推算表,副本难度推算!$I$3,FALSE)*(2-副本难度推算!$AA$6)*(2-$S134)</f>
        <v>3195.1586955901075</v>
      </c>
      <c r="K134" s="72">
        <f>VLOOKUP($C134,难度推算表,副本难度推算!$M$3,FALSE)*副本难度推算!$Y$7*Q134</f>
        <v>1564592.1398316678</v>
      </c>
      <c r="L134" s="72">
        <f>VLOOKUP($C134,难度推算表,副本难度推算!$P$3,FALSE)*副本难度推算!$Z$7*$R134+VLOOKUP($C134,难度推算表,副本难度推算!$H$3,FALSE)</f>
        <v>50334.76034077326</v>
      </c>
      <c r="M134" s="72">
        <f>VLOOKUP($C134,难度推算表,副本难度推算!$G$3,FALSE)-VLOOKUP($C134,难度推算表,副本难度推算!$I$3,FALSE)*(2-副本难度推算!$AA$7)*(2-$S134)</f>
        <v>13541.386852739</v>
      </c>
      <c r="N134" s="2">
        <f>VLOOKUP($C134,难度推算表,副本难度推算!$Q$3,FALSE)</f>
        <v>4883.384</v>
      </c>
      <c r="O134" s="2">
        <f>VLOOKUP($C134,难度推算表,副本难度推算!$R$3,FALSE)</f>
        <v>0</v>
      </c>
      <c r="Q134" s="140">
        <f t="shared" ref="Q134:Q197" si="13">VLOOKUP($A134,$Z$11:$AD$16,3,FALSE)*VLOOKUP(C134,$U$5:$X$75,2,FALSE)</f>
        <v>0.64000000000000012</v>
      </c>
      <c r="R134" s="140">
        <f t="shared" ref="R134:R197" si="14">VLOOKUP($A134,$Z$11:$AD$16,4,FALSE)*VLOOKUP(C134,$U$5:$X$75,3,FALSE)</f>
        <v>0.55999999999999994</v>
      </c>
      <c r="S134" s="140">
        <f t="shared" ref="S134:S197" si="15">VLOOKUP($A134,$Z$11:$AD$16,5,FALSE)*VLOOKUP(C134,$U$5:$X$75,4,FALSE)</f>
        <v>0.64000000000000012</v>
      </c>
      <c r="V134" s="140"/>
      <c r="W134" s="140"/>
      <c r="X134" s="140"/>
    </row>
    <row r="135" spans="1:24">
      <c r="A135" s="2" t="str">
        <f t="shared" si="11"/>
        <v>百人斩</v>
      </c>
      <c r="B135" s="2" t="str">
        <f>怪物并表!$R$14</f>
        <v>英雄之路</v>
      </c>
      <c r="C135" s="2">
        <v>79</v>
      </c>
      <c r="D135" s="28">
        <f t="shared" si="12"/>
        <v>1902</v>
      </c>
      <c r="E135" s="72">
        <f>VLOOKUP($C135,难度推算表,副本难度推算!$M$3,FALSE)*副本难度推算!$Y$5*Q135</f>
        <v>659735.70145959302</v>
      </c>
      <c r="F135" s="72">
        <f>VLOOKUP($C135,难度推算表,副本难度推算!$P$3,FALSE)*副本难度推算!$Z$5*$R135+VLOOKUP($C135,难度推算表,副本难度推算!$H$3,FALSE)</f>
        <v>46937.314770934005</v>
      </c>
      <c r="G135" s="72">
        <f>VLOOKUP($C135,难度推算表,副本难度推算!$G$3,FALSE)-VLOOKUP($C135,难度推算表,副本难度推算!$I$3,FALSE)*(2-副本难度推算!$AA$5)*(2-$S135)</f>
        <v>8746.7992872321192</v>
      </c>
      <c r="H135" s="72">
        <f>VLOOKUP($C135,难度推算表,副本难度推算!$M$3,FALSE)*副本难度推算!$Y$6*Q135</f>
        <v>527788.56116767449</v>
      </c>
      <c r="I135" s="72">
        <f>VLOOKUP($C135,难度推算表,副本难度推算!$P$3,FALSE)*副本难度推算!$Z$6*$R135+VLOOKUP($C135,难度推算表,副本难度推算!$H$3,FALSE)</f>
        <v>43833.910436973718</v>
      </c>
      <c r="J135" s="72">
        <f>VLOOKUP($C135,难度推算表,副本难度推算!$G$3,FALSE)-VLOOKUP($C135,难度推算表,副本难度推算!$I$3,FALSE)*(2-副本难度推算!$AA$6)*(2-$S135)</f>
        <v>3339.6870005795463</v>
      </c>
      <c r="K135" s="72">
        <f>VLOOKUP($C135,难度推算表,副本难度推算!$M$3,FALSE)*副本难度推算!$Y$7*Q135</f>
        <v>1649339.2536489824</v>
      </c>
      <c r="L135" s="72">
        <f>VLOOKUP($C135,难度推算表,副本难度推算!$P$3,FALSE)*副本难度推算!$Z$7*$R135+VLOOKUP($C135,难度推算表,副本难度推算!$H$3,FALSE)</f>
        <v>53144.123438854593</v>
      </c>
      <c r="M135" s="72">
        <f>VLOOKUP($C135,难度推算表,副本难度推算!$G$3,FALSE)-VLOOKUP($C135,难度推算表,副本难度推算!$I$3,FALSE)*(2-副本难度推算!$AA$7)*(2-$S135)</f>
        <v>14153.911573884696</v>
      </c>
      <c r="N135" s="2">
        <f>VLOOKUP($C135,难度推算表,副本难度推算!$Q$3,FALSE)</f>
        <v>4941.6120000000001</v>
      </c>
      <c r="O135" s="2">
        <f>VLOOKUP($C135,难度推算表,副本难度推算!$R$3,FALSE)</f>
        <v>0</v>
      </c>
      <c r="Q135" s="140">
        <f t="shared" si="13"/>
        <v>0.64000000000000012</v>
      </c>
      <c r="R135" s="140">
        <f t="shared" si="14"/>
        <v>0.55999999999999994</v>
      </c>
      <c r="S135" s="140">
        <f t="shared" si="15"/>
        <v>0.64000000000000012</v>
      </c>
      <c r="V135" s="140"/>
      <c r="W135" s="140"/>
      <c r="X135" s="140"/>
    </row>
    <row r="136" spans="1:24">
      <c r="A136" s="2" t="str">
        <f t="shared" si="11"/>
        <v>百人斩</v>
      </c>
      <c r="B136" s="2" t="str">
        <f>怪物并表!$R$14</f>
        <v>英雄之路</v>
      </c>
      <c r="C136" s="2">
        <v>80</v>
      </c>
      <c r="D136" s="28">
        <f t="shared" si="12"/>
        <v>1902</v>
      </c>
      <c r="E136" s="72">
        <f>VLOOKUP($C136,难度推算表,副本难度推算!$M$3,FALSE)*副本难度推算!$Y$5*Q136</f>
        <v>696977.71755322511</v>
      </c>
      <c r="F136" s="72">
        <f>VLOOKUP($C136,难度推算表,副本难度推算!$P$3,FALSE)*副本难度推算!$Z$5*$R136+VLOOKUP($C136,难度推算表,副本难度推算!$H$3,FALSE)</f>
        <v>49644.886445279131</v>
      </c>
      <c r="G136" s="72">
        <f>VLOOKUP($C136,难度推算表,副本难度推算!$G$3,FALSE)-VLOOKUP($C136,难度推算表,副本难度推算!$I$3,FALSE)*(2-副本难度推算!$AA$5)*(2-$S136)</f>
        <v>9163.0107130434808</v>
      </c>
      <c r="H136" s="72">
        <f>VLOOKUP($C136,难度推算表,副本难度推算!$M$3,FALSE)*副本难度推算!$Y$6*Q136</f>
        <v>557582.17404258018</v>
      </c>
      <c r="I136" s="72">
        <f>VLOOKUP($C136,难度推算表,副本难度推算!$P$3,FALSE)*副本难度推算!$Z$6*$R136+VLOOKUP($C136,难度推算表,副本难度推算!$H$3,FALSE)</f>
        <v>46346.3997485773</v>
      </c>
      <c r="J136" s="72">
        <f>VLOOKUP($C136,难度推算表,副本难度推算!$G$3,FALSE)-VLOOKUP($C136,难度推算表,副本难度推算!$I$3,FALSE)*(2-副本难度推算!$AA$6)*(2-$S136)</f>
        <v>3498.6040904347828</v>
      </c>
      <c r="K136" s="72">
        <f>VLOOKUP($C136,难度推算表,副本难度推算!$M$3,FALSE)*副本难度推算!$Y$7*Q136</f>
        <v>1742444.2938830629</v>
      </c>
      <c r="L136" s="72">
        <f>VLOOKUP($C136,难度推算表,副本难度推算!$P$3,FALSE)*副本难度推算!$Z$7*$R136+VLOOKUP($C136,难度推算表,副本难度推算!$H$3,FALSE)</f>
        <v>56241.85983868278</v>
      </c>
      <c r="M136" s="72">
        <f>VLOOKUP($C136,难度推算表,副本难度推算!$G$3,FALSE)-VLOOKUP($C136,难度推算表,副本难度推算!$I$3,FALSE)*(2-副本难度推算!$AA$7)*(2-$S136)</f>
        <v>14827.417335652175</v>
      </c>
      <c r="N136" s="2">
        <f>VLOOKUP($C136,难度推算表,副本难度推算!$Q$3,FALSE)</f>
        <v>4999.84</v>
      </c>
      <c r="O136" s="2">
        <f>VLOOKUP($C136,难度推算表,副本难度推算!$R$3,FALSE)</f>
        <v>0</v>
      </c>
      <c r="Q136" s="140">
        <f t="shared" si="13"/>
        <v>0.64000000000000012</v>
      </c>
      <c r="R136" s="140">
        <f t="shared" si="14"/>
        <v>0.55999999999999994</v>
      </c>
      <c r="S136" s="140">
        <f t="shared" si="15"/>
        <v>0.64000000000000012</v>
      </c>
      <c r="V136" s="140"/>
      <c r="W136" s="140"/>
      <c r="X136" s="140"/>
    </row>
    <row r="137" spans="1:24">
      <c r="A137" s="2" t="str">
        <f t="shared" si="11"/>
        <v>百人斩</v>
      </c>
      <c r="B137" s="2" t="str">
        <f>怪物并表!$R$14</f>
        <v>英雄之路</v>
      </c>
      <c r="C137" s="2">
        <v>81</v>
      </c>
      <c r="D137" s="28">
        <f t="shared" si="12"/>
        <v>1902</v>
      </c>
      <c r="E137" s="72">
        <f>VLOOKUP($C137,难度推算表,副本难度推算!$M$3,FALSE)*副本难度推算!$Y$5*Q137</f>
        <v>735645.93223612243</v>
      </c>
      <c r="F137" s="72">
        <f>VLOOKUP($C137,难度推算表,副本难度推算!$P$3,FALSE)*副本难度推算!$Z$5*$R137+VLOOKUP($C137,难度推算表,副本难度推算!$H$3,FALSE)</f>
        <v>59038.2903428547</v>
      </c>
      <c r="G137" s="72">
        <f>VLOOKUP($C137,难度推算表,副本难度推算!$G$3,FALSE)-VLOOKUP($C137,难度推算表,副本难度推算!$I$3,FALSE)*(2-副本难度推算!$AA$5)*(2-$S137)</f>
        <v>9590.9842774822864</v>
      </c>
      <c r="H137" s="72">
        <f>VLOOKUP($C137,难度推算表,副本难度推算!$M$3,FALSE)*副本难度推算!$Y$6*Q137</f>
        <v>588516.74578889797</v>
      </c>
      <c r="I137" s="72">
        <f>VLOOKUP($C137,难度推算表,副本难度推算!$P$3,FALSE)*副本难度推算!$Z$6*$R137+VLOOKUP($C137,难度推算表,副本难度推算!$H$3,FALSE)</f>
        <v>54878.276631747824</v>
      </c>
      <c r="J137" s="72">
        <f>VLOOKUP($C137,难度推算表,副本难度推算!$G$3,FALSE)-VLOOKUP($C137,难度推算表,副本难度推算!$I$3,FALSE)*(2-副本难度推算!$AA$6)*(2-$S137)</f>
        <v>3662.0121786750606</v>
      </c>
      <c r="K137" s="72">
        <f>VLOOKUP($C137,难度推算表,副本难度推算!$M$3,FALSE)*副本难度推算!$Y$7*Q137</f>
        <v>1839114.8305903063</v>
      </c>
      <c r="L137" s="72">
        <f>VLOOKUP($C137,难度推算表,副本难度推算!$P$3,FALSE)*副本难度推算!$Z$7*$R137+VLOOKUP($C137,难度推算表,副本难度推算!$H$3,FALSE)</f>
        <v>67358.317765068437</v>
      </c>
      <c r="M137" s="72">
        <f>VLOOKUP($C137,难度推算表,副本难度推算!$G$3,FALSE)-VLOOKUP($C137,难度推算表,副本难度推算!$I$3,FALSE)*(2-副本难度推算!$AA$7)*(2-$S137)</f>
        <v>15519.956376289509</v>
      </c>
      <c r="N137" s="2">
        <f>VLOOKUP($C137,难度推算表,副本难度推算!$Q$3,FALSE)</f>
        <v>5058.0680000000002</v>
      </c>
      <c r="O137" s="2">
        <f>VLOOKUP($C137,难度推算表,副本难度推算!$R$3,FALSE)</f>
        <v>0</v>
      </c>
      <c r="Q137" s="140">
        <f t="shared" si="13"/>
        <v>0.64000000000000012</v>
      </c>
      <c r="R137" s="140">
        <f t="shared" si="14"/>
        <v>0.55999999999999994</v>
      </c>
      <c r="S137" s="140">
        <f t="shared" si="15"/>
        <v>0.64000000000000012</v>
      </c>
      <c r="V137" s="140"/>
      <c r="W137" s="140"/>
      <c r="X137" s="140"/>
    </row>
    <row r="138" spans="1:24">
      <c r="A138" s="2" t="str">
        <f t="shared" si="11"/>
        <v>百人斩</v>
      </c>
      <c r="B138" s="2" t="str">
        <f>怪物并表!$R$14</f>
        <v>英雄之路</v>
      </c>
      <c r="C138" s="2">
        <v>82</v>
      </c>
      <c r="D138" s="28">
        <f t="shared" si="12"/>
        <v>1902</v>
      </c>
      <c r="E138" s="72">
        <f>VLOOKUP($C138,难度推算表,副本难度推算!$M$3,FALSE)*副本难度推算!$Y$5*Q138</f>
        <v>775773.36417412851</v>
      </c>
      <c r="F138" s="72">
        <f>VLOOKUP($C138,难度推算表,副本难度推算!$P$3,FALSE)*副本难度推算!$Z$5*$R138+VLOOKUP($C138,难度推算表,副本难度推算!$H$3,FALSE)</f>
        <v>62852.351299053633</v>
      </c>
      <c r="G138" s="72">
        <f>VLOOKUP($C138,难度推算表,副本难度推算!$G$3,FALSE)-VLOOKUP($C138,难度推算表,副本难度推算!$I$3,FALSE)*(2-副本难度推算!$AA$5)*(2-$S138)</f>
        <v>10030.866592021412</v>
      </c>
      <c r="H138" s="72">
        <f>VLOOKUP($C138,难度推算表,副本难度推算!$M$3,FALSE)*副本难度推算!$Y$6*Q138</f>
        <v>620618.69133930281</v>
      </c>
      <c r="I138" s="72">
        <f>VLOOKUP($C138,难度推算表,副本难度推算!$P$3,FALSE)*副本难度推算!$Z$6*$R138+VLOOKUP($C138,难度推算表,副本难度推算!$H$3,FALSE)</f>
        <v>58390.91009497035</v>
      </c>
      <c r="J138" s="72">
        <f>VLOOKUP($C138,难度推算表,副本难度推算!$G$3,FALSE)-VLOOKUP($C138,难度推算表,副本难度推算!$I$3,FALSE)*(2-副本难度推算!$AA$6)*(2-$S138)</f>
        <v>3829.9672442263618</v>
      </c>
      <c r="K138" s="72">
        <f>VLOOKUP($C138,难度推算表,副本难度推算!$M$3,FALSE)*副本难度推算!$Y$7*Q138</f>
        <v>1939433.410435321</v>
      </c>
      <c r="L138" s="72">
        <f>VLOOKUP($C138,难度推算表,副本难度推算!$P$3,FALSE)*副本难度推算!$Z$7*$R138+VLOOKUP($C138,难度推算表,副本难度推算!$H$3,FALSE)</f>
        <v>71775.233707220206</v>
      </c>
      <c r="M138" s="72">
        <f>VLOOKUP($C138,难度推算表,副本难度推算!$G$3,FALSE)-VLOOKUP($C138,难度推算表,副本难度推算!$I$3,FALSE)*(2-副本难度推算!$AA$7)*(2-$S138)</f>
        <v>16231.765939816461</v>
      </c>
      <c r="N138" s="2">
        <f>VLOOKUP($C138,难度推算表,副本难度推算!$Q$3,FALSE)</f>
        <v>5116.2960000000003</v>
      </c>
      <c r="O138" s="2">
        <f>VLOOKUP($C138,难度推算表,副本难度推算!$R$3,FALSE)</f>
        <v>0</v>
      </c>
      <c r="Q138" s="140">
        <f t="shared" si="13"/>
        <v>0.64000000000000012</v>
      </c>
      <c r="R138" s="140">
        <f t="shared" si="14"/>
        <v>0.55999999999999994</v>
      </c>
      <c r="S138" s="140">
        <f t="shared" si="15"/>
        <v>0.64000000000000012</v>
      </c>
      <c r="V138" s="140"/>
      <c r="W138" s="140"/>
      <c r="X138" s="140"/>
    </row>
    <row r="139" spans="1:24">
      <c r="A139" s="2" t="str">
        <f t="shared" si="11"/>
        <v>百人斩</v>
      </c>
      <c r="B139" s="2" t="str">
        <f>怪物并表!$R$14</f>
        <v>英雄之路</v>
      </c>
      <c r="C139" s="2">
        <v>83</v>
      </c>
      <c r="D139" s="28">
        <f t="shared" si="12"/>
        <v>1902</v>
      </c>
      <c r="E139" s="72">
        <f>VLOOKUP($C139,难度推算表,副本难度推算!$M$3,FALSE)*副本难度推算!$Y$5*Q139</f>
        <v>817393.37503061746</v>
      </c>
      <c r="F139" s="72">
        <f>VLOOKUP($C139,难度推算表,副本难度推算!$P$3,FALSE)*副本难度推算!$Z$5*$R139+VLOOKUP($C139,难度推算表,副本难度推算!$H$3,FALSE)</f>
        <v>66868.71716288419</v>
      </c>
      <c r="G139" s="72">
        <f>VLOOKUP($C139,难度推算表,副本难度推算!$G$3,FALSE)-VLOOKUP($C139,难度推算表,副本难度推算!$I$3,FALSE)*(2-副本难度推算!$AA$5)*(2-$S139)</f>
        <v>10482.804268133787</v>
      </c>
      <c r="H139" s="72">
        <f>VLOOKUP($C139,难度推算表,副本难度推算!$M$3,FALSE)*副本难度推算!$Y$6*Q139</f>
        <v>653914.70002449397</v>
      </c>
      <c r="I139" s="72">
        <f>VLOOKUP($C139,难度推算表,副本难度推算!$P$3,FALSE)*副本难度推算!$Z$6*$R139+VLOOKUP($C139,难度推算表,副本难度推算!$H$3,FALSE)</f>
        <v>62087.809858983746</v>
      </c>
      <c r="J139" s="72">
        <f>VLOOKUP($C139,难度推算表,副本难度推算!$G$3,FALSE)-VLOOKUP($C139,难度推算表,副本难度推算!$I$3,FALSE)*(2-副本难度推算!$AA$6)*(2-$S139)</f>
        <v>4002.5252660147162</v>
      </c>
      <c r="K139" s="72">
        <f>VLOOKUP($C139,难度推算表,副本难度推算!$M$3,FALSE)*副本难度推算!$Y$7*Q139</f>
        <v>2043483.4375765435</v>
      </c>
      <c r="L139" s="72">
        <f>VLOOKUP($C139,难度推算表,副本难度推算!$P$3,FALSE)*副本难度推算!$Z$7*$R139+VLOOKUP($C139,难度推算表,副本难度推算!$H$3,FALSE)</f>
        <v>76430.531770685106</v>
      </c>
      <c r="M139" s="72">
        <f>VLOOKUP($C139,难度推算表,副本难度推算!$G$3,FALSE)-VLOOKUP($C139,难度推算表,副本难度推算!$I$3,FALSE)*(2-副本难度推算!$AA$7)*(2-$S139)</f>
        <v>16963.083270252853</v>
      </c>
      <c r="N139" s="2">
        <f>VLOOKUP($C139,难度推算表,副本难度推算!$Q$3,FALSE)</f>
        <v>5174.5240000000003</v>
      </c>
      <c r="O139" s="2">
        <f>VLOOKUP($C139,难度推算表,副本难度推算!$R$3,FALSE)</f>
        <v>0</v>
      </c>
      <c r="Q139" s="140">
        <f t="shared" si="13"/>
        <v>0.64000000000000012</v>
      </c>
      <c r="R139" s="140">
        <f t="shared" si="14"/>
        <v>0.55999999999999994</v>
      </c>
      <c r="S139" s="140">
        <f t="shared" si="15"/>
        <v>0.64000000000000012</v>
      </c>
      <c r="V139" s="140"/>
      <c r="W139" s="140"/>
      <c r="X139" s="140"/>
    </row>
    <row r="140" spans="1:24">
      <c r="A140" s="2" t="str">
        <f t="shared" si="11"/>
        <v>百人斩</v>
      </c>
      <c r="B140" s="2" t="str">
        <f>怪物并表!$R$14</f>
        <v>英雄之路</v>
      </c>
      <c r="C140" s="2">
        <v>84</v>
      </c>
      <c r="D140" s="28">
        <f t="shared" si="12"/>
        <v>1902</v>
      </c>
      <c r="E140" s="72">
        <f>VLOOKUP($C140,难度推算表,副本难度推算!$M$3,FALSE)*副本难度推算!$Y$5*Q140</f>
        <v>860539.6693482335</v>
      </c>
      <c r="F140" s="72">
        <f>VLOOKUP($C140,难度推算表,副本难度推算!$P$3,FALSE)*副本难度推算!$Z$5*$R140+VLOOKUP($C140,难度推算表,副本难度推算!$H$3,FALSE)</f>
        <v>71097.159351138485</v>
      </c>
      <c r="G140" s="72">
        <f>VLOOKUP($C140,难度推算表,副本难度推算!$G$3,FALSE)-VLOOKUP($C140,难度推算表,副本难度推算!$I$3,FALSE)*(2-副本难度推算!$AA$5)*(2-$S140)</f>
        <v>10946.943917292316</v>
      </c>
      <c r="H140" s="72">
        <f>VLOOKUP($C140,难度推算表,副本难度推算!$M$3,FALSE)*副本难度推算!$Y$6*Q140</f>
        <v>688431.73547858687</v>
      </c>
      <c r="I140" s="72">
        <f>VLOOKUP($C140,难度推算表,副本难度推算!$P$3,FALSE)*副本难度推算!$Z$6*$R140+VLOOKUP($C140,难度推算表,副本难度推算!$H$3,FALSE)</f>
        <v>65977.796855532331</v>
      </c>
      <c r="J140" s="72">
        <f>VLOOKUP($C140,难度推算表,副本难度推算!$G$3,FALSE)-VLOOKUP($C140,难度推算表,副本难度推算!$I$3,FALSE)*(2-副本难度推算!$AA$6)*(2-$S140)</f>
        <v>4179.7422229661679</v>
      </c>
      <c r="K140" s="72">
        <f>VLOOKUP($C140,难度推算表,副本难度推算!$M$3,FALSE)*副本难度推算!$Y$7*Q140</f>
        <v>2151349.1733705839</v>
      </c>
      <c r="L140" s="72">
        <f>VLOOKUP($C140,难度推算表,副本难度推算!$P$3,FALSE)*副本难度推算!$Z$7*$R140+VLOOKUP($C140,难度推算表,副本难度推算!$H$3,FALSE)</f>
        <v>81335.884342350793</v>
      </c>
      <c r="M140" s="72">
        <f>VLOOKUP($C140,难度推算表,副本难度推算!$G$3,FALSE)-VLOOKUP($C140,难度推算表,副本难度推算!$I$3,FALSE)*(2-副本难度推算!$AA$7)*(2-$S140)</f>
        <v>17714.145611618467</v>
      </c>
      <c r="N140" s="2">
        <f>VLOOKUP($C140,难度推算表,副本难度推算!$Q$3,FALSE)</f>
        <v>5232.7520000000004</v>
      </c>
      <c r="O140" s="2">
        <f>VLOOKUP($C140,难度推算表,副本难度推算!$R$3,FALSE)</f>
        <v>0</v>
      </c>
      <c r="Q140" s="140">
        <f t="shared" si="13"/>
        <v>0.64000000000000012</v>
      </c>
      <c r="R140" s="140">
        <f t="shared" si="14"/>
        <v>0.55999999999999994</v>
      </c>
      <c r="S140" s="140">
        <f t="shared" si="15"/>
        <v>0.64000000000000012</v>
      </c>
      <c r="V140" s="140"/>
      <c r="W140" s="140"/>
      <c r="X140" s="140"/>
    </row>
    <row r="141" spans="1:24">
      <c r="A141" s="2" t="str">
        <f t="shared" si="11"/>
        <v>百人斩</v>
      </c>
      <c r="B141" s="2" t="str">
        <f>怪物并表!$R$14</f>
        <v>英雄之路</v>
      </c>
      <c r="C141" s="2">
        <v>85</v>
      </c>
      <c r="D141" s="28">
        <f t="shared" si="12"/>
        <v>1902</v>
      </c>
      <c r="E141" s="72">
        <f>VLOOKUP($C141,难度推算表,副本难度推算!$M$3,FALSE)*副本难度推算!$Y$5*Q141</f>
        <v>905246.2944318722</v>
      </c>
      <c r="F141" s="72">
        <f>VLOOKUP($C141,难度推算表,副本难度推算!$P$3,FALSE)*副本难度推算!$Z$5*$R141+VLOOKUP($C141,难度推算表,副本难度推算!$H$3,FALSE)</f>
        <v>75547.95366682559</v>
      </c>
      <c r="G141" s="72">
        <f>VLOOKUP($C141,难度推算表,副本难度推算!$G$3,FALSE)-VLOOKUP($C141,难度推算表,副本难度推算!$I$3,FALSE)*(2-副本难度推算!$AA$5)*(2-$S141)</f>
        <v>11423.4321509699</v>
      </c>
      <c r="H141" s="72">
        <f>VLOOKUP($C141,难度推算表,副本难度推算!$M$3,FALSE)*副本难度推算!$Y$6*Q141</f>
        <v>724197.03554549778</v>
      </c>
      <c r="I141" s="72">
        <f>VLOOKUP($C141,难度推算表,副本难度推算!$P$3,FALSE)*副本难度推算!$Z$6*$R141+VLOOKUP($C141,难度推算表,副本难度推算!$H$3,FALSE)</f>
        <v>70070.145963955743</v>
      </c>
      <c r="J141" s="72">
        <f>VLOOKUP($C141,难度推算表,副本难度推算!$G$3,FALSE)-VLOOKUP($C141,难度推算表,副本难度推算!$I$3,FALSE)*(2-副本难度推算!$AA$6)*(2-$S141)</f>
        <v>4361.6740940066957</v>
      </c>
      <c r="K141" s="72">
        <f>VLOOKUP($C141,难度推算表,副本难度推算!$M$3,FALSE)*副本难度推算!$Y$7*Q141</f>
        <v>2263115.7360796807</v>
      </c>
      <c r="L141" s="72">
        <f>VLOOKUP($C141,难度推算表,副本难度推算!$P$3,FALSE)*副本难度推算!$Z$7*$R141+VLOOKUP($C141,难度推算表,副本难度推算!$H$3,FALSE)</f>
        <v>86503.569072565297</v>
      </c>
      <c r="M141" s="72">
        <f>VLOOKUP($C141,难度推算表,副本难度推算!$G$3,FALSE)-VLOOKUP($C141,难度推算表,副本难度推算!$I$3,FALSE)*(2-副本难度推算!$AA$7)*(2-$S141)</f>
        <v>18485.190207933108</v>
      </c>
      <c r="N141" s="2">
        <f>VLOOKUP($C141,难度推算表,副本难度推算!$Q$3,FALSE)</f>
        <v>5290.98</v>
      </c>
      <c r="O141" s="2">
        <f>VLOOKUP($C141,难度推算表,副本难度推算!$R$3,FALSE)</f>
        <v>0</v>
      </c>
      <c r="Q141" s="140">
        <f t="shared" si="13"/>
        <v>0.64000000000000012</v>
      </c>
      <c r="R141" s="140">
        <f t="shared" si="14"/>
        <v>0.55999999999999994</v>
      </c>
      <c r="S141" s="140">
        <f t="shared" si="15"/>
        <v>0.64000000000000012</v>
      </c>
      <c r="V141" s="140"/>
      <c r="W141" s="140"/>
      <c r="X141" s="140"/>
    </row>
    <row r="142" spans="1:24">
      <c r="A142" s="2" t="str">
        <f t="shared" ref="A142:A146" si="16">$Z$12</f>
        <v>百人斩</v>
      </c>
      <c r="B142" s="2" t="str">
        <f>怪物并表!$R$14</f>
        <v>英雄之路</v>
      </c>
      <c r="C142" s="2">
        <v>86</v>
      </c>
      <c r="D142" s="28">
        <f t="shared" si="12"/>
        <v>1902</v>
      </c>
      <c r="E142" s="72">
        <f>VLOOKUP($C142,难度推算表,副本难度推算!$M$3,FALSE)*副本难度推算!$Y$5*Q142</f>
        <v>951547.64023292635</v>
      </c>
      <c r="F142" s="72">
        <f>VLOOKUP($C142,难度推算表,副本难度推算!$P$3,FALSE)*副本难度推算!$Z$5*$R142+VLOOKUP($C142,难度推算表,副本难度推算!$H$3,FALSE)</f>
        <v>80231.91156278018</v>
      </c>
      <c r="G142" s="72">
        <f>VLOOKUP($C142,难度推算表,副本难度推算!$G$3,FALSE)-VLOOKUP($C142,难度推算表,副本难度推算!$I$3,FALSE)*(2-副本难度推算!$AA$5)*(2-$S142)</f>
        <v>11912.41558063947</v>
      </c>
      <c r="H142" s="72">
        <f>VLOOKUP($C142,难度推算表,副本难度推算!$M$3,FALSE)*副本难度推算!$Y$6*Q142</f>
        <v>761238.11218634108</v>
      </c>
      <c r="I142" s="72">
        <f>VLOOKUP($C142,难度推算表,副本难度推算!$P$3,FALSE)*副本难度推算!$Z$6*$R142+VLOOKUP($C142,难度推算表,副本难度推算!$H$3,FALSE)</f>
        <v>74374.614148436609</v>
      </c>
      <c r="J142" s="72">
        <f>VLOOKUP($C142,难度推算表,副本难度推算!$G$3,FALSE)-VLOOKUP($C142,难度推算表,副本难度推算!$I$3,FALSE)*(2-副本难度推算!$AA$6)*(2-$S142)</f>
        <v>4548.3768580623437</v>
      </c>
      <c r="K142" s="72">
        <f>VLOOKUP($C142,难度推算表,副本难度推算!$M$3,FALSE)*副本难度推算!$Y$7*Q142</f>
        <v>2378869.1005823156</v>
      </c>
      <c r="L142" s="72">
        <f>VLOOKUP($C142,难度推算表,副本难度推算!$P$3,FALSE)*副本难度推算!$Z$7*$R142+VLOOKUP($C142,难度推算表,副本难度推算!$H$3,FALSE)</f>
        <v>91946.506391467308</v>
      </c>
      <c r="M142" s="72">
        <f>VLOOKUP($C142,难度推算表,副本难度推算!$G$3,FALSE)-VLOOKUP($C142,难度推算表,副本难度推算!$I$3,FALSE)*(2-副本难度推算!$AA$7)*(2-$S142)</f>
        <v>19276.454303216589</v>
      </c>
      <c r="N142" s="2">
        <f>VLOOKUP($C142,难度推算表,副本难度推算!$Q$3,FALSE)</f>
        <v>5349.2079999999996</v>
      </c>
      <c r="O142" s="2">
        <f>VLOOKUP($C142,难度推算表,副本难度推算!$R$3,FALSE)</f>
        <v>0</v>
      </c>
      <c r="Q142" s="140">
        <f t="shared" si="13"/>
        <v>0.64000000000000012</v>
      </c>
      <c r="R142" s="140">
        <f t="shared" si="14"/>
        <v>0.55999999999999994</v>
      </c>
      <c r="S142" s="140">
        <f t="shared" si="15"/>
        <v>0.64000000000000012</v>
      </c>
      <c r="V142" s="140"/>
      <c r="W142" s="140"/>
      <c r="X142" s="140"/>
    </row>
    <row r="143" spans="1:24">
      <c r="A143" s="2" t="str">
        <f t="shared" si="16"/>
        <v>百人斩</v>
      </c>
      <c r="B143" s="2" t="str">
        <f>怪物并表!$R$14</f>
        <v>英雄之路</v>
      </c>
      <c r="C143" s="2">
        <v>87</v>
      </c>
      <c r="D143" s="28">
        <f t="shared" si="12"/>
        <v>1902</v>
      </c>
      <c r="E143" s="72">
        <f>VLOOKUP($C143,难度推算表,副本难度推算!$M$3,FALSE)*副本难度推算!$Y$5*Q143</f>
        <v>999478.43923481042</v>
      </c>
      <c r="F143" s="72">
        <f>VLOOKUP($C143,难度推算表,副本难度推算!$P$3,FALSE)*副本难度推算!$Z$5*$R143+VLOOKUP($C143,难度推算表,副本难度推算!$H$3,FALSE)</f>
        <v>85160.413759852046</v>
      </c>
      <c r="G143" s="72">
        <f>VLOOKUP($C143,难度推算表,副本难度推算!$G$3,FALSE)-VLOOKUP($C143,难度推算表,副本难度推算!$I$3,FALSE)*(2-副本难度推算!$AA$5)*(2-$S143)</f>
        <v>12414.040817773923</v>
      </c>
      <c r="H143" s="72">
        <f>VLOOKUP($C143,难度推算表,副本难度推算!$M$3,FALSE)*副本难度推算!$Y$6*Q143</f>
        <v>799582.75138784829</v>
      </c>
      <c r="I143" s="72">
        <f>VLOOKUP($C143,难度推算表,副本难度推算!$P$3,FALSE)*副本难度推算!$Z$6*$R143+VLOOKUP($C143,难度推算表,副本难度推算!$H$3,FALSE)</f>
        <v>78901.470714371186</v>
      </c>
      <c r="J143" s="72">
        <f>VLOOKUP($C143,难度推算表,副本难度推算!$G$3,FALSE)-VLOOKUP($C143,难度推算表,副本难度推算!$I$3,FALSE)*(2-副本难度推算!$AA$6)*(2-$S143)</f>
        <v>4739.9064940591416</v>
      </c>
      <c r="K143" s="72">
        <f>VLOOKUP($C143,难度推算表,副本难度推算!$M$3,FALSE)*副本难度推算!$Y$7*Q143</f>
        <v>2498696.0980870258</v>
      </c>
      <c r="L143" s="72">
        <f>VLOOKUP($C143,难度推算表,副本难度推算!$P$3,FALSE)*副本难度推算!$Z$7*$R143+VLOOKUP($C143,难度推算表,副本难度推算!$H$3,FALSE)</f>
        <v>97678.299850813768</v>
      </c>
      <c r="M143" s="72">
        <f>VLOOKUP($C143,难度推算表,副本难度推算!$G$3,FALSE)-VLOOKUP($C143,难度推算表,副本难度推算!$I$3,FALSE)*(2-副本难度推算!$AA$7)*(2-$S143)</f>
        <v>20088.175141488697</v>
      </c>
      <c r="N143" s="2">
        <f>VLOOKUP($C143,难度推算表,副本难度推算!$Q$3,FALSE)</f>
        <v>5407.4360000000006</v>
      </c>
      <c r="O143" s="2">
        <f>VLOOKUP($C143,难度推算表,副本难度推算!$R$3,FALSE)</f>
        <v>0</v>
      </c>
      <c r="Q143" s="140">
        <f t="shared" si="13"/>
        <v>0.64000000000000012</v>
      </c>
      <c r="R143" s="140">
        <f t="shared" si="14"/>
        <v>0.55999999999999994</v>
      </c>
      <c r="S143" s="140">
        <f t="shared" si="15"/>
        <v>0.64000000000000012</v>
      </c>
      <c r="V143" s="140"/>
      <c r="W143" s="140"/>
      <c r="X143" s="140"/>
    </row>
    <row r="144" spans="1:24">
      <c r="A144" s="2" t="str">
        <f t="shared" si="16"/>
        <v>百人斩</v>
      </c>
      <c r="B144" s="2" t="str">
        <f>怪物并表!$R$14</f>
        <v>英雄之路</v>
      </c>
      <c r="C144" s="2">
        <v>88</v>
      </c>
      <c r="D144" s="28">
        <f t="shared" si="12"/>
        <v>1902</v>
      </c>
      <c r="E144" s="72">
        <f>VLOOKUP($C144,难度推算表,副本难度推算!$M$3,FALSE)*副本难度推算!$Y$5*Q144</f>
        <v>1049073.7663397787</v>
      </c>
      <c r="F144" s="72">
        <f>VLOOKUP($C144,难度推算表,副本难度推算!$P$3,FALSE)*副本难度推算!$Z$5*$R144+VLOOKUP($C144,难度推算表,副本难度推算!$H$3,FALSE)</f>
        <v>90345.44642919561</v>
      </c>
      <c r="G144" s="72">
        <f>VLOOKUP($C144,难度推算表,副本难度推算!$G$3,FALSE)-VLOOKUP($C144,难度推算表,副本难度推算!$I$3,FALSE)*(2-副本难度推算!$AA$5)*(2-$S144)</f>
        <v>12928.454473846155</v>
      </c>
      <c r="H144" s="72">
        <f>VLOOKUP($C144,难度推算表,副本难度推算!$M$3,FALSE)*副本难度推算!$Y$6*Q144</f>
        <v>839259.01307182293</v>
      </c>
      <c r="I144" s="72">
        <f>VLOOKUP($C144,难度推算表,副本难度推算!$P$3,FALSE)*副本难度推算!$Z$6*$R144+VLOOKUP($C144,难度推算表,副本难度推算!$H$3,FALSE)</f>
        <v>83661.529872429892</v>
      </c>
      <c r="J144" s="72">
        <f>VLOOKUP($C144,难度推算表,副本难度推算!$G$3,FALSE)-VLOOKUP($C144,难度推算表,副本难度推算!$I$3,FALSE)*(2-副本难度推算!$AA$6)*(2-$S144)</f>
        <v>4936.3189809230826</v>
      </c>
      <c r="K144" s="72">
        <f>VLOOKUP($C144,难度推算表,副本难度推算!$M$3,FALSE)*副本难度推算!$Y$7*Q144</f>
        <v>2622684.4158494468</v>
      </c>
      <c r="L144" s="72">
        <f>VLOOKUP($C144,难度推算表,副本难度推算!$P$3,FALSE)*副本难度推算!$Z$7*$R144+VLOOKUP($C144,难度推算表,副本难度推算!$H$3,FALSE)</f>
        <v>103713.27954272703</v>
      </c>
      <c r="M144" s="72">
        <f>VLOOKUP($C144,难度推算表,副本难度推算!$G$3,FALSE)-VLOOKUP($C144,难度推算表,副本难度推算!$I$3,FALSE)*(2-副本难度推算!$AA$7)*(2-$S144)</f>
        <v>20920.589966769228</v>
      </c>
      <c r="N144" s="2">
        <f>VLOOKUP($C144,难度推算表,副本难度推算!$Q$3,FALSE)</f>
        <v>5465.6640000000007</v>
      </c>
      <c r="O144" s="2">
        <f>VLOOKUP($C144,难度推算表,副本难度推算!$R$3,FALSE)</f>
        <v>0</v>
      </c>
      <c r="Q144" s="140">
        <f t="shared" si="13"/>
        <v>0.64000000000000012</v>
      </c>
      <c r="R144" s="140">
        <f t="shared" si="14"/>
        <v>0.55999999999999994</v>
      </c>
      <c r="S144" s="140">
        <f t="shared" si="15"/>
        <v>0.64000000000000012</v>
      </c>
      <c r="V144" s="140"/>
      <c r="W144" s="140"/>
      <c r="X144" s="140"/>
    </row>
    <row r="145" spans="1:24">
      <c r="A145" s="2" t="str">
        <f t="shared" si="16"/>
        <v>百人斩</v>
      </c>
      <c r="B145" s="2" t="str">
        <f>怪物并表!$R$14</f>
        <v>英雄之路</v>
      </c>
      <c r="C145" s="2">
        <v>89</v>
      </c>
      <c r="D145" s="28">
        <f t="shared" si="12"/>
        <v>1902</v>
      </c>
      <c r="E145" s="72">
        <f>VLOOKUP($C145,难度推算表,副本难度推算!$M$3,FALSE)*副本难度推算!$Y$5*Q145</f>
        <v>1100369.0387570343</v>
      </c>
      <c r="F145" s="72">
        <f>VLOOKUP($C145,难度推算表,副本难度推算!$P$3,FALSE)*副本难度推算!$Z$5*$R145+VLOOKUP($C145,难度推算表,副本难度推算!$H$3,FALSE)</f>
        <v>95799.64016975704</v>
      </c>
      <c r="G145" s="72">
        <f>VLOOKUP($C145,难度推算表,副本难度推算!$G$3,FALSE)-VLOOKUP($C145,难度推算表,副本难度推算!$I$3,FALSE)*(2-副本难度推算!$AA$5)*(2-$S145)</f>
        <v>13455.803160329095</v>
      </c>
      <c r="H145" s="72">
        <f>VLOOKUP($C145,难度推算表,副本难度推算!$M$3,FALSE)*副本难度推算!$Y$6*Q145</f>
        <v>880295.23100562766</v>
      </c>
      <c r="I145" s="72">
        <f>VLOOKUP($C145,难度推算表,副本难度推算!$P$3,FALSE)*副本难度推算!$Z$6*$R145+VLOOKUP($C145,难度推算表,副本难度推算!$H$3,FALSE)</f>
        <v>88666.185818295722</v>
      </c>
      <c r="J145" s="72">
        <f>VLOOKUP($C145,难度推算表,副本难度推算!$G$3,FALSE)-VLOOKUP($C145,难度推算表,副本难度推算!$I$3,FALSE)*(2-副本难度推算!$AA$6)*(2-$S145)</f>
        <v>5137.6702975801963</v>
      </c>
      <c r="K145" s="72">
        <f>VLOOKUP($C145,难度推算表,副本难度推算!$M$3,FALSE)*副本难度推算!$Y$7*Q145</f>
        <v>2750922.5968925864</v>
      </c>
      <c r="L145" s="72">
        <f>VLOOKUP($C145,难度推算表,副本难度推算!$P$3,FALSE)*副本难度推算!$Z$7*$R145+VLOOKUP($C145,难度推算表,副本难度推算!$H$3,FALSE)</f>
        <v>110066.54887267968</v>
      </c>
      <c r="M145" s="72">
        <f>VLOOKUP($C145,难度推算表,副本难度推算!$G$3,FALSE)-VLOOKUP($C145,难度推算表,副本难度推算!$I$3,FALSE)*(2-副本难度推算!$AA$7)*(2-$S145)</f>
        <v>21773.936023077986</v>
      </c>
      <c r="N145" s="2">
        <f>VLOOKUP($C145,难度推算表,副本难度推算!$Q$3,FALSE)</f>
        <v>5523.8919999999998</v>
      </c>
      <c r="O145" s="2">
        <f>VLOOKUP($C145,难度推算表,副本难度推算!$R$3,FALSE)</f>
        <v>0</v>
      </c>
      <c r="Q145" s="140">
        <f t="shared" si="13"/>
        <v>0.64000000000000012</v>
      </c>
      <c r="R145" s="140">
        <f t="shared" si="14"/>
        <v>0.55999999999999994</v>
      </c>
      <c r="S145" s="140">
        <f t="shared" si="15"/>
        <v>0.64000000000000012</v>
      </c>
      <c r="V145" s="140"/>
      <c r="W145" s="140"/>
      <c r="X145" s="140"/>
    </row>
    <row r="146" spans="1:24">
      <c r="A146" s="2" t="str">
        <f t="shared" si="16"/>
        <v>百人斩</v>
      </c>
      <c r="B146" s="2" t="str">
        <f>怪物并表!$R$14</f>
        <v>英雄之路</v>
      </c>
      <c r="C146" s="2">
        <v>90</v>
      </c>
      <c r="D146" s="28">
        <f t="shared" si="12"/>
        <v>1902</v>
      </c>
      <c r="E146" s="72">
        <f>VLOOKUP($C146,难度推算表,副本难度推算!$M$3,FALSE)*副本难度推算!$Y$5*Q146</f>
        <v>1153400.0158921438</v>
      </c>
      <c r="F146" s="72">
        <f>VLOOKUP($C146,难度推算表,副本难度推算!$P$3,FALSE)*副本难度推算!$Z$5*$R146+VLOOKUP($C146,难度推算表,副本难度推算!$H$3,FALSE)</f>
        <v>101536.31203617388</v>
      </c>
      <c r="G146" s="72">
        <f>VLOOKUP($C146,难度推算表,副本难度推算!$G$3,FALSE)-VLOOKUP($C146,难度推算表,副本难度推算!$I$3,FALSE)*(2-副本难度推算!$AA$5)*(2-$S146)</f>
        <v>13996.23348869566</v>
      </c>
      <c r="H146" s="72">
        <f>VLOOKUP($C146,难度推算表,副本难度推算!$M$3,FALSE)*副本难度推算!$Y$6*Q146</f>
        <v>922720.01271371497</v>
      </c>
      <c r="I146" s="72">
        <f>VLOOKUP($C146,难度推算表,副本难度推算!$P$3,FALSE)*副本难度推算!$Z$6*$R146+VLOOKUP($C146,难度推算表,副本难度推算!$H$3,FALSE)</f>
        <v>93927.450557773889</v>
      </c>
      <c r="J146" s="72">
        <f>VLOOKUP($C146,难度推算表,副本难度推算!$G$3,FALSE)-VLOOKUP($C146,难度推算表,副本难度推算!$I$3,FALSE)*(2-副本难度推算!$AA$6)*(2-$S146)</f>
        <v>5344.0164229565344</v>
      </c>
      <c r="K146" s="72">
        <f>VLOOKUP($C146,难度推算表,副本难度推算!$M$3,FALSE)*副本难度推算!$Y$7*Q146</f>
        <v>2883500.0397303593</v>
      </c>
      <c r="L146" s="72">
        <f>VLOOKUP($C146,难度推算表,副本难度推算!$P$3,FALSE)*副本难度推算!$Z$7*$R146+VLOOKUP($C146,难度推算表,副本难度推算!$H$3,FALSE)</f>
        <v>116754.03499297387</v>
      </c>
      <c r="M146" s="72">
        <f>VLOOKUP($C146,难度推算表,副本难度推算!$G$3,FALSE)-VLOOKUP($C146,难度推算表,副本难度推算!$I$3,FALSE)*(2-副本难度推算!$AA$7)*(2-$S146)</f>
        <v>22648.450554434778</v>
      </c>
      <c r="N146" s="2">
        <f>VLOOKUP($C146,难度推算表,副本难度推算!$Q$3,FALSE)</f>
        <v>5582.12</v>
      </c>
      <c r="O146" s="2">
        <f>VLOOKUP($C146,难度推算表,副本难度推算!$R$3,FALSE)</f>
        <v>0</v>
      </c>
      <c r="Q146" s="140">
        <f t="shared" si="13"/>
        <v>0.64000000000000012</v>
      </c>
      <c r="R146" s="140">
        <f t="shared" si="14"/>
        <v>0.55999999999999994</v>
      </c>
      <c r="S146" s="140">
        <f t="shared" si="15"/>
        <v>0.64000000000000012</v>
      </c>
      <c r="V146" s="140"/>
      <c r="W146" s="140"/>
      <c r="X146" s="140"/>
    </row>
    <row r="147" spans="1:24">
      <c r="A147" s="2" t="str">
        <f>$Z$13</f>
        <v>护送</v>
      </c>
      <c r="B147" s="2" t="str">
        <f>怪物并表!$R$14</f>
        <v>英雄之路</v>
      </c>
      <c r="C147" s="2">
        <v>20</v>
      </c>
      <c r="D147" s="28">
        <f t="shared" si="12"/>
        <v>1903</v>
      </c>
      <c r="E147" s="72">
        <f>VLOOKUP($C147,难度推算表,副本难度推算!$M$3,FALSE)*副本难度推算!$Y$5*Q147</f>
        <v>9754.6932302526984</v>
      </c>
      <c r="F147" s="72">
        <f>VLOOKUP($C147,难度推算表,副本难度推算!$P$3,FALSE)*副本难度推算!$Z$5*$R147+VLOOKUP($C147,难度推算表,副本难度推算!$H$3,FALSE)</f>
        <v>496.70021739130448</v>
      </c>
      <c r="G147" s="72">
        <f>VLOOKUP($C147,难度推算表,副本难度推算!$G$3,FALSE)-VLOOKUP($C147,难度推算表,副本难度推算!$I$3,FALSE)*(2-副本难度推算!$AA$5)*(2-$S147)</f>
        <v>202.47652173913053</v>
      </c>
      <c r="H147" s="72">
        <f>VLOOKUP($C147,难度推算表,副本难度推算!$M$3,FALSE)*副本难度推算!$Y$6*Q147</f>
        <v>7803.7545842021582</v>
      </c>
      <c r="I147" s="72">
        <f>VLOOKUP($C147,难度推算表,副本难度推算!$P$3,FALSE)*副本难度推算!$Z$6*$R147+VLOOKUP($C147,难度推算表,副本难度推算!$H$3,FALSE)</f>
        <v>474.0270652173914</v>
      </c>
      <c r="J147" s="72">
        <f>VLOOKUP($C147,难度推算表,副本难度推算!$G$3,FALSE)-VLOOKUP($C147,难度推算表,副本难度推算!$I$3,FALSE)*(2-副本难度推算!$AA$6)*(2-$S147)</f>
        <v>121.48591304347838</v>
      </c>
      <c r="K147" s="72">
        <f>VLOOKUP($C147,难度推算表,副本难度推算!$M$3,FALSE)*副本难度推算!$Y$7*Q147</f>
        <v>24386.733075631746</v>
      </c>
      <c r="L147" s="72">
        <f>VLOOKUP($C147,难度推算表,副本难度推算!$P$3,FALSE)*副本难度推算!$Z$7*$R147+VLOOKUP($C147,难度推算表,副本难度推算!$H$3,FALSE)</f>
        <v>542.04652173913064</v>
      </c>
      <c r="M147" s="72">
        <f>VLOOKUP($C147,难度推算表,副本难度推算!$G$3,FALSE)-VLOOKUP($C147,难度推算表,副本难度推算!$I$3,FALSE)*(2-副本难度推算!$AA$7)*(2-$S147)</f>
        <v>283.46713043478269</v>
      </c>
      <c r="N147" s="2">
        <f>VLOOKUP($C147,难度推算表,副本难度推算!$Q$3,FALSE)</f>
        <v>1506.1599999999999</v>
      </c>
      <c r="O147" s="2">
        <f>VLOOKUP($C147,难度推算表,副本难度推算!$R$3,FALSE)</f>
        <v>0</v>
      </c>
      <c r="Q147" s="140">
        <f t="shared" si="13"/>
        <v>1.2</v>
      </c>
      <c r="R147" s="140">
        <f t="shared" si="14"/>
        <v>1.1000000000000001</v>
      </c>
      <c r="S147" s="140">
        <f t="shared" si="15"/>
        <v>0.8</v>
      </c>
      <c r="V147" s="140"/>
      <c r="W147" s="140"/>
      <c r="X147" s="140"/>
    </row>
    <row r="148" spans="1:24">
      <c r="A148" s="2" t="str">
        <f t="shared" ref="A148:A211" si="17">$Z$13</f>
        <v>护送</v>
      </c>
      <c r="B148" s="2" t="str">
        <f>怪物并表!$R$14</f>
        <v>英雄之路</v>
      </c>
      <c r="C148" s="2">
        <v>21</v>
      </c>
      <c r="D148" s="28">
        <f t="shared" si="12"/>
        <v>1903</v>
      </c>
      <c r="E148" s="72">
        <f>VLOOKUP($C148,难度推算表,副本难度推算!$M$3,FALSE)*副本难度推算!$Y$5*Q148</f>
        <v>10901.814317154998</v>
      </c>
      <c r="F148" s="72">
        <f>VLOOKUP($C148,难度推算表,副本难度推算!$P$3,FALSE)*副本难度推算!$Z$5*$R148+VLOOKUP($C148,难度推算表,副本难度推算!$H$3,FALSE)</f>
        <v>552.07987298340981</v>
      </c>
      <c r="G148" s="72">
        <f>VLOOKUP($C148,难度推算表,副本难度推算!$G$3,FALSE)-VLOOKUP($C148,难度推算表,副本难度推算!$I$3,FALSE)*(2-副本难度推算!$AA$5)*(2-$S148)</f>
        <v>221.34161739130445</v>
      </c>
      <c r="H148" s="72">
        <f>VLOOKUP($C148,难度推算表,副本难度推算!$M$3,FALSE)*副本难度推算!$Y$6*Q148</f>
        <v>8721.4514537239993</v>
      </c>
      <c r="I148" s="72">
        <f>VLOOKUP($C148,难度推算表,副本难度推算!$P$3,FALSE)*副本难度推算!$Z$6*$R148+VLOOKUP($C148,难度推算表,副本难度推算!$H$3,FALSE)</f>
        <v>526.38410133724278</v>
      </c>
      <c r="J148" s="72">
        <f>VLOOKUP($C148,难度推算表,副本难度推算!$G$3,FALSE)-VLOOKUP($C148,难度推算表,副本难度推算!$I$3,FALSE)*(2-副本难度推算!$AA$6)*(2-$S148)</f>
        <v>132.80497043478272</v>
      </c>
      <c r="K148" s="72">
        <f>VLOOKUP($C148,难度推算表,副本难度推算!$M$3,FALSE)*副本难度推算!$Y$7*Q148</f>
        <v>27254.535792887495</v>
      </c>
      <c r="L148" s="72">
        <f>VLOOKUP($C148,难度推算表,副本难度推算!$P$3,FALSE)*副本难度推算!$Z$7*$R148+VLOOKUP($C148,难度推算表,副本难度推算!$H$3,FALSE)</f>
        <v>603.47141627574388</v>
      </c>
      <c r="M148" s="72">
        <f>VLOOKUP($C148,难度推算表,副本难度推算!$G$3,FALSE)-VLOOKUP($C148,难度推算表,副本难度推算!$I$3,FALSE)*(2-副本难度推算!$AA$7)*(2-$S148)</f>
        <v>309.87826434782625</v>
      </c>
      <c r="N148" s="2">
        <f>VLOOKUP($C148,难度推算表,副本难度推算!$Q$3,FALSE)</f>
        <v>1564.3879999999999</v>
      </c>
      <c r="O148" s="2">
        <f>VLOOKUP($C148,难度推算表,副本难度推算!$R$3,FALSE)</f>
        <v>0</v>
      </c>
      <c r="Q148" s="140">
        <f t="shared" si="13"/>
        <v>1.2</v>
      </c>
      <c r="R148" s="140">
        <f t="shared" si="14"/>
        <v>1.1000000000000001</v>
      </c>
      <c r="S148" s="140">
        <f t="shared" si="15"/>
        <v>0.8</v>
      </c>
      <c r="V148" s="140"/>
      <c r="W148" s="140"/>
      <c r="X148" s="140"/>
    </row>
    <row r="149" spans="1:24">
      <c r="A149" s="2" t="str">
        <f t="shared" si="17"/>
        <v>护送</v>
      </c>
      <c r="B149" s="2" t="str">
        <f>怪物并表!$R$14</f>
        <v>英雄之路</v>
      </c>
      <c r="C149" s="2">
        <v>22</v>
      </c>
      <c r="D149" s="28">
        <f t="shared" si="12"/>
        <v>1903</v>
      </c>
      <c r="E149" s="72">
        <f>VLOOKUP($C149,难度推算表,副本难度推算!$M$3,FALSE)*副本难度推算!$Y$5*Q149</f>
        <v>12126.25616710308</v>
      </c>
      <c r="F149" s="72">
        <f>VLOOKUP($C149,难度推算表,副本难度推算!$P$3,FALSE)*副本难度推算!$Z$5*$R149+VLOOKUP($C149,难度推算表,副本难度推算!$H$3,FALSE)</f>
        <v>611.12974129432996</v>
      </c>
      <c r="G149" s="72">
        <f>VLOOKUP($C149,难度推算表,副本难度推算!$G$3,FALSE)-VLOOKUP($C149,难度推算表,副本难度推算!$I$3,FALSE)*(2-副本难度推算!$AA$5)*(2-$S149)</f>
        <v>240.98838260869576</v>
      </c>
      <c r="H149" s="72">
        <f>VLOOKUP($C149,难度推算表,副本难度推算!$M$3,FALSE)*副本难度推算!$Y$6*Q149</f>
        <v>9701.0049336824632</v>
      </c>
      <c r="I149" s="72">
        <f>VLOOKUP($C149,难度推算表,副本难度推算!$P$3,FALSE)*副本难度推算!$Z$6*$R149+VLOOKUP($C149,难度推算表,副本难度推算!$H$3,FALSE)</f>
        <v>582.14855151272309</v>
      </c>
      <c r="J149" s="72">
        <f>VLOOKUP($C149,难度推算表,副本难度推算!$G$3,FALSE)-VLOOKUP($C149,难度推算表,副本难度推算!$I$3,FALSE)*(2-副本难度推算!$AA$6)*(2-$S149)</f>
        <v>144.59302956521753</v>
      </c>
      <c r="K149" s="72">
        <f>VLOOKUP($C149,难度推算表,副本难度推算!$M$3,FALSE)*副本难度推算!$Y$7*Q149</f>
        <v>30315.640417757699</v>
      </c>
      <c r="L149" s="72">
        <f>VLOOKUP($C149,难度推算表,副本难度推算!$P$3,FALSE)*副本难度推算!$Z$7*$R149+VLOOKUP($C149,难度推算表,副本难度推算!$H$3,FALSE)</f>
        <v>669.0921208575437</v>
      </c>
      <c r="M149" s="72">
        <f>VLOOKUP($C149,难度推算表,副本难度推算!$G$3,FALSE)-VLOOKUP($C149,难度推算表,副本难度推算!$I$3,FALSE)*(2-副本难度推算!$AA$7)*(2-$S149)</f>
        <v>337.38373565217398</v>
      </c>
      <c r="N149" s="2">
        <f>VLOOKUP($C149,难度推算表,副本难度推算!$Q$3,FALSE)</f>
        <v>1622.616</v>
      </c>
      <c r="O149" s="2">
        <f>VLOOKUP($C149,难度推算表,副本难度推算!$R$3,FALSE)</f>
        <v>0</v>
      </c>
      <c r="Q149" s="140">
        <f t="shared" si="13"/>
        <v>1.2</v>
      </c>
      <c r="R149" s="140">
        <f t="shared" si="14"/>
        <v>1.1000000000000001</v>
      </c>
      <c r="S149" s="140">
        <f t="shared" si="15"/>
        <v>0.8</v>
      </c>
      <c r="V149" s="140"/>
      <c r="W149" s="140"/>
      <c r="X149" s="140"/>
    </row>
    <row r="150" spans="1:24">
      <c r="A150" s="2" t="str">
        <f t="shared" si="17"/>
        <v>护送</v>
      </c>
      <c r="B150" s="2" t="str">
        <f>怪物并表!$R$14</f>
        <v>英雄之路</v>
      </c>
      <c r="C150" s="2">
        <v>23</v>
      </c>
      <c r="D150" s="28">
        <f t="shared" si="12"/>
        <v>1903</v>
      </c>
      <c r="E150" s="72">
        <f>VLOOKUP($C150,难度推算表,副本难度推算!$M$3,FALSE)*副本难度推算!$Y$5*Q150</f>
        <v>13680.486966109536</v>
      </c>
      <c r="F150" s="72">
        <f>VLOOKUP($C150,难度推算表,副本难度推算!$P$3,FALSE)*副本难度推算!$Z$5*$R150+VLOOKUP($C150,难度推算表,副本难度推算!$H$3,FALSE)</f>
        <v>686.5499245700579</v>
      </c>
      <c r="G150" s="72">
        <f>VLOOKUP($C150,难度推算表,副本难度推算!$G$3,FALSE)-VLOOKUP($C150,难度推算表,副本难度推算!$I$3,FALSE)*(2-副本难度推算!$AA$5)*(2-$S150)</f>
        <v>266.29066354515066</v>
      </c>
      <c r="H150" s="72">
        <f>VLOOKUP($C150,难度推算表,副本难度推算!$M$3,FALSE)*副本难度推算!$Y$6*Q150</f>
        <v>10944.38957288763</v>
      </c>
      <c r="I150" s="72">
        <f>VLOOKUP($C150,难度推算表,副本难度推算!$P$3,FALSE)*副本难度推算!$Z$6*$R150+VLOOKUP($C150,难度推算表,副本难度推算!$H$3,FALSE)</f>
        <v>653.40035391907213</v>
      </c>
      <c r="J150" s="72">
        <f>VLOOKUP($C150,难度推算表,副本难度推算!$G$3,FALSE)-VLOOKUP($C150,难度推算表,副本难度推算!$I$3,FALSE)*(2-副本难度推算!$AA$6)*(2-$S150)</f>
        <v>159.77439812709042</v>
      </c>
      <c r="K150" s="72">
        <f>VLOOKUP($C150,难度推算表,副本难度推算!$M$3,FALSE)*副本难度推算!$Y$7*Q150</f>
        <v>34201.217415273837</v>
      </c>
      <c r="L150" s="72">
        <f>VLOOKUP($C150,难度推算表,副本难度推算!$P$3,FALSE)*副本难度推算!$Z$7*$R150+VLOOKUP($C150,难度推算表,副本难度推算!$H$3,FALSE)</f>
        <v>752.84906587202931</v>
      </c>
      <c r="M150" s="72">
        <f>VLOOKUP($C150,难度推算表,副本难度推算!$G$3,FALSE)-VLOOKUP($C150,难度推算表,副本难度推算!$I$3,FALSE)*(2-副本难度推算!$AA$7)*(2-$S150)</f>
        <v>372.80692896321079</v>
      </c>
      <c r="N150" s="2">
        <f>VLOOKUP($C150,难度推算表,副本难度推算!$Q$3,FALSE)</f>
        <v>1680.8440000000001</v>
      </c>
      <c r="O150" s="2">
        <f>VLOOKUP($C150,难度推算表,副本难度推算!$R$3,FALSE)</f>
        <v>0</v>
      </c>
      <c r="Q150" s="140">
        <f t="shared" si="13"/>
        <v>1.2</v>
      </c>
      <c r="R150" s="140">
        <f t="shared" si="14"/>
        <v>1.1000000000000001</v>
      </c>
      <c r="S150" s="140">
        <f t="shared" si="15"/>
        <v>0.8</v>
      </c>
      <c r="V150" s="140"/>
      <c r="W150" s="140"/>
      <c r="X150" s="140"/>
    </row>
    <row r="151" spans="1:24">
      <c r="A151" s="2" t="str">
        <f t="shared" si="17"/>
        <v>护送</v>
      </c>
      <c r="B151" s="2" t="str">
        <f>怪物并表!$R$14</f>
        <v>英雄之路</v>
      </c>
      <c r="C151" s="2">
        <v>24</v>
      </c>
      <c r="D151" s="28">
        <f t="shared" si="12"/>
        <v>1903</v>
      </c>
      <c r="E151" s="72">
        <f>VLOOKUP($C151,难度推算表,副本难度推算!$M$3,FALSE)*副本难度推算!$Y$5*Q151</f>
        <v>15341.86846840106</v>
      </c>
      <c r="F151" s="72">
        <f>VLOOKUP($C151,难度推算表,副本难度推算!$P$3,FALSE)*副本难度推算!$Z$5*$R151+VLOOKUP($C151,难度推算表,副本难度推算!$H$3,FALSE)</f>
        <v>767.10481979964379</v>
      </c>
      <c r="G151" s="72">
        <f>VLOOKUP($C151,难度推算表,副本难度推算!$G$3,FALSE)-VLOOKUP($C151,难度推算表,副本难度推算!$I$3,FALSE)*(2-副本难度推算!$AA$5)*(2-$S151)</f>
        <v>292.66999866220738</v>
      </c>
      <c r="H151" s="72">
        <f>VLOOKUP($C151,难度推算表,副本难度推算!$M$3,FALSE)*副本难度推算!$Y$6*Q151</f>
        <v>12273.49477472085</v>
      </c>
      <c r="I151" s="72">
        <f>VLOOKUP($C151,难度推算表,副本难度推算!$P$3,FALSE)*副本难度推算!$Z$6*$R151+VLOOKUP($C151,难度推算表,副本难度推算!$H$3,FALSE)</f>
        <v>729.41700430797368</v>
      </c>
      <c r="J151" s="72">
        <f>VLOOKUP($C151,难度推算表,副本难度推算!$G$3,FALSE)-VLOOKUP($C151,难度推算表,副本难度推算!$I$3,FALSE)*(2-副本难度推算!$AA$6)*(2-$S151)</f>
        <v>175.6019991973244</v>
      </c>
      <c r="K151" s="72">
        <f>VLOOKUP($C151,难度推算表,副本难度推算!$M$3,FALSE)*副本难度推算!$Y$7*Q151</f>
        <v>38354.67117100265</v>
      </c>
      <c r="L151" s="72">
        <f>VLOOKUP($C151,难度推算表,副本难度推算!$P$3,FALSE)*副本难度推算!$Z$7*$R151+VLOOKUP($C151,难度推算表,副本难度推算!$H$3,FALSE)</f>
        <v>842.48045078298389</v>
      </c>
      <c r="M151" s="72">
        <f>VLOOKUP($C151,难度推算表,副本难度推算!$G$3,FALSE)-VLOOKUP($C151,难度推算表,副本难度推算!$I$3,FALSE)*(2-副本难度推算!$AA$7)*(2-$S151)</f>
        <v>409.73799812709035</v>
      </c>
      <c r="N151" s="2">
        <f>VLOOKUP($C151,难度推算表,副本难度推算!$Q$3,FALSE)</f>
        <v>1739.0720000000001</v>
      </c>
      <c r="O151" s="2">
        <f>VLOOKUP($C151,难度推算表,副本难度推算!$R$3,FALSE)</f>
        <v>0</v>
      </c>
      <c r="Q151" s="140">
        <f t="shared" si="13"/>
        <v>1.2</v>
      </c>
      <c r="R151" s="140">
        <f t="shared" si="14"/>
        <v>1.1000000000000001</v>
      </c>
      <c r="S151" s="140">
        <f t="shared" si="15"/>
        <v>0.8</v>
      </c>
      <c r="V151" s="140"/>
      <c r="W151" s="140"/>
      <c r="X151" s="140"/>
    </row>
    <row r="152" spans="1:24">
      <c r="A152" s="2" t="str">
        <f t="shared" si="17"/>
        <v>护送</v>
      </c>
      <c r="B152" s="2" t="str">
        <f>怪物并表!$R$14</f>
        <v>英雄之路</v>
      </c>
      <c r="C152" s="2">
        <v>25</v>
      </c>
      <c r="D152" s="28">
        <f t="shared" si="12"/>
        <v>1903</v>
      </c>
      <c r="E152" s="72">
        <f>VLOOKUP($C152,难度推算表,副本难度推算!$M$3,FALSE)*副本难度推算!$Y$5*Q152</f>
        <v>17113.257457868222</v>
      </c>
      <c r="F152" s="72">
        <f>VLOOKUP($C152,难度推算表,副本难度推算!$P$3,FALSE)*副本难度推算!$Z$5*$R152+VLOOKUP($C152,难度推算表,副本难度推算!$H$3,FALSE)</f>
        <v>852.98382233056304</v>
      </c>
      <c r="G152" s="72">
        <f>VLOOKUP($C152,难度推算表,副本难度推算!$G$3,FALSE)-VLOOKUP($C152,难度推算表,副本难度推算!$I$3,FALSE)*(2-副本难度推算!$AA$5)*(2-$S152)</f>
        <v>320.12638795986629</v>
      </c>
      <c r="H152" s="72">
        <f>VLOOKUP($C152,难度推算表,副本难度推算!$M$3,FALSE)*副本难度推算!$Y$6*Q152</f>
        <v>13690.605966294577</v>
      </c>
      <c r="I152" s="72">
        <f>VLOOKUP($C152,难度推算表,副本难度推算!$P$3,FALSE)*副本难度推算!$Z$6*$R152+VLOOKUP($C152,难度推算表,副本难度推算!$H$3,FALSE)</f>
        <v>810.36895849215557</v>
      </c>
      <c r="J152" s="72">
        <f>VLOOKUP($C152,难度推算表,副本难度推算!$G$3,FALSE)-VLOOKUP($C152,难度推算表,副本难度推算!$I$3,FALSE)*(2-副本难度推算!$AA$6)*(2-$S152)</f>
        <v>192.07583277591971</v>
      </c>
      <c r="K152" s="72">
        <f>VLOOKUP($C152,难度推算表,副本难度推算!$M$3,FALSE)*副本难度推算!$Y$7*Q152</f>
        <v>42783.143644670556</v>
      </c>
      <c r="L152" s="72">
        <f>VLOOKUP($C152,难度推算表,副本难度推算!$P$3,FALSE)*副本难度推算!$Z$7*$R152+VLOOKUP($C152,难度推算表,副本难度推算!$H$3,FALSE)</f>
        <v>938.21355000737799</v>
      </c>
      <c r="M152" s="72">
        <f>VLOOKUP($C152,难度推算表,副本难度推算!$G$3,FALSE)-VLOOKUP($C152,难度推算表,副本难度推算!$I$3,FALSE)*(2-副本难度推算!$AA$7)*(2-$S152)</f>
        <v>448.17694314381288</v>
      </c>
      <c r="N152" s="2">
        <f>VLOOKUP($C152,难度推算表,副本难度推算!$Q$3,FALSE)</f>
        <v>1797.3000000000002</v>
      </c>
      <c r="O152" s="2">
        <f>VLOOKUP($C152,难度推算表,副本难度推算!$R$3,FALSE)</f>
        <v>0</v>
      </c>
      <c r="Q152" s="140">
        <f t="shared" si="13"/>
        <v>1.2</v>
      </c>
      <c r="R152" s="140">
        <f t="shared" si="14"/>
        <v>1.1000000000000001</v>
      </c>
      <c r="S152" s="140">
        <f t="shared" si="15"/>
        <v>0.8</v>
      </c>
      <c r="V152" s="140"/>
      <c r="W152" s="140"/>
      <c r="X152" s="140"/>
    </row>
    <row r="153" spans="1:24">
      <c r="A153" s="2" t="str">
        <f t="shared" si="17"/>
        <v>护送</v>
      </c>
      <c r="B153" s="2" t="str">
        <f>怪物并表!$R$14</f>
        <v>英雄之路</v>
      </c>
      <c r="C153" s="2">
        <v>26</v>
      </c>
      <c r="D153" s="28">
        <f t="shared" si="12"/>
        <v>1903</v>
      </c>
      <c r="E153" s="72">
        <f>VLOOKUP($C153,难度推算表,副本难度推算!$M$3,FALSE)*副本难度推算!$Y$5*Q153</f>
        <v>19238.535566697989</v>
      </c>
      <c r="F153" s="72">
        <f>VLOOKUP($C153,难度推算表,副本难度推算!$P$3,FALSE)*副本难度推算!$Z$5*$R153+VLOOKUP($C153,难度推算表,副本难度推算!$H$3,FALSE)</f>
        <v>956.36371429742144</v>
      </c>
      <c r="G153" s="72">
        <f>VLOOKUP($C153,难度推算表,副本难度推算!$G$3,FALSE)-VLOOKUP($C153,难度推算表,副本难度推算!$I$3,FALSE)*(2-副本难度推算!$AA$5)*(2-$S153)</f>
        <v>353.08351143812718</v>
      </c>
      <c r="H153" s="72">
        <f>VLOOKUP($C153,难度推算表,副本难度推算!$M$3,FALSE)*副本难度推算!$Y$6*Q153</f>
        <v>15390.828453358392</v>
      </c>
      <c r="I153" s="72">
        <f>VLOOKUP($C153,难度推算表,副本难度推算!$P$3,FALSE)*副本难度推算!$Z$6*$R153+VLOOKUP($C153,难度推算表,副本难度推算!$H$3,FALSE)</f>
        <v>907.80514439276283</v>
      </c>
      <c r="J153" s="72">
        <f>VLOOKUP($C153,难度推算表,副本难度推算!$G$3,FALSE)-VLOOKUP($C153,难度推算表,副本难度推算!$I$3,FALSE)*(2-副本难度推算!$AA$6)*(2-$S153)</f>
        <v>211.85010686287626</v>
      </c>
      <c r="K153" s="72">
        <f>VLOOKUP($C153,难度推算表,副本难度推算!$M$3,FALSE)*副本难度推算!$Y$7*Q153</f>
        <v>48096.338916744971</v>
      </c>
      <c r="L153" s="72">
        <f>VLOOKUP($C153,难度推算表,副本难度推算!$P$3,FALSE)*副本难度推算!$Z$7*$R153+VLOOKUP($C153,难度推算表,副本难度推算!$H$3,FALSE)</f>
        <v>1053.4808541067384</v>
      </c>
      <c r="M153" s="72">
        <f>VLOOKUP($C153,难度推算表,副本难度推算!$G$3,FALSE)-VLOOKUP($C153,难度推算表,副本难度推算!$I$3,FALSE)*(2-副本难度推算!$AA$7)*(2-$S153)</f>
        <v>494.31691601337809</v>
      </c>
      <c r="N153" s="2">
        <f>VLOOKUP($C153,难度推算表,副本难度推算!$Q$3,FALSE)</f>
        <v>1855.528</v>
      </c>
      <c r="O153" s="2">
        <f>VLOOKUP($C153,难度推算表,副本难度推算!$R$3,FALSE)</f>
        <v>0</v>
      </c>
      <c r="Q153" s="140">
        <f t="shared" si="13"/>
        <v>1.2</v>
      </c>
      <c r="R153" s="140">
        <f t="shared" si="14"/>
        <v>1.1000000000000001</v>
      </c>
      <c r="S153" s="140">
        <f t="shared" si="15"/>
        <v>0.8</v>
      </c>
      <c r="V153" s="140"/>
      <c r="W153" s="140"/>
      <c r="X153" s="140"/>
    </row>
    <row r="154" spans="1:24">
      <c r="A154" s="2" t="str">
        <f t="shared" si="17"/>
        <v>护送</v>
      </c>
      <c r="B154" s="2" t="str">
        <f>怪物并表!$R$14</f>
        <v>英雄之路</v>
      </c>
      <c r="C154" s="2">
        <v>27</v>
      </c>
      <c r="D154" s="28">
        <f t="shared" si="12"/>
        <v>1903</v>
      </c>
      <c r="E154" s="72">
        <f>VLOOKUP($C154,难度推算表,副本难度推算!$M$3,FALSE)*副本难度推算!$Y$5*Q154</f>
        <v>21502.190499200929</v>
      </c>
      <c r="F154" s="72">
        <f>VLOOKUP($C154,难度推算表,副本难度推算!$P$3,FALSE)*副本难度推算!$Z$5*$R154+VLOOKUP($C154,难度推算表,副本难度推算!$H$3,FALSE)</f>
        <v>1066.5351110224519</v>
      </c>
      <c r="G154" s="72">
        <f>VLOOKUP($C154,难度推算表,副本难度推算!$G$3,FALSE)-VLOOKUP($C154,难度推算表,副本难度推算!$I$3,FALSE)*(2-副本难度推算!$AA$5)*(2-$S154)</f>
        <v>387.36344909699017</v>
      </c>
      <c r="H154" s="72">
        <f>VLOOKUP($C154,难度推算表,副本难度推算!$M$3,FALSE)*副本难度推算!$Y$6*Q154</f>
        <v>17201.752399360746</v>
      </c>
      <c r="I154" s="72">
        <f>VLOOKUP($C154,难度推算表,副本难度推算!$P$3,FALSE)*副本难度推算!$Z$6*$R154+VLOOKUP($C154,难度推算表,副本难度推算!$H$3,FALSE)</f>
        <v>1011.5300597998055</v>
      </c>
      <c r="J154" s="72">
        <f>VLOOKUP($C154,难度推算表,副本难度推算!$G$3,FALSE)-VLOOKUP($C154,难度推算表,副本难度推算!$I$3,FALSE)*(2-副本难度推算!$AA$6)*(2-$S154)</f>
        <v>232.41806945819417</v>
      </c>
      <c r="K154" s="72">
        <f>VLOOKUP($C154,难度推算表,副本难度推算!$M$3,FALSE)*副本难度推算!$Y$7*Q154</f>
        <v>53755.476248002327</v>
      </c>
      <c r="L154" s="72">
        <f>VLOOKUP($C154,难度推算表,副本难度推算!$P$3,FALSE)*副本难度推算!$Z$7*$R154+VLOOKUP($C154,难度推算表,副本难度推算!$H$3,FALSE)</f>
        <v>1176.545213467745</v>
      </c>
      <c r="M154" s="72">
        <f>VLOOKUP($C154,难度推算表,副本难度推算!$G$3,FALSE)-VLOOKUP($C154,难度推算表,副本难度推算!$I$3,FALSE)*(2-副本难度推算!$AA$7)*(2-$S154)</f>
        <v>542.30882873578616</v>
      </c>
      <c r="N154" s="2">
        <f>VLOOKUP($C154,难度推算表,副本难度推算!$Q$3,FALSE)</f>
        <v>1913.7559999999999</v>
      </c>
      <c r="O154" s="2">
        <f>VLOOKUP($C154,难度推算表,副本难度推算!$R$3,FALSE)</f>
        <v>0</v>
      </c>
      <c r="Q154" s="140">
        <f t="shared" si="13"/>
        <v>1.2</v>
      </c>
      <c r="R154" s="140">
        <f t="shared" si="14"/>
        <v>1.1000000000000001</v>
      </c>
      <c r="S154" s="140">
        <f t="shared" si="15"/>
        <v>0.8</v>
      </c>
      <c r="V154" s="140"/>
      <c r="W154" s="140"/>
      <c r="X154" s="140"/>
    </row>
    <row r="155" spans="1:24">
      <c r="A155" s="2" t="str">
        <f t="shared" si="17"/>
        <v>护送</v>
      </c>
      <c r="B155" s="2" t="str">
        <f>怪物并表!$R$14</f>
        <v>英雄之路</v>
      </c>
      <c r="C155" s="2">
        <v>28</v>
      </c>
      <c r="D155" s="28">
        <f t="shared" si="12"/>
        <v>1903</v>
      </c>
      <c r="E155" s="72">
        <f>VLOOKUP($C155,难度推算表,副本难度推算!$M$3,FALSE)*副本难度推算!$Y$5*Q155</f>
        <v>23907.707537573606</v>
      </c>
      <c r="F155" s="72">
        <f>VLOOKUP($C155,难度推算表,副本难度推算!$P$3,FALSE)*副本难度推算!$Z$5*$R155+VLOOKUP($C155,难度推算表,副本难度推算!$H$3,FALSE)</f>
        <v>1183.7461525006433</v>
      </c>
      <c r="G155" s="72">
        <f>VLOOKUP($C155,难度推算表,副本难度推算!$G$3,FALSE)-VLOOKUP($C155,难度推算表,副本难度推算!$I$3,FALSE)*(2-副本难度推算!$AA$5)*(2-$S155)</f>
        <v>422.96620093645492</v>
      </c>
      <c r="H155" s="72">
        <f>VLOOKUP($C155,难度推算表,副本难度推算!$M$3,FALSE)*副本难度推算!$Y$6*Q155</f>
        <v>19126.166030058885</v>
      </c>
      <c r="I155" s="72">
        <f>VLOOKUP($C155,难度推算表,副本难度推算!$P$3,FALSE)*副本难度推算!$Z$6*$R155+VLOOKUP($C155,难度推算表,副本难度推算!$H$3,FALSE)</f>
        <v>1121.7670307087731</v>
      </c>
      <c r="J155" s="72">
        <f>VLOOKUP($C155,难度推算表,副本难度推算!$G$3,FALSE)-VLOOKUP($C155,难度推算表,副本难度推算!$I$3,FALSE)*(2-副本难度推算!$AA$6)*(2-$S155)</f>
        <v>253.77972056187298</v>
      </c>
      <c r="K155" s="72">
        <f>VLOOKUP($C155,难度推算表,副本难度推算!$M$3,FALSE)*副本难度推算!$Y$7*Q155</f>
        <v>59769.268843934013</v>
      </c>
      <c r="L155" s="72">
        <f>VLOOKUP($C155,难度推算表,副本难度推算!$P$3,FALSE)*副本难度推算!$Z$7*$R155+VLOOKUP($C155,难度推算表,副本难度推算!$H$3,FALSE)</f>
        <v>1307.7043960843839</v>
      </c>
      <c r="M155" s="72">
        <f>VLOOKUP($C155,难度推算表,副本难度推算!$G$3,FALSE)-VLOOKUP($C155,难度推算表,副本难度推算!$I$3,FALSE)*(2-副本难度推算!$AA$7)*(2-$S155)</f>
        <v>592.15268131103699</v>
      </c>
      <c r="N155" s="2">
        <f>VLOOKUP($C155,难度推算表,副本难度推算!$Q$3,FALSE)</f>
        <v>1971.9840000000002</v>
      </c>
      <c r="O155" s="2">
        <f>VLOOKUP($C155,难度推算表,副本难度推算!$R$3,FALSE)</f>
        <v>0</v>
      </c>
      <c r="Q155" s="140">
        <f t="shared" si="13"/>
        <v>1.2</v>
      </c>
      <c r="R155" s="140">
        <f t="shared" si="14"/>
        <v>1.1000000000000001</v>
      </c>
      <c r="S155" s="140">
        <f t="shared" si="15"/>
        <v>0.8</v>
      </c>
      <c r="V155" s="140"/>
      <c r="W155" s="140"/>
      <c r="X155" s="140"/>
    </row>
    <row r="156" spans="1:24">
      <c r="A156" s="2" t="str">
        <f t="shared" si="17"/>
        <v>护送</v>
      </c>
      <c r="B156" s="2" t="str">
        <f>怪物并表!$R$14</f>
        <v>英雄之路</v>
      </c>
      <c r="C156" s="2">
        <v>29</v>
      </c>
      <c r="D156" s="28">
        <f t="shared" si="12"/>
        <v>1903</v>
      </c>
      <c r="E156" s="72">
        <f>VLOOKUP($C156,难度推算表,副本难度推算!$M$3,FALSE)*副本难度推算!$Y$5*Q156</f>
        <v>26458.561865193285</v>
      </c>
      <c r="F156" s="72">
        <f>VLOOKUP($C156,难度推算表,副本难度推算!$P$3,FALSE)*副本难度推算!$Z$5*$R156+VLOOKUP($C156,难度推算表,副本难度推算!$H$3,FALSE)</f>
        <v>1308.2521886057752</v>
      </c>
      <c r="G156" s="72">
        <f>VLOOKUP($C156,难度推算表,副本难度推算!$G$3,FALSE)-VLOOKUP($C156,难度推算表,副本难度推算!$I$3,FALSE)*(2-副本难度推算!$AA$5)*(2-$S156)</f>
        <v>459.89176695652213</v>
      </c>
      <c r="H156" s="72">
        <f>VLOOKUP($C156,难度推算表,副本难度推算!$M$3,FALSE)*副本难度推算!$Y$6*Q156</f>
        <v>21166.849492154633</v>
      </c>
      <c r="I156" s="72">
        <f>VLOOKUP($C156,难度推算表,副本难度推算!$P$3,FALSE)*副本难度推算!$Z$6*$R156+VLOOKUP($C156,难度推算表,副本难度推算!$H$3,FALSE)</f>
        <v>1238.7458720060672</v>
      </c>
      <c r="J156" s="72">
        <f>VLOOKUP($C156,难度推算表,副本难度推算!$G$3,FALSE)-VLOOKUP($C156,难度推算表,副本难度推算!$I$3,FALSE)*(2-副本难度推算!$AA$6)*(2-$S156)</f>
        <v>275.93506017391337</v>
      </c>
      <c r="K156" s="72">
        <f>VLOOKUP($C156,难度推算表,副本难度推算!$M$3,FALSE)*副本难度推算!$Y$7*Q156</f>
        <v>66146.404662983216</v>
      </c>
      <c r="L156" s="72">
        <f>VLOOKUP($C156,难度推算表,副本难度推算!$P$3,FALSE)*副本难度推算!$Z$7*$R156+VLOOKUP($C156,难度推算表,副本难度推算!$H$3,FALSE)</f>
        <v>1447.2648218051909</v>
      </c>
      <c r="M156" s="72">
        <f>VLOOKUP($C156,难度推算表,副本难度推算!$G$3,FALSE)-VLOOKUP($C156,难度推算表,副本难度推算!$I$3,FALSE)*(2-副本难度推算!$AA$7)*(2-$S156)</f>
        <v>643.84847373913078</v>
      </c>
      <c r="N156" s="2">
        <f>VLOOKUP($C156,难度推算表,副本难度推算!$Q$3,FALSE)</f>
        <v>2030.212</v>
      </c>
      <c r="O156" s="2">
        <f>VLOOKUP($C156,难度推算表,副本难度推算!$R$3,FALSE)</f>
        <v>0</v>
      </c>
      <c r="Q156" s="140">
        <f t="shared" si="13"/>
        <v>1.2</v>
      </c>
      <c r="R156" s="140">
        <f t="shared" si="14"/>
        <v>1.1000000000000001</v>
      </c>
      <c r="S156" s="140">
        <f t="shared" si="15"/>
        <v>0.8</v>
      </c>
      <c r="V156" s="140"/>
      <c r="W156" s="140"/>
      <c r="X156" s="140"/>
    </row>
    <row r="157" spans="1:24">
      <c r="A157" s="2" t="str">
        <f t="shared" si="17"/>
        <v>护送</v>
      </c>
      <c r="B157" s="2" t="str">
        <f>怪物并表!$R$14</f>
        <v>英雄之路</v>
      </c>
      <c r="C157" s="2">
        <v>30</v>
      </c>
      <c r="D157" s="28">
        <f t="shared" si="12"/>
        <v>1903</v>
      </c>
      <c r="E157" s="72">
        <f>VLOOKUP($C157,难度推算表,副本难度推算!$M$3,FALSE)*副本难度推算!$Y$5*Q157</f>
        <v>29522.696714699276</v>
      </c>
      <c r="F157" s="72">
        <f>VLOOKUP($C157,难度推算表,副本难度推算!$P$3,FALSE)*副本难度推算!$Z$5*$R157+VLOOKUP($C157,难度推算表,副本难度推算!$H$3,FALSE)</f>
        <v>1458.3199934022971</v>
      </c>
      <c r="G157" s="72">
        <f>VLOOKUP($C157,难度推算表,副本难度推算!$G$3,FALSE)-VLOOKUP($C157,难度推算表,副本难度推算!$I$3,FALSE)*(2-副本难度推算!$AA$5)*(2-$S157)</f>
        <v>504.36689899665589</v>
      </c>
      <c r="H157" s="72">
        <f>VLOOKUP($C157,难度推算表,副本难度推算!$M$3,FALSE)*副本难度推算!$Y$6*Q157</f>
        <v>23618.157371759426</v>
      </c>
      <c r="I157" s="72">
        <f>VLOOKUP($C157,难度推算表,副本难度推算!$P$3,FALSE)*副本难度推算!$Z$6*$R157+VLOOKUP($C157,难度推算表,副本难度推算!$H$3,FALSE)</f>
        <v>1379.7369139282882</v>
      </c>
      <c r="J157" s="72">
        <f>VLOOKUP($C157,难度推算表,副本难度推算!$G$3,FALSE)-VLOOKUP($C157,难度推算表,副本难度推算!$I$3,FALSE)*(2-副本难度推算!$AA$6)*(2-$S157)</f>
        <v>302.62013939799363</v>
      </c>
      <c r="K157" s="72">
        <f>VLOOKUP($C157,难度推算表,副本难度推算!$M$3,FALSE)*副本难度推算!$Y$7*Q157</f>
        <v>73806.741786748185</v>
      </c>
      <c r="L157" s="72">
        <f>VLOOKUP($C157,难度推算表,副本难度推算!$P$3,FALSE)*副本难度推算!$Z$7*$R157+VLOOKUP($C157,难度推算表,副本难度推算!$H$3,FALSE)</f>
        <v>1615.486152350315</v>
      </c>
      <c r="M157" s="72">
        <f>VLOOKUP($C157,难度推算表,副本难度推算!$G$3,FALSE)-VLOOKUP($C157,难度推算表,副本难度推算!$I$3,FALSE)*(2-副本难度推算!$AA$7)*(2-$S157)</f>
        <v>706.11365859531804</v>
      </c>
      <c r="N157" s="2">
        <f>VLOOKUP($C157,难度推算表,副本难度推算!$Q$3,FALSE)</f>
        <v>2088.44</v>
      </c>
      <c r="O157" s="2">
        <f>VLOOKUP($C157,难度推算表,副本难度推算!$R$3,FALSE)</f>
        <v>0</v>
      </c>
      <c r="Q157" s="140">
        <f t="shared" si="13"/>
        <v>1.2</v>
      </c>
      <c r="R157" s="140">
        <f t="shared" si="14"/>
        <v>1.1000000000000001</v>
      </c>
      <c r="S157" s="140">
        <f t="shared" si="15"/>
        <v>0.8</v>
      </c>
      <c r="V157" s="140"/>
      <c r="W157" s="140"/>
      <c r="X157" s="140"/>
    </row>
    <row r="158" spans="1:24">
      <c r="A158" s="2" t="str">
        <f t="shared" si="17"/>
        <v>护送</v>
      </c>
      <c r="B158" s="2" t="str">
        <f>怪物并表!$R$14</f>
        <v>英雄之路</v>
      </c>
      <c r="C158" s="2">
        <v>31</v>
      </c>
      <c r="D158" s="28">
        <f t="shared" si="12"/>
        <v>1903</v>
      </c>
      <c r="E158" s="72">
        <f>VLOOKUP($C158,难度推算表,副本难度推算!$M$3,FALSE)*副本难度推算!$Y$5*Q158</f>
        <v>32868.748398936812</v>
      </c>
      <c r="F158" s="72">
        <f>VLOOKUP($C158,难度推算表,副本难度推算!$P$3,FALSE)*副本难度推算!$Z$5*$R158+VLOOKUP($C158,难度推算表,副本难度推算!$H$3,FALSE)</f>
        <v>1619.0872415012998</v>
      </c>
      <c r="G158" s="72">
        <f>VLOOKUP($C158,难度推算表,副本难度推算!$G$3,FALSE)-VLOOKUP($C158,难度推算表,副本难度推算!$I$3,FALSE)*(2-副本难度推算!$AA$5)*(2-$S158)</f>
        <v>550.27542605538474</v>
      </c>
      <c r="H158" s="72">
        <f>VLOOKUP($C158,难度推算表,副本难度推算!$M$3,FALSE)*副本难度推算!$Y$6*Q158</f>
        <v>26294.998719149451</v>
      </c>
      <c r="I158" s="72">
        <f>VLOOKUP($C158,难度推算表,副本难度推算!$P$3,FALSE)*副本难度推算!$Z$6*$R158+VLOOKUP($C158,难度推算表,副本难度推算!$H$3,FALSE)</f>
        <v>1531.5400614127084</v>
      </c>
      <c r="J158" s="72">
        <f>VLOOKUP($C158,难度推算表,副本难度推算!$G$3,FALSE)-VLOOKUP($C158,难度推算表,副本难度推算!$I$3,FALSE)*(2-副本难度推算!$AA$6)*(2-$S158)</f>
        <v>325.7035629895388</v>
      </c>
      <c r="K158" s="72">
        <f>VLOOKUP($C158,难度推算表,副本难度推算!$M$3,FALSE)*副本难度推算!$Y$7*Q158</f>
        <v>82171.870997342034</v>
      </c>
      <c r="L158" s="72">
        <f>VLOOKUP($C158,难度推算表,副本难度推算!$P$3,FALSE)*副本难度推算!$Z$7*$R158+VLOOKUP($C158,难度推算表,副本难度推算!$H$3,FALSE)</f>
        <v>1794.1816016784828</v>
      </c>
      <c r="M158" s="72">
        <f>VLOOKUP($C158,难度推算表,副本难度推算!$G$3,FALSE)-VLOOKUP($C158,难度推算表,副本难度推算!$I$3,FALSE)*(2-副本难度推算!$AA$7)*(2-$S158)</f>
        <v>774.84728912123103</v>
      </c>
      <c r="N158" s="2">
        <f>VLOOKUP($C158,难度推算表,副本难度推算!$Q$3,FALSE)</f>
        <v>2146.6680000000001</v>
      </c>
      <c r="O158" s="2">
        <f>VLOOKUP($C158,难度推算表,副本难度推算!$R$3,FALSE)</f>
        <v>0</v>
      </c>
      <c r="Q158" s="140">
        <f t="shared" si="13"/>
        <v>1.1879999999999999</v>
      </c>
      <c r="R158" s="140">
        <f t="shared" si="14"/>
        <v>1.089</v>
      </c>
      <c r="S158" s="140">
        <f t="shared" si="15"/>
        <v>0.79200000000000004</v>
      </c>
      <c r="V158" s="140"/>
      <c r="W158" s="140"/>
      <c r="X158" s="140"/>
    </row>
    <row r="159" spans="1:24">
      <c r="A159" s="2" t="str">
        <f t="shared" si="17"/>
        <v>护送</v>
      </c>
      <c r="B159" s="2" t="str">
        <f>怪物并表!$R$14</f>
        <v>英雄之路</v>
      </c>
      <c r="C159" s="2">
        <v>32</v>
      </c>
      <c r="D159" s="28">
        <f t="shared" si="12"/>
        <v>1903</v>
      </c>
      <c r="E159" s="72">
        <f>VLOOKUP($C159,难度推算表,副本难度推算!$M$3,FALSE)*副本难度推算!$Y$5*Q159</f>
        <v>36444.844974867119</v>
      </c>
      <c r="F159" s="72">
        <f>VLOOKUP($C159,难度推算表,副本难度推算!$P$3,FALSE)*副本难度推算!$Z$5*$R159+VLOOKUP($C159,难度推算表,副本难度推算!$H$3,FALSE)</f>
        <v>1790.7376628155162</v>
      </c>
      <c r="G159" s="72">
        <f>VLOOKUP($C159,难度推算表,副本难度推算!$G$3,FALSE)-VLOOKUP($C159,难度推算表,副本难度推算!$I$3,FALSE)*(2-副本难度推算!$AA$5)*(2-$S159)</f>
        <v>598.0889005051506</v>
      </c>
      <c r="H159" s="72">
        <f>VLOOKUP($C159,难度推算表,副本难度推算!$M$3,FALSE)*副本难度推算!$Y$6*Q159</f>
        <v>29155.875979893695</v>
      </c>
      <c r="I159" s="72">
        <f>VLOOKUP($C159,难度推算表,副本难度推算!$P$3,FALSE)*副本难度推算!$Z$6*$R159+VLOOKUP($C159,难度推算表,副本难度推算!$H$3,FALSE)</f>
        <v>1693.5938829045331</v>
      </c>
      <c r="J159" s="72">
        <f>VLOOKUP($C159,难度推算表,副本难度推算!$G$3,FALSE)-VLOOKUP($C159,难度推算表,副本难度推算!$I$3,FALSE)*(2-副本难度推算!$AA$6)*(2-$S159)</f>
        <v>349.0217419386222</v>
      </c>
      <c r="K159" s="72">
        <f>VLOOKUP($C159,难度推算表,副本难度推算!$M$3,FALSE)*副本难度推算!$Y$7*Q159</f>
        <v>91112.112437167802</v>
      </c>
      <c r="L159" s="72">
        <f>VLOOKUP($C159,难度推算表,副本难度推算!$P$3,FALSE)*副本难度推算!$Z$7*$R159+VLOOKUP($C159,难度推算表,副本难度推算!$H$3,FALSE)</f>
        <v>1985.0252226374823</v>
      </c>
      <c r="M159" s="72">
        <f>VLOOKUP($C159,难度推算表,副本难度推算!$G$3,FALSE)-VLOOKUP($C159,难度推算表,副本难度推算!$I$3,FALSE)*(2-副本难度推算!$AA$7)*(2-$S159)</f>
        <v>847.15605907167912</v>
      </c>
      <c r="N159" s="2">
        <f>VLOOKUP($C159,难度推算表,副本难度推算!$Q$3,FALSE)</f>
        <v>2204.8960000000002</v>
      </c>
      <c r="O159" s="2">
        <f>VLOOKUP($C159,难度推算表,副本难度推算!$R$3,FALSE)</f>
        <v>0</v>
      </c>
      <c r="Q159" s="140">
        <f t="shared" si="13"/>
        <v>1.1759999999999999</v>
      </c>
      <c r="R159" s="140">
        <f t="shared" si="14"/>
        <v>1.0780000000000001</v>
      </c>
      <c r="S159" s="140">
        <f t="shared" si="15"/>
        <v>0.78400000000000003</v>
      </c>
      <c r="V159" s="140"/>
      <c r="W159" s="140"/>
      <c r="X159" s="140"/>
    </row>
    <row r="160" spans="1:24">
      <c r="A160" s="2" t="str">
        <f t="shared" si="17"/>
        <v>护送</v>
      </c>
      <c r="B160" s="2" t="str">
        <f>怪物并表!$R$14</f>
        <v>英雄之路</v>
      </c>
      <c r="C160" s="2">
        <v>33</v>
      </c>
      <c r="D160" s="28">
        <f t="shared" si="12"/>
        <v>1903</v>
      </c>
      <c r="E160" s="72">
        <f>VLOOKUP($C160,难度推算表,副本难度推算!$M$3,FALSE)*副本难度推算!$Y$5*Q160</f>
        <v>40243.200601403434</v>
      </c>
      <c r="F160" s="72">
        <f>VLOOKUP($C160,难度推算表,副本难度推算!$P$3,FALSE)*副本难度推算!$Z$5*$R160+VLOOKUP($C160,难度推算表,副本难度推算!$H$3,FALSE)</f>
        <v>1972.9295995155389</v>
      </c>
      <c r="G160" s="72">
        <f>VLOOKUP($C160,难度推算表,副本难度推算!$G$3,FALSE)-VLOOKUP($C160,难度推算表,副本难度推算!$I$3,FALSE)*(2-副本难度推算!$AA$5)*(2-$S160)</f>
        <v>647.54781172976641</v>
      </c>
      <c r="H160" s="72">
        <f>VLOOKUP($C160,难度推算表,副本难度推算!$M$3,FALSE)*副本难度推算!$Y$6*Q160</f>
        <v>32194.560481122749</v>
      </c>
      <c r="I160" s="72">
        <f>VLOOKUP($C160,难度推算表,副本难度推算!$P$3,FALSE)*副本难度推算!$Z$6*$R160+VLOOKUP($C160,难度推算表,副本难度推算!$H$3,FALSE)</f>
        <v>1865.5738356375637</v>
      </c>
      <c r="J160" s="72">
        <f>VLOOKUP($C160,难度推算表,副本难度推算!$G$3,FALSE)-VLOOKUP($C160,难度推算表,副本难度推算!$I$3,FALSE)*(2-副本难度推算!$AA$6)*(2-$S160)</f>
        <v>372.33999174461587</v>
      </c>
      <c r="K160" s="72">
        <f>VLOOKUP($C160,难度推算表,副本难度推算!$M$3,FALSE)*副本难度推算!$Y$7*Q160</f>
        <v>100608.00150350858</v>
      </c>
      <c r="L160" s="72">
        <f>VLOOKUP($C160,难度推算表,副本难度推算!$P$3,FALSE)*副本难度推算!$Z$7*$R160+VLOOKUP($C160,难度推算表,副本难度推算!$H$3,FALSE)</f>
        <v>2187.6411272714895</v>
      </c>
      <c r="M160" s="72">
        <f>VLOOKUP($C160,难度推算表,副本难度推算!$G$3,FALSE)-VLOOKUP($C160,难度推算表,副本难度推算!$I$3,FALSE)*(2-副本难度推算!$AA$7)*(2-$S160)</f>
        <v>922.75563171491694</v>
      </c>
      <c r="N160" s="2">
        <f>VLOOKUP($C160,难度推算表,副本难度推算!$Q$3,FALSE)</f>
        <v>2263.1239999999998</v>
      </c>
      <c r="O160" s="2">
        <f>VLOOKUP($C160,难度推算表,副本难度推算!$R$3,FALSE)</f>
        <v>0</v>
      </c>
      <c r="Q160" s="140">
        <f t="shared" si="13"/>
        <v>1.1639999999999999</v>
      </c>
      <c r="R160" s="140">
        <f t="shared" si="14"/>
        <v>1.0669999999999999</v>
      </c>
      <c r="S160" s="140">
        <f t="shared" si="15"/>
        <v>0.77600000000000002</v>
      </c>
      <c r="V160" s="140"/>
      <c r="W160" s="140"/>
      <c r="X160" s="140"/>
    </row>
    <row r="161" spans="1:24">
      <c r="A161" s="2" t="str">
        <f t="shared" si="17"/>
        <v>护送</v>
      </c>
      <c r="B161" s="2" t="str">
        <f>怪物并表!$R$14</f>
        <v>英雄之路</v>
      </c>
      <c r="C161" s="2">
        <v>34</v>
      </c>
      <c r="D161" s="28">
        <f t="shared" si="12"/>
        <v>1903</v>
      </c>
      <c r="E161" s="72">
        <f>VLOOKUP($C161,难度推算表,副本难度推算!$M$3,FALSE)*副本难度推算!$Y$5*Q161</f>
        <v>44267.601040262532</v>
      </c>
      <c r="F161" s="72">
        <f>VLOOKUP($C161,难度推算表,副本难度推算!$P$3,FALSE)*副本难度推算!$Z$5*$R161+VLOOKUP($C161,难度推算表,副本难度推算!$H$3,FALSE)</f>
        <v>2165.9034805562596</v>
      </c>
      <c r="G161" s="72">
        <f>VLOOKUP($C161,难度推算表,副本难度推算!$G$3,FALSE)-VLOOKUP($C161,难度推算表,副本难度推算!$I$3,FALSE)*(2-副本难度推算!$AA$5)*(2-$S161)</f>
        <v>698.59150279224104</v>
      </c>
      <c r="H161" s="72">
        <f>VLOOKUP($C161,难度推算表,副本难度推算!$M$3,FALSE)*副本难度推算!$Y$6*Q161</f>
        <v>35414.080832210027</v>
      </c>
      <c r="I161" s="72">
        <f>VLOOKUP($C161,难度推算表,副本难度推算!$P$3,FALSE)*副本难度推算!$Z$6*$R161+VLOOKUP($C161,难度推算表,副本难度推算!$H$3,FALSE)</f>
        <v>2047.7063019079915</v>
      </c>
      <c r="J161" s="72">
        <f>VLOOKUP($C161,难度推算表,副本难度推算!$G$3,FALSE)-VLOOKUP($C161,难度推算表,副本难度推算!$I$3,FALSE)*(2-副本难度推算!$AA$6)*(2-$S161)</f>
        <v>395.54054101757879</v>
      </c>
      <c r="K161" s="72">
        <f>VLOOKUP($C161,难度推算表,副本难度推算!$M$3,FALSE)*副本难度推算!$Y$7*Q161</f>
        <v>110669.00260065633</v>
      </c>
      <c r="L161" s="72">
        <f>VLOOKUP($C161,难度推算表,副本难度推算!$P$3,FALSE)*副本难度推算!$Z$7*$R161+VLOOKUP($C161,难度推算表,副本难度推算!$H$3,FALSE)</f>
        <v>2402.2978378527955</v>
      </c>
      <c r="M161" s="72">
        <f>VLOOKUP($C161,难度推算表,副本难度推算!$G$3,FALSE)-VLOOKUP($C161,难度推算表,副本难度推算!$I$3,FALSE)*(2-副本难度推算!$AA$7)*(2-$S161)</f>
        <v>1001.6424645669033</v>
      </c>
      <c r="N161" s="2">
        <f>VLOOKUP($C161,难度推算表,副本难度推算!$Q$3,FALSE)</f>
        <v>2321.3520000000003</v>
      </c>
      <c r="O161" s="2">
        <f>VLOOKUP($C161,难度推算表,副本难度推算!$R$3,FALSE)</f>
        <v>0</v>
      </c>
      <c r="Q161" s="140">
        <f t="shared" si="13"/>
        <v>1.1519999999999999</v>
      </c>
      <c r="R161" s="140">
        <f t="shared" si="14"/>
        <v>1.056</v>
      </c>
      <c r="S161" s="140">
        <f t="shared" si="15"/>
        <v>0.76800000000000002</v>
      </c>
      <c r="V161" s="140"/>
      <c r="W161" s="140"/>
      <c r="X161" s="140"/>
    </row>
    <row r="162" spans="1:24">
      <c r="A162" s="2" t="str">
        <f t="shared" si="17"/>
        <v>护送</v>
      </c>
      <c r="B162" s="2" t="str">
        <f>怪物并表!$R$14</f>
        <v>英雄之路</v>
      </c>
      <c r="C162" s="2">
        <v>35</v>
      </c>
      <c r="D162" s="28">
        <f t="shared" si="12"/>
        <v>1903</v>
      </c>
      <c r="E162" s="72">
        <f>VLOOKUP($C162,难度推算表,副本难度推算!$M$3,FALSE)*副本难度推算!$Y$5*Q162</f>
        <v>48521.517699021948</v>
      </c>
      <c r="F162" s="72">
        <f>VLOOKUP($C162,难度推算表,副本难度推算!$P$3,FALSE)*副本难度推算!$Z$5*$R162+VLOOKUP($C162,难度推算表,副本难度推算!$H$3,FALSE)</f>
        <v>2369.8951289900942</v>
      </c>
      <c r="G162" s="72">
        <f>VLOOKUP($C162,难度推算表,副本难度推算!$G$3,FALSE)-VLOOKUP($C162,难度推算表,副本难度推算!$I$3,FALSE)*(2-副本难度推算!$AA$5)*(2-$S162)</f>
        <v>751.15531826086999</v>
      </c>
      <c r="H162" s="72">
        <f>VLOOKUP($C162,难度推算表,副本难度推算!$M$3,FALSE)*副本难度推算!$Y$6*Q162</f>
        <v>38817.214159217561</v>
      </c>
      <c r="I162" s="72">
        <f>VLOOKUP($C162,难度推算表,副本难度推算!$P$3,FALSE)*副本难度推算!$Z$6*$R162+VLOOKUP($C162,难度推算表,副本难度推算!$H$3,FALSE)</f>
        <v>2240.2135186997803</v>
      </c>
      <c r="J162" s="72">
        <f>VLOOKUP($C162,难度推算表,副本难度推算!$G$3,FALSE)-VLOOKUP($C162,难度推算表,副本难度推算!$I$3,FALSE)*(2-副本难度推算!$AA$6)*(2-$S162)</f>
        <v>418.50082017391355</v>
      </c>
      <c r="K162" s="72">
        <f>VLOOKUP($C162,难度推算表,副本难度推算!$M$3,FALSE)*副本难度推算!$Y$7*Q162</f>
        <v>121303.79424755488</v>
      </c>
      <c r="L162" s="72">
        <f>VLOOKUP($C162,难度推算表,副本难度推算!$P$3,FALSE)*副本难度推算!$Z$7*$R162+VLOOKUP($C162,难度推算表,副本难度推算!$H$3,FALSE)</f>
        <v>2629.2583495707213</v>
      </c>
      <c r="M162" s="72">
        <f>VLOOKUP($C162,难度推算表,副本难度推算!$G$3,FALSE)-VLOOKUP($C162,难度推算表,副本难度推算!$I$3,FALSE)*(2-副本难度推算!$AA$7)*(2-$S162)</f>
        <v>1083.8098163478264</v>
      </c>
      <c r="N162" s="2">
        <f>VLOOKUP($C162,难度推算表,副本难度推算!$Q$3,FALSE)</f>
        <v>2379.58</v>
      </c>
      <c r="O162" s="2">
        <f>VLOOKUP($C162,难度推算表,副本难度推算!$R$3,FALSE)</f>
        <v>0</v>
      </c>
      <c r="Q162" s="140">
        <f t="shared" si="13"/>
        <v>1.1399999999999999</v>
      </c>
      <c r="R162" s="140">
        <f t="shared" si="14"/>
        <v>1.0449999999999999</v>
      </c>
      <c r="S162" s="140">
        <f t="shared" si="15"/>
        <v>0.76</v>
      </c>
      <c r="V162" s="140"/>
      <c r="W162" s="140"/>
      <c r="X162" s="140"/>
    </row>
    <row r="163" spans="1:24">
      <c r="A163" s="2" t="str">
        <f t="shared" si="17"/>
        <v>护送</v>
      </c>
      <c r="B163" s="2" t="str">
        <f>怪物并表!$R$14</f>
        <v>英雄之路</v>
      </c>
      <c r="C163" s="2">
        <v>36</v>
      </c>
      <c r="D163" s="28">
        <f t="shared" si="12"/>
        <v>1903</v>
      </c>
      <c r="E163" s="72">
        <f>VLOOKUP($C163,难度推算表,副本难度推算!$M$3,FALSE)*副本难度推算!$Y$5*Q163</f>
        <v>53008.095423423634</v>
      </c>
      <c r="F163" s="72">
        <f>VLOOKUP($C163,难度推算表,副本难度推算!$P$3,FALSE)*副本难度推算!$Z$5*$R163+VLOOKUP($C163,难度推算表,副本难度推算!$H$3,FALSE)</f>
        <v>2585.1355857207027</v>
      </c>
      <c r="G163" s="72">
        <f>VLOOKUP($C163,难度推算表,副本难度推算!$G$3,FALSE)-VLOOKUP($C163,难度推算表,副本难度推算!$I$3,FALSE)*(2-副本难度推算!$AA$5)*(2-$S163)</f>
        <v>805.17060420923099</v>
      </c>
      <c r="H163" s="72">
        <f>VLOOKUP($C163,难度推算表,副本难度推算!$M$3,FALSE)*副本难度推算!$Y$6*Q163</f>
        <v>42406.47633873891</v>
      </c>
      <c r="I163" s="72">
        <f>VLOOKUP($C163,难度推算表,副本难度推算!$P$3,FALSE)*副本难度推算!$Z$6*$R163+VLOOKUP($C163,难度推算表,副本难度推算!$H$3,FALSE)</f>
        <v>2443.3134190630135</v>
      </c>
      <c r="J163" s="72">
        <f>VLOOKUP($C163,难度推算表,副本难度推算!$G$3,FALSE)-VLOOKUP($C163,难度推算表,副本难度推算!$I$3,FALSE)*(2-副本难度推算!$AA$6)*(2-$S163)</f>
        <v>441.09346143636139</v>
      </c>
      <c r="K163" s="72">
        <f>VLOOKUP($C163,难度推算表,副本难度推算!$M$3,FALSE)*副本难度推算!$Y$7*Q163</f>
        <v>132520.2385585591</v>
      </c>
      <c r="L163" s="72">
        <f>VLOOKUP($C163,难度推算表,副本难度推算!$P$3,FALSE)*副本难度推算!$Z$7*$R163+VLOOKUP($C163,难度推算表,副本难度推算!$H$3,FALSE)</f>
        <v>2868.7799190360802</v>
      </c>
      <c r="M163" s="72">
        <f>VLOOKUP($C163,难度推算表,副本难度推算!$G$3,FALSE)-VLOOKUP($C163,难度推算表,副本难度推算!$I$3,FALSE)*(2-副本难度推算!$AA$7)*(2-$S163)</f>
        <v>1169.2477469821006</v>
      </c>
      <c r="N163" s="2">
        <f>VLOOKUP($C163,难度推算表,副本难度推算!$Q$3,FALSE)</f>
        <v>2437.808</v>
      </c>
      <c r="O163" s="2">
        <f>VLOOKUP($C163,难度推算表,副本难度推算!$R$3,FALSE)</f>
        <v>0</v>
      </c>
      <c r="Q163" s="140">
        <f t="shared" si="13"/>
        <v>1.1279999999999999</v>
      </c>
      <c r="R163" s="140">
        <f t="shared" si="14"/>
        <v>1.034</v>
      </c>
      <c r="S163" s="140">
        <f t="shared" si="15"/>
        <v>0.752</v>
      </c>
      <c r="V163" s="140"/>
      <c r="W163" s="140"/>
      <c r="X163" s="140"/>
    </row>
    <row r="164" spans="1:24">
      <c r="A164" s="2" t="str">
        <f t="shared" si="17"/>
        <v>护送</v>
      </c>
      <c r="B164" s="2" t="str">
        <f>怪物并表!$R$14</f>
        <v>英雄之路</v>
      </c>
      <c r="C164" s="2">
        <v>37</v>
      </c>
      <c r="D164" s="28">
        <f t="shared" si="12"/>
        <v>1903</v>
      </c>
      <c r="E164" s="72">
        <f>VLOOKUP($C164,难度推算表,副本难度推算!$M$3,FALSE)*副本难度推算!$Y$5*Q164</f>
        <v>57730.140262882473</v>
      </c>
      <c r="F164" s="72">
        <f>VLOOKUP($C164,难度推算表,副本难度推算!$P$3,FALSE)*副本难度推算!$Z$5*$R164+VLOOKUP($C164,难度推算表,副本难度推算!$H$3,FALSE)</f>
        <v>2842.7772168911606</v>
      </c>
      <c r="G164" s="72">
        <f>VLOOKUP($C164,难度推算表,副本难度推算!$G$3,FALSE)-VLOOKUP($C164,难度推算表,副本难度推算!$I$3,FALSE)*(2-副本难度推算!$AA$5)*(2-$S164)</f>
        <v>860.56470821618791</v>
      </c>
      <c r="H164" s="72">
        <f>VLOOKUP($C164,难度推算表,副本难度推算!$M$3,FALSE)*副本难度推算!$Y$6*Q164</f>
        <v>46184.112210305982</v>
      </c>
      <c r="I164" s="72">
        <f>VLOOKUP($C164,难度推算表,副本难度推算!$P$3,FALSE)*副本难度推算!$Z$6*$R164+VLOOKUP($C164,难度推算表,副本难度推算!$H$3,FALSE)</f>
        <v>2685.0531287632489</v>
      </c>
      <c r="J164" s="72">
        <f>VLOOKUP($C164,难度推算表,副本难度推算!$G$3,FALSE)-VLOOKUP($C164,难度推算表,副本难度推算!$I$3,FALSE)*(2-副本难度推算!$AA$6)*(2-$S164)</f>
        <v>463.18629883400763</v>
      </c>
      <c r="K164" s="72">
        <f>VLOOKUP($C164,难度推算表,副本难度推算!$M$3,FALSE)*副本难度推算!$Y$7*Q164</f>
        <v>144325.35065720617</v>
      </c>
      <c r="L164" s="72">
        <f>VLOOKUP($C164,难度推算表,副本难度推算!$P$3,FALSE)*副本难度推算!$Z$7*$R164+VLOOKUP($C164,难度推算表,副本难度推算!$H$3,FALSE)</f>
        <v>3158.225393146985</v>
      </c>
      <c r="M164" s="72">
        <f>VLOOKUP($C164,难度推算表,副本难度推算!$G$3,FALSE)-VLOOKUP($C164,难度推算表,副本难度推算!$I$3,FALSE)*(2-副本难度推算!$AA$7)*(2-$S164)</f>
        <v>1257.9431175983682</v>
      </c>
      <c r="N164" s="2">
        <f>VLOOKUP($C164,难度推算表,副本难度推算!$Q$3,FALSE)</f>
        <v>2496.0360000000001</v>
      </c>
      <c r="O164" s="2">
        <f>VLOOKUP($C164,难度推算表,副本难度推算!$R$3,FALSE)</f>
        <v>0</v>
      </c>
      <c r="Q164" s="140">
        <f t="shared" si="13"/>
        <v>1.1160000000000001</v>
      </c>
      <c r="R164" s="140">
        <f t="shared" si="14"/>
        <v>1.0230000000000001</v>
      </c>
      <c r="S164" s="140">
        <f t="shared" si="15"/>
        <v>0.74400000000000011</v>
      </c>
      <c r="V164" s="140"/>
      <c r="W164" s="140"/>
      <c r="X164" s="140"/>
    </row>
    <row r="165" spans="1:24">
      <c r="A165" s="2" t="str">
        <f t="shared" si="17"/>
        <v>护送</v>
      </c>
      <c r="B165" s="2" t="str">
        <f>怪物并表!$R$14</f>
        <v>英雄之路</v>
      </c>
      <c r="C165" s="2">
        <v>38</v>
      </c>
      <c r="D165" s="28">
        <f t="shared" si="12"/>
        <v>1903</v>
      </c>
      <c r="E165" s="72">
        <f>VLOOKUP($C165,难度推算表,副本难度推算!$M$3,FALSE)*副本难度推算!$Y$5*Q165</f>
        <v>62690.107215096112</v>
      </c>
      <c r="F165" s="72">
        <f>VLOOKUP($C165,难度推算表,副本难度推算!$P$3,FALSE)*副本难度推算!$Z$5*$R165+VLOOKUP($C165,难度推算表,副本难度推算!$H$3,FALSE)</f>
        <v>3117.5106948973562</v>
      </c>
      <c r="G165" s="72">
        <f>VLOOKUP($C165,难度推算表,副本难度推算!$G$3,FALSE)-VLOOKUP($C165,难度推算表,副本难度推算!$I$3,FALSE)*(2-副本难度推算!$AA$5)*(2-$S165)</f>
        <v>917.26097936588712</v>
      </c>
      <c r="H165" s="72">
        <f>VLOOKUP($C165,难度推算表,副本难度推算!$M$3,FALSE)*副本难度推算!$Y$6*Q165</f>
        <v>50152.085772076891</v>
      </c>
      <c r="I165" s="72">
        <f>VLOOKUP($C165,难度推算表,副本难度推算!$P$3,FALSE)*副本难度推算!$Z$6*$R165+VLOOKUP($C165,难度推算表,副本难度推算!$H$3,FALSE)</f>
        <v>2942.6642491935736</v>
      </c>
      <c r="J165" s="72">
        <f>VLOOKUP($C165,难度推算表,副本难度推算!$G$3,FALSE)-VLOOKUP($C165,难度推算表,副本难度推算!$I$3,FALSE)*(2-副本难度推算!$AA$6)*(2-$S165)</f>
        <v>484.64236820227507</v>
      </c>
      <c r="K165" s="72">
        <f>VLOOKUP($C165,难度推算表,副本难度推算!$M$3,FALSE)*副本难度推算!$Y$7*Q165</f>
        <v>156725.26803774029</v>
      </c>
      <c r="L165" s="72">
        <f>VLOOKUP($C165,难度推算表,副本难度推算!$P$3,FALSE)*副本难度推算!$Z$7*$R165+VLOOKUP($C165,难度推算表,副本难度推算!$H$3,FALSE)</f>
        <v>3467.2035863049209</v>
      </c>
      <c r="M165" s="72">
        <f>VLOOKUP($C165,难度推算表,副本难度推算!$G$3,FALSE)-VLOOKUP($C165,难度推算表,副本难度推算!$I$3,FALSE)*(2-副本难度推算!$AA$7)*(2-$S165)</f>
        <v>1349.8795905294987</v>
      </c>
      <c r="N165" s="2">
        <f>VLOOKUP($C165,难度推算表,副本难度推算!$Q$3,FALSE)</f>
        <v>2554.2640000000001</v>
      </c>
      <c r="O165" s="2">
        <f>VLOOKUP($C165,难度推算表,副本难度推算!$R$3,FALSE)</f>
        <v>0</v>
      </c>
      <c r="Q165" s="140">
        <f t="shared" si="13"/>
        <v>1.1040000000000001</v>
      </c>
      <c r="R165" s="140">
        <f t="shared" si="14"/>
        <v>1.0120000000000002</v>
      </c>
      <c r="S165" s="140">
        <f t="shared" si="15"/>
        <v>0.7360000000000001</v>
      </c>
      <c r="V165" s="140"/>
      <c r="W165" s="140"/>
      <c r="X165" s="140"/>
    </row>
    <row r="166" spans="1:24">
      <c r="A166" s="2" t="str">
        <f t="shared" si="17"/>
        <v>护送</v>
      </c>
      <c r="B166" s="2" t="str">
        <f>怪物并表!$R$14</f>
        <v>英雄之路</v>
      </c>
      <c r="C166" s="2">
        <v>39</v>
      </c>
      <c r="D166" s="28">
        <f t="shared" si="12"/>
        <v>1903</v>
      </c>
      <c r="E166" s="72">
        <f>VLOOKUP($C166,难度推算表,副本难度推算!$M$3,FALSE)*副本难度推算!$Y$5*Q166</f>
        <v>67890.087954631468</v>
      </c>
      <c r="F166" s="72">
        <f>VLOOKUP($C166,难度推算表,副本难度推算!$P$3,FALSE)*副本难度推算!$Z$5*$R166+VLOOKUP($C166,难度推算表,副本难度推算!$H$3,FALSE)</f>
        <v>3409.9670070684315</v>
      </c>
      <c r="G166" s="72">
        <f>VLOOKUP($C166,难度推算表,副本难度推算!$G$3,FALSE)-VLOOKUP($C166,难度推算表,副本难度推算!$I$3,FALSE)*(2-副本难度推算!$AA$5)*(2-$S166)</f>
        <v>975.17876824775976</v>
      </c>
      <c r="H166" s="72">
        <f>VLOOKUP($C166,难度推算表,副本难度推算!$M$3,FALSE)*副本难度推算!$Y$6*Q166</f>
        <v>54312.070363705177</v>
      </c>
      <c r="I166" s="72">
        <f>VLOOKUP($C166,难度推算表,副本难度推算!$P$3,FALSE)*副本难度推算!$Z$6*$R166+VLOOKUP($C166,难度推算表,副本难度推算!$H$3,FALSE)</f>
        <v>3216.7246651870064</v>
      </c>
      <c r="J166" s="72">
        <f>VLOOKUP($C166,难度推算表,副本难度推算!$G$3,FALSE)-VLOOKUP($C166,难度推算表,副本难度推算!$I$3,FALSE)*(2-副本难度推算!$AA$6)*(2-$S166)</f>
        <v>505.31990718293082</v>
      </c>
      <c r="K166" s="72">
        <f>VLOOKUP($C166,难度推算表,副本难度推算!$M$3,FALSE)*副本难度推算!$Y$7*Q166</f>
        <v>169725.21988657865</v>
      </c>
      <c r="L166" s="72">
        <f>VLOOKUP($C166,难度推算表,副本难度推算!$P$3,FALSE)*副本难度推算!$Z$7*$R166+VLOOKUP($C166,难度推算表,副本难度推算!$H$3,FALSE)</f>
        <v>3796.4516908312817</v>
      </c>
      <c r="M166" s="72">
        <f>VLOOKUP($C166,难度推算表,副本难度推算!$G$3,FALSE)-VLOOKUP($C166,难度推算表,副本难度推算!$I$3,FALSE)*(2-副本难度推算!$AA$7)*(2-$S166)</f>
        <v>1445.0376293125892</v>
      </c>
      <c r="N166" s="2">
        <f>VLOOKUP($C166,难度推算表,副本难度推算!$Q$3,FALSE)</f>
        <v>2612.4920000000002</v>
      </c>
      <c r="O166" s="2">
        <f>VLOOKUP($C166,难度推算表,副本难度推算!$R$3,FALSE)</f>
        <v>0</v>
      </c>
      <c r="Q166" s="140">
        <f t="shared" si="13"/>
        <v>1.0920000000000001</v>
      </c>
      <c r="R166" s="140">
        <f t="shared" si="14"/>
        <v>1.0010000000000001</v>
      </c>
      <c r="S166" s="140">
        <f t="shared" si="15"/>
        <v>0.72800000000000009</v>
      </c>
      <c r="V166" s="140"/>
      <c r="W166" s="140"/>
      <c r="X166" s="140"/>
    </row>
    <row r="167" spans="1:24">
      <c r="A167" s="2" t="str">
        <f t="shared" si="17"/>
        <v>护送</v>
      </c>
      <c r="B167" s="2" t="str">
        <f>怪物并表!$R$14</f>
        <v>英雄之路</v>
      </c>
      <c r="C167" s="2">
        <v>40</v>
      </c>
      <c r="D167" s="28">
        <f t="shared" si="12"/>
        <v>1903</v>
      </c>
      <c r="E167" s="72">
        <f>VLOOKUP($C167,难度推算表,副本难度推算!$M$3,FALSE)*副本难度推算!$Y$5*Q167</f>
        <v>73992.445383310798</v>
      </c>
      <c r="F167" s="72">
        <f>VLOOKUP($C167,难度推算表,副本难度推算!$P$3,FALSE)*副本难度推算!$Z$5*$R167+VLOOKUP($C167,难度推算表,副本难度推算!$H$3,FALSE)</f>
        <v>3754.3009127357877</v>
      </c>
      <c r="G167" s="72">
        <f>VLOOKUP($C167,难度推算表,副本难度推算!$G$3,FALSE)-VLOOKUP($C167,难度推算表,副本难度推算!$I$3,FALSE)*(2-副本难度推算!$AA$5)*(2-$S167)</f>
        <v>1043.5508452173922</v>
      </c>
      <c r="H167" s="72">
        <f>VLOOKUP($C167,难度推算表,副本难度推算!$M$3,FALSE)*副本难度推算!$Y$6*Q167</f>
        <v>59193.956306648637</v>
      </c>
      <c r="I167" s="72">
        <f>VLOOKUP($C167,难度推算表,副本难度推算!$P$3,FALSE)*副本难度推算!$Z$6*$R167+VLOOKUP($C167,难度推算表,副本难度推算!$H$3,FALSE)</f>
        <v>3539.4171053418077</v>
      </c>
      <c r="J167" s="72">
        <f>VLOOKUP($C167,难度推算表,副本难度推算!$G$3,FALSE)-VLOOKUP($C167,难度推算表,副本难度推算!$I$3,FALSE)*(2-副本难度推算!$AA$6)*(2-$S167)</f>
        <v>529.80273680267646</v>
      </c>
      <c r="K167" s="72">
        <f>VLOOKUP($C167,难度推算表,副本难度推算!$M$3,FALSE)*副本难度推算!$Y$7*Q167</f>
        <v>184981.11345827699</v>
      </c>
      <c r="L167" s="72">
        <f>VLOOKUP($C167,难度推算表,副本难度推算!$P$3,FALSE)*副本难度推算!$Z$7*$R167+VLOOKUP($C167,难度推算表,副本难度推算!$H$3,FALSE)</f>
        <v>4184.0685275237483</v>
      </c>
      <c r="M167" s="72">
        <f>VLOOKUP($C167,难度推算表,副本难度推算!$G$3,FALSE)-VLOOKUP($C167,难度推算表,副本难度推算!$I$3,FALSE)*(2-副本难度推算!$AA$7)*(2-$S167)</f>
        <v>1557.2989536321079</v>
      </c>
      <c r="N167" s="2">
        <f>VLOOKUP($C167,难度推算表,副本难度推算!$Q$3,FALSE)</f>
        <v>2670.72</v>
      </c>
      <c r="O167" s="2">
        <f>VLOOKUP($C167,难度推算表,副本难度推算!$R$3,FALSE)</f>
        <v>0</v>
      </c>
      <c r="Q167" s="140">
        <f t="shared" si="13"/>
        <v>1.08</v>
      </c>
      <c r="R167" s="140">
        <f t="shared" si="14"/>
        <v>0.9900000000000001</v>
      </c>
      <c r="S167" s="140">
        <f t="shared" si="15"/>
        <v>0.72000000000000008</v>
      </c>
      <c r="V167" s="140"/>
      <c r="W167" s="140"/>
      <c r="X167" s="140"/>
    </row>
    <row r="168" spans="1:24">
      <c r="A168" s="2" t="str">
        <f t="shared" si="17"/>
        <v>护送</v>
      </c>
      <c r="B168" s="2" t="str">
        <f>怪物并表!$R$14</f>
        <v>英雄之路</v>
      </c>
      <c r="C168" s="2">
        <v>41</v>
      </c>
      <c r="D168" s="28">
        <f t="shared" si="12"/>
        <v>1903</v>
      </c>
      <c r="E168" s="72">
        <f>VLOOKUP($C168,难度推算表,副本难度推算!$M$3,FALSE)*副本难度推算!$Y$5*Q168</f>
        <v>80402.822733673995</v>
      </c>
      <c r="F168" s="72">
        <f>VLOOKUP($C168,难度推算表,副本难度推算!$P$3,FALSE)*副本难度推算!$Z$5*$R168+VLOOKUP($C168,难度推算表,副本难度推算!$H$3,FALSE)</f>
        <v>4121.6503599049965</v>
      </c>
      <c r="G168" s="72">
        <f>VLOOKUP($C168,难度推算表,副本难度推算!$G$3,FALSE)-VLOOKUP($C168,难度推算表,副本难度推算!$I$3,FALSE)*(2-副本难度推算!$AA$5)*(2-$S168)</f>
        <v>1113.5351917078269</v>
      </c>
      <c r="H168" s="72">
        <f>VLOOKUP($C168,难度推算表,副本难度推算!$M$3,FALSE)*副本难度推算!$Y$6*Q168</f>
        <v>64322.258186939194</v>
      </c>
      <c r="I168" s="72">
        <f>VLOOKUP($C168,难度推算表,副本难度推算!$P$3,FALSE)*副本难度推算!$Z$6*$R168+VLOOKUP($C168,难度推算表,副本难度推算!$H$3,FALSE)</f>
        <v>3883.475197618845</v>
      </c>
      <c r="J168" s="72">
        <f>VLOOKUP($C168,难度推算表,副本难度推算!$G$3,FALSE)-VLOOKUP($C168,难度推算表,副本难度推算!$I$3,FALSE)*(2-副本难度推算!$AA$6)*(2-$S168)</f>
        <v>553.28779837982665</v>
      </c>
      <c r="K168" s="72">
        <f>VLOOKUP($C168,难度推算表,副本难度推算!$M$3,FALSE)*副本难度推算!$Y$7*Q168</f>
        <v>201007.05683418497</v>
      </c>
      <c r="L168" s="72">
        <f>VLOOKUP($C168,难度推算表,副本难度推算!$P$3,FALSE)*副本难度推算!$Z$7*$R168+VLOOKUP($C168,难度推算表,副本难度推算!$H$3,FALSE)</f>
        <v>4598.0006844772997</v>
      </c>
      <c r="M168" s="72">
        <f>VLOOKUP($C168,难度推算表,副本难度推算!$G$3,FALSE)-VLOOKUP($C168,难度推算表,副本难度推算!$I$3,FALSE)*(2-副本难度推算!$AA$7)*(2-$S168)</f>
        <v>1673.7825850358267</v>
      </c>
      <c r="N168" s="2">
        <f>VLOOKUP($C168,难度推算表,副本难度推算!$Q$3,FALSE)</f>
        <v>2728.9480000000003</v>
      </c>
      <c r="O168" s="2">
        <f>VLOOKUP($C168,难度推算表,副本难度推算!$R$3,FALSE)</f>
        <v>0</v>
      </c>
      <c r="Q168" s="140">
        <f t="shared" si="13"/>
        <v>1.0680000000000001</v>
      </c>
      <c r="R168" s="140">
        <f t="shared" si="14"/>
        <v>0.97900000000000009</v>
      </c>
      <c r="S168" s="140">
        <f t="shared" si="15"/>
        <v>0.71200000000000008</v>
      </c>
      <c r="V168" s="140"/>
      <c r="W168" s="140"/>
      <c r="X168" s="140"/>
    </row>
    <row r="169" spans="1:24">
      <c r="A169" s="2" t="str">
        <f t="shared" si="17"/>
        <v>护送</v>
      </c>
      <c r="B169" s="2" t="str">
        <f>怪物并表!$R$14</f>
        <v>英雄之路</v>
      </c>
      <c r="C169" s="2">
        <v>42</v>
      </c>
      <c r="D169" s="28">
        <f t="shared" si="12"/>
        <v>1903</v>
      </c>
      <c r="E169" s="72">
        <f>VLOOKUP($C169,难度推算表,副本难度推算!$M$3,FALSE)*副本难度推算!$Y$5*Q169</f>
        <v>87123.406961096305</v>
      </c>
      <c r="F169" s="72">
        <f>VLOOKUP($C169,难度推算表,副本难度推算!$P$3,FALSE)*副本难度推算!$Z$5*$R169+VLOOKUP($C169,难度推算表,副本难度推算!$H$3,FALSE)</f>
        <v>4512.8475875714366</v>
      </c>
      <c r="G169" s="72">
        <f>VLOOKUP($C169,难度推算表,副本难度推算!$G$3,FALSE)-VLOOKUP($C169,难度推算表,副本难度推算!$I$3,FALSE)*(2-副本难度推算!$AA$5)*(2-$S169)</f>
        <v>1185.0202766769248</v>
      </c>
      <c r="H169" s="72">
        <f>VLOOKUP($C169,难度推算表,副本难度推算!$M$3,FALSE)*副本难度推算!$Y$6*Q169</f>
        <v>69698.725568877053</v>
      </c>
      <c r="I169" s="72">
        <f>VLOOKUP($C169,难度推算表,副本难度推算!$P$3,FALSE)*副本难度推算!$Z$6*$R169+VLOOKUP($C169,难度推算表,副本难度推算!$H$3,FALSE)</f>
        <v>4249.6612854296773</v>
      </c>
      <c r="J169" s="72">
        <f>VLOOKUP($C169,难度推算表,副本难度推算!$G$3,FALSE)-VLOOKUP($C169,难度推算表,副本难度推算!$I$3,FALSE)*(2-副本难度推算!$AA$6)*(2-$S169)</f>
        <v>575.58127724307906</v>
      </c>
      <c r="K169" s="72">
        <f>VLOOKUP($C169,难度推算表,副本难度推算!$M$3,FALSE)*副本难度推算!$Y$7*Q169</f>
        <v>217808.51740274075</v>
      </c>
      <c r="L169" s="72">
        <f>VLOOKUP($C169,难度推算表,副本难度推算!$P$3,FALSE)*副本难度推算!$Z$7*$R169+VLOOKUP($C169,难度推算表,副本难度推算!$H$3,FALSE)</f>
        <v>5039.2201918549545</v>
      </c>
      <c r="M169" s="72">
        <f>VLOOKUP($C169,难度推算表,副本难度推算!$G$3,FALSE)-VLOOKUP($C169,难度推算表,副本难度推算!$I$3,FALSE)*(2-副本难度推算!$AA$7)*(2-$S169)</f>
        <v>1794.4592761107706</v>
      </c>
      <c r="N169" s="2">
        <f>VLOOKUP($C169,难度推算表,副本难度推算!$Q$3,FALSE)</f>
        <v>2787.1759999999999</v>
      </c>
      <c r="O169" s="2">
        <f>VLOOKUP($C169,难度推算表,副本难度推算!$R$3,FALSE)</f>
        <v>0</v>
      </c>
      <c r="Q169" s="140">
        <f t="shared" si="13"/>
        <v>1.056</v>
      </c>
      <c r="R169" s="140">
        <f t="shared" si="14"/>
        <v>0.96800000000000008</v>
      </c>
      <c r="S169" s="140">
        <f t="shared" si="15"/>
        <v>0.70400000000000007</v>
      </c>
      <c r="V169" s="140"/>
      <c r="W169" s="140"/>
      <c r="X169" s="140"/>
    </row>
    <row r="170" spans="1:24">
      <c r="A170" s="2" t="str">
        <f t="shared" si="17"/>
        <v>护送</v>
      </c>
      <c r="B170" s="2" t="str">
        <f>怪物并表!$R$14</f>
        <v>英雄之路</v>
      </c>
      <c r="C170" s="2">
        <v>43</v>
      </c>
      <c r="D170" s="28">
        <f t="shared" si="12"/>
        <v>1903</v>
      </c>
      <c r="E170" s="72">
        <f>VLOOKUP($C170,难度推算表,副本难度推算!$M$3,FALSE)*副本难度推算!$Y$5*Q170</f>
        <v>94155.863807539776</v>
      </c>
      <c r="F170" s="72">
        <f>VLOOKUP($C170,难度推算表,副本难度推算!$P$3,FALSE)*副本难度推算!$Z$5*$R170+VLOOKUP($C170,难度推算表,副本难度推算!$H$3,FALSE)</f>
        <v>4928.727438159035</v>
      </c>
      <c r="G170" s="72">
        <f>VLOOKUP($C170,难度推算表,副本难度推算!$G$3,FALSE)-VLOOKUP($C170,难度推算表,副本难度推算!$I$3,FALSE)*(2-副本难度推算!$AA$5)*(2-$S170)</f>
        <v>1257.8892377562552</v>
      </c>
      <c r="H170" s="72">
        <f>VLOOKUP($C170,难度推算表,副本难度推算!$M$3,FALSE)*副本难度推算!$Y$6*Q170</f>
        <v>75324.691046031832</v>
      </c>
      <c r="I170" s="72">
        <f>VLOOKUP($C170,难度推算表,副本难度推算!$P$3,FALSE)*副本难度推算!$Z$6*$R170+VLOOKUP($C170,难度推算表,副本难度推算!$H$3,FALSE)</f>
        <v>4638.7400552715599</v>
      </c>
      <c r="J170" s="72">
        <f>VLOOKUP($C170,难度推算表,副本难度推算!$G$3,FALSE)-VLOOKUP($C170,难度推算表,副本难度推算!$I$3,FALSE)*(2-副本难度推算!$AA$6)*(2-$S170)</f>
        <v>596.48296112957951</v>
      </c>
      <c r="K170" s="72">
        <f>VLOOKUP($C170,难度推算表,副本难度推算!$M$3,FALSE)*副本难度推算!$Y$7*Q170</f>
        <v>235389.65951884948</v>
      </c>
      <c r="L170" s="72">
        <f>VLOOKUP($C170,难度推算表,副本难度推算!$P$3,FALSE)*副本难度推算!$Z$7*$R170+VLOOKUP($C170,难度推算表,副本难度推算!$H$3,FALSE)</f>
        <v>5508.7022039339863</v>
      </c>
      <c r="M170" s="72">
        <f>VLOOKUP($C170,难度推算表,副本难度推算!$G$3,FALSE)-VLOOKUP($C170,难度推算表,副本难度推算!$I$3,FALSE)*(2-副本难度推算!$AA$7)*(2-$S170)</f>
        <v>1919.2955143829304</v>
      </c>
      <c r="N170" s="2">
        <f>VLOOKUP($C170,难度推算表,副本难度推算!$Q$3,FALSE)</f>
        <v>2845.404</v>
      </c>
      <c r="O170" s="2">
        <f>VLOOKUP($C170,难度推算表,副本难度推算!$R$3,FALSE)</f>
        <v>0</v>
      </c>
      <c r="Q170" s="140">
        <f t="shared" si="13"/>
        <v>1.044</v>
      </c>
      <c r="R170" s="140">
        <f t="shared" si="14"/>
        <v>0.95700000000000007</v>
      </c>
      <c r="S170" s="140">
        <f t="shared" si="15"/>
        <v>0.69600000000000006</v>
      </c>
      <c r="V170" s="140"/>
      <c r="W170" s="140"/>
      <c r="X170" s="140"/>
    </row>
    <row r="171" spans="1:24">
      <c r="A171" s="2" t="str">
        <f t="shared" si="17"/>
        <v>护送</v>
      </c>
      <c r="B171" s="2" t="str">
        <f>怪物并表!$R$14</f>
        <v>英雄之路</v>
      </c>
      <c r="C171" s="2">
        <v>44</v>
      </c>
      <c r="D171" s="28">
        <f t="shared" si="12"/>
        <v>1903</v>
      </c>
      <c r="E171" s="72">
        <f>VLOOKUP($C171,难度推算表,副本难度推算!$M$3,FALSE)*副本难度推算!$Y$5*Q171</f>
        <v>101501.32148837474</v>
      </c>
      <c r="F171" s="72">
        <f>VLOOKUP($C171,难度推算表,副本难度推算!$P$3,FALSE)*副本难度推算!$Z$5*$R171+VLOOKUP($C171,难度推算表,副本难度推算!$H$3,FALSE)</f>
        <v>5370.1261937359213</v>
      </c>
      <c r="G171" s="72">
        <f>VLOOKUP($C171,难度推算表,副本难度推算!$G$3,FALSE)-VLOOKUP($C171,难度推算表,副本难度推算!$I$3,FALSE)*(2-副本难度推算!$AA$5)*(2-$S171)</f>
        <v>1332.0198812511048</v>
      </c>
      <c r="H171" s="72">
        <f>VLOOKUP($C171,难度推算表,副本难度推算!$M$3,FALSE)*副本难度推算!$Y$6*Q171</f>
        <v>81201.057190699794</v>
      </c>
      <c r="I171" s="72">
        <f>VLOOKUP($C171,难度推算表,副本难度推算!$P$3,FALSE)*副本难度推算!$Z$6*$R171+VLOOKUP($C171,难度推算表,副本难度推算!$H$3,FALSE)</f>
        <v>5051.4774893215272</v>
      </c>
      <c r="J171" s="72">
        <f>VLOOKUP($C171,难度推算表,副本难度推算!$G$3,FALSE)-VLOOKUP($C171,难度推算表,副本难度推算!$I$3,FALSE)*(2-副本难度推算!$AA$6)*(2-$S171)</f>
        <v>615.78624018493792</v>
      </c>
      <c r="K171" s="72">
        <f>VLOOKUP($C171,难度推算表,副本难度推算!$M$3,FALSE)*副本难度推算!$Y$7*Q171</f>
        <v>253753.30372093685</v>
      </c>
      <c r="L171" s="72">
        <f>VLOOKUP($C171,难度推算表,副本难度推算!$P$3,FALSE)*副本难度推算!$Z$7*$R171+VLOOKUP($C171,难度推算表,副本难度推算!$H$3,FALSE)</f>
        <v>6007.4236025647115</v>
      </c>
      <c r="M171" s="72">
        <f>VLOOKUP($C171,难度推算表,副本难度推算!$G$3,FALSE)-VLOOKUP($C171,难度推算表,副本难度推算!$I$3,FALSE)*(2-副本难度推算!$AA$7)*(2-$S171)</f>
        <v>2048.2535223172717</v>
      </c>
      <c r="N171" s="2">
        <f>VLOOKUP($C171,难度推算表,副本难度推算!$Q$3,FALSE)</f>
        <v>2903.6320000000001</v>
      </c>
      <c r="O171" s="2">
        <f>VLOOKUP($C171,难度推算表,副本难度推算!$R$3,FALSE)</f>
        <v>0</v>
      </c>
      <c r="Q171" s="140">
        <f t="shared" si="13"/>
        <v>1.032</v>
      </c>
      <c r="R171" s="140">
        <f t="shared" si="14"/>
        <v>0.94600000000000006</v>
      </c>
      <c r="S171" s="140">
        <f t="shared" si="15"/>
        <v>0.68800000000000006</v>
      </c>
      <c r="V171" s="140"/>
      <c r="W171" s="140"/>
      <c r="X171" s="140"/>
    </row>
    <row r="172" spans="1:24">
      <c r="A172" s="2" t="str">
        <f t="shared" si="17"/>
        <v>护送</v>
      </c>
      <c r="B172" s="2" t="str">
        <f>怪物并表!$R$14</f>
        <v>英雄之路</v>
      </c>
      <c r="C172" s="2">
        <v>45</v>
      </c>
      <c r="D172" s="28">
        <f t="shared" si="12"/>
        <v>1903</v>
      </c>
      <c r="E172" s="72">
        <f>VLOOKUP($C172,难度推算表,副本难度推算!$M$3,FALSE)*副本难度推算!$Y$5*Q172</f>
        <v>109160.35436633017</v>
      </c>
      <c r="F172" s="72">
        <f>VLOOKUP($C172,难度推算表,副本难度推算!$P$3,FALSE)*副本难度推算!$Z$5*$R172+VLOOKUP($C172,难度推算表,副本难度推算!$H$3,FALSE)</f>
        <v>5837.8803548379583</v>
      </c>
      <c r="G172" s="72">
        <f>VLOOKUP($C172,难度推算表,副本难度推算!$G$3,FALSE)-VLOOKUP($C172,难度推算表,副本难度推算!$I$3,FALSE)*(2-副本难度推算!$AA$5)*(2-$S172)</f>
        <v>1407.2846821404692</v>
      </c>
      <c r="H172" s="72">
        <f>VLOOKUP($C172,难度推算表,副本难度推算!$M$3,FALSE)*副本难度推算!$Y$6*Q172</f>
        <v>87328.28349306414</v>
      </c>
      <c r="I172" s="72">
        <f>VLOOKUP($C172,难度推算表,副本难度推算!$P$3,FALSE)*副本难度推算!$Z$6*$R172+VLOOKUP($C172,难度推算表,副本难度推算!$H$3,FALSE)</f>
        <v>5488.6397663775742</v>
      </c>
      <c r="J172" s="72">
        <f>VLOOKUP($C172,难度推算表,副本难度推算!$G$3,FALSE)-VLOOKUP($C172,难度推算表,副本难度推算!$I$3,FALSE)*(2-副本难度推算!$AA$6)*(2-$S172)</f>
        <v>633.27810696321194</v>
      </c>
      <c r="K172" s="72">
        <f>VLOOKUP($C172,难度推算表,副本难度推算!$M$3,FALSE)*副本难度推算!$Y$7*Q172</f>
        <v>272900.88591582538</v>
      </c>
      <c r="L172" s="72">
        <f>VLOOKUP($C172,难度推算表,副本难度推算!$P$3,FALSE)*副本难度推算!$Z$7*$R172+VLOOKUP($C172,难度推算表,副本难度推算!$H$3,FALSE)</f>
        <v>6536.3615317587264</v>
      </c>
      <c r="M172" s="72">
        <f>VLOOKUP($C172,难度推算表,副本难度推算!$G$3,FALSE)-VLOOKUP($C172,难度推算表,副本难度推算!$I$3,FALSE)*(2-副本难度推算!$AA$7)*(2-$S172)</f>
        <v>2181.2912573177268</v>
      </c>
      <c r="N172" s="2">
        <f>VLOOKUP($C172,难度推算表,副本难度推算!$Q$3,FALSE)</f>
        <v>2961.86</v>
      </c>
      <c r="O172" s="2">
        <f>VLOOKUP($C172,难度推算表,副本难度推算!$R$3,FALSE)</f>
        <v>0</v>
      </c>
      <c r="Q172" s="140">
        <f t="shared" si="13"/>
        <v>1.02</v>
      </c>
      <c r="R172" s="140">
        <f t="shared" si="14"/>
        <v>0.93500000000000005</v>
      </c>
      <c r="S172" s="140">
        <f t="shared" si="15"/>
        <v>0.68</v>
      </c>
      <c r="V172" s="140"/>
      <c r="W172" s="140"/>
      <c r="X172" s="140"/>
    </row>
    <row r="173" spans="1:24">
      <c r="A173" s="2" t="str">
        <f t="shared" si="17"/>
        <v>护送</v>
      </c>
      <c r="B173" s="2" t="str">
        <f>怪物并表!$R$14</f>
        <v>英雄之路</v>
      </c>
      <c r="C173" s="2">
        <v>46</v>
      </c>
      <c r="D173" s="28">
        <f t="shared" si="12"/>
        <v>1903</v>
      </c>
      <c r="E173" s="72">
        <f>VLOOKUP($C173,难度推算表,副本难度推算!$M$3,FALSE)*副本难度推算!$Y$5*Q173</f>
        <v>117132.96661611083</v>
      </c>
      <c r="F173" s="72">
        <f>VLOOKUP($C173,难度推算表,副本难度推算!$P$3,FALSE)*副本难度推算!$Z$5*$R173+VLOOKUP($C173,难度推算表,副本难度推算!$H$3,FALSE)</f>
        <v>6332.8253585708117</v>
      </c>
      <c r="G173" s="72">
        <f>VLOOKUP($C173,难度推算表,副本难度推算!$G$3,FALSE)-VLOOKUP($C173,难度推算表,副本难度推算!$I$3,FALSE)*(2-副本难度推算!$AA$5)*(2-$S173)</f>
        <v>1483.5507840770588</v>
      </c>
      <c r="H173" s="72">
        <f>VLOOKUP($C173,难度推算表,副本难度推算!$M$3,FALSE)*副本难度推算!$Y$6*Q173</f>
        <v>93706.373292888675</v>
      </c>
      <c r="I173" s="72">
        <f>VLOOKUP($C173,难度推算表,副本难度推算!$P$3,FALSE)*副本难度推算!$Z$6*$R173+VLOOKUP($C173,难度推算表,副本难度推算!$H$3,FALSE)</f>
        <v>5950.9921081505199</v>
      </c>
      <c r="J173" s="72">
        <f>VLOOKUP($C173,难度推算表,副本难度推算!$G$3,FALSE)-VLOOKUP($C173,难度推算表,副本难度推算!$I$3,FALSE)*(2-副本难度推算!$AA$6)*(2-$S173)</f>
        <v>648.73915642691827</v>
      </c>
      <c r="K173" s="72">
        <f>VLOOKUP($C173,难度推算表,副本难度推算!$M$3,FALSE)*副本难度推算!$Y$7*Q173</f>
        <v>292832.41654027707</v>
      </c>
      <c r="L173" s="72">
        <f>VLOOKUP($C173,难度推算表,副本难度推算!$P$3,FALSE)*副本难度推算!$Z$7*$R173+VLOOKUP($C173,难度推算表,副本难度推算!$H$3,FALSE)</f>
        <v>7096.4918594113942</v>
      </c>
      <c r="M173" s="72">
        <f>VLOOKUP($C173,难度推算表,副本难度推算!$G$3,FALSE)-VLOOKUP($C173,难度推算表,副本难度推算!$I$3,FALSE)*(2-副本难度推算!$AA$7)*(2-$S173)</f>
        <v>2318.3624117271988</v>
      </c>
      <c r="N173" s="2">
        <f>VLOOKUP($C173,难度推算表,副本难度推算!$Q$3,FALSE)</f>
        <v>3020.0879999999997</v>
      </c>
      <c r="O173" s="2">
        <f>VLOOKUP($C173,难度推算表,副本难度推算!$R$3,FALSE)</f>
        <v>0</v>
      </c>
      <c r="Q173" s="140">
        <f t="shared" si="13"/>
        <v>1.008</v>
      </c>
      <c r="R173" s="140">
        <f t="shared" si="14"/>
        <v>0.92400000000000004</v>
      </c>
      <c r="S173" s="140">
        <f t="shared" si="15"/>
        <v>0.67200000000000004</v>
      </c>
      <c r="V173" s="140"/>
      <c r="W173" s="140"/>
      <c r="X173" s="140"/>
    </row>
    <row r="174" spans="1:24">
      <c r="A174" s="2" t="str">
        <f t="shared" si="17"/>
        <v>护送</v>
      </c>
      <c r="B174" s="2" t="str">
        <f>怪物并表!$R$14</f>
        <v>英雄之路</v>
      </c>
      <c r="C174" s="2">
        <v>47</v>
      </c>
      <c r="D174" s="28">
        <f t="shared" si="12"/>
        <v>1903</v>
      </c>
      <c r="E174" s="72">
        <f>VLOOKUP($C174,难度推算表,副本难度推算!$M$3,FALSE)*副本难度推算!$Y$5*Q174</f>
        <v>125418.57588266535</v>
      </c>
      <c r="F174" s="72">
        <f>VLOOKUP($C174,难度推算表,副本难度推算!$P$3,FALSE)*副本难度推算!$Z$5*$R174+VLOOKUP($C174,难度推算表,副本难度推算!$H$3,FALSE)</f>
        <v>6855.7942324385767</v>
      </c>
      <c r="G174" s="72">
        <f>VLOOKUP($C174,难度推算表,副本难度推算!$G$3,FALSE)-VLOOKUP($C174,难度推算表,副本难度推算!$I$3,FALSE)*(2-副本难度推算!$AA$5)*(2-$S174)</f>
        <v>1560.6799993872928</v>
      </c>
      <c r="H174" s="72">
        <f>VLOOKUP($C174,难度推算表,副本难度推算!$M$3,FALSE)*副本难度推算!$Y$6*Q174</f>
        <v>100334.86070613228</v>
      </c>
      <c r="I174" s="72">
        <f>VLOOKUP($C174,难度推算表,副本难度推算!$P$3,FALSE)*副本难度推算!$Z$6*$R174+VLOOKUP($C174,难度推算表,副本难度推算!$H$3,FALSE)</f>
        <v>6439.2975677097693</v>
      </c>
      <c r="J174" s="72">
        <f>VLOOKUP($C174,难度推算表,副本难度推算!$G$3,FALSE)-VLOOKUP($C174,难度推算表,副本难度推算!$I$3,FALSE)*(2-副本难度推算!$AA$6)*(2-$S174)</f>
        <v>661.94358594702499</v>
      </c>
      <c r="K174" s="72">
        <f>VLOOKUP($C174,难度推算表,副本难度推算!$M$3,FALSE)*副本难度推算!$Y$7*Q174</f>
        <v>313546.43970666337</v>
      </c>
      <c r="L174" s="72">
        <f>VLOOKUP($C174,难度推算表,副本难度推算!$P$3,FALSE)*副本难度推算!$Z$7*$R174+VLOOKUP($C174,难度推算表,副本难度推算!$H$3,FALSE)</f>
        <v>7688.7875618961898</v>
      </c>
      <c r="M174" s="72">
        <f>VLOOKUP($C174,难度推算表,副本难度推算!$G$3,FALSE)-VLOOKUP($C174,难度推算表,副本难度推算!$I$3,FALSE)*(2-副本难度推算!$AA$7)*(2-$S174)</f>
        <v>2459.4164128275593</v>
      </c>
      <c r="N174" s="2">
        <f>VLOOKUP($C174,难度推算表,副本难度推算!$Q$3,FALSE)</f>
        <v>3078.3160000000003</v>
      </c>
      <c r="O174" s="2">
        <f>VLOOKUP($C174,难度推算表,副本难度推算!$R$3,FALSE)</f>
        <v>0</v>
      </c>
      <c r="Q174" s="140">
        <f t="shared" si="13"/>
        <v>0.99599999999999989</v>
      </c>
      <c r="R174" s="140">
        <f t="shared" si="14"/>
        <v>0.91300000000000003</v>
      </c>
      <c r="S174" s="140">
        <f t="shared" si="15"/>
        <v>0.66400000000000003</v>
      </c>
      <c r="V174" s="140"/>
      <c r="W174" s="140"/>
      <c r="X174" s="140"/>
    </row>
    <row r="175" spans="1:24">
      <c r="A175" s="2" t="str">
        <f t="shared" si="17"/>
        <v>护送</v>
      </c>
      <c r="B175" s="2" t="str">
        <f>怪物并表!$R$14</f>
        <v>英雄之路</v>
      </c>
      <c r="C175" s="2">
        <v>48</v>
      </c>
      <c r="D175" s="28">
        <f t="shared" si="12"/>
        <v>1903</v>
      </c>
      <c r="E175" s="72">
        <f>VLOOKUP($C175,难度推算表,副本难度推算!$M$3,FALSE)*副本难度推算!$Y$5*Q175</f>
        <v>134015.99693562405</v>
      </c>
      <c r="F175" s="72">
        <f>VLOOKUP($C175,难度推算表,副本难度推算!$P$3,FALSE)*副本难度推算!$Z$5*$R175+VLOOKUP($C175,难度推算表,副本难度推算!$H$3,FALSE)</f>
        <v>7407.6161801075559</v>
      </c>
      <c r="G175" s="72">
        <f>VLOOKUP($C175,难度推算表,副本难度推算!$G$3,FALSE)-VLOOKUP($C175,难度推算表,副本难度推算!$I$3,FALSE)*(2-副本难度推算!$AA$5)*(2-$S175)</f>
        <v>1638.5288090713057</v>
      </c>
      <c r="H175" s="72">
        <f>VLOOKUP($C175,难度推算表,副本难度推算!$M$3,FALSE)*副本难度推算!$Y$6*Q175</f>
        <v>107212.79754849923</v>
      </c>
      <c r="I175" s="72">
        <f>VLOOKUP($C175,难度推算表,副本难度推算!$P$3,FALSE)*副本难度推算!$Z$6*$R175+VLOOKUP($C175,难度推算表,副本难度推算!$H$3,FALSE)</f>
        <v>6954.3157566707141</v>
      </c>
      <c r="J175" s="72">
        <f>VLOOKUP($C175,难度推算表,副本难度推算!$G$3,FALSE)-VLOOKUP($C175,难度推算表,副本难度推算!$I$3,FALSE)*(2-副本难度推算!$AA$6)*(2-$S175)</f>
        <v>672.65919530295832</v>
      </c>
      <c r="K175" s="72">
        <f>VLOOKUP($C175,难度推算表,副本难度推算!$M$3,FALSE)*副本难度推算!$Y$7*Q175</f>
        <v>335039.99233906006</v>
      </c>
      <c r="L175" s="72">
        <f>VLOOKUP($C175,难度推算表,副本难度推算!$P$3,FALSE)*副本难度推算!$Z$7*$R175+VLOOKUP($C175,难度推算表,副本难度推算!$H$3,FALSE)</f>
        <v>8314.2170269812414</v>
      </c>
      <c r="M175" s="72">
        <f>VLOOKUP($C175,难度推算表,副本难度推算!$G$3,FALSE)-VLOOKUP($C175,难度推算表,副本难度推算!$I$3,FALSE)*(2-副本难度推算!$AA$7)*(2-$S175)</f>
        <v>2604.3984228396534</v>
      </c>
      <c r="N175" s="2">
        <f>VLOOKUP($C175,难度推算表,副本难度推算!$Q$3,FALSE)</f>
        <v>3136.5439999999999</v>
      </c>
      <c r="O175" s="2">
        <f>VLOOKUP($C175,难度推算表,副本难度推算!$R$3,FALSE)</f>
        <v>0</v>
      </c>
      <c r="Q175" s="140">
        <f t="shared" si="13"/>
        <v>0.98399999999999987</v>
      </c>
      <c r="R175" s="140">
        <f t="shared" si="14"/>
        <v>0.90200000000000002</v>
      </c>
      <c r="S175" s="140">
        <f t="shared" si="15"/>
        <v>0.65600000000000003</v>
      </c>
      <c r="V175" s="140"/>
      <c r="W175" s="140"/>
      <c r="X175" s="140"/>
    </row>
    <row r="176" spans="1:24">
      <c r="A176" s="2" t="str">
        <f t="shared" si="17"/>
        <v>护送</v>
      </c>
      <c r="B176" s="2" t="str">
        <f>怪物并表!$R$14</f>
        <v>英雄之路</v>
      </c>
      <c r="C176" s="2">
        <v>49</v>
      </c>
      <c r="D176" s="28">
        <f t="shared" si="12"/>
        <v>1903</v>
      </c>
      <c r="E176" s="72">
        <f>VLOOKUP($C176,难度推算表,副本难度推算!$M$3,FALSE)*副本难度推算!$Y$5*Q176</f>
        <v>142923.42532203163</v>
      </c>
      <c r="F176" s="72">
        <f>VLOOKUP($C176,难度推算表,副本难度推算!$P$3,FALSE)*副本难度推算!$Z$5*$R176+VLOOKUP($C176,难度推算表,副本难度推算!$H$3,FALSE)</f>
        <v>7989.1150950560241</v>
      </c>
      <c r="G176" s="72">
        <f>VLOOKUP($C176,难度推算表,副本难度推算!$G$3,FALSE)-VLOOKUP($C176,难度推算表,副本难度推算!$I$3,FALSE)*(2-副本难度推算!$AA$5)*(2-$S176)</f>
        <v>1716.9483628029448</v>
      </c>
      <c r="H176" s="72">
        <f>VLOOKUP($C176,难度推算表,副本难度推算!$M$3,FALSE)*副本难度推算!$Y$6*Q176</f>
        <v>114338.74025762529</v>
      </c>
      <c r="I176" s="72">
        <f>VLOOKUP($C176,难度推算表,副本难度推算!$P$3,FALSE)*副本难度推算!$Z$6*$R176+VLOOKUP($C176,难度推算表,副本难度推算!$H$3,FALSE)</f>
        <v>7496.8015074795194</v>
      </c>
      <c r="J176" s="72">
        <f>VLOOKUP($C176,难度推算表,副本难度推算!$G$3,FALSE)-VLOOKUP($C176,难度推算表,副本难度推算!$I$3,FALSE)*(2-副本难度推算!$AA$6)*(2-$S176)</f>
        <v>680.64738668259724</v>
      </c>
      <c r="K176" s="72">
        <f>VLOOKUP($C176,难度推算表,副本难度推算!$M$3,FALSE)*副本难度推算!$Y$7*Q176</f>
        <v>357308.56330507906</v>
      </c>
      <c r="L176" s="72">
        <f>VLOOKUP($C176,难度推算表,副本难度推算!$P$3,FALSE)*副本难度推算!$Z$7*$R176+VLOOKUP($C176,难度推算表,副本难度推算!$H$3,FALSE)</f>
        <v>8973.7422702090353</v>
      </c>
      <c r="M176" s="72">
        <f>VLOOKUP($C176,难度推算表,副本难度推算!$G$3,FALSE)-VLOOKUP($C176,难度推算表,副本难度推算!$I$3,FALSE)*(2-副本难度推算!$AA$7)*(2-$S176)</f>
        <v>2753.2493389232932</v>
      </c>
      <c r="N176" s="2">
        <f>VLOOKUP($C176,难度推算表,副本难度推算!$Q$3,FALSE)</f>
        <v>3194.7719999999999</v>
      </c>
      <c r="O176" s="2">
        <f>VLOOKUP($C176,难度推算表,副本难度推算!$R$3,FALSE)</f>
        <v>0</v>
      </c>
      <c r="Q176" s="140">
        <f t="shared" si="13"/>
        <v>0.97199999999999998</v>
      </c>
      <c r="R176" s="140">
        <f t="shared" si="14"/>
        <v>0.89100000000000013</v>
      </c>
      <c r="S176" s="140">
        <f t="shared" si="15"/>
        <v>0.64800000000000013</v>
      </c>
      <c r="V176" s="140"/>
      <c r="W176" s="140"/>
      <c r="X176" s="140"/>
    </row>
    <row r="177" spans="1:24">
      <c r="A177" s="2" t="str">
        <f t="shared" si="17"/>
        <v>护送</v>
      </c>
      <c r="B177" s="2" t="str">
        <f>怪物并表!$R$14</f>
        <v>英雄之路</v>
      </c>
      <c r="C177" s="2">
        <v>50</v>
      </c>
      <c r="D177" s="28">
        <f t="shared" si="12"/>
        <v>1903</v>
      </c>
      <c r="E177" s="72">
        <f>VLOOKUP($C177,难度推算表,副本难度推算!$M$3,FALSE)*副本难度推算!$Y$5*Q177</f>
        <v>153139.33168377235</v>
      </c>
      <c r="F177" s="72">
        <f>VLOOKUP($C177,难度推算表,副本难度推算!$P$3,FALSE)*副本难度推算!$Z$5*$R177+VLOOKUP($C177,难度推算表,副本难度推算!$H$3,FALSE)</f>
        <v>8657.6942346106116</v>
      </c>
      <c r="G177" s="72">
        <f>VLOOKUP($C177,难度推算表,副本难度推算!$G$3,FALSE)-VLOOKUP($C177,难度推算表,副本难度推算!$I$3,FALSE)*(2-副本难度推算!$AA$5)*(2-$S177)</f>
        <v>1807.598850501674</v>
      </c>
      <c r="H177" s="72">
        <f>VLOOKUP($C177,难度推算表,副本难度推算!$M$3,FALSE)*副本难度推算!$Y$6*Q177</f>
        <v>122511.4653470179</v>
      </c>
      <c r="I177" s="72">
        <f>VLOOKUP($C177,难度推算表,副本难度推算!$P$3,FALSE)*副本难度推算!$Z$6*$R177+VLOOKUP($C177,难度推算表,副本难度推算!$H$3,FALSE)</f>
        <v>8120.5791476043996</v>
      </c>
      <c r="J177" s="72">
        <f>VLOOKUP($C177,难度推算表,副本难度推算!$G$3,FALSE)-VLOOKUP($C177,难度推算表,副本难度推算!$I$3,FALSE)*(2-副本难度推算!$AA$6)*(2-$S177)</f>
        <v>690.17410655518506</v>
      </c>
      <c r="K177" s="72">
        <f>VLOOKUP($C177,难度推算表,副本难度推算!$M$3,FALSE)*副本难度推算!$Y$7*Q177</f>
        <v>382848.32920943096</v>
      </c>
      <c r="L177" s="72">
        <f>VLOOKUP($C177,难度推算表,副本难度推算!$P$3,FALSE)*副本难度推算!$Z$7*$R177+VLOOKUP($C177,难度推算表,副本难度推算!$H$3,FALSE)</f>
        <v>9731.9244086230337</v>
      </c>
      <c r="M177" s="72">
        <f>VLOOKUP($C177,难度推算表,副本难度推算!$G$3,FALSE)-VLOOKUP($C177,难度推算表,副本难度推算!$I$3,FALSE)*(2-副本难度推算!$AA$7)*(2-$S177)</f>
        <v>2925.0235944481619</v>
      </c>
      <c r="N177" s="2">
        <f>VLOOKUP($C177,难度推算表,副本难度推算!$Q$3,FALSE)</f>
        <v>3253</v>
      </c>
      <c r="O177" s="2">
        <f>VLOOKUP($C177,难度推算表,副本难度推算!$R$3,FALSE)</f>
        <v>0</v>
      </c>
      <c r="Q177" s="140">
        <f t="shared" si="13"/>
        <v>0.96</v>
      </c>
      <c r="R177" s="140">
        <f t="shared" si="14"/>
        <v>0.88000000000000012</v>
      </c>
      <c r="S177" s="140">
        <f t="shared" si="15"/>
        <v>0.64000000000000012</v>
      </c>
      <c r="V177" s="140"/>
      <c r="W177" s="140"/>
      <c r="X177" s="140"/>
    </row>
    <row r="178" spans="1:24">
      <c r="A178" s="2" t="str">
        <f t="shared" si="17"/>
        <v>护送</v>
      </c>
      <c r="B178" s="2" t="str">
        <f>怪物并表!$R$14</f>
        <v>英雄之路</v>
      </c>
      <c r="C178" s="2">
        <v>51</v>
      </c>
      <c r="D178" s="28">
        <f t="shared" si="12"/>
        <v>1903</v>
      </c>
      <c r="E178" s="72">
        <f>VLOOKUP($C178,难度推算表,副本难度推算!$M$3,FALSE)*副本难度推算!$Y$5*Q178</f>
        <v>162848.06189620736</v>
      </c>
      <c r="F178" s="72">
        <f>VLOOKUP($C178,难度推算表,副本难度推算!$P$3,FALSE)*副本难度推算!$Z$5*$R178+VLOOKUP($C178,难度推算表,副本难度推算!$H$3,FALSE)</f>
        <v>9436.9266117710067</v>
      </c>
      <c r="G178" s="72">
        <f>VLOOKUP($C178,难度推算表,副本难度推算!$G$3,FALSE)-VLOOKUP($C178,难度推算表,副本难度推算!$I$3,FALSE)*(2-副本难度推算!$AA$5)*(2-$S178)</f>
        <v>1962.281322425687</v>
      </c>
      <c r="H178" s="72">
        <f>VLOOKUP($C178,难度推算表,副本难度推算!$M$3,FALSE)*副本难度推算!$Y$6*Q178</f>
        <v>130278.44951696589</v>
      </c>
      <c r="I178" s="72">
        <f>VLOOKUP($C178,难度推算表,副本难度推算!$P$3,FALSE)*副本难度推算!$Z$6*$R178+VLOOKUP($C178,难度推算表,副本难度推算!$H$3,FALSE)</f>
        <v>8844.884790844073</v>
      </c>
      <c r="J178" s="72">
        <f>VLOOKUP($C178,难度推算表,副本难度推算!$G$3,FALSE)-VLOOKUP($C178,难度推算表,副本难度推算!$I$3,FALSE)*(2-副本难度推算!$AA$6)*(2-$S178)</f>
        <v>787.97641747938542</v>
      </c>
      <c r="K178" s="72">
        <f>VLOOKUP($C178,难度推算表,副本难度推算!$M$3,FALSE)*副本难度推算!$Y$7*Q178</f>
        <v>407120.15474051842</v>
      </c>
      <c r="L178" s="72">
        <f>VLOOKUP($C178,难度推算表,副本难度推算!$P$3,FALSE)*副本难度推算!$Z$7*$R178+VLOOKUP($C178,难度推算表,副本难度推算!$H$3,FALSE)</f>
        <v>10621.010253624872</v>
      </c>
      <c r="M178" s="72">
        <f>VLOOKUP($C178,难度推算表,副本难度推算!$G$3,FALSE)-VLOOKUP($C178,难度推算表,副本难度推算!$I$3,FALSE)*(2-副本难度推算!$AA$7)*(2-$S178)</f>
        <v>3136.5862273719877</v>
      </c>
      <c r="N178" s="2">
        <f>VLOOKUP($C178,难度推算表,副本难度推算!$Q$3,FALSE)</f>
        <v>3311.2280000000001</v>
      </c>
      <c r="O178" s="2">
        <f>VLOOKUP($C178,难度推算表,副本难度推算!$R$3,FALSE)</f>
        <v>0</v>
      </c>
      <c r="Q178" s="140">
        <f t="shared" si="13"/>
        <v>0.96</v>
      </c>
      <c r="R178" s="140">
        <f t="shared" si="14"/>
        <v>0.88000000000000012</v>
      </c>
      <c r="S178" s="140">
        <f t="shared" si="15"/>
        <v>0.64000000000000012</v>
      </c>
      <c r="V178" s="140"/>
      <c r="W178" s="140"/>
      <c r="X178" s="140"/>
    </row>
    <row r="179" spans="1:24">
      <c r="A179" s="2" t="str">
        <f t="shared" si="17"/>
        <v>护送</v>
      </c>
      <c r="B179" s="2" t="str">
        <f>怪物并表!$R$14</f>
        <v>英雄之路</v>
      </c>
      <c r="C179" s="2">
        <v>52</v>
      </c>
      <c r="D179" s="28">
        <f t="shared" si="12"/>
        <v>1903</v>
      </c>
      <c r="E179" s="72">
        <f>VLOOKUP($C179,难度推算表,副本难度推算!$M$3,FALSE)*副本难度推算!$Y$5*Q179</f>
        <v>179172.60749154285</v>
      </c>
      <c r="F179" s="72">
        <f>VLOOKUP($C179,难度推算表,副本难度推算!$P$3,FALSE)*副本难度推算!$Z$5*$R179+VLOOKUP($C179,难度推算表,副本难度推算!$H$3,FALSE)</f>
        <v>10268.610002414378</v>
      </c>
      <c r="G179" s="72">
        <f>VLOOKUP($C179,难度推算表,副本难度推算!$G$3,FALSE)-VLOOKUP($C179,难度推算表,副本难度推算!$I$3,FALSE)*(2-副本难度推算!$AA$5)*(2-$S179)</f>
        <v>2065.8225154033453</v>
      </c>
      <c r="H179" s="72">
        <f>VLOOKUP($C179,难度推算表,副本难度推算!$M$3,FALSE)*副本难度推算!$Y$6*Q179</f>
        <v>143338.0859932343</v>
      </c>
      <c r="I179" s="72">
        <f>VLOOKUP($C179,难度推算表,副本难度推算!$P$3,FALSE)*副本难度推算!$Z$6*$R179+VLOOKUP($C179,难度推算表,副本难度推算!$H$3,FALSE)</f>
        <v>9617.3530958826395</v>
      </c>
      <c r="J179" s="72">
        <f>VLOOKUP($C179,难度推算表,副本难度推算!$G$3,FALSE)-VLOOKUP($C179,难度推算表,副本难度推算!$I$3,FALSE)*(2-副本难度推算!$AA$6)*(2-$S179)</f>
        <v>788.76859679036897</v>
      </c>
      <c r="K179" s="72">
        <f>VLOOKUP($C179,难度推算表,副本难度推算!$M$3,FALSE)*副本难度推算!$Y$7*Q179</f>
        <v>447931.51872885716</v>
      </c>
      <c r="L179" s="72">
        <f>VLOOKUP($C179,难度推算表,副本难度推算!$P$3,FALSE)*副本难度推算!$Z$7*$R179+VLOOKUP($C179,难度推算表,副本难度推算!$H$3,FALSE)</f>
        <v>11571.123815477855</v>
      </c>
      <c r="M179" s="72">
        <f>VLOOKUP($C179,难度推算表,副本难度推算!$G$3,FALSE)-VLOOKUP($C179,难度推算表,副本难度推算!$I$3,FALSE)*(2-副本难度推算!$AA$7)*(2-$S179)</f>
        <v>3342.8764340163216</v>
      </c>
      <c r="N179" s="2">
        <f>VLOOKUP($C179,难度推算表,副本难度推算!$Q$3,FALSE)</f>
        <v>3369.4560000000001</v>
      </c>
      <c r="O179" s="2">
        <f>VLOOKUP($C179,难度推算表,副本难度推算!$R$3,FALSE)</f>
        <v>0</v>
      </c>
      <c r="Q179" s="140">
        <f t="shared" si="13"/>
        <v>0.96</v>
      </c>
      <c r="R179" s="140">
        <f t="shared" si="14"/>
        <v>0.88000000000000012</v>
      </c>
      <c r="S179" s="140">
        <f t="shared" si="15"/>
        <v>0.64000000000000012</v>
      </c>
      <c r="V179" s="140"/>
      <c r="W179" s="140"/>
      <c r="X179" s="140"/>
    </row>
    <row r="180" spans="1:24">
      <c r="A180" s="2" t="str">
        <f t="shared" si="17"/>
        <v>护送</v>
      </c>
      <c r="B180" s="2" t="str">
        <f>怪物并表!$R$14</f>
        <v>英雄之路</v>
      </c>
      <c r="C180" s="2">
        <v>53</v>
      </c>
      <c r="D180" s="28">
        <f t="shared" si="12"/>
        <v>1903</v>
      </c>
      <c r="E180" s="72">
        <f>VLOOKUP($C180,难度推算表,副本难度推算!$M$3,FALSE)*副本难度推算!$Y$5*Q180</f>
        <v>193271.3454181125</v>
      </c>
      <c r="F180" s="72">
        <f>VLOOKUP($C180,难度推算表,副本难度推算!$P$3,FALSE)*副本难度推算!$Z$5*$R180+VLOOKUP($C180,难度推算表,副本难度推算!$H$3,FALSE)</f>
        <v>11155.433878165892</v>
      </c>
      <c r="G180" s="72">
        <f>VLOOKUP($C180,难度推算表,副本难度推算!$G$3,FALSE)-VLOOKUP($C180,难度推算表,副本难度推算!$I$3,FALSE)*(2-副本难度推算!$AA$5)*(2-$S180)</f>
        <v>2202.9191647545167</v>
      </c>
      <c r="H180" s="72">
        <f>VLOOKUP($C180,难度推算表,副本难度推算!$M$3,FALSE)*副本难度推算!$Y$6*Q180</f>
        <v>154617.07633449</v>
      </c>
      <c r="I180" s="72">
        <f>VLOOKUP($C180,难度推算表,副本难度推算!$P$3,FALSE)*副本难度推算!$Z$6*$R180+VLOOKUP($C180,难度推算表,副本难度推算!$H$3,FALSE)</f>
        <v>10440.421247577397</v>
      </c>
      <c r="J180" s="72">
        <f>VLOOKUP($C180,难度推算表,副本难度推算!$G$3,FALSE)-VLOOKUP($C180,难度推算表,副本难度推算!$I$3,FALSE)*(2-副本难度推算!$AA$6)*(2-$S180)</f>
        <v>841.11459017899779</v>
      </c>
      <c r="K180" s="72">
        <f>VLOOKUP($C180,难度推算表,副本难度推算!$M$3,FALSE)*副本难度推算!$Y$7*Q180</f>
        <v>483178.36354528123</v>
      </c>
      <c r="L180" s="72">
        <f>VLOOKUP($C180,难度推算表,副本难度推算!$P$3,FALSE)*副本难度推算!$Z$7*$R180+VLOOKUP($C180,难度推算表,副本难度推算!$H$3,FALSE)</f>
        <v>12585.459139342882</v>
      </c>
      <c r="M180" s="72">
        <f>VLOOKUP($C180,难度推算表,副本难度推算!$G$3,FALSE)-VLOOKUP($C180,难度推算表,副本难度推算!$I$3,FALSE)*(2-副本难度推算!$AA$7)*(2-$S180)</f>
        <v>3564.7237393300347</v>
      </c>
      <c r="N180" s="2">
        <f>VLOOKUP($C180,难度推算表,副本难度推算!$Q$3,FALSE)</f>
        <v>3427.6839999999997</v>
      </c>
      <c r="O180" s="2">
        <f>VLOOKUP($C180,难度推算表,副本难度推算!$R$3,FALSE)</f>
        <v>0</v>
      </c>
      <c r="Q180" s="140">
        <f t="shared" si="13"/>
        <v>0.96</v>
      </c>
      <c r="R180" s="140">
        <f t="shared" si="14"/>
        <v>0.88000000000000012</v>
      </c>
      <c r="S180" s="140">
        <f t="shared" si="15"/>
        <v>0.64000000000000012</v>
      </c>
      <c r="V180" s="140"/>
      <c r="W180" s="140"/>
      <c r="X180" s="140"/>
    </row>
    <row r="181" spans="1:24">
      <c r="A181" s="2" t="str">
        <f t="shared" si="17"/>
        <v>护送</v>
      </c>
      <c r="B181" s="2" t="str">
        <f>怪物并表!$R$14</f>
        <v>英雄之路</v>
      </c>
      <c r="C181" s="2">
        <v>54</v>
      </c>
      <c r="D181" s="28">
        <f t="shared" si="12"/>
        <v>1903</v>
      </c>
      <c r="E181" s="72">
        <f>VLOOKUP($C181,难度推算表,副本难度推算!$M$3,FALSE)*副本难度推算!$Y$5*Q181</f>
        <v>208122.59468909772</v>
      </c>
      <c r="F181" s="72">
        <f>VLOOKUP($C181,难度推算表,副本难度推算!$P$3,FALSE)*副本难度推算!$Z$5*$R181+VLOOKUP($C181,难度推算表,副本难度推算!$H$3,FALSE)</f>
        <v>12100.204932229226</v>
      </c>
      <c r="G181" s="72">
        <f>VLOOKUP($C181,难度推算表,副本难度推算!$G$3,FALSE)-VLOOKUP($C181,难度推算表,副本难度推算!$I$3,FALSE)*(2-副本难度推算!$AA$5)*(2-$S181)</f>
        <v>2345.4612016000019</v>
      </c>
      <c r="H181" s="72">
        <f>VLOOKUP($C181,难度推算表,副本难度推算!$M$3,FALSE)*副本难度推算!$Y$6*Q181</f>
        <v>166498.0757512782</v>
      </c>
      <c r="I181" s="72">
        <f>VLOOKUP($C181,难度推算表,副本难度推算!$P$3,FALSE)*副本难度推算!$Z$6*$R181+VLOOKUP($C181,难度推算表,副本难度推算!$H$3,FALSE)</f>
        <v>11316.631930206306</v>
      </c>
      <c r="J181" s="72">
        <f>VLOOKUP($C181,难度推算表,副本难度推算!$G$3,FALSE)-VLOOKUP($C181,难度推算表,副本难度推算!$I$3,FALSE)*(2-副本难度推算!$AA$6)*(2-$S181)</f>
        <v>895.53973152000071</v>
      </c>
      <c r="K181" s="72">
        <f>VLOOKUP($C181,难度推算表,副本难度推算!$M$3,FALSE)*副本难度推算!$Y$7*Q181</f>
        <v>520306.48672274436</v>
      </c>
      <c r="L181" s="72">
        <f>VLOOKUP($C181,难度推算表,副本难度推算!$P$3,FALSE)*副本难度推算!$Z$7*$R181+VLOOKUP($C181,难度推算表,副本难度推算!$H$3,FALSE)</f>
        <v>13667.35093627507</v>
      </c>
      <c r="M181" s="72">
        <f>VLOOKUP($C181,难度推算表,副本难度推算!$G$3,FALSE)-VLOOKUP($C181,难度推算表,副本难度推算!$I$3,FALSE)*(2-副本难度推算!$AA$7)*(2-$S181)</f>
        <v>3795.3826716800022</v>
      </c>
      <c r="N181" s="2">
        <f>VLOOKUP($C181,难度推算表,副本难度推算!$Q$3,FALSE)</f>
        <v>3485.9119999999998</v>
      </c>
      <c r="O181" s="2">
        <f>VLOOKUP($C181,难度推算表,副本难度推算!$R$3,FALSE)</f>
        <v>0</v>
      </c>
      <c r="Q181" s="140">
        <f t="shared" si="13"/>
        <v>0.96</v>
      </c>
      <c r="R181" s="140">
        <f t="shared" si="14"/>
        <v>0.88000000000000012</v>
      </c>
      <c r="S181" s="140">
        <f t="shared" si="15"/>
        <v>0.64000000000000012</v>
      </c>
      <c r="V181" s="140"/>
      <c r="W181" s="140"/>
      <c r="X181" s="140"/>
    </row>
    <row r="182" spans="1:24">
      <c r="A182" s="2" t="str">
        <f t="shared" si="17"/>
        <v>护送</v>
      </c>
      <c r="B182" s="2" t="str">
        <f>怪物并表!$R$14</f>
        <v>英雄之路</v>
      </c>
      <c r="C182" s="2">
        <v>55</v>
      </c>
      <c r="D182" s="28">
        <f t="shared" si="12"/>
        <v>1903</v>
      </c>
      <c r="E182" s="72">
        <f>VLOOKUP($C182,难度推算表,副本难度推算!$M$3,FALSE)*副本难度推算!$Y$5*Q182</f>
        <v>223750.09452494414</v>
      </c>
      <c r="F182" s="72">
        <f>VLOOKUP($C182,难度推算表,副本难度推算!$P$3,FALSE)*副本难度推算!$Z$5*$R182+VLOOKUP($C182,难度推算表,副本难度推算!$H$3,FALSE)</f>
        <v>13105.852328113986</v>
      </c>
      <c r="G182" s="72">
        <f>VLOOKUP($C182,难度推算表,副本难度推算!$G$3,FALSE)-VLOOKUP($C182,难度推算表,副本难度推算!$I$3,FALSE)*(2-副本难度推算!$AA$5)*(2-$S182)</f>
        <v>2493.5402581103681</v>
      </c>
      <c r="H182" s="72">
        <f>VLOOKUP($C182,难度推算表,副本难度推算!$M$3,FALSE)*副本难度推算!$Y$6*Q182</f>
        <v>179000.07561995531</v>
      </c>
      <c r="I182" s="72">
        <f>VLOOKUP($C182,难度推算表,副本难度推算!$P$3,FALSE)*副本难度推算!$Z$6*$R182+VLOOKUP($C182,难度推算表,副本难度推算!$H$3,FALSE)</f>
        <v>12248.638051322658</v>
      </c>
      <c r="J182" s="72">
        <f>VLOOKUP($C182,难度推算表,副本难度推算!$G$3,FALSE)-VLOOKUP($C182,难度推算表,副本难度推算!$I$3,FALSE)*(2-副本难度推算!$AA$6)*(2-$S182)</f>
        <v>952.07900764213991</v>
      </c>
      <c r="K182" s="72">
        <f>VLOOKUP($C182,难度推算表,副本难度推算!$M$3,FALSE)*副本难度推算!$Y$7*Q182</f>
        <v>559375.23631236039</v>
      </c>
      <c r="L182" s="72">
        <f>VLOOKUP($C182,难度推算表,副本难度推算!$P$3,FALSE)*副本难度推算!$Z$7*$R182+VLOOKUP($C182,难度推算表,副本难度推算!$H$3,FALSE)</f>
        <v>14820.28088169665</v>
      </c>
      <c r="M182" s="72">
        <f>VLOOKUP($C182,难度推算表,副本难度推算!$G$3,FALSE)-VLOOKUP($C182,难度推算表,副本难度推算!$I$3,FALSE)*(2-副本难度推算!$AA$7)*(2-$S182)</f>
        <v>4035.0015085785963</v>
      </c>
      <c r="N182" s="2">
        <f>VLOOKUP($C182,难度推算表,副本难度推算!$Q$3,FALSE)</f>
        <v>3544.1399999999994</v>
      </c>
      <c r="O182" s="2">
        <f>VLOOKUP($C182,难度推算表,副本难度推算!$R$3,FALSE)</f>
        <v>0</v>
      </c>
      <c r="Q182" s="140">
        <f t="shared" si="13"/>
        <v>0.96</v>
      </c>
      <c r="R182" s="140">
        <f t="shared" si="14"/>
        <v>0.88000000000000012</v>
      </c>
      <c r="S182" s="140">
        <f t="shared" si="15"/>
        <v>0.64000000000000012</v>
      </c>
      <c r="V182" s="140"/>
      <c r="W182" s="140"/>
      <c r="X182" s="140"/>
    </row>
    <row r="183" spans="1:24">
      <c r="A183" s="2" t="str">
        <f t="shared" si="17"/>
        <v>护送</v>
      </c>
      <c r="B183" s="2" t="str">
        <f>怪物并表!$R$14</f>
        <v>英雄之路</v>
      </c>
      <c r="C183" s="2">
        <v>56</v>
      </c>
      <c r="D183" s="28">
        <f t="shared" si="12"/>
        <v>1903</v>
      </c>
      <c r="E183" s="72">
        <f>VLOOKUP($C183,难度推算表,副本难度推算!$M$3,FALSE)*副本难度推算!$Y$5*Q183</f>
        <v>240177.90858533265</v>
      </c>
      <c r="F183" s="72">
        <f>VLOOKUP($C183,难度推算表,副本难度推算!$P$3,FALSE)*副本难度推算!$Z$5*$R183+VLOOKUP($C183,难度推算表,副本难度推算!$H$3,FALSE)</f>
        <v>14175.433232932675</v>
      </c>
      <c r="G183" s="72">
        <f>VLOOKUP($C183,难度推算表,副本难度推算!$G$3,FALSE)-VLOOKUP($C183,难度推算表,副本难度推算!$I$3,FALSE)*(2-副本难度推算!$AA$5)*(2-$S183)</f>
        <v>2647.2479664561888</v>
      </c>
      <c r="H183" s="72">
        <f>VLOOKUP($C183,难度推算表,副本难度推算!$M$3,FALSE)*副本难度推算!$Y$6*Q183</f>
        <v>192142.32686826613</v>
      </c>
      <c r="I183" s="72">
        <f>VLOOKUP($C183,难度推算表,副本难度推算!$P$3,FALSE)*副本难度推算!$Z$6*$R183+VLOOKUP($C183,难度推算表,副本难度推算!$H$3,FALSE)</f>
        <v>13239.207721722352</v>
      </c>
      <c r="J183" s="72">
        <f>VLOOKUP($C183,难度推算表,副本难度推算!$G$3,FALSE)-VLOOKUP($C183,难度推算表,副本难度推算!$I$3,FALSE)*(2-副本难度推算!$AA$6)*(2-$S183)</f>
        <v>1010.7674053741812</v>
      </c>
      <c r="K183" s="72">
        <f>VLOOKUP($C183,难度推算表,副本难度推算!$M$3,FALSE)*副本难度推算!$Y$7*Q183</f>
        <v>600444.77146333165</v>
      </c>
      <c r="L183" s="72">
        <f>VLOOKUP($C183,难度推算表,副本难度推算!$P$3,FALSE)*副本难度推算!$Z$7*$R183+VLOOKUP($C183,难度推算表,副本难度推算!$H$3,FALSE)</f>
        <v>16047.884255353321</v>
      </c>
      <c r="M183" s="72">
        <f>VLOOKUP($C183,难度推算表,副本难度推算!$G$3,FALSE)-VLOOKUP($C183,难度推算表,副本难度推算!$I$3,FALSE)*(2-副本难度推算!$AA$7)*(2-$S183)</f>
        <v>4283.7285275381964</v>
      </c>
      <c r="N183" s="2">
        <f>VLOOKUP($C183,难度推算表,副本难度推算!$Q$3,FALSE)</f>
        <v>3602.3680000000004</v>
      </c>
      <c r="O183" s="2">
        <f>VLOOKUP($C183,难度推算表,副本难度推算!$R$3,FALSE)</f>
        <v>0</v>
      </c>
      <c r="Q183" s="140">
        <f t="shared" si="13"/>
        <v>0.96</v>
      </c>
      <c r="R183" s="140">
        <f t="shared" si="14"/>
        <v>0.88000000000000012</v>
      </c>
      <c r="S183" s="140">
        <f t="shared" si="15"/>
        <v>0.64000000000000012</v>
      </c>
      <c r="V183" s="140"/>
      <c r="W183" s="140"/>
      <c r="X183" s="140"/>
    </row>
    <row r="184" spans="1:24">
      <c r="A184" s="2" t="str">
        <f t="shared" si="17"/>
        <v>护送</v>
      </c>
      <c r="B184" s="2" t="str">
        <f>怪物并表!$R$14</f>
        <v>英雄之路</v>
      </c>
      <c r="C184" s="2">
        <v>57</v>
      </c>
      <c r="D184" s="28">
        <f t="shared" si="12"/>
        <v>1903</v>
      </c>
      <c r="E184" s="72">
        <f>VLOOKUP($C184,难度推算表,副本难度推算!$M$3,FALSE)*副本难度推算!$Y$5*Q184</f>
        <v>257430.42484897914</v>
      </c>
      <c r="F184" s="72">
        <f>VLOOKUP($C184,难度推算表,副本难度推算!$P$3,FALSE)*副本难度推算!$Z$5*$R184+VLOOKUP($C184,难度推算表,副本难度推算!$H$3,FALSE)</f>
        <v>15312.13865343116</v>
      </c>
      <c r="G184" s="72">
        <f>VLOOKUP($C184,难度推算表,副本难度推算!$G$3,FALSE)-VLOOKUP($C184,难度推算表,副本难度推算!$I$3,FALSE)*(2-副本难度推算!$AA$5)*(2-$S184)</f>
        <v>2806.6759588080295</v>
      </c>
      <c r="H184" s="72">
        <f>VLOOKUP($C184,难度推算表,副本难度推算!$M$3,FALSE)*副本难度推算!$Y$6*Q184</f>
        <v>205944.3398791833</v>
      </c>
      <c r="I184" s="72">
        <f>VLOOKUP($C184,难度推算表,副本难度推算!$P$3,FALSE)*副本难度推算!$Z$6*$R184+VLOOKUP($C184,难度推算表,副本难度推算!$H$3,FALSE)</f>
        <v>14291.229507871325</v>
      </c>
      <c r="J184" s="72">
        <f>VLOOKUP($C184,难度推算表,副本难度推算!$G$3,FALSE)-VLOOKUP($C184,难度推算表,副本难度推算!$I$3,FALSE)*(2-副本难度推算!$AA$6)*(2-$S184)</f>
        <v>1071.6399115448839</v>
      </c>
      <c r="K184" s="72">
        <f>VLOOKUP($C184,难度推算表,副本难度推算!$M$3,FALSE)*副本难度推算!$Y$7*Q184</f>
        <v>643576.06212244788</v>
      </c>
      <c r="L184" s="72">
        <f>VLOOKUP($C184,难度推算表,副本难度推算!$P$3,FALSE)*副本难度推算!$Z$7*$R184+VLOOKUP($C184,难度推算表,副本难度推算!$H$3,FALSE)</f>
        <v>17353.956944550839</v>
      </c>
      <c r="M184" s="72">
        <f>VLOOKUP($C184,难度推算表,副本难度推算!$G$3,FALSE)-VLOOKUP($C184,难度推算表,副本难度推算!$I$3,FALSE)*(2-副本难度推算!$AA$7)*(2-$S184)</f>
        <v>4541.7120060711723</v>
      </c>
      <c r="N184" s="2">
        <f>VLOOKUP($C184,难度推算表,副本难度推算!$Q$3,FALSE)</f>
        <v>3660.596</v>
      </c>
      <c r="O184" s="2">
        <f>VLOOKUP($C184,难度推算表,副本难度推算!$R$3,FALSE)</f>
        <v>0</v>
      </c>
      <c r="Q184" s="140">
        <f t="shared" si="13"/>
        <v>0.96</v>
      </c>
      <c r="R184" s="140">
        <f t="shared" si="14"/>
        <v>0.88000000000000012</v>
      </c>
      <c r="S184" s="140">
        <f t="shared" si="15"/>
        <v>0.64000000000000012</v>
      </c>
      <c r="V184" s="140"/>
      <c r="W184" s="140"/>
      <c r="X184" s="140"/>
    </row>
    <row r="185" spans="1:24">
      <c r="A185" s="2" t="str">
        <f t="shared" si="17"/>
        <v>护送</v>
      </c>
      <c r="B185" s="2" t="str">
        <f>怪物并表!$R$14</f>
        <v>英雄之路</v>
      </c>
      <c r="C185" s="2">
        <v>58</v>
      </c>
      <c r="D185" s="28">
        <f t="shared" si="12"/>
        <v>1903</v>
      </c>
      <c r="E185" s="72">
        <f>VLOOKUP($C185,难度推算表,副本难度推算!$M$3,FALSE)*副本难度推算!$Y$5*Q185</f>
        <v>275532.35549082223</v>
      </c>
      <c r="F185" s="72">
        <f>VLOOKUP($C185,难度推算表,副本难度推算!$P$3,FALSE)*副本难度推算!$Z$5*$R185+VLOOKUP($C185,难度推算表,副本难度推算!$H$3,FALSE)</f>
        <v>16519.29959425408</v>
      </c>
      <c r="G185" s="72">
        <f>VLOOKUP($C185,难度推算表,副本难度推算!$G$3,FALSE)-VLOOKUP($C185,难度推算表,副本难度推算!$I$3,FALSE)*(2-副本难度推算!$AA$5)*(2-$S185)</f>
        <v>2971.9158673364564</v>
      </c>
      <c r="H185" s="72">
        <f>VLOOKUP($C185,难度推算表,副本难度推算!$M$3,FALSE)*副本难度推算!$Y$6*Q185</f>
        <v>220425.88439265778</v>
      </c>
      <c r="I185" s="72">
        <f>VLOOKUP($C185,难度推算表,副本难度推算!$P$3,FALSE)*副本难度推算!$Z$6*$R185+VLOOKUP($C185,难度推算表,副本难度推算!$H$3,FALSE)</f>
        <v>15407.717974344394</v>
      </c>
      <c r="J185" s="72">
        <f>VLOOKUP($C185,难度推算表,副本难度推算!$G$3,FALSE)-VLOOKUP($C185,难度推算表,副本难度推算!$I$3,FALSE)*(2-副本难度推算!$AA$6)*(2-$S185)</f>
        <v>1134.7315129830113</v>
      </c>
      <c r="K185" s="72">
        <f>VLOOKUP($C185,难度推算表,副本难度推算!$M$3,FALSE)*副本难度推算!$Y$7*Q185</f>
        <v>688830.88872705563</v>
      </c>
      <c r="L185" s="72">
        <f>VLOOKUP($C185,难度推算表,副本难度推算!$P$3,FALSE)*副本难度推算!$Z$7*$R185+VLOOKUP($C185,难度推算表,副本难度推算!$H$3,FALSE)</f>
        <v>18742.46283407346</v>
      </c>
      <c r="M185" s="72">
        <f>VLOOKUP($C185,难度推算表,副本难度推算!$G$3,FALSE)-VLOOKUP($C185,难度推算表,副本难度推算!$I$3,FALSE)*(2-副本难度推算!$AA$7)*(2-$S185)</f>
        <v>4809.1002216899024</v>
      </c>
      <c r="N185" s="2">
        <f>VLOOKUP($C185,难度推算表,副本难度推算!$Q$3,FALSE)</f>
        <v>3718.8240000000001</v>
      </c>
      <c r="O185" s="2">
        <f>VLOOKUP($C185,难度推算表,副本难度推算!$R$3,FALSE)</f>
        <v>0</v>
      </c>
      <c r="Q185" s="140">
        <f t="shared" si="13"/>
        <v>0.96</v>
      </c>
      <c r="R185" s="140">
        <f t="shared" si="14"/>
        <v>0.88000000000000012</v>
      </c>
      <c r="S185" s="140">
        <f t="shared" si="15"/>
        <v>0.64000000000000012</v>
      </c>
      <c r="V185" s="140"/>
      <c r="W185" s="140"/>
      <c r="X185" s="140"/>
    </row>
    <row r="186" spans="1:24">
      <c r="A186" s="2" t="str">
        <f t="shared" si="17"/>
        <v>护送</v>
      </c>
      <c r="B186" s="2" t="str">
        <f>怪物并表!$R$14</f>
        <v>英雄之路</v>
      </c>
      <c r="C186" s="2">
        <v>59</v>
      </c>
      <c r="D186" s="28">
        <f t="shared" si="12"/>
        <v>1903</v>
      </c>
      <c r="E186" s="72">
        <f>VLOOKUP($C186,难度推算表,副本难度推算!$M$3,FALSE)*副本难度推算!$Y$5*Q186</f>
        <v>294508.73675715283</v>
      </c>
      <c r="F186" s="72">
        <f>VLOOKUP($C186,难度推算表,副本难度推算!$P$3,FALSE)*副本难度推算!$Z$5*$R186+VLOOKUP($C186,难度推算表,副本难度推算!$H$3,FALSE)</f>
        <v>17800.393559395226</v>
      </c>
      <c r="G186" s="72">
        <f>VLOOKUP($C186,难度推算表,副本难度推算!$G$3,FALSE)-VLOOKUP($C186,难度推算表,副本难度推算!$I$3,FALSE)*(2-副本难度推算!$AA$5)*(2-$S186)</f>
        <v>3143.0593242120431</v>
      </c>
      <c r="H186" s="72">
        <f>VLOOKUP($C186,难度推算表,副本难度推算!$M$3,FALSE)*副本难度推算!$Y$6*Q186</f>
        <v>235606.9894057223</v>
      </c>
      <c r="I186" s="72">
        <f>VLOOKUP($C186,难度推算表,副本难度推算!$P$3,FALSE)*副本难度推算!$Z$6*$R186+VLOOKUP($C186,难度推算表,副本难度推算!$H$3,FALSE)</f>
        <v>16591.81953513062</v>
      </c>
      <c r="J186" s="72">
        <f>VLOOKUP($C186,难度推算表,副本难度推算!$G$3,FALSE)-VLOOKUP($C186,难度推算表,副本难度推算!$I$3,FALSE)*(2-副本难度推算!$AA$6)*(2-$S186)</f>
        <v>1200.077196517328</v>
      </c>
      <c r="K186" s="72">
        <f>VLOOKUP($C186,难度推算表,副本难度推算!$M$3,FALSE)*副本难度推算!$Y$7*Q186</f>
        <v>736271.84189288213</v>
      </c>
      <c r="L186" s="72">
        <f>VLOOKUP($C186,难度推算表,副本难度推算!$P$3,FALSE)*副本难度推算!$Z$7*$R186+VLOOKUP($C186,难度推算表,副本难度推算!$H$3,FALSE)</f>
        <v>20217.541607924439</v>
      </c>
      <c r="M186" s="72">
        <f>VLOOKUP($C186,难度推算表,副本难度推算!$G$3,FALSE)-VLOOKUP($C186,难度推算表,副本难度推算!$I$3,FALSE)*(2-副本难度推算!$AA$7)*(2-$S186)</f>
        <v>5086.0414519067581</v>
      </c>
      <c r="N186" s="2">
        <f>VLOOKUP($C186,难度推算表,副本难度推算!$Q$3,FALSE)</f>
        <v>3777.0519999999997</v>
      </c>
      <c r="O186" s="2">
        <f>VLOOKUP($C186,难度推算表,副本难度推算!$R$3,FALSE)</f>
        <v>0</v>
      </c>
      <c r="Q186" s="140">
        <f t="shared" si="13"/>
        <v>0.96</v>
      </c>
      <c r="R186" s="140">
        <f t="shared" si="14"/>
        <v>0.88000000000000012</v>
      </c>
      <c r="S186" s="140">
        <f t="shared" si="15"/>
        <v>0.64000000000000012</v>
      </c>
      <c r="V186" s="140"/>
      <c r="W186" s="140"/>
      <c r="X186" s="140"/>
    </row>
    <row r="187" spans="1:24">
      <c r="A187" s="2" t="str">
        <f t="shared" si="17"/>
        <v>护送</v>
      </c>
      <c r="B187" s="2" t="str">
        <f>怪物并表!$R$14</f>
        <v>英雄之路</v>
      </c>
      <c r="C187" s="2">
        <v>60</v>
      </c>
      <c r="D187" s="28">
        <f t="shared" si="12"/>
        <v>1903</v>
      </c>
      <c r="E187" s="72">
        <f>VLOOKUP($C187,难度推算表,副本难度推算!$M$3,FALSE)*副本难度推算!$Y$5*Q187</f>
        <v>315933.62306990294</v>
      </c>
      <c r="F187" s="72">
        <f>VLOOKUP($C187,难度推算表,副本难度推算!$P$3,FALSE)*副本难度推算!$Z$5*$R187+VLOOKUP($C187,难度推算表,副本难度推算!$H$3,FALSE)</f>
        <v>19253.430982996666</v>
      </c>
      <c r="G187" s="72">
        <f>VLOOKUP($C187,难度推算表,副本难度推算!$G$3,FALSE)-VLOOKUP($C187,难度推算表,副本难度推算!$I$3,FALSE)*(2-副本难度推算!$AA$5)*(2-$S187)</f>
        <v>3336.5536165886315</v>
      </c>
      <c r="H187" s="72">
        <f>VLOOKUP($C187,难度推算表,副本难度推算!$M$3,FALSE)*副本难度推算!$Y$6*Q187</f>
        <v>252746.89845592238</v>
      </c>
      <c r="I187" s="72">
        <f>VLOOKUP($C187,难度推算表,副本难度推算!$P$3,FALSE)*副本难度推算!$Z$6*$R187+VLOOKUP($C187,难度推算表,副本难度推算!$H$3,FALSE)</f>
        <v>17934.733996804021</v>
      </c>
      <c r="J187" s="72">
        <f>VLOOKUP($C187,难度推算表,副本难度推算!$G$3,FALSE)-VLOOKUP($C187,难度推算表,副本难度推算!$I$3,FALSE)*(2-副本难度推算!$AA$6)*(2-$S187)</f>
        <v>1273.9568354247513</v>
      </c>
      <c r="K187" s="72">
        <f>VLOOKUP($C187,难度推算表,副本难度推算!$M$3,FALSE)*副本难度推算!$Y$7*Q187</f>
        <v>789834.05767475744</v>
      </c>
      <c r="L187" s="72">
        <f>VLOOKUP($C187,难度推算表,副本难度推算!$P$3,FALSE)*副本难度推算!$Z$7*$R187+VLOOKUP($C187,难度推算表,副本难度推算!$H$3,FALSE)</f>
        <v>21890.824955381951</v>
      </c>
      <c r="M187" s="72">
        <f>VLOOKUP($C187,难度推算表,副本难度推算!$G$3,FALSE)-VLOOKUP($C187,难度推算表,副本难度推算!$I$3,FALSE)*(2-副本难度推算!$AA$7)*(2-$S187)</f>
        <v>5399.1503977525117</v>
      </c>
      <c r="N187" s="2">
        <f>VLOOKUP($C187,难度推算表,副本难度推算!$Q$3,FALSE)</f>
        <v>3835.2799999999997</v>
      </c>
      <c r="O187" s="2">
        <f>VLOOKUP($C187,难度推算表,副本难度推算!$R$3,FALSE)</f>
        <v>0</v>
      </c>
      <c r="Q187" s="140">
        <f t="shared" si="13"/>
        <v>0.96</v>
      </c>
      <c r="R187" s="140">
        <f t="shared" si="14"/>
        <v>0.88000000000000012</v>
      </c>
      <c r="S187" s="140">
        <f t="shared" si="15"/>
        <v>0.64000000000000012</v>
      </c>
      <c r="V187" s="140"/>
      <c r="W187" s="140"/>
      <c r="X187" s="140"/>
    </row>
    <row r="188" spans="1:24">
      <c r="A188" s="2" t="str">
        <f t="shared" si="17"/>
        <v>护送</v>
      </c>
      <c r="B188" s="2" t="str">
        <f>怪物并表!$R$14</f>
        <v>英雄之路</v>
      </c>
      <c r="C188" s="2">
        <v>61</v>
      </c>
      <c r="D188" s="28">
        <f t="shared" si="12"/>
        <v>1903</v>
      </c>
      <c r="E188" s="72">
        <f>VLOOKUP($C188,难度推算表,副本难度推算!$M$3,FALSE)*副本难度推算!$Y$5*Q188</f>
        <v>338409.56397369079</v>
      </c>
      <c r="F188" s="72">
        <f>VLOOKUP($C188,难度推算表,副本难度推算!$P$3,FALSE)*副本难度推算!$Z$5*$R188+VLOOKUP($C188,难度推算表,副本难度推算!$H$3,FALSE)</f>
        <v>20797.13259773043</v>
      </c>
      <c r="G188" s="72">
        <f>VLOOKUP($C188,难度推算表,副本难度推算!$G$3,FALSE)-VLOOKUP($C188,难度推算表,副本难度推算!$I$3,FALSE)*(2-副本难度推算!$AA$5)*(2-$S188)</f>
        <v>3537.110175260872</v>
      </c>
      <c r="H188" s="72">
        <f>VLOOKUP($C188,难度推算表,副本难度推算!$M$3,FALSE)*副本难度推算!$Y$6*Q188</f>
        <v>270727.6511789526</v>
      </c>
      <c r="I188" s="72">
        <f>VLOOKUP($C188,难度推算表,副本难度推算!$P$3,FALSE)*副本难度推算!$Z$6*$R188+VLOOKUP($C188,难度推算表,副本难度推算!$H$3,FALSE)</f>
        <v>19360.53027891391</v>
      </c>
      <c r="J188" s="72">
        <f>VLOOKUP($C188,难度推算表,副本难度推算!$G$3,FALSE)-VLOOKUP($C188,难度推算表,副本难度推算!$I$3,FALSE)*(2-副本难度推算!$AA$6)*(2-$S188)</f>
        <v>1350.532976008697</v>
      </c>
      <c r="K188" s="72">
        <f>VLOOKUP($C188,难度推算表,副本难度推算!$M$3,FALSE)*副本难度推算!$Y$7*Q188</f>
        <v>846023.90993422701</v>
      </c>
      <c r="L188" s="72">
        <f>VLOOKUP($C188,难度推算表,副本难度推算!$P$3,FALSE)*副本难度推算!$Z$7*$R188+VLOOKUP($C188,难度推算表,副本难度推算!$H$3,FALSE)</f>
        <v>23670.33723536347</v>
      </c>
      <c r="M188" s="72">
        <f>VLOOKUP($C188,难度推算表,副本难度推算!$G$3,FALSE)-VLOOKUP($C188,难度推算表,副本难度推算!$I$3,FALSE)*(2-副本难度推算!$AA$7)*(2-$S188)</f>
        <v>5723.6873745130451</v>
      </c>
      <c r="N188" s="2">
        <f>VLOOKUP($C188,难度推算表,副本难度推算!$Q$3,FALSE)</f>
        <v>3893.5080000000003</v>
      </c>
      <c r="O188" s="2">
        <f>VLOOKUP($C188,难度推算表,副本难度推算!$R$3,FALSE)</f>
        <v>0</v>
      </c>
      <c r="Q188" s="140">
        <f t="shared" si="13"/>
        <v>0.96</v>
      </c>
      <c r="R188" s="140">
        <f t="shared" si="14"/>
        <v>0.88000000000000012</v>
      </c>
      <c r="S188" s="140">
        <f t="shared" si="15"/>
        <v>0.64000000000000012</v>
      </c>
      <c r="V188" s="140"/>
      <c r="W188" s="140"/>
      <c r="X188" s="140"/>
    </row>
    <row r="189" spans="1:24">
      <c r="A189" s="2" t="str">
        <f t="shared" si="17"/>
        <v>护送</v>
      </c>
      <c r="B189" s="2" t="str">
        <f>怪物并表!$R$14</f>
        <v>英雄之路</v>
      </c>
      <c r="C189" s="2">
        <v>62</v>
      </c>
      <c r="D189" s="28">
        <f t="shared" si="12"/>
        <v>1903</v>
      </c>
      <c r="E189" s="72">
        <f>VLOOKUP($C189,难度推算表,副本难度推算!$M$3,FALSE)*副本难度推算!$Y$5*Q189</f>
        <v>361967.12637279322</v>
      </c>
      <c r="F189" s="72">
        <f>VLOOKUP($C189,难度推算表,副本难度推算!$P$3,FALSE)*副本难度推算!$Z$5*$R189+VLOOKUP($C189,难度推算表,副本难度推算!$H$3,FALSE)</f>
        <v>22436.00426718832</v>
      </c>
      <c r="G189" s="72">
        <f>VLOOKUP($C189,难度推算表,副本难度推算!$G$3,FALSE)-VLOOKUP($C189,难度推算表,副本难度推算!$I$3,FALSE)*(2-副本难度推算!$AA$5)*(2-$S189)</f>
        <v>3744.8389588334485</v>
      </c>
      <c r="H189" s="72">
        <f>VLOOKUP($C189,难度推算表,副本难度推算!$M$3,FALSE)*副本难度推算!$Y$6*Q189</f>
        <v>289573.70109823457</v>
      </c>
      <c r="I189" s="72">
        <f>VLOOKUP($C189,难度推算表,副本难度推算!$P$3,FALSE)*副本难度推算!$Z$6*$R189+VLOOKUP($C189,难度推算表,副本难度推算!$H$3,FALSE)</f>
        <v>20873.283651166479</v>
      </c>
      <c r="J189" s="72">
        <f>VLOOKUP($C189,难度推算表,副本难度推算!$G$3,FALSE)-VLOOKUP($C189,难度推算表,副本难度推算!$I$3,FALSE)*(2-副本难度推算!$AA$6)*(2-$S189)</f>
        <v>1429.8476024636821</v>
      </c>
      <c r="K189" s="72">
        <f>VLOOKUP($C189,难度推算表,副本难度推算!$M$3,FALSE)*副本难度推算!$Y$7*Q189</f>
        <v>904917.81593198318</v>
      </c>
      <c r="L189" s="72">
        <f>VLOOKUP($C189,难度推算表,副本难度推算!$P$3,FALSE)*副本难度推算!$Z$7*$R189+VLOOKUP($C189,难度推算表,副本难度推算!$H$3,FALSE)</f>
        <v>25561.445499232002</v>
      </c>
      <c r="M189" s="72">
        <f>VLOOKUP($C189,难度推算表,副本难度推算!$G$3,FALSE)-VLOOKUP($C189,难度推算表,副本难度推算!$I$3,FALSE)*(2-副本难度推算!$AA$7)*(2-$S189)</f>
        <v>6059.8303152032149</v>
      </c>
      <c r="N189" s="2">
        <f>VLOOKUP($C189,难度推算表,副本难度推算!$Q$3,FALSE)</f>
        <v>3951.7360000000003</v>
      </c>
      <c r="O189" s="2">
        <f>VLOOKUP($C189,难度推算表,副本难度推算!$R$3,FALSE)</f>
        <v>0</v>
      </c>
      <c r="Q189" s="140">
        <f t="shared" si="13"/>
        <v>0.96</v>
      </c>
      <c r="R189" s="140">
        <f t="shared" si="14"/>
        <v>0.88000000000000012</v>
      </c>
      <c r="S189" s="140">
        <f t="shared" si="15"/>
        <v>0.64000000000000012</v>
      </c>
      <c r="V189" s="140"/>
      <c r="W189" s="140"/>
      <c r="X189" s="140"/>
    </row>
    <row r="190" spans="1:24">
      <c r="A190" s="2" t="str">
        <f t="shared" si="17"/>
        <v>护送</v>
      </c>
      <c r="B190" s="2" t="str">
        <f>怪物并表!$R$14</f>
        <v>英雄之路</v>
      </c>
      <c r="C190" s="2">
        <v>63</v>
      </c>
      <c r="D190" s="28">
        <f t="shared" si="12"/>
        <v>1903</v>
      </c>
      <c r="E190" s="72">
        <f>VLOOKUP($C190,难度推算表,副本难度推算!$M$3,FALSE)*副本难度推算!$Y$5*Q190</f>
        <v>386637.26559801103</v>
      </c>
      <c r="F190" s="72">
        <f>VLOOKUP($C190,难度推算表,副本难度推算!$P$3,FALSE)*副本难度推算!$Z$5*$R190+VLOOKUP($C190,难度推算表,副本难度推算!$H$3,FALSE)</f>
        <v>24174.754064106663</v>
      </c>
      <c r="G190" s="72">
        <f>VLOOKUP($C190,难度推算表,副本难度推算!$G$3,FALSE)-VLOOKUP($C190,难度推算表,副本难度推算!$I$3,FALSE)*(2-副本难度推算!$AA$5)*(2-$S190)</f>
        <v>3959.8499259110376</v>
      </c>
      <c r="H190" s="72">
        <f>VLOOKUP($C190,难度推算表,副本难度推算!$M$3,FALSE)*副本难度推算!$Y$6*Q190</f>
        <v>309309.81247840886</v>
      </c>
      <c r="I190" s="72">
        <f>VLOOKUP($C190,难度推算表,副本难度推算!$P$3,FALSE)*副本难度推算!$Z$6*$R190+VLOOKUP($C190,难度推算表,副本难度推算!$H$3,FALSE)</f>
        <v>22477.251371498001</v>
      </c>
      <c r="J190" s="72">
        <f>VLOOKUP($C190,难度推算表,副本难度推算!$G$3,FALSE)-VLOOKUP($C190,难度推算表,副本难度推算!$I$3,FALSE)*(2-副本难度推算!$AA$6)*(2-$S190)</f>
        <v>1511.9426989842159</v>
      </c>
      <c r="K190" s="72">
        <f>VLOOKUP($C190,难度推算表,副本难度推算!$M$3,FALSE)*副本难度推算!$Y$7*Q190</f>
        <v>966593.16399502754</v>
      </c>
      <c r="L190" s="72">
        <f>VLOOKUP($C190,难度推算表,副本难度推算!$P$3,FALSE)*副本难度推算!$Z$7*$R190+VLOOKUP($C190,难度推算表,副本难度推算!$H$3,FALSE)</f>
        <v>27569.759449323981</v>
      </c>
      <c r="M190" s="72">
        <f>VLOOKUP($C190,难度推算表,副本难度推算!$G$3,FALSE)-VLOOKUP($C190,难度推算表,副本难度推算!$I$3,FALSE)*(2-副本难度推算!$AA$7)*(2-$S190)</f>
        <v>6407.7571528378612</v>
      </c>
      <c r="N190" s="2">
        <f>VLOOKUP($C190,难度推算表,副本难度推算!$Q$3,FALSE)</f>
        <v>4009.9639999999999</v>
      </c>
      <c r="O190" s="2">
        <f>VLOOKUP($C190,难度推算表,副本难度推算!$R$3,FALSE)</f>
        <v>0</v>
      </c>
      <c r="Q190" s="140">
        <f t="shared" si="13"/>
        <v>0.96</v>
      </c>
      <c r="R190" s="140">
        <f t="shared" si="14"/>
        <v>0.88000000000000012</v>
      </c>
      <c r="S190" s="140">
        <f t="shared" si="15"/>
        <v>0.64000000000000012</v>
      </c>
      <c r="V190" s="140"/>
      <c r="W190" s="140"/>
      <c r="X190" s="140"/>
    </row>
    <row r="191" spans="1:24">
      <c r="A191" s="2" t="str">
        <f t="shared" si="17"/>
        <v>护送</v>
      </c>
      <c r="B191" s="2" t="str">
        <f>怪物并表!$R$14</f>
        <v>英雄之路</v>
      </c>
      <c r="C191" s="2">
        <v>64</v>
      </c>
      <c r="D191" s="28">
        <f t="shared" si="12"/>
        <v>1903</v>
      </c>
      <c r="E191" s="72">
        <f>VLOOKUP($C191,难度推算表,副本难度推算!$M$3,FALSE)*副本难度推算!$Y$5*Q191</f>
        <v>412451.32525739109</v>
      </c>
      <c r="F191" s="72">
        <f>VLOOKUP($C191,难度推算表,副本难度推算!$P$3,FALSE)*副本难度推算!$Z$5*$R191+VLOOKUP($C191,难度推算表,副本难度推算!$H$3,FALSE)</f>
        <v>26018.302118214255</v>
      </c>
      <c r="G191" s="72">
        <f>VLOOKUP($C191,难度推算表,副本难度推算!$G$3,FALSE)-VLOOKUP($C191,难度推算表,副本难度推算!$I$3,FALSE)*(2-副本难度推算!$AA$5)*(2-$S191)</f>
        <v>4182.2530350983343</v>
      </c>
      <c r="H191" s="72">
        <f>VLOOKUP($C191,难度推算表,副本难度推算!$M$3,FALSE)*副本难度推算!$Y$6*Q191</f>
        <v>329961.06020591292</v>
      </c>
      <c r="I191" s="72">
        <f>VLOOKUP($C191,难度推算表,副本难度推算!$P$3,FALSE)*副本难度推算!$Z$6*$R191+VLOOKUP($C191,难度推算表,副本难度推算!$H$3,FALSE)</f>
        <v>24176.881549137979</v>
      </c>
      <c r="J191" s="72">
        <f>VLOOKUP($C191,难度推算表,副本难度推算!$G$3,FALSE)-VLOOKUP($C191,难度推算表,副本难度推算!$I$3,FALSE)*(2-副本难度推算!$AA$6)*(2-$S191)</f>
        <v>1596.8602497648226</v>
      </c>
      <c r="K191" s="72">
        <f>VLOOKUP($C191,难度推算表,副本难度推算!$M$3,FALSE)*副本难度推算!$Y$7*Q191</f>
        <v>1031128.3131434778</v>
      </c>
      <c r="L191" s="72">
        <f>VLOOKUP($C191,难度推算表,副本难度推算!$P$3,FALSE)*副本难度推算!$Z$7*$R191+VLOOKUP($C191,难度推算表,副本难度推算!$H$3,FALSE)</f>
        <v>29701.143256366802</v>
      </c>
      <c r="M191" s="72">
        <f>VLOOKUP($C191,难度推算表,副本难度推算!$G$3,FALSE)-VLOOKUP($C191,难度推算表,副本难度推算!$I$3,FALSE)*(2-副本难度推算!$AA$7)*(2-$S191)</f>
        <v>6767.6458204318442</v>
      </c>
      <c r="N191" s="2">
        <f>VLOOKUP($C191,难度推算表,副本难度推算!$Q$3,FALSE)</f>
        <v>4068.192</v>
      </c>
      <c r="O191" s="2">
        <f>VLOOKUP($C191,难度推算表,副本难度推算!$R$3,FALSE)</f>
        <v>0</v>
      </c>
      <c r="Q191" s="140">
        <f t="shared" si="13"/>
        <v>0.96</v>
      </c>
      <c r="R191" s="140">
        <f t="shared" si="14"/>
        <v>0.88000000000000012</v>
      </c>
      <c r="S191" s="140">
        <f t="shared" si="15"/>
        <v>0.64000000000000012</v>
      </c>
      <c r="V191" s="140"/>
      <c r="W191" s="140"/>
      <c r="X191" s="140"/>
    </row>
    <row r="192" spans="1:24">
      <c r="A192" s="2" t="str">
        <f t="shared" si="17"/>
        <v>护送</v>
      </c>
      <c r="B192" s="2" t="str">
        <f>怪物并表!$R$14</f>
        <v>英雄之路</v>
      </c>
      <c r="C192" s="2">
        <v>65</v>
      </c>
      <c r="D192" s="28">
        <f t="shared" si="12"/>
        <v>1903</v>
      </c>
      <c r="E192" s="72">
        <f>VLOOKUP($C192,难度推算表,副本难度推算!$M$3,FALSE)*副本难度推算!$Y$5*Q192</f>
        <v>439441.03708625748</v>
      </c>
      <c r="F192" s="72">
        <f>VLOOKUP($C192,难度推算表,副本难度推算!$P$3,FALSE)*副本难度推算!$Z$5*$R192+VLOOKUP($C192,难度推算表,副本难度推算!$H$3,FALSE)</f>
        <v>27971.791045264799</v>
      </c>
      <c r="G192" s="72">
        <f>VLOOKUP($C192,难度推算表,副本难度推算!$G$3,FALSE)-VLOOKUP($C192,难度推算表,副本难度推算!$I$3,FALSE)*(2-副本难度推算!$AA$5)*(2-$S192)</f>
        <v>4412.1582450000042</v>
      </c>
      <c r="H192" s="72">
        <f>VLOOKUP($C192,难度推算表,副本难度推算!$M$3,FALSE)*副本难度推算!$Y$6*Q192</f>
        <v>351552.82966900599</v>
      </c>
      <c r="I192" s="72">
        <f>VLOOKUP($C192,难度推算表,副本难度推算!$P$3,FALSE)*副本难度推算!$Z$6*$R192+VLOOKUP($C192,难度推算表,副本难度推算!$H$3,FALSE)</f>
        <v>25976.822530738322</v>
      </c>
      <c r="J192" s="72">
        <f>VLOOKUP($C192,难度推算表,副本难度推算!$G$3,FALSE)-VLOOKUP($C192,难度推算表,副本难度推算!$I$3,FALSE)*(2-副本难度推算!$AA$6)*(2-$S192)</f>
        <v>1684.6422390000062</v>
      </c>
      <c r="K192" s="72">
        <f>VLOOKUP($C192,难度推算表,副本难度推算!$M$3,FALSE)*副本难度推算!$Y$7*Q192</f>
        <v>1098602.5927156436</v>
      </c>
      <c r="L192" s="72">
        <f>VLOOKUP($C192,难度推算表,副本难度推算!$P$3,FALSE)*副本难度推算!$Z$7*$R192+VLOOKUP($C192,难度推算表,副本难度推算!$H$3,FALSE)</f>
        <v>31961.728074317762</v>
      </c>
      <c r="M192" s="72">
        <f>VLOOKUP($C192,难度推算表,副本难度推算!$G$3,FALSE)-VLOOKUP($C192,难度推算表,副本难度推算!$I$3,FALSE)*(2-副本难度推算!$AA$7)*(2-$S192)</f>
        <v>7139.6742510000022</v>
      </c>
      <c r="N192" s="2">
        <f>VLOOKUP($C192,难度推算表,副本难度推算!$Q$3,FALSE)</f>
        <v>4126.42</v>
      </c>
      <c r="O192" s="2">
        <f>VLOOKUP($C192,难度推算表,副本难度推算!$R$3,FALSE)</f>
        <v>0</v>
      </c>
      <c r="Q192" s="140">
        <f t="shared" si="13"/>
        <v>0.96</v>
      </c>
      <c r="R192" s="140">
        <f t="shared" si="14"/>
        <v>0.88000000000000012</v>
      </c>
      <c r="S192" s="140">
        <f t="shared" si="15"/>
        <v>0.64000000000000012</v>
      </c>
      <c r="V192" s="140"/>
      <c r="W192" s="140"/>
      <c r="X192" s="140"/>
    </row>
    <row r="193" spans="1:24">
      <c r="A193" s="2" t="str">
        <f t="shared" si="17"/>
        <v>护送</v>
      </c>
      <c r="B193" s="2" t="str">
        <f>怪物并表!$R$14</f>
        <v>英雄之路</v>
      </c>
      <c r="C193" s="2">
        <v>66</v>
      </c>
      <c r="D193" s="28">
        <f t="shared" si="12"/>
        <v>1903</v>
      </c>
      <c r="E193" s="72">
        <f>VLOOKUP($C193,难度推算表,副本难度推算!$M$3,FALSE)*副本难度推算!$Y$5*Q193</f>
        <v>467638.52079687128</v>
      </c>
      <c r="F193" s="72">
        <f>VLOOKUP($C193,难度推算表,副本难度推算!$P$3,FALSE)*副本难度推算!$Z$5*$R193+VLOOKUP($C193,难度推算表,副本难度推算!$H$3,FALSE)</f>
        <v>30040.5969976673</v>
      </c>
      <c r="G193" s="72">
        <f>VLOOKUP($C193,难度推算表,副本难度推算!$G$3,FALSE)-VLOOKUP($C193,难度推算表,副本难度推算!$I$3,FALSE)*(2-副本难度推算!$AA$5)*(2-$S193)</f>
        <v>4649.6755142207421</v>
      </c>
      <c r="H193" s="72">
        <f>VLOOKUP($C193,难度推算表,副本难度推算!$M$3,FALSE)*副本难度推算!$Y$6*Q193</f>
        <v>374110.8166374971</v>
      </c>
      <c r="I193" s="72">
        <f>VLOOKUP($C193,难度推算表,副本难度推算!$P$3,FALSE)*副本难度推算!$Z$6*$R193+VLOOKUP($C193,难度推算表,副本难度推算!$H$3,FALSE)</f>
        <v>27881.932845940712</v>
      </c>
      <c r="J193" s="72">
        <f>VLOOKUP($C193,难度推算表,副本难度推算!$G$3,FALSE)-VLOOKUP($C193,难度推算表,副本难度推算!$I$3,FALSE)*(2-副本难度推算!$AA$6)*(2-$S193)</f>
        <v>1775.330650884287</v>
      </c>
      <c r="K193" s="72">
        <f>VLOOKUP($C193,难度推算表,副本难度推算!$M$3,FALSE)*副本难度推算!$Y$7*Q193</f>
        <v>1169096.3019921782</v>
      </c>
      <c r="L193" s="72">
        <f>VLOOKUP($C193,难度推算表,副本难度推算!$P$3,FALSE)*副本难度推算!$Z$7*$R193+VLOOKUP($C193,难度推算表,副本难度推算!$H$3,FALSE)</f>
        <v>34357.925301120493</v>
      </c>
      <c r="M193" s="72">
        <f>VLOOKUP($C193,难度推算表,副本难度推算!$G$3,FALSE)-VLOOKUP($C193,难度推算表,副本难度推算!$I$3,FALSE)*(2-副本难度推算!$AA$7)*(2-$S193)</f>
        <v>7524.0203775571972</v>
      </c>
      <c r="N193" s="2">
        <f>VLOOKUP($C193,难度推算表,副本难度推算!$Q$3,FALSE)</f>
        <v>4184.6480000000001</v>
      </c>
      <c r="O193" s="2">
        <f>VLOOKUP($C193,难度推算表,副本难度推算!$R$3,FALSE)</f>
        <v>0</v>
      </c>
      <c r="Q193" s="140">
        <f t="shared" si="13"/>
        <v>0.96</v>
      </c>
      <c r="R193" s="140">
        <f t="shared" si="14"/>
        <v>0.88000000000000012</v>
      </c>
      <c r="S193" s="140">
        <f t="shared" si="15"/>
        <v>0.64000000000000012</v>
      </c>
      <c r="V193" s="140"/>
      <c r="W193" s="140"/>
      <c r="X193" s="140"/>
    </row>
    <row r="194" spans="1:24">
      <c r="A194" s="2" t="str">
        <f t="shared" si="17"/>
        <v>护送</v>
      </c>
      <c r="B194" s="2" t="str">
        <f>怪物并表!$R$14</f>
        <v>英雄之路</v>
      </c>
      <c r="C194" s="2">
        <v>67</v>
      </c>
      <c r="D194" s="28">
        <f t="shared" si="12"/>
        <v>1903</v>
      </c>
      <c r="E194" s="72">
        <f>VLOOKUP($C194,难度推算表,副本难度推算!$M$3,FALSE)*副本难度推算!$Y$5*Q194</f>
        <v>497076.28392800706</v>
      </c>
      <c r="F194" s="72">
        <f>VLOOKUP($C194,难度推算表,副本难度推算!$P$3,FALSE)*副本难度推算!$Z$5*$R194+VLOOKUP($C194,难度推算表,副本难度推算!$H$3,FALSE)</f>
        <v>31942.310562013925</v>
      </c>
      <c r="G194" s="72">
        <f>VLOOKUP($C194,难度推算表,副本难度推算!$G$3,FALSE)-VLOOKUP($C194,难度推算表,副本难度推算!$I$3,FALSE)*(2-副本难度推算!$AA$5)*(2-$S194)</f>
        <v>4894.9148013652211</v>
      </c>
      <c r="H194" s="72">
        <f>VLOOKUP($C194,难度推算表,副本难度推算!$M$3,FALSE)*副本难度推算!$Y$6*Q194</f>
        <v>397661.02714240568</v>
      </c>
      <c r="I194" s="72">
        <f>VLOOKUP($C194,难度推算表,副本难度推算!$P$3,FALSE)*副本难度推算!$Z$6*$R194+VLOOKUP($C194,难度推算表,副本难度推算!$H$3,FALSE)</f>
        <v>29638.064015151664</v>
      </c>
      <c r="J194" s="72">
        <f>VLOOKUP($C194,难度推算表,副本难度推算!$G$3,FALSE)-VLOOKUP($C194,难度推算表,副本难度推算!$I$3,FALSE)*(2-副本难度推算!$AA$6)*(2-$S194)</f>
        <v>1868.9674696121729</v>
      </c>
      <c r="K194" s="72">
        <f>VLOOKUP($C194,难度推算表,副本难度推算!$M$3,FALSE)*副本难度推算!$Y$7*Q194</f>
        <v>1242690.7098200177</v>
      </c>
      <c r="L194" s="72">
        <f>VLOOKUP($C194,难度推算表,副本难度推算!$P$3,FALSE)*副本难度推算!$Z$7*$R194+VLOOKUP($C194,难度推算表,副本难度推算!$H$3,FALSE)</f>
        <v>36550.80365573844</v>
      </c>
      <c r="M194" s="72">
        <f>VLOOKUP($C194,难度推算表,副本难度推算!$G$3,FALSE)-VLOOKUP($C194,难度推算表,副本难度推算!$I$3,FALSE)*(2-副本难度推算!$AA$7)*(2-$S194)</f>
        <v>7920.8621331182658</v>
      </c>
      <c r="N194" s="2">
        <f>VLOOKUP($C194,难度推算表,副本难度推算!$Q$3,FALSE)</f>
        <v>4242.8759999999993</v>
      </c>
      <c r="O194" s="2">
        <f>VLOOKUP($C194,难度推算表,副本难度推算!$R$3,FALSE)</f>
        <v>0</v>
      </c>
      <c r="Q194" s="140">
        <f t="shared" si="13"/>
        <v>0.96</v>
      </c>
      <c r="R194" s="140">
        <f t="shared" si="14"/>
        <v>0.88000000000000012</v>
      </c>
      <c r="S194" s="140">
        <f t="shared" si="15"/>
        <v>0.64000000000000012</v>
      </c>
      <c r="V194" s="140"/>
      <c r="W194" s="140"/>
      <c r="X194" s="140"/>
    </row>
    <row r="195" spans="1:24">
      <c r="A195" s="2" t="str">
        <f t="shared" si="17"/>
        <v>护送</v>
      </c>
      <c r="B195" s="2" t="str">
        <f>怪物并表!$R$14</f>
        <v>英雄之路</v>
      </c>
      <c r="C195" s="2">
        <v>68</v>
      </c>
      <c r="D195" s="28">
        <f t="shared" si="12"/>
        <v>1903</v>
      </c>
      <c r="E195" s="72">
        <f>VLOOKUP($C195,难度推算表,副本难度推算!$M$3,FALSE)*副本难度推算!$Y$5*Q195</f>
        <v>527787.22169469506</v>
      </c>
      <c r="F195" s="72">
        <f>VLOOKUP($C195,难度推算表,副本难度推算!$P$3,FALSE)*副本难度推算!$Z$5*$R195+VLOOKUP($C195,难度推算表,副本难度推算!$H$3,FALSE)</f>
        <v>33932.587947121792</v>
      </c>
      <c r="G195" s="72">
        <f>VLOOKUP($C195,难度推算表,副本难度推算!$G$3,FALSE)-VLOOKUP($C195,难度推算表,副本难度推算!$I$3,FALSE)*(2-副本难度推算!$AA$5)*(2-$S195)</f>
        <v>5147.9860650381324</v>
      </c>
      <c r="H195" s="72">
        <f>VLOOKUP($C195,难度推算表,副本难度推算!$M$3,FALSE)*副本难度推算!$Y$6*Q195</f>
        <v>422229.77735575609</v>
      </c>
      <c r="I195" s="72">
        <f>VLOOKUP($C195,难度推算表,副本难度推算!$P$3,FALSE)*副本难度推算!$Z$6*$R195+VLOOKUP($C195,难度推算表,副本难度推算!$H$3,FALSE)</f>
        <v>31475.326618780186</v>
      </c>
      <c r="J195" s="72">
        <f>VLOOKUP($C195,难度推算表,副本难度推算!$G$3,FALSE)-VLOOKUP($C195,难度推算表,副本难度推算!$I$3,FALSE)*(2-副本难度推算!$AA$6)*(2-$S195)</f>
        <v>1965.594679378195</v>
      </c>
      <c r="K195" s="72">
        <f>VLOOKUP($C195,难度推算表,副本难度推算!$M$3,FALSE)*副本难度推算!$Y$7*Q195</f>
        <v>1319468.0542367375</v>
      </c>
      <c r="L195" s="72">
        <f>VLOOKUP($C195,难度推算表,副本难度推算!$P$3,FALSE)*副本难度推算!$Z$7*$R195+VLOOKUP($C195,难度推算表,副本难度推算!$H$3,FALSE)</f>
        <v>38847.110603805013</v>
      </c>
      <c r="M195" s="72">
        <f>VLOOKUP($C195,难度推算表,副本难度推算!$G$3,FALSE)-VLOOKUP($C195,难度推算表,副本难度推算!$I$3,FALSE)*(2-副本难度推算!$AA$7)*(2-$S195)</f>
        <v>8330.3774506980699</v>
      </c>
      <c r="N195" s="2">
        <f>VLOOKUP($C195,难度推算表,副本难度推算!$Q$3,FALSE)</f>
        <v>4301.1040000000003</v>
      </c>
      <c r="O195" s="2">
        <f>VLOOKUP($C195,难度推算表,副本难度推算!$R$3,FALSE)</f>
        <v>0</v>
      </c>
      <c r="Q195" s="140">
        <f t="shared" si="13"/>
        <v>0.96</v>
      </c>
      <c r="R195" s="140">
        <f t="shared" si="14"/>
        <v>0.88000000000000012</v>
      </c>
      <c r="S195" s="140">
        <f t="shared" si="15"/>
        <v>0.64000000000000012</v>
      </c>
      <c r="V195" s="140"/>
      <c r="W195" s="140"/>
      <c r="X195" s="140"/>
    </row>
    <row r="196" spans="1:24">
      <c r="A196" s="2" t="str">
        <f t="shared" si="17"/>
        <v>护送</v>
      </c>
      <c r="B196" s="2" t="str">
        <f>怪物并表!$R$14</f>
        <v>英雄之路</v>
      </c>
      <c r="C196" s="2">
        <v>69</v>
      </c>
      <c r="D196" s="28">
        <f t="shared" si="12"/>
        <v>1903</v>
      </c>
      <c r="E196" s="72">
        <f>VLOOKUP($C196,难度推算表,副本难度推算!$M$3,FALSE)*副本难度推算!$Y$5*Q196</f>
        <v>559804.61683834391</v>
      </c>
      <c r="F196" s="72">
        <f>VLOOKUP($C196,难度推算表,副本难度推算!$P$3,FALSE)*副本难度推算!$Z$5*$R196+VLOOKUP($C196,难度推算表,副本难度推算!$H$3,FALSE)</f>
        <v>36014.677645387055</v>
      </c>
      <c r="G196" s="72">
        <f>VLOOKUP($C196,难度推算表,副本难度推算!$G$3,FALSE)-VLOOKUP($C196,难度推算表,副本难度推算!$I$3,FALSE)*(2-副本难度推算!$AA$5)*(2-$S196)</f>
        <v>5408.9992638441545</v>
      </c>
      <c r="H196" s="72">
        <f>VLOOKUP($C196,难度推算表,副本难度推算!$M$3,FALSE)*副本难度推算!$Y$6*Q196</f>
        <v>447843.69347067515</v>
      </c>
      <c r="I196" s="72">
        <f>VLOOKUP($C196,难度推算表,副本难度推算!$P$3,FALSE)*副本难度推算!$Z$6*$R196+VLOOKUP($C196,难度推算表,副本难度推算!$H$3,FALSE)</f>
        <v>33396.664292456378</v>
      </c>
      <c r="J196" s="72">
        <f>VLOOKUP($C196,难度推算表,副本难度推算!$G$3,FALSE)-VLOOKUP($C196,难度推算表,副本难度推算!$I$3,FALSE)*(2-副本难度推算!$AA$6)*(2-$S196)</f>
        <v>2065.2542643768611</v>
      </c>
      <c r="K196" s="72">
        <f>VLOOKUP($C196,难度推算表,副本难度推算!$M$3,FALSE)*副本难度推算!$Y$7*Q196</f>
        <v>1399511.5420958598</v>
      </c>
      <c r="L196" s="72">
        <f>VLOOKUP($C196,难度推算表,副本难度推算!$P$3,FALSE)*副本难度推算!$Z$7*$R196+VLOOKUP($C196,难度推算表,副本难度推算!$H$3,FALSE)</f>
        <v>41250.704351248409</v>
      </c>
      <c r="M196" s="72">
        <f>VLOOKUP($C196,难度推算表,副本难度推算!$G$3,FALSE)-VLOOKUP($C196,难度推算表,副本难度推算!$I$3,FALSE)*(2-副本难度推算!$AA$7)*(2-$S196)</f>
        <v>8752.744263311446</v>
      </c>
      <c r="N196" s="2">
        <f>VLOOKUP($C196,难度推算表,副本难度推算!$Q$3,FALSE)</f>
        <v>4359.3320000000003</v>
      </c>
      <c r="O196" s="2">
        <f>VLOOKUP($C196,难度推算表,副本难度推算!$R$3,FALSE)</f>
        <v>0</v>
      </c>
      <c r="Q196" s="140">
        <f t="shared" si="13"/>
        <v>0.96</v>
      </c>
      <c r="R196" s="140">
        <f t="shared" si="14"/>
        <v>0.88000000000000012</v>
      </c>
      <c r="S196" s="140">
        <f t="shared" si="15"/>
        <v>0.64000000000000012</v>
      </c>
      <c r="V196" s="140"/>
      <c r="W196" s="140"/>
      <c r="X196" s="140"/>
    </row>
    <row r="197" spans="1:24">
      <c r="A197" s="2" t="str">
        <f t="shared" si="17"/>
        <v>护送</v>
      </c>
      <c r="B197" s="2" t="str">
        <f>怪物并表!$R$14</f>
        <v>英雄之路</v>
      </c>
      <c r="C197" s="2">
        <v>70</v>
      </c>
      <c r="D197" s="28">
        <f t="shared" si="12"/>
        <v>1903</v>
      </c>
      <c r="E197" s="72">
        <f>VLOOKUP($C197,难度推算表,副本难度推算!$M$3,FALSE)*副本难度推算!$Y$5*Q197</f>
        <v>595408.96576332836</v>
      </c>
      <c r="F197" s="72">
        <f>VLOOKUP($C197,难度推算表,副本难度推算!$P$3,FALSE)*副本难度推算!$Z$5*$R197+VLOOKUP($C197,难度推算表,副本难度推算!$H$3,FALSE)</f>
        <v>38336.62079038177</v>
      </c>
      <c r="G197" s="72">
        <f>VLOOKUP($C197,难度推算表,副本难度推算!$G$3,FALSE)-VLOOKUP($C197,难度推算表,副本难度推算!$I$3,FALSE)*(2-副本难度推算!$AA$5)*(2-$S197)</f>
        <v>5699.5721759197404</v>
      </c>
      <c r="H197" s="72">
        <f>VLOOKUP($C197,难度推算表,副本难度推算!$M$3,FALSE)*副本难度推算!$Y$6*Q197</f>
        <v>476327.1726106627</v>
      </c>
      <c r="I197" s="72">
        <f>VLOOKUP($C197,难度推算表,副本难度推算!$P$3,FALSE)*副本难度推算!$Z$6*$R197+VLOOKUP($C197,难度推算表,副本难度推算!$H$3,FALSE)</f>
        <v>35539.244561510815</v>
      </c>
      <c r="J197" s="72">
        <f>VLOOKUP($C197,难度推算表,副本难度推算!$G$3,FALSE)-VLOOKUP($C197,难度推算表,副本难度推算!$I$3,FALSE)*(2-副本难度推算!$AA$6)*(2-$S197)</f>
        <v>2176.2002853511731</v>
      </c>
      <c r="K197" s="72">
        <f>VLOOKUP($C197,难度推算表,副本难度推算!$M$3,FALSE)*副本难度推算!$Y$7*Q197</f>
        <v>1488522.414408321</v>
      </c>
      <c r="L197" s="72">
        <f>VLOOKUP($C197,难度推算表,副本难度推算!$P$3,FALSE)*副本难度推算!$Z$7*$R197+VLOOKUP($C197,难度推算表,副本难度推算!$H$3,FALSE)</f>
        <v>43931.373248123673</v>
      </c>
      <c r="M197" s="72">
        <f>VLOOKUP($C197,难度推算表,副本难度推算!$G$3,FALSE)-VLOOKUP($C197,难度推算表,副本难度推算!$I$3,FALSE)*(2-副本难度推算!$AA$7)*(2-$S197)</f>
        <v>9222.9440664883041</v>
      </c>
      <c r="N197" s="2">
        <f>VLOOKUP($C197,难度推算表,副本难度推算!$Q$3,FALSE)</f>
        <v>4417.5600000000004</v>
      </c>
      <c r="O197" s="2">
        <f>VLOOKUP($C197,难度推算表,副本难度推算!$R$3,FALSE)</f>
        <v>0</v>
      </c>
      <c r="Q197" s="140">
        <f t="shared" si="13"/>
        <v>0.96</v>
      </c>
      <c r="R197" s="140">
        <f t="shared" si="14"/>
        <v>0.88000000000000012</v>
      </c>
      <c r="S197" s="140">
        <f t="shared" si="15"/>
        <v>0.64000000000000012</v>
      </c>
      <c r="V197" s="140"/>
      <c r="W197" s="140"/>
      <c r="X197" s="140"/>
    </row>
    <row r="198" spans="1:24">
      <c r="A198" s="2" t="str">
        <f t="shared" si="17"/>
        <v>护送</v>
      </c>
      <c r="B198" s="2" t="str">
        <f>怪物并表!$R$14</f>
        <v>英雄之路</v>
      </c>
      <c r="C198" s="2">
        <v>71</v>
      </c>
      <c r="D198" s="28">
        <f t="shared" ref="D198:D261" si="18">1900+VLOOKUP(A198,$Z$11:$AA$16,2,FALSE)</f>
        <v>1903</v>
      </c>
      <c r="E198" s="72">
        <f>VLOOKUP($C198,难度推算表,副本难度推算!$M$3,FALSE)*副本难度推算!$Y$5*Q198</f>
        <v>632544.91249194241</v>
      </c>
      <c r="F198" s="72">
        <f>VLOOKUP($C198,难度推算表,副本难度推算!$P$3,FALSE)*副本难度推算!$Z$5*$R198+VLOOKUP($C198,难度推算表,副本难度推算!$H$3,FALSE)</f>
        <v>40767.687691690197</v>
      </c>
      <c r="G198" s="72">
        <f>VLOOKUP($C198,难度推算表,副本难度推算!$G$3,FALSE)-VLOOKUP($C198,难度推算表,副本难度推算!$I$3,FALSE)*(2-副本难度推算!$AA$5)*(2-$S198)</f>
        <v>5999.4045701725809</v>
      </c>
      <c r="H198" s="72">
        <f>VLOOKUP($C198,难度推算表,副本难度推算!$M$3,FALSE)*副本难度推算!$Y$6*Q198</f>
        <v>506035.9299935539</v>
      </c>
      <c r="I198" s="72">
        <f>VLOOKUP($C198,难度推算表,副本难度推算!$P$3,FALSE)*副本难度推算!$Z$6*$R198+VLOOKUP($C198,难度推算表,副本难度推算!$H$3,FALSE)</f>
        <v>37781.71975346165</v>
      </c>
      <c r="J198" s="72">
        <f>VLOOKUP($C198,难度推算表,副本难度推算!$G$3,FALSE)-VLOOKUP($C198,难度推算表,副本难度推算!$I$3,FALSE)*(2-副本难度推算!$AA$6)*(2-$S198)</f>
        <v>2290.6817449749869</v>
      </c>
      <c r="K198" s="72">
        <f>VLOOKUP($C198,难度推算表,副本难度推算!$M$3,FALSE)*副本难度推算!$Y$7*Q198</f>
        <v>1581362.281229856</v>
      </c>
      <c r="L198" s="72">
        <f>VLOOKUP($C198,难度推算表,副本难度推算!$P$3,FALSE)*副本难度推算!$Z$7*$R198+VLOOKUP($C198,难度推算表,副本难度推算!$H$3,FALSE)</f>
        <v>46739.623568147304</v>
      </c>
      <c r="M198" s="72">
        <f>VLOOKUP($C198,难度推算表,副本难度推算!$G$3,FALSE)-VLOOKUP($C198,难度推算表,副本难度推算!$I$3,FALSE)*(2-副本难度推算!$AA$7)*(2-$S198)</f>
        <v>9708.1273953701748</v>
      </c>
      <c r="N198" s="2">
        <f>VLOOKUP($C198,难度推算表,副本难度推算!$Q$3,FALSE)</f>
        <v>4475.7879999999996</v>
      </c>
      <c r="O198" s="2">
        <f>VLOOKUP($C198,难度推算表,副本难度推算!$R$3,FALSE)</f>
        <v>0</v>
      </c>
      <c r="Q198" s="140">
        <f t="shared" ref="Q198:Q261" si="19">VLOOKUP($A198,$Z$11:$AD$16,3,FALSE)*VLOOKUP(C198,$U$5:$X$75,2,FALSE)</f>
        <v>0.96</v>
      </c>
      <c r="R198" s="140">
        <f t="shared" ref="R198:R261" si="20">VLOOKUP($A198,$Z$11:$AD$16,4,FALSE)*VLOOKUP(C198,$U$5:$X$75,3,FALSE)</f>
        <v>0.88000000000000012</v>
      </c>
      <c r="S198" s="140">
        <f t="shared" ref="S198:S261" si="21">VLOOKUP($A198,$Z$11:$AD$16,5,FALSE)*VLOOKUP(C198,$U$5:$X$75,4,FALSE)</f>
        <v>0.64000000000000012</v>
      </c>
      <c r="V198" s="140"/>
      <c r="W198" s="140"/>
      <c r="X198" s="140"/>
    </row>
    <row r="199" spans="1:24">
      <c r="A199" s="2" t="str">
        <f t="shared" si="17"/>
        <v>护送</v>
      </c>
      <c r="B199" s="2" t="str">
        <f>怪物并表!$R$14</f>
        <v>英雄之路</v>
      </c>
      <c r="C199" s="2">
        <v>72</v>
      </c>
      <c r="D199" s="28">
        <f t="shared" si="18"/>
        <v>1903</v>
      </c>
      <c r="E199" s="72">
        <f>VLOOKUP($C199,难度推算表,副本难度推算!$M$3,FALSE)*副本难度推算!$Y$5*Q199</f>
        <v>671251.94657696097</v>
      </c>
      <c r="F199" s="72">
        <f>VLOOKUP($C199,难度推算表,副本难度推算!$P$3,FALSE)*副本难度推算!$Z$5*$R199+VLOOKUP($C199,难度推算表,副本难度推算!$H$3,FALSE)</f>
        <v>43311.957709227223</v>
      </c>
      <c r="G199" s="72">
        <f>VLOOKUP($C199,难度推算表,副本难度推算!$G$3,FALSE)-VLOOKUP($C199,难度推算表,副本难度推算!$I$3,FALSE)*(2-副本难度推算!$AA$5)*(2-$S199)</f>
        <v>6308.6247316414774</v>
      </c>
      <c r="H199" s="72">
        <f>VLOOKUP($C199,难度推算表,副本难度推算!$M$3,FALSE)*副本难度推算!$Y$6*Q199</f>
        <v>537001.55726156873</v>
      </c>
      <c r="I199" s="72">
        <f>VLOOKUP($C199,难度推算表,副本难度推算!$P$3,FALSE)*副本难度推算!$Z$6*$R199+VLOOKUP($C199,难度推算表,副本难度推算!$H$3,FALSE)</f>
        <v>40127.784616784767</v>
      </c>
      <c r="J199" s="72">
        <f>VLOOKUP($C199,难度推算表,副本难度推算!$G$3,FALSE)-VLOOKUP($C199,难度推算表,副本难度推算!$I$3,FALSE)*(2-副本难度推算!$AA$6)*(2-$S199)</f>
        <v>2408.7476248085659</v>
      </c>
      <c r="K199" s="72">
        <f>VLOOKUP($C199,难度推算表,副本难度推算!$M$3,FALSE)*副本难度推算!$Y$7*Q199</f>
        <v>1678129.8664424021</v>
      </c>
      <c r="L199" s="72">
        <f>VLOOKUP($C199,难度推算表,副本难度推算!$P$3,FALSE)*副本难度推算!$Z$7*$R199+VLOOKUP($C199,难度推算表,副本难度推算!$H$3,FALSE)</f>
        <v>49680.303894112134</v>
      </c>
      <c r="M199" s="72">
        <f>VLOOKUP($C199,难度推算表,副本难度推算!$G$3,FALSE)-VLOOKUP($C199,难度推算表,副本难度推算!$I$3,FALSE)*(2-副本难度推算!$AA$7)*(2-$S199)</f>
        <v>10208.501838474387</v>
      </c>
      <c r="N199" s="2">
        <f>VLOOKUP($C199,难度推算表,副本难度推算!$Q$3,FALSE)</f>
        <v>4534.0159999999996</v>
      </c>
      <c r="O199" s="2">
        <f>VLOOKUP($C199,难度推算表,副本难度推算!$R$3,FALSE)</f>
        <v>0</v>
      </c>
      <c r="Q199" s="140">
        <f t="shared" si="19"/>
        <v>0.96</v>
      </c>
      <c r="R199" s="140">
        <f t="shared" si="20"/>
        <v>0.88000000000000012</v>
      </c>
      <c r="S199" s="140">
        <f t="shared" si="21"/>
        <v>0.64000000000000012</v>
      </c>
      <c r="V199" s="140"/>
      <c r="W199" s="140"/>
      <c r="X199" s="140"/>
    </row>
    <row r="200" spans="1:24">
      <c r="A200" s="2" t="str">
        <f t="shared" si="17"/>
        <v>护送</v>
      </c>
      <c r="B200" s="2" t="str">
        <f>怪物并表!$R$14</f>
        <v>英雄之路</v>
      </c>
      <c r="C200" s="2">
        <v>73</v>
      </c>
      <c r="D200" s="28">
        <f t="shared" si="18"/>
        <v>1903</v>
      </c>
      <c r="E200" s="72">
        <f>VLOOKUP($C200,难度推算表,副本难度推算!$M$3,FALSE)*副本难度推算!$Y$5*Q200</f>
        <v>711570.00919475069</v>
      </c>
      <c r="F200" s="72">
        <f>VLOOKUP($C200,难度推算表,副本难度推算!$P$3,FALSE)*副本难度推算!$Z$5*$R200+VLOOKUP($C200,难度推算表,副本难度推算!$H$3,FALSE)</f>
        <v>45973.674449785576</v>
      </c>
      <c r="G200" s="72">
        <f>VLOOKUP($C200,难度推算表,副本难度推算!$G$3,FALSE)-VLOOKUP($C200,难度推算表,副本难度推算!$I$3,FALSE)*(2-副本难度推算!$AA$5)*(2-$S200)</f>
        <v>6627.3609453652243</v>
      </c>
      <c r="H200" s="72">
        <f>VLOOKUP($C200,难度推算表,副本难度推算!$M$3,FALSE)*副本难度推算!$Y$6*Q200</f>
        <v>569256.0073558006</v>
      </c>
      <c r="I200" s="72">
        <f>VLOOKUP($C200,难度推算表,副本难度推算!$P$3,FALSE)*副本难度推算!$Z$6*$R200+VLOOKUP($C200,难度推算表,副本难度推算!$H$3,FALSE)</f>
        <v>42581.281722146152</v>
      </c>
      <c r="J200" s="72">
        <f>VLOOKUP($C200,难度推算表,副本难度推算!$G$3,FALSE)-VLOOKUP($C200,难度推算表,副本难度推算!$I$3,FALSE)*(2-副本难度推算!$AA$6)*(2-$S200)</f>
        <v>2530.446906412184</v>
      </c>
      <c r="K200" s="72">
        <f>VLOOKUP($C200,难度推算表,副本难度推算!$M$3,FALSE)*副本难度推算!$Y$7*Q200</f>
        <v>1778925.0229868768</v>
      </c>
      <c r="L200" s="72">
        <f>VLOOKUP($C200,难度推算表,副本难度推算!$P$3,FALSE)*副本难度推算!$Z$7*$R200+VLOOKUP($C200,难度推算表,副本难度推算!$H$3,FALSE)</f>
        <v>52758.459905064425</v>
      </c>
      <c r="M200" s="72">
        <f>VLOOKUP($C200,难度推算表,副本难度推算!$G$3,FALSE)-VLOOKUP($C200,难度推算表,副本难度推算!$I$3,FALSE)*(2-副本难度推算!$AA$7)*(2-$S200)</f>
        <v>10724.274984318268</v>
      </c>
      <c r="N200" s="2">
        <f>VLOOKUP($C200,难度推算表,副本难度推算!$Q$3,FALSE)</f>
        <v>4592.2439999999997</v>
      </c>
      <c r="O200" s="2">
        <f>VLOOKUP($C200,难度推算表,副本难度推算!$R$3,FALSE)</f>
        <v>0</v>
      </c>
      <c r="Q200" s="140">
        <f t="shared" si="19"/>
        <v>0.96</v>
      </c>
      <c r="R200" s="140">
        <f t="shared" si="20"/>
        <v>0.88000000000000012</v>
      </c>
      <c r="S200" s="140">
        <f t="shared" si="21"/>
        <v>0.64000000000000012</v>
      </c>
      <c r="V200" s="140"/>
      <c r="W200" s="140"/>
      <c r="X200" s="140"/>
    </row>
    <row r="201" spans="1:24">
      <c r="A201" s="2" t="str">
        <f t="shared" si="17"/>
        <v>护送</v>
      </c>
      <c r="B201" s="2" t="str">
        <f>怪物并表!$R$14</f>
        <v>英雄之路</v>
      </c>
      <c r="C201" s="2">
        <v>74</v>
      </c>
      <c r="D201" s="28">
        <f t="shared" si="18"/>
        <v>1903</v>
      </c>
      <c r="E201" s="72">
        <f>VLOOKUP($C201,难度推算表,副本难度推算!$M$3,FALSE)*副本难度推算!$Y$5*Q201</f>
        <v>753539.49297624396</v>
      </c>
      <c r="F201" s="72">
        <f>VLOOKUP($C201,难度推算表,副本难度推算!$P$3,FALSE)*副本难度推算!$Z$5*$R201+VLOOKUP($C201,难度推算表,副本难度推算!$H$3,FALSE)</f>
        <v>48757.254629277479</v>
      </c>
      <c r="G201" s="72">
        <f>VLOOKUP($C201,难度推算表,副本难度推算!$G$3,FALSE)-VLOOKUP($C201,难度推算表,副本难度推算!$I$3,FALSE)*(2-副本难度推算!$AA$5)*(2-$S201)</f>
        <v>6955.7414963826159</v>
      </c>
      <c r="H201" s="72">
        <f>VLOOKUP($C201,难度推算表,副本难度推算!$M$3,FALSE)*副本难度推算!$Y$6*Q201</f>
        <v>602831.59438099514</v>
      </c>
      <c r="I201" s="72">
        <f>VLOOKUP($C201,难度推算表,副本难度推算!$P$3,FALSE)*副本难度推算!$Z$6*$R201+VLOOKUP($C201,难度推算表,副本难度推算!$H$3,FALSE)</f>
        <v>45146.20943841929</v>
      </c>
      <c r="J201" s="72">
        <f>VLOOKUP($C201,难度推算表,副本难度推算!$G$3,FALSE)-VLOOKUP($C201,难度推算表,副本难度推算!$I$3,FALSE)*(2-副本难度推算!$AA$6)*(2-$S201)</f>
        <v>2655.8285713460937</v>
      </c>
      <c r="K201" s="72">
        <f>VLOOKUP($C201,难度推算表,副本难度推算!$M$3,FALSE)*副本难度推算!$Y$7*Q201</f>
        <v>1883848.7324406097</v>
      </c>
      <c r="L201" s="72">
        <f>VLOOKUP($C201,难度推算表,副本难度推算!$P$3,FALSE)*副本难度推算!$Z$7*$R201+VLOOKUP($C201,难度推算表,副本难度推算!$H$3,FALSE)</f>
        <v>55979.345010993842</v>
      </c>
      <c r="M201" s="72">
        <f>VLOOKUP($C201,难度推算表,副本难度推算!$G$3,FALSE)-VLOOKUP($C201,难度推算表,副本难度推算!$I$3,FALSE)*(2-副本难度推算!$AA$7)*(2-$S201)</f>
        <v>11255.654421419138</v>
      </c>
      <c r="N201" s="2">
        <f>VLOOKUP($C201,难度推算表,副本难度推算!$Q$3,FALSE)</f>
        <v>4650.4720000000007</v>
      </c>
      <c r="O201" s="2">
        <f>VLOOKUP($C201,难度推算表,副本难度推算!$R$3,FALSE)</f>
        <v>0</v>
      </c>
      <c r="Q201" s="140">
        <f t="shared" si="19"/>
        <v>0.96</v>
      </c>
      <c r="R201" s="140">
        <f t="shared" si="20"/>
        <v>0.88000000000000012</v>
      </c>
      <c r="S201" s="140">
        <f t="shared" si="21"/>
        <v>0.64000000000000012</v>
      </c>
      <c r="V201" s="140"/>
      <c r="W201" s="140"/>
      <c r="X201" s="140"/>
    </row>
    <row r="202" spans="1:24">
      <c r="A202" s="2" t="str">
        <f t="shared" si="17"/>
        <v>护送</v>
      </c>
      <c r="B202" s="2" t="str">
        <f>怪物并表!$R$14</f>
        <v>英雄之路</v>
      </c>
      <c r="C202" s="2">
        <v>75</v>
      </c>
      <c r="D202" s="28">
        <f t="shared" si="18"/>
        <v>1903</v>
      </c>
      <c r="E202" s="72">
        <f>VLOOKUP($C202,难度推算表,副本难度推算!$M$3,FALSE)*副本难度推算!$Y$5*Q202</f>
        <v>797201.24183901178</v>
      </c>
      <c r="F202" s="72">
        <f>VLOOKUP($C202,难度推算表,副本难度推算!$P$3,FALSE)*副本难度推算!$Z$5*$R202+VLOOKUP($C202,难度推算表,副本难度推算!$H$3,FALSE)</f>
        <v>51667.29751505021</v>
      </c>
      <c r="G202" s="72">
        <f>VLOOKUP($C202,难度推算表,副本难度推算!$G$3,FALSE)-VLOOKUP($C202,难度推算表,副本难度推算!$I$3,FALSE)*(2-副本难度推算!$AA$5)*(2-$S202)</f>
        <v>7293.8946697324536</v>
      </c>
      <c r="H202" s="72">
        <f>VLOOKUP($C202,难度推算表,副本难度推算!$M$3,FALSE)*副本难度推算!$Y$6*Q202</f>
        <v>637760.99347120954</v>
      </c>
      <c r="I202" s="72">
        <f>VLOOKUP($C202,难度推算表,副本难度推算!$P$3,FALSE)*副本难度推算!$Z$6*$R202+VLOOKUP($C202,难度推算表,副本难度推算!$H$3,FALSE)</f>
        <v>47826.730430769268</v>
      </c>
      <c r="J202" s="72">
        <f>VLOOKUP($C202,难度推算表,副本难度推算!$G$3,FALSE)-VLOOKUP($C202,难度推算表,副本难度推算!$I$3,FALSE)*(2-副本难度推算!$AA$6)*(2-$S202)</f>
        <v>2784.9416011705798</v>
      </c>
      <c r="K202" s="72">
        <f>VLOOKUP($C202,难度推算表,副本难度推算!$M$3,FALSE)*副本难度推算!$Y$7*Q202</f>
        <v>1993003.1045975294</v>
      </c>
      <c r="L202" s="72">
        <f>VLOOKUP($C202,难度推算表,副本难度推算!$P$3,FALSE)*副本难度推算!$Z$7*$R202+VLOOKUP($C202,难度推算表,副本难度推算!$H$3,FALSE)</f>
        <v>59348.431683612085</v>
      </c>
      <c r="M202" s="72">
        <f>VLOOKUP($C202,难度推算表,副本难度推算!$G$3,FALSE)-VLOOKUP($C202,难度推算表,副本难度推算!$I$3,FALSE)*(2-副本难度推算!$AA$7)*(2-$S202)</f>
        <v>11802.847738294327</v>
      </c>
      <c r="N202" s="2">
        <f>VLOOKUP($C202,难度推算表,副本难度推算!$Q$3,FALSE)</f>
        <v>4708.7</v>
      </c>
      <c r="O202" s="2">
        <f>VLOOKUP($C202,难度推算表,副本难度推算!$R$3,FALSE)</f>
        <v>0</v>
      </c>
      <c r="Q202" s="140">
        <f t="shared" si="19"/>
        <v>0.96</v>
      </c>
      <c r="R202" s="140">
        <f t="shared" si="20"/>
        <v>0.88000000000000012</v>
      </c>
      <c r="S202" s="140">
        <f t="shared" si="21"/>
        <v>0.64000000000000012</v>
      </c>
      <c r="V202" s="140"/>
      <c r="W202" s="140"/>
      <c r="X202" s="140"/>
    </row>
    <row r="203" spans="1:24">
      <c r="A203" s="2" t="str">
        <f t="shared" si="17"/>
        <v>护送</v>
      </c>
      <c r="B203" s="2" t="str">
        <f>怪物并表!$R$14</f>
        <v>英雄之路</v>
      </c>
      <c r="C203" s="2">
        <v>76</v>
      </c>
      <c r="D203" s="28">
        <f t="shared" si="18"/>
        <v>1903</v>
      </c>
      <c r="E203" s="72">
        <f>VLOOKUP($C203,难度推算表,副本难度推算!$M$3,FALSE)*副本难度推算!$Y$5*Q203</f>
        <v>842596.55082056986</v>
      </c>
      <c r="F203" s="72">
        <f>VLOOKUP($C203,难度推算表,副本难度推算!$P$3,FALSE)*副本难度推算!$Z$5*$R203+VLOOKUP($C203,难度推算表,副本难度推算!$H$3,FALSE)</f>
        <v>54708.594993060826</v>
      </c>
      <c r="G203" s="72">
        <f>VLOOKUP($C203,难度推算表,副本难度推算!$G$3,FALSE)-VLOOKUP($C203,难度推算表,副本难度推算!$I$3,FALSE)*(2-副本难度推算!$AA$5)*(2-$S203)</f>
        <v>7641.9487504535173</v>
      </c>
      <c r="H203" s="72">
        <f>VLOOKUP($C203,难度推算表,副本难度推算!$M$3,FALSE)*副本难度推算!$Y$6*Q203</f>
        <v>674077.24065645598</v>
      </c>
      <c r="I203" s="72">
        <f>VLOOKUP($C203,难度推算表,副本难度推算!$P$3,FALSE)*副本难度推算!$Z$6*$R203+VLOOKUP($C203,难度推算表,副本难度推算!$H$3,FALSE)</f>
        <v>50627.180721109929</v>
      </c>
      <c r="J203" s="72">
        <f>VLOOKUP($C203,难度推算表,副本难度推算!$G$3,FALSE)-VLOOKUP($C203,难度推算表,副本难度推算!$I$3,FALSE)*(2-副本难度推算!$AA$6)*(2-$S203)</f>
        <v>2917.8349774458948</v>
      </c>
      <c r="K203" s="72">
        <f>VLOOKUP($C203,难度推算表,副本难度推算!$M$3,FALSE)*副本难度推算!$Y$7*Q203</f>
        <v>2106491.3770514247</v>
      </c>
      <c r="L203" s="72">
        <f>VLOOKUP($C203,难度推算表,副本难度推算!$P$3,FALSE)*副本难度推算!$Z$7*$R203+VLOOKUP($C203,难度推算表,副本难度推算!$H$3,FALSE)</f>
        <v>62871.423536962619</v>
      </c>
      <c r="M203" s="72">
        <f>VLOOKUP($C203,难度推算表,副本难度推算!$G$3,FALSE)-VLOOKUP($C203,难度推算表,副本难度推算!$I$3,FALSE)*(2-副本难度推算!$AA$7)*(2-$S203)</f>
        <v>12366.062523461143</v>
      </c>
      <c r="N203" s="2">
        <f>VLOOKUP($C203,难度推算表,副本难度推算!$Q$3,FALSE)</f>
        <v>4766.9279999999999</v>
      </c>
      <c r="O203" s="2">
        <f>VLOOKUP($C203,难度推算表,副本难度推算!$R$3,FALSE)</f>
        <v>0</v>
      </c>
      <c r="Q203" s="140">
        <f t="shared" si="19"/>
        <v>0.96</v>
      </c>
      <c r="R203" s="140">
        <f t="shared" si="20"/>
        <v>0.88000000000000012</v>
      </c>
      <c r="S203" s="140">
        <f t="shared" si="21"/>
        <v>0.64000000000000012</v>
      </c>
      <c r="V203" s="140"/>
      <c r="W203" s="140"/>
      <c r="X203" s="140"/>
    </row>
    <row r="204" spans="1:24">
      <c r="A204" s="2" t="str">
        <f t="shared" si="17"/>
        <v>护送</v>
      </c>
      <c r="B204" s="2" t="str">
        <f>怪物并表!$R$14</f>
        <v>英雄之路</v>
      </c>
      <c r="C204" s="2">
        <v>77</v>
      </c>
      <c r="D204" s="28">
        <f t="shared" si="18"/>
        <v>1903</v>
      </c>
      <c r="E204" s="72">
        <f>VLOOKUP($C204,难度推算表,副本难度推算!$M$3,FALSE)*副本难度推算!$Y$5*Q204</f>
        <v>889767.16591300222</v>
      </c>
      <c r="F204" s="72">
        <f>VLOOKUP($C204,难度推算表,副本难度推算!$P$3,FALSE)*副本难度推算!$Z$5*$R204+VLOOKUP($C204,难度推算表,副本难度推算!$H$3,FALSE)</f>
        <v>57886.142308690905</v>
      </c>
      <c r="G204" s="72">
        <f>VLOOKUP($C204,难度推算表,副本难度推算!$G$3,FALSE)-VLOOKUP($C204,难度推算表,副本难度推算!$I$3,FALSE)*(2-副本难度推算!$AA$5)*(2-$S204)</f>
        <v>8000.0320235846193</v>
      </c>
      <c r="H204" s="72">
        <f>VLOOKUP($C204,难度推算表,副本难度推算!$M$3,FALSE)*副本难度推算!$Y$6*Q204</f>
        <v>711813.73273040191</v>
      </c>
      <c r="I204" s="72">
        <f>VLOOKUP($C204,难度推算表,副本难度推算!$P$3,FALSE)*副本难度推算!$Z$6*$R204+VLOOKUP($C204,难度推算表,副本难度推算!$H$3,FALSE)</f>
        <v>53552.079354837202</v>
      </c>
      <c r="J204" s="72">
        <f>VLOOKUP($C204,难度推算表,副本难度推算!$G$3,FALSE)-VLOOKUP($C204,难度推算表,副本难度推算!$I$3,FALSE)*(2-副本难度推算!$AA$6)*(2-$S204)</f>
        <v>3054.5576817323054</v>
      </c>
      <c r="K204" s="72">
        <f>VLOOKUP($C204,难度推算表,副本难度推算!$M$3,FALSE)*副本难度推算!$Y$7*Q204</f>
        <v>2224417.9147825055</v>
      </c>
      <c r="L204" s="72">
        <f>VLOOKUP($C204,难度推算表,副本难度推算!$P$3,FALSE)*副本难度推算!$Z$7*$R204+VLOOKUP($C204,难度推算表,副本难度推算!$H$3,FALSE)</f>
        <v>66554.268216398326</v>
      </c>
      <c r="M204" s="72">
        <f>VLOOKUP($C204,难度推算表,副本难度推算!$G$3,FALSE)-VLOOKUP($C204,难度推算表,副本难度推算!$I$3,FALSE)*(2-副本难度推算!$AA$7)*(2-$S204)</f>
        <v>12945.506365436926</v>
      </c>
      <c r="N204" s="2">
        <f>VLOOKUP($C204,难度推算表,副本难度推算!$Q$3,FALSE)</f>
        <v>4825.1559999999999</v>
      </c>
      <c r="O204" s="2">
        <f>VLOOKUP($C204,难度推算表,副本难度推算!$R$3,FALSE)</f>
        <v>0</v>
      </c>
      <c r="Q204" s="140">
        <f t="shared" si="19"/>
        <v>0.96</v>
      </c>
      <c r="R204" s="140">
        <f t="shared" si="20"/>
        <v>0.88000000000000012</v>
      </c>
      <c r="S204" s="140">
        <f t="shared" si="21"/>
        <v>0.64000000000000012</v>
      </c>
      <c r="V204" s="140"/>
      <c r="W204" s="140"/>
      <c r="X204" s="140"/>
    </row>
    <row r="205" spans="1:24">
      <c r="A205" s="2" t="str">
        <f t="shared" si="17"/>
        <v>护送</v>
      </c>
      <c r="B205" s="2" t="str">
        <f>怪物并表!$R$14</f>
        <v>英雄之路</v>
      </c>
      <c r="C205" s="2">
        <v>78</v>
      </c>
      <c r="D205" s="28">
        <f t="shared" si="18"/>
        <v>1903</v>
      </c>
      <c r="E205" s="72">
        <f>VLOOKUP($C205,难度推算表,副本难度推算!$M$3,FALSE)*副本难度推算!$Y$5*Q205</f>
        <v>938755.28389900038</v>
      </c>
      <c r="F205" s="72">
        <f>VLOOKUP($C205,难度推算表,副本难度推算!$P$3,FALSE)*副本难度推算!$Z$5*$R205+VLOOKUP($C205,难度推算表,副本难度推算!$H$3,FALSE)</f>
        <v>61205.149534383214</v>
      </c>
      <c r="G205" s="72">
        <f>VLOOKUP($C205,难度推算表,副本难度推算!$G$3,FALSE)-VLOOKUP($C205,难度推算表,副本难度推算!$I$3,FALSE)*(2-副本难度推算!$AA$5)*(2-$S205)</f>
        <v>8368.272774164554</v>
      </c>
      <c r="H205" s="72">
        <f>VLOOKUP($C205,难度推算表,副本难度推算!$M$3,FALSE)*副本难度推算!$Y$6*Q205</f>
        <v>751004.2271192004</v>
      </c>
      <c r="I205" s="72">
        <f>VLOOKUP($C205,难度推算表,副本难度推算!$P$3,FALSE)*副本难度推算!$Z$6*$R205+VLOOKUP($C205,难度推算表,副本难度推算!$H$3,FALSE)</f>
        <v>56606.138721702082</v>
      </c>
      <c r="J205" s="72">
        <f>VLOOKUP($C205,难度推算表,副本难度推算!$G$3,FALSE)-VLOOKUP($C205,难度推算表,副本难度推算!$I$3,FALSE)*(2-副本难度推算!$AA$6)*(2-$S205)</f>
        <v>3195.1586955901075</v>
      </c>
      <c r="K205" s="72">
        <f>VLOOKUP($C205,难度推算表,副本难度推算!$M$3,FALSE)*副本难度推算!$Y$7*Q205</f>
        <v>2346888.2097475012</v>
      </c>
      <c r="L205" s="72">
        <f>VLOOKUP($C205,难度推算表,副本难度推算!$P$3,FALSE)*副本难度推算!$Z$7*$R205+VLOOKUP($C205,难度推算表,副本难度推算!$H$3,FALSE)</f>
        <v>70403.171159745471</v>
      </c>
      <c r="M205" s="72">
        <f>VLOOKUP($C205,难度推算表,副本难度推算!$G$3,FALSE)-VLOOKUP($C205,难度推算表,副本难度推算!$I$3,FALSE)*(2-副本难度推算!$AA$7)*(2-$S205)</f>
        <v>13541.386852739</v>
      </c>
      <c r="N205" s="2">
        <f>VLOOKUP($C205,难度推算表,副本难度推算!$Q$3,FALSE)</f>
        <v>4883.384</v>
      </c>
      <c r="O205" s="2">
        <f>VLOOKUP($C205,难度推算表,副本难度推算!$R$3,FALSE)</f>
        <v>0</v>
      </c>
      <c r="Q205" s="140">
        <f t="shared" si="19"/>
        <v>0.96</v>
      </c>
      <c r="R205" s="140">
        <f t="shared" si="20"/>
        <v>0.88000000000000012</v>
      </c>
      <c r="S205" s="140">
        <f t="shared" si="21"/>
        <v>0.64000000000000012</v>
      </c>
      <c r="V205" s="140"/>
      <c r="W205" s="140"/>
      <c r="X205" s="140"/>
    </row>
    <row r="206" spans="1:24">
      <c r="A206" s="2" t="str">
        <f t="shared" si="17"/>
        <v>护送</v>
      </c>
      <c r="B206" s="2" t="str">
        <f>怪物并表!$R$14</f>
        <v>英雄之路</v>
      </c>
      <c r="C206" s="2">
        <v>79</v>
      </c>
      <c r="D206" s="28">
        <f t="shared" si="18"/>
        <v>1903</v>
      </c>
      <c r="E206" s="72">
        <f>VLOOKUP($C206,难度推算表,副本难度推算!$M$3,FALSE)*副本难度推算!$Y$5*Q206</f>
        <v>989603.55218938924</v>
      </c>
      <c r="F206" s="72">
        <f>VLOOKUP($C206,难度推算表,副本难度推算!$P$3,FALSE)*副本难度推算!$Z$5*$R206+VLOOKUP($C206,难度推算表,副本难度推算!$H$3,FALSE)</f>
        <v>64671.053822135676</v>
      </c>
      <c r="G206" s="72">
        <f>VLOOKUP($C206,难度推算表,副本难度推算!$G$3,FALSE)-VLOOKUP($C206,难度推算表,副本难度推算!$I$3,FALSE)*(2-副本难度推算!$AA$5)*(2-$S206)</f>
        <v>8746.7992872321192</v>
      </c>
      <c r="H206" s="72">
        <f>VLOOKUP($C206,难度推算表,副本难度推算!$M$3,FALSE)*副本难度推算!$Y$6*Q206</f>
        <v>791682.84175151156</v>
      </c>
      <c r="I206" s="72">
        <f>VLOOKUP($C206,难度推算表,副本难度推算!$P$3,FALSE)*副本难度推算!$Z$6*$R206+VLOOKUP($C206,难度推算表,副本难度推算!$H$3,FALSE)</f>
        <v>59794.27558305522</v>
      </c>
      <c r="J206" s="72">
        <f>VLOOKUP($C206,难度推算表,副本难度推算!$G$3,FALSE)-VLOOKUP($C206,难度推算表,副本难度推算!$I$3,FALSE)*(2-副本难度推算!$AA$6)*(2-$S206)</f>
        <v>3339.6870005795463</v>
      </c>
      <c r="K206" s="72">
        <f>VLOOKUP($C206,难度推算表,副本难度推算!$M$3,FALSE)*副本难度推算!$Y$7*Q206</f>
        <v>2474008.8804734731</v>
      </c>
      <c r="L206" s="72">
        <f>VLOOKUP($C206,难度推算表,副本难度推算!$P$3,FALSE)*副本难度推算!$Z$7*$R206+VLOOKUP($C206,难度推算表,副本难度推算!$H$3,FALSE)</f>
        <v>74424.610300296583</v>
      </c>
      <c r="M206" s="72">
        <f>VLOOKUP($C206,难度推算表,副本难度推算!$G$3,FALSE)-VLOOKUP($C206,难度推算表,副本难度推算!$I$3,FALSE)*(2-副本难度推算!$AA$7)*(2-$S206)</f>
        <v>14153.911573884696</v>
      </c>
      <c r="N206" s="2">
        <f>VLOOKUP($C206,难度推算表,副本难度推算!$Q$3,FALSE)</f>
        <v>4941.6120000000001</v>
      </c>
      <c r="O206" s="2">
        <f>VLOOKUP($C206,难度推算表,副本难度推算!$R$3,FALSE)</f>
        <v>0</v>
      </c>
      <c r="Q206" s="140">
        <f t="shared" si="19"/>
        <v>0.96</v>
      </c>
      <c r="R206" s="140">
        <f t="shared" si="20"/>
        <v>0.88000000000000012</v>
      </c>
      <c r="S206" s="140">
        <f t="shared" si="21"/>
        <v>0.64000000000000012</v>
      </c>
      <c r="V206" s="140"/>
      <c r="W206" s="140"/>
      <c r="X206" s="140"/>
    </row>
    <row r="207" spans="1:24">
      <c r="A207" s="2" t="str">
        <f t="shared" si="17"/>
        <v>护送</v>
      </c>
      <c r="B207" s="2" t="str">
        <f>怪物并表!$R$14</f>
        <v>英雄之路</v>
      </c>
      <c r="C207" s="2">
        <v>80</v>
      </c>
      <c r="D207" s="28">
        <f t="shared" si="18"/>
        <v>1903</v>
      </c>
      <c r="E207" s="72">
        <f>VLOOKUP($C207,难度推算表,副本难度推算!$M$3,FALSE)*副本难度推算!$Y$5*Q207</f>
        <v>1045466.5763298374</v>
      </c>
      <c r="F207" s="72">
        <f>VLOOKUP($C207,难度推算表,副本难度推算!$P$3,FALSE)*副本难度推算!$Z$5*$R207+VLOOKUP($C207,难度推算表,副本难度推算!$H$3,FALSE)</f>
        <v>68493.381855003856</v>
      </c>
      <c r="G207" s="72">
        <f>VLOOKUP($C207,难度推算表,副本难度推算!$G$3,FALSE)-VLOOKUP($C207,难度推算表,副本难度推算!$I$3,FALSE)*(2-副本难度推算!$AA$5)*(2-$S207)</f>
        <v>9163.0107130434808</v>
      </c>
      <c r="H207" s="72">
        <f>VLOOKUP($C207,难度推算表,副本难度推算!$M$3,FALSE)*副本难度推算!$Y$6*Q207</f>
        <v>836373.26106387004</v>
      </c>
      <c r="I207" s="72">
        <f>VLOOKUP($C207,难度推算表,副本难度推算!$P$3,FALSE)*副本难度推算!$Z$6*$R207+VLOOKUP($C207,难度推算表,副本难度推算!$H$3,FALSE)</f>
        <v>63310.045617329568</v>
      </c>
      <c r="J207" s="72">
        <f>VLOOKUP($C207,难度推算表,副本难度推算!$G$3,FALSE)-VLOOKUP($C207,难度推算表,副本难度推算!$I$3,FALSE)*(2-副本难度推算!$AA$6)*(2-$S207)</f>
        <v>3498.6040904347828</v>
      </c>
      <c r="K207" s="72">
        <f>VLOOKUP($C207,难度推算表,副本难度推算!$M$3,FALSE)*副本难度推算!$Y$7*Q207</f>
        <v>2613666.4408245939</v>
      </c>
      <c r="L207" s="72">
        <f>VLOOKUP($C207,难度推算表,副本难度推算!$P$3,FALSE)*副本难度推算!$Z$7*$R207+VLOOKUP($C207,难度推算表,副本难度推算!$H$3,FALSE)</f>
        <v>78860.054330352461</v>
      </c>
      <c r="M207" s="72">
        <f>VLOOKUP($C207,难度推算表,副本难度推算!$G$3,FALSE)-VLOOKUP($C207,难度推算表,副本难度推算!$I$3,FALSE)*(2-副本难度推算!$AA$7)*(2-$S207)</f>
        <v>14827.417335652175</v>
      </c>
      <c r="N207" s="2">
        <f>VLOOKUP($C207,难度推算表,副本难度推算!$Q$3,FALSE)</f>
        <v>4999.84</v>
      </c>
      <c r="O207" s="2">
        <f>VLOOKUP($C207,难度推算表,副本难度推算!$R$3,FALSE)</f>
        <v>0</v>
      </c>
      <c r="Q207" s="140">
        <f t="shared" si="19"/>
        <v>0.96</v>
      </c>
      <c r="R207" s="140">
        <f t="shared" si="20"/>
        <v>0.88000000000000012</v>
      </c>
      <c r="S207" s="140">
        <f t="shared" si="21"/>
        <v>0.64000000000000012</v>
      </c>
      <c r="V207" s="140"/>
      <c r="W207" s="140"/>
      <c r="X207" s="140"/>
    </row>
    <row r="208" spans="1:24">
      <c r="A208" s="2" t="str">
        <f t="shared" si="17"/>
        <v>护送</v>
      </c>
      <c r="B208" s="2" t="str">
        <f>怪物并表!$R$14</f>
        <v>英雄之路</v>
      </c>
      <c r="C208" s="2">
        <v>81</v>
      </c>
      <c r="D208" s="28">
        <f t="shared" si="18"/>
        <v>1903</v>
      </c>
      <c r="E208" s="72">
        <f>VLOOKUP($C208,难度推算表,副本难度推算!$M$3,FALSE)*副本难度推算!$Y$5*Q208</f>
        <v>1103468.8983541834</v>
      </c>
      <c r="F208" s="72">
        <f>VLOOKUP($C208,难度推算表,副本难度推算!$P$3,FALSE)*副本难度推算!$Z$5*$R208+VLOOKUP($C208,难度推算表,副本难度推算!$H$3,FALSE)</f>
        <v>82809.797263465414</v>
      </c>
      <c r="G208" s="72">
        <f>VLOOKUP($C208,难度推算表,副本难度推算!$G$3,FALSE)-VLOOKUP($C208,难度推算表,副本难度推算!$I$3,FALSE)*(2-副本难度推算!$AA$5)*(2-$S208)</f>
        <v>9590.9842774822864</v>
      </c>
      <c r="H208" s="72">
        <f>VLOOKUP($C208,难度推算表,副本难度推算!$M$3,FALSE)*副本难度推算!$Y$6*Q208</f>
        <v>882775.11868334678</v>
      </c>
      <c r="I208" s="72">
        <f>VLOOKUP($C208,难度推算表,副本难度推算!$P$3,FALSE)*副本难度推算!$Z$6*$R208+VLOOKUP($C208,难度推算表,副本难度推算!$H$3,FALSE)</f>
        <v>76272.632860297483</v>
      </c>
      <c r="J208" s="72">
        <f>VLOOKUP($C208,难度推算表,副本难度推算!$G$3,FALSE)-VLOOKUP($C208,难度推算表,副本难度推算!$I$3,FALSE)*(2-副本难度推算!$AA$6)*(2-$S208)</f>
        <v>3662.0121786750606</v>
      </c>
      <c r="K208" s="72">
        <f>VLOOKUP($C208,难度推算表,副本难度推算!$M$3,FALSE)*副本难度推算!$Y$7*Q208</f>
        <v>2758672.2458854588</v>
      </c>
      <c r="L208" s="72">
        <f>VLOOKUP($C208,难度推算表,副本难度推算!$P$3,FALSE)*副本难度推算!$Z$7*$R208+VLOOKUP($C208,难度推算表,副本难度推算!$H$3,FALSE)</f>
        <v>95884.126069801307</v>
      </c>
      <c r="M208" s="72">
        <f>VLOOKUP($C208,难度推算表,副本难度推算!$G$3,FALSE)-VLOOKUP($C208,难度推算表,副本难度推算!$I$3,FALSE)*(2-副本难度推算!$AA$7)*(2-$S208)</f>
        <v>15519.956376289509</v>
      </c>
      <c r="N208" s="2">
        <f>VLOOKUP($C208,难度推算表,副本难度推算!$Q$3,FALSE)</f>
        <v>5058.0680000000002</v>
      </c>
      <c r="O208" s="2">
        <f>VLOOKUP($C208,难度推算表,副本难度推算!$R$3,FALSE)</f>
        <v>0</v>
      </c>
      <c r="Q208" s="140">
        <f t="shared" si="19"/>
        <v>0.96</v>
      </c>
      <c r="R208" s="140">
        <f t="shared" si="20"/>
        <v>0.88000000000000012</v>
      </c>
      <c r="S208" s="140">
        <f t="shared" si="21"/>
        <v>0.64000000000000012</v>
      </c>
      <c r="V208" s="140"/>
      <c r="W208" s="140"/>
      <c r="X208" s="140"/>
    </row>
    <row r="209" spans="1:24">
      <c r="A209" s="2" t="str">
        <f t="shared" si="17"/>
        <v>护送</v>
      </c>
      <c r="B209" s="2" t="str">
        <f>怪物并表!$R$14</f>
        <v>英雄之路</v>
      </c>
      <c r="C209" s="2">
        <v>82</v>
      </c>
      <c r="D209" s="28">
        <f t="shared" si="18"/>
        <v>1903</v>
      </c>
      <c r="E209" s="72">
        <f>VLOOKUP($C209,难度推算表,副本难度推算!$M$3,FALSE)*副本难度推算!$Y$5*Q209</f>
        <v>1163660.0462611925</v>
      </c>
      <c r="F209" s="72">
        <f>VLOOKUP($C209,难度推算表,副本难度推算!$P$3,FALSE)*副本难度推算!$Z$5*$R209+VLOOKUP($C209,难度推算表,副本难度推算!$H$3,FALSE)</f>
        <v>88346.301036672463</v>
      </c>
      <c r="G209" s="72">
        <f>VLOOKUP($C209,难度推算表,副本难度推算!$G$3,FALSE)-VLOOKUP($C209,难度推算表,副本难度推算!$I$3,FALSE)*(2-副本难度推算!$AA$5)*(2-$S209)</f>
        <v>10030.866592021412</v>
      </c>
      <c r="H209" s="72">
        <f>VLOOKUP($C209,难度推算表,副本难度推算!$M$3,FALSE)*副本难度推算!$Y$6*Q209</f>
        <v>930928.03700895398</v>
      </c>
      <c r="I209" s="72">
        <f>VLOOKUP($C209,难度推算表,副本难度推算!$P$3,FALSE)*副本难度推算!$Z$6*$R209+VLOOKUP($C209,难度推算表,副本难度推算!$H$3,FALSE)</f>
        <v>81335.464858827283</v>
      </c>
      <c r="J209" s="72">
        <f>VLOOKUP($C209,难度推算表,副本难度推算!$G$3,FALSE)-VLOOKUP($C209,难度推算表,副本难度推算!$I$3,FALSE)*(2-副本难度推算!$AA$6)*(2-$S209)</f>
        <v>3829.9672442263618</v>
      </c>
      <c r="K209" s="72">
        <f>VLOOKUP($C209,难度推算表,副本难度推算!$M$3,FALSE)*副本难度推算!$Y$7*Q209</f>
        <v>2909150.1156529812</v>
      </c>
      <c r="L209" s="72">
        <f>VLOOKUP($C209,难度推算表,副本难度推算!$P$3,FALSE)*副本难度推算!$Z$7*$R209+VLOOKUP($C209,难度推算表,副本难度推算!$H$3,FALSE)</f>
        <v>102367.97339236279</v>
      </c>
      <c r="M209" s="72">
        <f>VLOOKUP($C209,难度推算表,副本难度推算!$G$3,FALSE)-VLOOKUP($C209,难度推算表,副本难度推算!$I$3,FALSE)*(2-副本难度推算!$AA$7)*(2-$S209)</f>
        <v>16231.765939816461</v>
      </c>
      <c r="N209" s="2">
        <f>VLOOKUP($C209,难度推算表,副本难度推算!$Q$3,FALSE)</f>
        <v>5116.2960000000003</v>
      </c>
      <c r="O209" s="2">
        <f>VLOOKUP($C209,难度推算表,副本难度推算!$R$3,FALSE)</f>
        <v>0</v>
      </c>
      <c r="Q209" s="140">
        <f t="shared" si="19"/>
        <v>0.96</v>
      </c>
      <c r="R209" s="140">
        <f t="shared" si="20"/>
        <v>0.88000000000000012</v>
      </c>
      <c r="S209" s="140">
        <f t="shared" si="21"/>
        <v>0.64000000000000012</v>
      </c>
      <c r="V209" s="140"/>
      <c r="W209" s="140"/>
      <c r="X209" s="140"/>
    </row>
    <row r="210" spans="1:24">
      <c r="A210" s="2" t="str">
        <f t="shared" si="17"/>
        <v>护送</v>
      </c>
      <c r="B210" s="2" t="str">
        <f>怪物并表!$R$14</f>
        <v>英雄之路</v>
      </c>
      <c r="C210" s="2">
        <v>83</v>
      </c>
      <c r="D210" s="28">
        <f t="shared" si="18"/>
        <v>1903</v>
      </c>
      <c r="E210" s="72">
        <f>VLOOKUP($C210,难度推算表,副本难度推算!$M$3,FALSE)*副本难度推算!$Y$5*Q210</f>
        <v>1226090.0625459258</v>
      </c>
      <c r="F210" s="72">
        <f>VLOOKUP($C210,难度推算表,副本难度推算!$P$3,FALSE)*副本难度推算!$Z$5*$R210+VLOOKUP($C210,难度推算表,副本难度推算!$H$3,FALSE)</f>
        <v>94188.187470886842</v>
      </c>
      <c r="G210" s="72">
        <f>VLOOKUP($C210,难度推算表,副本难度推算!$G$3,FALSE)-VLOOKUP($C210,难度推算表,副本难度推算!$I$3,FALSE)*(2-副本难度推算!$AA$5)*(2-$S210)</f>
        <v>10482.804268133787</v>
      </c>
      <c r="H210" s="72">
        <f>VLOOKUP($C210,难度推算表,副本难度推算!$M$3,FALSE)*副本难度推算!$Y$6*Q210</f>
        <v>980872.05003674072</v>
      </c>
      <c r="I210" s="72">
        <f>VLOOKUP($C210,难度推算表,副本难度推算!$P$3,FALSE)*副本难度推算!$Z$6*$R210+VLOOKUP($C210,难度推算表,副本难度推算!$H$3,FALSE)</f>
        <v>86675.33313618612</v>
      </c>
      <c r="J210" s="72">
        <f>VLOOKUP($C210,难度推算表,副本难度推算!$G$3,FALSE)-VLOOKUP($C210,难度推算表,副本难度推算!$I$3,FALSE)*(2-副本难度推算!$AA$6)*(2-$S210)</f>
        <v>4002.5252660147162</v>
      </c>
      <c r="K210" s="72">
        <f>VLOOKUP($C210,难度推算表,副本难度推算!$M$3,FALSE)*副本难度推算!$Y$7*Q210</f>
        <v>3065225.1563648144</v>
      </c>
      <c r="L210" s="72">
        <f>VLOOKUP($C210,难度推算表,副本难度推算!$P$3,FALSE)*副本难度推算!$Z$7*$R210+VLOOKUP($C210,难度推算表,副本难度推算!$H$3,FALSE)</f>
        <v>109213.89614028829</v>
      </c>
      <c r="M210" s="72">
        <f>VLOOKUP($C210,难度推算表,副本难度推算!$G$3,FALSE)-VLOOKUP($C210,难度推算表,副本难度推算!$I$3,FALSE)*(2-副本难度推算!$AA$7)*(2-$S210)</f>
        <v>16963.083270252853</v>
      </c>
      <c r="N210" s="2">
        <f>VLOOKUP($C210,难度推算表,副本难度推算!$Q$3,FALSE)</f>
        <v>5174.5240000000003</v>
      </c>
      <c r="O210" s="2">
        <f>VLOOKUP($C210,难度推算表,副本难度推算!$R$3,FALSE)</f>
        <v>0</v>
      </c>
      <c r="Q210" s="140">
        <f t="shared" si="19"/>
        <v>0.96</v>
      </c>
      <c r="R210" s="140">
        <f t="shared" si="20"/>
        <v>0.88000000000000012</v>
      </c>
      <c r="S210" s="140">
        <f t="shared" si="21"/>
        <v>0.64000000000000012</v>
      </c>
      <c r="V210" s="140"/>
      <c r="W210" s="140"/>
      <c r="X210" s="140"/>
    </row>
    <row r="211" spans="1:24">
      <c r="A211" s="2" t="str">
        <f t="shared" si="17"/>
        <v>护送</v>
      </c>
      <c r="B211" s="2" t="str">
        <f>怪物并表!$R$14</f>
        <v>英雄之路</v>
      </c>
      <c r="C211" s="2">
        <v>84</v>
      </c>
      <c r="D211" s="28">
        <f t="shared" si="18"/>
        <v>1903</v>
      </c>
      <c r="E211" s="72">
        <f>VLOOKUP($C211,难度推算表,副本难度推算!$M$3,FALSE)*副本难度推算!$Y$5*Q211</f>
        <v>1290809.5040223501</v>
      </c>
      <c r="F211" s="72">
        <f>VLOOKUP($C211,难度推算表,副本难度推算!$P$3,FALSE)*副本难度推算!$Z$5*$R211+VLOOKUP($C211,难度推算表,副本难度推算!$H$3,FALSE)</f>
        <v>100350.65932603083</v>
      </c>
      <c r="G211" s="72">
        <f>VLOOKUP($C211,难度推算表,副本难度推算!$G$3,FALSE)-VLOOKUP($C211,难度推算表,副本难度推算!$I$3,FALSE)*(2-副本难度推算!$AA$5)*(2-$S211)</f>
        <v>10946.943917292316</v>
      </c>
      <c r="H211" s="72">
        <f>VLOOKUP($C211,难度推算表,副本难度推算!$M$3,FALSE)*副本难度推算!$Y$6*Q211</f>
        <v>1032647.60321788</v>
      </c>
      <c r="I211" s="72">
        <f>VLOOKUP($C211,难度推算表,副本难度推算!$P$3,FALSE)*副本难度推算!$Z$6*$R211+VLOOKUP($C211,难度推算表,副本难度推算!$H$3,FALSE)</f>
        <v>92305.946832935428</v>
      </c>
      <c r="J211" s="72">
        <f>VLOOKUP($C211,难度推算表,副本难度推算!$G$3,FALSE)-VLOOKUP($C211,难度推算表,副本难度推算!$I$3,FALSE)*(2-副本难度推算!$AA$6)*(2-$S211)</f>
        <v>4179.7422229661679</v>
      </c>
      <c r="K211" s="72">
        <f>VLOOKUP($C211,难度推算表,副本难度推算!$M$3,FALSE)*副本难度推算!$Y$7*Q211</f>
        <v>3227023.7600558749</v>
      </c>
      <c r="L211" s="72">
        <f>VLOOKUP($C211,难度推算表,副本难度推算!$P$3,FALSE)*副本难度推算!$Z$7*$R211+VLOOKUP($C211,难度推算表,副本难度推算!$H$3,FALSE)</f>
        <v>116440.0843122216</v>
      </c>
      <c r="M211" s="72">
        <f>VLOOKUP($C211,难度推算表,副本难度推算!$G$3,FALSE)-VLOOKUP($C211,难度推算表,副本难度推算!$I$3,FALSE)*(2-副本难度推算!$AA$7)*(2-$S211)</f>
        <v>17714.145611618467</v>
      </c>
      <c r="N211" s="2">
        <f>VLOOKUP($C211,难度推算表,副本难度推算!$Q$3,FALSE)</f>
        <v>5232.7520000000004</v>
      </c>
      <c r="O211" s="2">
        <f>VLOOKUP($C211,难度推算表,副本难度推算!$R$3,FALSE)</f>
        <v>0</v>
      </c>
      <c r="Q211" s="140">
        <f t="shared" si="19"/>
        <v>0.96</v>
      </c>
      <c r="R211" s="140">
        <f t="shared" si="20"/>
        <v>0.88000000000000012</v>
      </c>
      <c r="S211" s="140">
        <f t="shared" si="21"/>
        <v>0.64000000000000012</v>
      </c>
      <c r="V211" s="140"/>
      <c r="W211" s="140"/>
      <c r="X211" s="140"/>
    </row>
    <row r="212" spans="1:24">
      <c r="A212" s="2" t="str">
        <f t="shared" ref="A212:A217" si="22">$Z$13</f>
        <v>护送</v>
      </c>
      <c r="B212" s="2" t="str">
        <f>怪物并表!$R$14</f>
        <v>英雄之路</v>
      </c>
      <c r="C212" s="2">
        <v>85</v>
      </c>
      <c r="D212" s="28">
        <f t="shared" si="18"/>
        <v>1903</v>
      </c>
      <c r="E212" s="72">
        <f>VLOOKUP($C212,难度推算表,副本难度推算!$M$3,FALSE)*副本难度推算!$Y$5*Q212</f>
        <v>1357869.4416478081</v>
      </c>
      <c r="F212" s="72">
        <f>VLOOKUP($C212,难度推算表,副本难度推算!$P$3,FALSE)*副本难度推算!$Z$5*$R212+VLOOKUP($C212,难度推算表,副本难度推算!$H$3,FALSE)</f>
        <v>106849.71196893905</v>
      </c>
      <c r="G212" s="72">
        <f>VLOOKUP($C212,难度推算表,副本难度推算!$G$3,FALSE)-VLOOKUP($C212,难度推算表,副本难度推算!$I$3,FALSE)*(2-副本难度推算!$AA$5)*(2-$S212)</f>
        <v>11423.4321509699</v>
      </c>
      <c r="H212" s="72">
        <f>VLOOKUP($C212,难度推算表,副本难度推算!$M$3,FALSE)*副本难度推算!$Y$6*Q212</f>
        <v>1086295.5533182465</v>
      </c>
      <c r="I212" s="72">
        <f>VLOOKUP($C212,难度推算表,副本难度推算!$P$3,FALSE)*副本难度推算!$Z$6*$R212+VLOOKUP($C212,难度推算表,副本难度推算!$H$3,FALSE)</f>
        <v>98241.728435857862</v>
      </c>
      <c r="J212" s="72">
        <f>VLOOKUP($C212,难度推算表,副本难度推算!$G$3,FALSE)-VLOOKUP($C212,难度推算表,副本难度推算!$I$3,FALSE)*(2-副本难度推算!$AA$6)*(2-$S212)</f>
        <v>4361.6740940066957</v>
      </c>
      <c r="K212" s="72">
        <f>VLOOKUP($C212,难度推算表,副本难度推算!$M$3,FALSE)*副本难度推算!$Y$7*Q212</f>
        <v>3394673.6041195202</v>
      </c>
      <c r="L212" s="72">
        <f>VLOOKUP($C212,难度推算表,副本难度推算!$P$3,FALSE)*副本难度推算!$Z$7*$R212+VLOOKUP($C212,难度推算表,副本难度推算!$H$3,FALSE)</f>
        <v>124065.67903510144</v>
      </c>
      <c r="M212" s="72">
        <f>VLOOKUP($C212,难度推算表,副本难度推算!$G$3,FALSE)-VLOOKUP($C212,难度推算表,副本难度推算!$I$3,FALSE)*(2-副本难度推算!$AA$7)*(2-$S212)</f>
        <v>18485.190207933108</v>
      </c>
      <c r="N212" s="2">
        <f>VLOOKUP($C212,难度推算表,副本难度推算!$Q$3,FALSE)</f>
        <v>5290.98</v>
      </c>
      <c r="O212" s="2">
        <f>VLOOKUP($C212,难度推算表,副本难度推算!$R$3,FALSE)</f>
        <v>0</v>
      </c>
      <c r="Q212" s="140">
        <f t="shared" si="19"/>
        <v>0.96</v>
      </c>
      <c r="R212" s="140">
        <f t="shared" si="20"/>
        <v>0.88000000000000012</v>
      </c>
      <c r="S212" s="140">
        <f t="shared" si="21"/>
        <v>0.64000000000000012</v>
      </c>
      <c r="V212" s="140"/>
      <c r="W212" s="140"/>
      <c r="X212" s="140"/>
    </row>
    <row r="213" spans="1:24">
      <c r="A213" s="2" t="str">
        <f t="shared" si="22"/>
        <v>护送</v>
      </c>
      <c r="B213" s="2" t="str">
        <f>怪物并表!$R$14</f>
        <v>英雄之路</v>
      </c>
      <c r="C213" s="2">
        <v>86</v>
      </c>
      <c r="D213" s="28">
        <f t="shared" si="18"/>
        <v>1903</v>
      </c>
      <c r="E213" s="72">
        <f>VLOOKUP($C213,难度推算表,副本难度推算!$M$3,FALSE)*副本难度推算!$Y$5*Q213</f>
        <v>1427321.4603493891</v>
      </c>
      <c r="F213" s="72">
        <f>VLOOKUP($C213,难度推算表,副本难度推算!$P$3,FALSE)*副本难度推算!$Z$5*$R213+VLOOKUP($C213,难度推算表,副本难度推算!$H$3,FALSE)</f>
        <v>113702.18250188632</v>
      </c>
      <c r="G213" s="72">
        <f>VLOOKUP($C213,难度推算表,副本难度推算!$G$3,FALSE)-VLOOKUP($C213,难度推算表,副本难度推算!$I$3,FALSE)*(2-副本难度推算!$AA$5)*(2-$S213)</f>
        <v>11912.41558063947</v>
      </c>
      <c r="H213" s="72">
        <f>VLOOKUP($C213,难度推算表,副本难度推算!$M$3,FALSE)*副本难度推算!$Y$6*Q213</f>
        <v>1141857.1682795114</v>
      </c>
      <c r="I213" s="72">
        <f>VLOOKUP($C213,难度推算表,副本难度推算!$P$3,FALSE)*副本难度推算!$Z$6*$R213+VLOOKUP($C213,难度推算表,副本难度推算!$H$3,FALSE)</f>
        <v>104497.85799363213</v>
      </c>
      <c r="J213" s="72">
        <f>VLOOKUP($C213,难度推算表,副本难度推算!$G$3,FALSE)-VLOOKUP($C213,难度推算表,副本难度推算!$I$3,FALSE)*(2-副本难度推算!$AA$6)*(2-$S213)</f>
        <v>4548.3768580623437</v>
      </c>
      <c r="K213" s="72">
        <f>VLOOKUP($C213,难度推算表,副本难度推算!$M$3,FALSE)*副本难度推算!$Y$7*Q213</f>
        <v>3568303.6508734729</v>
      </c>
      <c r="L213" s="72">
        <f>VLOOKUP($C213,难度推算表,副本难度推算!$P$3,FALSE)*副本难度推算!$Z$7*$R213+VLOOKUP($C213,难度推算表,副本难度推算!$H$3,FALSE)</f>
        <v>132110.83151839467</v>
      </c>
      <c r="M213" s="72">
        <f>VLOOKUP($C213,难度推算表,副本难度推算!$G$3,FALSE)-VLOOKUP($C213,难度推算表,副本难度推算!$I$3,FALSE)*(2-副本难度推算!$AA$7)*(2-$S213)</f>
        <v>19276.454303216589</v>
      </c>
      <c r="N213" s="2">
        <f>VLOOKUP($C213,难度推算表,副本难度推算!$Q$3,FALSE)</f>
        <v>5349.2079999999996</v>
      </c>
      <c r="O213" s="2">
        <f>VLOOKUP($C213,难度推算表,副本难度推算!$R$3,FALSE)</f>
        <v>0</v>
      </c>
      <c r="Q213" s="140">
        <f t="shared" si="19"/>
        <v>0.96</v>
      </c>
      <c r="R213" s="140">
        <f t="shared" si="20"/>
        <v>0.88000000000000012</v>
      </c>
      <c r="S213" s="140">
        <f t="shared" si="21"/>
        <v>0.64000000000000012</v>
      </c>
      <c r="V213" s="140"/>
      <c r="W213" s="140"/>
      <c r="X213" s="140"/>
    </row>
    <row r="214" spans="1:24">
      <c r="A214" s="2" t="str">
        <f t="shared" si="22"/>
        <v>护送</v>
      </c>
      <c r="B214" s="2" t="str">
        <f>怪物并表!$R$14</f>
        <v>英雄之路</v>
      </c>
      <c r="C214" s="2">
        <v>87</v>
      </c>
      <c r="D214" s="28">
        <f t="shared" si="18"/>
        <v>1903</v>
      </c>
      <c r="E214" s="72">
        <f>VLOOKUP($C214,难度推算表,副本难度推算!$M$3,FALSE)*副本难度推算!$Y$5*Q214</f>
        <v>1499217.6588522152</v>
      </c>
      <c r="F214" s="72">
        <f>VLOOKUP($C214,难度推算表,副本难度推算!$P$3,FALSE)*副本难度推算!$Z$5*$R214+VLOOKUP($C214,难度推算表,副本难度推算!$H$3,FALSE)</f>
        <v>120925.80259117126</v>
      </c>
      <c r="G214" s="72">
        <f>VLOOKUP($C214,难度推算表,副本难度推算!$G$3,FALSE)-VLOOKUP($C214,难度推算表,副本难度推算!$I$3,FALSE)*(2-副本难度推算!$AA$5)*(2-$S214)</f>
        <v>12414.040817773923</v>
      </c>
      <c r="H214" s="72">
        <f>VLOOKUP($C214,难度推算表,副本难度推算!$M$3,FALSE)*副本难度推算!$Y$6*Q214</f>
        <v>1199374.1270817721</v>
      </c>
      <c r="I214" s="72">
        <f>VLOOKUP($C214,难度推算表,副本难度推算!$P$3,FALSE)*副本难度推算!$Z$6*$R214+VLOOKUP($C214,难度推算表,副本难度推算!$H$3,FALSE)</f>
        <v>111090.32066255847</v>
      </c>
      <c r="J214" s="72">
        <f>VLOOKUP($C214,难度推算表,副本难度推算!$G$3,FALSE)-VLOOKUP($C214,难度推算表,副本难度推算!$I$3,FALSE)*(2-副本难度推算!$AA$6)*(2-$S214)</f>
        <v>4739.9064940591416</v>
      </c>
      <c r="K214" s="72">
        <f>VLOOKUP($C214,难度推算表,副本难度推算!$M$3,FALSE)*副本难度推算!$Y$7*Q214</f>
        <v>3748044.1471305378</v>
      </c>
      <c r="L214" s="72">
        <f>VLOOKUP($C214,难度推算表,副本难度推算!$P$3,FALSE)*副本难度推算!$Z$7*$R214+VLOOKUP($C214,难度推算表,副本难度推算!$H$3,FALSE)</f>
        <v>140596.76644839681</v>
      </c>
      <c r="M214" s="72">
        <f>VLOOKUP($C214,难度推算表,副本难度推算!$G$3,FALSE)-VLOOKUP($C214,难度推算表,副本难度推算!$I$3,FALSE)*(2-副本难度推算!$AA$7)*(2-$S214)</f>
        <v>20088.175141488697</v>
      </c>
      <c r="N214" s="2">
        <f>VLOOKUP($C214,难度推算表,副本难度推算!$Q$3,FALSE)</f>
        <v>5407.4360000000006</v>
      </c>
      <c r="O214" s="2">
        <f>VLOOKUP($C214,难度推算表,副本难度推算!$R$3,FALSE)</f>
        <v>0</v>
      </c>
      <c r="Q214" s="140">
        <f t="shared" si="19"/>
        <v>0.96</v>
      </c>
      <c r="R214" s="140">
        <f t="shared" si="20"/>
        <v>0.88000000000000012</v>
      </c>
      <c r="S214" s="140">
        <f t="shared" si="21"/>
        <v>0.64000000000000012</v>
      </c>
      <c r="V214" s="140"/>
      <c r="W214" s="140"/>
      <c r="X214" s="140"/>
    </row>
    <row r="215" spans="1:24">
      <c r="A215" s="2" t="str">
        <f t="shared" si="22"/>
        <v>护送</v>
      </c>
      <c r="B215" s="2" t="str">
        <f>怪物并表!$R$14</f>
        <v>英雄之路</v>
      </c>
      <c r="C215" s="2">
        <v>88</v>
      </c>
      <c r="D215" s="28">
        <f t="shared" si="18"/>
        <v>1903</v>
      </c>
      <c r="E215" s="72">
        <f>VLOOKUP($C215,难度推算表,副本难度推算!$M$3,FALSE)*副本难度推算!$Y$5*Q215</f>
        <v>1573610.6495096677</v>
      </c>
      <c r="F215" s="72">
        <f>VLOOKUP($C215,难度推算表,副本难度推算!$P$3,FALSE)*副本难度推算!$Z$5*$R215+VLOOKUP($C215,难度推算表,副本难度推算!$H$3,FALSE)</f>
        <v>128539.25532499971</v>
      </c>
      <c r="G215" s="72">
        <f>VLOOKUP($C215,难度推算表,副本难度推算!$G$3,FALSE)-VLOOKUP($C215,难度推算表,副本难度推算!$I$3,FALSE)*(2-副本难度推算!$AA$5)*(2-$S215)</f>
        <v>12928.454473846155</v>
      </c>
      <c r="H215" s="72">
        <f>VLOOKUP($C215,难度推算表,副本难度推算!$M$3,FALSE)*副本难度推算!$Y$6*Q215</f>
        <v>1258888.5196077342</v>
      </c>
      <c r="I215" s="72">
        <f>VLOOKUP($C215,难度推算表,副本难度推算!$P$3,FALSE)*副本难度推算!$Z$6*$R215+VLOOKUP($C215,难度推算表,副本难度推算!$H$3,FALSE)</f>
        <v>118035.9578786536</v>
      </c>
      <c r="J215" s="72">
        <f>VLOOKUP($C215,难度推算表,副本难度推算!$G$3,FALSE)-VLOOKUP($C215,难度推算表,副本难度推算!$I$3,FALSE)*(2-副本难度推算!$AA$6)*(2-$S215)</f>
        <v>4936.3189809230826</v>
      </c>
      <c r="K215" s="72">
        <f>VLOOKUP($C215,难度推算表,副本难度推算!$M$3,FALSE)*副本难度推算!$Y$7*Q215</f>
        <v>3934026.623774169</v>
      </c>
      <c r="L215" s="72">
        <f>VLOOKUP($C215,难度推算表,副本难度推算!$P$3,FALSE)*副本难度推算!$Z$7*$R215+VLOOKUP($C215,难度推算表,副本难度推算!$H$3,FALSE)</f>
        <v>149545.85021769197</v>
      </c>
      <c r="M215" s="72">
        <f>VLOOKUP($C215,难度推算表,副本难度推算!$G$3,FALSE)-VLOOKUP($C215,难度推算表,副本难度推算!$I$3,FALSE)*(2-副本难度推算!$AA$7)*(2-$S215)</f>
        <v>20920.589966769228</v>
      </c>
      <c r="N215" s="2">
        <f>VLOOKUP($C215,难度推算表,副本难度推算!$Q$3,FALSE)</f>
        <v>5465.6640000000007</v>
      </c>
      <c r="O215" s="2">
        <f>VLOOKUP($C215,难度推算表,副本难度推算!$R$3,FALSE)</f>
        <v>0</v>
      </c>
      <c r="Q215" s="140">
        <f t="shared" si="19"/>
        <v>0.96</v>
      </c>
      <c r="R215" s="140">
        <f t="shared" si="20"/>
        <v>0.88000000000000012</v>
      </c>
      <c r="S215" s="140">
        <f t="shared" si="21"/>
        <v>0.64000000000000012</v>
      </c>
      <c r="V215" s="140"/>
      <c r="W215" s="140"/>
      <c r="X215" s="140"/>
    </row>
    <row r="216" spans="1:24">
      <c r="A216" s="2" t="str">
        <f t="shared" si="22"/>
        <v>护送</v>
      </c>
      <c r="B216" s="2" t="str">
        <f>怪物并表!$R$14</f>
        <v>英雄之路</v>
      </c>
      <c r="C216" s="2">
        <v>89</v>
      </c>
      <c r="D216" s="28">
        <f t="shared" si="18"/>
        <v>1903</v>
      </c>
      <c r="E216" s="72">
        <f>VLOOKUP($C216,难度推算表,副本难度推算!$M$3,FALSE)*副本难度推算!$Y$5*Q216</f>
        <v>1650553.5581355514</v>
      </c>
      <c r="F216" s="72">
        <f>VLOOKUP($C216,难度推算表,副本难度推算!$P$3,FALSE)*副本难度推算!$Z$5*$R216+VLOOKUP($C216,难度推算表,副本难度推算!$H$3,FALSE)</f>
        <v>136562.23646382178</v>
      </c>
      <c r="G216" s="72">
        <f>VLOOKUP($C216,难度推算表,副本难度推算!$G$3,FALSE)-VLOOKUP($C216,难度推算表,副本难度推算!$I$3,FALSE)*(2-副本难度推算!$AA$5)*(2-$S216)</f>
        <v>13455.803160329095</v>
      </c>
      <c r="H216" s="72">
        <f>VLOOKUP($C216,难度推算表,副本难度推算!$M$3,FALSE)*副本难度推算!$Y$6*Q216</f>
        <v>1320442.8465084413</v>
      </c>
      <c r="I216" s="72">
        <f>VLOOKUP($C216,难度推算表,副本难度推算!$P$3,FALSE)*副本难度推算!$Z$6*$R216+VLOOKUP($C216,难度推算表,副本难度推算!$H$3,FALSE)</f>
        <v>125352.52248295398</v>
      </c>
      <c r="J216" s="72">
        <f>VLOOKUP($C216,难度推算表,副本难度推算!$G$3,FALSE)-VLOOKUP($C216,难度推算表,副本难度推算!$I$3,FALSE)*(2-副本难度推算!$AA$6)*(2-$S216)</f>
        <v>5137.6702975801963</v>
      </c>
      <c r="K216" s="72">
        <f>VLOOKUP($C216,难度推算表,副本难度推算!$M$3,FALSE)*副本难度推算!$Y$7*Q216</f>
        <v>4126383.8953388785</v>
      </c>
      <c r="L216" s="72">
        <f>VLOOKUP($C216,难度推算表,副本难度推算!$P$3,FALSE)*副本难度推算!$Z$7*$R216+VLOOKUP($C216,难度推算表,副本难度推算!$H$3,FALSE)</f>
        <v>158981.66442555733</v>
      </c>
      <c r="M216" s="72">
        <f>VLOOKUP($C216,难度推算表,副本难度推算!$G$3,FALSE)-VLOOKUP($C216,难度推算表,副本难度推算!$I$3,FALSE)*(2-副本难度推算!$AA$7)*(2-$S216)</f>
        <v>21773.936023077986</v>
      </c>
      <c r="N216" s="2">
        <f>VLOOKUP($C216,难度推算表,副本难度推算!$Q$3,FALSE)</f>
        <v>5523.8919999999998</v>
      </c>
      <c r="O216" s="2">
        <f>VLOOKUP($C216,难度推算表,副本难度推算!$R$3,FALSE)</f>
        <v>0</v>
      </c>
      <c r="Q216" s="140">
        <f t="shared" si="19"/>
        <v>0.96</v>
      </c>
      <c r="R216" s="140">
        <f t="shared" si="20"/>
        <v>0.88000000000000012</v>
      </c>
      <c r="S216" s="140">
        <f t="shared" si="21"/>
        <v>0.64000000000000012</v>
      </c>
      <c r="V216" s="140"/>
      <c r="W216" s="140"/>
      <c r="X216" s="140"/>
    </row>
    <row r="217" spans="1:24">
      <c r="A217" s="2" t="str">
        <f t="shared" si="22"/>
        <v>护送</v>
      </c>
      <c r="B217" s="2" t="str">
        <f>怪物并表!$R$14</f>
        <v>英雄之路</v>
      </c>
      <c r="C217" s="2">
        <v>90</v>
      </c>
      <c r="D217" s="28">
        <f t="shared" si="18"/>
        <v>1903</v>
      </c>
      <c r="E217" s="72">
        <f>VLOOKUP($C217,难度推算表,副本难度推算!$M$3,FALSE)*副本难度推算!$Y$5*Q217</f>
        <v>1730100.0238382153</v>
      </c>
      <c r="F217" s="72">
        <f>VLOOKUP($C217,难度推算表,副本难度推算!$P$3,FALSE)*副本难度推算!$Z$5*$R217+VLOOKUP($C217,难度推算表,副本难度推算!$H$3,FALSE)</f>
        <v>145015.5204841739</v>
      </c>
      <c r="G217" s="72">
        <f>VLOOKUP($C217,难度推算表,副本难度推算!$G$3,FALSE)-VLOOKUP($C217,难度推算表,副本难度推算!$I$3,FALSE)*(2-副本难度推算!$AA$5)*(2-$S217)</f>
        <v>13996.23348869566</v>
      </c>
      <c r="H217" s="72">
        <f>VLOOKUP($C217,难度推算表,副本难度推算!$M$3,FALSE)*副本难度推算!$Y$6*Q217</f>
        <v>1384080.0190705722</v>
      </c>
      <c r="I217" s="72">
        <f>VLOOKUP($C217,难度推算表,副本难度推算!$P$3,FALSE)*副本难度推算!$Z$6*$R217+VLOOKUP($C217,难度推算表,副本难度推算!$H$3,FALSE)</f>
        <v>133058.73816097391</v>
      </c>
      <c r="J217" s="72">
        <f>VLOOKUP($C217,难度推算表,副本难度推算!$G$3,FALSE)-VLOOKUP($C217,难度推算表,副本难度推算!$I$3,FALSE)*(2-副本难度推算!$AA$6)*(2-$S217)</f>
        <v>5344.0164229565344</v>
      </c>
      <c r="K217" s="72">
        <f>VLOOKUP($C217,难度推算表,副本难度推算!$M$3,FALSE)*副本难度推算!$Y$7*Q217</f>
        <v>4325250.0595955383</v>
      </c>
      <c r="L217" s="72">
        <f>VLOOKUP($C217,难度推算表,副本难度推算!$P$3,FALSE)*副本难度推算!$Z$7*$R217+VLOOKUP($C217,难度推算表,副本难度推算!$H$3,FALSE)</f>
        <v>168929.08513057389</v>
      </c>
      <c r="M217" s="72">
        <f>VLOOKUP($C217,难度推算表,副本难度推算!$G$3,FALSE)-VLOOKUP($C217,难度推算表,副本难度推算!$I$3,FALSE)*(2-副本难度推算!$AA$7)*(2-$S217)</f>
        <v>22648.450554434778</v>
      </c>
      <c r="N217" s="2">
        <f>VLOOKUP($C217,难度推算表,副本难度推算!$Q$3,FALSE)</f>
        <v>5582.12</v>
      </c>
      <c r="O217" s="2">
        <f>VLOOKUP($C217,难度推算表,副本难度推算!$R$3,FALSE)</f>
        <v>0</v>
      </c>
      <c r="Q217" s="140">
        <f t="shared" si="19"/>
        <v>0.96</v>
      </c>
      <c r="R217" s="140">
        <f t="shared" si="20"/>
        <v>0.88000000000000012</v>
      </c>
      <c r="S217" s="140">
        <f t="shared" si="21"/>
        <v>0.64000000000000012</v>
      </c>
      <c r="V217" s="140"/>
      <c r="W217" s="140"/>
      <c r="X217" s="140"/>
    </row>
    <row r="218" spans="1:24">
      <c r="A218" s="2" t="str">
        <f t="shared" ref="A218:A281" si="23">$Z$14</f>
        <v>逃亡</v>
      </c>
      <c r="B218" s="2" t="str">
        <f>怪物并表!$R$14</f>
        <v>英雄之路</v>
      </c>
      <c r="C218" s="2">
        <v>20</v>
      </c>
      <c r="D218" s="28">
        <f t="shared" si="18"/>
        <v>1904</v>
      </c>
      <c r="E218" s="72">
        <f>VLOOKUP($C218,难度推算表,副本难度推算!$M$3,FALSE)*副本难度推算!$Y$5*Q218</f>
        <v>10567.584332773757</v>
      </c>
      <c r="F218" s="72">
        <f>VLOOKUP($C218,难度推算表,副本难度推算!$P$3,FALSE)*副本难度推算!$Z$5*$R218+VLOOKUP($C218,难度推算表,副本难度推算!$H$3,FALSE)</f>
        <v>455.47630434782616</v>
      </c>
      <c r="G218" s="72">
        <f>VLOOKUP($C218,难度推算表,副本难度推算!$G$3,FALSE)-VLOOKUP($C218,难度推算表,副本难度推算!$I$3,FALSE)*(2-副本难度推算!$AA$5)*(2-$S218)</f>
        <v>202.47652173913053</v>
      </c>
      <c r="H218" s="72">
        <f>VLOOKUP($C218,难度推算表,副本难度推算!$M$3,FALSE)*副本难度推算!$Y$6*Q218</f>
        <v>8454.0674662190049</v>
      </c>
      <c r="I218" s="72">
        <f>VLOOKUP($C218,难度推算表,副本难度推算!$P$3,FALSE)*副本难度推算!$Z$6*$R218+VLOOKUP($C218,难度推算表,副本难度推算!$H$3,FALSE)</f>
        <v>436.92554347826098</v>
      </c>
      <c r="J218" s="72">
        <f>VLOOKUP($C218,难度推算表,副本难度推算!$G$3,FALSE)-VLOOKUP($C218,难度推算表,副本难度推算!$I$3,FALSE)*(2-副本难度推算!$AA$6)*(2-$S218)</f>
        <v>121.48591304347838</v>
      </c>
      <c r="K218" s="72">
        <f>VLOOKUP($C218,难度推算表,副本难度推算!$M$3,FALSE)*副本难度推算!$Y$7*Q218</f>
        <v>26418.960831934393</v>
      </c>
      <c r="L218" s="72">
        <f>VLOOKUP($C218,难度推算表,副本难度推算!$P$3,FALSE)*副本难度推算!$Z$7*$R218+VLOOKUP($C218,难度推算表,副本难度推算!$H$3,FALSE)</f>
        <v>492.57782608695663</v>
      </c>
      <c r="M218" s="72">
        <f>VLOOKUP($C218,难度推算表,副本难度推算!$G$3,FALSE)-VLOOKUP($C218,难度推算表,副本难度推算!$I$3,FALSE)*(2-副本难度推算!$AA$7)*(2-$S218)</f>
        <v>283.46713043478269</v>
      </c>
      <c r="N218" s="2">
        <f>VLOOKUP($C218,难度推算表,副本难度推算!$Q$3,FALSE)</f>
        <v>1506.1599999999999</v>
      </c>
      <c r="O218" s="2">
        <f>VLOOKUP($C218,难度推算表,副本难度推算!$R$3,FALSE)</f>
        <v>0</v>
      </c>
      <c r="Q218" s="140">
        <f t="shared" si="19"/>
        <v>1.3</v>
      </c>
      <c r="R218" s="140">
        <f t="shared" si="20"/>
        <v>0.9</v>
      </c>
      <c r="S218" s="140">
        <f t="shared" si="21"/>
        <v>0.8</v>
      </c>
      <c r="V218" s="140"/>
      <c r="W218" s="140"/>
      <c r="X218" s="140"/>
    </row>
    <row r="219" spans="1:24">
      <c r="A219" s="2" t="str">
        <f t="shared" si="23"/>
        <v>逃亡</v>
      </c>
      <c r="B219" s="2" t="str">
        <f>怪物并表!$R$14</f>
        <v>英雄之路</v>
      </c>
      <c r="C219" s="2">
        <v>21</v>
      </c>
      <c r="D219" s="28">
        <f t="shared" si="18"/>
        <v>1904</v>
      </c>
      <c r="E219" s="72">
        <f>VLOOKUP($C219,难度推算表,副本难度推算!$M$3,FALSE)*副本难度推算!$Y$5*Q219</f>
        <v>11810.298843584584</v>
      </c>
      <c r="F219" s="72">
        <f>VLOOKUP($C219,难度推算表,副本难度推算!$P$3,FALSE)*副本难度推算!$Z$5*$R219+VLOOKUP($C219,难度推算表,副本难度推算!$H$3,FALSE)</f>
        <v>505.36028817219699</v>
      </c>
      <c r="G219" s="72">
        <f>VLOOKUP($C219,难度推算表,副本难度推算!$G$3,FALSE)-VLOOKUP($C219,难度推算表,副本难度推算!$I$3,FALSE)*(2-副本难度推算!$AA$5)*(2-$S219)</f>
        <v>221.34161739130445</v>
      </c>
      <c r="H219" s="72">
        <f>VLOOKUP($C219,难度推算表,副本难度推算!$M$3,FALSE)*副本难度推算!$Y$6*Q219</f>
        <v>9448.2390748676662</v>
      </c>
      <c r="I219" s="72">
        <f>VLOOKUP($C219,难度推算表,副本难度推算!$P$3,FALSE)*副本难度推算!$Z$6*$R219+VLOOKUP($C219,难度推算表,副本难度推算!$H$3,FALSE)</f>
        <v>484.33647500715119</v>
      </c>
      <c r="J219" s="72">
        <f>VLOOKUP($C219,难度推算表,副本难度推算!$G$3,FALSE)-VLOOKUP($C219,难度推算表,副本难度推算!$I$3,FALSE)*(2-副本难度推算!$AA$6)*(2-$S219)</f>
        <v>132.80497043478272</v>
      </c>
      <c r="K219" s="72">
        <f>VLOOKUP($C219,难度推算表,副本难度推算!$M$3,FALSE)*副本难度推算!$Y$7*Q219</f>
        <v>29525.747108961456</v>
      </c>
      <c r="L219" s="72">
        <f>VLOOKUP($C219,难度推算表,副本难度推算!$P$3,FALSE)*副本难度推算!$Z$7*$R219+VLOOKUP($C219,难度推算表,副本难度推算!$H$3,FALSE)</f>
        <v>547.40791450228858</v>
      </c>
      <c r="M219" s="72">
        <f>VLOOKUP($C219,难度推算表,副本难度推算!$G$3,FALSE)-VLOOKUP($C219,难度推算表,副本难度推算!$I$3,FALSE)*(2-副本难度推算!$AA$7)*(2-$S219)</f>
        <v>309.87826434782625</v>
      </c>
      <c r="N219" s="2">
        <f>VLOOKUP($C219,难度推算表,副本难度推算!$Q$3,FALSE)</f>
        <v>1564.3879999999999</v>
      </c>
      <c r="O219" s="2">
        <f>VLOOKUP($C219,难度推算表,副本难度推算!$R$3,FALSE)</f>
        <v>0</v>
      </c>
      <c r="Q219" s="140">
        <f t="shared" si="19"/>
        <v>1.3</v>
      </c>
      <c r="R219" s="140">
        <f t="shared" si="20"/>
        <v>0.9</v>
      </c>
      <c r="S219" s="140">
        <f t="shared" si="21"/>
        <v>0.8</v>
      </c>
      <c r="V219" s="140"/>
      <c r="W219" s="140"/>
      <c r="X219" s="140"/>
    </row>
    <row r="220" spans="1:24">
      <c r="A220" s="2" t="str">
        <f t="shared" si="23"/>
        <v>逃亡</v>
      </c>
      <c r="B220" s="2" t="str">
        <f>怪物并表!$R$14</f>
        <v>英雄之路</v>
      </c>
      <c r="C220" s="2">
        <v>22</v>
      </c>
      <c r="D220" s="28">
        <f t="shared" si="18"/>
        <v>1904</v>
      </c>
      <c r="E220" s="72">
        <f>VLOOKUP($C220,难度推算表,副本难度推算!$M$3,FALSE)*副本难度推算!$Y$5*Q220</f>
        <v>13136.777514361669</v>
      </c>
      <c r="F220" s="72">
        <f>VLOOKUP($C220,难度推算表,副本难度推算!$P$3,FALSE)*副本难度推算!$Z$5*$R220+VLOOKUP($C220,难度推算表,副本难度推算!$H$3,FALSE)</f>
        <v>558.43666896413561</v>
      </c>
      <c r="G220" s="72">
        <f>VLOOKUP($C220,难度推算表,副本难度推算!$G$3,FALSE)-VLOOKUP($C220,难度推算表,副本难度推算!$I$3,FALSE)*(2-副本难度推算!$AA$5)*(2-$S220)</f>
        <v>240.98838260869576</v>
      </c>
      <c r="H220" s="72">
        <f>VLOOKUP($C220,难度推算表,副本难度推算!$M$3,FALSE)*副本难度推算!$Y$6*Q220</f>
        <v>10509.422011489336</v>
      </c>
      <c r="I220" s="72">
        <f>VLOOKUP($C220,难度推算表,副本难度推算!$P$3,FALSE)*副本难度推算!$Z$6*$R220+VLOOKUP($C220,难度推算表,副本难度推算!$H$3,FALSE)</f>
        <v>534.72478641554812</v>
      </c>
      <c r="J220" s="72">
        <f>VLOOKUP($C220,难度推算表,副本难度推算!$G$3,FALSE)-VLOOKUP($C220,难度推算表,副本难度推算!$I$3,FALSE)*(2-副本难度推算!$AA$6)*(2-$S220)</f>
        <v>144.59302956521753</v>
      </c>
      <c r="K220" s="72">
        <f>VLOOKUP($C220,难度推算表,副本难度推算!$M$3,FALSE)*副本难度推算!$Y$7*Q220</f>
        <v>32841.943785904172</v>
      </c>
      <c r="L220" s="72">
        <f>VLOOKUP($C220,难度推算表,副本难度推算!$P$3,FALSE)*副本难度推算!$Z$7*$R220+VLOOKUP($C220,难度推算表,副本难度推算!$H$3,FALSE)</f>
        <v>605.86043406131057</v>
      </c>
      <c r="M220" s="72">
        <f>VLOOKUP($C220,难度推算表,副本难度推算!$G$3,FALSE)-VLOOKUP($C220,难度推算表,副本难度推算!$I$3,FALSE)*(2-副本难度推算!$AA$7)*(2-$S220)</f>
        <v>337.38373565217398</v>
      </c>
      <c r="N220" s="2">
        <f>VLOOKUP($C220,难度推算表,副本难度推算!$Q$3,FALSE)</f>
        <v>1622.616</v>
      </c>
      <c r="O220" s="2">
        <f>VLOOKUP($C220,难度推算表,副本难度推算!$R$3,FALSE)</f>
        <v>0</v>
      </c>
      <c r="Q220" s="140">
        <f t="shared" si="19"/>
        <v>1.3</v>
      </c>
      <c r="R220" s="140">
        <f t="shared" si="20"/>
        <v>0.9</v>
      </c>
      <c r="S220" s="140">
        <f t="shared" si="21"/>
        <v>0.8</v>
      </c>
      <c r="V220" s="140"/>
      <c r="W220" s="140"/>
      <c r="X220" s="140"/>
    </row>
    <row r="221" spans="1:24">
      <c r="A221" s="2" t="str">
        <f t="shared" si="23"/>
        <v>逃亡</v>
      </c>
      <c r="B221" s="2" t="str">
        <f>怪物并表!$R$14</f>
        <v>英雄之路</v>
      </c>
      <c r="C221" s="2">
        <v>23</v>
      </c>
      <c r="D221" s="28">
        <f t="shared" si="18"/>
        <v>1904</v>
      </c>
      <c r="E221" s="72">
        <f>VLOOKUP($C221,难度推算表,副本难度推算!$M$3,FALSE)*副本难度推算!$Y$5*Q221</f>
        <v>14820.527546618665</v>
      </c>
      <c r="F221" s="72">
        <f>VLOOKUP($C221,难度推算表,副本难度推算!$P$3,FALSE)*副本难度推算!$Z$5*$R221+VLOOKUP($C221,难度推算表,副本难度推算!$H$3,FALSE)</f>
        <v>626.27797793190211</v>
      </c>
      <c r="G221" s="72">
        <f>VLOOKUP($C221,难度推算表,副本难度推算!$G$3,FALSE)-VLOOKUP($C221,难度推算表,副本难度推算!$I$3,FALSE)*(2-副本难度推算!$AA$5)*(2-$S221)</f>
        <v>266.29066354515066</v>
      </c>
      <c r="H221" s="72">
        <f>VLOOKUP($C221,难度推算表,副本难度推算!$M$3,FALSE)*副本难度推算!$Y$6*Q221</f>
        <v>11856.422037294933</v>
      </c>
      <c r="I221" s="72">
        <f>VLOOKUP($C221,难度推算表,副本难度推算!$P$3,FALSE)*副本难度推算!$Z$6*$R221+VLOOKUP($C221,难度推算表,副本难度推算!$H$3,FALSE)</f>
        <v>599.15560194473187</v>
      </c>
      <c r="J221" s="72">
        <f>VLOOKUP($C221,难度推算表,副本难度推算!$G$3,FALSE)-VLOOKUP($C221,难度推算表,副本难度推算!$I$3,FALSE)*(2-副本难度推算!$AA$6)*(2-$S221)</f>
        <v>159.77439812709042</v>
      </c>
      <c r="K221" s="72">
        <f>VLOOKUP($C221,难度推算表,副本难度推算!$M$3,FALSE)*副本难度推算!$Y$7*Q221</f>
        <v>37051.318866546666</v>
      </c>
      <c r="L221" s="72">
        <f>VLOOKUP($C221,难度推算表,副本难度推算!$P$3,FALSE)*副本难度推算!$Z$7*$R221+VLOOKUP($C221,难度推算表,副本难度推算!$H$3,FALSE)</f>
        <v>680.52272990624238</v>
      </c>
      <c r="M221" s="72">
        <f>VLOOKUP($C221,难度推算表,副本难度推算!$G$3,FALSE)-VLOOKUP($C221,难度推算表,副本难度推算!$I$3,FALSE)*(2-副本难度推算!$AA$7)*(2-$S221)</f>
        <v>372.80692896321079</v>
      </c>
      <c r="N221" s="2">
        <f>VLOOKUP($C221,难度推算表,副本难度推算!$Q$3,FALSE)</f>
        <v>1680.8440000000001</v>
      </c>
      <c r="O221" s="2">
        <f>VLOOKUP($C221,难度推算表,副本难度推算!$R$3,FALSE)</f>
        <v>0</v>
      </c>
      <c r="Q221" s="140">
        <f t="shared" si="19"/>
        <v>1.3</v>
      </c>
      <c r="R221" s="140">
        <f t="shared" si="20"/>
        <v>0.9</v>
      </c>
      <c r="S221" s="140">
        <f t="shared" si="21"/>
        <v>0.8</v>
      </c>
      <c r="V221" s="140"/>
      <c r="W221" s="140"/>
      <c r="X221" s="140"/>
    </row>
    <row r="222" spans="1:24">
      <c r="A222" s="2" t="str">
        <f t="shared" si="23"/>
        <v>逃亡</v>
      </c>
      <c r="B222" s="2" t="str">
        <f>怪物并表!$R$14</f>
        <v>英雄之路</v>
      </c>
      <c r="C222" s="2">
        <v>24</v>
      </c>
      <c r="D222" s="28">
        <f t="shared" si="18"/>
        <v>1904</v>
      </c>
      <c r="E222" s="72">
        <f>VLOOKUP($C222,难度推算表,副本难度推算!$M$3,FALSE)*副本难度推算!$Y$5*Q222</f>
        <v>16620.357507434484</v>
      </c>
      <c r="F222" s="72">
        <f>VLOOKUP($C222,难度推算表,副本难度推算!$P$3,FALSE)*副本难度推算!$Z$5*$R222+VLOOKUP($C222,难度推算表,副本难度推算!$H$3,FALSE)</f>
        <v>698.5815189056982</v>
      </c>
      <c r="G222" s="72">
        <f>VLOOKUP($C222,难度推算表,副本难度推算!$G$3,FALSE)-VLOOKUP($C222,难度推算表,副本难度推算!$I$3,FALSE)*(2-副本难度推算!$AA$5)*(2-$S222)</f>
        <v>292.66999866220738</v>
      </c>
      <c r="H222" s="72">
        <f>VLOOKUP($C222,难度推算表,副本难度推算!$M$3,FALSE)*副本难度推算!$Y$6*Q222</f>
        <v>13296.286005947588</v>
      </c>
      <c r="I222" s="72">
        <f>VLOOKUP($C222,难度推算表,副本难度推算!$P$3,FALSE)*副本难度推算!$Z$6*$R222+VLOOKUP($C222,难度推算表,副本难度推算!$H$3,FALSE)</f>
        <v>667.74603350342272</v>
      </c>
      <c r="J222" s="72">
        <f>VLOOKUP($C222,难度推算表,副本难度推算!$G$3,FALSE)-VLOOKUP($C222,难度推算表,副本难度推算!$I$3,FALSE)*(2-副本难度推算!$AA$6)*(2-$S222)</f>
        <v>175.6019991973244</v>
      </c>
      <c r="K222" s="72">
        <f>VLOOKUP($C222,难度推算表,副本难度推算!$M$3,FALSE)*副本难度推算!$Y$7*Q222</f>
        <v>41550.893768586204</v>
      </c>
      <c r="L222" s="72">
        <f>VLOOKUP($C222,难度推算表,副本难度推算!$P$3,FALSE)*副本难度推算!$Z$7*$R222+VLOOKUP($C222,难度推算表,副本难度推算!$H$3,FALSE)</f>
        <v>760.25248971024917</v>
      </c>
      <c r="M222" s="72">
        <f>VLOOKUP($C222,难度推算表,副本难度推算!$G$3,FALSE)-VLOOKUP($C222,难度推算表,副本难度推算!$I$3,FALSE)*(2-副本难度推算!$AA$7)*(2-$S222)</f>
        <v>409.73799812709035</v>
      </c>
      <c r="N222" s="2">
        <f>VLOOKUP($C222,难度推算表,副本难度推算!$Q$3,FALSE)</f>
        <v>1739.0720000000001</v>
      </c>
      <c r="O222" s="2">
        <f>VLOOKUP($C222,难度推算表,副本难度推算!$R$3,FALSE)</f>
        <v>0</v>
      </c>
      <c r="Q222" s="140">
        <f t="shared" si="19"/>
        <v>1.3</v>
      </c>
      <c r="R222" s="140">
        <f t="shared" si="20"/>
        <v>0.9</v>
      </c>
      <c r="S222" s="140">
        <f t="shared" si="21"/>
        <v>0.8</v>
      </c>
      <c r="V222" s="140"/>
      <c r="W222" s="140"/>
      <c r="X222" s="140"/>
    </row>
    <row r="223" spans="1:24">
      <c r="A223" s="2" t="str">
        <f t="shared" si="23"/>
        <v>逃亡</v>
      </c>
      <c r="B223" s="2" t="str">
        <f>怪物并表!$R$14</f>
        <v>英雄之路</v>
      </c>
      <c r="C223" s="2">
        <v>25</v>
      </c>
      <c r="D223" s="28">
        <f t="shared" si="18"/>
        <v>1904</v>
      </c>
      <c r="E223" s="72">
        <f>VLOOKUP($C223,难度推算表,副本难度推算!$M$3,FALSE)*副本难度推算!$Y$5*Q223</f>
        <v>18539.362246023906</v>
      </c>
      <c r="F223" s="72">
        <f>VLOOKUP($C223,难度推算表,副本难度推算!$P$3,FALSE)*副本难度推算!$Z$5*$R223+VLOOKUP($C223,难度推算表,副本难度推算!$H$3,FALSE)</f>
        <v>775.50225171527677</v>
      </c>
      <c r="G223" s="72">
        <f>VLOOKUP($C223,难度推算表,副本难度推算!$G$3,FALSE)-VLOOKUP($C223,难度推算表,副本难度推算!$I$3,FALSE)*(2-副本难度推算!$AA$5)*(2-$S223)</f>
        <v>320.12638795986629</v>
      </c>
      <c r="H223" s="72">
        <f>VLOOKUP($C223,难度推算表,副本难度推算!$M$3,FALSE)*副本难度推算!$Y$6*Q223</f>
        <v>14831.489796819125</v>
      </c>
      <c r="I223" s="72">
        <f>VLOOKUP($C223,难度推算表,副本难度推算!$P$3,FALSE)*副本难度推算!$Z$6*$R223+VLOOKUP($C223,难度推算表,副本难度推算!$H$3,FALSE)</f>
        <v>740.63554493839797</v>
      </c>
      <c r="J223" s="72">
        <f>VLOOKUP($C223,难度推算表,副本难度推算!$G$3,FALSE)-VLOOKUP($C223,难度推算表,副本难度推算!$I$3,FALSE)*(2-副本难度推算!$AA$6)*(2-$S223)</f>
        <v>192.07583277591971</v>
      </c>
      <c r="K223" s="72">
        <f>VLOOKUP($C223,难度推算表,副本难度推算!$M$3,FALSE)*副本难度推算!$Y$7*Q223</f>
        <v>46348.405615059775</v>
      </c>
      <c r="L223" s="72">
        <f>VLOOKUP($C223,难度推算表,副本难度推算!$P$3,FALSE)*副本难度推算!$Z$7*$R223+VLOOKUP($C223,难度推算表,副本难度推算!$H$3,FALSE)</f>
        <v>845.23566526903437</v>
      </c>
      <c r="M223" s="72">
        <f>VLOOKUP($C223,难度推算表,副本难度推算!$G$3,FALSE)-VLOOKUP($C223,难度推算表,副本难度推算!$I$3,FALSE)*(2-副本难度推算!$AA$7)*(2-$S223)</f>
        <v>448.17694314381288</v>
      </c>
      <c r="N223" s="2">
        <f>VLOOKUP($C223,难度推算表,副本难度推算!$Q$3,FALSE)</f>
        <v>1797.3000000000002</v>
      </c>
      <c r="O223" s="2">
        <f>VLOOKUP($C223,难度推算表,副本难度推算!$R$3,FALSE)</f>
        <v>0</v>
      </c>
      <c r="Q223" s="140">
        <f t="shared" si="19"/>
        <v>1.3</v>
      </c>
      <c r="R223" s="140">
        <f t="shared" si="20"/>
        <v>0.9</v>
      </c>
      <c r="S223" s="140">
        <f t="shared" si="21"/>
        <v>0.8</v>
      </c>
      <c r="V223" s="140"/>
      <c r="W223" s="140"/>
      <c r="X223" s="140"/>
    </row>
    <row r="224" spans="1:24">
      <c r="A224" s="2" t="str">
        <f t="shared" si="23"/>
        <v>逃亡</v>
      </c>
      <c r="B224" s="2" t="str">
        <f>怪物并表!$R$14</f>
        <v>英雄之路</v>
      </c>
      <c r="C224" s="2">
        <v>26</v>
      </c>
      <c r="D224" s="28">
        <f t="shared" si="18"/>
        <v>1904</v>
      </c>
      <c r="E224" s="72">
        <f>VLOOKUP($C224,难度推算表,副本难度推算!$M$3,FALSE)*副本难度推算!$Y$5*Q224</f>
        <v>20841.746863922825</v>
      </c>
      <c r="F224" s="72">
        <f>VLOOKUP($C224,难度推算表,副本难度推算!$P$3,FALSE)*副本难度推算!$Z$5*$R224+VLOOKUP($C224,难度推算表,副本难度推算!$H$3,FALSE)</f>
        <v>868.0754053798604</v>
      </c>
      <c r="G224" s="72">
        <f>VLOOKUP($C224,难度推算表,副本难度推算!$G$3,FALSE)-VLOOKUP($C224,难度推算表,副本难度推算!$I$3,FALSE)*(2-副本难度推算!$AA$5)*(2-$S224)</f>
        <v>353.08351143812718</v>
      </c>
      <c r="H224" s="72">
        <f>VLOOKUP($C224,难度推算表,副本难度推算!$M$3,FALSE)*副本难度推算!$Y$6*Q224</f>
        <v>16673.397491138261</v>
      </c>
      <c r="I224" s="72">
        <f>VLOOKUP($C224,难度推算表,副本难度推算!$P$3,FALSE)*副本难度推算!$Z$6*$R224+VLOOKUP($C224,难度推算表,副本难度推算!$H$3,FALSE)</f>
        <v>828.34566636695797</v>
      </c>
      <c r="J224" s="72">
        <f>VLOOKUP($C224,难度推算表,副本难度推算!$G$3,FALSE)-VLOOKUP($C224,难度推算表,副本难度推算!$I$3,FALSE)*(2-副本难度推算!$AA$6)*(2-$S224)</f>
        <v>211.85010686287626</v>
      </c>
      <c r="K224" s="72">
        <f>VLOOKUP($C224,难度推算表,副本难度推算!$M$3,FALSE)*副本难度推算!$Y$7*Q224</f>
        <v>52104.367159807058</v>
      </c>
      <c r="L224" s="72">
        <f>VLOOKUP($C224,难度推算表,副本难度推算!$P$3,FALSE)*副本难度推算!$Z$7*$R224+VLOOKUP($C224,难度推算表,副本难度推算!$H$3,FALSE)</f>
        <v>947.53488340566525</v>
      </c>
      <c r="M224" s="72">
        <f>VLOOKUP($C224,难度推算表,副本难度推算!$G$3,FALSE)-VLOOKUP($C224,难度推算表,副本难度推算!$I$3,FALSE)*(2-副本难度推算!$AA$7)*(2-$S224)</f>
        <v>494.31691601337809</v>
      </c>
      <c r="N224" s="2">
        <f>VLOOKUP($C224,难度推算表,副本难度推算!$Q$3,FALSE)</f>
        <v>1855.528</v>
      </c>
      <c r="O224" s="2">
        <f>VLOOKUP($C224,难度推算表,副本难度推算!$R$3,FALSE)</f>
        <v>0</v>
      </c>
      <c r="Q224" s="140">
        <f t="shared" si="19"/>
        <v>1.3</v>
      </c>
      <c r="R224" s="140">
        <f t="shared" si="20"/>
        <v>0.9</v>
      </c>
      <c r="S224" s="140">
        <f t="shared" si="21"/>
        <v>0.8</v>
      </c>
      <c r="V224" s="140"/>
      <c r="W224" s="140"/>
      <c r="X224" s="140"/>
    </row>
    <row r="225" spans="1:24">
      <c r="A225" s="2" t="str">
        <f t="shared" si="23"/>
        <v>逃亡</v>
      </c>
      <c r="B225" s="2" t="str">
        <f>怪物并表!$R$14</f>
        <v>英雄之路</v>
      </c>
      <c r="C225" s="2">
        <v>27</v>
      </c>
      <c r="D225" s="28">
        <f t="shared" si="18"/>
        <v>1904</v>
      </c>
      <c r="E225" s="72">
        <f>VLOOKUP($C225,难度推算表,副本难度推算!$M$3,FALSE)*副本难度推算!$Y$5*Q225</f>
        <v>23294.039707467677</v>
      </c>
      <c r="F225" s="72">
        <f>VLOOKUP($C225,难度推算表,副本难度推算!$P$3,FALSE)*副本难度推算!$Z$5*$R225+VLOOKUP($C225,难度推算表,副本难度推算!$H$3,FALSE)</f>
        <v>966.5259269812766</v>
      </c>
      <c r="G225" s="72">
        <f>VLOOKUP($C225,难度推算表,副本难度推算!$G$3,FALSE)-VLOOKUP($C225,难度推算表,副本难度推算!$I$3,FALSE)*(2-副本难度推算!$AA$5)*(2-$S225)</f>
        <v>387.36344909699017</v>
      </c>
      <c r="H225" s="72">
        <f>VLOOKUP($C225,难度推算表,副本难度推算!$M$3,FALSE)*副本难度推算!$Y$6*Q225</f>
        <v>18635.231765974142</v>
      </c>
      <c r="I225" s="72">
        <f>VLOOKUP($C225,难度推算表,副本难度推算!$P$3,FALSE)*副本难度推算!$Z$6*$R225+VLOOKUP($C225,难度推算表,副本难度推算!$H$3,FALSE)</f>
        <v>921.5217941627476</v>
      </c>
      <c r="J225" s="72">
        <f>VLOOKUP($C225,难度推算表,副本难度推算!$G$3,FALSE)-VLOOKUP($C225,难度推算表,副本难度推算!$I$3,FALSE)*(2-副本难度推算!$AA$6)*(2-$S225)</f>
        <v>232.41806945819417</v>
      </c>
      <c r="K225" s="72">
        <f>VLOOKUP($C225,难度推算表,副本难度推算!$M$3,FALSE)*副本难度推算!$Y$7*Q225</f>
        <v>58235.099268669197</v>
      </c>
      <c r="L225" s="72">
        <f>VLOOKUP($C225,难度推算表,副本难度推算!$P$3,FALSE)*副本难度推算!$Z$7*$R225+VLOOKUP($C225,难度推算表,副本难度推算!$H$3,FALSE)</f>
        <v>1056.5341926183346</v>
      </c>
      <c r="M225" s="72">
        <f>VLOOKUP($C225,难度推算表,副本难度推算!$G$3,FALSE)-VLOOKUP($C225,难度推算表,副本难度推算!$I$3,FALSE)*(2-副本难度推算!$AA$7)*(2-$S225)</f>
        <v>542.30882873578616</v>
      </c>
      <c r="N225" s="2">
        <f>VLOOKUP($C225,难度推算表,副本难度推算!$Q$3,FALSE)</f>
        <v>1913.7559999999999</v>
      </c>
      <c r="O225" s="2">
        <f>VLOOKUP($C225,难度推算表,副本难度推算!$R$3,FALSE)</f>
        <v>0</v>
      </c>
      <c r="Q225" s="140">
        <f t="shared" si="19"/>
        <v>1.3</v>
      </c>
      <c r="R225" s="140">
        <f t="shared" si="20"/>
        <v>0.9</v>
      </c>
      <c r="S225" s="140">
        <f t="shared" si="21"/>
        <v>0.8</v>
      </c>
      <c r="V225" s="140"/>
      <c r="W225" s="140"/>
      <c r="X225" s="140"/>
    </row>
    <row r="226" spans="1:24">
      <c r="A226" s="2" t="str">
        <f t="shared" si="23"/>
        <v>逃亡</v>
      </c>
      <c r="B226" s="2" t="str">
        <f>怪物并表!$R$14</f>
        <v>英雄之路</v>
      </c>
      <c r="C226" s="2">
        <v>28</v>
      </c>
      <c r="D226" s="28">
        <f t="shared" si="18"/>
        <v>1904</v>
      </c>
      <c r="E226" s="72">
        <f>VLOOKUP($C226,难度推算表,副本难度推算!$M$3,FALSE)*副本难度推算!$Y$5*Q226</f>
        <v>25900.016499038076</v>
      </c>
      <c r="F226" s="72">
        <f>VLOOKUP($C226,难度推算表,副本难度推算!$P$3,FALSE)*副本难度推算!$Z$5*$R226+VLOOKUP($C226,难度推算表,副本难度推算!$H$3,FALSE)</f>
        <v>1071.056840151788</v>
      </c>
      <c r="G226" s="72">
        <f>VLOOKUP($C226,难度推算表,副本难度推算!$G$3,FALSE)-VLOOKUP($C226,难度推算表,副本难度推算!$I$3,FALSE)*(2-副本难度推算!$AA$5)*(2-$S226)</f>
        <v>422.96620093645492</v>
      </c>
      <c r="H226" s="72">
        <f>VLOOKUP($C226,难度推算表,副本难度推算!$M$3,FALSE)*副本难度推算!$Y$6*Q226</f>
        <v>20720.01319923046</v>
      </c>
      <c r="I226" s="72">
        <f>VLOOKUP($C226,难度推算表,副本难度推算!$P$3,FALSE)*副本难度推算!$Z$6*$R226+VLOOKUP($C226,难度推算表,副本难度推算!$H$3,FALSE)</f>
        <v>1020.3466495948034</v>
      </c>
      <c r="J226" s="72">
        <f>VLOOKUP($C226,难度推算表,副本难度推算!$G$3,FALSE)-VLOOKUP($C226,难度推算表,副本难度推算!$I$3,FALSE)*(2-副本难度推算!$AA$6)*(2-$S226)</f>
        <v>253.77972056187298</v>
      </c>
      <c r="K226" s="72">
        <f>VLOOKUP($C226,难度推算表,副本难度推算!$M$3,FALSE)*副本难度推算!$Y$7*Q226</f>
        <v>64750.041247595189</v>
      </c>
      <c r="L226" s="72">
        <f>VLOOKUP($C226,难度推算表,副本难度推算!$P$3,FALSE)*副本难度推算!$Z$7*$R226+VLOOKUP($C226,难度推算表,副本难度推算!$H$3,FALSE)</f>
        <v>1172.4772212657576</v>
      </c>
      <c r="M226" s="72">
        <f>VLOOKUP($C226,难度推算表,副本难度推算!$G$3,FALSE)-VLOOKUP($C226,难度推算表,副本难度推算!$I$3,FALSE)*(2-副本难度推算!$AA$7)*(2-$S226)</f>
        <v>592.15268131103699</v>
      </c>
      <c r="N226" s="2">
        <f>VLOOKUP($C226,难度推算表,副本难度推算!$Q$3,FALSE)</f>
        <v>1971.9840000000002</v>
      </c>
      <c r="O226" s="2">
        <f>VLOOKUP($C226,难度推算表,副本难度推算!$R$3,FALSE)</f>
        <v>0</v>
      </c>
      <c r="Q226" s="140">
        <f t="shared" si="19"/>
        <v>1.3</v>
      </c>
      <c r="R226" s="140">
        <f t="shared" si="20"/>
        <v>0.9</v>
      </c>
      <c r="S226" s="140">
        <f t="shared" si="21"/>
        <v>0.8</v>
      </c>
      <c r="V226" s="140"/>
      <c r="W226" s="140"/>
      <c r="X226" s="140"/>
    </row>
    <row r="227" spans="1:24">
      <c r="A227" s="2" t="str">
        <f t="shared" si="23"/>
        <v>逃亡</v>
      </c>
      <c r="B227" s="2" t="str">
        <f>怪物并表!$R$14</f>
        <v>英雄之路</v>
      </c>
      <c r="C227" s="2">
        <v>29</v>
      </c>
      <c r="D227" s="28">
        <f t="shared" si="18"/>
        <v>1904</v>
      </c>
      <c r="E227" s="72">
        <f>VLOOKUP($C227,难度推算表,副本难度推算!$M$3,FALSE)*副本难度推算!$Y$5*Q227</f>
        <v>28663.442020626062</v>
      </c>
      <c r="F227" s="72">
        <f>VLOOKUP($C227,难度推算表,副本难度推算!$P$3,FALSE)*副本难度推算!$Z$5*$R227+VLOOKUP($C227,难度推算表,副本难度推算!$H$3,FALSE)</f>
        <v>1181.8770675153971</v>
      </c>
      <c r="G227" s="72">
        <f>VLOOKUP($C227,难度推算表,副本难度推算!$G$3,FALSE)-VLOOKUP($C227,难度推算表,副本难度推算!$I$3,FALSE)*(2-副本难度推算!$AA$5)*(2-$S227)</f>
        <v>459.89176695652213</v>
      </c>
      <c r="H227" s="72">
        <f>VLOOKUP($C227,难度推算表,副本难度推算!$M$3,FALSE)*副本难度推算!$Y$6*Q227</f>
        <v>22930.753616500853</v>
      </c>
      <c r="I227" s="72">
        <f>VLOOKUP($C227,难度推算表,副本难度推算!$P$3,FALSE)*副本难度推算!$Z$6*$R227+VLOOKUP($C227,难度推算表,副本难度推算!$H$3,FALSE)</f>
        <v>1125.0082630247271</v>
      </c>
      <c r="J227" s="72">
        <f>VLOOKUP($C227,难度推算表,副本难度推算!$G$3,FALSE)-VLOOKUP($C227,难度推算表,副本难度推算!$I$3,FALSE)*(2-副本难度推算!$AA$6)*(2-$S227)</f>
        <v>275.93506017391337</v>
      </c>
      <c r="K227" s="72">
        <f>VLOOKUP($C227,难度推算表,副本难度推算!$M$3,FALSE)*副本难度推算!$Y$7*Q227</f>
        <v>71658.605051565159</v>
      </c>
      <c r="L227" s="72">
        <f>VLOOKUP($C227,难度推算表,副本难度推算!$P$3,FALSE)*副本难度推算!$Z$7*$R227+VLOOKUP($C227,难度推算表,副本难度推算!$H$3,FALSE)</f>
        <v>1295.6146764967373</v>
      </c>
      <c r="M227" s="72">
        <f>VLOOKUP($C227,难度推算表,副本难度推算!$G$3,FALSE)-VLOOKUP($C227,难度推算表,副本难度推算!$I$3,FALSE)*(2-副本难度推算!$AA$7)*(2-$S227)</f>
        <v>643.84847373913078</v>
      </c>
      <c r="N227" s="2">
        <f>VLOOKUP($C227,难度推算表,副本难度推算!$Q$3,FALSE)</f>
        <v>2030.212</v>
      </c>
      <c r="O227" s="2">
        <f>VLOOKUP($C227,难度推算表,副本难度推算!$R$3,FALSE)</f>
        <v>0</v>
      </c>
      <c r="Q227" s="140">
        <f t="shared" si="19"/>
        <v>1.3</v>
      </c>
      <c r="R227" s="140">
        <f t="shared" si="20"/>
        <v>0.9</v>
      </c>
      <c r="S227" s="140">
        <f t="shared" si="21"/>
        <v>0.8</v>
      </c>
      <c r="V227" s="140"/>
      <c r="W227" s="140"/>
      <c r="X227" s="140"/>
    </row>
    <row r="228" spans="1:24">
      <c r="A228" s="2" t="str">
        <f t="shared" si="23"/>
        <v>逃亡</v>
      </c>
      <c r="B228" s="2" t="str">
        <f>怪物并表!$R$14</f>
        <v>英雄之路</v>
      </c>
      <c r="C228" s="2">
        <v>30</v>
      </c>
      <c r="D228" s="28">
        <f t="shared" si="18"/>
        <v>1904</v>
      </c>
      <c r="E228" s="72">
        <f>VLOOKUP($C228,难度推算表,副本难度推算!$M$3,FALSE)*副本难度推算!$Y$5*Q228</f>
        <v>31982.921440924219</v>
      </c>
      <c r="F228" s="72">
        <f>VLOOKUP($C228,难度推算表,副本难度推算!$P$3,FALSE)*副本难度推算!$Z$5*$R228+VLOOKUP($C228,难度推算表,副本难度推算!$H$3,FALSE)</f>
        <v>1315.4416670859173</v>
      </c>
      <c r="G228" s="72">
        <f>VLOOKUP($C228,难度推算表,副本难度推算!$G$3,FALSE)-VLOOKUP($C228,难度推算表,副本难度推算!$I$3,FALSE)*(2-副本难度推算!$AA$5)*(2-$S228)</f>
        <v>504.36689899665589</v>
      </c>
      <c r="H228" s="72">
        <f>VLOOKUP($C228,难度推算表,副本难度推算!$M$3,FALSE)*副本难度推算!$Y$6*Q228</f>
        <v>25586.337152739379</v>
      </c>
      <c r="I228" s="72">
        <f>VLOOKUP($C228,难度推算表,副本难度推算!$P$3,FALSE)*副本难度推算!$Z$6*$R228+VLOOKUP($C228,难度推算表,副本难度推算!$H$3,FALSE)</f>
        <v>1251.1464202435463</v>
      </c>
      <c r="J228" s="72">
        <f>VLOOKUP($C228,难度推算表,副本难度推算!$G$3,FALSE)-VLOOKUP($C228,难度推算表,副本难度推算!$I$3,FALSE)*(2-副本难度推算!$AA$6)*(2-$S228)</f>
        <v>302.62013939799363</v>
      </c>
      <c r="K228" s="72">
        <f>VLOOKUP($C228,难度推算表,副本难度推算!$M$3,FALSE)*副本难度推算!$Y$7*Q228</f>
        <v>79957.303602310552</v>
      </c>
      <c r="L228" s="72">
        <f>VLOOKUP($C228,难度推算表,副本难度推算!$P$3,FALSE)*副本难度推算!$Z$7*$R228+VLOOKUP($C228,难度推算表,副本难度推算!$H$3,FALSE)</f>
        <v>1444.0321607706589</v>
      </c>
      <c r="M228" s="72">
        <f>VLOOKUP($C228,难度推算表,副本难度推算!$G$3,FALSE)-VLOOKUP($C228,难度推算表,副本难度推算!$I$3,FALSE)*(2-副本难度推算!$AA$7)*(2-$S228)</f>
        <v>706.11365859531804</v>
      </c>
      <c r="N228" s="2">
        <f>VLOOKUP($C228,难度推算表,副本难度推算!$Q$3,FALSE)</f>
        <v>2088.44</v>
      </c>
      <c r="O228" s="2">
        <f>VLOOKUP($C228,难度推算表,副本难度推算!$R$3,FALSE)</f>
        <v>0</v>
      </c>
      <c r="Q228" s="140">
        <f t="shared" si="19"/>
        <v>1.3</v>
      </c>
      <c r="R228" s="140">
        <f t="shared" si="20"/>
        <v>0.9</v>
      </c>
      <c r="S228" s="140">
        <f t="shared" si="21"/>
        <v>0.8</v>
      </c>
      <c r="V228" s="140"/>
      <c r="W228" s="140"/>
      <c r="X228" s="140"/>
    </row>
    <row r="229" spans="1:24">
      <c r="A229" s="2" t="str">
        <f t="shared" si="23"/>
        <v>逃亡</v>
      </c>
      <c r="B229" s="2" t="str">
        <f>怪物并表!$R$14</f>
        <v>英雄之路</v>
      </c>
      <c r="C229" s="2">
        <v>31</v>
      </c>
      <c r="D229" s="28">
        <f t="shared" si="18"/>
        <v>1904</v>
      </c>
      <c r="E229" s="72">
        <f>VLOOKUP($C229,难度推算表,副本难度推算!$M$3,FALSE)*副本难度推算!$Y$5*Q229</f>
        <v>35607.810765514885</v>
      </c>
      <c r="F229" s="72">
        <f>VLOOKUP($C229,难度推算表,副本难度推算!$P$3,FALSE)*副本难度推算!$Z$5*$R229+VLOOKUP($C229,难度推算表,副本难度推算!$H$3,FALSE)</f>
        <v>1459.9105504311335</v>
      </c>
      <c r="G229" s="72">
        <f>VLOOKUP($C229,难度推算表,副本难度推算!$G$3,FALSE)-VLOOKUP($C229,难度推算表,副本难度推算!$I$3,FALSE)*(2-副本难度推算!$AA$5)*(2-$S229)</f>
        <v>550.27542605538474</v>
      </c>
      <c r="H229" s="72">
        <f>VLOOKUP($C229,难度推算表,副本难度推算!$M$3,FALSE)*副本难度推算!$Y$6*Q229</f>
        <v>28486.248612411906</v>
      </c>
      <c r="I229" s="72">
        <f>VLOOKUP($C229,难度推算表,副本难度推算!$P$3,FALSE)*副本难度推算!$Z$6*$R229+VLOOKUP($C229,难度推算表,副本难度推算!$H$3,FALSE)</f>
        <v>1388.2810394495586</v>
      </c>
      <c r="J229" s="72">
        <f>VLOOKUP($C229,难度推算表,副本难度推算!$G$3,FALSE)-VLOOKUP($C229,难度推算表,副本难度推算!$I$3,FALSE)*(2-副本难度推算!$AA$6)*(2-$S229)</f>
        <v>325.7035629895388</v>
      </c>
      <c r="K229" s="72">
        <f>VLOOKUP($C229,难度推算表,副本难度推算!$M$3,FALSE)*副本难度推算!$Y$7*Q229</f>
        <v>89019.526913787195</v>
      </c>
      <c r="L229" s="72">
        <f>VLOOKUP($C229,难度推算表,副本难度推算!$P$3,FALSE)*副本难度推算!$Z$7*$R229+VLOOKUP($C229,难度推算表,副本难度推算!$H$3,FALSE)</f>
        <v>1603.1695723942833</v>
      </c>
      <c r="M229" s="72">
        <f>VLOOKUP($C229,难度推算表,副本难度推算!$G$3,FALSE)-VLOOKUP($C229,难度推算表,副本难度推算!$I$3,FALSE)*(2-副本难度推算!$AA$7)*(2-$S229)</f>
        <v>774.84728912123103</v>
      </c>
      <c r="N229" s="2">
        <f>VLOOKUP($C229,难度推算表,副本难度推算!$Q$3,FALSE)</f>
        <v>2146.6680000000001</v>
      </c>
      <c r="O229" s="2">
        <f>VLOOKUP($C229,难度推算表,副本难度推算!$R$3,FALSE)</f>
        <v>0</v>
      </c>
      <c r="Q229" s="140">
        <f t="shared" si="19"/>
        <v>1.2869999999999999</v>
      </c>
      <c r="R229" s="140">
        <f t="shared" si="20"/>
        <v>0.89100000000000001</v>
      </c>
      <c r="S229" s="140">
        <f t="shared" si="21"/>
        <v>0.79200000000000004</v>
      </c>
      <c r="V229" s="140"/>
      <c r="W229" s="140"/>
      <c r="X229" s="140"/>
    </row>
    <row r="230" spans="1:24">
      <c r="A230" s="2" t="str">
        <f t="shared" si="23"/>
        <v>逃亡</v>
      </c>
      <c r="B230" s="2" t="str">
        <f>怪物并表!$R$14</f>
        <v>英雄之路</v>
      </c>
      <c r="C230" s="2">
        <v>32</v>
      </c>
      <c r="D230" s="28">
        <f t="shared" si="18"/>
        <v>1904</v>
      </c>
      <c r="E230" s="72">
        <f>VLOOKUP($C230,难度推算表,副本难度推算!$M$3,FALSE)*副本难度推算!$Y$5*Q230</f>
        <v>39481.915389439382</v>
      </c>
      <c r="F230" s="72">
        <f>VLOOKUP($C230,难度推算表,副本难度推算!$P$3,FALSE)*副本难度推算!$Z$5*$R230+VLOOKUP($C230,难度推算表,副本难度推算!$H$3,FALSE)</f>
        <v>1614.1126084319108</v>
      </c>
      <c r="G230" s="72">
        <f>VLOOKUP($C230,难度推算表,副本难度推算!$G$3,FALSE)-VLOOKUP($C230,难度推算表,副本难度推算!$I$3,FALSE)*(2-副本难度推算!$AA$5)*(2-$S230)</f>
        <v>598.0889005051506</v>
      </c>
      <c r="H230" s="72">
        <f>VLOOKUP($C230,难度推算表,副本难度推算!$M$3,FALSE)*副本难度推算!$Y$6*Q230</f>
        <v>31585.532311551506</v>
      </c>
      <c r="I230" s="72">
        <f>VLOOKUP($C230,难度推算表,副本难度推算!$P$3,FALSE)*副本难度推算!$Z$6*$R230+VLOOKUP($C230,难度推算表,副本难度推算!$H$3,FALSE)</f>
        <v>1534.6313339592882</v>
      </c>
      <c r="J230" s="72">
        <f>VLOOKUP($C230,难度推算表,副本难度推算!$G$3,FALSE)-VLOOKUP($C230,难度推算表,副本难度推算!$I$3,FALSE)*(2-副本难度推算!$AA$6)*(2-$S230)</f>
        <v>349.0217419386222</v>
      </c>
      <c r="K230" s="72">
        <f>VLOOKUP($C230,难度推算表,副本难度推算!$M$3,FALSE)*副本难度推算!$Y$7*Q230</f>
        <v>98704.788473598455</v>
      </c>
      <c r="L230" s="72">
        <f>VLOOKUP($C230,难度推算表,副本难度推算!$P$3,FALSE)*副本难度推算!$Z$7*$R230+VLOOKUP($C230,难度推算表,副本难度推算!$H$3,FALSE)</f>
        <v>1773.0751573771554</v>
      </c>
      <c r="M230" s="72">
        <f>VLOOKUP($C230,难度推算表,副本难度推算!$G$3,FALSE)-VLOOKUP($C230,难度推算表,副本难度推算!$I$3,FALSE)*(2-副本难度推算!$AA$7)*(2-$S230)</f>
        <v>847.15605907167912</v>
      </c>
      <c r="N230" s="2">
        <f>VLOOKUP($C230,难度推算表,副本难度推算!$Q$3,FALSE)</f>
        <v>2204.8960000000002</v>
      </c>
      <c r="O230" s="2">
        <f>VLOOKUP($C230,难度推算表,副本难度推算!$R$3,FALSE)</f>
        <v>0</v>
      </c>
      <c r="Q230" s="140">
        <f t="shared" si="19"/>
        <v>1.274</v>
      </c>
      <c r="R230" s="140">
        <f t="shared" si="20"/>
        <v>0.88200000000000001</v>
      </c>
      <c r="S230" s="140">
        <f t="shared" si="21"/>
        <v>0.78400000000000003</v>
      </c>
      <c r="V230" s="140"/>
      <c r="W230" s="140"/>
      <c r="X230" s="140"/>
    </row>
    <row r="231" spans="1:24">
      <c r="A231" s="2" t="str">
        <f t="shared" si="23"/>
        <v>逃亡</v>
      </c>
      <c r="B231" s="2" t="str">
        <f>怪物并表!$R$14</f>
        <v>英雄之路</v>
      </c>
      <c r="C231" s="2">
        <v>33</v>
      </c>
      <c r="D231" s="28">
        <f t="shared" si="18"/>
        <v>1904</v>
      </c>
      <c r="E231" s="72">
        <f>VLOOKUP($C231,难度推算表,副本难度推算!$M$3,FALSE)*副本难度推算!$Y$5*Q231</f>
        <v>43596.800651520382</v>
      </c>
      <c r="F231" s="72">
        <f>VLOOKUP($C231,难度推算表,副本难度推算!$P$3,FALSE)*副本难度推算!$Z$5*$R231+VLOOKUP($C231,难度推算表,副本难度推算!$H$3,FALSE)</f>
        <v>1777.7373015555841</v>
      </c>
      <c r="G231" s="72">
        <f>VLOOKUP($C231,难度推算表,副本难度推算!$G$3,FALSE)-VLOOKUP($C231,难度推算表,副本难度推算!$I$3,FALSE)*(2-副本难度推算!$AA$5)*(2-$S231)</f>
        <v>647.54781172976641</v>
      </c>
      <c r="H231" s="72">
        <f>VLOOKUP($C231,难度推算表,副本难度推算!$M$3,FALSE)*副本难度推算!$Y$6*Q231</f>
        <v>34877.440521216311</v>
      </c>
      <c r="I231" s="72">
        <f>VLOOKUP($C231,难度推算表,副本难度推算!$P$3,FALSE)*副本难度推算!$Z$6*$R231+VLOOKUP($C231,难度推算表,副本难度推算!$H$3,FALSE)</f>
        <v>1689.9007674736044</v>
      </c>
      <c r="J231" s="72">
        <f>VLOOKUP($C231,难度推算表,副本难度推算!$G$3,FALSE)-VLOOKUP($C231,难度推算表,副本难度推算!$I$3,FALSE)*(2-副本难度推算!$AA$6)*(2-$S231)</f>
        <v>372.33999174461587</v>
      </c>
      <c r="K231" s="72">
        <f>VLOOKUP($C231,难度推算表,副本难度推算!$M$3,FALSE)*副本难度推算!$Y$7*Q231</f>
        <v>108992.00162880096</v>
      </c>
      <c r="L231" s="72">
        <f>VLOOKUP($C231,难度推算表,副本难度推算!$P$3,FALSE)*副本难度推算!$Z$7*$R231+VLOOKUP($C231,难度推算表,副本难度推算!$H$3,FALSE)</f>
        <v>1953.4103697195435</v>
      </c>
      <c r="M231" s="72">
        <f>VLOOKUP($C231,难度推算表,副本难度推算!$G$3,FALSE)-VLOOKUP($C231,难度推算表,副本难度推算!$I$3,FALSE)*(2-副本难度推算!$AA$7)*(2-$S231)</f>
        <v>922.75563171491694</v>
      </c>
      <c r="N231" s="2">
        <f>VLOOKUP($C231,难度推算表,副本难度推算!$Q$3,FALSE)</f>
        <v>2263.1239999999998</v>
      </c>
      <c r="O231" s="2">
        <f>VLOOKUP($C231,难度推算表,副本难度推算!$R$3,FALSE)</f>
        <v>0</v>
      </c>
      <c r="Q231" s="140">
        <f t="shared" si="19"/>
        <v>1.2609999999999999</v>
      </c>
      <c r="R231" s="140">
        <f t="shared" si="20"/>
        <v>0.873</v>
      </c>
      <c r="S231" s="140">
        <f t="shared" si="21"/>
        <v>0.77600000000000002</v>
      </c>
      <c r="V231" s="140"/>
      <c r="W231" s="140"/>
      <c r="X231" s="140"/>
    </row>
    <row r="232" spans="1:24">
      <c r="A232" s="2" t="str">
        <f t="shared" si="23"/>
        <v>逃亡</v>
      </c>
      <c r="B232" s="2" t="str">
        <f>怪物并表!$R$14</f>
        <v>英雄之路</v>
      </c>
      <c r="C232" s="2">
        <v>34</v>
      </c>
      <c r="D232" s="28">
        <f t="shared" si="18"/>
        <v>1904</v>
      </c>
      <c r="E232" s="72">
        <f>VLOOKUP($C232,难度推算表,副本难度推算!$M$3,FALSE)*副本难度推算!$Y$5*Q232</f>
        <v>47956.567793617745</v>
      </c>
      <c r="F232" s="72">
        <f>VLOOKUP($C232,难度推算表,副本难度推算!$P$3,FALSE)*副本难度推算!$Z$5*$R232+VLOOKUP($C232,难度推算表,副本难度推算!$H$3,FALSE)</f>
        <v>1950.9995193775903</v>
      </c>
      <c r="G232" s="72">
        <f>VLOOKUP($C232,难度推算表,副本难度推算!$G$3,FALSE)-VLOOKUP($C232,难度推算表,副本难度推算!$I$3,FALSE)*(2-副本难度推算!$AA$5)*(2-$S232)</f>
        <v>698.59150279224104</v>
      </c>
      <c r="H232" s="72">
        <f>VLOOKUP($C232,难度推算表,副本难度推算!$M$3,FALSE)*副本难度推算!$Y$6*Q232</f>
        <v>38365.254234894201</v>
      </c>
      <c r="I232" s="72">
        <f>VLOOKUP($C232,难度推算表,副本难度推算!$P$3,FALSE)*副本难度推算!$Z$6*$R232+VLOOKUP($C232,难度推算表,副本难度推算!$H$3,FALSE)</f>
        <v>1854.2927368471892</v>
      </c>
      <c r="J232" s="72">
        <f>VLOOKUP($C232,难度推算表,副本难度推算!$G$3,FALSE)-VLOOKUP($C232,难度推算表,副本难度推算!$I$3,FALSE)*(2-副本难度推算!$AA$6)*(2-$S232)</f>
        <v>395.54054101757879</v>
      </c>
      <c r="K232" s="72">
        <f>VLOOKUP($C232,难度推算表,副本难度推算!$M$3,FALSE)*副本难度推算!$Y$7*Q232</f>
        <v>119891.41948404437</v>
      </c>
      <c r="L232" s="72">
        <f>VLOOKUP($C232,难度推算表,副本难度推算!$P$3,FALSE)*副本难度推算!$Z$7*$R232+VLOOKUP($C232,难度推算表,副本难度推算!$H$3,FALSE)</f>
        <v>2144.4130844383926</v>
      </c>
      <c r="M232" s="72">
        <f>VLOOKUP($C232,难度推算表,副本难度推算!$G$3,FALSE)-VLOOKUP($C232,难度推算表,副本难度推算!$I$3,FALSE)*(2-副本难度推算!$AA$7)*(2-$S232)</f>
        <v>1001.6424645669033</v>
      </c>
      <c r="N232" s="2">
        <f>VLOOKUP($C232,难度推算表,副本难度推算!$Q$3,FALSE)</f>
        <v>2321.3520000000003</v>
      </c>
      <c r="O232" s="2">
        <f>VLOOKUP($C232,难度推算表,副本难度推算!$R$3,FALSE)</f>
        <v>0</v>
      </c>
      <c r="Q232" s="140">
        <f t="shared" si="19"/>
        <v>1.248</v>
      </c>
      <c r="R232" s="140">
        <f t="shared" si="20"/>
        <v>0.86399999999999999</v>
      </c>
      <c r="S232" s="140">
        <f t="shared" si="21"/>
        <v>0.76800000000000002</v>
      </c>
      <c r="V232" s="140"/>
      <c r="W232" s="140"/>
      <c r="X232" s="140"/>
    </row>
    <row r="233" spans="1:24">
      <c r="A233" s="2" t="str">
        <f t="shared" si="23"/>
        <v>逃亡</v>
      </c>
      <c r="B233" s="2" t="str">
        <f>怪物并表!$R$14</f>
        <v>英雄之路</v>
      </c>
      <c r="C233" s="2">
        <v>35</v>
      </c>
      <c r="D233" s="28">
        <f t="shared" si="18"/>
        <v>1904</v>
      </c>
      <c r="E233" s="72">
        <f>VLOOKUP($C233,难度推算表,副本难度推算!$M$3,FALSE)*副本难度推算!$Y$5*Q233</f>
        <v>52564.977507273776</v>
      </c>
      <c r="F233" s="72">
        <f>VLOOKUP($C233,难度推算表,副本难度推算!$P$3,FALSE)*副本难度推算!$Z$5*$R233+VLOOKUP($C233,难度推算表,副本难度推算!$H$3,FALSE)</f>
        <v>2134.1103830077054</v>
      </c>
      <c r="G233" s="72">
        <f>VLOOKUP($C233,难度推算表,副本难度推算!$G$3,FALSE)-VLOOKUP($C233,难度推算表,副本难度推算!$I$3,FALSE)*(2-副本难度推算!$AA$5)*(2-$S233)</f>
        <v>751.15531826086999</v>
      </c>
      <c r="H233" s="72">
        <f>VLOOKUP($C233,难度推算表,副本难度推算!$M$3,FALSE)*副本难度推算!$Y$6*Q233</f>
        <v>42051.982005819023</v>
      </c>
      <c r="I233" s="72">
        <f>VLOOKUP($C233,难度推算表,副本难度推算!$P$3,FALSE)*副本难度推算!$Z$6*$R233+VLOOKUP($C233,难度推算表,副本难度推算!$H$3,FALSE)</f>
        <v>2028.0072473156306</v>
      </c>
      <c r="J233" s="72">
        <f>VLOOKUP($C233,难度推算表,副本难度推算!$G$3,FALSE)-VLOOKUP($C233,难度推算表,副本难度推算!$I$3,FALSE)*(2-副本难度推算!$AA$6)*(2-$S233)</f>
        <v>418.50082017391355</v>
      </c>
      <c r="K233" s="72">
        <f>VLOOKUP($C233,难度推算表,副本难度推算!$M$3,FALSE)*副本难度推算!$Y$7*Q233</f>
        <v>131412.44376818446</v>
      </c>
      <c r="L233" s="72">
        <f>VLOOKUP($C233,难度推算表,副本难度推算!$P$3,FALSE)*副本难度推算!$Z$7*$R233+VLOOKUP($C233,难度推算表,副本难度推算!$H$3,FALSE)</f>
        <v>2346.3166543918551</v>
      </c>
      <c r="M233" s="72">
        <f>VLOOKUP($C233,难度推算表,副本难度推算!$G$3,FALSE)-VLOOKUP($C233,难度推算表,副本难度推算!$I$3,FALSE)*(2-副本难度推算!$AA$7)*(2-$S233)</f>
        <v>1083.8098163478264</v>
      </c>
      <c r="N233" s="2">
        <f>VLOOKUP($C233,难度推算表,副本难度推算!$Q$3,FALSE)</f>
        <v>2379.58</v>
      </c>
      <c r="O233" s="2">
        <f>VLOOKUP($C233,难度推算表,副本难度推算!$R$3,FALSE)</f>
        <v>0</v>
      </c>
      <c r="Q233" s="140">
        <f t="shared" si="19"/>
        <v>1.2349999999999999</v>
      </c>
      <c r="R233" s="140">
        <f t="shared" si="20"/>
        <v>0.85499999999999998</v>
      </c>
      <c r="S233" s="140">
        <f t="shared" si="21"/>
        <v>0.76</v>
      </c>
      <c r="V233" s="140"/>
      <c r="W233" s="140"/>
      <c r="X233" s="140"/>
    </row>
    <row r="234" spans="1:24">
      <c r="A234" s="2" t="str">
        <f t="shared" si="23"/>
        <v>逃亡</v>
      </c>
      <c r="B234" s="2" t="str">
        <f>怪物并表!$R$14</f>
        <v>英雄之路</v>
      </c>
      <c r="C234" s="2">
        <v>36</v>
      </c>
      <c r="D234" s="28">
        <f t="shared" si="18"/>
        <v>1904</v>
      </c>
      <c r="E234" s="72">
        <f>VLOOKUP($C234,难度推算表,副本难度推算!$M$3,FALSE)*副本难度推算!$Y$5*Q234</f>
        <v>57425.436708708941</v>
      </c>
      <c r="F234" s="72">
        <f>VLOOKUP($C234,难度推算表,副本难度推算!$P$3,FALSE)*副本难度推算!$Z$5*$R234+VLOOKUP($C234,难度推算表,副本难度推算!$H$3,FALSE)</f>
        <v>2327.2771008885406</v>
      </c>
      <c r="G234" s="72">
        <f>VLOOKUP($C234,难度推算表,副本难度推算!$G$3,FALSE)-VLOOKUP($C234,难度推算表,副本难度推算!$I$3,FALSE)*(2-副本难度推算!$AA$5)*(2-$S234)</f>
        <v>805.17060420923099</v>
      </c>
      <c r="H234" s="72">
        <f>VLOOKUP($C234,难度推算表,副本难度推算!$M$3,FALSE)*副本难度推算!$Y$6*Q234</f>
        <v>45940.349366967152</v>
      </c>
      <c r="I234" s="72">
        <f>VLOOKUP($C234,难度推算表,副本难度推算!$P$3,FALSE)*副本难度推算!$Z$6*$R234+VLOOKUP($C234,难度推算表,副本难度推算!$H$3,FALSE)</f>
        <v>2211.2407827140678</v>
      </c>
      <c r="J234" s="72">
        <f>VLOOKUP($C234,难度推算表,副本难度推算!$G$3,FALSE)-VLOOKUP($C234,难度推算表,副本难度推算!$I$3,FALSE)*(2-副本难度推算!$AA$6)*(2-$S234)</f>
        <v>441.09346143636139</v>
      </c>
      <c r="K234" s="72">
        <f>VLOOKUP($C234,难度推算表,副本难度推算!$M$3,FALSE)*副本难度推算!$Y$7*Q234</f>
        <v>143563.59177177236</v>
      </c>
      <c r="L234" s="72">
        <f>VLOOKUP($C234,难度推算表,副本难度推算!$P$3,FALSE)*副本难度推算!$Z$7*$R234+VLOOKUP($C234,难度推算表,副本难度推算!$H$3,FALSE)</f>
        <v>2559.3497372374859</v>
      </c>
      <c r="M234" s="72">
        <f>VLOOKUP($C234,难度推算表,副本难度推算!$G$3,FALSE)-VLOOKUP($C234,难度推算表,副本难度推算!$I$3,FALSE)*(2-副本难度推算!$AA$7)*(2-$S234)</f>
        <v>1169.2477469821006</v>
      </c>
      <c r="N234" s="2">
        <f>VLOOKUP($C234,难度推算表,副本难度推算!$Q$3,FALSE)</f>
        <v>2437.808</v>
      </c>
      <c r="O234" s="2">
        <f>VLOOKUP($C234,难度推算表,副本难度推算!$R$3,FALSE)</f>
        <v>0</v>
      </c>
      <c r="Q234" s="140">
        <f t="shared" si="19"/>
        <v>1.222</v>
      </c>
      <c r="R234" s="140">
        <f t="shared" si="20"/>
        <v>0.84599999999999997</v>
      </c>
      <c r="S234" s="140">
        <f t="shared" si="21"/>
        <v>0.752</v>
      </c>
      <c r="V234" s="140"/>
      <c r="W234" s="140"/>
      <c r="X234" s="140"/>
    </row>
    <row r="235" spans="1:24">
      <c r="A235" s="2" t="str">
        <f t="shared" si="23"/>
        <v>逃亡</v>
      </c>
      <c r="B235" s="2" t="str">
        <f>怪物并表!$R$14</f>
        <v>英雄之路</v>
      </c>
      <c r="C235" s="2">
        <v>37</v>
      </c>
      <c r="D235" s="28">
        <f t="shared" si="18"/>
        <v>1904</v>
      </c>
      <c r="E235" s="72">
        <f>VLOOKUP($C235,难度推算表,副本难度推算!$M$3,FALSE)*副本难度推算!$Y$5*Q235</f>
        <v>62540.985284789342</v>
      </c>
      <c r="F235" s="72">
        <f>VLOOKUP($C235,难度推算表,副本难度推算!$P$3,FALSE)*副本难度推算!$Z$5*$R235+VLOOKUP($C235,难度推算表,副本难度推算!$H$3,FALSE)</f>
        <v>2556.0061475676844</v>
      </c>
      <c r="G235" s="72">
        <f>VLOOKUP($C235,难度推算表,副本难度推算!$G$3,FALSE)-VLOOKUP($C235,难度推算表,副本难度推算!$I$3,FALSE)*(2-副本难度推算!$AA$5)*(2-$S235)</f>
        <v>860.56470821618791</v>
      </c>
      <c r="H235" s="72">
        <f>VLOOKUP($C235,难度推算表,副本难度推算!$M$3,FALSE)*副本难度推算!$Y$6*Q235</f>
        <v>50032.788227831479</v>
      </c>
      <c r="I235" s="72">
        <f>VLOOKUP($C235,难度推算表,副本难度推算!$P$3,FALSE)*副本难度推算!$Z$6*$R235+VLOOKUP($C235,难度推算表,副本难度推算!$H$3,FALSE)</f>
        <v>2426.9591663721203</v>
      </c>
      <c r="J235" s="72">
        <f>VLOOKUP($C235,难度推算表,副本难度推算!$G$3,FALSE)-VLOOKUP($C235,难度推算表,副本难度推算!$I$3,FALSE)*(2-副本难度推算!$AA$6)*(2-$S235)</f>
        <v>463.18629883400763</v>
      </c>
      <c r="K235" s="72">
        <f>VLOOKUP($C235,难度推算表,副本难度推算!$M$3,FALSE)*副本难度推算!$Y$7*Q235</f>
        <v>156352.46321197337</v>
      </c>
      <c r="L235" s="72">
        <f>VLOOKUP($C235,难度推算表,副本难度推算!$P$3,FALSE)*副本难度推算!$Z$7*$R235+VLOOKUP($C235,难度推算表,副本难度推算!$H$3,FALSE)</f>
        <v>2814.1001099588129</v>
      </c>
      <c r="M235" s="72">
        <f>VLOOKUP($C235,难度推算表,副本难度推算!$G$3,FALSE)-VLOOKUP($C235,难度推算表,副本难度推算!$I$3,FALSE)*(2-副本难度推算!$AA$7)*(2-$S235)</f>
        <v>1257.9431175983682</v>
      </c>
      <c r="N235" s="2">
        <f>VLOOKUP($C235,难度推算表,副本难度推算!$Q$3,FALSE)</f>
        <v>2496.0360000000001</v>
      </c>
      <c r="O235" s="2">
        <f>VLOOKUP($C235,难度推算表,副本难度推算!$R$3,FALSE)</f>
        <v>0</v>
      </c>
      <c r="Q235" s="140">
        <f t="shared" si="19"/>
        <v>1.2090000000000001</v>
      </c>
      <c r="R235" s="140">
        <f t="shared" si="20"/>
        <v>0.83700000000000008</v>
      </c>
      <c r="S235" s="140">
        <f t="shared" si="21"/>
        <v>0.74400000000000011</v>
      </c>
      <c r="V235" s="140"/>
      <c r="W235" s="140"/>
      <c r="X235" s="140"/>
    </row>
    <row r="236" spans="1:24">
      <c r="A236" s="2" t="str">
        <f t="shared" si="23"/>
        <v>逃亡</v>
      </c>
      <c r="B236" s="2" t="str">
        <f>怪物并表!$R$14</f>
        <v>英雄之路</v>
      </c>
      <c r="C236" s="2">
        <v>38</v>
      </c>
      <c r="D236" s="28">
        <f t="shared" si="18"/>
        <v>1904</v>
      </c>
      <c r="E236" s="72">
        <f>VLOOKUP($C236,难度推算表,副本难度推算!$M$3,FALSE)*副本难度推算!$Y$5*Q236</f>
        <v>67914.282816354127</v>
      </c>
      <c r="F236" s="72">
        <f>VLOOKUP($C236,难度推算表,副本难度推算!$P$3,FALSE)*副本难度推算!$Z$5*$R236+VLOOKUP($C236,难度推算表,副本难度推算!$H$3,FALSE)</f>
        <v>2799.6080663450243</v>
      </c>
      <c r="G236" s="72">
        <f>VLOOKUP($C236,难度推算表,副本难度推算!$G$3,FALSE)-VLOOKUP($C236,难度推算表,副本难度推算!$I$3,FALSE)*(2-副本难度推算!$AA$5)*(2-$S236)</f>
        <v>917.26097936588712</v>
      </c>
      <c r="H236" s="72">
        <f>VLOOKUP($C236,难度推算表,副本难度推算!$M$3,FALSE)*副本难度推算!$Y$6*Q236</f>
        <v>54331.4262530833</v>
      </c>
      <c r="I236" s="72">
        <f>VLOOKUP($C236,难度推算表,副本难度推算!$P$3,FALSE)*副本难度推算!$Z$6*$R236+VLOOKUP($C236,难度推算表,副本难度推算!$H$3,FALSE)</f>
        <v>2656.5518834964751</v>
      </c>
      <c r="J236" s="72">
        <f>VLOOKUP($C236,难度推算表,副本难度推算!$G$3,FALSE)-VLOOKUP($C236,难度推算表,副本难度推算!$I$3,FALSE)*(2-副本难度推算!$AA$6)*(2-$S236)</f>
        <v>484.64236820227507</v>
      </c>
      <c r="K236" s="72">
        <f>VLOOKUP($C236,难度推算表,副本难度推算!$M$3,FALSE)*副本难度推算!$Y$7*Q236</f>
        <v>169785.70704088532</v>
      </c>
      <c r="L236" s="72">
        <f>VLOOKUP($C236,难度推算表,副本难度推算!$P$3,FALSE)*副本难度推算!$Z$7*$R236+VLOOKUP($C236,难度推算表,副本难度推算!$H$3,FALSE)</f>
        <v>3085.7204320421229</v>
      </c>
      <c r="M236" s="72">
        <f>VLOOKUP($C236,难度推算表,副本难度推算!$G$3,FALSE)-VLOOKUP($C236,难度推算表,副本难度推算!$I$3,FALSE)*(2-副本难度推算!$AA$7)*(2-$S236)</f>
        <v>1349.8795905294987</v>
      </c>
      <c r="N236" s="2">
        <f>VLOOKUP($C236,难度推算表,副本难度推算!$Q$3,FALSE)</f>
        <v>2554.2640000000001</v>
      </c>
      <c r="O236" s="2">
        <f>VLOOKUP($C236,难度推算表,副本难度推算!$R$3,FALSE)</f>
        <v>0</v>
      </c>
      <c r="Q236" s="140">
        <f t="shared" si="19"/>
        <v>1.1960000000000002</v>
      </c>
      <c r="R236" s="140">
        <f t="shared" si="20"/>
        <v>0.82800000000000007</v>
      </c>
      <c r="S236" s="140">
        <f t="shared" si="21"/>
        <v>0.7360000000000001</v>
      </c>
      <c r="V236" s="140"/>
      <c r="W236" s="140"/>
      <c r="X236" s="140"/>
    </row>
    <row r="237" spans="1:24">
      <c r="A237" s="2" t="str">
        <f t="shared" si="23"/>
        <v>逃亡</v>
      </c>
      <c r="B237" s="2" t="str">
        <f>怪物并表!$R$14</f>
        <v>英雄之路</v>
      </c>
      <c r="C237" s="2">
        <v>39</v>
      </c>
      <c r="D237" s="28">
        <f t="shared" si="18"/>
        <v>1904</v>
      </c>
      <c r="E237" s="72">
        <f>VLOOKUP($C237,难度推算表,副本难度推算!$M$3,FALSE)*副本难度推算!$Y$5*Q237</f>
        <v>73547.595284184077</v>
      </c>
      <c r="F237" s="72">
        <f>VLOOKUP($C237,难度推算表,副本难度推算!$P$3,FALSE)*副本难度推算!$Z$5*$R237+VLOOKUP($C237,难度推算表,副本难度推算!$H$3,FALSE)</f>
        <v>3058.6172945567496</v>
      </c>
      <c r="G237" s="72">
        <f>VLOOKUP($C237,难度推算表,副本难度推算!$G$3,FALSE)-VLOOKUP($C237,难度推算表,副本难度推算!$I$3,FALSE)*(2-副本难度推算!$AA$5)*(2-$S237)</f>
        <v>975.17876824775976</v>
      </c>
      <c r="H237" s="72">
        <f>VLOOKUP($C237,难度推算表,副本难度推算!$M$3,FALSE)*副本难度推算!$Y$6*Q237</f>
        <v>58838.076227347272</v>
      </c>
      <c r="I237" s="72">
        <f>VLOOKUP($C237,难度推算表,副本难度推算!$P$3,FALSE)*副本难度推算!$Z$6*$R237+VLOOKUP($C237,难度推算表,副本难度推算!$H$3,FALSE)</f>
        <v>2900.5099239264928</v>
      </c>
      <c r="J237" s="72">
        <f>VLOOKUP($C237,难度推算表,副本难度推算!$G$3,FALSE)-VLOOKUP($C237,难度推算表,副本难度推算!$I$3,FALSE)*(2-副本难度推算!$AA$6)*(2-$S237)</f>
        <v>505.31990718293082</v>
      </c>
      <c r="K237" s="72">
        <f>VLOOKUP($C237,难度推算表,副本难度推算!$M$3,FALSE)*副本难度推算!$Y$7*Q237</f>
        <v>183868.9882104602</v>
      </c>
      <c r="L237" s="72">
        <f>VLOOKUP($C237,难度推算表,副本难度推算!$P$3,FALSE)*副本难度推算!$Z$7*$R237+VLOOKUP($C237,难度推算表,副本难度推算!$H$3,FALSE)</f>
        <v>3374.8320358172632</v>
      </c>
      <c r="M237" s="72">
        <f>VLOOKUP($C237,难度推算表,副本难度推算!$G$3,FALSE)-VLOOKUP($C237,难度推算表,副本难度推算!$I$3,FALSE)*(2-副本难度推算!$AA$7)*(2-$S237)</f>
        <v>1445.0376293125892</v>
      </c>
      <c r="N237" s="2">
        <f>VLOOKUP($C237,难度推算表,副本难度推算!$Q$3,FALSE)</f>
        <v>2612.4920000000002</v>
      </c>
      <c r="O237" s="2">
        <f>VLOOKUP($C237,难度推算表,副本难度推算!$R$3,FALSE)</f>
        <v>0</v>
      </c>
      <c r="Q237" s="140">
        <f t="shared" si="19"/>
        <v>1.1830000000000001</v>
      </c>
      <c r="R237" s="140">
        <f t="shared" si="20"/>
        <v>0.81900000000000006</v>
      </c>
      <c r="S237" s="140">
        <f t="shared" si="21"/>
        <v>0.72800000000000009</v>
      </c>
      <c r="V237" s="140"/>
      <c r="W237" s="140"/>
      <c r="X237" s="140"/>
    </row>
    <row r="238" spans="1:24">
      <c r="A238" s="2" t="str">
        <f t="shared" si="23"/>
        <v>逃亡</v>
      </c>
      <c r="B238" s="2" t="str">
        <f>怪物并表!$R$14</f>
        <v>英雄之路</v>
      </c>
      <c r="C238" s="2">
        <v>40</v>
      </c>
      <c r="D238" s="28">
        <f t="shared" si="18"/>
        <v>1904</v>
      </c>
      <c r="E238" s="72">
        <f>VLOOKUP($C238,难度推算表,副本难度推算!$M$3,FALSE)*副本难度推算!$Y$5*Q238</f>
        <v>80158.482498586702</v>
      </c>
      <c r="F238" s="72">
        <f>VLOOKUP($C238,难度推算表,副本难度推算!$P$3,FALSE)*副本难度推算!$Z$5*$R238+VLOOKUP($C238,难度推算表,副本难度推算!$H$3,FALSE)</f>
        <v>3363.6030811103692</v>
      </c>
      <c r="G238" s="72">
        <f>VLOOKUP($C238,难度推算表,副本难度推算!$G$3,FALSE)-VLOOKUP($C238,难度推算表,副本难度推算!$I$3,FALSE)*(2-副本难度推算!$AA$5)*(2-$S238)</f>
        <v>1043.5508452173922</v>
      </c>
      <c r="H238" s="72">
        <f>VLOOKUP($C238,难度推算表,副本难度推算!$M$3,FALSE)*副本难度推算!$Y$6*Q238</f>
        <v>64126.78599886936</v>
      </c>
      <c r="I238" s="72">
        <f>VLOOKUP($C238,难度推算表,副本难度推算!$P$3,FALSE)*副本难度推算!$Z$6*$R238+VLOOKUP($C238,难度推算表,副本难度推算!$H$3,FALSE)</f>
        <v>3187.7890568789312</v>
      </c>
      <c r="J238" s="72">
        <f>VLOOKUP($C238,难度推算表,副本难度推算!$G$3,FALSE)-VLOOKUP($C238,难度推算表,副本难度推算!$I$3,FALSE)*(2-副本难度推算!$AA$6)*(2-$S238)</f>
        <v>529.80273680267646</v>
      </c>
      <c r="K238" s="72">
        <f>VLOOKUP($C238,难度推算表,副本难度推算!$M$3,FALSE)*副本难度推算!$Y$7*Q238</f>
        <v>200396.20624646675</v>
      </c>
      <c r="L238" s="72">
        <f>VLOOKUP($C238,难度推算表,副本难度推算!$P$3,FALSE)*副本难度推算!$Z$7*$R238+VLOOKUP($C238,难度推算表,副本难度推算!$H$3,FALSE)</f>
        <v>3715.2311295732461</v>
      </c>
      <c r="M238" s="72">
        <f>VLOOKUP($C238,难度推算表,副本难度推算!$G$3,FALSE)-VLOOKUP($C238,难度推算表,副本难度推算!$I$3,FALSE)*(2-副本难度推算!$AA$7)*(2-$S238)</f>
        <v>1557.2989536321079</v>
      </c>
      <c r="N238" s="2">
        <f>VLOOKUP($C238,难度推算表,副本难度推算!$Q$3,FALSE)</f>
        <v>2670.72</v>
      </c>
      <c r="O238" s="2">
        <f>VLOOKUP($C238,难度推算表,副本难度推算!$R$3,FALSE)</f>
        <v>0</v>
      </c>
      <c r="Q238" s="140">
        <f t="shared" si="19"/>
        <v>1.1700000000000002</v>
      </c>
      <c r="R238" s="140">
        <f t="shared" si="20"/>
        <v>0.81</v>
      </c>
      <c r="S238" s="140">
        <f t="shared" si="21"/>
        <v>0.72000000000000008</v>
      </c>
      <c r="V238" s="140"/>
      <c r="W238" s="140"/>
      <c r="X238" s="140"/>
    </row>
    <row r="239" spans="1:24">
      <c r="A239" s="2" t="str">
        <f t="shared" si="23"/>
        <v>逃亡</v>
      </c>
      <c r="B239" s="2" t="str">
        <f>怪物并表!$R$14</f>
        <v>英雄之路</v>
      </c>
      <c r="C239" s="2">
        <v>41</v>
      </c>
      <c r="D239" s="28">
        <f t="shared" si="18"/>
        <v>1904</v>
      </c>
      <c r="E239" s="72">
        <f>VLOOKUP($C239,难度推算表,副本难度推算!$M$3,FALSE)*副本难度推算!$Y$5*Q239</f>
        <v>87103.057961480154</v>
      </c>
      <c r="F239" s="72">
        <f>VLOOKUP($C239,难度推算表,副本难度推算!$P$3,FALSE)*副本难度推算!$Z$5*$R239+VLOOKUP($C239,难度推算表,副本难度推算!$H$3,FALSE)</f>
        <v>3688.6046102938117</v>
      </c>
      <c r="G239" s="72">
        <f>VLOOKUP($C239,难度推算表,副本难度推算!$G$3,FALSE)-VLOOKUP($C239,难度推算表,副本难度推算!$I$3,FALSE)*(2-副本难度推算!$AA$5)*(2-$S239)</f>
        <v>1113.5351917078269</v>
      </c>
      <c r="H239" s="72">
        <f>VLOOKUP($C239,难度推算表,副本难度推算!$M$3,FALSE)*副本难度推算!$Y$6*Q239</f>
        <v>69682.446369184123</v>
      </c>
      <c r="I239" s="72">
        <f>VLOOKUP($C239,难度推算表,副本难度推算!$P$3,FALSE)*副本难度推算!$Z$6*$R239+VLOOKUP($C239,难度推算表,副本难度推算!$H$3,FALSE)</f>
        <v>3493.7340229687784</v>
      </c>
      <c r="J239" s="72">
        <f>VLOOKUP($C239,难度推算表,副本难度推算!$G$3,FALSE)-VLOOKUP($C239,难度推算表,副本难度推算!$I$3,FALSE)*(2-副本难度推算!$AA$6)*(2-$S239)</f>
        <v>553.28779837982665</v>
      </c>
      <c r="K239" s="72">
        <f>VLOOKUP($C239,难度推算表,副本难度推算!$M$3,FALSE)*副本难度推算!$Y$7*Q239</f>
        <v>217757.64490370039</v>
      </c>
      <c r="L239" s="72">
        <f>VLOOKUP($C239,难度推算表,副本难度推算!$P$3,FALSE)*副本难度推算!$Z$7*$R239+VLOOKUP($C239,难度推算表,副本难度推算!$H$3,FALSE)</f>
        <v>4078.3457849438778</v>
      </c>
      <c r="M239" s="72">
        <f>VLOOKUP($C239,难度推算表,副本难度推算!$G$3,FALSE)-VLOOKUP($C239,难度推算表,副本难度推算!$I$3,FALSE)*(2-副本难度推算!$AA$7)*(2-$S239)</f>
        <v>1673.7825850358267</v>
      </c>
      <c r="N239" s="2">
        <f>VLOOKUP($C239,难度推算表,副本难度推算!$Q$3,FALSE)</f>
        <v>2728.9480000000003</v>
      </c>
      <c r="O239" s="2">
        <f>VLOOKUP($C239,难度推算表,副本难度推算!$R$3,FALSE)</f>
        <v>0</v>
      </c>
      <c r="Q239" s="140">
        <f t="shared" si="19"/>
        <v>1.157</v>
      </c>
      <c r="R239" s="140">
        <f t="shared" si="20"/>
        <v>0.80100000000000005</v>
      </c>
      <c r="S239" s="140">
        <f t="shared" si="21"/>
        <v>0.71200000000000008</v>
      </c>
      <c r="V239" s="140"/>
      <c r="W239" s="140"/>
      <c r="X239" s="140"/>
    </row>
    <row r="240" spans="1:24">
      <c r="A240" s="2" t="str">
        <f t="shared" si="23"/>
        <v>逃亡</v>
      </c>
      <c r="B240" s="2" t="str">
        <f>怪物并表!$R$14</f>
        <v>英雄之路</v>
      </c>
      <c r="C240" s="2">
        <v>42</v>
      </c>
      <c r="D240" s="28">
        <f t="shared" si="18"/>
        <v>1904</v>
      </c>
      <c r="E240" s="72">
        <f>VLOOKUP($C240,难度推算表,副本难度推算!$M$3,FALSE)*副本难度推算!$Y$5*Q240</f>
        <v>94383.690874520995</v>
      </c>
      <c r="F240" s="72">
        <f>VLOOKUP($C240,难度推算表,副本难度推算!$P$3,FALSE)*副本难度推算!$Z$5*$R240+VLOOKUP($C240,难度推算表,副本难度推算!$H$3,FALSE)</f>
        <v>4034.3270382227838</v>
      </c>
      <c r="G240" s="72">
        <f>VLOOKUP($C240,难度推算表,副本难度推算!$G$3,FALSE)-VLOOKUP($C240,难度推算表,副本难度推算!$I$3,FALSE)*(2-副本难度推算!$AA$5)*(2-$S240)</f>
        <v>1185.0202766769248</v>
      </c>
      <c r="H240" s="72">
        <f>VLOOKUP($C240,难度推算表,副本难度推算!$M$3,FALSE)*副本难度推算!$Y$6*Q240</f>
        <v>75506.952699616813</v>
      </c>
      <c r="I240" s="72">
        <f>VLOOKUP($C240,难度推算表,副本难度推算!$P$3,FALSE)*副本难度推算!$Z$6*$R240+VLOOKUP($C240,难度推算表,副本难度推算!$H$3,FALSE)</f>
        <v>3818.9927910158904</v>
      </c>
      <c r="J240" s="72">
        <f>VLOOKUP($C240,难度推算表,副本难度推算!$G$3,FALSE)-VLOOKUP($C240,难度推算表,副本难度推算!$I$3,FALSE)*(2-副本难度推算!$AA$6)*(2-$S240)</f>
        <v>575.58127724307906</v>
      </c>
      <c r="K240" s="72">
        <f>VLOOKUP($C240,难度推算表,副本难度推算!$M$3,FALSE)*副本难度推算!$Y$7*Q240</f>
        <v>235959.22718630251</v>
      </c>
      <c r="L240" s="72">
        <f>VLOOKUP($C240,难度推算表,副本难度推算!$P$3,FALSE)*副本难度推算!$Z$7*$R240+VLOOKUP($C240,难度推算表,副本难度推算!$H$3,FALSE)</f>
        <v>4464.9955326365707</v>
      </c>
      <c r="M240" s="72">
        <f>VLOOKUP($C240,难度推算表,副本难度推算!$G$3,FALSE)-VLOOKUP($C240,难度推算表,副本难度推算!$I$3,FALSE)*(2-副本难度推算!$AA$7)*(2-$S240)</f>
        <v>1794.4592761107706</v>
      </c>
      <c r="N240" s="2">
        <f>VLOOKUP($C240,难度推算表,副本难度推算!$Q$3,FALSE)</f>
        <v>2787.1759999999999</v>
      </c>
      <c r="O240" s="2">
        <f>VLOOKUP($C240,难度推算表,副本难度推算!$R$3,FALSE)</f>
        <v>0</v>
      </c>
      <c r="Q240" s="140">
        <f t="shared" si="19"/>
        <v>1.1440000000000001</v>
      </c>
      <c r="R240" s="140">
        <f t="shared" si="20"/>
        <v>0.79200000000000004</v>
      </c>
      <c r="S240" s="140">
        <f t="shared" si="21"/>
        <v>0.70400000000000007</v>
      </c>
      <c r="V240" s="140"/>
      <c r="W240" s="140"/>
      <c r="X240" s="140"/>
    </row>
    <row r="241" spans="1:24">
      <c r="A241" s="2" t="str">
        <f t="shared" si="23"/>
        <v>逃亡</v>
      </c>
      <c r="B241" s="2" t="str">
        <f>怪物并表!$R$14</f>
        <v>英雄之路</v>
      </c>
      <c r="C241" s="2">
        <v>43</v>
      </c>
      <c r="D241" s="28">
        <f t="shared" si="18"/>
        <v>1904</v>
      </c>
      <c r="E241" s="72">
        <f>VLOOKUP($C241,难度推算表,副本难度推算!$M$3,FALSE)*副本难度推算!$Y$5*Q241</f>
        <v>102002.18579150143</v>
      </c>
      <c r="F241" s="72">
        <f>VLOOKUP($C241,难度推算表,副本难度推算!$P$3,FALSE)*副本难度推算!$Z$5*$R241+VLOOKUP($C241,难度推算表,副本难度推算!$H$3,FALSE)</f>
        <v>4401.4776510908987</v>
      </c>
      <c r="G241" s="72">
        <f>VLOOKUP($C241,难度推算表,副本难度推算!$G$3,FALSE)-VLOOKUP($C241,难度推算表,副本难度推算!$I$3,FALSE)*(2-副本难度推算!$AA$5)*(2-$S241)</f>
        <v>1257.8892377562552</v>
      </c>
      <c r="H241" s="72">
        <f>VLOOKUP($C241,难度推算表,副本难度推算!$M$3,FALSE)*副本难度推算!$Y$6*Q241</f>
        <v>81601.748633201147</v>
      </c>
      <c r="I241" s="72">
        <f>VLOOKUP($C241,难度推算表,副本难度推算!$P$3,FALSE)*副本难度推算!$Z$6*$R241+VLOOKUP($C241,难度推算表,副本难度推算!$H$3,FALSE)</f>
        <v>4164.2152469102366</v>
      </c>
      <c r="J241" s="72">
        <f>VLOOKUP($C241,难度推算表,副本难度推算!$G$3,FALSE)-VLOOKUP($C241,难度推算表,副本难度推算!$I$3,FALSE)*(2-副本难度推算!$AA$6)*(2-$S241)</f>
        <v>596.48296112957951</v>
      </c>
      <c r="K241" s="72">
        <f>VLOOKUP($C241,难度推算表,副本难度推算!$M$3,FALSE)*副本难度推算!$Y$7*Q241</f>
        <v>255005.46447875359</v>
      </c>
      <c r="L241" s="72">
        <f>VLOOKUP($C241,难度推算表,副本难度推算!$P$3,FALSE)*副本难度推算!$Z$7*$R241+VLOOKUP($C241,难度推算表,副本难度推算!$H$3,FALSE)</f>
        <v>4876.002459452222</v>
      </c>
      <c r="M241" s="72">
        <f>VLOOKUP($C241,难度推算表,副本难度推算!$G$3,FALSE)-VLOOKUP($C241,难度推算表,副本难度推算!$I$3,FALSE)*(2-副本难度推算!$AA$7)*(2-$S241)</f>
        <v>1919.2955143829304</v>
      </c>
      <c r="N241" s="2">
        <f>VLOOKUP($C241,难度推算表,副本难度推算!$Q$3,FALSE)</f>
        <v>2845.404</v>
      </c>
      <c r="O241" s="2">
        <f>VLOOKUP($C241,难度推算表,副本难度推算!$R$3,FALSE)</f>
        <v>0</v>
      </c>
      <c r="Q241" s="140">
        <f t="shared" si="19"/>
        <v>1.131</v>
      </c>
      <c r="R241" s="140">
        <f t="shared" si="20"/>
        <v>0.78300000000000003</v>
      </c>
      <c r="S241" s="140">
        <f t="shared" si="21"/>
        <v>0.69600000000000006</v>
      </c>
      <c r="V241" s="140"/>
      <c r="W241" s="140"/>
      <c r="X241" s="140"/>
    </row>
    <row r="242" spans="1:24">
      <c r="A242" s="2" t="str">
        <f t="shared" si="23"/>
        <v>逃亡</v>
      </c>
      <c r="B242" s="2" t="str">
        <f>怪物并表!$R$14</f>
        <v>英雄之路</v>
      </c>
      <c r="C242" s="2">
        <v>44</v>
      </c>
      <c r="D242" s="28">
        <f t="shared" si="18"/>
        <v>1904</v>
      </c>
      <c r="E242" s="72">
        <f>VLOOKUP($C242,难度推算表,副本难度推算!$M$3,FALSE)*副本难度推算!$Y$5*Q242</f>
        <v>109959.76494573931</v>
      </c>
      <c r="F242" s="72">
        <f>VLOOKUP($C242,难度推算表,副本难度推算!$P$3,FALSE)*副本难度推算!$Z$5*$R242+VLOOKUP($C242,难度推算表,副本难度推算!$H$3,FALSE)</f>
        <v>4790.7649129824767</v>
      </c>
      <c r="G242" s="72">
        <f>VLOOKUP($C242,难度推算表,副本难度推算!$G$3,FALSE)-VLOOKUP($C242,难度推算表,副本难度推算!$I$3,FALSE)*(2-副本难度推算!$AA$5)*(2-$S242)</f>
        <v>1332.0198812511048</v>
      </c>
      <c r="H242" s="72">
        <f>VLOOKUP($C242,难度推算表,副本难度推算!$M$3,FALSE)*副本难度推算!$Y$6*Q242</f>
        <v>87967.811956591453</v>
      </c>
      <c r="I242" s="72">
        <f>VLOOKUP($C242,难度推算表,副本难度推算!$P$3,FALSE)*副本难度推算!$Z$6*$R242+VLOOKUP($C242,难度推算表,副本难度推算!$H$3,FALSE)</f>
        <v>4530.0523366434263</v>
      </c>
      <c r="J242" s="72">
        <f>VLOOKUP($C242,难度推算表,副本难度推算!$G$3,FALSE)-VLOOKUP($C242,难度推算表,副本难度推算!$I$3,FALSE)*(2-副本难度推算!$AA$6)*(2-$S242)</f>
        <v>615.78624018493792</v>
      </c>
      <c r="K242" s="72">
        <f>VLOOKUP($C242,难度推算表,副本难度推算!$M$3,FALSE)*副本难度推算!$Y$7*Q242</f>
        <v>274899.4123643483</v>
      </c>
      <c r="L242" s="72">
        <f>VLOOKUP($C242,难度推算表,副本难度推算!$P$3,FALSE)*副本难度推算!$Z$7*$R242+VLOOKUP($C242,难度推算表,副本难度推算!$H$3,FALSE)</f>
        <v>5312.1900656605776</v>
      </c>
      <c r="M242" s="72">
        <f>VLOOKUP($C242,难度推算表,副本难度推算!$G$3,FALSE)-VLOOKUP($C242,难度推算表,副本难度推算!$I$3,FALSE)*(2-副本难度推算!$AA$7)*(2-$S242)</f>
        <v>2048.2535223172717</v>
      </c>
      <c r="N242" s="2">
        <f>VLOOKUP($C242,难度推算表,副本难度推算!$Q$3,FALSE)</f>
        <v>2903.6320000000001</v>
      </c>
      <c r="O242" s="2">
        <f>VLOOKUP($C242,难度推算表,副本难度推算!$R$3,FALSE)</f>
        <v>0</v>
      </c>
      <c r="Q242" s="140">
        <f t="shared" si="19"/>
        <v>1.1180000000000001</v>
      </c>
      <c r="R242" s="140">
        <f t="shared" si="20"/>
        <v>0.77400000000000002</v>
      </c>
      <c r="S242" s="140">
        <f t="shared" si="21"/>
        <v>0.68800000000000006</v>
      </c>
      <c r="V242" s="140"/>
      <c r="W242" s="140"/>
      <c r="X242" s="140"/>
    </row>
    <row r="243" spans="1:24">
      <c r="A243" s="2" t="str">
        <f t="shared" si="23"/>
        <v>逃亡</v>
      </c>
      <c r="B243" s="2" t="str">
        <f>怪物并表!$R$14</f>
        <v>英雄之路</v>
      </c>
      <c r="C243" s="2">
        <v>45</v>
      </c>
      <c r="D243" s="28">
        <f t="shared" si="18"/>
        <v>1904</v>
      </c>
      <c r="E243" s="72">
        <f>VLOOKUP($C243,难度推算表,副本难度推算!$M$3,FALSE)*副本难度推算!$Y$5*Q243</f>
        <v>118257.05056352433</v>
      </c>
      <c r="F243" s="72">
        <f>VLOOKUP($C243,难度推算表,副本难度推算!$P$3,FALSE)*副本难度推算!$Z$5*$R243+VLOOKUP($C243,难度推算表,副本难度推算!$H$3,FALSE)</f>
        <v>5202.8974667281691</v>
      </c>
      <c r="G243" s="72">
        <f>VLOOKUP($C243,难度推算表,副本难度推算!$G$3,FALSE)-VLOOKUP($C243,难度推算表,副本难度推算!$I$3,FALSE)*(2-副本难度推算!$AA$5)*(2-$S243)</f>
        <v>1407.2846821404692</v>
      </c>
      <c r="H243" s="72">
        <f>VLOOKUP($C243,难度推算表,副本难度推算!$M$3,FALSE)*副本难度推算!$Y$6*Q243</f>
        <v>94605.640450819483</v>
      </c>
      <c r="I243" s="72">
        <f>VLOOKUP($C243,难度推算表,副本难度推算!$P$3,FALSE)*副本难度推算!$Z$6*$R243+VLOOKUP($C243,难度推算表,副本难度推算!$H$3,FALSE)</f>
        <v>4917.155167078763</v>
      </c>
      <c r="J243" s="72">
        <f>VLOOKUP($C243,难度推算表,副本难度推算!$G$3,FALSE)-VLOOKUP($C243,难度推算表,副本难度推算!$I$3,FALSE)*(2-副本难度推算!$AA$6)*(2-$S243)</f>
        <v>633.27810696321194</v>
      </c>
      <c r="K243" s="72">
        <f>VLOOKUP($C243,难度推算表,副本难度推算!$M$3,FALSE)*副本难度推算!$Y$7*Q243</f>
        <v>295642.62640881084</v>
      </c>
      <c r="L243" s="72">
        <f>VLOOKUP($C243,难度推算表,副本难度推算!$P$3,FALSE)*副本难度推算!$Z$7*$R243+VLOOKUP($C243,难度推算表,副本难度推算!$H$3,FALSE)</f>
        <v>5774.3820660269794</v>
      </c>
      <c r="M243" s="72">
        <f>VLOOKUP($C243,难度推算表,副本难度推算!$G$3,FALSE)-VLOOKUP($C243,难度推算表,副本难度推算!$I$3,FALSE)*(2-副本难度推算!$AA$7)*(2-$S243)</f>
        <v>2181.2912573177268</v>
      </c>
      <c r="N243" s="2">
        <f>VLOOKUP($C243,难度推算表,副本难度推算!$Q$3,FALSE)</f>
        <v>2961.86</v>
      </c>
      <c r="O243" s="2">
        <f>VLOOKUP($C243,难度推算表,副本难度推算!$R$3,FALSE)</f>
        <v>0</v>
      </c>
      <c r="Q243" s="140">
        <f t="shared" si="19"/>
        <v>1.105</v>
      </c>
      <c r="R243" s="140">
        <f t="shared" si="20"/>
        <v>0.76500000000000001</v>
      </c>
      <c r="S243" s="140">
        <f t="shared" si="21"/>
        <v>0.68</v>
      </c>
      <c r="V243" s="140"/>
      <c r="W243" s="140"/>
      <c r="X243" s="140"/>
    </row>
    <row r="244" spans="1:24">
      <c r="A244" s="2" t="str">
        <f t="shared" si="23"/>
        <v>逃亡</v>
      </c>
      <c r="B244" s="2" t="str">
        <f>怪物并表!$R$14</f>
        <v>英雄之路</v>
      </c>
      <c r="C244" s="2">
        <v>46</v>
      </c>
      <c r="D244" s="28">
        <f t="shared" si="18"/>
        <v>1904</v>
      </c>
      <c r="E244" s="72">
        <f>VLOOKUP($C244,难度推算表,副本难度推算!$M$3,FALSE)*副本难度推算!$Y$5*Q244</f>
        <v>126894.04716745341</v>
      </c>
      <c r="F244" s="72">
        <f>VLOOKUP($C244,难度推算表,副本难度推算!$P$3,FALSE)*副本难度推算!$Z$5*$R244+VLOOKUP($C244,难度推算表,副本难度推算!$H$3,FALSE)</f>
        <v>5638.5830850793718</v>
      </c>
      <c r="G244" s="72">
        <f>VLOOKUP($C244,难度推算表,副本难度推算!$G$3,FALSE)-VLOOKUP($C244,难度推算表,副本难度推算!$I$3,FALSE)*(2-副本难度推算!$AA$5)*(2-$S244)</f>
        <v>1483.5507840770588</v>
      </c>
      <c r="H244" s="72">
        <f>VLOOKUP($C244,难度推算表,副本难度推算!$M$3,FALSE)*副本难度推算!$Y$6*Q244</f>
        <v>101515.23773396274</v>
      </c>
      <c r="I244" s="72">
        <f>VLOOKUP($C244,难度推算表,副本难度推算!$P$3,FALSE)*副本难度推算!$Z$6*$R244+VLOOKUP($C244,难度推算表,副本难度推算!$H$3,FALSE)</f>
        <v>5326.1740620082237</v>
      </c>
      <c r="J244" s="72">
        <f>VLOOKUP($C244,难度推算表,副本难度推算!$G$3,FALSE)-VLOOKUP($C244,难度推算表,副本难度推算!$I$3,FALSE)*(2-副本难度推算!$AA$6)*(2-$S244)</f>
        <v>648.73915642691827</v>
      </c>
      <c r="K244" s="72">
        <f>VLOOKUP($C244,难度推算表,副本难度推算!$M$3,FALSE)*副本难度推算!$Y$7*Q244</f>
        <v>317235.11791863351</v>
      </c>
      <c r="L244" s="72">
        <f>VLOOKUP($C244,难度推算表,副本难度推算!$P$3,FALSE)*副本难度推算!$Z$7*$R244+VLOOKUP($C244,难度推算表,副本难度推算!$H$3,FALSE)</f>
        <v>6263.4011312216662</v>
      </c>
      <c r="M244" s="72">
        <f>VLOOKUP($C244,难度推算表,副本难度推算!$G$3,FALSE)-VLOOKUP($C244,难度推算表,副本难度推算!$I$3,FALSE)*(2-副本难度推算!$AA$7)*(2-$S244)</f>
        <v>2318.3624117271988</v>
      </c>
      <c r="N244" s="2">
        <f>VLOOKUP($C244,难度推算表,副本难度推算!$Q$3,FALSE)</f>
        <v>3020.0879999999997</v>
      </c>
      <c r="O244" s="2">
        <f>VLOOKUP($C244,难度推算表,副本难度推算!$R$3,FALSE)</f>
        <v>0</v>
      </c>
      <c r="Q244" s="140">
        <f t="shared" si="19"/>
        <v>1.0920000000000001</v>
      </c>
      <c r="R244" s="140">
        <f t="shared" si="20"/>
        <v>0.75600000000000001</v>
      </c>
      <c r="S244" s="140">
        <f t="shared" si="21"/>
        <v>0.67200000000000004</v>
      </c>
      <c r="V244" s="140"/>
      <c r="W244" s="140"/>
      <c r="X244" s="140"/>
    </row>
    <row r="245" spans="1:24">
      <c r="A245" s="2" t="str">
        <f t="shared" si="23"/>
        <v>逃亡</v>
      </c>
      <c r="B245" s="2" t="str">
        <f>怪物并表!$R$14</f>
        <v>英雄之路</v>
      </c>
      <c r="C245" s="2">
        <v>47</v>
      </c>
      <c r="D245" s="28">
        <f t="shared" si="18"/>
        <v>1904</v>
      </c>
      <c r="E245" s="72">
        <f>VLOOKUP($C245,难度推算表,副本难度推算!$M$3,FALSE)*副本难度推算!$Y$5*Q245</f>
        <v>135870.12387288746</v>
      </c>
      <c r="F245" s="72">
        <f>VLOOKUP($C245,难度推算表,副本难度推算!$P$3,FALSE)*副本难度推算!$Z$5*$R245+VLOOKUP($C245,难度推算表,副本难度推算!$H$3,FALSE)</f>
        <v>6098.52756929529</v>
      </c>
      <c r="G245" s="72">
        <f>VLOOKUP($C245,难度推算表,副本难度推算!$G$3,FALSE)-VLOOKUP($C245,难度推算表,副本难度推算!$I$3,FALSE)*(2-副本难度推算!$AA$5)*(2-$S245)</f>
        <v>1560.6799993872928</v>
      </c>
      <c r="H245" s="72">
        <f>VLOOKUP($C245,难度推算表,副本难度推算!$M$3,FALSE)*副本难度推算!$Y$6*Q245</f>
        <v>108696.09909830998</v>
      </c>
      <c r="I245" s="72">
        <f>VLOOKUP($C245,难度推算表,副本难度推算!$P$3,FALSE)*副本难度推算!$Z$6*$R245+VLOOKUP($C245,难度推算表,副本难度推算!$H$3,FALSE)</f>
        <v>5757.7575708808108</v>
      </c>
      <c r="J245" s="72">
        <f>VLOOKUP($C245,难度推算表,副本难度推算!$G$3,FALSE)-VLOOKUP($C245,难度推算表,副本难度推算!$I$3,FALSE)*(2-副本难度推算!$AA$6)*(2-$S245)</f>
        <v>661.94358594702499</v>
      </c>
      <c r="K245" s="72">
        <f>VLOOKUP($C245,难度推算表,副本难度推算!$M$3,FALSE)*副本难度推算!$Y$7*Q245</f>
        <v>339675.30968221871</v>
      </c>
      <c r="L245" s="72">
        <f>VLOOKUP($C245,难度推算表,副本难度推算!$P$3,FALSE)*副本难度推算!$Z$7*$R245+VLOOKUP($C245,难度推算表,副本难度推算!$H$3,FALSE)</f>
        <v>6780.0675661242476</v>
      </c>
      <c r="M245" s="72">
        <f>VLOOKUP($C245,难度推算表,副本难度推算!$G$3,FALSE)-VLOOKUP($C245,难度推算表,副本难度推算!$I$3,FALSE)*(2-副本难度推算!$AA$7)*(2-$S245)</f>
        <v>2459.4164128275593</v>
      </c>
      <c r="N245" s="2">
        <f>VLOOKUP($C245,难度推算表,副本难度推算!$Q$3,FALSE)</f>
        <v>3078.3160000000003</v>
      </c>
      <c r="O245" s="2">
        <f>VLOOKUP($C245,难度推算表,副本难度推算!$R$3,FALSE)</f>
        <v>0</v>
      </c>
      <c r="Q245" s="140">
        <f t="shared" si="19"/>
        <v>1.079</v>
      </c>
      <c r="R245" s="140">
        <f t="shared" si="20"/>
        <v>0.747</v>
      </c>
      <c r="S245" s="140">
        <f t="shared" si="21"/>
        <v>0.66400000000000003</v>
      </c>
      <c r="V245" s="140"/>
      <c r="W245" s="140"/>
      <c r="X245" s="140"/>
    </row>
    <row r="246" spans="1:24">
      <c r="A246" s="2" t="str">
        <f t="shared" si="23"/>
        <v>逃亡</v>
      </c>
      <c r="B246" s="2" t="str">
        <f>怪物并表!$R$14</f>
        <v>英雄之路</v>
      </c>
      <c r="C246" s="2">
        <v>48</v>
      </c>
      <c r="D246" s="28">
        <f t="shared" si="18"/>
        <v>1904</v>
      </c>
      <c r="E246" s="72">
        <f>VLOOKUP($C246,难度推算表,副本难度推算!$M$3,FALSE)*副本难度推算!$Y$5*Q246</f>
        <v>145183.99668025941</v>
      </c>
      <c r="F246" s="72">
        <f>VLOOKUP($C246,难度推算表,副本难度推算!$P$3,FALSE)*副本难度推算!$Z$5*$R246+VLOOKUP($C246,难度推算表,副本难度推算!$H$3,FALSE)</f>
        <v>6583.4335920405701</v>
      </c>
      <c r="G246" s="72">
        <f>VLOOKUP($C246,难度推算表,副本难度推算!$G$3,FALSE)-VLOOKUP($C246,难度推算表,副本难度推算!$I$3,FALSE)*(2-副本难度推算!$AA$5)*(2-$S246)</f>
        <v>1638.5288090713057</v>
      </c>
      <c r="H246" s="72">
        <f>VLOOKUP($C246,难度推算表,副本难度推算!$M$3,FALSE)*副本难度推算!$Y$6*Q246</f>
        <v>116147.19734420753</v>
      </c>
      <c r="I246" s="72">
        <f>VLOOKUP($C246,难度推算表,副本难度推算!$P$3,FALSE)*副本难度推算!$Z$6*$R246+VLOOKUP($C246,难度推算表,副本难度推算!$H$3,FALSE)</f>
        <v>6212.5514274104262</v>
      </c>
      <c r="J246" s="72">
        <f>VLOOKUP($C246,难度推算表,副本难度推算!$G$3,FALSE)-VLOOKUP($C246,难度推算表,副本难度推算!$I$3,FALSE)*(2-副本难度推算!$AA$6)*(2-$S246)</f>
        <v>672.65919530295832</v>
      </c>
      <c r="K246" s="72">
        <f>VLOOKUP($C246,难度推算表,副本难度推算!$M$3,FALSE)*副本难度推算!$Y$7*Q246</f>
        <v>362959.9917006485</v>
      </c>
      <c r="L246" s="72">
        <f>VLOOKUP($C246,难度推算表,副本难度推算!$P$3,FALSE)*副本难度推算!$Z$7*$R246+VLOOKUP($C246,难度推算表,副本难度推算!$H$3,FALSE)</f>
        <v>7325.1979213008563</v>
      </c>
      <c r="M246" s="72">
        <f>VLOOKUP($C246,难度推算表,副本难度推算!$G$3,FALSE)-VLOOKUP($C246,难度推算表,副本难度推算!$I$3,FALSE)*(2-副本难度推算!$AA$7)*(2-$S246)</f>
        <v>2604.3984228396534</v>
      </c>
      <c r="N246" s="2">
        <f>VLOOKUP($C246,难度推算表,副本难度推算!$Q$3,FALSE)</f>
        <v>3136.5439999999999</v>
      </c>
      <c r="O246" s="2">
        <f>VLOOKUP($C246,难度推算表,副本难度推算!$R$3,FALSE)</f>
        <v>0</v>
      </c>
      <c r="Q246" s="140">
        <f t="shared" si="19"/>
        <v>1.0660000000000001</v>
      </c>
      <c r="R246" s="140">
        <f t="shared" si="20"/>
        <v>0.73799999999999999</v>
      </c>
      <c r="S246" s="140">
        <f t="shared" si="21"/>
        <v>0.65600000000000003</v>
      </c>
      <c r="V246" s="140"/>
      <c r="W246" s="140"/>
      <c r="X246" s="140"/>
    </row>
    <row r="247" spans="1:24">
      <c r="A247" s="2" t="str">
        <f t="shared" si="23"/>
        <v>逃亡</v>
      </c>
      <c r="B247" s="2" t="str">
        <f>怪物并表!$R$14</f>
        <v>英雄之路</v>
      </c>
      <c r="C247" s="2">
        <v>49</v>
      </c>
      <c r="D247" s="28">
        <f t="shared" si="18"/>
        <v>1904</v>
      </c>
      <c r="E247" s="72">
        <f>VLOOKUP($C247,难度推算表,副本难度推算!$M$3,FALSE)*副本难度推算!$Y$5*Q247</f>
        <v>154833.71076553428</v>
      </c>
      <c r="F247" s="72">
        <f>VLOOKUP($C247,难度推算表,副本难度推算!$P$3,FALSE)*副本难度推算!$Z$5*$R247+VLOOKUP($C247,难度推算表,副本难度推算!$H$3,FALSE)</f>
        <v>7093.9994812805598</v>
      </c>
      <c r="G247" s="72">
        <f>VLOOKUP($C247,难度推算表,副本难度推算!$G$3,FALSE)-VLOOKUP($C247,难度推算表,副本难度推算!$I$3,FALSE)*(2-副本难度推算!$AA$5)*(2-$S247)</f>
        <v>1716.9483628029448</v>
      </c>
      <c r="H247" s="72">
        <f>VLOOKUP($C247,难度推算表,副本难度推算!$M$3,FALSE)*副本难度推算!$Y$6*Q247</f>
        <v>123866.96861242743</v>
      </c>
      <c r="I247" s="72">
        <f>VLOOKUP($C247,难度推算表,副本难度推算!$P$3,FALSE)*副本难度推算!$Z$6*$R247+VLOOKUP($C247,难度推算表,副本难度推算!$H$3,FALSE)</f>
        <v>6691.1974550816012</v>
      </c>
      <c r="J247" s="72">
        <f>VLOOKUP($C247,难度推算表,副本难度推算!$G$3,FALSE)-VLOOKUP($C247,难度推算表,副本难度推算!$I$3,FALSE)*(2-副本难度推算!$AA$6)*(2-$S247)</f>
        <v>680.64738668259724</v>
      </c>
      <c r="K247" s="72">
        <f>VLOOKUP($C247,难度推算表,副本难度推算!$M$3,FALSE)*副本难度推算!$Y$7*Q247</f>
        <v>387084.27691383573</v>
      </c>
      <c r="L247" s="72">
        <f>VLOOKUP($C247,难度推算表,副本难度推算!$P$3,FALSE)*副本难度推算!$Z$7*$R247+VLOOKUP($C247,难度推算表,副本难度推算!$H$3,FALSE)</f>
        <v>7899.603533678478</v>
      </c>
      <c r="M247" s="72">
        <f>VLOOKUP($C247,难度推算表,副本难度推算!$G$3,FALSE)-VLOOKUP($C247,难度推算表,副本难度推算!$I$3,FALSE)*(2-副本难度推算!$AA$7)*(2-$S247)</f>
        <v>2753.2493389232932</v>
      </c>
      <c r="N247" s="2">
        <f>VLOOKUP($C247,难度推算表,副本难度推算!$Q$3,FALSE)</f>
        <v>3194.7719999999999</v>
      </c>
      <c r="O247" s="2">
        <f>VLOOKUP($C247,难度推算表,副本难度推算!$R$3,FALSE)</f>
        <v>0</v>
      </c>
      <c r="Q247" s="140">
        <f t="shared" si="19"/>
        <v>1.0530000000000002</v>
      </c>
      <c r="R247" s="140">
        <f t="shared" si="20"/>
        <v>0.72900000000000009</v>
      </c>
      <c r="S247" s="140">
        <f t="shared" si="21"/>
        <v>0.64800000000000013</v>
      </c>
      <c r="V247" s="140"/>
      <c r="W247" s="140"/>
      <c r="X247" s="140"/>
    </row>
    <row r="248" spans="1:24">
      <c r="A248" s="2" t="str">
        <f t="shared" si="23"/>
        <v>逃亡</v>
      </c>
      <c r="B248" s="2" t="str">
        <f>怪物并表!$R$14</f>
        <v>英雄之路</v>
      </c>
      <c r="C248" s="2">
        <v>50</v>
      </c>
      <c r="D248" s="28">
        <f t="shared" si="18"/>
        <v>1904</v>
      </c>
      <c r="E248" s="72">
        <f>VLOOKUP($C248,难度推算表,副本难度推算!$M$3,FALSE)*副本难度推算!$Y$5*Q248</f>
        <v>165900.94265742009</v>
      </c>
      <c r="F248" s="72">
        <f>VLOOKUP($C248,难度推算表,副本难度推算!$P$3,FALSE)*副本难度推算!$Z$5*$R248+VLOOKUP($C248,难度推算表,副本难度推算!$H$3,FALSE)</f>
        <v>7681.1213491447716</v>
      </c>
      <c r="G248" s="72">
        <f>VLOOKUP($C248,难度推算表,副本难度推算!$G$3,FALSE)-VLOOKUP($C248,难度推算表,副本难度推算!$I$3,FALSE)*(2-副本难度推算!$AA$5)*(2-$S248)</f>
        <v>1807.598850501674</v>
      </c>
      <c r="H248" s="72">
        <f>VLOOKUP($C248,难度推算表,副本难度推算!$M$3,FALSE)*副本难度推算!$Y$6*Q248</f>
        <v>132720.75412593607</v>
      </c>
      <c r="I248" s="72">
        <f>VLOOKUP($C248,难度推算表,副本难度推算!$P$3,FALSE)*副本难度推算!$Z$6*$R248+VLOOKUP($C248,难度推算表,副本难度推算!$H$3,FALSE)</f>
        <v>7241.6635506851444</v>
      </c>
      <c r="J248" s="72">
        <f>VLOOKUP($C248,难度推算表,副本难度推算!$G$3,FALSE)-VLOOKUP($C248,难度推算表,副本难度推算!$I$3,FALSE)*(2-副本难度推算!$AA$6)*(2-$S248)</f>
        <v>690.17410655518506</v>
      </c>
      <c r="K248" s="72">
        <f>VLOOKUP($C248,难度推算表,副本难度推算!$M$3,FALSE)*副本难度推算!$Y$7*Q248</f>
        <v>414752.35664355021</v>
      </c>
      <c r="L248" s="72">
        <f>VLOOKUP($C248,难度推算表,副本难度推算!$P$3,FALSE)*副本难度推算!$Z$7*$R248+VLOOKUP($C248,难度推算表,副本难度推算!$H$3,FALSE)</f>
        <v>8560.0369460640268</v>
      </c>
      <c r="M248" s="72">
        <f>VLOOKUP($C248,难度推算表,副本难度推算!$G$3,FALSE)-VLOOKUP($C248,难度推算表,副本难度推算!$I$3,FALSE)*(2-副本难度推算!$AA$7)*(2-$S248)</f>
        <v>2925.0235944481619</v>
      </c>
      <c r="N248" s="2">
        <f>VLOOKUP($C248,难度推算表,副本难度推算!$Q$3,FALSE)</f>
        <v>3253</v>
      </c>
      <c r="O248" s="2">
        <f>VLOOKUP($C248,难度推算表,副本难度推算!$R$3,FALSE)</f>
        <v>0</v>
      </c>
      <c r="Q248" s="140">
        <f t="shared" si="19"/>
        <v>1.04</v>
      </c>
      <c r="R248" s="140">
        <f t="shared" si="20"/>
        <v>0.72000000000000008</v>
      </c>
      <c r="S248" s="140">
        <f t="shared" si="21"/>
        <v>0.64000000000000012</v>
      </c>
      <c r="V248" s="140"/>
      <c r="W248" s="140"/>
      <c r="X248" s="140"/>
    </row>
    <row r="249" spans="1:24">
      <c r="A249" s="2" t="str">
        <f t="shared" si="23"/>
        <v>逃亡</v>
      </c>
      <c r="B249" s="2" t="str">
        <f>怪物并表!$R$14</f>
        <v>英雄之路</v>
      </c>
      <c r="C249" s="2">
        <v>51</v>
      </c>
      <c r="D249" s="28">
        <f t="shared" si="18"/>
        <v>1904</v>
      </c>
      <c r="E249" s="72">
        <f>VLOOKUP($C249,难度推算表,副本难度推算!$M$3,FALSE)*副本难度推算!$Y$5*Q249</f>
        <v>176418.73372089132</v>
      </c>
      <c r="F249" s="72">
        <f>VLOOKUP($C249,难度推算表,副本难度推算!$P$3,FALSE)*副本难度推算!$Z$5*$R249+VLOOKUP($C249,难度推算表,副本难度推算!$H$3,FALSE)</f>
        <v>8360.4869373584006</v>
      </c>
      <c r="G249" s="72">
        <f>VLOOKUP($C249,难度推算表,副本难度推算!$G$3,FALSE)-VLOOKUP($C249,难度推算表,副本难度推算!$I$3,FALSE)*(2-副本难度推算!$AA$5)*(2-$S249)</f>
        <v>1962.281322425687</v>
      </c>
      <c r="H249" s="72">
        <f>VLOOKUP($C249,难度推算表,副本难度推算!$M$3,FALSE)*副本难度推算!$Y$6*Q249</f>
        <v>141134.98697671306</v>
      </c>
      <c r="I249" s="72">
        <f>VLOOKUP($C249,难度推算表,副本难度推算!$P$3,FALSE)*副本难度推算!$Z$6*$R249+VLOOKUP($C249,难度推算表,副本难度推算!$H$3,FALSE)</f>
        <v>7876.0890838727273</v>
      </c>
      <c r="J249" s="72">
        <f>VLOOKUP($C249,难度推算表,副本难度推算!$G$3,FALSE)-VLOOKUP($C249,难度推算表,副本难度推算!$I$3,FALSE)*(2-副本难度推算!$AA$6)*(2-$S249)</f>
        <v>787.97641747938542</v>
      </c>
      <c r="K249" s="72">
        <f>VLOOKUP($C249,难度推算表,副本难度推算!$M$3,FALSE)*副本难度推算!$Y$7*Q249</f>
        <v>441046.83430222829</v>
      </c>
      <c r="L249" s="72">
        <f>VLOOKUP($C249,难度推算表,副本难度推算!$P$3,FALSE)*副本难度推算!$Z$7*$R249+VLOOKUP($C249,难度推算表,副本难度推算!$H$3,FALSE)</f>
        <v>9329.2826443297454</v>
      </c>
      <c r="M249" s="72">
        <f>VLOOKUP($C249,难度推算表,副本难度推算!$G$3,FALSE)-VLOOKUP($C249,难度推算表,副本难度推算!$I$3,FALSE)*(2-副本难度推算!$AA$7)*(2-$S249)</f>
        <v>3136.5862273719877</v>
      </c>
      <c r="N249" s="2">
        <f>VLOOKUP($C249,难度推算表,副本难度推算!$Q$3,FALSE)</f>
        <v>3311.2280000000001</v>
      </c>
      <c r="O249" s="2">
        <f>VLOOKUP($C249,难度推算表,副本难度推算!$R$3,FALSE)</f>
        <v>0</v>
      </c>
      <c r="Q249" s="140">
        <f t="shared" si="19"/>
        <v>1.04</v>
      </c>
      <c r="R249" s="140">
        <f t="shared" si="20"/>
        <v>0.72000000000000008</v>
      </c>
      <c r="S249" s="140">
        <f t="shared" si="21"/>
        <v>0.64000000000000012</v>
      </c>
      <c r="V249" s="140"/>
      <c r="W249" s="140"/>
      <c r="X249" s="140"/>
    </row>
    <row r="250" spans="1:24">
      <c r="A250" s="2" t="str">
        <f t="shared" si="23"/>
        <v>逃亡</v>
      </c>
      <c r="B250" s="2" t="str">
        <f>怪物并表!$R$14</f>
        <v>英雄之路</v>
      </c>
      <c r="C250" s="2">
        <v>52</v>
      </c>
      <c r="D250" s="28">
        <f t="shared" si="18"/>
        <v>1904</v>
      </c>
      <c r="E250" s="72">
        <f>VLOOKUP($C250,难度推算表,副本难度推算!$M$3,FALSE)*副本难度推算!$Y$5*Q250</f>
        <v>194103.6581158381</v>
      </c>
      <c r="F250" s="72">
        <f>VLOOKUP($C250,难度推算表,副本难度推算!$P$3,FALSE)*副本难度推算!$Z$5*$R250+VLOOKUP($C250,难度推算表,副本难度推算!$H$3,FALSE)</f>
        <v>9084.506535993034</v>
      </c>
      <c r="G250" s="72">
        <f>VLOOKUP($C250,难度推算表,副本难度推算!$G$3,FALSE)-VLOOKUP($C250,难度推算表,副本难度推算!$I$3,FALSE)*(2-副本难度推算!$AA$5)*(2-$S250)</f>
        <v>2065.8225154033453</v>
      </c>
      <c r="H250" s="72">
        <f>VLOOKUP($C250,难度推算表,副本难度推算!$M$3,FALSE)*副本难度推算!$Y$6*Q250</f>
        <v>155282.92649267049</v>
      </c>
      <c r="I250" s="72">
        <f>VLOOKUP($C250,难度推算表,副本难度推算!$P$3,FALSE)*副本难度推算!$Z$6*$R250+VLOOKUP($C250,难度推算表,副本难度推算!$H$3,FALSE)</f>
        <v>8551.6599761034304</v>
      </c>
      <c r="J250" s="72">
        <f>VLOOKUP($C250,难度推算表,副本难度推算!$G$3,FALSE)-VLOOKUP($C250,难度推算表,副本难度推算!$I$3,FALSE)*(2-副本难度推算!$AA$6)*(2-$S250)</f>
        <v>788.76859679036897</v>
      </c>
      <c r="K250" s="72">
        <f>VLOOKUP($C250,难度推算表,副本难度推算!$M$3,FALSE)*副本难度推算!$Y$7*Q250</f>
        <v>485259.14528959524</v>
      </c>
      <c r="L250" s="72">
        <f>VLOOKUP($C250,难度推算表,副本难度推算!$P$3,FALSE)*副本难度推算!$Z$7*$R250+VLOOKUP($C250,难度推算表,副本难度推算!$H$3,FALSE)</f>
        <v>10150.199655772243</v>
      </c>
      <c r="M250" s="72">
        <f>VLOOKUP($C250,难度推算表,副本难度推算!$G$3,FALSE)-VLOOKUP($C250,难度推算表,副本难度推算!$I$3,FALSE)*(2-副本难度推算!$AA$7)*(2-$S250)</f>
        <v>3342.8764340163216</v>
      </c>
      <c r="N250" s="2">
        <f>VLOOKUP($C250,难度推算表,副本难度推算!$Q$3,FALSE)</f>
        <v>3369.4560000000001</v>
      </c>
      <c r="O250" s="2">
        <f>VLOOKUP($C250,难度推算表,副本难度推算!$R$3,FALSE)</f>
        <v>0</v>
      </c>
      <c r="Q250" s="140">
        <f t="shared" si="19"/>
        <v>1.04</v>
      </c>
      <c r="R250" s="140">
        <f t="shared" si="20"/>
        <v>0.72000000000000008</v>
      </c>
      <c r="S250" s="140">
        <f t="shared" si="21"/>
        <v>0.64000000000000012</v>
      </c>
      <c r="V250" s="140"/>
      <c r="W250" s="140"/>
      <c r="X250" s="140"/>
    </row>
    <row r="251" spans="1:24">
      <c r="A251" s="2" t="str">
        <f t="shared" si="23"/>
        <v>逃亡</v>
      </c>
      <c r="B251" s="2" t="str">
        <f>怪物并表!$R$14</f>
        <v>英雄之路</v>
      </c>
      <c r="C251" s="2">
        <v>53</v>
      </c>
      <c r="D251" s="28">
        <f t="shared" si="18"/>
        <v>1904</v>
      </c>
      <c r="E251" s="72">
        <f>VLOOKUP($C251,难度推算表,副本难度推算!$M$3,FALSE)*副本难度推算!$Y$5*Q251</f>
        <v>209377.29086962188</v>
      </c>
      <c r="F251" s="72">
        <f>VLOOKUP($C251,难度推算表,副本难度推算!$P$3,FALSE)*副本难度推算!$Z$5*$R251+VLOOKUP($C251,难度推算表,副本难度推算!$H$3,FALSE)</f>
        <v>9855.4109134595365</v>
      </c>
      <c r="G251" s="72">
        <f>VLOOKUP($C251,难度推算表,副本难度推算!$G$3,FALSE)-VLOOKUP($C251,难度推算表,副本难度推算!$I$3,FALSE)*(2-副本难度推算!$AA$5)*(2-$S251)</f>
        <v>2202.9191647545167</v>
      </c>
      <c r="H251" s="72">
        <f>VLOOKUP($C251,难度推算表,副本难度推算!$M$3,FALSE)*副本难度推算!$Y$6*Q251</f>
        <v>167501.83269569752</v>
      </c>
      <c r="I251" s="72">
        <f>VLOOKUP($C251,难度推算表,副本难度推算!$P$3,FALSE)*副本难度推算!$Z$6*$R251+VLOOKUP($C251,难度推算表,副本难度推算!$H$3,FALSE)</f>
        <v>9270.4005793416763</v>
      </c>
      <c r="J251" s="72">
        <f>VLOOKUP($C251,难度推算表,副本难度推算!$G$3,FALSE)-VLOOKUP($C251,难度推算表,副本难度推算!$I$3,FALSE)*(2-副本难度推算!$AA$6)*(2-$S251)</f>
        <v>841.11459017899779</v>
      </c>
      <c r="K251" s="72">
        <f>VLOOKUP($C251,难度推算表,副本难度推算!$M$3,FALSE)*副本难度推算!$Y$7*Q251</f>
        <v>523443.22717405471</v>
      </c>
      <c r="L251" s="72">
        <f>VLOOKUP($C251,难度推算表,副本难度推算!$P$3,FALSE)*副本难度推算!$Z$7*$R251+VLOOKUP($C251,难度推算表,副本难度推算!$H$3,FALSE)</f>
        <v>11025.431581695255</v>
      </c>
      <c r="M251" s="72">
        <f>VLOOKUP($C251,难度推算表,副本难度推算!$G$3,FALSE)-VLOOKUP($C251,难度推算表,副本难度推算!$I$3,FALSE)*(2-副本难度推算!$AA$7)*(2-$S251)</f>
        <v>3564.7237393300347</v>
      </c>
      <c r="N251" s="2">
        <f>VLOOKUP($C251,难度推算表,副本难度推算!$Q$3,FALSE)</f>
        <v>3427.6839999999997</v>
      </c>
      <c r="O251" s="2">
        <f>VLOOKUP($C251,难度推算表,副本难度推算!$R$3,FALSE)</f>
        <v>0</v>
      </c>
      <c r="Q251" s="140">
        <f t="shared" si="19"/>
        <v>1.04</v>
      </c>
      <c r="R251" s="140">
        <f t="shared" si="20"/>
        <v>0.72000000000000008</v>
      </c>
      <c r="S251" s="140">
        <f t="shared" si="21"/>
        <v>0.64000000000000012</v>
      </c>
      <c r="V251" s="140"/>
      <c r="W251" s="140"/>
      <c r="X251" s="140"/>
    </row>
    <row r="252" spans="1:24">
      <c r="A252" s="2" t="str">
        <f t="shared" si="23"/>
        <v>逃亡</v>
      </c>
      <c r="B252" s="2" t="str">
        <f>怪物并表!$R$14</f>
        <v>英雄之路</v>
      </c>
      <c r="C252" s="2">
        <v>54</v>
      </c>
      <c r="D252" s="28">
        <f t="shared" si="18"/>
        <v>1904</v>
      </c>
      <c r="E252" s="72">
        <f>VLOOKUP($C252,难度推算表,副本难度推算!$M$3,FALSE)*副本难度推算!$Y$5*Q252</f>
        <v>225466.14424652257</v>
      </c>
      <c r="F252" s="72">
        <f>VLOOKUP($C252,难度推算表,副本难度推算!$P$3,FALSE)*副本难度推算!$Z$5*$R252+VLOOKUP($C252,难度推算表,副本难度推算!$H$3,FALSE)</f>
        <v>10675.526746733005</v>
      </c>
      <c r="G252" s="72">
        <f>VLOOKUP($C252,难度推算表,副本难度推算!$G$3,FALSE)-VLOOKUP($C252,难度推算表,副本难度推算!$I$3,FALSE)*(2-副本难度推算!$AA$5)*(2-$S252)</f>
        <v>2345.4612016000019</v>
      </c>
      <c r="H252" s="72">
        <f>VLOOKUP($C252,难度推算表,副本难度推算!$M$3,FALSE)*副本难度推算!$Y$6*Q252</f>
        <v>180372.91539721808</v>
      </c>
      <c r="I252" s="72">
        <f>VLOOKUP($C252,难度推算表,副本难度推算!$P$3,FALSE)*副本难度推算!$Z$6*$R252+VLOOKUP($C252,难度推算表,副本难度推算!$H$3,FALSE)</f>
        <v>10034.421563259704</v>
      </c>
      <c r="J252" s="72">
        <f>VLOOKUP($C252,难度推算表,副本难度推算!$G$3,FALSE)-VLOOKUP($C252,难度推算表,副本难度推算!$I$3,FALSE)*(2-副本难度推算!$AA$6)*(2-$S252)</f>
        <v>895.53973152000071</v>
      </c>
      <c r="K252" s="72">
        <f>VLOOKUP($C252,难度推算表,副本难度推算!$M$3,FALSE)*副本难度推算!$Y$7*Q252</f>
        <v>563665.36061630643</v>
      </c>
      <c r="L252" s="72">
        <f>VLOOKUP($C252,难度推算表,副本难度推算!$P$3,FALSE)*副本难度推算!$Z$7*$R252+VLOOKUP($C252,难度推算表,副本难度推算!$H$3,FALSE)</f>
        <v>11957.737113679603</v>
      </c>
      <c r="M252" s="72">
        <f>VLOOKUP($C252,难度推算表,副本难度推算!$G$3,FALSE)-VLOOKUP($C252,难度推算表,副本难度推算!$I$3,FALSE)*(2-副本难度推算!$AA$7)*(2-$S252)</f>
        <v>3795.3826716800022</v>
      </c>
      <c r="N252" s="2">
        <f>VLOOKUP($C252,难度推算表,副本难度推算!$Q$3,FALSE)</f>
        <v>3485.9119999999998</v>
      </c>
      <c r="O252" s="2">
        <f>VLOOKUP($C252,难度推算表,副本难度推算!$R$3,FALSE)</f>
        <v>0</v>
      </c>
      <c r="Q252" s="140">
        <f t="shared" si="19"/>
        <v>1.04</v>
      </c>
      <c r="R252" s="140">
        <f t="shared" si="20"/>
        <v>0.72000000000000008</v>
      </c>
      <c r="S252" s="140">
        <f t="shared" si="21"/>
        <v>0.64000000000000012</v>
      </c>
      <c r="V252" s="140"/>
      <c r="W252" s="140"/>
      <c r="X252" s="140"/>
    </row>
    <row r="253" spans="1:24">
      <c r="A253" s="2" t="str">
        <f t="shared" si="23"/>
        <v>逃亡</v>
      </c>
      <c r="B253" s="2" t="str">
        <f>怪物并表!$R$14</f>
        <v>英雄之路</v>
      </c>
      <c r="C253" s="2">
        <v>55</v>
      </c>
      <c r="D253" s="28">
        <f t="shared" si="18"/>
        <v>1904</v>
      </c>
      <c r="E253" s="72">
        <f>VLOOKUP($C253,难度推算表,副本难度推算!$M$3,FALSE)*副本难度推算!$Y$5*Q253</f>
        <v>242395.93573535618</v>
      </c>
      <c r="F253" s="72">
        <f>VLOOKUP($C253,难度推算表,副本难度推算!$P$3,FALSE)*副本难度推算!$Z$5*$R253+VLOOKUP($C253,难度推算表,副本难度推算!$H$3,FALSE)</f>
        <v>11547.28091576611</v>
      </c>
      <c r="G253" s="72">
        <f>VLOOKUP($C253,难度推算表,副本难度推算!$G$3,FALSE)-VLOOKUP($C253,难度推算表,副本难度推算!$I$3,FALSE)*(2-副本难度推算!$AA$5)*(2-$S253)</f>
        <v>2493.5402581103681</v>
      </c>
      <c r="H253" s="72">
        <f>VLOOKUP($C253,难度推算表,副本难度推算!$M$3,FALSE)*副本难度推算!$Y$6*Q253</f>
        <v>193916.74858828494</v>
      </c>
      <c r="I253" s="72">
        <f>VLOOKUP($C253,难度推算表,副本难度推算!$P$3,FALSE)*副本难度推算!$Z$6*$R253+VLOOKUP($C253,难度推算表,副本难度推算!$H$3,FALSE)</f>
        <v>10845.923780209569</v>
      </c>
      <c r="J253" s="72">
        <f>VLOOKUP($C253,难度推算表,副本难度推算!$G$3,FALSE)-VLOOKUP($C253,难度推算表,副本难度推算!$I$3,FALSE)*(2-副本难度推算!$AA$6)*(2-$S253)</f>
        <v>952.07900764213991</v>
      </c>
      <c r="K253" s="72">
        <f>VLOOKUP($C253,难度推算表,副本难度推算!$M$3,FALSE)*副本难度推算!$Y$7*Q253</f>
        <v>605989.83933839051</v>
      </c>
      <c r="L253" s="72">
        <f>VLOOKUP($C253,难度推算表,副本难度推算!$P$3,FALSE)*副本难度推算!$Z$7*$R253+VLOOKUP($C253,难度推算表,副本难度推算!$H$3,FALSE)</f>
        <v>12949.995186879201</v>
      </c>
      <c r="M253" s="72">
        <f>VLOOKUP($C253,难度推算表,副本难度推算!$G$3,FALSE)-VLOOKUP($C253,难度推算表,副本难度推算!$I$3,FALSE)*(2-副本难度推算!$AA$7)*(2-$S253)</f>
        <v>4035.0015085785963</v>
      </c>
      <c r="N253" s="2">
        <f>VLOOKUP($C253,难度推算表,副本难度推算!$Q$3,FALSE)</f>
        <v>3544.1399999999994</v>
      </c>
      <c r="O253" s="2">
        <f>VLOOKUP($C253,难度推算表,副本难度推算!$R$3,FALSE)</f>
        <v>0</v>
      </c>
      <c r="Q253" s="140">
        <f t="shared" si="19"/>
        <v>1.04</v>
      </c>
      <c r="R253" s="140">
        <f t="shared" si="20"/>
        <v>0.72000000000000008</v>
      </c>
      <c r="S253" s="140">
        <f t="shared" si="21"/>
        <v>0.64000000000000012</v>
      </c>
      <c r="V253" s="140"/>
      <c r="W253" s="140"/>
      <c r="X253" s="140"/>
    </row>
    <row r="254" spans="1:24">
      <c r="A254" s="2" t="str">
        <f t="shared" si="23"/>
        <v>逃亡</v>
      </c>
      <c r="B254" s="2" t="str">
        <f>怪物并表!$R$14</f>
        <v>英雄之路</v>
      </c>
      <c r="C254" s="2">
        <v>56</v>
      </c>
      <c r="D254" s="28">
        <f t="shared" si="18"/>
        <v>1904</v>
      </c>
      <c r="E254" s="72">
        <f>VLOOKUP($C254,难度推算表,副本难度推算!$M$3,FALSE)*副本难度推算!$Y$5*Q254</f>
        <v>260192.73430077705</v>
      </c>
      <c r="F254" s="72">
        <f>VLOOKUP($C254,难度推算表,副本难度推算!$P$3,FALSE)*副本难度推算!$Z$5*$R254+VLOOKUP($C254,难度推算表,副本难度推算!$H$3,FALSE)</f>
        <v>12473.205030732086</v>
      </c>
      <c r="G254" s="72">
        <f>VLOOKUP($C254,难度推算表,副本难度推算!$G$3,FALSE)-VLOOKUP($C254,难度推算表,副本难度推算!$I$3,FALSE)*(2-副本难度推算!$AA$5)*(2-$S254)</f>
        <v>2647.2479664561888</v>
      </c>
      <c r="H254" s="72">
        <f>VLOOKUP($C254,难度推算表,副本难度推算!$M$3,FALSE)*副本难度推算!$Y$6*Q254</f>
        <v>208154.18744062164</v>
      </c>
      <c r="I254" s="72">
        <f>VLOOKUP($C254,难度推算表,副本难度推算!$P$3,FALSE)*副本难度推算!$Z$6*$R254+VLOOKUP($C254,难度推算表,副本难度推算!$H$3,FALSE)</f>
        <v>11707.20233974182</v>
      </c>
      <c r="J254" s="72">
        <f>VLOOKUP($C254,难度推算表,副本难度推算!$G$3,FALSE)-VLOOKUP($C254,难度推算表,副本难度推算!$I$3,FALSE)*(2-副本难度推算!$AA$6)*(2-$S254)</f>
        <v>1010.7674053741812</v>
      </c>
      <c r="K254" s="72">
        <f>VLOOKUP($C254,难度推算表,副本难度推算!$M$3,FALSE)*副本难度推算!$Y$7*Q254</f>
        <v>650481.83575194271</v>
      </c>
      <c r="L254" s="72">
        <f>VLOOKUP($C254,难度推算表,副本难度推算!$P$3,FALSE)*副本难度推算!$Z$7*$R254+VLOOKUP($C254,难度推算表,副本难度推算!$H$3,FALSE)</f>
        <v>14005.210412712615</v>
      </c>
      <c r="M254" s="72">
        <f>VLOOKUP($C254,难度推算表,副本难度推算!$G$3,FALSE)-VLOOKUP($C254,难度推算表,副本难度推算!$I$3,FALSE)*(2-副本难度推算!$AA$7)*(2-$S254)</f>
        <v>4283.7285275381964</v>
      </c>
      <c r="N254" s="2">
        <f>VLOOKUP($C254,难度推算表,副本难度推算!$Q$3,FALSE)</f>
        <v>3602.3680000000004</v>
      </c>
      <c r="O254" s="2">
        <f>VLOOKUP($C254,难度推算表,副本难度推算!$R$3,FALSE)</f>
        <v>0</v>
      </c>
      <c r="Q254" s="140">
        <f t="shared" si="19"/>
        <v>1.04</v>
      </c>
      <c r="R254" s="140">
        <f t="shared" si="20"/>
        <v>0.72000000000000008</v>
      </c>
      <c r="S254" s="140">
        <f t="shared" si="21"/>
        <v>0.64000000000000012</v>
      </c>
      <c r="V254" s="140"/>
      <c r="W254" s="140"/>
      <c r="X254" s="140"/>
    </row>
    <row r="255" spans="1:24">
      <c r="A255" s="2" t="str">
        <f t="shared" si="23"/>
        <v>逃亡</v>
      </c>
      <c r="B255" s="2" t="str">
        <f>怪物并表!$R$14</f>
        <v>英雄之路</v>
      </c>
      <c r="C255" s="2">
        <v>57</v>
      </c>
      <c r="D255" s="28">
        <f t="shared" si="18"/>
        <v>1904</v>
      </c>
      <c r="E255" s="72">
        <f>VLOOKUP($C255,难度推算表,副本难度推算!$M$3,FALSE)*副本难度推算!$Y$5*Q255</f>
        <v>278882.96025306074</v>
      </c>
      <c r="F255" s="72">
        <f>VLOOKUP($C255,难度推算表,副本难度推算!$P$3,FALSE)*副本难度推算!$Z$5*$R255+VLOOKUP($C255,难度推算表,副本难度推算!$H$3,FALSE)</f>
        <v>13455.940206958727</v>
      </c>
      <c r="G255" s="72">
        <f>VLOOKUP($C255,难度推算表,副本难度推算!$G$3,FALSE)-VLOOKUP($C255,难度推算表,副本难度推算!$I$3,FALSE)*(2-副本难度推算!$AA$5)*(2-$S255)</f>
        <v>2806.6759588080295</v>
      </c>
      <c r="H255" s="72">
        <f>VLOOKUP($C255,难度推算表,副本难度推算!$M$3,FALSE)*副本难度推算!$Y$6*Q255</f>
        <v>223106.36820244862</v>
      </c>
      <c r="I255" s="72">
        <f>VLOOKUP($C255,难度推算表,副本难度推算!$P$3,FALSE)*副本难度推算!$Z$6*$R255+VLOOKUP($C255,难度推算表,副本难度推算!$H$3,FALSE)</f>
        <v>12620.650906046134</v>
      </c>
      <c r="J255" s="72">
        <f>VLOOKUP($C255,难度推算表,副本难度推算!$G$3,FALSE)-VLOOKUP($C255,难度推算表,副本难度推算!$I$3,FALSE)*(2-副本难度推算!$AA$6)*(2-$S255)</f>
        <v>1071.6399115448839</v>
      </c>
      <c r="K255" s="72">
        <f>VLOOKUP($C255,难度推算表,副本难度推算!$M$3,FALSE)*副本难度推算!$Y$7*Q255</f>
        <v>697207.40063265199</v>
      </c>
      <c r="L255" s="72">
        <f>VLOOKUP($C255,难度推算表,副本难度推算!$P$3,FALSE)*副本难度推算!$Z$7*$R255+VLOOKUP($C255,难度推算表,副本难度推算!$H$3,FALSE)</f>
        <v>15126.51880878392</v>
      </c>
      <c r="M255" s="72">
        <f>VLOOKUP($C255,难度推算表,副本难度推算!$G$3,FALSE)-VLOOKUP($C255,难度推算表,副本难度推算!$I$3,FALSE)*(2-副本难度推算!$AA$7)*(2-$S255)</f>
        <v>4541.7120060711723</v>
      </c>
      <c r="N255" s="2">
        <f>VLOOKUP($C255,难度推算表,副本难度推算!$Q$3,FALSE)</f>
        <v>3660.596</v>
      </c>
      <c r="O255" s="2">
        <f>VLOOKUP($C255,难度推算表,副本难度推算!$R$3,FALSE)</f>
        <v>0</v>
      </c>
      <c r="Q255" s="140">
        <f t="shared" si="19"/>
        <v>1.04</v>
      </c>
      <c r="R255" s="140">
        <f t="shared" si="20"/>
        <v>0.72000000000000008</v>
      </c>
      <c r="S255" s="140">
        <f t="shared" si="21"/>
        <v>0.64000000000000012</v>
      </c>
      <c r="V255" s="140"/>
      <c r="W255" s="140"/>
      <c r="X255" s="140"/>
    </row>
    <row r="256" spans="1:24">
      <c r="A256" s="2" t="str">
        <f t="shared" si="23"/>
        <v>逃亡</v>
      </c>
      <c r="B256" s="2" t="str">
        <f>怪物并表!$R$14</f>
        <v>英雄之路</v>
      </c>
      <c r="C256" s="2">
        <v>58</v>
      </c>
      <c r="D256" s="28">
        <f t="shared" si="18"/>
        <v>1904</v>
      </c>
      <c r="E256" s="72">
        <f>VLOOKUP($C256,难度推算表,副本难度推算!$M$3,FALSE)*副本难度推算!$Y$5*Q256</f>
        <v>298493.38511505746</v>
      </c>
      <c r="F256" s="72">
        <f>VLOOKUP($C256,难度推算表,副本难度推算!$P$3,FALSE)*副本难度推算!$Z$5*$R256+VLOOKUP($C256,难度推算表,副本难度推算!$H$3,FALSE)</f>
        <v>14498.242103509194</v>
      </c>
      <c r="G256" s="72">
        <f>VLOOKUP($C256,难度推算表,副本难度推算!$G$3,FALSE)-VLOOKUP($C256,难度推算表,副本难度推算!$I$3,FALSE)*(2-副本难度推算!$AA$5)*(2-$S256)</f>
        <v>2971.9158673364564</v>
      </c>
      <c r="H256" s="72">
        <f>VLOOKUP($C256,难度推算表,副本难度推算!$M$3,FALSE)*副本难度推算!$Y$6*Q256</f>
        <v>238794.70809204597</v>
      </c>
      <c r="I256" s="72">
        <f>VLOOKUP($C256,难度推算表,副本难度推算!$P$3,FALSE)*副本难度推算!$Z$6*$R256+VLOOKUP($C256,难度推算表,副本难度推算!$H$3,FALSE)</f>
        <v>13588.766232673994</v>
      </c>
      <c r="J256" s="72">
        <f>VLOOKUP($C256,难度推算表,副本难度推算!$G$3,FALSE)-VLOOKUP($C256,难度推算表,副本难度推算!$I$3,FALSE)*(2-副本难度推算!$AA$6)*(2-$S256)</f>
        <v>1134.7315129830113</v>
      </c>
      <c r="K256" s="72">
        <f>VLOOKUP($C256,难度推算表,副本难度推算!$M$3,FALSE)*副本难度推算!$Y$7*Q256</f>
        <v>746233.46278764354</v>
      </c>
      <c r="L256" s="72">
        <f>VLOOKUP($C256,难度推算表,副本难度推算!$P$3,FALSE)*副本难度推算!$Z$7*$R256+VLOOKUP($C256,难度推算表,副本难度推算!$H$3,FALSE)</f>
        <v>16317.193845179594</v>
      </c>
      <c r="M256" s="72">
        <f>VLOOKUP($C256,难度推算表,副本难度推算!$G$3,FALSE)-VLOOKUP($C256,难度推算表,副本难度推算!$I$3,FALSE)*(2-副本难度推算!$AA$7)*(2-$S256)</f>
        <v>4809.1002216899024</v>
      </c>
      <c r="N256" s="2">
        <f>VLOOKUP($C256,难度推算表,副本难度推算!$Q$3,FALSE)</f>
        <v>3718.8240000000001</v>
      </c>
      <c r="O256" s="2">
        <f>VLOOKUP($C256,难度推算表,副本难度推算!$R$3,FALSE)</f>
        <v>0</v>
      </c>
      <c r="Q256" s="140">
        <f t="shared" si="19"/>
        <v>1.04</v>
      </c>
      <c r="R256" s="140">
        <f t="shared" si="20"/>
        <v>0.72000000000000008</v>
      </c>
      <c r="S256" s="140">
        <f t="shared" si="21"/>
        <v>0.64000000000000012</v>
      </c>
      <c r="V256" s="140"/>
      <c r="W256" s="140"/>
      <c r="X256" s="140"/>
    </row>
    <row r="257" spans="1:24">
      <c r="A257" s="2" t="str">
        <f t="shared" si="23"/>
        <v>逃亡</v>
      </c>
      <c r="B257" s="2" t="str">
        <f>怪物并表!$R$14</f>
        <v>英雄之路</v>
      </c>
      <c r="C257" s="2">
        <v>59</v>
      </c>
      <c r="D257" s="28">
        <f t="shared" si="18"/>
        <v>1904</v>
      </c>
      <c r="E257" s="72">
        <f>VLOOKUP($C257,难度推算表,副本难度推算!$M$3,FALSE)*副本难度推算!$Y$5*Q257</f>
        <v>319051.13148691563</v>
      </c>
      <c r="F257" s="72">
        <f>VLOOKUP($C257,难度推算表,副本难度推算!$P$3,FALSE)*副本难度推算!$Z$5*$R257+VLOOKUP($C257,难度推算表,副本难度推算!$H$3,FALSE)</f>
        <v>15602.986242550487</v>
      </c>
      <c r="G257" s="72">
        <f>VLOOKUP($C257,难度推算表,副本难度推算!$G$3,FALSE)-VLOOKUP($C257,难度推算表,副本难度推算!$I$3,FALSE)*(2-副本难度推算!$AA$5)*(2-$S257)</f>
        <v>3143.0593242120431</v>
      </c>
      <c r="H257" s="72">
        <f>VLOOKUP($C257,难度推算表,副本难度推算!$M$3,FALSE)*副本难度推算!$Y$6*Q257</f>
        <v>255240.9051895325</v>
      </c>
      <c r="I257" s="72">
        <f>VLOOKUP($C257,难度推算表,副本难度推算!$P$3,FALSE)*副本难度推算!$Z$6*$R257+VLOOKUP($C257,难度推算表,副本难度推算!$H$3,FALSE)</f>
        <v>14614.152949970357</v>
      </c>
      <c r="J257" s="72">
        <f>VLOOKUP($C257,难度推算表,副本难度推算!$G$3,FALSE)-VLOOKUP($C257,难度推算表,副本难度推算!$I$3,FALSE)*(2-副本难度推算!$AA$6)*(2-$S257)</f>
        <v>1200.077196517328</v>
      </c>
      <c r="K257" s="72">
        <f>VLOOKUP($C257,难度推算表,副本难度推算!$M$3,FALSE)*副本难度推算!$Y$7*Q257</f>
        <v>797627.82871728914</v>
      </c>
      <c r="L257" s="72">
        <f>VLOOKUP($C257,难度推算表,副本难度推算!$P$3,FALSE)*副本难度推算!$Z$7*$R257+VLOOKUP($C257,难度推算表,副本难度推算!$H$3,FALSE)</f>
        <v>17580.652827710754</v>
      </c>
      <c r="M257" s="72">
        <f>VLOOKUP($C257,难度推算表,副本难度推算!$G$3,FALSE)-VLOOKUP($C257,难度推算表,副本难度推算!$I$3,FALSE)*(2-副本难度推算!$AA$7)*(2-$S257)</f>
        <v>5086.0414519067581</v>
      </c>
      <c r="N257" s="2">
        <f>VLOOKUP($C257,难度推算表,副本难度推算!$Q$3,FALSE)</f>
        <v>3777.0519999999997</v>
      </c>
      <c r="O257" s="2">
        <f>VLOOKUP($C257,难度推算表,副本难度推算!$R$3,FALSE)</f>
        <v>0</v>
      </c>
      <c r="Q257" s="140">
        <f t="shared" si="19"/>
        <v>1.04</v>
      </c>
      <c r="R257" s="140">
        <f t="shared" si="20"/>
        <v>0.72000000000000008</v>
      </c>
      <c r="S257" s="140">
        <f t="shared" si="21"/>
        <v>0.64000000000000012</v>
      </c>
      <c r="V257" s="140"/>
      <c r="W257" s="140"/>
      <c r="X257" s="140"/>
    </row>
    <row r="258" spans="1:24">
      <c r="A258" s="2" t="str">
        <f t="shared" si="23"/>
        <v>逃亡</v>
      </c>
      <c r="B258" s="2" t="str">
        <f>怪物并表!$R$14</f>
        <v>英雄之路</v>
      </c>
      <c r="C258" s="2">
        <v>60</v>
      </c>
      <c r="D258" s="28">
        <f t="shared" si="18"/>
        <v>1904</v>
      </c>
      <c r="E258" s="72">
        <f>VLOOKUP($C258,难度推算表,副本难度推算!$M$3,FALSE)*副本难度推算!$Y$5*Q258</f>
        <v>342261.42499239492</v>
      </c>
      <c r="F258" s="72">
        <f>VLOOKUP($C258,难度推算表,副本难度推算!$P$3,FALSE)*副本难度推算!$Z$5*$R258+VLOOKUP($C258,难度推算表,副本难度推算!$H$3,FALSE)</f>
        <v>16855.800099010041</v>
      </c>
      <c r="G258" s="72">
        <f>VLOOKUP($C258,难度推算表,副本难度推算!$G$3,FALSE)-VLOOKUP($C258,难度推算表,副本难度推算!$I$3,FALSE)*(2-副本难度推算!$AA$5)*(2-$S258)</f>
        <v>3336.5536165886315</v>
      </c>
      <c r="H258" s="72">
        <f>VLOOKUP($C258,难度推算表,副本难度推算!$M$3,FALSE)*副本难度推算!$Y$6*Q258</f>
        <v>273809.13999391592</v>
      </c>
      <c r="I258" s="72">
        <f>VLOOKUP($C258,难度推算表,副本难度推算!$P$3,FALSE)*副本难度推算!$Z$6*$R258+VLOOKUP($C258,难度推算表,副本难度推算!$H$3,FALSE)</f>
        <v>15776.86620121606</v>
      </c>
      <c r="J258" s="72">
        <f>VLOOKUP($C258,难度推算表,副本难度推算!$G$3,FALSE)-VLOOKUP($C258,难度推算表,副本难度推算!$I$3,FALSE)*(2-副本难度推算!$AA$6)*(2-$S258)</f>
        <v>1273.9568354247513</v>
      </c>
      <c r="K258" s="72">
        <f>VLOOKUP($C258,难度推算表,副本难度推算!$M$3,FALSE)*副本难度推算!$Y$7*Q258</f>
        <v>855653.56248098728</v>
      </c>
      <c r="L258" s="72">
        <f>VLOOKUP($C258,难度推算表,副本难度推算!$P$3,FALSE)*副本难度推算!$Z$7*$R258+VLOOKUP($C258,难度推算表,副本难度推算!$H$3,FALSE)</f>
        <v>19013.667894598002</v>
      </c>
      <c r="M258" s="72">
        <f>VLOOKUP($C258,难度推算表,副本难度推算!$G$3,FALSE)-VLOOKUP($C258,难度推算表,副本难度推算!$I$3,FALSE)*(2-副本难度推算!$AA$7)*(2-$S258)</f>
        <v>5399.1503977525117</v>
      </c>
      <c r="N258" s="2">
        <f>VLOOKUP($C258,难度推算表,副本难度推算!$Q$3,FALSE)</f>
        <v>3835.2799999999997</v>
      </c>
      <c r="O258" s="2">
        <f>VLOOKUP($C258,难度推算表,副本难度推算!$R$3,FALSE)</f>
        <v>0</v>
      </c>
      <c r="Q258" s="140">
        <f t="shared" si="19"/>
        <v>1.04</v>
      </c>
      <c r="R258" s="140">
        <f t="shared" si="20"/>
        <v>0.72000000000000008</v>
      </c>
      <c r="S258" s="140">
        <f t="shared" si="21"/>
        <v>0.64000000000000012</v>
      </c>
      <c r="V258" s="140"/>
      <c r="W258" s="140"/>
      <c r="X258" s="140"/>
    </row>
    <row r="259" spans="1:24">
      <c r="A259" s="2" t="str">
        <f t="shared" si="23"/>
        <v>逃亡</v>
      </c>
      <c r="B259" s="2" t="str">
        <f>怪物并表!$R$14</f>
        <v>英雄之路</v>
      </c>
      <c r="C259" s="2">
        <v>61</v>
      </c>
      <c r="D259" s="28">
        <f t="shared" si="18"/>
        <v>1904</v>
      </c>
      <c r="E259" s="72">
        <f>VLOOKUP($C259,难度推算表,副本难度推算!$M$3,FALSE)*副本难度推算!$Y$5*Q259</f>
        <v>366610.36097149836</v>
      </c>
      <c r="F259" s="72">
        <f>VLOOKUP($C259,难度推算表,副本难度推算!$P$3,FALSE)*副本难度推算!$Z$5*$R259+VLOOKUP($C259,难度推算表,副本难度推算!$H$3,FALSE)</f>
        <v>18185.128381700393</v>
      </c>
      <c r="G259" s="72">
        <f>VLOOKUP($C259,难度推算表,副本难度推算!$G$3,FALSE)-VLOOKUP($C259,难度推算表,副本难度推算!$I$3,FALSE)*(2-副本难度推算!$AA$5)*(2-$S259)</f>
        <v>3537.110175260872</v>
      </c>
      <c r="H259" s="72">
        <f>VLOOKUP($C259,难度推算表,副本难度推算!$M$3,FALSE)*副本难度推算!$Y$6*Q259</f>
        <v>293288.2887771987</v>
      </c>
      <c r="I259" s="72">
        <f>VLOOKUP($C259,难度推算表,副本难度推算!$P$3,FALSE)*副本难度推算!$Z$6*$R259+VLOOKUP($C259,难度推算表,副本难度推算!$H$3,FALSE)</f>
        <v>17009.726484486877</v>
      </c>
      <c r="J259" s="72">
        <f>VLOOKUP($C259,难度推算表,副本难度推算!$G$3,FALSE)-VLOOKUP($C259,难度推算表,副本难度推算!$I$3,FALSE)*(2-副本难度推算!$AA$6)*(2-$S259)</f>
        <v>1350.532976008697</v>
      </c>
      <c r="K259" s="72">
        <f>VLOOKUP($C259,难度推算表,副本难度推算!$M$3,FALSE)*副本难度推算!$Y$7*Q259</f>
        <v>916525.90242874587</v>
      </c>
      <c r="L259" s="72">
        <f>VLOOKUP($C259,难度推算表,副本难度推算!$P$3,FALSE)*副本难度推算!$Z$7*$R259+VLOOKUP($C259,难度推算表,副本难度推算!$H$3,FALSE)</f>
        <v>20535.932176127426</v>
      </c>
      <c r="M259" s="72">
        <f>VLOOKUP($C259,难度推算表,副本难度推算!$G$3,FALSE)-VLOOKUP($C259,难度推算表,副本难度推算!$I$3,FALSE)*(2-副本难度推算!$AA$7)*(2-$S259)</f>
        <v>5723.6873745130451</v>
      </c>
      <c r="N259" s="2">
        <f>VLOOKUP($C259,难度推算表,副本难度推算!$Q$3,FALSE)</f>
        <v>3893.5080000000003</v>
      </c>
      <c r="O259" s="2">
        <f>VLOOKUP($C259,难度推算表,副本难度推算!$R$3,FALSE)</f>
        <v>0</v>
      </c>
      <c r="Q259" s="140">
        <f t="shared" si="19"/>
        <v>1.04</v>
      </c>
      <c r="R259" s="140">
        <f t="shared" si="20"/>
        <v>0.72000000000000008</v>
      </c>
      <c r="S259" s="140">
        <f t="shared" si="21"/>
        <v>0.64000000000000012</v>
      </c>
      <c r="V259" s="140"/>
      <c r="W259" s="140"/>
      <c r="X259" s="140"/>
    </row>
    <row r="260" spans="1:24">
      <c r="A260" s="2" t="str">
        <f t="shared" si="23"/>
        <v>逃亡</v>
      </c>
      <c r="B260" s="2" t="str">
        <f>怪物并表!$R$14</f>
        <v>英雄之路</v>
      </c>
      <c r="C260" s="2">
        <v>62</v>
      </c>
      <c r="D260" s="28">
        <f t="shared" si="18"/>
        <v>1904</v>
      </c>
      <c r="E260" s="72">
        <f>VLOOKUP($C260,难度推算表,副本难度推算!$M$3,FALSE)*副本难度推算!$Y$5*Q260</f>
        <v>392131.05357052607</v>
      </c>
      <c r="F260" s="72">
        <f>VLOOKUP($C260,难度推算表,副本难度推算!$P$3,FALSE)*副本难度推算!$Z$5*$R260+VLOOKUP($C260,难度推算表,副本难度推算!$H$3,FALSE)</f>
        <v>19594.694056239518</v>
      </c>
      <c r="G260" s="72">
        <f>VLOOKUP($C260,难度推算表,副本难度推算!$G$3,FALSE)-VLOOKUP($C260,难度推算表,副本难度推算!$I$3,FALSE)*(2-副本难度推算!$AA$5)*(2-$S260)</f>
        <v>3744.8389588334485</v>
      </c>
      <c r="H260" s="72">
        <f>VLOOKUP($C260,难度推算表,副本难度推算!$M$3,FALSE)*副本难度推算!$Y$6*Q260</f>
        <v>313704.84285642084</v>
      </c>
      <c r="I260" s="72">
        <f>VLOOKUP($C260,难度推算表,副本难度推算!$P$3,FALSE)*副本难度推算!$Z$6*$R260+VLOOKUP($C260,难度推算表,副本难度推算!$H$3,FALSE)</f>
        <v>18316.104461312556</v>
      </c>
      <c r="J260" s="72">
        <f>VLOOKUP($C260,难度推算表,副本难度推算!$G$3,FALSE)-VLOOKUP($C260,难度推算表,副本难度推算!$I$3,FALSE)*(2-副本难度推算!$AA$6)*(2-$S260)</f>
        <v>1429.8476024636821</v>
      </c>
      <c r="K260" s="72">
        <f>VLOOKUP($C260,难度推算表,副本难度推算!$M$3,FALSE)*副本难度推算!$Y$7*Q260</f>
        <v>980327.63392631512</v>
      </c>
      <c r="L260" s="72">
        <f>VLOOKUP($C260,难度推算表,副本难度推算!$P$3,FALSE)*副本难度推算!$Z$7*$R260+VLOOKUP($C260,难度推算表,副本难度推算!$H$3,FALSE)</f>
        <v>22151.873246093441</v>
      </c>
      <c r="M260" s="72">
        <f>VLOOKUP($C260,难度推算表,副本难度推算!$G$3,FALSE)-VLOOKUP($C260,难度推算表,副本难度推算!$I$3,FALSE)*(2-副本难度推算!$AA$7)*(2-$S260)</f>
        <v>6059.8303152032149</v>
      </c>
      <c r="N260" s="2">
        <f>VLOOKUP($C260,难度推算表,副本难度推算!$Q$3,FALSE)</f>
        <v>3951.7360000000003</v>
      </c>
      <c r="O260" s="2">
        <f>VLOOKUP($C260,难度推算表,副本难度推算!$R$3,FALSE)</f>
        <v>0</v>
      </c>
      <c r="Q260" s="140">
        <f t="shared" si="19"/>
        <v>1.04</v>
      </c>
      <c r="R260" s="140">
        <f t="shared" si="20"/>
        <v>0.72000000000000008</v>
      </c>
      <c r="S260" s="140">
        <f t="shared" si="21"/>
        <v>0.64000000000000012</v>
      </c>
      <c r="V260" s="140"/>
      <c r="W260" s="140"/>
      <c r="X260" s="140"/>
    </row>
    <row r="261" spans="1:24">
      <c r="A261" s="2" t="str">
        <f t="shared" si="23"/>
        <v>逃亡</v>
      </c>
      <c r="B261" s="2" t="str">
        <f>怪物并表!$R$14</f>
        <v>英雄之路</v>
      </c>
      <c r="C261" s="2">
        <v>63</v>
      </c>
      <c r="D261" s="28">
        <f t="shared" si="18"/>
        <v>1904</v>
      </c>
      <c r="E261" s="72">
        <f>VLOOKUP($C261,难度推算表,副本难度推算!$M$3,FALSE)*副本难度推算!$Y$5*Q261</f>
        <v>418857.03773117863</v>
      </c>
      <c r="F261" s="72">
        <f>VLOOKUP($C261,难度推算表,副本难度推算!$P$3,FALSE)*副本难度推算!$Z$5*$R261+VLOOKUP($C261,难度推算表,副本难度推算!$H$3,FALSE)</f>
        <v>21088.385532090917</v>
      </c>
      <c r="G261" s="72">
        <f>VLOOKUP($C261,难度推算表,副本难度推算!$G$3,FALSE)-VLOOKUP($C261,难度推算表,副本难度推算!$I$3,FALSE)*(2-副本难度推算!$AA$5)*(2-$S261)</f>
        <v>3959.8499259110376</v>
      </c>
      <c r="H261" s="72">
        <f>VLOOKUP($C261,难度推算表,副本难度推算!$M$3,FALSE)*副本难度推算!$Y$6*Q261</f>
        <v>335085.63018494291</v>
      </c>
      <c r="I261" s="72">
        <f>VLOOKUP($C261,难度推算表,副本难度推算!$P$3,FALSE)*副本难度推算!$Z$6*$R261+VLOOKUP($C261,难度推算表,副本难度推算!$H$3,FALSE)</f>
        <v>19699.519692683833</v>
      </c>
      <c r="J261" s="72">
        <f>VLOOKUP($C261,难度推算表,副本难度推算!$G$3,FALSE)-VLOOKUP($C261,难度推算表,副本难度推算!$I$3,FALSE)*(2-副本难度推算!$AA$6)*(2-$S261)</f>
        <v>1511.9426989842159</v>
      </c>
      <c r="K261" s="72">
        <f>VLOOKUP($C261,难度推算表,副本难度推算!$M$3,FALSE)*副本难度推算!$Y$7*Q261</f>
        <v>1047142.5943279467</v>
      </c>
      <c r="L261" s="72">
        <f>VLOOKUP($C261,难度推算表,副本难度推算!$P$3,FALSE)*副本难度推算!$Z$7*$R261+VLOOKUP($C261,难度推算表,副本难度推算!$H$3,FALSE)</f>
        <v>23866.117210905086</v>
      </c>
      <c r="M261" s="72">
        <f>VLOOKUP($C261,难度推算表,副本难度推算!$G$3,FALSE)-VLOOKUP($C261,难度推算表,副本难度推算!$I$3,FALSE)*(2-副本难度推算!$AA$7)*(2-$S261)</f>
        <v>6407.7571528378612</v>
      </c>
      <c r="N261" s="2">
        <f>VLOOKUP($C261,难度推算表,副本难度推算!$Q$3,FALSE)</f>
        <v>4009.9639999999999</v>
      </c>
      <c r="O261" s="2">
        <f>VLOOKUP($C261,难度推算表,副本难度推算!$R$3,FALSE)</f>
        <v>0</v>
      </c>
      <c r="Q261" s="140">
        <f t="shared" si="19"/>
        <v>1.04</v>
      </c>
      <c r="R261" s="140">
        <f t="shared" si="20"/>
        <v>0.72000000000000008</v>
      </c>
      <c r="S261" s="140">
        <f t="shared" si="21"/>
        <v>0.64000000000000012</v>
      </c>
      <c r="V261" s="140"/>
      <c r="W261" s="140"/>
      <c r="X261" s="140"/>
    </row>
    <row r="262" spans="1:24">
      <c r="A262" s="2" t="str">
        <f t="shared" si="23"/>
        <v>逃亡</v>
      </c>
      <c r="B262" s="2" t="str">
        <f>怪物并表!$R$14</f>
        <v>英雄之路</v>
      </c>
      <c r="C262" s="2">
        <v>64</v>
      </c>
      <c r="D262" s="28">
        <f t="shared" ref="D262:D325" si="24">1900+VLOOKUP(A262,$Z$11:$AA$16,2,FALSE)</f>
        <v>1904</v>
      </c>
      <c r="E262" s="72">
        <f>VLOOKUP($C262,难度推算表,副本难度推算!$M$3,FALSE)*副本难度推算!$Y$5*Q262</f>
        <v>446822.26902884035</v>
      </c>
      <c r="F262" s="72">
        <f>VLOOKUP($C262,难度推算表,副本难度推算!$P$3,FALSE)*副本难度推算!$Z$5*$R262+VLOOKUP($C262,难度推算表,副本难度推算!$H$3,FALSE)</f>
        <v>22670.264719893756</v>
      </c>
      <c r="G262" s="72">
        <f>VLOOKUP($C262,难度推算表,副本难度推算!$G$3,FALSE)-VLOOKUP($C262,难度推算表,副本难度推算!$I$3,FALSE)*(2-副本难度推算!$AA$5)*(2-$S262)</f>
        <v>4182.2530350983343</v>
      </c>
      <c r="H262" s="72">
        <f>VLOOKUP($C262,难度推算表,副本难度推算!$M$3,FALSE)*副本难度推算!$Y$6*Q262</f>
        <v>357457.81522307231</v>
      </c>
      <c r="I262" s="72">
        <f>VLOOKUP($C262,难度推算表,副本难度推算!$P$3,FALSE)*副本难度推算!$Z$6*$R262+VLOOKUP($C262,难度推算表,副本难度推算!$H$3,FALSE)</f>
        <v>21163.647890649532</v>
      </c>
      <c r="J262" s="72">
        <f>VLOOKUP($C262,难度推算表,副本难度推算!$G$3,FALSE)-VLOOKUP($C262,难度推算表,副本难度推算!$I$3,FALSE)*(2-副本难度推算!$AA$6)*(2-$S262)</f>
        <v>1596.8602497648226</v>
      </c>
      <c r="K262" s="72">
        <f>VLOOKUP($C262,难度推算表,副本难度推算!$M$3,FALSE)*副本难度推算!$Y$7*Q262</f>
        <v>1117055.672572101</v>
      </c>
      <c r="L262" s="72">
        <f>VLOOKUP($C262,难度推算表,副本难度推算!$P$3,FALSE)*副本难度推算!$Z$7*$R262+VLOOKUP($C262,难度推算表,副本难度推算!$H$3,FALSE)</f>
        <v>25683.498378382203</v>
      </c>
      <c r="M262" s="72">
        <f>VLOOKUP($C262,难度推算表,副本难度推算!$G$3,FALSE)-VLOOKUP($C262,难度推算表,副本难度推算!$I$3,FALSE)*(2-副本难度推算!$AA$7)*(2-$S262)</f>
        <v>6767.6458204318442</v>
      </c>
      <c r="N262" s="2">
        <f>VLOOKUP($C262,难度推算表,副本难度推算!$Q$3,FALSE)</f>
        <v>4068.192</v>
      </c>
      <c r="O262" s="2">
        <f>VLOOKUP($C262,难度推算表,副本难度推算!$R$3,FALSE)</f>
        <v>0</v>
      </c>
      <c r="Q262" s="140">
        <f t="shared" ref="Q262:Q325" si="25">VLOOKUP($A262,$Z$11:$AD$16,3,FALSE)*VLOOKUP(C262,$U$5:$X$75,2,FALSE)</f>
        <v>1.04</v>
      </c>
      <c r="R262" s="140">
        <f t="shared" ref="R262:R325" si="26">VLOOKUP($A262,$Z$11:$AD$16,4,FALSE)*VLOOKUP(C262,$U$5:$X$75,3,FALSE)</f>
        <v>0.72000000000000008</v>
      </c>
      <c r="S262" s="140">
        <f t="shared" ref="S262:S325" si="27">VLOOKUP($A262,$Z$11:$AD$16,5,FALSE)*VLOOKUP(C262,$U$5:$X$75,4,FALSE)</f>
        <v>0.64000000000000012</v>
      </c>
      <c r="V262" s="140"/>
      <c r="W262" s="140"/>
      <c r="X262" s="140"/>
    </row>
    <row r="263" spans="1:24">
      <c r="A263" s="2" t="str">
        <f t="shared" si="23"/>
        <v>逃亡</v>
      </c>
      <c r="B263" s="2" t="str">
        <f>怪物并表!$R$14</f>
        <v>英雄之路</v>
      </c>
      <c r="C263" s="2">
        <v>65</v>
      </c>
      <c r="D263" s="28">
        <f t="shared" si="24"/>
        <v>1904</v>
      </c>
      <c r="E263" s="72">
        <f>VLOOKUP($C263,难度推算表,副本难度推算!$M$3,FALSE)*副本难度推算!$Y$5*Q263</f>
        <v>476061.12351011229</v>
      </c>
      <c r="F263" s="72">
        <f>VLOOKUP($C263,难度推算表,副本难度推算!$P$3,FALSE)*副本难度推算!$Z$5*$R263+VLOOKUP($C263,难度推算表,副本难度推算!$H$3,FALSE)</f>
        <v>24344.575564307564</v>
      </c>
      <c r="G263" s="72">
        <f>VLOOKUP($C263,难度推算表,副本难度推算!$G$3,FALSE)-VLOOKUP($C263,难度推算表,副本难度推算!$I$3,FALSE)*(2-副本难度推算!$AA$5)*(2-$S263)</f>
        <v>4412.1582450000042</v>
      </c>
      <c r="H263" s="72">
        <f>VLOOKUP($C263,难度推算表,副本难度推算!$M$3,FALSE)*副本难度推算!$Y$6*Q263</f>
        <v>380848.89880808984</v>
      </c>
      <c r="I263" s="72">
        <f>VLOOKUP($C263,难度推算表,副本难度推算!$P$3,FALSE)*副本难度推算!$Z$6*$R263+VLOOKUP($C263,难度推算表,副本难度推算!$H$3,FALSE)</f>
        <v>22712.328597876807</v>
      </c>
      <c r="J263" s="72">
        <f>VLOOKUP($C263,难度推算表,副本难度推算!$G$3,FALSE)-VLOOKUP($C263,难度推算表,副本难度推算!$I$3,FALSE)*(2-副本难度推算!$AA$6)*(2-$S263)</f>
        <v>1684.6422390000062</v>
      </c>
      <c r="K263" s="72">
        <f>VLOOKUP($C263,难度推算表,副本难度推算!$M$3,FALSE)*副本难度推算!$Y$7*Q263</f>
        <v>1190152.8087752808</v>
      </c>
      <c r="L263" s="72">
        <f>VLOOKUP($C263,难度推算表,副本难度推算!$P$3,FALSE)*副本难度推算!$Z$7*$R263+VLOOKUP($C263,难度推算表,副本难度推算!$H$3,FALSE)</f>
        <v>27609.069497169075</v>
      </c>
      <c r="M263" s="72">
        <f>VLOOKUP($C263,难度推算表,副本难度推算!$G$3,FALSE)-VLOOKUP($C263,难度推算表,副本难度推算!$I$3,FALSE)*(2-副本难度推算!$AA$7)*(2-$S263)</f>
        <v>7139.6742510000022</v>
      </c>
      <c r="N263" s="2">
        <f>VLOOKUP($C263,难度推算表,副本难度推算!$Q$3,FALSE)</f>
        <v>4126.42</v>
      </c>
      <c r="O263" s="2">
        <f>VLOOKUP($C263,难度推算表,副本难度推算!$R$3,FALSE)</f>
        <v>0</v>
      </c>
      <c r="Q263" s="140">
        <f t="shared" si="25"/>
        <v>1.04</v>
      </c>
      <c r="R263" s="140">
        <f t="shared" si="26"/>
        <v>0.72000000000000008</v>
      </c>
      <c r="S263" s="140">
        <f t="shared" si="27"/>
        <v>0.64000000000000012</v>
      </c>
      <c r="V263" s="140"/>
      <c r="W263" s="140"/>
      <c r="X263" s="140"/>
    </row>
    <row r="264" spans="1:24">
      <c r="A264" s="2" t="str">
        <f t="shared" si="23"/>
        <v>逃亡</v>
      </c>
      <c r="B264" s="2" t="str">
        <f>怪物并表!$R$14</f>
        <v>英雄之路</v>
      </c>
      <c r="C264" s="2">
        <v>66</v>
      </c>
      <c r="D264" s="28">
        <f t="shared" si="24"/>
        <v>1904</v>
      </c>
      <c r="E264" s="72">
        <f>VLOOKUP($C264,难度推算表,副本难度推算!$M$3,FALSE)*副本难度推算!$Y$5*Q264</f>
        <v>506608.39752994396</v>
      </c>
      <c r="F264" s="72">
        <f>VLOOKUP($C264,难度推算表,副本难度推算!$P$3,FALSE)*副本难度推算!$Z$5*$R264+VLOOKUP($C264,难度推算表,副本难度推算!$H$3,FALSE)</f>
        <v>26115.753085437129</v>
      </c>
      <c r="G264" s="72">
        <f>VLOOKUP($C264,难度推算表,副本难度推算!$G$3,FALSE)-VLOOKUP($C264,难度推算表,副本难度推算!$I$3,FALSE)*(2-副本难度推算!$AA$5)*(2-$S264)</f>
        <v>4649.6755142207421</v>
      </c>
      <c r="H264" s="72">
        <f>VLOOKUP($C264,难度推算表,副本难度推算!$M$3,FALSE)*副本难度推算!$Y$6*Q264</f>
        <v>405286.71802395518</v>
      </c>
      <c r="I264" s="72">
        <f>VLOOKUP($C264,难度推算表,副本难度推算!$P$3,FALSE)*副本难度推算!$Z$6*$R264+VLOOKUP($C264,难度推算表,副本难度推算!$H$3,FALSE)</f>
        <v>24349.57332493355</v>
      </c>
      <c r="J264" s="72">
        <f>VLOOKUP($C264,难度推算表,副本难度推算!$G$3,FALSE)-VLOOKUP($C264,难度推算表,副本难度推算!$I$3,FALSE)*(2-副本难度推算!$AA$6)*(2-$S264)</f>
        <v>1775.330650884287</v>
      </c>
      <c r="K264" s="72">
        <f>VLOOKUP($C264,难度推算表,副本难度推算!$M$3,FALSE)*副本难度推算!$Y$7*Q264</f>
        <v>1266520.9938248598</v>
      </c>
      <c r="L264" s="72">
        <f>VLOOKUP($C264,难度推算表,副本难度推算!$P$3,FALSE)*副本难度推算!$Z$7*$R264+VLOOKUP($C264,难度推算表,副本难度推算!$H$3,FALSE)</f>
        <v>29648.112606444287</v>
      </c>
      <c r="M264" s="72">
        <f>VLOOKUP($C264,难度推算表,副本难度推算!$G$3,FALSE)-VLOOKUP($C264,难度推算表,副本难度推算!$I$3,FALSE)*(2-副本难度推算!$AA$7)*(2-$S264)</f>
        <v>7524.0203775571972</v>
      </c>
      <c r="N264" s="2">
        <f>VLOOKUP($C264,难度推算表,副本难度推算!$Q$3,FALSE)</f>
        <v>4184.6480000000001</v>
      </c>
      <c r="O264" s="2">
        <f>VLOOKUP($C264,难度推算表,副本难度推算!$R$3,FALSE)</f>
        <v>0</v>
      </c>
      <c r="Q264" s="140">
        <f t="shared" si="25"/>
        <v>1.04</v>
      </c>
      <c r="R264" s="140">
        <f t="shared" si="26"/>
        <v>0.72000000000000008</v>
      </c>
      <c r="S264" s="140">
        <f t="shared" si="27"/>
        <v>0.64000000000000012</v>
      </c>
      <c r="V264" s="140"/>
      <c r="W264" s="140"/>
      <c r="X264" s="140"/>
    </row>
    <row r="265" spans="1:24">
      <c r="A265" s="2" t="str">
        <f t="shared" si="23"/>
        <v>逃亡</v>
      </c>
      <c r="B265" s="2" t="str">
        <f>怪物并表!$R$14</f>
        <v>英雄之路</v>
      </c>
      <c r="C265" s="2">
        <v>67</v>
      </c>
      <c r="D265" s="28">
        <f t="shared" si="24"/>
        <v>1904</v>
      </c>
      <c r="E265" s="72">
        <f>VLOOKUP($C265,难度推算表,副本难度推算!$M$3,FALSE)*副本难度推算!$Y$5*Q265</f>
        <v>538499.30758867436</v>
      </c>
      <c r="F265" s="72">
        <f>VLOOKUP($C265,难度推算表,副本难度推算!$P$3,FALSE)*副本难度推算!$Z$5*$R265+VLOOKUP($C265,难度推算表,副本难度推算!$H$3,FALSE)</f>
        <v>27752.77138590072</v>
      </c>
      <c r="G265" s="72">
        <f>VLOOKUP($C265,难度推算表,副本难度推算!$G$3,FALSE)-VLOOKUP($C265,难度推算表,副本难度推算!$I$3,FALSE)*(2-副本难度推算!$AA$5)*(2-$S265)</f>
        <v>4894.9148013652211</v>
      </c>
      <c r="H265" s="72">
        <f>VLOOKUP($C265,难度推算表,副本难度推算!$M$3,FALSE)*副本难度推算!$Y$6*Q265</f>
        <v>430799.44607093948</v>
      </c>
      <c r="I265" s="72">
        <f>VLOOKUP($C265,难度推算表,副本难度推算!$P$3,FALSE)*副本难度推算!$Z$6*$R265+VLOOKUP($C265,难度推算表,副本难度推算!$H$3,FALSE)</f>
        <v>25867.478756649776</v>
      </c>
      <c r="J265" s="72">
        <f>VLOOKUP($C265,难度推算表,副本难度推算!$G$3,FALSE)-VLOOKUP($C265,难度推算表,副本难度推算!$I$3,FALSE)*(2-副本难度推算!$AA$6)*(2-$S265)</f>
        <v>1868.9674696121729</v>
      </c>
      <c r="K265" s="72">
        <f>VLOOKUP($C265,难度推算表,副本难度推算!$M$3,FALSE)*副本难度推算!$Y$7*Q265</f>
        <v>1346248.2689716858</v>
      </c>
      <c r="L265" s="72">
        <f>VLOOKUP($C265,难度推算表,副本难度推算!$P$3,FALSE)*副本难度推算!$Z$7*$R265+VLOOKUP($C265,难度推算表,副本难度推算!$H$3,FALSE)</f>
        <v>31523.3566444026</v>
      </c>
      <c r="M265" s="72">
        <f>VLOOKUP($C265,难度推算表,副本难度推算!$G$3,FALSE)-VLOOKUP($C265,难度推算表,副本难度推算!$I$3,FALSE)*(2-副本难度推算!$AA$7)*(2-$S265)</f>
        <v>7920.8621331182658</v>
      </c>
      <c r="N265" s="2">
        <f>VLOOKUP($C265,难度推算表,副本难度推算!$Q$3,FALSE)</f>
        <v>4242.8759999999993</v>
      </c>
      <c r="O265" s="2">
        <f>VLOOKUP($C265,难度推算表,副本难度推算!$R$3,FALSE)</f>
        <v>0</v>
      </c>
      <c r="Q265" s="140">
        <f t="shared" si="25"/>
        <v>1.04</v>
      </c>
      <c r="R265" s="140">
        <f t="shared" si="26"/>
        <v>0.72000000000000008</v>
      </c>
      <c r="S265" s="140">
        <f t="shared" si="27"/>
        <v>0.64000000000000012</v>
      </c>
      <c r="V265" s="140"/>
      <c r="W265" s="140"/>
      <c r="X265" s="140"/>
    </row>
    <row r="266" spans="1:24">
      <c r="A266" s="2" t="str">
        <f t="shared" si="23"/>
        <v>逃亡</v>
      </c>
      <c r="B266" s="2" t="str">
        <f>怪物并表!$R$14</f>
        <v>英雄之路</v>
      </c>
      <c r="C266" s="2">
        <v>68</v>
      </c>
      <c r="D266" s="28">
        <f t="shared" si="24"/>
        <v>1904</v>
      </c>
      <c r="E266" s="72">
        <f>VLOOKUP($C266,难度推算表,副本难度推算!$M$3,FALSE)*副本难度推算!$Y$5*Q266</f>
        <v>571769.49016925297</v>
      </c>
      <c r="F266" s="72">
        <f>VLOOKUP($C266,难度推算表,副本难度推算!$P$3,FALSE)*副本难度推算!$Z$5*$R266+VLOOKUP($C266,难度推算表,副本难度推算!$H$3,FALSE)</f>
        <v>29464.840077409775</v>
      </c>
      <c r="G266" s="72">
        <f>VLOOKUP($C266,难度推算表,副本难度推算!$G$3,FALSE)-VLOOKUP($C266,难度推算表,副本难度推算!$I$3,FALSE)*(2-副本难度推算!$AA$5)*(2-$S266)</f>
        <v>5147.9860650381324</v>
      </c>
      <c r="H266" s="72">
        <f>VLOOKUP($C266,难度推算表,副本难度推算!$M$3,FALSE)*副本难度推算!$Y$6*Q266</f>
        <v>457415.59213540243</v>
      </c>
      <c r="I266" s="72">
        <f>VLOOKUP($C266,难度推算表,副本难度推算!$P$3,FALSE)*副本难度推算!$Z$6*$R266+VLOOKUP($C266,难度推算表,副本难度推算!$H$3,FALSE)</f>
        <v>27454.353536039373</v>
      </c>
      <c r="J266" s="72">
        <f>VLOOKUP($C266,难度推算表,副本难度推算!$G$3,FALSE)-VLOOKUP($C266,难度推算表,副本难度推算!$I$3,FALSE)*(2-副本难度推算!$AA$6)*(2-$S266)</f>
        <v>1965.594679378195</v>
      </c>
      <c r="K266" s="72">
        <f>VLOOKUP($C266,难度推算表,副本难度推算!$M$3,FALSE)*副本难度推算!$Y$7*Q266</f>
        <v>1429423.7254231325</v>
      </c>
      <c r="L266" s="72">
        <f>VLOOKUP($C266,难度推算表,副本难度推算!$P$3,FALSE)*副本难度推算!$Z$7*$R266+VLOOKUP($C266,难度推算表,副本难度推算!$H$3,FALSE)</f>
        <v>33485.813160150588</v>
      </c>
      <c r="M266" s="72">
        <f>VLOOKUP($C266,难度推算表,副本难度推算!$G$3,FALSE)-VLOOKUP($C266,难度推算表,副本难度推算!$I$3,FALSE)*(2-副本难度推算!$AA$7)*(2-$S266)</f>
        <v>8330.3774506980699</v>
      </c>
      <c r="N266" s="2">
        <f>VLOOKUP($C266,难度推算表,副本难度推算!$Q$3,FALSE)</f>
        <v>4301.1040000000003</v>
      </c>
      <c r="O266" s="2">
        <f>VLOOKUP($C266,难度推算表,副本难度推算!$R$3,FALSE)</f>
        <v>0</v>
      </c>
      <c r="Q266" s="140">
        <f t="shared" si="25"/>
        <v>1.04</v>
      </c>
      <c r="R266" s="140">
        <f t="shared" si="26"/>
        <v>0.72000000000000008</v>
      </c>
      <c r="S266" s="140">
        <f t="shared" si="27"/>
        <v>0.64000000000000012</v>
      </c>
      <c r="V266" s="140"/>
      <c r="W266" s="140"/>
      <c r="X266" s="140"/>
    </row>
    <row r="267" spans="1:24">
      <c r="A267" s="2" t="str">
        <f t="shared" si="23"/>
        <v>逃亡</v>
      </c>
      <c r="B267" s="2" t="str">
        <f>怪物并表!$R$14</f>
        <v>英雄之路</v>
      </c>
      <c r="C267" s="2">
        <v>69</v>
      </c>
      <c r="D267" s="28">
        <f t="shared" si="24"/>
        <v>1904</v>
      </c>
      <c r="E267" s="72">
        <f>VLOOKUP($C267,难度推算表,副本难度推算!$M$3,FALSE)*副本难度推算!$Y$5*Q267</f>
        <v>606455.00157487253</v>
      </c>
      <c r="F267" s="72">
        <f>VLOOKUP($C267,难度推算表,副本难度推算!$P$3,FALSE)*副本难度推算!$Z$5*$R267+VLOOKUP($C267,难度推算表,副本难度推算!$H$3,FALSE)</f>
        <v>31254.653367331281</v>
      </c>
      <c r="G267" s="72">
        <f>VLOOKUP($C267,难度推算表,副本难度推算!$G$3,FALSE)-VLOOKUP($C267,难度推算表,副本难度推算!$I$3,FALSE)*(2-副本难度推算!$AA$5)*(2-$S267)</f>
        <v>5408.9992638441545</v>
      </c>
      <c r="H267" s="72">
        <f>VLOOKUP($C267,难度推算表,副本难度推算!$M$3,FALSE)*副本难度推算!$Y$6*Q267</f>
        <v>485164.00125989807</v>
      </c>
      <c r="I267" s="72">
        <f>VLOOKUP($C267,难度推算表,副本难度推算!$P$3,FALSE)*副本难度推算!$Z$6*$R267+VLOOKUP($C267,难度推算表,副本难度推算!$H$3,FALSE)</f>
        <v>29112.642442206179</v>
      </c>
      <c r="J267" s="72">
        <f>VLOOKUP($C267,难度推算表,副本难度推算!$G$3,FALSE)-VLOOKUP($C267,难度推算表,副本难度推算!$I$3,FALSE)*(2-副本难度推算!$AA$6)*(2-$S267)</f>
        <v>2065.2542643768611</v>
      </c>
      <c r="K267" s="72">
        <f>VLOOKUP($C267,难度推算表,副本难度推算!$M$3,FALSE)*副本难度推算!$Y$7*Q267</f>
        <v>1516137.5039371813</v>
      </c>
      <c r="L267" s="72">
        <f>VLOOKUP($C267,难度推算表,副本难度推算!$P$3,FALSE)*副本难度推算!$Z$7*$R267+VLOOKUP($C267,难度推算表,副本难度推算!$H$3,FALSE)</f>
        <v>35538.675217581476</v>
      </c>
      <c r="M267" s="72">
        <f>VLOOKUP($C267,难度推算表,副本难度推算!$G$3,FALSE)-VLOOKUP($C267,难度推算表,副本难度推算!$I$3,FALSE)*(2-副本难度推算!$AA$7)*(2-$S267)</f>
        <v>8752.744263311446</v>
      </c>
      <c r="N267" s="2">
        <f>VLOOKUP($C267,难度推算表,副本难度推算!$Q$3,FALSE)</f>
        <v>4359.3320000000003</v>
      </c>
      <c r="O267" s="2">
        <f>VLOOKUP($C267,难度推算表,副本难度推算!$R$3,FALSE)</f>
        <v>0</v>
      </c>
      <c r="Q267" s="140">
        <f t="shared" si="25"/>
        <v>1.04</v>
      </c>
      <c r="R267" s="140">
        <f t="shared" si="26"/>
        <v>0.72000000000000008</v>
      </c>
      <c r="S267" s="140">
        <f t="shared" si="27"/>
        <v>0.64000000000000012</v>
      </c>
      <c r="V267" s="140"/>
      <c r="W267" s="140"/>
      <c r="X267" s="140"/>
    </row>
    <row r="268" spans="1:24">
      <c r="A268" s="2" t="str">
        <f t="shared" si="23"/>
        <v>逃亡</v>
      </c>
      <c r="B268" s="2" t="str">
        <f>怪物并表!$R$14</f>
        <v>英雄之路</v>
      </c>
      <c r="C268" s="2">
        <v>70</v>
      </c>
      <c r="D268" s="28">
        <f t="shared" si="24"/>
        <v>1904</v>
      </c>
      <c r="E268" s="72">
        <f>VLOOKUP($C268,难度推算表,副本难度推算!$M$3,FALSE)*副本难度推算!$Y$5*Q268</f>
        <v>645026.37957693916</v>
      </c>
      <c r="F268" s="72">
        <f>VLOOKUP($C268,难度推算表,副本难度推算!$P$3,FALSE)*副本难度推算!$Z$5*$R268+VLOOKUP($C268,难度推算表,副本难度推算!$H$3,FALSE)</f>
        <v>33250.482192434582</v>
      </c>
      <c r="G268" s="72">
        <f>VLOOKUP($C268,难度推算表,副本难度推算!$G$3,FALSE)-VLOOKUP($C268,难度推算表,副本难度推算!$I$3,FALSE)*(2-副本难度推算!$AA$5)*(2-$S268)</f>
        <v>5699.5721759197404</v>
      </c>
      <c r="H268" s="72">
        <f>VLOOKUP($C268,难度推算表,副本难度推算!$M$3,FALSE)*副本难度推算!$Y$6*Q268</f>
        <v>516021.10366155131</v>
      </c>
      <c r="I268" s="72">
        <f>VLOOKUP($C268,难度推算表,副本难度推算!$P$3,FALSE)*副本难度推算!$Z$6*$R268+VLOOKUP($C268,难度推算表,副本难度推算!$H$3,FALSE)</f>
        <v>30961.719823358351</v>
      </c>
      <c r="J268" s="72">
        <f>VLOOKUP($C268,难度推算表,副本难度推算!$G$3,FALSE)-VLOOKUP($C268,难度推算表,副本难度推算!$I$3,FALSE)*(2-副本难度推算!$AA$6)*(2-$S268)</f>
        <v>2176.2002853511731</v>
      </c>
      <c r="K268" s="72">
        <f>VLOOKUP($C268,难度推算表,副本难度推算!$M$3,FALSE)*副本难度推算!$Y$7*Q268</f>
        <v>1612565.9489423479</v>
      </c>
      <c r="L268" s="72">
        <f>VLOOKUP($C268,难度推算表,副本难度推算!$P$3,FALSE)*副本难度推算!$Z$7*$R268+VLOOKUP($C268,难度推算表,副本难度推算!$H$3,FALSE)</f>
        <v>37828.006930587049</v>
      </c>
      <c r="M268" s="72">
        <f>VLOOKUP($C268,难度推算表,副本难度推算!$G$3,FALSE)-VLOOKUP($C268,难度推算表,副本难度推算!$I$3,FALSE)*(2-副本难度推算!$AA$7)*(2-$S268)</f>
        <v>9222.9440664883041</v>
      </c>
      <c r="N268" s="2">
        <f>VLOOKUP($C268,难度推算表,副本难度推算!$Q$3,FALSE)</f>
        <v>4417.5600000000004</v>
      </c>
      <c r="O268" s="2">
        <f>VLOOKUP($C268,难度推算表,副本难度推算!$R$3,FALSE)</f>
        <v>0</v>
      </c>
      <c r="Q268" s="140">
        <f t="shared" si="25"/>
        <v>1.04</v>
      </c>
      <c r="R268" s="140">
        <f t="shared" si="26"/>
        <v>0.72000000000000008</v>
      </c>
      <c r="S268" s="140">
        <f t="shared" si="27"/>
        <v>0.64000000000000012</v>
      </c>
      <c r="V268" s="140"/>
      <c r="W268" s="140"/>
      <c r="X268" s="140"/>
    </row>
    <row r="269" spans="1:24">
      <c r="A269" s="2" t="str">
        <f t="shared" si="23"/>
        <v>逃亡</v>
      </c>
      <c r="B269" s="2" t="str">
        <f>怪物并表!$R$14</f>
        <v>英雄之路</v>
      </c>
      <c r="C269" s="2">
        <v>71</v>
      </c>
      <c r="D269" s="28">
        <f t="shared" si="24"/>
        <v>1904</v>
      </c>
      <c r="E269" s="72">
        <f>VLOOKUP($C269,难度推算表,副本难度推算!$M$3,FALSE)*副本难度推算!$Y$5*Q269</f>
        <v>685256.98853293771</v>
      </c>
      <c r="F269" s="72">
        <f>VLOOKUP($C269,难度推算表,副本难度推算!$P$3,FALSE)*副本难度推算!$Z$5*$R269+VLOOKUP($C269,难度推算表,副本难度推算!$H$3,FALSE)</f>
        <v>35338.655076729192</v>
      </c>
      <c r="G269" s="72">
        <f>VLOOKUP($C269,难度推算表,副本难度推算!$G$3,FALSE)-VLOOKUP($C269,难度推算表,副本难度推算!$I$3,FALSE)*(2-副本难度推算!$AA$5)*(2-$S269)</f>
        <v>5999.4045701725809</v>
      </c>
      <c r="H269" s="72">
        <f>VLOOKUP($C269,难度推算表,副本难度推算!$M$3,FALSE)*副本难度推算!$Y$6*Q269</f>
        <v>548205.59082635015</v>
      </c>
      <c r="I269" s="72">
        <f>VLOOKUP($C269,难度推算表,副本难度推算!$P$3,FALSE)*副本难度推算!$Z$6*$R269+VLOOKUP($C269,难度推算表,副本难度推算!$H$3,FALSE)</f>
        <v>32895.590399996749</v>
      </c>
      <c r="J269" s="72">
        <f>VLOOKUP($C269,难度推算表,副本难度推算!$G$3,FALSE)-VLOOKUP($C269,难度推算表,副本难度推算!$I$3,FALSE)*(2-副本难度推算!$AA$6)*(2-$S269)</f>
        <v>2290.6817449749869</v>
      </c>
      <c r="K269" s="72">
        <f>VLOOKUP($C269,难度推算表,副本难度推算!$M$3,FALSE)*副本难度推算!$Y$7*Q269</f>
        <v>1713142.4713323442</v>
      </c>
      <c r="L269" s="72">
        <f>VLOOKUP($C269,难度推算表,副本难度推算!$P$3,FALSE)*副本难度推算!$Z$7*$R269+VLOOKUP($C269,难度推算表,副本难度推算!$H$3,FALSE)</f>
        <v>40224.784430194093</v>
      </c>
      <c r="M269" s="72">
        <f>VLOOKUP($C269,难度推算表,副本难度推算!$G$3,FALSE)-VLOOKUP($C269,难度推算表,副本难度推算!$I$3,FALSE)*(2-副本难度推算!$AA$7)*(2-$S269)</f>
        <v>9708.1273953701748</v>
      </c>
      <c r="N269" s="2">
        <f>VLOOKUP($C269,难度推算表,副本难度推算!$Q$3,FALSE)</f>
        <v>4475.7879999999996</v>
      </c>
      <c r="O269" s="2">
        <f>VLOOKUP($C269,难度推算表,副本难度推算!$R$3,FALSE)</f>
        <v>0</v>
      </c>
      <c r="Q269" s="140">
        <f t="shared" si="25"/>
        <v>1.04</v>
      </c>
      <c r="R269" s="140">
        <f t="shared" si="26"/>
        <v>0.72000000000000008</v>
      </c>
      <c r="S269" s="140">
        <f t="shared" si="27"/>
        <v>0.64000000000000012</v>
      </c>
      <c r="V269" s="140"/>
      <c r="W269" s="140"/>
      <c r="X269" s="140"/>
    </row>
    <row r="270" spans="1:24">
      <c r="A270" s="2" t="str">
        <f t="shared" si="23"/>
        <v>逃亡</v>
      </c>
      <c r="B270" s="2" t="str">
        <f>怪物并表!$R$14</f>
        <v>英雄之路</v>
      </c>
      <c r="C270" s="2">
        <v>72</v>
      </c>
      <c r="D270" s="28">
        <f t="shared" si="24"/>
        <v>1904</v>
      </c>
      <c r="E270" s="72">
        <f>VLOOKUP($C270,难度推算表,副本难度推算!$M$3,FALSE)*副本难度推算!$Y$5*Q270</f>
        <v>727189.60879170767</v>
      </c>
      <c r="F270" s="72">
        <f>VLOOKUP($C270,难度推算表,副本难度推算!$P$3,FALSE)*副本难度推算!$Z$5*$R270+VLOOKUP($C270,难度推算表,副本难度推算!$H$3,FALSE)</f>
        <v>37522.552086604584</v>
      </c>
      <c r="G270" s="72">
        <f>VLOOKUP($C270,难度推算表,副本难度推算!$G$3,FALSE)-VLOOKUP($C270,难度推算表,副本难度推算!$I$3,FALSE)*(2-副本难度推算!$AA$5)*(2-$S270)</f>
        <v>6308.6247316414774</v>
      </c>
      <c r="H270" s="72">
        <f>VLOOKUP($C270,难度推算表,副本难度推算!$M$3,FALSE)*副本难度推算!$Y$6*Q270</f>
        <v>581751.68703336618</v>
      </c>
      <c r="I270" s="72">
        <f>VLOOKUP($C270,难度推算表,副本难度推算!$P$3,FALSE)*副本难度推算!$Z$6*$R270+VLOOKUP($C270,难度推算表,副本难度推算!$H$3,FALSE)</f>
        <v>34917.319556424394</v>
      </c>
      <c r="J270" s="72">
        <f>VLOOKUP($C270,难度推算表,副本难度推算!$G$3,FALSE)-VLOOKUP($C270,难度推算表,副本难度推算!$I$3,FALSE)*(2-副本难度推算!$AA$6)*(2-$S270)</f>
        <v>2408.7476248085659</v>
      </c>
      <c r="K270" s="72">
        <f>VLOOKUP($C270,难度推算表,副本难度推算!$M$3,FALSE)*副本难度推算!$Y$7*Q270</f>
        <v>1817974.0219792693</v>
      </c>
      <c r="L270" s="72">
        <f>VLOOKUP($C270,难度推算表,副本难度推算!$P$3,FALSE)*副本难度推算!$Z$7*$R270+VLOOKUP($C270,难度推算表,副本难度推算!$H$3,FALSE)</f>
        <v>42733.017146964965</v>
      </c>
      <c r="M270" s="72">
        <f>VLOOKUP($C270,难度推算表,副本难度推算!$G$3,FALSE)-VLOOKUP($C270,难度推算表,副本难度推算!$I$3,FALSE)*(2-副本难度推算!$AA$7)*(2-$S270)</f>
        <v>10208.501838474387</v>
      </c>
      <c r="N270" s="2">
        <f>VLOOKUP($C270,难度推算表,副本难度推算!$Q$3,FALSE)</f>
        <v>4534.0159999999996</v>
      </c>
      <c r="O270" s="2">
        <f>VLOOKUP($C270,难度推算表,副本难度推算!$R$3,FALSE)</f>
        <v>0</v>
      </c>
      <c r="Q270" s="140">
        <f t="shared" si="25"/>
        <v>1.04</v>
      </c>
      <c r="R270" s="140">
        <f t="shared" si="26"/>
        <v>0.72000000000000008</v>
      </c>
      <c r="S270" s="140">
        <f t="shared" si="27"/>
        <v>0.64000000000000012</v>
      </c>
      <c r="V270" s="140"/>
      <c r="W270" s="140"/>
      <c r="X270" s="140"/>
    </row>
    <row r="271" spans="1:24">
      <c r="A271" s="2" t="str">
        <f t="shared" si="23"/>
        <v>逃亡</v>
      </c>
      <c r="B271" s="2" t="str">
        <f>怪物并表!$R$14</f>
        <v>英雄之路</v>
      </c>
      <c r="C271" s="2">
        <v>73</v>
      </c>
      <c r="D271" s="28">
        <f t="shared" si="24"/>
        <v>1904</v>
      </c>
      <c r="E271" s="72">
        <f>VLOOKUP($C271,难度推算表,副本难度推算!$M$3,FALSE)*副本难度推算!$Y$5*Q271</f>
        <v>770867.50996098004</v>
      </c>
      <c r="F271" s="72">
        <f>VLOOKUP($C271,难度推算表,副本难度推算!$P$3,FALSE)*副本难度推算!$Z$5*$R271+VLOOKUP($C271,难度推算表,副本难度推算!$H$3,FALSE)</f>
        <v>39805.687672259344</v>
      </c>
      <c r="G271" s="72">
        <f>VLOOKUP($C271,难度推算表,副本难度推算!$G$3,FALSE)-VLOOKUP($C271,难度推算表,副本难度推算!$I$3,FALSE)*(2-副本难度推算!$AA$5)*(2-$S271)</f>
        <v>6627.3609453652243</v>
      </c>
      <c r="H271" s="72">
        <f>VLOOKUP($C271,难度推算表,副本难度推算!$M$3,FALSE)*副本难度推算!$Y$6*Q271</f>
        <v>616694.00796878408</v>
      </c>
      <c r="I271" s="72">
        <f>VLOOKUP($C271,难度推算表,副本难度推算!$P$3,FALSE)*副本难度推算!$Z$6*$R271+VLOOKUP($C271,难度推算表,副本难度推算!$H$3,FALSE)</f>
        <v>37030.093622372544</v>
      </c>
      <c r="J271" s="72">
        <f>VLOOKUP($C271,难度推算表,副本难度推算!$G$3,FALSE)-VLOOKUP($C271,难度推算表,副本难度推算!$I$3,FALSE)*(2-副本难度推算!$AA$6)*(2-$S271)</f>
        <v>2530.446906412184</v>
      </c>
      <c r="K271" s="72">
        <f>VLOOKUP($C271,难度推算表,副本难度推算!$M$3,FALSE)*副本难度推算!$Y$7*Q271</f>
        <v>1927168.7749024499</v>
      </c>
      <c r="L271" s="72">
        <f>VLOOKUP($C271,难度推算表,副本难度推算!$P$3,FALSE)*副本难度推算!$Z$7*$R271+VLOOKUP($C271,难度推算表,副本难度推算!$H$3,FALSE)</f>
        <v>45356.875772032952</v>
      </c>
      <c r="M271" s="72">
        <f>VLOOKUP($C271,难度推算表,副本难度推算!$G$3,FALSE)-VLOOKUP($C271,难度推算表,副本难度推算!$I$3,FALSE)*(2-副本难度推算!$AA$7)*(2-$S271)</f>
        <v>10724.274984318268</v>
      </c>
      <c r="N271" s="2">
        <f>VLOOKUP($C271,难度推算表,副本难度推算!$Q$3,FALSE)</f>
        <v>4592.2439999999997</v>
      </c>
      <c r="O271" s="2">
        <f>VLOOKUP($C271,难度推算表,副本难度推算!$R$3,FALSE)</f>
        <v>0</v>
      </c>
      <c r="Q271" s="140">
        <f t="shared" si="25"/>
        <v>1.04</v>
      </c>
      <c r="R271" s="140">
        <f t="shared" si="26"/>
        <v>0.72000000000000008</v>
      </c>
      <c r="S271" s="140">
        <f t="shared" si="27"/>
        <v>0.64000000000000012</v>
      </c>
      <c r="V271" s="140"/>
      <c r="W271" s="140"/>
      <c r="X271" s="140"/>
    </row>
    <row r="272" spans="1:24">
      <c r="A272" s="2" t="str">
        <f t="shared" si="23"/>
        <v>逃亡</v>
      </c>
      <c r="B272" s="2" t="str">
        <f>怪物并表!$R$14</f>
        <v>英雄之路</v>
      </c>
      <c r="C272" s="2">
        <v>74</v>
      </c>
      <c r="D272" s="28">
        <f t="shared" si="24"/>
        <v>1904</v>
      </c>
      <c r="E272" s="72">
        <f>VLOOKUP($C272,难度推算表,副本难度推算!$M$3,FALSE)*副本难度推算!$Y$5*Q272</f>
        <v>816334.45072426426</v>
      </c>
      <c r="F272" s="72">
        <f>VLOOKUP($C272,难度推算表,副本难度推算!$P$3,FALSE)*副本难度推算!$Z$5*$R272+VLOOKUP($C272,难度推算表,副本难度推算!$H$3,FALSE)</f>
        <v>42191.717918626236</v>
      </c>
      <c r="G272" s="72">
        <f>VLOOKUP($C272,难度推算表,副本难度推算!$G$3,FALSE)-VLOOKUP($C272,难度推算表,副本难度推算!$I$3,FALSE)*(2-副本难度推算!$AA$5)*(2-$S272)</f>
        <v>6955.7414963826159</v>
      </c>
      <c r="H272" s="72">
        <f>VLOOKUP($C272,难度推算表,副本难度推算!$M$3,FALSE)*副本难度推算!$Y$6*Q272</f>
        <v>653067.56057941157</v>
      </c>
      <c r="I272" s="72">
        <f>VLOOKUP($C272,难度推算表,副本难度推算!$P$3,FALSE)*副本难度推算!$Z$6*$R272+VLOOKUP($C272,难度推算表,副本难度推算!$H$3,FALSE)</f>
        <v>39237.226398833176</v>
      </c>
      <c r="J272" s="72">
        <f>VLOOKUP($C272,难度推算表,副本难度推算!$G$3,FALSE)-VLOOKUP($C272,难度推算表,副本难度推算!$I$3,FALSE)*(2-副本难度推算!$AA$6)*(2-$S272)</f>
        <v>2655.8285713460937</v>
      </c>
      <c r="K272" s="72">
        <f>VLOOKUP($C272,难度推算表,副本难度推算!$M$3,FALSE)*副本难度推算!$Y$7*Q272</f>
        <v>2040836.1268106608</v>
      </c>
      <c r="L272" s="72">
        <f>VLOOKUP($C272,难度推算表,副本难度推算!$P$3,FALSE)*副本难度推算!$Z$7*$R272+VLOOKUP($C272,难度推算表,副本难度推算!$H$3,FALSE)</f>
        <v>48100.70095821235</v>
      </c>
      <c r="M272" s="72">
        <f>VLOOKUP($C272,难度推算表,副本难度推算!$G$3,FALSE)-VLOOKUP($C272,难度推算表,副本难度推算!$I$3,FALSE)*(2-副本难度推算!$AA$7)*(2-$S272)</f>
        <v>11255.654421419138</v>
      </c>
      <c r="N272" s="2">
        <f>VLOOKUP($C272,难度推算表,副本难度推算!$Q$3,FALSE)</f>
        <v>4650.4720000000007</v>
      </c>
      <c r="O272" s="2">
        <f>VLOOKUP($C272,难度推算表,副本难度推算!$R$3,FALSE)</f>
        <v>0</v>
      </c>
      <c r="Q272" s="140">
        <f t="shared" si="25"/>
        <v>1.04</v>
      </c>
      <c r="R272" s="140">
        <f t="shared" si="26"/>
        <v>0.72000000000000008</v>
      </c>
      <c r="S272" s="140">
        <f t="shared" si="27"/>
        <v>0.64000000000000012</v>
      </c>
      <c r="V272" s="140"/>
      <c r="W272" s="140"/>
      <c r="X272" s="140"/>
    </row>
    <row r="273" spans="1:24">
      <c r="A273" s="2" t="str">
        <f t="shared" si="23"/>
        <v>逃亡</v>
      </c>
      <c r="B273" s="2" t="str">
        <f>怪物并表!$R$14</f>
        <v>英雄之路</v>
      </c>
      <c r="C273" s="2">
        <v>75</v>
      </c>
      <c r="D273" s="28">
        <f t="shared" si="24"/>
        <v>1904</v>
      </c>
      <c r="E273" s="72">
        <f>VLOOKUP($C273,难度推算表,副本难度推算!$M$3,FALSE)*副本难度推算!$Y$5*Q273</f>
        <v>863634.67865892954</v>
      </c>
      <c r="F273" s="72">
        <f>VLOOKUP($C273,难度推算表,副本难度推算!$P$3,FALSE)*副本难度推算!$Z$5*$R273+VLOOKUP($C273,难度推算表,副本难度推算!$H$3,FALSE)</f>
        <v>44684.448270903042</v>
      </c>
      <c r="G273" s="72">
        <f>VLOOKUP($C273,难度推算表,副本难度推算!$G$3,FALSE)-VLOOKUP($C273,难度推算表,副本难度推算!$I$3,FALSE)*(2-副本难度推算!$AA$5)*(2-$S273)</f>
        <v>7293.8946697324536</v>
      </c>
      <c r="H273" s="72">
        <f>VLOOKUP($C273,难度推算表,副本难度推算!$M$3,FALSE)*副本难度推算!$Y$6*Q273</f>
        <v>690907.7429271437</v>
      </c>
      <c r="I273" s="72">
        <f>VLOOKUP($C273,难度推算表,副本难度推算!$P$3,FALSE)*副本难度推算!$Z$6*$R273+VLOOKUP($C273,难度推算表,副本难度推算!$H$3,FALSE)</f>
        <v>41542.166111036822</v>
      </c>
      <c r="J273" s="72">
        <f>VLOOKUP($C273,难度推算表,副本难度推算!$G$3,FALSE)-VLOOKUP($C273,难度推算表,副本难度推算!$I$3,FALSE)*(2-副本难度推算!$AA$6)*(2-$S273)</f>
        <v>2784.9416011705798</v>
      </c>
      <c r="K273" s="72">
        <f>VLOOKUP($C273,难度推算表,副本难度推算!$M$3,FALSE)*副本难度推算!$Y$7*Q273</f>
        <v>2159086.6966473237</v>
      </c>
      <c r="L273" s="72">
        <f>VLOOKUP($C273,难度推算表,副本难度推算!$P$3,FALSE)*副本难度推算!$Z$7*$R273+VLOOKUP($C273,难度推算表,副本难度推算!$H$3,FALSE)</f>
        <v>50969.012590635488</v>
      </c>
      <c r="M273" s="72">
        <f>VLOOKUP($C273,难度推算表,副本难度推算!$G$3,FALSE)-VLOOKUP($C273,难度推算表,副本难度推算!$I$3,FALSE)*(2-副本难度推算!$AA$7)*(2-$S273)</f>
        <v>11802.847738294327</v>
      </c>
      <c r="N273" s="2">
        <f>VLOOKUP($C273,难度推算表,副本难度推算!$Q$3,FALSE)</f>
        <v>4708.7</v>
      </c>
      <c r="O273" s="2">
        <f>VLOOKUP($C273,难度推算表,副本难度推算!$R$3,FALSE)</f>
        <v>0</v>
      </c>
      <c r="Q273" s="140">
        <f t="shared" si="25"/>
        <v>1.04</v>
      </c>
      <c r="R273" s="140">
        <f t="shared" si="26"/>
        <v>0.72000000000000008</v>
      </c>
      <c r="S273" s="140">
        <f t="shared" si="27"/>
        <v>0.64000000000000012</v>
      </c>
      <c r="V273" s="140"/>
      <c r="W273" s="140"/>
      <c r="X273" s="140"/>
    </row>
    <row r="274" spans="1:24">
      <c r="A274" s="2" t="str">
        <f t="shared" si="23"/>
        <v>逃亡</v>
      </c>
      <c r="B274" s="2" t="str">
        <f>怪物并表!$R$14</f>
        <v>英雄之路</v>
      </c>
      <c r="C274" s="2">
        <v>76</v>
      </c>
      <c r="D274" s="28">
        <f t="shared" si="24"/>
        <v>1904</v>
      </c>
      <c r="E274" s="72">
        <f>VLOOKUP($C274,难度推算表,副本难度推算!$M$3,FALSE)*副本难度推算!$Y$5*Q274</f>
        <v>912812.93005561747</v>
      </c>
      <c r="F274" s="72">
        <f>VLOOKUP($C274,难度推算表,副本难度推算!$P$3,FALSE)*副本难度推算!$Z$5*$R274+VLOOKUP($C274,难度推算表,副本难度推算!$H$3,FALSE)</f>
        <v>47287.841771331921</v>
      </c>
      <c r="G274" s="72">
        <f>VLOOKUP($C274,难度推算表,副本难度推算!$G$3,FALSE)-VLOOKUP($C274,难度推算表,副本难度推算!$I$3,FALSE)*(2-副本难度推算!$AA$5)*(2-$S274)</f>
        <v>7641.9487504535173</v>
      </c>
      <c r="H274" s="72">
        <f>VLOOKUP($C274,难度推算表,副本难度推算!$M$3,FALSE)*副本难度推算!$Y$6*Q274</f>
        <v>730250.34404449398</v>
      </c>
      <c r="I274" s="72">
        <f>VLOOKUP($C274,难度推算表,副本难度推算!$P$3,FALSE)*副本难度推算!$Z$6*$R274+VLOOKUP($C274,难度推算表,副本难度推算!$H$3,FALSE)</f>
        <v>43948.502821553921</v>
      </c>
      <c r="J274" s="72">
        <f>VLOOKUP($C274,难度推算表,副本难度推算!$G$3,FALSE)-VLOOKUP($C274,难度推算表,副本难度推算!$I$3,FALSE)*(2-副本难度推算!$AA$6)*(2-$S274)</f>
        <v>2917.8349774458948</v>
      </c>
      <c r="K274" s="72">
        <f>VLOOKUP($C274,难度推算表,副本难度推算!$M$3,FALSE)*副本难度推算!$Y$7*Q274</f>
        <v>2282032.3251390434</v>
      </c>
      <c r="L274" s="72">
        <f>VLOOKUP($C274,难度推算表,副本难度推算!$P$3,FALSE)*副本难度推算!$Z$7*$R274+VLOOKUP($C274,难度推算表,副本难度推算!$H$3,FALSE)</f>
        <v>53966.51967088793</v>
      </c>
      <c r="M274" s="72">
        <f>VLOOKUP($C274,难度推算表,副本难度推算!$G$3,FALSE)-VLOOKUP($C274,难度推算表,副本难度推算!$I$3,FALSE)*(2-副本难度推算!$AA$7)*(2-$S274)</f>
        <v>12366.062523461143</v>
      </c>
      <c r="N274" s="2">
        <f>VLOOKUP($C274,难度推算表,副本难度推算!$Q$3,FALSE)</f>
        <v>4766.9279999999999</v>
      </c>
      <c r="O274" s="2">
        <f>VLOOKUP($C274,难度推算表,副本难度推算!$R$3,FALSE)</f>
        <v>0</v>
      </c>
      <c r="Q274" s="140">
        <f t="shared" si="25"/>
        <v>1.04</v>
      </c>
      <c r="R274" s="140">
        <f t="shared" si="26"/>
        <v>0.72000000000000008</v>
      </c>
      <c r="S274" s="140">
        <f t="shared" si="27"/>
        <v>0.64000000000000012</v>
      </c>
      <c r="V274" s="140"/>
      <c r="W274" s="140"/>
      <c r="X274" s="140"/>
    </row>
    <row r="275" spans="1:24">
      <c r="A275" s="2" t="str">
        <f t="shared" si="23"/>
        <v>逃亡</v>
      </c>
      <c r="B275" s="2" t="str">
        <f>怪物并表!$R$14</f>
        <v>英雄之路</v>
      </c>
      <c r="C275" s="2">
        <v>77</v>
      </c>
      <c r="D275" s="28">
        <f t="shared" si="24"/>
        <v>1904</v>
      </c>
      <c r="E275" s="72">
        <f>VLOOKUP($C275,难度推算表,副本难度推算!$M$3,FALSE)*副本难度推算!$Y$5*Q275</f>
        <v>963914.42973908584</v>
      </c>
      <c r="F275" s="72">
        <f>VLOOKUP($C275,难度推算表,副本难度推算!$P$3,FALSE)*副本难度推算!$Z$5*$R275+VLOOKUP($C275,难度推算表,副本难度推算!$H$3,FALSE)</f>
        <v>50006.027847138714</v>
      </c>
      <c r="G275" s="72">
        <f>VLOOKUP($C275,难度推算表,副本难度推算!$G$3,FALSE)-VLOOKUP($C275,难度推算表,副本难度推算!$I$3,FALSE)*(2-副本难度推算!$AA$5)*(2-$S275)</f>
        <v>8000.0320235846193</v>
      </c>
      <c r="H275" s="72">
        <f>VLOOKUP($C275,难度推算表,副本难度推算!$M$3,FALSE)*副本难度推算!$Y$6*Q275</f>
        <v>771131.54379126872</v>
      </c>
      <c r="I275" s="72">
        <f>VLOOKUP($C275,难度推算表,副本难度推算!$P$3,FALSE)*副本难度推算!$Z$6*$R275+VLOOKUP($C275,难度推算表,副本难度推算!$H$3,FALSE)</f>
        <v>46459.976339440233</v>
      </c>
      <c r="J275" s="72">
        <f>VLOOKUP($C275,难度推算表,副本难度推算!$G$3,FALSE)-VLOOKUP($C275,难度推算表,副本难度推算!$I$3,FALSE)*(2-副本难度推算!$AA$6)*(2-$S275)</f>
        <v>3054.5576817323054</v>
      </c>
      <c r="K275" s="72">
        <f>VLOOKUP($C275,难度推算表,副本难度推算!$M$3,FALSE)*副本难度推算!$Y$7*Q275</f>
        <v>2409786.0743477149</v>
      </c>
      <c r="L275" s="72">
        <f>VLOOKUP($C275,难度推算表,副本难度推算!$P$3,FALSE)*副本难度推算!$Z$7*$R275+VLOOKUP($C275,难度推算表,副本难度推算!$H$3,FALSE)</f>
        <v>57098.130862535683</v>
      </c>
      <c r="M275" s="72">
        <f>VLOOKUP($C275,难度推算表,副本难度推算!$G$3,FALSE)-VLOOKUP($C275,难度推算表,副本难度推算!$I$3,FALSE)*(2-副本难度推算!$AA$7)*(2-$S275)</f>
        <v>12945.506365436926</v>
      </c>
      <c r="N275" s="2">
        <f>VLOOKUP($C275,难度推算表,副本难度推算!$Q$3,FALSE)</f>
        <v>4825.1559999999999</v>
      </c>
      <c r="O275" s="2">
        <f>VLOOKUP($C275,难度推算表,副本难度推算!$R$3,FALSE)</f>
        <v>0</v>
      </c>
      <c r="Q275" s="140">
        <f t="shared" si="25"/>
        <v>1.04</v>
      </c>
      <c r="R275" s="140">
        <f t="shared" si="26"/>
        <v>0.72000000000000008</v>
      </c>
      <c r="S275" s="140">
        <f t="shared" si="27"/>
        <v>0.64000000000000012</v>
      </c>
      <c r="V275" s="140"/>
      <c r="W275" s="140"/>
      <c r="X275" s="140"/>
    </row>
    <row r="276" spans="1:24">
      <c r="A276" s="2" t="str">
        <f t="shared" si="23"/>
        <v>逃亡</v>
      </c>
      <c r="B276" s="2" t="str">
        <f>怪物并表!$R$14</f>
        <v>英雄之路</v>
      </c>
      <c r="C276" s="2">
        <v>78</v>
      </c>
      <c r="D276" s="28">
        <f t="shared" si="24"/>
        <v>1904</v>
      </c>
      <c r="E276" s="72">
        <f>VLOOKUP($C276,难度推算表,副本难度推算!$M$3,FALSE)*副本难度推算!$Y$5*Q276</f>
        <v>1016984.8908905839</v>
      </c>
      <c r="F276" s="72">
        <f>VLOOKUP($C276,难度推算表,副本难度推算!$P$3,FALSE)*副本难度推算!$Z$5*$R276+VLOOKUP($C276,难度推算表,副本难度推算!$H$3,FALSE)</f>
        <v>52843.311693144795</v>
      </c>
      <c r="G276" s="72">
        <f>VLOOKUP($C276,难度推算表,副本难度推算!$G$3,FALSE)-VLOOKUP($C276,难度推算表,副本难度推算!$I$3,FALSE)*(2-副本难度推算!$AA$5)*(2-$S276)</f>
        <v>8368.272774164554</v>
      </c>
      <c r="H276" s="72">
        <f>VLOOKUP($C276,难度推算表,副本难度推算!$M$3,FALSE)*副本难度推算!$Y$6*Q276</f>
        <v>813587.91271246714</v>
      </c>
      <c r="I276" s="72">
        <f>VLOOKUP($C276,难度推算表,副本难度推算!$P$3,FALSE)*副本难度推算!$Z$6*$R276+VLOOKUP($C276,难度推算表,副本难度推算!$H$3,FALSE)</f>
        <v>49080.484664587508</v>
      </c>
      <c r="J276" s="72">
        <f>VLOOKUP($C276,难度推算表,副本难度推算!$G$3,FALSE)-VLOOKUP($C276,难度推算表,副本难度推算!$I$3,FALSE)*(2-副本难度推算!$AA$6)*(2-$S276)</f>
        <v>3195.1586955901075</v>
      </c>
      <c r="K276" s="72">
        <f>VLOOKUP($C276,难度推算表,副本难度推算!$M$3,FALSE)*副本难度推算!$Y$7*Q276</f>
        <v>2542462.2272264599</v>
      </c>
      <c r="L276" s="72">
        <f>VLOOKUP($C276,难度推算表,副本难度推算!$P$3,FALSE)*副本难度推算!$Z$7*$R276+VLOOKUP($C276,难度推算表,副本难度推算!$H$3,FALSE)</f>
        <v>60368.965750259369</v>
      </c>
      <c r="M276" s="72">
        <f>VLOOKUP($C276,难度推算表,副本难度推算!$G$3,FALSE)-VLOOKUP($C276,难度推算表,副本难度推算!$I$3,FALSE)*(2-副本难度推算!$AA$7)*(2-$S276)</f>
        <v>13541.386852739</v>
      </c>
      <c r="N276" s="2">
        <f>VLOOKUP($C276,难度推算表,副本难度推算!$Q$3,FALSE)</f>
        <v>4883.384</v>
      </c>
      <c r="O276" s="2">
        <f>VLOOKUP($C276,难度推算表,副本难度推算!$R$3,FALSE)</f>
        <v>0</v>
      </c>
      <c r="Q276" s="140">
        <f t="shared" si="25"/>
        <v>1.04</v>
      </c>
      <c r="R276" s="140">
        <f t="shared" si="26"/>
        <v>0.72000000000000008</v>
      </c>
      <c r="S276" s="140">
        <f t="shared" si="27"/>
        <v>0.64000000000000012</v>
      </c>
      <c r="V276" s="140"/>
      <c r="W276" s="140"/>
      <c r="X276" s="140"/>
    </row>
    <row r="277" spans="1:24">
      <c r="A277" s="2" t="str">
        <f t="shared" si="23"/>
        <v>逃亡</v>
      </c>
      <c r="B277" s="2" t="str">
        <f>怪物并表!$R$14</f>
        <v>英雄之路</v>
      </c>
      <c r="C277" s="2">
        <v>79</v>
      </c>
      <c r="D277" s="28">
        <f t="shared" si="24"/>
        <v>1904</v>
      </c>
      <c r="E277" s="72">
        <f>VLOOKUP($C277,难度推算表,副本难度推算!$M$3,FALSE)*副本难度推算!$Y$5*Q277</f>
        <v>1072070.5148718385</v>
      </c>
      <c r="F277" s="72">
        <f>VLOOKUP($C277,难度推算表,副本难度推算!$P$3,FALSE)*副本难度推算!$Z$5*$R277+VLOOKUP($C277,难度推算表,副本难度推算!$H$3,FALSE)</f>
        <v>55804.184296534848</v>
      </c>
      <c r="G277" s="72">
        <f>VLOOKUP($C277,难度推算表,副本难度推算!$G$3,FALSE)-VLOOKUP($C277,难度推算表,副本难度推算!$I$3,FALSE)*(2-副本难度推算!$AA$5)*(2-$S277)</f>
        <v>8746.7992872321192</v>
      </c>
      <c r="H277" s="72">
        <f>VLOOKUP($C277,难度推算表,副本难度推算!$M$3,FALSE)*副本难度推算!$Y$6*Q277</f>
        <v>857656.41189747083</v>
      </c>
      <c r="I277" s="72">
        <f>VLOOKUP($C277,难度推算表,副本难度推算!$P$3,FALSE)*副本难度推算!$Z$6*$R277+VLOOKUP($C277,难度推算表,副本难度推算!$H$3,FALSE)</f>
        <v>51814.093010014469</v>
      </c>
      <c r="J277" s="72">
        <f>VLOOKUP($C277,难度推算表,副本难度推算!$G$3,FALSE)-VLOOKUP($C277,难度推算表,副本难度推算!$I$3,FALSE)*(2-副本难度推算!$AA$6)*(2-$S277)</f>
        <v>3339.6870005795463</v>
      </c>
      <c r="K277" s="72">
        <f>VLOOKUP($C277,难度推算表,副本难度推算!$M$3,FALSE)*副本难度推算!$Y$7*Q277</f>
        <v>2680176.2871795958</v>
      </c>
      <c r="L277" s="72">
        <f>VLOOKUP($C277,难度推算表,副本难度推算!$P$3,FALSE)*副本难度推算!$Z$7*$R277+VLOOKUP($C277,难度推算表,副本难度推算!$H$3,FALSE)</f>
        <v>63784.366869575591</v>
      </c>
      <c r="M277" s="72">
        <f>VLOOKUP($C277,难度推算表,副本难度推算!$G$3,FALSE)-VLOOKUP($C277,难度推算表,副本难度推算!$I$3,FALSE)*(2-副本难度推算!$AA$7)*(2-$S277)</f>
        <v>14153.911573884696</v>
      </c>
      <c r="N277" s="2">
        <f>VLOOKUP($C277,难度推算表,副本难度推算!$Q$3,FALSE)</f>
        <v>4941.6120000000001</v>
      </c>
      <c r="O277" s="2">
        <f>VLOOKUP($C277,难度推算表,副本难度推算!$R$3,FALSE)</f>
        <v>0</v>
      </c>
      <c r="Q277" s="140">
        <f t="shared" si="25"/>
        <v>1.04</v>
      </c>
      <c r="R277" s="140">
        <f t="shared" si="26"/>
        <v>0.72000000000000008</v>
      </c>
      <c r="S277" s="140">
        <f t="shared" si="27"/>
        <v>0.64000000000000012</v>
      </c>
      <c r="V277" s="140"/>
      <c r="W277" s="140"/>
      <c r="X277" s="140"/>
    </row>
    <row r="278" spans="1:24">
      <c r="A278" s="2" t="str">
        <f t="shared" si="23"/>
        <v>逃亡</v>
      </c>
      <c r="B278" s="2" t="str">
        <f>怪物并表!$R$14</f>
        <v>英雄之路</v>
      </c>
      <c r="C278" s="2">
        <v>80</v>
      </c>
      <c r="D278" s="28">
        <f t="shared" si="24"/>
        <v>1904</v>
      </c>
      <c r="E278" s="72">
        <f>VLOOKUP($C278,难度推算表,副本难度推算!$M$3,FALSE)*副本难度推算!$Y$5*Q278</f>
        <v>1132588.7910239906</v>
      </c>
      <c r="F278" s="72">
        <f>VLOOKUP($C278,难度推算表,副本难度推算!$P$3,FALSE)*副本难度推算!$Z$5*$R278+VLOOKUP($C278,难度推算表,副本难度推算!$H$3,FALSE)</f>
        <v>59069.134150141501</v>
      </c>
      <c r="G278" s="72">
        <f>VLOOKUP($C278,难度推算表,副本难度推算!$G$3,FALSE)-VLOOKUP($C278,难度推算表,副本难度推算!$I$3,FALSE)*(2-副本难度推算!$AA$5)*(2-$S278)</f>
        <v>9163.0107130434808</v>
      </c>
      <c r="H278" s="72">
        <f>VLOOKUP($C278,难度推算表,副本难度推算!$M$3,FALSE)*副本难度推算!$Y$6*Q278</f>
        <v>906071.03281919262</v>
      </c>
      <c r="I278" s="72">
        <f>VLOOKUP($C278,难度推算表,副本难度推算!$P$3,FALSE)*副本难度推算!$Z$6*$R278+VLOOKUP($C278,难度推算表,副本难度推算!$H$3,FALSE)</f>
        <v>54828.222682953434</v>
      </c>
      <c r="J278" s="72">
        <f>VLOOKUP($C278,难度推算表,副本难度推算!$G$3,FALSE)-VLOOKUP($C278,难度推算表,副本难度推算!$I$3,FALSE)*(2-副本难度推算!$AA$6)*(2-$S278)</f>
        <v>3498.6040904347828</v>
      </c>
      <c r="K278" s="72">
        <f>VLOOKUP($C278,难度推算表,副本难度推算!$M$3,FALSE)*副本难度推算!$Y$7*Q278</f>
        <v>2831471.9775599767</v>
      </c>
      <c r="L278" s="72">
        <f>VLOOKUP($C278,难度推算表,副本难度推算!$P$3,FALSE)*副本难度推算!$Z$7*$R278+VLOOKUP($C278,难度推算表,副本难度推算!$H$3,FALSE)</f>
        <v>67550.95708451762</v>
      </c>
      <c r="M278" s="72">
        <f>VLOOKUP($C278,难度推算表,副本难度推算!$G$3,FALSE)-VLOOKUP($C278,难度推算表,副本难度推算!$I$3,FALSE)*(2-副本难度推算!$AA$7)*(2-$S278)</f>
        <v>14827.417335652175</v>
      </c>
      <c r="N278" s="2">
        <f>VLOOKUP($C278,难度推算表,副本难度推算!$Q$3,FALSE)</f>
        <v>4999.84</v>
      </c>
      <c r="O278" s="2">
        <f>VLOOKUP($C278,难度推算表,副本难度推算!$R$3,FALSE)</f>
        <v>0</v>
      </c>
      <c r="Q278" s="140">
        <f t="shared" si="25"/>
        <v>1.04</v>
      </c>
      <c r="R278" s="140">
        <f t="shared" si="26"/>
        <v>0.72000000000000008</v>
      </c>
      <c r="S278" s="140">
        <f t="shared" si="27"/>
        <v>0.64000000000000012</v>
      </c>
      <c r="V278" s="140"/>
      <c r="W278" s="140"/>
      <c r="X278" s="140"/>
    </row>
    <row r="279" spans="1:24">
      <c r="A279" s="2" t="str">
        <f t="shared" si="23"/>
        <v>逃亡</v>
      </c>
      <c r="B279" s="2" t="str">
        <f>怪物并表!$R$14</f>
        <v>英雄之路</v>
      </c>
      <c r="C279" s="2">
        <v>81</v>
      </c>
      <c r="D279" s="28">
        <f t="shared" si="24"/>
        <v>1904</v>
      </c>
      <c r="E279" s="72">
        <f>VLOOKUP($C279,难度推算表,副本难度推算!$M$3,FALSE)*副本难度推算!$Y$5*Q279</f>
        <v>1195424.6398836989</v>
      </c>
      <c r="F279" s="72">
        <f>VLOOKUP($C279,难度推算表,副本难度推算!$P$3,FALSE)*副本难度推算!$Z$5*$R279+VLOOKUP($C279,难度推算表,副本难度推算!$H$3,FALSE)</f>
        <v>70924.043803160064</v>
      </c>
      <c r="G279" s="72">
        <f>VLOOKUP($C279,难度推算表,副本难度推算!$G$3,FALSE)-VLOOKUP($C279,难度推算表,副本难度推算!$I$3,FALSE)*(2-副本难度推算!$AA$5)*(2-$S279)</f>
        <v>9590.9842774822864</v>
      </c>
      <c r="H279" s="72">
        <f>VLOOKUP($C279,难度推算表,副本难度推算!$M$3,FALSE)*副本难度推算!$Y$6*Q279</f>
        <v>956339.71190695907</v>
      </c>
      <c r="I279" s="72">
        <f>VLOOKUP($C279,难度推算表,副本难度推算!$P$3,FALSE)*副本难度推算!$Z$6*$R279+VLOOKUP($C279,难度推算表,副本难度推算!$H$3,FALSE)</f>
        <v>65575.45474602266</v>
      </c>
      <c r="J279" s="72">
        <f>VLOOKUP($C279,难度推算表,副本难度推算!$G$3,FALSE)-VLOOKUP($C279,难度推算表,副本难度推算!$I$3,FALSE)*(2-副本难度推算!$AA$6)*(2-$S279)</f>
        <v>3662.0121786750606</v>
      </c>
      <c r="K279" s="72">
        <f>VLOOKUP($C279,难度推算表,副本难度推算!$M$3,FALSE)*副本难度推算!$Y$7*Q279</f>
        <v>2988561.5997092472</v>
      </c>
      <c r="L279" s="72">
        <f>VLOOKUP($C279,难度推算表,副本难度推算!$P$3,FALSE)*副本难度推算!$Z$7*$R279+VLOOKUP($C279,难度推算表,副本难度推算!$H$3,FALSE)</f>
        <v>81621.221917434872</v>
      </c>
      <c r="M279" s="72">
        <f>VLOOKUP($C279,难度推算表,副本难度推算!$G$3,FALSE)-VLOOKUP($C279,难度推算表,副本难度推算!$I$3,FALSE)*(2-副本难度推算!$AA$7)*(2-$S279)</f>
        <v>15519.956376289509</v>
      </c>
      <c r="N279" s="2">
        <f>VLOOKUP($C279,难度推算表,副本难度推算!$Q$3,FALSE)</f>
        <v>5058.0680000000002</v>
      </c>
      <c r="O279" s="2">
        <f>VLOOKUP($C279,难度推算表,副本难度推算!$R$3,FALSE)</f>
        <v>0</v>
      </c>
      <c r="Q279" s="140">
        <f t="shared" si="25"/>
        <v>1.04</v>
      </c>
      <c r="R279" s="140">
        <f t="shared" si="26"/>
        <v>0.72000000000000008</v>
      </c>
      <c r="S279" s="140">
        <f t="shared" si="27"/>
        <v>0.64000000000000012</v>
      </c>
      <c r="V279" s="140"/>
      <c r="W279" s="140"/>
      <c r="X279" s="140"/>
    </row>
    <row r="280" spans="1:24">
      <c r="A280" s="2" t="str">
        <f t="shared" si="23"/>
        <v>逃亡</v>
      </c>
      <c r="B280" s="2" t="str">
        <f>怪物并表!$R$14</f>
        <v>英雄之路</v>
      </c>
      <c r="C280" s="2">
        <v>82</v>
      </c>
      <c r="D280" s="28">
        <f t="shared" si="24"/>
        <v>1904</v>
      </c>
      <c r="E280" s="72">
        <f>VLOOKUP($C280,难度推算表,副本难度推算!$M$3,FALSE)*副本难度推算!$Y$5*Q280</f>
        <v>1260631.7167829585</v>
      </c>
      <c r="F280" s="72">
        <f>VLOOKUP($C280,难度推算表,副本难度推算!$P$3,FALSE)*副本难度推算!$Z$5*$R280+VLOOKUP($C280,难度推算表,副本难度推算!$H$3,FALSE)</f>
        <v>75599.326167863037</v>
      </c>
      <c r="G280" s="72">
        <f>VLOOKUP($C280,难度推算表,副本难度推算!$G$3,FALSE)-VLOOKUP($C280,难度推算表,副本难度推算!$I$3,FALSE)*(2-副本难度推算!$AA$5)*(2-$S280)</f>
        <v>10030.866592021412</v>
      </c>
      <c r="H280" s="72">
        <f>VLOOKUP($C280,难度推算表,副本难度推算!$M$3,FALSE)*副本难度推算!$Y$6*Q280</f>
        <v>1008505.3734263668</v>
      </c>
      <c r="I280" s="72">
        <f>VLOOKUP($C280,难度推算表,副本难度推算!$P$3,FALSE)*副本难度推算!$Z$6*$R280+VLOOKUP($C280,难度推算表,副本难度推算!$H$3,FALSE)</f>
        <v>69863.18747689882</v>
      </c>
      <c r="J280" s="72">
        <f>VLOOKUP($C280,难度推算表,副本难度推算!$G$3,FALSE)-VLOOKUP($C280,难度推算表,副本难度推算!$I$3,FALSE)*(2-副本难度推算!$AA$6)*(2-$S280)</f>
        <v>3829.9672442263618</v>
      </c>
      <c r="K280" s="72">
        <f>VLOOKUP($C280,难度推算表,副本难度推算!$M$3,FALSE)*副本难度推算!$Y$7*Q280</f>
        <v>3151579.2919573961</v>
      </c>
      <c r="L280" s="72">
        <f>VLOOKUP($C280,难度推算表,副本难度推算!$P$3,FALSE)*副本难度推算!$Z$7*$R280+VLOOKUP($C280,难度推算表,副本难度推算!$H$3,FALSE)</f>
        <v>87071.6035497915</v>
      </c>
      <c r="M280" s="72">
        <f>VLOOKUP($C280,难度推算表,副本难度推算!$G$3,FALSE)-VLOOKUP($C280,难度推算表,副本难度推算!$I$3,FALSE)*(2-副本难度推算!$AA$7)*(2-$S280)</f>
        <v>16231.765939816461</v>
      </c>
      <c r="N280" s="2">
        <f>VLOOKUP($C280,难度推算表,副本难度推算!$Q$3,FALSE)</f>
        <v>5116.2960000000003</v>
      </c>
      <c r="O280" s="2">
        <f>VLOOKUP($C280,难度推算表,副本难度推算!$R$3,FALSE)</f>
        <v>0</v>
      </c>
      <c r="Q280" s="140">
        <f t="shared" si="25"/>
        <v>1.04</v>
      </c>
      <c r="R280" s="140">
        <f t="shared" si="26"/>
        <v>0.72000000000000008</v>
      </c>
      <c r="S280" s="140">
        <f t="shared" si="27"/>
        <v>0.64000000000000012</v>
      </c>
      <c r="V280" s="140"/>
      <c r="W280" s="140"/>
      <c r="X280" s="140"/>
    </row>
    <row r="281" spans="1:24">
      <c r="A281" s="2" t="str">
        <f t="shared" si="23"/>
        <v>逃亡</v>
      </c>
      <c r="B281" s="2" t="str">
        <f>怪物并表!$R$14</f>
        <v>英雄之路</v>
      </c>
      <c r="C281" s="2">
        <v>83</v>
      </c>
      <c r="D281" s="28">
        <f t="shared" si="24"/>
        <v>1904</v>
      </c>
      <c r="E281" s="72">
        <f>VLOOKUP($C281,难度推算表,副本难度推算!$M$3,FALSE)*副本难度推算!$Y$5*Q281</f>
        <v>1328264.2344247531</v>
      </c>
      <c r="F281" s="72">
        <f>VLOOKUP($C281,难度推算表,副本难度推算!$P$3,FALSE)*副本难度推算!$Z$5*$R281+VLOOKUP($C281,难度推算表,副本难度推算!$H$3,FALSE)</f>
        <v>80528.452316885523</v>
      </c>
      <c r="G281" s="72">
        <f>VLOOKUP($C281,难度推算表,副本难度推算!$G$3,FALSE)-VLOOKUP($C281,难度推算表,副本难度推算!$I$3,FALSE)*(2-副本难度推算!$AA$5)*(2-$S281)</f>
        <v>10482.804268133787</v>
      </c>
      <c r="H281" s="72">
        <f>VLOOKUP($C281,难度推算表,副本难度推算!$M$3,FALSE)*副本难度推算!$Y$6*Q281</f>
        <v>1062611.3875398026</v>
      </c>
      <c r="I281" s="72">
        <f>VLOOKUP($C281,难度推算表,副本难度推算!$P$3,FALSE)*副本难度推算!$Z$6*$R281+VLOOKUP($C281,难度推算表,副本难度推算!$H$3,FALSE)</f>
        <v>74381.571497584941</v>
      </c>
      <c r="J281" s="72">
        <f>VLOOKUP($C281,难度推算表,副本难度推算!$G$3,FALSE)-VLOOKUP($C281,难度推算表,副本难度推算!$I$3,FALSE)*(2-副本难度推算!$AA$6)*(2-$S281)</f>
        <v>4002.5252660147162</v>
      </c>
      <c r="K281" s="72">
        <f>VLOOKUP($C281,难度推算表,副本难度推算!$M$3,FALSE)*副本难度推算!$Y$7*Q281</f>
        <v>3320660.5860618828</v>
      </c>
      <c r="L281" s="72">
        <f>VLOOKUP($C281,难度推算表,副本难度推算!$P$3,FALSE)*副本难度推算!$Z$7*$R281+VLOOKUP($C281,难度推算表,副本难度推算!$H$3,FALSE)</f>
        <v>92822.213955486703</v>
      </c>
      <c r="M281" s="72">
        <f>VLOOKUP($C281,难度推算表,副本难度推算!$G$3,FALSE)-VLOOKUP($C281,难度推算表,副本难度推算!$I$3,FALSE)*(2-副本难度推算!$AA$7)*(2-$S281)</f>
        <v>16963.083270252853</v>
      </c>
      <c r="N281" s="2">
        <f>VLOOKUP($C281,难度推算表,副本难度推算!$Q$3,FALSE)</f>
        <v>5174.5240000000003</v>
      </c>
      <c r="O281" s="2">
        <f>VLOOKUP($C281,难度推算表,副本难度推算!$R$3,FALSE)</f>
        <v>0</v>
      </c>
      <c r="Q281" s="140">
        <f t="shared" si="25"/>
        <v>1.04</v>
      </c>
      <c r="R281" s="140">
        <f t="shared" si="26"/>
        <v>0.72000000000000008</v>
      </c>
      <c r="S281" s="140">
        <f t="shared" si="27"/>
        <v>0.64000000000000012</v>
      </c>
      <c r="V281" s="140"/>
      <c r="W281" s="140"/>
      <c r="X281" s="140"/>
    </row>
    <row r="282" spans="1:24">
      <c r="A282" s="2" t="str">
        <f t="shared" ref="A282:A288" si="28">$Z$14</f>
        <v>逃亡</v>
      </c>
      <c r="B282" s="2" t="str">
        <f>怪物并表!$R$14</f>
        <v>英雄之路</v>
      </c>
      <c r="C282" s="2">
        <v>84</v>
      </c>
      <c r="D282" s="28">
        <f t="shared" si="24"/>
        <v>1904</v>
      </c>
      <c r="E282" s="72">
        <f>VLOOKUP($C282,难度推算表,副本难度推算!$M$3,FALSE)*副本难度推算!$Y$5*Q282</f>
        <v>1398376.9626908791</v>
      </c>
      <c r="F282" s="72">
        <f>VLOOKUP($C282,难度推算表,副本难度推算!$P$3,FALSE)*副本难度推算!$Z$5*$R282+VLOOKUP($C282,难度推算表,副本难度推算!$H$3,FALSE)</f>
        <v>85723.909338584665</v>
      </c>
      <c r="G282" s="72">
        <f>VLOOKUP($C282,难度推算表,副本难度推算!$G$3,FALSE)-VLOOKUP($C282,难度推算表,副本难度推算!$I$3,FALSE)*(2-副本难度推算!$AA$5)*(2-$S282)</f>
        <v>10946.943917292316</v>
      </c>
      <c r="H282" s="72">
        <f>VLOOKUP($C282,难度推算表,副本难度推算!$M$3,FALSE)*副本难度推算!$Y$6*Q282</f>
        <v>1118701.5701527034</v>
      </c>
      <c r="I282" s="72">
        <f>VLOOKUP($C282,难度推算表,副本难度推算!$P$3,FALSE)*副本难度推算!$Z$6*$R282+VLOOKUP($C282,难度推算表,副本难度推算!$H$3,FALSE)</f>
        <v>79141.871844233887</v>
      </c>
      <c r="J282" s="72">
        <f>VLOOKUP($C282,难度推算表,副本难度推算!$G$3,FALSE)-VLOOKUP($C282,难度推算表,副本难度推算!$I$3,FALSE)*(2-副本难度推算!$AA$6)*(2-$S282)</f>
        <v>4179.7422229661679</v>
      </c>
      <c r="K282" s="72">
        <f>VLOOKUP($C282,难度推算表,副本难度推算!$M$3,FALSE)*副本难度推算!$Y$7*Q282</f>
        <v>3495942.406727198</v>
      </c>
      <c r="L282" s="72">
        <f>VLOOKUP($C282,难度推算表,副本难度推算!$P$3,FALSE)*副本难度推算!$Z$7*$R282+VLOOKUP($C282,难度推算表,副本难度推算!$H$3,FALSE)</f>
        <v>98887.984327286205</v>
      </c>
      <c r="M282" s="72">
        <f>VLOOKUP($C282,难度推算表,副本难度推算!$G$3,FALSE)-VLOOKUP($C282,难度推算表,副本难度推算!$I$3,FALSE)*(2-副本难度推算!$AA$7)*(2-$S282)</f>
        <v>17714.145611618467</v>
      </c>
      <c r="N282" s="2">
        <f>VLOOKUP($C282,难度推算表,副本难度推算!$Q$3,FALSE)</f>
        <v>5232.7520000000004</v>
      </c>
      <c r="O282" s="2">
        <f>VLOOKUP($C282,难度推算表,副本难度推算!$R$3,FALSE)</f>
        <v>0</v>
      </c>
      <c r="Q282" s="140">
        <f t="shared" si="25"/>
        <v>1.04</v>
      </c>
      <c r="R282" s="140">
        <f t="shared" si="26"/>
        <v>0.72000000000000008</v>
      </c>
      <c r="S282" s="140">
        <f t="shared" si="27"/>
        <v>0.64000000000000012</v>
      </c>
      <c r="V282" s="140"/>
      <c r="W282" s="140"/>
      <c r="X282" s="140"/>
    </row>
    <row r="283" spans="1:24">
      <c r="A283" s="2" t="str">
        <f t="shared" si="28"/>
        <v>逃亡</v>
      </c>
      <c r="B283" s="2" t="str">
        <f>怪物并表!$R$14</f>
        <v>英雄之路</v>
      </c>
      <c r="C283" s="2">
        <v>85</v>
      </c>
      <c r="D283" s="28">
        <f t="shared" si="24"/>
        <v>1904</v>
      </c>
      <c r="E283" s="72">
        <f>VLOOKUP($C283,难度推算表,副本难度推算!$M$3,FALSE)*副本难度推算!$Y$5*Q283</f>
        <v>1471025.2284517922</v>
      </c>
      <c r="F283" s="72">
        <f>VLOOKUP($C283,难度推算表,副本难度推算!$P$3,FALSE)*副本难度推算!$Z$5*$R283+VLOOKUP($C283,难度推算表,副本难度推算!$H$3,FALSE)</f>
        <v>91198.832817882329</v>
      </c>
      <c r="G283" s="72">
        <f>VLOOKUP($C283,难度推算表,副本难度推算!$G$3,FALSE)-VLOOKUP($C283,难度推算表,副本难度推算!$I$3,FALSE)*(2-副本难度推算!$AA$5)*(2-$S283)</f>
        <v>11423.4321509699</v>
      </c>
      <c r="H283" s="72">
        <f>VLOOKUP($C283,难度推算表,副本难度推算!$M$3,FALSE)*副本难度推算!$Y$6*Q283</f>
        <v>1176820.1827614338</v>
      </c>
      <c r="I283" s="72">
        <f>VLOOKUP($C283,难度推算表,副本难度推算!$P$3,FALSE)*副本难度推算!$Z$6*$R283+VLOOKUP($C283,难度推算表,副本难度推算!$H$3,FALSE)</f>
        <v>84155.937199906795</v>
      </c>
      <c r="J283" s="72">
        <f>VLOOKUP($C283,难度推算表,副本难度推算!$G$3,FALSE)-VLOOKUP($C283,难度推算表,副本难度推算!$I$3,FALSE)*(2-副本难度推算!$AA$6)*(2-$S283)</f>
        <v>4361.6740940066957</v>
      </c>
      <c r="K283" s="72">
        <f>VLOOKUP($C283,难度推算表,副本难度推算!$M$3,FALSE)*副本难度推算!$Y$7*Q283</f>
        <v>3677563.0711294808</v>
      </c>
      <c r="L283" s="72">
        <f>VLOOKUP($C283,难度推算表,副本难度推算!$P$3,FALSE)*副本难度推算!$Z$7*$R283+VLOOKUP($C283,难度推算表,副本难度推算!$H$3,FALSE)</f>
        <v>105284.62405383337</v>
      </c>
      <c r="M283" s="72">
        <f>VLOOKUP($C283,难度推算表,副本难度推算!$G$3,FALSE)-VLOOKUP($C283,难度推算表,副本难度推算!$I$3,FALSE)*(2-副本难度推算!$AA$7)*(2-$S283)</f>
        <v>18485.190207933108</v>
      </c>
      <c r="N283" s="2">
        <f>VLOOKUP($C283,难度推算表,副本难度推算!$Q$3,FALSE)</f>
        <v>5290.98</v>
      </c>
      <c r="O283" s="2">
        <f>VLOOKUP($C283,难度推算表,副本难度推算!$R$3,FALSE)</f>
        <v>0</v>
      </c>
      <c r="Q283" s="140">
        <f t="shared" si="25"/>
        <v>1.04</v>
      </c>
      <c r="R283" s="140">
        <f t="shared" si="26"/>
        <v>0.72000000000000008</v>
      </c>
      <c r="S283" s="140">
        <f t="shared" si="27"/>
        <v>0.64000000000000012</v>
      </c>
      <c r="V283" s="140"/>
      <c r="W283" s="140"/>
      <c r="X283" s="140"/>
    </row>
    <row r="284" spans="1:24">
      <c r="A284" s="2" t="str">
        <f t="shared" si="28"/>
        <v>逃亡</v>
      </c>
      <c r="B284" s="2" t="str">
        <f>怪物并表!$R$14</f>
        <v>英雄之路</v>
      </c>
      <c r="C284" s="2">
        <v>86</v>
      </c>
      <c r="D284" s="28">
        <f t="shared" si="24"/>
        <v>1904</v>
      </c>
      <c r="E284" s="72">
        <f>VLOOKUP($C284,难度推算表,副本难度推算!$M$3,FALSE)*副本难度推算!$Y$5*Q284</f>
        <v>1546264.9153785051</v>
      </c>
      <c r="F284" s="72">
        <f>VLOOKUP($C284,难度推算表,副本难度推算!$P$3,FALSE)*副本难度推算!$Z$5*$R284+VLOOKUP($C284,难度推算表,副本难度推算!$H$3,FALSE)</f>
        <v>96967.047032333256</v>
      </c>
      <c r="G284" s="72">
        <f>VLOOKUP($C284,难度推算表,副本难度推算!$G$3,FALSE)-VLOOKUP($C284,难度推算表,副本难度推算!$I$3,FALSE)*(2-副本难度推算!$AA$5)*(2-$S284)</f>
        <v>11912.41558063947</v>
      </c>
      <c r="H284" s="72">
        <f>VLOOKUP($C284,难度推算表,副本难度推算!$M$3,FALSE)*副本难度推算!$Y$6*Q284</f>
        <v>1237011.9323028042</v>
      </c>
      <c r="I284" s="72">
        <f>VLOOKUP($C284,难度推算表,副本难度推算!$P$3,FALSE)*副本难度推算!$Z$6*$R284+VLOOKUP($C284,难度推算表,副本难度推算!$H$3,FALSE)</f>
        <v>89436.236071034378</v>
      </c>
      <c r="J284" s="72">
        <f>VLOOKUP($C284,难度推算表,副本难度推算!$G$3,FALSE)-VLOOKUP($C284,难度推算表,副本难度推算!$I$3,FALSE)*(2-副本难度推算!$AA$6)*(2-$S284)</f>
        <v>4548.3768580623437</v>
      </c>
      <c r="K284" s="72">
        <f>VLOOKUP($C284,难度推算表,副本难度推算!$M$3,FALSE)*副本难度推算!$Y$7*Q284</f>
        <v>3865662.2884462625</v>
      </c>
      <c r="L284" s="72">
        <f>VLOOKUP($C284,难度推算表,副本难度推算!$P$3,FALSE)*副本难度推算!$Z$7*$R284+VLOOKUP($C284,难度推算表,副本难度推算!$H$3,FALSE)</f>
        <v>112028.668954931</v>
      </c>
      <c r="M284" s="72">
        <f>VLOOKUP($C284,难度推算表,副本难度推算!$G$3,FALSE)-VLOOKUP($C284,难度推算表,副本难度推算!$I$3,FALSE)*(2-副本难度推算!$AA$7)*(2-$S284)</f>
        <v>19276.454303216589</v>
      </c>
      <c r="N284" s="2">
        <f>VLOOKUP($C284,难度推算表,副本难度推算!$Q$3,FALSE)</f>
        <v>5349.2079999999996</v>
      </c>
      <c r="O284" s="2">
        <f>VLOOKUP($C284,难度推算表,副本难度推算!$R$3,FALSE)</f>
        <v>0</v>
      </c>
      <c r="Q284" s="140">
        <f t="shared" si="25"/>
        <v>1.04</v>
      </c>
      <c r="R284" s="140">
        <f t="shared" si="26"/>
        <v>0.72000000000000008</v>
      </c>
      <c r="S284" s="140">
        <f t="shared" si="27"/>
        <v>0.64000000000000012</v>
      </c>
      <c r="V284" s="140"/>
      <c r="W284" s="140"/>
      <c r="X284" s="140"/>
    </row>
    <row r="285" spans="1:24">
      <c r="A285" s="2" t="str">
        <f t="shared" si="28"/>
        <v>逃亡</v>
      </c>
      <c r="B285" s="2" t="str">
        <f>怪物并表!$R$14</f>
        <v>英雄之路</v>
      </c>
      <c r="C285" s="2">
        <v>87</v>
      </c>
      <c r="D285" s="28">
        <f t="shared" si="24"/>
        <v>1904</v>
      </c>
      <c r="E285" s="72">
        <f>VLOOKUP($C285,难度推算表,副本难度推算!$M$3,FALSE)*副本难度推算!$Y$5*Q285</f>
        <v>1624152.4637565666</v>
      </c>
      <c r="F285" s="72">
        <f>VLOOKUP($C285,难度推算表,副本难度推算!$P$3,FALSE)*副本难度推算!$Z$5*$R285+VLOOKUP($C285,难度推算表,副本难度推算!$H$3,FALSE)</f>
        <v>103043.10817551166</v>
      </c>
      <c r="G285" s="72">
        <f>VLOOKUP($C285,难度推算表,副本难度推算!$G$3,FALSE)-VLOOKUP($C285,难度推算表,副本难度推算!$I$3,FALSE)*(2-副本难度推算!$AA$5)*(2-$S285)</f>
        <v>12414.040817773923</v>
      </c>
      <c r="H285" s="72">
        <f>VLOOKUP($C285,难度推算表,副本难度推算!$M$3,FALSE)*副本难度推算!$Y$6*Q285</f>
        <v>1299321.9710052533</v>
      </c>
      <c r="I285" s="72">
        <f>VLOOKUP($C285,难度推算表,副本难度推算!$P$3,FALSE)*副本难度推算!$Z$6*$R285+VLOOKUP($C285,难度推算表,副本难度推算!$H$3,FALSE)</f>
        <v>94995.895688464836</v>
      </c>
      <c r="J285" s="72">
        <f>VLOOKUP($C285,难度推算表,副本难度推算!$G$3,FALSE)-VLOOKUP($C285,难度推算表,副本难度推算!$I$3,FALSE)*(2-副本难度推算!$AA$6)*(2-$S285)</f>
        <v>4739.9064940591416</v>
      </c>
      <c r="K285" s="72">
        <f>VLOOKUP($C285,难度推算表,副本难度推算!$M$3,FALSE)*副本难度推算!$Y$7*Q285</f>
        <v>4060381.1593914162</v>
      </c>
      <c r="L285" s="72">
        <f>VLOOKUP($C285,难度推算表,副本难度推算!$P$3,FALSE)*副本难度推算!$Z$7*$R285+VLOOKUP($C285,难度推算表,副本难度推算!$H$3,FALSE)</f>
        <v>119137.5331496053</v>
      </c>
      <c r="M285" s="72">
        <f>VLOOKUP($C285,难度推算表,副本难度推算!$G$3,FALSE)-VLOOKUP($C285,难度推算表,副本难度推算!$I$3,FALSE)*(2-副本难度推算!$AA$7)*(2-$S285)</f>
        <v>20088.175141488697</v>
      </c>
      <c r="N285" s="2">
        <f>VLOOKUP($C285,难度推算表,副本难度推算!$Q$3,FALSE)</f>
        <v>5407.4360000000006</v>
      </c>
      <c r="O285" s="2">
        <f>VLOOKUP($C285,难度推算表,副本难度推算!$R$3,FALSE)</f>
        <v>0</v>
      </c>
      <c r="Q285" s="140">
        <f t="shared" si="25"/>
        <v>1.04</v>
      </c>
      <c r="R285" s="140">
        <f t="shared" si="26"/>
        <v>0.72000000000000008</v>
      </c>
      <c r="S285" s="140">
        <f t="shared" si="27"/>
        <v>0.64000000000000012</v>
      </c>
      <c r="V285" s="140"/>
      <c r="W285" s="140"/>
      <c r="X285" s="140"/>
    </row>
    <row r="286" spans="1:24">
      <c r="A286" s="2" t="str">
        <f t="shared" si="28"/>
        <v>逃亡</v>
      </c>
      <c r="B286" s="2" t="str">
        <f>怪物并表!$R$14</f>
        <v>英雄之路</v>
      </c>
      <c r="C286" s="2">
        <v>88</v>
      </c>
      <c r="D286" s="28">
        <f t="shared" si="24"/>
        <v>1904</v>
      </c>
      <c r="E286" s="72">
        <f>VLOOKUP($C286,难度推算表,副本难度推算!$M$3,FALSE)*副本难度推算!$Y$5*Q286</f>
        <v>1704744.87030214</v>
      </c>
      <c r="F286" s="72">
        <f>VLOOKUP($C286,难度推算表,副本难度推算!$P$3,FALSE)*副本难度推算!$Z$5*$R286+VLOOKUP($C286,难度推算表,副本难度推算!$H$3,FALSE)</f>
        <v>109442.35087709768</v>
      </c>
      <c r="G286" s="72">
        <f>VLOOKUP($C286,难度推算表,副本难度推算!$G$3,FALSE)-VLOOKUP($C286,难度推算表,副本难度推算!$I$3,FALSE)*(2-副本难度推算!$AA$5)*(2-$S286)</f>
        <v>12928.454473846155</v>
      </c>
      <c r="H286" s="72">
        <f>VLOOKUP($C286,难度推算表,副本难度推算!$M$3,FALSE)*副本难度推算!$Y$6*Q286</f>
        <v>1363795.8962417122</v>
      </c>
      <c r="I286" s="72">
        <f>VLOOKUP($C286,难度推算表,副本难度推算!$P$3,FALSE)*副本难度推算!$Z$6*$R286+VLOOKUP($C286,难度推算表,副本难度推算!$H$3,FALSE)</f>
        <v>100848.74387554175</v>
      </c>
      <c r="J286" s="72">
        <f>VLOOKUP($C286,难度推算表,副本难度推算!$G$3,FALSE)-VLOOKUP($C286,难度推算表,副本难度推算!$I$3,FALSE)*(2-副本难度推算!$AA$6)*(2-$S286)</f>
        <v>4936.3189809230826</v>
      </c>
      <c r="K286" s="72">
        <f>VLOOKUP($C286,难度推算表,副本难度推算!$M$3,FALSE)*副本难度推算!$Y$7*Q286</f>
        <v>4261862.1757553499</v>
      </c>
      <c r="L286" s="72">
        <f>VLOOKUP($C286,难度推算表,副本难度推算!$P$3,FALSE)*副本难度推算!$Z$7*$R286+VLOOKUP($C286,难度推算表,副本难度推算!$H$3,FALSE)</f>
        <v>126629.56488020951</v>
      </c>
      <c r="M286" s="72">
        <f>VLOOKUP($C286,难度推算表,副本难度推算!$G$3,FALSE)-VLOOKUP($C286,难度推算表,副本难度推算!$I$3,FALSE)*(2-副本难度推算!$AA$7)*(2-$S286)</f>
        <v>20920.589966769228</v>
      </c>
      <c r="N286" s="2">
        <f>VLOOKUP($C286,难度推算表,副本难度推算!$Q$3,FALSE)</f>
        <v>5465.6640000000007</v>
      </c>
      <c r="O286" s="2">
        <f>VLOOKUP($C286,难度推算表,副本难度推算!$R$3,FALSE)</f>
        <v>0</v>
      </c>
      <c r="Q286" s="140">
        <f t="shared" si="25"/>
        <v>1.04</v>
      </c>
      <c r="R286" s="140">
        <f t="shared" si="26"/>
        <v>0.72000000000000008</v>
      </c>
      <c r="S286" s="140">
        <f t="shared" si="27"/>
        <v>0.64000000000000012</v>
      </c>
      <c r="V286" s="140"/>
      <c r="W286" s="140"/>
      <c r="X286" s="140"/>
    </row>
    <row r="287" spans="1:24">
      <c r="A287" s="2" t="str">
        <f t="shared" si="28"/>
        <v>逃亡</v>
      </c>
      <c r="B287" s="2" t="str">
        <f>怪物并表!$R$14</f>
        <v>英雄之路</v>
      </c>
      <c r="C287" s="2">
        <v>89</v>
      </c>
      <c r="D287" s="28">
        <f t="shared" si="24"/>
        <v>1904</v>
      </c>
      <c r="E287" s="72">
        <f>VLOOKUP($C287,难度推算表,副本难度推算!$M$3,FALSE)*副本难度推算!$Y$5*Q287</f>
        <v>1788099.6879801806</v>
      </c>
      <c r="F287" s="72">
        <f>VLOOKUP($C287,难度推算表,副本难度推算!$P$3,FALSE)*副本难度推算!$Z$5*$R287+VLOOKUP($C287,难度推算表,副本难度推算!$H$3,FALSE)</f>
        <v>116180.93831678941</v>
      </c>
      <c r="G287" s="72">
        <f>VLOOKUP($C287,难度推算表,副本难度推算!$G$3,FALSE)-VLOOKUP($C287,难度推算表,副本难度推算!$I$3,FALSE)*(2-副本难度推算!$AA$5)*(2-$S287)</f>
        <v>13455.803160329095</v>
      </c>
      <c r="H287" s="72">
        <f>VLOOKUP($C287,难度推算表,副本难度推算!$M$3,FALSE)*副本难度推算!$Y$6*Q287</f>
        <v>1430479.7503841447</v>
      </c>
      <c r="I287" s="72">
        <f>VLOOKUP($C287,难度推算表,副本难度推算!$P$3,FALSE)*副本难度推算!$Z$6*$R287+VLOOKUP($C287,难度推算表,副本难度推算!$H$3,FALSE)</f>
        <v>107009.35415062486</v>
      </c>
      <c r="J287" s="72">
        <f>VLOOKUP($C287,难度推算表,副本难度推算!$G$3,FALSE)-VLOOKUP($C287,难度推算表,副本难度推算!$I$3,FALSE)*(2-副本难度推算!$AA$6)*(2-$S287)</f>
        <v>5137.6702975801963</v>
      </c>
      <c r="K287" s="72">
        <f>VLOOKUP($C287,难度推算表,副本难度推算!$M$3,FALSE)*副本难度推算!$Y$7*Q287</f>
        <v>4470249.2199504524</v>
      </c>
      <c r="L287" s="72">
        <f>VLOOKUP($C287,难度推算表,副本难度推算!$P$3,FALSE)*副本难度推算!$Z$7*$R287+VLOOKUP($C287,难度推算表,副本难度推算!$H$3,FALSE)</f>
        <v>134524.10664911853</v>
      </c>
      <c r="M287" s="72">
        <f>VLOOKUP($C287,难度推算表,副本难度推算!$G$3,FALSE)-VLOOKUP($C287,难度推算表,副本难度推算!$I$3,FALSE)*(2-副本难度推算!$AA$7)*(2-$S287)</f>
        <v>21773.936023077986</v>
      </c>
      <c r="N287" s="2">
        <f>VLOOKUP($C287,难度推算表,副本难度推算!$Q$3,FALSE)</f>
        <v>5523.8919999999998</v>
      </c>
      <c r="O287" s="2">
        <f>VLOOKUP($C287,难度推算表,副本难度推算!$R$3,FALSE)</f>
        <v>0</v>
      </c>
      <c r="Q287" s="140">
        <f t="shared" si="25"/>
        <v>1.04</v>
      </c>
      <c r="R287" s="140">
        <f t="shared" si="26"/>
        <v>0.72000000000000008</v>
      </c>
      <c r="S287" s="140">
        <f t="shared" si="27"/>
        <v>0.64000000000000012</v>
      </c>
      <c r="V287" s="140"/>
      <c r="W287" s="140"/>
      <c r="X287" s="140"/>
    </row>
    <row r="288" spans="1:24">
      <c r="A288" s="2" t="str">
        <f t="shared" si="28"/>
        <v>逃亡</v>
      </c>
      <c r="B288" s="2" t="str">
        <f>怪物并表!$R$14</f>
        <v>英雄之路</v>
      </c>
      <c r="C288" s="2">
        <v>90</v>
      </c>
      <c r="D288" s="28">
        <f t="shared" si="24"/>
        <v>1904</v>
      </c>
      <c r="E288" s="72">
        <f>VLOOKUP($C288,难度推算表,副本难度推算!$M$3,FALSE)*副本难度推算!$Y$5*Q288</f>
        <v>1874275.0258247333</v>
      </c>
      <c r="F288" s="72">
        <f>VLOOKUP($C288,难度推算表,副本难度推算!$P$3,FALSE)*副本难度推算!$Z$5*$R288+VLOOKUP($C288,难度推算表,副本难度推算!$H$3,FALSE)</f>
        <v>123275.91626017389</v>
      </c>
      <c r="G288" s="72">
        <f>VLOOKUP($C288,难度推算表,副本难度推算!$G$3,FALSE)-VLOOKUP($C288,难度推算表,副本难度推算!$I$3,FALSE)*(2-副本难度推算!$AA$5)*(2-$S288)</f>
        <v>13996.23348869566</v>
      </c>
      <c r="H288" s="72">
        <f>VLOOKUP($C288,难度推算表,副本难度推算!$M$3,FALSE)*副本难度推算!$Y$6*Q288</f>
        <v>1499420.0206597866</v>
      </c>
      <c r="I288" s="72">
        <f>VLOOKUP($C288,难度推算表,副本难度推算!$P$3,FALSE)*副本难度推算!$Z$6*$R288+VLOOKUP($C288,难度推算表,副本难度推算!$H$3,FALSE)</f>
        <v>113493.09435937391</v>
      </c>
      <c r="J288" s="72">
        <f>VLOOKUP($C288,难度推算表,副本难度推算!$G$3,FALSE)-VLOOKUP($C288,难度推算表,副本难度推算!$I$3,FALSE)*(2-副本难度推算!$AA$6)*(2-$S288)</f>
        <v>5344.0164229565344</v>
      </c>
      <c r="K288" s="72">
        <f>VLOOKUP($C288,难度推算表,副本难度推算!$M$3,FALSE)*副本难度推算!$Y$7*Q288</f>
        <v>4685687.5645618327</v>
      </c>
      <c r="L288" s="72">
        <f>VLOOKUP($C288,难度推算表,副本难度推算!$P$3,FALSE)*副本难度推算!$Z$7*$R288+VLOOKUP($C288,难度推算表,副本难度推算!$H$3,FALSE)</f>
        <v>142841.5600617739</v>
      </c>
      <c r="M288" s="72">
        <f>VLOOKUP($C288,难度推算表,副本难度推算!$G$3,FALSE)-VLOOKUP($C288,难度推算表,副本难度推算!$I$3,FALSE)*(2-副本难度推算!$AA$7)*(2-$S288)</f>
        <v>22648.450554434778</v>
      </c>
      <c r="N288" s="2">
        <f>VLOOKUP($C288,难度推算表,副本难度推算!$Q$3,FALSE)</f>
        <v>5582.12</v>
      </c>
      <c r="O288" s="2">
        <f>VLOOKUP($C288,难度推算表,副本难度推算!$R$3,FALSE)</f>
        <v>0</v>
      </c>
      <c r="Q288" s="140">
        <f t="shared" si="25"/>
        <v>1.04</v>
      </c>
      <c r="R288" s="140">
        <f t="shared" si="26"/>
        <v>0.72000000000000008</v>
      </c>
      <c r="S288" s="140">
        <f t="shared" si="27"/>
        <v>0.64000000000000012</v>
      </c>
      <c r="V288" s="140"/>
      <c r="W288" s="140"/>
      <c r="X288" s="140"/>
    </row>
    <row r="289" spans="1:24">
      <c r="A289" s="2" t="str">
        <f>$Z$15</f>
        <v>营救</v>
      </c>
      <c r="B289" s="2" t="str">
        <f>怪物并表!$R$14</f>
        <v>英雄之路</v>
      </c>
      <c r="C289" s="2">
        <v>20</v>
      </c>
      <c r="D289" s="28">
        <f t="shared" si="24"/>
        <v>1905</v>
      </c>
      <c r="E289" s="72">
        <f>VLOOKUP($C289,难度推算表,副本难度推算!$M$3,FALSE)*副本难度推算!$Y$5*Q289</f>
        <v>12193.366537815873</v>
      </c>
      <c r="F289" s="72">
        <f>VLOOKUP($C289,难度推算表,副本难度推算!$P$3,FALSE)*副本难度推算!$Z$5*$R289+VLOOKUP($C289,难度推算表,副本难度推算!$H$3,FALSE)</f>
        <v>455.47630434782616</v>
      </c>
      <c r="G289" s="72">
        <f>VLOOKUP($C289,难度推算表,副本难度推算!$G$3,FALSE)-VLOOKUP($C289,难度推算表,副本难度推算!$I$3,FALSE)*(2-副本难度推算!$AA$5)*(2-$S289)</f>
        <v>337.46086956521748</v>
      </c>
      <c r="H289" s="72">
        <f>VLOOKUP($C289,难度推算表,副本难度推算!$M$3,FALSE)*副本难度推算!$Y$6*Q289</f>
        <v>9754.6932302526984</v>
      </c>
      <c r="I289" s="72">
        <f>VLOOKUP($C289,难度推算表,副本难度推算!$P$3,FALSE)*副本难度推算!$Z$6*$R289+VLOOKUP($C289,难度推算表,副本难度推算!$H$3,FALSE)</f>
        <v>436.92554347826098</v>
      </c>
      <c r="J289" s="72">
        <f>VLOOKUP($C289,难度推算表,副本难度推算!$G$3,FALSE)-VLOOKUP($C289,难度推算表,副本难度推算!$I$3,FALSE)*(2-副本难度推算!$AA$6)*(2-$S289)</f>
        <v>283.46713043478269</v>
      </c>
      <c r="K289" s="72">
        <f>VLOOKUP($C289,难度推算表,副本难度推算!$M$3,FALSE)*副本难度推算!$Y$7*Q289</f>
        <v>30483.416344539684</v>
      </c>
      <c r="L289" s="72">
        <f>VLOOKUP($C289,难度推算表,副本难度推算!$P$3,FALSE)*副本难度推算!$Z$7*$R289+VLOOKUP($C289,难度推算表,副本难度推算!$H$3,FALSE)</f>
        <v>492.57782608695663</v>
      </c>
      <c r="M289" s="72">
        <f>VLOOKUP($C289,难度推算表,副本难度推算!$G$3,FALSE)-VLOOKUP($C289,难度推算表,副本难度推算!$I$3,FALSE)*(2-副本难度推算!$AA$7)*(2-$S289)</f>
        <v>391.45460869565227</v>
      </c>
      <c r="N289" s="2">
        <f>VLOOKUP($C289,难度推算表,副本难度推算!$Q$3,FALSE)</f>
        <v>1506.1599999999999</v>
      </c>
      <c r="O289" s="2">
        <f>VLOOKUP($C289,难度推算表,副本难度推算!$R$3,FALSE)</f>
        <v>0</v>
      </c>
      <c r="Q289" s="140">
        <f t="shared" si="25"/>
        <v>1.5</v>
      </c>
      <c r="R289" s="140">
        <f t="shared" si="26"/>
        <v>0.9</v>
      </c>
      <c r="S289" s="140">
        <f t="shared" si="27"/>
        <v>1.2</v>
      </c>
      <c r="V289" s="140"/>
      <c r="W289" s="140"/>
      <c r="X289" s="140"/>
    </row>
    <row r="290" spans="1:24">
      <c r="A290" s="2" t="str">
        <f t="shared" ref="A290:A353" si="29">$Z$15</f>
        <v>营救</v>
      </c>
      <c r="B290" s="2" t="str">
        <f>怪物并表!$R$14</f>
        <v>英雄之路</v>
      </c>
      <c r="C290" s="2">
        <v>21</v>
      </c>
      <c r="D290" s="28">
        <f t="shared" si="24"/>
        <v>1905</v>
      </c>
      <c r="E290" s="72">
        <f>VLOOKUP($C290,难度推算表,副本难度推算!$M$3,FALSE)*副本难度推算!$Y$5*Q290</f>
        <v>13627.267896443749</v>
      </c>
      <c r="F290" s="72">
        <f>VLOOKUP($C290,难度推算表,副本难度推算!$P$3,FALSE)*副本难度推算!$Z$5*$R290+VLOOKUP($C290,难度推算表,副本难度推算!$H$3,FALSE)</f>
        <v>505.36028817219699</v>
      </c>
      <c r="G290" s="72">
        <f>VLOOKUP($C290,难度推算表,副本难度推算!$G$3,FALSE)-VLOOKUP($C290,难度推算表,副本难度推算!$I$3,FALSE)*(2-副本难度推算!$AA$5)*(2-$S290)</f>
        <v>368.90269565217409</v>
      </c>
      <c r="H290" s="72">
        <f>VLOOKUP($C290,难度推算表,副本难度推算!$M$3,FALSE)*副本难度推算!$Y$6*Q290</f>
        <v>10901.814317155</v>
      </c>
      <c r="I290" s="72">
        <f>VLOOKUP($C290,难度推算表,副本难度推算!$P$3,FALSE)*副本难度推算!$Z$6*$R290+VLOOKUP($C290,难度推算表,副本难度推算!$H$3,FALSE)</f>
        <v>484.33647500715119</v>
      </c>
      <c r="J290" s="72">
        <f>VLOOKUP($C290,难度推算表,副本难度推算!$G$3,FALSE)-VLOOKUP($C290,难度推算表,副本难度推算!$I$3,FALSE)*(2-副本难度推算!$AA$6)*(2-$S290)</f>
        <v>309.87826434782619</v>
      </c>
      <c r="K290" s="72">
        <f>VLOOKUP($C290,难度推算表,副本难度推算!$M$3,FALSE)*副本难度推算!$Y$7*Q290</f>
        <v>34068.16974110937</v>
      </c>
      <c r="L290" s="72">
        <f>VLOOKUP($C290,难度推算表,副本难度推算!$P$3,FALSE)*副本难度推算!$Z$7*$R290+VLOOKUP($C290,难度推算表,副本难度推算!$H$3,FALSE)</f>
        <v>547.40791450228858</v>
      </c>
      <c r="M290" s="72">
        <f>VLOOKUP($C290,难度推算表,副本难度推算!$G$3,FALSE)-VLOOKUP($C290,难度推算表,副本难度推算!$I$3,FALSE)*(2-副本难度推算!$AA$7)*(2-$S290)</f>
        <v>427.92712695652193</v>
      </c>
      <c r="N290" s="2">
        <f>VLOOKUP($C290,难度推算表,副本难度推算!$Q$3,FALSE)</f>
        <v>1564.3879999999999</v>
      </c>
      <c r="O290" s="2">
        <f>VLOOKUP($C290,难度推算表,副本难度推算!$R$3,FALSE)</f>
        <v>0</v>
      </c>
      <c r="Q290" s="140">
        <f t="shared" si="25"/>
        <v>1.5</v>
      </c>
      <c r="R290" s="140">
        <f t="shared" si="26"/>
        <v>0.9</v>
      </c>
      <c r="S290" s="140">
        <f t="shared" si="27"/>
        <v>1.2</v>
      </c>
      <c r="V290" s="140"/>
      <c r="W290" s="140"/>
      <c r="X290" s="140"/>
    </row>
    <row r="291" spans="1:24">
      <c r="A291" s="2" t="str">
        <f t="shared" si="29"/>
        <v>营救</v>
      </c>
      <c r="B291" s="2" t="str">
        <f>怪物并表!$R$14</f>
        <v>英雄之路</v>
      </c>
      <c r="C291" s="2">
        <v>22</v>
      </c>
      <c r="D291" s="28">
        <f t="shared" si="24"/>
        <v>1905</v>
      </c>
      <c r="E291" s="72">
        <f>VLOOKUP($C291,难度推算表,副本难度推算!$M$3,FALSE)*副本难度推算!$Y$5*Q291</f>
        <v>15157.820208878849</v>
      </c>
      <c r="F291" s="72">
        <f>VLOOKUP($C291,难度推算表,副本难度推算!$P$3,FALSE)*副本难度推算!$Z$5*$R291+VLOOKUP($C291,难度推算表,副本难度推算!$H$3,FALSE)</f>
        <v>558.43666896413561</v>
      </c>
      <c r="G291" s="72">
        <f>VLOOKUP($C291,难度推算表,副本难度推算!$G$3,FALSE)-VLOOKUP($C291,难度推算表,副本难度推算!$I$3,FALSE)*(2-副本难度推算!$AA$5)*(2-$S291)</f>
        <v>401.64730434782615</v>
      </c>
      <c r="H291" s="72">
        <f>VLOOKUP($C291,难度推算表,副本难度推算!$M$3,FALSE)*副本难度推算!$Y$6*Q291</f>
        <v>12126.25616710308</v>
      </c>
      <c r="I291" s="72">
        <f>VLOOKUP($C291,难度推算表,副本难度推算!$P$3,FALSE)*副本难度推算!$Z$6*$R291+VLOOKUP($C291,难度推算表,副本难度推算!$H$3,FALSE)</f>
        <v>534.72478641554812</v>
      </c>
      <c r="J291" s="72">
        <f>VLOOKUP($C291,难度推算表,副本难度推算!$G$3,FALSE)-VLOOKUP($C291,难度推算表,副本难度推算!$I$3,FALSE)*(2-副本难度推算!$AA$6)*(2-$S291)</f>
        <v>337.38373565217398</v>
      </c>
      <c r="K291" s="72">
        <f>VLOOKUP($C291,难度推算表,副本难度推算!$M$3,FALSE)*副本难度推算!$Y$7*Q291</f>
        <v>37894.550522197125</v>
      </c>
      <c r="L291" s="72">
        <f>VLOOKUP($C291,难度推算表,副本难度推算!$P$3,FALSE)*副本难度推算!$Z$7*$R291+VLOOKUP($C291,难度推算表,副本难度推算!$H$3,FALSE)</f>
        <v>605.86043406131057</v>
      </c>
      <c r="M291" s="72">
        <f>VLOOKUP($C291,难度推算表,副本难度推算!$G$3,FALSE)-VLOOKUP($C291,难度推算表,副本难度推算!$I$3,FALSE)*(2-副本难度推算!$AA$7)*(2-$S291)</f>
        <v>465.91087304347832</v>
      </c>
      <c r="N291" s="2">
        <f>VLOOKUP($C291,难度推算表,副本难度推算!$Q$3,FALSE)</f>
        <v>1622.616</v>
      </c>
      <c r="O291" s="2">
        <f>VLOOKUP($C291,难度推算表,副本难度推算!$R$3,FALSE)</f>
        <v>0</v>
      </c>
      <c r="Q291" s="140">
        <f t="shared" si="25"/>
        <v>1.5</v>
      </c>
      <c r="R291" s="140">
        <f t="shared" si="26"/>
        <v>0.9</v>
      </c>
      <c r="S291" s="140">
        <f t="shared" si="27"/>
        <v>1.2</v>
      </c>
      <c r="V291" s="140"/>
      <c r="W291" s="140"/>
      <c r="X291" s="140"/>
    </row>
    <row r="292" spans="1:24">
      <c r="A292" s="2" t="str">
        <f t="shared" si="29"/>
        <v>营救</v>
      </c>
      <c r="B292" s="2" t="str">
        <f>怪物并表!$R$14</f>
        <v>英雄之路</v>
      </c>
      <c r="C292" s="2">
        <v>23</v>
      </c>
      <c r="D292" s="28">
        <f t="shared" si="24"/>
        <v>1905</v>
      </c>
      <c r="E292" s="72">
        <f>VLOOKUP($C292,难度推算表,副本难度推算!$M$3,FALSE)*副本难度推算!$Y$5*Q292</f>
        <v>17100.608707636922</v>
      </c>
      <c r="F292" s="72">
        <f>VLOOKUP($C292,难度推算表,副本难度推算!$P$3,FALSE)*副本难度推算!$Z$5*$R292+VLOOKUP($C292,难度推算表,副本难度推算!$H$3,FALSE)</f>
        <v>626.27797793190211</v>
      </c>
      <c r="G292" s="72">
        <f>VLOOKUP($C292,难度推算表,副本难度推算!$G$3,FALSE)-VLOOKUP($C292,难度推算表,副本难度推算!$I$3,FALSE)*(2-副本难度推算!$AA$5)*(2-$S292)</f>
        <v>443.81777257525096</v>
      </c>
      <c r="H292" s="72">
        <f>VLOOKUP($C292,难度推算表,副本难度推算!$M$3,FALSE)*副本难度推算!$Y$6*Q292</f>
        <v>13680.486966109538</v>
      </c>
      <c r="I292" s="72">
        <f>VLOOKUP($C292,难度推算表,副本难度推算!$P$3,FALSE)*副本难度推算!$Z$6*$R292+VLOOKUP($C292,难度推算表,副本难度推算!$H$3,FALSE)</f>
        <v>599.15560194473187</v>
      </c>
      <c r="J292" s="72">
        <f>VLOOKUP($C292,难度推算表,副本难度推算!$G$3,FALSE)-VLOOKUP($C292,难度推算表,副本难度推算!$I$3,FALSE)*(2-副本难度推算!$AA$6)*(2-$S292)</f>
        <v>372.80692896321085</v>
      </c>
      <c r="K292" s="72">
        <f>VLOOKUP($C292,难度推算表,副本难度推算!$M$3,FALSE)*副本难度推算!$Y$7*Q292</f>
        <v>42751.521769092302</v>
      </c>
      <c r="L292" s="72">
        <f>VLOOKUP($C292,难度推算表,副本难度推算!$P$3,FALSE)*副本难度推算!$Z$7*$R292+VLOOKUP($C292,难度推算表,副本难度推算!$H$3,FALSE)</f>
        <v>680.52272990624238</v>
      </c>
      <c r="M292" s="72">
        <f>VLOOKUP($C292,难度推算表,副本难度推算!$G$3,FALSE)-VLOOKUP($C292,难度推算表,副本难度推算!$I$3,FALSE)*(2-副本难度推算!$AA$7)*(2-$S292)</f>
        <v>514.82861618729112</v>
      </c>
      <c r="N292" s="2">
        <f>VLOOKUP($C292,难度推算表,副本难度推算!$Q$3,FALSE)</f>
        <v>1680.8440000000001</v>
      </c>
      <c r="O292" s="2">
        <f>VLOOKUP($C292,难度推算表,副本难度推算!$R$3,FALSE)</f>
        <v>0</v>
      </c>
      <c r="Q292" s="140">
        <f t="shared" si="25"/>
        <v>1.5</v>
      </c>
      <c r="R292" s="140">
        <f t="shared" si="26"/>
        <v>0.9</v>
      </c>
      <c r="S292" s="140">
        <f t="shared" si="27"/>
        <v>1.2</v>
      </c>
      <c r="V292" s="140"/>
      <c r="W292" s="140"/>
      <c r="X292" s="140"/>
    </row>
    <row r="293" spans="1:24">
      <c r="A293" s="2" t="str">
        <f t="shared" si="29"/>
        <v>营救</v>
      </c>
      <c r="B293" s="2" t="str">
        <f>怪物并表!$R$14</f>
        <v>英雄之路</v>
      </c>
      <c r="C293" s="2">
        <v>24</v>
      </c>
      <c r="D293" s="28">
        <f t="shared" si="24"/>
        <v>1905</v>
      </c>
      <c r="E293" s="72">
        <f>VLOOKUP($C293,难度推算表,副本难度推算!$M$3,FALSE)*副本难度推算!$Y$5*Q293</f>
        <v>19177.335585501329</v>
      </c>
      <c r="F293" s="72">
        <f>VLOOKUP($C293,难度推算表,副本难度推算!$P$3,FALSE)*副本难度推算!$Z$5*$R293+VLOOKUP($C293,难度推算表,副本难度推算!$H$3,FALSE)</f>
        <v>698.5815189056982</v>
      </c>
      <c r="G293" s="72">
        <f>VLOOKUP($C293,难度推算表,副本难度推算!$G$3,FALSE)-VLOOKUP($C293,难度推算表,副本难度推算!$I$3,FALSE)*(2-副本难度推算!$AA$5)*(2-$S293)</f>
        <v>487.78333110367896</v>
      </c>
      <c r="H293" s="72">
        <f>VLOOKUP($C293,难度推算表,副本难度推算!$M$3,FALSE)*副本难度推算!$Y$6*Q293</f>
        <v>15341.868468401062</v>
      </c>
      <c r="I293" s="72">
        <f>VLOOKUP($C293,难度推算表,副本难度推算!$P$3,FALSE)*副本难度推算!$Z$6*$R293+VLOOKUP($C293,难度推算表,副本难度推算!$H$3,FALSE)</f>
        <v>667.74603350342272</v>
      </c>
      <c r="J293" s="72">
        <f>VLOOKUP($C293,难度推算表,副本难度推算!$G$3,FALSE)-VLOOKUP($C293,难度推算表,副本难度推算!$I$3,FALSE)*(2-副本难度推算!$AA$6)*(2-$S293)</f>
        <v>409.73799812709035</v>
      </c>
      <c r="K293" s="72">
        <f>VLOOKUP($C293,难度推算表,副本难度推算!$M$3,FALSE)*副本难度推算!$Y$7*Q293</f>
        <v>47943.338963753311</v>
      </c>
      <c r="L293" s="72">
        <f>VLOOKUP($C293,难度推算表,副本难度推算!$P$3,FALSE)*副本难度推算!$Z$7*$R293+VLOOKUP($C293,难度推算表,副本难度推算!$H$3,FALSE)</f>
        <v>760.25248971024917</v>
      </c>
      <c r="M293" s="72">
        <f>VLOOKUP($C293,难度推算表,副本难度推算!$G$3,FALSE)-VLOOKUP($C293,难度推算表,副本难度推算!$I$3,FALSE)*(2-副本难度推算!$AA$7)*(2-$S293)</f>
        <v>565.82866408026757</v>
      </c>
      <c r="N293" s="2">
        <f>VLOOKUP($C293,难度推算表,副本难度推算!$Q$3,FALSE)</f>
        <v>1739.0720000000001</v>
      </c>
      <c r="O293" s="2">
        <f>VLOOKUP($C293,难度推算表,副本难度推算!$R$3,FALSE)</f>
        <v>0</v>
      </c>
      <c r="Q293" s="140">
        <f t="shared" si="25"/>
        <v>1.5</v>
      </c>
      <c r="R293" s="140">
        <f t="shared" si="26"/>
        <v>0.9</v>
      </c>
      <c r="S293" s="140">
        <f t="shared" si="27"/>
        <v>1.2</v>
      </c>
      <c r="V293" s="140"/>
      <c r="W293" s="140"/>
      <c r="X293" s="140"/>
    </row>
    <row r="294" spans="1:24">
      <c r="A294" s="2" t="str">
        <f t="shared" si="29"/>
        <v>营救</v>
      </c>
      <c r="B294" s="2" t="str">
        <f>怪物并表!$R$14</f>
        <v>英雄之路</v>
      </c>
      <c r="C294" s="2">
        <v>25</v>
      </c>
      <c r="D294" s="28">
        <f t="shared" si="24"/>
        <v>1905</v>
      </c>
      <c r="E294" s="72">
        <f>VLOOKUP($C294,难度推算表,副本难度推算!$M$3,FALSE)*副本难度推算!$Y$5*Q294</f>
        <v>21391.571822335278</v>
      </c>
      <c r="F294" s="72">
        <f>VLOOKUP($C294,难度推算表,副本难度推算!$P$3,FALSE)*副本难度推算!$Z$5*$R294+VLOOKUP($C294,难度推算表,副本难度推算!$H$3,FALSE)</f>
        <v>775.50225171527677</v>
      </c>
      <c r="G294" s="72">
        <f>VLOOKUP($C294,难度推算表,副本难度推算!$G$3,FALSE)-VLOOKUP($C294,难度推算表,副本难度推算!$I$3,FALSE)*(2-副本难度推算!$AA$5)*(2-$S294)</f>
        <v>533.54397993311056</v>
      </c>
      <c r="H294" s="72">
        <f>VLOOKUP($C294,难度推算表,副本难度推算!$M$3,FALSE)*副本难度推算!$Y$6*Q294</f>
        <v>17113.257457868222</v>
      </c>
      <c r="I294" s="72">
        <f>VLOOKUP($C294,难度推算表,副本难度推算!$P$3,FALSE)*副本难度推算!$Z$6*$R294+VLOOKUP($C294,难度推算表,副本难度推算!$H$3,FALSE)</f>
        <v>740.63554493839797</v>
      </c>
      <c r="J294" s="72">
        <f>VLOOKUP($C294,难度推算表,副本难度推算!$G$3,FALSE)-VLOOKUP($C294,难度推算表,副本难度推算!$I$3,FALSE)*(2-副本难度推算!$AA$6)*(2-$S294)</f>
        <v>448.17694314381288</v>
      </c>
      <c r="K294" s="72">
        <f>VLOOKUP($C294,难度推算表,副本难度推算!$M$3,FALSE)*副本难度推算!$Y$7*Q294</f>
        <v>53478.9295558382</v>
      </c>
      <c r="L294" s="72">
        <f>VLOOKUP($C294,难度推算表,副本难度推算!$P$3,FALSE)*副本难度推算!$Z$7*$R294+VLOOKUP($C294,难度推算表,副本难度推算!$H$3,FALSE)</f>
        <v>845.23566526903437</v>
      </c>
      <c r="M294" s="72">
        <f>VLOOKUP($C294,难度推算表,副本难度推算!$G$3,FALSE)-VLOOKUP($C294,难度推算表,副本难度推算!$I$3,FALSE)*(2-副本难度推算!$AA$7)*(2-$S294)</f>
        <v>618.91101672240825</v>
      </c>
      <c r="N294" s="2">
        <f>VLOOKUP($C294,难度推算表,副本难度推算!$Q$3,FALSE)</f>
        <v>1797.3000000000002</v>
      </c>
      <c r="O294" s="2">
        <f>VLOOKUP($C294,难度推算表,副本难度推算!$R$3,FALSE)</f>
        <v>0</v>
      </c>
      <c r="Q294" s="140">
        <f t="shared" si="25"/>
        <v>1.5</v>
      </c>
      <c r="R294" s="140">
        <f t="shared" si="26"/>
        <v>0.9</v>
      </c>
      <c r="S294" s="140">
        <f t="shared" si="27"/>
        <v>1.2</v>
      </c>
      <c r="V294" s="140"/>
      <c r="W294" s="140"/>
      <c r="X294" s="140"/>
    </row>
    <row r="295" spans="1:24">
      <c r="A295" s="2" t="str">
        <f t="shared" si="29"/>
        <v>营救</v>
      </c>
      <c r="B295" s="2" t="str">
        <f>怪物并表!$R$14</f>
        <v>英雄之路</v>
      </c>
      <c r="C295" s="2">
        <v>26</v>
      </c>
      <c r="D295" s="28">
        <f t="shared" si="24"/>
        <v>1905</v>
      </c>
      <c r="E295" s="72">
        <f>VLOOKUP($C295,难度推算表,副本难度推算!$M$3,FALSE)*副本难度推算!$Y$5*Q295</f>
        <v>24048.169458372489</v>
      </c>
      <c r="F295" s="72">
        <f>VLOOKUP($C295,难度推算表,副本难度推算!$P$3,FALSE)*副本难度推算!$Z$5*$R295+VLOOKUP($C295,难度推算表,副本难度推算!$H$3,FALSE)</f>
        <v>868.0754053798604</v>
      </c>
      <c r="G295" s="72">
        <f>VLOOKUP($C295,难度推算表,副本难度推算!$G$3,FALSE)-VLOOKUP($C295,难度推算表,副本难度推算!$I$3,FALSE)*(2-副本难度推算!$AA$5)*(2-$S295)</f>
        <v>588.47251906354529</v>
      </c>
      <c r="H295" s="72">
        <f>VLOOKUP($C295,难度推算表,副本难度推算!$M$3,FALSE)*副本难度推算!$Y$6*Q295</f>
        <v>19238.535566697992</v>
      </c>
      <c r="I295" s="72">
        <f>VLOOKUP($C295,难度推算表,副本难度推算!$P$3,FALSE)*副本难度推算!$Z$6*$R295+VLOOKUP($C295,难度推算表,副本难度推算!$H$3,FALSE)</f>
        <v>828.34566636695797</v>
      </c>
      <c r="J295" s="72">
        <f>VLOOKUP($C295,难度推算表,副本难度推算!$G$3,FALSE)-VLOOKUP($C295,难度推算表,副本难度推算!$I$3,FALSE)*(2-副本难度推算!$AA$6)*(2-$S295)</f>
        <v>494.31691601337809</v>
      </c>
      <c r="K295" s="72">
        <f>VLOOKUP($C295,难度推算表,副本难度推算!$M$3,FALSE)*副本难度推算!$Y$7*Q295</f>
        <v>60120.423645931223</v>
      </c>
      <c r="L295" s="72">
        <f>VLOOKUP($C295,难度推算表,副本难度推算!$P$3,FALSE)*副本难度推算!$Z$7*$R295+VLOOKUP($C295,难度推算表,副本难度推算!$H$3,FALSE)</f>
        <v>947.53488340566525</v>
      </c>
      <c r="M295" s="72">
        <f>VLOOKUP($C295,难度推算表,副本难度推算!$G$3,FALSE)-VLOOKUP($C295,难度推算表,副本难度推算!$I$3,FALSE)*(2-副本难度推算!$AA$7)*(2-$S295)</f>
        <v>682.62812211371261</v>
      </c>
      <c r="N295" s="2">
        <f>VLOOKUP($C295,难度推算表,副本难度推算!$Q$3,FALSE)</f>
        <v>1855.528</v>
      </c>
      <c r="O295" s="2">
        <f>VLOOKUP($C295,难度推算表,副本难度推算!$R$3,FALSE)</f>
        <v>0</v>
      </c>
      <c r="Q295" s="140">
        <f t="shared" si="25"/>
        <v>1.5</v>
      </c>
      <c r="R295" s="140">
        <f t="shared" si="26"/>
        <v>0.9</v>
      </c>
      <c r="S295" s="140">
        <f t="shared" si="27"/>
        <v>1.2</v>
      </c>
      <c r="V295" s="140"/>
      <c r="W295" s="140"/>
      <c r="X295" s="140"/>
    </row>
    <row r="296" spans="1:24">
      <c r="A296" s="2" t="str">
        <f t="shared" si="29"/>
        <v>营救</v>
      </c>
      <c r="B296" s="2" t="str">
        <f>怪物并表!$R$14</f>
        <v>英雄之路</v>
      </c>
      <c r="C296" s="2">
        <v>27</v>
      </c>
      <c r="D296" s="28">
        <f t="shared" si="24"/>
        <v>1905</v>
      </c>
      <c r="E296" s="72">
        <f>VLOOKUP($C296,难度推算表,副本难度推算!$M$3,FALSE)*副本难度推算!$Y$5*Q296</f>
        <v>26877.738124001164</v>
      </c>
      <c r="F296" s="72">
        <f>VLOOKUP($C296,难度推算表,副本难度推算!$P$3,FALSE)*副本难度推算!$Z$5*$R296+VLOOKUP($C296,难度推算表,副本难度推算!$H$3,FALSE)</f>
        <v>966.5259269812766</v>
      </c>
      <c r="G296" s="72">
        <f>VLOOKUP($C296,难度推算表,副本难度推算!$G$3,FALSE)-VLOOKUP($C296,难度推算表,副本难度推算!$I$3,FALSE)*(2-副本难度推算!$AA$5)*(2-$S296)</f>
        <v>645.60574849498346</v>
      </c>
      <c r="H296" s="72">
        <f>VLOOKUP($C296,难度推算表,副本难度推算!$M$3,FALSE)*副本难度推算!$Y$6*Q296</f>
        <v>21502.190499200933</v>
      </c>
      <c r="I296" s="72">
        <f>VLOOKUP($C296,难度推算表,副本难度推算!$P$3,FALSE)*副本难度推算!$Z$6*$R296+VLOOKUP($C296,难度推算表,副本难度推算!$H$3,FALSE)</f>
        <v>921.5217941627476</v>
      </c>
      <c r="J296" s="72">
        <f>VLOOKUP($C296,难度推算表,副本难度推算!$G$3,FALSE)-VLOOKUP($C296,难度推算表,副本难度推算!$I$3,FALSE)*(2-副本难度推算!$AA$6)*(2-$S296)</f>
        <v>542.30882873578616</v>
      </c>
      <c r="K296" s="72">
        <f>VLOOKUP($C296,难度推算表,副本难度推算!$M$3,FALSE)*副本难度推算!$Y$7*Q296</f>
        <v>67194.345310002915</v>
      </c>
      <c r="L296" s="72">
        <f>VLOOKUP($C296,难度推算表,副本难度推算!$P$3,FALSE)*副本难度推算!$Z$7*$R296+VLOOKUP($C296,难度推算表,副本难度推算!$H$3,FALSE)</f>
        <v>1056.5341926183346</v>
      </c>
      <c r="M296" s="72">
        <f>VLOOKUP($C296,难度推算表,副本难度推算!$G$3,FALSE)-VLOOKUP($C296,难度推算表,副本难度推算!$I$3,FALSE)*(2-副本难度推算!$AA$7)*(2-$S296)</f>
        <v>748.90266825418075</v>
      </c>
      <c r="N296" s="2">
        <f>VLOOKUP($C296,难度推算表,副本难度推算!$Q$3,FALSE)</f>
        <v>1913.7559999999999</v>
      </c>
      <c r="O296" s="2">
        <f>VLOOKUP($C296,难度推算表,副本难度推算!$R$3,FALSE)</f>
        <v>0</v>
      </c>
      <c r="Q296" s="140">
        <f t="shared" si="25"/>
        <v>1.5</v>
      </c>
      <c r="R296" s="140">
        <f t="shared" si="26"/>
        <v>0.9</v>
      </c>
      <c r="S296" s="140">
        <f t="shared" si="27"/>
        <v>1.2</v>
      </c>
      <c r="V296" s="140"/>
      <c r="W296" s="140"/>
      <c r="X296" s="140"/>
    </row>
    <row r="297" spans="1:24">
      <c r="A297" s="2" t="str">
        <f t="shared" si="29"/>
        <v>营救</v>
      </c>
      <c r="B297" s="2" t="str">
        <f>怪物并表!$R$14</f>
        <v>英雄之路</v>
      </c>
      <c r="C297" s="2">
        <v>28</v>
      </c>
      <c r="D297" s="28">
        <f t="shared" si="24"/>
        <v>1905</v>
      </c>
      <c r="E297" s="72">
        <f>VLOOKUP($C297,难度推算表,副本难度推算!$M$3,FALSE)*副本难度推算!$Y$5*Q297</f>
        <v>29884.634421967006</v>
      </c>
      <c r="F297" s="72">
        <f>VLOOKUP($C297,难度推算表,副本难度推算!$P$3,FALSE)*副本难度推算!$Z$5*$R297+VLOOKUP($C297,难度推算表,副本难度推算!$H$3,FALSE)</f>
        <v>1071.056840151788</v>
      </c>
      <c r="G297" s="72">
        <f>VLOOKUP($C297,难度推算表,副本难度推算!$G$3,FALSE)-VLOOKUP($C297,难度推算表,副本难度推算!$I$3,FALSE)*(2-副本难度推算!$AA$5)*(2-$S297)</f>
        <v>704.94366822742495</v>
      </c>
      <c r="H297" s="72">
        <f>VLOOKUP($C297,难度推算表,副本难度推算!$M$3,FALSE)*副本难度推算!$Y$6*Q297</f>
        <v>23907.707537573609</v>
      </c>
      <c r="I297" s="72">
        <f>VLOOKUP($C297,难度推算表,副本难度推算!$P$3,FALSE)*副本难度推算!$Z$6*$R297+VLOOKUP($C297,难度推算表,副本难度推算!$H$3,FALSE)</f>
        <v>1020.3466495948034</v>
      </c>
      <c r="J297" s="72">
        <f>VLOOKUP($C297,难度推算表,副本难度推算!$G$3,FALSE)-VLOOKUP($C297,难度推算表,副本难度推算!$I$3,FALSE)*(2-副本难度推算!$AA$6)*(2-$S297)</f>
        <v>592.15268131103687</v>
      </c>
      <c r="K297" s="72">
        <f>VLOOKUP($C297,难度推算表,副本难度推算!$M$3,FALSE)*副本难度推算!$Y$7*Q297</f>
        <v>74711.586054917527</v>
      </c>
      <c r="L297" s="72">
        <f>VLOOKUP($C297,难度推算表,副本难度推算!$P$3,FALSE)*副本难度推算!$Z$7*$R297+VLOOKUP($C297,难度推算表,副本难度推算!$H$3,FALSE)</f>
        <v>1172.4772212657576</v>
      </c>
      <c r="M297" s="72">
        <f>VLOOKUP($C297,难度推算表,副本难度推算!$G$3,FALSE)-VLOOKUP($C297,难度推算表,副本难度推算!$I$3,FALSE)*(2-副本难度推算!$AA$7)*(2-$S297)</f>
        <v>817.73465514381292</v>
      </c>
      <c r="N297" s="2">
        <f>VLOOKUP($C297,难度推算表,副本难度推算!$Q$3,FALSE)</f>
        <v>1971.9840000000002</v>
      </c>
      <c r="O297" s="2">
        <f>VLOOKUP($C297,难度推算表,副本难度推算!$R$3,FALSE)</f>
        <v>0</v>
      </c>
      <c r="Q297" s="140">
        <f t="shared" si="25"/>
        <v>1.5</v>
      </c>
      <c r="R297" s="140">
        <f t="shared" si="26"/>
        <v>0.9</v>
      </c>
      <c r="S297" s="140">
        <f t="shared" si="27"/>
        <v>1.2</v>
      </c>
      <c r="V297" s="140"/>
      <c r="W297" s="140"/>
      <c r="X297" s="140"/>
    </row>
    <row r="298" spans="1:24">
      <c r="A298" s="2" t="str">
        <f t="shared" si="29"/>
        <v>营救</v>
      </c>
      <c r="B298" s="2" t="str">
        <f>怪物并表!$R$14</f>
        <v>英雄之路</v>
      </c>
      <c r="C298" s="2">
        <v>29</v>
      </c>
      <c r="D298" s="28">
        <f t="shared" si="24"/>
        <v>1905</v>
      </c>
      <c r="E298" s="72">
        <f>VLOOKUP($C298,难度推算表,副本难度推算!$M$3,FALSE)*副本难度推算!$Y$5*Q298</f>
        <v>33073.202331491608</v>
      </c>
      <c r="F298" s="72">
        <f>VLOOKUP($C298,难度推算表,副本难度推算!$P$3,FALSE)*副本难度推算!$Z$5*$R298+VLOOKUP($C298,难度推算表,副本难度推算!$H$3,FALSE)</f>
        <v>1181.8770675153971</v>
      </c>
      <c r="G298" s="72">
        <f>VLOOKUP($C298,难度推算表,副本难度推算!$G$3,FALSE)-VLOOKUP($C298,难度推算表,副本难度推算!$I$3,FALSE)*(2-副本难度推算!$AA$5)*(2-$S298)</f>
        <v>766.48627826086999</v>
      </c>
      <c r="H298" s="72">
        <f>VLOOKUP($C298,难度推算表,副本难度推算!$M$3,FALSE)*副本难度推算!$Y$6*Q298</f>
        <v>26458.561865193289</v>
      </c>
      <c r="I298" s="72">
        <f>VLOOKUP($C298,难度推算表,副本难度推算!$P$3,FALSE)*副本难度推算!$Z$6*$R298+VLOOKUP($C298,难度推算表,副本难度推算!$H$3,FALSE)</f>
        <v>1125.0082630247271</v>
      </c>
      <c r="J298" s="72">
        <f>VLOOKUP($C298,难度推算表,副本难度推算!$G$3,FALSE)-VLOOKUP($C298,难度推算表,副本难度推算!$I$3,FALSE)*(2-副本难度推算!$AA$6)*(2-$S298)</f>
        <v>643.8484737391309</v>
      </c>
      <c r="K298" s="72">
        <f>VLOOKUP($C298,难度推算表,副本难度推算!$M$3,FALSE)*副本难度推算!$Y$7*Q298</f>
        <v>82683.00582872903</v>
      </c>
      <c r="L298" s="72">
        <f>VLOOKUP($C298,难度推算表,副本难度推算!$P$3,FALSE)*副本难度推算!$Z$7*$R298+VLOOKUP($C298,难度推算表,副本难度推算!$H$3,FALSE)</f>
        <v>1295.6146764967373</v>
      </c>
      <c r="M298" s="72">
        <f>VLOOKUP($C298,难度推算表,副本难度推算!$G$3,FALSE)-VLOOKUP($C298,难度推算表,副本难度推算!$I$3,FALSE)*(2-副本难度推算!$AA$7)*(2-$S298)</f>
        <v>889.12408278260909</v>
      </c>
      <c r="N298" s="2">
        <f>VLOOKUP($C298,难度推算表,副本难度推算!$Q$3,FALSE)</f>
        <v>2030.212</v>
      </c>
      <c r="O298" s="2">
        <f>VLOOKUP($C298,难度推算表,副本难度推算!$R$3,FALSE)</f>
        <v>0</v>
      </c>
      <c r="Q298" s="140">
        <f t="shared" si="25"/>
        <v>1.5</v>
      </c>
      <c r="R298" s="140">
        <f t="shared" si="26"/>
        <v>0.9</v>
      </c>
      <c r="S298" s="140">
        <f t="shared" si="27"/>
        <v>1.2</v>
      </c>
      <c r="V298" s="140"/>
      <c r="W298" s="140"/>
      <c r="X298" s="140"/>
    </row>
    <row r="299" spans="1:24">
      <c r="A299" s="2" t="str">
        <f t="shared" si="29"/>
        <v>营救</v>
      </c>
      <c r="B299" s="2" t="str">
        <f>怪物并表!$R$14</f>
        <v>英雄之路</v>
      </c>
      <c r="C299" s="2">
        <v>30</v>
      </c>
      <c r="D299" s="28">
        <f t="shared" si="24"/>
        <v>1905</v>
      </c>
      <c r="E299" s="72">
        <f>VLOOKUP($C299,难度推算表,副本难度推算!$M$3,FALSE)*副本难度推算!$Y$5*Q299</f>
        <v>36903.3708933741</v>
      </c>
      <c r="F299" s="72">
        <f>VLOOKUP($C299,难度推算表,副本难度推算!$P$3,FALSE)*副本难度推算!$Z$5*$R299+VLOOKUP($C299,难度推算表,副本难度推算!$H$3,FALSE)</f>
        <v>1315.4416670859173</v>
      </c>
      <c r="G299" s="72">
        <f>VLOOKUP($C299,难度推算表,副本难度推算!$G$3,FALSE)-VLOOKUP($C299,难度推算表,副本难度推算!$I$3,FALSE)*(2-副本难度推算!$AA$5)*(2-$S299)</f>
        <v>840.61149832775959</v>
      </c>
      <c r="H299" s="72">
        <f>VLOOKUP($C299,难度推算表,副本难度推算!$M$3,FALSE)*副本难度推算!$Y$6*Q299</f>
        <v>29522.696714699283</v>
      </c>
      <c r="I299" s="72">
        <f>VLOOKUP($C299,难度推算表,副本难度推算!$P$3,FALSE)*副本难度推算!$Z$6*$R299+VLOOKUP($C299,难度推算表,副本难度推算!$H$3,FALSE)</f>
        <v>1251.1464202435463</v>
      </c>
      <c r="J299" s="72">
        <f>VLOOKUP($C299,难度推算表,副本难度推算!$G$3,FALSE)-VLOOKUP($C299,难度推算表,副本难度推算!$I$3,FALSE)*(2-副本难度推算!$AA$6)*(2-$S299)</f>
        <v>706.11365859531816</v>
      </c>
      <c r="K299" s="72">
        <f>VLOOKUP($C299,难度推算表,副本难度推算!$M$3,FALSE)*副本难度推算!$Y$7*Q299</f>
        <v>92258.427233435243</v>
      </c>
      <c r="L299" s="72">
        <f>VLOOKUP($C299,难度推算表,副本难度推算!$P$3,FALSE)*副本难度推算!$Z$7*$R299+VLOOKUP($C299,难度推算表,副本难度推算!$H$3,FALSE)</f>
        <v>1444.0321607706589</v>
      </c>
      <c r="M299" s="72">
        <f>VLOOKUP($C299,难度推算表,副本难度推算!$G$3,FALSE)-VLOOKUP($C299,难度推算表,副本难度推算!$I$3,FALSE)*(2-副本难度推算!$AA$7)*(2-$S299)</f>
        <v>975.10933806020114</v>
      </c>
      <c r="N299" s="2">
        <f>VLOOKUP($C299,难度推算表,副本难度推算!$Q$3,FALSE)</f>
        <v>2088.44</v>
      </c>
      <c r="O299" s="2">
        <f>VLOOKUP($C299,难度推算表,副本难度推算!$R$3,FALSE)</f>
        <v>0</v>
      </c>
      <c r="Q299" s="140">
        <f t="shared" si="25"/>
        <v>1.5</v>
      </c>
      <c r="R299" s="140">
        <f t="shared" si="26"/>
        <v>0.9</v>
      </c>
      <c r="S299" s="140">
        <f t="shared" si="27"/>
        <v>1.2</v>
      </c>
      <c r="V299" s="140"/>
      <c r="W299" s="140"/>
      <c r="X299" s="140"/>
    </row>
    <row r="300" spans="1:24">
      <c r="A300" s="2" t="str">
        <f t="shared" si="29"/>
        <v>营救</v>
      </c>
      <c r="B300" s="2" t="str">
        <f>怪物并表!$R$14</f>
        <v>英雄之路</v>
      </c>
      <c r="C300" s="2">
        <v>31</v>
      </c>
      <c r="D300" s="28">
        <f t="shared" si="24"/>
        <v>1905</v>
      </c>
      <c r="E300" s="72">
        <f>VLOOKUP($C300,难度推算表,副本难度推算!$M$3,FALSE)*副本难度推算!$Y$5*Q300</f>
        <v>41085.935498671017</v>
      </c>
      <c r="F300" s="72">
        <f>VLOOKUP($C300,难度推算表,副本难度推算!$P$3,FALSE)*副本难度推算!$Z$5*$R300+VLOOKUP($C300,难度推算表,副本难度推算!$H$3,FALSE)</f>
        <v>1459.9105504311335</v>
      </c>
      <c r="G300" s="72">
        <f>VLOOKUP($C300,难度推算表,副本难度推算!$G$3,FALSE)-VLOOKUP($C300,难度推算表,副本难度推算!$I$3,FALSE)*(2-副本难度推算!$AA$5)*(2-$S300)</f>
        <v>918.36506916000019</v>
      </c>
      <c r="H300" s="72">
        <f>VLOOKUP($C300,难度推算表,副本难度推算!$M$3,FALSE)*副本难度推算!$Y$6*Q300</f>
        <v>32868.748398936812</v>
      </c>
      <c r="I300" s="72">
        <f>VLOOKUP($C300,难度推算表,副本难度推算!$P$3,FALSE)*副本难度推算!$Z$6*$R300+VLOOKUP($C300,难度推算表,副本难度推算!$H$3,FALSE)</f>
        <v>1388.2810394495586</v>
      </c>
      <c r="J300" s="72">
        <f>VLOOKUP($C300,难度推算表,副本难度推算!$G$3,FALSE)-VLOOKUP($C300,难度推算表,副本难度推算!$I$3,FALSE)*(2-副本难度推算!$AA$6)*(2-$S300)</f>
        <v>767.41113471507708</v>
      </c>
      <c r="K300" s="72">
        <f>VLOOKUP($C300,难度推算表,副本难度推算!$M$3,FALSE)*副本难度推算!$Y$7*Q300</f>
        <v>102714.83874667753</v>
      </c>
      <c r="L300" s="72">
        <f>VLOOKUP($C300,难度推算表,副本难度推算!$P$3,FALSE)*副本难度推算!$Z$7*$R300+VLOOKUP($C300,难度推算表,副本难度推算!$H$3,FALSE)</f>
        <v>1603.1695723942833</v>
      </c>
      <c r="M300" s="72">
        <f>VLOOKUP($C300,难度推算表,副本难度推算!$G$3,FALSE)-VLOOKUP($C300,难度推算表,副本难度推算!$I$3,FALSE)*(2-副本难度推算!$AA$7)*(2-$S300)</f>
        <v>1069.3190036049232</v>
      </c>
      <c r="N300" s="2">
        <f>VLOOKUP($C300,难度推算表,副本难度推算!$Q$3,FALSE)</f>
        <v>2146.6680000000001</v>
      </c>
      <c r="O300" s="2">
        <f>VLOOKUP($C300,难度推算表,副本难度推算!$R$3,FALSE)</f>
        <v>0</v>
      </c>
      <c r="Q300" s="140">
        <f t="shared" si="25"/>
        <v>1.4849999999999999</v>
      </c>
      <c r="R300" s="140">
        <f t="shared" si="26"/>
        <v>0.89100000000000001</v>
      </c>
      <c r="S300" s="140">
        <f t="shared" si="27"/>
        <v>1.1879999999999999</v>
      </c>
      <c r="V300" s="140"/>
      <c r="W300" s="140"/>
      <c r="X300" s="140"/>
    </row>
    <row r="301" spans="1:24">
      <c r="A301" s="2" t="str">
        <f t="shared" si="29"/>
        <v>营救</v>
      </c>
      <c r="B301" s="2" t="str">
        <f>怪物并表!$R$14</f>
        <v>英雄之路</v>
      </c>
      <c r="C301" s="2">
        <v>32</v>
      </c>
      <c r="D301" s="28">
        <f t="shared" si="24"/>
        <v>1905</v>
      </c>
      <c r="E301" s="72">
        <f>VLOOKUP($C301,难度推算表,副本难度推算!$M$3,FALSE)*副本难度推算!$Y$5*Q301</f>
        <v>45556.056218583901</v>
      </c>
      <c r="F301" s="72">
        <f>VLOOKUP($C301,难度推算表,副本难度推算!$P$3,FALSE)*副本难度推算!$Z$5*$R301+VLOOKUP($C301,难度推算表,副本难度推算!$H$3,FALSE)</f>
        <v>1614.1126084319108</v>
      </c>
      <c r="G301" s="72">
        <f>VLOOKUP($C301,难度推算表,副本难度推算!$G$3,FALSE)-VLOOKUP($C301,难度推算表,副本难度推算!$I$3,FALSE)*(2-副本难度推算!$AA$5)*(2-$S301)</f>
        <v>999.54583372093657</v>
      </c>
      <c r="H301" s="72">
        <f>VLOOKUP($C301,难度推算表,副本难度推算!$M$3,FALSE)*副本难度推算!$Y$6*Q301</f>
        <v>36444.844974867119</v>
      </c>
      <c r="I301" s="72">
        <f>VLOOKUP($C301,难度推算表,副本难度推算!$P$3,FALSE)*副本难度推算!$Z$6*$R301+VLOOKUP($C301,难度推算表,副本难度推算!$H$3,FALSE)</f>
        <v>1534.6313339592882</v>
      </c>
      <c r="J301" s="72">
        <f>VLOOKUP($C301,难度推算表,副本难度推算!$G$3,FALSE)-VLOOKUP($C301,难度推算表,副本难度推算!$I$3,FALSE)*(2-副本难度推算!$AA$6)*(2-$S301)</f>
        <v>830.7700617975654</v>
      </c>
      <c r="K301" s="72">
        <f>VLOOKUP($C301,难度推算表,副本难度推算!$M$3,FALSE)*副本难度推算!$Y$7*Q301</f>
        <v>113890.14054645975</v>
      </c>
      <c r="L301" s="72">
        <f>VLOOKUP($C301,难度推算表,副本难度推算!$P$3,FALSE)*副本难度推算!$Z$7*$R301+VLOOKUP($C301,难度推算表,副本难度推算!$H$3,FALSE)</f>
        <v>1773.0751573771554</v>
      </c>
      <c r="M301" s="72">
        <f>VLOOKUP($C301,难度推算表,副本难度推算!$G$3,FALSE)-VLOOKUP($C301,难度推算表,副本难度推算!$I$3,FALSE)*(2-副本难度推算!$AA$7)*(2-$S301)</f>
        <v>1168.321605644308</v>
      </c>
      <c r="N301" s="2">
        <f>VLOOKUP($C301,难度推算表,副本难度推算!$Q$3,FALSE)</f>
        <v>2204.8960000000002</v>
      </c>
      <c r="O301" s="2">
        <f>VLOOKUP($C301,难度推算表,副本难度推算!$R$3,FALSE)</f>
        <v>0</v>
      </c>
      <c r="Q301" s="140">
        <f t="shared" si="25"/>
        <v>1.47</v>
      </c>
      <c r="R301" s="140">
        <f t="shared" si="26"/>
        <v>0.88200000000000001</v>
      </c>
      <c r="S301" s="140">
        <f t="shared" si="27"/>
        <v>1.1759999999999999</v>
      </c>
      <c r="V301" s="140"/>
      <c r="W301" s="140"/>
      <c r="X301" s="140"/>
    </row>
    <row r="302" spans="1:24">
      <c r="A302" s="2" t="str">
        <f t="shared" si="29"/>
        <v>营救</v>
      </c>
      <c r="B302" s="2" t="str">
        <f>怪物并表!$R$14</f>
        <v>英雄之路</v>
      </c>
      <c r="C302" s="2">
        <v>33</v>
      </c>
      <c r="D302" s="28">
        <f t="shared" si="24"/>
        <v>1905</v>
      </c>
      <c r="E302" s="72">
        <f>VLOOKUP($C302,难度推算表,副本难度推算!$M$3,FALSE)*副本难度推算!$Y$5*Q302</f>
        <v>50304.000751754298</v>
      </c>
      <c r="F302" s="72">
        <f>VLOOKUP($C302,难度推算表,副本难度推算!$P$3,FALSE)*副本难度推算!$Z$5*$R302+VLOOKUP($C302,难度推算表,副本难度推算!$H$3,FALSE)</f>
        <v>1777.7373015555841</v>
      </c>
      <c r="G302" s="72">
        <f>VLOOKUP($C302,难度推算表,副本难度推算!$G$3,FALSE)-VLOOKUP($C302,难度推算表,副本难度推算!$I$3,FALSE)*(2-副本难度推算!$AA$5)*(2-$S302)</f>
        <v>1083.7432126866229</v>
      </c>
      <c r="H302" s="72">
        <f>VLOOKUP($C302,难度推算表,副本难度推算!$M$3,FALSE)*副本难度推算!$Y$6*Q302</f>
        <v>40243.200601403441</v>
      </c>
      <c r="I302" s="72">
        <f>VLOOKUP($C302,难度推算表,副本难度推算!$P$3,FALSE)*副本难度推算!$Z$6*$R302+VLOOKUP($C302,难度推算表,副本难度推算!$H$3,FALSE)</f>
        <v>1689.9007674736044</v>
      </c>
      <c r="J302" s="72">
        <f>VLOOKUP($C302,难度推算表,副本难度推算!$G$3,FALSE)-VLOOKUP($C302,难度推算表,副本难度推算!$I$3,FALSE)*(2-副本难度推算!$AA$6)*(2-$S302)</f>
        <v>895.77447289284351</v>
      </c>
      <c r="K302" s="72">
        <f>VLOOKUP($C302,难度推算表,副本难度推算!$M$3,FALSE)*副本难度推算!$Y$7*Q302</f>
        <v>125760.00187938575</v>
      </c>
      <c r="L302" s="72">
        <f>VLOOKUP($C302,难度推算表,副本难度推算!$P$3,FALSE)*副本难度推算!$Z$7*$R302+VLOOKUP($C302,难度推算表,副本难度推算!$H$3,FALSE)</f>
        <v>1953.4103697195435</v>
      </c>
      <c r="M302" s="72">
        <f>VLOOKUP($C302,难度推算表,副本难度推算!$G$3,FALSE)-VLOOKUP($C302,难度推算表,副本难度推算!$I$3,FALSE)*(2-副本难度推算!$AA$7)*(2-$S302)</f>
        <v>1271.711952480402</v>
      </c>
      <c r="N302" s="2">
        <f>VLOOKUP($C302,难度推算表,副本难度推算!$Q$3,FALSE)</f>
        <v>2263.1239999999998</v>
      </c>
      <c r="O302" s="2">
        <f>VLOOKUP($C302,难度推算表,副本难度推算!$R$3,FALSE)</f>
        <v>0</v>
      </c>
      <c r="Q302" s="140">
        <f t="shared" si="25"/>
        <v>1.4550000000000001</v>
      </c>
      <c r="R302" s="140">
        <f t="shared" si="26"/>
        <v>0.873</v>
      </c>
      <c r="S302" s="140">
        <f t="shared" si="27"/>
        <v>1.1639999999999999</v>
      </c>
      <c r="V302" s="140"/>
      <c r="W302" s="140"/>
      <c r="X302" s="140"/>
    </row>
    <row r="303" spans="1:24">
      <c r="A303" s="2" t="str">
        <f t="shared" si="29"/>
        <v>营救</v>
      </c>
      <c r="B303" s="2" t="str">
        <f>怪物并表!$R$14</f>
        <v>英雄之路</v>
      </c>
      <c r="C303" s="2">
        <v>34</v>
      </c>
      <c r="D303" s="28">
        <f t="shared" si="24"/>
        <v>1905</v>
      </c>
      <c r="E303" s="72">
        <f>VLOOKUP($C303,难度推算表,副本难度推算!$M$3,FALSE)*副本难度推算!$Y$5*Q303</f>
        <v>55334.501300328171</v>
      </c>
      <c r="F303" s="72">
        <f>VLOOKUP($C303,难度推算表,副本难度推算!$P$3,FALSE)*副本难度推算!$Z$5*$R303+VLOOKUP($C303,难度推算表,副本难度推算!$H$3,FALSE)</f>
        <v>1950.9995193775903</v>
      </c>
      <c r="G303" s="72">
        <f>VLOOKUP($C303,难度推算表,副本难度推算!$G$3,FALSE)-VLOOKUP($C303,难度推算表,副本难度推算!$I$3,FALSE)*(2-副本难度推算!$AA$5)*(2-$S303)</f>
        <v>1170.8787159475587</v>
      </c>
      <c r="H303" s="72">
        <f>VLOOKUP($C303,难度推算表,副本难度推算!$M$3,FALSE)*副本难度推算!$Y$6*Q303</f>
        <v>44267.60104026254</v>
      </c>
      <c r="I303" s="72">
        <f>VLOOKUP($C303,难度推算表,副本难度推算!$P$3,FALSE)*副本难度推算!$Z$6*$R303+VLOOKUP($C303,难度推算表,副本难度推算!$H$3,FALSE)</f>
        <v>1854.2927368471892</v>
      </c>
      <c r="J303" s="72">
        <f>VLOOKUP($C303,难度推算表,副本难度推算!$G$3,FALSE)-VLOOKUP($C303,难度推算表,副本难度推算!$I$3,FALSE)*(2-副本难度推算!$AA$6)*(2-$S303)</f>
        <v>962.28519680395993</v>
      </c>
      <c r="K303" s="72">
        <f>VLOOKUP($C303,难度推算表,副本难度推算!$M$3,FALSE)*副本难度推算!$Y$7*Q303</f>
        <v>138336.25325082042</v>
      </c>
      <c r="L303" s="72">
        <f>VLOOKUP($C303,难度推算表,副本难度推算!$P$3,FALSE)*副本难度推算!$Z$7*$R303+VLOOKUP($C303,难度推算表,副本难度推算!$H$3,FALSE)</f>
        <v>2144.4130844383926</v>
      </c>
      <c r="M303" s="72">
        <f>VLOOKUP($C303,难度推算表,副本难度推算!$G$3,FALSE)-VLOOKUP($C303,难度推算表,副本难度推算!$I$3,FALSE)*(2-副本难度推算!$AA$7)*(2-$S303)</f>
        <v>1379.4722350911575</v>
      </c>
      <c r="N303" s="2">
        <f>VLOOKUP($C303,难度推算表,副本难度推算!$Q$3,FALSE)</f>
        <v>2321.3520000000003</v>
      </c>
      <c r="O303" s="2">
        <f>VLOOKUP($C303,难度推算表,副本难度推算!$R$3,FALSE)</f>
        <v>0</v>
      </c>
      <c r="Q303" s="140">
        <f t="shared" si="25"/>
        <v>1.44</v>
      </c>
      <c r="R303" s="140">
        <f t="shared" si="26"/>
        <v>0.86399999999999999</v>
      </c>
      <c r="S303" s="140">
        <f t="shared" si="27"/>
        <v>1.1519999999999999</v>
      </c>
      <c r="V303" s="140"/>
      <c r="W303" s="140"/>
      <c r="X303" s="140"/>
    </row>
    <row r="304" spans="1:24">
      <c r="A304" s="2" t="str">
        <f t="shared" si="29"/>
        <v>营救</v>
      </c>
      <c r="B304" s="2" t="str">
        <f>怪物并表!$R$14</f>
        <v>英雄之路</v>
      </c>
      <c r="C304" s="2">
        <v>35</v>
      </c>
      <c r="D304" s="28">
        <f t="shared" si="24"/>
        <v>1905</v>
      </c>
      <c r="E304" s="72">
        <f>VLOOKUP($C304,难度推算表,副本难度推算!$M$3,FALSE)*副本难度推算!$Y$5*Q304</f>
        <v>60651.897123777431</v>
      </c>
      <c r="F304" s="72">
        <f>VLOOKUP($C304,难度推算表,副本难度推算!$P$3,FALSE)*副本难度推算!$Z$5*$R304+VLOOKUP($C304,难度推算表,副本难度推算!$H$3,FALSE)</f>
        <v>2134.1103830077054</v>
      </c>
      <c r="G304" s="72">
        <f>VLOOKUP($C304,难度推算表,副本难度推算!$G$3,FALSE)-VLOOKUP($C304,难度推算表,副本难度推算!$I$3,FALSE)*(2-副本难度推算!$AA$5)*(2-$S304)</f>
        <v>1260.8678556521741</v>
      </c>
      <c r="H304" s="72">
        <f>VLOOKUP($C304,难度推算表,副本难度推算!$M$3,FALSE)*副本难度推算!$Y$6*Q304</f>
        <v>48521.517699021948</v>
      </c>
      <c r="I304" s="72">
        <f>VLOOKUP($C304,难度推算表,副本难度推算!$P$3,FALSE)*副本难度推算!$Z$6*$R304+VLOOKUP($C304,难度推算表,副本难度推算!$H$3,FALSE)</f>
        <v>2028.0072473156306</v>
      </c>
      <c r="J304" s="72">
        <f>VLOOKUP($C304,难度推算表,副本难度推算!$G$3,FALSE)-VLOOKUP($C304,难度推算表,副本难度推算!$I$3,FALSE)*(2-副本难度推算!$AA$6)*(2-$S304)</f>
        <v>1030.1558650434786</v>
      </c>
      <c r="K304" s="72">
        <f>VLOOKUP($C304,难度推算表,副本难度推算!$M$3,FALSE)*副本难度推算!$Y$7*Q304</f>
        <v>151629.74280944359</v>
      </c>
      <c r="L304" s="72">
        <f>VLOOKUP($C304,难度推算表,副本难度推算!$P$3,FALSE)*副本难度推算!$Z$7*$R304+VLOOKUP($C304,难度推算表,副本难度推算!$H$3,FALSE)</f>
        <v>2346.3166543918551</v>
      </c>
      <c r="M304" s="72">
        <f>VLOOKUP($C304,难度推算表,副本难度推算!$G$3,FALSE)-VLOOKUP($C304,难度推算表,副本难度推算!$I$3,FALSE)*(2-副本难度推算!$AA$7)*(2-$S304)</f>
        <v>1491.5798462608698</v>
      </c>
      <c r="N304" s="2">
        <f>VLOOKUP($C304,难度推算表,副本难度推算!$Q$3,FALSE)</f>
        <v>2379.58</v>
      </c>
      <c r="O304" s="2">
        <f>VLOOKUP($C304,难度推算表,副本难度推算!$R$3,FALSE)</f>
        <v>0</v>
      </c>
      <c r="Q304" s="140">
        <f t="shared" si="25"/>
        <v>1.4249999999999998</v>
      </c>
      <c r="R304" s="140">
        <f t="shared" si="26"/>
        <v>0.85499999999999998</v>
      </c>
      <c r="S304" s="140">
        <f t="shared" si="27"/>
        <v>1.1399999999999999</v>
      </c>
      <c r="V304" s="140"/>
      <c r="W304" s="140"/>
      <c r="X304" s="140"/>
    </row>
    <row r="305" spans="1:24">
      <c r="A305" s="2" t="str">
        <f t="shared" si="29"/>
        <v>营救</v>
      </c>
      <c r="B305" s="2" t="str">
        <f>怪物并表!$R$14</f>
        <v>英雄之路</v>
      </c>
      <c r="C305" s="2">
        <v>36</v>
      </c>
      <c r="D305" s="28">
        <f t="shared" si="24"/>
        <v>1905</v>
      </c>
      <c r="E305" s="72">
        <f>VLOOKUP($C305,难度推算表,副本难度推算!$M$3,FALSE)*副本难度推算!$Y$5*Q305</f>
        <v>66260.119279279548</v>
      </c>
      <c r="F305" s="72">
        <f>VLOOKUP($C305,难度推算表,副本难度推算!$P$3,FALSE)*副本难度推算!$Z$5*$R305+VLOOKUP($C305,难度推算表,副本难度推算!$H$3,FALSE)</f>
        <v>2327.2771008885406</v>
      </c>
      <c r="G305" s="72">
        <f>VLOOKUP($C305,难度推算表,副本难度推算!$G$3,FALSE)-VLOOKUP($C305,难度推算表,副本难度推算!$I$3,FALSE)*(2-副本难度推算!$AA$5)*(2-$S305)</f>
        <v>1353.6201462068229</v>
      </c>
      <c r="H305" s="72">
        <f>VLOOKUP($C305,难度推算表,副本难度推算!$M$3,FALSE)*副本难度推算!$Y$6*Q305</f>
        <v>53008.095423423634</v>
      </c>
      <c r="I305" s="72">
        <f>VLOOKUP($C305,难度推算表,副本难度推算!$P$3,FALSE)*副本难度推算!$Z$6*$R305+VLOOKUP($C305,难度推算表,副本难度推算!$H$3,FALSE)</f>
        <v>2211.2407827140678</v>
      </c>
      <c r="J305" s="72">
        <f>VLOOKUP($C305,难度推算表,副本难度推算!$G$3,FALSE)-VLOOKUP($C305,难度推算表,副本难度推算!$I$3,FALSE)*(2-副本难度推算!$AA$6)*(2-$S305)</f>
        <v>1099.2329118334717</v>
      </c>
      <c r="K305" s="72">
        <f>VLOOKUP($C305,难度推算表,副本难度推算!$M$3,FALSE)*副本难度推算!$Y$7*Q305</f>
        <v>165650.29819819887</v>
      </c>
      <c r="L305" s="72">
        <f>VLOOKUP($C305,难度推算表,副本难度推算!$P$3,FALSE)*副本难度推算!$Z$7*$R305+VLOOKUP($C305,难度推算表,副本难度推算!$H$3,FALSE)</f>
        <v>2559.3497372374859</v>
      </c>
      <c r="M305" s="72">
        <f>VLOOKUP($C305,难度推算表,副本难度推算!$G$3,FALSE)-VLOOKUP($C305,难度推算表,副本难度推算!$I$3,FALSE)*(2-副本难度推算!$AA$7)*(2-$S305)</f>
        <v>1608.007380580174</v>
      </c>
      <c r="N305" s="2">
        <f>VLOOKUP($C305,难度推算表,副本难度推算!$Q$3,FALSE)</f>
        <v>2437.808</v>
      </c>
      <c r="O305" s="2">
        <f>VLOOKUP($C305,难度推算表,副本难度推算!$R$3,FALSE)</f>
        <v>0</v>
      </c>
      <c r="Q305" s="140">
        <f t="shared" si="25"/>
        <v>1.41</v>
      </c>
      <c r="R305" s="140">
        <f t="shared" si="26"/>
        <v>0.84599999999999997</v>
      </c>
      <c r="S305" s="140">
        <f t="shared" si="27"/>
        <v>1.1279999999999999</v>
      </c>
      <c r="V305" s="140"/>
      <c r="W305" s="140"/>
      <c r="X305" s="140"/>
    </row>
    <row r="306" spans="1:24">
      <c r="A306" s="2" t="str">
        <f t="shared" si="29"/>
        <v>营救</v>
      </c>
      <c r="B306" s="2" t="str">
        <f>怪物并表!$R$14</f>
        <v>英雄之路</v>
      </c>
      <c r="C306" s="2">
        <v>37</v>
      </c>
      <c r="D306" s="28">
        <f t="shared" si="24"/>
        <v>1905</v>
      </c>
      <c r="E306" s="72">
        <f>VLOOKUP($C306,难度推算表,副本难度推算!$M$3,FALSE)*副本难度推算!$Y$5*Q306</f>
        <v>72162.675328603087</v>
      </c>
      <c r="F306" s="72">
        <f>VLOOKUP($C306,难度推算表,副本难度推算!$P$3,FALSE)*副本难度推算!$Z$5*$R306+VLOOKUP($C306,难度推算表,副本难度推算!$H$3,FALSE)</f>
        <v>2556.0061475676844</v>
      </c>
      <c r="G306" s="72">
        <f>VLOOKUP($C306,难度推算表,副本难度推算!$G$3,FALSE)-VLOOKUP($C306,难度推算表,副本难度推算!$I$3,FALSE)*(2-副本难度推算!$AA$5)*(2-$S306)</f>
        <v>1449.0391042757865</v>
      </c>
      <c r="H306" s="72">
        <f>VLOOKUP($C306,难度推算表,副本难度推算!$M$3,FALSE)*副本难度推算!$Y$6*Q306</f>
        <v>57730.140262882473</v>
      </c>
      <c r="I306" s="72">
        <f>VLOOKUP($C306,难度推算表,副本难度推算!$P$3,FALSE)*副本难度推算!$Z$6*$R306+VLOOKUP($C306,难度推算表,副本难度推算!$H$3,FALSE)</f>
        <v>2426.9591663721203</v>
      </c>
      <c r="J306" s="72">
        <f>VLOOKUP($C306,难度推算表,副本难度推算!$G$3,FALSE)-VLOOKUP($C306,难度推算表,副本难度推算!$I$3,FALSE)*(2-副本难度推算!$AA$6)*(2-$S306)</f>
        <v>1169.3555741055256</v>
      </c>
      <c r="K306" s="72">
        <f>VLOOKUP($C306,难度推算表,副本难度推算!$M$3,FALSE)*副本难度推算!$Y$7*Q306</f>
        <v>180406.68832150771</v>
      </c>
      <c r="L306" s="72">
        <f>VLOOKUP($C306,难度推算表,副本难度推算!$P$3,FALSE)*副本难度推算!$Z$7*$R306+VLOOKUP($C306,难度推算表,副本难度推算!$H$3,FALSE)</f>
        <v>2814.1001099588129</v>
      </c>
      <c r="M306" s="72">
        <f>VLOOKUP($C306,难度推算表,副本难度推算!$G$3,FALSE)-VLOOKUP($C306,难度推算表,副本难度推算!$I$3,FALSE)*(2-副本难度推算!$AA$7)*(2-$S306)</f>
        <v>1728.7226344460471</v>
      </c>
      <c r="N306" s="2">
        <f>VLOOKUP($C306,难度推算表,副本难度推算!$Q$3,FALSE)</f>
        <v>2496.0360000000001</v>
      </c>
      <c r="O306" s="2">
        <f>VLOOKUP($C306,难度推算表,副本难度推算!$R$3,FALSE)</f>
        <v>0</v>
      </c>
      <c r="Q306" s="140">
        <f t="shared" si="25"/>
        <v>1.395</v>
      </c>
      <c r="R306" s="140">
        <f t="shared" si="26"/>
        <v>0.83700000000000008</v>
      </c>
      <c r="S306" s="140">
        <f t="shared" si="27"/>
        <v>1.1160000000000001</v>
      </c>
      <c r="V306" s="140"/>
      <c r="W306" s="140"/>
      <c r="X306" s="140"/>
    </row>
    <row r="307" spans="1:24">
      <c r="A307" s="2" t="str">
        <f t="shared" si="29"/>
        <v>营救</v>
      </c>
      <c r="B307" s="2" t="str">
        <f>怪物并表!$R$14</f>
        <v>英雄之路</v>
      </c>
      <c r="C307" s="2">
        <v>38</v>
      </c>
      <c r="D307" s="28">
        <f t="shared" si="24"/>
        <v>1905</v>
      </c>
      <c r="E307" s="72">
        <f>VLOOKUP($C307,难度推算表,副本难度推算!$M$3,FALSE)*副本难度推算!$Y$5*Q307</f>
        <v>78362.634018870143</v>
      </c>
      <c r="F307" s="72">
        <f>VLOOKUP($C307,难度推算表,副本难度推算!$P$3,FALSE)*副本难度推算!$Z$5*$R307+VLOOKUP($C307,难度推算表,副本难度推算!$H$3,FALSE)</f>
        <v>2799.6080663450243</v>
      </c>
      <c r="G307" s="72">
        <f>VLOOKUP($C307,难度推算表,副本难度推算!$G$3,FALSE)-VLOOKUP($C307,难度推算表,副本难度推算!$I$3,FALSE)*(2-副本难度推算!$AA$5)*(2-$S307)</f>
        <v>1547.0222487812714</v>
      </c>
      <c r="H307" s="72">
        <f>VLOOKUP($C307,难度推算表,副本难度推算!$M$3,FALSE)*副本难度推算!$Y$6*Q307</f>
        <v>62690.107215096112</v>
      </c>
      <c r="I307" s="72">
        <f>VLOOKUP($C307,难度推算表,副本难度推算!$P$3,FALSE)*副本难度推算!$Z$6*$R307+VLOOKUP($C307,难度推算表,副本难度推算!$H$3,FALSE)</f>
        <v>2656.5518834964751</v>
      </c>
      <c r="J307" s="72">
        <f>VLOOKUP($C307,难度推算表,副本难度推算!$G$3,FALSE)-VLOOKUP($C307,难度推算表,副本难度推算!$I$3,FALSE)*(2-副本难度推算!$AA$6)*(2-$S307)</f>
        <v>1240.3558915007363</v>
      </c>
      <c r="K307" s="72">
        <f>VLOOKUP($C307,难度推算表,副本难度推算!$M$3,FALSE)*副本难度推算!$Y$7*Q307</f>
        <v>195906.58504717535</v>
      </c>
      <c r="L307" s="72">
        <f>VLOOKUP($C307,难度推算表,副本难度推算!$P$3,FALSE)*副本难度推算!$Z$7*$R307+VLOOKUP($C307,难度推算表,副本难度推算!$H$3,FALSE)</f>
        <v>3085.7204320421229</v>
      </c>
      <c r="M307" s="72">
        <f>VLOOKUP($C307,难度推算表,副本难度推算!$G$3,FALSE)-VLOOKUP($C307,难度推算表,副本难度推算!$I$3,FALSE)*(2-副本难度推算!$AA$7)*(2-$S307)</f>
        <v>1853.6886060618062</v>
      </c>
      <c r="N307" s="2">
        <f>VLOOKUP($C307,难度推算表,副本难度推算!$Q$3,FALSE)</f>
        <v>2554.2640000000001</v>
      </c>
      <c r="O307" s="2">
        <f>VLOOKUP($C307,难度推算表,副本难度推算!$R$3,FALSE)</f>
        <v>0</v>
      </c>
      <c r="Q307" s="140">
        <f t="shared" si="25"/>
        <v>1.3800000000000001</v>
      </c>
      <c r="R307" s="140">
        <f t="shared" si="26"/>
        <v>0.82800000000000007</v>
      </c>
      <c r="S307" s="140">
        <f t="shared" si="27"/>
        <v>1.1040000000000001</v>
      </c>
      <c r="V307" s="140"/>
      <c r="W307" s="140"/>
      <c r="X307" s="140"/>
    </row>
    <row r="308" spans="1:24">
      <c r="A308" s="2" t="str">
        <f t="shared" si="29"/>
        <v>营救</v>
      </c>
      <c r="B308" s="2" t="str">
        <f>怪物并表!$R$14</f>
        <v>英雄之路</v>
      </c>
      <c r="C308" s="2">
        <v>39</v>
      </c>
      <c r="D308" s="28">
        <f t="shared" si="24"/>
        <v>1905</v>
      </c>
      <c r="E308" s="72">
        <f>VLOOKUP($C308,难度推算表,副本难度推算!$M$3,FALSE)*副本难度推算!$Y$5*Q308</f>
        <v>84862.609943289324</v>
      </c>
      <c r="F308" s="72">
        <f>VLOOKUP($C308,难度推算表,副本难度推算!$P$3,FALSE)*副本难度推算!$Z$5*$R308+VLOOKUP($C308,难度推算表,副本难度推算!$H$3,FALSE)</f>
        <v>3058.6172945567496</v>
      </c>
      <c r="G308" s="72">
        <f>VLOOKUP($C308,难度推算表,副本难度推算!$G$3,FALSE)-VLOOKUP($C308,难度推算表,副本难度推算!$I$3,FALSE)*(2-副本难度推算!$AA$5)*(2-$S308)</f>
        <v>1647.4611009034118</v>
      </c>
      <c r="H308" s="72">
        <f>VLOOKUP($C308,难度推算表,副本难度推算!$M$3,FALSE)*副本难度推算!$Y$6*Q308</f>
        <v>67890.087954631468</v>
      </c>
      <c r="I308" s="72">
        <f>VLOOKUP($C308,难度推算表,副本难度推算!$P$3,FALSE)*副本难度推算!$Z$6*$R308+VLOOKUP($C308,难度推算表,副本难度推算!$H$3,FALSE)</f>
        <v>2900.5099239264928</v>
      </c>
      <c r="J308" s="72">
        <f>VLOOKUP($C308,难度推算表,副本难度推算!$G$3,FALSE)-VLOOKUP($C308,难度推算表,副本难度推算!$I$3,FALSE)*(2-副本难度推算!$AA$6)*(2-$S308)</f>
        <v>1312.058706369713</v>
      </c>
      <c r="K308" s="72">
        <f>VLOOKUP($C308,难度推算表,副本难度推算!$M$3,FALSE)*副本难度推算!$Y$7*Q308</f>
        <v>212156.5248582233</v>
      </c>
      <c r="L308" s="72">
        <f>VLOOKUP($C308,难度推算表,副本难度推算!$P$3,FALSE)*副本难度推算!$Z$7*$R308+VLOOKUP($C308,难度推算表,副本难度推算!$H$3,FALSE)</f>
        <v>3374.8320358172632</v>
      </c>
      <c r="M308" s="72">
        <f>VLOOKUP($C308,难度推算表,副本难度推算!$G$3,FALSE)-VLOOKUP($C308,难度推算表,副本难度推算!$I$3,FALSE)*(2-副本难度推算!$AA$7)*(2-$S308)</f>
        <v>1982.8634954371107</v>
      </c>
      <c r="N308" s="2">
        <f>VLOOKUP($C308,难度推算表,副本难度推算!$Q$3,FALSE)</f>
        <v>2612.4920000000002</v>
      </c>
      <c r="O308" s="2">
        <f>VLOOKUP($C308,难度推算表,副本难度推算!$R$3,FALSE)</f>
        <v>0</v>
      </c>
      <c r="Q308" s="140">
        <f t="shared" si="25"/>
        <v>1.365</v>
      </c>
      <c r="R308" s="140">
        <f t="shared" si="26"/>
        <v>0.81900000000000006</v>
      </c>
      <c r="S308" s="140">
        <f t="shared" si="27"/>
        <v>1.0920000000000001</v>
      </c>
      <c r="V308" s="140"/>
      <c r="W308" s="140"/>
      <c r="X308" s="140"/>
    </row>
    <row r="309" spans="1:24">
      <c r="A309" s="2" t="str">
        <f t="shared" si="29"/>
        <v>营救</v>
      </c>
      <c r="B309" s="2" t="str">
        <f>怪物并表!$R$14</f>
        <v>英雄之路</v>
      </c>
      <c r="C309" s="2">
        <v>40</v>
      </c>
      <c r="D309" s="28">
        <f t="shared" si="24"/>
        <v>1905</v>
      </c>
      <c r="E309" s="72">
        <f>VLOOKUP($C309,难度推算表,副本难度推算!$M$3,FALSE)*副本难度推算!$Y$5*Q309</f>
        <v>92490.556729138494</v>
      </c>
      <c r="F309" s="72">
        <f>VLOOKUP($C309,难度推算表,副本难度推算!$P$3,FALSE)*副本难度推算!$Z$5*$R309+VLOOKUP($C309,难度推算表,副本难度推算!$H$3,FALSE)</f>
        <v>3363.6030811103692</v>
      </c>
      <c r="G309" s="72">
        <f>VLOOKUP($C309,难度推算表,副本难度推算!$G$3,FALSE)-VLOOKUP($C309,难度推算表,副本难度推算!$I$3,FALSE)*(2-副本难度推算!$AA$5)*(2-$S309)</f>
        <v>1766.0091226755862</v>
      </c>
      <c r="H309" s="72">
        <f>VLOOKUP($C309,难度推算表,副本难度推算!$M$3,FALSE)*副本难度推算!$Y$6*Q309</f>
        <v>73992.445383310798</v>
      </c>
      <c r="I309" s="72">
        <f>VLOOKUP($C309,难度推算表,副本难度推算!$P$3,FALSE)*副本难度推算!$Z$6*$R309+VLOOKUP($C309,难度推算表,副本难度推算!$H$3,FALSE)</f>
        <v>3187.7890568789312</v>
      </c>
      <c r="J309" s="72">
        <f>VLOOKUP($C309,难度推算表,副本难度推算!$G$3,FALSE)-VLOOKUP($C309,难度推算表,副本难度推算!$I$3,FALSE)*(2-副本难度推算!$AA$6)*(2-$S309)</f>
        <v>1396.7526697525091</v>
      </c>
      <c r="K309" s="72">
        <f>VLOOKUP($C309,难度推算表,副本难度推算!$M$3,FALSE)*副本难度推算!$Y$7*Q309</f>
        <v>231226.39182284626</v>
      </c>
      <c r="L309" s="72">
        <f>VLOOKUP($C309,难度推算表,副本难度推算!$P$3,FALSE)*副本难度推算!$Z$7*$R309+VLOOKUP($C309,难度推算表,副本难度推算!$H$3,FALSE)</f>
        <v>3715.2311295732461</v>
      </c>
      <c r="M309" s="72">
        <f>VLOOKUP($C309,难度推算表,副本难度推算!$G$3,FALSE)-VLOOKUP($C309,难度推算表,副本难度推算!$I$3,FALSE)*(2-副本难度推算!$AA$7)*(2-$S309)</f>
        <v>2135.2655755986634</v>
      </c>
      <c r="N309" s="2">
        <f>VLOOKUP($C309,难度推算表,副本难度推算!$Q$3,FALSE)</f>
        <v>2670.72</v>
      </c>
      <c r="O309" s="2">
        <f>VLOOKUP($C309,难度推算表,副本难度推算!$R$3,FALSE)</f>
        <v>0</v>
      </c>
      <c r="Q309" s="140">
        <f t="shared" si="25"/>
        <v>1.35</v>
      </c>
      <c r="R309" s="140">
        <f t="shared" si="26"/>
        <v>0.81</v>
      </c>
      <c r="S309" s="140">
        <f t="shared" si="27"/>
        <v>1.08</v>
      </c>
      <c r="V309" s="140"/>
      <c r="W309" s="140"/>
      <c r="X309" s="140"/>
    </row>
    <row r="310" spans="1:24">
      <c r="A310" s="2" t="str">
        <f t="shared" si="29"/>
        <v>营救</v>
      </c>
      <c r="B310" s="2" t="str">
        <f>怪物并表!$R$14</f>
        <v>英雄之路</v>
      </c>
      <c r="C310" s="2">
        <v>41</v>
      </c>
      <c r="D310" s="28">
        <f t="shared" si="24"/>
        <v>1905</v>
      </c>
      <c r="E310" s="72">
        <f>VLOOKUP($C310,难度推算表,副本难度推算!$M$3,FALSE)*副本难度推算!$Y$5*Q310</f>
        <v>100503.52841709247</v>
      </c>
      <c r="F310" s="72">
        <f>VLOOKUP($C310,难度推算表,副本难度推算!$P$3,FALSE)*副本难度推算!$Z$5*$R310+VLOOKUP($C310,难度推算表,副本难度推算!$H$3,FALSE)</f>
        <v>3688.6046102938117</v>
      </c>
      <c r="G310" s="72">
        <f>VLOOKUP($C310,难度推算表,副本难度推算!$G$3,FALSE)-VLOOKUP($C310,难度推算表,副本难度推算!$I$3,FALSE)*(2-副本难度推算!$AA$5)*(2-$S310)</f>
        <v>1887.7901296921748</v>
      </c>
      <c r="H310" s="72">
        <f>VLOOKUP($C310,难度推算表,副本难度推算!$M$3,FALSE)*副本难度推算!$Y$6*Q310</f>
        <v>80402.82273367398</v>
      </c>
      <c r="I310" s="72">
        <f>VLOOKUP($C310,难度推算表,副本难度推算!$P$3,FALSE)*副本难度推算!$Z$6*$R310+VLOOKUP($C310,难度推算表,副本难度推算!$H$3,FALSE)</f>
        <v>3493.7340229687784</v>
      </c>
      <c r="J310" s="72">
        <f>VLOOKUP($C310,难度推算表,副本难度推算!$G$3,FALSE)-VLOOKUP($C310,难度推算表,副本难度推算!$I$3,FALSE)*(2-副本难度推算!$AA$6)*(2-$S310)</f>
        <v>1482.3937239610441</v>
      </c>
      <c r="K310" s="72">
        <f>VLOOKUP($C310,难度推算表,副本难度推算!$M$3,FALSE)*副本难度推算!$Y$7*Q310</f>
        <v>251258.8210427312</v>
      </c>
      <c r="L310" s="72">
        <f>VLOOKUP($C310,难度推算表,副本难度推算!$P$3,FALSE)*副本难度推算!$Z$7*$R310+VLOOKUP($C310,难度推算表,副本难度推算!$H$3,FALSE)</f>
        <v>4078.3457849438778</v>
      </c>
      <c r="M310" s="72">
        <f>VLOOKUP($C310,难度推算表,副本难度推算!$G$3,FALSE)-VLOOKUP($C310,难度推算表,副本难度推算!$I$3,FALSE)*(2-副本难度推算!$AA$7)*(2-$S310)</f>
        <v>2293.186535423305</v>
      </c>
      <c r="N310" s="2">
        <f>VLOOKUP($C310,难度推算表,副本难度推算!$Q$3,FALSE)</f>
        <v>2728.9480000000003</v>
      </c>
      <c r="O310" s="2">
        <f>VLOOKUP($C310,难度推算表,副本难度推算!$R$3,FALSE)</f>
        <v>0</v>
      </c>
      <c r="Q310" s="140">
        <f t="shared" si="25"/>
        <v>1.335</v>
      </c>
      <c r="R310" s="140">
        <f t="shared" si="26"/>
        <v>0.80100000000000005</v>
      </c>
      <c r="S310" s="140">
        <f t="shared" si="27"/>
        <v>1.0680000000000001</v>
      </c>
      <c r="V310" s="140"/>
      <c r="W310" s="140"/>
      <c r="X310" s="140"/>
    </row>
    <row r="311" spans="1:24">
      <c r="A311" s="2" t="str">
        <f t="shared" si="29"/>
        <v>营救</v>
      </c>
      <c r="B311" s="2" t="str">
        <f>怪物并表!$R$14</f>
        <v>英雄之路</v>
      </c>
      <c r="C311" s="2">
        <v>42</v>
      </c>
      <c r="D311" s="28">
        <f t="shared" si="24"/>
        <v>1905</v>
      </c>
      <c r="E311" s="72">
        <f>VLOOKUP($C311,难度推算表,副本难度推算!$M$3,FALSE)*副本难度推算!$Y$5*Q311</f>
        <v>108904.25870137037</v>
      </c>
      <c r="F311" s="72">
        <f>VLOOKUP($C311,难度推算表,副本难度推算!$P$3,FALSE)*副本难度推算!$Z$5*$R311+VLOOKUP($C311,难度推算表,副本难度推算!$H$3,FALSE)</f>
        <v>4034.3270382227838</v>
      </c>
      <c r="G311" s="72">
        <f>VLOOKUP($C311,难度推算表,副本难度推算!$G$3,FALSE)-VLOOKUP($C311,难度推算表,副本难度推算!$I$3,FALSE)*(2-副本难度推算!$AA$5)*(2-$S311)</f>
        <v>2012.6534857846168</v>
      </c>
      <c r="H311" s="72">
        <f>VLOOKUP($C311,难度推算表,副本难度推算!$M$3,FALSE)*副本难度推算!$Y$6*Q311</f>
        <v>87123.406961096305</v>
      </c>
      <c r="I311" s="72">
        <f>VLOOKUP($C311,难度推算表,副本难度推算!$P$3,FALSE)*副本难度推算!$Z$6*$R311+VLOOKUP($C311,难度推算表,副本难度推算!$H$3,FALSE)</f>
        <v>3818.9927910158904</v>
      </c>
      <c r="J311" s="72">
        <f>VLOOKUP($C311,难度推算表,副本难度推算!$G$3,FALSE)-VLOOKUP($C311,难度推算表,副本难度推算!$I$3,FALSE)*(2-副本难度推算!$AA$6)*(2-$S311)</f>
        <v>1568.7411281723093</v>
      </c>
      <c r="K311" s="72">
        <f>VLOOKUP($C311,难度推算表,副本难度推算!$M$3,FALSE)*副本难度推算!$Y$7*Q311</f>
        <v>272260.64675342594</v>
      </c>
      <c r="L311" s="72">
        <f>VLOOKUP($C311,难度推算表,副本难度推算!$P$3,FALSE)*副本难度推算!$Z$7*$R311+VLOOKUP($C311,难度推算表,副本难度推算!$H$3,FALSE)</f>
        <v>4464.9955326365707</v>
      </c>
      <c r="M311" s="72">
        <f>VLOOKUP($C311,难度推算表,副本难度推算!$G$3,FALSE)-VLOOKUP($C311,难度推算表,副本难度推算!$I$3,FALSE)*(2-副本难度推算!$AA$7)*(2-$S311)</f>
        <v>2456.5658433969247</v>
      </c>
      <c r="N311" s="2">
        <f>VLOOKUP($C311,难度推算表,副本难度推算!$Q$3,FALSE)</f>
        <v>2787.1759999999999</v>
      </c>
      <c r="O311" s="2">
        <f>VLOOKUP($C311,难度推算表,副本难度推算!$R$3,FALSE)</f>
        <v>0</v>
      </c>
      <c r="Q311" s="140">
        <f t="shared" si="25"/>
        <v>1.32</v>
      </c>
      <c r="R311" s="140">
        <f t="shared" si="26"/>
        <v>0.79200000000000004</v>
      </c>
      <c r="S311" s="140">
        <f t="shared" si="27"/>
        <v>1.056</v>
      </c>
      <c r="V311" s="140"/>
      <c r="W311" s="140"/>
      <c r="X311" s="140"/>
    </row>
    <row r="312" spans="1:24">
      <c r="A312" s="2" t="str">
        <f t="shared" si="29"/>
        <v>营救</v>
      </c>
      <c r="B312" s="2" t="str">
        <f>怪物并表!$R$14</f>
        <v>英雄之路</v>
      </c>
      <c r="C312" s="2">
        <v>43</v>
      </c>
      <c r="D312" s="28">
        <f t="shared" si="24"/>
        <v>1905</v>
      </c>
      <c r="E312" s="72">
        <f>VLOOKUP($C312,难度推算表,副本难度推算!$M$3,FALSE)*副本难度推算!$Y$5*Q312</f>
        <v>117694.82975942471</v>
      </c>
      <c r="F312" s="72">
        <f>VLOOKUP($C312,难度推算表,副本难度推算!$P$3,FALSE)*副本难度推算!$Z$5*$R312+VLOOKUP($C312,难度推算表,副本难度推算!$H$3,FALSE)</f>
        <v>4401.4776510908987</v>
      </c>
      <c r="G312" s="72">
        <f>VLOOKUP($C312,难度推算表,副本难度推算!$G$3,FALSE)-VLOOKUP($C312,难度推算表,副本难度推算!$I$3,FALSE)*(2-副本难度推算!$AA$5)*(2-$S312)</f>
        <v>2140.4405577949169</v>
      </c>
      <c r="H312" s="72">
        <f>VLOOKUP($C312,难度推算表,副本难度推算!$M$3,FALSE)*副本难度推算!$Y$6*Q312</f>
        <v>94155.863807539776</v>
      </c>
      <c r="I312" s="72">
        <f>VLOOKUP($C312,难度推算表,副本难度推算!$P$3,FALSE)*副本难度推算!$Z$6*$R312+VLOOKUP($C312,难度推算表,副本难度推算!$H$3,FALSE)</f>
        <v>4164.2152469102366</v>
      </c>
      <c r="J312" s="72">
        <f>VLOOKUP($C312,难度推算表,副本难度推算!$G$3,FALSE)-VLOOKUP($C312,难度推算表,副本难度推算!$I$3,FALSE)*(2-副本难度推算!$AA$6)*(2-$S312)</f>
        <v>1655.5445451759738</v>
      </c>
      <c r="K312" s="72">
        <f>VLOOKUP($C312,难度推算表,副本难度推算!$M$3,FALSE)*副本难度推算!$Y$7*Q312</f>
        <v>294237.07439856179</v>
      </c>
      <c r="L312" s="72">
        <f>VLOOKUP($C312,难度推算表,副本难度推算!$P$3,FALSE)*副本难度推算!$Z$7*$R312+VLOOKUP($C312,难度推算表,副本难度推算!$H$3,FALSE)</f>
        <v>4876.002459452222</v>
      </c>
      <c r="M312" s="72">
        <f>VLOOKUP($C312,难度推算表,副本难度推算!$G$3,FALSE)-VLOOKUP($C312,难度推算表,副本难度推算!$I$3,FALSE)*(2-副本难度推算!$AA$7)*(2-$S312)</f>
        <v>2625.33657041386</v>
      </c>
      <c r="N312" s="2">
        <f>VLOOKUP($C312,难度推算表,副本难度推算!$Q$3,FALSE)</f>
        <v>2845.404</v>
      </c>
      <c r="O312" s="2">
        <f>VLOOKUP($C312,难度推算表,副本难度推算!$R$3,FALSE)</f>
        <v>0</v>
      </c>
      <c r="Q312" s="140">
        <f t="shared" si="25"/>
        <v>1.3049999999999999</v>
      </c>
      <c r="R312" s="140">
        <f t="shared" si="26"/>
        <v>0.78300000000000003</v>
      </c>
      <c r="S312" s="140">
        <f t="shared" si="27"/>
        <v>1.044</v>
      </c>
      <c r="V312" s="140"/>
      <c r="W312" s="140"/>
      <c r="X312" s="140"/>
    </row>
    <row r="313" spans="1:24">
      <c r="A313" s="2" t="str">
        <f t="shared" si="29"/>
        <v>营救</v>
      </c>
      <c r="B313" s="2" t="str">
        <f>怪物并表!$R$14</f>
        <v>英雄之路</v>
      </c>
      <c r="C313" s="2">
        <v>44</v>
      </c>
      <c r="D313" s="28">
        <f t="shared" si="24"/>
        <v>1905</v>
      </c>
      <c r="E313" s="72">
        <f>VLOOKUP($C313,难度推算表,副本难度推算!$M$3,FALSE)*副本难度推算!$Y$5*Q313</f>
        <v>126876.65186046842</v>
      </c>
      <c r="F313" s="72">
        <f>VLOOKUP($C313,难度推算表,副本难度推算!$P$3,FALSE)*副本难度推算!$Z$5*$R313+VLOOKUP($C313,难度推算表,副本难度推算!$H$3,FALSE)</f>
        <v>4790.7649129824767</v>
      </c>
      <c r="G313" s="72">
        <f>VLOOKUP($C313,难度推算表,副本难度推算!$G$3,FALSE)-VLOOKUP($C313,难度推算表,副本难度推算!$I$3,FALSE)*(2-副本难度推算!$AA$5)*(2-$S313)</f>
        <v>2270.9847155756529</v>
      </c>
      <c r="H313" s="72">
        <f>VLOOKUP($C313,难度推算表,副本难度推算!$M$3,FALSE)*副本难度推算!$Y$6*Q313</f>
        <v>101501.32148837474</v>
      </c>
      <c r="I313" s="72">
        <f>VLOOKUP($C313,难度推算表,副本难度推算!$P$3,FALSE)*副本难度推算!$Z$6*$R313+VLOOKUP($C313,难度推算表,副本难度推算!$H$3,FALSE)</f>
        <v>4530.0523366434263</v>
      </c>
      <c r="J313" s="72">
        <f>VLOOKUP($C313,难度推算表,副本难度推算!$G$3,FALSE)-VLOOKUP($C313,难度推算表,副本难度推算!$I$3,FALSE)*(2-副本难度推算!$AA$6)*(2-$S313)</f>
        <v>1742.5440413743954</v>
      </c>
      <c r="K313" s="72">
        <f>VLOOKUP($C313,难度推算表,副本难度推算!$M$3,FALSE)*副本难度推算!$Y$7*Q313</f>
        <v>317191.62965117104</v>
      </c>
      <c r="L313" s="72">
        <f>VLOOKUP($C313,难度推算表,副本难度推算!$P$3,FALSE)*副本难度推算!$Z$7*$R313+VLOOKUP($C313,难度推算表,副本难度推算!$H$3,FALSE)</f>
        <v>5312.1900656605776</v>
      </c>
      <c r="M313" s="72">
        <f>VLOOKUP($C313,难度推算表,副本难度推算!$G$3,FALSE)-VLOOKUP($C313,难度推算表,副本难度推算!$I$3,FALSE)*(2-副本难度推算!$AA$7)*(2-$S313)</f>
        <v>2799.4253897769099</v>
      </c>
      <c r="N313" s="2">
        <f>VLOOKUP($C313,难度推算表,副本难度推算!$Q$3,FALSE)</f>
        <v>2903.6320000000001</v>
      </c>
      <c r="O313" s="2">
        <f>VLOOKUP($C313,难度推算表,副本难度推算!$R$3,FALSE)</f>
        <v>0</v>
      </c>
      <c r="Q313" s="140">
        <f t="shared" si="25"/>
        <v>1.29</v>
      </c>
      <c r="R313" s="140">
        <f t="shared" si="26"/>
        <v>0.77400000000000002</v>
      </c>
      <c r="S313" s="140">
        <f t="shared" si="27"/>
        <v>1.032</v>
      </c>
      <c r="V313" s="140"/>
      <c r="W313" s="140"/>
      <c r="X313" s="140"/>
    </row>
    <row r="314" spans="1:24">
      <c r="A314" s="2" t="str">
        <f t="shared" si="29"/>
        <v>营救</v>
      </c>
      <c r="B314" s="2" t="str">
        <f>怪物并表!$R$14</f>
        <v>英雄之路</v>
      </c>
      <c r="C314" s="2">
        <v>45</v>
      </c>
      <c r="D314" s="28">
        <f t="shared" si="24"/>
        <v>1905</v>
      </c>
      <c r="E314" s="72">
        <f>VLOOKUP($C314,难度推算表,副本难度推算!$M$3,FALSE)*副本难度推算!$Y$5*Q314</f>
        <v>136450.44295791269</v>
      </c>
      <c r="F314" s="72">
        <f>VLOOKUP($C314,难度推算表,副本难度推算!$P$3,FALSE)*副本难度推算!$Z$5*$R314+VLOOKUP($C314,难度推算表,副本难度推算!$H$3,FALSE)</f>
        <v>5202.8974667281691</v>
      </c>
      <c r="G314" s="72">
        <f>VLOOKUP($C314,难度推算表,副本难度推算!$G$3,FALSE)-VLOOKUP($C314,难度推算表,副本难度推算!$I$3,FALSE)*(2-副本难度推算!$AA$5)*(2-$S314)</f>
        <v>2404.1113319899673</v>
      </c>
      <c r="H314" s="72">
        <f>VLOOKUP($C314,难度推算表,副本难度推算!$M$3,FALSE)*副本难度推算!$Y$6*Q314</f>
        <v>109160.35436633015</v>
      </c>
      <c r="I314" s="72">
        <f>VLOOKUP($C314,难度推算表,副本难度推算!$P$3,FALSE)*副本难度推算!$Z$6*$R314+VLOOKUP($C314,难度推算表,副本难度推算!$H$3,FALSE)</f>
        <v>4917.155167078763</v>
      </c>
      <c r="J314" s="72">
        <f>VLOOKUP($C314,难度推算表,副本难度推算!$G$3,FALSE)-VLOOKUP($C314,难度推算表,副本难度推算!$I$3,FALSE)*(2-副本难度推算!$AA$6)*(2-$S314)</f>
        <v>1829.4700867826095</v>
      </c>
      <c r="K314" s="72">
        <f>VLOOKUP($C314,难度推算表,副本难度推算!$M$3,FALSE)*副本难度推算!$Y$7*Q314</f>
        <v>341126.10739478172</v>
      </c>
      <c r="L314" s="72">
        <f>VLOOKUP($C314,难度推算表,副本难度推算!$P$3,FALSE)*副本难度推算!$Z$7*$R314+VLOOKUP($C314,难度推算表,副本难度推算!$H$3,FALSE)</f>
        <v>5774.3820660269794</v>
      </c>
      <c r="M314" s="72">
        <f>VLOOKUP($C314,难度推算表,副本难度推算!$G$3,FALSE)-VLOOKUP($C314,难度推算表,副本难度推算!$I$3,FALSE)*(2-副本难度推算!$AA$7)*(2-$S314)</f>
        <v>2978.7525771973255</v>
      </c>
      <c r="N314" s="2">
        <f>VLOOKUP($C314,难度推算表,副本难度推算!$Q$3,FALSE)</f>
        <v>2961.86</v>
      </c>
      <c r="O314" s="2">
        <f>VLOOKUP($C314,难度推算表,副本难度推算!$R$3,FALSE)</f>
        <v>0</v>
      </c>
      <c r="Q314" s="140">
        <f t="shared" si="25"/>
        <v>1.2749999999999999</v>
      </c>
      <c r="R314" s="140">
        <f t="shared" si="26"/>
        <v>0.76500000000000001</v>
      </c>
      <c r="S314" s="140">
        <f t="shared" si="27"/>
        <v>1.02</v>
      </c>
      <c r="V314" s="140"/>
      <c r="W314" s="140"/>
      <c r="X314" s="140"/>
    </row>
    <row r="315" spans="1:24">
      <c r="A315" s="2" t="str">
        <f t="shared" si="29"/>
        <v>营救</v>
      </c>
      <c r="B315" s="2" t="str">
        <f>怪物并表!$R$14</f>
        <v>英雄之路</v>
      </c>
      <c r="C315" s="2">
        <v>46</v>
      </c>
      <c r="D315" s="28">
        <f t="shared" si="24"/>
        <v>1905</v>
      </c>
      <c r="E315" s="72">
        <f>VLOOKUP($C315,难度推算表,副本难度推算!$M$3,FALSE)*副本难度推算!$Y$5*Q315</f>
        <v>146416.20827013854</v>
      </c>
      <c r="F315" s="72">
        <f>VLOOKUP($C315,难度推算表,副本难度推算!$P$3,FALSE)*副本难度推算!$Z$5*$R315+VLOOKUP($C315,难度推算表,副本难度推算!$H$3,FALSE)</f>
        <v>5638.5830850793718</v>
      </c>
      <c r="G315" s="72">
        <f>VLOOKUP($C315,难度推算表,副本难度推算!$G$3,FALSE)-VLOOKUP($C315,难度推算表,副本难度推算!$I$3,FALSE)*(2-副本难度推算!$AA$5)*(2-$S315)</f>
        <v>2539.6377829115731</v>
      </c>
      <c r="H315" s="72">
        <f>VLOOKUP($C315,难度推算表,副本难度推算!$M$3,FALSE)*副本难度推算!$Y$6*Q315</f>
        <v>117132.96661611085</v>
      </c>
      <c r="I315" s="72">
        <f>VLOOKUP($C315,难度推算表,副本难度推算!$P$3,FALSE)*副本难度推算!$Z$6*$R315+VLOOKUP($C315,难度推算表,副本难度推算!$H$3,FALSE)</f>
        <v>5326.1740620082237</v>
      </c>
      <c r="J315" s="72">
        <f>VLOOKUP($C315,难度推算表,副本难度推算!$G$3,FALSE)-VLOOKUP($C315,难度推算表,副本难度推算!$I$3,FALSE)*(2-副本难度推算!$AA$6)*(2-$S315)</f>
        <v>1916.043555028336</v>
      </c>
      <c r="K315" s="72">
        <f>VLOOKUP($C315,难度推算表,副本难度推算!$M$3,FALSE)*副本难度推算!$Y$7*Q315</f>
        <v>366040.52067534631</v>
      </c>
      <c r="L315" s="72">
        <f>VLOOKUP($C315,难度推算表,副本难度推算!$P$3,FALSE)*副本难度推算!$Z$7*$R315+VLOOKUP($C315,难度推算表,副本难度推算!$H$3,FALSE)</f>
        <v>6263.4011312216662</v>
      </c>
      <c r="M315" s="72">
        <f>VLOOKUP($C315,难度推算表,副本难度推算!$G$3,FALSE)-VLOOKUP($C315,难度推算表,副本难度推算!$I$3,FALSE)*(2-副本难度推算!$AA$7)*(2-$S315)</f>
        <v>3163.2320107948108</v>
      </c>
      <c r="N315" s="2">
        <f>VLOOKUP($C315,难度推算表,副本难度推算!$Q$3,FALSE)</f>
        <v>3020.0879999999997</v>
      </c>
      <c r="O315" s="2">
        <f>VLOOKUP($C315,难度推算表,副本难度推算!$R$3,FALSE)</f>
        <v>0</v>
      </c>
      <c r="Q315" s="140">
        <f t="shared" si="25"/>
        <v>1.26</v>
      </c>
      <c r="R315" s="140">
        <f t="shared" si="26"/>
        <v>0.75600000000000001</v>
      </c>
      <c r="S315" s="140">
        <f t="shared" si="27"/>
        <v>1.008</v>
      </c>
      <c r="V315" s="140"/>
      <c r="W315" s="140"/>
      <c r="X315" s="140"/>
    </row>
    <row r="316" spans="1:24">
      <c r="A316" s="2" t="str">
        <f t="shared" si="29"/>
        <v>营救</v>
      </c>
      <c r="B316" s="2" t="str">
        <f>怪物并表!$R$14</f>
        <v>英雄之路</v>
      </c>
      <c r="C316" s="2">
        <v>47</v>
      </c>
      <c r="D316" s="28">
        <f t="shared" si="24"/>
        <v>1905</v>
      </c>
      <c r="E316" s="72">
        <f>VLOOKUP($C316,难度推算表,副本难度推算!$M$3,FALSE)*副本难度推算!$Y$5*Q316</f>
        <v>156773.21985333168</v>
      </c>
      <c r="F316" s="72">
        <f>VLOOKUP($C316,难度推算表,副本难度推算!$P$3,FALSE)*副本难度推算!$Z$5*$R316+VLOOKUP($C316,难度推算表,副本难度推算!$H$3,FALSE)</f>
        <v>6098.52756929529</v>
      </c>
      <c r="G316" s="72">
        <f>VLOOKUP($C316,难度推算表,副本难度推算!$G$3,FALSE)-VLOOKUP($C316,难度推算表,副本难度推算!$I$3,FALSE)*(2-副本难度推算!$AA$5)*(2-$S316)</f>
        <v>2677.3734472247502</v>
      </c>
      <c r="H316" s="72">
        <f>VLOOKUP($C316,难度推算表,副本难度推算!$M$3,FALSE)*副本难度推算!$Y$6*Q316</f>
        <v>125418.57588266535</v>
      </c>
      <c r="I316" s="72">
        <f>VLOOKUP($C316,难度推算表,副本难度推算!$P$3,FALSE)*副本难度推算!$Z$6*$R316+VLOOKUP($C316,难度推算表,副本难度推算!$H$3,FALSE)</f>
        <v>5757.7575708808108</v>
      </c>
      <c r="J316" s="72">
        <f>VLOOKUP($C316,难度推算表,副本难度推算!$G$3,FALSE)-VLOOKUP($C316,难度推算表,副本难度推算!$I$3,FALSE)*(2-副本难度推算!$AA$6)*(2-$S316)</f>
        <v>2001.9757233519745</v>
      </c>
      <c r="K316" s="72">
        <f>VLOOKUP($C316,难度推算表,副本难度推算!$M$3,FALSE)*副本难度推算!$Y$7*Q316</f>
        <v>391933.04963332921</v>
      </c>
      <c r="L316" s="72">
        <f>VLOOKUP($C316,难度推算表,副本难度推算!$P$3,FALSE)*副本难度推算!$Z$7*$R316+VLOOKUP($C316,难度推算表,副本难度推算!$H$3,FALSE)</f>
        <v>6780.0675661242476</v>
      </c>
      <c r="M316" s="72">
        <f>VLOOKUP($C316,难度推算表,副本难度推算!$G$3,FALSE)-VLOOKUP($C316,难度推算表,副本难度推算!$I$3,FALSE)*(2-副本难度推算!$AA$7)*(2-$S316)</f>
        <v>3352.7711710975259</v>
      </c>
      <c r="N316" s="2">
        <f>VLOOKUP($C316,难度推算表,副本难度推算!$Q$3,FALSE)</f>
        <v>3078.3160000000003</v>
      </c>
      <c r="O316" s="2">
        <f>VLOOKUP($C316,难度推算表,副本难度推算!$R$3,FALSE)</f>
        <v>0</v>
      </c>
      <c r="Q316" s="140">
        <f t="shared" si="25"/>
        <v>1.2449999999999999</v>
      </c>
      <c r="R316" s="140">
        <f t="shared" si="26"/>
        <v>0.747</v>
      </c>
      <c r="S316" s="140">
        <f t="shared" si="27"/>
        <v>0.99599999999999989</v>
      </c>
      <c r="V316" s="140"/>
      <c r="W316" s="140"/>
      <c r="X316" s="140"/>
    </row>
    <row r="317" spans="1:24">
      <c r="A317" s="2" t="str">
        <f t="shared" si="29"/>
        <v>营救</v>
      </c>
      <c r="B317" s="2" t="str">
        <f>怪物并表!$R$14</f>
        <v>英雄之路</v>
      </c>
      <c r="C317" s="2">
        <v>48</v>
      </c>
      <c r="D317" s="28">
        <f t="shared" si="24"/>
        <v>1905</v>
      </c>
      <c r="E317" s="72">
        <f>VLOOKUP($C317,难度推算表,副本难度推算!$M$3,FALSE)*副本难度推算!$Y$5*Q317</f>
        <v>167519.99616953006</v>
      </c>
      <c r="F317" s="72">
        <f>VLOOKUP($C317,难度推算表,副本难度推算!$P$3,FALSE)*副本难度推算!$Z$5*$R317+VLOOKUP($C317,难度推算表,副本难度推算!$H$3,FALSE)</f>
        <v>6583.4335920405701</v>
      </c>
      <c r="G317" s="72">
        <f>VLOOKUP($C317,难度推算表,副本难度推算!$G$3,FALSE)-VLOOKUP($C317,难度推算表,副本难度推算!$I$3,FALSE)*(2-副本难度推算!$AA$5)*(2-$S317)</f>
        <v>2817.1197068243491</v>
      </c>
      <c r="H317" s="72">
        <f>VLOOKUP($C317,难度推算表,副本难度推算!$M$3,FALSE)*副本难度推算!$Y$6*Q317</f>
        <v>134015.99693562408</v>
      </c>
      <c r="I317" s="72">
        <f>VLOOKUP($C317,难度推算表,副本难度推算!$P$3,FALSE)*副本难度推算!$Z$6*$R317+VLOOKUP($C317,难度推算表,副本难度推算!$H$3,FALSE)</f>
        <v>6212.5514274104262</v>
      </c>
      <c r="J317" s="72">
        <f>VLOOKUP($C317,难度推算表,副本难度推算!$G$3,FALSE)-VLOOKUP($C317,难度推算表,副本难度推算!$I$3,FALSE)*(2-副本难度推算!$AA$6)*(2-$S317)</f>
        <v>2086.9682726066103</v>
      </c>
      <c r="K317" s="72">
        <f>VLOOKUP($C317,难度推算表,副本难度推算!$M$3,FALSE)*副本难度推算!$Y$7*Q317</f>
        <v>418799.99042382516</v>
      </c>
      <c r="L317" s="72">
        <f>VLOOKUP($C317,难度推算表,副本难度推算!$P$3,FALSE)*副本难度推算!$Z$7*$R317+VLOOKUP($C317,难度推算表,副本难度推算!$H$3,FALSE)</f>
        <v>7325.1979213008563</v>
      </c>
      <c r="M317" s="72">
        <f>VLOOKUP($C317,难度推算表,副本难度推算!$G$3,FALSE)-VLOOKUP($C317,难度推算表,副本难度推算!$I$3,FALSE)*(2-副本难度推算!$AA$7)*(2-$S317)</f>
        <v>3547.2711410420884</v>
      </c>
      <c r="N317" s="2">
        <f>VLOOKUP($C317,难度推算表,副本难度推算!$Q$3,FALSE)</f>
        <v>3136.5439999999999</v>
      </c>
      <c r="O317" s="2">
        <f>VLOOKUP($C317,难度推算表,副本难度推算!$R$3,FALSE)</f>
        <v>0</v>
      </c>
      <c r="Q317" s="140">
        <f t="shared" si="25"/>
        <v>1.23</v>
      </c>
      <c r="R317" s="140">
        <f t="shared" si="26"/>
        <v>0.73799999999999999</v>
      </c>
      <c r="S317" s="140">
        <f t="shared" si="27"/>
        <v>0.98399999999999987</v>
      </c>
      <c r="V317" s="140"/>
      <c r="W317" s="140"/>
      <c r="X317" s="140"/>
    </row>
    <row r="318" spans="1:24">
      <c r="A318" s="2" t="str">
        <f t="shared" si="29"/>
        <v>营救</v>
      </c>
      <c r="B318" s="2" t="str">
        <f>怪物并表!$R$14</f>
        <v>英雄之路</v>
      </c>
      <c r="C318" s="2">
        <v>49</v>
      </c>
      <c r="D318" s="28">
        <f t="shared" si="24"/>
        <v>1905</v>
      </c>
      <c r="E318" s="72">
        <f>VLOOKUP($C318,难度推算表,副本难度推算!$M$3,FALSE)*副本难度推算!$Y$5*Q318</f>
        <v>178654.28165253953</v>
      </c>
      <c r="F318" s="72">
        <f>VLOOKUP($C318,难度推算表,副本难度推算!$P$3,FALSE)*副本难度推算!$Z$5*$R318+VLOOKUP($C318,难度推算表,副本难度推算!$H$3,FALSE)</f>
        <v>7093.9994812805598</v>
      </c>
      <c r="G318" s="72">
        <f>VLOOKUP($C318,难度推算表,副本难度推算!$G$3,FALSE)-VLOOKUP($C318,难度推算表,副本难度推算!$I$3,FALSE)*(2-副本难度推算!$AA$5)*(2-$S318)</f>
        <v>2958.6699466157875</v>
      </c>
      <c r="H318" s="72">
        <f>VLOOKUP($C318,难度推算表,副本难度推算!$M$3,FALSE)*副本难度推算!$Y$6*Q318</f>
        <v>142923.42532203163</v>
      </c>
      <c r="I318" s="72">
        <f>VLOOKUP($C318,难度推算表,副本难度推算!$P$3,FALSE)*副本难度推算!$Z$6*$R318+VLOOKUP($C318,难度推算表,副本难度推算!$H$3,FALSE)</f>
        <v>6691.1974550816012</v>
      </c>
      <c r="J318" s="72">
        <f>VLOOKUP($C318,难度推算表,副本难度推算!$G$3,FALSE)-VLOOKUP($C318,难度推算表,副本难度推算!$I$3,FALSE)*(2-副本难度推算!$AA$6)*(2-$S318)</f>
        <v>2170.7132872580087</v>
      </c>
      <c r="K318" s="72">
        <f>VLOOKUP($C318,难度推算表,副本难度推算!$M$3,FALSE)*副本难度推算!$Y$7*Q318</f>
        <v>446635.70413134887</v>
      </c>
      <c r="L318" s="72">
        <f>VLOOKUP($C318,难度推算表,副本难度推算!$P$3,FALSE)*副本难度推算!$Z$7*$R318+VLOOKUP($C318,难度推算表,副本难度推算!$H$3,FALSE)</f>
        <v>7899.603533678478</v>
      </c>
      <c r="M318" s="72">
        <f>VLOOKUP($C318,难度推算表,副本难度推算!$G$3,FALSE)-VLOOKUP($C318,难度推算表,副本难度推算!$I$3,FALSE)*(2-副本难度推算!$AA$7)*(2-$S318)</f>
        <v>3746.6266059735672</v>
      </c>
      <c r="N318" s="2">
        <f>VLOOKUP($C318,难度推算表,副本难度推算!$Q$3,FALSE)</f>
        <v>3194.7719999999999</v>
      </c>
      <c r="O318" s="2">
        <f>VLOOKUP($C318,难度推算表,副本难度推算!$R$3,FALSE)</f>
        <v>0</v>
      </c>
      <c r="Q318" s="140">
        <f t="shared" si="25"/>
        <v>1.2150000000000001</v>
      </c>
      <c r="R318" s="140">
        <f t="shared" si="26"/>
        <v>0.72900000000000009</v>
      </c>
      <c r="S318" s="140">
        <f t="shared" si="27"/>
        <v>0.97199999999999998</v>
      </c>
      <c r="V318" s="140"/>
      <c r="W318" s="140"/>
      <c r="X318" s="140"/>
    </row>
    <row r="319" spans="1:24">
      <c r="A319" s="2" t="str">
        <f t="shared" si="29"/>
        <v>营救</v>
      </c>
      <c r="B319" s="2" t="str">
        <f>怪物并表!$R$14</f>
        <v>英雄之路</v>
      </c>
      <c r="C319" s="2">
        <v>50</v>
      </c>
      <c r="D319" s="28">
        <f t="shared" si="24"/>
        <v>1905</v>
      </c>
      <c r="E319" s="72">
        <f>VLOOKUP($C319,难度推算表,副本难度推算!$M$3,FALSE)*副本难度推算!$Y$5*Q319</f>
        <v>191424.16460471551</v>
      </c>
      <c r="F319" s="72">
        <f>VLOOKUP($C319,难度推算表,副本难度推算!$P$3,FALSE)*副本难度推算!$Z$5*$R319+VLOOKUP($C319,难度推算表,副本难度推算!$H$3,FALSE)</f>
        <v>7681.1213491447716</v>
      </c>
      <c r="G319" s="72">
        <f>VLOOKUP($C319,难度推算表,副本难度推算!$G$3,FALSE)-VLOOKUP($C319,难度推算表,副本难度推算!$I$3,FALSE)*(2-副本难度推算!$AA$5)*(2-$S319)</f>
        <v>3122.216196321071</v>
      </c>
      <c r="H319" s="72">
        <f>VLOOKUP($C319,难度推算表,副本难度推算!$M$3,FALSE)*副本难度推算!$Y$6*Q319</f>
        <v>153139.33168377241</v>
      </c>
      <c r="I319" s="72">
        <f>VLOOKUP($C319,难度推算表,副本难度推算!$P$3,FALSE)*副本难度推算!$Z$6*$R319+VLOOKUP($C319,难度推算表,副本难度推算!$H$3,FALSE)</f>
        <v>7241.6635506851444</v>
      </c>
      <c r="J319" s="72">
        <f>VLOOKUP($C319,难度推算表,副本难度推算!$G$3,FALSE)-VLOOKUP($C319,难度推算表,副本难度推算!$I$3,FALSE)*(2-副本难度推算!$AA$6)*(2-$S319)</f>
        <v>2267.7149215384625</v>
      </c>
      <c r="K319" s="72">
        <f>VLOOKUP($C319,难度推算表,副本难度推算!$M$3,FALSE)*副本难度推算!$Y$7*Q319</f>
        <v>478560.41151178878</v>
      </c>
      <c r="L319" s="72">
        <f>VLOOKUP($C319,难度推算表,副本难度推算!$P$3,FALSE)*副本难度推算!$Z$7*$R319+VLOOKUP($C319,难度推算表,副本难度推算!$H$3,FALSE)</f>
        <v>8560.0369460640268</v>
      </c>
      <c r="M319" s="72">
        <f>VLOOKUP($C319,难度推算表,副本难度推算!$G$3,FALSE)-VLOOKUP($C319,难度推算表,副本难度推算!$I$3,FALSE)*(2-副本难度推算!$AA$7)*(2-$S319)</f>
        <v>3976.7174711036801</v>
      </c>
      <c r="N319" s="2">
        <f>VLOOKUP($C319,难度推算表,副本难度推算!$Q$3,FALSE)</f>
        <v>3253</v>
      </c>
      <c r="O319" s="2">
        <f>VLOOKUP($C319,难度推算表,副本难度推算!$R$3,FALSE)</f>
        <v>0</v>
      </c>
      <c r="Q319" s="140">
        <f t="shared" si="25"/>
        <v>1.2000000000000002</v>
      </c>
      <c r="R319" s="140">
        <f t="shared" si="26"/>
        <v>0.72000000000000008</v>
      </c>
      <c r="S319" s="140">
        <f t="shared" si="27"/>
        <v>0.96</v>
      </c>
      <c r="V319" s="140"/>
      <c r="W319" s="140"/>
      <c r="X319" s="140"/>
    </row>
    <row r="320" spans="1:24">
      <c r="A320" s="2" t="str">
        <f t="shared" si="29"/>
        <v>营救</v>
      </c>
      <c r="B320" s="2" t="str">
        <f>怪物并表!$R$14</f>
        <v>英雄之路</v>
      </c>
      <c r="C320" s="2">
        <v>51</v>
      </c>
      <c r="D320" s="28">
        <f t="shared" si="24"/>
        <v>1905</v>
      </c>
      <c r="E320" s="72">
        <f>VLOOKUP($C320,难度推算表,副本难度推算!$M$3,FALSE)*副本难度推算!$Y$5*Q320</f>
        <v>203560.07737025924</v>
      </c>
      <c r="F320" s="72">
        <f>VLOOKUP($C320,难度推算表,副本难度推算!$P$3,FALSE)*副本难度推算!$Z$5*$R320+VLOOKUP($C320,难度推算表,副本难度推算!$H$3,FALSE)</f>
        <v>8360.4869373584006</v>
      </c>
      <c r="G320" s="72">
        <f>VLOOKUP($C320,难度推算表,副本难度推算!$G$3,FALSE)-VLOOKUP($C320,难度推算表,副本难度推算!$I$3,FALSE)*(2-副本难度推算!$AA$5)*(2-$S320)</f>
        <v>3343.8165047154525</v>
      </c>
      <c r="H320" s="72">
        <f>VLOOKUP($C320,难度推算表,副本难度推算!$M$3,FALSE)*副本难度推算!$Y$6*Q320</f>
        <v>162848.06189620739</v>
      </c>
      <c r="I320" s="72">
        <f>VLOOKUP($C320,难度推算表,副本难度推算!$P$3,FALSE)*副本难度推算!$Z$6*$R320+VLOOKUP($C320,难度推算表,副本难度推算!$H$3,FALSE)</f>
        <v>7876.0890838727273</v>
      </c>
      <c r="J320" s="72">
        <f>VLOOKUP($C320,难度推算表,副本难度推算!$G$3,FALSE)-VLOOKUP($C320,难度推算表,副本难度推算!$I$3,FALSE)*(2-副本难度推算!$AA$6)*(2-$S320)</f>
        <v>2445.8186362271044</v>
      </c>
      <c r="K320" s="72">
        <f>VLOOKUP($C320,难度推算表,副本难度推算!$M$3,FALSE)*副本难度推算!$Y$7*Q320</f>
        <v>508900.19342564809</v>
      </c>
      <c r="L320" s="72">
        <f>VLOOKUP($C320,难度推算表,副本难度推算!$P$3,FALSE)*副本难度推算!$Z$7*$R320+VLOOKUP($C320,难度推算表,副本难度推算!$H$3,FALSE)</f>
        <v>9329.2826443297454</v>
      </c>
      <c r="M320" s="72">
        <f>VLOOKUP($C320,难度推算表,副本难度推算!$G$3,FALSE)-VLOOKUP($C320,难度推算表,副本难度推算!$I$3,FALSE)*(2-副本难度推算!$AA$7)*(2-$S320)</f>
        <v>4241.8143732038006</v>
      </c>
      <c r="N320" s="2">
        <f>VLOOKUP($C320,难度推算表,副本难度推算!$Q$3,FALSE)</f>
        <v>3311.2280000000001</v>
      </c>
      <c r="O320" s="2">
        <f>VLOOKUP($C320,难度推算表,副本难度推算!$R$3,FALSE)</f>
        <v>0</v>
      </c>
      <c r="Q320" s="140">
        <f t="shared" si="25"/>
        <v>1.2000000000000002</v>
      </c>
      <c r="R320" s="140">
        <f t="shared" si="26"/>
        <v>0.72000000000000008</v>
      </c>
      <c r="S320" s="140">
        <f t="shared" si="27"/>
        <v>0.96</v>
      </c>
      <c r="V320" s="140"/>
      <c r="W320" s="140"/>
      <c r="X320" s="140"/>
    </row>
    <row r="321" spans="1:24">
      <c r="A321" s="2" t="str">
        <f t="shared" si="29"/>
        <v>营救</v>
      </c>
      <c r="B321" s="2" t="str">
        <f>怪物并表!$R$14</f>
        <v>英雄之路</v>
      </c>
      <c r="C321" s="2">
        <v>52</v>
      </c>
      <c r="D321" s="28">
        <f t="shared" si="24"/>
        <v>1905</v>
      </c>
      <c r="E321" s="72">
        <f>VLOOKUP($C321,难度推算表,副本难度推算!$M$3,FALSE)*副本难度推算!$Y$5*Q321</f>
        <v>223965.75936442861</v>
      </c>
      <c r="F321" s="72">
        <f>VLOOKUP($C321,难度推算表,副本难度推算!$P$3,FALSE)*副本难度推算!$Z$5*$R321+VLOOKUP($C321,难度推算表,副本难度推算!$H$3,FALSE)</f>
        <v>9084.506535993034</v>
      </c>
      <c r="G321" s="72">
        <f>VLOOKUP($C321,难度推算表,副本难度推算!$G$3,FALSE)-VLOOKUP($C321,难度推算表,副本难度推算!$I$3,FALSE)*(2-副本难度推算!$AA$5)*(2-$S321)</f>
        <v>3568.2388902421417</v>
      </c>
      <c r="H321" s="72">
        <f>VLOOKUP($C321,难度推算表,副本难度推算!$M$3,FALSE)*副本难度推算!$Y$6*Q321</f>
        <v>179172.60749154291</v>
      </c>
      <c r="I321" s="72">
        <f>VLOOKUP($C321,难度推算表,副本难度推算!$P$3,FALSE)*副本难度推算!$Z$6*$R321+VLOOKUP($C321,难度推算表,副本难度推算!$H$3,FALSE)</f>
        <v>8551.6599761034304</v>
      </c>
      <c r="J321" s="72">
        <f>VLOOKUP($C321,难度推算表,副本难度推算!$G$3,FALSE)-VLOOKUP($C321,难度推算表,副本难度推算!$I$3,FALSE)*(2-副本难度推算!$AA$6)*(2-$S321)</f>
        <v>2591.6682465969234</v>
      </c>
      <c r="K321" s="72">
        <f>VLOOKUP($C321,难度推算表,副本难度推算!$M$3,FALSE)*副本难度推算!$Y$7*Q321</f>
        <v>559914.39841107151</v>
      </c>
      <c r="L321" s="72">
        <f>VLOOKUP($C321,难度推算表,副本难度推算!$P$3,FALSE)*副本难度推算!$Z$7*$R321+VLOOKUP($C321,难度推算表,副本难度推算!$H$3,FALSE)</f>
        <v>10150.199655772243</v>
      </c>
      <c r="M321" s="72">
        <f>VLOOKUP($C321,难度推算表,副本难度推算!$G$3,FALSE)-VLOOKUP($C321,难度推算表,副本难度推算!$I$3,FALSE)*(2-副本难度推算!$AA$7)*(2-$S321)</f>
        <v>4544.8095338873591</v>
      </c>
      <c r="N321" s="2">
        <f>VLOOKUP($C321,难度推算表,副本难度推算!$Q$3,FALSE)</f>
        <v>3369.4560000000001</v>
      </c>
      <c r="O321" s="2">
        <f>VLOOKUP($C321,难度推算表,副本难度推算!$R$3,FALSE)</f>
        <v>0</v>
      </c>
      <c r="Q321" s="140">
        <f t="shared" si="25"/>
        <v>1.2000000000000002</v>
      </c>
      <c r="R321" s="140">
        <f t="shared" si="26"/>
        <v>0.72000000000000008</v>
      </c>
      <c r="S321" s="140">
        <f t="shared" si="27"/>
        <v>0.96</v>
      </c>
      <c r="V321" s="140"/>
      <c r="W321" s="140"/>
      <c r="X321" s="140"/>
    </row>
    <row r="322" spans="1:24">
      <c r="A322" s="2" t="str">
        <f t="shared" si="29"/>
        <v>营救</v>
      </c>
      <c r="B322" s="2" t="str">
        <f>怪物并表!$R$14</f>
        <v>英雄之路</v>
      </c>
      <c r="C322" s="2">
        <v>53</v>
      </c>
      <c r="D322" s="28">
        <f t="shared" si="24"/>
        <v>1905</v>
      </c>
      <c r="E322" s="72">
        <f>VLOOKUP($C322,难度推算表,副本难度推算!$M$3,FALSE)*副本难度推算!$Y$5*Q322</f>
        <v>241589.18177264067</v>
      </c>
      <c r="F322" s="72">
        <f>VLOOKUP($C322,难度推算表,副本难度推算!$P$3,FALSE)*副本难度推算!$Z$5*$R322+VLOOKUP($C322,难度推算表,副本难度推算!$H$3,FALSE)</f>
        <v>9855.4109134595365</v>
      </c>
      <c r="G322" s="72">
        <f>VLOOKUP($C322,难度推算表,副本难度推算!$G$3,FALSE)-VLOOKUP($C322,难度推算表,副本难度推算!$I$3,FALSE)*(2-副本难度推算!$AA$5)*(2-$S322)</f>
        <v>3805.0421936668909</v>
      </c>
      <c r="H322" s="72">
        <f>VLOOKUP($C322,难度推算表,副本难度推算!$M$3,FALSE)*副本难度推算!$Y$6*Q322</f>
        <v>193271.34541811256</v>
      </c>
      <c r="I322" s="72">
        <f>VLOOKUP($C322,难度推算表,副本难度推算!$P$3,FALSE)*副本难度推算!$Z$6*$R322+VLOOKUP($C322,难度推算表,副本难度推算!$H$3,FALSE)</f>
        <v>9270.4005793416763</v>
      </c>
      <c r="J322" s="72">
        <f>VLOOKUP($C322,难度推算表,副本难度推算!$G$3,FALSE)-VLOOKUP($C322,难度推算表,副本难度推算!$I$3,FALSE)*(2-副本难度推算!$AA$6)*(2-$S322)</f>
        <v>2763.6622248738477</v>
      </c>
      <c r="K322" s="72">
        <f>VLOOKUP($C322,难度推算表,副本难度推算!$M$3,FALSE)*副本难度推算!$Y$7*Q322</f>
        <v>603972.95443160168</v>
      </c>
      <c r="L322" s="72">
        <f>VLOOKUP($C322,难度推算表,副本难度推算!$P$3,FALSE)*副本难度推算!$Z$7*$R322+VLOOKUP($C322,难度推算表,副本难度推算!$H$3,FALSE)</f>
        <v>11025.431581695255</v>
      </c>
      <c r="M322" s="72">
        <f>VLOOKUP($C322,难度推算表,副本难度推算!$G$3,FALSE)-VLOOKUP($C322,难度推算表,副本难度推算!$I$3,FALSE)*(2-副本难度推算!$AA$7)*(2-$S322)</f>
        <v>4846.422162459935</v>
      </c>
      <c r="N322" s="2">
        <f>VLOOKUP($C322,难度推算表,副本难度推算!$Q$3,FALSE)</f>
        <v>3427.6839999999997</v>
      </c>
      <c r="O322" s="2">
        <f>VLOOKUP($C322,难度推算表,副本难度推算!$R$3,FALSE)</f>
        <v>0</v>
      </c>
      <c r="Q322" s="140">
        <f t="shared" si="25"/>
        <v>1.2000000000000002</v>
      </c>
      <c r="R322" s="140">
        <f t="shared" si="26"/>
        <v>0.72000000000000008</v>
      </c>
      <c r="S322" s="140">
        <f t="shared" si="27"/>
        <v>0.96</v>
      </c>
      <c r="V322" s="140"/>
      <c r="W322" s="140"/>
      <c r="X322" s="140"/>
    </row>
    <row r="323" spans="1:24">
      <c r="A323" s="2" t="str">
        <f t="shared" si="29"/>
        <v>营救</v>
      </c>
      <c r="B323" s="2" t="str">
        <f>怪物并表!$R$14</f>
        <v>英雄之路</v>
      </c>
      <c r="C323" s="2">
        <v>54</v>
      </c>
      <c r="D323" s="28">
        <f t="shared" si="24"/>
        <v>1905</v>
      </c>
      <c r="E323" s="72">
        <f>VLOOKUP($C323,难度推算表,副本难度推算!$M$3,FALSE)*副本难度推算!$Y$5*Q323</f>
        <v>260153.24336137221</v>
      </c>
      <c r="F323" s="72">
        <f>VLOOKUP($C323,难度推算表,副本难度推算!$P$3,FALSE)*副本难度推算!$Z$5*$R323+VLOOKUP($C323,难度推算表,副本难度推算!$H$3,FALSE)</f>
        <v>10675.526746733005</v>
      </c>
      <c r="G323" s="72">
        <f>VLOOKUP($C323,难度推算表,副本难度推算!$G$3,FALSE)-VLOOKUP($C323,难度推算表,副本难度推算!$I$3,FALSE)*(2-副本难度推算!$AA$5)*(2-$S323)</f>
        <v>4051.2511664000012</v>
      </c>
      <c r="H323" s="72">
        <f>VLOOKUP($C323,难度推算表,副本难度推算!$M$3,FALSE)*副本难度推算!$Y$6*Q323</f>
        <v>208122.59468909781</v>
      </c>
      <c r="I323" s="72">
        <f>VLOOKUP($C323,难度推算表,副本难度推算!$P$3,FALSE)*副本难度推算!$Z$6*$R323+VLOOKUP($C323,难度推算表,副本难度推算!$H$3,FALSE)</f>
        <v>10034.421563259704</v>
      </c>
      <c r="J323" s="72">
        <f>VLOOKUP($C323,难度推算表,副本难度推算!$G$3,FALSE)-VLOOKUP($C323,难度推算表,副本难度推算!$I$3,FALSE)*(2-副本难度推算!$AA$6)*(2-$S323)</f>
        <v>2942.4876892800012</v>
      </c>
      <c r="K323" s="72">
        <f>VLOOKUP($C323,难度推算表,副本难度推算!$M$3,FALSE)*副本难度推算!$Y$7*Q323</f>
        <v>650383.10840343055</v>
      </c>
      <c r="L323" s="72">
        <f>VLOOKUP($C323,难度推算表,副本难度推算!$P$3,FALSE)*副本难度推算!$Z$7*$R323+VLOOKUP($C323,难度推算表,副本难度推算!$H$3,FALSE)</f>
        <v>11957.737113679603</v>
      </c>
      <c r="M323" s="72">
        <f>VLOOKUP($C323,难度推算表,副本难度推算!$G$3,FALSE)-VLOOKUP($C323,难度推算表,副本难度推算!$I$3,FALSE)*(2-副本难度推算!$AA$7)*(2-$S323)</f>
        <v>5160.0146435200013</v>
      </c>
      <c r="N323" s="2">
        <f>VLOOKUP($C323,难度推算表,副本难度推算!$Q$3,FALSE)</f>
        <v>3485.9119999999998</v>
      </c>
      <c r="O323" s="2">
        <f>VLOOKUP($C323,难度推算表,副本难度推算!$R$3,FALSE)</f>
        <v>0</v>
      </c>
      <c r="Q323" s="140">
        <f t="shared" si="25"/>
        <v>1.2000000000000002</v>
      </c>
      <c r="R323" s="140">
        <f t="shared" si="26"/>
        <v>0.72000000000000008</v>
      </c>
      <c r="S323" s="140">
        <f t="shared" si="27"/>
        <v>0.96</v>
      </c>
      <c r="V323" s="140"/>
      <c r="W323" s="140"/>
      <c r="X323" s="140"/>
    </row>
    <row r="324" spans="1:24">
      <c r="A324" s="2" t="str">
        <f t="shared" si="29"/>
        <v>营救</v>
      </c>
      <c r="B324" s="2" t="str">
        <f>怪物并表!$R$14</f>
        <v>英雄之路</v>
      </c>
      <c r="C324" s="2">
        <v>55</v>
      </c>
      <c r="D324" s="28">
        <f t="shared" si="24"/>
        <v>1905</v>
      </c>
      <c r="E324" s="72">
        <f>VLOOKUP($C324,难度推算表,副本难度推算!$M$3,FALSE)*副本难度推算!$Y$5*Q324</f>
        <v>279687.61815618025</v>
      </c>
      <c r="F324" s="72">
        <f>VLOOKUP($C324,难度推算表,副本难度推算!$P$3,FALSE)*副本难度推算!$Z$5*$R324+VLOOKUP($C324,难度推算表,副本难度推算!$H$3,FALSE)</f>
        <v>11547.28091576611</v>
      </c>
      <c r="G324" s="72">
        <f>VLOOKUP($C324,难度推算表,副本难度推算!$G$3,FALSE)-VLOOKUP($C324,难度推算表,副本难度推算!$I$3,FALSE)*(2-副本难度推算!$AA$5)*(2-$S324)</f>
        <v>4307.0240821906355</v>
      </c>
      <c r="H324" s="72">
        <f>VLOOKUP($C324,难度推算表,副本难度推算!$M$3,FALSE)*副本难度推算!$Y$6*Q324</f>
        <v>223750.0945249442</v>
      </c>
      <c r="I324" s="72">
        <f>VLOOKUP($C324,难度推算表,副本难度推算!$P$3,FALSE)*副本难度推算!$Z$6*$R324+VLOOKUP($C324,难度推算表,副本难度推算!$H$3,FALSE)</f>
        <v>10845.923780209569</v>
      </c>
      <c r="J324" s="72">
        <f>VLOOKUP($C324,难度推算表,副本难度推算!$G$3,FALSE)-VLOOKUP($C324,难度推算表,副本难度推算!$I$3,FALSE)*(2-副本难度推算!$AA$6)*(2-$S324)</f>
        <v>3128.2595965384617</v>
      </c>
      <c r="K324" s="72">
        <f>VLOOKUP($C324,难度推算表,副本难度推算!$M$3,FALSE)*副本难度推算!$Y$7*Q324</f>
        <v>699219.04539045063</v>
      </c>
      <c r="L324" s="72">
        <f>VLOOKUP($C324,难度推算表,副本难度推算!$P$3,FALSE)*副本难度推算!$Z$7*$R324+VLOOKUP($C324,难度推算表,副本难度推算!$H$3,FALSE)</f>
        <v>12949.995186879201</v>
      </c>
      <c r="M324" s="72">
        <f>VLOOKUP($C324,难度推算表,副本难度推算!$G$3,FALSE)-VLOOKUP($C324,难度推算表,副本难度推算!$I$3,FALSE)*(2-副本难度推算!$AA$7)*(2-$S324)</f>
        <v>5485.7885678428102</v>
      </c>
      <c r="N324" s="2">
        <f>VLOOKUP($C324,难度推算表,副本难度推算!$Q$3,FALSE)</f>
        <v>3544.1399999999994</v>
      </c>
      <c r="O324" s="2">
        <f>VLOOKUP($C324,难度推算表,副本难度推算!$R$3,FALSE)</f>
        <v>0</v>
      </c>
      <c r="Q324" s="140">
        <f t="shared" si="25"/>
        <v>1.2000000000000002</v>
      </c>
      <c r="R324" s="140">
        <f t="shared" si="26"/>
        <v>0.72000000000000008</v>
      </c>
      <c r="S324" s="140">
        <f t="shared" si="27"/>
        <v>0.96</v>
      </c>
      <c r="V324" s="140"/>
      <c r="W324" s="140"/>
      <c r="X324" s="140"/>
    </row>
    <row r="325" spans="1:24">
      <c r="A325" s="2" t="str">
        <f t="shared" si="29"/>
        <v>营救</v>
      </c>
      <c r="B325" s="2" t="str">
        <f>怪物并表!$R$14</f>
        <v>英雄之路</v>
      </c>
      <c r="C325" s="2">
        <v>56</v>
      </c>
      <c r="D325" s="28">
        <f t="shared" si="24"/>
        <v>1905</v>
      </c>
      <c r="E325" s="72">
        <f>VLOOKUP($C325,难度推算表,副本难度推算!$M$3,FALSE)*副本难度推算!$Y$5*Q325</f>
        <v>300222.38573166588</v>
      </c>
      <c r="F325" s="72">
        <f>VLOOKUP($C325,难度推算表,副本难度推算!$P$3,FALSE)*副本难度推算!$Z$5*$R325+VLOOKUP($C325,难度推算表,副本难度推算!$H$3,FALSE)</f>
        <v>12473.205030732086</v>
      </c>
      <c r="G325" s="72">
        <f>VLOOKUP($C325,难度推算表,副本难度推算!$G$3,FALSE)-VLOOKUP($C325,难度推算表,副本难度推算!$I$3,FALSE)*(2-副本难度推算!$AA$5)*(2-$S325)</f>
        <v>4572.5192147879616</v>
      </c>
      <c r="H325" s="72">
        <f>VLOOKUP($C325,难度推算表,副本难度推算!$M$3,FALSE)*副本难度推算!$Y$6*Q325</f>
        <v>240177.90858533268</v>
      </c>
      <c r="I325" s="72">
        <f>VLOOKUP($C325,难度推算表,副本难度推算!$P$3,FALSE)*副本难度推算!$Z$6*$R325+VLOOKUP($C325,难度推算表,副本难度推算!$H$3,FALSE)</f>
        <v>11707.20233974182</v>
      </c>
      <c r="J325" s="72">
        <f>VLOOKUP($C325,难度推算表,副本难度推算!$G$3,FALSE)-VLOOKUP($C325,难度推算表,副本难度推算!$I$3,FALSE)*(2-副本难度推算!$AA$6)*(2-$S325)</f>
        <v>3321.0929033723087</v>
      </c>
      <c r="K325" s="72">
        <f>VLOOKUP($C325,难度推算表,副本难度推算!$M$3,FALSE)*副本难度推算!$Y$7*Q325</f>
        <v>750555.96432916471</v>
      </c>
      <c r="L325" s="72">
        <f>VLOOKUP($C325,难度推算表,副本难度推算!$P$3,FALSE)*副本难度推算!$Z$7*$R325+VLOOKUP($C325,难度推算表,副本难度推算!$H$3,FALSE)</f>
        <v>14005.210412712615</v>
      </c>
      <c r="M325" s="72">
        <f>VLOOKUP($C325,难度推算表,副本难度推算!$G$3,FALSE)-VLOOKUP($C325,难度推算表,副本难度推算!$I$3,FALSE)*(2-副本难度推算!$AA$7)*(2-$S325)</f>
        <v>5823.9455262036145</v>
      </c>
      <c r="N325" s="2">
        <f>VLOOKUP($C325,难度推算表,副本难度推算!$Q$3,FALSE)</f>
        <v>3602.3680000000004</v>
      </c>
      <c r="O325" s="2">
        <f>VLOOKUP($C325,难度推算表,副本难度推算!$R$3,FALSE)</f>
        <v>0</v>
      </c>
      <c r="Q325" s="140">
        <f t="shared" si="25"/>
        <v>1.2000000000000002</v>
      </c>
      <c r="R325" s="140">
        <f t="shared" si="26"/>
        <v>0.72000000000000008</v>
      </c>
      <c r="S325" s="140">
        <f t="shared" si="27"/>
        <v>0.96</v>
      </c>
      <c r="V325" s="140"/>
      <c r="W325" s="140"/>
      <c r="X325" s="140"/>
    </row>
    <row r="326" spans="1:24">
      <c r="A326" s="2" t="str">
        <f t="shared" si="29"/>
        <v>营救</v>
      </c>
      <c r="B326" s="2" t="str">
        <f>怪物并表!$R$14</f>
        <v>英雄之路</v>
      </c>
      <c r="C326" s="2">
        <v>57</v>
      </c>
      <c r="D326" s="28">
        <f t="shared" ref="D326:D389" si="30">1900+VLOOKUP(A326,$Z$11:$AA$16,2,FALSE)</f>
        <v>1905</v>
      </c>
      <c r="E326" s="72">
        <f>VLOOKUP($C326,难度推算表,副本难度推算!$M$3,FALSE)*副本难度推算!$Y$5*Q326</f>
        <v>321788.031061224</v>
      </c>
      <c r="F326" s="72">
        <f>VLOOKUP($C326,难度推算表,副本难度推算!$P$3,FALSE)*副本难度推算!$Z$5*$R326+VLOOKUP($C326,难度推算表,副本难度推算!$H$3,FALSE)</f>
        <v>13455.940206958727</v>
      </c>
      <c r="G326" s="72">
        <f>VLOOKUP($C326,难度推算表,副本难度推算!$G$3,FALSE)-VLOOKUP($C326,难度推算表,副本难度推算!$I$3,FALSE)*(2-副本难度推算!$AA$5)*(2-$S326)</f>
        <v>4847.8948379411386</v>
      </c>
      <c r="H326" s="72">
        <f>VLOOKUP($C326,难度推算表,副本难度推算!$M$3,FALSE)*副本难度推算!$Y$6*Q326</f>
        <v>257430.42484897919</v>
      </c>
      <c r="I326" s="72">
        <f>VLOOKUP($C326,难度推算表,副本难度推算!$P$3,FALSE)*副本难度推算!$Z$6*$R326+VLOOKUP($C326,难度推算表,副本难度推算!$H$3,FALSE)</f>
        <v>12620.650906046134</v>
      </c>
      <c r="J326" s="72">
        <f>VLOOKUP($C326,难度推算表,副本难度推算!$G$3,FALSE)-VLOOKUP($C326,难度推算表,副本难度推算!$I$3,FALSE)*(2-副本难度推算!$AA$6)*(2-$S326)</f>
        <v>3521.1025665046163</v>
      </c>
      <c r="K326" s="72">
        <f>VLOOKUP($C326,难度推算表,副本难度推算!$M$3,FALSE)*副本难度推算!$Y$7*Q326</f>
        <v>804470.07765306009</v>
      </c>
      <c r="L326" s="72">
        <f>VLOOKUP($C326,难度推算表,副本难度推算!$P$3,FALSE)*副本难度推算!$Z$7*$R326+VLOOKUP($C326,难度推算表,副本难度推算!$H$3,FALSE)</f>
        <v>15126.51880878392</v>
      </c>
      <c r="M326" s="72">
        <f>VLOOKUP($C326,难度推算表,副本难度推算!$G$3,FALSE)-VLOOKUP($C326,难度推算表,副本难度推算!$I$3,FALSE)*(2-副本难度推算!$AA$7)*(2-$S326)</f>
        <v>6174.6871093776608</v>
      </c>
      <c r="N326" s="2">
        <f>VLOOKUP($C326,难度推算表,副本难度推算!$Q$3,FALSE)</f>
        <v>3660.596</v>
      </c>
      <c r="O326" s="2">
        <f>VLOOKUP($C326,难度推算表,副本难度推算!$R$3,FALSE)</f>
        <v>0</v>
      </c>
      <c r="Q326" s="140">
        <f t="shared" ref="Q326:Q389" si="31">VLOOKUP($A326,$Z$11:$AD$16,3,FALSE)*VLOOKUP(C326,$U$5:$X$75,2,FALSE)</f>
        <v>1.2000000000000002</v>
      </c>
      <c r="R326" s="140">
        <f t="shared" ref="R326:R389" si="32">VLOOKUP($A326,$Z$11:$AD$16,4,FALSE)*VLOOKUP(C326,$U$5:$X$75,3,FALSE)</f>
        <v>0.72000000000000008</v>
      </c>
      <c r="S326" s="140">
        <f t="shared" ref="S326:S389" si="33">VLOOKUP($A326,$Z$11:$AD$16,5,FALSE)*VLOOKUP(C326,$U$5:$X$75,4,FALSE)</f>
        <v>0.96</v>
      </c>
      <c r="V326" s="140"/>
      <c r="W326" s="140"/>
      <c r="X326" s="140"/>
    </row>
    <row r="327" spans="1:24">
      <c r="A327" s="2" t="str">
        <f t="shared" si="29"/>
        <v>营救</v>
      </c>
      <c r="B327" s="2" t="str">
        <f>怪物并表!$R$14</f>
        <v>英雄之路</v>
      </c>
      <c r="C327" s="2">
        <v>58</v>
      </c>
      <c r="D327" s="28">
        <f t="shared" si="30"/>
        <v>1905</v>
      </c>
      <c r="E327" s="72">
        <f>VLOOKUP($C327,难度推算表,副本难度推算!$M$3,FALSE)*副本难度推算!$Y$5*Q327</f>
        <v>344415.44436352787</v>
      </c>
      <c r="F327" s="72">
        <f>VLOOKUP($C327,难度推算表,副本难度推算!$P$3,FALSE)*副本难度推算!$Z$5*$R327+VLOOKUP($C327,难度推算表,副本难度推算!$H$3,FALSE)</f>
        <v>14498.242103509194</v>
      </c>
      <c r="G327" s="72">
        <f>VLOOKUP($C327,难度推算表,副本难度推算!$G$3,FALSE)-VLOOKUP($C327,难度推算表,副本难度推算!$I$3,FALSE)*(2-副本难度推算!$AA$5)*(2-$S327)</f>
        <v>5133.3092253993327</v>
      </c>
      <c r="H327" s="72">
        <f>VLOOKUP($C327,难度推算表,副本难度推算!$M$3,FALSE)*副本难度推算!$Y$6*Q327</f>
        <v>275532.35549082229</v>
      </c>
      <c r="I327" s="72">
        <f>VLOOKUP($C327,难度推算表,副本难度推算!$P$3,FALSE)*副本难度推算!$Z$6*$R327+VLOOKUP($C327,难度推算表,副本难度推算!$H$3,FALSE)</f>
        <v>13588.766232673994</v>
      </c>
      <c r="J327" s="72">
        <f>VLOOKUP($C327,难度推算表,副本难度推算!$G$3,FALSE)-VLOOKUP($C327,难度推算表,副本难度推算!$I$3,FALSE)*(2-副本难度推算!$AA$6)*(2-$S327)</f>
        <v>3728.4035426584633</v>
      </c>
      <c r="K327" s="72">
        <f>VLOOKUP($C327,难度推算表,副本难度推算!$M$3,FALSE)*副本难度推算!$Y$7*Q327</f>
        <v>861038.6109088196</v>
      </c>
      <c r="L327" s="72">
        <f>VLOOKUP($C327,难度推算表,副本难度推算!$P$3,FALSE)*副本难度推算!$Z$7*$R327+VLOOKUP($C327,难度推算表,副本难度推算!$H$3,FALSE)</f>
        <v>16317.193845179594</v>
      </c>
      <c r="M327" s="72">
        <f>VLOOKUP($C327,难度推算表,副本难度推算!$G$3,FALSE)-VLOOKUP($C327,难度推算表,副本难度推算!$I$3,FALSE)*(2-副本难度推算!$AA$7)*(2-$S327)</f>
        <v>6538.2149081402031</v>
      </c>
      <c r="N327" s="2">
        <f>VLOOKUP($C327,难度推算表,副本难度推算!$Q$3,FALSE)</f>
        <v>3718.8240000000001</v>
      </c>
      <c r="O327" s="2">
        <f>VLOOKUP($C327,难度推算表,副本难度推算!$R$3,FALSE)</f>
        <v>0</v>
      </c>
      <c r="Q327" s="140">
        <f t="shared" si="31"/>
        <v>1.2000000000000002</v>
      </c>
      <c r="R327" s="140">
        <f t="shared" si="32"/>
        <v>0.72000000000000008</v>
      </c>
      <c r="S327" s="140">
        <f t="shared" si="33"/>
        <v>0.96</v>
      </c>
      <c r="V327" s="140"/>
      <c r="W327" s="140"/>
      <c r="X327" s="140"/>
    </row>
    <row r="328" spans="1:24">
      <c r="A328" s="2" t="str">
        <f t="shared" si="29"/>
        <v>营救</v>
      </c>
      <c r="B328" s="2" t="str">
        <f>怪物并表!$R$14</f>
        <v>英雄之路</v>
      </c>
      <c r="C328" s="2">
        <v>59</v>
      </c>
      <c r="D328" s="28">
        <f t="shared" si="30"/>
        <v>1905</v>
      </c>
      <c r="E328" s="72">
        <f>VLOOKUP($C328,难度推算表,副本难度推算!$M$3,FALSE)*副本难度推算!$Y$5*Q328</f>
        <v>368135.92094644113</v>
      </c>
      <c r="F328" s="72">
        <f>VLOOKUP($C328,难度推算表,副本难度推算!$P$3,FALSE)*副本难度推算!$Z$5*$R328+VLOOKUP($C328,难度推算表,副本难度推算!$H$3,FALSE)</f>
        <v>15602.986242550487</v>
      </c>
      <c r="G328" s="72">
        <f>VLOOKUP($C328,难度推算表,副本难度推算!$G$3,FALSE)-VLOOKUP($C328,难度推算表,副本难度推算!$I$3,FALSE)*(2-副本难度推算!$AA$5)*(2-$S328)</f>
        <v>5428.9206509117075</v>
      </c>
      <c r="H328" s="72">
        <f>VLOOKUP($C328,难度推算表,副本难度推算!$M$3,FALSE)*副本难度推算!$Y$6*Q328</f>
        <v>294508.73675715295</v>
      </c>
      <c r="I328" s="72">
        <f>VLOOKUP($C328,难度推算表,副本难度推算!$P$3,FALSE)*副本难度推算!$Z$6*$R328+VLOOKUP($C328,难度推算表,副本难度推算!$H$3,FALSE)</f>
        <v>14614.152949970357</v>
      </c>
      <c r="J328" s="72">
        <f>VLOOKUP($C328,难度推算表,副本难度推算!$G$3,FALSE)-VLOOKUP($C328,难度推算表,副本难度推算!$I$3,FALSE)*(2-副本难度推算!$AA$6)*(2-$S328)</f>
        <v>3943.1107885569254</v>
      </c>
      <c r="K328" s="72">
        <f>VLOOKUP($C328,难度推算表,副本难度推算!$M$3,FALSE)*副本难度推算!$Y$7*Q328</f>
        <v>920339.80236610293</v>
      </c>
      <c r="L328" s="72">
        <f>VLOOKUP($C328,难度推算表,副本难度推算!$P$3,FALSE)*副本难度推算!$Z$7*$R328+VLOOKUP($C328,难度推算表,副本难度推算!$H$3,FALSE)</f>
        <v>17580.652827710754</v>
      </c>
      <c r="M328" s="72">
        <f>VLOOKUP($C328,难度推算表,副本难度推算!$G$3,FALSE)-VLOOKUP($C328,难度推算表,副本难度推算!$I$3,FALSE)*(2-副本难度推算!$AA$7)*(2-$S328)</f>
        <v>6914.7305132664906</v>
      </c>
      <c r="N328" s="2">
        <f>VLOOKUP($C328,难度推算表,副本难度推算!$Q$3,FALSE)</f>
        <v>3777.0519999999997</v>
      </c>
      <c r="O328" s="2">
        <f>VLOOKUP($C328,难度推算表,副本难度推算!$R$3,FALSE)</f>
        <v>0</v>
      </c>
      <c r="Q328" s="140">
        <f t="shared" si="31"/>
        <v>1.2000000000000002</v>
      </c>
      <c r="R328" s="140">
        <f t="shared" si="32"/>
        <v>0.72000000000000008</v>
      </c>
      <c r="S328" s="140">
        <f t="shared" si="33"/>
        <v>0.96</v>
      </c>
      <c r="V328" s="140"/>
      <c r="W328" s="140"/>
      <c r="X328" s="140"/>
    </row>
    <row r="329" spans="1:24">
      <c r="A329" s="2" t="str">
        <f t="shared" si="29"/>
        <v>营救</v>
      </c>
      <c r="B329" s="2" t="str">
        <f>怪物并表!$R$14</f>
        <v>英雄之路</v>
      </c>
      <c r="C329" s="2">
        <v>60</v>
      </c>
      <c r="D329" s="28">
        <f t="shared" si="30"/>
        <v>1905</v>
      </c>
      <c r="E329" s="72">
        <f>VLOOKUP($C329,难度推算表,副本难度推算!$M$3,FALSE)*副本难度推算!$Y$5*Q329</f>
        <v>394917.02883737878</v>
      </c>
      <c r="F329" s="72">
        <f>VLOOKUP($C329,难度推算表,副本难度推算!$P$3,FALSE)*副本难度推算!$Z$5*$R329+VLOOKUP($C329,难度推算表,副本难度推算!$H$3,FALSE)</f>
        <v>16855.800099010041</v>
      </c>
      <c r="G329" s="72">
        <f>VLOOKUP($C329,难度推算表,副本难度推算!$G$3,FALSE)-VLOOKUP($C329,难度推算表,副本难度推算!$I$3,FALSE)*(2-副本难度推算!$AA$5)*(2-$S329)</f>
        <v>5763.1380650167257</v>
      </c>
      <c r="H329" s="72">
        <f>VLOOKUP($C329,难度推算表,副本难度推算!$M$3,FALSE)*副本难度推算!$Y$6*Q329</f>
        <v>315933.623069903</v>
      </c>
      <c r="I329" s="72">
        <f>VLOOKUP($C329,难度推算表,副本难度推算!$P$3,FALSE)*副本难度推算!$Z$6*$R329+VLOOKUP($C329,难度推算表,副本难度推算!$H$3,FALSE)</f>
        <v>15776.86620121606</v>
      </c>
      <c r="J329" s="72">
        <f>VLOOKUP($C329,难度推算表,副本难度推算!$G$3,FALSE)-VLOOKUP($C329,难度推算表,副本难度推算!$I$3,FALSE)*(2-副本难度推算!$AA$6)*(2-$S329)</f>
        <v>4185.8581735384632</v>
      </c>
      <c r="K329" s="72">
        <f>VLOOKUP($C329,难度推算表,副本难度推算!$M$3,FALSE)*副本难度推算!$Y$7*Q329</f>
        <v>987292.57209344697</v>
      </c>
      <c r="L329" s="72">
        <f>VLOOKUP($C329,难度推算表,副本难度推算!$P$3,FALSE)*副本难度推算!$Z$7*$R329+VLOOKUP($C329,难度推算表,副本难度推算!$H$3,FALSE)</f>
        <v>19013.667894598002</v>
      </c>
      <c r="M329" s="72">
        <f>VLOOKUP($C329,难度推算表,副本难度推算!$G$3,FALSE)-VLOOKUP($C329,难度推算表,副本难度推算!$I$3,FALSE)*(2-副本难度推算!$AA$7)*(2-$S329)</f>
        <v>7340.4179564949873</v>
      </c>
      <c r="N329" s="2">
        <f>VLOOKUP($C329,难度推算表,副本难度推算!$Q$3,FALSE)</f>
        <v>3835.2799999999997</v>
      </c>
      <c r="O329" s="2">
        <f>VLOOKUP($C329,难度推算表,副本难度推算!$R$3,FALSE)</f>
        <v>0</v>
      </c>
      <c r="Q329" s="140">
        <f t="shared" si="31"/>
        <v>1.2000000000000002</v>
      </c>
      <c r="R329" s="140">
        <f t="shared" si="32"/>
        <v>0.72000000000000008</v>
      </c>
      <c r="S329" s="140">
        <f t="shared" si="33"/>
        <v>0.96</v>
      </c>
      <c r="V329" s="140"/>
      <c r="W329" s="140"/>
      <c r="X329" s="140"/>
    </row>
    <row r="330" spans="1:24">
      <c r="A330" s="2" t="str">
        <f t="shared" si="29"/>
        <v>营救</v>
      </c>
      <c r="B330" s="2" t="str">
        <f>怪物并表!$R$14</f>
        <v>英雄之路</v>
      </c>
      <c r="C330" s="2">
        <v>61</v>
      </c>
      <c r="D330" s="28">
        <f t="shared" si="30"/>
        <v>1905</v>
      </c>
      <c r="E330" s="72">
        <f>VLOOKUP($C330,难度推算表,副本难度推算!$M$3,FALSE)*副本难度推算!$Y$5*Q330</f>
        <v>423011.95496711356</v>
      </c>
      <c r="F330" s="72">
        <f>VLOOKUP($C330,难度推算表,副本难度推算!$P$3,FALSE)*副本难度推算!$Z$5*$R330+VLOOKUP($C330,难度推算表,副本难度推算!$H$3,FALSE)</f>
        <v>18185.128381700393</v>
      </c>
      <c r="G330" s="72">
        <f>VLOOKUP($C330,难度推算表,副本难度推算!$G$3,FALSE)-VLOOKUP($C330,难度推算表,副本难度推算!$I$3,FALSE)*(2-副本难度推算!$AA$5)*(2-$S330)</f>
        <v>6109.5539390869581</v>
      </c>
      <c r="H330" s="72">
        <f>VLOOKUP($C330,难度推算表,副本难度推算!$M$3,FALSE)*副本难度推算!$Y$6*Q330</f>
        <v>338409.56397369085</v>
      </c>
      <c r="I330" s="72">
        <f>VLOOKUP($C330,难度推算表,副本难度推算!$P$3,FALSE)*副本难度推算!$Z$6*$R330+VLOOKUP($C330,难度推算表,副本难度推算!$H$3,FALSE)</f>
        <v>17009.726484486877</v>
      </c>
      <c r="J330" s="72">
        <f>VLOOKUP($C330,难度推算表,副本难度推算!$G$3,FALSE)-VLOOKUP($C330,难度推算表,副本难度推算!$I$3,FALSE)*(2-副本难度推算!$AA$6)*(2-$S330)</f>
        <v>4437.4654926000021</v>
      </c>
      <c r="K330" s="72">
        <f>VLOOKUP($C330,难度推算表,副本难度推算!$M$3,FALSE)*副本难度推算!$Y$7*Q330</f>
        <v>1057529.887417784</v>
      </c>
      <c r="L330" s="72">
        <f>VLOOKUP($C330,难度推算表,副本难度推算!$P$3,FALSE)*副本难度推算!$Z$7*$R330+VLOOKUP($C330,难度推算表,副本难度推算!$H$3,FALSE)</f>
        <v>20535.932176127426</v>
      </c>
      <c r="M330" s="72">
        <f>VLOOKUP($C330,难度推算表,副本难度推算!$G$3,FALSE)-VLOOKUP($C330,难度推算表,副本难度推算!$I$3,FALSE)*(2-副本难度推算!$AA$7)*(2-$S330)</f>
        <v>7781.6423855739158</v>
      </c>
      <c r="N330" s="2">
        <f>VLOOKUP($C330,难度推算表,副本难度推算!$Q$3,FALSE)</f>
        <v>3893.5080000000003</v>
      </c>
      <c r="O330" s="2">
        <f>VLOOKUP($C330,难度推算表,副本难度推算!$R$3,FALSE)</f>
        <v>0</v>
      </c>
      <c r="Q330" s="140">
        <f t="shared" si="31"/>
        <v>1.2000000000000002</v>
      </c>
      <c r="R330" s="140">
        <f t="shared" si="32"/>
        <v>0.72000000000000008</v>
      </c>
      <c r="S330" s="140">
        <f t="shared" si="33"/>
        <v>0.96</v>
      </c>
      <c r="V330" s="140"/>
      <c r="W330" s="140"/>
      <c r="X330" s="140"/>
    </row>
    <row r="331" spans="1:24">
      <c r="A331" s="2" t="str">
        <f t="shared" si="29"/>
        <v>营救</v>
      </c>
      <c r="B331" s="2" t="str">
        <f>怪物并表!$R$14</f>
        <v>英雄之路</v>
      </c>
      <c r="C331" s="2">
        <v>62</v>
      </c>
      <c r="D331" s="28">
        <f t="shared" si="30"/>
        <v>1905</v>
      </c>
      <c r="E331" s="72">
        <f>VLOOKUP($C331,难度推算表,副本难度推算!$M$3,FALSE)*副本难度推算!$Y$5*Q331</f>
        <v>452458.90796599165</v>
      </c>
      <c r="F331" s="72">
        <f>VLOOKUP($C331,难度推算表,副本难度推算!$P$3,FALSE)*副本难度推算!$Z$5*$R331+VLOOKUP($C331,难度推算表,副本难度推算!$H$3,FALSE)</f>
        <v>19594.694056239518</v>
      </c>
      <c r="G331" s="72">
        <f>VLOOKUP($C331,难度推算表,副本难度推算!$G$3,FALSE)-VLOOKUP($C331,难度推算表,副本难度推算!$I$3,FALSE)*(2-副本难度推算!$AA$5)*(2-$S331)</f>
        <v>6468.3582016214077</v>
      </c>
      <c r="H331" s="72">
        <f>VLOOKUP($C331,难度推算表,副本难度推算!$M$3,FALSE)*副本难度推算!$Y$6*Q331</f>
        <v>361967.12637279328</v>
      </c>
      <c r="I331" s="72">
        <f>VLOOKUP($C331,难度推算表,副本难度推算!$P$3,FALSE)*副本难度推算!$Z$6*$R331+VLOOKUP($C331,难度推算表,副本难度推算!$H$3,FALSE)</f>
        <v>18316.104461312556</v>
      </c>
      <c r="J331" s="72">
        <f>VLOOKUP($C331,难度推算表,副本难度推算!$G$3,FALSE)-VLOOKUP($C331,难度推算表,副本难度推算!$I$3,FALSE)*(2-副本难度推算!$AA$6)*(2-$S331)</f>
        <v>4698.0706938092335</v>
      </c>
      <c r="K331" s="72">
        <f>VLOOKUP($C331,难度推算表,副本难度推算!$M$3,FALSE)*副本难度推算!$Y$7*Q331</f>
        <v>1131147.2699149791</v>
      </c>
      <c r="L331" s="72">
        <f>VLOOKUP($C331,难度推算表,副本难度推算!$P$3,FALSE)*副本难度推算!$Z$7*$R331+VLOOKUP($C331,难度推算表,副本难度推算!$H$3,FALSE)</f>
        <v>22151.873246093441</v>
      </c>
      <c r="M331" s="72">
        <f>VLOOKUP($C331,难度推算表,副本难度推算!$G$3,FALSE)-VLOOKUP($C331,难度推算表,副本难度推算!$I$3,FALSE)*(2-副本难度推算!$AA$7)*(2-$S331)</f>
        <v>8238.6457094335819</v>
      </c>
      <c r="N331" s="2">
        <f>VLOOKUP($C331,难度推算表,副本难度推算!$Q$3,FALSE)</f>
        <v>3951.7360000000003</v>
      </c>
      <c r="O331" s="2">
        <f>VLOOKUP($C331,难度推算表,副本难度推算!$R$3,FALSE)</f>
        <v>0</v>
      </c>
      <c r="Q331" s="140">
        <f t="shared" si="31"/>
        <v>1.2000000000000002</v>
      </c>
      <c r="R331" s="140">
        <f t="shared" si="32"/>
        <v>0.72000000000000008</v>
      </c>
      <c r="S331" s="140">
        <f t="shared" si="33"/>
        <v>0.96</v>
      </c>
      <c r="V331" s="140"/>
      <c r="W331" s="140"/>
      <c r="X331" s="140"/>
    </row>
    <row r="332" spans="1:24">
      <c r="A332" s="2" t="str">
        <f t="shared" si="29"/>
        <v>营救</v>
      </c>
      <c r="B332" s="2" t="str">
        <f>怪物并表!$R$14</f>
        <v>英雄之路</v>
      </c>
      <c r="C332" s="2">
        <v>63</v>
      </c>
      <c r="D332" s="28">
        <f t="shared" si="30"/>
        <v>1905</v>
      </c>
      <c r="E332" s="72">
        <f>VLOOKUP($C332,难度推算表,副本难度推算!$M$3,FALSE)*副本难度推算!$Y$5*Q332</f>
        <v>483296.58199751389</v>
      </c>
      <c r="F332" s="72">
        <f>VLOOKUP($C332,难度推算表,副本难度推算!$P$3,FALSE)*副本难度推算!$Z$5*$R332+VLOOKUP($C332,难度推算表,副本难度推算!$H$3,FALSE)</f>
        <v>21088.385532090917</v>
      </c>
      <c r="G332" s="72">
        <f>VLOOKUP($C332,难度推算表,副本难度推算!$G$3,FALSE)-VLOOKUP($C332,难度推算表,副本难度推算!$I$3,FALSE)*(2-副本难度推算!$AA$5)*(2-$S332)</f>
        <v>6839.740781119066</v>
      </c>
      <c r="H332" s="72">
        <f>VLOOKUP($C332,难度推算表,副本难度推算!$M$3,FALSE)*副本难度推算!$Y$6*Q332</f>
        <v>386637.26559801114</v>
      </c>
      <c r="I332" s="72">
        <f>VLOOKUP($C332,难度推算表,副本难度推算!$P$3,FALSE)*副本难度推算!$Z$6*$R332+VLOOKUP($C332,难度推算表,副本难度推算!$H$3,FALSE)</f>
        <v>19699.519692683833</v>
      </c>
      <c r="J332" s="72">
        <f>VLOOKUP($C332,难度推算表,副本难度推算!$G$3,FALSE)-VLOOKUP($C332,难度推算表,副本难度推算!$I$3,FALSE)*(2-副本难度推算!$AA$6)*(2-$S332)</f>
        <v>4967.811725233847</v>
      </c>
      <c r="K332" s="72">
        <f>VLOOKUP($C332,难度推算表,副本难度推算!$M$3,FALSE)*副本难度推算!$Y$7*Q332</f>
        <v>1208241.4549937847</v>
      </c>
      <c r="L332" s="72">
        <f>VLOOKUP($C332,难度推算表,副本难度推算!$P$3,FALSE)*副本难度推算!$Z$7*$R332+VLOOKUP($C332,难度推算表,副本难度推算!$H$3,FALSE)</f>
        <v>23866.117210905086</v>
      </c>
      <c r="M332" s="72">
        <f>VLOOKUP($C332,难度推算表,副本难度推算!$G$3,FALSE)-VLOOKUP($C332,难度推算表,副本难度推算!$I$3,FALSE)*(2-副本难度推算!$AA$7)*(2-$S332)</f>
        <v>8711.6698370042832</v>
      </c>
      <c r="N332" s="2">
        <f>VLOOKUP($C332,难度推算表,副本难度推算!$Q$3,FALSE)</f>
        <v>4009.9639999999999</v>
      </c>
      <c r="O332" s="2">
        <f>VLOOKUP($C332,难度推算表,副本难度推算!$R$3,FALSE)</f>
        <v>0</v>
      </c>
      <c r="Q332" s="140">
        <f t="shared" si="31"/>
        <v>1.2000000000000002</v>
      </c>
      <c r="R332" s="140">
        <f t="shared" si="32"/>
        <v>0.72000000000000008</v>
      </c>
      <c r="S332" s="140">
        <f t="shared" si="33"/>
        <v>0.96</v>
      </c>
      <c r="V332" s="140"/>
      <c r="W332" s="140"/>
      <c r="X332" s="140"/>
    </row>
    <row r="333" spans="1:24">
      <c r="A333" s="2" t="str">
        <f t="shared" si="29"/>
        <v>营救</v>
      </c>
      <c r="B333" s="2" t="str">
        <f>怪物并表!$R$14</f>
        <v>英雄之路</v>
      </c>
      <c r="C333" s="2">
        <v>64</v>
      </c>
      <c r="D333" s="28">
        <f t="shared" si="30"/>
        <v>1905</v>
      </c>
      <c r="E333" s="72">
        <f>VLOOKUP($C333,难度推算表,副本难度推算!$M$3,FALSE)*副本难度推算!$Y$5*Q333</f>
        <v>515564.15657173895</v>
      </c>
      <c r="F333" s="72">
        <f>VLOOKUP($C333,难度推算表,副本难度推算!$P$3,FALSE)*副本难度推算!$Z$5*$R333+VLOOKUP($C333,难度推算表,副本难度推算!$H$3,FALSE)</f>
        <v>22670.264719893756</v>
      </c>
      <c r="G333" s="72">
        <f>VLOOKUP($C333,难度推算表,副本难度推算!$G$3,FALSE)-VLOOKUP($C333,难度推算表,副本难度推算!$I$3,FALSE)*(2-副本难度推算!$AA$5)*(2-$S333)</f>
        <v>7223.8916060789343</v>
      </c>
      <c r="H333" s="72">
        <f>VLOOKUP($C333,难度推算表,副本难度推算!$M$3,FALSE)*副本难度推算!$Y$6*Q333</f>
        <v>412451.3252573912</v>
      </c>
      <c r="I333" s="72">
        <f>VLOOKUP($C333,难度推算表,副本难度推算!$P$3,FALSE)*副本难度推算!$Z$6*$R333+VLOOKUP($C333,难度推算表,副本难度推算!$H$3,FALSE)</f>
        <v>21163.647890649532</v>
      </c>
      <c r="J333" s="72">
        <f>VLOOKUP($C333,难度推算表,副本难度推算!$G$3,FALSE)-VLOOKUP($C333,难度推算表,副本难度推算!$I$3,FALSE)*(2-副本难度推算!$AA$6)*(2-$S333)</f>
        <v>5246.8265349415433</v>
      </c>
      <c r="K333" s="72">
        <f>VLOOKUP($C333,难度推算表,副本难度推算!$M$3,FALSE)*副本难度推算!$Y$7*Q333</f>
        <v>1288910.3914293475</v>
      </c>
      <c r="L333" s="72">
        <f>VLOOKUP($C333,难度推算表,副本难度推算!$P$3,FALSE)*副本难度推算!$Z$7*$R333+VLOOKUP($C333,难度推算表,副本难度推算!$H$3,FALSE)</f>
        <v>25683.498378382203</v>
      </c>
      <c r="M333" s="72">
        <f>VLOOKUP($C333,难度推算表,副本难度推算!$G$3,FALSE)-VLOOKUP($C333,难度推算表,副本难度推算!$I$3,FALSE)*(2-副本难度推算!$AA$7)*(2-$S333)</f>
        <v>9200.9566772163253</v>
      </c>
      <c r="N333" s="2">
        <f>VLOOKUP($C333,难度推算表,副本难度推算!$Q$3,FALSE)</f>
        <v>4068.192</v>
      </c>
      <c r="O333" s="2">
        <f>VLOOKUP($C333,难度推算表,副本难度推算!$R$3,FALSE)</f>
        <v>0</v>
      </c>
      <c r="Q333" s="140">
        <f t="shared" si="31"/>
        <v>1.2000000000000002</v>
      </c>
      <c r="R333" s="140">
        <f t="shared" si="32"/>
        <v>0.72000000000000008</v>
      </c>
      <c r="S333" s="140">
        <f t="shared" si="33"/>
        <v>0.96</v>
      </c>
      <c r="V333" s="140"/>
      <c r="W333" s="140"/>
      <c r="X333" s="140"/>
    </row>
    <row r="334" spans="1:24">
      <c r="A334" s="2" t="str">
        <f t="shared" si="29"/>
        <v>营救</v>
      </c>
      <c r="B334" s="2" t="str">
        <f>怪物并表!$R$14</f>
        <v>英雄之路</v>
      </c>
      <c r="C334" s="2">
        <v>65</v>
      </c>
      <c r="D334" s="28">
        <f t="shared" si="30"/>
        <v>1905</v>
      </c>
      <c r="E334" s="72">
        <f>VLOOKUP($C334,难度推算表,副本难度推算!$M$3,FALSE)*副本难度推算!$Y$5*Q334</f>
        <v>549301.29635782191</v>
      </c>
      <c r="F334" s="72">
        <f>VLOOKUP($C334,难度推算表,副本难度推算!$P$3,FALSE)*副本难度推算!$Z$5*$R334+VLOOKUP($C334,难度推算表,副本难度推算!$H$3,FALSE)</f>
        <v>24344.575564307564</v>
      </c>
      <c r="G334" s="72">
        <f>VLOOKUP($C334,难度推算表,副本难度推算!$G$3,FALSE)-VLOOKUP($C334,难度推算表,副本难度推算!$I$3,FALSE)*(2-副本难度推算!$AA$5)*(2-$S334)</f>
        <v>7621.0006050000029</v>
      </c>
      <c r="H334" s="72">
        <f>VLOOKUP($C334,难度推算表,副本难度推算!$M$3,FALSE)*副本难度推算!$Y$6*Q334</f>
        <v>439441.03708625759</v>
      </c>
      <c r="I334" s="72">
        <f>VLOOKUP($C334,难度推算表,副本难度推算!$P$3,FALSE)*副本难度推算!$Z$6*$R334+VLOOKUP($C334,难度推算表,副本难度推算!$H$3,FALSE)</f>
        <v>22712.328597876807</v>
      </c>
      <c r="J334" s="72">
        <f>VLOOKUP($C334,难度推算表,副本难度推算!$G$3,FALSE)-VLOOKUP($C334,难度推算表,副本难度推算!$I$3,FALSE)*(2-副本难度推算!$AA$6)*(2-$S334)</f>
        <v>5535.2530710000028</v>
      </c>
      <c r="K334" s="72">
        <f>VLOOKUP($C334,难度推算表,副本难度推算!$M$3,FALSE)*副本难度推算!$Y$7*Q334</f>
        <v>1373253.2408945549</v>
      </c>
      <c r="L334" s="72">
        <f>VLOOKUP($C334,难度推算表,副本难度推算!$P$3,FALSE)*副本难度推算!$Z$7*$R334+VLOOKUP($C334,难度推算表,副本难度推算!$H$3,FALSE)</f>
        <v>27609.069497169075</v>
      </c>
      <c r="M334" s="72">
        <f>VLOOKUP($C334,难度推算表,副本难度推算!$G$3,FALSE)-VLOOKUP($C334,难度推算表,副本难度推算!$I$3,FALSE)*(2-副本难度推算!$AA$7)*(2-$S334)</f>
        <v>9706.7481390000012</v>
      </c>
      <c r="N334" s="2">
        <f>VLOOKUP($C334,难度推算表,副本难度推算!$Q$3,FALSE)</f>
        <v>4126.42</v>
      </c>
      <c r="O334" s="2">
        <f>VLOOKUP($C334,难度推算表,副本难度推算!$R$3,FALSE)</f>
        <v>0</v>
      </c>
      <c r="Q334" s="140">
        <f t="shared" si="31"/>
        <v>1.2000000000000002</v>
      </c>
      <c r="R334" s="140">
        <f t="shared" si="32"/>
        <v>0.72000000000000008</v>
      </c>
      <c r="S334" s="140">
        <f t="shared" si="33"/>
        <v>0.96</v>
      </c>
      <c r="V334" s="140"/>
      <c r="W334" s="140"/>
      <c r="X334" s="140"/>
    </row>
    <row r="335" spans="1:24">
      <c r="A335" s="2" t="str">
        <f t="shared" si="29"/>
        <v>营救</v>
      </c>
      <c r="B335" s="2" t="str">
        <f>怪物并表!$R$14</f>
        <v>英雄之路</v>
      </c>
      <c r="C335" s="2">
        <v>66</v>
      </c>
      <c r="D335" s="28">
        <f t="shared" si="30"/>
        <v>1905</v>
      </c>
      <c r="E335" s="72">
        <f>VLOOKUP($C335,难度推算表,副本难度推算!$M$3,FALSE)*副本难度推算!$Y$5*Q335</f>
        <v>584548.15099608921</v>
      </c>
      <c r="F335" s="72">
        <f>VLOOKUP($C335,难度推算表,副本难度推算!$P$3,FALSE)*副本难度推算!$Z$5*$R335+VLOOKUP($C335,难度推算表,副本难度推算!$H$3,FALSE)</f>
        <v>26115.753085437129</v>
      </c>
      <c r="G335" s="72">
        <f>VLOOKUP($C335,难度推算表,副本难度推算!$G$3,FALSE)-VLOOKUP($C335,难度推算表,副本难度推算!$I$3,FALSE)*(2-副本难度推算!$AA$5)*(2-$S335)</f>
        <v>8031.2577063812769</v>
      </c>
      <c r="H335" s="72">
        <f>VLOOKUP($C335,难度推算表,副本难度推算!$M$3,FALSE)*副本难度推算!$Y$6*Q335</f>
        <v>467638.52079687145</v>
      </c>
      <c r="I335" s="72">
        <f>VLOOKUP($C335,难度推算表,副本难度推算!$P$3,FALSE)*副本难度推算!$Z$6*$R335+VLOOKUP($C335,难度推算表,副本难度推算!$H$3,FALSE)</f>
        <v>24349.57332493355</v>
      </c>
      <c r="J335" s="72">
        <f>VLOOKUP($C335,难度推算表,副本难度推算!$G$3,FALSE)-VLOOKUP($C335,难度推算表,副本难度推算!$I$3,FALSE)*(2-副本难度推算!$AA$6)*(2-$S335)</f>
        <v>5833.229281476928</v>
      </c>
      <c r="K335" s="72">
        <f>VLOOKUP($C335,难度推算表,副本难度推算!$M$3,FALSE)*副本难度推算!$Y$7*Q335</f>
        <v>1461370.3774902232</v>
      </c>
      <c r="L335" s="72">
        <f>VLOOKUP($C335,难度推算表,副本难度推算!$P$3,FALSE)*副本难度推算!$Z$7*$R335+VLOOKUP($C335,难度推算表,副本难度推算!$H$3,FALSE)</f>
        <v>29648.112606444287</v>
      </c>
      <c r="M335" s="72">
        <f>VLOOKUP($C335,难度推算表,副本难度推算!$G$3,FALSE)-VLOOKUP($C335,难度推算表,副本难度推算!$I$3,FALSE)*(2-副本难度推算!$AA$7)*(2-$S335)</f>
        <v>10229.286131285626</v>
      </c>
      <c r="N335" s="2">
        <f>VLOOKUP($C335,难度推算表,副本难度推算!$Q$3,FALSE)</f>
        <v>4184.6480000000001</v>
      </c>
      <c r="O335" s="2">
        <f>VLOOKUP($C335,难度推算表,副本难度推算!$R$3,FALSE)</f>
        <v>0</v>
      </c>
      <c r="Q335" s="140">
        <f t="shared" si="31"/>
        <v>1.2000000000000002</v>
      </c>
      <c r="R335" s="140">
        <f t="shared" si="32"/>
        <v>0.72000000000000008</v>
      </c>
      <c r="S335" s="140">
        <f t="shared" si="33"/>
        <v>0.96</v>
      </c>
      <c r="V335" s="140"/>
      <c r="W335" s="140"/>
      <c r="X335" s="140"/>
    </row>
    <row r="336" spans="1:24">
      <c r="A336" s="2" t="str">
        <f t="shared" si="29"/>
        <v>营救</v>
      </c>
      <c r="B336" s="2" t="str">
        <f>怪物并表!$R$14</f>
        <v>英雄之路</v>
      </c>
      <c r="C336" s="2">
        <v>67</v>
      </c>
      <c r="D336" s="28">
        <f t="shared" si="30"/>
        <v>1905</v>
      </c>
      <c r="E336" s="72">
        <f>VLOOKUP($C336,难度推算表,副本难度推算!$M$3,FALSE)*副本难度推算!$Y$5*Q336</f>
        <v>621345.35491000896</v>
      </c>
      <c r="F336" s="72">
        <f>VLOOKUP($C336,难度推算表,副本难度推算!$P$3,FALSE)*副本难度推算!$Z$5*$R336+VLOOKUP($C336,难度推算表,副本难度推算!$H$3,FALSE)</f>
        <v>27752.77138590072</v>
      </c>
      <c r="G336" s="72">
        <f>VLOOKUP($C336,难度推算表,副本难度推算!$G$3,FALSE)-VLOOKUP($C336,难度推算表,副本难度推算!$I$3,FALSE)*(2-副本难度推算!$AA$5)*(2-$S336)</f>
        <v>8454.8528387217448</v>
      </c>
      <c r="H336" s="72">
        <f>VLOOKUP($C336,难度推算表,副本难度推算!$M$3,FALSE)*副本难度推算!$Y$6*Q336</f>
        <v>497076.28392800718</v>
      </c>
      <c r="I336" s="72">
        <f>VLOOKUP($C336,难度推算表,副本难度推算!$P$3,FALSE)*副本难度推算!$Z$6*$R336+VLOOKUP($C336,难度推算表,副本难度推算!$H$3,FALSE)</f>
        <v>25867.478756649776</v>
      </c>
      <c r="J336" s="72">
        <f>VLOOKUP($C336,难度推算表,副本难度推算!$G$3,FALSE)-VLOOKUP($C336,难度推算表,副本难度推算!$I$3,FALSE)*(2-副本难度推算!$AA$6)*(2-$S336)</f>
        <v>6140.893114440003</v>
      </c>
      <c r="K336" s="72">
        <f>VLOOKUP($C336,难度推算表,副本难度推算!$M$3,FALSE)*副本难度推算!$Y$7*Q336</f>
        <v>1553363.3872750222</v>
      </c>
      <c r="L336" s="72">
        <f>VLOOKUP($C336,难度推算表,副本难度推算!$P$3,FALSE)*副本难度推算!$Z$7*$R336+VLOOKUP($C336,难度推算表,副本难度推算!$H$3,FALSE)</f>
        <v>31523.3566444026</v>
      </c>
      <c r="M336" s="72">
        <f>VLOOKUP($C336,难度推算表,副本难度推算!$G$3,FALSE)-VLOOKUP($C336,难度推算表,副本难度推算!$I$3,FALSE)*(2-副本难度推算!$AA$7)*(2-$S336)</f>
        <v>10768.812563003485</v>
      </c>
      <c r="N336" s="2">
        <f>VLOOKUP($C336,难度推算表,副本难度推算!$Q$3,FALSE)</f>
        <v>4242.8759999999993</v>
      </c>
      <c r="O336" s="2">
        <f>VLOOKUP($C336,难度推算表,副本难度推算!$R$3,FALSE)</f>
        <v>0</v>
      </c>
      <c r="Q336" s="140">
        <f t="shared" si="31"/>
        <v>1.2000000000000002</v>
      </c>
      <c r="R336" s="140">
        <f t="shared" si="32"/>
        <v>0.72000000000000008</v>
      </c>
      <c r="S336" s="140">
        <f t="shared" si="33"/>
        <v>0.96</v>
      </c>
      <c r="V336" s="140"/>
      <c r="W336" s="140"/>
      <c r="X336" s="140"/>
    </row>
    <row r="337" spans="1:24">
      <c r="A337" s="2" t="str">
        <f t="shared" si="29"/>
        <v>营救</v>
      </c>
      <c r="B337" s="2" t="str">
        <f>怪物并表!$R$14</f>
        <v>英雄之路</v>
      </c>
      <c r="C337" s="2">
        <v>68</v>
      </c>
      <c r="D337" s="28">
        <f t="shared" si="30"/>
        <v>1905</v>
      </c>
      <c r="E337" s="72">
        <f>VLOOKUP($C337,难度推算表,副本难度推算!$M$3,FALSE)*副本难度推算!$Y$5*Q337</f>
        <v>659734.02711836889</v>
      </c>
      <c r="F337" s="72">
        <f>VLOOKUP($C337,难度推算表,副本难度推算!$P$3,FALSE)*副本难度推算!$Z$5*$R337+VLOOKUP($C337,难度推算表,副本难度推算!$H$3,FALSE)</f>
        <v>29464.840077409775</v>
      </c>
      <c r="G337" s="72">
        <f>VLOOKUP($C337,难度推算表,副本难度推算!$G$3,FALSE)-VLOOKUP($C337,难度推算表,副本难度推算!$I$3,FALSE)*(2-副本难度推算!$AA$5)*(2-$S337)</f>
        <v>8891.9759305204097</v>
      </c>
      <c r="H337" s="72">
        <f>VLOOKUP($C337,难度推算表,副本难度推算!$M$3,FALSE)*副本难度推算!$Y$6*Q337</f>
        <v>527787.22169469518</v>
      </c>
      <c r="I337" s="72">
        <f>VLOOKUP($C337,难度推算表,副本难度推算!$P$3,FALSE)*副本难度推算!$Z$6*$R337+VLOOKUP($C337,难度推算表,副本难度推算!$H$3,FALSE)</f>
        <v>27454.353536039373</v>
      </c>
      <c r="J337" s="72">
        <f>VLOOKUP($C337,难度推算表,副本难度推算!$G$3,FALSE)-VLOOKUP($C337,难度推算表,副本难度推算!$I$3,FALSE)*(2-副本难度推算!$AA$6)*(2-$S337)</f>
        <v>6458.3825179569285</v>
      </c>
      <c r="K337" s="72">
        <f>VLOOKUP($C337,难度推算表,副本难度推算!$M$3,FALSE)*副本难度推算!$Y$7*Q337</f>
        <v>1649335.0677959223</v>
      </c>
      <c r="L337" s="72">
        <f>VLOOKUP($C337,难度推算表,副本难度推算!$P$3,FALSE)*副本难度推算!$Z$7*$R337+VLOOKUP($C337,难度推算表,副本难度推算!$H$3,FALSE)</f>
        <v>33485.813160150588</v>
      </c>
      <c r="M337" s="72">
        <f>VLOOKUP($C337,难度推算表,副本难度推算!$G$3,FALSE)-VLOOKUP($C337,难度推算表,副本难度推算!$I$3,FALSE)*(2-副本难度推算!$AA$7)*(2-$S337)</f>
        <v>11325.569343083889</v>
      </c>
      <c r="N337" s="2">
        <f>VLOOKUP($C337,难度推算表,副本难度推算!$Q$3,FALSE)</f>
        <v>4301.1040000000003</v>
      </c>
      <c r="O337" s="2">
        <f>VLOOKUP($C337,难度推算表,副本难度推算!$R$3,FALSE)</f>
        <v>0</v>
      </c>
      <c r="Q337" s="140">
        <f t="shared" si="31"/>
        <v>1.2000000000000002</v>
      </c>
      <c r="R337" s="140">
        <f t="shared" si="32"/>
        <v>0.72000000000000008</v>
      </c>
      <c r="S337" s="140">
        <f t="shared" si="33"/>
        <v>0.96</v>
      </c>
      <c r="V337" s="140"/>
      <c r="W337" s="140"/>
      <c r="X337" s="140"/>
    </row>
    <row r="338" spans="1:24">
      <c r="A338" s="2" t="str">
        <f t="shared" si="29"/>
        <v>营救</v>
      </c>
      <c r="B338" s="2" t="str">
        <f>怪物并表!$R$14</f>
        <v>英雄之路</v>
      </c>
      <c r="C338" s="2">
        <v>69</v>
      </c>
      <c r="D338" s="28">
        <f t="shared" si="30"/>
        <v>1905</v>
      </c>
      <c r="E338" s="72">
        <f>VLOOKUP($C338,难度推算表,副本难度推算!$M$3,FALSE)*副本难度推算!$Y$5*Q338</f>
        <v>699755.77104793</v>
      </c>
      <c r="F338" s="72">
        <f>VLOOKUP($C338,难度推算表,副本难度推算!$P$3,FALSE)*副本难度推算!$Z$5*$R338+VLOOKUP($C338,难度推算表,副本难度推算!$H$3,FALSE)</f>
        <v>31254.653367331281</v>
      </c>
      <c r="G338" s="72">
        <f>VLOOKUP($C338,难度推算表,副本难度推算!$G$3,FALSE)-VLOOKUP($C338,难度推算表,副本难度推算!$I$3,FALSE)*(2-副本难度推算!$AA$5)*(2-$S338)</f>
        <v>9342.8169102762622</v>
      </c>
      <c r="H338" s="72">
        <f>VLOOKUP($C338,难度推算表,副本难度推算!$M$3,FALSE)*副本难度推算!$Y$6*Q338</f>
        <v>559804.61683834402</v>
      </c>
      <c r="I338" s="72">
        <f>VLOOKUP($C338,难度推算表,副本难度推算!$P$3,FALSE)*副本难度推算!$Z$6*$R338+VLOOKUP($C338,难度推算表,副本难度推算!$H$3,FALSE)</f>
        <v>29112.642442206179</v>
      </c>
      <c r="J338" s="72">
        <f>VLOOKUP($C338,难度推算表,副本难度推算!$G$3,FALSE)-VLOOKUP($C338,难度推算表,副本难度推算!$I$3,FALSE)*(2-副本难度推算!$AA$6)*(2-$S338)</f>
        <v>6785.8354400953922</v>
      </c>
      <c r="K338" s="72">
        <f>VLOOKUP($C338,难度推算表,副本难度推算!$M$3,FALSE)*副本难度推算!$Y$7*Q338</f>
        <v>1749389.4276198249</v>
      </c>
      <c r="L338" s="72">
        <f>VLOOKUP($C338,难度推算表,副本难度推算!$P$3,FALSE)*副本难度推算!$Z$7*$R338+VLOOKUP($C338,难度推算表,副本难度推算!$H$3,FALSE)</f>
        <v>35538.675217581476</v>
      </c>
      <c r="M338" s="72">
        <f>VLOOKUP($C338,难度推算表,副本难度推算!$G$3,FALSE)-VLOOKUP($C338,难度推算表,副本难度推算!$I$3,FALSE)*(2-副本难度推算!$AA$7)*(2-$S338)</f>
        <v>11899.798380457134</v>
      </c>
      <c r="N338" s="2">
        <f>VLOOKUP($C338,难度推算表,副本难度推算!$Q$3,FALSE)</f>
        <v>4359.3320000000003</v>
      </c>
      <c r="O338" s="2">
        <f>VLOOKUP($C338,难度推算表,副本难度推算!$R$3,FALSE)</f>
        <v>0</v>
      </c>
      <c r="Q338" s="140">
        <f t="shared" si="31"/>
        <v>1.2000000000000002</v>
      </c>
      <c r="R338" s="140">
        <f t="shared" si="32"/>
        <v>0.72000000000000008</v>
      </c>
      <c r="S338" s="140">
        <f t="shared" si="33"/>
        <v>0.96</v>
      </c>
      <c r="V338" s="140"/>
      <c r="W338" s="140"/>
      <c r="X338" s="140"/>
    </row>
    <row r="339" spans="1:24">
      <c r="A339" s="2" t="str">
        <f t="shared" si="29"/>
        <v>营救</v>
      </c>
      <c r="B339" s="2" t="str">
        <f>怪物并表!$R$14</f>
        <v>英雄之路</v>
      </c>
      <c r="C339" s="2">
        <v>70</v>
      </c>
      <c r="D339" s="28">
        <f t="shared" si="30"/>
        <v>1905</v>
      </c>
      <c r="E339" s="72">
        <f>VLOOKUP($C339,难度推算表,副本难度推算!$M$3,FALSE)*副本难度推算!$Y$5*Q339</f>
        <v>744261.20720416063</v>
      </c>
      <c r="F339" s="72">
        <f>VLOOKUP($C339,难度推算表,副本难度推算!$P$3,FALSE)*副本难度推算!$Z$5*$R339+VLOOKUP($C339,难度推算表,副本难度推算!$H$3,FALSE)</f>
        <v>33250.482192434582</v>
      </c>
      <c r="G339" s="72">
        <f>VLOOKUP($C339,难度推算表,副本难度推算!$G$3,FALSE)-VLOOKUP($C339,难度推算表,副本难度推算!$I$3,FALSE)*(2-副本难度推算!$AA$5)*(2-$S339)</f>
        <v>9844.7155765886364</v>
      </c>
      <c r="H339" s="72">
        <f>VLOOKUP($C339,难度推算表,副本难度推算!$M$3,FALSE)*副本难度推算!$Y$6*Q339</f>
        <v>595408.96576332848</v>
      </c>
      <c r="I339" s="72">
        <f>VLOOKUP($C339,难度推算表,副本难度推算!$P$3,FALSE)*副本难度推算!$Z$6*$R339+VLOOKUP($C339,难度推算表,副本难度推算!$H$3,FALSE)</f>
        <v>30961.719823358351</v>
      </c>
      <c r="J339" s="72">
        <f>VLOOKUP($C339,难度推算表,副本难度推算!$G$3,FALSE)-VLOOKUP($C339,难度推算表,副本难度推算!$I$3,FALSE)*(2-副本难度推算!$AA$6)*(2-$S339)</f>
        <v>7150.3723661538515</v>
      </c>
      <c r="K339" s="72">
        <f>VLOOKUP($C339,难度推算表,副本难度推算!$M$3,FALSE)*副本难度推算!$Y$7*Q339</f>
        <v>1860653.0180104016</v>
      </c>
      <c r="L339" s="72">
        <f>VLOOKUP($C339,难度推算表,副本难度推算!$P$3,FALSE)*副本难度推算!$Z$7*$R339+VLOOKUP($C339,难度推算表,副本难度推算!$H$3,FALSE)</f>
        <v>37828.006930587049</v>
      </c>
      <c r="M339" s="72">
        <f>VLOOKUP($C339,难度推算表,副本难度推算!$G$3,FALSE)-VLOOKUP($C339,难度推算表,副本难度推算!$I$3,FALSE)*(2-副本难度推算!$AA$7)*(2-$S339)</f>
        <v>12539.058787023421</v>
      </c>
      <c r="N339" s="2">
        <f>VLOOKUP($C339,难度推算表,副本难度推算!$Q$3,FALSE)</f>
        <v>4417.5600000000004</v>
      </c>
      <c r="O339" s="2">
        <f>VLOOKUP($C339,难度推算表,副本难度推算!$R$3,FALSE)</f>
        <v>0</v>
      </c>
      <c r="Q339" s="140">
        <f t="shared" si="31"/>
        <v>1.2000000000000002</v>
      </c>
      <c r="R339" s="140">
        <f t="shared" si="32"/>
        <v>0.72000000000000008</v>
      </c>
      <c r="S339" s="140">
        <f t="shared" si="33"/>
        <v>0.96</v>
      </c>
      <c r="V339" s="140"/>
      <c r="W339" s="140"/>
      <c r="X339" s="140"/>
    </row>
    <row r="340" spans="1:24">
      <c r="A340" s="2" t="str">
        <f t="shared" si="29"/>
        <v>营救</v>
      </c>
      <c r="B340" s="2" t="str">
        <f>怪物并表!$R$14</f>
        <v>英雄之路</v>
      </c>
      <c r="C340" s="2">
        <v>71</v>
      </c>
      <c r="D340" s="28">
        <f t="shared" si="30"/>
        <v>1905</v>
      </c>
      <c r="E340" s="72">
        <f>VLOOKUP($C340,难度推算表,副本难度推算!$M$3,FALSE)*副本难度推算!$Y$5*Q340</f>
        <v>790681.14061492821</v>
      </c>
      <c r="F340" s="72">
        <f>VLOOKUP($C340,难度推算表,副本难度推算!$P$3,FALSE)*副本难度推算!$Z$5*$R340+VLOOKUP($C340,难度推算表,副本难度推算!$H$3,FALSE)</f>
        <v>35338.655076729192</v>
      </c>
      <c r="G340" s="72">
        <f>VLOOKUP($C340,难度推算表,副本难度推算!$G$3,FALSE)-VLOOKUP($C340,难度推算表,副本难度推算!$I$3,FALSE)*(2-副本难度推算!$AA$5)*(2-$S340)</f>
        <v>10362.607893934455</v>
      </c>
      <c r="H340" s="72">
        <f>VLOOKUP($C340,难度推算表,副本难度推算!$M$3,FALSE)*副本难度推算!$Y$6*Q340</f>
        <v>632544.91249194252</v>
      </c>
      <c r="I340" s="72">
        <f>VLOOKUP($C340,难度推算表,副本难度推算!$P$3,FALSE)*副本难度推算!$Z$6*$R340+VLOOKUP($C340,难度推算表,副本难度推算!$H$3,FALSE)</f>
        <v>32895.590399996749</v>
      </c>
      <c r="J340" s="72">
        <f>VLOOKUP($C340,难度推算表,副本难度推算!$G$3,FALSE)-VLOOKUP($C340,难度推算表,副本难度推算!$I$3,FALSE)*(2-副本难度推算!$AA$6)*(2-$S340)</f>
        <v>7526.5257334892376</v>
      </c>
      <c r="K340" s="72">
        <f>VLOOKUP($C340,难度推算表,副本难度推算!$M$3,FALSE)*副本难度推算!$Y$7*Q340</f>
        <v>1976702.8515373203</v>
      </c>
      <c r="L340" s="72">
        <f>VLOOKUP($C340,难度推算表,副本难度推算!$P$3,FALSE)*副本难度推算!$Z$7*$R340+VLOOKUP($C340,难度推算表,副本难度推算!$H$3,FALSE)</f>
        <v>40224.784430194093</v>
      </c>
      <c r="M340" s="72">
        <f>VLOOKUP($C340,难度推算表,副本难度推算!$G$3,FALSE)-VLOOKUP($C340,难度推算表,副本难度推算!$I$3,FALSE)*(2-副本难度推算!$AA$7)*(2-$S340)</f>
        <v>13198.690054379673</v>
      </c>
      <c r="N340" s="2">
        <f>VLOOKUP($C340,难度推算表,副本难度推算!$Q$3,FALSE)</f>
        <v>4475.7879999999996</v>
      </c>
      <c r="O340" s="2">
        <f>VLOOKUP($C340,难度推算表,副本难度推算!$R$3,FALSE)</f>
        <v>0</v>
      </c>
      <c r="Q340" s="140">
        <f t="shared" si="31"/>
        <v>1.2000000000000002</v>
      </c>
      <c r="R340" s="140">
        <f t="shared" si="32"/>
        <v>0.72000000000000008</v>
      </c>
      <c r="S340" s="140">
        <f t="shared" si="33"/>
        <v>0.96</v>
      </c>
      <c r="V340" s="140"/>
      <c r="W340" s="140"/>
      <c r="X340" s="140"/>
    </row>
    <row r="341" spans="1:24">
      <c r="A341" s="2" t="str">
        <f t="shared" si="29"/>
        <v>营救</v>
      </c>
      <c r="B341" s="2" t="str">
        <f>怪物并表!$R$14</f>
        <v>英雄之路</v>
      </c>
      <c r="C341" s="2">
        <v>72</v>
      </c>
      <c r="D341" s="28">
        <f t="shared" si="30"/>
        <v>1905</v>
      </c>
      <c r="E341" s="72">
        <f>VLOOKUP($C341,难度推算表,副本难度推算!$M$3,FALSE)*副本难度推算!$Y$5*Q341</f>
        <v>839064.9332212013</v>
      </c>
      <c r="F341" s="72">
        <f>VLOOKUP($C341,难度推算表,副本难度推算!$P$3,FALSE)*副本难度推算!$Z$5*$R341+VLOOKUP($C341,难度推算表,副本难度推算!$H$3,FALSE)</f>
        <v>37522.552086604584</v>
      </c>
      <c r="G341" s="72">
        <f>VLOOKUP($C341,难度推算表,副本难度推算!$G$3,FALSE)-VLOOKUP($C341,难度推算表,副本难度推算!$I$3,FALSE)*(2-副本难度推算!$AA$5)*(2-$S341)</f>
        <v>10896.715445562548</v>
      </c>
      <c r="H341" s="72">
        <f>VLOOKUP($C341,难度推算表,副本难度推算!$M$3,FALSE)*副本难度推算!$Y$6*Q341</f>
        <v>671251.94657696108</v>
      </c>
      <c r="I341" s="72">
        <f>VLOOKUP($C341,难度推算表,副本难度推算!$P$3,FALSE)*副本难度推算!$Z$6*$R341+VLOOKUP($C341,难度推算表,副本难度推算!$H$3,FALSE)</f>
        <v>34917.319556424394</v>
      </c>
      <c r="J341" s="72">
        <f>VLOOKUP($C341,难度推算表,副本难度推算!$G$3,FALSE)-VLOOKUP($C341,难度推算表,副本难度推算!$I$3,FALSE)*(2-副本难度推算!$AA$6)*(2-$S341)</f>
        <v>7914.456481513851</v>
      </c>
      <c r="K341" s="72">
        <f>VLOOKUP($C341,难度推算表,副本难度推算!$M$3,FALSE)*副本难度推算!$Y$7*Q341</f>
        <v>2097662.3330530031</v>
      </c>
      <c r="L341" s="72">
        <f>VLOOKUP($C341,难度推算表,副本难度推算!$P$3,FALSE)*副本难度推算!$Z$7*$R341+VLOOKUP($C341,难度推算表,副本难度推算!$H$3,FALSE)</f>
        <v>42733.017146964965</v>
      </c>
      <c r="M341" s="72">
        <f>VLOOKUP($C341,难度推算表,副本难度推算!$G$3,FALSE)-VLOOKUP($C341,难度推算表,副本难度推算!$I$3,FALSE)*(2-副本难度推算!$AA$7)*(2-$S341)</f>
        <v>13878.974409611244</v>
      </c>
      <c r="N341" s="2">
        <f>VLOOKUP($C341,难度推算表,副本难度推算!$Q$3,FALSE)</f>
        <v>4534.0159999999996</v>
      </c>
      <c r="O341" s="2">
        <f>VLOOKUP($C341,难度推算表,副本难度推算!$R$3,FALSE)</f>
        <v>0</v>
      </c>
      <c r="Q341" s="140">
        <f t="shared" si="31"/>
        <v>1.2000000000000002</v>
      </c>
      <c r="R341" s="140">
        <f t="shared" si="32"/>
        <v>0.72000000000000008</v>
      </c>
      <c r="S341" s="140">
        <f t="shared" si="33"/>
        <v>0.96</v>
      </c>
      <c r="V341" s="140"/>
      <c r="W341" s="140"/>
      <c r="X341" s="140"/>
    </row>
    <row r="342" spans="1:24">
      <c r="A342" s="2" t="str">
        <f t="shared" si="29"/>
        <v>营救</v>
      </c>
      <c r="B342" s="2" t="str">
        <f>怪物并表!$R$14</f>
        <v>英雄之路</v>
      </c>
      <c r="C342" s="2">
        <v>73</v>
      </c>
      <c r="D342" s="28">
        <f t="shared" si="30"/>
        <v>1905</v>
      </c>
      <c r="E342" s="72">
        <f>VLOOKUP($C342,难度推算表,副本难度推算!$M$3,FALSE)*副本难度推算!$Y$5*Q342</f>
        <v>889462.51149343862</v>
      </c>
      <c r="F342" s="72">
        <f>VLOOKUP($C342,难度推算表,副本难度推算!$P$3,FALSE)*副本难度推算!$Z$5*$R342+VLOOKUP($C342,难度推算表,副本难度推算!$H$3,FALSE)</f>
        <v>39805.687672259344</v>
      </c>
      <c r="G342" s="72">
        <f>VLOOKUP($C342,难度推算表,副本难度推算!$G$3,FALSE)-VLOOKUP($C342,难度推算表,副本难度推算!$I$3,FALSE)*(2-副本难度推算!$AA$5)*(2-$S342)</f>
        <v>11447.259814721747</v>
      </c>
      <c r="H342" s="72">
        <f>VLOOKUP($C342,难度推算表,副本难度推算!$M$3,FALSE)*副本难度推算!$Y$6*Q342</f>
        <v>711570.00919475092</v>
      </c>
      <c r="I342" s="72">
        <f>VLOOKUP($C342,难度推算表,副本难度推算!$P$3,FALSE)*副本难度推算!$Z$6*$R342+VLOOKUP($C342,难度推算表,副本难度推算!$H$3,FALSE)</f>
        <v>37030.093622372544</v>
      </c>
      <c r="J342" s="72">
        <f>VLOOKUP($C342,难度推算表,副本难度推算!$G$3,FALSE)-VLOOKUP($C342,难度推算表,副本难度推算!$I$3,FALSE)*(2-副本难度推算!$AA$6)*(2-$S342)</f>
        <v>8314.3255496400088</v>
      </c>
      <c r="K342" s="72">
        <f>VLOOKUP($C342,难度推算表,副本难度推算!$M$3,FALSE)*副本难度推算!$Y$7*Q342</f>
        <v>2223656.2787335962</v>
      </c>
      <c r="L342" s="72">
        <f>VLOOKUP($C342,难度推算表,副本难度推算!$P$3,FALSE)*副本难度推算!$Z$7*$R342+VLOOKUP($C342,难度推算表,副本难度推算!$H$3,FALSE)</f>
        <v>45356.875772032952</v>
      </c>
      <c r="M342" s="72">
        <f>VLOOKUP($C342,难度推算表,副本难度推算!$G$3,FALSE)-VLOOKUP($C342,难度推算表,副本难度推算!$I$3,FALSE)*(2-副本难度推算!$AA$7)*(2-$S342)</f>
        <v>14580.194079803487</v>
      </c>
      <c r="N342" s="2">
        <f>VLOOKUP($C342,难度推算表,副本难度推算!$Q$3,FALSE)</f>
        <v>4592.2439999999997</v>
      </c>
      <c r="O342" s="2">
        <f>VLOOKUP($C342,难度推算表,副本难度推算!$R$3,FALSE)</f>
        <v>0</v>
      </c>
      <c r="Q342" s="140">
        <f t="shared" si="31"/>
        <v>1.2000000000000002</v>
      </c>
      <c r="R342" s="140">
        <f t="shared" si="32"/>
        <v>0.72000000000000008</v>
      </c>
      <c r="S342" s="140">
        <f t="shared" si="33"/>
        <v>0.96</v>
      </c>
      <c r="V342" s="140"/>
      <c r="W342" s="140"/>
      <c r="X342" s="140"/>
    </row>
    <row r="343" spans="1:24">
      <c r="A343" s="2" t="str">
        <f t="shared" si="29"/>
        <v>营救</v>
      </c>
      <c r="B343" s="2" t="str">
        <f>怪物并表!$R$14</f>
        <v>英雄之路</v>
      </c>
      <c r="C343" s="2">
        <v>74</v>
      </c>
      <c r="D343" s="28">
        <f t="shared" si="30"/>
        <v>1905</v>
      </c>
      <c r="E343" s="72">
        <f>VLOOKUP($C343,难度推算表,副本难度推算!$M$3,FALSE)*副本难度推算!$Y$5*Q343</f>
        <v>941924.36622030509</v>
      </c>
      <c r="F343" s="72">
        <f>VLOOKUP($C343,难度推算表,副本难度推算!$P$3,FALSE)*副本难度推算!$Z$5*$R343+VLOOKUP($C343,难度推算表,副本难度推算!$H$3,FALSE)</f>
        <v>42191.717918626236</v>
      </c>
      <c r="G343" s="72">
        <f>VLOOKUP($C343,难度推算表,副本难度推算!$G$3,FALSE)-VLOOKUP($C343,难度推算表,副本难度推算!$I$3,FALSE)*(2-副本难度推算!$AA$5)*(2-$S343)</f>
        <v>12014.462584660876</v>
      </c>
      <c r="H343" s="72">
        <f>VLOOKUP($C343,难度推算表,副本难度推算!$M$3,FALSE)*副本难度推算!$Y$6*Q343</f>
        <v>753539.49297624419</v>
      </c>
      <c r="I343" s="72">
        <f>VLOOKUP($C343,难度推算表,副本难度推算!$P$3,FALSE)*副本难度推算!$Z$6*$R343+VLOOKUP($C343,难度推算表,副本难度推算!$H$3,FALSE)</f>
        <v>39237.226398833176</v>
      </c>
      <c r="J343" s="72">
        <f>VLOOKUP($C343,难度推算表,副本难度推算!$G$3,FALSE)-VLOOKUP($C343,难度推算表,副本难度推算!$I$3,FALSE)*(2-副本难度推算!$AA$6)*(2-$S343)</f>
        <v>8726.2938772800044</v>
      </c>
      <c r="K343" s="72">
        <f>VLOOKUP($C343,难度推算表,副本难度推算!$M$3,FALSE)*副本难度推算!$Y$7*Q343</f>
        <v>2354810.9155507628</v>
      </c>
      <c r="L343" s="72">
        <f>VLOOKUP($C343,难度推算表,副本难度推算!$P$3,FALSE)*副本难度推算!$Z$7*$R343+VLOOKUP($C343,难度推算表,副本难度推算!$H$3,FALSE)</f>
        <v>48100.70095821235</v>
      </c>
      <c r="M343" s="72">
        <f>VLOOKUP($C343,难度推算表,副本难度推算!$G$3,FALSE)-VLOOKUP($C343,难度推算表,副本难度推算!$I$3,FALSE)*(2-副本难度推算!$AA$7)*(2-$S343)</f>
        <v>15302.631292041746</v>
      </c>
      <c r="N343" s="2">
        <f>VLOOKUP($C343,难度推算表,副本难度推算!$Q$3,FALSE)</f>
        <v>4650.4720000000007</v>
      </c>
      <c r="O343" s="2">
        <f>VLOOKUP($C343,难度推算表,副本难度推算!$R$3,FALSE)</f>
        <v>0</v>
      </c>
      <c r="Q343" s="140">
        <f t="shared" si="31"/>
        <v>1.2000000000000002</v>
      </c>
      <c r="R343" s="140">
        <f t="shared" si="32"/>
        <v>0.72000000000000008</v>
      </c>
      <c r="S343" s="140">
        <f t="shared" si="33"/>
        <v>0.96</v>
      </c>
      <c r="V343" s="140"/>
      <c r="W343" s="140"/>
      <c r="X343" s="140"/>
    </row>
    <row r="344" spans="1:24">
      <c r="A344" s="2" t="str">
        <f t="shared" si="29"/>
        <v>营救</v>
      </c>
      <c r="B344" s="2" t="str">
        <f>怪物并表!$R$14</f>
        <v>英雄之路</v>
      </c>
      <c r="C344" s="2">
        <v>75</v>
      </c>
      <c r="D344" s="28">
        <f t="shared" si="30"/>
        <v>1905</v>
      </c>
      <c r="E344" s="72">
        <f>VLOOKUP($C344,难度推算表,副本难度推算!$M$3,FALSE)*副本难度推算!$Y$5*Q344</f>
        <v>996501.55229876493</v>
      </c>
      <c r="F344" s="72">
        <f>VLOOKUP($C344,难度推算表,副本难度推算!$P$3,FALSE)*副本难度推算!$Z$5*$R344+VLOOKUP($C344,难度推算表,副本难度推算!$H$3,FALSE)</f>
        <v>44684.448270903042</v>
      </c>
      <c r="G344" s="72">
        <f>VLOOKUP($C344,难度推算表,副本难度推算!$G$3,FALSE)-VLOOKUP($C344,难度推算表,副本难度推算!$I$3,FALSE)*(2-副本难度推算!$AA$5)*(2-$S344)</f>
        <v>12598.545338628774</v>
      </c>
      <c r="H344" s="72">
        <f>VLOOKUP($C344,难度推算表,副本难度推算!$M$3,FALSE)*副本难度推算!$Y$6*Q344</f>
        <v>797201.24183901201</v>
      </c>
      <c r="I344" s="72">
        <f>VLOOKUP($C344,难度推算表,副本难度推算!$P$3,FALSE)*副本难度推算!$Z$6*$R344+VLOOKUP($C344,难度推算表,副本难度推算!$H$3,FALSE)</f>
        <v>41542.166111036822</v>
      </c>
      <c r="J344" s="72">
        <f>VLOOKUP($C344,难度推算表,副本难度推算!$G$3,FALSE)-VLOOKUP($C344,难度推算表,副本难度推算!$I$3,FALSE)*(2-副本难度推算!$AA$6)*(2-$S344)</f>
        <v>9150.5224038461638</v>
      </c>
      <c r="K344" s="72">
        <f>VLOOKUP($C344,难度推算表,副本难度推算!$M$3,FALSE)*副本难度推算!$Y$7*Q344</f>
        <v>2491253.8807469122</v>
      </c>
      <c r="L344" s="72">
        <f>VLOOKUP($C344,难度推算表,副本难度推算!$P$3,FALSE)*副本难度推算!$Z$7*$R344+VLOOKUP($C344,难度推算表,副本难度推算!$H$3,FALSE)</f>
        <v>50969.012590635488</v>
      </c>
      <c r="M344" s="72">
        <f>VLOOKUP($C344,难度推算表,副本难度推算!$G$3,FALSE)-VLOOKUP($C344,难度推算表,副本难度推算!$I$3,FALSE)*(2-副本难度推算!$AA$7)*(2-$S344)</f>
        <v>16046.568273411383</v>
      </c>
      <c r="N344" s="2">
        <f>VLOOKUP($C344,难度推算表,副本难度推算!$Q$3,FALSE)</f>
        <v>4708.7</v>
      </c>
      <c r="O344" s="2">
        <f>VLOOKUP($C344,难度推算表,副本难度推算!$R$3,FALSE)</f>
        <v>0</v>
      </c>
      <c r="Q344" s="140">
        <f t="shared" si="31"/>
        <v>1.2000000000000002</v>
      </c>
      <c r="R344" s="140">
        <f t="shared" si="32"/>
        <v>0.72000000000000008</v>
      </c>
      <c r="S344" s="140">
        <f t="shared" si="33"/>
        <v>0.96</v>
      </c>
      <c r="V344" s="140"/>
      <c r="W344" s="140"/>
      <c r="X344" s="140"/>
    </row>
    <row r="345" spans="1:24">
      <c r="A345" s="2" t="str">
        <f t="shared" si="29"/>
        <v>营救</v>
      </c>
      <c r="B345" s="2" t="str">
        <f>怪物并表!$R$14</f>
        <v>英雄之路</v>
      </c>
      <c r="C345" s="2">
        <v>76</v>
      </c>
      <c r="D345" s="28">
        <f t="shared" si="30"/>
        <v>1905</v>
      </c>
      <c r="E345" s="72">
        <f>VLOOKUP($C345,难度推算表,副本难度推算!$M$3,FALSE)*副本难度推算!$Y$5*Q345</f>
        <v>1053245.6885257126</v>
      </c>
      <c r="F345" s="72">
        <f>VLOOKUP($C345,难度推算表,副本难度推算!$P$3,FALSE)*副本难度推算!$Z$5*$R345+VLOOKUP($C345,难度推算表,副本难度推算!$H$3,FALSE)</f>
        <v>47287.841771331921</v>
      </c>
      <c r="G345" s="72">
        <f>VLOOKUP($C345,难度推算表,副本难度推算!$G$3,FALSE)-VLOOKUP($C345,难度推算表,副本难度推算!$I$3,FALSE)*(2-副本难度推算!$AA$5)*(2-$S345)</f>
        <v>13199.729659874254</v>
      </c>
      <c r="H345" s="72">
        <f>VLOOKUP($C345,难度推算表,副本难度推算!$M$3,FALSE)*副本难度推算!$Y$6*Q345</f>
        <v>842596.55082057009</v>
      </c>
      <c r="I345" s="72">
        <f>VLOOKUP($C345,难度推算表,副本难度推算!$P$3,FALSE)*副本难度推算!$Z$6*$R345+VLOOKUP($C345,难度推算表,副本难度推算!$H$3,FALSE)</f>
        <v>43948.502821553921</v>
      </c>
      <c r="J345" s="72">
        <f>VLOOKUP($C345,难度推算表,副本难度推算!$G$3,FALSE)-VLOOKUP($C345,难度推算表,副本难度推算!$I$3,FALSE)*(2-副本难度推算!$AA$6)*(2-$S345)</f>
        <v>9587.1720687507768</v>
      </c>
      <c r="K345" s="72">
        <f>VLOOKUP($C345,难度推算表,副本难度推算!$M$3,FALSE)*副本难度推算!$Y$7*Q345</f>
        <v>2633114.2213142812</v>
      </c>
      <c r="L345" s="72">
        <f>VLOOKUP($C345,难度推算表,副本难度推算!$P$3,FALSE)*副本难度推算!$Z$7*$R345+VLOOKUP($C345,难度推算表,副本难度推算!$H$3,FALSE)</f>
        <v>53966.51967088793</v>
      </c>
      <c r="M345" s="72">
        <f>VLOOKUP($C345,难度推算表,副本难度推算!$G$3,FALSE)-VLOOKUP($C345,难度推算表,副本难度推算!$I$3,FALSE)*(2-副本难度推算!$AA$7)*(2-$S345)</f>
        <v>16812.287250997731</v>
      </c>
      <c r="N345" s="2">
        <f>VLOOKUP($C345,难度推算表,副本难度推算!$Q$3,FALSE)</f>
        <v>4766.9279999999999</v>
      </c>
      <c r="O345" s="2">
        <f>VLOOKUP($C345,难度推算表,副本难度推算!$R$3,FALSE)</f>
        <v>0</v>
      </c>
      <c r="Q345" s="140">
        <f t="shared" si="31"/>
        <v>1.2000000000000002</v>
      </c>
      <c r="R345" s="140">
        <f t="shared" si="32"/>
        <v>0.72000000000000008</v>
      </c>
      <c r="S345" s="140">
        <f t="shared" si="33"/>
        <v>0.96</v>
      </c>
      <c r="V345" s="140"/>
      <c r="W345" s="140"/>
      <c r="X345" s="140"/>
    </row>
    <row r="346" spans="1:24">
      <c r="A346" s="2" t="str">
        <f t="shared" si="29"/>
        <v>营救</v>
      </c>
      <c r="B346" s="2" t="str">
        <f>怪物并表!$R$14</f>
        <v>英雄之路</v>
      </c>
      <c r="C346" s="2">
        <v>77</v>
      </c>
      <c r="D346" s="28">
        <f t="shared" si="30"/>
        <v>1905</v>
      </c>
      <c r="E346" s="72">
        <f>VLOOKUP($C346,难度推算表,副本难度推算!$M$3,FALSE)*副本难度推算!$Y$5*Q346</f>
        <v>1112208.957391253</v>
      </c>
      <c r="F346" s="72">
        <f>VLOOKUP($C346,难度推算表,副本难度推算!$P$3,FALSE)*副本难度推算!$Z$5*$R346+VLOOKUP($C346,难度推算表,副本难度推算!$H$3,FALSE)</f>
        <v>50006.027847138714</v>
      </c>
      <c r="G346" s="72">
        <f>VLOOKUP($C346,难度推算表,副本难度推算!$G$3,FALSE)-VLOOKUP($C346,难度推算表,副本难度推算!$I$3,FALSE)*(2-副本难度推算!$AA$5)*(2-$S346)</f>
        <v>13818.237131646158</v>
      </c>
      <c r="H346" s="72">
        <f>VLOOKUP($C346,难度推算表,副本难度推算!$M$3,FALSE)*副本难度推算!$Y$6*Q346</f>
        <v>889767.16591300257</v>
      </c>
      <c r="I346" s="72">
        <f>VLOOKUP($C346,难度推算表,副本难度推算!$P$3,FALSE)*副本难度推算!$Z$6*$R346+VLOOKUP($C346,难度推算表,副本难度推算!$H$3,FALSE)</f>
        <v>46459.976339440233</v>
      </c>
      <c r="J346" s="72">
        <f>VLOOKUP($C346,难度推算表,副本难度推算!$G$3,FALSE)-VLOOKUP($C346,难度推算表,副本难度推算!$I$3,FALSE)*(2-副本难度推算!$AA$6)*(2-$S346)</f>
        <v>10036.403811406155</v>
      </c>
      <c r="K346" s="72">
        <f>VLOOKUP($C346,难度推算表,副本难度推算!$M$3,FALSE)*副本难度推算!$Y$7*Q346</f>
        <v>2780522.3934781328</v>
      </c>
      <c r="L346" s="72">
        <f>VLOOKUP($C346,难度推算表,副本难度推算!$P$3,FALSE)*副本难度推算!$Z$7*$R346+VLOOKUP($C346,难度推算表,副本难度推算!$H$3,FALSE)</f>
        <v>57098.130862535683</v>
      </c>
      <c r="M346" s="72">
        <f>VLOOKUP($C346,难度推算表,副本难度推算!$G$3,FALSE)-VLOOKUP($C346,难度推算表,副本难度推算!$I$3,FALSE)*(2-副本难度推算!$AA$7)*(2-$S346)</f>
        <v>17600.07045188616</v>
      </c>
      <c r="N346" s="2">
        <f>VLOOKUP($C346,难度推算表,副本难度推算!$Q$3,FALSE)</f>
        <v>4825.1559999999999</v>
      </c>
      <c r="O346" s="2">
        <f>VLOOKUP($C346,难度推算表,副本难度推算!$R$3,FALSE)</f>
        <v>0</v>
      </c>
      <c r="Q346" s="140">
        <f t="shared" si="31"/>
        <v>1.2000000000000002</v>
      </c>
      <c r="R346" s="140">
        <f t="shared" si="32"/>
        <v>0.72000000000000008</v>
      </c>
      <c r="S346" s="140">
        <f t="shared" si="33"/>
        <v>0.96</v>
      </c>
      <c r="V346" s="140"/>
      <c r="W346" s="140"/>
      <c r="X346" s="140"/>
    </row>
    <row r="347" spans="1:24">
      <c r="A347" s="2" t="str">
        <f t="shared" si="29"/>
        <v>营救</v>
      </c>
      <c r="B347" s="2" t="str">
        <f>怪物并表!$R$14</f>
        <v>英雄之路</v>
      </c>
      <c r="C347" s="2">
        <v>78</v>
      </c>
      <c r="D347" s="28">
        <f t="shared" si="30"/>
        <v>1905</v>
      </c>
      <c r="E347" s="72">
        <f>VLOOKUP($C347,难度推算表,副本难度推算!$M$3,FALSE)*副本难度推算!$Y$5*Q347</f>
        <v>1173444.1048737508</v>
      </c>
      <c r="F347" s="72">
        <f>VLOOKUP($C347,难度推算表,副本难度推算!$P$3,FALSE)*副本难度推算!$Z$5*$R347+VLOOKUP($C347,难度推算表,副本难度推算!$H$3,FALSE)</f>
        <v>52843.311693144795</v>
      </c>
      <c r="G347" s="72">
        <f>VLOOKUP($C347,难度推算表,副本难度推算!$G$3,FALSE)-VLOOKUP($C347,难度推算表,副本难度推算!$I$3,FALSE)*(2-副本难度推算!$AA$5)*(2-$S347)</f>
        <v>14454.289337193313</v>
      </c>
      <c r="H347" s="72">
        <f>VLOOKUP($C347,难度推算表,副本难度推算!$M$3,FALSE)*副本难度推算!$Y$6*Q347</f>
        <v>938755.28389900061</v>
      </c>
      <c r="I347" s="72">
        <f>VLOOKUP($C347,难度推算表,副本难度推算!$P$3,FALSE)*副本难度推算!$Z$6*$R347+VLOOKUP($C347,难度推算表,副本难度推算!$H$3,FALSE)</f>
        <v>49080.484664587508</v>
      </c>
      <c r="J347" s="72">
        <f>VLOOKUP($C347,难度推算表,副本难度推算!$G$3,FALSE)-VLOOKUP($C347,难度推算表,副本难度推算!$I$3,FALSE)*(2-副本难度推算!$AA$6)*(2-$S347)</f>
        <v>10498.378571224617</v>
      </c>
      <c r="K347" s="72">
        <f>VLOOKUP($C347,难度推算表,副本难度推算!$M$3,FALSE)*副本难度推算!$Y$7*Q347</f>
        <v>2933610.2621843773</v>
      </c>
      <c r="L347" s="72">
        <f>VLOOKUP($C347,难度推算表,副本难度推算!$P$3,FALSE)*副本难度推算!$Z$7*$R347+VLOOKUP($C347,难度推算表,副本难度推算!$H$3,FALSE)</f>
        <v>60368.965750259369</v>
      </c>
      <c r="M347" s="72">
        <f>VLOOKUP($C347,难度推算表,副本难度推算!$G$3,FALSE)-VLOOKUP($C347,难度推算表,副本难度推算!$I$3,FALSE)*(2-副本难度推算!$AA$7)*(2-$S347)</f>
        <v>18410.200103162009</v>
      </c>
      <c r="N347" s="2">
        <f>VLOOKUP($C347,难度推算表,副本难度推算!$Q$3,FALSE)</f>
        <v>4883.384</v>
      </c>
      <c r="O347" s="2">
        <f>VLOOKUP($C347,难度推算表,副本难度推算!$R$3,FALSE)</f>
        <v>0</v>
      </c>
      <c r="Q347" s="140">
        <f t="shared" si="31"/>
        <v>1.2000000000000002</v>
      </c>
      <c r="R347" s="140">
        <f t="shared" si="32"/>
        <v>0.72000000000000008</v>
      </c>
      <c r="S347" s="140">
        <f t="shared" si="33"/>
        <v>0.96</v>
      </c>
      <c r="V347" s="140"/>
      <c r="W347" s="140"/>
      <c r="X347" s="140"/>
    </row>
    <row r="348" spans="1:24">
      <c r="A348" s="2" t="str">
        <f t="shared" si="29"/>
        <v>营救</v>
      </c>
      <c r="B348" s="2" t="str">
        <f>怪物并表!$R$14</f>
        <v>英雄之路</v>
      </c>
      <c r="C348" s="2">
        <v>79</v>
      </c>
      <c r="D348" s="28">
        <f t="shared" si="30"/>
        <v>1905</v>
      </c>
      <c r="E348" s="72">
        <f>VLOOKUP($C348,难度推算表,副本难度推算!$M$3,FALSE)*副本难度推算!$Y$5*Q348</f>
        <v>1237004.4402367368</v>
      </c>
      <c r="F348" s="72">
        <f>VLOOKUP($C348,难度推算表,副本难度推算!$P$3,FALSE)*副本难度推算!$Z$5*$R348+VLOOKUP($C348,难度推算表,副本难度推算!$H$3,FALSE)</f>
        <v>55804.184296534848</v>
      </c>
      <c r="G348" s="72">
        <f>VLOOKUP($C348,难度推算表,副本难度推算!$G$3,FALSE)-VLOOKUP($C348,难度推算表,副本难度推算!$I$3,FALSE)*(2-副本难度推算!$AA$5)*(2-$S348)</f>
        <v>15108.107859764557</v>
      </c>
      <c r="H348" s="72">
        <f>VLOOKUP($C348,难度推算表,副本难度推算!$M$3,FALSE)*副本难度推算!$Y$6*Q348</f>
        <v>989603.55218938959</v>
      </c>
      <c r="I348" s="72">
        <f>VLOOKUP($C348,难度推算表,副本难度推算!$P$3,FALSE)*副本难度推算!$Z$6*$R348+VLOOKUP($C348,难度推算表,副本难度推算!$H$3,FALSE)</f>
        <v>51814.093010014469</v>
      </c>
      <c r="J348" s="72">
        <f>VLOOKUP($C348,难度推算表,副本难度推算!$G$3,FALSE)-VLOOKUP($C348,难度推算表,副本难度推算!$I$3,FALSE)*(2-副本难度推算!$AA$6)*(2-$S348)</f>
        <v>10973.257287618471</v>
      </c>
      <c r="K348" s="72">
        <f>VLOOKUP($C348,难度推算表,副本难度推算!$M$3,FALSE)*副本难度推算!$Y$7*Q348</f>
        <v>3092511.1005918416</v>
      </c>
      <c r="L348" s="72">
        <f>VLOOKUP($C348,难度推算表,副本难度推算!$P$3,FALSE)*副本难度推算!$Z$7*$R348+VLOOKUP($C348,难度推算表,副本难度推算!$H$3,FALSE)</f>
        <v>63784.366869575591</v>
      </c>
      <c r="M348" s="72">
        <f>VLOOKUP($C348,难度推算表,副本难度推算!$G$3,FALSE)-VLOOKUP($C348,难度推算表,副本难度推算!$I$3,FALSE)*(2-副本难度推算!$AA$7)*(2-$S348)</f>
        <v>19242.958431910647</v>
      </c>
      <c r="N348" s="2">
        <f>VLOOKUP($C348,难度推算表,副本难度推算!$Q$3,FALSE)</f>
        <v>4941.6120000000001</v>
      </c>
      <c r="O348" s="2">
        <f>VLOOKUP($C348,难度推算表,副本难度推算!$R$3,FALSE)</f>
        <v>0</v>
      </c>
      <c r="Q348" s="140">
        <f t="shared" si="31"/>
        <v>1.2000000000000002</v>
      </c>
      <c r="R348" s="140">
        <f t="shared" si="32"/>
        <v>0.72000000000000008</v>
      </c>
      <c r="S348" s="140">
        <f t="shared" si="33"/>
        <v>0.96</v>
      </c>
      <c r="V348" s="140"/>
      <c r="W348" s="140"/>
      <c r="X348" s="140"/>
    </row>
    <row r="349" spans="1:24">
      <c r="A349" s="2" t="str">
        <f t="shared" si="29"/>
        <v>营救</v>
      </c>
      <c r="B349" s="2" t="str">
        <f>怪物并表!$R$14</f>
        <v>英雄之路</v>
      </c>
      <c r="C349" s="2">
        <v>80</v>
      </c>
      <c r="D349" s="28">
        <f t="shared" si="30"/>
        <v>1905</v>
      </c>
      <c r="E349" s="72">
        <f>VLOOKUP($C349,难度推算表,副本难度推算!$M$3,FALSE)*副本难度推算!$Y$5*Q349</f>
        <v>1306833.2204122972</v>
      </c>
      <c r="F349" s="72">
        <f>VLOOKUP($C349,难度推算表,副本难度推算!$P$3,FALSE)*副本难度推算!$Z$5*$R349+VLOOKUP($C349,难度推算表,副本难度推算!$H$3,FALSE)</f>
        <v>59069.134150141501</v>
      </c>
      <c r="G349" s="72">
        <f>VLOOKUP($C349,难度推算表,副本难度推算!$G$3,FALSE)-VLOOKUP($C349,难度推算表,副本难度推算!$I$3,FALSE)*(2-副本难度推算!$AA$5)*(2-$S349)</f>
        <v>15827.018504347827</v>
      </c>
      <c r="H349" s="72">
        <f>VLOOKUP($C349,难度推算表,副本难度推算!$M$3,FALSE)*副本难度推算!$Y$6*Q349</f>
        <v>1045466.5763298378</v>
      </c>
      <c r="I349" s="72">
        <f>VLOOKUP($C349,难度推算表,副本难度推算!$P$3,FALSE)*副本难度推算!$Z$6*$R349+VLOOKUP($C349,难度推算表,副本难度推算!$H$3,FALSE)</f>
        <v>54828.222682953434</v>
      </c>
      <c r="J349" s="72">
        <f>VLOOKUP($C349,难度推算表,副本难度推算!$G$3,FALSE)-VLOOKUP($C349,难度推算表,副本难度推算!$I$3,FALSE)*(2-副本难度推算!$AA$6)*(2-$S349)</f>
        <v>11495.41344</v>
      </c>
      <c r="K349" s="72">
        <f>VLOOKUP($C349,难度推算表,副本难度推算!$M$3,FALSE)*副本难度推算!$Y$7*Q349</f>
        <v>3267083.0510307429</v>
      </c>
      <c r="L349" s="72">
        <f>VLOOKUP($C349,难度推算表,副本难度推算!$P$3,FALSE)*副本难度推算!$Z$7*$R349+VLOOKUP($C349,难度推算表,副本难度推算!$H$3,FALSE)</f>
        <v>67550.95708451762</v>
      </c>
      <c r="M349" s="72">
        <f>VLOOKUP($C349,难度推算表,副本难度推算!$G$3,FALSE)-VLOOKUP($C349,难度推算表,副本难度推算!$I$3,FALSE)*(2-副本难度推算!$AA$7)*(2-$S349)</f>
        <v>20158.623568695653</v>
      </c>
      <c r="N349" s="2">
        <f>VLOOKUP($C349,难度推算表,副本难度推算!$Q$3,FALSE)</f>
        <v>4999.84</v>
      </c>
      <c r="O349" s="2">
        <f>VLOOKUP($C349,难度推算表,副本难度推算!$R$3,FALSE)</f>
        <v>0</v>
      </c>
      <c r="Q349" s="140">
        <f t="shared" si="31"/>
        <v>1.2000000000000002</v>
      </c>
      <c r="R349" s="140">
        <f t="shared" si="32"/>
        <v>0.72000000000000008</v>
      </c>
      <c r="S349" s="140">
        <f t="shared" si="33"/>
        <v>0.96</v>
      </c>
      <c r="V349" s="140"/>
      <c r="W349" s="140"/>
      <c r="X349" s="140"/>
    </row>
    <row r="350" spans="1:24">
      <c r="A350" s="2" t="str">
        <f t="shared" si="29"/>
        <v>营救</v>
      </c>
      <c r="B350" s="2" t="str">
        <f>怪物并表!$R$14</f>
        <v>英雄之路</v>
      </c>
      <c r="C350" s="2">
        <v>81</v>
      </c>
      <c r="D350" s="28">
        <f t="shared" si="30"/>
        <v>1905</v>
      </c>
      <c r="E350" s="72">
        <f>VLOOKUP($C350,难度推算表,副本难度推算!$M$3,FALSE)*副本难度推算!$Y$5*Q350</f>
        <v>1379336.1229427296</v>
      </c>
      <c r="F350" s="72">
        <f>VLOOKUP($C350,难度推算表,副本难度推算!$P$3,FALSE)*副本难度推算!$Z$5*$R350+VLOOKUP($C350,难度推算表,副本难度推算!$H$3,FALSE)</f>
        <v>70924.043803160064</v>
      </c>
      <c r="G350" s="72">
        <f>VLOOKUP($C350,难度推算表,副本难度推算!$G$3,FALSE)-VLOOKUP($C350,难度推算表,副本难度推算!$I$3,FALSE)*(2-副本难度推算!$AA$5)*(2-$S350)</f>
        <v>16566.245570196665</v>
      </c>
      <c r="H350" s="72">
        <f>VLOOKUP($C350,难度推算表,副本难度推算!$M$3,FALSE)*副本难度推算!$Y$6*Q350</f>
        <v>1103468.8983541836</v>
      </c>
      <c r="I350" s="72">
        <f>VLOOKUP($C350,难度推算表,副本难度推算!$P$3,FALSE)*副本难度推算!$Z$6*$R350+VLOOKUP($C350,难度推算表,副本难度推算!$H$3,FALSE)</f>
        <v>65575.45474602266</v>
      </c>
      <c r="J350" s="72">
        <f>VLOOKUP($C350,难度推算表,副本难度推算!$G$3,FALSE)-VLOOKUP($C350,难度推算表,副本难度推算!$I$3,FALSE)*(2-副本难度推算!$AA$6)*(2-$S350)</f>
        <v>12032.325729932316</v>
      </c>
      <c r="K350" s="72">
        <f>VLOOKUP($C350,难度推算表,副本难度推算!$M$3,FALSE)*副本难度推算!$Y$7*Q350</f>
        <v>3448340.3073568242</v>
      </c>
      <c r="L350" s="72">
        <f>VLOOKUP($C350,难度推算表,副本难度推算!$P$3,FALSE)*副本难度推算!$Z$7*$R350+VLOOKUP($C350,难度推算表,副本难度推算!$H$3,FALSE)</f>
        <v>81621.221917434872</v>
      </c>
      <c r="M350" s="72">
        <f>VLOOKUP($C350,难度推算表,副本难度推算!$G$3,FALSE)-VLOOKUP($C350,难度推算表,副本难度推算!$I$3,FALSE)*(2-副本难度推算!$AA$7)*(2-$S350)</f>
        <v>21100.165410461013</v>
      </c>
      <c r="N350" s="2">
        <f>VLOOKUP($C350,难度推算表,副本难度推算!$Q$3,FALSE)</f>
        <v>5058.0680000000002</v>
      </c>
      <c r="O350" s="2">
        <f>VLOOKUP($C350,难度推算表,副本难度推算!$R$3,FALSE)</f>
        <v>0</v>
      </c>
      <c r="Q350" s="140">
        <f t="shared" si="31"/>
        <v>1.2000000000000002</v>
      </c>
      <c r="R350" s="140">
        <f t="shared" si="32"/>
        <v>0.72000000000000008</v>
      </c>
      <c r="S350" s="140">
        <f t="shared" si="33"/>
        <v>0.96</v>
      </c>
      <c r="V350" s="140"/>
      <c r="W350" s="140"/>
      <c r="X350" s="140"/>
    </row>
    <row r="351" spans="1:24">
      <c r="A351" s="2" t="str">
        <f t="shared" si="29"/>
        <v>营救</v>
      </c>
      <c r="B351" s="2" t="str">
        <f>怪物并表!$R$14</f>
        <v>英雄之路</v>
      </c>
      <c r="C351" s="2">
        <v>82</v>
      </c>
      <c r="D351" s="28">
        <f t="shared" si="30"/>
        <v>1905</v>
      </c>
      <c r="E351" s="72">
        <f>VLOOKUP($C351,难度推算表,副本难度推算!$M$3,FALSE)*副本难度推算!$Y$5*Q351</f>
        <v>1454575.0578264908</v>
      </c>
      <c r="F351" s="72">
        <f>VLOOKUP($C351,难度推算表,副本难度推算!$P$3,FALSE)*副本难度推算!$Z$5*$R351+VLOOKUP($C351,难度推算表,副本难度推算!$H$3,FALSE)</f>
        <v>75599.326167863037</v>
      </c>
      <c r="G351" s="72">
        <f>VLOOKUP($C351,难度推算表,副本难度推算!$G$3,FALSE)-VLOOKUP($C351,难度推算表,副本难度推算!$I$3,FALSE)*(2-副本难度推算!$AA$5)*(2-$S351)</f>
        <v>17326.042295309704</v>
      </c>
      <c r="H351" s="72">
        <f>VLOOKUP($C351,难度推算表,副本难度推算!$M$3,FALSE)*副本难度推算!$Y$6*Q351</f>
        <v>1163660.0462611928</v>
      </c>
      <c r="I351" s="72">
        <f>VLOOKUP($C351,难度推算表,副本难度推算!$P$3,FALSE)*副本难度推算!$Z$6*$R351+VLOOKUP($C351,难度推算表,副本难度推算!$H$3,FALSE)</f>
        <v>69863.18747689882</v>
      </c>
      <c r="J351" s="72">
        <f>VLOOKUP($C351,难度推算表,副本难度推算!$G$3,FALSE)-VLOOKUP($C351,难度推算表,副本难度推算!$I$3,FALSE)*(2-副本难度推算!$AA$6)*(2-$S351)</f>
        <v>12584.178088172313</v>
      </c>
      <c r="K351" s="72">
        <f>VLOOKUP($C351,难度推算表,副本难度推算!$M$3,FALSE)*副本难度推算!$Y$7*Q351</f>
        <v>3636437.6445662268</v>
      </c>
      <c r="L351" s="72">
        <f>VLOOKUP($C351,难度推算表,副本难度推算!$P$3,FALSE)*副本难度推算!$Z$7*$R351+VLOOKUP($C351,难度推算表,副本难度推算!$H$3,FALSE)</f>
        <v>87071.6035497915</v>
      </c>
      <c r="M351" s="72">
        <f>VLOOKUP($C351,难度推算表,副本难度推算!$G$3,FALSE)-VLOOKUP($C351,难度推算表,副本难度推算!$I$3,FALSE)*(2-副本难度推算!$AA$7)*(2-$S351)</f>
        <v>22067.906502447098</v>
      </c>
      <c r="N351" s="2">
        <f>VLOOKUP($C351,难度推算表,副本难度推算!$Q$3,FALSE)</f>
        <v>5116.2960000000003</v>
      </c>
      <c r="O351" s="2">
        <f>VLOOKUP($C351,难度推算表,副本难度推算!$R$3,FALSE)</f>
        <v>0</v>
      </c>
      <c r="Q351" s="140">
        <f t="shared" si="31"/>
        <v>1.2000000000000002</v>
      </c>
      <c r="R351" s="140">
        <f t="shared" si="32"/>
        <v>0.72000000000000008</v>
      </c>
      <c r="S351" s="140">
        <f t="shared" si="33"/>
        <v>0.96</v>
      </c>
      <c r="V351" s="140"/>
      <c r="W351" s="140"/>
      <c r="X351" s="140"/>
    </row>
    <row r="352" spans="1:24">
      <c r="A352" s="2" t="str">
        <f t="shared" si="29"/>
        <v>营救</v>
      </c>
      <c r="B352" s="2" t="str">
        <f>怪物并表!$R$14</f>
        <v>英雄之路</v>
      </c>
      <c r="C352" s="2">
        <v>83</v>
      </c>
      <c r="D352" s="28">
        <f t="shared" si="30"/>
        <v>1905</v>
      </c>
      <c r="E352" s="72">
        <f>VLOOKUP($C352,难度推算表,副本难度推算!$M$3,FALSE)*副本难度推算!$Y$5*Q352</f>
        <v>1532612.5781824077</v>
      </c>
      <c r="F352" s="72">
        <f>VLOOKUP($C352,难度推算表,副本难度推算!$P$3,FALSE)*副本难度推算!$Z$5*$R352+VLOOKUP($C352,难度推算表,副本难度推算!$H$3,FALSE)</f>
        <v>80528.452316885523</v>
      </c>
      <c r="G352" s="72">
        <f>VLOOKUP($C352,难度推算表,副本难度推算!$G$3,FALSE)-VLOOKUP($C352,难度推算表,副本难度推算!$I$3,FALSE)*(2-副本难度推算!$AA$5)*(2-$S352)</f>
        <v>18106.661917685626</v>
      </c>
      <c r="H352" s="72">
        <f>VLOOKUP($C352,难度推算表,副本难度推算!$M$3,FALSE)*副本难度推算!$Y$6*Q352</f>
        <v>1226090.0625459261</v>
      </c>
      <c r="I352" s="72">
        <f>VLOOKUP($C352,难度推算表,副本难度推算!$P$3,FALSE)*副本难度推算!$Z$6*$R352+VLOOKUP($C352,难度推算表,副本难度推算!$H$3,FALSE)</f>
        <v>74381.571497584941</v>
      </c>
      <c r="J352" s="72">
        <f>VLOOKUP($C352,难度推算表,副本难度推算!$G$3,FALSE)-VLOOKUP($C352,难度推算表,副本难度推算!$I$3,FALSE)*(2-副本难度推算!$AA$6)*(2-$S352)</f>
        <v>13151.154445476928</v>
      </c>
      <c r="K352" s="72">
        <f>VLOOKUP($C352,难度推算表,副本难度推算!$M$3,FALSE)*副本难度推算!$Y$7*Q352</f>
        <v>3831531.4454560187</v>
      </c>
      <c r="L352" s="72">
        <f>VLOOKUP($C352,难度推算表,副本难度推算!$P$3,FALSE)*副本难度推算!$Z$7*$R352+VLOOKUP($C352,难度推算表,副本难度推算!$H$3,FALSE)</f>
        <v>92822.213955486703</v>
      </c>
      <c r="M352" s="72">
        <f>VLOOKUP($C352,难度推算表,副本难度推算!$G$3,FALSE)-VLOOKUP($C352,难度推算表,副本难度推算!$I$3,FALSE)*(2-副本难度推算!$AA$7)*(2-$S352)</f>
        <v>23062.169389894323</v>
      </c>
      <c r="N352" s="2">
        <f>VLOOKUP($C352,难度推算表,副本难度推算!$Q$3,FALSE)</f>
        <v>5174.5240000000003</v>
      </c>
      <c r="O352" s="2">
        <f>VLOOKUP($C352,难度推算表,副本难度推算!$R$3,FALSE)</f>
        <v>0</v>
      </c>
      <c r="Q352" s="140">
        <f t="shared" si="31"/>
        <v>1.2000000000000002</v>
      </c>
      <c r="R352" s="140">
        <f t="shared" si="32"/>
        <v>0.72000000000000008</v>
      </c>
      <c r="S352" s="140">
        <f t="shared" si="33"/>
        <v>0.96</v>
      </c>
      <c r="V352" s="140"/>
      <c r="W352" s="140"/>
      <c r="X352" s="140"/>
    </row>
    <row r="353" spans="1:24">
      <c r="A353" s="2" t="str">
        <f t="shared" si="29"/>
        <v>营救</v>
      </c>
      <c r="B353" s="2" t="str">
        <f>怪物并表!$R$14</f>
        <v>英雄之路</v>
      </c>
      <c r="C353" s="2">
        <v>84</v>
      </c>
      <c r="D353" s="28">
        <f t="shared" si="30"/>
        <v>1905</v>
      </c>
      <c r="E353" s="72">
        <f>VLOOKUP($C353,难度推算表,副本难度推算!$M$3,FALSE)*副本难度推算!$Y$5*Q353</f>
        <v>1613511.8800279377</v>
      </c>
      <c r="F353" s="72">
        <f>VLOOKUP($C353,难度推算表,副本难度推算!$P$3,FALSE)*副本难度推算!$Z$5*$R353+VLOOKUP($C353,难度推算表,副本难度推算!$H$3,FALSE)</f>
        <v>85723.909338584665</v>
      </c>
      <c r="G353" s="72">
        <f>VLOOKUP($C353,难度推算表,副本难度推算!$G$3,FALSE)-VLOOKUP($C353,难度推算表,副本难度推算!$I$3,FALSE)*(2-副本难度推算!$AA$5)*(2-$S353)</f>
        <v>18908.357675323085</v>
      </c>
      <c r="H353" s="72">
        <f>VLOOKUP($C353,难度推算表,副本难度推算!$M$3,FALSE)*副本难度推算!$Y$6*Q353</f>
        <v>1290809.5040223503</v>
      </c>
      <c r="I353" s="72">
        <f>VLOOKUP($C353,难度推算表,副本难度推算!$P$3,FALSE)*副本难度推算!$Z$6*$R353+VLOOKUP($C353,难度推算表,副本难度推算!$H$3,FALSE)</f>
        <v>79141.871844233887</v>
      </c>
      <c r="J353" s="72">
        <f>VLOOKUP($C353,难度推算表,副本难度推算!$G$3,FALSE)-VLOOKUP($C353,难度推算表,副本难度推算!$I$3,FALSE)*(2-副本难度推算!$AA$6)*(2-$S353)</f>
        <v>13733.438732603085</v>
      </c>
      <c r="K353" s="72">
        <f>VLOOKUP($C353,难度推算表,副本难度推算!$M$3,FALSE)*副本难度推算!$Y$7*Q353</f>
        <v>4033779.7000698443</v>
      </c>
      <c r="L353" s="72">
        <f>VLOOKUP($C353,难度推算表,副本难度推算!$P$3,FALSE)*副本难度推算!$Z$7*$R353+VLOOKUP($C353,难度推算表,副本难度推算!$H$3,FALSE)</f>
        <v>98887.984327286205</v>
      </c>
      <c r="M353" s="72">
        <f>VLOOKUP($C353,难度推算表,副本难度推算!$G$3,FALSE)-VLOOKUP($C353,难度推算表,副本难度推算!$I$3,FALSE)*(2-副本难度推算!$AA$7)*(2-$S353)</f>
        <v>24083.276618043081</v>
      </c>
      <c r="N353" s="2">
        <f>VLOOKUP($C353,难度推算表,副本难度推算!$Q$3,FALSE)</f>
        <v>5232.7520000000004</v>
      </c>
      <c r="O353" s="2">
        <f>VLOOKUP($C353,难度推算表,副本难度推算!$R$3,FALSE)</f>
        <v>0</v>
      </c>
      <c r="Q353" s="140">
        <f t="shared" si="31"/>
        <v>1.2000000000000002</v>
      </c>
      <c r="R353" s="140">
        <f t="shared" si="32"/>
        <v>0.72000000000000008</v>
      </c>
      <c r="S353" s="140">
        <f t="shared" si="33"/>
        <v>0.96</v>
      </c>
      <c r="V353" s="140"/>
      <c r="W353" s="140"/>
      <c r="X353" s="140"/>
    </row>
    <row r="354" spans="1:24">
      <c r="A354" s="2" t="str">
        <f t="shared" ref="A354:A359" si="34">$Z$15</f>
        <v>营救</v>
      </c>
      <c r="B354" s="2" t="str">
        <f>怪物并表!$R$14</f>
        <v>英雄之路</v>
      </c>
      <c r="C354" s="2">
        <v>85</v>
      </c>
      <c r="D354" s="28">
        <f t="shared" si="30"/>
        <v>1905</v>
      </c>
      <c r="E354" s="72">
        <f>VLOOKUP($C354,难度推算表,副本难度推算!$M$3,FALSE)*副本难度推算!$Y$5*Q354</f>
        <v>1697336.8020597603</v>
      </c>
      <c r="F354" s="72">
        <f>VLOOKUP($C354,难度推算表,副本难度推算!$P$3,FALSE)*副本难度推算!$Z$5*$R354+VLOOKUP($C354,难度推算表,副本难度推算!$H$3,FALSE)</f>
        <v>91198.832817882329</v>
      </c>
      <c r="G354" s="72">
        <f>VLOOKUP($C354,难度推算表,副本难度推算!$G$3,FALSE)-VLOOKUP($C354,难度推算表,副本难度推算!$I$3,FALSE)*(2-副本难度推算!$AA$5)*(2-$S354)</f>
        <v>19731.382806220736</v>
      </c>
      <c r="H354" s="72">
        <f>VLOOKUP($C354,难度推算表,副本难度推算!$M$3,FALSE)*副本难度推算!$Y$6*Q354</f>
        <v>1357869.4416478083</v>
      </c>
      <c r="I354" s="72">
        <f>VLOOKUP($C354,难度推算表,副本难度推算!$P$3,FALSE)*副本难度推算!$Z$6*$R354+VLOOKUP($C354,难度推算表,副本难度推算!$H$3,FALSE)</f>
        <v>84155.937199906795</v>
      </c>
      <c r="J354" s="72">
        <f>VLOOKUP($C354,难度推算表,副本难度推算!$G$3,FALSE)-VLOOKUP($C354,难度推算表,副本难度推算!$I$3,FALSE)*(2-副本难度推算!$AA$6)*(2-$S354)</f>
        <v>14331.214880307693</v>
      </c>
      <c r="K354" s="72">
        <f>VLOOKUP($C354,难度推算表,副本难度推算!$M$3,FALSE)*副本难度推算!$Y$7*Q354</f>
        <v>4243342.0051494008</v>
      </c>
      <c r="L354" s="72">
        <f>VLOOKUP($C354,难度推算表,副本难度推算!$P$3,FALSE)*副本难度推算!$Z$7*$R354+VLOOKUP($C354,难度推算表,副本难度推算!$H$3,FALSE)</f>
        <v>105284.62405383337</v>
      </c>
      <c r="M354" s="72">
        <f>VLOOKUP($C354,难度推算表,副本难度推算!$G$3,FALSE)-VLOOKUP($C354,难度推算表,副本难度推算!$I$3,FALSE)*(2-副本难度推算!$AA$7)*(2-$S354)</f>
        <v>25131.550732133775</v>
      </c>
      <c r="N354" s="2">
        <f>VLOOKUP($C354,难度推算表,副本难度推算!$Q$3,FALSE)</f>
        <v>5290.98</v>
      </c>
      <c r="O354" s="2">
        <f>VLOOKUP($C354,难度推算表,副本难度推算!$R$3,FALSE)</f>
        <v>0</v>
      </c>
      <c r="Q354" s="140">
        <f t="shared" si="31"/>
        <v>1.2000000000000002</v>
      </c>
      <c r="R354" s="140">
        <f t="shared" si="32"/>
        <v>0.72000000000000008</v>
      </c>
      <c r="S354" s="140">
        <f t="shared" si="33"/>
        <v>0.96</v>
      </c>
      <c r="V354" s="140"/>
      <c r="W354" s="140"/>
      <c r="X354" s="140"/>
    </row>
    <row r="355" spans="1:24">
      <c r="A355" s="2" t="str">
        <f t="shared" si="34"/>
        <v>营救</v>
      </c>
      <c r="B355" s="2" t="str">
        <f>怪物并表!$R$14</f>
        <v>英雄之路</v>
      </c>
      <c r="C355" s="2">
        <v>86</v>
      </c>
      <c r="D355" s="28">
        <f t="shared" si="30"/>
        <v>1905</v>
      </c>
      <c r="E355" s="72">
        <f>VLOOKUP($C355,难度推算表,副本难度推算!$M$3,FALSE)*副本难度推算!$Y$5*Q355</f>
        <v>1784151.8254367369</v>
      </c>
      <c r="F355" s="72">
        <f>VLOOKUP($C355,难度推算表,副本难度推算!$P$3,FALSE)*副本难度推算!$Z$5*$R355+VLOOKUP($C355,难度推算表,副本难度推算!$H$3,FALSE)</f>
        <v>96967.047032333256</v>
      </c>
      <c r="G355" s="72">
        <f>VLOOKUP($C355,难度推算表,副本难度推算!$G$3,FALSE)-VLOOKUP($C355,难度推算表,副本难度推算!$I$3,FALSE)*(2-副本难度推算!$AA$5)*(2-$S355)</f>
        <v>20575.99054837726</v>
      </c>
      <c r="H355" s="72">
        <f>VLOOKUP($C355,难度推算表,副本难度推算!$M$3,FALSE)*副本难度推算!$Y$6*Q355</f>
        <v>1427321.4603493896</v>
      </c>
      <c r="I355" s="72">
        <f>VLOOKUP($C355,难度推算表,副本难度推算!$P$3,FALSE)*副本难度推算!$Z$6*$R355+VLOOKUP($C355,难度推算表,副本难度推算!$H$3,FALSE)</f>
        <v>89436.236071034378</v>
      </c>
      <c r="J355" s="72">
        <f>VLOOKUP($C355,难度推算表,副本难度推算!$G$3,FALSE)-VLOOKUP($C355,难度推算表,副本难度推算!$I$3,FALSE)*(2-副本难度推算!$AA$6)*(2-$S355)</f>
        <v>14944.666819347694</v>
      </c>
      <c r="K355" s="72">
        <f>VLOOKUP($C355,难度推算表,副本难度推算!$M$3,FALSE)*副本难度推算!$Y$7*Q355</f>
        <v>4460379.5635918416</v>
      </c>
      <c r="L355" s="72">
        <f>VLOOKUP($C355,难度推算表,副本难度推算!$P$3,FALSE)*副本难度推算!$Z$7*$R355+VLOOKUP($C355,难度推算表,副本难度推算!$H$3,FALSE)</f>
        <v>112028.668954931</v>
      </c>
      <c r="M355" s="72">
        <f>VLOOKUP($C355,难度推算表,副本难度推算!$G$3,FALSE)-VLOOKUP($C355,难度推算表,副本难度推算!$I$3,FALSE)*(2-副本难度推算!$AA$7)*(2-$S355)</f>
        <v>26207.314277406826</v>
      </c>
      <c r="N355" s="2">
        <f>VLOOKUP($C355,难度推算表,副本难度推算!$Q$3,FALSE)</f>
        <v>5349.2079999999996</v>
      </c>
      <c r="O355" s="2">
        <f>VLOOKUP($C355,难度推算表,副本难度推算!$R$3,FALSE)</f>
        <v>0</v>
      </c>
      <c r="Q355" s="140">
        <f t="shared" si="31"/>
        <v>1.2000000000000002</v>
      </c>
      <c r="R355" s="140">
        <f t="shared" si="32"/>
        <v>0.72000000000000008</v>
      </c>
      <c r="S355" s="140">
        <f t="shared" si="33"/>
        <v>0.96</v>
      </c>
      <c r="V355" s="140"/>
      <c r="W355" s="140"/>
      <c r="X355" s="140"/>
    </row>
    <row r="356" spans="1:24">
      <c r="A356" s="2" t="str">
        <f t="shared" si="34"/>
        <v>营救</v>
      </c>
      <c r="B356" s="2" t="str">
        <f>怪物并表!$R$14</f>
        <v>英雄之路</v>
      </c>
      <c r="C356" s="2">
        <v>87</v>
      </c>
      <c r="D356" s="28">
        <f t="shared" si="30"/>
        <v>1905</v>
      </c>
      <c r="E356" s="72">
        <f>VLOOKUP($C356,难度推算表,副本难度推算!$M$3,FALSE)*副本难度推算!$Y$5*Q356</f>
        <v>1874022.0735652694</v>
      </c>
      <c r="F356" s="72">
        <f>VLOOKUP($C356,难度推算表,副本难度推算!$P$3,FALSE)*副本难度推算!$Z$5*$R356+VLOOKUP($C356,难度推算表,副本难度推算!$H$3,FALSE)</f>
        <v>103043.10817551166</v>
      </c>
      <c r="G356" s="72">
        <f>VLOOKUP($C356,难度推算表,副本难度推算!$G$3,FALSE)-VLOOKUP($C356,难度推算表,副本难度推算!$I$3,FALSE)*(2-副本难度推算!$AA$5)*(2-$S356)</f>
        <v>21442.434139791305</v>
      </c>
      <c r="H356" s="72">
        <f>VLOOKUP($C356,难度推算表,副本难度推算!$M$3,FALSE)*副本难度推算!$Y$6*Q356</f>
        <v>1499217.6588522154</v>
      </c>
      <c r="I356" s="72">
        <f>VLOOKUP($C356,难度推算表,副本难度推算!$P$3,FALSE)*副本难度推算!$Z$6*$R356+VLOOKUP($C356,难度推算表,副本难度推算!$H$3,FALSE)</f>
        <v>94995.895688464836</v>
      </c>
      <c r="J356" s="72">
        <f>VLOOKUP($C356,难度推算表,副本难度推算!$G$3,FALSE)-VLOOKUP($C356,难度推算表,副本难度推算!$I$3,FALSE)*(2-副本难度推算!$AA$6)*(2-$S356)</f>
        <v>15573.97848048</v>
      </c>
      <c r="K356" s="72">
        <f>VLOOKUP($C356,难度推算表,副本难度推算!$M$3,FALSE)*副本难度推算!$Y$7*Q356</f>
        <v>4685055.1839131732</v>
      </c>
      <c r="L356" s="72">
        <f>VLOOKUP($C356,难度推算表,副本难度推算!$P$3,FALSE)*副本难度推算!$Z$7*$R356+VLOOKUP($C356,难度推算表,副本难度推算!$H$3,FALSE)</f>
        <v>119137.5331496053</v>
      </c>
      <c r="M356" s="72">
        <f>VLOOKUP($C356,难度推算表,副本难度推算!$G$3,FALSE)-VLOOKUP($C356,难度推算表,副本难度推算!$I$3,FALSE)*(2-副本难度推算!$AA$7)*(2-$S356)</f>
        <v>27310.889799102606</v>
      </c>
      <c r="N356" s="2">
        <f>VLOOKUP($C356,难度推算表,副本难度推算!$Q$3,FALSE)</f>
        <v>5407.4360000000006</v>
      </c>
      <c r="O356" s="2">
        <f>VLOOKUP($C356,难度推算表,副本难度推算!$R$3,FALSE)</f>
        <v>0</v>
      </c>
      <c r="Q356" s="140">
        <f t="shared" si="31"/>
        <v>1.2000000000000002</v>
      </c>
      <c r="R356" s="140">
        <f t="shared" si="32"/>
        <v>0.72000000000000008</v>
      </c>
      <c r="S356" s="140">
        <f t="shared" si="33"/>
        <v>0.96</v>
      </c>
      <c r="V356" s="140"/>
      <c r="W356" s="140"/>
      <c r="X356" s="140"/>
    </row>
    <row r="357" spans="1:24">
      <c r="A357" s="2" t="str">
        <f t="shared" si="34"/>
        <v>营救</v>
      </c>
      <c r="B357" s="2" t="str">
        <f>怪物并表!$R$14</f>
        <v>英雄之路</v>
      </c>
      <c r="C357" s="2">
        <v>88</v>
      </c>
      <c r="D357" s="28">
        <f t="shared" si="30"/>
        <v>1905</v>
      </c>
      <c r="E357" s="72">
        <f>VLOOKUP($C357,难度推算表,副本难度推算!$M$3,FALSE)*副本难度推算!$Y$5*Q357</f>
        <v>1967013.311887085</v>
      </c>
      <c r="F357" s="72">
        <f>VLOOKUP($C357,难度推算表,副本难度推算!$P$3,FALSE)*副本难度推算!$Z$5*$R357+VLOOKUP($C357,难度推算表,副本难度推算!$H$3,FALSE)</f>
        <v>109442.35087709768</v>
      </c>
      <c r="G357" s="72">
        <f>VLOOKUP($C357,难度推算表,副本难度推算!$G$3,FALSE)-VLOOKUP($C357,难度推算表,副本难度推算!$I$3,FALSE)*(2-副本难度推算!$AA$5)*(2-$S357)</f>
        <v>22330.966818461533</v>
      </c>
      <c r="H357" s="72">
        <f>VLOOKUP($C357,难度推算表,副本难度推算!$M$3,FALSE)*副本难度推算!$Y$6*Q357</f>
        <v>1573610.6495096681</v>
      </c>
      <c r="I357" s="72">
        <f>VLOOKUP($C357,难度推算表,副本难度推算!$P$3,FALSE)*副本难度推算!$Z$6*$R357+VLOOKUP($C357,难度推算表,副本难度推算!$H$3,FALSE)</f>
        <v>100848.74387554175</v>
      </c>
      <c r="J357" s="72">
        <f>VLOOKUP($C357,难度推算表,副本难度推算!$G$3,FALSE)-VLOOKUP($C357,难度推算表,副本难度推算!$I$3,FALSE)*(2-副本难度推算!$AA$6)*(2-$S357)</f>
        <v>16219.333794461534</v>
      </c>
      <c r="K357" s="72">
        <f>VLOOKUP($C357,难度推算表,副本难度推算!$M$3,FALSE)*副本难度推算!$Y$7*Q357</f>
        <v>4917533.2797177117</v>
      </c>
      <c r="L357" s="72">
        <f>VLOOKUP($C357,难度推算表,副本难度推算!$P$3,FALSE)*副本难度推算!$Z$7*$R357+VLOOKUP($C357,难度推算表,副本难度推算!$H$3,FALSE)</f>
        <v>126629.56488020951</v>
      </c>
      <c r="M357" s="72">
        <f>VLOOKUP($C357,难度推算表,副本难度推算!$G$3,FALSE)-VLOOKUP($C357,难度推算表,副本难度推算!$I$3,FALSE)*(2-副本难度推算!$AA$7)*(2-$S357)</f>
        <v>28442.599842461528</v>
      </c>
      <c r="N357" s="2">
        <f>VLOOKUP($C357,难度推算表,副本难度推算!$Q$3,FALSE)</f>
        <v>5465.6640000000007</v>
      </c>
      <c r="O357" s="2">
        <f>VLOOKUP($C357,难度推算表,副本难度推算!$R$3,FALSE)</f>
        <v>0</v>
      </c>
      <c r="Q357" s="140">
        <f t="shared" si="31"/>
        <v>1.2000000000000002</v>
      </c>
      <c r="R357" s="140">
        <f t="shared" si="32"/>
        <v>0.72000000000000008</v>
      </c>
      <c r="S357" s="140">
        <f t="shared" si="33"/>
        <v>0.96</v>
      </c>
      <c r="V357" s="140"/>
      <c r="W357" s="140"/>
      <c r="X357" s="140"/>
    </row>
    <row r="358" spans="1:24">
      <c r="A358" s="2" t="str">
        <f t="shared" si="34"/>
        <v>营救</v>
      </c>
      <c r="B358" s="2" t="str">
        <f>怪物并表!$R$14</f>
        <v>英雄之路</v>
      </c>
      <c r="C358" s="2">
        <v>89</v>
      </c>
      <c r="D358" s="28">
        <f t="shared" si="30"/>
        <v>1905</v>
      </c>
      <c r="E358" s="72">
        <f>VLOOKUP($C358,难度推算表,副本难度推算!$M$3,FALSE)*副本难度推算!$Y$5*Q358</f>
        <v>2063191.9476694395</v>
      </c>
      <c r="F358" s="72">
        <f>VLOOKUP($C358,难度推算表,副本难度推算!$P$3,FALSE)*副本难度推算!$Z$5*$R358+VLOOKUP($C358,难度推算表,副本难度推算!$H$3,FALSE)</f>
        <v>116180.93831678941</v>
      </c>
      <c r="G358" s="72">
        <f>VLOOKUP($C358,难度推算表,副本难度推算!$G$3,FALSE)-VLOOKUP($C358,难度推算表,副本难度推算!$I$3,FALSE)*(2-副本难度推算!$AA$5)*(2-$S358)</f>
        <v>23241.841822386614</v>
      </c>
      <c r="H358" s="72">
        <f>VLOOKUP($C358,难度推算表,副本难度推算!$M$3,FALSE)*副本难度推算!$Y$6*Q358</f>
        <v>1650553.5581355519</v>
      </c>
      <c r="I358" s="72">
        <f>VLOOKUP($C358,难度推算表,副本难度推算!$P$3,FALSE)*副本难度推算!$Z$6*$R358+VLOOKUP($C358,难度推算表,副本难度推算!$H$3,FALSE)</f>
        <v>107009.35415062486</v>
      </c>
      <c r="J358" s="72">
        <f>VLOOKUP($C358,难度推算表,副本难度推算!$G$3,FALSE)-VLOOKUP($C358,难度推算表,副本难度推算!$I$3,FALSE)*(2-副本难度推算!$AA$6)*(2-$S358)</f>
        <v>16880.916692049221</v>
      </c>
      <c r="K358" s="72">
        <f>VLOOKUP($C358,难度推算表,副本难度推算!$M$3,FALSE)*副本难度推算!$Y$7*Q358</f>
        <v>5157979.8691735994</v>
      </c>
      <c r="L358" s="72">
        <f>VLOOKUP($C358,难度推算表,副本难度推算!$P$3,FALSE)*副本难度推算!$Z$7*$R358+VLOOKUP($C358,难度推算表,副本难度推算!$H$3,FALSE)</f>
        <v>134524.10664911853</v>
      </c>
      <c r="M358" s="72">
        <f>VLOOKUP($C358,难度推算表,副本难度推算!$G$3,FALSE)-VLOOKUP($C358,难度推算表,副本难度推算!$I$3,FALSE)*(2-副本难度推算!$AA$7)*(2-$S358)</f>
        <v>29602.766952724003</v>
      </c>
      <c r="N358" s="2">
        <f>VLOOKUP($C358,难度推算表,副本难度推算!$Q$3,FALSE)</f>
        <v>5523.8919999999998</v>
      </c>
      <c r="O358" s="2">
        <f>VLOOKUP($C358,难度推算表,副本难度推算!$R$3,FALSE)</f>
        <v>0</v>
      </c>
      <c r="Q358" s="140">
        <f t="shared" si="31"/>
        <v>1.2000000000000002</v>
      </c>
      <c r="R358" s="140">
        <f t="shared" si="32"/>
        <v>0.72000000000000008</v>
      </c>
      <c r="S358" s="140">
        <f t="shared" si="33"/>
        <v>0.96</v>
      </c>
      <c r="V358" s="140"/>
      <c r="W358" s="140"/>
      <c r="X358" s="140"/>
    </row>
    <row r="359" spans="1:24">
      <c r="A359" s="2" t="str">
        <f t="shared" si="34"/>
        <v>营救</v>
      </c>
      <c r="B359" s="2" t="str">
        <f>怪物并表!$R$14</f>
        <v>英雄之路</v>
      </c>
      <c r="C359" s="2">
        <v>90</v>
      </c>
      <c r="D359" s="28">
        <f t="shared" si="30"/>
        <v>1905</v>
      </c>
      <c r="E359" s="72">
        <f>VLOOKUP($C359,难度推算表,副本难度推算!$M$3,FALSE)*副本难度推算!$Y$5*Q359</f>
        <v>2162625.0297977696</v>
      </c>
      <c r="F359" s="72">
        <f>VLOOKUP($C359,难度推算表,副本难度推算!$P$3,FALSE)*副本难度推算!$Z$5*$R359+VLOOKUP($C359,难度推算表,副本难度推算!$H$3,FALSE)</f>
        <v>123275.91626017389</v>
      </c>
      <c r="G359" s="72">
        <f>VLOOKUP($C359,难度推算表,副本难度推算!$G$3,FALSE)-VLOOKUP($C359,难度推算表,副本难度推算!$I$3,FALSE)*(2-副本难度推算!$AA$5)*(2-$S359)</f>
        <v>24175.31238956521</v>
      </c>
      <c r="H359" s="72">
        <f>VLOOKUP($C359,难度推算表,副本难度推算!$M$3,FALSE)*副本难度推算!$Y$6*Q359</f>
        <v>1730100.0238382155</v>
      </c>
      <c r="I359" s="72">
        <f>VLOOKUP($C359,难度推算表,副本难度推算!$P$3,FALSE)*副本难度推算!$Z$6*$R359+VLOOKUP($C359,难度推算表,副本难度推算!$H$3,FALSE)</f>
        <v>113493.09435937391</v>
      </c>
      <c r="J359" s="72">
        <f>VLOOKUP($C359,难度推算表,副本难度推算!$G$3,FALSE)-VLOOKUP($C359,难度推算表,副本难度推算!$I$3,FALSE)*(2-副本难度推算!$AA$6)*(2-$S359)</f>
        <v>17558.911103999999</v>
      </c>
      <c r="K359" s="72">
        <f>VLOOKUP($C359,难度推算表,副本难度推算!$M$3,FALSE)*副本难度推算!$Y$7*Q359</f>
        <v>5406562.5744944233</v>
      </c>
      <c r="L359" s="72">
        <f>VLOOKUP($C359,难度推算表,副本难度推算!$P$3,FALSE)*副本难度推算!$Z$7*$R359+VLOOKUP($C359,难度推算表,副本难度推算!$H$3,FALSE)</f>
        <v>142841.5600617739</v>
      </c>
      <c r="M359" s="72">
        <f>VLOOKUP($C359,难度推算表,副本难度推算!$G$3,FALSE)-VLOOKUP($C359,难度推算表,副本难度推算!$I$3,FALSE)*(2-副本难度推算!$AA$7)*(2-$S359)</f>
        <v>30791.713675130421</v>
      </c>
      <c r="N359" s="2">
        <f>VLOOKUP($C359,难度推算表,副本难度推算!$Q$3,FALSE)</f>
        <v>5582.12</v>
      </c>
      <c r="O359" s="2">
        <f>VLOOKUP($C359,难度推算表,副本难度推算!$R$3,FALSE)</f>
        <v>0</v>
      </c>
      <c r="Q359" s="140">
        <f t="shared" si="31"/>
        <v>1.2000000000000002</v>
      </c>
      <c r="R359" s="140">
        <f t="shared" si="32"/>
        <v>0.72000000000000008</v>
      </c>
      <c r="S359" s="140">
        <f t="shared" si="33"/>
        <v>0.96</v>
      </c>
      <c r="V359" s="140"/>
      <c r="W359" s="140"/>
      <c r="X359" s="140"/>
    </row>
    <row r="360" spans="1:24">
      <c r="A360" s="2" t="str">
        <f>$Z$16</f>
        <v>陷阱</v>
      </c>
      <c r="B360" s="2" t="str">
        <f>怪物并表!$R$14</f>
        <v>英雄之路</v>
      </c>
      <c r="C360" s="2">
        <v>20</v>
      </c>
      <c r="D360" s="28">
        <f t="shared" si="30"/>
        <v>1906</v>
      </c>
      <c r="E360" s="72">
        <f>VLOOKUP($C360,难度推算表,副本难度推算!$M$3,FALSE)*副本难度推算!$Y$5*Q360</f>
        <v>8941.8021277316402</v>
      </c>
      <c r="F360" s="72">
        <f>VLOOKUP($C360,难度推算表,副本难度推算!$P$3,FALSE)*副本难度推算!$Z$5*$R360+VLOOKUP($C360,难度推算表,副本难度推算!$H$3,FALSE)</f>
        <v>455.47630434782616</v>
      </c>
      <c r="G360" s="72">
        <f>VLOOKUP($C360,难度推算表,副本难度推算!$G$3,FALSE)-VLOOKUP($C360,难度推算表,副本难度推算!$I$3,FALSE)*(2-副本难度推算!$AA$5)*(2-$S360)</f>
        <v>236.22260869565224</v>
      </c>
      <c r="H360" s="72">
        <f>VLOOKUP($C360,难度推算表,副本难度推算!$M$3,FALSE)*副本难度推算!$Y$6*Q360</f>
        <v>7153.4417021853124</v>
      </c>
      <c r="I360" s="72">
        <f>VLOOKUP($C360,难度推算表,副本难度推算!$P$3,FALSE)*副本难度推算!$Z$6*$R360+VLOOKUP($C360,难度推算表,副本难度推算!$H$3,FALSE)</f>
        <v>436.92554347826098</v>
      </c>
      <c r="J360" s="72">
        <f>VLOOKUP($C360,难度推算表,副本难度推算!$G$3,FALSE)-VLOOKUP($C360,难度推算表,副本难度推算!$I$3,FALSE)*(2-副本难度推算!$AA$6)*(2-$S360)</f>
        <v>161.98121739130443</v>
      </c>
      <c r="K360" s="72">
        <f>VLOOKUP($C360,难度推算表,副本难度推算!$M$3,FALSE)*副本难度推算!$Y$7*Q360</f>
        <v>22354.505319329102</v>
      </c>
      <c r="L360" s="72">
        <f>VLOOKUP($C360,难度推算表,副本难度推算!$P$3,FALSE)*副本难度推算!$Z$7*$R360+VLOOKUP($C360,难度推算表,副本难度推算!$H$3,FALSE)</f>
        <v>492.57782608695663</v>
      </c>
      <c r="M360" s="72">
        <f>VLOOKUP($C360,难度推算表,副本难度推算!$G$3,FALSE)-VLOOKUP($C360,难度推算表,副本难度推算!$I$3,FALSE)*(2-副本难度推算!$AA$7)*(2-$S360)</f>
        <v>310.46400000000006</v>
      </c>
      <c r="N360" s="2">
        <f>VLOOKUP($C360,难度推算表,副本难度推算!$Q$3,FALSE)</f>
        <v>1506.1599999999999</v>
      </c>
      <c r="O360" s="2">
        <f>VLOOKUP($C360,难度推算表,副本难度推算!$R$3,FALSE)</f>
        <v>0</v>
      </c>
      <c r="Q360" s="140">
        <f t="shared" si="31"/>
        <v>1.1000000000000001</v>
      </c>
      <c r="R360" s="140">
        <f t="shared" si="32"/>
        <v>0.9</v>
      </c>
      <c r="S360" s="140">
        <f t="shared" si="33"/>
        <v>0.9</v>
      </c>
      <c r="V360" s="140"/>
      <c r="W360" s="140"/>
      <c r="X360" s="140"/>
    </row>
    <row r="361" spans="1:24">
      <c r="A361" s="2" t="str">
        <f t="shared" ref="A361:A424" si="35">$Z$16</f>
        <v>陷阱</v>
      </c>
      <c r="B361" s="2" t="str">
        <f>怪物并表!$R$14</f>
        <v>英雄之路</v>
      </c>
      <c r="C361" s="2">
        <v>21</v>
      </c>
      <c r="D361" s="28">
        <f t="shared" si="30"/>
        <v>1906</v>
      </c>
      <c r="E361" s="72">
        <f>VLOOKUP($C361,难度推算表,副本难度推算!$M$3,FALSE)*副本难度推算!$Y$5*Q361</f>
        <v>9993.3297907254164</v>
      </c>
      <c r="F361" s="72">
        <f>VLOOKUP($C361,难度推算表,副本难度推算!$P$3,FALSE)*副本难度推算!$Z$5*$R361+VLOOKUP($C361,难度推算表,副本难度推算!$H$3,FALSE)</f>
        <v>505.36028817219699</v>
      </c>
      <c r="G361" s="72">
        <f>VLOOKUP($C361,难度推算表,副本难度推算!$G$3,FALSE)-VLOOKUP($C361,难度推算表,副本难度推算!$I$3,FALSE)*(2-副本难度推算!$AA$5)*(2-$S361)</f>
        <v>258.23188695652181</v>
      </c>
      <c r="H361" s="72">
        <f>VLOOKUP($C361,难度推算表,副本难度推算!$M$3,FALSE)*副本难度推算!$Y$6*Q361</f>
        <v>7994.6638325803333</v>
      </c>
      <c r="I361" s="72">
        <f>VLOOKUP($C361,难度推算表,副本难度推算!$P$3,FALSE)*副本难度推算!$Z$6*$R361+VLOOKUP($C361,难度推算表,副本难度推算!$H$3,FALSE)</f>
        <v>484.33647500715119</v>
      </c>
      <c r="J361" s="72">
        <f>VLOOKUP($C361,难度推算表,副本难度推算!$G$3,FALSE)-VLOOKUP($C361,难度推算表,副本难度推算!$I$3,FALSE)*(2-副本难度推算!$AA$6)*(2-$S361)</f>
        <v>177.07329391304353</v>
      </c>
      <c r="K361" s="72">
        <f>VLOOKUP($C361,难度推算表,副本难度推算!$M$3,FALSE)*副本难度推算!$Y$7*Q361</f>
        <v>24983.324476813541</v>
      </c>
      <c r="L361" s="72">
        <f>VLOOKUP($C361,难度推算表,副本难度推算!$P$3,FALSE)*副本难度推算!$Z$7*$R361+VLOOKUP($C361,难度推算表,副本难度推算!$H$3,FALSE)</f>
        <v>547.40791450228858</v>
      </c>
      <c r="M361" s="72">
        <f>VLOOKUP($C361,难度推算表,副本难度推算!$G$3,FALSE)-VLOOKUP($C361,难度推算表,副本难度推算!$I$3,FALSE)*(2-副本难度推算!$AA$7)*(2-$S361)</f>
        <v>339.39048000000014</v>
      </c>
      <c r="N361" s="2">
        <f>VLOOKUP($C361,难度推算表,副本难度推算!$Q$3,FALSE)</f>
        <v>1564.3879999999999</v>
      </c>
      <c r="O361" s="2">
        <f>VLOOKUP($C361,难度推算表,副本难度推算!$R$3,FALSE)</f>
        <v>0</v>
      </c>
      <c r="Q361" s="140">
        <f t="shared" si="31"/>
        <v>1.1000000000000001</v>
      </c>
      <c r="R361" s="140">
        <f t="shared" si="32"/>
        <v>0.9</v>
      </c>
      <c r="S361" s="140">
        <f t="shared" si="33"/>
        <v>0.9</v>
      </c>
      <c r="V361" s="140"/>
      <c r="W361" s="140"/>
      <c r="X361" s="140"/>
    </row>
    <row r="362" spans="1:24">
      <c r="A362" s="2" t="str">
        <f t="shared" si="35"/>
        <v>陷阱</v>
      </c>
      <c r="B362" s="2" t="str">
        <f>怪物并表!$R$14</f>
        <v>英雄之路</v>
      </c>
      <c r="C362" s="2">
        <v>22</v>
      </c>
      <c r="D362" s="28">
        <f t="shared" si="30"/>
        <v>1906</v>
      </c>
      <c r="E362" s="72">
        <f>VLOOKUP($C362,难度推算表,副本难度推算!$M$3,FALSE)*副本难度推算!$Y$5*Q362</f>
        <v>11115.734819844491</v>
      </c>
      <c r="F362" s="72">
        <f>VLOOKUP($C362,难度推算表,副本难度推算!$P$3,FALSE)*副本难度推算!$Z$5*$R362+VLOOKUP($C362,难度推算表,副本难度推算!$H$3,FALSE)</f>
        <v>558.43666896413561</v>
      </c>
      <c r="G362" s="72">
        <f>VLOOKUP($C362,难度推算表,副本难度推算!$G$3,FALSE)-VLOOKUP($C362,难度推算表,副本难度推算!$I$3,FALSE)*(2-副本难度推算!$AA$5)*(2-$S362)</f>
        <v>281.1531130434783</v>
      </c>
      <c r="H362" s="72">
        <f>VLOOKUP($C362,难度推算表,副本难度推算!$M$3,FALSE)*副本难度推算!$Y$6*Q362</f>
        <v>8892.5878558755921</v>
      </c>
      <c r="I362" s="72">
        <f>VLOOKUP($C362,难度推算表,副本难度推算!$P$3,FALSE)*副本难度推算!$Z$6*$R362+VLOOKUP($C362,难度推算表,副本难度推算!$H$3,FALSE)</f>
        <v>534.72478641554812</v>
      </c>
      <c r="J362" s="72">
        <f>VLOOKUP($C362,难度推算表,副本难度推算!$G$3,FALSE)-VLOOKUP($C362,难度推算表,副本难度推算!$I$3,FALSE)*(2-副本难度推算!$AA$6)*(2-$S362)</f>
        <v>192.79070608695656</v>
      </c>
      <c r="K362" s="72">
        <f>VLOOKUP($C362,难度推算表,副本难度推算!$M$3,FALSE)*副本难度推算!$Y$7*Q362</f>
        <v>27789.337049611226</v>
      </c>
      <c r="L362" s="72">
        <f>VLOOKUP($C362,难度推算表,副本难度推算!$P$3,FALSE)*副本难度推算!$Z$7*$R362+VLOOKUP($C362,难度推算表,副本难度推算!$H$3,FALSE)</f>
        <v>605.86043406131057</v>
      </c>
      <c r="M362" s="72">
        <f>VLOOKUP($C362,难度推算表,副本难度推算!$G$3,FALSE)-VLOOKUP($C362,难度推算表,副本难度推算!$I$3,FALSE)*(2-副本难度推算!$AA$7)*(2-$S362)</f>
        <v>369.51552000000004</v>
      </c>
      <c r="N362" s="2">
        <f>VLOOKUP($C362,难度推算表,副本难度推算!$Q$3,FALSE)</f>
        <v>1622.616</v>
      </c>
      <c r="O362" s="2">
        <f>VLOOKUP($C362,难度推算表,副本难度推算!$R$3,FALSE)</f>
        <v>0</v>
      </c>
      <c r="Q362" s="140">
        <f t="shared" si="31"/>
        <v>1.1000000000000001</v>
      </c>
      <c r="R362" s="140">
        <f t="shared" si="32"/>
        <v>0.9</v>
      </c>
      <c r="S362" s="140">
        <f t="shared" si="33"/>
        <v>0.9</v>
      </c>
      <c r="V362" s="140"/>
      <c r="W362" s="140"/>
      <c r="X362" s="140"/>
    </row>
    <row r="363" spans="1:24">
      <c r="A363" s="2" t="str">
        <f t="shared" si="35"/>
        <v>陷阱</v>
      </c>
      <c r="B363" s="2" t="str">
        <f>怪物并表!$R$14</f>
        <v>英雄之路</v>
      </c>
      <c r="C363" s="2">
        <v>23</v>
      </c>
      <c r="D363" s="28">
        <f t="shared" si="30"/>
        <v>1906</v>
      </c>
      <c r="E363" s="72">
        <f>VLOOKUP($C363,难度推算表,副本难度推算!$M$3,FALSE)*副本难度推算!$Y$5*Q363</f>
        <v>12540.446385600409</v>
      </c>
      <c r="F363" s="72">
        <f>VLOOKUP($C363,难度推算表,副本难度推算!$P$3,FALSE)*副本难度推算!$Z$5*$R363+VLOOKUP($C363,难度推算表,副本难度推算!$H$3,FALSE)</f>
        <v>626.27797793190211</v>
      </c>
      <c r="G363" s="72">
        <f>VLOOKUP($C363,难度推算表,副本难度推算!$G$3,FALSE)-VLOOKUP($C363,难度推算表,副本难度推算!$I$3,FALSE)*(2-副本难度推算!$AA$5)*(2-$S363)</f>
        <v>310.67244080267568</v>
      </c>
      <c r="H363" s="72">
        <f>VLOOKUP($C363,难度推算表,副本难度推算!$M$3,FALSE)*副本难度推算!$Y$6*Q363</f>
        <v>10032.357108480328</v>
      </c>
      <c r="I363" s="72">
        <f>VLOOKUP($C363,难度推算表,副本难度推算!$P$3,FALSE)*副本难度推算!$Z$6*$R363+VLOOKUP($C363,难度推算表,副本难度推算!$H$3,FALSE)</f>
        <v>599.15560194473187</v>
      </c>
      <c r="J363" s="72">
        <f>VLOOKUP($C363,难度推算表,副本难度推算!$G$3,FALSE)-VLOOKUP($C363,难度推算表,副本难度推算!$I$3,FALSE)*(2-副本难度推算!$AA$6)*(2-$S363)</f>
        <v>213.03253083612049</v>
      </c>
      <c r="K363" s="72">
        <f>VLOOKUP($C363,难度推算表,副本难度推算!$M$3,FALSE)*副本难度推算!$Y$7*Q363</f>
        <v>31351.115964001023</v>
      </c>
      <c r="L363" s="72">
        <f>VLOOKUP($C363,难度推算表,副本难度推算!$P$3,FALSE)*副本难度推算!$Z$7*$R363+VLOOKUP($C363,难度推算表,副本难度推算!$H$3,FALSE)</f>
        <v>680.52272990624238</v>
      </c>
      <c r="M363" s="72">
        <f>VLOOKUP($C363,难度推算表,副本难度推算!$G$3,FALSE)-VLOOKUP($C363,难度推算表,副本难度推算!$I$3,FALSE)*(2-副本难度推算!$AA$7)*(2-$S363)</f>
        <v>408.31235076923082</v>
      </c>
      <c r="N363" s="2">
        <f>VLOOKUP($C363,难度推算表,副本难度推算!$Q$3,FALSE)</f>
        <v>1680.8440000000001</v>
      </c>
      <c r="O363" s="2">
        <f>VLOOKUP($C363,难度推算表,副本难度推算!$R$3,FALSE)</f>
        <v>0</v>
      </c>
      <c r="Q363" s="140">
        <f t="shared" si="31"/>
        <v>1.1000000000000001</v>
      </c>
      <c r="R363" s="140">
        <f t="shared" si="32"/>
        <v>0.9</v>
      </c>
      <c r="S363" s="140">
        <f t="shared" si="33"/>
        <v>0.9</v>
      </c>
      <c r="V363" s="140"/>
      <c r="W363" s="140"/>
      <c r="X363" s="140"/>
    </row>
    <row r="364" spans="1:24">
      <c r="A364" s="2" t="str">
        <f t="shared" si="35"/>
        <v>陷阱</v>
      </c>
      <c r="B364" s="2" t="str">
        <f>怪物并表!$R$14</f>
        <v>英雄之路</v>
      </c>
      <c r="C364" s="2">
        <v>24</v>
      </c>
      <c r="D364" s="28">
        <f t="shared" si="30"/>
        <v>1906</v>
      </c>
      <c r="E364" s="72">
        <f>VLOOKUP($C364,难度推算表,副本难度推算!$M$3,FALSE)*副本难度推算!$Y$5*Q364</f>
        <v>14063.37942936764</v>
      </c>
      <c r="F364" s="72">
        <f>VLOOKUP($C364,难度推算表,副本难度推算!$P$3,FALSE)*副本难度推算!$Z$5*$R364+VLOOKUP($C364,难度推算表,副本难度推算!$H$3,FALSE)</f>
        <v>698.5815189056982</v>
      </c>
      <c r="G364" s="72">
        <f>VLOOKUP($C364,难度推算表,副本难度推算!$G$3,FALSE)-VLOOKUP($C364,难度推算表,副本难度推算!$I$3,FALSE)*(2-副本难度推算!$AA$5)*(2-$S364)</f>
        <v>341.44833177257522</v>
      </c>
      <c r="H364" s="72">
        <f>VLOOKUP($C364,难度推算表,副本难度推算!$M$3,FALSE)*副本难度推算!$Y$6*Q364</f>
        <v>11250.703543494114</v>
      </c>
      <c r="I364" s="72">
        <f>VLOOKUP($C364,难度推算表,副本难度推算!$P$3,FALSE)*副本难度推算!$Z$6*$R364+VLOOKUP($C364,难度推算表,副本难度推算!$H$3,FALSE)</f>
        <v>667.74603350342272</v>
      </c>
      <c r="J364" s="72">
        <f>VLOOKUP($C364,难度推算表,副本难度推算!$G$3,FALSE)-VLOOKUP($C364,难度推算表,副本难度推算!$I$3,FALSE)*(2-副本难度推算!$AA$6)*(2-$S364)</f>
        <v>234.13599892976583</v>
      </c>
      <c r="K364" s="72">
        <f>VLOOKUP($C364,难度推算表,副本难度推算!$M$3,FALSE)*副本难度推算!$Y$7*Q364</f>
        <v>35158.448573419097</v>
      </c>
      <c r="L364" s="72">
        <f>VLOOKUP($C364,难度推算表,副本难度推算!$P$3,FALSE)*副本难度推算!$Z$7*$R364+VLOOKUP($C364,难度推算表,副本难度推算!$H$3,FALSE)</f>
        <v>760.25248971024917</v>
      </c>
      <c r="M364" s="72">
        <f>VLOOKUP($C364,难度推算表,副本难度推算!$G$3,FALSE)-VLOOKUP($C364,难度推算表,副本难度推算!$I$3,FALSE)*(2-副本难度推算!$AA$7)*(2-$S364)</f>
        <v>448.7606646153846</v>
      </c>
      <c r="N364" s="2">
        <f>VLOOKUP($C364,难度推算表,副本难度推算!$Q$3,FALSE)</f>
        <v>1739.0720000000001</v>
      </c>
      <c r="O364" s="2">
        <f>VLOOKUP($C364,难度推算表,副本难度推算!$R$3,FALSE)</f>
        <v>0</v>
      </c>
      <c r="Q364" s="140">
        <f t="shared" si="31"/>
        <v>1.1000000000000001</v>
      </c>
      <c r="R364" s="140">
        <f t="shared" si="32"/>
        <v>0.9</v>
      </c>
      <c r="S364" s="140">
        <f t="shared" si="33"/>
        <v>0.9</v>
      </c>
      <c r="V364" s="140"/>
      <c r="W364" s="140"/>
      <c r="X364" s="140"/>
    </row>
    <row r="365" spans="1:24">
      <c r="A365" s="2" t="str">
        <f t="shared" si="35"/>
        <v>陷阱</v>
      </c>
      <c r="B365" s="2" t="str">
        <f>怪物并表!$R$14</f>
        <v>英雄之路</v>
      </c>
      <c r="C365" s="2">
        <v>25</v>
      </c>
      <c r="D365" s="28">
        <f t="shared" si="30"/>
        <v>1906</v>
      </c>
      <c r="E365" s="72">
        <f>VLOOKUP($C365,难度推算表,副本难度推算!$M$3,FALSE)*副本难度推算!$Y$5*Q365</f>
        <v>15687.152669712537</v>
      </c>
      <c r="F365" s="72">
        <f>VLOOKUP($C365,难度推算表,副本难度推算!$P$3,FALSE)*副本难度推算!$Z$5*$R365+VLOOKUP($C365,难度推算表,副本难度推算!$H$3,FALSE)</f>
        <v>775.50225171527677</v>
      </c>
      <c r="G365" s="72">
        <f>VLOOKUP($C365,难度推算表,副本难度推算!$G$3,FALSE)-VLOOKUP($C365,难度推算表,副本难度推算!$I$3,FALSE)*(2-副本难度推算!$AA$5)*(2-$S365)</f>
        <v>373.48078595317736</v>
      </c>
      <c r="H365" s="72">
        <f>VLOOKUP($C365,难度推算表,副本难度推算!$M$3,FALSE)*副本难度推算!$Y$6*Q365</f>
        <v>12549.722135770031</v>
      </c>
      <c r="I365" s="72">
        <f>VLOOKUP($C365,难度推算表,副本难度推算!$P$3,FALSE)*副本难度推算!$Z$6*$R365+VLOOKUP($C365,难度推算表,副本难度推算!$H$3,FALSE)</f>
        <v>740.63554493839797</v>
      </c>
      <c r="J365" s="72">
        <f>VLOOKUP($C365,难度推算表,副本难度推算!$G$3,FALSE)-VLOOKUP($C365,难度推算表,副本难度推算!$I$3,FALSE)*(2-副本难度推算!$AA$6)*(2-$S365)</f>
        <v>256.10111036789294</v>
      </c>
      <c r="K365" s="72">
        <f>VLOOKUP($C365,难度推算表,副本难度推算!$M$3,FALSE)*副本难度推算!$Y$7*Q365</f>
        <v>39217.881674281351</v>
      </c>
      <c r="L365" s="72">
        <f>VLOOKUP($C365,难度推算表,副本难度推算!$P$3,FALSE)*副本难度推算!$Z$7*$R365+VLOOKUP($C365,难度推算表,副本难度推算!$H$3,FALSE)</f>
        <v>845.23566526903437</v>
      </c>
      <c r="M365" s="72">
        <f>VLOOKUP($C365,难度推算表,副本难度推算!$G$3,FALSE)-VLOOKUP($C365,难度推算表,副本难度推算!$I$3,FALSE)*(2-副本难度推算!$AA$7)*(2-$S365)</f>
        <v>490.86046153846166</v>
      </c>
      <c r="N365" s="2">
        <f>VLOOKUP($C365,难度推算表,副本难度推算!$Q$3,FALSE)</f>
        <v>1797.3000000000002</v>
      </c>
      <c r="O365" s="2">
        <f>VLOOKUP($C365,难度推算表,副本难度推算!$R$3,FALSE)</f>
        <v>0</v>
      </c>
      <c r="Q365" s="140">
        <f t="shared" si="31"/>
        <v>1.1000000000000001</v>
      </c>
      <c r="R365" s="140">
        <f t="shared" si="32"/>
        <v>0.9</v>
      </c>
      <c r="S365" s="140">
        <f t="shared" si="33"/>
        <v>0.9</v>
      </c>
      <c r="V365" s="140"/>
      <c r="W365" s="140"/>
      <c r="X365" s="140"/>
    </row>
    <row r="366" spans="1:24">
      <c r="A366" s="2" t="str">
        <f t="shared" si="35"/>
        <v>陷阱</v>
      </c>
      <c r="B366" s="2" t="str">
        <f>怪物并表!$R$14</f>
        <v>英雄之路</v>
      </c>
      <c r="C366" s="2">
        <v>26</v>
      </c>
      <c r="D366" s="28">
        <f t="shared" si="30"/>
        <v>1906</v>
      </c>
      <c r="E366" s="72">
        <f>VLOOKUP($C366,难度推算表,副本难度推算!$M$3,FALSE)*副本难度推算!$Y$5*Q366</f>
        <v>17635.32426947316</v>
      </c>
      <c r="F366" s="72">
        <f>VLOOKUP($C366,难度推算表,副本难度推算!$P$3,FALSE)*副本难度推算!$Z$5*$R366+VLOOKUP($C366,难度推算表,副本难度推算!$H$3,FALSE)</f>
        <v>868.0754053798604</v>
      </c>
      <c r="G366" s="72">
        <f>VLOOKUP($C366,难度推算表,副本难度推算!$G$3,FALSE)-VLOOKUP($C366,难度推算表,副本难度推算!$I$3,FALSE)*(2-副本难度推算!$AA$5)*(2-$S366)</f>
        <v>411.93076334448165</v>
      </c>
      <c r="H366" s="72">
        <f>VLOOKUP($C366,难度推算表,副本难度推算!$M$3,FALSE)*副本难度推算!$Y$6*Q366</f>
        <v>14108.259415578528</v>
      </c>
      <c r="I366" s="72">
        <f>VLOOKUP($C366,难度推算表,副本难度推算!$P$3,FALSE)*副本难度推算!$Z$6*$R366+VLOOKUP($C366,难度推算表,副本难度推算!$H$3,FALSE)</f>
        <v>828.34566636695797</v>
      </c>
      <c r="J366" s="72">
        <f>VLOOKUP($C366,难度推算表,副本难度推算!$G$3,FALSE)-VLOOKUP($C366,难度推算表,副本难度推算!$I$3,FALSE)*(2-副本难度推算!$AA$6)*(2-$S366)</f>
        <v>282.46680915050172</v>
      </c>
      <c r="K366" s="72">
        <f>VLOOKUP($C366,难度推算表,副本难度推算!$M$3,FALSE)*副本难度推算!$Y$7*Q366</f>
        <v>44088.3106736829</v>
      </c>
      <c r="L366" s="72">
        <f>VLOOKUP($C366,难度推算表,副本难度推算!$P$3,FALSE)*副本难度推算!$Z$7*$R366+VLOOKUP($C366,难度推算表,副本难度推算!$H$3,FALSE)</f>
        <v>947.53488340566525</v>
      </c>
      <c r="M366" s="72">
        <f>VLOOKUP($C366,难度推算表,副本难度推算!$G$3,FALSE)-VLOOKUP($C366,难度推算表,副本难度推算!$I$3,FALSE)*(2-副本难度推算!$AA$7)*(2-$S366)</f>
        <v>541.39471753846158</v>
      </c>
      <c r="N366" s="2">
        <f>VLOOKUP($C366,难度推算表,副本难度推算!$Q$3,FALSE)</f>
        <v>1855.528</v>
      </c>
      <c r="O366" s="2">
        <f>VLOOKUP($C366,难度推算表,副本难度推算!$R$3,FALSE)</f>
        <v>0</v>
      </c>
      <c r="Q366" s="140">
        <f t="shared" si="31"/>
        <v>1.1000000000000001</v>
      </c>
      <c r="R366" s="140">
        <f t="shared" si="32"/>
        <v>0.9</v>
      </c>
      <c r="S366" s="140">
        <f t="shared" si="33"/>
        <v>0.9</v>
      </c>
      <c r="V366" s="140"/>
      <c r="W366" s="140"/>
      <c r="X366" s="140"/>
    </row>
    <row r="367" spans="1:24">
      <c r="A367" s="2" t="str">
        <f t="shared" si="35"/>
        <v>陷阱</v>
      </c>
      <c r="B367" s="2" t="str">
        <f>怪物并表!$R$14</f>
        <v>英雄之路</v>
      </c>
      <c r="C367" s="2">
        <v>27</v>
      </c>
      <c r="D367" s="28">
        <f t="shared" si="30"/>
        <v>1906</v>
      </c>
      <c r="E367" s="72">
        <f>VLOOKUP($C367,难度推算表,副本难度推算!$M$3,FALSE)*副本难度推算!$Y$5*Q367</f>
        <v>19710.34129093419</v>
      </c>
      <c r="F367" s="72">
        <f>VLOOKUP($C367,难度推算表,副本难度推算!$P$3,FALSE)*副本难度推算!$Z$5*$R367+VLOOKUP($C367,难度推算表,副本难度推算!$H$3,FALSE)</f>
        <v>966.5259269812766</v>
      </c>
      <c r="G367" s="72">
        <f>VLOOKUP($C367,难度推算表,副本难度推算!$G$3,FALSE)-VLOOKUP($C367,难度推算表,副本难度推算!$I$3,FALSE)*(2-副本难度推算!$AA$5)*(2-$S367)</f>
        <v>451.92402394648843</v>
      </c>
      <c r="H367" s="72">
        <f>VLOOKUP($C367,难度推算表,副本难度推算!$M$3,FALSE)*副本难度推算!$Y$6*Q367</f>
        <v>15768.273032747353</v>
      </c>
      <c r="I367" s="72">
        <f>VLOOKUP($C367,难度推算表,副本难度推算!$P$3,FALSE)*副本难度推算!$Z$6*$R367+VLOOKUP($C367,难度推算表,副本难度推算!$H$3,FALSE)</f>
        <v>921.5217941627476</v>
      </c>
      <c r="J367" s="72">
        <f>VLOOKUP($C367,难度推算表,副本难度推算!$G$3,FALSE)-VLOOKUP($C367,难度推算表,副本难度推算!$I$3,FALSE)*(2-副本难度推算!$AA$6)*(2-$S367)</f>
        <v>309.89075927759211</v>
      </c>
      <c r="K367" s="72">
        <f>VLOOKUP($C367,难度推算表,副本难度推算!$M$3,FALSE)*副本难度推算!$Y$7*Q367</f>
        <v>49275.853227335472</v>
      </c>
      <c r="L367" s="72">
        <f>VLOOKUP($C367,难度推算表,副本难度推算!$P$3,FALSE)*副本难度推算!$Z$7*$R367+VLOOKUP($C367,难度推算表,副本难度推算!$H$3,FALSE)</f>
        <v>1056.5341926183346</v>
      </c>
      <c r="M367" s="72">
        <f>VLOOKUP($C367,难度推算表,副本难度推算!$G$3,FALSE)-VLOOKUP($C367,难度推算表,副本难度推算!$I$3,FALSE)*(2-副本难度推算!$AA$7)*(2-$S367)</f>
        <v>593.95728861538475</v>
      </c>
      <c r="N367" s="2">
        <f>VLOOKUP($C367,难度推算表,副本难度推算!$Q$3,FALSE)</f>
        <v>1913.7559999999999</v>
      </c>
      <c r="O367" s="2">
        <f>VLOOKUP($C367,难度推算表,副本难度推算!$R$3,FALSE)</f>
        <v>0</v>
      </c>
      <c r="Q367" s="140">
        <f t="shared" si="31"/>
        <v>1.1000000000000001</v>
      </c>
      <c r="R367" s="140">
        <f t="shared" si="32"/>
        <v>0.9</v>
      </c>
      <c r="S367" s="140">
        <f t="shared" si="33"/>
        <v>0.9</v>
      </c>
      <c r="V367" s="140"/>
      <c r="W367" s="140"/>
      <c r="X367" s="140"/>
    </row>
    <row r="368" spans="1:24">
      <c r="A368" s="2" t="str">
        <f t="shared" si="35"/>
        <v>陷阱</v>
      </c>
      <c r="B368" s="2" t="str">
        <f>怪物并表!$R$14</f>
        <v>英雄之路</v>
      </c>
      <c r="C368" s="2">
        <v>28</v>
      </c>
      <c r="D368" s="28">
        <f t="shared" si="30"/>
        <v>1906</v>
      </c>
      <c r="E368" s="72">
        <f>VLOOKUP($C368,难度推算表,副本难度推算!$M$3,FALSE)*副本难度推算!$Y$5*Q368</f>
        <v>21915.398576109143</v>
      </c>
      <c r="F368" s="72">
        <f>VLOOKUP($C368,难度推算表,副本难度推算!$P$3,FALSE)*副本难度推算!$Z$5*$R368+VLOOKUP($C368,难度推算表,副本难度推算!$H$3,FALSE)</f>
        <v>1071.056840151788</v>
      </c>
      <c r="G368" s="72">
        <f>VLOOKUP($C368,难度推算表,副本难度推算!$G$3,FALSE)-VLOOKUP($C368,难度推算表,副本难度推算!$I$3,FALSE)*(2-副本难度推算!$AA$5)*(2-$S368)</f>
        <v>493.46056775919737</v>
      </c>
      <c r="H368" s="72">
        <f>VLOOKUP($C368,难度推算表,副本难度推算!$M$3,FALSE)*副本难度推算!$Y$6*Q368</f>
        <v>17532.318860887313</v>
      </c>
      <c r="I368" s="72">
        <f>VLOOKUP($C368,难度推算表,副本难度推算!$P$3,FALSE)*副本难度推算!$Z$6*$R368+VLOOKUP($C368,难度推算表,副本难度推算!$H$3,FALSE)</f>
        <v>1020.3466495948034</v>
      </c>
      <c r="J368" s="72">
        <f>VLOOKUP($C368,难度推算表,副本难度推算!$G$3,FALSE)-VLOOKUP($C368,难度推算表,副本难度推算!$I$3,FALSE)*(2-副本难度推算!$AA$6)*(2-$S368)</f>
        <v>338.37296074916389</v>
      </c>
      <c r="K368" s="72">
        <f>VLOOKUP($C368,难度推算表,副本难度推算!$M$3,FALSE)*副本难度推算!$Y$7*Q368</f>
        <v>54788.496440272858</v>
      </c>
      <c r="L368" s="72">
        <f>VLOOKUP($C368,难度推算表,副本难度推算!$P$3,FALSE)*副本难度推算!$Z$7*$R368+VLOOKUP($C368,难度推算表,副本难度推算!$H$3,FALSE)</f>
        <v>1172.4772212657576</v>
      </c>
      <c r="M368" s="72">
        <f>VLOOKUP($C368,难度推算表,副本难度推算!$G$3,FALSE)-VLOOKUP($C368,难度推算表,副本难度推算!$I$3,FALSE)*(2-副本难度推算!$AA$7)*(2-$S368)</f>
        <v>648.54817476923085</v>
      </c>
      <c r="N368" s="2">
        <f>VLOOKUP($C368,难度推算表,副本难度推算!$Q$3,FALSE)</f>
        <v>1971.9840000000002</v>
      </c>
      <c r="O368" s="2">
        <f>VLOOKUP($C368,难度推算表,副本难度推算!$R$3,FALSE)</f>
        <v>0</v>
      </c>
      <c r="Q368" s="140">
        <f t="shared" si="31"/>
        <v>1.1000000000000001</v>
      </c>
      <c r="R368" s="140">
        <f t="shared" si="32"/>
        <v>0.9</v>
      </c>
      <c r="S368" s="140">
        <f t="shared" si="33"/>
        <v>0.9</v>
      </c>
      <c r="V368" s="140"/>
      <c r="W368" s="140"/>
      <c r="X368" s="140"/>
    </row>
    <row r="369" spans="1:24">
      <c r="A369" s="2" t="str">
        <f t="shared" si="35"/>
        <v>陷阱</v>
      </c>
      <c r="B369" s="2" t="str">
        <f>怪物并表!$R$14</f>
        <v>英雄之路</v>
      </c>
      <c r="C369" s="2">
        <v>29</v>
      </c>
      <c r="D369" s="28">
        <f t="shared" si="30"/>
        <v>1906</v>
      </c>
      <c r="E369" s="72">
        <f>VLOOKUP($C369,难度推算表,副本难度推算!$M$3,FALSE)*副本难度推算!$Y$5*Q369</f>
        <v>24253.681709760516</v>
      </c>
      <c r="F369" s="72">
        <f>VLOOKUP($C369,难度推算表,副本难度推算!$P$3,FALSE)*副本难度推算!$Z$5*$R369+VLOOKUP($C369,难度推算表,副本难度推算!$H$3,FALSE)</f>
        <v>1181.8770675153971</v>
      </c>
      <c r="G369" s="72">
        <f>VLOOKUP($C369,难度推算表,副本难度推算!$G$3,FALSE)-VLOOKUP($C369,难度推算表,副本难度推算!$I$3,FALSE)*(2-副本难度推算!$AA$5)*(2-$S369)</f>
        <v>536.54039478260904</v>
      </c>
      <c r="H369" s="72">
        <f>VLOOKUP($C369,难度推算表,副本难度推算!$M$3,FALSE)*副本难度推算!$Y$6*Q369</f>
        <v>19402.945367808414</v>
      </c>
      <c r="I369" s="72">
        <f>VLOOKUP($C369,难度推算表,副本难度推算!$P$3,FALSE)*副本难度推算!$Z$6*$R369+VLOOKUP($C369,难度推算表,副本难度推算!$H$3,FALSE)</f>
        <v>1125.0082630247271</v>
      </c>
      <c r="J369" s="72">
        <f>VLOOKUP($C369,难度推算表,副本难度推算!$G$3,FALSE)-VLOOKUP($C369,难度推算表,副本难度推算!$I$3,FALSE)*(2-副本难度推算!$AA$6)*(2-$S369)</f>
        <v>367.91341356521764</v>
      </c>
      <c r="K369" s="72">
        <f>VLOOKUP($C369,难度推算表,副本难度推算!$M$3,FALSE)*副本难度推算!$Y$7*Q369</f>
        <v>60634.204274401294</v>
      </c>
      <c r="L369" s="72">
        <f>VLOOKUP($C369,难度推算表,副本难度推算!$P$3,FALSE)*副本难度推算!$Z$7*$R369+VLOOKUP($C369,难度推算表,副本难度推算!$H$3,FALSE)</f>
        <v>1295.6146764967373</v>
      </c>
      <c r="M369" s="72">
        <f>VLOOKUP($C369,难度推算表,副本难度推算!$G$3,FALSE)-VLOOKUP($C369,难度推算表,副本难度推算!$I$3,FALSE)*(2-副本难度推算!$AA$7)*(2-$S369)</f>
        <v>705.16737600000033</v>
      </c>
      <c r="N369" s="2">
        <f>VLOOKUP($C369,难度推算表,副本难度推算!$Q$3,FALSE)</f>
        <v>2030.212</v>
      </c>
      <c r="O369" s="2">
        <f>VLOOKUP($C369,难度推算表,副本难度推算!$R$3,FALSE)</f>
        <v>0</v>
      </c>
      <c r="Q369" s="140">
        <f t="shared" si="31"/>
        <v>1.1000000000000001</v>
      </c>
      <c r="R369" s="140">
        <f t="shared" si="32"/>
        <v>0.9</v>
      </c>
      <c r="S369" s="140">
        <f t="shared" si="33"/>
        <v>0.9</v>
      </c>
      <c r="V369" s="140"/>
      <c r="W369" s="140"/>
      <c r="X369" s="140"/>
    </row>
    <row r="370" spans="1:24">
      <c r="A370" s="2" t="str">
        <f t="shared" si="35"/>
        <v>陷阱</v>
      </c>
      <c r="B370" s="2" t="str">
        <f>怪物并表!$R$14</f>
        <v>英雄之路</v>
      </c>
      <c r="C370" s="2">
        <v>30</v>
      </c>
      <c r="D370" s="28">
        <f t="shared" si="30"/>
        <v>1906</v>
      </c>
      <c r="E370" s="72">
        <f>VLOOKUP($C370,难度推算表,副本难度推算!$M$3,FALSE)*副本难度推算!$Y$5*Q370</f>
        <v>27062.471988474343</v>
      </c>
      <c r="F370" s="72">
        <f>VLOOKUP($C370,难度推算表,副本难度推算!$P$3,FALSE)*副本难度推算!$Z$5*$R370+VLOOKUP($C370,难度推算表,副本难度推算!$H$3,FALSE)</f>
        <v>1315.4416670859173</v>
      </c>
      <c r="G370" s="72">
        <f>VLOOKUP($C370,难度推算表,副本难度推算!$G$3,FALSE)-VLOOKUP($C370,难度推算表,副本难度推算!$I$3,FALSE)*(2-副本难度推算!$AA$5)*(2-$S370)</f>
        <v>588.42804882943165</v>
      </c>
      <c r="H370" s="72">
        <f>VLOOKUP($C370,难度推算表,副本难度推算!$M$3,FALSE)*副本难度推算!$Y$6*Q370</f>
        <v>21649.977590779476</v>
      </c>
      <c r="I370" s="72">
        <f>VLOOKUP($C370,难度推算表,副本难度推算!$P$3,FALSE)*副本难度推算!$Z$6*$R370+VLOOKUP($C370,难度推算表,副本难度推算!$H$3,FALSE)</f>
        <v>1251.1464202435463</v>
      </c>
      <c r="J370" s="72">
        <f>VLOOKUP($C370,难度推算表,副本难度推算!$G$3,FALSE)-VLOOKUP($C370,难度推算表,副本难度推算!$I$3,FALSE)*(2-副本难度推算!$AA$6)*(2-$S370)</f>
        <v>403.49351919732476</v>
      </c>
      <c r="K370" s="72">
        <f>VLOOKUP($C370,难度推算表,副本难度推算!$M$3,FALSE)*副本难度推算!$Y$7*Q370</f>
        <v>67656.179971185848</v>
      </c>
      <c r="L370" s="72">
        <f>VLOOKUP($C370,难度推算表,副本难度推算!$P$3,FALSE)*副本难度推算!$Z$7*$R370+VLOOKUP($C370,难度推算表,副本难度推算!$H$3,FALSE)</f>
        <v>1444.0321607706589</v>
      </c>
      <c r="M370" s="72">
        <f>VLOOKUP($C370,难度推算表,副本难度推算!$G$3,FALSE)-VLOOKUP($C370,难度推算表,副本难度推算!$I$3,FALSE)*(2-副本难度推算!$AA$7)*(2-$S370)</f>
        <v>773.36257846153876</v>
      </c>
      <c r="N370" s="2">
        <f>VLOOKUP($C370,难度推算表,副本难度推算!$Q$3,FALSE)</f>
        <v>2088.44</v>
      </c>
      <c r="O370" s="2">
        <f>VLOOKUP($C370,难度推算表,副本难度推算!$R$3,FALSE)</f>
        <v>0</v>
      </c>
      <c r="Q370" s="140">
        <f t="shared" si="31"/>
        <v>1.1000000000000001</v>
      </c>
      <c r="R370" s="140">
        <f t="shared" si="32"/>
        <v>0.9</v>
      </c>
      <c r="S370" s="140">
        <f t="shared" si="33"/>
        <v>0.9</v>
      </c>
      <c r="V370" s="140"/>
      <c r="W370" s="140"/>
      <c r="X370" s="140"/>
    </row>
    <row r="371" spans="1:24">
      <c r="A371" s="2" t="str">
        <f t="shared" si="35"/>
        <v>陷阱</v>
      </c>
      <c r="B371" s="2" t="str">
        <f>怪物并表!$R$14</f>
        <v>英雄之路</v>
      </c>
      <c r="C371" s="2">
        <v>31</v>
      </c>
      <c r="D371" s="28">
        <f t="shared" si="30"/>
        <v>1906</v>
      </c>
      <c r="E371" s="72">
        <f>VLOOKUP($C371,难度推算表,副本难度推算!$M$3,FALSE)*副本难度推算!$Y$5*Q371</f>
        <v>30129.686032358746</v>
      </c>
      <c r="F371" s="72">
        <f>VLOOKUP($C371,难度推算表,副本难度推算!$P$3,FALSE)*副本难度推算!$Z$5*$R371+VLOOKUP($C371,难度推算表,副本难度推算!$H$3,FALSE)</f>
        <v>1459.9105504311335</v>
      </c>
      <c r="G371" s="72">
        <f>VLOOKUP($C371,难度推算表,副本难度推算!$G$3,FALSE)-VLOOKUP($C371,难度推算表,副本难度推算!$I$3,FALSE)*(2-副本难度推算!$AA$5)*(2-$S371)</f>
        <v>642.29783683153869</v>
      </c>
      <c r="H371" s="72">
        <f>VLOOKUP($C371,难度推算表,副本难度推算!$M$3,FALSE)*副本难度推算!$Y$6*Q371</f>
        <v>24103.748825887</v>
      </c>
      <c r="I371" s="72">
        <f>VLOOKUP($C371,难度推算表,副本难度推算!$P$3,FALSE)*副本难度推算!$Z$6*$R371+VLOOKUP($C371,难度推算表,副本难度推算!$H$3,FALSE)</f>
        <v>1388.2810394495586</v>
      </c>
      <c r="J371" s="72">
        <f>VLOOKUP($C371,难度推算表,副本难度推算!$G$3,FALSE)-VLOOKUP($C371,难度推算表,副本难度推算!$I$3,FALSE)*(2-副本难度推算!$AA$6)*(2-$S371)</f>
        <v>436.1304559209234</v>
      </c>
      <c r="K371" s="72">
        <f>VLOOKUP($C371,难度推算表,副本难度推算!$M$3,FALSE)*副本难度推算!$Y$7*Q371</f>
        <v>75324.215080896858</v>
      </c>
      <c r="L371" s="72">
        <f>VLOOKUP($C371,难度推算表,副本难度推算!$P$3,FALSE)*副本难度推算!$Z$7*$R371+VLOOKUP($C371,难度推算表,副本难度推算!$H$3,FALSE)</f>
        <v>1603.1695723942833</v>
      </c>
      <c r="M371" s="72">
        <f>VLOOKUP($C371,难度推算表,副本难度推算!$G$3,FALSE)-VLOOKUP($C371,难度推算表,副本难度推算!$I$3,FALSE)*(2-副本难度推算!$AA$7)*(2-$S371)</f>
        <v>848.4652177421541</v>
      </c>
      <c r="N371" s="2">
        <f>VLOOKUP($C371,难度推算表,副本难度推算!$Q$3,FALSE)</f>
        <v>2146.6680000000001</v>
      </c>
      <c r="O371" s="2">
        <f>VLOOKUP($C371,难度推算表,副本难度推算!$R$3,FALSE)</f>
        <v>0</v>
      </c>
      <c r="Q371" s="140">
        <f t="shared" si="31"/>
        <v>1.089</v>
      </c>
      <c r="R371" s="140">
        <f t="shared" si="32"/>
        <v>0.89100000000000001</v>
      </c>
      <c r="S371" s="140">
        <f t="shared" si="33"/>
        <v>0.89100000000000001</v>
      </c>
      <c r="V371" s="140"/>
      <c r="W371" s="140"/>
      <c r="X371" s="140"/>
    </row>
    <row r="372" spans="1:24">
      <c r="A372" s="2" t="str">
        <f t="shared" si="35"/>
        <v>陷阱</v>
      </c>
      <c r="B372" s="2" t="str">
        <f>怪物并表!$R$14</f>
        <v>英雄之路</v>
      </c>
      <c r="C372" s="2">
        <v>32</v>
      </c>
      <c r="D372" s="28">
        <f t="shared" si="30"/>
        <v>1906</v>
      </c>
      <c r="E372" s="72">
        <f>VLOOKUP($C372,难度推算表,副本难度推算!$M$3,FALSE)*副本难度推算!$Y$5*Q372</f>
        <v>33407.774560294863</v>
      </c>
      <c r="F372" s="72">
        <f>VLOOKUP($C372,难度推算表,副本难度推算!$P$3,FALSE)*副本难度推算!$Z$5*$R372+VLOOKUP($C372,难度推算表,副本难度推算!$H$3,FALSE)</f>
        <v>1614.1126084319108</v>
      </c>
      <c r="G372" s="72">
        <f>VLOOKUP($C372,难度推算表,副本难度推算!$G$3,FALSE)-VLOOKUP($C372,难度推算表,副本难度推算!$I$3,FALSE)*(2-副本难度推算!$AA$5)*(2-$S372)</f>
        <v>698.45313380909715</v>
      </c>
      <c r="H372" s="72">
        <f>VLOOKUP($C372,难度推算表,副本难度推算!$M$3,FALSE)*副本难度推算!$Y$6*Q372</f>
        <v>26726.219648235889</v>
      </c>
      <c r="I372" s="72">
        <f>VLOOKUP($C372,难度推算表,副本难度推算!$P$3,FALSE)*副本难度推算!$Z$6*$R372+VLOOKUP($C372,难度推算表,副本难度推算!$H$3,FALSE)</f>
        <v>1534.6313339592882</v>
      </c>
      <c r="J372" s="72">
        <f>VLOOKUP($C372,难度推算表,副本难度推算!$G$3,FALSE)-VLOOKUP($C372,难度推算表,副本难度推算!$I$3,FALSE)*(2-副本难度推算!$AA$6)*(2-$S372)</f>
        <v>469.45882190335828</v>
      </c>
      <c r="K372" s="72">
        <f>VLOOKUP($C372,难度推算表,副本难度推算!$M$3,FALSE)*副本难度推算!$Y$7*Q372</f>
        <v>83519.436400737162</v>
      </c>
      <c r="L372" s="72">
        <f>VLOOKUP($C372,难度推算表,副本难度推算!$P$3,FALSE)*副本难度推算!$Z$7*$R372+VLOOKUP($C372,难度推算表,副本难度推算!$H$3,FALSE)</f>
        <v>1773.0751573771554</v>
      </c>
      <c r="M372" s="72">
        <f>VLOOKUP($C372,难度推算表,副本难度推算!$G$3,FALSE)-VLOOKUP($C372,难度推算表,副本难度推算!$I$3,FALSE)*(2-副本难度推算!$AA$7)*(2-$S372)</f>
        <v>927.44744571483636</v>
      </c>
      <c r="N372" s="2">
        <f>VLOOKUP($C372,难度推算表,副本难度推算!$Q$3,FALSE)</f>
        <v>2204.8960000000002</v>
      </c>
      <c r="O372" s="2">
        <f>VLOOKUP($C372,难度推算表,副本难度推算!$R$3,FALSE)</f>
        <v>0</v>
      </c>
      <c r="Q372" s="140">
        <f t="shared" si="31"/>
        <v>1.0780000000000001</v>
      </c>
      <c r="R372" s="140">
        <f t="shared" si="32"/>
        <v>0.88200000000000001</v>
      </c>
      <c r="S372" s="140">
        <f t="shared" si="33"/>
        <v>0.88200000000000001</v>
      </c>
      <c r="V372" s="140"/>
      <c r="W372" s="140"/>
      <c r="X372" s="140"/>
    </row>
    <row r="373" spans="1:24">
      <c r="A373" s="2" t="str">
        <f t="shared" si="35"/>
        <v>陷阱</v>
      </c>
      <c r="B373" s="2" t="str">
        <f>怪物并表!$R$14</f>
        <v>英雄之路</v>
      </c>
      <c r="C373" s="2">
        <v>33</v>
      </c>
      <c r="D373" s="28">
        <f t="shared" si="30"/>
        <v>1906</v>
      </c>
      <c r="E373" s="72">
        <f>VLOOKUP($C373,难度推算表,副本难度推算!$M$3,FALSE)*副本难度推算!$Y$5*Q373</f>
        <v>36889.600551286479</v>
      </c>
      <c r="F373" s="72">
        <f>VLOOKUP($C373,难度推算表,副本难度推算!$P$3,FALSE)*副本难度推算!$Z$5*$R373+VLOOKUP($C373,难度推算表,副本难度推算!$H$3,FALSE)</f>
        <v>1777.7373015555841</v>
      </c>
      <c r="G373" s="72">
        <f>VLOOKUP($C373,难度推算表,副本难度推算!$G$3,FALSE)-VLOOKUP($C373,难度推算表,副本难度推算!$I$3,FALSE)*(2-副本难度推算!$AA$5)*(2-$S373)</f>
        <v>756.59666196898047</v>
      </c>
      <c r="H373" s="72">
        <f>VLOOKUP($C373,难度推算表,副本难度推算!$M$3,FALSE)*副本难度推算!$Y$6*Q373</f>
        <v>29511.680441029188</v>
      </c>
      <c r="I373" s="72">
        <f>VLOOKUP($C373,难度推算表,副本难度推算!$P$3,FALSE)*副本难度推算!$Z$6*$R373+VLOOKUP($C373,难度推算表,副本难度推算!$H$3,FALSE)</f>
        <v>1689.9007674736044</v>
      </c>
      <c r="J373" s="72">
        <f>VLOOKUP($C373,难度推算表,副本难度推算!$G$3,FALSE)-VLOOKUP($C373,难度推算表,副本难度推算!$I$3,FALSE)*(2-副本难度推算!$AA$6)*(2-$S373)</f>
        <v>503.19861203167284</v>
      </c>
      <c r="K373" s="72">
        <f>VLOOKUP($C373,难度推算表,副本难度推算!$M$3,FALSE)*副本难度推算!$Y$7*Q373</f>
        <v>92224.001378216213</v>
      </c>
      <c r="L373" s="72">
        <f>VLOOKUP($C373,难度推算表,副本难度推算!$P$3,FALSE)*副本难度推算!$Z$7*$R373+VLOOKUP($C373,难度推算表,副本难度推算!$H$3,FALSE)</f>
        <v>1953.4103697195435</v>
      </c>
      <c r="M373" s="72">
        <f>VLOOKUP($C373,难度推算表,副本难度推算!$G$3,FALSE)-VLOOKUP($C373,难度推算表,副本难度推算!$I$3,FALSE)*(2-副本难度推算!$AA$7)*(2-$S373)</f>
        <v>1009.9947119062883</v>
      </c>
      <c r="N373" s="2">
        <f>VLOOKUP($C373,难度推算表,副本难度推算!$Q$3,FALSE)</f>
        <v>2263.1239999999998</v>
      </c>
      <c r="O373" s="2">
        <f>VLOOKUP($C373,难度推算表,副本难度推算!$R$3,FALSE)</f>
        <v>0</v>
      </c>
      <c r="Q373" s="140">
        <f t="shared" si="31"/>
        <v>1.0669999999999999</v>
      </c>
      <c r="R373" s="140">
        <f t="shared" si="32"/>
        <v>0.873</v>
      </c>
      <c r="S373" s="140">
        <f t="shared" si="33"/>
        <v>0.873</v>
      </c>
      <c r="V373" s="140"/>
      <c r="W373" s="140"/>
      <c r="X373" s="140"/>
    </row>
    <row r="374" spans="1:24">
      <c r="A374" s="2" t="str">
        <f t="shared" si="35"/>
        <v>陷阱</v>
      </c>
      <c r="B374" s="2" t="str">
        <f>怪物并表!$R$14</f>
        <v>英雄之路</v>
      </c>
      <c r="C374" s="2">
        <v>34</v>
      </c>
      <c r="D374" s="28">
        <f t="shared" si="30"/>
        <v>1906</v>
      </c>
      <c r="E374" s="72">
        <f>VLOOKUP($C374,难度推算表,副本难度推算!$M$3,FALSE)*副本难度推算!$Y$5*Q374</f>
        <v>40578.634286907327</v>
      </c>
      <c r="F374" s="72">
        <f>VLOOKUP($C374,难度推算表,副本难度推算!$P$3,FALSE)*副本难度推算!$Z$5*$R374+VLOOKUP($C374,难度推算表,副本难度推算!$H$3,FALSE)</f>
        <v>1950.9995193775903</v>
      </c>
      <c r="G374" s="72">
        <f>VLOOKUP($C374,难度推算表,副本难度推算!$G$3,FALSE)-VLOOKUP($C374,难度推算表,副本难度推算!$I$3,FALSE)*(2-副本难度推算!$AA$5)*(2-$S374)</f>
        <v>816.66330608107046</v>
      </c>
      <c r="H374" s="72">
        <f>VLOOKUP($C374,难度推算表,副本难度推算!$M$3,FALSE)*副本难度推算!$Y$6*Q374</f>
        <v>32462.907429525865</v>
      </c>
      <c r="I374" s="72">
        <f>VLOOKUP($C374,难度推算表,副本难度推算!$P$3,FALSE)*副本难度推算!$Z$6*$R374+VLOOKUP($C374,难度推算表,副本难度推算!$H$3,FALSE)</f>
        <v>1854.2927368471892</v>
      </c>
      <c r="J374" s="72">
        <f>VLOOKUP($C374,难度推算表,副本难度推算!$G$3,FALSE)-VLOOKUP($C374,难度推算表,副本难度推算!$I$3,FALSE)*(2-副本难度推算!$AA$6)*(2-$S374)</f>
        <v>537.2267049641739</v>
      </c>
      <c r="K374" s="72">
        <f>VLOOKUP($C374,难度推算表,副本难度推算!$M$3,FALSE)*副本难度推算!$Y$7*Q374</f>
        <v>101446.58571726832</v>
      </c>
      <c r="L374" s="72">
        <f>VLOOKUP($C374,难度推算表,副本难度推算!$P$3,FALSE)*副本难度推算!$Z$7*$R374+VLOOKUP($C374,难度推算表,副本难度推算!$H$3,FALSE)</f>
        <v>2144.4130844383926</v>
      </c>
      <c r="M374" s="72">
        <f>VLOOKUP($C374,难度推算表,副本难度推算!$G$3,FALSE)-VLOOKUP($C374,难度推算表,副本难度推算!$I$3,FALSE)*(2-副本难度推算!$AA$7)*(2-$S374)</f>
        <v>1096.0999071979668</v>
      </c>
      <c r="N374" s="2">
        <f>VLOOKUP($C374,难度推算表,副本难度推算!$Q$3,FALSE)</f>
        <v>2321.3520000000003</v>
      </c>
      <c r="O374" s="2">
        <f>VLOOKUP($C374,难度推算表,副本难度推算!$R$3,FALSE)</f>
        <v>0</v>
      </c>
      <c r="Q374" s="140">
        <f t="shared" si="31"/>
        <v>1.056</v>
      </c>
      <c r="R374" s="140">
        <f t="shared" si="32"/>
        <v>0.86399999999999999</v>
      </c>
      <c r="S374" s="140">
        <f t="shared" si="33"/>
        <v>0.86399999999999999</v>
      </c>
      <c r="V374" s="140"/>
      <c r="W374" s="140"/>
      <c r="X374" s="140"/>
    </row>
    <row r="375" spans="1:24">
      <c r="A375" s="2" t="str">
        <f t="shared" si="35"/>
        <v>陷阱</v>
      </c>
      <c r="B375" s="2" t="str">
        <f>怪物并表!$R$14</f>
        <v>英雄之路</v>
      </c>
      <c r="C375" s="2">
        <v>35</v>
      </c>
      <c r="D375" s="28">
        <f t="shared" si="30"/>
        <v>1906</v>
      </c>
      <c r="E375" s="72">
        <f>VLOOKUP($C375,难度推算表,副本难度推算!$M$3,FALSE)*副本难度推算!$Y$5*Q375</f>
        <v>44478.05789077012</v>
      </c>
      <c r="F375" s="72">
        <f>VLOOKUP($C375,难度推算表,副本难度推算!$P$3,FALSE)*副本难度推算!$Z$5*$R375+VLOOKUP($C375,难度推算表,副本难度推算!$H$3,FALSE)</f>
        <v>2134.1103830077054</v>
      </c>
      <c r="G375" s="72">
        <f>VLOOKUP($C375,难度推算表,副本难度推算!$G$3,FALSE)-VLOOKUP($C375,难度推算表,副本难度推算!$I$3,FALSE)*(2-副本难度推算!$AA$5)*(2-$S375)</f>
        <v>878.58345260869601</v>
      </c>
      <c r="H375" s="72">
        <f>VLOOKUP($C375,难度推算表,副本难度推算!$M$3,FALSE)*副本难度推算!$Y$6*Q375</f>
        <v>35582.446312616099</v>
      </c>
      <c r="I375" s="72">
        <f>VLOOKUP($C375,难度推算表,副本难度推算!$P$3,FALSE)*副本难度推算!$Z$6*$R375+VLOOKUP($C375,难度推算表,副本难度推算!$H$3,FALSE)</f>
        <v>2028.0072473156306</v>
      </c>
      <c r="J375" s="72">
        <f>VLOOKUP($C375,难度推算表,副本难度推算!$G$3,FALSE)-VLOOKUP($C375,难度推算表,副本难度推算!$I$3,FALSE)*(2-副本难度推算!$AA$6)*(2-$S375)</f>
        <v>571.41458139130486</v>
      </c>
      <c r="K375" s="72">
        <f>VLOOKUP($C375,难度推算表,副本难度推算!$M$3,FALSE)*副本难度推算!$Y$7*Q375</f>
        <v>111195.14472692531</v>
      </c>
      <c r="L375" s="72">
        <f>VLOOKUP($C375,难度推算表,副本难度推算!$P$3,FALSE)*副本难度推算!$Z$7*$R375+VLOOKUP($C375,难度推算表,副本难度推算!$H$3,FALSE)</f>
        <v>2346.3166543918551</v>
      </c>
      <c r="M375" s="72">
        <f>VLOOKUP($C375,难度推算表,副本难度推算!$G$3,FALSE)-VLOOKUP($C375,难度推算表,副本难度推算!$I$3,FALSE)*(2-副本难度推算!$AA$7)*(2-$S375)</f>
        <v>1185.7523238260871</v>
      </c>
      <c r="N375" s="2">
        <f>VLOOKUP($C375,难度推算表,副本难度推算!$Q$3,FALSE)</f>
        <v>2379.58</v>
      </c>
      <c r="O375" s="2">
        <f>VLOOKUP($C375,难度推算表,副本难度推算!$R$3,FALSE)</f>
        <v>0</v>
      </c>
      <c r="Q375" s="140">
        <f t="shared" si="31"/>
        <v>1.0449999999999999</v>
      </c>
      <c r="R375" s="140">
        <f t="shared" si="32"/>
        <v>0.85499999999999998</v>
      </c>
      <c r="S375" s="140">
        <f t="shared" si="33"/>
        <v>0.85499999999999998</v>
      </c>
      <c r="V375" s="140"/>
      <c r="W375" s="140"/>
      <c r="X375" s="140"/>
    </row>
    <row r="376" spans="1:24">
      <c r="A376" s="2" t="str">
        <f t="shared" si="35"/>
        <v>陷阱</v>
      </c>
      <c r="B376" s="2" t="str">
        <f>怪物并表!$R$14</f>
        <v>英雄之路</v>
      </c>
      <c r="C376" s="2">
        <v>36</v>
      </c>
      <c r="D376" s="28">
        <f t="shared" si="30"/>
        <v>1906</v>
      </c>
      <c r="E376" s="72">
        <f>VLOOKUP($C376,难度推算表,副本难度推算!$M$3,FALSE)*副本难度推算!$Y$5*Q376</f>
        <v>48590.754138138334</v>
      </c>
      <c r="F376" s="72">
        <f>VLOOKUP($C376,难度推算表,副本难度推算!$P$3,FALSE)*副本难度推算!$Z$5*$R376+VLOOKUP($C376,难度推算表,副本难度推算!$H$3,FALSE)</f>
        <v>2327.2771008885406</v>
      </c>
      <c r="G376" s="72">
        <f>VLOOKUP($C376,难度推算表,副本难度推算!$G$3,FALSE)-VLOOKUP($C376,难度推算表,副本难度推算!$I$3,FALSE)*(2-副本难度推算!$AA$5)*(2-$S376)</f>
        <v>942.2829897086292</v>
      </c>
      <c r="H376" s="72">
        <f>VLOOKUP($C376,难度推算表,副本难度推算!$M$3,FALSE)*副本难度推算!$Y$6*Q376</f>
        <v>38872.603310510669</v>
      </c>
      <c r="I376" s="72">
        <f>VLOOKUP($C376,难度推算表,副本难度推算!$P$3,FALSE)*副本难度推算!$Z$6*$R376+VLOOKUP($C376,难度推算表,副本难度推算!$H$3,FALSE)</f>
        <v>2211.2407827140678</v>
      </c>
      <c r="J376" s="72">
        <f>VLOOKUP($C376,难度推算表,副本难度推算!$G$3,FALSE)-VLOOKUP($C376,难度推算表,副本难度推算!$I$3,FALSE)*(2-副本难度推算!$AA$6)*(2-$S376)</f>
        <v>605.62832403563925</v>
      </c>
      <c r="K376" s="72">
        <f>VLOOKUP($C376,难度推算表,副本难度推算!$M$3,FALSE)*副本难度推算!$Y$7*Q376</f>
        <v>121476.88534534584</v>
      </c>
      <c r="L376" s="72">
        <f>VLOOKUP($C376,难度推算表,副本难度推算!$P$3,FALSE)*副本难度推算!$Z$7*$R376+VLOOKUP($C376,难度推算表,副本难度推算!$H$3,FALSE)</f>
        <v>2559.3497372374859</v>
      </c>
      <c r="M376" s="72">
        <f>VLOOKUP($C376,难度推算表,副本难度推算!$G$3,FALSE)-VLOOKUP($C376,难度推算表,副本难度推算!$I$3,FALSE)*(2-副本难度推算!$AA$7)*(2-$S376)</f>
        <v>1278.9376553816192</v>
      </c>
      <c r="N376" s="2">
        <f>VLOOKUP($C376,难度推算表,副本难度推算!$Q$3,FALSE)</f>
        <v>2437.808</v>
      </c>
      <c r="O376" s="2">
        <f>VLOOKUP($C376,难度推算表,副本难度推算!$R$3,FALSE)</f>
        <v>0</v>
      </c>
      <c r="Q376" s="140">
        <f t="shared" si="31"/>
        <v>1.034</v>
      </c>
      <c r="R376" s="140">
        <f t="shared" si="32"/>
        <v>0.84599999999999997</v>
      </c>
      <c r="S376" s="140">
        <f t="shared" si="33"/>
        <v>0.84599999999999997</v>
      </c>
      <c r="V376" s="140"/>
      <c r="W376" s="140"/>
      <c r="X376" s="140"/>
    </row>
    <row r="377" spans="1:24">
      <c r="A377" s="2" t="str">
        <f t="shared" si="35"/>
        <v>陷阱</v>
      </c>
      <c r="B377" s="2" t="str">
        <f>怪物并表!$R$14</f>
        <v>英雄之路</v>
      </c>
      <c r="C377" s="2">
        <v>37</v>
      </c>
      <c r="D377" s="28">
        <f t="shared" si="30"/>
        <v>1906</v>
      </c>
      <c r="E377" s="72">
        <f>VLOOKUP($C377,难度推算表,副本难度推算!$M$3,FALSE)*副本难度推算!$Y$5*Q377</f>
        <v>52919.295240975604</v>
      </c>
      <c r="F377" s="72">
        <f>VLOOKUP($C377,难度推算表,副本难度推算!$P$3,FALSE)*副本难度推算!$Z$5*$R377+VLOOKUP($C377,难度推算表,副本难度推算!$H$3,FALSE)</f>
        <v>2556.0061475676844</v>
      </c>
      <c r="G377" s="72">
        <f>VLOOKUP($C377,难度推算表,副本难度推算!$G$3,FALSE)-VLOOKUP($C377,难度推算表,副本难度推算!$I$3,FALSE)*(2-副本难度推算!$AA$5)*(2-$S377)</f>
        <v>1007.6833072310874</v>
      </c>
      <c r="H377" s="72">
        <f>VLOOKUP($C377,难度推算表,副本难度推算!$M$3,FALSE)*副本难度推算!$Y$6*Q377</f>
        <v>42335.436192780486</v>
      </c>
      <c r="I377" s="72">
        <f>VLOOKUP($C377,难度推算表,副本难度推算!$P$3,FALSE)*副本难度推算!$Z$6*$R377+VLOOKUP($C377,难度推算表,副本难度推算!$H$3,FALSE)</f>
        <v>2426.9591663721203</v>
      </c>
      <c r="J377" s="72">
        <f>VLOOKUP($C377,难度推算表,副本难度推算!$G$3,FALSE)-VLOOKUP($C377,难度推算表,副本难度推算!$I$3,FALSE)*(2-副本难度推算!$AA$6)*(2-$S377)</f>
        <v>639.72861765188691</v>
      </c>
      <c r="K377" s="72">
        <f>VLOOKUP($C377,难度推算表,副本难度推算!$M$3,FALSE)*副本难度推算!$Y$7*Q377</f>
        <v>132298.23810243901</v>
      </c>
      <c r="L377" s="72">
        <f>VLOOKUP($C377,难度推算表,副本难度推算!$P$3,FALSE)*副本难度推算!$Z$7*$R377+VLOOKUP($C377,难度推算表,副本难度推算!$H$3,FALSE)</f>
        <v>2814.1001099588129</v>
      </c>
      <c r="M377" s="72">
        <f>VLOOKUP($C377,难度推算表,副本难度推算!$G$3,FALSE)-VLOOKUP($C377,难度推算表,副本难度推算!$I$3,FALSE)*(2-副本难度推算!$AA$7)*(2-$S377)</f>
        <v>1375.6379968102879</v>
      </c>
      <c r="N377" s="2">
        <f>VLOOKUP($C377,难度推算表,副本难度推算!$Q$3,FALSE)</f>
        <v>2496.0360000000001</v>
      </c>
      <c r="O377" s="2">
        <f>VLOOKUP($C377,难度推算表,副本难度推算!$R$3,FALSE)</f>
        <v>0</v>
      </c>
      <c r="Q377" s="140">
        <f t="shared" si="31"/>
        <v>1.0230000000000001</v>
      </c>
      <c r="R377" s="140">
        <f t="shared" si="32"/>
        <v>0.83700000000000008</v>
      </c>
      <c r="S377" s="140">
        <f t="shared" si="33"/>
        <v>0.83700000000000008</v>
      </c>
      <c r="V377" s="140"/>
      <c r="W377" s="140"/>
      <c r="X377" s="140"/>
    </row>
    <row r="378" spans="1:24">
      <c r="A378" s="2" t="str">
        <f t="shared" si="35"/>
        <v>陷阱</v>
      </c>
      <c r="B378" s="2" t="str">
        <f>怪物并表!$R$14</f>
        <v>英雄之路</v>
      </c>
      <c r="C378" s="2">
        <v>38</v>
      </c>
      <c r="D378" s="28">
        <f t="shared" si="30"/>
        <v>1906</v>
      </c>
      <c r="E378" s="72">
        <f>VLOOKUP($C378,难度推算表,副本难度推算!$M$3,FALSE)*副本难度推算!$Y$5*Q378</f>
        <v>57465.931613838111</v>
      </c>
      <c r="F378" s="72">
        <f>VLOOKUP($C378,难度推算表,副本难度推算!$P$3,FALSE)*副本难度推算!$Z$5*$R378+VLOOKUP($C378,难度推算表,副本难度推算!$H$3,FALSE)</f>
        <v>2799.6080663450243</v>
      </c>
      <c r="G378" s="72">
        <f>VLOOKUP($C378,难度推算表,副本难度推算!$G$3,FALSE)-VLOOKUP($C378,难度推算表,副本难度推算!$I$3,FALSE)*(2-副本难度推算!$AA$5)*(2-$S378)</f>
        <v>1074.7012967197329</v>
      </c>
      <c r="H378" s="72">
        <f>VLOOKUP($C378,难度推算表,副本难度推算!$M$3,FALSE)*副本难度推算!$Y$6*Q378</f>
        <v>45972.745291070489</v>
      </c>
      <c r="I378" s="72">
        <f>VLOOKUP($C378,难度推算表,副本难度推算!$P$3,FALSE)*副本难度推算!$Z$6*$R378+VLOOKUP($C378,难度推算表,副本难度推算!$H$3,FALSE)</f>
        <v>2656.5518834964751</v>
      </c>
      <c r="J378" s="72">
        <f>VLOOKUP($C378,难度推算表,副本难度推算!$G$3,FALSE)-VLOOKUP($C378,难度推算表,副本难度推算!$I$3,FALSE)*(2-副本难度推算!$AA$6)*(2-$S378)</f>
        <v>673.5707490268901</v>
      </c>
      <c r="K378" s="72">
        <f>VLOOKUP($C378,难度推算表,副本难度推算!$M$3,FALSE)*副本难度推算!$Y$7*Q378</f>
        <v>143664.82903459528</v>
      </c>
      <c r="L378" s="72">
        <f>VLOOKUP($C378,难度推算表,副本难度推算!$P$3,FALSE)*副本难度推算!$Z$7*$R378+VLOOKUP($C378,难度推算表,副本难度推算!$H$3,FALSE)</f>
        <v>3085.7204320421229</v>
      </c>
      <c r="M378" s="72">
        <f>VLOOKUP($C378,难度推算表,副本难度推算!$G$3,FALSE)-VLOOKUP($C378,难度推算表,副本难度推算!$I$3,FALSE)*(2-副本难度推算!$AA$7)*(2-$S378)</f>
        <v>1475.8318444125755</v>
      </c>
      <c r="N378" s="2">
        <f>VLOOKUP($C378,难度推算表,副本难度推算!$Q$3,FALSE)</f>
        <v>2554.2640000000001</v>
      </c>
      <c r="O378" s="2">
        <f>VLOOKUP($C378,难度推算表,副本难度推算!$R$3,FALSE)</f>
        <v>0</v>
      </c>
      <c r="Q378" s="140">
        <f t="shared" si="31"/>
        <v>1.0120000000000002</v>
      </c>
      <c r="R378" s="140">
        <f t="shared" si="32"/>
        <v>0.82800000000000007</v>
      </c>
      <c r="S378" s="140">
        <f t="shared" si="33"/>
        <v>0.82800000000000007</v>
      </c>
      <c r="V378" s="140"/>
      <c r="W378" s="140"/>
      <c r="X378" s="140"/>
    </row>
    <row r="379" spans="1:24">
      <c r="A379" s="2" t="str">
        <f t="shared" si="35"/>
        <v>陷阱</v>
      </c>
      <c r="B379" s="2" t="str">
        <f>怪物并表!$R$14</f>
        <v>英雄之路</v>
      </c>
      <c r="C379" s="2">
        <v>39</v>
      </c>
      <c r="D379" s="28">
        <f t="shared" si="30"/>
        <v>1906</v>
      </c>
      <c r="E379" s="72">
        <f>VLOOKUP($C379,难度推算表,副本难度推算!$M$3,FALSE)*副本难度推算!$Y$5*Q379</f>
        <v>62232.580625078845</v>
      </c>
      <c r="F379" s="72">
        <f>VLOOKUP($C379,难度推算表,副本难度推算!$P$3,FALSE)*副本难度推算!$Z$5*$R379+VLOOKUP($C379,难度推算表,副本难度推算!$H$3,FALSE)</f>
        <v>3058.6172945567496</v>
      </c>
      <c r="G379" s="72">
        <f>VLOOKUP($C379,难度推算表,副本难度推算!$G$3,FALSE)-VLOOKUP($C379,难度推算表,副本难度推算!$I$3,FALSE)*(2-副本难度推算!$AA$5)*(2-$S379)</f>
        <v>1143.2493514116723</v>
      </c>
      <c r="H379" s="72">
        <f>VLOOKUP($C379,难度推算表,副本难度推算!$M$3,FALSE)*副本难度推算!$Y$6*Q379</f>
        <v>49786.064500063076</v>
      </c>
      <c r="I379" s="72">
        <f>VLOOKUP($C379,难度推算表,副本难度推算!$P$3,FALSE)*副本难度推算!$Z$6*$R379+VLOOKUP($C379,难度推算表,副本难度推算!$H$3,FALSE)</f>
        <v>2900.5099239264928</v>
      </c>
      <c r="J379" s="72">
        <f>VLOOKUP($C379,难度推算表,副本难度推算!$G$3,FALSE)-VLOOKUP($C379,难度推算表,副本难度推算!$I$3,FALSE)*(2-副本难度推算!$AA$6)*(2-$S379)</f>
        <v>707.00460697962581</v>
      </c>
      <c r="K379" s="72">
        <f>VLOOKUP($C379,难度推算表,副本难度推算!$M$3,FALSE)*副本难度推算!$Y$7*Q379</f>
        <v>155581.4515626971</v>
      </c>
      <c r="L379" s="72">
        <f>VLOOKUP($C379,难度推算表,副本难度推算!$P$3,FALSE)*副本难度推算!$Z$7*$R379+VLOOKUP($C379,难度推算表,副本难度推算!$H$3,FALSE)</f>
        <v>3374.8320358172632</v>
      </c>
      <c r="M379" s="72">
        <f>VLOOKUP($C379,难度推算表,副本难度推算!$G$3,FALSE)-VLOOKUP($C379,难度推算表,副本难度推算!$I$3,FALSE)*(2-副本难度推算!$AA$7)*(2-$S379)</f>
        <v>1579.4940958437192</v>
      </c>
      <c r="N379" s="2">
        <f>VLOOKUP($C379,难度推算表,副本难度推算!$Q$3,FALSE)</f>
        <v>2612.4920000000002</v>
      </c>
      <c r="O379" s="2">
        <f>VLOOKUP($C379,难度推算表,副本难度推算!$R$3,FALSE)</f>
        <v>0</v>
      </c>
      <c r="Q379" s="140">
        <f t="shared" si="31"/>
        <v>1.0010000000000001</v>
      </c>
      <c r="R379" s="140">
        <f t="shared" si="32"/>
        <v>0.81900000000000006</v>
      </c>
      <c r="S379" s="140">
        <f t="shared" si="33"/>
        <v>0.81900000000000006</v>
      </c>
      <c r="V379" s="140"/>
      <c r="W379" s="140"/>
      <c r="X379" s="140"/>
    </row>
    <row r="380" spans="1:24">
      <c r="A380" s="2" t="str">
        <f t="shared" si="35"/>
        <v>陷阱</v>
      </c>
      <c r="B380" s="2" t="str">
        <f>怪物并表!$R$14</f>
        <v>英雄之路</v>
      </c>
      <c r="C380" s="2">
        <v>40</v>
      </c>
      <c r="D380" s="28">
        <f t="shared" si="30"/>
        <v>1906</v>
      </c>
      <c r="E380" s="72">
        <f>VLOOKUP($C380,难度推算表,副本难度推算!$M$3,FALSE)*副本难度推算!$Y$5*Q380</f>
        <v>67826.408268034895</v>
      </c>
      <c r="F380" s="72">
        <f>VLOOKUP($C380,难度推算表,副本难度推算!$P$3,FALSE)*副本难度推算!$Z$5*$R380+VLOOKUP($C380,难度推算表,副本难度推算!$H$3,FALSE)</f>
        <v>3363.6030811103692</v>
      </c>
      <c r="G380" s="72">
        <f>VLOOKUP($C380,难度推算表,副本难度推算!$G$3,FALSE)-VLOOKUP($C380,难度推算表,副本难度推算!$I$3,FALSE)*(2-副本难度推算!$AA$5)*(2-$S380)</f>
        <v>1224.1654145819407</v>
      </c>
      <c r="H380" s="72">
        <f>VLOOKUP($C380,难度推算表,副本难度推算!$M$3,FALSE)*副本难度推算!$Y$6*Q380</f>
        <v>54261.126614427914</v>
      </c>
      <c r="I380" s="72">
        <f>VLOOKUP($C380,难度推算表,副本难度推算!$P$3,FALSE)*副本难度推算!$Z$6*$R380+VLOOKUP($C380,难度推算表,副本难度推算!$H$3,FALSE)</f>
        <v>3187.7890568789312</v>
      </c>
      <c r="J380" s="72">
        <f>VLOOKUP($C380,难度推算表,副本难度推算!$G$3,FALSE)-VLOOKUP($C380,难度推算表,副本难度推算!$I$3,FALSE)*(2-副本难度推算!$AA$6)*(2-$S380)</f>
        <v>746.5402200401345</v>
      </c>
      <c r="K380" s="72">
        <f>VLOOKUP($C380,难度推算表,副本难度推算!$M$3,FALSE)*副本难度推算!$Y$7*Q380</f>
        <v>169566.02067008725</v>
      </c>
      <c r="L380" s="72">
        <f>VLOOKUP($C380,难度推算表,副本难度推算!$P$3,FALSE)*副本难度推算!$Z$7*$R380+VLOOKUP($C380,难度推算表,副本难度推算!$H$3,FALSE)</f>
        <v>3715.2311295732461</v>
      </c>
      <c r="M380" s="72">
        <f>VLOOKUP($C380,难度推算表,副本难度推算!$G$3,FALSE)-VLOOKUP($C380,难度推算表,副本难度推算!$I$3,FALSE)*(2-副本难度推算!$AA$7)*(2-$S380)</f>
        <v>1701.7906091237467</v>
      </c>
      <c r="N380" s="2">
        <f>VLOOKUP($C380,难度推算表,副本难度推算!$Q$3,FALSE)</f>
        <v>2670.72</v>
      </c>
      <c r="O380" s="2">
        <f>VLOOKUP($C380,难度推算表,副本难度推算!$R$3,FALSE)</f>
        <v>0</v>
      </c>
      <c r="Q380" s="140">
        <f t="shared" si="31"/>
        <v>0.9900000000000001</v>
      </c>
      <c r="R380" s="140">
        <f t="shared" si="32"/>
        <v>0.81</v>
      </c>
      <c r="S380" s="140">
        <f t="shared" si="33"/>
        <v>0.81</v>
      </c>
      <c r="V380" s="140"/>
      <c r="W380" s="140"/>
      <c r="X380" s="140"/>
    </row>
    <row r="381" spans="1:24">
      <c r="A381" s="2" t="str">
        <f t="shared" si="35"/>
        <v>陷阱</v>
      </c>
      <c r="B381" s="2" t="str">
        <f>怪物并表!$R$14</f>
        <v>英雄之路</v>
      </c>
      <c r="C381" s="2">
        <v>41</v>
      </c>
      <c r="D381" s="28">
        <f t="shared" si="30"/>
        <v>1906</v>
      </c>
      <c r="E381" s="72">
        <f>VLOOKUP($C381,难度推算表,副本难度推算!$M$3,FALSE)*副本难度推算!$Y$5*Q381</f>
        <v>73702.587505867821</v>
      </c>
      <c r="F381" s="72">
        <f>VLOOKUP($C381,难度推算表,副本难度推算!$P$3,FALSE)*副本难度推算!$Z$5*$R381+VLOOKUP($C381,难度推算表,副本难度推算!$H$3,FALSE)</f>
        <v>3688.6046102938117</v>
      </c>
      <c r="G381" s="72">
        <f>VLOOKUP($C381,难度推算表,副本难度推算!$G$3,FALSE)-VLOOKUP($C381,难度推算表,副本难度推算!$I$3,FALSE)*(2-副本难度推算!$AA$5)*(2-$S381)</f>
        <v>1307.0989262039138</v>
      </c>
      <c r="H381" s="72">
        <f>VLOOKUP($C381,难度推算表,副本难度推算!$M$3,FALSE)*副本难度推算!$Y$6*Q381</f>
        <v>58962.070004694266</v>
      </c>
      <c r="I381" s="72">
        <f>VLOOKUP($C381,难度推算表,副本难度推算!$P$3,FALSE)*副本难度推算!$Z$6*$R381+VLOOKUP($C381,难度推算表,副本难度推算!$H$3,FALSE)</f>
        <v>3493.7340229687784</v>
      </c>
      <c r="J381" s="72">
        <f>VLOOKUP($C381,难度推算表,副本难度推算!$G$3,FALSE)-VLOOKUP($C381,难度推算表,副本难度推算!$I$3,FALSE)*(2-副本难度推算!$AA$6)*(2-$S381)</f>
        <v>785.56427977513113</v>
      </c>
      <c r="K381" s="72">
        <f>VLOOKUP($C381,难度推算表,副本难度推算!$M$3,FALSE)*副本难度推算!$Y$7*Q381</f>
        <v>184256.46876466955</v>
      </c>
      <c r="L381" s="72">
        <f>VLOOKUP($C381,难度推算表,副本难度推算!$P$3,FALSE)*副本难度推算!$Z$7*$R381+VLOOKUP($C381,难度推算表,副本难度推算!$H$3,FALSE)</f>
        <v>4078.3457849438778</v>
      </c>
      <c r="M381" s="72">
        <f>VLOOKUP($C381,难度推算表,副本难度推算!$G$3,FALSE)-VLOOKUP($C381,难度推算表,副本难度推算!$I$3,FALSE)*(2-副本难度推算!$AA$7)*(2-$S381)</f>
        <v>1828.6335726326965</v>
      </c>
      <c r="N381" s="2">
        <f>VLOOKUP($C381,难度推算表,副本难度推算!$Q$3,FALSE)</f>
        <v>2728.9480000000003</v>
      </c>
      <c r="O381" s="2">
        <f>VLOOKUP($C381,难度推算表,副本难度推算!$R$3,FALSE)</f>
        <v>0</v>
      </c>
      <c r="Q381" s="140">
        <f t="shared" si="31"/>
        <v>0.97900000000000009</v>
      </c>
      <c r="R381" s="140">
        <f t="shared" si="32"/>
        <v>0.80100000000000005</v>
      </c>
      <c r="S381" s="140">
        <f t="shared" si="33"/>
        <v>0.80100000000000005</v>
      </c>
      <c r="V381" s="140"/>
      <c r="W381" s="140"/>
      <c r="X381" s="140"/>
    </row>
    <row r="382" spans="1:24">
      <c r="A382" s="2" t="str">
        <f t="shared" si="35"/>
        <v>陷阱</v>
      </c>
      <c r="B382" s="2" t="str">
        <f>怪物并表!$R$14</f>
        <v>英雄之路</v>
      </c>
      <c r="C382" s="2">
        <v>42</v>
      </c>
      <c r="D382" s="28">
        <f t="shared" si="30"/>
        <v>1906</v>
      </c>
      <c r="E382" s="72">
        <f>VLOOKUP($C382,难度推算表,副本难度推算!$M$3,FALSE)*副本难度推算!$Y$5*Q382</f>
        <v>79863.123047671615</v>
      </c>
      <c r="F382" s="72">
        <f>VLOOKUP($C382,难度推算表,副本难度推算!$P$3,FALSE)*副本难度推算!$Z$5*$R382+VLOOKUP($C382,难度推算表,副本难度推算!$H$3,FALSE)</f>
        <v>4034.3270382227838</v>
      </c>
      <c r="G382" s="72">
        <f>VLOOKUP($C382,难度推算表,副本难度推算!$G$3,FALSE)-VLOOKUP($C382,难度推算表,副本难度推算!$I$3,FALSE)*(2-副本难度推算!$AA$5)*(2-$S382)</f>
        <v>1391.9285789538476</v>
      </c>
      <c r="H382" s="72">
        <f>VLOOKUP($C382,难度推算表,副本难度推算!$M$3,FALSE)*副本难度推算!$Y$6*Q382</f>
        <v>63890.4984381373</v>
      </c>
      <c r="I382" s="72">
        <f>VLOOKUP($C382,难度推算表,副本难度推算!$P$3,FALSE)*副本难度推算!$Z$6*$R382+VLOOKUP($C382,难度推算表,副本难度推算!$H$3,FALSE)</f>
        <v>3818.9927910158904</v>
      </c>
      <c r="J382" s="72">
        <f>VLOOKUP($C382,难度推算表,副本难度推算!$G$3,FALSE)-VLOOKUP($C382,难度推算表,副本难度推算!$I$3,FALSE)*(2-副本难度推算!$AA$6)*(2-$S382)</f>
        <v>823.87123997538629</v>
      </c>
      <c r="K382" s="72">
        <f>VLOOKUP($C382,难度推算表,副本难度推算!$M$3,FALSE)*副本难度推算!$Y$7*Q382</f>
        <v>199657.80761917905</v>
      </c>
      <c r="L382" s="72">
        <f>VLOOKUP($C382,难度推算表,副本难度推算!$P$3,FALSE)*副本难度推算!$Z$7*$R382+VLOOKUP($C382,难度推算表,副本难度推算!$H$3,FALSE)</f>
        <v>4464.9955326365707</v>
      </c>
      <c r="M382" s="72">
        <f>VLOOKUP($C382,难度推算表,副本难度推算!$G$3,FALSE)-VLOOKUP($C382,难度推算表,副本难度推算!$I$3,FALSE)*(2-副本难度推算!$AA$7)*(2-$S382)</f>
        <v>1959.9859179323089</v>
      </c>
      <c r="N382" s="2">
        <f>VLOOKUP($C382,难度推算表,副本难度推算!$Q$3,FALSE)</f>
        <v>2787.1759999999999</v>
      </c>
      <c r="O382" s="2">
        <f>VLOOKUP($C382,难度推算表,副本难度推算!$R$3,FALSE)</f>
        <v>0</v>
      </c>
      <c r="Q382" s="140">
        <f t="shared" si="31"/>
        <v>0.96800000000000008</v>
      </c>
      <c r="R382" s="140">
        <f t="shared" si="32"/>
        <v>0.79200000000000004</v>
      </c>
      <c r="S382" s="140">
        <f t="shared" si="33"/>
        <v>0.79200000000000004</v>
      </c>
      <c r="V382" s="140"/>
      <c r="W382" s="140"/>
      <c r="X382" s="140"/>
    </row>
    <row r="383" spans="1:24">
      <c r="A383" s="2" t="str">
        <f t="shared" si="35"/>
        <v>陷阱</v>
      </c>
      <c r="B383" s="2" t="str">
        <f>怪物并表!$R$14</f>
        <v>英雄之路</v>
      </c>
      <c r="C383" s="2">
        <v>43</v>
      </c>
      <c r="D383" s="28">
        <f t="shared" si="30"/>
        <v>1906</v>
      </c>
      <c r="E383" s="72">
        <f>VLOOKUP($C383,难度推算表,副本难度推算!$M$3,FALSE)*副本难度推算!$Y$5*Q383</f>
        <v>86309.54182357814</v>
      </c>
      <c r="F383" s="72">
        <f>VLOOKUP($C383,难度推算表,副本难度推算!$P$3,FALSE)*副本难度推算!$Z$5*$R383+VLOOKUP($C383,难度推算表,副本难度推算!$H$3,FALSE)</f>
        <v>4401.4776510908987</v>
      </c>
      <c r="G383" s="72">
        <f>VLOOKUP($C383,难度推算表,副本难度推算!$G$3,FALSE)-VLOOKUP($C383,难度推算表,副本难度推算!$I$3,FALSE)*(2-副本难度推算!$AA$5)*(2-$S383)</f>
        <v>1478.52706776592</v>
      </c>
      <c r="H383" s="72">
        <f>VLOOKUP($C383,难度推算表,副本难度推算!$M$3,FALSE)*副本难度推算!$Y$6*Q383</f>
        <v>69047.633458862503</v>
      </c>
      <c r="I383" s="72">
        <f>VLOOKUP($C383,难度推算表,副本难度推算!$P$3,FALSE)*副本难度推算!$Z$6*$R383+VLOOKUP($C383,难度推算表,副本难度推算!$H$3,FALSE)</f>
        <v>4164.2152469102366</v>
      </c>
      <c r="J383" s="72">
        <f>VLOOKUP($C383,难度推算表,副本难度推算!$G$3,FALSE)-VLOOKUP($C383,难度推算表,副本难度推算!$I$3,FALSE)*(2-副本难度推算!$AA$6)*(2-$S383)</f>
        <v>861.24835714117762</v>
      </c>
      <c r="K383" s="72">
        <f>VLOOKUP($C383,难度推算表,副本难度推算!$M$3,FALSE)*副本难度推算!$Y$7*Q383</f>
        <v>215773.85455894534</v>
      </c>
      <c r="L383" s="72">
        <f>VLOOKUP($C383,难度推算表,副本难度推算!$P$3,FALSE)*副本难度推算!$Z$7*$R383+VLOOKUP($C383,难度推算表,副本难度推算!$H$3,FALSE)</f>
        <v>4876.002459452222</v>
      </c>
      <c r="M383" s="72">
        <f>VLOOKUP($C383,难度推算表,副本难度推算!$G$3,FALSE)-VLOOKUP($C383,难度推算表,副本难度推算!$I$3,FALSE)*(2-副本难度推算!$AA$7)*(2-$S383)</f>
        <v>2095.8057783906625</v>
      </c>
      <c r="N383" s="2">
        <f>VLOOKUP($C383,难度推算表,副本难度推算!$Q$3,FALSE)</f>
        <v>2845.404</v>
      </c>
      <c r="O383" s="2">
        <f>VLOOKUP($C383,难度推算表,副本难度推算!$R$3,FALSE)</f>
        <v>0</v>
      </c>
      <c r="Q383" s="140">
        <f t="shared" si="31"/>
        <v>0.95700000000000007</v>
      </c>
      <c r="R383" s="140">
        <f t="shared" si="32"/>
        <v>0.78300000000000003</v>
      </c>
      <c r="S383" s="140">
        <f t="shared" si="33"/>
        <v>0.78300000000000003</v>
      </c>
      <c r="V383" s="140"/>
      <c r="W383" s="140"/>
      <c r="X383" s="140"/>
    </row>
    <row r="384" spans="1:24">
      <c r="A384" s="2" t="str">
        <f t="shared" si="35"/>
        <v>陷阱</v>
      </c>
      <c r="B384" s="2" t="str">
        <f>怪物并表!$R$14</f>
        <v>英雄之路</v>
      </c>
      <c r="C384" s="2">
        <v>44</v>
      </c>
      <c r="D384" s="28">
        <f t="shared" si="30"/>
        <v>1906</v>
      </c>
      <c r="E384" s="72">
        <f>VLOOKUP($C384,难度推算表,副本难度推算!$M$3,FALSE)*副本难度推算!$Y$5*Q384</f>
        <v>93042.878031010187</v>
      </c>
      <c r="F384" s="72">
        <f>VLOOKUP($C384,难度推算表,副本难度推算!$P$3,FALSE)*副本难度推算!$Z$5*$R384+VLOOKUP($C384,难度推算表,副本难度推算!$H$3,FALSE)</f>
        <v>4790.7649129824767</v>
      </c>
      <c r="G384" s="72">
        <f>VLOOKUP($C384,难度推算表,副本难度推算!$G$3,FALSE)-VLOOKUP($C384,难度推算表,副本难度推算!$I$3,FALSE)*(2-副本难度推算!$AA$5)*(2-$S384)</f>
        <v>1566.7610898322414</v>
      </c>
      <c r="H384" s="72">
        <f>VLOOKUP($C384,难度推算表,副本难度推算!$M$3,FALSE)*副本难度推算!$Y$6*Q384</f>
        <v>74434.302424808149</v>
      </c>
      <c r="I384" s="72">
        <f>VLOOKUP($C384,难度推算表,副本难度推算!$P$3,FALSE)*副本难度推算!$Z$6*$R384+VLOOKUP($C384,难度推算表,副本难度推算!$H$3,FALSE)</f>
        <v>4530.0523366434263</v>
      </c>
      <c r="J384" s="72">
        <f>VLOOKUP($C384,难度推算表,副本难度推算!$G$3,FALSE)-VLOOKUP($C384,难度推算表,副本难度推算!$I$3,FALSE)*(2-副本难度推算!$AA$6)*(2-$S384)</f>
        <v>897.47569048230207</v>
      </c>
      <c r="K384" s="72">
        <f>VLOOKUP($C384,难度推算表,副本难度推算!$M$3,FALSE)*副本难度推算!$Y$7*Q384</f>
        <v>232607.19507752545</v>
      </c>
      <c r="L384" s="72">
        <f>VLOOKUP($C384,难度推算表,副本难度推算!$P$3,FALSE)*副本难度推算!$Z$7*$R384+VLOOKUP($C384,难度推算表,副本难度推算!$H$3,FALSE)</f>
        <v>5312.1900656605776</v>
      </c>
      <c r="M384" s="72">
        <f>VLOOKUP($C384,难度推算表,副本难度推算!$G$3,FALSE)-VLOOKUP($C384,难度推算表,副本难度推算!$I$3,FALSE)*(2-副本难度推算!$AA$7)*(2-$S384)</f>
        <v>2236.0464891821812</v>
      </c>
      <c r="N384" s="2">
        <f>VLOOKUP($C384,难度推算表,副本难度推算!$Q$3,FALSE)</f>
        <v>2903.6320000000001</v>
      </c>
      <c r="O384" s="2">
        <f>VLOOKUP($C384,难度推算表,副本难度推算!$R$3,FALSE)</f>
        <v>0</v>
      </c>
      <c r="Q384" s="140">
        <f t="shared" si="31"/>
        <v>0.94600000000000006</v>
      </c>
      <c r="R384" s="140">
        <f t="shared" si="32"/>
        <v>0.77400000000000002</v>
      </c>
      <c r="S384" s="140">
        <f t="shared" si="33"/>
        <v>0.77400000000000002</v>
      </c>
      <c r="V384" s="140"/>
      <c r="W384" s="140"/>
      <c r="X384" s="140"/>
    </row>
    <row r="385" spans="1:24">
      <c r="A385" s="2" t="str">
        <f t="shared" si="35"/>
        <v>陷阱</v>
      </c>
      <c r="B385" s="2" t="str">
        <f>怪物并表!$R$14</f>
        <v>英雄之路</v>
      </c>
      <c r="C385" s="2">
        <v>45</v>
      </c>
      <c r="D385" s="28">
        <f t="shared" si="30"/>
        <v>1906</v>
      </c>
      <c r="E385" s="72">
        <f>VLOOKUP($C385,难度推算表,副本难度推算!$M$3,FALSE)*副本难度推算!$Y$5*Q385</f>
        <v>100063.65816913599</v>
      </c>
      <c r="F385" s="72">
        <f>VLOOKUP($C385,难度推算表,副本难度推算!$P$3,FALSE)*副本难度推算!$Z$5*$R385+VLOOKUP($C385,难度推算表,副本难度推算!$H$3,FALSE)</f>
        <v>5202.8974667281691</v>
      </c>
      <c r="G385" s="72">
        <f>VLOOKUP($C385,难度推算表,副本难度推算!$G$3,FALSE)-VLOOKUP($C385,难度推算表,副本难度推算!$I$3,FALSE)*(2-副本难度推算!$AA$5)*(2-$S385)</f>
        <v>1656.491344602844</v>
      </c>
      <c r="H385" s="72">
        <f>VLOOKUP($C385,难度推算表,副本难度推算!$M$3,FALSE)*副本难度推算!$Y$6*Q385</f>
        <v>80050.926535308798</v>
      </c>
      <c r="I385" s="72">
        <f>VLOOKUP($C385,难度推算表,副本难度推算!$P$3,FALSE)*副本难度推算!$Z$6*$R385+VLOOKUP($C385,难度推算表,副本难度推算!$H$3,FALSE)</f>
        <v>4917.155167078763</v>
      </c>
      <c r="J385" s="72">
        <f>VLOOKUP($C385,难度推算表,副本难度推算!$G$3,FALSE)-VLOOKUP($C385,难度推算表,副本难度推算!$I$3,FALSE)*(2-副本难度推算!$AA$6)*(2-$S385)</f>
        <v>932.32610191806089</v>
      </c>
      <c r="K385" s="72">
        <f>VLOOKUP($C385,难度推算表,副本难度推算!$M$3,FALSE)*副本难度推算!$Y$7*Q385</f>
        <v>250159.14542283997</v>
      </c>
      <c r="L385" s="72">
        <f>VLOOKUP($C385,难度推算表,副本难度推算!$P$3,FALSE)*副本难度推算!$Z$7*$R385+VLOOKUP($C385,难度推算表,副本难度推算!$H$3,FALSE)</f>
        <v>5774.3820660269794</v>
      </c>
      <c r="M385" s="72">
        <f>VLOOKUP($C385,难度推算表,副本难度推算!$G$3,FALSE)-VLOOKUP($C385,难度推算表,副本难度推算!$I$3,FALSE)*(2-副本难度推算!$AA$7)*(2-$S385)</f>
        <v>2380.6565872876267</v>
      </c>
      <c r="N385" s="2">
        <f>VLOOKUP($C385,难度推算表,副本难度推算!$Q$3,FALSE)</f>
        <v>2961.86</v>
      </c>
      <c r="O385" s="2">
        <f>VLOOKUP($C385,难度推算表,副本难度推算!$R$3,FALSE)</f>
        <v>0</v>
      </c>
      <c r="Q385" s="140">
        <f t="shared" si="31"/>
        <v>0.93500000000000005</v>
      </c>
      <c r="R385" s="140">
        <f t="shared" si="32"/>
        <v>0.76500000000000001</v>
      </c>
      <c r="S385" s="140">
        <f t="shared" si="33"/>
        <v>0.76500000000000001</v>
      </c>
      <c r="V385" s="140"/>
      <c r="W385" s="140"/>
      <c r="X385" s="140"/>
    </row>
    <row r="386" spans="1:24">
      <c r="A386" s="2" t="str">
        <f t="shared" si="35"/>
        <v>陷阱</v>
      </c>
      <c r="B386" s="2" t="str">
        <f>怪物并表!$R$14</f>
        <v>英雄之路</v>
      </c>
      <c r="C386" s="2">
        <v>46</v>
      </c>
      <c r="D386" s="28">
        <f t="shared" si="30"/>
        <v>1906</v>
      </c>
      <c r="E386" s="72">
        <f>VLOOKUP($C386,难度推算表,副本难度推算!$M$3,FALSE)*副本难度推算!$Y$5*Q386</f>
        <v>107371.88606476826</v>
      </c>
      <c r="F386" s="72">
        <f>VLOOKUP($C386,难度推算表,副本难度推算!$P$3,FALSE)*副本难度推算!$Z$5*$R386+VLOOKUP($C386,难度推算表,副本难度推算!$H$3,FALSE)</f>
        <v>5638.5830850793718</v>
      </c>
      <c r="G386" s="72">
        <f>VLOOKUP($C386,难度推算表,副本难度推算!$G$3,FALSE)-VLOOKUP($C386,难度推算表,副本难度推算!$I$3,FALSE)*(2-副本难度推算!$AA$5)*(2-$S386)</f>
        <v>1747.5725337856866</v>
      </c>
      <c r="H386" s="72">
        <f>VLOOKUP($C386,难度推算表,副本难度推算!$M$3,FALSE)*副本难度推算!$Y$6*Q386</f>
        <v>85897.508851814622</v>
      </c>
      <c r="I386" s="72">
        <f>VLOOKUP($C386,难度推算表,副本难度推算!$P$3,FALSE)*副本难度推算!$Z$6*$R386+VLOOKUP($C386,难度推算表,副本难度推算!$H$3,FALSE)</f>
        <v>5326.1740620082237</v>
      </c>
      <c r="J386" s="72">
        <f>VLOOKUP($C386,难度推算表,副本难度推算!$G$3,FALSE)-VLOOKUP($C386,难度推算表,副本难度推算!$I$3,FALSE)*(2-副本难度推算!$AA$6)*(2-$S386)</f>
        <v>965.56525607727235</v>
      </c>
      <c r="K386" s="72">
        <f>VLOOKUP($C386,难度推算表,副本难度推算!$M$3,FALSE)*副本难度推算!$Y$7*Q386</f>
        <v>268429.71516192064</v>
      </c>
      <c r="L386" s="72">
        <f>VLOOKUP($C386,难度推算表,副本难度推算!$P$3,FALSE)*副本难度推算!$Z$7*$R386+VLOOKUP($C386,难度推算表,副本难度推算!$H$3,FALSE)</f>
        <v>6263.4011312216662</v>
      </c>
      <c r="M386" s="72">
        <f>VLOOKUP($C386,难度推算表,副本难度推算!$G$3,FALSE)-VLOOKUP($C386,难度推算表,副本难度推算!$I$3,FALSE)*(2-副本难度推算!$AA$7)*(2-$S386)</f>
        <v>2529.5798114941012</v>
      </c>
      <c r="N386" s="2">
        <f>VLOOKUP($C386,难度推算表,副本难度推算!$Q$3,FALSE)</f>
        <v>3020.0879999999997</v>
      </c>
      <c r="O386" s="2">
        <f>VLOOKUP($C386,难度推算表,副本难度推算!$R$3,FALSE)</f>
        <v>0</v>
      </c>
      <c r="Q386" s="140">
        <f t="shared" si="31"/>
        <v>0.92400000000000004</v>
      </c>
      <c r="R386" s="140">
        <f t="shared" si="32"/>
        <v>0.75600000000000001</v>
      </c>
      <c r="S386" s="140">
        <f t="shared" si="33"/>
        <v>0.75600000000000001</v>
      </c>
      <c r="V386" s="140"/>
      <c r="W386" s="140"/>
      <c r="X386" s="140"/>
    </row>
    <row r="387" spans="1:24">
      <c r="A387" s="2" t="str">
        <f t="shared" si="35"/>
        <v>陷阱</v>
      </c>
      <c r="B387" s="2" t="str">
        <f>怪物并表!$R$14</f>
        <v>英雄之路</v>
      </c>
      <c r="C387" s="2">
        <v>47</v>
      </c>
      <c r="D387" s="28">
        <f t="shared" si="30"/>
        <v>1906</v>
      </c>
      <c r="E387" s="72">
        <f>VLOOKUP($C387,难度推算表,副本难度推算!$M$3,FALSE)*副本难度推算!$Y$5*Q387</f>
        <v>114967.02789244325</v>
      </c>
      <c r="F387" s="72">
        <f>VLOOKUP($C387,难度推算表,副本难度推算!$P$3,FALSE)*副本难度推算!$Z$5*$R387+VLOOKUP($C387,难度推算表,副本难度推算!$H$3,FALSE)</f>
        <v>6098.52756929529</v>
      </c>
      <c r="G387" s="72">
        <f>VLOOKUP($C387,难度推算表,副本难度推算!$G$3,FALSE)-VLOOKUP($C387,难度推算表,副本难度推算!$I$3,FALSE)*(2-副本难度推算!$AA$5)*(2-$S387)</f>
        <v>1839.8533613466561</v>
      </c>
      <c r="H387" s="72">
        <f>VLOOKUP($C387,难度推算表,副本难度推算!$M$3,FALSE)*副本难度推算!$Y$6*Q387</f>
        <v>91973.622313954605</v>
      </c>
      <c r="I387" s="72">
        <f>VLOOKUP($C387,难度推算表,副本难度推算!$P$3,FALSE)*副本难度推算!$Z$6*$R387+VLOOKUP($C387,难度推算表,副本难度推算!$H$3,FALSE)</f>
        <v>5757.7575708808108</v>
      </c>
      <c r="J387" s="72">
        <f>VLOOKUP($C387,难度推算表,副本难度推算!$G$3,FALSE)-VLOOKUP($C387,难度推算表,副本难度推算!$I$3,FALSE)*(2-副本难度推算!$AA$6)*(2-$S387)</f>
        <v>996.95162029826133</v>
      </c>
      <c r="K387" s="72">
        <f>VLOOKUP($C387,难度推算表,副本难度推算!$M$3,FALSE)*副本难度推算!$Y$7*Q387</f>
        <v>287417.56973110815</v>
      </c>
      <c r="L387" s="72">
        <f>VLOOKUP($C387,难度推算表,副本难度推算!$P$3,FALSE)*副本难度推算!$Z$7*$R387+VLOOKUP($C387,难度推算表,副本难度推算!$H$3,FALSE)</f>
        <v>6780.0675661242476</v>
      </c>
      <c r="M387" s="72">
        <f>VLOOKUP($C387,难度推算表,副本难度推算!$G$3,FALSE)-VLOOKUP($C387,难度推算表,副本难度推算!$I$3,FALSE)*(2-副本难度推算!$AA$7)*(2-$S387)</f>
        <v>2682.7551023950505</v>
      </c>
      <c r="N387" s="2">
        <f>VLOOKUP($C387,难度推算表,副本难度推算!$Q$3,FALSE)</f>
        <v>3078.3160000000003</v>
      </c>
      <c r="O387" s="2">
        <f>VLOOKUP($C387,难度推算表,副本难度推算!$R$3,FALSE)</f>
        <v>0</v>
      </c>
      <c r="Q387" s="140">
        <f t="shared" si="31"/>
        <v>0.91300000000000003</v>
      </c>
      <c r="R387" s="140">
        <f t="shared" si="32"/>
        <v>0.747</v>
      </c>
      <c r="S387" s="140">
        <f t="shared" si="33"/>
        <v>0.747</v>
      </c>
      <c r="V387" s="140"/>
      <c r="W387" s="140"/>
      <c r="X387" s="140"/>
    </row>
    <row r="388" spans="1:24">
      <c r="A388" s="2" t="str">
        <f t="shared" si="35"/>
        <v>陷阱</v>
      </c>
      <c r="B388" s="2" t="str">
        <f>怪物并表!$R$14</f>
        <v>英雄之路</v>
      </c>
      <c r="C388" s="2">
        <v>48</v>
      </c>
      <c r="D388" s="28">
        <f t="shared" si="30"/>
        <v>1906</v>
      </c>
      <c r="E388" s="72">
        <f>VLOOKUP($C388,难度推算表,副本难度推算!$M$3,FALSE)*副本难度推算!$Y$5*Q388</f>
        <v>122847.99719098872</v>
      </c>
      <c r="F388" s="72">
        <f>VLOOKUP($C388,难度推算表,副本难度推算!$P$3,FALSE)*副本难度推算!$Z$5*$R388+VLOOKUP($C388,难度推算表,副本难度推算!$H$3,FALSE)</f>
        <v>6583.4335920405701</v>
      </c>
      <c r="G388" s="72">
        <f>VLOOKUP($C388,难度推算表,副本难度推算!$G$3,FALSE)-VLOOKUP($C388,难度推算表,副本难度推算!$I$3,FALSE)*(2-副本难度推算!$AA$5)*(2-$S388)</f>
        <v>1933.1765335095661</v>
      </c>
      <c r="H388" s="72">
        <f>VLOOKUP($C388,难度推算表,副本难度推算!$M$3,FALSE)*副本难度推算!$Y$6*Q388</f>
        <v>98278.397752790988</v>
      </c>
      <c r="I388" s="72">
        <f>VLOOKUP($C388,难度推算表,副本难度推算!$P$3,FALSE)*副本难度推算!$Z$6*$R388+VLOOKUP($C388,难度推算表,副本难度推算!$H$3,FALSE)</f>
        <v>6212.5514274104262</v>
      </c>
      <c r="J388" s="72">
        <f>VLOOKUP($C388,难度推算表,副本难度推算!$G$3,FALSE)-VLOOKUP($C388,难度推算表,副本难度推算!$I$3,FALSE)*(2-副本难度推算!$AA$6)*(2-$S388)</f>
        <v>1026.2364646288706</v>
      </c>
      <c r="K388" s="72">
        <f>VLOOKUP($C388,难度推算表,副本难度推算!$M$3,FALSE)*副本难度推算!$Y$7*Q388</f>
        <v>307119.99297747179</v>
      </c>
      <c r="L388" s="72">
        <f>VLOOKUP($C388,难度推算表,副本难度推算!$P$3,FALSE)*副本难度推算!$Z$7*$R388+VLOOKUP($C388,难度推算表,副本难度推算!$H$3,FALSE)</f>
        <v>7325.1979213008563</v>
      </c>
      <c r="M388" s="72">
        <f>VLOOKUP($C388,难度推算表,副本难度推算!$G$3,FALSE)-VLOOKUP($C388,难度推算表,副本难度推算!$I$3,FALSE)*(2-副本难度推算!$AA$7)*(2-$S388)</f>
        <v>2840.116602390262</v>
      </c>
      <c r="N388" s="2">
        <f>VLOOKUP($C388,难度推算表,副本难度推算!$Q$3,FALSE)</f>
        <v>3136.5439999999999</v>
      </c>
      <c r="O388" s="2">
        <f>VLOOKUP($C388,难度推算表,副本难度推算!$R$3,FALSE)</f>
        <v>0</v>
      </c>
      <c r="Q388" s="140">
        <f t="shared" si="31"/>
        <v>0.90200000000000002</v>
      </c>
      <c r="R388" s="140">
        <f t="shared" si="32"/>
        <v>0.73799999999999999</v>
      </c>
      <c r="S388" s="140">
        <f t="shared" si="33"/>
        <v>0.73799999999999999</v>
      </c>
      <c r="V388" s="140"/>
      <c r="W388" s="140"/>
      <c r="X388" s="140"/>
    </row>
    <row r="389" spans="1:24">
      <c r="A389" s="2" t="str">
        <f t="shared" si="35"/>
        <v>陷阱</v>
      </c>
      <c r="B389" s="2" t="str">
        <f>怪物并表!$R$14</f>
        <v>英雄之路</v>
      </c>
      <c r="C389" s="2">
        <v>49</v>
      </c>
      <c r="D389" s="28">
        <f t="shared" si="30"/>
        <v>1906</v>
      </c>
      <c r="E389" s="72">
        <f>VLOOKUP($C389,难度推算表,副本难度推算!$M$3,FALSE)*副本难度推算!$Y$5*Q389</f>
        <v>131013.13987852901</v>
      </c>
      <c r="F389" s="72">
        <f>VLOOKUP($C389,难度推算表,副本难度推算!$P$3,FALSE)*副本难度推算!$Z$5*$R389+VLOOKUP($C389,难度推算表,副本难度推算!$H$3,FALSE)</f>
        <v>7093.9994812805598</v>
      </c>
      <c r="G389" s="72">
        <f>VLOOKUP($C389,难度推算表,副本难度推算!$G$3,FALSE)-VLOOKUP($C389,难度推算表,副本难度推算!$I$3,FALSE)*(2-副本难度推算!$AA$5)*(2-$S389)</f>
        <v>2027.3787587561555</v>
      </c>
      <c r="H389" s="72">
        <f>VLOOKUP($C389,难度推算表,副本难度推算!$M$3,FALSE)*副本难度推算!$Y$6*Q389</f>
        <v>104810.5119028232</v>
      </c>
      <c r="I389" s="72">
        <f>VLOOKUP($C389,难度推算表,副本难度推算!$P$3,FALSE)*副本难度推算!$Z$6*$R389+VLOOKUP($C389,难度推算表,副本难度推算!$H$3,FALSE)</f>
        <v>6691.1974550816012</v>
      </c>
      <c r="J389" s="72">
        <f>VLOOKUP($C389,难度推算表,副本难度推算!$G$3,FALSE)-VLOOKUP($C389,难度推算表,副本难度推算!$I$3,FALSE)*(2-副本难度推算!$AA$6)*(2-$S389)</f>
        <v>1053.1638618264506</v>
      </c>
      <c r="K389" s="72">
        <f>VLOOKUP($C389,难度推算表,副本难度推算!$M$3,FALSE)*副本难度推算!$Y$7*Q389</f>
        <v>327532.84969632252</v>
      </c>
      <c r="L389" s="72">
        <f>VLOOKUP($C389,难度推算表,副本难度推算!$P$3,FALSE)*副本难度推算!$Z$7*$R389+VLOOKUP($C389,难度推算表,副本难度推算!$H$3,FALSE)</f>
        <v>7899.603533678478</v>
      </c>
      <c r="M389" s="72">
        <f>VLOOKUP($C389,难度推算表,副本难度推算!$G$3,FALSE)-VLOOKUP($C389,难度推算表,副本难度推算!$I$3,FALSE)*(2-副本难度推算!$AA$7)*(2-$S389)</f>
        <v>3001.5936556858614</v>
      </c>
      <c r="N389" s="2">
        <f>VLOOKUP($C389,难度推算表,副本难度推算!$Q$3,FALSE)</f>
        <v>3194.7719999999999</v>
      </c>
      <c r="O389" s="2">
        <f>VLOOKUP($C389,难度推算表,副本难度推算!$R$3,FALSE)</f>
        <v>0</v>
      </c>
      <c r="Q389" s="140">
        <f t="shared" si="31"/>
        <v>0.89100000000000013</v>
      </c>
      <c r="R389" s="140">
        <f t="shared" si="32"/>
        <v>0.72900000000000009</v>
      </c>
      <c r="S389" s="140">
        <f t="shared" si="33"/>
        <v>0.72900000000000009</v>
      </c>
      <c r="V389" s="140"/>
      <c r="W389" s="140"/>
      <c r="X389" s="140"/>
    </row>
    <row r="390" spans="1:24">
      <c r="A390" s="2" t="str">
        <f t="shared" si="35"/>
        <v>陷阱</v>
      </c>
      <c r="B390" s="2" t="str">
        <f>怪物并表!$R$14</f>
        <v>英雄之路</v>
      </c>
      <c r="C390" s="2">
        <v>50</v>
      </c>
      <c r="D390" s="28">
        <f t="shared" ref="D390:D430" si="36">1900+VLOOKUP(A390,$Z$11:$AA$16,2,FALSE)</f>
        <v>1906</v>
      </c>
      <c r="E390" s="72">
        <f>VLOOKUP($C390,难度推算表,副本难度推算!$M$3,FALSE)*副本难度推算!$Y$5*Q390</f>
        <v>140377.7207101247</v>
      </c>
      <c r="F390" s="72">
        <f>VLOOKUP($C390,难度推算表,副本难度推算!$P$3,FALSE)*副本难度推算!$Z$5*$R390+VLOOKUP($C390,难度推算表,副本难度推算!$H$3,FALSE)</f>
        <v>7681.1213491447716</v>
      </c>
      <c r="G390" s="72">
        <f>VLOOKUP($C390,难度推算表,副本难度推算!$G$3,FALSE)-VLOOKUP($C390,难度推算表,副本难度推算!$I$3,FALSE)*(2-副本难度推算!$AA$5)*(2-$S390)</f>
        <v>2136.2531869565237</v>
      </c>
      <c r="H390" s="72">
        <f>VLOOKUP($C390,难度推算表,副本难度推算!$M$3,FALSE)*副本难度推算!$Y$6*Q390</f>
        <v>112302.17656809976</v>
      </c>
      <c r="I390" s="72">
        <f>VLOOKUP($C390,难度推算表,副本难度推算!$P$3,FALSE)*副本难度推算!$Z$6*$R390+VLOOKUP($C390,难度推算表,副本难度推算!$H$3,FALSE)</f>
        <v>7241.6635506851444</v>
      </c>
      <c r="J390" s="72">
        <f>VLOOKUP($C390,难度推算表,副本难度推算!$G$3,FALSE)-VLOOKUP($C390,难度推算表,副本难度推算!$I$3,FALSE)*(2-副本难度推算!$AA$6)*(2-$S390)</f>
        <v>1084.5593103010051</v>
      </c>
      <c r="K390" s="72">
        <f>VLOOKUP($C390,难度推算表,副本难度推算!$M$3,FALSE)*副本难度推算!$Y$7*Q390</f>
        <v>350944.30177531176</v>
      </c>
      <c r="L390" s="72">
        <f>VLOOKUP($C390,难度推算表,副本难度推算!$P$3,FALSE)*副本难度推算!$Z$7*$R390+VLOOKUP($C390,难度推算表,副本难度推算!$H$3,FALSE)</f>
        <v>8560.0369460640268</v>
      </c>
      <c r="M390" s="72">
        <f>VLOOKUP($C390,难度推算表,副本难度推算!$G$3,FALSE)-VLOOKUP($C390,难度推算表,副本难度推算!$I$3,FALSE)*(2-副本难度推算!$AA$7)*(2-$S390)</f>
        <v>3187.9470636120423</v>
      </c>
      <c r="N390" s="2">
        <f>VLOOKUP($C390,难度推算表,副本难度推算!$Q$3,FALSE)</f>
        <v>3253</v>
      </c>
      <c r="O390" s="2">
        <f>VLOOKUP($C390,难度推算表,副本难度推算!$R$3,FALSE)</f>
        <v>0</v>
      </c>
      <c r="Q390" s="140">
        <f t="shared" ref="Q390:Q430" si="37">VLOOKUP($A390,$Z$11:$AD$16,3,FALSE)*VLOOKUP(C390,$U$5:$X$75,2,FALSE)</f>
        <v>0.88000000000000012</v>
      </c>
      <c r="R390" s="140">
        <f t="shared" ref="R390:R430" si="38">VLOOKUP($A390,$Z$11:$AD$16,4,FALSE)*VLOOKUP(C390,$U$5:$X$75,3,FALSE)</f>
        <v>0.72000000000000008</v>
      </c>
      <c r="S390" s="140">
        <f t="shared" ref="S390:S430" si="39">VLOOKUP($A390,$Z$11:$AD$16,5,FALSE)*VLOOKUP(C390,$U$5:$X$75,4,FALSE)</f>
        <v>0.72000000000000008</v>
      </c>
      <c r="V390" s="140"/>
      <c r="W390" s="140"/>
      <c r="X390" s="140"/>
    </row>
    <row r="391" spans="1:24">
      <c r="A391" s="2" t="str">
        <f t="shared" si="35"/>
        <v>陷阱</v>
      </c>
      <c r="B391" s="2" t="str">
        <f>怪物并表!$R$14</f>
        <v>英雄之路</v>
      </c>
      <c r="C391" s="2">
        <v>51</v>
      </c>
      <c r="D391" s="28">
        <f t="shared" si="36"/>
        <v>1906</v>
      </c>
      <c r="E391" s="72">
        <f>VLOOKUP($C391,难度推算表,副本难度推算!$M$3,FALSE)*副本难度推算!$Y$5*Q391</f>
        <v>149277.39007152343</v>
      </c>
      <c r="F391" s="72">
        <f>VLOOKUP($C391,难度推算表,副本难度推算!$P$3,FALSE)*副本难度推算!$Z$5*$R391+VLOOKUP($C391,难度推算表,副本难度推算!$H$3,FALSE)</f>
        <v>8360.4869373584006</v>
      </c>
      <c r="G391" s="72">
        <f>VLOOKUP($C391,难度推算表,副本难度推算!$G$3,FALSE)-VLOOKUP($C391,难度推算表,副本难度推算!$I$3,FALSE)*(2-副本难度推算!$AA$5)*(2-$S391)</f>
        <v>2307.6651179981291</v>
      </c>
      <c r="H391" s="72">
        <f>VLOOKUP($C391,难度推算表,副本难度推算!$M$3,FALSE)*副本难度推算!$Y$6*Q391</f>
        <v>119421.91205721875</v>
      </c>
      <c r="I391" s="72">
        <f>VLOOKUP($C391,难度推算表,副本难度推算!$P$3,FALSE)*副本难度推算!$Z$6*$R391+VLOOKUP($C391,难度推算表,副本难度推算!$H$3,FALSE)</f>
        <v>7876.0890838727273</v>
      </c>
      <c r="J391" s="72">
        <f>VLOOKUP($C391,难度推算表,副本难度推算!$G$3,FALSE)-VLOOKUP($C391,难度推算表,副本难度推算!$I$3,FALSE)*(2-副本难度推算!$AA$6)*(2-$S391)</f>
        <v>1202.4369721663161</v>
      </c>
      <c r="K391" s="72">
        <f>VLOOKUP($C391,难度推算表,副本难度推算!$M$3,FALSE)*副本难度推算!$Y$7*Q391</f>
        <v>373193.47517880861</v>
      </c>
      <c r="L391" s="72">
        <f>VLOOKUP($C391,难度推算表,副本难度推算!$P$3,FALSE)*副本难度推算!$Z$7*$R391+VLOOKUP($C391,难度推算表,副本难度推算!$H$3,FALSE)</f>
        <v>9329.2826443297454</v>
      </c>
      <c r="M391" s="72">
        <f>VLOOKUP($C391,难度推算表,副本难度推算!$G$3,FALSE)-VLOOKUP($C391,难度推算表,副本难度推算!$I$3,FALSE)*(2-副本难度推算!$AA$7)*(2-$S391)</f>
        <v>3412.8932638299411</v>
      </c>
      <c r="N391" s="2">
        <f>VLOOKUP($C391,难度推算表,副本难度推算!$Q$3,FALSE)</f>
        <v>3311.2280000000001</v>
      </c>
      <c r="O391" s="2">
        <f>VLOOKUP($C391,难度推算表,副本难度推算!$R$3,FALSE)</f>
        <v>0</v>
      </c>
      <c r="Q391" s="140">
        <f t="shared" si="37"/>
        <v>0.88000000000000012</v>
      </c>
      <c r="R391" s="140">
        <f t="shared" si="38"/>
        <v>0.72000000000000008</v>
      </c>
      <c r="S391" s="140">
        <f t="shared" si="39"/>
        <v>0.72000000000000008</v>
      </c>
      <c r="V391" s="140"/>
      <c r="W391" s="140"/>
      <c r="X391" s="140"/>
    </row>
    <row r="392" spans="1:24">
      <c r="A392" s="2" t="str">
        <f t="shared" si="35"/>
        <v>陷阱</v>
      </c>
      <c r="B392" s="2" t="str">
        <f>怪物并表!$R$14</f>
        <v>英雄之路</v>
      </c>
      <c r="C392" s="2">
        <v>52</v>
      </c>
      <c r="D392" s="28">
        <f t="shared" si="36"/>
        <v>1906</v>
      </c>
      <c r="E392" s="72">
        <f>VLOOKUP($C392,难度推算表,副本难度推算!$M$3,FALSE)*副本难度推算!$Y$5*Q392</f>
        <v>164241.55686724765</v>
      </c>
      <c r="F392" s="72">
        <f>VLOOKUP($C392,难度推算表,副本难度推算!$P$3,FALSE)*副本难度推算!$Z$5*$R392+VLOOKUP($C392,难度推算表,副本难度推算!$H$3,FALSE)</f>
        <v>9084.506535993034</v>
      </c>
      <c r="G392" s="72">
        <f>VLOOKUP($C392,难度推算表,副本难度推算!$G$3,FALSE)-VLOOKUP($C392,难度推算表,副本难度推算!$I$3,FALSE)*(2-副本难度推算!$AA$5)*(2-$S392)</f>
        <v>2441.4266091130448</v>
      </c>
      <c r="H392" s="72">
        <f>VLOOKUP($C392,难度推算表,副本难度推算!$M$3,FALSE)*副本难度推算!$Y$6*Q392</f>
        <v>131393.24549379814</v>
      </c>
      <c r="I392" s="72">
        <f>VLOOKUP($C392,难度推算表,副本难度推算!$P$3,FALSE)*副本难度推算!$Z$6*$R392+VLOOKUP($C392,难度推算表,副本难度推算!$H$3,FALSE)</f>
        <v>8551.6599761034304</v>
      </c>
      <c r="J392" s="72">
        <f>VLOOKUP($C392,难度推算表,副本难度推算!$G$3,FALSE)-VLOOKUP($C392,难度推算表,副本难度推算!$I$3,FALSE)*(2-副本难度推算!$AA$6)*(2-$S392)</f>
        <v>1239.4935092420083</v>
      </c>
      <c r="K392" s="72">
        <f>VLOOKUP($C392,难度推算表,副本难度推算!$M$3,FALSE)*副本难度推算!$Y$7*Q392</f>
        <v>410603.89216811908</v>
      </c>
      <c r="L392" s="72">
        <f>VLOOKUP($C392,难度推算表,副本难度推算!$P$3,FALSE)*副本难度推算!$Z$7*$R392+VLOOKUP($C392,难度推算表,副本难度推算!$H$3,FALSE)</f>
        <v>10150.199655772243</v>
      </c>
      <c r="M392" s="72">
        <f>VLOOKUP($C392,难度推算表,副本难度推算!$G$3,FALSE)-VLOOKUP($C392,难度推算表,副本难度推算!$I$3,FALSE)*(2-副本难度推算!$AA$7)*(2-$S392)</f>
        <v>3643.3597089840814</v>
      </c>
      <c r="N392" s="2">
        <f>VLOOKUP($C392,难度推算表,副本难度推算!$Q$3,FALSE)</f>
        <v>3369.4560000000001</v>
      </c>
      <c r="O392" s="2">
        <f>VLOOKUP($C392,难度推算表,副本难度推算!$R$3,FALSE)</f>
        <v>0</v>
      </c>
      <c r="Q392" s="140">
        <f t="shared" si="37"/>
        <v>0.88000000000000012</v>
      </c>
      <c r="R392" s="140">
        <f t="shared" si="38"/>
        <v>0.72000000000000008</v>
      </c>
      <c r="S392" s="140">
        <f t="shared" si="39"/>
        <v>0.72000000000000008</v>
      </c>
      <c r="V392" s="140"/>
      <c r="W392" s="140"/>
      <c r="X392" s="140"/>
    </row>
    <row r="393" spans="1:24">
      <c r="A393" s="2" t="str">
        <f t="shared" si="35"/>
        <v>陷阱</v>
      </c>
      <c r="B393" s="2" t="str">
        <f>怪物并表!$R$14</f>
        <v>英雄之路</v>
      </c>
      <c r="C393" s="2">
        <v>53</v>
      </c>
      <c r="D393" s="28">
        <f t="shared" si="36"/>
        <v>1906</v>
      </c>
      <c r="E393" s="72">
        <f>VLOOKUP($C393,难度推算表,副本难度推算!$M$3,FALSE)*副本难度推算!$Y$5*Q393</f>
        <v>177165.39996660315</v>
      </c>
      <c r="F393" s="72">
        <f>VLOOKUP($C393,难度推算表,副本难度推算!$P$3,FALSE)*副本难度推算!$Z$5*$R393+VLOOKUP($C393,难度推算表,副本难度推算!$H$3,FALSE)</f>
        <v>9855.4109134595365</v>
      </c>
      <c r="G393" s="72">
        <f>VLOOKUP($C393,难度推算表,副本难度推算!$G$3,FALSE)-VLOOKUP($C393,难度推算表,副本难度推算!$I$3,FALSE)*(2-副本难度推算!$AA$5)*(2-$S393)</f>
        <v>2603.4499219826112</v>
      </c>
      <c r="H393" s="72">
        <f>VLOOKUP($C393,难度推算表,副本难度推算!$M$3,FALSE)*副本难度推算!$Y$6*Q393</f>
        <v>141732.31997328252</v>
      </c>
      <c r="I393" s="72">
        <f>VLOOKUP($C393,难度推算表,副本难度推算!$P$3,FALSE)*副本难度推算!$Z$6*$R393+VLOOKUP($C393,难度推算表,副本难度推算!$H$3,FALSE)</f>
        <v>9270.4005793416763</v>
      </c>
      <c r="J393" s="72">
        <f>VLOOKUP($C393,难度推算表,副本难度推算!$G$3,FALSE)-VLOOKUP($C393,难度推算表,副本难度推算!$I$3,FALSE)*(2-副本难度推算!$AA$6)*(2-$S393)</f>
        <v>1321.7514988527109</v>
      </c>
      <c r="K393" s="72">
        <f>VLOOKUP($C393,难度推算表,副本难度推算!$M$3,FALSE)*副本难度推算!$Y$7*Q393</f>
        <v>442913.49991650786</v>
      </c>
      <c r="L393" s="72">
        <f>VLOOKUP($C393,难度推算表,副本难度推算!$P$3,FALSE)*副本难度推算!$Z$7*$R393+VLOOKUP($C393,难度推算表,副本难度推算!$H$3,FALSE)</f>
        <v>11025.431581695255</v>
      </c>
      <c r="M393" s="72">
        <f>VLOOKUP($C393,难度推算表,副本难度推算!$G$3,FALSE)-VLOOKUP($C393,难度推算表,副本难度推算!$I$3,FALSE)*(2-副本难度推算!$AA$7)*(2-$S393)</f>
        <v>3885.1483451125105</v>
      </c>
      <c r="N393" s="2">
        <f>VLOOKUP($C393,难度推算表,副本难度推算!$Q$3,FALSE)</f>
        <v>3427.6839999999997</v>
      </c>
      <c r="O393" s="2">
        <f>VLOOKUP($C393,难度推算表,副本难度推算!$R$3,FALSE)</f>
        <v>0</v>
      </c>
      <c r="Q393" s="140">
        <f t="shared" si="37"/>
        <v>0.88000000000000012</v>
      </c>
      <c r="R393" s="140">
        <f t="shared" si="38"/>
        <v>0.72000000000000008</v>
      </c>
      <c r="S393" s="140">
        <f t="shared" si="39"/>
        <v>0.72000000000000008</v>
      </c>
      <c r="V393" s="140"/>
      <c r="W393" s="140"/>
      <c r="X393" s="140"/>
    </row>
    <row r="394" spans="1:24">
      <c r="A394" s="2" t="str">
        <f t="shared" si="35"/>
        <v>陷阱</v>
      </c>
      <c r="B394" s="2" t="str">
        <f>怪物并表!$R$14</f>
        <v>英雄之路</v>
      </c>
      <c r="C394" s="2">
        <v>54</v>
      </c>
      <c r="D394" s="28">
        <f t="shared" si="36"/>
        <v>1906</v>
      </c>
      <c r="E394" s="72">
        <f>VLOOKUP($C394,难度推算表,副本难度推算!$M$3,FALSE)*副本难度推算!$Y$5*Q394</f>
        <v>190779.04513167296</v>
      </c>
      <c r="F394" s="72">
        <f>VLOOKUP($C394,难度推算表,副本难度推算!$P$3,FALSE)*副本难度推算!$Z$5*$R394+VLOOKUP($C394,难度推算表,副本难度推算!$H$3,FALSE)</f>
        <v>10675.526746733005</v>
      </c>
      <c r="G394" s="72">
        <f>VLOOKUP($C394,难度推算表,副本难度推算!$G$3,FALSE)-VLOOKUP($C394,难度推算表,副本难度推算!$I$3,FALSE)*(2-副本难度推算!$AA$5)*(2-$S394)</f>
        <v>2771.9086928000024</v>
      </c>
      <c r="H394" s="72">
        <f>VLOOKUP($C394,难度推算表,副本难度推算!$M$3,FALSE)*副本难度推算!$Y$6*Q394</f>
        <v>152623.23610533838</v>
      </c>
      <c r="I394" s="72">
        <f>VLOOKUP($C394,难度推算表,副本难度推算!$P$3,FALSE)*副本难度推算!$Z$6*$R394+VLOOKUP($C394,难度推算表,副本难度推算!$H$3,FALSE)</f>
        <v>10034.421563259704</v>
      </c>
      <c r="J394" s="72">
        <f>VLOOKUP($C394,难度推算表,副本难度推算!$G$3,FALSE)-VLOOKUP($C394,难度推算表,副本难度推算!$I$3,FALSE)*(2-副本难度推算!$AA$6)*(2-$S394)</f>
        <v>1407.2767209600024</v>
      </c>
      <c r="K394" s="72">
        <f>VLOOKUP($C394,难度推算表,副本难度推算!$M$3,FALSE)*副本难度推算!$Y$7*Q394</f>
        <v>476947.61282918241</v>
      </c>
      <c r="L394" s="72">
        <f>VLOOKUP($C394,难度推算表,副本难度推算!$P$3,FALSE)*副本难度推算!$Z$7*$R394+VLOOKUP($C394,难度推算表,副本难度推算!$H$3,FALSE)</f>
        <v>11957.737113679603</v>
      </c>
      <c r="M394" s="72">
        <f>VLOOKUP($C394,难度推算表,副本难度推算!$G$3,FALSE)-VLOOKUP($C394,难度推算表,副本难度推算!$I$3,FALSE)*(2-副本难度推算!$AA$7)*(2-$S394)</f>
        <v>4136.5406646400024</v>
      </c>
      <c r="N394" s="2">
        <f>VLOOKUP($C394,难度推算表,副本难度推算!$Q$3,FALSE)</f>
        <v>3485.9119999999998</v>
      </c>
      <c r="O394" s="2">
        <f>VLOOKUP($C394,难度推算表,副本难度推算!$R$3,FALSE)</f>
        <v>0</v>
      </c>
      <c r="Q394" s="140">
        <f t="shared" si="37"/>
        <v>0.88000000000000012</v>
      </c>
      <c r="R394" s="140">
        <f t="shared" si="38"/>
        <v>0.72000000000000008</v>
      </c>
      <c r="S394" s="140">
        <f t="shared" si="39"/>
        <v>0.72000000000000008</v>
      </c>
      <c r="V394" s="140"/>
      <c r="W394" s="140"/>
      <c r="X394" s="140"/>
    </row>
    <row r="395" spans="1:24">
      <c r="A395" s="2" t="str">
        <f t="shared" si="35"/>
        <v>陷阱</v>
      </c>
      <c r="B395" s="2" t="str">
        <f>怪物并表!$R$14</f>
        <v>英雄之路</v>
      </c>
      <c r="C395" s="2">
        <v>55</v>
      </c>
      <c r="D395" s="28">
        <f t="shared" si="36"/>
        <v>1906</v>
      </c>
      <c r="E395" s="72">
        <f>VLOOKUP($C395,难度推算表,副本难度推算!$M$3,FALSE)*副本难度推算!$Y$5*Q395</f>
        <v>205104.25331453216</v>
      </c>
      <c r="F395" s="72">
        <f>VLOOKUP($C395,难度推算表,副本难度推算!$P$3,FALSE)*副本难度推算!$Z$5*$R395+VLOOKUP($C395,难度推算表,副本难度推算!$H$3,FALSE)</f>
        <v>11547.28091576611</v>
      </c>
      <c r="G395" s="72">
        <f>VLOOKUP($C395,难度推算表,副本难度推算!$G$3,FALSE)-VLOOKUP($C395,难度推算表,副本难度推算!$I$3,FALSE)*(2-副本难度推算!$AA$5)*(2-$S395)</f>
        <v>2946.9112141304358</v>
      </c>
      <c r="H395" s="72">
        <f>VLOOKUP($C395,难度推算表,副本难度推算!$M$3,FALSE)*副本难度推算!$Y$6*Q395</f>
        <v>164083.40265162574</v>
      </c>
      <c r="I395" s="72">
        <f>VLOOKUP($C395,难度推算表,副本难度推算!$P$3,FALSE)*副本难度推算!$Z$6*$R395+VLOOKUP($C395,难度推算表,副本难度推算!$H$3,FALSE)</f>
        <v>10845.923780209569</v>
      </c>
      <c r="J395" s="72">
        <f>VLOOKUP($C395,难度推算表,副本难度推算!$G$3,FALSE)-VLOOKUP($C395,难度推算表,副本难度推算!$I$3,FALSE)*(2-副本难度推算!$AA$6)*(2-$S395)</f>
        <v>1496.1241548662219</v>
      </c>
      <c r="K395" s="72">
        <f>VLOOKUP($C395,难度推算表,副本难度推算!$M$3,FALSE)*副本难度推算!$Y$7*Q395</f>
        <v>512760.63328633044</v>
      </c>
      <c r="L395" s="72">
        <f>VLOOKUP($C395,难度推算表,副本难度推算!$P$3,FALSE)*副本难度推算!$Z$7*$R395+VLOOKUP($C395,难度推算表,副本难度推算!$H$3,FALSE)</f>
        <v>12949.995186879201</v>
      </c>
      <c r="M395" s="72">
        <f>VLOOKUP($C395,难度推算表,副本难度推算!$G$3,FALSE)-VLOOKUP($C395,难度推算表,副本难度推算!$I$3,FALSE)*(2-副本难度推算!$AA$7)*(2-$S395)</f>
        <v>4397.6982733946497</v>
      </c>
      <c r="N395" s="2">
        <f>VLOOKUP($C395,难度推算表,副本难度推算!$Q$3,FALSE)</f>
        <v>3544.1399999999994</v>
      </c>
      <c r="O395" s="2">
        <f>VLOOKUP($C395,难度推算表,副本难度推算!$R$3,FALSE)</f>
        <v>0</v>
      </c>
      <c r="Q395" s="140">
        <f t="shared" si="37"/>
        <v>0.88000000000000012</v>
      </c>
      <c r="R395" s="140">
        <f t="shared" si="38"/>
        <v>0.72000000000000008</v>
      </c>
      <c r="S395" s="140">
        <f t="shared" si="39"/>
        <v>0.72000000000000008</v>
      </c>
      <c r="V395" s="140"/>
      <c r="W395" s="140"/>
      <c r="X395" s="140"/>
    </row>
    <row r="396" spans="1:24">
      <c r="A396" s="2" t="str">
        <f t="shared" si="35"/>
        <v>陷阱</v>
      </c>
      <c r="B396" s="2" t="str">
        <f>怪物并表!$R$14</f>
        <v>英雄之路</v>
      </c>
      <c r="C396" s="2">
        <v>56</v>
      </c>
      <c r="D396" s="28">
        <f t="shared" si="36"/>
        <v>1906</v>
      </c>
      <c r="E396" s="72">
        <f>VLOOKUP($C396,难度推算表,副本难度推算!$M$3,FALSE)*副本难度推算!$Y$5*Q396</f>
        <v>220163.08286988831</v>
      </c>
      <c r="F396" s="72">
        <f>VLOOKUP($C396,难度推算表,副本难度推算!$P$3,FALSE)*副本难度推算!$Z$5*$R396+VLOOKUP($C396,难度推算表,副本难度推算!$H$3,FALSE)</f>
        <v>12473.205030732086</v>
      </c>
      <c r="G396" s="72">
        <f>VLOOKUP($C396,难度推算表,副本难度推算!$G$3,FALSE)-VLOOKUP($C396,难度推算表,副本难度推算!$I$3,FALSE)*(2-副本难度推算!$AA$5)*(2-$S396)</f>
        <v>3128.5657785391331</v>
      </c>
      <c r="H396" s="72">
        <f>VLOOKUP($C396,难度推算表,副本难度推算!$M$3,FALSE)*副本难度推算!$Y$6*Q396</f>
        <v>176130.46629591065</v>
      </c>
      <c r="I396" s="72">
        <f>VLOOKUP($C396,难度推算表,副本难度推算!$P$3,FALSE)*副本难度推算!$Z$6*$R396+VLOOKUP($C396,难度推算表,副本难度推算!$H$3,FALSE)</f>
        <v>11707.20233974182</v>
      </c>
      <c r="J396" s="72">
        <f>VLOOKUP($C396,难度推算表,副本难度推算!$G$3,FALSE)-VLOOKUP($C396,难度推算表,副本难度推算!$I$3,FALSE)*(2-副本难度推算!$AA$6)*(2-$S396)</f>
        <v>1588.3487798737133</v>
      </c>
      <c r="K396" s="72">
        <f>VLOOKUP($C396,难度推算表,副本难度推算!$M$3,FALSE)*副本难度推算!$Y$7*Q396</f>
        <v>550407.70717472082</v>
      </c>
      <c r="L396" s="72">
        <f>VLOOKUP($C396,难度推算表,副本难度推算!$P$3,FALSE)*副本难度推算!$Z$7*$R396+VLOOKUP($C396,难度推算表,副本难度推算!$H$3,FALSE)</f>
        <v>14005.210412712615</v>
      </c>
      <c r="M396" s="72">
        <f>VLOOKUP($C396,难度推算表,副本难度推算!$G$3,FALSE)-VLOOKUP($C396,难度推算表,副本难度推算!$I$3,FALSE)*(2-副本难度推算!$AA$7)*(2-$S396)</f>
        <v>4668.7827772045512</v>
      </c>
      <c r="N396" s="2">
        <f>VLOOKUP($C396,难度推算表,副本难度推算!$Q$3,FALSE)</f>
        <v>3602.3680000000004</v>
      </c>
      <c r="O396" s="2">
        <f>VLOOKUP($C396,难度推算表,副本难度推算!$R$3,FALSE)</f>
        <v>0</v>
      </c>
      <c r="Q396" s="140">
        <f t="shared" si="37"/>
        <v>0.88000000000000012</v>
      </c>
      <c r="R396" s="140">
        <f t="shared" si="38"/>
        <v>0.72000000000000008</v>
      </c>
      <c r="S396" s="140">
        <f t="shared" si="39"/>
        <v>0.72000000000000008</v>
      </c>
      <c r="V396" s="140"/>
      <c r="W396" s="140"/>
      <c r="X396" s="140"/>
    </row>
    <row r="397" spans="1:24">
      <c r="A397" s="2" t="str">
        <f t="shared" si="35"/>
        <v>陷阱</v>
      </c>
      <c r="B397" s="2" t="str">
        <f>怪物并表!$R$14</f>
        <v>英雄之路</v>
      </c>
      <c r="C397" s="2">
        <v>57</v>
      </c>
      <c r="D397" s="28">
        <f t="shared" si="36"/>
        <v>1906</v>
      </c>
      <c r="E397" s="72">
        <f>VLOOKUP($C397,难度推算表,副本难度推算!$M$3,FALSE)*副本难度推算!$Y$5*Q397</f>
        <v>235977.88944489759</v>
      </c>
      <c r="F397" s="72">
        <f>VLOOKUP($C397,难度推算表,副本难度推算!$P$3,FALSE)*副本难度推算!$Z$5*$R397+VLOOKUP($C397,难度推算表,副本难度推算!$H$3,FALSE)</f>
        <v>13455.940206958727</v>
      </c>
      <c r="G397" s="72">
        <f>VLOOKUP($C397,难度推算表,副本难度推算!$G$3,FALSE)-VLOOKUP($C397,难度推算表,副本难度推算!$I$3,FALSE)*(2-副本难度推算!$AA$5)*(2-$S397)</f>
        <v>3316.980678591307</v>
      </c>
      <c r="H397" s="72">
        <f>VLOOKUP($C397,难度推算表,副本难度推算!$M$3,FALSE)*副本难度推算!$Y$6*Q397</f>
        <v>188782.31155591807</v>
      </c>
      <c r="I397" s="72">
        <f>VLOOKUP($C397,难度推算表,副本难度推算!$P$3,FALSE)*副本难度推算!$Z$6*$R397+VLOOKUP($C397,难度推算表,副本难度推算!$H$3,FALSE)</f>
        <v>12620.650906046134</v>
      </c>
      <c r="J397" s="72">
        <f>VLOOKUP($C397,难度推算表,副本难度推算!$G$3,FALSE)-VLOOKUP($C397,难度推算表,副本难度推算!$I$3,FALSE)*(2-副本难度推算!$AA$6)*(2-$S397)</f>
        <v>1684.0055752848184</v>
      </c>
      <c r="K397" s="72">
        <f>VLOOKUP($C397,难度推算表,副本难度推算!$M$3,FALSE)*副本难度推算!$Y$7*Q397</f>
        <v>589944.72361224401</v>
      </c>
      <c r="L397" s="72">
        <f>VLOOKUP($C397,难度推算表,副本难度推算!$P$3,FALSE)*副本难度推算!$Z$7*$R397+VLOOKUP($C397,难度推算表,副本难度推算!$H$3,FALSE)</f>
        <v>15126.51880878392</v>
      </c>
      <c r="M397" s="72">
        <f>VLOOKUP($C397,难度推算表,副本难度推算!$G$3,FALSE)-VLOOKUP($C397,难度推算表,副本难度推算!$I$3,FALSE)*(2-副本难度推算!$AA$7)*(2-$S397)</f>
        <v>4949.9557818977955</v>
      </c>
      <c r="N397" s="2">
        <f>VLOOKUP($C397,难度推算表,副本难度推算!$Q$3,FALSE)</f>
        <v>3660.596</v>
      </c>
      <c r="O397" s="2">
        <f>VLOOKUP($C397,难度推算表,副本难度推算!$R$3,FALSE)</f>
        <v>0</v>
      </c>
      <c r="Q397" s="140">
        <f t="shared" si="37"/>
        <v>0.88000000000000012</v>
      </c>
      <c r="R397" s="140">
        <f t="shared" si="38"/>
        <v>0.72000000000000008</v>
      </c>
      <c r="S397" s="140">
        <f t="shared" si="39"/>
        <v>0.72000000000000008</v>
      </c>
      <c r="V397" s="140"/>
      <c r="W397" s="140"/>
      <c r="X397" s="140"/>
    </row>
    <row r="398" spans="1:24">
      <c r="A398" s="2" t="str">
        <f t="shared" si="35"/>
        <v>陷阱</v>
      </c>
      <c r="B398" s="2" t="str">
        <f>怪物并表!$R$14</f>
        <v>英雄之路</v>
      </c>
      <c r="C398" s="2">
        <v>58</v>
      </c>
      <c r="D398" s="28">
        <f t="shared" si="36"/>
        <v>1906</v>
      </c>
      <c r="E398" s="72">
        <f>VLOOKUP($C398,难度推算表,副本难度推算!$M$3,FALSE)*副本难度推算!$Y$5*Q398</f>
        <v>252571.32586658711</v>
      </c>
      <c r="F398" s="72">
        <f>VLOOKUP($C398,难度推算表,副本难度推算!$P$3,FALSE)*副本难度推算!$Z$5*$R398+VLOOKUP($C398,难度推算表,副本难度推算!$H$3,FALSE)</f>
        <v>14498.242103509194</v>
      </c>
      <c r="G398" s="72">
        <f>VLOOKUP($C398,难度推算表,副本难度推算!$G$3,FALSE)-VLOOKUP($C398,难度推算表,副本难度推算!$I$3,FALSE)*(2-副本难度推算!$AA$5)*(2-$S398)</f>
        <v>3512.2642068521764</v>
      </c>
      <c r="H398" s="72">
        <f>VLOOKUP($C398,难度推算表,副本难度推算!$M$3,FALSE)*副本难度推算!$Y$6*Q398</f>
        <v>202057.06069326968</v>
      </c>
      <c r="I398" s="72">
        <f>VLOOKUP($C398,难度推算表,副本难度推算!$P$3,FALSE)*副本难度推算!$Z$6*$R398+VLOOKUP($C398,难度推算表,副本难度推算!$H$3,FALSE)</f>
        <v>13588.766232673994</v>
      </c>
      <c r="J398" s="72">
        <f>VLOOKUP($C398,难度推算表,副本难度推算!$G$3,FALSE)-VLOOKUP($C398,难度推算表,副本难度推算!$I$3,FALSE)*(2-副本难度推算!$AA$6)*(2-$S398)</f>
        <v>1783.1495204018756</v>
      </c>
      <c r="K398" s="72">
        <f>VLOOKUP($C398,难度推算表,副本难度推算!$M$3,FALSE)*副本难度推算!$Y$7*Q398</f>
        <v>631428.31466646772</v>
      </c>
      <c r="L398" s="72">
        <f>VLOOKUP($C398,难度推算表,副本难度推算!$P$3,FALSE)*副本难度推算!$Z$7*$R398+VLOOKUP($C398,难度推算表,副本难度推算!$H$3,FALSE)</f>
        <v>16317.193845179594</v>
      </c>
      <c r="M398" s="72">
        <f>VLOOKUP($C398,难度推算表,副本难度推算!$G$3,FALSE)-VLOOKUP($C398,难度推算表,副本难度推算!$I$3,FALSE)*(2-副本难度推算!$AA$7)*(2-$S398)</f>
        <v>5241.378893302478</v>
      </c>
      <c r="N398" s="2">
        <f>VLOOKUP($C398,难度推算表,副本难度推算!$Q$3,FALSE)</f>
        <v>3718.8240000000001</v>
      </c>
      <c r="O398" s="2">
        <f>VLOOKUP($C398,难度推算表,副本难度推算!$R$3,FALSE)</f>
        <v>0</v>
      </c>
      <c r="Q398" s="140">
        <f t="shared" si="37"/>
        <v>0.88000000000000012</v>
      </c>
      <c r="R398" s="140">
        <f t="shared" si="38"/>
        <v>0.72000000000000008</v>
      </c>
      <c r="S398" s="140">
        <f t="shared" si="39"/>
        <v>0.72000000000000008</v>
      </c>
      <c r="V398" s="140"/>
      <c r="W398" s="140"/>
      <c r="X398" s="140"/>
    </row>
    <row r="399" spans="1:24">
      <c r="A399" s="2" t="str">
        <f t="shared" si="35"/>
        <v>陷阱</v>
      </c>
      <c r="B399" s="2" t="str">
        <f>怪物并表!$R$14</f>
        <v>英雄之路</v>
      </c>
      <c r="C399" s="2">
        <v>59</v>
      </c>
      <c r="D399" s="28">
        <f t="shared" si="36"/>
        <v>1906</v>
      </c>
      <c r="E399" s="72">
        <f>VLOOKUP($C399,难度推算表,副本难度推算!$M$3,FALSE)*副本难度推算!$Y$5*Q399</f>
        <v>269966.34202739014</v>
      </c>
      <c r="F399" s="72">
        <f>VLOOKUP($C399,难度推算表,副本难度推算!$P$3,FALSE)*副本难度推算!$Z$5*$R399+VLOOKUP($C399,难度推算表,副本难度推算!$H$3,FALSE)</f>
        <v>15602.986242550487</v>
      </c>
      <c r="G399" s="72">
        <f>VLOOKUP($C399,难度推算表,副本难度推算!$G$3,FALSE)-VLOOKUP($C399,难度推算表,副本难度推算!$I$3,FALSE)*(2-副本难度推算!$AA$5)*(2-$S399)</f>
        <v>3714.5246558869603</v>
      </c>
      <c r="H399" s="72">
        <f>VLOOKUP($C399,难度推算表,副本难度推算!$M$3,FALSE)*副本难度推算!$Y$6*Q399</f>
        <v>215973.07362191213</v>
      </c>
      <c r="I399" s="72">
        <f>VLOOKUP($C399,难度推算表,副本难度推算!$P$3,FALSE)*副本难度推算!$Z$6*$R399+VLOOKUP($C399,难度推算表,副本难度推算!$H$3,FALSE)</f>
        <v>14614.152949970357</v>
      </c>
      <c r="J399" s="72">
        <f>VLOOKUP($C399,难度推算表,副本难度推算!$G$3,FALSE)-VLOOKUP($C399,难度推算表,副本难度推算!$I$3,FALSE)*(2-副本难度推算!$AA$6)*(2-$S399)</f>
        <v>1885.8355945272287</v>
      </c>
      <c r="K399" s="72">
        <f>VLOOKUP($C399,难度推算表,副本难度推算!$M$3,FALSE)*副本难度推算!$Y$7*Q399</f>
        <v>674915.85506847547</v>
      </c>
      <c r="L399" s="72">
        <f>VLOOKUP($C399,难度推算表,副本难度推算!$P$3,FALSE)*副本难度推算!$Z$7*$R399+VLOOKUP($C399,难度推算表,副本难度推算!$H$3,FALSE)</f>
        <v>17580.652827710754</v>
      </c>
      <c r="M399" s="72">
        <f>VLOOKUP($C399,难度推算表,副本难度推算!$G$3,FALSE)-VLOOKUP($C399,难度推算表,副本难度推算!$I$3,FALSE)*(2-副本难度推算!$AA$7)*(2-$S399)</f>
        <v>5543.2137172466919</v>
      </c>
      <c r="N399" s="2">
        <f>VLOOKUP($C399,难度推算表,副本难度推算!$Q$3,FALSE)</f>
        <v>3777.0519999999997</v>
      </c>
      <c r="O399" s="2">
        <f>VLOOKUP($C399,难度推算表,副本难度推算!$R$3,FALSE)</f>
        <v>0</v>
      </c>
      <c r="Q399" s="140">
        <f t="shared" si="37"/>
        <v>0.88000000000000012</v>
      </c>
      <c r="R399" s="140">
        <f t="shared" si="38"/>
        <v>0.72000000000000008</v>
      </c>
      <c r="S399" s="140">
        <f t="shared" si="39"/>
        <v>0.72000000000000008</v>
      </c>
      <c r="V399" s="140"/>
      <c r="W399" s="140"/>
      <c r="X399" s="140"/>
    </row>
    <row r="400" spans="1:24">
      <c r="A400" s="2" t="str">
        <f t="shared" si="35"/>
        <v>陷阱</v>
      </c>
      <c r="B400" s="2" t="str">
        <f>怪物并表!$R$14</f>
        <v>英雄之路</v>
      </c>
      <c r="C400" s="2">
        <v>60</v>
      </c>
      <c r="D400" s="28">
        <f t="shared" si="36"/>
        <v>1906</v>
      </c>
      <c r="E400" s="72">
        <f>VLOOKUP($C400,难度推算表,副本难度推算!$M$3,FALSE)*副本难度推算!$Y$5*Q400</f>
        <v>289605.82114741107</v>
      </c>
      <c r="F400" s="72">
        <f>VLOOKUP($C400,难度推算表,副本难度推算!$P$3,FALSE)*副本难度推算!$Z$5*$R400+VLOOKUP($C400,难度推算表,副本难度推算!$H$3,FALSE)</f>
        <v>16855.800099010041</v>
      </c>
      <c r="G400" s="72">
        <f>VLOOKUP($C400,难度推算表,副本难度推算!$G$3,FALSE)-VLOOKUP($C400,难度推算表,副本难度推算!$I$3,FALSE)*(2-副本难度推算!$AA$5)*(2-$S400)</f>
        <v>3943.1997286956557</v>
      </c>
      <c r="H400" s="72">
        <f>VLOOKUP($C400,难度推算表,副本难度推算!$M$3,FALSE)*副本难度推算!$Y$6*Q400</f>
        <v>231684.65691792889</v>
      </c>
      <c r="I400" s="72">
        <f>VLOOKUP($C400,难度推算表,副本难度推算!$P$3,FALSE)*副本难度推算!$Z$6*$R400+VLOOKUP($C400,难度推算表,副本难度推算!$H$3,FALSE)</f>
        <v>15776.86620121606</v>
      </c>
      <c r="J400" s="72">
        <f>VLOOKUP($C400,难度推算表,副本难度推算!$G$3,FALSE)-VLOOKUP($C400,难度推算表,副本难度推算!$I$3,FALSE)*(2-副本难度推算!$AA$6)*(2-$S400)</f>
        <v>2001.9321699531793</v>
      </c>
      <c r="K400" s="72">
        <f>VLOOKUP($C400,难度推算表,副本难度推算!$M$3,FALSE)*副本难度推算!$Y$7*Q400</f>
        <v>724014.55286852783</v>
      </c>
      <c r="L400" s="72">
        <f>VLOOKUP($C400,难度推算表,副本难度推算!$P$3,FALSE)*副本难度推算!$Z$7*$R400+VLOOKUP($C400,难度推算表,副本难度推算!$H$3,FALSE)</f>
        <v>19013.667894598002</v>
      </c>
      <c r="M400" s="72">
        <f>VLOOKUP($C400,难度推算表,副本难度推算!$G$3,FALSE)-VLOOKUP($C400,难度推算表,副本难度推算!$I$3,FALSE)*(2-副本难度推算!$AA$7)*(2-$S400)</f>
        <v>5884.4672874381313</v>
      </c>
      <c r="N400" s="2">
        <f>VLOOKUP($C400,难度推算表,副本难度推算!$Q$3,FALSE)</f>
        <v>3835.2799999999997</v>
      </c>
      <c r="O400" s="2">
        <f>VLOOKUP($C400,难度推算表,副本难度推算!$R$3,FALSE)</f>
        <v>0</v>
      </c>
      <c r="Q400" s="140">
        <f t="shared" si="37"/>
        <v>0.88000000000000012</v>
      </c>
      <c r="R400" s="140">
        <f t="shared" si="38"/>
        <v>0.72000000000000008</v>
      </c>
      <c r="S400" s="140">
        <f t="shared" si="39"/>
        <v>0.72000000000000008</v>
      </c>
      <c r="V400" s="140"/>
      <c r="W400" s="140"/>
      <c r="X400" s="140"/>
    </row>
    <row r="401" spans="1:24">
      <c r="A401" s="2" t="str">
        <f t="shared" si="35"/>
        <v>陷阱</v>
      </c>
      <c r="B401" s="2" t="str">
        <f>怪物并表!$R$14</f>
        <v>英雄之路</v>
      </c>
      <c r="C401" s="2">
        <v>61</v>
      </c>
      <c r="D401" s="28">
        <f t="shared" si="36"/>
        <v>1906</v>
      </c>
      <c r="E401" s="72">
        <f>VLOOKUP($C401,难度推算表,副本难度推算!$M$3,FALSE)*副本难度推算!$Y$5*Q401</f>
        <v>310208.76697588328</v>
      </c>
      <c r="F401" s="72">
        <f>VLOOKUP($C401,难度推算表,副本难度推算!$P$3,FALSE)*副本难度推算!$Z$5*$R401+VLOOKUP($C401,难度推算表,副本难度推算!$H$3,FALSE)</f>
        <v>18185.128381700393</v>
      </c>
      <c r="G401" s="72">
        <f>VLOOKUP($C401,难度推算表,副本难度推算!$G$3,FALSE)-VLOOKUP($C401,难度推算表,副本难度推算!$I$3,FALSE)*(2-副本难度推算!$AA$5)*(2-$S401)</f>
        <v>4180.2211162173935</v>
      </c>
      <c r="H401" s="72">
        <f>VLOOKUP($C401,难度推算表,副本难度推算!$M$3,FALSE)*副本难度推算!$Y$6*Q401</f>
        <v>248167.01358070661</v>
      </c>
      <c r="I401" s="72">
        <f>VLOOKUP($C401,难度推算表,副本难度推算!$P$3,FALSE)*副本难度推算!$Z$6*$R401+VLOOKUP($C401,难度推算表,副本难度推算!$H$3,FALSE)</f>
        <v>17009.726484486877</v>
      </c>
      <c r="J401" s="72">
        <f>VLOOKUP($C401,难度推算表,副本难度推算!$G$3,FALSE)-VLOOKUP($C401,难度推算表,副本难度推算!$I$3,FALSE)*(2-副本难度推算!$AA$6)*(2-$S401)</f>
        <v>2122.2661051565246</v>
      </c>
      <c r="K401" s="72">
        <f>VLOOKUP($C401,难度推算表,副本难度推算!$M$3,FALSE)*副本难度推算!$Y$7*Q401</f>
        <v>775521.91743970814</v>
      </c>
      <c r="L401" s="72">
        <f>VLOOKUP($C401,难度推算表,副本难度推算!$P$3,FALSE)*副本难度推算!$Z$7*$R401+VLOOKUP($C401,难度推算表,副本难度推算!$H$3,FALSE)</f>
        <v>20535.932176127426</v>
      </c>
      <c r="M401" s="72">
        <f>VLOOKUP($C401,难度推算表,副本难度推算!$G$3,FALSE)-VLOOKUP($C401,难度推算表,副本难度推算!$I$3,FALSE)*(2-副本难度推算!$AA$7)*(2-$S401)</f>
        <v>6238.1761272782642</v>
      </c>
      <c r="N401" s="2">
        <f>VLOOKUP($C401,难度推算表,副本难度推算!$Q$3,FALSE)</f>
        <v>3893.5080000000003</v>
      </c>
      <c r="O401" s="2">
        <f>VLOOKUP($C401,难度推算表,副本难度推算!$R$3,FALSE)</f>
        <v>0</v>
      </c>
      <c r="Q401" s="140">
        <f t="shared" si="37"/>
        <v>0.88000000000000012</v>
      </c>
      <c r="R401" s="140">
        <f t="shared" si="38"/>
        <v>0.72000000000000008</v>
      </c>
      <c r="S401" s="140">
        <f t="shared" si="39"/>
        <v>0.72000000000000008</v>
      </c>
      <c r="V401" s="140"/>
      <c r="W401" s="140"/>
      <c r="X401" s="140"/>
    </row>
    <row r="402" spans="1:24">
      <c r="A402" s="2" t="str">
        <f t="shared" si="35"/>
        <v>陷阱</v>
      </c>
      <c r="B402" s="2" t="str">
        <f>怪物并表!$R$14</f>
        <v>英雄之路</v>
      </c>
      <c r="C402" s="2">
        <v>62</v>
      </c>
      <c r="D402" s="28">
        <f t="shared" si="36"/>
        <v>1906</v>
      </c>
      <c r="E402" s="72">
        <f>VLOOKUP($C402,难度推算表,副本难度推算!$M$3,FALSE)*副本难度推算!$Y$5*Q402</f>
        <v>331803.19917506055</v>
      </c>
      <c r="F402" s="72">
        <f>VLOOKUP($C402,难度推算表,副本难度推算!$P$3,FALSE)*副本难度推算!$Z$5*$R402+VLOOKUP($C402,难度推算表,副本难度推算!$H$3,FALSE)</f>
        <v>19594.694056239518</v>
      </c>
      <c r="G402" s="72">
        <f>VLOOKUP($C402,难度推算表,副本难度推算!$G$3,FALSE)-VLOOKUP($C402,难度推算表,副本难度推算!$I$3,FALSE)*(2-副本难度推算!$AA$5)*(2-$S402)</f>
        <v>4425.7187695304401</v>
      </c>
      <c r="H402" s="72">
        <f>VLOOKUP($C402,难度推算表,副本难度推算!$M$3,FALSE)*副本难度推算!$Y$6*Q402</f>
        <v>265442.55934004841</v>
      </c>
      <c r="I402" s="72">
        <f>VLOOKUP($C402,难度推算表,副本难度推算!$P$3,FALSE)*副本难度推算!$Z$6*$R402+VLOOKUP($C402,难度推算表,副本难度推算!$H$3,FALSE)</f>
        <v>18316.104461312556</v>
      </c>
      <c r="J402" s="72">
        <f>VLOOKUP($C402,难度推算表,副本难度推算!$G$3,FALSE)-VLOOKUP($C402,难度推算表,副本难度推算!$I$3,FALSE)*(2-副本难度推算!$AA$6)*(2-$S402)</f>
        <v>2246.9033753000713</v>
      </c>
      <c r="K402" s="72">
        <f>VLOOKUP($C402,难度推算表,副本难度推算!$M$3,FALSE)*副本难度推算!$Y$7*Q402</f>
        <v>829507.99793765135</v>
      </c>
      <c r="L402" s="72">
        <f>VLOOKUP($C402,难度推算表,副本难度推算!$P$3,FALSE)*副本难度推算!$Z$7*$R402+VLOOKUP($C402,难度推算表,副本难度推算!$H$3,FALSE)</f>
        <v>22151.873246093441</v>
      </c>
      <c r="M402" s="72">
        <f>VLOOKUP($C402,难度推算表,副本难度推算!$G$3,FALSE)-VLOOKUP($C402,难度推算表,副本难度推算!$I$3,FALSE)*(2-副本难度推算!$AA$7)*(2-$S402)</f>
        <v>6604.5341637608071</v>
      </c>
      <c r="N402" s="2">
        <f>VLOOKUP($C402,难度推算表,副本难度推算!$Q$3,FALSE)</f>
        <v>3951.7360000000003</v>
      </c>
      <c r="O402" s="2">
        <f>VLOOKUP($C402,难度推算表,副本难度推算!$R$3,FALSE)</f>
        <v>0</v>
      </c>
      <c r="Q402" s="140">
        <f t="shared" si="37"/>
        <v>0.88000000000000012</v>
      </c>
      <c r="R402" s="140">
        <f t="shared" si="38"/>
        <v>0.72000000000000008</v>
      </c>
      <c r="S402" s="140">
        <f t="shared" si="39"/>
        <v>0.72000000000000008</v>
      </c>
      <c r="V402" s="140"/>
      <c r="W402" s="140"/>
      <c r="X402" s="140"/>
    </row>
    <row r="403" spans="1:24">
      <c r="A403" s="2" t="str">
        <f t="shared" si="35"/>
        <v>陷阱</v>
      </c>
      <c r="B403" s="2" t="str">
        <f>怪物并表!$R$14</f>
        <v>英雄之路</v>
      </c>
      <c r="C403" s="2">
        <v>63</v>
      </c>
      <c r="D403" s="28">
        <f t="shared" si="36"/>
        <v>1906</v>
      </c>
      <c r="E403" s="72">
        <f>VLOOKUP($C403,难度推算表,副本难度推算!$M$3,FALSE)*副本难度推算!$Y$5*Q403</f>
        <v>354417.49346484349</v>
      </c>
      <c r="F403" s="72">
        <f>VLOOKUP($C403,难度推算表,副本难度推算!$P$3,FALSE)*副本难度推算!$Z$5*$R403+VLOOKUP($C403,难度推算表,副本难度推算!$H$3,FALSE)</f>
        <v>21088.385532090917</v>
      </c>
      <c r="G403" s="72">
        <f>VLOOKUP($C403,难度推算表,副本难度推算!$G$3,FALSE)-VLOOKUP($C403,难度推算表,副本难度推算!$I$3,FALSE)*(2-副本难度推算!$AA$5)*(2-$S403)</f>
        <v>4679.8226397130456</v>
      </c>
      <c r="H403" s="72">
        <f>VLOOKUP($C403,难度推算表,副本难度推算!$M$3,FALSE)*副本难度推算!$Y$6*Q403</f>
        <v>283533.9947718748</v>
      </c>
      <c r="I403" s="72">
        <f>VLOOKUP($C403,难度推算表,副本难度推算!$P$3,FALSE)*副本难度推算!$Z$6*$R403+VLOOKUP($C403,难度推算表,副本难度推算!$H$3,FALSE)</f>
        <v>19699.519692683833</v>
      </c>
      <c r="J403" s="72">
        <f>VLOOKUP($C403,难度推算表,副本难度推算!$G$3,FALSE)-VLOOKUP($C403,难度推算表,副本难度推算!$I$3,FALSE)*(2-副本难度推算!$AA$6)*(2-$S403)</f>
        <v>2375.9099555466237</v>
      </c>
      <c r="K403" s="72">
        <f>VLOOKUP($C403,难度推算表,副本难度推算!$M$3,FALSE)*副本难度推算!$Y$7*Q403</f>
        <v>886043.73366210877</v>
      </c>
      <c r="L403" s="72">
        <f>VLOOKUP($C403,难度推算表,副本难度推算!$P$3,FALSE)*副本难度推算!$Z$7*$R403+VLOOKUP($C403,难度推算表,副本难度推算!$H$3,FALSE)</f>
        <v>23866.117210905086</v>
      </c>
      <c r="M403" s="72">
        <f>VLOOKUP($C403,难度推算表,副本难度推算!$G$3,FALSE)-VLOOKUP($C403,难度推算表,副本难度推算!$I$3,FALSE)*(2-副本难度推算!$AA$7)*(2-$S403)</f>
        <v>6983.7353238794676</v>
      </c>
      <c r="N403" s="2">
        <f>VLOOKUP($C403,难度推算表,副本难度推算!$Q$3,FALSE)</f>
        <v>4009.9639999999999</v>
      </c>
      <c r="O403" s="2">
        <f>VLOOKUP($C403,难度推算表,副本难度推算!$R$3,FALSE)</f>
        <v>0</v>
      </c>
      <c r="Q403" s="140">
        <f t="shared" si="37"/>
        <v>0.88000000000000012</v>
      </c>
      <c r="R403" s="140">
        <f t="shared" si="38"/>
        <v>0.72000000000000008</v>
      </c>
      <c r="S403" s="140">
        <f t="shared" si="39"/>
        <v>0.72000000000000008</v>
      </c>
      <c r="V403" s="140"/>
      <c r="W403" s="140"/>
      <c r="X403" s="140"/>
    </row>
    <row r="404" spans="1:24">
      <c r="A404" s="2" t="str">
        <f t="shared" si="35"/>
        <v>陷阱</v>
      </c>
      <c r="B404" s="2" t="str">
        <f>怪物并表!$R$14</f>
        <v>英雄之路</v>
      </c>
      <c r="C404" s="2">
        <v>64</v>
      </c>
      <c r="D404" s="28">
        <f t="shared" si="36"/>
        <v>1906</v>
      </c>
      <c r="E404" s="72">
        <f>VLOOKUP($C404,难度推算表,副本难度推算!$M$3,FALSE)*副本难度推算!$Y$5*Q404</f>
        <v>378080.38148594188</v>
      </c>
      <c r="F404" s="72">
        <f>VLOOKUP($C404,难度推算表,副本难度推算!$P$3,FALSE)*副本难度推算!$Z$5*$R404+VLOOKUP($C404,难度推算表,副本难度推算!$H$3,FALSE)</f>
        <v>22670.264719893756</v>
      </c>
      <c r="G404" s="72">
        <f>VLOOKUP($C404,难度推算表,副本难度推算!$G$3,FALSE)-VLOOKUP($C404,难度推算表,副本难度推算!$I$3,FALSE)*(2-副本难度推算!$AA$5)*(2-$S404)</f>
        <v>4942.6626778434857</v>
      </c>
      <c r="H404" s="72">
        <f>VLOOKUP($C404,难度推算表,副本难度推算!$M$3,FALSE)*副本难度推算!$Y$6*Q404</f>
        <v>302464.30518875353</v>
      </c>
      <c r="I404" s="72">
        <f>VLOOKUP($C404,难度推算表,副本难度推算!$P$3,FALSE)*副本难度推算!$Z$6*$R404+VLOOKUP($C404,难度推算表,副本难度推算!$H$3,FALSE)</f>
        <v>21163.647890649532</v>
      </c>
      <c r="J404" s="72">
        <f>VLOOKUP($C404,难度推算表,副本难度推算!$G$3,FALSE)-VLOOKUP($C404,难度推算表,副本难度推算!$I$3,FALSE)*(2-副本难度推算!$AA$6)*(2-$S404)</f>
        <v>2509.3518210590028</v>
      </c>
      <c r="K404" s="72">
        <f>VLOOKUP($C404,难度推算表,副本难度推算!$M$3,FALSE)*副本难度推算!$Y$7*Q404</f>
        <v>945200.95371485478</v>
      </c>
      <c r="L404" s="72">
        <f>VLOOKUP($C404,难度推算表,副本难度推算!$P$3,FALSE)*副本难度推算!$Z$7*$R404+VLOOKUP($C404,难度推算表,副本难度推算!$H$3,FALSE)</f>
        <v>25683.498378382203</v>
      </c>
      <c r="M404" s="72">
        <f>VLOOKUP($C404,难度推算表,副本难度推算!$G$3,FALSE)-VLOOKUP($C404,难度推算表,副本难度推算!$I$3,FALSE)*(2-副本难度推算!$AA$7)*(2-$S404)</f>
        <v>7375.9735346279649</v>
      </c>
      <c r="N404" s="2">
        <f>VLOOKUP($C404,难度推算表,副本难度推算!$Q$3,FALSE)</f>
        <v>4068.192</v>
      </c>
      <c r="O404" s="2">
        <f>VLOOKUP($C404,难度推算表,副本难度推算!$R$3,FALSE)</f>
        <v>0</v>
      </c>
      <c r="Q404" s="140">
        <f t="shared" si="37"/>
        <v>0.88000000000000012</v>
      </c>
      <c r="R404" s="140">
        <f t="shared" si="38"/>
        <v>0.72000000000000008</v>
      </c>
      <c r="S404" s="140">
        <f t="shared" si="39"/>
        <v>0.72000000000000008</v>
      </c>
      <c r="V404" s="140"/>
      <c r="W404" s="140"/>
      <c r="X404" s="140"/>
    </row>
    <row r="405" spans="1:24">
      <c r="A405" s="2" t="str">
        <f t="shared" si="35"/>
        <v>陷阱</v>
      </c>
      <c r="B405" s="2" t="str">
        <f>怪物并表!$R$14</f>
        <v>英雄之路</v>
      </c>
      <c r="C405" s="2">
        <v>65</v>
      </c>
      <c r="D405" s="28">
        <f t="shared" si="36"/>
        <v>1906</v>
      </c>
      <c r="E405" s="72">
        <f>VLOOKUP($C405,难度推算表,副本难度推算!$M$3,FALSE)*副本难度推算!$Y$5*Q405</f>
        <v>402820.95066240273</v>
      </c>
      <c r="F405" s="72">
        <f>VLOOKUP($C405,难度推算表,副本难度推算!$P$3,FALSE)*副本难度推算!$Z$5*$R405+VLOOKUP($C405,难度推算表,副本难度推算!$H$3,FALSE)</f>
        <v>24344.575564307564</v>
      </c>
      <c r="G405" s="72">
        <f>VLOOKUP($C405,难度推算表,副本难度推算!$G$3,FALSE)-VLOOKUP($C405,难度推算表,副本难度推算!$I$3,FALSE)*(2-副本难度推算!$AA$5)*(2-$S405)</f>
        <v>5214.3688350000048</v>
      </c>
      <c r="H405" s="72">
        <f>VLOOKUP($C405,难度推算表,副本难度推算!$M$3,FALSE)*副本难度推算!$Y$6*Q405</f>
        <v>322256.76052992221</v>
      </c>
      <c r="I405" s="72">
        <f>VLOOKUP($C405,难度推算表,副本难度推算!$P$3,FALSE)*副本难度推算!$Z$6*$R405+VLOOKUP($C405,难度推算表,副本难度推算!$H$3,FALSE)</f>
        <v>22712.328597876807</v>
      </c>
      <c r="J405" s="72">
        <f>VLOOKUP($C405,难度推算表,副本难度推算!$G$3,FALSE)-VLOOKUP($C405,难度推算表,副本难度推算!$I$3,FALSE)*(2-副本难度推算!$AA$6)*(2-$S405)</f>
        <v>2647.2949470000076</v>
      </c>
      <c r="K405" s="72">
        <f>VLOOKUP($C405,难度推算表,副本难度推算!$M$3,FALSE)*副本难度推算!$Y$7*Q405</f>
        <v>1007052.3766560069</v>
      </c>
      <c r="L405" s="72">
        <f>VLOOKUP($C405,难度推算表,副本难度推算!$P$3,FALSE)*副本难度推算!$Z$7*$R405+VLOOKUP($C405,难度推算表,副本难度推算!$H$3,FALSE)</f>
        <v>27609.069497169075</v>
      </c>
      <c r="M405" s="72">
        <f>VLOOKUP($C405,难度推算表,副本难度推算!$G$3,FALSE)-VLOOKUP($C405,难度推算表,副本难度推算!$I$3,FALSE)*(2-副本难度推算!$AA$7)*(2-$S405)</f>
        <v>7781.4427230000038</v>
      </c>
      <c r="N405" s="2">
        <f>VLOOKUP($C405,难度推算表,副本难度推算!$Q$3,FALSE)</f>
        <v>4126.42</v>
      </c>
      <c r="O405" s="2">
        <f>VLOOKUP($C405,难度推算表,副本难度推算!$R$3,FALSE)</f>
        <v>0</v>
      </c>
      <c r="Q405" s="140">
        <f t="shared" si="37"/>
        <v>0.88000000000000012</v>
      </c>
      <c r="R405" s="140">
        <f t="shared" si="38"/>
        <v>0.72000000000000008</v>
      </c>
      <c r="S405" s="140">
        <f t="shared" si="39"/>
        <v>0.72000000000000008</v>
      </c>
      <c r="V405" s="140"/>
      <c r="W405" s="140"/>
      <c r="X405" s="140"/>
    </row>
    <row r="406" spans="1:24">
      <c r="A406" s="2" t="str">
        <f t="shared" si="35"/>
        <v>陷阱</v>
      </c>
      <c r="B406" s="2" t="str">
        <f>怪物并表!$R$14</f>
        <v>英雄之路</v>
      </c>
      <c r="C406" s="2">
        <v>66</v>
      </c>
      <c r="D406" s="28">
        <f t="shared" si="36"/>
        <v>1906</v>
      </c>
      <c r="E406" s="72">
        <f>VLOOKUP($C406,难度推算表,副本难度推算!$M$3,FALSE)*副本难度推算!$Y$5*Q406</f>
        <v>428668.64406379877</v>
      </c>
      <c r="F406" s="72">
        <f>VLOOKUP($C406,难度推算表,副本难度推算!$P$3,FALSE)*副本难度推算!$Z$5*$R406+VLOOKUP($C406,难度推算表,副本难度推算!$H$3,FALSE)</f>
        <v>26115.753085437129</v>
      </c>
      <c r="G406" s="72">
        <f>VLOOKUP($C406,难度推算表,副本难度推算!$G$3,FALSE)-VLOOKUP($C406,难度推算表,副本难度推算!$I$3,FALSE)*(2-副本难度推算!$AA$5)*(2-$S406)</f>
        <v>5495.0710622608767</v>
      </c>
      <c r="H406" s="72">
        <f>VLOOKUP($C406,难度推算表,副本难度推算!$M$3,FALSE)*副本难度推算!$Y$6*Q406</f>
        <v>342934.91525103903</v>
      </c>
      <c r="I406" s="72">
        <f>VLOOKUP($C406,难度推算表,副本难度推算!$P$3,FALSE)*副本难度推算!$Z$6*$R406+VLOOKUP($C406,难度推算表,副本难度推算!$H$3,FALSE)</f>
        <v>24349.57332493355</v>
      </c>
      <c r="J406" s="72">
        <f>VLOOKUP($C406,难度推算表,副本难度推算!$G$3,FALSE)-VLOOKUP($C406,难度推算表,副本难度推算!$I$3,FALSE)*(2-副本难度推算!$AA$6)*(2-$S406)</f>
        <v>2789.8053085324482</v>
      </c>
      <c r="K406" s="72">
        <f>VLOOKUP($C406,难度推算表,副本难度推算!$M$3,FALSE)*副本难度推算!$Y$7*Q406</f>
        <v>1071671.6101594968</v>
      </c>
      <c r="L406" s="72">
        <f>VLOOKUP($C406,难度推算表,副本难度推算!$P$3,FALSE)*副本难度推算!$Z$7*$R406+VLOOKUP($C406,难度推算表,副本难度推算!$H$3,FALSE)</f>
        <v>29648.112606444287</v>
      </c>
      <c r="M406" s="72">
        <f>VLOOKUP($C406,难度推算表,副本难度推算!$G$3,FALSE)-VLOOKUP($C406,难度推算表,副本难度推算!$I$3,FALSE)*(2-副本难度推算!$AA$7)*(2-$S406)</f>
        <v>8200.3368159893053</v>
      </c>
      <c r="N406" s="2">
        <f>VLOOKUP($C406,难度推算表,副本难度推算!$Q$3,FALSE)</f>
        <v>4184.6480000000001</v>
      </c>
      <c r="O406" s="2">
        <f>VLOOKUP($C406,难度推算表,副本难度推算!$R$3,FALSE)</f>
        <v>0</v>
      </c>
      <c r="Q406" s="140">
        <f t="shared" si="37"/>
        <v>0.88000000000000012</v>
      </c>
      <c r="R406" s="140">
        <f t="shared" si="38"/>
        <v>0.72000000000000008</v>
      </c>
      <c r="S406" s="140">
        <f t="shared" si="39"/>
        <v>0.72000000000000008</v>
      </c>
      <c r="V406" s="140"/>
      <c r="W406" s="140"/>
      <c r="X406" s="140"/>
    </row>
    <row r="407" spans="1:24">
      <c r="A407" s="2" t="str">
        <f t="shared" si="35"/>
        <v>陷阱</v>
      </c>
      <c r="B407" s="2" t="str">
        <f>怪物并表!$R$14</f>
        <v>英雄之路</v>
      </c>
      <c r="C407" s="2">
        <v>67</v>
      </c>
      <c r="D407" s="28">
        <f t="shared" si="36"/>
        <v>1906</v>
      </c>
      <c r="E407" s="72">
        <f>VLOOKUP($C407,难度推算表,副本难度推算!$M$3,FALSE)*副本难度推算!$Y$5*Q407</f>
        <v>455653.26026733988</v>
      </c>
      <c r="F407" s="72">
        <f>VLOOKUP($C407,难度推算表,副本难度推算!$P$3,FALSE)*副本难度推算!$Z$5*$R407+VLOOKUP($C407,难度推算表,副本难度推算!$H$3,FALSE)</f>
        <v>27752.77138590072</v>
      </c>
      <c r="G407" s="72">
        <f>VLOOKUP($C407,难度推算表,副本难度推算!$G$3,FALSE)-VLOOKUP($C407,难度推算表,副本难度推算!$I$3,FALSE)*(2-副本难度推算!$AA$5)*(2-$S407)</f>
        <v>5784.8993107043534</v>
      </c>
      <c r="H407" s="72">
        <f>VLOOKUP($C407,难度推算表,副本难度推算!$M$3,FALSE)*副本难度推算!$Y$6*Q407</f>
        <v>364522.60821387189</v>
      </c>
      <c r="I407" s="72">
        <f>VLOOKUP($C407,难度推算表,副本难度推算!$P$3,FALSE)*副本难度推算!$Z$6*$R407+VLOOKUP($C407,难度推算表,副本难度推算!$H$3,FALSE)</f>
        <v>25867.478756649776</v>
      </c>
      <c r="J407" s="72">
        <f>VLOOKUP($C407,难度推算表,副本难度推算!$G$3,FALSE)-VLOOKUP($C407,难度推算表,副本难度推算!$I$3,FALSE)*(2-副本难度推算!$AA$6)*(2-$S407)</f>
        <v>2936.9488808191345</v>
      </c>
      <c r="K407" s="72">
        <f>VLOOKUP($C407,难度推算表,副本难度推算!$M$3,FALSE)*副本难度推算!$Y$7*Q407</f>
        <v>1139133.1506683496</v>
      </c>
      <c r="L407" s="72">
        <f>VLOOKUP($C407,难度推算表,副本难度推算!$P$3,FALSE)*副本难度推算!$Z$7*$R407+VLOOKUP($C407,难度推算表,副本难度推算!$H$3,FALSE)</f>
        <v>31523.3566444026</v>
      </c>
      <c r="M407" s="72">
        <f>VLOOKUP($C407,难度推算表,副本难度推算!$G$3,FALSE)-VLOOKUP($C407,难度推算表,副本难度推算!$I$3,FALSE)*(2-副本难度推算!$AA$7)*(2-$S407)</f>
        <v>8632.8497405895723</v>
      </c>
      <c r="N407" s="2">
        <f>VLOOKUP($C407,难度推算表,副本难度推算!$Q$3,FALSE)</f>
        <v>4242.8759999999993</v>
      </c>
      <c r="O407" s="2">
        <f>VLOOKUP($C407,难度推算表,副本难度推算!$R$3,FALSE)</f>
        <v>0</v>
      </c>
      <c r="Q407" s="140">
        <f t="shared" si="37"/>
        <v>0.88000000000000012</v>
      </c>
      <c r="R407" s="140">
        <f t="shared" si="38"/>
        <v>0.72000000000000008</v>
      </c>
      <c r="S407" s="140">
        <f t="shared" si="39"/>
        <v>0.72000000000000008</v>
      </c>
      <c r="V407" s="140"/>
      <c r="W407" s="140"/>
      <c r="X407" s="140"/>
    </row>
    <row r="408" spans="1:24">
      <c r="A408" s="2" t="str">
        <f t="shared" si="35"/>
        <v>陷阱</v>
      </c>
      <c r="B408" s="2" t="str">
        <f>怪物并表!$R$14</f>
        <v>英雄之路</v>
      </c>
      <c r="C408" s="2">
        <v>68</v>
      </c>
      <c r="D408" s="28">
        <f t="shared" si="36"/>
        <v>1906</v>
      </c>
      <c r="E408" s="72">
        <f>VLOOKUP($C408,难度推算表,副本难度推算!$M$3,FALSE)*副本难度推算!$Y$5*Q408</f>
        <v>483804.95322013722</v>
      </c>
      <c r="F408" s="72">
        <f>VLOOKUP($C408,难度推算表,副本难度推算!$P$3,FALSE)*副本难度推算!$Z$5*$R408+VLOOKUP($C408,难度推算表,副本难度推算!$H$3,FALSE)</f>
        <v>29464.840077409775</v>
      </c>
      <c r="G408" s="72">
        <f>VLOOKUP($C408,难度推算表,副本难度推算!$G$3,FALSE)-VLOOKUP($C408,难度推算表,副本难度推算!$I$3,FALSE)*(2-副本难度推算!$AA$5)*(2-$S408)</f>
        <v>6083.9835314087031</v>
      </c>
      <c r="H408" s="72">
        <f>VLOOKUP($C408,难度推算表,副本难度推算!$M$3,FALSE)*副本难度推算!$Y$6*Q408</f>
        <v>387043.9625761098</v>
      </c>
      <c r="I408" s="72">
        <f>VLOOKUP($C408,难度推算表,副本难度推算!$P$3,FALSE)*副本难度推算!$Z$6*$R408+VLOOKUP($C408,难度推算表,副本难度推算!$H$3,FALSE)</f>
        <v>27454.353536039373</v>
      </c>
      <c r="J408" s="72">
        <f>VLOOKUP($C408,难度推算表,副本难度推算!$G$3,FALSE)-VLOOKUP($C408,难度推算表,副本难度推算!$I$3,FALSE)*(2-副本难度推算!$AA$6)*(2-$S408)</f>
        <v>3088.791639022882</v>
      </c>
      <c r="K408" s="72">
        <f>VLOOKUP($C408,难度推算表,副本难度推算!$M$3,FALSE)*副本难度推算!$Y$7*Q408</f>
        <v>1209512.383050343</v>
      </c>
      <c r="L408" s="72">
        <f>VLOOKUP($C408,难度推算表,副本难度推算!$P$3,FALSE)*副本难度推算!$Z$7*$R408+VLOOKUP($C408,难度推算表,副本难度推算!$H$3,FALSE)</f>
        <v>33485.813160150588</v>
      </c>
      <c r="M408" s="72">
        <f>VLOOKUP($C408,难度推算表,副本难度推算!$G$3,FALSE)-VLOOKUP($C408,难度推算表,副本难度推算!$I$3,FALSE)*(2-副本难度推算!$AA$7)*(2-$S408)</f>
        <v>9079.1754237945261</v>
      </c>
      <c r="N408" s="2">
        <f>VLOOKUP($C408,难度推算表,副本难度推算!$Q$3,FALSE)</f>
        <v>4301.1040000000003</v>
      </c>
      <c r="O408" s="2">
        <f>VLOOKUP($C408,难度推算表,副本难度推算!$R$3,FALSE)</f>
        <v>0</v>
      </c>
      <c r="Q408" s="140">
        <f t="shared" si="37"/>
        <v>0.88000000000000012</v>
      </c>
      <c r="R408" s="140">
        <f t="shared" si="38"/>
        <v>0.72000000000000008</v>
      </c>
      <c r="S408" s="140">
        <f t="shared" si="39"/>
        <v>0.72000000000000008</v>
      </c>
      <c r="V408" s="140"/>
      <c r="W408" s="140"/>
      <c r="X408" s="140"/>
    </row>
    <row r="409" spans="1:24">
      <c r="A409" s="2" t="str">
        <f t="shared" si="35"/>
        <v>陷阱</v>
      </c>
      <c r="B409" s="2" t="str">
        <f>怪物并表!$R$14</f>
        <v>英雄之路</v>
      </c>
      <c r="C409" s="2">
        <v>69</v>
      </c>
      <c r="D409" s="28">
        <f t="shared" si="36"/>
        <v>1906</v>
      </c>
      <c r="E409" s="72">
        <f>VLOOKUP($C409,难度推算表,副本难度推算!$M$3,FALSE)*副本难度推算!$Y$5*Q409</f>
        <v>513154.23210181529</v>
      </c>
      <c r="F409" s="72">
        <f>VLOOKUP($C409,难度推算表,副本难度推算!$P$3,FALSE)*副本难度推算!$Z$5*$R409+VLOOKUP($C409,难度推算表,副本难度推算!$H$3,FALSE)</f>
        <v>31254.653367331281</v>
      </c>
      <c r="G409" s="72">
        <f>VLOOKUP($C409,难度推算表,副本难度推算!$G$3,FALSE)-VLOOKUP($C409,难度推算表,副本难度推算!$I$3,FALSE)*(2-副本难度推算!$AA$5)*(2-$S409)</f>
        <v>6392.4536754521832</v>
      </c>
      <c r="H409" s="72">
        <f>VLOOKUP($C409,难度推算表,副本难度推算!$M$3,FALSE)*副本难度推算!$Y$6*Q409</f>
        <v>410523.38568145229</v>
      </c>
      <c r="I409" s="72">
        <f>VLOOKUP($C409,难度推算表,副本难度推算!$P$3,FALSE)*副本难度推算!$Z$6*$R409+VLOOKUP($C409,难度推算表,副本难度推算!$H$3,FALSE)</f>
        <v>29112.642442206179</v>
      </c>
      <c r="J409" s="72">
        <f>VLOOKUP($C409,难度推算表,副本难度推算!$G$3,FALSE)-VLOOKUP($C409,难度推算表,副本难度推算!$I$3,FALSE)*(2-副本难度推算!$AA$6)*(2-$S409)</f>
        <v>3245.3995583064971</v>
      </c>
      <c r="K409" s="72">
        <f>VLOOKUP($C409,难度推算表,副本难度推算!$M$3,FALSE)*副本难度推算!$Y$7*Q409</f>
        <v>1282885.5802545382</v>
      </c>
      <c r="L409" s="72">
        <f>VLOOKUP($C409,难度推算表,副本难度推算!$P$3,FALSE)*副本难度推算!$Z$7*$R409+VLOOKUP($C409,难度推算表,副本难度推算!$H$3,FALSE)</f>
        <v>35538.675217581476</v>
      </c>
      <c r="M409" s="72">
        <f>VLOOKUP($C409,难度推算表,副本难度推算!$G$3,FALSE)-VLOOKUP($C409,难度推算表,副本难度推算!$I$3,FALSE)*(2-副本难度推算!$AA$7)*(2-$S409)</f>
        <v>9539.5077925978694</v>
      </c>
      <c r="N409" s="2">
        <f>VLOOKUP($C409,难度推算表,副本难度推算!$Q$3,FALSE)</f>
        <v>4359.3320000000003</v>
      </c>
      <c r="O409" s="2">
        <f>VLOOKUP($C409,难度推算表,副本难度推算!$R$3,FALSE)</f>
        <v>0</v>
      </c>
      <c r="Q409" s="140">
        <f t="shared" si="37"/>
        <v>0.88000000000000012</v>
      </c>
      <c r="R409" s="140">
        <f t="shared" si="38"/>
        <v>0.72000000000000008</v>
      </c>
      <c r="S409" s="140">
        <f t="shared" si="39"/>
        <v>0.72000000000000008</v>
      </c>
      <c r="V409" s="140"/>
      <c r="W409" s="140"/>
      <c r="X409" s="140"/>
    </row>
    <row r="410" spans="1:24">
      <c r="A410" s="2" t="str">
        <f t="shared" si="35"/>
        <v>陷阱</v>
      </c>
      <c r="B410" s="2" t="str">
        <f>怪物并表!$R$14</f>
        <v>英雄之路</v>
      </c>
      <c r="C410" s="2">
        <v>70</v>
      </c>
      <c r="D410" s="28">
        <f t="shared" si="36"/>
        <v>1906</v>
      </c>
      <c r="E410" s="72">
        <f>VLOOKUP($C410,难度推算表,副本难度推算!$M$3,FALSE)*副本难度推算!$Y$5*Q410</f>
        <v>545791.5519497178</v>
      </c>
      <c r="F410" s="72">
        <f>VLOOKUP($C410,难度推算表,副本难度推算!$P$3,FALSE)*副本难度推算!$Z$5*$R410+VLOOKUP($C410,难度推算表,副本难度推算!$H$3,FALSE)</f>
        <v>33250.482192434582</v>
      </c>
      <c r="G410" s="72">
        <f>VLOOKUP($C410,难度推算表,副本难度推算!$G$3,FALSE)-VLOOKUP($C410,难度推算表,副本难度推算!$I$3,FALSE)*(2-副本难度推算!$AA$5)*(2-$S410)</f>
        <v>6735.8580260869639</v>
      </c>
      <c r="H410" s="72">
        <f>VLOOKUP($C410,难度推算表,副本难度推算!$M$3,FALSE)*副本难度推算!$Y$6*Q410</f>
        <v>436633.24155977421</v>
      </c>
      <c r="I410" s="72">
        <f>VLOOKUP($C410,难度推算表,副本难度推算!$P$3,FALSE)*副本难度推算!$Z$6*$R410+VLOOKUP($C410,难度推算表,副本难度推算!$H$3,FALSE)</f>
        <v>30961.719823358351</v>
      </c>
      <c r="J410" s="72">
        <f>VLOOKUP($C410,难度推算表,副本难度推算!$G$3,FALSE)-VLOOKUP($C410,难度推算表,副本难度推算!$I$3,FALSE)*(2-副本难度推算!$AA$6)*(2-$S410)</f>
        <v>3419.743305551845</v>
      </c>
      <c r="K410" s="72">
        <f>VLOOKUP($C410,难度推算表,副本难度推算!$M$3,FALSE)*副本难度推算!$Y$7*Q410</f>
        <v>1364478.8798742944</v>
      </c>
      <c r="L410" s="72">
        <f>VLOOKUP($C410,难度推算表,副本难度推算!$P$3,FALSE)*副本难度推算!$Z$7*$R410+VLOOKUP($C410,难度推算表,副本难度推算!$H$3,FALSE)</f>
        <v>37828.006930587049</v>
      </c>
      <c r="M410" s="72">
        <f>VLOOKUP($C410,难度推算表,副本难度推算!$G$3,FALSE)-VLOOKUP($C410,难度推算表,副本难度推算!$I$3,FALSE)*(2-副本难度推算!$AA$7)*(2-$S410)</f>
        <v>10051.972746622085</v>
      </c>
      <c r="N410" s="2">
        <f>VLOOKUP($C410,难度推算表,副本难度推算!$Q$3,FALSE)</f>
        <v>4417.5600000000004</v>
      </c>
      <c r="O410" s="2">
        <f>VLOOKUP($C410,难度推算表,副本难度推算!$R$3,FALSE)</f>
        <v>0</v>
      </c>
      <c r="Q410" s="140">
        <f t="shared" si="37"/>
        <v>0.88000000000000012</v>
      </c>
      <c r="R410" s="140">
        <f t="shared" si="38"/>
        <v>0.72000000000000008</v>
      </c>
      <c r="S410" s="140">
        <f t="shared" si="39"/>
        <v>0.72000000000000008</v>
      </c>
      <c r="V410" s="140"/>
      <c r="W410" s="140"/>
      <c r="X410" s="140"/>
    </row>
    <row r="411" spans="1:24">
      <c r="A411" s="2" t="str">
        <f t="shared" si="35"/>
        <v>陷阱</v>
      </c>
      <c r="B411" s="2" t="str">
        <f>怪物并表!$R$14</f>
        <v>英雄之路</v>
      </c>
      <c r="C411" s="2">
        <v>71</v>
      </c>
      <c r="D411" s="28">
        <f t="shared" si="36"/>
        <v>1906</v>
      </c>
      <c r="E411" s="72">
        <f>VLOOKUP($C411,难度推算表,副本难度推算!$M$3,FALSE)*副本难度推算!$Y$5*Q411</f>
        <v>579832.83645094733</v>
      </c>
      <c r="F411" s="72">
        <f>VLOOKUP($C411,难度推算表,副本难度推算!$P$3,FALSE)*副本难度推算!$Z$5*$R411+VLOOKUP($C411,难度推算表,副本难度推算!$H$3,FALSE)</f>
        <v>35338.655076729192</v>
      </c>
      <c r="G411" s="72">
        <f>VLOOKUP($C411,难度推算表,副本难度推算!$G$3,FALSE)-VLOOKUP($C411,难度推算表,副本难度推算!$I$3,FALSE)*(2-副本难度推算!$AA$5)*(2-$S411)</f>
        <v>7090.2054011130494</v>
      </c>
      <c r="H411" s="72">
        <f>VLOOKUP($C411,难度推算表,副本难度推算!$M$3,FALSE)*副本难度推算!$Y$6*Q411</f>
        <v>463866.26916075783</v>
      </c>
      <c r="I411" s="72">
        <f>VLOOKUP($C411,难度推算表,副本难度推算!$P$3,FALSE)*副本难度推算!$Z$6*$R411+VLOOKUP($C411,难度推算表,副本难度推算!$H$3,FALSE)</f>
        <v>32895.590399996749</v>
      </c>
      <c r="J411" s="72">
        <f>VLOOKUP($C411,难度推算表,副本难度推算!$G$3,FALSE)-VLOOKUP($C411,难度推算表,副本难度推算!$I$3,FALSE)*(2-副本难度推算!$AA$6)*(2-$S411)</f>
        <v>3599.6427421035514</v>
      </c>
      <c r="K411" s="72">
        <f>VLOOKUP($C411,难度推算表,副本难度推算!$M$3,FALSE)*副本难度推算!$Y$7*Q411</f>
        <v>1449582.0911273682</v>
      </c>
      <c r="L411" s="72">
        <f>VLOOKUP($C411,难度推算表,副本难度推算!$P$3,FALSE)*副本难度推算!$Z$7*$R411+VLOOKUP($C411,难度推算表,副本难度推算!$H$3,FALSE)</f>
        <v>40224.784430194093</v>
      </c>
      <c r="M411" s="72">
        <f>VLOOKUP($C411,难度推算表,副本难度推算!$G$3,FALSE)-VLOOKUP($C411,难度推算表,副本难度推算!$I$3,FALSE)*(2-副本难度推算!$AA$7)*(2-$S411)</f>
        <v>10580.768060122549</v>
      </c>
      <c r="N411" s="2">
        <f>VLOOKUP($C411,难度推算表,副本难度推算!$Q$3,FALSE)</f>
        <v>4475.7879999999996</v>
      </c>
      <c r="O411" s="2">
        <f>VLOOKUP($C411,难度推算表,副本难度推算!$R$3,FALSE)</f>
        <v>0</v>
      </c>
      <c r="Q411" s="140">
        <f t="shared" si="37"/>
        <v>0.88000000000000012</v>
      </c>
      <c r="R411" s="140">
        <f t="shared" si="38"/>
        <v>0.72000000000000008</v>
      </c>
      <c r="S411" s="140">
        <f t="shared" si="39"/>
        <v>0.72000000000000008</v>
      </c>
      <c r="V411" s="140"/>
      <c r="W411" s="140"/>
      <c r="X411" s="140"/>
    </row>
    <row r="412" spans="1:24">
      <c r="A412" s="2" t="str">
        <f t="shared" si="35"/>
        <v>陷阱</v>
      </c>
      <c r="B412" s="2" t="str">
        <f>怪物并表!$R$14</f>
        <v>英雄之路</v>
      </c>
      <c r="C412" s="2">
        <v>72</v>
      </c>
      <c r="D412" s="28">
        <f t="shared" si="36"/>
        <v>1906</v>
      </c>
      <c r="E412" s="72">
        <f>VLOOKUP($C412,难度推算表,副本难度推算!$M$3,FALSE)*副本难度推算!$Y$5*Q412</f>
        <v>615314.28436221427</v>
      </c>
      <c r="F412" s="72">
        <f>VLOOKUP($C412,难度推算表,副本难度推算!$P$3,FALSE)*副本难度推算!$Z$5*$R412+VLOOKUP($C412,难度推算表,副本难度推算!$H$3,FALSE)</f>
        <v>37522.552086604584</v>
      </c>
      <c r="G412" s="72">
        <f>VLOOKUP($C412,难度推算表,副本难度推算!$G$3,FALSE)-VLOOKUP($C412,难度推算表,副本难度推算!$I$3,FALSE)*(2-副本难度推算!$AA$5)*(2-$S412)</f>
        <v>7455.6474101217464</v>
      </c>
      <c r="H412" s="72">
        <f>VLOOKUP($C412,难度推算表,副本难度推算!$M$3,FALSE)*副本难度推算!$Y$6*Q412</f>
        <v>492251.42748977145</v>
      </c>
      <c r="I412" s="72">
        <f>VLOOKUP($C412,难度推算表,副本难度推算!$P$3,FALSE)*副本难度推算!$Z$6*$R412+VLOOKUP($C412,难度推算表,副本难度推算!$H$3,FALSE)</f>
        <v>34917.319556424394</v>
      </c>
      <c r="J412" s="72">
        <f>VLOOKUP($C412,难度推算表,副本难度推算!$G$3,FALSE)-VLOOKUP($C412,难度推算表,副本难度推算!$I$3,FALSE)*(2-副本难度推算!$AA$6)*(2-$S412)</f>
        <v>3785.1748389848872</v>
      </c>
      <c r="K412" s="72">
        <f>VLOOKUP($C412,难度推算表,副本难度推算!$M$3,FALSE)*副本难度推算!$Y$7*Q412</f>
        <v>1538285.7109055356</v>
      </c>
      <c r="L412" s="72">
        <f>VLOOKUP($C412,难度推算表,副本难度推算!$P$3,FALSE)*副本难度推算!$Z$7*$R412+VLOOKUP($C412,难度推算表,副本难度推算!$H$3,FALSE)</f>
        <v>42733.017146964965</v>
      </c>
      <c r="M412" s="72">
        <f>VLOOKUP($C412,难度推算表,副本难度推算!$G$3,FALSE)-VLOOKUP($C412,难度推算表,副本难度推算!$I$3,FALSE)*(2-副本难度推算!$AA$7)*(2-$S412)</f>
        <v>11126.119981258604</v>
      </c>
      <c r="N412" s="2">
        <f>VLOOKUP($C412,难度推算表,副本难度推算!$Q$3,FALSE)</f>
        <v>4534.0159999999996</v>
      </c>
      <c r="O412" s="2">
        <f>VLOOKUP($C412,难度推算表,副本难度推算!$R$3,FALSE)</f>
        <v>0</v>
      </c>
      <c r="Q412" s="140">
        <f t="shared" si="37"/>
        <v>0.88000000000000012</v>
      </c>
      <c r="R412" s="140">
        <f t="shared" si="38"/>
        <v>0.72000000000000008</v>
      </c>
      <c r="S412" s="140">
        <f t="shared" si="39"/>
        <v>0.72000000000000008</v>
      </c>
      <c r="V412" s="140"/>
      <c r="W412" s="140"/>
      <c r="X412" s="140"/>
    </row>
    <row r="413" spans="1:24">
      <c r="A413" s="2" t="str">
        <f t="shared" si="35"/>
        <v>陷阱</v>
      </c>
      <c r="B413" s="2" t="str">
        <f>怪物并表!$R$14</f>
        <v>英雄之路</v>
      </c>
      <c r="C413" s="2">
        <v>73</v>
      </c>
      <c r="D413" s="28">
        <f t="shared" si="36"/>
        <v>1906</v>
      </c>
      <c r="E413" s="72">
        <f>VLOOKUP($C413,难度推算表,副本难度推算!$M$3,FALSE)*副本难度推算!$Y$5*Q413</f>
        <v>652272.50842852157</v>
      </c>
      <c r="F413" s="72">
        <f>VLOOKUP($C413,难度推算表,副本难度推算!$P$3,FALSE)*副本难度推算!$Z$5*$R413+VLOOKUP($C413,难度推算表,副本难度推算!$H$3,FALSE)</f>
        <v>39805.687672259344</v>
      </c>
      <c r="G413" s="72">
        <f>VLOOKUP($C413,难度推算表,副本难度推算!$G$3,FALSE)-VLOOKUP($C413,难度推算表,副本难度推算!$I$3,FALSE)*(2-副本难度推算!$AA$5)*(2-$S413)</f>
        <v>7832.3356627043577</v>
      </c>
      <c r="H413" s="72">
        <f>VLOOKUP($C413,难度推算表,副本难度推算!$M$3,FALSE)*副本难度推算!$Y$6*Q413</f>
        <v>521818.00674281735</v>
      </c>
      <c r="I413" s="72">
        <f>VLOOKUP($C413,难度推算表,副本难度推算!$P$3,FALSE)*副本难度推算!$Z$6*$R413+VLOOKUP($C413,难度推算表,副本难度推算!$H$3,FALSE)</f>
        <v>37030.093622372544</v>
      </c>
      <c r="J413" s="72">
        <f>VLOOKUP($C413,难度推算表,副本难度推算!$G$3,FALSE)-VLOOKUP($C413,难度推算表,副本难度推算!$I$3,FALSE)*(2-副本难度推算!$AA$6)*(2-$S413)</f>
        <v>3976.4165672191411</v>
      </c>
      <c r="K413" s="72">
        <f>VLOOKUP($C413,难度推算表,副本难度推算!$M$3,FALSE)*副本难度推算!$Y$7*Q413</f>
        <v>1630681.2710713039</v>
      </c>
      <c r="L413" s="72">
        <f>VLOOKUP($C413,难度推算表,副本难度推算!$P$3,FALSE)*副本难度推算!$Z$7*$R413+VLOOKUP($C413,难度推算表,副本难度推算!$H$3,FALSE)</f>
        <v>45356.875772032952</v>
      </c>
      <c r="M413" s="72">
        <f>VLOOKUP($C413,难度推算表,副本难度推算!$G$3,FALSE)-VLOOKUP($C413,难度推算表,副本难度推算!$I$3,FALSE)*(2-副本难度推算!$AA$7)*(2-$S413)</f>
        <v>11688.254758189574</v>
      </c>
      <c r="N413" s="2">
        <f>VLOOKUP($C413,难度推算表,副本难度推算!$Q$3,FALSE)</f>
        <v>4592.2439999999997</v>
      </c>
      <c r="O413" s="2">
        <f>VLOOKUP($C413,难度推算表,副本难度推算!$R$3,FALSE)</f>
        <v>0</v>
      </c>
      <c r="Q413" s="140">
        <f t="shared" si="37"/>
        <v>0.88000000000000012</v>
      </c>
      <c r="R413" s="140">
        <f t="shared" si="38"/>
        <v>0.72000000000000008</v>
      </c>
      <c r="S413" s="140">
        <f t="shared" si="39"/>
        <v>0.72000000000000008</v>
      </c>
      <c r="V413" s="140"/>
      <c r="W413" s="140"/>
      <c r="X413" s="140"/>
    </row>
    <row r="414" spans="1:24">
      <c r="A414" s="2" t="str">
        <f t="shared" si="35"/>
        <v>陷阱</v>
      </c>
      <c r="B414" s="2" t="str">
        <f>怪物并表!$R$14</f>
        <v>英雄之路</v>
      </c>
      <c r="C414" s="2">
        <v>74</v>
      </c>
      <c r="D414" s="28">
        <f t="shared" si="36"/>
        <v>1906</v>
      </c>
      <c r="E414" s="72">
        <f>VLOOKUP($C414,难度推算表,副本难度推算!$M$3,FALSE)*副本难度推算!$Y$5*Q414</f>
        <v>690744.53522822366</v>
      </c>
      <c r="F414" s="72">
        <f>VLOOKUP($C414,难度推算表,副本难度推算!$P$3,FALSE)*副本难度推算!$Z$5*$R414+VLOOKUP($C414,难度推算表,副本难度推算!$H$3,FALSE)</f>
        <v>42191.717918626236</v>
      </c>
      <c r="G414" s="72">
        <f>VLOOKUP($C414,难度推算表,副本难度推算!$G$3,FALSE)-VLOOKUP($C414,难度推算表,副本难度推算!$I$3,FALSE)*(2-副本难度推算!$AA$5)*(2-$S414)</f>
        <v>8220.4217684521827</v>
      </c>
      <c r="H414" s="72">
        <f>VLOOKUP($C414,难度推算表,副本难度推算!$M$3,FALSE)*副本难度推算!$Y$6*Q414</f>
        <v>552595.62818257906</v>
      </c>
      <c r="I414" s="72">
        <f>VLOOKUP($C414,难度推算表,副本难度推算!$P$3,FALSE)*副本难度推算!$Z$6*$R414+VLOOKUP($C414,难度推算表,副本难度推算!$H$3,FALSE)</f>
        <v>39237.226398833176</v>
      </c>
      <c r="J414" s="72">
        <f>VLOOKUP($C414,难度推算表,副本难度推算!$G$3,FALSE)-VLOOKUP($C414,难度推算表,副本难度推算!$I$3,FALSE)*(2-副本难度推算!$AA$6)*(2-$S414)</f>
        <v>4173.4448978295732</v>
      </c>
      <c r="K414" s="72">
        <f>VLOOKUP($C414,难度推算表,副本难度推算!$M$3,FALSE)*副本难度推算!$Y$7*Q414</f>
        <v>1726861.3380705593</v>
      </c>
      <c r="L414" s="72">
        <f>VLOOKUP($C414,难度推算表,副本难度推算!$P$3,FALSE)*副本难度推算!$Z$7*$R414+VLOOKUP($C414,难度推算表,副本难度推算!$H$3,FALSE)</f>
        <v>48100.70095821235</v>
      </c>
      <c r="M414" s="72">
        <f>VLOOKUP($C414,难度推算表,副本难度推算!$G$3,FALSE)-VLOOKUP($C414,难度推算表,副本难度推算!$I$3,FALSE)*(2-副本难度推算!$AA$7)*(2-$S414)</f>
        <v>12267.39863907479</v>
      </c>
      <c r="N414" s="2">
        <f>VLOOKUP($C414,难度推算表,副本难度推算!$Q$3,FALSE)</f>
        <v>4650.4720000000007</v>
      </c>
      <c r="O414" s="2">
        <f>VLOOKUP($C414,难度推算表,副本难度推算!$R$3,FALSE)</f>
        <v>0</v>
      </c>
      <c r="Q414" s="140">
        <f t="shared" si="37"/>
        <v>0.88000000000000012</v>
      </c>
      <c r="R414" s="140">
        <f t="shared" si="38"/>
        <v>0.72000000000000008</v>
      </c>
      <c r="S414" s="140">
        <f t="shared" si="39"/>
        <v>0.72000000000000008</v>
      </c>
      <c r="V414" s="140"/>
      <c r="W414" s="140"/>
      <c r="X414" s="140"/>
    </row>
    <row r="415" spans="1:24">
      <c r="A415" s="2" t="str">
        <f t="shared" si="35"/>
        <v>陷阱</v>
      </c>
      <c r="B415" s="2" t="str">
        <f>怪物并表!$R$14</f>
        <v>英雄之路</v>
      </c>
      <c r="C415" s="2">
        <v>75</v>
      </c>
      <c r="D415" s="28">
        <f t="shared" si="36"/>
        <v>1906</v>
      </c>
      <c r="E415" s="72">
        <f>VLOOKUP($C415,难度推算表,副本难度推算!$M$3,FALSE)*副本难度推算!$Y$5*Q415</f>
        <v>730767.80501909426</v>
      </c>
      <c r="F415" s="72">
        <f>VLOOKUP($C415,难度推算表,副本难度推算!$P$3,FALSE)*副本难度推算!$Z$5*$R415+VLOOKUP($C415,难度推算表,副本难度推算!$H$3,FALSE)</f>
        <v>44684.448270903042</v>
      </c>
      <c r="G415" s="72">
        <f>VLOOKUP($C415,难度推算表,副本难度推算!$G$3,FALSE)-VLOOKUP($C415,难度推算表,副本难度推算!$I$3,FALSE)*(2-副本难度推算!$AA$5)*(2-$S415)</f>
        <v>8620.0573369565354</v>
      </c>
      <c r="H415" s="72">
        <f>VLOOKUP($C415,难度推算表,副本难度推算!$M$3,FALSE)*副本难度推算!$Y$6*Q415</f>
        <v>584614.2440152755</v>
      </c>
      <c r="I415" s="72">
        <f>VLOOKUP($C415,难度推算表,副本难度推算!$P$3,FALSE)*副本难度推算!$Z$6*$R415+VLOOKUP($C415,难度推算表,副本难度推算!$H$3,FALSE)</f>
        <v>41542.166111036822</v>
      </c>
      <c r="J415" s="72">
        <f>VLOOKUP($C415,难度推算表,副本难度推算!$G$3,FALSE)-VLOOKUP($C415,难度推算表,副本难度推算!$I$3,FALSE)*(2-副本难度推算!$AA$6)*(2-$S415)</f>
        <v>4376.3368018394794</v>
      </c>
      <c r="K415" s="72">
        <f>VLOOKUP($C415,难度推算表,副本难度推算!$M$3,FALSE)*副本难度推算!$Y$7*Q415</f>
        <v>1826919.5125477356</v>
      </c>
      <c r="L415" s="72">
        <f>VLOOKUP($C415,难度推算表,副本难度推算!$P$3,FALSE)*副本难度推算!$Z$7*$R415+VLOOKUP($C415,难度推算表,副本难度推算!$H$3,FALSE)</f>
        <v>50969.012590635488</v>
      </c>
      <c r="M415" s="72">
        <f>VLOOKUP($C415,难度推算表,副本难度推算!$G$3,FALSE)-VLOOKUP($C415,难度推算表,副本难度推算!$I$3,FALSE)*(2-副本难度推算!$AA$7)*(2-$S415)</f>
        <v>12863.777872073591</v>
      </c>
      <c r="N415" s="2">
        <f>VLOOKUP($C415,难度推算表,副本难度推算!$Q$3,FALSE)</f>
        <v>4708.7</v>
      </c>
      <c r="O415" s="2">
        <f>VLOOKUP($C415,难度推算表,副本难度推算!$R$3,FALSE)</f>
        <v>0</v>
      </c>
      <c r="Q415" s="140">
        <f t="shared" si="37"/>
        <v>0.88000000000000012</v>
      </c>
      <c r="R415" s="140">
        <f t="shared" si="38"/>
        <v>0.72000000000000008</v>
      </c>
      <c r="S415" s="140">
        <f t="shared" si="39"/>
        <v>0.72000000000000008</v>
      </c>
      <c r="V415" s="140"/>
      <c r="W415" s="140"/>
      <c r="X415" s="140"/>
    </row>
    <row r="416" spans="1:24">
      <c r="A416" s="2" t="str">
        <f t="shared" si="35"/>
        <v>陷阱</v>
      </c>
      <c r="B416" s="2" t="str">
        <f>怪物并表!$R$14</f>
        <v>英雄之路</v>
      </c>
      <c r="C416" s="2">
        <v>76</v>
      </c>
      <c r="D416" s="28">
        <f t="shared" si="36"/>
        <v>1906</v>
      </c>
      <c r="E416" s="72">
        <f>VLOOKUP($C416,难度推算表,副本难度推算!$M$3,FALSE)*副本难度推算!$Y$5*Q416</f>
        <v>772380.17158552248</v>
      </c>
      <c r="F416" s="72">
        <f>VLOOKUP($C416,难度推算表,副本难度推算!$P$3,FALSE)*副本难度推算!$Z$5*$R416+VLOOKUP($C416,难度推算表,副本难度推算!$H$3,FALSE)</f>
        <v>47287.841771331921</v>
      </c>
      <c r="G416" s="72">
        <f>VLOOKUP($C416,难度推算表,副本难度推算!$G$3,FALSE)-VLOOKUP($C416,难度推算表,副本难度推算!$I$3,FALSE)*(2-副本难度推算!$AA$5)*(2-$S416)</f>
        <v>9031.3939778087042</v>
      </c>
      <c r="H416" s="72">
        <f>VLOOKUP($C416,难度推算表,副本难度推算!$M$3,FALSE)*副本难度推算!$Y$6*Q416</f>
        <v>617904.1372684181</v>
      </c>
      <c r="I416" s="72">
        <f>VLOOKUP($C416,难度推算表,副本难度推算!$P$3,FALSE)*副本难度推算!$Z$6*$R416+VLOOKUP($C416,难度推算表,副本难度推算!$H$3,FALSE)</f>
        <v>43948.502821553921</v>
      </c>
      <c r="J416" s="72">
        <f>VLOOKUP($C416,难度推算表,副本难度推算!$G$3,FALSE)-VLOOKUP($C416,难度推算表,副本难度推算!$I$3,FALSE)*(2-副本难度推算!$AA$6)*(2-$S416)</f>
        <v>4585.1692502721162</v>
      </c>
      <c r="K416" s="72">
        <f>VLOOKUP($C416,难度推算表,副本难度推算!$M$3,FALSE)*副本难度推算!$Y$7*Q416</f>
        <v>1930950.4289638062</v>
      </c>
      <c r="L416" s="72">
        <f>VLOOKUP($C416,难度推算表,副本难度推算!$P$3,FALSE)*副本难度推算!$Z$7*$R416+VLOOKUP($C416,难度推算表,副本难度推算!$H$3,FALSE)</f>
        <v>53966.51967088793</v>
      </c>
      <c r="M416" s="72">
        <f>VLOOKUP($C416,难度推算表,副本难度推算!$G$3,FALSE)-VLOOKUP($C416,难度推算表,副本难度推算!$I$3,FALSE)*(2-副本难度推算!$AA$7)*(2-$S416)</f>
        <v>13477.618705345292</v>
      </c>
      <c r="N416" s="2">
        <f>VLOOKUP($C416,难度推算表,副本难度推算!$Q$3,FALSE)</f>
        <v>4766.9279999999999</v>
      </c>
      <c r="O416" s="2">
        <f>VLOOKUP($C416,难度推算表,副本难度推算!$R$3,FALSE)</f>
        <v>0</v>
      </c>
      <c r="Q416" s="140">
        <f t="shared" si="37"/>
        <v>0.88000000000000012</v>
      </c>
      <c r="R416" s="140">
        <f t="shared" si="38"/>
        <v>0.72000000000000008</v>
      </c>
      <c r="S416" s="140">
        <f t="shared" si="39"/>
        <v>0.72000000000000008</v>
      </c>
      <c r="V416" s="140"/>
      <c r="W416" s="140"/>
      <c r="X416" s="140"/>
    </row>
    <row r="417" spans="1:24">
      <c r="A417" s="2" t="str">
        <f t="shared" si="35"/>
        <v>陷阱</v>
      </c>
      <c r="B417" s="2" t="str">
        <f>怪物并表!$R$14</f>
        <v>英雄之路</v>
      </c>
      <c r="C417" s="2">
        <v>77</v>
      </c>
      <c r="D417" s="28">
        <f t="shared" si="36"/>
        <v>1906</v>
      </c>
      <c r="E417" s="72">
        <f>VLOOKUP($C417,难度推算表,副本难度推算!$M$3,FALSE)*副本难度推算!$Y$5*Q417</f>
        <v>815619.90208691882</v>
      </c>
      <c r="F417" s="72">
        <f>VLOOKUP($C417,难度推算表,副本难度推算!$P$3,FALSE)*副本难度推算!$Z$5*$R417+VLOOKUP($C417,难度推算表,副本难度推算!$H$3,FALSE)</f>
        <v>50006.027847138714</v>
      </c>
      <c r="G417" s="72">
        <f>VLOOKUP($C417,难度推算表,副本难度推算!$G$3,FALSE)-VLOOKUP($C417,难度推算表,副本难度推算!$I$3,FALSE)*(2-副本难度推算!$AA$5)*(2-$S417)</f>
        <v>9454.5833006000066</v>
      </c>
      <c r="H417" s="72">
        <f>VLOOKUP($C417,难度推算表,副本难度推算!$M$3,FALSE)*副本难度推算!$Y$6*Q417</f>
        <v>652495.92166953511</v>
      </c>
      <c r="I417" s="72">
        <f>VLOOKUP($C417,难度推算表,副本难度推算!$P$3,FALSE)*副本难度推算!$Z$6*$R417+VLOOKUP($C417,难度推算表,副本难度推算!$H$3,FALSE)</f>
        <v>46459.976339440233</v>
      </c>
      <c r="J417" s="72">
        <f>VLOOKUP($C417,难度推算表,副本难度推算!$G$3,FALSE)-VLOOKUP($C417,难度推算表,副本难度推算!$I$3,FALSE)*(2-副本难度推算!$AA$6)*(2-$S417)</f>
        <v>4800.0192141507723</v>
      </c>
      <c r="K417" s="72">
        <f>VLOOKUP($C417,难度推算表,副本难度推算!$M$3,FALSE)*副本难度推算!$Y$7*Q417</f>
        <v>2039049.7552172972</v>
      </c>
      <c r="L417" s="72">
        <f>VLOOKUP($C417,难度推算表,副本难度推算!$P$3,FALSE)*副本难度推算!$Z$7*$R417+VLOOKUP($C417,难度推算表,副本难度推算!$H$3,FALSE)</f>
        <v>57098.130862535683</v>
      </c>
      <c r="M417" s="72">
        <f>VLOOKUP($C417,难度推算表,副本难度推算!$G$3,FALSE)-VLOOKUP($C417,难度推算表,副本难度推算!$I$3,FALSE)*(2-副本难度推算!$AA$7)*(2-$S417)</f>
        <v>14109.147387049237</v>
      </c>
      <c r="N417" s="2">
        <f>VLOOKUP($C417,难度推算表,副本难度推算!$Q$3,FALSE)</f>
        <v>4825.1559999999999</v>
      </c>
      <c r="O417" s="2">
        <f>VLOOKUP($C417,难度推算表,副本难度推算!$R$3,FALSE)</f>
        <v>0</v>
      </c>
      <c r="Q417" s="140">
        <f t="shared" si="37"/>
        <v>0.88000000000000012</v>
      </c>
      <c r="R417" s="140">
        <f t="shared" si="38"/>
        <v>0.72000000000000008</v>
      </c>
      <c r="S417" s="140">
        <f t="shared" si="39"/>
        <v>0.72000000000000008</v>
      </c>
      <c r="V417" s="140"/>
      <c r="W417" s="140"/>
      <c r="X417" s="140"/>
    </row>
    <row r="418" spans="1:24">
      <c r="A418" s="2" t="str">
        <f t="shared" si="35"/>
        <v>陷阱</v>
      </c>
      <c r="B418" s="2" t="str">
        <f>怪物并表!$R$14</f>
        <v>英雄之路</v>
      </c>
      <c r="C418" s="2">
        <v>78</v>
      </c>
      <c r="D418" s="28">
        <f t="shared" si="36"/>
        <v>1906</v>
      </c>
      <c r="E418" s="72">
        <f>VLOOKUP($C418,难度推算表,副本难度推算!$M$3,FALSE)*副本难度推算!$Y$5*Q418</f>
        <v>860525.67690741713</v>
      </c>
      <c r="F418" s="72">
        <f>VLOOKUP($C418,难度推算表,副本难度推算!$P$3,FALSE)*副本难度推算!$Z$5*$R418+VLOOKUP($C418,难度推算表,副本难度推算!$H$3,FALSE)</f>
        <v>52843.311693144795</v>
      </c>
      <c r="G418" s="72">
        <f>VLOOKUP($C418,难度推算表,副本难度推算!$G$3,FALSE)-VLOOKUP($C418,难度推算表,副本难度推算!$I$3,FALSE)*(2-副本难度推算!$AA$5)*(2-$S418)</f>
        <v>9889.7769149217456</v>
      </c>
      <c r="H418" s="72">
        <f>VLOOKUP($C418,难度推算表,副本难度推算!$M$3,FALSE)*副本难度推算!$Y$6*Q418</f>
        <v>688420.54152593378</v>
      </c>
      <c r="I418" s="72">
        <f>VLOOKUP($C418,难度推算表,副本难度推算!$P$3,FALSE)*副本难度推算!$Z$6*$R418+VLOOKUP($C418,难度推算表,副本难度推算!$H$3,FALSE)</f>
        <v>49080.484664587508</v>
      </c>
      <c r="J418" s="72">
        <f>VLOOKUP($C418,难度推算表,副本难度推算!$G$3,FALSE)-VLOOKUP($C418,难度推算表,副本难度推算!$I$3,FALSE)*(2-副本难度推算!$AA$6)*(2-$S418)</f>
        <v>5020.9636644987368</v>
      </c>
      <c r="K418" s="72">
        <f>VLOOKUP($C418,难度推算表,副本难度推算!$M$3,FALSE)*副本难度推算!$Y$7*Q418</f>
        <v>2151314.1922685429</v>
      </c>
      <c r="L418" s="72">
        <f>VLOOKUP($C418,难度推算表,副本难度推算!$P$3,FALSE)*副本难度推算!$Z$7*$R418+VLOOKUP($C418,难度推算表,副本难度推算!$H$3,FALSE)</f>
        <v>60368.965750259369</v>
      </c>
      <c r="M418" s="72">
        <f>VLOOKUP($C418,难度推算表,副本难度推算!$G$3,FALSE)-VLOOKUP($C418,难度推算表,副本难度推算!$I$3,FALSE)*(2-副本难度推算!$AA$7)*(2-$S418)</f>
        <v>14758.590165344754</v>
      </c>
      <c r="N418" s="2">
        <f>VLOOKUP($C418,难度推算表,副本难度推算!$Q$3,FALSE)</f>
        <v>4883.384</v>
      </c>
      <c r="O418" s="2">
        <f>VLOOKUP($C418,难度推算表,副本难度推算!$R$3,FALSE)</f>
        <v>0</v>
      </c>
      <c r="Q418" s="140">
        <f t="shared" si="37"/>
        <v>0.88000000000000012</v>
      </c>
      <c r="R418" s="140">
        <f t="shared" si="38"/>
        <v>0.72000000000000008</v>
      </c>
      <c r="S418" s="140">
        <f t="shared" si="39"/>
        <v>0.72000000000000008</v>
      </c>
      <c r="V418" s="140"/>
      <c r="W418" s="140"/>
      <c r="X418" s="140"/>
    </row>
    <row r="419" spans="1:24">
      <c r="A419" s="2" t="str">
        <f t="shared" si="35"/>
        <v>陷阱</v>
      </c>
      <c r="B419" s="2" t="str">
        <f>怪物并表!$R$14</f>
        <v>英雄之路</v>
      </c>
      <c r="C419" s="2">
        <v>79</v>
      </c>
      <c r="D419" s="28">
        <f t="shared" si="36"/>
        <v>1906</v>
      </c>
      <c r="E419" s="72">
        <f>VLOOKUP($C419,难度推算表,副本难度推算!$M$3,FALSE)*副本难度推算!$Y$5*Q419</f>
        <v>907136.58950694033</v>
      </c>
      <c r="F419" s="72">
        <f>VLOOKUP($C419,难度推算表,副本难度推算!$P$3,FALSE)*副本难度推算!$Z$5*$R419+VLOOKUP($C419,难度推算表,副本难度推算!$H$3,FALSE)</f>
        <v>55804.184296534848</v>
      </c>
      <c r="G419" s="72">
        <f>VLOOKUP($C419,难度推算表,副本难度推算!$G$3,FALSE)-VLOOKUP($C419,难度推算表,副本难度推算!$I$3,FALSE)*(2-副本难度推算!$AA$5)*(2-$S419)</f>
        <v>10337.126430365231</v>
      </c>
      <c r="H419" s="72">
        <f>VLOOKUP($C419,难度推算表,副本难度推算!$M$3,FALSE)*副本难度推算!$Y$6*Q419</f>
        <v>725709.27160555229</v>
      </c>
      <c r="I419" s="72">
        <f>VLOOKUP($C419,难度推算表,副本难度推算!$P$3,FALSE)*副本难度推算!$Z$6*$R419+VLOOKUP($C419,难度推算表,副本难度推算!$H$3,FALSE)</f>
        <v>51814.093010014469</v>
      </c>
      <c r="J419" s="72">
        <f>VLOOKUP($C419,难度推算表,副本难度推算!$G$3,FALSE)-VLOOKUP($C419,难度推算表,副本难度推算!$I$3,FALSE)*(2-副本难度推算!$AA$6)*(2-$S419)</f>
        <v>5248.0795723392803</v>
      </c>
      <c r="K419" s="72">
        <f>VLOOKUP($C419,难度推算表,副本难度推算!$M$3,FALSE)*副本难度推算!$Y$7*Q419</f>
        <v>2267841.4737673504</v>
      </c>
      <c r="L419" s="72">
        <f>VLOOKUP($C419,难度推算表,副本难度推算!$P$3,FALSE)*副本难度推算!$Z$7*$R419+VLOOKUP($C419,难度推算表,副本难度推算!$H$3,FALSE)</f>
        <v>63784.366869575591</v>
      </c>
      <c r="M419" s="72">
        <f>VLOOKUP($C419,难度推算表,副本难度推算!$G$3,FALSE)-VLOOKUP($C419,难度推算表,副本难度推算!$I$3,FALSE)*(2-副本难度推算!$AA$7)*(2-$S419)</f>
        <v>15426.173288391186</v>
      </c>
      <c r="N419" s="2">
        <f>VLOOKUP($C419,难度推算表,副本难度推算!$Q$3,FALSE)</f>
        <v>4941.6120000000001</v>
      </c>
      <c r="O419" s="2">
        <f>VLOOKUP($C419,难度推算表,副本难度推算!$R$3,FALSE)</f>
        <v>0</v>
      </c>
      <c r="Q419" s="140">
        <f t="shared" si="37"/>
        <v>0.88000000000000012</v>
      </c>
      <c r="R419" s="140">
        <f t="shared" si="38"/>
        <v>0.72000000000000008</v>
      </c>
      <c r="S419" s="140">
        <f t="shared" si="39"/>
        <v>0.72000000000000008</v>
      </c>
      <c r="V419" s="140"/>
      <c r="W419" s="140"/>
      <c r="X419" s="140"/>
    </row>
    <row r="420" spans="1:24">
      <c r="A420" s="2" t="str">
        <f t="shared" si="35"/>
        <v>陷阱</v>
      </c>
      <c r="B420" s="2" t="str">
        <f>怪物并表!$R$14</f>
        <v>英雄之路</v>
      </c>
      <c r="C420" s="2">
        <v>80</v>
      </c>
      <c r="D420" s="28">
        <f t="shared" si="36"/>
        <v>1906</v>
      </c>
      <c r="E420" s="72">
        <f>VLOOKUP($C420,难度推算表,副本难度推算!$M$3,FALSE)*副本难度推算!$Y$5*Q420</f>
        <v>958344.3616356845</v>
      </c>
      <c r="F420" s="72">
        <f>VLOOKUP($C420,难度推算表,副本难度推算!$P$3,FALSE)*副本难度推算!$Z$5*$R420+VLOOKUP($C420,难度推算表,副本难度推算!$H$3,FALSE)</f>
        <v>59069.134150141501</v>
      </c>
      <c r="G420" s="72">
        <f>VLOOKUP($C420,难度推算表,副本难度推算!$G$3,FALSE)-VLOOKUP($C420,难度推算表,副本难度推算!$I$3,FALSE)*(2-副本难度推算!$AA$5)*(2-$S420)</f>
        <v>10829.012660869568</v>
      </c>
      <c r="H420" s="72">
        <f>VLOOKUP($C420,难度推算表,副本难度推算!$M$3,FALSE)*副本难度推算!$Y$6*Q420</f>
        <v>766675.48930854769</v>
      </c>
      <c r="I420" s="72">
        <f>VLOOKUP($C420,难度推算表,副本难度推算!$P$3,FALSE)*副本难度推算!$Z$6*$R420+VLOOKUP($C420,难度推算表,副本难度推算!$H$3,FALSE)</f>
        <v>54828.222682953434</v>
      </c>
      <c r="J420" s="72">
        <f>VLOOKUP($C420,难度推算表,副本难度推算!$G$3,FALSE)-VLOOKUP($C420,难度推算表,副本难度推算!$I$3,FALSE)*(2-副本难度推算!$AA$6)*(2-$S420)</f>
        <v>5497.8064278260899</v>
      </c>
      <c r="K420" s="72">
        <f>VLOOKUP($C420,难度推算表,副本难度推算!$M$3,FALSE)*副本难度推算!$Y$7*Q420</f>
        <v>2395860.9040892115</v>
      </c>
      <c r="L420" s="72">
        <f>VLOOKUP($C420,难度推算表,副本难度推算!$P$3,FALSE)*副本难度推算!$Z$7*$R420+VLOOKUP($C420,难度推算表,副本难度推算!$H$3,FALSE)</f>
        <v>67550.95708451762</v>
      </c>
      <c r="M420" s="72">
        <f>VLOOKUP($C420,难度推算表,副本难度推算!$G$3,FALSE)-VLOOKUP($C420,难度推算表,副本难度推算!$I$3,FALSE)*(2-副本难度推算!$AA$7)*(2-$S420)</f>
        <v>16160.218893913046</v>
      </c>
      <c r="N420" s="2">
        <f>VLOOKUP($C420,难度推算表,副本难度推算!$Q$3,FALSE)</f>
        <v>4999.84</v>
      </c>
      <c r="O420" s="2">
        <f>VLOOKUP($C420,难度推算表,副本难度推算!$R$3,FALSE)</f>
        <v>0</v>
      </c>
      <c r="Q420" s="140">
        <f t="shared" si="37"/>
        <v>0.88000000000000012</v>
      </c>
      <c r="R420" s="140">
        <f t="shared" si="38"/>
        <v>0.72000000000000008</v>
      </c>
      <c r="S420" s="140">
        <f t="shared" si="39"/>
        <v>0.72000000000000008</v>
      </c>
      <c r="V420" s="140"/>
      <c r="W420" s="140"/>
      <c r="X420" s="140"/>
    </row>
    <row r="421" spans="1:24">
      <c r="A421" s="2" t="str">
        <f t="shared" si="35"/>
        <v>陷阱</v>
      </c>
      <c r="B421" s="2" t="str">
        <f>怪物并表!$R$14</f>
        <v>英雄之路</v>
      </c>
      <c r="C421" s="2">
        <v>81</v>
      </c>
      <c r="D421" s="28">
        <f t="shared" si="36"/>
        <v>1906</v>
      </c>
      <c r="E421" s="72">
        <f>VLOOKUP($C421,难度推算表,副本难度推算!$M$3,FALSE)*副本难度推算!$Y$5*Q421</f>
        <v>1011513.1568246684</v>
      </c>
      <c r="F421" s="72">
        <f>VLOOKUP($C421,难度推算表,副本难度推算!$P$3,FALSE)*副本难度推算!$Z$5*$R421+VLOOKUP($C421,难度推算表,副本难度推算!$H$3,FALSE)</f>
        <v>70924.043803160064</v>
      </c>
      <c r="G421" s="72">
        <f>VLOOKUP($C421,难度推算表,副本难度推算!$G$3,FALSE)-VLOOKUP($C421,难度推算表,副本难度推算!$I$3,FALSE)*(2-副本难度推算!$AA$5)*(2-$S421)</f>
        <v>11334.799600660885</v>
      </c>
      <c r="H421" s="72">
        <f>VLOOKUP($C421,难度推算表,副本难度推算!$M$3,FALSE)*副本难度推算!$Y$6*Q421</f>
        <v>809210.52545973472</v>
      </c>
      <c r="I421" s="72">
        <f>VLOOKUP($C421,难度推算表,副本难度推算!$P$3,FALSE)*副本难度推算!$Z$6*$R421+VLOOKUP($C421,难度推算表,副本难度推算!$H$3,FALSE)</f>
        <v>65575.45474602266</v>
      </c>
      <c r="J421" s="72">
        <f>VLOOKUP($C421,难度推算表,副本难度推算!$G$3,FALSE)-VLOOKUP($C421,难度推算表,副本难度推算!$I$3,FALSE)*(2-副本难度推算!$AA$6)*(2-$S421)</f>
        <v>5754.5905664893799</v>
      </c>
      <c r="K421" s="72">
        <f>VLOOKUP($C421,难度推算表,副本难度推算!$M$3,FALSE)*副本难度推算!$Y$7*Q421</f>
        <v>2528782.8920616708</v>
      </c>
      <c r="L421" s="72">
        <f>VLOOKUP($C421,难度推算表,副本难度推算!$P$3,FALSE)*副本难度推算!$Z$7*$R421+VLOOKUP($C421,难度推算表,副本难度推算!$H$3,FALSE)</f>
        <v>81621.221917434872</v>
      </c>
      <c r="M421" s="72">
        <f>VLOOKUP($C421,难度推算表,副本难度推算!$G$3,FALSE)-VLOOKUP($C421,难度推算表,副本难度推算!$I$3,FALSE)*(2-副本难度推算!$AA$7)*(2-$S421)</f>
        <v>16915.008634832386</v>
      </c>
      <c r="N421" s="2">
        <f>VLOOKUP($C421,难度推算表,副本难度推算!$Q$3,FALSE)</f>
        <v>5058.0680000000002</v>
      </c>
      <c r="O421" s="2">
        <f>VLOOKUP($C421,难度推算表,副本难度推算!$R$3,FALSE)</f>
        <v>0</v>
      </c>
      <c r="Q421" s="140">
        <f t="shared" si="37"/>
        <v>0.88000000000000012</v>
      </c>
      <c r="R421" s="140">
        <f t="shared" si="38"/>
        <v>0.72000000000000008</v>
      </c>
      <c r="S421" s="140">
        <f t="shared" si="39"/>
        <v>0.72000000000000008</v>
      </c>
      <c r="V421" s="140"/>
      <c r="W421" s="140"/>
      <c r="X421" s="140"/>
    </row>
    <row r="422" spans="1:24">
      <c r="A422" s="2" t="str">
        <f t="shared" si="35"/>
        <v>陷阱</v>
      </c>
      <c r="B422" s="2" t="str">
        <f>怪物并表!$R$14</f>
        <v>英雄之路</v>
      </c>
      <c r="C422" s="2">
        <v>82</v>
      </c>
      <c r="D422" s="28">
        <f t="shared" si="36"/>
        <v>1906</v>
      </c>
      <c r="E422" s="72">
        <f>VLOOKUP($C422,难度推算表,副本难度推算!$M$3,FALSE)*副本难度推算!$Y$5*Q422</f>
        <v>1066688.3757394266</v>
      </c>
      <c r="F422" s="72">
        <f>VLOOKUP($C422,难度推算表,副本难度推算!$P$3,FALSE)*副本难度推算!$Z$5*$R422+VLOOKUP($C422,难度推算表,副本难度推算!$H$3,FALSE)</f>
        <v>75599.326167863037</v>
      </c>
      <c r="G422" s="72">
        <f>VLOOKUP($C422,难度推算表,副本难度推算!$G$3,FALSE)-VLOOKUP($C422,难度推算表,副本难度推算!$I$3,FALSE)*(2-副本难度推算!$AA$5)*(2-$S422)</f>
        <v>11854.660517843487</v>
      </c>
      <c r="H422" s="72">
        <f>VLOOKUP($C422,难度推算表,副本难度推算!$M$3,FALSE)*副本难度推算!$Y$6*Q422</f>
        <v>853350.70059154124</v>
      </c>
      <c r="I422" s="72">
        <f>VLOOKUP($C422,难度推算表,副本难度推算!$P$3,FALSE)*副本难度推算!$Z$6*$R422+VLOOKUP($C422,难度推算表,副本难度推算!$H$3,FALSE)</f>
        <v>69863.18747689882</v>
      </c>
      <c r="J422" s="72">
        <f>VLOOKUP($C422,难度推算表,副本难度推算!$G$3,FALSE)-VLOOKUP($C422,难度推算表,副本难度推算!$I$3,FALSE)*(2-副本难度推算!$AA$6)*(2-$S422)</f>
        <v>6018.5199552128543</v>
      </c>
      <c r="K422" s="72">
        <f>VLOOKUP($C422,难度推算表,副本难度推算!$M$3,FALSE)*副本难度推算!$Y$7*Q422</f>
        <v>2666720.9393485663</v>
      </c>
      <c r="L422" s="72">
        <f>VLOOKUP($C422,难度推算表,副本难度推算!$P$3,FALSE)*副本难度推算!$Z$7*$R422+VLOOKUP($C422,难度推算表,副本难度推算!$H$3,FALSE)</f>
        <v>87071.6035497915</v>
      </c>
      <c r="M422" s="72">
        <f>VLOOKUP($C422,难度推算表,副本难度推算!$G$3,FALSE)-VLOOKUP($C422,难度推算表,副本难度推算!$I$3,FALSE)*(2-副本难度推算!$AA$7)*(2-$S422)</f>
        <v>17690.801080474121</v>
      </c>
      <c r="N422" s="2">
        <f>VLOOKUP($C422,难度推算表,副本难度推算!$Q$3,FALSE)</f>
        <v>5116.2960000000003</v>
      </c>
      <c r="O422" s="2">
        <f>VLOOKUP($C422,难度推算表,副本难度推算!$R$3,FALSE)</f>
        <v>0</v>
      </c>
      <c r="Q422" s="140">
        <f t="shared" si="37"/>
        <v>0.88000000000000012</v>
      </c>
      <c r="R422" s="140">
        <f t="shared" si="38"/>
        <v>0.72000000000000008</v>
      </c>
      <c r="S422" s="140">
        <f t="shared" si="39"/>
        <v>0.72000000000000008</v>
      </c>
      <c r="V422" s="140"/>
      <c r="W422" s="140"/>
      <c r="X422" s="140"/>
    </row>
    <row r="423" spans="1:24">
      <c r="A423" s="2" t="str">
        <f t="shared" si="35"/>
        <v>陷阱</v>
      </c>
      <c r="B423" s="2" t="str">
        <f>怪物并表!$R$14</f>
        <v>英雄之路</v>
      </c>
      <c r="C423" s="2">
        <v>83</v>
      </c>
      <c r="D423" s="28">
        <f t="shared" si="36"/>
        <v>1906</v>
      </c>
      <c r="E423" s="72">
        <f>VLOOKUP($C423,难度推算表,副本难度推算!$M$3,FALSE)*副本难度推算!$Y$5*Q423</f>
        <v>1123915.8906670988</v>
      </c>
      <c r="F423" s="72">
        <f>VLOOKUP($C423,难度推算表,副本难度推算!$P$3,FALSE)*副本难度推算!$Z$5*$R423+VLOOKUP($C423,难度推算表,副本难度推算!$H$3,FALSE)</f>
        <v>80528.452316885523</v>
      </c>
      <c r="G423" s="72">
        <f>VLOOKUP($C423,难度推算表,副本难度推算!$G$3,FALSE)-VLOOKUP($C423,难度推算表,副本难度推算!$I$3,FALSE)*(2-副本难度推算!$AA$5)*(2-$S423)</f>
        <v>12388.768680521749</v>
      </c>
      <c r="H423" s="72">
        <f>VLOOKUP($C423,难度推算表,副本难度推算!$M$3,FALSE)*副本难度推算!$Y$6*Q423</f>
        <v>899132.71253367921</v>
      </c>
      <c r="I423" s="72">
        <f>VLOOKUP($C423,难度推算表,副本难度推算!$P$3,FALSE)*副本难度推算!$Z$6*$R423+VLOOKUP($C423,难度推算表,副本难度推算!$H$3,FALSE)</f>
        <v>74381.571497584941</v>
      </c>
      <c r="J423" s="72">
        <f>VLOOKUP($C423,难度推算表,副本难度推算!$G$3,FALSE)-VLOOKUP($C423,难度推算表,副本难度推算!$I$3,FALSE)*(2-副本难度推算!$AA$6)*(2-$S423)</f>
        <v>6289.6825608802756</v>
      </c>
      <c r="K423" s="72">
        <f>VLOOKUP($C423,难度推算表,副本难度推算!$M$3,FALSE)*副本难度推算!$Y$7*Q423</f>
        <v>2809789.7266677469</v>
      </c>
      <c r="L423" s="72">
        <f>VLOOKUP($C423,难度推算表,副本难度推算!$P$3,FALSE)*副本难度推算!$Z$7*$R423+VLOOKUP($C423,难度推算表,副本难度推算!$H$3,FALSE)</f>
        <v>92822.213955486703</v>
      </c>
      <c r="M423" s="72">
        <f>VLOOKUP($C423,难度推算表,副本难度推算!$G$3,FALSE)-VLOOKUP($C423,难度推算表,副本难度推算!$I$3,FALSE)*(2-副本难度推算!$AA$7)*(2-$S423)</f>
        <v>18487.854800163223</v>
      </c>
      <c r="N423" s="2">
        <f>VLOOKUP($C423,难度推算表,副本难度推算!$Q$3,FALSE)</f>
        <v>5174.5240000000003</v>
      </c>
      <c r="O423" s="2">
        <f>VLOOKUP($C423,难度推算表,副本难度推算!$R$3,FALSE)</f>
        <v>0</v>
      </c>
      <c r="Q423" s="140">
        <f t="shared" si="37"/>
        <v>0.88000000000000012</v>
      </c>
      <c r="R423" s="140">
        <f t="shared" si="38"/>
        <v>0.72000000000000008</v>
      </c>
      <c r="S423" s="140">
        <f t="shared" si="39"/>
        <v>0.72000000000000008</v>
      </c>
      <c r="V423" s="140"/>
      <c r="W423" s="140"/>
      <c r="X423" s="140"/>
    </row>
    <row r="424" spans="1:24">
      <c r="A424" s="2" t="str">
        <f t="shared" si="35"/>
        <v>陷阱</v>
      </c>
      <c r="B424" s="2" t="str">
        <f>怪物并表!$R$14</f>
        <v>英雄之路</v>
      </c>
      <c r="C424" s="2">
        <v>84</v>
      </c>
      <c r="D424" s="28">
        <f t="shared" si="36"/>
        <v>1906</v>
      </c>
      <c r="E424" s="72">
        <f>VLOOKUP($C424,难度推算表,副本难度推算!$M$3,FALSE)*副本难度推算!$Y$5*Q424</f>
        <v>1183242.045353821</v>
      </c>
      <c r="F424" s="72">
        <f>VLOOKUP($C424,难度推算表,副本难度推算!$P$3,FALSE)*副本难度推算!$Z$5*$R424+VLOOKUP($C424,难度推算表,副本难度推算!$H$3,FALSE)</f>
        <v>85723.909338584665</v>
      </c>
      <c r="G424" s="72">
        <f>VLOOKUP($C424,难度推算表,副本难度推算!$G$3,FALSE)-VLOOKUP($C424,难度推算表,副本难度推算!$I$3,FALSE)*(2-副本难度推算!$AA$5)*(2-$S424)</f>
        <v>12937.297356800012</v>
      </c>
      <c r="H424" s="72">
        <f>VLOOKUP($C424,难度推算表,副本难度推算!$M$3,FALSE)*副本难度推算!$Y$6*Q424</f>
        <v>946593.63628305681</v>
      </c>
      <c r="I424" s="72">
        <f>VLOOKUP($C424,难度推算表,副本难度推算!$P$3,FALSE)*副本难度推算!$Z$6*$R424+VLOOKUP($C424,难度推算表,副本难度推算!$H$3,FALSE)</f>
        <v>79141.871844233887</v>
      </c>
      <c r="J424" s="72">
        <f>VLOOKUP($C424,难度推算表,副本难度推算!$G$3,FALSE)-VLOOKUP($C424,难度推算表,副本难度推算!$I$3,FALSE)*(2-副本难度推算!$AA$6)*(2-$S424)</f>
        <v>6568.1663503753953</v>
      </c>
      <c r="K424" s="72">
        <f>VLOOKUP($C424,难度推算表,副本难度推算!$M$3,FALSE)*副本难度推算!$Y$7*Q424</f>
        <v>2958105.1133845523</v>
      </c>
      <c r="L424" s="72">
        <f>VLOOKUP($C424,难度推算表,副本难度推算!$P$3,FALSE)*副本难度推算!$Z$7*$R424+VLOOKUP($C424,难度推算表,副本难度推算!$H$3,FALSE)</f>
        <v>98887.984327286205</v>
      </c>
      <c r="M424" s="72">
        <f>VLOOKUP($C424,难度推算表,副本难度推算!$G$3,FALSE)-VLOOKUP($C424,难度推算表,副本难度推算!$I$3,FALSE)*(2-副本难度推算!$AA$7)*(2-$S424)</f>
        <v>19306.428363224622</v>
      </c>
      <c r="N424" s="2">
        <f>VLOOKUP($C424,难度推算表,副本难度推算!$Q$3,FALSE)</f>
        <v>5232.7520000000004</v>
      </c>
      <c r="O424" s="2">
        <f>VLOOKUP($C424,难度推算表,副本难度推算!$R$3,FALSE)</f>
        <v>0</v>
      </c>
      <c r="Q424" s="140">
        <f t="shared" si="37"/>
        <v>0.88000000000000012</v>
      </c>
      <c r="R424" s="140">
        <f t="shared" si="38"/>
        <v>0.72000000000000008</v>
      </c>
      <c r="S424" s="140">
        <f t="shared" si="39"/>
        <v>0.72000000000000008</v>
      </c>
      <c r="V424" s="140"/>
      <c r="W424" s="140"/>
      <c r="X424" s="140"/>
    </row>
    <row r="425" spans="1:24">
      <c r="A425" s="2" t="str">
        <f t="shared" ref="A425:A430" si="40">$Z$16</f>
        <v>陷阱</v>
      </c>
      <c r="B425" s="2" t="str">
        <f>怪物并表!$R$14</f>
        <v>英雄之路</v>
      </c>
      <c r="C425" s="2">
        <v>85</v>
      </c>
      <c r="D425" s="28">
        <f t="shared" si="36"/>
        <v>1906</v>
      </c>
      <c r="E425" s="72">
        <f>VLOOKUP($C425,难度推算表,副本难度推算!$M$3,FALSE)*副本难度推算!$Y$5*Q425</f>
        <v>1244713.6548438242</v>
      </c>
      <c r="F425" s="72">
        <f>VLOOKUP($C425,难度推算表,副本难度推算!$P$3,FALSE)*副本难度推算!$Z$5*$R425+VLOOKUP($C425,难度推算表,副本难度推算!$H$3,FALSE)</f>
        <v>91198.832817882329</v>
      </c>
      <c r="G425" s="72">
        <f>VLOOKUP($C425,难度推算表,副本难度推算!$G$3,FALSE)-VLOOKUP($C425,难度推算表,副本难度推算!$I$3,FALSE)*(2-副本难度推算!$AA$5)*(2-$S425)</f>
        <v>13500.41981478261</v>
      </c>
      <c r="H425" s="72">
        <f>VLOOKUP($C425,难度推算表,副本难度推算!$M$3,FALSE)*副本难度推算!$Y$6*Q425</f>
        <v>995770.92387505947</v>
      </c>
      <c r="I425" s="72">
        <f>VLOOKUP($C425,难度推算表,副本难度推算!$P$3,FALSE)*副本难度推算!$Z$6*$R425+VLOOKUP($C425,难度推算表,副本难度推算!$H$3,FALSE)</f>
        <v>84155.937199906795</v>
      </c>
      <c r="J425" s="72">
        <f>VLOOKUP($C425,难度推算表,副本难度推算!$G$3,FALSE)-VLOOKUP($C425,难度推算表,副本难度推算!$I$3,FALSE)*(2-副本难度推算!$AA$6)*(2-$S425)</f>
        <v>6854.0592905819503</v>
      </c>
      <c r="K425" s="72">
        <f>VLOOKUP($C425,难度推算表,副本难度推算!$M$3,FALSE)*副本难度推算!$Y$7*Q425</f>
        <v>3111784.1371095609</v>
      </c>
      <c r="L425" s="72">
        <f>VLOOKUP($C425,难度推算表,副本难度推算!$P$3,FALSE)*副本难度推算!$Z$7*$R425+VLOOKUP($C425,难度推算表,副本难度推算!$H$3,FALSE)</f>
        <v>105284.62405383337</v>
      </c>
      <c r="M425" s="72">
        <f>VLOOKUP($C425,难度推算表,副本难度推算!$G$3,FALSE)-VLOOKUP($C425,难度推算表,副本难度推算!$I$3,FALSE)*(2-副本难度推算!$AA$7)*(2-$S425)</f>
        <v>20146.780338983277</v>
      </c>
      <c r="N425" s="2">
        <f>VLOOKUP($C425,难度推算表,副本难度推算!$Q$3,FALSE)</f>
        <v>5290.98</v>
      </c>
      <c r="O425" s="2">
        <f>VLOOKUP($C425,难度推算表,副本难度推算!$R$3,FALSE)</f>
        <v>0</v>
      </c>
      <c r="Q425" s="140">
        <f t="shared" si="37"/>
        <v>0.88000000000000012</v>
      </c>
      <c r="R425" s="140">
        <f t="shared" si="38"/>
        <v>0.72000000000000008</v>
      </c>
      <c r="S425" s="140">
        <f t="shared" si="39"/>
        <v>0.72000000000000008</v>
      </c>
      <c r="V425" s="140"/>
      <c r="W425" s="140"/>
      <c r="X425" s="140"/>
    </row>
    <row r="426" spans="1:24">
      <c r="A426" s="2" t="str">
        <f t="shared" si="40"/>
        <v>陷阱</v>
      </c>
      <c r="B426" s="2" t="str">
        <f>怪物并表!$R$14</f>
        <v>英雄之路</v>
      </c>
      <c r="C426" s="2">
        <v>86</v>
      </c>
      <c r="D426" s="28">
        <f t="shared" si="36"/>
        <v>1906</v>
      </c>
      <c r="E426" s="72">
        <f>VLOOKUP($C426,难度推算表,副本难度推算!$M$3,FALSE)*副本难度推算!$Y$5*Q426</f>
        <v>1308378.0053202736</v>
      </c>
      <c r="F426" s="72">
        <f>VLOOKUP($C426,难度推算表,副本难度推算!$P$3,FALSE)*副本难度推算!$Z$5*$R426+VLOOKUP($C426,难度推算表,副本难度推算!$H$3,FALSE)</f>
        <v>96967.047032333256</v>
      </c>
      <c r="G426" s="72">
        <f>VLOOKUP($C426,难度推算表,副本难度推算!$G$3,FALSE)-VLOOKUP($C426,难度推算表,副本难度推算!$I$3,FALSE)*(2-副本难度推算!$AA$5)*(2-$S426)</f>
        <v>14078.309322573921</v>
      </c>
      <c r="H426" s="72">
        <f>VLOOKUP($C426,难度推算表,副本难度推算!$M$3,FALSE)*副本难度推算!$Y$6*Q426</f>
        <v>1046702.404256219</v>
      </c>
      <c r="I426" s="72">
        <f>VLOOKUP($C426,难度推算表,副本难度推算!$P$3,FALSE)*副本难度推算!$Z$6*$R426+VLOOKUP($C426,难度推算表,副本难度推算!$H$3,FALSE)</f>
        <v>89436.236071034378</v>
      </c>
      <c r="J426" s="72">
        <f>VLOOKUP($C426,难度推算表,副本难度推算!$G$3,FALSE)-VLOOKUP($C426,难度推算表,副本难度推算!$I$3,FALSE)*(2-副本难度推算!$AA$6)*(2-$S426)</f>
        <v>7147.449348383685</v>
      </c>
      <c r="K426" s="72">
        <f>VLOOKUP($C426,难度推算表,副本难度推算!$M$3,FALSE)*副本难度推算!$Y$7*Q426</f>
        <v>3270945.0133006838</v>
      </c>
      <c r="L426" s="72">
        <f>VLOOKUP($C426,难度推算表,副本难度推算!$P$3,FALSE)*副本难度推算!$Z$7*$R426+VLOOKUP($C426,难度推算表,副本难度推算!$H$3,FALSE)</f>
        <v>112028.668954931</v>
      </c>
      <c r="M426" s="72">
        <f>VLOOKUP($C426,难度推算表,副本难度推算!$G$3,FALSE)-VLOOKUP($C426,难度推算表,副本难度推算!$I$3,FALSE)*(2-副本难度推算!$AA$7)*(2-$S426)</f>
        <v>21009.16929676415</v>
      </c>
      <c r="N426" s="2">
        <f>VLOOKUP($C426,难度推算表,副本难度推算!$Q$3,FALSE)</f>
        <v>5349.2079999999996</v>
      </c>
      <c r="O426" s="2">
        <f>VLOOKUP($C426,难度推算表,副本难度推算!$R$3,FALSE)</f>
        <v>0</v>
      </c>
      <c r="Q426" s="140">
        <f t="shared" si="37"/>
        <v>0.88000000000000012</v>
      </c>
      <c r="R426" s="140">
        <f t="shared" si="38"/>
        <v>0.72000000000000008</v>
      </c>
      <c r="S426" s="140">
        <f t="shared" si="39"/>
        <v>0.72000000000000008</v>
      </c>
      <c r="V426" s="140"/>
      <c r="W426" s="140"/>
      <c r="X426" s="140"/>
    </row>
    <row r="427" spans="1:24">
      <c r="A427" s="2" t="str">
        <f t="shared" si="40"/>
        <v>陷阱</v>
      </c>
      <c r="B427" s="2" t="str">
        <f>怪物并表!$R$14</f>
        <v>英雄之路</v>
      </c>
      <c r="C427" s="2">
        <v>87</v>
      </c>
      <c r="D427" s="28">
        <f t="shared" si="36"/>
        <v>1906</v>
      </c>
      <c r="E427" s="72">
        <f>VLOOKUP($C427,难度推算表,副本难度推算!$M$3,FALSE)*副本难度推算!$Y$5*Q427</f>
        <v>1374282.8539478641</v>
      </c>
      <c r="F427" s="72">
        <f>VLOOKUP($C427,难度推算表,副本难度推算!$P$3,FALSE)*副本难度推算!$Z$5*$R427+VLOOKUP($C427,难度推算表,副本难度推算!$H$3,FALSE)</f>
        <v>103043.10817551166</v>
      </c>
      <c r="G427" s="72">
        <f>VLOOKUP($C427,难度推算表,副本难度推算!$G$3,FALSE)-VLOOKUP($C427,难度推算表,副本难度推算!$I$3,FALSE)*(2-副本难度推算!$AA$5)*(2-$S427)</f>
        <v>14671.139148278271</v>
      </c>
      <c r="H427" s="72">
        <f>VLOOKUP($C427,难度推算表,副本难度推算!$M$3,FALSE)*副本难度推算!$Y$6*Q427</f>
        <v>1099426.2831582914</v>
      </c>
      <c r="I427" s="72">
        <f>VLOOKUP($C427,难度推算表,副本难度推算!$P$3,FALSE)*副本难度推算!$Z$6*$R427+VLOOKUP($C427,难度推算表,副本难度推算!$H$3,FALSE)</f>
        <v>94995.895688464836</v>
      </c>
      <c r="J427" s="72">
        <f>VLOOKUP($C427,难度推算表,副本难度推算!$G$3,FALSE)-VLOOKUP($C427,难度推算表,副本难度推算!$I$3,FALSE)*(2-副本难度推算!$AA$6)*(2-$S427)</f>
        <v>7448.424490664358</v>
      </c>
      <c r="K427" s="72">
        <f>VLOOKUP($C427,难度推算表,副本难度推算!$M$3,FALSE)*副本难度推算!$Y$7*Q427</f>
        <v>3435707.1348696603</v>
      </c>
      <c r="L427" s="72">
        <f>VLOOKUP($C427,难度推算表,副本难度推算!$P$3,FALSE)*副本难度推算!$Z$7*$R427+VLOOKUP($C427,难度推算表,副本难度推算!$H$3,FALSE)</f>
        <v>119137.5331496053</v>
      </c>
      <c r="M427" s="72">
        <f>VLOOKUP($C427,难度推算表,副本难度推算!$G$3,FALSE)-VLOOKUP($C427,难度推算表,副本难度推算!$I$3,FALSE)*(2-副本难度推算!$AA$7)*(2-$S427)</f>
        <v>21893.853805892177</v>
      </c>
      <c r="N427" s="2">
        <f>VLOOKUP($C427,难度推算表,副本难度推算!$Q$3,FALSE)</f>
        <v>5407.4360000000006</v>
      </c>
      <c r="O427" s="2">
        <f>VLOOKUP($C427,难度推算表,副本难度推算!$R$3,FALSE)</f>
        <v>0</v>
      </c>
      <c r="Q427" s="140">
        <f t="shared" si="37"/>
        <v>0.88000000000000012</v>
      </c>
      <c r="R427" s="140">
        <f t="shared" si="38"/>
        <v>0.72000000000000008</v>
      </c>
      <c r="S427" s="140">
        <f t="shared" si="39"/>
        <v>0.72000000000000008</v>
      </c>
      <c r="V427" s="140"/>
      <c r="W427" s="140"/>
      <c r="X427" s="140"/>
    </row>
    <row r="428" spans="1:24">
      <c r="A428" s="2" t="str">
        <f t="shared" si="40"/>
        <v>陷阱</v>
      </c>
      <c r="B428" s="2" t="str">
        <f>怪物并表!$R$14</f>
        <v>英雄之路</v>
      </c>
      <c r="C428" s="2">
        <v>88</v>
      </c>
      <c r="D428" s="28">
        <f t="shared" si="36"/>
        <v>1906</v>
      </c>
      <c r="E428" s="72">
        <f>VLOOKUP($C428,难度推算表,副本难度推算!$M$3,FALSE)*副本难度推算!$Y$5*Q428</f>
        <v>1442476.4287171955</v>
      </c>
      <c r="F428" s="72">
        <f>VLOOKUP($C428,难度推算表,副本难度推算!$P$3,FALSE)*副本难度推算!$Z$5*$R428+VLOOKUP($C428,难度推算表,副本难度推算!$H$3,FALSE)</f>
        <v>109442.35087709768</v>
      </c>
      <c r="G428" s="72">
        <f>VLOOKUP($C428,难度推算表,副本难度推算!$G$3,FALSE)-VLOOKUP($C428,难度推算表,副本难度推算!$I$3,FALSE)*(2-副本难度推算!$AA$5)*(2-$S428)</f>
        <v>15279.082560000003</v>
      </c>
      <c r="H428" s="72">
        <f>VLOOKUP($C428,难度推算表,副本难度推算!$M$3,FALSE)*副本难度推算!$Y$6*Q428</f>
        <v>1153981.1429737564</v>
      </c>
      <c r="I428" s="72">
        <f>VLOOKUP($C428,难度推算表,副本难度推算!$P$3,FALSE)*副本难度推算!$Z$6*$R428+VLOOKUP($C428,难度推算表,副本难度推算!$H$3,FALSE)</f>
        <v>100848.74387554175</v>
      </c>
      <c r="J428" s="72">
        <f>VLOOKUP($C428,难度推算表,副本难度推算!$G$3,FALSE)-VLOOKUP($C428,难度推算表,副本难度推算!$I$3,FALSE)*(2-副本难度推算!$AA$6)*(2-$S428)</f>
        <v>7757.0726843076991</v>
      </c>
      <c r="K428" s="72">
        <f>VLOOKUP($C428,难度推算表,副本难度推算!$M$3,FALSE)*副本难度推算!$Y$7*Q428</f>
        <v>3606191.0717929886</v>
      </c>
      <c r="L428" s="72">
        <f>VLOOKUP($C428,难度推算表,副本难度推算!$P$3,FALSE)*副本难度推算!$Z$7*$R428+VLOOKUP($C428,难度推算表,副本难度推算!$H$3,FALSE)</f>
        <v>126629.56488020951</v>
      </c>
      <c r="M428" s="72">
        <f>VLOOKUP($C428,难度推算表,副本难度推算!$G$3,FALSE)-VLOOKUP($C428,难度推算表,副本难度推算!$I$3,FALSE)*(2-副本难度推算!$AA$7)*(2-$S428)</f>
        <v>22801.092435692306</v>
      </c>
      <c r="N428" s="2">
        <f>VLOOKUP($C428,难度推算表,副本难度推算!$Q$3,FALSE)</f>
        <v>5465.6640000000007</v>
      </c>
      <c r="O428" s="2">
        <f>VLOOKUP($C428,难度推算表,副本难度推算!$R$3,FALSE)</f>
        <v>0</v>
      </c>
      <c r="Q428" s="140">
        <f t="shared" si="37"/>
        <v>0.88000000000000012</v>
      </c>
      <c r="R428" s="140">
        <f t="shared" si="38"/>
        <v>0.72000000000000008</v>
      </c>
      <c r="S428" s="140">
        <f t="shared" si="39"/>
        <v>0.72000000000000008</v>
      </c>
      <c r="V428" s="140"/>
      <c r="W428" s="140"/>
      <c r="X428" s="140"/>
    </row>
    <row r="429" spans="1:24">
      <c r="A429" s="2" t="str">
        <f t="shared" si="40"/>
        <v>陷阱</v>
      </c>
      <c r="B429" s="2" t="str">
        <f>怪物并表!$R$14</f>
        <v>英雄之路</v>
      </c>
      <c r="C429" s="2">
        <v>89</v>
      </c>
      <c r="D429" s="28">
        <f t="shared" si="36"/>
        <v>1906</v>
      </c>
      <c r="E429" s="72">
        <f>VLOOKUP($C429,难度推算表,副本难度推算!$M$3,FALSE)*副本难度推算!$Y$5*Q429</f>
        <v>1513007.4282909222</v>
      </c>
      <c r="F429" s="72">
        <f>VLOOKUP($C429,难度推算表,副本难度推算!$P$3,FALSE)*副本难度推算!$Z$5*$R429+VLOOKUP($C429,难度推算表,副本难度推算!$H$3,FALSE)</f>
        <v>116180.93831678941</v>
      </c>
      <c r="G429" s="72">
        <f>VLOOKUP($C429,难度推算表,副本难度推算!$G$3,FALSE)-VLOOKUP($C429,难度推算表,副本难度推算!$I$3,FALSE)*(2-副本难度推算!$AA$5)*(2-$S429)</f>
        <v>15902.312825843481</v>
      </c>
      <c r="H429" s="72">
        <f>VLOOKUP($C429,难度推算表,副本难度推算!$M$3,FALSE)*副本难度推算!$Y$6*Q429</f>
        <v>1210405.942632738</v>
      </c>
      <c r="I429" s="72">
        <f>VLOOKUP($C429,难度推算表,副本难度推算!$P$3,FALSE)*副本难度推算!$Z$6*$R429+VLOOKUP($C429,难度推算表,副本难度推算!$H$3,FALSE)</f>
        <v>107009.35415062486</v>
      </c>
      <c r="J429" s="72">
        <f>VLOOKUP($C429,难度推算表,副本难度推算!$G$3,FALSE)-VLOOKUP($C429,难度推算表,副本难度推算!$I$3,FALSE)*(2-副本难度推算!$AA$6)*(2-$S429)</f>
        <v>8073.4818961974597</v>
      </c>
      <c r="K429" s="72">
        <f>VLOOKUP($C429,难度推算表,副本难度推算!$M$3,FALSE)*副本难度推算!$Y$7*Q429</f>
        <v>3782518.570727306</v>
      </c>
      <c r="L429" s="72">
        <f>VLOOKUP($C429,难度推算表,副本难度推算!$P$3,FALSE)*副本难度推算!$Z$7*$R429+VLOOKUP($C429,难度推算表,副本难度推算!$H$3,FALSE)</f>
        <v>134524.10664911853</v>
      </c>
      <c r="M429" s="72">
        <f>VLOOKUP($C429,难度推算表,副本难度推算!$G$3,FALSE)-VLOOKUP($C429,难度推算表,副本难度推算!$I$3,FALSE)*(2-副本难度推算!$AA$7)*(2-$S429)</f>
        <v>23731.143755489495</v>
      </c>
      <c r="N429" s="2">
        <f>VLOOKUP($C429,难度推算表,副本难度推算!$Q$3,FALSE)</f>
        <v>5523.8919999999998</v>
      </c>
      <c r="O429" s="2">
        <f>VLOOKUP($C429,难度推算表,副本难度推算!$R$3,FALSE)</f>
        <v>0</v>
      </c>
      <c r="Q429" s="140">
        <f t="shared" si="37"/>
        <v>0.88000000000000012</v>
      </c>
      <c r="R429" s="140">
        <f t="shared" si="38"/>
        <v>0.72000000000000008</v>
      </c>
      <c r="S429" s="140">
        <f t="shared" si="39"/>
        <v>0.72000000000000008</v>
      </c>
      <c r="V429" s="140"/>
      <c r="W429" s="140"/>
      <c r="X429" s="140"/>
    </row>
    <row r="430" spans="1:24">
      <c r="A430" s="2" t="str">
        <f t="shared" si="40"/>
        <v>陷阱</v>
      </c>
      <c r="B430" s="2" t="str">
        <f>怪物并表!$R$14</f>
        <v>英雄之路</v>
      </c>
      <c r="C430" s="2">
        <v>90</v>
      </c>
      <c r="D430" s="28">
        <f t="shared" si="36"/>
        <v>1906</v>
      </c>
      <c r="E430" s="72">
        <f>VLOOKUP($C430,难度推算表,副本难度推算!$M$3,FALSE)*副本难度推算!$Y$5*Q430</f>
        <v>1585925.0218516975</v>
      </c>
      <c r="F430" s="72">
        <f>VLOOKUP($C430,难度推算表,副本难度推算!$P$3,FALSE)*副本难度推算!$Z$5*$R430+VLOOKUP($C430,难度推算表,副本难度推算!$H$3,FALSE)</f>
        <v>123275.91626017389</v>
      </c>
      <c r="G430" s="72">
        <f>VLOOKUP($C430,难度推算表,副本难度推算!$G$3,FALSE)-VLOOKUP($C430,难度推算表,副本难度推算!$I$3,FALSE)*(2-副本难度推算!$AA$5)*(2-$S430)</f>
        <v>16541.003213913049</v>
      </c>
      <c r="H430" s="72">
        <f>VLOOKUP($C430,难度推算表,副本难度推算!$M$3,FALSE)*副本难度推算!$Y$6*Q430</f>
        <v>1268740.017481358</v>
      </c>
      <c r="I430" s="72">
        <f>VLOOKUP($C430,难度推算表,副本难度推算!$P$3,FALSE)*副本难度推算!$Z$6*$R430+VLOOKUP($C430,难度推算表,副本难度推算!$H$3,FALSE)</f>
        <v>113493.09435937391</v>
      </c>
      <c r="J430" s="72">
        <f>VLOOKUP($C430,难度推算表,副本难度推算!$G$3,FALSE)-VLOOKUP($C430,难度推算表,副本难度推算!$I$3,FALSE)*(2-副本难度推算!$AA$6)*(2-$S430)</f>
        <v>8397.740093217406</v>
      </c>
      <c r="K430" s="72">
        <f>VLOOKUP($C430,难度推算表,副本难度推算!$M$3,FALSE)*副本难度推算!$Y$7*Q430</f>
        <v>3964812.5546292439</v>
      </c>
      <c r="L430" s="72">
        <f>VLOOKUP($C430,难度推算表,副本难度推算!$P$3,FALSE)*副本难度推算!$Z$7*$R430+VLOOKUP($C430,难度推算表,副本难度推算!$H$3,FALSE)</f>
        <v>142841.5600617739</v>
      </c>
      <c r="M430" s="72">
        <f>VLOOKUP($C430,难度推算表,副本难度推算!$G$3,FALSE)-VLOOKUP($C430,难度推算表,副本难度推算!$I$3,FALSE)*(2-副本难度推算!$AA$7)*(2-$S430)</f>
        <v>24684.266334608692</v>
      </c>
      <c r="N430" s="2">
        <f>VLOOKUP($C430,难度推算表,副本难度推算!$Q$3,FALSE)</f>
        <v>5582.12</v>
      </c>
      <c r="O430" s="2">
        <f>VLOOKUP($C430,难度推算表,副本难度推算!$R$3,FALSE)</f>
        <v>0</v>
      </c>
      <c r="Q430" s="140">
        <f t="shared" si="37"/>
        <v>0.88000000000000012</v>
      </c>
      <c r="R430" s="140">
        <f t="shared" si="38"/>
        <v>0.72000000000000008</v>
      </c>
      <c r="S430" s="140">
        <f t="shared" si="39"/>
        <v>0.72000000000000008</v>
      </c>
      <c r="V430" s="140"/>
      <c r="W430" s="140"/>
      <c r="X430" s="140"/>
    </row>
  </sheetData>
  <mergeCells count="1">
    <mergeCell ref="AB9:AD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8"/>
  <sheetViews>
    <sheetView workbookViewId="0">
      <selection activeCell="G21" sqref="G21"/>
    </sheetView>
  </sheetViews>
  <sheetFormatPr defaultRowHeight="13.5"/>
  <cols>
    <col min="3" max="3" width="9.5" bestFit="1" customWidth="1"/>
    <col min="4" max="4" width="5.5" bestFit="1" customWidth="1"/>
    <col min="5" max="5" width="13.875" bestFit="1" customWidth="1"/>
    <col min="6" max="6" width="9.5" bestFit="1" customWidth="1"/>
    <col min="7" max="7" width="80.75" bestFit="1" customWidth="1"/>
    <col min="8" max="8" width="255.75" bestFit="1" customWidth="1"/>
  </cols>
  <sheetData>
    <row r="1" spans="1:8">
      <c r="A1">
        <v>2000</v>
      </c>
    </row>
    <row r="2" spans="1:8">
      <c r="C2" s="14" t="s">
        <v>109</v>
      </c>
      <c r="D2" s="14" t="s">
        <v>110</v>
      </c>
      <c r="E2" s="14" t="s">
        <v>111</v>
      </c>
      <c r="F2" s="14" t="s">
        <v>112</v>
      </c>
      <c r="G2" s="14" t="s">
        <v>113</v>
      </c>
      <c r="H2" s="14" t="s">
        <v>114</v>
      </c>
    </row>
    <row r="3" spans="1:8">
      <c r="C3" t="s">
        <v>115</v>
      </c>
      <c r="D3">
        <v>1</v>
      </c>
      <c r="E3" t="s">
        <v>96</v>
      </c>
      <c r="F3" t="s">
        <v>116</v>
      </c>
      <c r="H3" t="s">
        <v>117</v>
      </c>
    </row>
    <row r="4" spans="1:8">
      <c r="D4">
        <v>2</v>
      </c>
      <c r="E4" t="s">
        <v>118</v>
      </c>
      <c r="F4" t="s">
        <v>119</v>
      </c>
    </row>
    <row r="5" spans="1:8">
      <c r="D5">
        <v>3</v>
      </c>
      <c r="E5" t="s">
        <v>120</v>
      </c>
      <c r="F5" t="s">
        <v>119</v>
      </c>
    </row>
    <row r="6" spans="1:8">
      <c r="D6">
        <v>4</v>
      </c>
      <c r="E6" t="s">
        <v>68</v>
      </c>
      <c r="F6" t="s">
        <v>116</v>
      </c>
    </row>
    <row r="7" spans="1:8">
      <c r="C7" t="s">
        <v>121</v>
      </c>
      <c r="D7">
        <v>5</v>
      </c>
      <c r="E7" t="s">
        <v>122</v>
      </c>
      <c r="F7" t="s">
        <v>116</v>
      </c>
    </row>
    <row r="8" spans="1:8">
      <c r="D8">
        <v>6</v>
      </c>
      <c r="E8" t="s">
        <v>123</v>
      </c>
      <c r="F8" t="s">
        <v>116</v>
      </c>
      <c r="G8" t="s">
        <v>124</v>
      </c>
    </row>
    <row r="9" spans="1:8">
      <c r="D9">
        <v>7</v>
      </c>
      <c r="E9" t="s">
        <v>125</v>
      </c>
      <c r="F9" t="s">
        <v>116</v>
      </c>
      <c r="H9" t="s">
        <v>126</v>
      </c>
    </row>
    <row r="10" spans="1:8">
      <c r="D10">
        <v>8</v>
      </c>
      <c r="E10" t="s">
        <v>127</v>
      </c>
      <c r="F10" t="s">
        <v>116</v>
      </c>
    </row>
    <row r="11" spans="1:8">
      <c r="D11">
        <v>9</v>
      </c>
      <c r="E11" t="s">
        <v>128</v>
      </c>
      <c r="F11" t="s">
        <v>119</v>
      </c>
    </row>
    <row r="12" spans="1:8">
      <c r="C12" t="s">
        <v>129</v>
      </c>
      <c r="D12">
        <v>10</v>
      </c>
      <c r="E12" t="s">
        <v>130</v>
      </c>
      <c r="F12" t="s">
        <v>131</v>
      </c>
      <c r="G12" t="s">
        <v>132</v>
      </c>
    </row>
    <row r="13" spans="1:8">
      <c r="D13">
        <v>11</v>
      </c>
      <c r="E13" t="s">
        <v>133</v>
      </c>
      <c r="F13" t="s">
        <v>131</v>
      </c>
      <c r="G13" t="s">
        <v>134</v>
      </c>
    </row>
    <row r="14" spans="1:8" ht="94.5">
      <c r="D14">
        <v>12</v>
      </c>
      <c r="E14" t="s">
        <v>135</v>
      </c>
      <c r="F14" t="s">
        <v>131</v>
      </c>
      <c r="G14" s="81" t="s">
        <v>566</v>
      </c>
    </row>
    <row r="15" spans="1:8">
      <c r="C15" t="s">
        <v>136</v>
      </c>
      <c r="D15">
        <v>13</v>
      </c>
      <c r="E15" t="s">
        <v>101</v>
      </c>
      <c r="F15" t="s">
        <v>116</v>
      </c>
    </row>
    <row r="16" spans="1:8">
      <c r="D16">
        <v>14</v>
      </c>
      <c r="E16" t="s">
        <v>137</v>
      </c>
      <c r="F16" t="s">
        <v>116</v>
      </c>
    </row>
    <row r="17" spans="3:8">
      <c r="D17">
        <v>15</v>
      </c>
      <c r="E17" t="s">
        <v>138</v>
      </c>
      <c r="F17" t="s">
        <v>119</v>
      </c>
      <c r="H17" t="s">
        <v>139</v>
      </c>
    </row>
    <row r="18" spans="3:8">
      <c r="D18">
        <v>16</v>
      </c>
      <c r="E18" t="s">
        <v>140</v>
      </c>
      <c r="F18" t="s">
        <v>116</v>
      </c>
      <c r="H18" t="s">
        <v>141</v>
      </c>
    </row>
    <row r="19" spans="3:8">
      <c r="D19">
        <v>17</v>
      </c>
      <c r="E19" t="s">
        <v>142</v>
      </c>
      <c r="F19" t="s">
        <v>131</v>
      </c>
      <c r="G19" t="s">
        <v>143</v>
      </c>
    </row>
    <row r="20" spans="3:8">
      <c r="D20">
        <v>18</v>
      </c>
      <c r="E20" t="s">
        <v>144</v>
      </c>
      <c r="F20" t="s">
        <v>116</v>
      </c>
    </row>
    <row r="21" spans="3:8">
      <c r="D21">
        <v>19</v>
      </c>
      <c r="E21" t="s">
        <v>145</v>
      </c>
      <c r="F21" t="s">
        <v>116</v>
      </c>
    </row>
    <row r="22" spans="3:8">
      <c r="D22">
        <v>20</v>
      </c>
      <c r="E22" t="s">
        <v>146</v>
      </c>
      <c r="F22" t="s">
        <v>116</v>
      </c>
    </row>
    <row r="23" spans="3:8">
      <c r="D23">
        <v>21</v>
      </c>
      <c r="E23" t="s">
        <v>147</v>
      </c>
      <c r="F23" t="s">
        <v>116</v>
      </c>
    </row>
    <row r="24" spans="3:8">
      <c r="D24">
        <v>22</v>
      </c>
      <c r="E24" t="s">
        <v>148</v>
      </c>
      <c r="F24" t="s">
        <v>116</v>
      </c>
      <c r="G24" t="s">
        <v>124</v>
      </c>
      <c r="H24" t="s">
        <v>149</v>
      </c>
    </row>
    <row r="25" spans="3:8">
      <c r="D25">
        <v>23</v>
      </c>
      <c r="E25" t="s">
        <v>150</v>
      </c>
      <c r="F25" t="s">
        <v>116</v>
      </c>
    </row>
    <row r="26" spans="3:8">
      <c r="D26">
        <v>24</v>
      </c>
      <c r="E26" t="s">
        <v>151</v>
      </c>
      <c r="F26" t="s">
        <v>116</v>
      </c>
    </row>
    <row r="27" spans="3:8">
      <c r="D27">
        <v>25</v>
      </c>
      <c r="E27" t="s">
        <v>152</v>
      </c>
      <c r="F27" t="s">
        <v>116</v>
      </c>
    </row>
    <row r="28" spans="3:8">
      <c r="D28">
        <v>26</v>
      </c>
      <c r="E28" t="s">
        <v>153</v>
      </c>
      <c r="F28" t="s">
        <v>116</v>
      </c>
    </row>
    <row r="29" spans="3:8">
      <c r="D29">
        <v>27</v>
      </c>
      <c r="E29" t="s">
        <v>154</v>
      </c>
      <c r="F29" t="s">
        <v>116</v>
      </c>
    </row>
    <row r="30" spans="3:8">
      <c r="C30" t="s">
        <v>155</v>
      </c>
      <c r="D30">
        <v>28</v>
      </c>
      <c r="E30" t="s">
        <v>156</v>
      </c>
      <c r="F30" t="s">
        <v>131</v>
      </c>
      <c r="G30" t="s">
        <v>157</v>
      </c>
      <c r="H30" t="s">
        <v>158</v>
      </c>
    </row>
    <row r="31" spans="3:8">
      <c r="D31">
        <v>29</v>
      </c>
      <c r="E31" t="s">
        <v>159</v>
      </c>
      <c r="F31" t="s">
        <v>116</v>
      </c>
      <c r="H31" t="s">
        <v>160</v>
      </c>
    </row>
    <row r="32" spans="3:8">
      <c r="D32">
        <v>30</v>
      </c>
      <c r="E32" t="s">
        <v>161</v>
      </c>
      <c r="F32" t="s">
        <v>116</v>
      </c>
      <c r="H32" t="s">
        <v>162</v>
      </c>
    </row>
    <row r="33" spans="3:8">
      <c r="D33">
        <v>31</v>
      </c>
      <c r="E33" t="s">
        <v>163</v>
      </c>
      <c r="F33" t="s">
        <v>119</v>
      </c>
      <c r="G33" t="s">
        <v>164</v>
      </c>
      <c r="H33" t="s">
        <v>165</v>
      </c>
    </row>
    <row r="34" spans="3:8">
      <c r="D34">
        <v>32</v>
      </c>
      <c r="E34" t="s">
        <v>166</v>
      </c>
      <c r="F34" t="s">
        <v>119</v>
      </c>
      <c r="G34" t="s">
        <v>164</v>
      </c>
      <c r="H34" t="s">
        <v>167</v>
      </c>
    </row>
    <row r="35" spans="3:8">
      <c r="D35">
        <v>33</v>
      </c>
      <c r="E35" t="s">
        <v>168</v>
      </c>
      <c r="F35" t="s">
        <v>131</v>
      </c>
      <c r="G35" t="s">
        <v>169</v>
      </c>
      <c r="H35" t="s">
        <v>170</v>
      </c>
    </row>
    <row r="36" spans="3:8">
      <c r="D36">
        <v>34</v>
      </c>
      <c r="E36" t="s">
        <v>171</v>
      </c>
      <c r="F36" t="s">
        <v>116</v>
      </c>
      <c r="H36" t="s">
        <v>172</v>
      </c>
    </row>
    <row r="37" spans="3:8">
      <c r="D37">
        <v>35</v>
      </c>
      <c r="E37" t="s">
        <v>173</v>
      </c>
      <c r="F37" t="s">
        <v>116</v>
      </c>
      <c r="G37" t="s">
        <v>174</v>
      </c>
      <c r="H37" t="s">
        <v>175</v>
      </c>
    </row>
    <row r="38" spans="3:8">
      <c r="D38">
        <v>36</v>
      </c>
      <c r="E38" t="s">
        <v>176</v>
      </c>
      <c r="F38" t="s">
        <v>116</v>
      </c>
      <c r="H38" t="s">
        <v>177</v>
      </c>
    </row>
    <row r="39" spans="3:8">
      <c r="C39" t="s">
        <v>178</v>
      </c>
      <c r="E39" t="s">
        <v>179</v>
      </c>
      <c r="F39" t="s">
        <v>116</v>
      </c>
      <c r="G39" t="s">
        <v>180</v>
      </c>
      <c r="H39" t="s">
        <v>181</v>
      </c>
    </row>
    <row r="40" spans="3:8">
      <c r="E40" t="s">
        <v>182</v>
      </c>
      <c r="F40" t="s">
        <v>131</v>
      </c>
      <c r="G40" t="s">
        <v>169</v>
      </c>
      <c r="H40" t="s">
        <v>183</v>
      </c>
    </row>
    <row r="41" spans="3:8">
      <c r="E41" t="s">
        <v>184</v>
      </c>
      <c r="F41" t="s">
        <v>116</v>
      </c>
      <c r="H41" t="s">
        <v>185</v>
      </c>
    </row>
    <row r="42" spans="3:8">
      <c r="E42" t="s">
        <v>186</v>
      </c>
      <c r="F42" t="s">
        <v>119</v>
      </c>
      <c r="G42" t="s">
        <v>187</v>
      </c>
      <c r="H42" t="s">
        <v>188</v>
      </c>
    </row>
    <row r="43" spans="3:8">
      <c r="E43" t="s">
        <v>189</v>
      </c>
      <c r="F43" t="s">
        <v>116</v>
      </c>
      <c r="H43" t="s">
        <v>190</v>
      </c>
    </row>
    <row r="44" spans="3:8">
      <c r="E44" t="s">
        <v>191</v>
      </c>
      <c r="F44" t="s">
        <v>116</v>
      </c>
      <c r="H44" t="s">
        <v>192</v>
      </c>
    </row>
    <row r="45" spans="3:8">
      <c r="E45" t="s">
        <v>193</v>
      </c>
      <c r="F45" t="s">
        <v>116</v>
      </c>
      <c r="H45" t="s">
        <v>194</v>
      </c>
    </row>
    <row r="46" spans="3:8">
      <c r="E46" t="s">
        <v>195</v>
      </c>
      <c r="F46" t="s">
        <v>116</v>
      </c>
      <c r="H46" t="s">
        <v>196</v>
      </c>
    </row>
    <row r="47" spans="3:8">
      <c r="E47" t="s">
        <v>197</v>
      </c>
      <c r="F47" t="s">
        <v>116</v>
      </c>
      <c r="H47" t="s">
        <v>198</v>
      </c>
    </row>
    <row r="48" spans="3:8">
      <c r="E48" t="s">
        <v>199</v>
      </c>
      <c r="F48" t="s">
        <v>116</v>
      </c>
    </row>
    <row r="49" spans="5:8">
      <c r="E49" t="s">
        <v>200</v>
      </c>
      <c r="F49" t="s">
        <v>116</v>
      </c>
    </row>
    <row r="50" spans="5:8">
      <c r="E50" t="s">
        <v>201</v>
      </c>
      <c r="F50" t="s">
        <v>119</v>
      </c>
      <c r="G50" t="s">
        <v>202</v>
      </c>
      <c r="H50" t="s">
        <v>203</v>
      </c>
    </row>
    <row r="78" spans="5:7">
      <c r="E78" t="s">
        <v>366</v>
      </c>
      <c r="G78">
        <f>1500/80</f>
        <v>18.75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Y111"/>
  <sheetViews>
    <sheetView topLeftCell="A65" zoomScaleNormal="100" workbookViewId="0">
      <selection activeCell="G88" sqref="G88"/>
    </sheetView>
  </sheetViews>
  <sheetFormatPr defaultRowHeight="13.5"/>
  <cols>
    <col min="2" max="2" width="25.125" customWidth="1"/>
  </cols>
  <sheetData>
    <row r="2" spans="2:25" ht="14.25" thickBot="1">
      <c r="C2" s="147" t="s">
        <v>61</v>
      </c>
      <c r="D2" s="147"/>
      <c r="E2" s="147"/>
      <c r="F2" s="147"/>
      <c r="G2" s="147"/>
      <c r="H2" s="147"/>
      <c r="J2" s="148" t="s">
        <v>62</v>
      </c>
      <c r="K2" s="148"/>
      <c r="L2" s="148"/>
      <c r="M2" s="148"/>
      <c r="N2" s="148"/>
      <c r="O2" s="148"/>
      <c r="P2" s="148"/>
    </row>
    <row r="3" spans="2:25">
      <c r="B3" s="2"/>
      <c r="C3" s="9"/>
      <c r="D3" s="9"/>
      <c r="E3" s="144" t="s">
        <v>0</v>
      </c>
      <c r="F3" s="145"/>
      <c r="G3" s="146"/>
      <c r="H3" s="1" t="s">
        <v>59</v>
      </c>
    </row>
    <row r="4" spans="2:25">
      <c r="B4" s="2" t="s">
        <v>60</v>
      </c>
      <c r="C4" s="10" t="s">
        <v>1</v>
      </c>
      <c r="D4" s="10" t="s">
        <v>58</v>
      </c>
      <c r="E4" s="2" t="s">
        <v>2</v>
      </c>
      <c r="F4" s="2" t="s">
        <v>3</v>
      </c>
      <c r="G4" s="2" t="s">
        <v>4</v>
      </c>
      <c r="H4" s="2" t="s">
        <v>5</v>
      </c>
      <c r="J4" s="2" t="s">
        <v>60</v>
      </c>
      <c r="K4" s="10" t="s">
        <v>1</v>
      </c>
      <c r="L4" s="10" t="s">
        <v>58</v>
      </c>
      <c r="M4" s="2" t="s">
        <v>2</v>
      </c>
      <c r="N4" s="2" t="s">
        <v>3</v>
      </c>
      <c r="O4" s="2" t="s">
        <v>4</v>
      </c>
      <c r="P4" s="2" t="s">
        <v>5</v>
      </c>
    </row>
    <row r="5" spans="2:25">
      <c r="B5" s="2">
        <v>1</v>
      </c>
      <c r="C5" s="10">
        <v>1010</v>
      </c>
      <c r="D5" s="11"/>
      <c r="E5" s="2"/>
      <c r="F5" s="2"/>
      <c r="G5" s="2"/>
      <c r="H5" s="2"/>
      <c r="J5" s="2">
        <f>IFERROR(VLOOKUP(K5,CHOOSE({1,2},[4]副本规划!$N$6:$N$89,'[4]装备&amp;装备材料的投放'!$E$10:$E$93),2,FALSE),J4)</f>
        <v>13</v>
      </c>
      <c r="K5" s="2">
        <v>1201</v>
      </c>
      <c r="L5" s="12"/>
      <c r="M5" s="2"/>
      <c r="N5" s="2"/>
      <c r="O5" s="2"/>
      <c r="P5" s="2"/>
    </row>
    <row r="6" spans="2:25">
      <c r="B6" s="2">
        <f>IFERROR(VLOOKUP(C6,CHOOSE({1,2},[4]副本规划!$M$6:$M$85,'[4]装备&amp;装备材料的投放'!$E$10:$E$89),2,FALSE),B5)</f>
        <v>2</v>
      </c>
      <c r="C6" s="10">
        <v>1001</v>
      </c>
      <c r="D6" s="11"/>
      <c r="E6" s="3" t="s">
        <v>6</v>
      </c>
      <c r="F6" s="3" t="s">
        <v>7</v>
      </c>
      <c r="G6" s="3"/>
      <c r="H6" s="3" t="s">
        <v>8</v>
      </c>
      <c r="J6" s="2">
        <f>IFERROR(VLOOKUP(K6,CHOOSE({1,2},[4]副本规划!$N$6:$N$89,'[4]装备&amp;装备材料的投放'!$E$10:$E$93),2,FALSE),J5)</f>
        <v>14</v>
      </c>
      <c r="K6" s="2">
        <v>1202</v>
      </c>
      <c r="L6" s="12"/>
      <c r="M6" s="2"/>
      <c r="N6" s="2"/>
      <c r="O6" s="2"/>
      <c r="P6" s="2"/>
    </row>
    <row r="7" spans="2:25">
      <c r="B7" s="2">
        <f>IFERROR(VLOOKUP(C7,CHOOSE({1,2},[4]副本规划!$M$6:$M$85,'[4]装备&amp;装备材料的投放'!$E$10:$E$89),2,FALSE),B6)</f>
        <v>3</v>
      </c>
      <c r="C7" s="10">
        <v>1002</v>
      </c>
      <c r="D7" s="11"/>
      <c r="E7" s="3" t="s">
        <v>9</v>
      </c>
      <c r="F7" s="3" t="s">
        <v>10</v>
      </c>
      <c r="G7" s="3"/>
      <c r="H7" s="3" t="s">
        <v>11</v>
      </c>
      <c r="J7" s="2">
        <f>IFERROR(VLOOKUP(K7,CHOOSE({1,2},[4]副本规划!$N$6:$N$89,'[4]装备&amp;装备材料的投放'!$E$10:$E$93),2,FALSE),J6)</f>
        <v>15</v>
      </c>
      <c r="K7" s="2">
        <v>1203</v>
      </c>
      <c r="L7" s="12"/>
      <c r="M7" s="2"/>
      <c r="N7" s="2"/>
      <c r="O7" s="2"/>
      <c r="P7" s="2"/>
    </row>
    <row r="8" spans="2:25">
      <c r="B8" s="2">
        <f>IFERROR(VLOOKUP(C8,CHOOSE({1,2},[4]副本规划!$M$6:$M$85,'[4]装备&amp;装备材料的投放'!$E$10:$E$89),2,FALSE),B7)</f>
        <v>4</v>
      </c>
      <c r="C8" s="10">
        <v>1003</v>
      </c>
      <c r="D8" s="11"/>
      <c r="E8" s="3" t="s">
        <v>6</v>
      </c>
      <c r="F8" s="3" t="s">
        <v>9</v>
      </c>
      <c r="G8" s="3"/>
      <c r="H8" s="3" t="s">
        <v>12</v>
      </c>
      <c r="J8" s="2">
        <f>IFERROR(VLOOKUP(K8,CHOOSE({1,2},[4]副本规划!$N$6:$N$89,'[4]装备&amp;装备材料的投放'!$E$10:$E$93),2,FALSE),J7)</f>
        <v>16</v>
      </c>
      <c r="K8" s="2">
        <v>1204</v>
      </c>
      <c r="L8" s="12"/>
      <c r="M8" s="2"/>
      <c r="N8" s="2"/>
      <c r="O8" s="2"/>
      <c r="P8" s="2"/>
      <c r="R8" t="s">
        <v>57</v>
      </c>
      <c r="S8" t="s">
        <v>29</v>
      </c>
      <c r="T8" t="s">
        <v>30</v>
      </c>
      <c r="W8" t="s">
        <v>31</v>
      </c>
    </row>
    <row r="9" spans="2:25">
      <c r="B9" s="2">
        <f>IFERROR(VLOOKUP(C9,CHOOSE({1,2},[4]副本规划!$M$6:$M$85,'[4]装备&amp;装备材料的投放'!$E$10:$E$89),2,FALSE),B8)</f>
        <v>5</v>
      </c>
      <c r="C9" s="10">
        <v>1004</v>
      </c>
      <c r="D9" s="11"/>
      <c r="E9" s="3" t="s">
        <v>13</v>
      </c>
      <c r="F9" s="3" t="s">
        <v>10</v>
      </c>
      <c r="G9" s="3"/>
      <c r="H9" s="3" t="s">
        <v>14</v>
      </c>
      <c r="J9" s="2">
        <f>IFERROR(VLOOKUP(K9,CHOOSE({1,2},[4]副本规划!$N$6:$N$89,'[4]装备&amp;装备材料的投放'!$E$10:$E$93),2,FALSE),J8)</f>
        <v>17</v>
      </c>
      <c r="K9" s="2">
        <v>1205</v>
      </c>
      <c r="L9" s="12"/>
      <c r="M9" s="2"/>
      <c r="N9" s="2"/>
      <c r="O9" s="2"/>
      <c r="P9" s="2"/>
      <c r="R9" s="2">
        <v>1</v>
      </c>
      <c r="S9" s="8" t="s">
        <v>32</v>
      </c>
      <c r="T9">
        <f t="shared" ref="T9:T32" si="0">COUNTIF($E$6:$H$56,S9)</f>
        <v>11</v>
      </c>
      <c r="W9" s="4" t="s">
        <v>8</v>
      </c>
      <c r="X9" s="5"/>
      <c r="Y9" t="s">
        <v>33</v>
      </c>
    </row>
    <row r="10" spans="2:25">
      <c r="B10" s="2">
        <f>IFERROR(VLOOKUP(C10,CHOOSE({1,2},[4]副本规划!$M$6:$M$85,'[4]装备&amp;装备材料的投放'!$E$10:$E$89),2,FALSE),B9)</f>
        <v>6</v>
      </c>
      <c r="C10" s="10">
        <v>1005</v>
      </c>
      <c r="D10" s="11"/>
      <c r="E10" s="3" t="s">
        <v>7</v>
      </c>
      <c r="F10" s="3" t="s">
        <v>6</v>
      </c>
      <c r="G10" s="3"/>
      <c r="H10" s="3" t="s">
        <v>15</v>
      </c>
      <c r="J10" s="2">
        <f>IFERROR(VLOOKUP(K10,CHOOSE({1,2},[4]副本规划!$N$6:$N$89,'[4]装备&amp;装备材料的投放'!$E$10:$E$93),2,FALSE),J9)</f>
        <v>18</v>
      </c>
      <c r="K10" s="2">
        <v>1206</v>
      </c>
      <c r="L10" s="12"/>
      <c r="M10" s="2"/>
      <c r="N10" s="2"/>
      <c r="O10" s="2"/>
      <c r="P10" s="2"/>
      <c r="R10" s="2">
        <v>2</v>
      </c>
      <c r="S10" s="8" t="s">
        <v>34</v>
      </c>
      <c r="T10">
        <f t="shared" si="0"/>
        <v>11</v>
      </c>
      <c r="W10" s="5" t="s">
        <v>14</v>
      </c>
      <c r="X10" s="4"/>
      <c r="Y10" t="s">
        <v>35</v>
      </c>
    </row>
    <row r="11" spans="2:25">
      <c r="B11" s="2">
        <f>IFERROR(VLOOKUP(C11,CHOOSE({1,2},[4]副本规划!$M$6:$M$85,'[4]装备&amp;装备材料的投放'!$E$10:$E$89),2,FALSE),B10)</f>
        <v>7</v>
      </c>
      <c r="C11" s="10">
        <v>1006</v>
      </c>
      <c r="D11" s="11"/>
      <c r="E11" s="3" t="s">
        <v>13</v>
      </c>
      <c r="F11" s="3" t="s">
        <v>10</v>
      </c>
      <c r="G11" s="3"/>
      <c r="H11" s="3" t="s">
        <v>8</v>
      </c>
      <c r="J11" s="2">
        <f>IFERROR(VLOOKUP(K11,CHOOSE({1,2},[4]副本规划!$N$6:$N$89,'[4]装备&amp;装备材料的投放'!$E$10:$E$93),2,FALSE),J10)</f>
        <v>19</v>
      </c>
      <c r="K11" s="2">
        <v>1207</v>
      </c>
      <c r="R11" s="2">
        <v>3</v>
      </c>
      <c r="S11" s="8" t="s">
        <v>36</v>
      </c>
      <c r="T11">
        <f t="shared" si="0"/>
        <v>11</v>
      </c>
      <c r="W11" s="5" t="s">
        <v>15</v>
      </c>
    </row>
    <row r="12" spans="2:25">
      <c r="B12" s="2">
        <f>IFERROR(VLOOKUP(C12,CHOOSE({1,2},[4]副本规划!$M$6:$M$85,'[4]装备&amp;装备材料的投放'!$E$10:$E$89),2,FALSE),B11)</f>
        <v>8</v>
      </c>
      <c r="C12" s="10">
        <v>1007</v>
      </c>
      <c r="J12" s="2">
        <f>IFERROR(VLOOKUP(K12,CHOOSE({1,2},[4]副本规划!$N$6:$N$89,'[4]装备&amp;装备材料的投放'!$E$10:$E$93),2,FALSE),J11)</f>
        <v>20</v>
      </c>
      <c r="K12" s="2">
        <v>1208</v>
      </c>
      <c r="R12" s="2">
        <v>4</v>
      </c>
      <c r="S12" s="8" t="s">
        <v>37</v>
      </c>
      <c r="T12">
        <f t="shared" si="0"/>
        <v>10</v>
      </c>
      <c r="W12" s="5" t="s">
        <v>18</v>
      </c>
    </row>
    <row r="13" spans="2:25">
      <c r="B13" s="2">
        <f>IFERROR(VLOOKUP(C13,CHOOSE({1,2},[4]副本规划!$M$6:$M$85,'[4]装备&amp;装备材料的投放'!$E$10:$E$89),2,FALSE),B12)</f>
        <v>9</v>
      </c>
      <c r="C13" s="10">
        <v>1008</v>
      </c>
      <c r="J13" s="2">
        <f>IFERROR(VLOOKUP(K13,CHOOSE({1,2},[4]副本规划!$N$6:$N$89,'[4]装备&amp;装备材料的投放'!$E$10:$E$93),2,FALSE),J12)</f>
        <v>21</v>
      </c>
      <c r="K13" s="2">
        <v>1209</v>
      </c>
      <c r="R13" s="2">
        <v>5</v>
      </c>
      <c r="S13" s="8" t="s">
        <v>38</v>
      </c>
      <c r="T13">
        <f t="shared" si="0"/>
        <v>10</v>
      </c>
      <c r="W13" s="5" t="s">
        <v>7</v>
      </c>
    </row>
    <row r="14" spans="2:25">
      <c r="B14" s="2">
        <f>IFERROR(VLOOKUP(C14,CHOOSE({1,2},[4]副本规划!$M$6:$M$85,'[4]装备&amp;装备材料的投放'!$E$10:$E$89),2,FALSE),B13)</f>
        <v>10</v>
      </c>
      <c r="C14" s="10">
        <v>1009</v>
      </c>
      <c r="J14" s="2">
        <f>IFERROR(VLOOKUP(K14,CHOOSE({1,2},[4]副本规划!$N$6:$N$89,'[4]装备&amp;装备材料的投放'!$E$10:$E$93),2,FALSE),J13)</f>
        <v>22</v>
      </c>
      <c r="K14" s="2">
        <v>2201</v>
      </c>
      <c r="L14" s="12"/>
      <c r="M14" s="2"/>
      <c r="N14" s="2"/>
      <c r="O14" s="2"/>
      <c r="P14" s="2"/>
      <c r="R14" s="2">
        <v>6</v>
      </c>
      <c r="S14" s="8" t="s">
        <v>39</v>
      </c>
      <c r="T14">
        <f t="shared" si="0"/>
        <v>6</v>
      </c>
      <c r="W14" s="4" t="s">
        <v>19</v>
      </c>
    </row>
    <row r="15" spans="2:25">
      <c r="B15" s="2">
        <f>IFERROR(VLOOKUP(C15,CHOOSE({1,2},[4]副本规划!$M$6:$M$85,'[4]装备&amp;装备材料的投放'!$E$10:$E$89),2,FALSE),B14)</f>
        <v>11</v>
      </c>
      <c r="C15" s="10">
        <v>2001</v>
      </c>
      <c r="D15" s="11"/>
      <c r="E15" s="3" t="s">
        <v>6</v>
      </c>
      <c r="F15" s="3" t="s">
        <v>7</v>
      </c>
      <c r="G15" s="3" t="s">
        <v>14</v>
      </c>
      <c r="H15" s="3" t="s">
        <v>12</v>
      </c>
      <c r="J15" s="2">
        <f>IFERROR(VLOOKUP(K15,CHOOSE({1,2},[4]副本规划!$N$6:$N$89,'[4]装备&amp;装备材料的投放'!$E$10:$E$93),2,FALSE),J14)</f>
        <v>23</v>
      </c>
      <c r="K15" s="2">
        <v>2202</v>
      </c>
      <c r="L15" s="12"/>
      <c r="M15" s="2"/>
      <c r="N15" s="2"/>
      <c r="O15" s="2"/>
      <c r="P15" s="2"/>
      <c r="R15" s="2">
        <v>7</v>
      </c>
      <c r="S15" s="8" t="s">
        <v>40</v>
      </c>
      <c r="T15">
        <f t="shared" si="0"/>
        <v>9</v>
      </c>
      <c r="W15" s="4" t="s">
        <v>20</v>
      </c>
    </row>
    <row r="16" spans="2:25">
      <c r="B16" s="2">
        <f>IFERROR(VLOOKUP(C16,CHOOSE({1,2},[4]副本规划!$M$6:$M$85,'[4]装备&amp;装备材料的投放'!$E$10:$E$89),2,FALSE),B15)</f>
        <v>12</v>
      </c>
      <c r="C16" s="10">
        <v>2002</v>
      </c>
      <c r="D16" s="11"/>
      <c r="E16" s="3" t="s">
        <v>9</v>
      </c>
      <c r="F16" s="3" t="s">
        <v>10</v>
      </c>
      <c r="G16" s="3" t="s">
        <v>11</v>
      </c>
      <c r="H16" s="3"/>
      <c r="J16" s="2">
        <f>IFERROR(VLOOKUP(K16,CHOOSE({1,2},[4]副本规划!$N$6:$N$89,'[4]装备&amp;装备材料的投放'!$E$10:$E$93),2,FALSE),J15)</f>
        <v>24</v>
      </c>
      <c r="K16" s="2">
        <v>2203</v>
      </c>
      <c r="L16" s="12"/>
      <c r="M16" s="2"/>
      <c r="N16" s="2"/>
      <c r="O16" s="2"/>
      <c r="P16" s="2"/>
      <c r="R16" s="2">
        <v>8</v>
      </c>
      <c r="S16" s="8" t="s">
        <v>41</v>
      </c>
      <c r="T16">
        <f t="shared" si="0"/>
        <v>9</v>
      </c>
      <c r="W16" s="4" t="s">
        <v>21</v>
      </c>
    </row>
    <row r="17" spans="2:23">
      <c r="B17" s="2">
        <f>IFERROR(VLOOKUP(C17,CHOOSE({1,2},[4]副本规划!$M$6:$M$85,'[4]装备&amp;装备材料的投放'!$E$10:$E$89),2,FALSE),B16)</f>
        <v>13</v>
      </c>
      <c r="C17" s="10">
        <v>2003</v>
      </c>
      <c r="D17" s="11"/>
      <c r="E17" s="3" t="s">
        <v>17</v>
      </c>
      <c r="F17" s="3" t="s">
        <v>6</v>
      </c>
      <c r="G17" s="3" t="s">
        <v>9</v>
      </c>
      <c r="H17" s="3" t="s">
        <v>14</v>
      </c>
      <c r="J17" s="2">
        <f>IFERROR(VLOOKUP(K17,CHOOSE({1,2},[4]副本规划!$N$6:$N$89,'[4]装备&amp;装备材料的投放'!$E$10:$E$93),2,FALSE),J16)</f>
        <v>25</v>
      </c>
      <c r="K17" s="2">
        <v>2204</v>
      </c>
      <c r="L17" s="12"/>
      <c r="M17" s="2"/>
      <c r="N17" s="2"/>
      <c r="O17" s="2"/>
      <c r="P17" s="2"/>
      <c r="R17" s="2">
        <v>9</v>
      </c>
      <c r="S17" s="8" t="s">
        <v>42</v>
      </c>
      <c r="T17">
        <f t="shared" si="0"/>
        <v>10</v>
      </c>
      <c r="W17" s="4" t="s">
        <v>26</v>
      </c>
    </row>
    <row r="18" spans="2:23">
      <c r="B18" s="2">
        <f>IFERROR(VLOOKUP(C18,CHOOSE({1,2},[4]副本规划!$M$6:$M$85,'[4]装备&amp;装备材料的投放'!$E$10:$E$89),2,FALSE),B17)</f>
        <v>14</v>
      </c>
      <c r="C18" s="10">
        <v>2004</v>
      </c>
      <c r="D18" s="11"/>
      <c r="E18" s="3" t="s">
        <v>10</v>
      </c>
      <c r="F18" s="3" t="s">
        <v>12</v>
      </c>
      <c r="G18" s="3" t="s">
        <v>13</v>
      </c>
      <c r="H18" s="3" t="s">
        <v>18</v>
      </c>
      <c r="J18" s="2">
        <f>IFERROR(VLOOKUP(K18,CHOOSE({1,2},[4]副本规划!$N$6:$N$89,'[4]装备&amp;装备材料的投放'!$E$10:$E$93),2,FALSE),J17)</f>
        <v>26</v>
      </c>
      <c r="K18" s="2">
        <v>2205</v>
      </c>
      <c r="L18" s="12"/>
      <c r="M18" s="2"/>
      <c r="N18" s="2"/>
      <c r="O18" s="2"/>
      <c r="P18" s="2"/>
      <c r="R18" s="2">
        <v>10</v>
      </c>
      <c r="S18" s="8" t="s">
        <v>43</v>
      </c>
      <c r="T18">
        <f t="shared" si="0"/>
        <v>11</v>
      </c>
      <c r="W18" s="5" t="s">
        <v>22</v>
      </c>
    </row>
    <row r="19" spans="2:23">
      <c r="B19" s="2">
        <f>IFERROR(VLOOKUP(C19,CHOOSE({1,2},[4]副本规划!$M$6:$M$85,'[4]装备&amp;装备材料的投放'!$E$10:$E$89),2,FALSE),B18)</f>
        <v>15</v>
      </c>
      <c r="C19" s="10">
        <v>2005</v>
      </c>
      <c r="D19" s="11"/>
      <c r="E19" s="3" t="s">
        <v>15</v>
      </c>
      <c r="F19" s="3" t="s">
        <v>14</v>
      </c>
      <c r="G19" s="3" t="s">
        <v>9</v>
      </c>
      <c r="H19" s="3" t="s">
        <v>7</v>
      </c>
      <c r="J19" s="2">
        <f>IFERROR(VLOOKUP(K19,CHOOSE({1,2},[4]副本规划!$N$6:$N$89,'[4]装备&amp;装备材料的投放'!$E$10:$E$93),2,FALSE),J18)</f>
        <v>27</v>
      </c>
      <c r="K19" s="2">
        <v>2206</v>
      </c>
      <c r="L19" s="12"/>
      <c r="M19" s="2"/>
      <c r="N19" s="2"/>
      <c r="O19" s="2"/>
      <c r="P19" s="2"/>
      <c r="R19" s="2">
        <v>11</v>
      </c>
      <c r="S19" s="8" t="s">
        <v>44</v>
      </c>
      <c r="T19">
        <f t="shared" si="0"/>
        <v>3</v>
      </c>
      <c r="W19" s="5" t="s">
        <v>25</v>
      </c>
    </row>
    <row r="20" spans="2:23">
      <c r="B20" s="2">
        <f>IFERROR(VLOOKUP(C20,CHOOSE({1,2},[4]副本规划!$M$6:$M$85,'[4]装备&amp;装备材料的投放'!$E$10:$E$89),2,FALSE),B19)</f>
        <v>16</v>
      </c>
      <c r="C20" s="10">
        <v>2006</v>
      </c>
      <c r="D20" s="11"/>
      <c r="E20" s="3" t="s">
        <v>12</v>
      </c>
      <c r="F20" s="3" t="s">
        <v>6</v>
      </c>
      <c r="G20" s="3" t="s">
        <v>10</v>
      </c>
      <c r="H20" s="3" t="s">
        <v>19</v>
      </c>
      <c r="J20" s="2">
        <f>IFERROR(VLOOKUP(K20,CHOOSE({1,2},[4]副本规划!$N$6:$N$89,'[4]装备&amp;装备材料的投放'!$E$10:$E$93),2,FALSE),J19)</f>
        <v>28</v>
      </c>
      <c r="K20" s="2">
        <v>2207</v>
      </c>
      <c r="R20" s="2">
        <v>12</v>
      </c>
      <c r="S20" s="8" t="s">
        <v>45</v>
      </c>
      <c r="T20">
        <f t="shared" si="0"/>
        <v>4</v>
      </c>
      <c r="W20" s="4" t="s">
        <v>28</v>
      </c>
    </row>
    <row r="21" spans="2:23">
      <c r="B21" s="2">
        <f>IFERROR(VLOOKUP(C21,CHOOSE({1,2},[4]副本规划!$M$6:$M$85,'[4]装备&amp;装备材料的投放'!$E$10:$E$89),2,FALSE),B20)</f>
        <v>17</v>
      </c>
      <c r="C21" s="10">
        <v>2007</v>
      </c>
      <c r="J21" s="2">
        <f>IFERROR(VLOOKUP(K21,CHOOSE({1,2},[4]副本规划!$N$6:$N$89,'[4]装备&amp;装备材料的投放'!$E$10:$E$93),2,FALSE),J20)</f>
        <v>29</v>
      </c>
      <c r="K21" s="2">
        <v>2208</v>
      </c>
      <c r="R21" s="2">
        <v>13</v>
      </c>
      <c r="S21" s="8" t="s">
        <v>46</v>
      </c>
      <c r="T21">
        <f t="shared" si="0"/>
        <v>9</v>
      </c>
      <c r="W21" s="6" t="s">
        <v>42</v>
      </c>
    </row>
    <row r="22" spans="2:23">
      <c r="B22" s="2">
        <f>IFERROR(VLOOKUP(C22,CHOOSE({1,2},[4]副本规划!$M$6:$M$85,'[4]装备&amp;装备材料的投放'!$E$10:$E$89),2,FALSE),B21)</f>
        <v>18</v>
      </c>
      <c r="C22" s="10">
        <v>2008</v>
      </c>
      <c r="J22" s="2">
        <f>IFERROR(VLOOKUP(K22,CHOOSE({1,2},[4]副本规划!$N$6:$N$89,'[4]装备&amp;装备材料的投放'!$E$10:$E$93),2,FALSE),J21)</f>
        <v>30</v>
      </c>
      <c r="K22" s="2">
        <v>2209</v>
      </c>
      <c r="R22" s="2">
        <v>14</v>
      </c>
      <c r="S22" s="8" t="s">
        <v>47</v>
      </c>
      <c r="T22">
        <f t="shared" si="0"/>
        <v>4</v>
      </c>
      <c r="W22" s="7" t="s">
        <v>46</v>
      </c>
    </row>
    <row r="23" spans="2:23">
      <c r="B23" s="2">
        <f>IFERROR(VLOOKUP(C23,CHOOSE({1,2},[4]副本规划!$M$6:$M$85,'[4]装备&amp;装备材料的投放'!$E$10:$E$89),2,FALSE),B22)</f>
        <v>19</v>
      </c>
      <c r="C23" s="10">
        <v>2009</v>
      </c>
      <c r="J23" s="2">
        <f>IFERROR(VLOOKUP(K23,CHOOSE({1,2},[4]副本规划!$N$6:$N$89,'[4]装备&amp;装备材料的投放'!$E$10:$E$93),2,FALSE),J22)</f>
        <v>31</v>
      </c>
      <c r="K23" s="2">
        <v>3201</v>
      </c>
      <c r="L23" s="12"/>
      <c r="M23" s="2"/>
      <c r="N23" s="2"/>
      <c r="O23" s="2"/>
      <c r="P23" s="2"/>
      <c r="R23" s="2">
        <v>15</v>
      </c>
      <c r="S23" s="8" t="s">
        <v>48</v>
      </c>
      <c r="T23">
        <f t="shared" si="0"/>
        <v>3</v>
      </c>
      <c r="W23" s="7" t="s">
        <v>47</v>
      </c>
    </row>
    <row r="24" spans="2:23">
      <c r="B24" s="2">
        <f>IFERROR(VLOOKUP(C24,CHOOSE({1,2},[4]副本规划!$M$6:$M$85,'[4]装备&amp;装备材料的投放'!$E$10:$E$89),2,FALSE),B23)</f>
        <v>20</v>
      </c>
      <c r="C24" s="10">
        <v>3001</v>
      </c>
      <c r="D24" s="11"/>
      <c r="E24" s="3" t="s">
        <v>17</v>
      </c>
      <c r="F24" s="3" t="s">
        <v>15</v>
      </c>
      <c r="G24" s="3" t="s">
        <v>9</v>
      </c>
      <c r="H24" s="3" t="s">
        <v>11</v>
      </c>
      <c r="J24" s="2">
        <f>IFERROR(VLOOKUP(K24,CHOOSE({1,2},[4]副本规划!$N$6:$N$89,'[4]装备&amp;装备材料的投放'!$E$10:$E$93),2,FALSE),J23)</f>
        <v>32</v>
      </c>
      <c r="K24" s="2">
        <v>3202</v>
      </c>
      <c r="L24" s="12"/>
      <c r="M24" s="2"/>
      <c r="N24" s="2"/>
      <c r="O24" s="2"/>
      <c r="P24" s="2"/>
      <c r="R24" s="2">
        <v>16</v>
      </c>
      <c r="S24" s="8" t="s">
        <v>16</v>
      </c>
      <c r="T24">
        <f t="shared" si="0"/>
        <v>4</v>
      </c>
    </row>
    <row r="25" spans="2:23">
      <c r="B25" s="2">
        <f>IFERROR(VLOOKUP(C25,CHOOSE({1,2},[4]副本规划!$M$6:$M$85,'[4]装备&amp;装备材料的投放'!$E$10:$E$89),2,FALSE),B24)</f>
        <v>21</v>
      </c>
      <c r="C25" s="10">
        <v>3002</v>
      </c>
      <c r="D25" s="11"/>
      <c r="E25" s="3" t="s">
        <v>13</v>
      </c>
      <c r="F25" s="3" t="s">
        <v>7</v>
      </c>
      <c r="G25" s="3" t="s">
        <v>6</v>
      </c>
      <c r="H25" s="3" t="s">
        <v>18</v>
      </c>
      <c r="J25" s="2">
        <f>IFERROR(VLOOKUP(K25,CHOOSE({1,2},[4]副本规划!$N$6:$N$89,'[4]装备&amp;装备材料的投放'!$E$10:$E$93),2,FALSE),J24)</f>
        <v>33</v>
      </c>
      <c r="K25" s="2">
        <v>3203</v>
      </c>
      <c r="L25" s="12"/>
      <c r="M25" s="2"/>
      <c r="N25" s="2"/>
      <c r="O25" s="2"/>
      <c r="P25" s="2"/>
      <c r="R25" s="2">
        <v>17</v>
      </c>
      <c r="S25" s="8" t="s">
        <v>49</v>
      </c>
      <c r="T25">
        <f t="shared" si="0"/>
        <v>3</v>
      </c>
    </row>
    <row r="26" spans="2:23">
      <c r="B26" s="2">
        <f>IFERROR(VLOOKUP(C26,CHOOSE({1,2},[4]副本规划!$M$6:$M$85,'[4]装备&amp;装备材料的投放'!$E$10:$E$89),2,FALSE),B25)</f>
        <v>22</v>
      </c>
      <c r="C26" s="10">
        <v>3003</v>
      </c>
      <c r="D26" s="11"/>
      <c r="E26" s="3" t="s">
        <v>14</v>
      </c>
      <c r="F26" s="3" t="s">
        <v>9</v>
      </c>
      <c r="G26" s="3" t="s">
        <v>17</v>
      </c>
      <c r="H26" s="3" t="s">
        <v>15</v>
      </c>
      <c r="J26" s="2">
        <f>IFERROR(VLOOKUP(K26,CHOOSE({1,2},[4]副本规划!$N$6:$N$89,'[4]装备&amp;装备材料的投放'!$E$10:$E$93),2,FALSE),J25)</f>
        <v>34</v>
      </c>
      <c r="K26" s="2">
        <v>3204</v>
      </c>
      <c r="L26" s="12"/>
      <c r="M26" s="2"/>
      <c r="N26" s="2"/>
      <c r="O26" s="2"/>
      <c r="P26" s="2"/>
      <c r="R26" s="2">
        <v>18</v>
      </c>
      <c r="S26" s="8" t="s">
        <v>50</v>
      </c>
      <c r="T26">
        <f t="shared" si="0"/>
        <v>2</v>
      </c>
    </row>
    <row r="27" spans="2:23">
      <c r="B27" s="2">
        <f>IFERROR(VLOOKUP(C27,CHOOSE({1,2},[4]副本规划!$M$6:$M$85,'[4]装备&amp;装备材料的投放'!$E$10:$E$89),2,FALSE),B26)</f>
        <v>23</v>
      </c>
      <c r="C27" s="10">
        <v>3004</v>
      </c>
      <c r="D27" s="11"/>
      <c r="E27" s="3" t="s">
        <v>6</v>
      </c>
      <c r="F27" s="3" t="s">
        <v>7</v>
      </c>
      <c r="G27" s="3" t="s">
        <v>13</v>
      </c>
      <c r="H27" s="3" t="s">
        <v>19</v>
      </c>
      <c r="J27" s="2">
        <f>IFERROR(VLOOKUP(K27,CHOOSE({1,2},[4]副本规划!$N$6:$N$89,'[4]装备&amp;装备材料的投放'!$E$10:$E$93),2,FALSE),J26)</f>
        <v>35</v>
      </c>
      <c r="K27" s="2">
        <v>3205</v>
      </c>
      <c r="L27" s="12"/>
      <c r="M27" s="2"/>
      <c r="N27" s="2"/>
      <c r="O27" s="2"/>
      <c r="P27" s="2"/>
      <c r="R27" s="2">
        <v>19</v>
      </c>
      <c r="S27" s="8" t="s">
        <v>51</v>
      </c>
      <c r="T27">
        <f t="shared" si="0"/>
        <v>3</v>
      </c>
    </row>
    <row r="28" spans="2:23">
      <c r="B28" s="2">
        <f>IFERROR(VLOOKUP(C28,CHOOSE({1,2},[4]副本规划!$M$6:$M$85,'[4]装备&amp;装备材料的投放'!$E$10:$E$89),2,FALSE),B27)</f>
        <v>24</v>
      </c>
      <c r="C28" s="10">
        <v>3005</v>
      </c>
      <c r="D28" s="11"/>
      <c r="E28" s="3" t="s">
        <v>10</v>
      </c>
      <c r="F28" s="3" t="s">
        <v>9</v>
      </c>
      <c r="G28" s="3" t="s">
        <v>14</v>
      </c>
      <c r="H28" s="3" t="s">
        <v>12</v>
      </c>
      <c r="J28" s="2">
        <f>IFERROR(VLOOKUP(K28,CHOOSE({1,2},[4]副本规划!$N$6:$N$89,'[4]装备&amp;装备材料的投放'!$E$10:$E$93),2,FALSE),J27)</f>
        <v>36</v>
      </c>
      <c r="K28" s="2">
        <v>3206</v>
      </c>
      <c r="L28" s="12"/>
      <c r="M28" s="2"/>
      <c r="N28" s="2"/>
      <c r="O28" s="2"/>
      <c r="P28" s="2"/>
      <c r="R28" s="2">
        <v>20</v>
      </c>
      <c r="S28" s="8" t="s">
        <v>52</v>
      </c>
      <c r="T28">
        <f t="shared" si="0"/>
        <v>2</v>
      </c>
    </row>
    <row r="29" spans="2:23">
      <c r="B29" s="2">
        <f>IFERROR(VLOOKUP(C29,CHOOSE({1,2},[4]副本规划!$M$6:$M$85,'[4]装备&amp;装备材料的投放'!$E$10:$E$89),2,FALSE),B28)</f>
        <v>25</v>
      </c>
      <c r="C29" s="10">
        <v>3006</v>
      </c>
      <c r="D29" s="11"/>
      <c r="E29" s="3" t="s">
        <v>6</v>
      </c>
      <c r="F29" s="3" t="s">
        <v>15</v>
      </c>
      <c r="G29" s="3" t="s">
        <v>11</v>
      </c>
      <c r="H29" s="3" t="s">
        <v>20</v>
      </c>
      <c r="J29" s="2">
        <f>IFERROR(VLOOKUP(K29,CHOOSE({1,2},[4]副本规划!$N$6:$N$89,'[4]装备&amp;装备材料的投放'!$E$10:$E$93),2,FALSE),J28)</f>
        <v>37</v>
      </c>
      <c r="K29" s="2">
        <v>3207</v>
      </c>
      <c r="R29" s="2">
        <v>21</v>
      </c>
      <c r="S29" s="8" t="s">
        <v>53</v>
      </c>
      <c r="T29">
        <f t="shared" si="0"/>
        <v>1</v>
      </c>
    </row>
    <row r="30" spans="2:23">
      <c r="B30" s="2">
        <f>IFERROR(VLOOKUP(C30,CHOOSE({1,2},[4]副本规划!$M$6:$M$85,'[4]装备&amp;装备材料的投放'!$E$10:$E$89),2,FALSE),B29)</f>
        <v>26</v>
      </c>
      <c r="C30" s="10">
        <v>3007</v>
      </c>
      <c r="J30" s="2">
        <f>IFERROR(VLOOKUP(K30,CHOOSE({1,2},[4]副本规划!$N$6:$N$89,'[4]装备&amp;装备材料的投放'!$E$10:$E$93),2,FALSE),J29)</f>
        <v>38</v>
      </c>
      <c r="K30" s="2">
        <v>3208</v>
      </c>
      <c r="R30" s="2">
        <v>22</v>
      </c>
      <c r="S30" s="8" t="s">
        <v>54</v>
      </c>
      <c r="T30">
        <f t="shared" si="0"/>
        <v>0</v>
      </c>
    </row>
    <row r="31" spans="2:23">
      <c r="B31" s="2">
        <f>IFERROR(VLOOKUP(C31,CHOOSE({1,2},[4]副本规划!$M$6:$M$85,'[4]装备&amp;装备材料的投放'!$E$10:$E$89),2,FALSE),B30)</f>
        <v>27</v>
      </c>
      <c r="C31" s="10">
        <v>3008</v>
      </c>
      <c r="J31" s="2">
        <f>IFERROR(VLOOKUP(K31,CHOOSE({1,2},[4]副本规划!$N$6:$N$89,'[4]装备&amp;装备材料的投放'!$E$10:$E$93),2,FALSE),J30)</f>
        <v>39</v>
      </c>
      <c r="K31" s="2">
        <v>3209</v>
      </c>
      <c r="R31" s="2">
        <v>23</v>
      </c>
      <c r="S31" s="8" t="s">
        <v>55</v>
      </c>
      <c r="T31">
        <f t="shared" si="0"/>
        <v>0</v>
      </c>
    </row>
    <row r="32" spans="2:23">
      <c r="B32" s="2">
        <f>IFERROR(VLOOKUP(C32,CHOOSE({1,2},[4]副本规划!$M$6:$M$85,'[4]装备&amp;装备材料的投放'!$E$10:$E$89),2,FALSE),B31)</f>
        <v>28</v>
      </c>
      <c r="C32" s="10">
        <v>3009</v>
      </c>
      <c r="J32" s="2">
        <f>IFERROR(VLOOKUP(K32,CHOOSE({1,2},[4]副本规划!$N$6:$N$89,'[4]装备&amp;装备材料的投放'!$E$10:$E$93),2,FALSE),J31)</f>
        <v>40</v>
      </c>
      <c r="K32" s="2">
        <v>4201</v>
      </c>
      <c r="L32" s="12"/>
      <c r="M32" s="2"/>
      <c r="N32" s="2"/>
      <c r="O32" s="2"/>
      <c r="P32" s="2"/>
      <c r="R32" s="2">
        <v>24</v>
      </c>
      <c r="S32" s="8" t="s">
        <v>56</v>
      </c>
      <c r="T32">
        <f t="shared" si="0"/>
        <v>0</v>
      </c>
    </row>
    <row r="33" spans="2:16">
      <c r="B33" s="2">
        <f>IFERROR(VLOOKUP(C33,CHOOSE({1,2},[4]副本规划!$M$6:$M$85,'[4]装备&amp;装备材料的投放'!$E$10:$E$89),2,FALSE),B32)</f>
        <v>29</v>
      </c>
      <c r="C33" s="10">
        <v>4001</v>
      </c>
      <c r="D33" s="11"/>
      <c r="E33" s="3" t="s">
        <v>7</v>
      </c>
      <c r="F33" s="3" t="s">
        <v>17</v>
      </c>
      <c r="G33" s="3" t="s">
        <v>13</v>
      </c>
      <c r="H33" s="3" t="s">
        <v>8</v>
      </c>
      <c r="J33" s="2">
        <f>IFERROR(VLOOKUP(K33,CHOOSE({1,2},[4]副本规划!$N$6:$N$89,'[4]装备&amp;装备材料的投放'!$E$10:$E$93),2,FALSE),J32)</f>
        <v>41</v>
      </c>
      <c r="K33" s="2">
        <v>4202</v>
      </c>
      <c r="L33" s="12"/>
      <c r="M33" s="2"/>
      <c r="N33" s="2"/>
      <c r="O33" s="2"/>
      <c r="P33" s="2"/>
    </row>
    <row r="34" spans="2:16">
      <c r="B34" s="2">
        <f>IFERROR(VLOOKUP(C34,CHOOSE({1,2},[4]副本规划!$M$6:$M$85,'[4]装备&amp;装备材料的投放'!$E$10:$E$89),2,FALSE),B33)</f>
        <v>30</v>
      </c>
      <c r="C34" s="10">
        <v>4002</v>
      </c>
      <c r="D34" s="11"/>
      <c r="E34" s="3" t="s">
        <v>13</v>
      </c>
      <c r="F34" s="3" t="s">
        <v>15</v>
      </c>
      <c r="G34" s="3" t="s">
        <v>9</v>
      </c>
      <c r="H34" s="3" t="s">
        <v>21</v>
      </c>
      <c r="J34" s="2">
        <f>IFERROR(VLOOKUP(K34,CHOOSE({1,2},[4]副本规划!$N$6:$N$89,'[4]装备&amp;装备材料的投放'!$E$10:$E$93),2,FALSE),J33)</f>
        <v>42</v>
      </c>
      <c r="K34" s="2">
        <v>4203</v>
      </c>
      <c r="L34" s="12"/>
      <c r="M34" s="2"/>
      <c r="N34" s="2"/>
      <c r="O34" s="2"/>
      <c r="P34" s="2"/>
    </row>
    <row r="35" spans="2:16">
      <c r="B35" s="2">
        <f>IFERROR(VLOOKUP(C35,CHOOSE({1,2},[4]副本规划!$M$6:$M$85,'[4]装备&amp;装备材料的投放'!$E$10:$E$89),2,FALSE),B34)</f>
        <v>31</v>
      </c>
      <c r="C35" s="10">
        <v>4003</v>
      </c>
      <c r="D35" s="11"/>
      <c r="E35" s="3" t="s">
        <v>18</v>
      </c>
      <c r="F35" s="3" t="s">
        <v>7</v>
      </c>
      <c r="G35" s="3" t="s">
        <v>10</v>
      </c>
      <c r="H35" s="3" t="s">
        <v>14</v>
      </c>
      <c r="J35" s="2">
        <f>IFERROR(VLOOKUP(K35,CHOOSE({1,2},[4]副本规划!$N$6:$N$89,'[4]装备&amp;装备材料的投放'!$E$10:$E$93),2,FALSE),J34)</f>
        <v>43</v>
      </c>
      <c r="K35" s="2">
        <v>4204</v>
      </c>
      <c r="L35" s="12"/>
      <c r="M35" s="2"/>
      <c r="N35" s="2"/>
      <c r="O35" s="2"/>
      <c r="P35" s="2"/>
    </row>
    <row r="36" spans="2:16">
      <c r="B36" s="2">
        <f>IFERROR(VLOOKUP(C36,CHOOSE({1,2},[4]副本规划!$M$6:$M$85,'[4]装备&amp;装备材料的投放'!$E$10:$E$89),2,FALSE),B35)</f>
        <v>32</v>
      </c>
      <c r="C36" s="10">
        <v>4004</v>
      </c>
      <c r="D36" s="11"/>
      <c r="E36" s="3" t="s">
        <v>13</v>
      </c>
      <c r="F36" s="3" t="s">
        <v>17</v>
      </c>
      <c r="G36" s="3" t="s">
        <v>11</v>
      </c>
      <c r="H36" s="3" t="s">
        <v>18</v>
      </c>
      <c r="J36" s="2">
        <f>IFERROR(VLOOKUP(K36,CHOOSE({1,2},[4]副本规划!$N$6:$N$89,'[4]装备&amp;装备材料的投放'!$E$10:$E$93),2,FALSE),J35)</f>
        <v>44</v>
      </c>
      <c r="K36" s="2">
        <v>4205</v>
      </c>
      <c r="L36" s="12"/>
      <c r="M36" s="2"/>
      <c r="N36" s="2"/>
      <c r="O36" s="2"/>
      <c r="P36" s="2"/>
    </row>
    <row r="37" spans="2:16">
      <c r="B37" s="2">
        <f>IFERROR(VLOOKUP(C37,CHOOSE({1,2},[4]副本规划!$M$6:$M$85,'[4]装备&amp;装备材料的投放'!$E$10:$E$89),2,FALSE),B36)</f>
        <v>33</v>
      </c>
      <c r="C37" s="10">
        <v>4005</v>
      </c>
      <c r="D37" s="11"/>
      <c r="E37" s="3" t="s">
        <v>10</v>
      </c>
      <c r="F37" s="3" t="s">
        <v>15</v>
      </c>
      <c r="G37" s="3" t="s">
        <v>14</v>
      </c>
      <c r="H37" s="3" t="s">
        <v>12</v>
      </c>
      <c r="J37" s="2">
        <f>IFERROR(VLOOKUP(K37,CHOOSE({1,2},[4]副本规划!$N$6:$N$89,'[4]装备&amp;装备材料的投放'!$E$10:$E$93),2,FALSE),J36)</f>
        <v>45</v>
      </c>
      <c r="K37" s="2">
        <v>4206</v>
      </c>
      <c r="L37" s="12"/>
      <c r="M37" s="2"/>
      <c r="N37" s="2"/>
      <c r="O37" s="2"/>
      <c r="P37" s="2"/>
    </row>
    <row r="38" spans="2:16">
      <c r="B38" s="2">
        <f>IFERROR(VLOOKUP(C38,CHOOSE({1,2},[4]副本规划!$M$6:$M$85,'[4]装备&amp;装备材料的投放'!$E$10:$E$89),2,FALSE),B37)</f>
        <v>34</v>
      </c>
      <c r="C38" s="10">
        <v>4006</v>
      </c>
      <c r="D38" s="11"/>
      <c r="E38" s="3" t="s">
        <v>17</v>
      </c>
      <c r="F38" s="3" t="s">
        <v>7</v>
      </c>
      <c r="G38" s="3" t="s">
        <v>18</v>
      </c>
      <c r="H38" s="3" t="s">
        <v>21</v>
      </c>
      <c r="J38" s="2">
        <f>IFERROR(VLOOKUP(K38,CHOOSE({1,2},[4]副本规划!$N$6:$N$89,'[4]装备&amp;装备材料的投放'!$E$10:$E$93),2,FALSE),J37)</f>
        <v>46</v>
      </c>
      <c r="K38" s="2">
        <v>4207</v>
      </c>
    </row>
    <row r="39" spans="2:16">
      <c r="B39" s="2">
        <f>IFERROR(VLOOKUP(C39,CHOOSE({1,2},[4]副本规划!$M$6:$M$85,'[4]装备&amp;装备材料的投放'!$E$10:$E$89),2,FALSE),B38)</f>
        <v>35</v>
      </c>
      <c r="C39" s="10">
        <v>4007</v>
      </c>
      <c r="J39" s="2">
        <f>IFERROR(VLOOKUP(K39,CHOOSE({1,2},[4]副本规划!$N$6:$N$89,'[4]装备&amp;装备材料的投放'!$E$10:$E$93),2,FALSE),J38)</f>
        <v>47</v>
      </c>
      <c r="K39" s="2">
        <v>4208</v>
      </c>
    </row>
    <row r="40" spans="2:16">
      <c r="B40" s="2">
        <f>IFERROR(VLOOKUP(C40,CHOOSE({1,2},[4]副本规划!$M$6:$M$85,'[4]装备&amp;装备材料的投放'!$E$10:$E$89),2,FALSE),B39)</f>
        <v>36</v>
      </c>
      <c r="C40" s="10">
        <v>4008</v>
      </c>
      <c r="J40" s="2">
        <f>IFERROR(VLOOKUP(K40,CHOOSE({1,2},[4]副本规划!$N$6:$N$89,'[4]装备&amp;装备材料的投放'!$E$10:$E$93),2,FALSE),J39)</f>
        <v>48</v>
      </c>
      <c r="K40" s="2">
        <v>4209</v>
      </c>
    </row>
    <row r="41" spans="2:16">
      <c r="B41" s="2">
        <f>IFERROR(VLOOKUP(C41,CHOOSE({1,2},[4]副本规划!$M$6:$M$85,'[4]装备&amp;装备材料的投放'!$E$10:$E$89),2,FALSE),B40)</f>
        <v>37</v>
      </c>
      <c r="C41" s="10">
        <v>4009</v>
      </c>
      <c r="J41" s="2">
        <f>IFERROR(VLOOKUP(K41,CHOOSE({1,2},[4]副本规划!$N$6:$N$89,'[4]装备&amp;装备材料的投放'!$E$10:$E$93),2,FALSE),J40)</f>
        <v>49</v>
      </c>
      <c r="K41" s="2">
        <v>5201</v>
      </c>
      <c r="L41" s="12"/>
      <c r="M41" s="2"/>
      <c r="N41" s="2"/>
      <c r="O41" s="2"/>
      <c r="P41" s="2"/>
    </row>
    <row r="42" spans="2:16">
      <c r="B42" s="2">
        <f>IFERROR(VLOOKUP(C42,CHOOSE({1,2},[4]副本规划!$M$6:$M$85,'[4]装备&amp;装备材料的投放'!$E$10:$E$89),2,FALSE),B41)</f>
        <v>38</v>
      </c>
      <c r="C42" s="10">
        <v>5001</v>
      </c>
      <c r="D42" s="11"/>
      <c r="E42" s="3" t="s">
        <v>10</v>
      </c>
      <c r="F42" s="3" t="s">
        <v>9</v>
      </c>
      <c r="G42" s="3" t="s">
        <v>15</v>
      </c>
      <c r="H42" s="3" t="s">
        <v>21</v>
      </c>
      <c r="J42" s="2">
        <f>IFERROR(VLOOKUP(K42,CHOOSE({1,2},[4]副本规划!$N$6:$N$89,'[4]装备&amp;装备材料的投放'!$E$10:$E$93),2,FALSE),J41)</f>
        <v>50</v>
      </c>
      <c r="K42" s="2">
        <v>5202</v>
      </c>
      <c r="L42" s="12"/>
      <c r="M42" s="2"/>
      <c r="N42" s="2"/>
      <c r="O42" s="2"/>
      <c r="P42" s="2"/>
    </row>
    <row r="43" spans="2:16">
      <c r="B43" s="2">
        <f>IFERROR(VLOOKUP(C43,CHOOSE({1,2},[4]副本规划!$M$6:$M$85,'[4]装备&amp;装备材料的投放'!$E$10:$E$89),2,FALSE),B42)</f>
        <v>39</v>
      </c>
      <c r="C43" s="10">
        <v>5002</v>
      </c>
      <c r="D43" s="11"/>
      <c r="E43" s="3" t="s">
        <v>14</v>
      </c>
      <c r="F43" s="3" t="s">
        <v>17</v>
      </c>
      <c r="G43" s="3" t="s">
        <v>7</v>
      </c>
      <c r="H43" s="3" t="s">
        <v>8</v>
      </c>
      <c r="J43" s="2">
        <f>IFERROR(VLOOKUP(K43,CHOOSE({1,2},[4]副本规划!$N$6:$N$89,'[4]装备&amp;装备材料的投放'!$E$10:$E$93),2,FALSE),J42)</f>
        <v>51</v>
      </c>
      <c r="K43" s="2">
        <v>5203</v>
      </c>
      <c r="L43" s="12"/>
      <c r="M43" s="2"/>
      <c r="N43" s="2"/>
      <c r="O43" s="2"/>
      <c r="P43" s="2"/>
    </row>
    <row r="44" spans="2:16">
      <c r="B44" s="2">
        <f>IFERROR(VLOOKUP(C44,CHOOSE({1,2},[4]副本规划!$M$6:$M$85,'[4]装备&amp;装备材料的投放'!$E$10:$E$89),2,FALSE),B43)</f>
        <v>40</v>
      </c>
      <c r="C44" s="10">
        <v>5003</v>
      </c>
      <c r="D44" s="11"/>
      <c r="E44" s="3" t="s">
        <v>22</v>
      </c>
      <c r="F44" s="3" t="s">
        <v>23</v>
      </c>
      <c r="G44" s="3" t="s">
        <v>11</v>
      </c>
      <c r="H44" s="3" t="s">
        <v>12</v>
      </c>
      <c r="J44" s="2">
        <f>IFERROR(VLOOKUP(K44,CHOOSE({1,2},[4]副本规划!$N$6:$N$89,'[4]装备&amp;装备材料的投放'!$E$10:$E$93),2,FALSE),J43)</f>
        <v>52</v>
      </c>
      <c r="K44" s="2">
        <v>5204</v>
      </c>
      <c r="L44" s="12"/>
      <c r="M44" s="2"/>
      <c r="N44" s="2"/>
      <c r="O44" s="2"/>
      <c r="P44" s="2"/>
    </row>
    <row r="45" spans="2:16">
      <c r="B45" s="2">
        <f>IFERROR(VLOOKUP(C45,CHOOSE({1,2},[4]副本规划!$M$6:$M$85,'[4]装备&amp;装备材料的投放'!$E$10:$E$89),2,FALSE),B44)</f>
        <v>41</v>
      </c>
      <c r="C45" s="10">
        <v>5004</v>
      </c>
      <c r="D45" s="11"/>
      <c r="E45" s="3" t="s">
        <v>24</v>
      </c>
      <c r="F45" s="3" t="s">
        <v>25</v>
      </c>
      <c r="G45" s="3" t="s">
        <v>17</v>
      </c>
      <c r="H45" s="3" t="s">
        <v>15</v>
      </c>
      <c r="J45" s="2">
        <f>IFERROR(VLOOKUP(K45,CHOOSE({1,2},[4]副本规划!$N$6:$N$89,'[4]装备&amp;装备材料的投放'!$E$10:$E$93),2,FALSE),J44)</f>
        <v>53</v>
      </c>
      <c r="K45" s="2">
        <v>5205</v>
      </c>
      <c r="L45" s="12"/>
      <c r="M45" s="2"/>
      <c r="N45" s="2"/>
      <c r="O45" s="2"/>
      <c r="P45" s="2"/>
    </row>
    <row r="46" spans="2:16">
      <c r="B46" s="2">
        <f>IFERROR(VLOOKUP(C46,CHOOSE({1,2},[4]副本规划!$M$6:$M$85,'[4]装备&amp;装备材料的投放'!$E$10:$E$89),2,FALSE),B45)</f>
        <v>42</v>
      </c>
      <c r="C46" s="10">
        <v>5005</v>
      </c>
      <c r="D46" s="11"/>
      <c r="E46" s="3" t="s">
        <v>12</v>
      </c>
      <c r="F46" s="3" t="s">
        <v>13</v>
      </c>
      <c r="G46" s="3" t="s">
        <v>14</v>
      </c>
      <c r="H46" s="3" t="s">
        <v>18</v>
      </c>
      <c r="J46" s="2">
        <f>IFERROR(VLOOKUP(K46,CHOOSE({1,2},[4]副本规划!$N$6:$N$89,'[4]装备&amp;装备材料的投放'!$E$10:$E$93),2,FALSE),J45)</f>
        <v>54</v>
      </c>
      <c r="K46" s="2">
        <v>5206</v>
      </c>
      <c r="L46" s="12"/>
      <c r="M46" s="2"/>
      <c r="N46" s="2"/>
      <c r="O46" s="2"/>
      <c r="P46" s="2"/>
    </row>
    <row r="47" spans="2:16">
      <c r="B47" s="2">
        <f>IFERROR(VLOOKUP(C47,CHOOSE({1,2},[4]副本规划!$M$6:$M$85,'[4]装备&amp;装备材料的投放'!$E$10:$E$89),2,FALSE),B46)</f>
        <v>43</v>
      </c>
      <c r="C47" s="10">
        <v>5006</v>
      </c>
      <c r="D47" s="11"/>
      <c r="E47" s="3" t="s">
        <v>15</v>
      </c>
      <c r="F47" s="3" t="s">
        <v>17</v>
      </c>
      <c r="G47" s="3" t="s">
        <v>11</v>
      </c>
      <c r="H47" s="3" t="s">
        <v>26</v>
      </c>
      <c r="J47" s="2">
        <f>IFERROR(VLOOKUP(K47,CHOOSE({1,2},[4]副本规划!$N$6:$N$89,'[4]装备&amp;装备材料的投放'!$E$10:$E$93),2,FALSE),J46)</f>
        <v>55</v>
      </c>
      <c r="K47" s="2">
        <v>5207</v>
      </c>
    </row>
    <row r="48" spans="2:16">
      <c r="B48" s="2">
        <f>IFERROR(VLOOKUP(C48,CHOOSE({1,2},[4]副本规划!$M$6:$M$85,'[4]装备&amp;装备材料的投放'!$E$10:$E$89),2,FALSE),B47)</f>
        <v>44</v>
      </c>
      <c r="C48" s="10">
        <v>5007</v>
      </c>
      <c r="J48" s="2">
        <f>IFERROR(VLOOKUP(K48,CHOOSE({1,2},[4]副本规划!$N$6:$N$89,'[4]装备&amp;装备材料的投放'!$E$10:$E$93),2,FALSE),J47)</f>
        <v>56</v>
      </c>
      <c r="K48" s="2">
        <v>5208</v>
      </c>
    </row>
    <row r="49" spans="2:16">
      <c r="B49" s="2">
        <f>IFERROR(VLOOKUP(C49,CHOOSE({1,2},[4]副本规划!$M$6:$M$85,'[4]装备&amp;装备材料的投放'!$E$10:$E$89),2,FALSE),B48)</f>
        <v>45</v>
      </c>
      <c r="C49" s="10">
        <v>5008</v>
      </c>
      <c r="J49" s="2">
        <f>IFERROR(VLOOKUP(K49,CHOOSE({1,2},[4]副本规划!$N$6:$N$89,'[4]装备&amp;装备材料的投放'!$E$10:$E$93),2,FALSE),J48)</f>
        <v>57</v>
      </c>
      <c r="K49" s="2">
        <v>5209</v>
      </c>
    </row>
    <row r="50" spans="2:16">
      <c r="B50" s="2">
        <f>IFERROR(VLOOKUP(C50,CHOOSE({1,2},[4]副本规划!$M$6:$M$85,'[4]装备&amp;装备材料的投放'!$E$10:$E$89),2,FALSE),B49)</f>
        <v>46</v>
      </c>
      <c r="C50" s="10">
        <v>5009</v>
      </c>
      <c r="J50" s="2">
        <f>IFERROR(VLOOKUP(K50,CHOOSE({1,2},[4]副本规划!$N$6:$N$89,'[4]装备&amp;装备材料的投放'!$E$10:$E$93),2,FALSE),J49)</f>
        <v>58</v>
      </c>
      <c r="K50" s="2">
        <v>6201</v>
      </c>
      <c r="L50" s="12"/>
      <c r="M50" s="2"/>
      <c r="N50" s="2"/>
      <c r="O50" s="2"/>
      <c r="P50" s="2"/>
    </row>
    <row r="51" spans="2:16">
      <c r="B51" s="2">
        <f>IFERROR(VLOOKUP(C51,CHOOSE({1,2},[4]副本规划!$M$6:$M$85,'[4]装备&amp;装备材料的投放'!$E$10:$E$89),2,FALSE),B50)</f>
        <v>47</v>
      </c>
      <c r="C51" s="10">
        <v>6001</v>
      </c>
      <c r="D51" s="11"/>
      <c r="E51" s="3" t="s">
        <v>24</v>
      </c>
      <c r="F51" s="3" t="s">
        <v>12</v>
      </c>
      <c r="G51" s="3" t="s">
        <v>14</v>
      </c>
      <c r="H51" s="3" t="s">
        <v>23</v>
      </c>
      <c r="J51" s="2">
        <f>IFERROR(VLOOKUP(K51,CHOOSE({1,2},[4]副本规划!$N$6:$N$89,'[4]装备&amp;装备材料的投放'!$E$10:$E$93),2,FALSE),J50)</f>
        <v>59</v>
      </c>
      <c r="K51" s="2">
        <v>6202</v>
      </c>
      <c r="L51" s="12"/>
      <c r="M51" s="2"/>
      <c r="N51" s="2"/>
      <c r="O51" s="2"/>
      <c r="P51" s="2"/>
    </row>
    <row r="52" spans="2:16">
      <c r="B52" s="2">
        <f>IFERROR(VLOOKUP(C52,CHOOSE({1,2},[4]副本规划!$M$6:$M$85,'[4]装备&amp;装备材料的投放'!$E$10:$E$89),2,FALSE),B51)</f>
        <v>48</v>
      </c>
      <c r="C52" s="10">
        <v>6002</v>
      </c>
      <c r="D52" s="11"/>
      <c r="E52" s="3" t="s">
        <v>27</v>
      </c>
      <c r="F52" s="3" t="s">
        <v>9</v>
      </c>
      <c r="G52" s="3" t="s">
        <v>19</v>
      </c>
      <c r="H52" s="3" t="s">
        <v>22</v>
      </c>
      <c r="J52" s="2">
        <f>IFERROR(VLOOKUP(K52,CHOOSE({1,2},[4]副本规划!$N$6:$N$89,'[4]装备&amp;装备材料的投放'!$E$10:$E$93),2,FALSE),J51)</f>
        <v>60</v>
      </c>
      <c r="K52" s="2">
        <v>6203</v>
      </c>
      <c r="L52" s="12"/>
      <c r="M52" s="2"/>
      <c r="N52" s="2"/>
      <c r="O52" s="2"/>
      <c r="P52" s="2"/>
    </row>
    <row r="53" spans="2:16">
      <c r="B53" s="2">
        <f>IFERROR(VLOOKUP(C53,CHOOSE({1,2},[4]副本规划!$M$6:$M$85,'[4]装备&amp;装备材料的投放'!$E$10:$E$89),2,FALSE),B52)</f>
        <v>49</v>
      </c>
      <c r="C53" s="10">
        <v>6003</v>
      </c>
      <c r="D53" s="11"/>
      <c r="E53" s="3" t="s">
        <v>22</v>
      </c>
      <c r="F53" s="3" t="s">
        <v>23</v>
      </c>
      <c r="G53" s="3" t="s">
        <v>10</v>
      </c>
      <c r="H53" s="3" t="s">
        <v>25</v>
      </c>
      <c r="J53" s="2">
        <f>IFERROR(VLOOKUP(K53,CHOOSE({1,2},[4]副本规划!$N$6:$N$89,'[4]装备&amp;装备材料的投放'!$E$10:$E$93),2,FALSE),J52)</f>
        <v>61</v>
      </c>
      <c r="K53" s="2">
        <v>6204</v>
      </c>
      <c r="L53" s="12"/>
      <c r="M53" s="2"/>
      <c r="N53" s="2"/>
      <c r="O53" s="2"/>
      <c r="P53" s="2"/>
    </row>
    <row r="54" spans="2:16">
      <c r="B54" s="2">
        <f>IFERROR(VLOOKUP(C54,CHOOSE({1,2},[4]副本规划!$M$6:$M$85,'[4]装备&amp;装备材料的投放'!$E$10:$E$89),2,FALSE),B53)</f>
        <v>50</v>
      </c>
      <c r="C54" s="10">
        <v>6004</v>
      </c>
      <c r="D54" s="11"/>
      <c r="E54" s="3" t="s">
        <v>26</v>
      </c>
      <c r="F54" s="3" t="s">
        <v>17</v>
      </c>
      <c r="G54" s="3" t="s">
        <v>12</v>
      </c>
      <c r="H54" s="3" t="s">
        <v>11</v>
      </c>
      <c r="J54" s="2">
        <f>IFERROR(VLOOKUP(K54,CHOOSE({1,2},[4]副本规划!$N$6:$N$89,'[4]装备&amp;装备材料的投放'!$E$10:$E$93),2,FALSE),J53)</f>
        <v>62</v>
      </c>
      <c r="K54" s="2">
        <v>6205</v>
      </c>
      <c r="L54" s="12"/>
      <c r="M54" s="2"/>
      <c r="N54" s="2"/>
      <c r="O54" s="2"/>
      <c r="P54" s="2"/>
    </row>
    <row r="55" spans="2:16">
      <c r="B55" s="2">
        <f>IFERROR(VLOOKUP(C55,CHOOSE({1,2},[4]副本规划!$M$6:$M$85,'[4]装备&amp;装备材料的投放'!$E$10:$E$89),2,FALSE),B54)</f>
        <v>51</v>
      </c>
      <c r="C55" s="10">
        <v>6005</v>
      </c>
      <c r="D55" s="11"/>
      <c r="E55" s="3" t="s">
        <v>7</v>
      </c>
      <c r="F55" s="3" t="s">
        <v>25</v>
      </c>
      <c r="G55" s="3" t="s">
        <v>24</v>
      </c>
      <c r="H55" s="3" t="s">
        <v>20</v>
      </c>
      <c r="J55" s="2">
        <f>IFERROR(VLOOKUP(K55,CHOOSE({1,2},[4]副本规划!$N$6:$N$89,'[4]装备&amp;装备材料的投放'!$E$10:$E$93),2,FALSE),J54)</f>
        <v>63</v>
      </c>
      <c r="K55" s="2">
        <v>6206</v>
      </c>
      <c r="L55" s="12"/>
      <c r="M55" s="2"/>
      <c r="N55" s="2"/>
      <c r="O55" s="2"/>
      <c r="P55" s="2"/>
    </row>
    <row r="56" spans="2:16">
      <c r="B56" s="2">
        <f>IFERROR(VLOOKUP(C56,CHOOSE({1,2},[4]副本规划!$M$6:$M$85,'[4]装备&amp;装备材料的投放'!$E$10:$E$89),2,FALSE),B55)</f>
        <v>52</v>
      </c>
      <c r="C56" s="10">
        <v>6006</v>
      </c>
      <c r="D56" s="11"/>
      <c r="E56" s="3" t="s">
        <v>22</v>
      </c>
      <c r="F56" s="3" t="s">
        <v>11</v>
      </c>
      <c r="G56" s="3" t="s">
        <v>23</v>
      </c>
      <c r="H56" s="3" t="s">
        <v>28</v>
      </c>
      <c r="J56" s="2">
        <f>IFERROR(VLOOKUP(K56,CHOOSE({1,2},[4]副本规划!$N$6:$N$89,'[4]装备&amp;装备材料的投放'!$E$10:$E$93),2,FALSE),J55)</f>
        <v>64</v>
      </c>
      <c r="K56" s="2">
        <v>6207</v>
      </c>
      <c r="L56" s="12"/>
      <c r="M56" s="2"/>
      <c r="N56" s="2"/>
      <c r="O56" s="2"/>
      <c r="P56" s="2"/>
    </row>
    <row r="57" spans="2:16">
      <c r="B57" s="2">
        <f>IFERROR(VLOOKUP(C57,CHOOSE({1,2},[4]副本规划!$M$6:$M$85,'[4]装备&amp;装备材料的投放'!$E$10:$E$89),2,FALSE),B56)</f>
        <v>53</v>
      </c>
      <c r="C57" s="10">
        <v>6007</v>
      </c>
      <c r="D57" s="11"/>
      <c r="E57" s="2"/>
      <c r="F57" s="2"/>
      <c r="G57" s="2"/>
      <c r="H57" s="2"/>
      <c r="J57" s="2">
        <f>IFERROR(VLOOKUP(K57,CHOOSE({1,2},[4]副本规划!$N$6:$N$89,'[4]装备&amp;装备材料的投放'!$E$10:$E$93),2,FALSE),J56)</f>
        <v>65</v>
      </c>
      <c r="K57" s="2">
        <v>6208</v>
      </c>
      <c r="L57" s="12"/>
      <c r="M57" s="2"/>
      <c r="N57" s="2"/>
      <c r="O57" s="2"/>
      <c r="P57" s="2"/>
    </row>
    <row r="58" spans="2:16">
      <c r="B58" s="2">
        <f>IFERROR(VLOOKUP(C58,CHOOSE({1,2},[4]副本规划!$M$6:$M$85,'[4]装备&amp;装备材料的投放'!$E$10:$E$89),2,FALSE),B57)</f>
        <v>54</v>
      </c>
      <c r="C58" s="10">
        <v>6008</v>
      </c>
      <c r="D58" s="11"/>
      <c r="E58" s="2"/>
      <c r="F58" s="2"/>
      <c r="G58" s="2"/>
      <c r="H58" s="2"/>
      <c r="J58" s="2">
        <f>IFERROR(VLOOKUP(K58,CHOOSE({1,2},[4]副本规划!$N$6:$N$89,'[4]装备&amp;装备材料的投放'!$E$10:$E$93),2,FALSE),J57)</f>
        <v>66</v>
      </c>
      <c r="K58" s="2">
        <v>6209</v>
      </c>
      <c r="L58" s="12"/>
      <c r="M58" s="2"/>
      <c r="N58" s="2"/>
      <c r="O58" s="2"/>
      <c r="P58" s="2"/>
    </row>
    <row r="59" spans="2:16">
      <c r="B59" s="2">
        <f>IFERROR(VLOOKUP(C59,CHOOSE({1,2},[4]副本规划!$M$6:$M$85,'[4]装备&amp;装备材料的投放'!$E$10:$E$89),2,FALSE),B58)</f>
        <v>55</v>
      </c>
      <c r="C59" s="10">
        <v>6009</v>
      </c>
      <c r="D59" s="11"/>
      <c r="E59" s="2"/>
      <c r="F59" s="2"/>
      <c r="G59" s="2"/>
      <c r="H59" s="2"/>
      <c r="J59" s="2">
        <f>IFERROR(VLOOKUP(K59,CHOOSE({1,2},[4]副本规划!$N$6:$N$89,'[4]装备&amp;装备材料的投放'!$E$10:$E$93),2,FALSE),J58)</f>
        <v>67</v>
      </c>
      <c r="K59" s="2">
        <v>7201</v>
      </c>
      <c r="L59" s="12"/>
      <c r="M59" s="2"/>
      <c r="N59" s="2"/>
      <c r="O59" s="2"/>
      <c r="P59" s="2"/>
    </row>
    <row r="60" spans="2:16">
      <c r="B60" s="2">
        <f>IFERROR(VLOOKUP(C60,CHOOSE({1,2},[4]副本规划!$M$6:$M$85,'[4]装备&amp;装备材料的投放'!$E$10:$E$89),2,FALSE),B59)</f>
        <v>56</v>
      </c>
      <c r="C60" s="10">
        <v>7001</v>
      </c>
      <c r="D60" s="11"/>
      <c r="E60" s="2"/>
      <c r="F60" s="2"/>
      <c r="G60" s="2"/>
      <c r="H60" s="2"/>
      <c r="J60" s="2">
        <f>IFERROR(VLOOKUP(K60,CHOOSE({1,2},[4]副本规划!$N$6:$N$89,'[4]装备&amp;装备材料的投放'!$E$10:$E$93),2,FALSE),J59)</f>
        <v>68</v>
      </c>
      <c r="K60" s="2">
        <v>7202</v>
      </c>
      <c r="L60" s="12"/>
      <c r="M60" s="2"/>
      <c r="N60" s="2"/>
      <c r="O60" s="2"/>
      <c r="P60" s="2"/>
    </row>
    <row r="61" spans="2:16">
      <c r="B61" s="2">
        <f>IFERROR(VLOOKUP(C61,CHOOSE({1,2},[4]副本规划!$M$6:$M$85,'[4]装备&amp;装备材料的投放'!$E$10:$E$89),2,FALSE),B60)</f>
        <v>57</v>
      </c>
      <c r="C61" s="10">
        <v>7002</v>
      </c>
      <c r="D61" s="11"/>
      <c r="E61" s="2"/>
      <c r="F61" s="2"/>
      <c r="G61" s="2"/>
      <c r="H61" s="2"/>
      <c r="J61" s="2">
        <f>IFERROR(VLOOKUP(K61,CHOOSE({1,2},[4]副本规划!$N$6:$N$89,'[4]装备&amp;装备材料的投放'!$E$10:$E$93),2,FALSE),J60)</f>
        <v>69</v>
      </c>
      <c r="K61" s="2">
        <v>7203</v>
      </c>
      <c r="L61" s="12"/>
      <c r="M61" s="2"/>
      <c r="N61" s="2"/>
      <c r="O61" s="2"/>
      <c r="P61" s="2"/>
    </row>
    <row r="62" spans="2:16">
      <c r="B62" s="2">
        <f>IFERROR(VLOOKUP(C62,CHOOSE({1,2},[4]副本规划!$M$6:$M$85,'[4]装备&amp;装备材料的投放'!$E$10:$E$89),2,FALSE),B61)</f>
        <v>58</v>
      </c>
      <c r="C62" s="10">
        <v>7003</v>
      </c>
      <c r="D62" s="11"/>
      <c r="E62" s="2"/>
      <c r="F62" s="2"/>
      <c r="G62" s="2"/>
      <c r="H62" s="2"/>
      <c r="J62" s="2">
        <f>IFERROR(VLOOKUP(K62,CHOOSE({1,2},[4]副本规划!$N$6:$N$89,'[4]装备&amp;装备材料的投放'!$E$10:$E$93),2,FALSE),J61)</f>
        <v>70</v>
      </c>
      <c r="K62" s="2">
        <v>7204</v>
      </c>
      <c r="L62" s="12"/>
      <c r="M62" s="2"/>
      <c r="N62" s="2"/>
      <c r="O62" s="2"/>
      <c r="P62" s="2"/>
    </row>
    <row r="63" spans="2:16">
      <c r="B63" s="2">
        <f>IFERROR(VLOOKUP(C63,CHOOSE({1,2},[4]副本规划!$M$6:$M$85,'[4]装备&amp;装备材料的投放'!$E$10:$E$89),2,FALSE),B62)</f>
        <v>59</v>
      </c>
      <c r="C63" s="10">
        <v>7004</v>
      </c>
      <c r="D63" s="11"/>
      <c r="E63" s="2"/>
      <c r="F63" s="2"/>
      <c r="G63" s="2"/>
      <c r="H63" s="2"/>
      <c r="J63" s="2">
        <f>IFERROR(VLOOKUP(K63,CHOOSE({1,2},[4]副本规划!$N$6:$N$89,'[4]装备&amp;装备材料的投放'!$E$10:$E$93),2,FALSE),J62)</f>
        <v>71</v>
      </c>
      <c r="K63" s="2">
        <v>7205</v>
      </c>
      <c r="L63" s="12"/>
      <c r="M63" s="2"/>
      <c r="N63" s="2"/>
      <c r="O63" s="2"/>
      <c r="P63" s="2"/>
    </row>
    <row r="64" spans="2:16">
      <c r="B64" s="2">
        <f>IFERROR(VLOOKUP(C64,CHOOSE({1,2},[4]副本规划!$M$6:$M$85,'[4]装备&amp;装备材料的投放'!$E$10:$E$89),2,FALSE),B63)</f>
        <v>60</v>
      </c>
      <c r="C64" s="10">
        <v>7005</v>
      </c>
      <c r="D64" s="11"/>
      <c r="E64" s="2"/>
      <c r="F64" s="2"/>
      <c r="G64" s="2"/>
      <c r="H64" s="2"/>
      <c r="J64" s="2">
        <f>IFERROR(VLOOKUP(K64,CHOOSE({1,2},[4]副本规划!$N$6:$N$89,'[4]装备&amp;装备材料的投放'!$E$10:$E$93),2,FALSE),J63)</f>
        <v>72</v>
      </c>
      <c r="K64" s="2">
        <v>7206</v>
      </c>
      <c r="L64" s="12"/>
      <c r="M64" s="2"/>
      <c r="N64" s="2"/>
      <c r="O64" s="2"/>
      <c r="P64" s="2"/>
    </row>
    <row r="65" spans="2:16">
      <c r="B65" s="2">
        <f>IFERROR(VLOOKUP(C65,CHOOSE({1,2},[4]副本规划!$M$6:$M$85,'[4]装备&amp;装备材料的投放'!$E$10:$E$89),2,FALSE),B64)</f>
        <v>61</v>
      </c>
      <c r="C65" s="10">
        <v>7006</v>
      </c>
      <c r="D65" s="11"/>
      <c r="E65" s="2"/>
      <c r="F65" s="2"/>
      <c r="G65" s="2"/>
      <c r="H65" s="2"/>
      <c r="J65" s="2">
        <f>IFERROR(VLOOKUP(K65,CHOOSE({1,2},[4]副本规划!$N$6:$N$89,'[4]装备&amp;装备材料的投放'!$E$10:$E$93),2,FALSE),J64)</f>
        <v>73</v>
      </c>
      <c r="K65" s="2">
        <v>7207</v>
      </c>
      <c r="L65" s="12"/>
      <c r="M65" s="2"/>
      <c r="N65" s="2"/>
      <c r="O65" s="2"/>
      <c r="P65" s="2"/>
    </row>
    <row r="66" spans="2:16">
      <c r="B66" s="2">
        <f>IFERROR(VLOOKUP(C66,CHOOSE({1,2},[4]副本规划!$M$6:$M$85,'[4]装备&amp;装备材料的投放'!$E$10:$E$89),2,FALSE),B65)</f>
        <v>62</v>
      </c>
      <c r="C66" s="10">
        <v>7007</v>
      </c>
      <c r="D66" s="11"/>
      <c r="E66" s="2"/>
      <c r="F66" s="2"/>
      <c r="G66" s="2"/>
      <c r="H66" s="2"/>
      <c r="J66" s="2">
        <f>IFERROR(VLOOKUP(K66,CHOOSE({1,2},[4]副本规划!$N$6:$N$89,'[4]装备&amp;装备材料的投放'!$E$10:$E$93),2,FALSE),J65)</f>
        <v>74</v>
      </c>
      <c r="K66" s="2">
        <v>7208</v>
      </c>
      <c r="L66" s="12"/>
      <c r="M66" s="2"/>
      <c r="N66" s="2"/>
      <c r="O66" s="2"/>
      <c r="P66" s="2"/>
    </row>
    <row r="67" spans="2:16">
      <c r="B67" s="2">
        <f>IFERROR(VLOOKUP(C67,CHOOSE({1,2},[4]副本规划!$M$6:$M$85,'[4]装备&amp;装备材料的投放'!$E$10:$E$89),2,FALSE),B66)</f>
        <v>63</v>
      </c>
      <c r="C67" s="10">
        <v>7008</v>
      </c>
      <c r="D67" s="11"/>
      <c r="E67" s="2"/>
      <c r="F67" s="2"/>
      <c r="G67" s="2"/>
      <c r="H67" s="2"/>
      <c r="J67" s="2">
        <f>IFERROR(VLOOKUP(K67,CHOOSE({1,2},[4]副本规划!$N$6:$N$89,'[4]装备&amp;装备材料的投放'!$E$10:$E$93),2,FALSE),J66)</f>
        <v>75</v>
      </c>
      <c r="K67" s="2">
        <v>7209</v>
      </c>
      <c r="L67" s="12"/>
      <c r="M67" s="2"/>
      <c r="N67" s="2"/>
      <c r="O67" s="2"/>
      <c r="P67" s="2"/>
    </row>
    <row r="68" spans="2:16">
      <c r="B68" s="2">
        <f>IFERROR(VLOOKUP(C68,CHOOSE({1,2},[4]副本规划!$M$6:$M$85,'[4]装备&amp;装备材料的投放'!$E$10:$E$89),2,FALSE),B67)</f>
        <v>64</v>
      </c>
      <c r="C68" s="10">
        <v>7009</v>
      </c>
      <c r="D68" s="11"/>
      <c r="E68" s="2"/>
      <c r="F68" s="2"/>
      <c r="G68" s="2"/>
      <c r="H68" s="2"/>
      <c r="J68" s="2">
        <f>IFERROR(VLOOKUP(K68,CHOOSE({1,2},[4]副本规划!$N$6:$N$89,'[4]装备&amp;装备材料的投放'!$E$10:$E$93),2,FALSE),J67)</f>
        <v>76</v>
      </c>
      <c r="K68" s="2">
        <v>8201</v>
      </c>
      <c r="L68" s="2"/>
      <c r="M68" s="2"/>
      <c r="N68" s="2"/>
      <c r="O68" s="2"/>
      <c r="P68" s="2"/>
    </row>
    <row r="69" spans="2:16">
      <c r="B69" s="2">
        <f>IFERROR(VLOOKUP(C69,CHOOSE({1,2},[4]副本规划!$M$6:$M$85,'[4]装备&amp;装备材料的投放'!$E$10:$E$89),2,FALSE),B68)</f>
        <v>65</v>
      </c>
      <c r="C69" s="10">
        <v>8001</v>
      </c>
      <c r="D69" s="11"/>
      <c r="E69" s="2"/>
      <c r="F69" s="2"/>
      <c r="G69" s="2"/>
      <c r="H69" s="2"/>
      <c r="J69" s="2">
        <f>IFERROR(VLOOKUP(K69,CHOOSE({1,2},[4]副本规划!$N$6:$N$89,'[4]装备&amp;装备材料的投放'!$E$10:$E$93),2,FALSE),J68)</f>
        <v>77</v>
      </c>
      <c r="K69" s="2">
        <v>8202</v>
      </c>
      <c r="L69" s="2"/>
      <c r="M69" s="2"/>
      <c r="N69" s="2"/>
      <c r="O69" s="2"/>
      <c r="P69" s="2"/>
    </row>
    <row r="70" spans="2:16">
      <c r="B70" s="2">
        <f>IFERROR(VLOOKUP(C70,CHOOSE({1,2},[4]副本规划!$M$6:$M$85,'[4]装备&amp;装备材料的投放'!$E$10:$E$89),2,FALSE),B69)</f>
        <v>66</v>
      </c>
      <c r="C70" s="10">
        <v>8002</v>
      </c>
      <c r="D70" s="11"/>
      <c r="E70" s="2"/>
      <c r="F70" s="2"/>
      <c r="G70" s="2"/>
      <c r="H70" s="2"/>
      <c r="J70" s="2">
        <f>IFERROR(VLOOKUP(K70,CHOOSE({1,2},[4]副本规划!$N$6:$N$89,'[4]装备&amp;装备材料的投放'!$E$10:$E$93),2,FALSE),J69)</f>
        <v>78</v>
      </c>
      <c r="K70" s="2">
        <v>8203</v>
      </c>
      <c r="L70" s="2"/>
      <c r="M70" s="2"/>
      <c r="N70" s="2"/>
      <c r="O70" s="2"/>
      <c r="P70" s="2"/>
    </row>
    <row r="71" spans="2:16">
      <c r="B71" s="2">
        <f>IFERROR(VLOOKUP(C71,CHOOSE({1,2},[4]副本规划!$M$6:$M$85,'[4]装备&amp;装备材料的投放'!$E$10:$E$89),2,FALSE),B70)</f>
        <v>67</v>
      </c>
      <c r="C71" s="10">
        <v>8003</v>
      </c>
      <c r="D71" s="11"/>
      <c r="E71" s="2"/>
      <c r="F71" s="2"/>
      <c r="G71" s="2"/>
      <c r="H71" s="2"/>
      <c r="J71" s="2">
        <f>IFERROR(VLOOKUP(K71,CHOOSE({1,2},[4]副本规划!$N$6:$N$89,'[4]装备&amp;装备材料的投放'!$E$10:$E$93),2,FALSE),J70)</f>
        <v>79</v>
      </c>
      <c r="K71" s="2">
        <v>8204</v>
      </c>
      <c r="L71" s="2"/>
      <c r="M71" s="2"/>
      <c r="N71" s="2"/>
      <c r="O71" s="2"/>
      <c r="P71" s="2"/>
    </row>
    <row r="72" spans="2:16">
      <c r="B72" s="2">
        <f>IFERROR(VLOOKUP(C72,CHOOSE({1,2},[4]副本规划!$M$6:$M$85,'[4]装备&amp;装备材料的投放'!$E$10:$E$89),2,FALSE),B71)</f>
        <v>68</v>
      </c>
      <c r="C72" s="10">
        <v>8004</v>
      </c>
      <c r="D72" s="11"/>
      <c r="E72" s="2"/>
      <c r="F72" s="2"/>
      <c r="G72" s="2"/>
      <c r="H72" s="2"/>
      <c r="J72" s="2">
        <f>IFERROR(VLOOKUP(K72,CHOOSE({1,2},[4]副本规划!$N$6:$N$89,'[4]装备&amp;装备材料的投放'!$E$10:$E$93),2,FALSE),J71)</f>
        <v>80</v>
      </c>
      <c r="K72" s="2">
        <v>8205</v>
      </c>
      <c r="L72" s="2"/>
      <c r="M72" s="2"/>
      <c r="N72" s="2"/>
      <c r="O72" s="2"/>
      <c r="P72" s="2"/>
    </row>
    <row r="73" spans="2:16">
      <c r="B73" s="2">
        <f>IFERROR(VLOOKUP(C73,CHOOSE({1,2},[4]副本规划!$M$6:$M$85,'[4]装备&amp;装备材料的投放'!$E$10:$E$89),2,FALSE),B72)</f>
        <v>69</v>
      </c>
      <c r="C73" s="10">
        <v>8005</v>
      </c>
      <c r="D73" s="11"/>
      <c r="E73" s="2"/>
      <c r="F73" s="2"/>
      <c r="G73" s="2"/>
      <c r="H73" s="2"/>
      <c r="J73" s="2">
        <f>IFERROR(VLOOKUP(K73,CHOOSE({1,2},[4]副本规划!$N$6:$N$89,'[4]装备&amp;装备材料的投放'!$E$10:$E$93),2,FALSE),J72)</f>
        <v>81</v>
      </c>
      <c r="K73" s="2">
        <v>8206</v>
      </c>
      <c r="L73" s="2"/>
      <c r="M73" s="2"/>
      <c r="N73" s="2"/>
      <c r="O73" s="2"/>
      <c r="P73" s="2"/>
    </row>
    <row r="74" spans="2:16">
      <c r="B74" s="2">
        <f>IFERROR(VLOOKUP(C74,CHOOSE({1,2},[4]副本规划!$M$6:$M$85,'[4]装备&amp;装备材料的投放'!$E$10:$E$89),2,FALSE),B73)</f>
        <v>70</v>
      </c>
      <c r="C74" s="10">
        <v>8006</v>
      </c>
      <c r="D74" s="11"/>
      <c r="E74" s="2"/>
      <c r="F74" s="2"/>
      <c r="G74" s="2"/>
      <c r="H74" s="2"/>
      <c r="J74" s="2">
        <f>IFERROR(VLOOKUP(K74,CHOOSE({1,2},[4]副本规划!$N$6:$N$89,'[4]装备&amp;装备材料的投放'!$E$10:$E$93),2,FALSE),J73)</f>
        <v>82</v>
      </c>
      <c r="K74" s="2">
        <v>8207</v>
      </c>
      <c r="L74" s="2"/>
      <c r="M74" s="2"/>
      <c r="N74" s="2"/>
      <c r="O74" s="2"/>
      <c r="P74" s="2"/>
    </row>
    <row r="75" spans="2:16">
      <c r="B75" s="2">
        <f>IFERROR(VLOOKUP(C75,CHOOSE({1,2},[4]副本规划!$M$6:$M$85,'[4]装备&amp;装备材料的投放'!$E$10:$E$89),2,FALSE),B74)</f>
        <v>71</v>
      </c>
      <c r="C75" s="10">
        <v>8007</v>
      </c>
      <c r="D75" s="11"/>
      <c r="E75" s="2"/>
      <c r="F75" s="2"/>
      <c r="G75" s="2"/>
      <c r="H75" s="2"/>
      <c r="J75" s="2">
        <f>IFERROR(VLOOKUP(K75,CHOOSE({1,2},[4]副本规划!$N$6:$N$89,'[4]装备&amp;装备材料的投放'!$E$10:$E$93),2,FALSE),J74)</f>
        <v>83</v>
      </c>
      <c r="K75" s="2">
        <v>8208</v>
      </c>
      <c r="L75" s="2"/>
      <c r="M75" s="2"/>
      <c r="N75" s="2"/>
      <c r="O75" s="2"/>
      <c r="P75" s="2"/>
    </row>
    <row r="76" spans="2:16">
      <c r="B76" s="2">
        <f>IFERROR(VLOOKUP(C76,CHOOSE({1,2},[4]副本规划!$M$6:$M$85,'[4]装备&amp;装备材料的投放'!$E$10:$E$89),2,FALSE),B75)</f>
        <v>72</v>
      </c>
      <c r="C76" s="10">
        <v>8008</v>
      </c>
      <c r="D76" s="11"/>
      <c r="E76" s="2"/>
      <c r="F76" s="2"/>
      <c r="G76" s="2"/>
      <c r="H76" s="2"/>
      <c r="J76" s="2">
        <f>IFERROR(VLOOKUP(K76,CHOOSE({1,2},[4]副本规划!$N$6:$N$89,'[4]装备&amp;装备材料的投放'!$E$10:$E$93),2,FALSE),J75)</f>
        <v>84</v>
      </c>
      <c r="K76" s="2">
        <v>8209</v>
      </c>
      <c r="L76" s="2"/>
      <c r="M76" s="2"/>
      <c r="N76" s="2"/>
      <c r="O76" s="2"/>
      <c r="P76" s="2"/>
    </row>
    <row r="77" spans="2:16">
      <c r="B77" s="2">
        <f>IFERROR(VLOOKUP(C77,CHOOSE({1,2},[4]副本规划!$M$6:$M$85,'[4]装备&amp;装备材料的投放'!$E$10:$E$89),2,FALSE),B76)</f>
        <v>73</v>
      </c>
      <c r="C77" s="10">
        <v>8009</v>
      </c>
      <c r="D77" s="11"/>
      <c r="E77" s="2"/>
      <c r="F77" s="2"/>
      <c r="G77" s="2"/>
      <c r="H77" s="2"/>
    </row>
    <row r="82" spans="2:18">
      <c r="B82" s="2" t="s">
        <v>60</v>
      </c>
      <c r="C82" s="2" t="s">
        <v>63</v>
      </c>
      <c r="G82" s="2" t="s">
        <v>60</v>
      </c>
      <c r="H82" s="2" t="s">
        <v>64</v>
      </c>
      <c r="J82" s="2" t="s">
        <v>60</v>
      </c>
      <c r="K82" s="2" t="s">
        <v>65</v>
      </c>
      <c r="M82" s="2" t="s">
        <v>60</v>
      </c>
      <c r="N82" s="2" t="s">
        <v>66</v>
      </c>
      <c r="P82" s="2" t="s">
        <v>60</v>
      </c>
      <c r="Q82" s="2" t="s">
        <v>67</v>
      </c>
    </row>
    <row r="83" spans="2:18">
      <c r="B83" s="2">
        <f>VLOOKUP(C83,CHOOSE({1,2},[4]副本规划!$O$6:$O$85,'[4]装备&amp;装备材料的投放'!$E$10:$E$89),2,FALSE)</f>
        <v>17</v>
      </c>
      <c r="C83" s="2">
        <v>1301</v>
      </c>
      <c r="G83" s="2">
        <f>VLOOKUP(H83,CHOOSE({1,2},[4]副本规划!$P$6:$P$85,'[4]装备&amp;装备材料的投放'!$E$10:$E$89),2,FALSE)</f>
        <v>35</v>
      </c>
      <c r="H83" s="2">
        <v>1401</v>
      </c>
      <c r="J83" s="2">
        <f>VLOOKUP(K83,CHOOSE({1,2},[4]副本规划!$Q$6:$Q$85,'[4]装备&amp;装备材料的投放'!$E$10:$E$89),2,FALSE)</f>
        <v>11</v>
      </c>
      <c r="K83" s="2">
        <v>1801</v>
      </c>
      <c r="M83" s="2">
        <f>VLOOKUP(N83,CHOOSE({1,2},[4]副本规划!$R$6:$R$85,'[4]装备&amp;装备材料的投放'!$E$10:$E$89),2,FALSE)</f>
        <v>23</v>
      </c>
      <c r="N83" s="2">
        <v>1701</v>
      </c>
      <c r="P83" s="2">
        <f>VLOOKUP(Q83,CHOOSE({1,2},[4]副本规划!$S$6:$S$85,[4]副本规划!$E$6:$E$85),2,FALSE)</f>
        <v>12</v>
      </c>
      <c r="Q83" s="2">
        <v>1501</v>
      </c>
      <c r="R83">
        <v>1</v>
      </c>
    </row>
    <row r="84" spans="2:18">
      <c r="B84" s="2">
        <f>VLOOKUP(C84,CHOOSE({1,2},[4]副本规划!$O$6:$O$85,'[4]装备&amp;装备材料的投放'!$E$10:$E$89),2,FALSE)</f>
        <v>29</v>
      </c>
      <c r="C84" s="2">
        <v>1302</v>
      </c>
      <c r="G84" s="2">
        <f>VLOOKUP(H84,CHOOSE({1,2},[4]副本规划!$P$6:$P$85,'[4]装备&amp;装备材料的投放'!$E$10:$E$89),2,FALSE)</f>
        <v>40</v>
      </c>
      <c r="H84" s="2">
        <v>1402</v>
      </c>
      <c r="J84" s="2">
        <f>VLOOKUP(K84,CHOOSE({1,2},[4]副本规划!$Q$6:$Q$85,'[4]装备&amp;装备材料的投放'!$E$10:$E$89),2,FALSE)</f>
        <v>28</v>
      </c>
      <c r="K84" s="2">
        <v>1802</v>
      </c>
      <c r="M84" s="2">
        <f>VLOOKUP(N84,CHOOSE({1,2},[4]副本规划!$R$6:$R$85,'[4]装备&amp;装备材料的投放'!$E$10:$E$89),2,FALSE)</f>
        <v>33</v>
      </c>
      <c r="N84" s="2">
        <v>1702</v>
      </c>
      <c r="P84" s="2">
        <v>12</v>
      </c>
      <c r="Q84" s="2">
        <v>1502</v>
      </c>
      <c r="R84">
        <v>2</v>
      </c>
    </row>
    <row r="85" spans="2:18">
      <c r="B85" s="2">
        <f>VLOOKUP(C85,CHOOSE({1,2},[4]副本规划!$O$6:$O$85,'[4]装备&amp;装备材料的投放'!$E$10:$E$89),2,FALSE)</f>
        <v>39</v>
      </c>
      <c r="C85" s="2">
        <v>1303</v>
      </c>
      <c r="G85" s="2">
        <f>VLOOKUP(H85,CHOOSE({1,2},[4]副本规划!$P$6:$P$85,'[4]装备&amp;装备材料的投放'!$E$10:$E$89),2,FALSE)</f>
        <v>47</v>
      </c>
      <c r="H85" s="2">
        <v>1403</v>
      </c>
      <c r="J85" s="2">
        <f>VLOOKUP(K85,CHOOSE({1,2},[4]副本规划!$Q$6:$Q$85,'[4]装备&amp;装备材料的投放'!$E$10:$E$89),2,FALSE)</f>
        <v>38</v>
      </c>
      <c r="K85" s="2">
        <v>1803</v>
      </c>
      <c r="M85" s="2">
        <f>VLOOKUP(N85,CHOOSE({1,2},[4]副本规划!$R$6:$R$85,'[4]装备&amp;装备材料的投放'!$E$10:$E$89),2,FALSE)</f>
        <v>43</v>
      </c>
      <c r="N85" s="2">
        <v>1703</v>
      </c>
      <c r="P85" s="2">
        <v>24</v>
      </c>
      <c r="Q85" s="2">
        <v>1503</v>
      </c>
      <c r="R85">
        <v>3</v>
      </c>
    </row>
    <row r="86" spans="2:18">
      <c r="B86" s="2">
        <f>VLOOKUP(C86,CHOOSE({1,2},[4]副本规划!$O$6:$O$85,'[4]装备&amp;装备材料的投放'!$E$10:$E$89),2,FALSE)</f>
        <v>49</v>
      </c>
      <c r="C86" s="2">
        <v>1304</v>
      </c>
      <c r="G86" s="2">
        <f>VLOOKUP(H86,CHOOSE({1,2},[4]副本规划!$P$6:$P$85,'[4]装备&amp;装备材料的投放'!$E$10:$E$89),2,FALSE)</f>
        <v>55</v>
      </c>
      <c r="H86" s="2">
        <v>1404</v>
      </c>
      <c r="J86" s="2">
        <f>VLOOKUP(K86,CHOOSE({1,2},[4]副本规划!$Q$6:$Q$85,'[4]装备&amp;装备材料的投放'!$E$10:$E$89),2,FALSE)</f>
        <v>48</v>
      </c>
      <c r="K86" s="2">
        <v>1804</v>
      </c>
      <c r="M86" s="2">
        <f>VLOOKUP(N86,CHOOSE({1,2},[4]副本规划!$R$6:$R$85,'[4]装备&amp;装备材料的投放'!$E$10:$E$89),2,FALSE)</f>
        <v>52</v>
      </c>
      <c r="N86" s="2">
        <v>1704</v>
      </c>
      <c r="P86" s="2">
        <v>24</v>
      </c>
      <c r="Q86" s="2">
        <v>1504</v>
      </c>
      <c r="R86">
        <v>4</v>
      </c>
    </row>
    <row r="87" spans="2:18">
      <c r="B87" s="2">
        <f>VLOOKUP(C87,CHOOSE({1,2},[4]副本规划!$O$6:$O$85,'[4]装备&amp;装备材料的投放'!$E$10:$E$89),2,FALSE)</f>
        <v>59</v>
      </c>
      <c r="C87" s="2">
        <v>1305</v>
      </c>
      <c r="G87" s="2">
        <f>VLOOKUP(H87,CHOOSE({1,2},[4]副本规划!$P$6:$P$85,'[4]装备&amp;装备材料的投放'!$E$10:$E$89),2,FALSE)</f>
        <v>63</v>
      </c>
      <c r="H87" s="2">
        <v>1405</v>
      </c>
      <c r="J87" s="2">
        <f>VLOOKUP(K87,CHOOSE({1,2},[4]副本规划!$Q$6:$Q$85,'[4]装备&amp;装备材料的投放'!$E$10:$E$89),2,FALSE)</f>
        <v>58</v>
      </c>
      <c r="K87" s="2">
        <v>1805</v>
      </c>
      <c r="M87" s="2">
        <f>VLOOKUP(N87,CHOOSE({1,2},[4]副本规划!$R$6:$R$85,'[4]装备&amp;装备材料的投放'!$E$10:$E$89),2,FALSE)</f>
        <v>61</v>
      </c>
      <c r="N87" s="2">
        <v>1705</v>
      </c>
      <c r="P87" s="2">
        <v>24</v>
      </c>
      <c r="Q87" s="2">
        <v>1505</v>
      </c>
      <c r="R87">
        <v>5</v>
      </c>
    </row>
    <row r="88" spans="2:18">
      <c r="B88" s="2">
        <f>VLOOKUP(C88,CHOOSE({1,2},[4]副本规划!$O$6:$O$85,'[4]装备&amp;装备材料的投放'!$E$10:$E$89),2,FALSE)</f>
        <v>69</v>
      </c>
      <c r="C88" s="2">
        <v>1306</v>
      </c>
      <c r="G88" s="2">
        <f>VLOOKUP(H88,CHOOSE({1,2},[4]副本规划!$P$6:$P$85,'[4]装备&amp;装备材料的投放'!$E$10:$E$89),2,FALSE)</f>
        <v>71</v>
      </c>
      <c r="H88" s="2">
        <v>1406</v>
      </c>
      <c r="J88" s="2">
        <f>VLOOKUP(K88,CHOOSE({1,2},[4]副本规划!$Q$6:$Q$85,'[4]装备&amp;装备材料的投放'!$E$10:$E$89),2,FALSE)</f>
        <v>68</v>
      </c>
      <c r="K88" s="2">
        <v>1806</v>
      </c>
      <c r="M88" s="2">
        <f>VLOOKUP(N88,CHOOSE({1,2},[4]副本规划!$R$6:$R$85,'[4]装备&amp;装备材料的投放'!$E$10:$E$89),2,FALSE)</f>
        <v>70</v>
      </c>
      <c r="N88" s="2">
        <v>1706</v>
      </c>
      <c r="P88" s="2">
        <v>24</v>
      </c>
      <c r="Q88" s="2">
        <v>1506</v>
      </c>
      <c r="R88">
        <v>6</v>
      </c>
    </row>
    <row r="89" spans="2:18">
      <c r="P89" s="2">
        <v>40</v>
      </c>
      <c r="Q89" s="2">
        <v>1507</v>
      </c>
      <c r="R89">
        <v>7</v>
      </c>
    </row>
    <row r="90" spans="2:18">
      <c r="P90" s="2">
        <v>40</v>
      </c>
      <c r="Q90" s="2">
        <v>1508</v>
      </c>
      <c r="R90">
        <v>8</v>
      </c>
    </row>
    <row r="91" spans="2:18">
      <c r="B91" s="2" t="s">
        <v>60</v>
      </c>
      <c r="C91" s="2" t="s">
        <v>316</v>
      </c>
      <c r="P91" s="2">
        <v>40</v>
      </c>
      <c r="Q91" s="2">
        <v>1509</v>
      </c>
      <c r="R91">
        <v>9</v>
      </c>
    </row>
    <row r="92" spans="2:18">
      <c r="B92" s="2">
        <v>31</v>
      </c>
      <c r="C92" s="2">
        <v>1901</v>
      </c>
      <c r="P92" s="2">
        <v>40</v>
      </c>
      <c r="Q92" s="2">
        <v>1510</v>
      </c>
      <c r="R92">
        <v>10</v>
      </c>
    </row>
    <row r="93" spans="2:18">
      <c r="B93" s="2">
        <v>31</v>
      </c>
      <c r="C93" s="2">
        <v>1902</v>
      </c>
      <c r="P93" s="2">
        <v>40</v>
      </c>
      <c r="Q93" s="2">
        <v>1511</v>
      </c>
      <c r="R93">
        <v>11</v>
      </c>
    </row>
    <row r="94" spans="2:18">
      <c r="B94" s="2">
        <v>31</v>
      </c>
      <c r="C94" s="2">
        <v>1903</v>
      </c>
      <c r="P94" s="2">
        <v>50</v>
      </c>
      <c r="Q94" s="2">
        <v>1512</v>
      </c>
      <c r="R94">
        <v>12</v>
      </c>
    </row>
    <row r="95" spans="2:18">
      <c r="B95" s="2">
        <v>31</v>
      </c>
      <c r="C95" s="2">
        <v>1904</v>
      </c>
      <c r="P95" s="2">
        <v>50</v>
      </c>
      <c r="Q95" s="2">
        <v>1513</v>
      </c>
      <c r="R95">
        <v>13</v>
      </c>
    </row>
    <row r="96" spans="2:18">
      <c r="B96" s="2">
        <v>31</v>
      </c>
      <c r="C96" s="2">
        <v>1905</v>
      </c>
      <c r="P96" s="2">
        <v>50</v>
      </c>
      <c r="Q96" s="2">
        <v>1514</v>
      </c>
      <c r="R96">
        <v>14</v>
      </c>
    </row>
    <row r="97" spans="2:3">
      <c r="B97" s="2">
        <v>31</v>
      </c>
      <c r="C97" s="2">
        <v>1906</v>
      </c>
    </row>
    <row r="98" spans="2:3">
      <c r="B98" s="2">
        <v>31</v>
      </c>
      <c r="C98" s="2">
        <v>1907</v>
      </c>
    </row>
    <row r="99" spans="2:3">
      <c r="B99" s="2">
        <v>31</v>
      </c>
      <c r="C99" s="2">
        <v>1908</v>
      </c>
    </row>
    <row r="100" spans="2:3">
      <c r="B100" s="2">
        <v>31</v>
      </c>
      <c r="C100" s="2">
        <v>1909</v>
      </c>
    </row>
    <row r="101" spans="2:3">
      <c r="B101" s="2">
        <v>31</v>
      </c>
      <c r="C101" s="2">
        <v>1910</v>
      </c>
    </row>
    <row r="102" spans="2:3">
      <c r="B102" s="2">
        <v>31</v>
      </c>
      <c r="C102" s="2">
        <v>1911</v>
      </c>
    </row>
    <row r="103" spans="2:3">
      <c r="B103" s="2">
        <v>31</v>
      </c>
      <c r="C103" s="2">
        <v>1912</v>
      </c>
    </row>
    <row r="104" spans="2:3">
      <c r="B104" s="2">
        <v>31</v>
      </c>
      <c r="C104" s="2">
        <v>1913</v>
      </c>
    </row>
    <row r="105" spans="2:3">
      <c r="B105" s="2">
        <v>31</v>
      </c>
      <c r="C105" s="2">
        <v>1914</v>
      </c>
    </row>
    <row r="106" spans="2:3">
      <c r="B106" s="2">
        <v>31</v>
      </c>
      <c r="C106" s="2">
        <v>1915</v>
      </c>
    </row>
    <row r="107" spans="2:3">
      <c r="B107" s="2">
        <v>31</v>
      </c>
      <c r="C107" s="2">
        <v>1916</v>
      </c>
    </row>
    <row r="108" spans="2:3">
      <c r="B108" s="2">
        <v>31</v>
      </c>
      <c r="C108" s="2">
        <v>1917</v>
      </c>
    </row>
    <row r="109" spans="2:3">
      <c r="B109" s="2">
        <v>31</v>
      </c>
      <c r="C109" s="2">
        <v>1918</v>
      </c>
    </row>
    <row r="110" spans="2:3">
      <c r="B110" s="2">
        <v>31</v>
      </c>
      <c r="C110" s="2">
        <v>1919</v>
      </c>
    </row>
    <row r="111" spans="2:3">
      <c r="B111" s="2">
        <v>31</v>
      </c>
      <c r="C111" s="2">
        <v>1920</v>
      </c>
    </row>
  </sheetData>
  <mergeCells count="3">
    <mergeCell ref="E3:G3"/>
    <mergeCell ref="C2:H2"/>
    <mergeCell ref="J2:P2"/>
  </mergeCells>
  <phoneticPr fontId="1" type="noConversion"/>
  <dataValidations count="1">
    <dataValidation type="list" allowBlank="1" showInputMessage="1" showErrorMessage="1" sqref="E6:H11 E15:H20 E24:H29 E33:H38 E51:H56 E42:H47">
      <formula1>$S$9:$S$32</formula1>
    </dataValidation>
  </dataValidations>
  <pageMargins left="0.7" right="0.7" top="0.75" bottom="0.75" header="0.3" footer="0.3"/>
  <pageSetup paperSize="9" orientation="portrait" horizontalDpi="300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-0.249977111117893"/>
  </sheetPr>
  <dimension ref="A1:AC101"/>
  <sheetViews>
    <sheetView workbookViewId="0">
      <pane xSplit="3" ySplit="1" topLeftCell="AA26" activePane="bottomRight" state="frozen"/>
      <selection pane="topRight" activeCell="D1" sqref="D1"/>
      <selection pane="bottomLeft" activeCell="A2" sqref="A2"/>
      <selection pane="bottomRight" activeCell="A71" sqref="A71:XFD71"/>
    </sheetView>
  </sheetViews>
  <sheetFormatPr defaultRowHeight="13.5"/>
  <cols>
    <col min="2" max="2" width="9.25" bestFit="1" customWidth="1"/>
    <col min="3" max="3" width="12.75" style="19" bestFit="1" customWidth="1"/>
    <col min="4" max="4" width="12.875" style="19" bestFit="1" customWidth="1"/>
    <col min="5" max="5" width="11.625" style="19" bestFit="1" customWidth="1"/>
    <col min="11" max="13" width="8.875" style="85"/>
    <col min="15" max="15" width="10.875" style="84" bestFit="1" customWidth="1"/>
    <col min="16" max="16" width="9.25" style="84" bestFit="1" customWidth="1"/>
    <col min="17" max="17" width="13.125" style="84" bestFit="1" customWidth="1"/>
    <col min="19" max="19" width="12.75" style="91" bestFit="1" customWidth="1"/>
    <col min="20" max="21" width="11.625" style="91" bestFit="1" customWidth="1"/>
    <col min="23" max="23" width="15.125" style="93" bestFit="1" customWidth="1"/>
    <col min="24" max="24" width="12.875" style="93" bestFit="1" customWidth="1"/>
    <col min="25" max="25" width="11.75" style="93" bestFit="1" customWidth="1"/>
    <col min="27" max="27" width="15" style="95" bestFit="1" customWidth="1"/>
    <col min="28" max="29" width="11.625" style="95" bestFit="1" customWidth="1"/>
  </cols>
  <sheetData>
    <row r="1" spans="1:29">
      <c r="B1" t="s">
        <v>593</v>
      </c>
      <c r="C1" s="19" t="s">
        <v>630</v>
      </c>
      <c r="D1" s="19" t="s">
        <v>631</v>
      </c>
      <c r="E1" s="19" t="s">
        <v>632</v>
      </c>
      <c r="K1" s="85" t="s">
        <v>627</v>
      </c>
      <c r="L1" s="85" t="s">
        <v>628</v>
      </c>
      <c r="M1" s="85" t="s">
        <v>629</v>
      </c>
      <c r="O1" s="88" t="s">
        <v>623</v>
      </c>
      <c r="P1" s="89" t="s">
        <v>624</v>
      </c>
      <c r="Q1" s="89" t="s">
        <v>625</v>
      </c>
      <c r="S1" s="90" t="s">
        <v>597</v>
      </c>
      <c r="T1" s="91" t="s">
        <v>598</v>
      </c>
      <c r="U1" s="91" t="s">
        <v>599</v>
      </c>
      <c r="W1" s="92" t="s">
        <v>594</v>
      </c>
      <c r="X1" s="93" t="s">
        <v>595</v>
      </c>
      <c r="Y1" s="93" t="s">
        <v>596</v>
      </c>
      <c r="AA1" s="94" t="s">
        <v>600</v>
      </c>
      <c r="AB1" s="95" t="s">
        <v>601</v>
      </c>
      <c r="AC1" s="95" t="s">
        <v>602</v>
      </c>
    </row>
    <row r="2" spans="1:29">
      <c r="B2">
        <v>1</v>
      </c>
      <c r="C2" s="19">
        <f>W2*K2</f>
        <v>247.82999999999998</v>
      </c>
      <c r="D2" s="19">
        <f>X2*L2</f>
        <v>59.400000000000006</v>
      </c>
      <c r="E2" s="19">
        <f>Y2*M2</f>
        <v>26.400000000000002</v>
      </c>
      <c r="K2" s="100">
        <v>0.5</v>
      </c>
      <c r="L2" s="100">
        <v>0.5</v>
      </c>
      <c r="M2" s="100">
        <v>0.5</v>
      </c>
      <c r="O2" s="86">
        <f>(S2+W2+AA2)/3</f>
        <v>562.32666666666671</v>
      </c>
      <c r="P2" s="86">
        <f t="shared" ref="P2:Q2" si="0">(T2+X2+AB2)/3</f>
        <v>118.80000000000001</v>
      </c>
      <c r="Q2" s="86">
        <f t="shared" si="0"/>
        <v>52.800000000000004</v>
      </c>
      <c r="S2" s="127">
        <f>'[5]主角分析-非R'!G2</f>
        <v>595.66</v>
      </c>
      <c r="T2" s="127">
        <f>'[5]主角分析-非R'!H2</f>
        <v>118.80000000000001</v>
      </c>
      <c r="U2" s="127">
        <f>'[5]主角分析-非R'!I2</f>
        <v>52.800000000000004</v>
      </c>
      <c r="V2" s="128"/>
      <c r="W2" s="129">
        <f>'[2]3、总属性战斗节奏拟合'!D5</f>
        <v>495.65999999999997</v>
      </c>
      <c r="X2" s="129">
        <f>'[2]3、总属性战斗节奏拟合'!E5</f>
        <v>118.80000000000001</v>
      </c>
      <c r="Y2" s="129">
        <f>'[2]3、总属性战斗节奏拟合'!F5</f>
        <v>52.800000000000004</v>
      </c>
      <c r="Z2" s="128"/>
      <c r="AA2" s="130">
        <f>'[5]主角数据分析-超R'!G2</f>
        <v>595.66</v>
      </c>
      <c r="AB2" s="130">
        <f>'[5]主角数据分析-超R'!H2</f>
        <v>118.80000000000001</v>
      </c>
      <c r="AC2" s="130">
        <f>'[5]主角数据分析-超R'!I2</f>
        <v>52.800000000000004</v>
      </c>
    </row>
    <row r="3" spans="1:29">
      <c r="B3">
        <v>2</v>
      </c>
      <c r="C3" s="19">
        <f t="shared" ref="C3:C66" si="1">W3*K3</f>
        <v>288.71999999999997</v>
      </c>
      <c r="D3" s="19">
        <f t="shared" ref="D3:D66" si="2">X3*L3</f>
        <v>64.8</v>
      </c>
      <c r="E3" s="19">
        <f t="shared" ref="E3:E66" si="3">Y3*M3</f>
        <v>28.8</v>
      </c>
      <c r="K3" s="100">
        <v>0.5</v>
      </c>
      <c r="L3" s="100">
        <v>0.5</v>
      </c>
      <c r="M3" s="100">
        <v>0.5</v>
      </c>
      <c r="O3" s="86">
        <f t="shared" ref="O3:O66" si="4">(S3+W3+AA3)/3</f>
        <v>644.10666666666657</v>
      </c>
      <c r="P3" s="86">
        <f t="shared" ref="P3:P66" si="5">(T3+X3+AB3)/3</f>
        <v>129.6</v>
      </c>
      <c r="Q3" s="86">
        <f t="shared" ref="Q3:Q66" si="6">(U3+Y3+AC3)/3</f>
        <v>57.6</v>
      </c>
      <c r="S3" s="127">
        <f>'[5]主角分析-非R'!G3</f>
        <v>677.43999999999994</v>
      </c>
      <c r="T3" s="127">
        <f>'[5]主角分析-非R'!H3</f>
        <v>129.6</v>
      </c>
      <c r="U3" s="127">
        <f>'[5]主角分析-非R'!I3</f>
        <v>57.6</v>
      </c>
      <c r="V3" s="128"/>
      <c r="W3" s="129">
        <f>'[2]3、总属性战斗节奏拟合'!D6</f>
        <v>577.43999999999994</v>
      </c>
      <c r="X3" s="129">
        <f>'[2]3、总属性战斗节奏拟合'!E6</f>
        <v>129.6</v>
      </c>
      <c r="Y3" s="129">
        <f>'[2]3、总属性战斗节奏拟合'!F6</f>
        <v>57.6</v>
      </c>
      <c r="Z3" s="128"/>
      <c r="AA3" s="130">
        <f>'[5]主角数据分析-超R'!G3</f>
        <v>677.43999999999994</v>
      </c>
      <c r="AB3" s="130">
        <f>'[5]主角数据分析-超R'!H3</f>
        <v>129.6</v>
      </c>
      <c r="AC3" s="130">
        <f>'[5]主角数据分析-超R'!I3</f>
        <v>57.6</v>
      </c>
    </row>
    <row r="4" spans="1:29">
      <c r="B4">
        <v>3</v>
      </c>
      <c r="C4" s="19">
        <f t="shared" si="1"/>
        <v>332.67000000000007</v>
      </c>
      <c r="D4" s="19">
        <f>X4*L4</f>
        <v>70.2</v>
      </c>
      <c r="E4" s="19">
        <f t="shared" si="3"/>
        <v>31.200000000000003</v>
      </c>
      <c r="K4" s="100">
        <v>0.5</v>
      </c>
      <c r="L4" s="100">
        <v>0.5</v>
      </c>
      <c r="M4" s="100">
        <v>0.5</v>
      </c>
      <c r="O4" s="86">
        <f t="shared" si="4"/>
        <v>732.00666666666677</v>
      </c>
      <c r="P4" s="86">
        <f t="shared" si="5"/>
        <v>140.4</v>
      </c>
      <c r="Q4" s="86">
        <f t="shared" si="6"/>
        <v>62.400000000000006</v>
      </c>
      <c r="S4" s="127">
        <f>'[5]主角分析-非R'!G4</f>
        <v>765.34000000000015</v>
      </c>
      <c r="T4" s="127">
        <f>'[5]主角分析-非R'!H4</f>
        <v>140.4</v>
      </c>
      <c r="U4" s="127">
        <f>'[5]主角分析-非R'!I4</f>
        <v>62.400000000000006</v>
      </c>
      <c r="V4" s="128"/>
      <c r="W4" s="129">
        <f>'[2]3、总属性战斗节奏拟合'!D7</f>
        <v>665.34000000000015</v>
      </c>
      <c r="X4" s="129">
        <f>'[2]3、总属性战斗节奏拟合'!E7</f>
        <v>140.4</v>
      </c>
      <c r="Y4" s="129">
        <f>'[2]3、总属性战斗节奏拟合'!F7</f>
        <v>62.400000000000006</v>
      </c>
      <c r="Z4" s="128"/>
      <c r="AA4" s="130">
        <f>'[5]主角数据分析-超R'!G4</f>
        <v>765.34000000000015</v>
      </c>
      <c r="AB4" s="130">
        <f>'[5]主角数据分析-超R'!H4</f>
        <v>140.4</v>
      </c>
      <c r="AC4" s="130">
        <f>'[5]主角数据分析-超R'!I4</f>
        <v>62.400000000000006</v>
      </c>
    </row>
    <row r="5" spans="1:29">
      <c r="B5">
        <v>4</v>
      </c>
      <c r="C5" s="19">
        <f t="shared" si="1"/>
        <v>379.67999999999995</v>
      </c>
      <c r="D5" s="19">
        <f t="shared" si="2"/>
        <v>60.48</v>
      </c>
      <c r="E5" s="19">
        <f t="shared" si="3"/>
        <v>26.880000000000003</v>
      </c>
      <c r="K5" s="100">
        <v>0.5</v>
      </c>
      <c r="L5" s="100">
        <v>0.4</v>
      </c>
      <c r="M5" s="100">
        <v>0.4</v>
      </c>
      <c r="O5" s="86">
        <f t="shared" si="4"/>
        <v>826.02666666666664</v>
      </c>
      <c r="P5" s="86">
        <f t="shared" si="5"/>
        <v>151.19999999999999</v>
      </c>
      <c r="Q5" s="86">
        <f t="shared" si="6"/>
        <v>67.2</v>
      </c>
      <c r="S5" s="127">
        <f>'[5]主角分析-非R'!G5</f>
        <v>859.3599999999999</v>
      </c>
      <c r="T5" s="127">
        <f>'[5]主角分析-非R'!H5</f>
        <v>151.19999999999999</v>
      </c>
      <c r="U5" s="127">
        <f>'[5]主角分析-非R'!I5</f>
        <v>67.2</v>
      </c>
      <c r="V5" s="128"/>
      <c r="W5" s="129">
        <f>'[2]3、总属性战斗节奏拟合'!D8</f>
        <v>759.3599999999999</v>
      </c>
      <c r="X5" s="129">
        <f>'[2]3、总属性战斗节奏拟合'!E8</f>
        <v>151.19999999999999</v>
      </c>
      <c r="Y5" s="129">
        <f>'[2]3、总属性战斗节奏拟合'!F8</f>
        <v>67.2</v>
      </c>
      <c r="Z5" s="128"/>
      <c r="AA5" s="130">
        <f>'[5]主角数据分析-超R'!G5</f>
        <v>859.3599999999999</v>
      </c>
      <c r="AB5" s="130">
        <f>'[5]主角数据分析-超R'!H5</f>
        <v>151.19999999999999</v>
      </c>
      <c r="AC5" s="130">
        <f>'[5]主角数据分析-超R'!I5</f>
        <v>67.2</v>
      </c>
    </row>
    <row r="6" spans="1:29" s="60" customFormat="1">
      <c r="A6" s="60" t="s">
        <v>626</v>
      </c>
      <c r="B6" s="60">
        <v>5</v>
      </c>
      <c r="C6" s="19">
        <f t="shared" si="1"/>
        <v>429.75000000000006</v>
      </c>
      <c r="D6" s="19">
        <f t="shared" si="2"/>
        <v>64.8</v>
      </c>
      <c r="E6" s="19">
        <f t="shared" si="3"/>
        <v>28.8</v>
      </c>
      <c r="K6" s="100">
        <v>0.5</v>
      </c>
      <c r="L6" s="100">
        <v>0.4</v>
      </c>
      <c r="M6" s="100">
        <v>0.4</v>
      </c>
      <c r="O6" s="86">
        <f t="shared" si="4"/>
        <v>926.16666666666686</v>
      </c>
      <c r="P6" s="86">
        <f t="shared" si="5"/>
        <v>171.67620490267382</v>
      </c>
      <c r="Q6" s="86">
        <f t="shared" si="6"/>
        <v>72</v>
      </c>
      <c r="S6" s="127">
        <f>'[5]主角分析-非R'!G6</f>
        <v>959.50000000000011</v>
      </c>
      <c r="T6" s="127">
        <f>'[5]主角分析-非R'!H6</f>
        <v>176.5143073540107</v>
      </c>
      <c r="U6" s="127">
        <f>'[5]主角分析-非R'!I6</f>
        <v>72</v>
      </c>
      <c r="V6" s="131"/>
      <c r="W6" s="132">
        <f>'[2]3、总属性战斗节奏拟合'!D9</f>
        <v>859.50000000000011</v>
      </c>
      <c r="X6" s="132">
        <f>'[2]3、总属性战斗节奏拟合'!E9</f>
        <v>162</v>
      </c>
      <c r="Y6" s="132">
        <f>'[2]3、总属性战斗节奏拟合'!F9</f>
        <v>72</v>
      </c>
      <c r="Z6" s="131"/>
      <c r="AA6" s="130">
        <f>'[5]主角数据分析-超R'!G6</f>
        <v>959.50000000000011</v>
      </c>
      <c r="AB6" s="130">
        <f>'[5]主角数据分析-超R'!H6</f>
        <v>176.5143073540107</v>
      </c>
      <c r="AC6" s="130">
        <f>'[5]主角数据分析-超R'!I6</f>
        <v>72</v>
      </c>
    </row>
    <row r="7" spans="1:29">
      <c r="B7">
        <v>6</v>
      </c>
      <c r="C7" s="19">
        <f t="shared" si="1"/>
        <v>745.44600000000003</v>
      </c>
      <c r="D7" s="19">
        <f t="shared" si="2"/>
        <v>106.70400000000001</v>
      </c>
      <c r="E7" s="19">
        <f t="shared" si="3"/>
        <v>47.424000000000007</v>
      </c>
      <c r="K7" s="100">
        <v>0.5</v>
      </c>
      <c r="L7" s="100">
        <v>0.4</v>
      </c>
      <c r="M7" s="100">
        <v>0.4</v>
      </c>
      <c r="O7" s="86">
        <f t="shared" si="4"/>
        <v>1207.4706666666668</v>
      </c>
      <c r="P7" s="86">
        <f t="shared" si="5"/>
        <v>213.79620490267379</v>
      </c>
      <c r="Q7" s="86">
        <f t="shared" si="6"/>
        <v>90.720000000000013</v>
      </c>
      <c r="S7" s="127">
        <f>'[5]主角分析-非R'!G7</f>
        <v>1065.76</v>
      </c>
      <c r="T7" s="127">
        <f>'[5]主角分析-非R'!H7</f>
        <v>187.31430735401068</v>
      </c>
      <c r="U7" s="127">
        <f>'[5]主角分析-非R'!I7</f>
        <v>76.8</v>
      </c>
      <c r="V7" s="128"/>
      <c r="W7" s="129">
        <f>'[2]3、总属性战斗节奏拟合'!D10</f>
        <v>1490.8920000000001</v>
      </c>
      <c r="X7" s="129">
        <f>'[2]3、总属性战斗节奏拟合'!E10</f>
        <v>266.76</v>
      </c>
      <c r="Y7" s="129">
        <f>'[2]3、总属性战斗节奏拟合'!F10</f>
        <v>118.56</v>
      </c>
      <c r="Z7" s="128"/>
      <c r="AA7" s="130">
        <f>'[5]主角数据分析-超R'!G7</f>
        <v>1065.76</v>
      </c>
      <c r="AB7" s="130">
        <f>'[5]主角数据分析-超R'!H7</f>
        <v>187.31430735401068</v>
      </c>
      <c r="AC7" s="130">
        <f>'[5]主角数据分析-超R'!I7</f>
        <v>76.8</v>
      </c>
    </row>
    <row r="8" spans="1:29">
      <c r="B8">
        <v>7</v>
      </c>
      <c r="C8" s="19">
        <f t="shared" si="1"/>
        <v>897.8884687499999</v>
      </c>
      <c r="D8" s="19">
        <f t="shared" si="2"/>
        <v>122.3235</v>
      </c>
      <c r="E8" s="19">
        <f t="shared" si="3"/>
        <v>54.366</v>
      </c>
      <c r="K8" s="100">
        <v>0.5</v>
      </c>
      <c r="L8" s="100">
        <v>0.4</v>
      </c>
      <c r="M8" s="100">
        <v>0.4</v>
      </c>
      <c r="O8" s="86">
        <f t="shared" si="4"/>
        <v>1384.0189791666664</v>
      </c>
      <c r="P8" s="86">
        <f t="shared" si="5"/>
        <v>234.0124549026738</v>
      </c>
      <c r="Q8" s="86">
        <f t="shared" si="6"/>
        <v>99.704999999999998</v>
      </c>
      <c r="S8" s="127">
        <f>'[5]主角分析-非R'!G8</f>
        <v>1178.1399999999999</v>
      </c>
      <c r="T8" s="127">
        <f>'[5]主角分析-非R'!H8</f>
        <v>198.11430735401069</v>
      </c>
      <c r="U8" s="127">
        <f>'[5]主角分析-非R'!I8</f>
        <v>81.600000000000009</v>
      </c>
      <c r="V8" s="128"/>
      <c r="W8" s="129">
        <f>'[2]3、总属性战斗节奏拟合'!D11</f>
        <v>1795.7769374999998</v>
      </c>
      <c r="X8" s="129">
        <f>'[2]3、总属性战斗节奏拟合'!E11</f>
        <v>305.80874999999997</v>
      </c>
      <c r="Y8" s="129">
        <f>'[2]3、总属性战斗节奏拟合'!F11</f>
        <v>135.91499999999999</v>
      </c>
      <c r="Z8" s="128"/>
      <c r="AA8" s="130">
        <f>'[5]主角数据分析-超R'!G8</f>
        <v>1178.1399999999999</v>
      </c>
      <c r="AB8" s="130">
        <f>'[5]主角数据分析-超R'!H8</f>
        <v>198.11430735401069</v>
      </c>
      <c r="AC8" s="130">
        <f>'[5]主角数据分析-超R'!I8</f>
        <v>81.600000000000009</v>
      </c>
    </row>
    <row r="9" spans="1:29">
      <c r="B9">
        <v>8</v>
      </c>
      <c r="C9" s="19">
        <f t="shared" si="1"/>
        <v>1069.4970000000001</v>
      </c>
      <c r="D9" s="19">
        <f t="shared" si="2"/>
        <v>138.99600000000001</v>
      </c>
      <c r="E9" s="19">
        <f t="shared" si="3"/>
        <v>61.77600000000001</v>
      </c>
      <c r="K9" s="100">
        <v>0.5</v>
      </c>
      <c r="L9" s="100">
        <v>0.4</v>
      </c>
      <c r="M9" s="100">
        <v>0.4</v>
      </c>
      <c r="O9" s="86">
        <f t="shared" si="4"/>
        <v>2601.9777774430877</v>
      </c>
      <c r="P9" s="86">
        <f t="shared" si="5"/>
        <v>294.7395714909091</v>
      </c>
      <c r="Q9" s="86">
        <f t="shared" si="6"/>
        <v>127.35641866204507</v>
      </c>
      <c r="S9" s="127">
        <f>'[5]主角分析-非R'!G9</f>
        <v>1296.6399999999999</v>
      </c>
      <c r="T9" s="127">
        <f>'[5]主角分析-非R'!H9</f>
        <v>208.91430735401067</v>
      </c>
      <c r="U9" s="127">
        <f>'[5]主角分析-非R'!I9</f>
        <v>86.4</v>
      </c>
      <c r="V9" s="128"/>
      <c r="W9" s="129">
        <f>'[2]3、总属性战斗节奏拟合'!D12</f>
        <v>2138.9940000000001</v>
      </c>
      <c r="X9" s="129">
        <f>'[2]3、总属性战斗节奏拟合'!E12</f>
        <v>347.49</v>
      </c>
      <c r="Y9" s="129">
        <f>'[2]3、总属性战斗节奏拟合'!F12</f>
        <v>154.44000000000003</v>
      </c>
      <c r="Z9" s="128"/>
      <c r="AA9" s="130">
        <f>'[5]主角数据分析-超R'!G9</f>
        <v>4370.2993323292631</v>
      </c>
      <c r="AB9" s="130">
        <f>'[5]主角数据分析-超R'!H9</f>
        <v>327.81440711871659</v>
      </c>
      <c r="AC9" s="130">
        <f>'[5]主角数据分析-超R'!I9</f>
        <v>141.2292559861352</v>
      </c>
    </row>
    <row r="10" spans="1:29" s="60" customFormat="1">
      <c r="A10" s="60" t="s">
        <v>633</v>
      </c>
      <c r="B10" s="60">
        <v>9</v>
      </c>
      <c r="C10" s="19">
        <f t="shared" si="1"/>
        <v>1405.0056236413043</v>
      </c>
      <c r="D10" s="19">
        <f t="shared" si="2"/>
        <v>174.56497826086957</v>
      </c>
      <c r="E10" s="19">
        <f t="shared" si="3"/>
        <v>77.584434782608696</v>
      </c>
      <c r="K10" s="100">
        <v>0.5</v>
      </c>
      <c r="L10" s="100">
        <v>0.4</v>
      </c>
      <c r="M10" s="100">
        <v>0.4</v>
      </c>
      <c r="O10" s="86">
        <f t="shared" si="4"/>
        <v>3621.7683515949852</v>
      </c>
      <c r="P10" s="86">
        <f t="shared" si="5"/>
        <v>359.33236072042172</v>
      </c>
      <c r="Q10" s="86">
        <f t="shared" si="6"/>
        <v>158.15803413859794</v>
      </c>
      <c r="S10" s="127">
        <f>'[5]主角分析-非R'!G10</f>
        <v>3149.0115646193149</v>
      </c>
      <c r="T10" s="127">
        <f>'[5]主角分析-非R'!H10</f>
        <v>291.67247483208558</v>
      </c>
      <c r="U10" s="127">
        <f>'[5]主角分析-非R'!I10</f>
        <v>127.30464720970538</v>
      </c>
      <c r="V10" s="131"/>
      <c r="W10" s="132">
        <f>'[2]3、总属性战斗节奏拟合'!D13</f>
        <v>2810.0112472826086</v>
      </c>
      <c r="X10" s="132">
        <f>'[2]3、总属性战斗节奏拟合'!E13</f>
        <v>436.41244565217391</v>
      </c>
      <c r="Y10" s="132">
        <f>'[2]3、总属性战斗节奏拟合'!F13</f>
        <v>193.96108695652174</v>
      </c>
      <c r="Z10" s="131"/>
      <c r="AA10" s="130">
        <f>'[5]主角数据分析-超R'!G10</f>
        <v>4906.2822428830341</v>
      </c>
      <c r="AB10" s="130">
        <f>'[5]主角数据分析-超R'!H10</f>
        <v>349.91216167700543</v>
      </c>
      <c r="AC10" s="130">
        <f>'[5]主角数据分析-超R'!I10</f>
        <v>153.20836824956672</v>
      </c>
    </row>
    <row r="11" spans="1:29" s="82" customFormat="1">
      <c r="B11" s="82">
        <v>10</v>
      </c>
      <c r="C11" s="19">
        <f t="shared" si="1"/>
        <v>1790.3396739130437</v>
      </c>
      <c r="D11" s="19">
        <f t="shared" si="2"/>
        <v>213.0652173913044</v>
      </c>
      <c r="E11" s="19">
        <f t="shared" si="3"/>
        <v>94.695652173913061</v>
      </c>
      <c r="K11" s="100">
        <v>0.5</v>
      </c>
      <c r="L11" s="100">
        <v>0.4</v>
      </c>
      <c r="M11" s="100">
        <v>0.4</v>
      </c>
      <c r="O11" s="86">
        <f t="shared" si="4"/>
        <v>4060.183658749836</v>
      </c>
      <c r="P11" s="86">
        <f t="shared" si="5"/>
        <v>403.40901418473231</v>
      </c>
      <c r="Q11" s="86">
        <f t="shared" si="6"/>
        <v>177.68858612413035</v>
      </c>
      <c r="S11" s="127">
        <f>'[5]主角分析-非R'!G11</f>
        <v>3506.2298213561717</v>
      </c>
      <c r="T11" s="127">
        <f>'[5]主角分析-非R'!H11</f>
        <v>313.97596488556155</v>
      </c>
      <c r="U11" s="127">
        <f>'[5]主角分析-非R'!I11</f>
        <v>137.07553719237438</v>
      </c>
      <c r="V11" s="133"/>
      <c r="W11" s="132">
        <f>'[2]3、总属性战斗节奏拟合'!D14</f>
        <v>3580.6793478260875</v>
      </c>
      <c r="X11" s="132">
        <f>'[2]3、总属性战斗节奏拟合'!E14</f>
        <v>532.66304347826099</v>
      </c>
      <c r="Y11" s="132">
        <f>'[2]3、总属性战斗节奏拟合'!F14</f>
        <v>236.73913043478265</v>
      </c>
      <c r="Z11" s="133"/>
      <c r="AA11" s="130">
        <f>'[5]主角数据分析-超R'!G11</f>
        <v>5093.641807067248</v>
      </c>
      <c r="AB11" s="130">
        <f>'[5]主角数据分析-超R'!H11</f>
        <v>363.5880341903744</v>
      </c>
      <c r="AC11" s="130">
        <f>'[5]主角数据分析-超R'!I11</f>
        <v>159.25109074523399</v>
      </c>
    </row>
    <row r="12" spans="1:29">
      <c r="B12">
        <v>11</v>
      </c>
      <c r="C12" s="19">
        <f t="shared" si="1"/>
        <v>2228.6136154891301</v>
      </c>
      <c r="D12" s="19">
        <f>X12*L12</f>
        <v>254.49671739130437</v>
      </c>
      <c r="E12" s="19">
        <f t="shared" si="3"/>
        <v>113.10965217391305</v>
      </c>
      <c r="K12" s="100">
        <v>0.5</v>
      </c>
      <c r="L12" s="100">
        <v>0.4</v>
      </c>
      <c r="M12" s="100">
        <v>0.4</v>
      </c>
      <c r="O12" s="86">
        <f t="shared" si="4"/>
        <v>4556.8454148356541</v>
      </c>
      <c r="P12" s="86">
        <f t="shared" si="5"/>
        <v>450.88700921147023</v>
      </c>
      <c r="Q12" s="86">
        <f t="shared" si="6"/>
        <v>198.71903111546476</v>
      </c>
      <c r="S12" s="127">
        <f>'[5]主角分析-非R'!G12</f>
        <v>3926.1876422772411</v>
      </c>
      <c r="T12" s="127">
        <f>'[5]主角分析-非R'!H12</f>
        <v>339.15532745240637</v>
      </c>
      <c r="U12" s="127">
        <f>'[5]主角分析-非R'!I12</f>
        <v>148.08914967071055</v>
      </c>
      <c r="V12" s="128"/>
      <c r="W12" s="129">
        <f>'[2]3、总属性战斗节奏拟合'!D15</f>
        <v>4457.2272309782602</v>
      </c>
      <c r="X12" s="129">
        <f>'[2]3、总属性战斗节奏拟合'!E15</f>
        <v>636.24179347826089</v>
      </c>
      <c r="Y12" s="129">
        <f>'[2]3、总属性战斗节奏拟合'!F15</f>
        <v>282.77413043478259</v>
      </c>
      <c r="Z12" s="128"/>
      <c r="AA12" s="130">
        <f>'[5]主角数据分析-超R'!G12</f>
        <v>5287.1213712514618</v>
      </c>
      <c r="AB12" s="130">
        <f>'[5]主角数据分析-超R'!H12</f>
        <v>377.26390670374332</v>
      </c>
      <c r="AC12" s="130">
        <f>'[5]主角数据分析-超R'!I12</f>
        <v>165.29381324090119</v>
      </c>
    </row>
    <row r="13" spans="1:29">
      <c r="B13">
        <v>12</v>
      </c>
      <c r="C13" s="19">
        <f t="shared" si="1"/>
        <v>2722.9419130434781</v>
      </c>
      <c r="D13" s="19">
        <f t="shared" si="2"/>
        <v>298.85947826086959</v>
      </c>
      <c r="E13" s="19">
        <f t="shared" si="3"/>
        <v>132.82643478260871</v>
      </c>
      <c r="K13" s="100">
        <v>0.5</v>
      </c>
      <c r="L13" s="100">
        <v>0.4</v>
      </c>
      <c r="M13" s="100">
        <v>0.4</v>
      </c>
      <c r="O13" s="86">
        <f t="shared" si="4"/>
        <v>5019.46398932803</v>
      </c>
      <c r="P13" s="86">
        <f t="shared" si="5"/>
        <v>496.97322494502055</v>
      </c>
      <c r="Q13" s="86">
        <f t="shared" si="6"/>
        <v>219.17816495315603</v>
      </c>
      <c r="S13" s="127">
        <f>'[5]主角分析-非R'!G13</f>
        <v>4125.7872064614558</v>
      </c>
      <c r="T13" s="127">
        <f>'[5]主角分析-非R'!H13</f>
        <v>352.83119996577545</v>
      </c>
      <c r="U13" s="127">
        <f>'[5]主角分析-非R'!I13</f>
        <v>154.13187216637783</v>
      </c>
      <c r="V13" s="128"/>
      <c r="W13" s="129">
        <f>'[2]3、总属性战斗节奏拟合'!D16</f>
        <v>5445.8838260869561</v>
      </c>
      <c r="X13" s="129">
        <f>'[2]3、总属性战斗节奏拟合'!E16</f>
        <v>747.14869565217396</v>
      </c>
      <c r="Y13" s="129">
        <f>'[2]3、总属性战斗节奏拟合'!F16</f>
        <v>332.06608695652176</v>
      </c>
      <c r="Z13" s="128"/>
      <c r="AA13" s="130">
        <f>'[5]主角数据分析-超R'!G13</f>
        <v>5486.7209354356764</v>
      </c>
      <c r="AB13" s="130">
        <f>'[5]主角数据分析-超R'!H13</f>
        <v>390.93977921711235</v>
      </c>
      <c r="AC13" s="130">
        <f>'[5]主角数据分析-超R'!I13</f>
        <v>171.33653573656846</v>
      </c>
    </row>
    <row r="14" spans="1:29">
      <c r="B14">
        <v>13</v>
      </c>
      <c r="C14" s="19">
        <f t="shared" si="1"/>
        <v>3276.4390312499995</v>
      </c>
      <c r="D14" s="19">
        <f t="shared" si="2"/>
        <v>346.15350000000001</v>
      </c>
      <c r="E14" s="19">
        <f t="shared" si="3"/>
        <v>153.846</v>
      </c>
      <c r="K14" s="100">
        <v>0.5</v>
      </c>
      <c r="L14" s="100">
        <v>0.4</v>
      </c>
      <c r="M14" s="100">
        <v>0.4</v>
      </c>
      <c r="O14" s="86">
        <f t="shared" si="4"/>
        <v>5525.6084442551864</v>
      </c>
      <c r="P14" s="86">
        <f t="shared" si="5"/>
        <v>545.50215806987524</v>
      </c>
      <c r="Q14" s="86">
        <f t="shared" si="6"/>
        <v>240.72295096476032</v>
      </c>
      <c r="S14" s="127">
        <f>'[5]主角分析-非R'!G14</f>
        <v>4331.5067706456703</v>
      </c>
      <c r="T14" s="127">
        <f>'[5]主角分析-非R'!H14</f>
        <v>366.50707247914443</v>
      </c>
      <c r="U14" s="127">
        <f>'[5]主角分析-非R'!I14</f>
        <v>160.17459466204508</v>
      </c>
      <c r="V14" s="128"/>
      <c r="W14" s="129">
        <f>'[2]3、总属性战斗节奏拟合'!D17</f>
        <v>6552.878062499999</v>
      </c>
      <c r="X14" s="129">
        <f>'[2]3、总属性战斗节奏拟合'!E17</f>
        <v>865.38374999999996</v>
      </c>
      <c r="Y14" s="129">
        <f>'[2]3、总属性战斗节奏拟合'!F17</f>
        <v>384.61500000000001</v>
      </c>
      <c r="Z14" s="128"/>
      <c r="AA14" s="130">
        <f>'[5]主角数据分析-超R'!G14</f>
        <v>5692.44049961989</v>
      </c>
      <c r="AB14" s="130">
        <f>'[5]主角数据分析-超R'!H14</f>
        <v>404.61565173048132</v>
      </c>
      <c r="AC14" s="130">
        <f>'[5]主角数据分析-超R'!I14</f>
        <v>177.37925823223571</v>
      </c>
    </row>
    <row r="15" spans="1:29">
      <c r="B15">
        <v>14</v>
      </c>
      <c r="C15" s="19">
        <f t="shared" si="1"/>
        <v>3892.2194347826094</v>
      </c>
      <c r="D15" s="19">
        <f t="shared" si="2"/>
        <v>396.3787826086957</v>
      </c>
      <c r="E15" s="19">
        <f t="shared" si="3"/>
        <v>176.168347826087</v>
      </c>
      <c r="K15" s="100">
        <v>0.5</v>
      </c>
      <c r="L15" s="100">
        <v>0.4</v>
      </c>
      <c r="M15" s="100">
        <v>0.4</v>
      </c>
      <c r="O15" s="86">
        <f t="shared" si="4"/>
        <v>6077.3550893997353</v>
      </c>
      <c r="P15" s="86">
        <f t="shared" si="5"/>
        <v>598.26569838282569</v>
      </c>
      <c r="Q15" s="86">
        <f t="shared" si="6"/>
        <v>263.56847573606615</v>
      </c>
      <c r="S15" s="127">
        <f>'[5]主角分析-非R'!G15</f>
        <v>4543.3463348298847</v>
      </c>
      <c r="T15" s="127">
        <f>'[5]主角分析-非R'!H15</f>
        <v>385.55861438288775</v>
      </c>
      <c r="U15" s="127">
        <f>'[5]主角分析-非R'!I15</f>
        <v>166.86257691507802</v>
      </c>
      <c r="V15" s="128"/>
      <c r="W15" s="129">
        <f>'[2]3、总属性战斗节奏拟合'!D18</f>
        <v>7784.4388695652187</v>
      </c>
      <c r="X15" s="129">
        <f>'[2]3、总属性战斗节奏拟合'!E18</f>
        <v>990.94695652173925</v>
      </c>
      <c r="Y15" s="129">
        <f>'[2]3、总属性战斗节奏拟合'!F18</f>
        <v>440.42086956521746</v>
      </c>
      <c r="Z15" s="128"/>
      <c r="AA15" s="130">
        <f>'[5]主角数据分析-超R'!G15</f>
        <v>5904.2800638041044</v>
      </c>
      <c r="AB15" s="130">
        <f>'[5]主角数据分析-超R'!H15</f>
        <v>418.29152424385035</v>
      </c>
      <c r="AC15" s="130">
        <f>'[5]主角数据分析-超R'!I15</f>
        <v>183.42198072790296</v>
      </c>
    </row>
    <row r="16" spans="1:29" s="60" customFormat="1">
      <c r="A16" s="60" t="s">
        <v>634</v>
      </c>
      <c r="B16" s="60">
        <v>15</v>
      </c>
      <c r="C16" s="19">
        <f t="shared" si="1"/>
        <v>4573.397588315217</v>
      </c>
      <c r="D16" s="19">
        <f t="shared" si="2"/>
        <v>449.5353260869565</v>
      </c>
      <c r="E16" s="19">
        <f t="shared" si="3"/>
        <v>199.79347826086959</v>
      </c>
      <c r="K16" s="100">
        <v>0.5</v>
      </c>
      <c r="L16" s="100">
        <v>0.4</v>
      </c>
      <c r="M16" s="100">
        <v>0.4</v>
      </c>
      <c r="O16" s="86">
        <f t="shared" si="4"/>
        <v>7237.2894921871966</v>
      </c>
      <c r="P16" s="86">
        <f t="shared" si="5"/>
        <v>683.81336517085947</v>
      </c>
      <c r="Q16" s="86">
        <f t="shared" si="6"/>
        <v>298.70556205159124</v>
      </c>
      <c r="S16" s="127">
        <f>'[5]主角分析-非R'!G16</f>
        <v>5408.0755360414678</v>
      </c>
      <c r="T16" s="127">
        <f>'[5]主角分析-非R'!H16</f>
        <v>440.44795222245989</v>
      </c>
      <c r="U16" s="127">
        <f>'[5]主角分析-非R'!I16</f>
        <v>186.88592748700177</v>
      </c>
      <c r="V16" s="131"/>
      <c r="W16" s="132">
        <f>'[2]3、总属性战斗节奏拟合'!D19</f>
        <v>9146.7951766304341</v>
      </c>
      <c r="X16" s="132">
        <f>'[2]3、总属性战斗节奏拟合'!E19</f>
        <v>1123.8383152173913</v>
      </c>
      <c r="Y16" s="132">
        <f>'[2]3、总属性战斗节奏拟合'!F19</f>
        <v>499.48369565217394</v>
      </c>
      <c r="Z16" s="131"/>
      <c r="AA16" s="130">
        <f>'[5]主角数据分析-超R'!G16</f>
        <v>7156.9977638896908</v>
      </c>
      <c r="AB16" s="130">
        <f>'[5]主角数据分析-超R'!H16</f>
        <v>487.15382807272732</v>
      </c>
      <c r="AC16" s="130">
        <f>'[5]主角数据分析-超R'!I16</f>
        <v>209.74706301559794</v>
      </c>
    </row>
    <row r="17" spans="1:29">
      <c r="B17">
        <v>16</v>
      </c>
      <c r="C17" s="19">
        <f t="shared" si="1"/>
        <v>5323.0879565217401</v>
      </c>
      <c r="D17" s="19">
        <f t="shared" si="2"/>
        <v>505.62313043478264</v>
      </c>
      <c r="E17" s="19">
        <f t="shared" si="3"/>
        <v>224.72139130434786</v>
      </c>
      <c r="K17" s="100">
        <v>0.5</v>
      </c>
      <c r="L17" s="100">
        <v>0.4</v>
      </c>
      <c r="M17" s="100">
        <v>0.4</v>
      </c>
      <c r="O17" s="86">
        <f t="shared" si="4"/>
        <v>8763.7531599875383</v>
      </c>
      <c r="P17" s="86">
        <f t="shared" si="5"/>
        <v>813.99874879404797</v>
      </c>
      <c r="Q17" s="86">
        <f t="shared" si="6"/>
        <v>344.22380325622288</v>
      </c>
      <c r="S17" s="127">
        <f>'[5]主角分析-非R'!G17</f>
        <v>5952.3440591447252</v>
      </c>
      <c r="T17" s="127">
        <f>'[5]主角分析-非R'!H17</f>
        <v>460.12382473582892</v>
      </c>
      <c r="U17" s="127">
        <f>'[5]主角分析-非R'!I17</f>
        <v>203.81142072790297</v>
      </c>
      <c r="V17" s="128"/>
      <c r="W17" s="129">
        <f>'[2]3、总属性战斗节奏拟合'!D20</f>
        <v>10646.17591304348</v>
      </c>
      <c r="X17" s="129">
        <f>'[2]3、总属性战斗节奏拟合'!E20</f>
        <v>1264.0578260869565</v>
      </c>
      <c r="Y17" s="129">
        <f>'[2]3、总属性战斗节奏拟合'!F20</f>
        <v>561.80347826086961</v>
      </c>
      <c r="Z17" s="128"/>
      <c r="AA17" s="130">
        <f>'[5]主角数据分析-超R'!G17</f>
        <v>9692.7395077744077</v>
      </c>
      <c r="AB17" s="130">
        <f>'[5]主角数据分析-超R'!H17</f>
        <v>717.81459555935839</v>
      </c>
      <c r="AC17" s="130">
        <f>'[5]主角数据分析-超R'!I17</f>
        <v>267.05651077989603</v>
      </c>
    </row>
    <row r="18" spans="1:29">
      <c r="B18">
        <v>17</v>
      </c>
      <c r="C18" s="19">
        <f t="shared" si="1"/>
        <v>6144.4050040760867</v>
      </c>
      <c r="D18" s="19">
        <f t="shared" si="2"/>
        <v>564.64219565217388</v>
      </c>
      <c r="E18" s="19">
        <f t="shared" si="3"/>
        <v>250.95208695652178</v>
      </c>
      <c r="K18" s="100">
        <v>0.5</v>
      </c>
      <c r="L18" s="100">
        <v>0.4</v>
      </c>
      <c r="M18" s="100">
        <v>0.4</v>
      </c>
      <c r="O18" s="86">
        <f t="shared" si="4"/>
        <v>9539.0231529650682</v>
      </c>
      <c r="P18" s="86">
        <f t="shared" si="5"/>
        <v>878.00058642173133</v>
      </c>
      <c r="Q18" s="86">
        <f t="shared" si="6"/>
        <v>370.93718802702642</v>
      </c>
      <c r="S18" s="127">
        <f>'[5]主角分析-非R'!G18</f>
        <v>6240.5436233289392</v>
      </c>
      <c r="T18" s="127">
        <f>'[5]主角分析-非R'!H18</f>
        <v>481.79969724919795</v>
      </c>
      <c r="U18" s="127">
        <f>'[5]主角分析-非R'!I18</f>
        <v>209.85414322357025</v>
      </c>
      <c r="V18" s="128"/>
      <c r="W18" s="129">
        <f>'[2]3、总属性战斗节奏拟合'!D21</f>
        <v>12288.810008152173</v>
      </c>
      <c r="X18" s="129">
        <f>'[2]3、总属性战斗节奏拟合'!E21</f>
        <v>1411.6054891304348</v>
      </c>
      <c r="Y18" s="129">
        <f>'[2]3、总属性战斗节奏拟合'!F21</f>
        <v>627.38021739130443</v>
      </c>
      <c r="Z18" s="128"/>
      <c r="AA18" s="130">
        <f>'[5]主角数据分析-超R'!G18</f>
        <v>10087.715827414089</v>
      </c>
      <c r="AB18" s="130">
        <f>'[5]主角数据分析-超R'!H18</f>
        <v>740.5965728855615</v>
      </c>
      <c r="AC18" s="130">
        <f>'[5]主角数据分析-超R'!I18</f>
        <v>275.57720346620454</v>
      </c>
    </row>
    <row r="19" spans="1:29">
      <c r="B19">
        <v>18</v>
      </c>
      <c r="C19" s="19">
        <f t="shared" si="1"/>
        <v>7040.4631956521762</v>
      </c>
      <c r="D19" s="19">
        <f t="shared" si="2"/>
        <v>626.59252173913069</v>
      </c>
      <c r="E19" s="19">
        <f t="shared" si="3"/>
        <v>278.48556521739141</v>
      </c>
      <c r="K19" s="100">
        <v>0.5</v>
      </c>
      <c r="L19" s="100">
        <v>0.4</v>
      </c>
      <c r="M19" s="100">
        <v>0.4</v>
      </c>
      <c r="O19" s="86">
        <f t="shared" si="4"/>
        <v>13016.907339495679</v>
      </c>
      <c r="P19" s="86">
        <f t="shared" si="5"/>
        <v>1084.9885670378674</v>
      </c>
      <c r="Q19" s="86">
        <f t="shared" si="6"/>
        <v>460.32710635822485</v>
      </c>
      <c r="S19" s="127">
        <f>'[5]主角分析-非R'!G19</f>
        <v>6561.8631875131541</v>
      </c>
      <c r="T19" s="127">
        <f>'[5]主角分析-非R'!H19</f>
        <v>501.47556976256698</v>
      </c>
      <c r="U19" s="127">
        <f>'[5]主角分析-非R'!I19</f>
        <v>219.8968657192375</v>
      </c>
      <c r="V19" s="128"/>
      <c r="W19" s="129">
        <f>'[2]3、总属性战斗节奏拟合'!D22</f>
        <v>14080.926391304352</v>
      </c>
      <c r="X19" s="129">
        <f>'[2]3、总属性战斗节奏拟合'!E22</f>
        <v>1566.4813043478266</v>
      </c>
      <c r="Y19" s="129">
        <f>'[2]3、总属性战斗节奏拟合'!F22</f>
        <v>696.21391304347856</v>
      </c>
      <c r="Z19" s="128"/>
      <c r="AA19" s="130">
        <f>'[5]主角数据分析-超R'!G19</f>
        <v>18407.932439669534</v>
      </c>
      <c r="AB19" s="130">
        <f>'[5]主角数据分析-超R'!H19</f>
        <v>1187.0088270032088</v>
      </c>
      <c r="AC19" s="130">
        <f>'[5]主角数据分析-超R'!I19</f>
        <v>464.87054031195851</v>
      </c>
    </row>
    <row r="20" spans="1:29">
      <c r="B20">
        <v>19</v>
      </c>
      <c r="C20" s="19">
        <f t="shared" si="1"/>
        <v>8014.3769959239125</v>
      </c>
      <c r="D20" s="19">
        <f t="shared" si="2"/>
        <v>691.47410869565238</v>
      </c>
      <c r="E20" s="19">
        <f t="shared" si="3"/>
        <v>307.32182608695661</v>
      </c>
      <c r="K20" s="100">
        <v>0.5</v>
      </c>
      <c r="L20" s="100">
        <v>0.4</v>
      </c>
      <c r="M20" s="100">
        <v>0.4</v>
      </c>
      <c r="O20" s="86">
        <f t="shared" si="4"/>
        <v>13954.332714044591</v>
      </c>
      <c r="P20" s="86">
        <f t="shared" si="5"/>
        <v>1124.0721388791756</v>
      </c>
      <c r="Q20" s="86">
        <f t="shared" si="6"/>
        <v>489.21179547685438</v>
      </c>
      <c r="S20" s="127">
        <f>'[5]主角分析-非R'!G20</f>
        <v>6862.3027516973671</v>
      </c>
      <c r="T20" s="127">
        <f>'[5]主角分析-非R'!H20</f>
        <v>523.15144227593601</v>
      </c>
      <c r="U20" s="127">
        <f>'[5]主角分析-非R'!I20</f>
        <v>225.93958821490475</v>
      </c>
      <c r="V20" s="128"/>
      <c r="W20" s="129">
        <f>'[2]3、总属性战斗节奏拟合'!D23</f>
        <v>16028.753991847825</v>
      </c>
      <c r="X20" s="129">
        <f>'[2]3、总属性战斗节奏拟合'!E23</f>
        <v>1728.6852717391307</v>
      </c>
      <c r="Y20" s="129">
        <f>'[2]3、总属性战斗节奏拟合'!F23</f>
        <v>768.30456521739143</v>
      </c>
      <c r="Z20" s="128"/>
      <c r="AA20" s="130">
        <f>'[5]主角数据分析-超R'!G20</f>
        <v>18971.941398588577</v>
      </c>
      <c r="AB20" s="130">
        <f>'[5]主角数据分析-超R'!H20</f>
        <v>1120.3797026224602</v>
      </c>
      <c r="AC20" s="130">
        <f>'[5]主角数据分析-超R'!I20</f>
        <v>473.39123299826701</v>
      </c>
    </row>
    <row r="21" spans="1:29" s="83" customFormat="1">
      <c r="B21" s="83">
        <v>20</v>
      </c>
      <c r="C21" s="19">
        <f t="shared" si="1"/>
        <v>9069.2608695652179</v>
      </c>
      <c r="D21" s="19">
        <f t="shared" si="2"/>
        <v>759.28695652173928</v>
      </c>
      <c r="E21" s="19">
        <f t="shared" si="3"/>
        <v>337.46086956521748</v>
      </c>
      <c r="K21" s="100">
        <v>0.5</v>
      </c>
      <c r="L21" s="100">
        <v>0.4</v>
      </c>
      <c r="M21" s="100">
        <v>0.4</v>
      </c>
      <c r="O21" s="87">
        <f t="shared" si="4"/>
        <v>16429.754570526868</v>
      </c>
      <c r="P21" s="87">
        <f t="shared" si="5"/>
        <v>1270.8188046166008</v>
      </c>
      <c r="Q21" s="87">
        <f t="shared" si="6"/>
        <v>552.5857610328286</v>
      </c>
      <c r="S21" s="127">
        <f>'[5]主角分析-非R'!G21</f>
        <v>11608.671614942539</v>
      </c>
      <c r="T21" s="127">
        <f>'[5]主角分析-非R'!H21</f>
        <v>769.11338794438518</v>
      </c>
      <c r="U21" s="127">
        <f>'[5]主角分析-非R'!I21</f>
        <v>326.75179812824967</v>
      </c>
      <c r="V21" s="134"/>
      <c r="W21" s="129">
        <f>'[2]3、总属性战斗节奏拟合'!D24</f>
        <v>18138.521739130436</v>
      </c>
      <c r="X21" s="129">
        <f>'[2]3、总属性战斗节奏拟合'!E24</f>
        <v>1898.217391304348</v>
      </c>
      <c r="Y21" s="129">
        <f>'[2]3、总属性战斗节奏拟合'!F24</f>
        <v>843.65217391304361</v>
      </c>
      <c r="Z21" s="134"/>
      <c r="AA21" s="130">
        <f>'[5]主角数据分析-超R'!G21</f>
        <v>19542.070357507622</v>
      </c>
      <c r="AB21" s="130">
        <f>'[5]主角数据分析-超R'!H21</f>
        <v>1145.1256346010698</v>
      </c>
      <c r="AC21" s="130">
        <f>'[5]主角数据分析-超R'!I21</f>
        <v>487.3533110571924</v>
      </c>
    </row>
    <row r="22" spans="1:29">
      <c r="B22">
        <v>21</v>
      </c>
      <c r="C22" s="19">
        <f t="shared" si="1"/>
        <v>10208.229281250004</v>
      </c>
      <c r="D22" s="19">
        <f t="shared" si="2"/>
        <v>830.03106521739164</v>
      </c>
      <c r="E22" s="19">
        <f t="shared" si="3"/>
        <v>368.90269565217409</v>
      </c>
      <c r="K22" s="100">
        <v>0.5</v>
      </c>
      <c r="L22" s="100">
        <v>0.4</v>
      </c>
      <c r="M22" s="100">
        <v>0.4</v>
      </c>
      <c r="O22" s="86">
        <f t="shared" si="4"/>
        <v>17466.043019351142</v>
      </c>
      <c r="P22" s="86">
        <f t="shared" si="5"/>
        <v>1344.5794966936376</v>
      </c>
      <c r="Q22" s="86">
        <f t="shared" si="6"/>
        <v>584.78888295682339</v>
      </c>
      <c r="S22" s="127">
        <f>'[5]主角分析-非R'!G22</f>
        <v>11863.351179126754</v>
      </c>
      <c r="T22" s="127">
        <f>'[5]主角分析-非R'!H22</f>
        <v>788.78926045775415</v>
      </c>
      <c r="U22" s="127">
        <f>'[5]主角分析-非R'!I22</f>
        <v>332.79452062391692</v>
      </c>
      <c r="V22" s="128"/>
      <c r="W22" s="129">
        <f>'[2]3、总属性战斗节奏拟合'!D25</f>
        <v>20416.458562500007</v>
      </c>
      <c r="X22" s="129">
        <f>'[2]3、总属性战斗节奏拟合'!E25</f>
        <v>2075.0776630434789</v>
      </c>
      <c r="Y22" s="129">
        <f>'[2]3、总属性战斗节奏拟合'!F25</f>
        <v>922.25673913043511</v>
      </c>
      <c r="Z22" s="128"/>
      <c r="AA22" s="130">
        <f>'[5]主角数据分析-超R'!G22</f>
        <v>20118.319316426667</v>
      </c>
      <c r="AB22" s="130">
        <f>'[5]主角数据分析-超R'!H22</f>
        <v>1169.8715665796794</v>
      </c>
      <c r="AC22" s="130">
        <f>'[5]主角数据分析-超R'!I22</f>
        <v>499.31538911611801</v>
      </c>
    </row>
    <row r="23" spans="1:29">
      <c r="B23">
        <v>22</v>
      </c>
      <c r="C23" s="19">
        <f t="shared" si="1"/>
        <v>11434.396695652174</v>
      </c>
      <c r="D23" s="19">
        <f t="shared" si="2"/>
        <v>903.70643478260888</v>
      </c>
      <c r="E23" s="19">
        <f t="shared" si="3"/>
        <v>401.64730434782615</v>
      </c>
      <c r="K23" s="100">
        <v>0.5</v>
      </c>
      <c r="L23" s="100">
        <v>0.4</v>
      </c>
      <c r="M23" s="100">
        <v>0.4</v>
      </c>
      <c r="O23" s="86">
        <f t="shared" si="4"/>
        <v>18649.95717944315</v>
      </c>
      <c r="P23" s="86">
        <f t="shared" si="5"/>
        <v>1423.3668211708907</v>
      </c>
      <c r="Q23" s="86">
        <f t="shared" si="6"/>
        <v>620.90613871850917</v>
      </c>
      <c r="S23" s="127">
        <f>'[5]主角分析-非R'!G23</f>
        <v>12380.389871679396</v>
      </c>
      <c r="T23" s="127">
        <f>'[5]主角分析-非R'!H23</f>
        <v>816.21687799786105</v>
      </c>
      <c r="U23" s="127">
        <f>'[5]主角分析-非R'!I23</f>
        <v>345.32268811091859</v>
      </c>
      <c r="V23" s="128"/>
      <c r="W23" s="129">
        <f>'[2]3、总属性战斗节奏拟合'!D26</f>
        <v>22868.793391304349</v>
      </c>
      <c r="X23" s="129">
        <f>'[2]3、总属性战斗节奏拟合'!E26</f>
        <v>2259.266086956522</v>
      </c>
      <c r="Y23" s="129">
        <f>'[2]3、总属性战斗节奏拟合'!F26</f>
        <v>1004.1182608695653</v>
      </c>
      <c r="Z23" s="128"/>
      <c r="AA23" s="130">
        <f>'[5]主角数据分析-超R'!G23</f>
        <v>20700.688275345707</v>
      </c>
      <c r="AB23" s="130">
        <f>'[5]主角数据分析-超R'!H23</f>
        <v>1194.6174985582891</v>
      </c>
      <c r="AC23" s="130">
        <f>'[5]主角数据分析-超R'!I23</f>
        <v>513.2774671750434</v>
      </c>
    </row>
    <row r="24" spans="1:29">
      <c r="B24">
        <v>23</v>
      </c>
      <c r="C24" s="19">
        <f t="shared" si="1"/>
        <v>12988.604500522579</v>
      </c>
      <c r="D24" s="19">
        <f t="shared" si="2"/>
        <v>998.58998829431459</v>
      </c>
      <c r="E24" s="19">
        <f t="shared" si="3"/>
        <v>443.81777257525096</v>
      </c>
      <c r="K24" s="100">
        <v>0.5</v>
      </c>
      <c r="L24" s="100">
        <v>0.4</v>
      </c>
      <c r="M24" s="100">
        <v>0.4</v>
      </c>
      <c r="O24" s="86">
        <f t="shared" si="4"/>
        <v>20313.852842890519</v>
      </c>
      <c r="P24" s="86">
        <f t="shared" si="5"/>
        <v>1534.6464329832304</v>
      </c>
      <c r="Q24" s="86">
        <f t="shared" si="6"/>
        <v>669.56986009231639</v>
      </c>
      <c r="S24" s="127">
        <f>'[5]主角分析-非R'!G24</f>
        <v>13675.172293361651</v>
      </c>
      <c r="T24" s="127">
        <f>'[5]主角分析-非R'!H24</f>
        <v>888.10089767700561</v>
      </c>
      <c r="U24" s="127">
        <f>'[5]主角分析-非R'!I24</f>
        <v>373.92560360485277</v>
      </c>
      <c r="V24" s="128"/>
      <c r="W24" s="129">
        <f>'[2]3、总属性战斗节奏拟合'!D27</f>
        <v>25977.209001045157</v>
      </c>
      <c r="X24" s="129">
        <f>'[2]3、总属性战斗节奏拟合'!E27</f>
        <v>2496.4749707357864</v>
      </c>
      <c r="Y24" s="129">
        <f>'[2]3、总属性战斗节奏拟合'!F27</f>
        <v>1109.5444314381273</v>
      </c>
      <c r="Z24" s="128"/>
      <c r="AA24" s="130">
        <f>'[5]主角数据分析-超R'!G24</f>
        <v>21289.177234264753</v>
      </c>
      <c r="AB24" s="130">
        <f>'[5]主角数据分析-超R'!H24</f>
        <v>1219.3634305368987</v>
      </c>
      <c r="AC24" s="130">
        <f>'[5]主角数据分析-超R'!I24</f>
        <v>525.2395452339689</v>
      </c>
    </row>
    <row r="25" spans="1:29">
      <c r="B25">
        <v>24</v>
      </c>
      <c r="C25" s="19">
        <f t="shared" si="1"/>
        <v>14663.98639130435</v>
      </c>
      <c r="D25" s="19">
        <f t="shared" si="2"/>
        <v>1097.5124949832777</v>
      </c>
      <c r="E25" s="19">
        <f t="shared" si="3"/>
        <v>487.78333110367896</v>
      </c>
      <c r="K25" s="100">
        <v>0.5</v>
      </c>
      <c r="L25" s="100">
        <v>0.4</v>
      </c>
      <c r="M25" s="100">
        <v>0.4</v>
      </c>
      <c r="O25" s="86">
        <f t="shared" si="4"/>
        <v>24862.735782892265</v>
      </c>
      <c r="P25" s="86">
        <f t="shared" si="5"/>
        <v>1868.8046606144071</v>
      </c>
      <c r="Q25" s="86">
        <f t="shared" si="6"/>
        <v>779.09679255751416</v>
      </c>
      <c r="S25" s="127">
        <f>'[5]主角分析-非R'!G25</f>
        <v>16975.292923633042</v>
      </c>
      <c r="T25" s="127">
        <f>'[5]主角分析-非R'!H25</f>
        <v>1160.4142854844922</v>
      </c>
      <c r="U25" s="127">
        <f>'[5]主角分析-非R'!I25</f>
        <v>441.18430613518206</v>
      </c>
      <c r="V25" s="128"/>
      <c r="W25" s="129">
        <f>'[2]3、总属性战斗节奏拟合'!D28</f>
        <v>29327.9727826087</v>
      </c>
      <c r="X25" s="129">
        <f>'[2]3、总属性战斗节奏拟合'!E28</f>
        <v>2743.781237458194</v>
      </c>
      <c r="Y25" s="129">
        <f>'[2]3、总属性战斗节奏拟合'!F28</f>
        <v>1219.4583277591973</v>
      </c>
      <c r="Z25" s="128"/>
      <c r="AA25" s="130">
        <f>'[5]主角数据分析-超R'!G25</f>
        <v>28284.941642435053</v>
      </c>
      <c r="AB25" s="130">
        <f>'[5]主角数据分析-超R'!H25</f>
        <v>1702.2184589005351</v>
      </c>
      <c r="AC25" s="130">
        <f>'[5]主角数据分析-超R'!I25</f>
        <v>676.64774377816298</v>
      </c>
    </row>
    <row r="26" spans="1:29">
      <c r="B26">
        <v>25</v>
      </c>
      <c r="C26" s="19">
        <f t="shared" si="1"/>
        <v>16464.833755748332</v>
      </c>
      <c r="D26" s="19">
        <f t="shared" si="2"/>
        <v>1200.4739548494988</v>
      </c>
      <c r="E26" s="19">
        <f t="shared" si="3"/>
        <v>533.54397993311056</v>
      </c>
      <c r="K26" s="100">
        <v>0.5</v>
      </c>
      <c r="L26" s="100">
        <v>0.4</v>
      </c>
      <c r="M26" s="100">
        <v>0.4</v>
      </c>
      <c r="O26" s="86">
        <f t="shared" si="4"/>
        <v>26442.252105014177</v>
      </c>
      <c r="P26" s="86">
        <f t="shared" si="5"/>
        <v>2001.763824264066</v>
      </c>
      <c r="Q26" s="86">
        <f t="shared" si="6"/>
        <v>825.11228285009372</v>
      </c>
      <c r="S26" s="127">
        <f>'[5]主角分析-非R'!G26</f>
        <v>17446.087935825366</v>
      </c>
      <c r="T26" s="127">
        <f>'[5]主角分析-非R'!H26</f>
        <v>1273.8238803508025</v>
      </c>
      <c r="U26" s="127">
        <f>'[5]主角分析-非R'!I26</f>
        <v>451.43316630849228</v>
      </c>
      <c r="V26" s="128"/>
      <c r="W26" s="129">
        <f>'[2]3、总属性战斗节奏拟合'!D29</f>
        <v>32929.667511496664</v>
      </c>
      <c r="X26" s="129">
        <f>'[2]3、总属性战斗节奏拟合'!E29</f>
        <v>3001.1848871237471</v>
      </c>
      <c r="Y26" s="129">
        <f>'[2]3、总属性战斗节奏拟合'!F29</f>
        <v>1333.8599498327765</v>
      </c>
      <c r="Z26" s="128"/>
      <c r="AA26" s="130">
        <f>'[5]主角数据分析-超R'!G26</f>
        <v>28951.000867720497</v>
      </c>
      <c r="AB26" s="130">
        <f>'[5]主角数据分析-超R'!H26</f>
        <v>1730.2827053176475</v>
      </c>
      <c r="AC26" s="130">
        <f>'[5]主角数据分析-超R'!I26</f>
        <v>690.04373240901236</v>
      </c>
    </row>
    <row r="27" spans="1:29">
      <c r="B27">
        <v>26</v>
      </c>
      <c r="C27" s="19">
        <f t="shared" si="1"/>
        <v>18628.833181605354</v>
      </c>
      <c r="D27" s="19">
        <f t="shared" si="2"/>
        <v>1324.0631678929769</v>
      </c>
      <c r="E27" s="19">
        <f t="shared" si="3"/>
        <v>588.47251906354529</v>
      </c>
      <c r="K27" s="100">
        <v>0.5</v>
      </c>
      <c r="L27" s="100">
        <v>0.4</v>
      </c>
      <c r="M27" s="100">
        <v>0.4</v>
      </c>
      <c r="O27" s="86">
        <f t="shared" si="4"/>
        <v>30043.790156566643</v>
      </c>
      <c r="P27" s="86">
        <f t="shared" si="5"/>
        <v>2175.50585491023</v>
      </c>
      <c r="Q27" s="86">
        <f t="shared" si="6"/>
        <v>957.07956248940752</v>
      </c>
      <c r="S27" s="127">
        <f>'[5]主角分析-非R'!G27</f>
        <v>20523.524013483293</v>
      </c>
      <c r="T27" s="127">
        <f>'[5]主角分析-非R'!H27</f>
        <v>1351.3214680807605</v>
      </c>
      <c r="U27" s="127">
        <f>'[5]主角分析-非R'!I27</f>
        <v>557.61766876949753</v>
      </c>
      <c r="V27" s="128"/>
      <c r="W27" s="129">
        <f>'[2]3、总属性战斗节奏拟合'!D30</f>
        <v>37257.666363210708</v>
      </c>
      <c r="X27" s="129">
        <f>'[2]3、总属性战斗节奏拟合'!E30</f>
        <v>3310.1579197324422</v>
      </c>
      <c r="Y27" s="129">
        <f>'[2]3、总属性战斗节奏拟合'!F30</f>
        <v>1471.1812976588633</v>
      </c>
      <c r="Z27" s="128"/>
      <c r="AA27" s="130">
        <f>'[5]主角数据分析-超R'!G27</f>
        <v>32350.18009300594</v>
      </c>
      <c r="AB27" s="130">
        <f>'[5]主角数据分析-超R'!H27</f>
        <v>1865.0381769174885</v>
      </c>
      <c r="AC27" s="130">
        <f>'[5]主角数据分析-超R'!I27</f>
        <v>842.43972103986141</v>
      </c>
    </row>
    <row r="28" spans="1:29">
      <c r="B28">
        <v>27</v>
      </c>
      <c r="C28" s="19">
        <f t="shared" si="1"/>
        <v>20951.92405662626</v>
      </c>
      <c r="D28" s="19">
        <f t="shared" si="2"/>
        <v>1452.6129341137128</v>
      </c>
      <c r="E28" s="19">
        <f t="shared" si="3"/>
        <v>645.60574849498346</v>
      </c>
      <c r="K28" s="100">
        <v>0.5</v>
      </c>
      <c r="L28" s="100">
        <v>0.4</v>
      </c>
      <c r="M28" s="100">
        <v>0.4</v>
      </c>
      <c r="O28" s="86">
        <f t="shared" si="4"/>
        <v>32530.226305211196</v>
      </c>
      <c r="P28" s="86">
        <f t="shared" si="5"/>
        <v>2329.5433559943549</v>
      </c>
      <c r="Q28" s="86">
        <f t="shared" si="6"/>
        <v>1012.4766092455308</v>
      </c>
      <c r="S28" s="127">
        <f>'[5]主角分析-非R'!G28</f>
        <v>21703.062614059894</v>
      </c>
      <c r="T28" s="127">
        <f>'[5]主角分析-非R'!H28</f>
        <v>1463.995309364183</v>
      </c>
      <c r="U28" s="127">
        <f>'[5]主角分析-非R'!I28</f>
        <v>567.57974682842303</v>
      </c>
      <c r="V28" s="128"/>
      <c r="W28" s="129">
        <f>'[2]3、总属性战斗节奏拟合'!D31</f>
        <v>41903.848113252519</v>
      </c>
      <c r="X28" s="129">
        <f>'[2]3、总属性战斗节奏拟合'!E31</f>
        <v>3631.5323352842815</v>
      </c>
      <c r="Y28" s="129">
        <f>'[2]3、总属性战斗节奏拟合'!F31</f>
        <v>1614.0143712374586</v>
      </c>
      <c r="Z28" s="128"/>
      <c r="AA28" s="130">
        <f>'[5]主角数据分析-超R'!G28</f>
        <v>33983.768188321177</v>
      </c>
      <c r="AB28" s="130">
        <f>'[5]主角数据分析-超R'!H28</f>
        <v>1893.1024233346009</v>
      </c>
      <c r="AC28" s="130">
        <f>'[5]主角数据分析-超R'!I28</f>
        <v>855.83570967071068</v>
      </c>
    </row>
    <row r="29" spans="1:29">
      <c r="B29">
        <v>28</v>
      </c>
      <c r="C29" s="19">
        <f t="shared" si="1"/>
        <v>23439.376968561879</v>
      </c>
      <c r="D29" s="19">
        <f t="shared" si="2"/>
        <v>1586.1232535117063</v>
      </c>
      <c r="E29" s="19">
        <f t="shared" si="3"/>
        <v>704.94366822742495</v>
      </c>
      <c r="K29" s="100">
        <v>0.5</v>
      </c>
      <c r="L29" s="100">
        <v>0.4</v>
      </c>
      <c r="M29" s="100">
        <v>0.4</v>
      </c>
      <c r="O29" s="86">
        <f t="shared" si="4"/>
        <v>42238.689443261806</v>
      </c>
      <c r="P29" s="86">
        <f t="shared" si="5"/>
        <v>2819.5060735675493</v>
      </c>
      <c r="Q29" s="86">
        <f t="shared" si="6"/>
        <v>1259.3072466502324</v>
      </c>
      <c r="S29" s="127">
        <f>'[5]主角分析-非R'!G29</f>
        <v>22277.217626252215</v>
      </c>
      <c r="T29" s="127">
        <f>'[5]主角分析-非R'!H29</f>
        <v>1487.4049042304932</v>
      </c>
      <c r="U29" s="127">
        <f>'[5]主角分析-非R'!I29</f>
        <v>602.86409474880304</v>
      </c>
      <c r="V29" s="128"/>
      <c r="W29" s="129">
        <f>'[2]3、总属性战斗节奏拟合'!D32</f>
        <v>46878.753937123758</v>
      </c>
      <c r="X29" s="129">
        <f>'[2]3、总属性战斗节奏拟合'!E32</f>
        <v>3965.3081337792655</v>
      </c>
      <c r="Y29" s="129">
        <f>'[2]3、总属性战斗节奏拟合'!F32</f>
        <v>1762.3591705685624</v>
      </c>
      <c r="Z29" s="128"/>
      <c r="AA29" s="130">
        <f>'[5]主角数据分析-超R'!G29</f>
        <v>57560.09676640945</v>
      </c>
      <c r="AB29" s="130">
        <f>'[5]主角数据分析-超R'!H29</f>
        <v>3005.8051826928895</v>
      </c>
      <c r="AC29" s="130">
        <f>'[5]主角数据分析-超R'!I29</f>
        <v>1412.6984746333314</v>
      </c>
    </row>
    <row r="30" spans="1:29">
      <c r="B30">
        <v>29</v>
      </c>
      <c r="C30" s="19">
        <f t="shared" si="1"/>
        <v>26096.462505163054</v>
      </c>
      <c r="D30" s="19">
        <f t="shared" si="2"/>
        <v>1724.5941260869572</v>
      </c>
      <c r="E30" s="19">
        <f t="shared" si="3"/>
        <v>766.48627826086999</v>
      </c>
      <c r="K30" s="100">
        <v>0.5</v>
      </c>
      <c r="L30" s="100">
        <v>0.4</v>
      </c>
      <c r="M30" s="100">
        <v>0.4</v>
      </c>
      <c r="O30" s="86">
        <f t="shared" si="4"/>
        <v>45077.725993265565</v>
      </c>
      <c r="P30" s="86">
        <f t="shared" si="5"/>
        <v>2995.8405239934496</v>
      </c>
      <c r="Q30" s="86">
        <f t="shared" si="6"/>
        <v>1321.4059217820893</v>
      </c>
      <c r="S30" s="127">
        <f>'[5]主角分析-非R'!G30</f>
        <v>23414.904653050995</v>
      </c>
      <c r="T30" s="127">
        <f>'[5]主角分析-非R'!H30</f>
        <v>1512.8144990968033</v>
      </c>
      <c r="U30" s="127">
        <f>'[5]主角分析-非R'!I30</f>
        <v>613.1129549221132</v>
      </c>
      <c r="V30" s="128"/>
      <c r="W30" s="129">
        <f>'[2]3、总属性战斗节奏拟合'!D33</f>
        <v>52192.925010326107</v>
      </c>
      <c r="X30" s="129">
        <f>'[2]3、总属性战斗节奏拟合'!E33</f>
        <v>4311.4853152173928</v>
      </c>
      <c r="Y30" s="129">
        <f>'[2]3、总属性战斗节奏拟合'!F33</f>
        <v>1916.2156956521749</v>
      </c>
      <c r="Z30" s="128"/>
      <c r="AA30" s="130">
        <f>'[5]主角数据分析-超R'!G30</f>
        <v>59625.348316419579</v>
      </c>
      <c r="AB30" s="130">
        <f>'[5]主角数据分析-超R'!H30</f>
        <v>3163.2217576661524</v>
      </c>
      <c r="AC30" s="130">
        <f>'[5]主角数据分析-超R'!I30</f>
        <v>1434.8891147719798</v>
      </c>
    </row>
    <row r="31" spans="1:29" s="60" customFormat="1">
      <c r="A31" s="60" t="s">
        <v>635</v>
      </c>
      <c r="B31" s="60">
        <v>30</v>
      </c>
      <c r="C31" s="19">
        <f t="shared" si="1"/>
        <v>29290.056894857869</v>
      </c>
      <c r="D31" s="19">
        <f t="shared" si="2"/>
        <v>1891.3758712374593</v>
      </c>
      <c r="E31" s="19">
        <f t="shared" si="3"/>
        <v>840.61149832775959</v>
      </c>
      <c r="K31" s="100">
        <v>0.5</v>
      </c>
      <c r="L31" s="100">
        <v>0.4</v>
      </c>
      <c r="M31" s="100">
        <v>0.4</v>
      </c>
      <c r="O31" s="86">
        <f t="shared" si="4"/>
        <v>56708.178725760874</v>
      </c>
      <c r="P31" s="86">
        <f t="shared" si="5"/>
        <v>3684.3194556188678</v>
      </c>
      <c r="Q31" s="86">
        <f t="shared" si="6"/>
        <v>1537.3523809539486</v>
      </c>
      <c r="S31" s="127">
        <f>'[5]主角分析-非R'!G31</f>
        <v>30254.013670866134</v>
      </c>
      <c r="T31" s="127">
        <f>'[5]主角分析-非R'!H31</f>
        <v>1806.3742066818299</v>
      </c>
      <c r="U31" s="127">
        <f>'[5]主角分析-非R'!I31</f>
        <v>710.80155665521556</v>
      </c>
      <c r="V31" s="131"/>
      <c r="W31" s="132">
        <f>'[2]3、总属性战斗节奏拟合'!D34</f>
        <v>58580.113789715739</v>
      </c>
      <c r="X31" s="132">
        <f>'[2]3、总属性战斗节奏拟合'!E34</f>
        <v>4728.4396780936477</v>
      </c>
      <c r="Y31" s="132">
        <f>'[2]3、总属性战斗节奏拟合'!F34</f>
        <v>2101.5287458193989</v>
      </c>
      <c r="Z31" s="131"/>
      <c r="AA31" s="130">
        <f>'[5]主角数据分析-超R'!G31</f>
        <v>81290.408716700738</v>
      </c>
      <c r="AB31" s="130">
        <f>'[5]主角数据分析-超R'!H31</f>
        <v>4518.1444820811248</v>
      </c>
      <c r="AC31" s="130">
        <f>'[5]主角数据分析-超R'!I31</f>
        <v>1799.7268403872311</v>
      </c>
    </row>
    <row r="32" spans="1:29">
      <c r="B32">
        <v>31</v>
      </c>
      <c r="C32" s="19">
        <f t="shared" si="1"/>
        <v>32719.653164423085</v>
      </c>
      <c r="D32" s="19">
        <f t="shared" si="2"/>
        <v>2091.4184267307696</v>
      </c>
      <c r="E32" s="19">
        <f t="shared" si="3"/>
        <v>929.51930076923099</v>
      </c>
      <c r="K32" s="100">
        <v>0.5</v>
      </c>
      <c r="L32" s="100">
        <v>0.40500000000000003</v>
      </c>
      <c r="M32" s="100">
        <v>0.40500000000000003</v>
      </c>
      <c r="O32" s="86">
        <f t="shared" si="4"/>
        <v>62007.218408772962</v>
      </c>
      <c r="P32" s="86">
        <f t="shared" si="5"/>
        <v>3923.3305434364047</v>
      </c>
      <c r="Q32" s="86">
        <f t="shared" si="6"/>
        <v>1655.6427268772886</v>
      </c>
      <c r="S32" s="127">
        <f>'[5]主角分析-非R'!G32</f>
        <v>34271.285155646867</v>
      </c>
      <c r="T32" s="127">
        <f>'[5]主角分析-非R'!H32</f>
        <v>1947.9063228026064</v>
      </c>
      <c r="U32" s="127">
        <f>'[5]主角分析-非R'!I32</f>
        <v>784.84917557723759</v>
      </c>
      <c r="V32" s="128"/>
      <c r="W32" s="129">
        <f>'[2]3、总属性战斗节奏拟合'!D35</f>
        <v>65439.306328846171</v>
      </c>
      <c r="X32" s="129">
        <f>'[2]3、总属性战斗节奏拟合'!E35</f>
        <v>5163.9961153846161</v>
      </c>
      <c r="Y32" s="129">
        <f>'[2]3、总属性战斗节奏拟合'!F35</f>
        <v>2295.1093846153849</v>
      </c>
      <c r="Z32" s="128"/>
      <c r="AA32" s="130">
        <f>'[5]主角数据分析-超R'!G32</f>
        <v>86311.063741825856</v>
      </c>
      <c r="AB32" s="130">
        <f>'[5]主角数据分析-超R'!H32</f>
        <v>4658.0891921219909</v>
      </c>
      <c r="AC32" s="130">
        <f>'[5]主角数据分析-超R'!I32</f>
        <v>1886.9696204392437</v>
      </c>
    </row>
    <row r="33" spans="1:29">
      <c r="B33">
        <v>32</v>
      </c>
      <c r="C33" s="19">
        <f t="shared" si="1"/>
        <v>36406.38876070235</v>
      </c>
      <c r="D33" s="19">
        <f t="shared" si="2"/>
        <v>2304.2808666722412</v>
      </c>
      <c r="E33" s="19">
        <f t="shared" si="3"/>
        <v>1024.1248296321073</v>
      </c>
      <c r="K33" s="100">
        <v>0.5</v>
      </c>
      <c r="L33" s="100">
        <v>0.41</v>
      </c>
      <c r="M33" s="100">
        <v>0.41</v>
      </c>
      <c r="O33" s="86">
        <f t="shared" si="4"/>
        <v>72690.955038800879</v>
      </c>
      <c r="P33" s="86">
        <f t="shared" si="5"/>
        <v>4455.423199541664</v>
      </c>
      <c r="Q33" s="86">
        <f t="shared" si="6"/>
        <v>1887.3189451073606</v>
      </c>
      <c r="S33" s="127">
        <f>'[5]主角分析-非R'!G33</f>
        <v>39124.481088861627</v>
      </c>
      <c r="T33" s="127">
        <f>'[5]主角分析-非R'!H33</f>
        <v>2161.9019797010023</v>
      </c>
      <c r="U33" s="127">
        <f>'[5]主角分析-非R'!I33</f>
        <v>894.59010091519269</v>
      </c>
      <c r="V33" s="128"/>
      <c r="W33" s="129">
        <f>'[2]3、总属性战斗节奏拟合'!D36</f>
        <v>72812.7775214047</v>
      </c>
      <c r="X33" s="129">
        <f>'[2]3、总属性战斗节奏拟合'!E36</f>
        <v>5620.1972357859549</v>
      </c>
      <c r="Y33" s="129">
        <f>'[2]3、总属性战斗节奏拟合'!F36</f>
        <v>2497.8654381270912</v>
      </c>
      <c r="Z33" s="128"/>
      <c r="AA33" s="130">
        <f>'[5]主角数据分析-超R'!G33</f>
        <v>106135.60650613632</v>
      </c>
      <c r="AB33" s="130">
        <f>'[5]主角数据分析-超R'!H33</f>
        <v>5584.1703831380346</v>
      </c>
      <c r="AC33" s="130">
        <f>'[5]主角数据分析-超R'!I33</f>
        <v>2269.5012962797982</v>
      </c>
    </row>
    <row r="34" spans="1:29">
      <c r="B34">
        <v>33</v>
      </c>
      <c r="C34" s="19">
        <f t="shared" si="1"/>
        <v>40346.449217495843</v>
      </c>
      <c r="D34" s="19">
        <f t="shared" si="2"/>
        <v>2529.4836395693992</v>
      </c>
      <c r="E34" s="19">
        <f t="shared" si="3"/>
        <v>1124.2149509197332</v>
      </c>
      <c r="K34" s="100">
        <v>0.5</v>
      </c>
      <c r="L34" s="100">
        <v>0.41499999999999998</v>
      </c>
      <c r="M34" s="100">
        <v>0.41499999999999998</v>
      </c>
      <c r="O34" s="86">
        <f t="shared" si="4"/>
        <v>77658.534455649075</v>
      </c>
      <c r="P34" s="86">
        <f t="shared" si="5"/>
        <v>4659.264925387115</v>
      </c>
      <c r="Q34" s="86">
        <f t="shared" si="6"/>
        <v>1973.861439395311</v>
      </c>
      <c r="S34" s="127">
        <f>'[5]主角分析-非R'!G34</f>
        <v>41570.869611964888</v>
      </c>
      <c r="T34" s="127">
        <f>'[5]主角分析-非R'!H34</f>
        <v>2205.9237841929807</v>
      </c>
      <c r="U34" s="127">
        <f>'[5]主角分析-非R'!I34</f>
        <v>908.19490146978535</v>
      </c>
      <c r="V34" s="128"/>
      <c r="W34" s="129">
        <f>'[2]3、总属性战斗节奏拟合'!D37</f>
        <v>80692.898434991686</v>
      </c>
      <c r="X34" s="129">
        <f>'[2]3、总属性战斗节奏拟合'!E37</f>
        <v>6095.1413001672272</v>
      </c>
      <c r="Y34" s="129">
        <f>'[2]3、总属性战斗节奏拟合'!F37</f>
        <v>2708.9516889632123</v>
      </c>
      <c r="Z34" s="128"/>
      <c r="AA34" s="130">
        <f>'[5]主角数据分析-超R'!G34</f>
        <v>110711.83531999063</v>
      </c>
      <c r="AB34" s="130">
        <f>'[5]主角数据分析-超R'!H34</f>
        <v>5676.7296918011361</v>
      </c>
      <c r="AC34" s="130">
        <f>'[5]主角数据分析-超R'!I34</f>
        <v>2304.4377277529347</v>
      </c>
    </row>
    <row r="35" spans="1:29">
      <c r="B35">
        <v>34</v>
      </c>
      <c r="C35" s="19">
        <f t="shared" si="1"/>
        <v>44547.800285994985</v>
      </c>
      <c r="D35" s="19">
        <f t="shared" si="2"/>
        <v>2767.3078895819403</v>
      </c>
      <c r="E35" s="19">
        <f t="shared" si="3"/>
        <v>1229.9146175919734</v>
      </c>
      <c r="K35" s="100">
        <v>0.5</v>
      </c>
      <c r="L35" s="100">
        <v>0.42</v>
      </c>
      <c r="M35" s="100">
        <v>0.42</v>
      </c>
      <c r="O35" s="86">
        <f t="shared" si="4"/>
        <v>83529.290212479813</v>
      </c>
      <c r="P35" s="86">
        <f t="shared" si="5"/>
        <v>5002.0076901706161</v>
      </c>
      <c r="Q35" s="86">
        <f t="shared" si="6"/>
        <v>2066.2859635019704</v>
      </c>
      <c r="S35" s="127">
        <f>'[5]主角分析-非R'!G35</f>
        <v>44814.025931604563</v>
      </c>
      <c r="T35" s="127">
        <f>'[5]主角分析-非R'!H35</f>
        <v>2394.9057615191837</v>
      </c>
      <c r="U35" s="127">
        <f>'[5]主角分析-非R'!I35</f>
        <v>925.11559415609383</v>
      </c>
      <c r="V35" s="128"/>
      <c r="W35" s="129">
        <f>'[2]3、总属性战斗节奏拟合'!D38</f>
        <v>89095.600571989969</v>
      </c>
      <c r="X35" s="129">
        <f>'[2]3、总属性战斗节奏拟合'!E38</f>
        <v>6588.8283085284293</v>
      </c>
      <c r="Y35" s="129">
        <f>'[2]3、总属性战斗节奏拟合'!F38</f>
        <v>2928.3681371237462</v>
      </c>
      <c r="Z35" s="128"/>
      <c r="AA35" s="130">
        <f>'[5]主角数据分析-超R'!G35</f>
        <v>116678.24413384491</v>
      </c>
      <c r="AB35" s="130">
        <f>'[5]主角数据分析-超R'!H35</f>
        <v>6022.2890004642368</v>
      </c>
      <c r="AC35" s="130">
        <f>'[5]主角数据分析-超R'!I35</f>
        <v>2345.3741592260717</v>
      </c>
    </row>
    <row r="36" spans="1:29" s="83" customFormat="1">
      <c r="B36" s="83">
        <v>35</v>
      </c>
      <c r="C36" s="19">
        <f t="shared" si="1"/>
        <v>49018.40771739131</v>
      </c>
      <c r="D36" s="19">
        <f t="shared" si="2"/>
        <v>3018.0347608695656</v>
      </c>
      <c r="E36" s="19">
        <f t="shared" si="3"/>
        <v>1341.348782608696</v>
      </c>
      <c r="K36" s="100">
        <v>0.5</v>
      </c>
      <c r="L36" s="100">
        <v>0.42499999999999999</v>
      </c>
      <c r="M36" s="100">
        <v>0.42499999999999999</v>
      </c>
      <c r="O36" s="87">
        <f t="shared" si="4"/>
        <v>94786.254006433344</v>
      </c>
      <c r="P36" s="87">
        <f t="shared" si="5"/>
        <v>5751.4767279056714</v>
      </c>
      <c r="Q36" s="87">
        <f t="shared" si="6"/>
        <v>2434.089785226301</v>
      </c>
      <c r="S36" s="127">
        <f>'[5]主角分析-非R'!G36</f>
        <v>67758.113636818132</v>
      </c>
      <c r="T36" s="127">
        <f>'[5]主角分析-非R'!H36</f>
        <v>3660.1411994100376</v>
      </c>
      <c r="U36" s="127">
        <f>'[5]主角分析-非R'!I36</f>
        <v>1549.8439823709984</v>
      </c>
      <c r="V36" s="134"/>
      <c r="W36" s="129">
        <f>'[2]3、总属性战斗节奏拟合'!D39</f>
        <v>98036.81543478262</v>
      </c>
      <c r="X36" s="129">
        <f>'[2]3、总属性战斗节奏拟合'!E39</f>
        <v>7101.2582608695666</v>
      </c>
      <c r="Y36" s="129">
        <f>'[2]3、总属性战斗节奏拟合'!F39</f>
        <v>3156.1147826086963</v>
      </c>
      <c r="Z36" s="134"/>
      <c r="AA36" s="130">
        <f>'[5]主角数据分析-超R'!G36</f>
        <v>118563.83294769924</v>
      </c>
      <c r="AB36" s="130">
        <f>'[5]主角数据分析-超R'!H36</f>
        <v>6493.0307234374068</v>
      </c>
      <c r="AC36" s="130">
        <f>'[5]主角数据分析-超R'!I36</f>
        <v>2596.3105906992087</v>
      </c>
    </row>
    <row r="37" spans="1:29">
      <c r="B37">
        <v>36</v>
      </c>
      <c r="C37" s="19">
        <f t="shared" si="1"/>
        <v>53766.237262876261</v>
      </c>
      <c r="D37" s="19">
        <f t="shared" si="2"/>
        <v>3281.9453975919737</v>
      </c>
      <c r="E37" s="19">
        <f t="shared" si="3"/>
        <v>1458.6423989297662</v>
      </c>
      <c r="K37" s="100">
        <v>0.5</v>
      </c>
      <c r="L37" s="100">
        <v>0.43</v>
      </c>
      <c r="M37" s="100">
        <v>0.43</v>
      </c>
      <c r="O37" s="86">
        <f t="shared" si="4"/>
        <v>100788.89373033548</v>
      </c>
      <c r="P37" s="86">
        <f t="shared" si="5"/>
        <v>5979.7394024369351</v>
      </c>
      <c r="Q37" s="86">
        <f t="shared" si="6"/>
        <v>2536.082723817291</v>
      </c>
      <c r="S37" s="127">
        <f>'[5]主角分析-非R'!G37</f>
        <v>70388.479460097369</v>
      </c>
      <c r="T37" s="127">
        <f>'[5]主角分析-非R'!H37</f>
        <v>3721.1970180196627</v>
      </c>
      <c r="U37" s="127">
        <f>'[5]主角分析-非R'!I37</f>
        <v>1578.8095238614665</v>
      </c>
      <c r="V37" s="128"/>
      <c r="W37" s="129">
        <f>'[2]3、总属性战斗节奏拟合'!D40</f>
        <v>107532.47452575252</v>
      </c>
      <c r="X37" s="129">
        <f>'[2]3、总属性战斗节奏拟合'!E40</f>
        <v>7632.4311571906364</v>
      </c>
      <c r="Y37" s="129">
        <f>'[2]3、总属性战斗节奏拟合'!F40</f>
        <v>3392.191625418061</v>
      </c>
      <c r="Z37" s="128"/>
      <c r="AA37" s="130">
        <f>'[5]主角数据分析-超R'!G37</f>
        <v>124445.72720515652</v>
      </c>
      <c r="AB37" s="130">
        <f>'[5]主角数据分析-超R'!H37</f>
        <v>6585.5900321005083</v>
      </c>
      <c r="AC37" s="130">
        <f>'[5]主角数据分析-超R'!I37</f>
        <v>2637.2470221723456</v>
      </c>
    </row>
    <row r="38" spans="1:29">
      <c r="B38">
        <v>37</v>
      </c>
      <c r="C38" s="19">
        <f t="shared" si="1"/>
        <v>59975.239767114137</v>
      </c>
      <c r="D38" s="19">
        <f t="shared" si="2"/>
        <v>3559.3209439088632</v>
      </c>
      <c r="E38" s="19">
        <f t="shared" si="3"/>
        <v>1581.9204195150503</v>
      </c>
      <c r="K38" s="100">
        <v>0.51</v>
      </c>
      <c r="L38" s="100">
        <v>0.435</v>
      </c>
      <c r="M38" s="100">
        <v>0.435</v>
      </c>
      <c r="O38" s="86">
        <f t="shared" si="4"/>
        <v>106965.72252941976</v>
      </c>
      <c r="P38" s="86">
        <f t="shared" si="5"/>
        <v>6282.4371280324485</v>
      </c>
      <c r="Q38" s="86">
        <f t="shared" si="6"/>
        <v>2656.3301019785795</v>
      </c>
      <c r="S38" s="127">
        <f>'[5]主角分析-非R'!G38</f>
        <v>73240.213667732503</v>
      </c>
      <c r="T38" s="127">
        <f>'[5]主角分析-非R'!H38</f>
        <v>3852.8588297899732</v>
      </c>
      <c r="U38" s="127">
        <f>'[5]主角分析-非R'!I38</f>
        <v>1660.2081867384163</v>
      </c>
      <c r="V38" s="128"/>
      <c r="W38" s="129">
        <f>'[2]3、总属性战斗节奏拟合'!D41</f>
        <v>117598.50934728263</v>
      </c>
      <c r="X38" s="129">
        <f>'[2]3、总属性战斗节奏拟合'!E41</f>
        <v>8182.3469974916397</v>
      </c>
      <c r="Y38" s="129">
        <f>'[2]3、总属性战斗节奏拟合'!F41</f>
        <v>3636.59866555184</v>
      </c>
      <c r="Z38" s="128"/>
      <c r="AA38" s="130">
        <f>'[5]主角数据分析-超R'!G38</f>
        <v>130058.44457324414</v>
      </c>
      <c r="AB38" s="130">
        <f>'[5]主角数据分析-超R'!H38</f>
        <v>6812.1055568157317</v>
      </c>
      <c r="AC38" s="130">
        <f>'[5]主角数据分析-超R'!I38</f>
        <v>2672.1834536454826</v>
      </c>
    </row>
    <row r="39" spans="1:29">
      <c r="B39">
        <v>38</v>
      </c>
      <c r="C39" s="19">
        <f t="shared" si="1"/>
        <v>66690.44272891304</v>
      </c>
      <c r="D39" s="19">
        <f t="shared" si="2"/>
        <v>3850.4425439799334</v>
      </c>
      <c r="E39" s="19">
        <f t="shared" si="3"/>
        <v>1711.3077973244149</v>
      </c>
      <c r="K39" s="100">
        <v>0.52</v>
      </c>
      <c r="L39" s="100">
        <v>0.44</v>
      </c>
      <c r="M39" s="100">
        <v>0.44</v>
      </c>
      <c r="O39" s="86">
        <f t="shared" si="4"/>
        <v>123101.21656714898</v>
      </c>
      <c r="P39" s="86">
        <f t="shared" si="5"/>
        <v>7123.2122228284106</v>
      </c>
      <c r="Q39" s="86">
        <f t="shared" si="6"/>
        <v>3076.8544526792443</v>
      </c>
      <c r="S39" s="127">
        <f>'[5]主角分析-非R'!G39</f>
        <v>74472.864224849953</v>
      </c>
      <c r="T39" s="127">
        <f>'[5]主角分析-非R'!H39</f>
        <v>4056.9146483995992</v>
      </c>
      <c r="U39" s="127">
        <f>'[5]主角分析-非R'!I39</f>
        <v>1743.9068419785417</v>
      </c>
      <c r="V39" s="128"/>
      <c r="W39" s="129">
        <f>'[2]3、总属性战斗节奏拟合'!D42</f>
        <v>128250.85140175585</v>
      </c>
      <c r="X39" s="129">
        <f>'[2]3、总属性战斗节奏拟合'!E42</f>
        <v>8751.0057817725756</v>
      </c>
      <c r="Y39" s="129">
        <f>'[2]3、总属性战斗节奏拟合'!F42</f>
        <v>3889.3359030100337</v>
      </c>
      <c r="Z39" s="128"/>
      <c r="AA39" s="130">
        <f>'[5]主角数据分析-超R'!G39</f>
        <v>166579.93407484115</v>
      </c>
      <c r="AB39" s="130">
        <f>'[5]主角数据分析-超R'!H39</f>
        <v>8561.7162383130581</v>
      </c>
      <c r="AC39" s="130">
        <f>'[5]主角数据分析-超R'!I39</f>
        <v>3597.3206130491581</v>
      </c>
    </row>
    <row r="40" spans="1:29">
      <c r="B40">
        <v>39</v>
      </c>
      <c r="C40" s="19">
        <f t="shared" si="1"/>
        <v>73937.879061524261</v>
      </c>
      <c r="D40" s="19">
        <f t="shared" si="2"/>
        <v>4155.5913419648832</v>
      </c>
      <c r="E40" s="19">
        <f t="shared" si="3"/>
        <v>1846.9294853177259</v>
      </c>
      <c r="K40" s="100">
        <v>0.53</v>
      </c>
      <c r="L40" s="100">
        <v>0.44500000000000001</v>
      </c>
      <c r="M40" s="100">
        <v>0.44500000000000001</v>
      </c>
      <c r="O40" s="86">
        <f t="shared" si="4"/>
        <v>128046.72306147352</v>
      </c>
      <c r="P40" s="86">
        <f t="shared" si="5"/>
        <v>7384.143423942106</v>
      </c>
      <c r="Q40" s="86">
        <f t="shared" si="6"/>
        <v>3186.0797660181038</v>
      </c>
      <c r="S40" s="127">
        <f>'[5]主角分析-非R'!G40</f>
        <v>75644.69478196741</v>
      </c>
      <c r="T40" s="127">
        <f>'[5]主角分析-非R'!H40</f>
        <v>4134.9704670092242</v>
      </c>
      <c r="U40" s="127">
        <f>'[5]主角分析-非R'!I40</f>
        <v>1764.8723834690095</v>
      </c>
      <c r="V40" s="128"/>
      <c r="W40" s="129">
        <f>'[2]3、总属性战斗节奏拟合'!D43</f>
        <v>139505.43219155521</v>
      </c>
      <c r="X40" s="129">
        <f>'[2]3、总属性战斗节奏拟合'!E43</f>
        <v>9338.4075100334449</v>
      </c>
      <c r="Y40" s="129">
        <f>'[2]3、总属性战斗节奏拟合'!F43</f>
        <v>4150.4033377926426</v>
      </c>
      <c r="Z40" s="128"/>
      <c r="AA40" s="130">
        <f>'[5]主角数据分析-超R'!G40</f>
        <v>168990.04221089793</v>
      </c>
      <c r="AB40" s="130">
        <f>'[5]主角数据分析-超R'!H40</f>
        <v>8679.0522947836471</v>
      </c>
      <c r="AC40" s="130">
        <f>'[5]主角数据分析-超R'!I40</f>
        <v>3642.9635767926588</v>
      </c>
    </row>
    <row r="41" spans="1:29">
      <c r="B41">
        <v>40</v>
      </c>
      <c r="C41" s="19">
        <f t="shared" si="1"/>
        <v>82480.653343143844</v>
      </c>
      <c r="D41" s="19">
        <f t="shared" si="2"/>
        <v>4515.3642341137138</v>
      </c>
      <c r="E41" s="19">
        <f t="shared" si="3"/>
        <v>2006.8285484949843</v>
      </c>
      <c r="K41" s="100">
        <v>0.54</v>
      </c>
      <c r="L41" s="100">
        <v>0.45</v>
      </c>
      <c r="M41" s="100">
        <v>0.45</v>
      </c>
      <c r="O41" s="86">
        <f t="shared" si="4"/>
        <v>149216.07187099356</v>
      </c>
      <c r="P41" s="86">
        <f t="shared" si="5"/>
        <v>8301.0822441962155</v>
      </c>
      <c r="Q41" s="86">
        <f t="shared" si="6"/>
        <v>3568.4003597811775</v>
      </c>
      <c r="S41" s="127">
        <f>'[5]主角分析-非R'!G41</f>
        <v>89536.868259014387</v>
      </c>
      <c r="T41" s="127">
        <f>'[5]主角分析-非R'!H41</f>
        <v>4786.3707404637707</v>
      </c>
      <c r="U41" s="127">
        <f>'[5]主角分析-非R'!I41</f>
        <v>2021.5451809733422</v>
      </c>
      <c r="V41" s="128"/>
      <c r="W41" s="129">
        <f>'[2]3、总属性战斗节奏拟合'!D44</f>
        <v>152741.95063545156</v>
      </c>
      <c r="X41" s="129">
        <f>'[2]3、总属性战斗节奏拟合'!E44</f>
        <v>10034.14274247492</v>
      </c>
      <c r="Y41" s="129">
        <f>'[2]3、总属性战斗节奏拟合'!F44</f>
        <v>4459.6189966555203</v>
      </c>
      <c r="Z41" s="128"/>
      <c r="AA41" s="130">
        <f>'[5]主角数据分析-超R'!G41</f>
        <v>205369.3967185147</v>
      </c>
      <c r="AB41" s="130">
        <f>'[5]主角数据分析-超R'!H41</f>
        <v>10082.733249649955</v>
      </c>
      <c r="AC41" s="130">
        <f>'[5]主角数据分析-超R'!I41</f>
        <v>4224.0369017146695</v>
      </c>
    </row>
    <row r="42" spans="1:29">
      <c r="B42">
        <v>41</v>
      </c>
      <c r="C42" s="19">
        <f t="shared" si="1"/>
        <v>91718.116631132987</v>
      </c>
      <c r="D42" s="19">
        <f t="shared" si="2"/>
        <v>4893.4651979347846</v>
      </c>
      <c r="E42" s="19">
        <f t="shared" si="3"/>
        <v>2174.8734213043485</v>
      </c>
      <c r="K42" s="100">
        <v>0.55000000000000004</v>
      </c>
      <c r="L42" s="100">
        <v>0.45500000000000002</v>
      </c>
      <c r="M42" s="100">
        <v>0.45500000000000002</v>
      </c>
      <c r="O42" s="86">
        <f t="shared" si="4"/>
        <v>157166.56316210731</v>
      </c>
      <c r="P42" s="86">
        <f t="shared" si="5"/>
        <v>8646.4805860918586</v>
      </c>
      <c r="Q42" s="86">
        <f t="shared" si="6"/>
        <v>3740.2076555632661</v>
      </c>
      <c r="S42" s="127">
        <f>'[5]主角分析-非R'!G42</f>
        <v>92570.87893324405</v>
      </c>
      <c r="T42" s="127">
        <f>'[5]主角分析-非R'!H42</f>
        <v>4870.7630387483368</v>
      </c>
      <c r="U42" s="127">
        <f>'[5]主角分析-非R'!I42</f>
        <v>2033.3438438502922</v>
      </c>
      <c r="V42" s="128"/>
      <c r="W42" s="129">
        <f>'[2]3、总属性战斗节奏拟合'!D45</f>
        <v>166760.21205660541</v>
      </c>
      <c r="X42" s="129">
        <f>'[2]3、总属性战斗节奏拟合'!E45</f>
        <v>10754.868566889636</v>
      </c>
      <c r="Y42" s="129">
        <f>'[2]3、总属性战斗节奏拟合'!F45</f>
        <v>4779.9415852842822</v>
      </c>
      <c r="Z42" s="128"/>
      <c r="AA42" s="130">
        <f>'[5]主角数据分析-超R'!G42</f>
        <v>212168.59849647246</v>
      </c>
      <c r="AB42" s="130">
        <f>'[5]主角数据分析-超R'!H42</f>
        <v>10313.810152637603</v>
      </c>
      <c r="AC42" s="130">
        <f>'[5]主角数据分析-超R'!I42</f>
        <v>4407.3375375552241</v>
      </c>
    </row>
    <row r="43" spans="1:29">
      <c r="B43">
        <v>42</v>
      </c>
      <c r="C43" s="19">
        <f t="shared" si="1"/>
        <v>101685.61673658868</v>
      </c>
      <c r="D43" s="19">
        <f t="shared" si="2"/>
        <v>5290.2690923076943</v>
      </c>
      <c r="E43" s="19">
        <f t="shared" si="3"/>
        <v>2351.2307076923089</v>
      </c>
      <c r="K43" s="100">
        <v>0.56000000000000005</v>
      </c>
      <c r="L43" s="100">
        <v>0.46</v>
      </c>
      <c r="M43" s="100">
        <v>0.46</v>
      </c>
      <c r="O43" s="86">
        <f t="shared" si="4"/>
        <v>163587.97188218348</v>
      </c>
      <c r="P43" s="86">
        <f t="shared" si="5"/>
        <v>9018.2077691659215</v>
      </c>
      <c r="Q43" s="86">
        <f t="shared" si="6"/>
        <v>3882.0655442020375</v>
      </c>
      <c r="S43" s="127">
        <f>'[5]主角分析-非R'!G43</f>
        <v>94248.346245816967</v>
      </c>
      <c r="T43" s="127">
        <f>'[5]主角分析-非R'!H43</f>
        <v>4931.3249621707964</v>
      </c>
      <c r="U43" s="127">
        <f>'[5]主角分析-非R'!I43</f>
        <v>2068.1873555314014</v>
      </c>
      <c r="V43" s="128"/>
      <c r="W43" s="129">
        <f>'[2]3、总属性战斗节奏拟合'!D46</f>
        <v>181581.45845819404</v>
      </c>
      <c r="X43" s="129">
        <f>'[2]3、总属性战斗节奏拟合'!E46</f>
        <v>11500.584983277597</v>
      </c>
      <c r="Y43" s="129">
        <f>'[2]3、总属性战斗节奏拟合'!F46</f>
        <v>5111.3711036789318</v>
      </c>
      <c r="Z43" s="128"/>
      <c r="AA43" s="130">
        <f>'[5]主角数据分析-超R'!G43</f>
        <v>214934.11094253941</v>
      </c>
      <c r="AB43" s="130">
        <f>'[5]主角数据分析-超R'!H43</f>
        <v>10622.713362049368</v>
      </c>
      <c r="AC43" s="130">
        <f>'[5]主角数据分析-超R'!I43</f>
        <v>4466.6381733957787</v>
      </c>
    </row>
    <row r="44" spans="1:29">
      <c r="B44">
        <v>43</v>
      </c>
      <c r="C44" s="19">
        <f t="shared" si="1"/>
        <v>112419.35115073496</v>
      </c>
      <c r="D44" s="19">
        <f t="shared" si="2"/>
        <v>5706.1507761120411</v>
      </c>
      <c r="E44" s="19">
        <f t="shared" si="3"/>
        <v>2536.067011605352</v>
      </c>
      <c r="K44" s="100">
        <v>0.56999999999999995</v>
      </c>
      <c r="L44" s="100">
        <v>0.46500000000000002</v>
      </c>
      <c r="M44" s="100">
        <v>0.46500000000000002</v>
      </c>
      <c r="O44" s="86">
        <f t="shared" si="4"/>
        <v>170122.28293013026</v>
      </c>
      <c r="P44" s="86">
        <f t="shared" si="5"/>
        <v>9403.265149564395</v>
      </c>
      <c r="Q44" s="86">
        <f t="shared" si="6"/>
        <v>4021.9590760961037</v>
      </c>
      <c r="S44" s="127">
        <f>'[5]主角分析-非R'!G44</f>
        <v>95428.053558389875</v>
      </c>
      <c r="T44" s="127">
        <f>'[5]主角分析-非R'!H44</f>
        <v>5180.8868855932569</v>
      </c>
      <c r="U44" s="127">
        <f>'[5]主角分析-非R'!I44</f>
        <v>2092.0308672125107</v>
      </c>
      <c r="V44" s="128"/>
      <c r="W44" s="129">
        <f>'[2]3、总属性战斗节奏拟合'!D47</f>
        <v>197226.93184339468</v>
      </c>
      <c r="X44" s="129">
        <f>'[2]3、总属性战斗节奏拟合'!E47</f>
        <v>12271.291991638798</v>
      </c>
      <c r="Y44" s="129">
        <f>'[2]3、总属性战斗节奏拟合'!F47</f>
        <v>5453.9075518394666</v>
      </c>
      <c r="Z44" s="128"/>
      <c r="AA44" s="130">
        <f>'[5]主角数据分析-超R'!G44</f>
        <v>217711.86338860626</v>
      </c>
      <c r="AB44" s="130">
        <f>'[5]主角数据分析-超R'!H44</f>
        <v>10757.616571461132</v>
      </c>
      <c r="AC44" s="130">
        <f>'[5]主角数据分析-超R'!I44</f>
        <v>4519.9388092363342</v>
      </c>
    </row>
    <row r="45" spans="1:29">
      <c r="B45">
        <v>44</v>
      </c>
      <c r="C45" s="19">
        <f t="shared" si="1"/>
        <v>123956.36704492308</v>
      </c>
      <c r="D45" s="19">
        <f t="shared" si="2"/>
        <v>6141.4851082274254</v>
      </c>
      <c r="E45" s="19">
        <f t="shared" si="3"/>
        <v>2729.5489369899669</v>
      </c>
      <c r="K45" s="100">
        <v>0.57999999999999996</v>
      </c>
      <c r="L45" s="100">
        <v>0.47</v>
      </c>
      <c r="M45" s="100">
        <v>0.47</v>
      </c>
      <c r="O45" s="86">
        <f t="shared" si="4"/>
        <v>190848.4495050727</v>
      </c>
      <c r="P45" s="86">
        <f t="shared" si="5"/>
        <v>9870.7219374120632</v>
      </c>
      <c r="Q45" s="86">
        <f t="shared" si="6"/>
        <v>4395.3406116383012</v>
      </c>
      <c r="S45" s="127">
        <f>'[5]主角分析-非R'!G45</f>
        <v>118334.14142972602</v>
      </c>
      <c r="T45" s="127">
        <f>'[5]主角分析-非R'!H45</f>
        <v>5652.656439390048</v>
      </c>
      <c r="U45" s="127">
        <f>'[5]主角分析-非R'!I45</f>
        <v>2526.2314600721293</v>
      </c>
      <c r="V45" s="128"/>
      <c r="W45" s="129">
        <f>'[2]3、总属性战斗节奏拟合'!D48</f>
        <v>213717.87421538465</v>
      </c>
      <c r="X45" s="129">
        <f>'[2]3、总属性战斗节奏拟合'!E48</f>
        <v>13066.989591973246</v>
      </c>
      <c r="Y45" s="129">
        <f>'[2]3、总属性战斗节奏拟合'!F48</f>
        <v>5807.5509297658873</v>
      </c>
      <c r="Z45" s="128"/>
      <c r="AA45" s="130">
        <f>'[5]主角数据分析-超R'!G45</f>
        <v>240493.33287010749</v>
      </c>
      <c r="AB45" s="130">
        <f>'[5]主角数据分析-超R'!H45</f>
        <v>10892.519780872897</v>
      </c>
      <c r="AC45" s="130">
        <f>'[5]主角数据分析-超R'!I45</f>
        <v>4852.2394450768879</v>
      </c>
    </row>
    <row r="46" spans="1:29" s="60" customFormat="1">
      <c r="A46" s="60" t="s">
        <v>636</v>
      </c>
      <c r="B46" s="60">
        <v>45</v>
      </c>
      <c r="C46" s="19">
        <f t="shared" si="1"/>
        <v>136334.5612706313</v>
      </c>
      <c r="D46" s="19">
        <f t="shared" si="2"/>
        <v>6596.6469475334461</v>
      </c>
      <c r="E46" s="19">
        <f t="shared" si="3"/>
        <v>2931.843087792643</v>
      </c>
      <c r="K46" s="100">
        <v>0.59</v>
      </c>
      <c r="L46" s="100">
        <v>0.47499999999999998</v>
      </c>
      <c r="M46" s="100">
        <v>0.47499999999999998</v>
      </c>
      <c r="O46" s="86">
        <f t="shared" si="4"/>
        <v>218053.40395265506</v>
      </c>
      <c r="P46" s="86">
        <f t="shared" si="5"/>
        <v>11386.920391247249</v>
      </c>
      <c r="Q46" s="86">
        <f t="shared" si="6"/>
        <v>4962.2098659528374</v>
      </c>
      <c r="S46" s="127">
        <f>'[5]主角分析-非R'!G46</f>
        <v>137244.943246996</v>
      </c>
      <c r="T46" s="127">
        <f>'[5]主角分析-非R'!H46</f>
        <v>6821.3370246306904</v>
      </c>
      <c r="U46" s="127">
        <f>'[5]主角分析-非R'!I46</f>
        <v>2918.1434511986454</v>
      </c>
      <c r="V46" s="131"/>
      <c r="W46" s="132">
        <f>'[2]3、总属性战斗节奏拟合'!D49</f>
        <v>231075.52757734121</v>
      </c>
      <c r="X46" s="132">
        <f>'[2]3、总属性战斗节奏拟合'!E49</f>
        <v>13887.677784280941</v>
      </c>
      <c r="Y46" s="132">
        <f>'[2]3、总属性战斗节奏拟合'!F49</f>
        <v>6172.3012374581958</v>
      </c>
      <c r="Z46" s="131"/>
      <c r="AA46" s="130">
        <f>'[5]主角数据分析-超R'!G46</f>
        <v>285839.741033628</v>
      </c>
      <c r="AB46" s="130">
        <f>'[5]主角数据分析-超R'!H46</f>
        <v>13451.746364830116</v>
      </c>
      <c r="AC46" s="130">
        <f>'[5]主角数据分析-超R'!I46</f>
        <v>5796.1849092016719</v>
      </c>
    </row>
    <row r="47" spans="1:29">
      <c r="B47">
        <v>46</v>
      </c>
      <c r="C47" s="19">
        <f t="shared" si="1"/>
        <v>149592.68035946492</v>
      </c>
      <c r="D47" s="19">
        <f t="shared" si="2"/>
        <v>7072.0111529097012</v>
      </c>
      <c r="E47" s="19">
        <f t="shared" si="3"/>
        <v>3143.1160679598675</v>
      </c>
      <c r="K47" s="100">
        <v>0.6</v>
      </c>
      <c r="L47" s="100">
        <v>0.48</v>
      </c>
      <c r="M47" s="100">
        <v>0.48</v>
      </c>
      <c r="O47" s="86">
        <f t="shared" si="4"/>
        <v>245935.37921652966</v>
      </c>
      <c r="P47" s="86">
        <f t="shared" si="5"/>
        <v>12940.294445467198</v>
      </c>
      <c r="Q47" s="86">
        <f t="shared" si="6"/>
        <v>5670.9440815127455</v>
      </c>
      <c r="S47" s="127">
        <f>'[5]主角分析-非R'!G47</f>
        <v>149991.62218277357</v>
      </c>
      <c r="T47" s="127">
        <f>'[5]主角分析-非R'!H47</f>
        <v>7782.9253762286644</v>
      </c>
      <c r="U47" s="127">
        <f>'[5]主角分析-非R'!I47</f>
        <v>3337.7980630535985</v>
      </c>
      <c r="V47" s="128"/>
      <c r="W47" s="129">
        <f>'[2]3、总属性战斗节奏拟合'!D50</f>
        <v>249321.13393244156</v>
      </c>
      <c r="X47" s="129">
        <f>'[2]3、总属性战斗节奏拟合'!E50</f>
        <v>14733.356568561878</v>
      </c>
      <c r="Y47" s="129">
        <f>'[2]3、总属性战斗节奏拟合'!F50</f>
        <v>6548.1584749163903</v>
      </c>
      <c r="Z47" s="128"/>
      <c r="AA47" s="130">
        <f>'[5]主角数据分析-超R'!G47</f>
        <v>338493.38153437385</v>
      </c>
      <c r="AB47" s="130">
        <f>'[5]主角数据分析-超R'!H47</f>
        <v>16304.601391611051</v>
      </c>
      <c r="AC47" s="130">
        <f>'[5]主角数据分析-超R'!I47</f>
        <v>7126.8757065682457</v>
      </c>
    </row>
    <row r="48" spans="1:29">
      <c r="B48">
        <v>47</v>
      </c>
      <c r="C48" s="19">
        <f t="shared" si="1"/>
        <v>163770.32052315638</v>
      </c>
      <c r="D48" s="19">
        <f t="shared" si="2"/>
        <v>7567.9525832357876</v>
      </c>
      <c r="E48" s="19">
        <f t="shared" si="3"/>
        <v>3363.5344814381283</v>
      </c>
      <c r="K48" s="100">
        <v>0.61</v>
      </c>
      <c r="L48" s="100">
        <v>0.48499999999999999</v>
      </c>
      <c r="M48" s="100">
        <v>0.48499999999999999</v>
      </c>
      <c r="O48" s="86">
        <f t="shared" si="4"/>
        <v>258217.47531518471</v>
      </c>
      <c r="P48" s="86">
        <f t="shared" si="5"/>
        <v>13325.917189280981</v>
      </c>
      <c r="Q48" s="86">
        <f t="shared" si="6"/>
        <v>5830.0488989872074</v>
      </c>
      <c r="S48" s="127">
        <f>'[5]主角分析-非R'!G48</f>
        <v>154093.59391503513</v>
      </c>
      <c r="T48" s="127">
        <f>'[5]主角分析-非R'!H48</f>
        <v>7862.7195631805353</v>
      </c>
      <c r="U48" s="127">
        <f>'[5]主角分析-非R'!I48</f>
        <v>3350.0746961211894</v>
      </c>
      <c r="V48" s="128"/>
      <c r="W48" s="129">
        <f>'[2]3、总属性战斗节奏拟合'!D51</f>
        <v>268475.93528386293</v>
      </c>
      <c r="X48" s="129">
        <f>'[2]3、总属性战斗节奏拟合'!E51</f>
        <v>15604.025944816058</v>
      </c>
      <c r="Y48" s="129">
        <f>'[2]3、总属性战斗节奏拟合'!F51</f>
        <v>6935.1226421404708</v>
      </c>
      <c r="Z48" s="128"/>
      <c r="AA48" s="130">
        <f>'[5]主角数据分析-超R'!G48</f>
        <v>352082.89674665616</v>
      </c>
      <c r="AB48" s="130">
        <f>'[5]主角数据分析-超R'!H48</f>
        <v>16511.006059846346</v>
      </c>
      <c r="AC48" s="130">
        <f>'[5]主角数据分析-超R'!I48</f>
        <v>7204.9493586999615</v>
      </c>
    </row>
    <row r="49" spans="1:29">
      <c r="B49">
        <v>48</v>
      </c>
      <c r="C49" s="19">
        <f t="shared" si="1"/>
        <v>178907.92765356528</v>
      </c>
      <c r="D49" s="19">
        <f t="shared" si="2"/>
        <v>8084.8460973913079</v>
      </c>
      <c r="E49" s="19">
        <f t="shared" si="3"/>
        <v>3593.2649321739145</v>
      </c>
      <c r="K49" s="100">
        <v>0.62</v>
      </c>
      <c r="L49" s="100">
        <v>0.49</v>
      </c>
      <c r="M49" s="100">
        <v>0.49</v>
      </c>
      <c r="O49" s="86">
        <f t="shared" si="4"/>
        <v>318976.87234560569</v>
      </c>
      <c r="P49" s="86">
        <f t="shared" si="5"/>
        <v>15986.966843431655</v>
      </c>
      <c r="Q49" s="86">
        <f t="shared" si="6"/>
        <v>7284.3101188543706</v>
      </c>
      <c r="S49" s="127">
        <f>'[5]主角分析-非R'!G49</f>
        <v>189594.53992629374</v>
      </c>
      <c r="T49" s="127">
        <f>'[5]主角分析-非R'!H49</f>
        <v>9138.813636335617</v>
      </c>
      <c r="U49" s="127">
        <f>'[5]主角分析-非R'!I49</f>
        <v>4193.3383512599557</v>
      </c>
      <c r="V49" s="128"/>
      <c r="W49" s="129">
        <f>'[2]3、总属性战斗节奏拟合'!D52</f>
        <v>288561.17363478272</v>
      </c>
      <c r="X49" s="129">
        <f>'[2]3、总属性战斗节奏拟合'!E52</f>
        <v>16499.685913043486</v>
      </c>
      <c r="Y49" s="129">
        <f>'[2]3、总属性战斗节奏拟合'!F52</f>
        <v>7333.1937391304382</v>
      </c>
      <c r="Z49" s="128"/>
      <c r="AA49" s="130">
        <f>'[5]主角数据分析-超R'!G49</f>
        <v>478774.90347574058</v>
      </c>
      <c r="AB49" s="130">
        <f>'[5]主角数据分析-超R'!H49</f>
        <v>22322.400980915867</v>
      </c>
      <c r="AC49" s="130">
        <f>'[5]主角数据分析-超R'!I49</f>
        <v>10326.398266172717</v>
      </c>
    </row>
    <row r="50" spans="1:29">
      <c r="B50">
        <v>49</v>
      </c>
      <c r="C50" s="19">
        <f t="shared" si="1"/>
        <v>195046.79732267821</v>
      </c>
      <c r="D50" s="19">
        <f t="shared" si="2"/>
        <v>8623.0665542558563</v>
      </c>
      <c r="E50" s="19">
        <f t="shared" si="3"/>
        <v>3832.4740241137142</v>
      </c>
      <c r="K50" s="100">
        <v>0.63</v>
      </c>
      <c r="L50" s="100">
        <v>0.495</v>
      </c>
      <c r="M50" s="100">
        <v>0.495</v>
      </c>
      <c r="O50" s="86">
        <f t="shared" si="4"/>
        <v>330257.70022917743</v>
      </c>
      <c r="P50" s="86">
        <f t="shared" si="5"/>
        <v>16432.535550236516</v>
      </c>
      <c r="Q50" s="86">
        <f t="shared" si="6"/>
        <v>7469.5241229665189</v>
      </c>
      <c r="S50" s="127">
        <f>'[5]主角分析-非R'!G50</f>
        <v>196820.8327112594</v>
      </c>
      <c r="T50" s="127">
        <f>'[5]主角分析-非R'!H50</f>
        <v>9280.3284718436371</v>
      </c>
      <c r="U50" s="127">
        <f>'[5]主角分析-非R'!I50</f>
        <v>4232.2857209653284</v>
      </c>
      <c r="V50" s="128"/>
      <c r="W50" s="129">
        <f>'[2]3、总属性战斗节奏拟合'!D53</f>
        <v>309598.0909883781</v>
      </c>
      <c r="X50" s="129">
        <f>'[2]3、总属性战斗节奏拟合'!E53</f>
        <v>17420.336473244155</v>
      </c>
      <c r="Y50" s="129">
        <f>'[2]3、总属性战斗节奏拟合'!F53</f>
        <v>7742.3717658862915</v>
      </c>
      <c r="Z50" s="128"/>
      <c r="AA50" s="130">
        <f>'[5]主角数据分析-超R'!G50</f>
        <v>484354.17698789469</v>
      </c>
      <c r="AB50" s="130">
        <f>'[5]主角数据分析-超R'!H50</f>
        <v>22596.941705621753</v>
      </c>
      <c r="AC50" s="130">
        <f>'[5]主角数据分析-超R'!I50</f>
        <v>10433.914882047935</v>
      </c>
    </row>
    <row r="51" spans="1:29" s="83" customFormat="1">
      <c r="B51" s="83">
        <v>50</v>
      </c>
      <c r="C51" s="19">
        <f t="shared" si="1"/>
        <v>213625.31869565227</v>
      </c>
      <c r="D51" s="19">
        <f t="shared" si="2"/>
        <v>9243.4032127926457</v>
      </c>
      <c r="E51" s="19">
        <f t="shared" si="3"/>
        <v>4108.1792056856202</v>
      </c>
      <c r="K51" s="100">
        <v>0.64</v>
      </c>
      <c r="L51" s="100">
        <v>0.5</v>
      </c>
      <c r="M51" s="100">
        <v>0.5</v>
      </c>
      <c r="O51" s="87">
        <f t="shared" si="4"/>
        <v>359515.02036627085</v>
      </c>
      <c r="P51" s="87">
        <f t="shared" si="5"/>
        <v>17988.876724653255</v>
      </c>
      <c r="Q51" s="87">
        <f t="shared" si="6"/>
        <v>8120.0003321662953</v>
      </c>
      <c r="S51" s="127">
        <f>'[5]主角分析-非R'!G51</f>
        <v>202728.03798117922</v>
      </c>
      <c r="T51" s="127">
        <f>'[5]主角分析-非R'!H51</f>
        <v>9837.2433073516586</v>
      </c>
      <c r="U51" s="127">
        <f>'[5]主角分析-非R'!I51</f>
        <v>4295.6330906707008</v>
      </c>
      <c r="V51" s="134"/>
      <c r="W51" s="129">
        <f>'[2]3、总属性战斗节奏拟合'!D54</f>
        <v>333789.56046195666</v>
      </c>
      <c r="X51" s="129">
        <f>'[2]3、总属性战斗节奏拟合'!E54</f>
        <v>18486.806425585291</v>
      </c>
      <c r="Y51" s="129">
        <f>'[2]3、总属性战斗节奏拟合'!F54</f>
        <v>8216.3584113712404</v>
      </c>
      <c r="Z51" s="134"/>
      <c r="AA51" s="130">
        <f>'[5]主角数据分析-超R'!G51</f>
        <v>542027.46265567688</v>
      </c>
      <c r="AB51" s="130">
        <f>'[5]主角数据分析-超R'!H51</f>
        <v>25642.580441022823</v>
      </c>
      <c r="AC51" s="130">
        <f>'[5]主角数据分析-超R'!I51</f>
        <v>11848.009494456946</v>
      </c>
    </row>
    <row r="52" spans="1:29">
      <c r="B52">
        <v>51</v>
      </c>
      <c r="C52" s="19">
        <f t="shared" si="1"/>
        <v>233452.8543882338</v>
      </c>
      <c r="D52" s="19">
        <f t="shared" si="2"/>
        <v>9792.2573089464895</v>
      </c>
      <c r="E52" s="19">
        <f t="shared" si="3"/>
        <v>4395.6355031270914</v>
      </c>
      <c r="K52" s="100">
        <v>0.65</v>
      </c>
      <c r="L52" s="100">
        <v>0.5</v>
      </c>
      <c r="M52" s="100">
        <v>0.505</v>
      </c>
      <c r="O52" s="86">
        <f t="shared" si="4"/>
        <v>371974.04702198989</v>
      </c>
      <c r="P52" s="86">
        <f t="shared" si="5"/>
        <v>18671.645613861332</v>
      </c>
      <c r="Q52" s="86">
        <f t="shared" si="6"/>
        <v>8364.0494296235247</v>
      </c>
      <c r="S52" s="127">
        <f>'[5]主角分析-非R'!G52</f>
        <v>208370.1140119326</v>
      </c>
      <c r="T52" s="127">
        <f>'[5]主角分析-非R'!H52</f>
        <v>10273.34114757397</v>
      </c>
      <c r="U52" s="127">
        <f>'[5]主角分析-非R'!I52</f>
        <v>4415.4631656793663</v>
      </c>
      <c r="V52" s="128"/>
      <c r="W52" s="129">
        <f>'[2]3、总属性战斗节奏拟合'!D55</f>
        <v>359158.23752035969</v>
      </c>
      <c r="X52" s="129">
        <f>'[2]3、总属性战斗节奏拟合'!E55</f>
        <v>19584.514617892979</v>
      </c>
      <c r="Y52" s="129">
        <f>'[2]3、总属性战斗节奏拟合'!F55</f>
        <v>8704.228719063547</v>
      </c>
      <c r="Z52" s="128"/>
      <c r="AA52" s="130">
        <f>'[5]主角数据分析-超R'!G52</f>
        <v>548393.78953367716</v>
      </c>
      <c r="AB52" s="130">
        <f>'[5]主角数据分析-超R'!H52</f>
        <v>26157.081076117047</v>
      </c>
      <c r="AC52" s="130">
        <f>'[5]主角数据分析-超R'!I52</f>
        <v>11972.456404127657</v>
      </c>
    </row>
    <row r="53" spans="1:29">
      <c r="B53">
        <v>52</v>
      </c>
      <c r="C53" s="19">
        <f t="shared" si="1"/>
        <v>254582.24528058866</v>
      </c>
      <c r="D53" s="19">
        <f t="shared" si="2"/>
        <v>10563.865135585287</v>
      </c>
      <c r="E53" s="19">
        <f t="shared" si="3"/>
        <v>4695.0511713712385</v>
      </c>
      <c r="K53" s="100">
        <v>0.66</v>
      </c>
      <c r="L53" s="100">
        <v>0.51</v>
      </c>
      <c r="M53" s="100">
        <v>0.51</v>
      </c>
      <c r="O53" s="86">
        <f t="shared" si="4"/>
        <v>384996.98163265205</v>
      </c>
      <c r="P53" s="86">
        <f t="shared" si="5"/>
        <v>19526.26294654455</v>
      </c>
      <c r="Q53" s="86">
        <f t="shared" si="6"/>
        <v>8656.536139636295</v>
      </c>
      <c r="S53" s="127">
        <f>'[5]主角分析-非R'!G53</f>
        <v>211557.85381872012</v>
      </c>
      <c r="T53" s="127">
        <f>'[5]主角分析-非R'!H53</f>
        <v>10488.680402333328</v>
      </c>
      <c r="U53" s="127">
        <f>'[5]主角分析-非R'!I53</f>
        <v>4480.7224161473041</v>
      </c>
      <c r="V53" s="128"/>
      <c r="W53" s="129">
        <f>'[2]3、总属性战斗节奏拟合'!D56</f>
        <v>385730.67466755857</v>
      </c>
      <c r="X53" s="129">
        <f>'[2]3、总属性战斗节奏拟合'!E56</f>
        <v>20713.461050167229</v>
      </c>
      <c r="Y53" s="129">
        <f>'[2]3、总属性战斗节奏拟合'!F56</f>
        <v>9205.9826889632131</v>
      </c>
      <c r="Z53" s="128"/>
      <c r="AA53" s="130">
        <f>'[5]主角数据分析-超R'!G53</f>
        <v>557702.41641167749</v>
      </c>
      <c r="AB53" s="130">
        <f>'[5]主角数据分析-超R'!H53</f>
        <v>27376.647387133093</v>
      </c>
      <c r="AC53" s="130">
        <f>'[5]主角数据分析-超R'!I53</f>
        <v>12282.903313798368</v>
      </c>
    </row>
    <row r="54" spans="1:29">
      <c r="B54">
        <v>53</v>
      </c>
      <c r="C54" s="19">
        <f t="shared" si="1"/>
        <v>277067.39435304189</v>
      </c>
      <c r="D54" s="19">
        <f t="shared" si="2"/>
        <v>11264.927547040137</v>
      </c>
      <c r="E54" s="19">
        <f t="shared" si="3"/>
        <v>5006.6344653511724</v>
      </c>
      <c r="K54" s="100">
        <v>0.67</v>
      </c>
      <c r="L54" s="100">
        <v>0.51500000000000001</v>
      </c>
      <c r="M54" s="100">
        <v>0.51500000000000001</v>
      </c>
      <c r="O54" s="86">
        <f t="shared" si="4"/>
        <v>406604.68710757018</v>
      </c>
      <c r="P54" s="86">
        <f t="shared" si="5"/>
        <v>20333.493025883286</v>
      </c>
      <c r="Q54" s="86">
        <f t="shared" si="6"/>
        <v>8949.3174037181871</v>
      </c>
      <c r="S54" s="127">
        <f>'[5]主角分析-非R'!G54</f>
        <v>219468.29362550762</v>
      </c>
      <c r="T54" s="127">
        <f>'[5]主角分析-非R'!H54</f>
        <v>10930.619657092686</v>
      </c>
      <c r="U54" s="127">
        <f>'[5]主角分析-非R'!I54</f>
        <v>4718.9816666152419</v>
      </c>
      <c r="V54" s="128"/>
      <c r="W54" s="129">
        <f>'[2]3、总属性战斗节奏拟合'!D57</f>
        <v>413533.42440752522</v>
      </c>
      <c r="X54" s="129">
        <f>'[2]3、总属性战斗节奏拟合'!E57</f>
        <v>21873.645722408033</v>
      </c>
      <c r="Y54" s="129">
        <f>'[2]3、总属性战斗节奏拟合'!F57</f>
        <v>9721.620321070237</v>
      </c>
      <c r="Z54" s="128"/>
      <c r="AA54" s="130">
        <f>'[5]主角数据分析-超R'!G54</f>
        <v>586812.34328967775</v>
      </c>
      <c r="AB54" s="130">
        <f>'[5]主角数据分析-超R'!H54</f>
        <v>28196.213698149135</v>
      </c>
      <c r="AC54" s="130">
        <f>'[5]主角数据分析-超R'!I54</f>
        <v>12407.350223469079</v>
      </c>
    </row>
    <row r="55" spans="1:29">
      <c r="B55">
        <v>54</v>
      </c>
      <c r="C55" s="19">
        <f t="shared" si="1"/>
        <v>300963.266686077</v>
      </c>
      <c r="D55" s="19">
        <f t="shared" si="2"/>
        <v>11993.835690000004</v>
      </c>
      <c r="E55" s="19">
        <f t="shared" si="3"/>
        <v>5330.5936400000019</v>
      </c>
      <c r="K55" s="100">
        <v>0.68</v>
      </c>
      <c r="L55" s="100">
        <v>0.52</v>
      </c>
      <c r="M55" s="100">
        <v>0.52</v>
      </c>
      <c r="O55" s="86">
        <f t="shared" si="4"/>
        <v>430632.46041119378</v>
      </c>
      <c r="P55" s="86">
        <f t="shared" si="5"/>
        <v>21161.780628797103</v>
      </c>
      <c r="Q55" s="86">
        <f t="shared" si="6"/>
        <v>9191.8171660401949</v>
      </c>
      <c r="S55" s="127">
        <f>'[5]主角分析-非R'!G55</f>
        <v>235456.7709216176</v>
      </c>
      <c r="T55" s="127">
        <f>'[5]主角分析-非R'!H55</f>
        <v>11459.163837758215</v>
      </c>
      <c r="U55" s="127">
        <f>'[5]主角分析-非R'!I55</f>
        <v>4780.5127495961779</v>
      </c>
      <c r="V55" s="128"/>
      <c r="W55" s="129">
        <f>'[2]3、总属性战斗节奏拟合'!D58</f>
        <v>442593.03924423084</v>
      </c>
      <c r="X55" s="129">
        <f>'[2]3、总属性战斗节奏拟合'!E58</f>
        <v>23065.068634615389</v>
      </c>
      <c r="Y55" s="129">
        <f>'[2]3、总属性战斗节奏拟合'!F58</f>
        <v>10251.141615384618</v>
      </c>
      <c r="Z55" s="128"/>
      <c r="AA55" s="130">
        <f>'[5]主角数据分析-超R'!G55</f>
        <v>613847.57106773299</v>
      </c>
      <c r="AB55" s="130">
        <f>'[5]主角数据分析-超R'!H55</f>
        <v>28961.109414017708</v>
      </c>
      <c r="AC55" s="130">
        <f>'[5]主角数据分析-超R'!I55</f>
        <v>12543.797133139789</v>
      </c>
    </row>
    <row r="56" spans="1:29">
      <c r="B56">
        <v>55</v>
      </c>
      <c r="C56" s="19">
        <f t="shared" si="1"/>
        <v>326325.88946033653</v>
      </c>
      <c r="D56" s="19">
        <f t="shared" si="2"/>
        <v>12751.058138064383</v>
      </c>
      <c r="E56" s="19">
        <f t="shared" si="3"/>
        <v>5667.1369502508369</v>
      </c>
      <c r="K56" s="100">
        <v>0.69</v>
      </c>
      <c r="L56" s="100">
        <v>0.52500000000000002</v>
      </c>
      <c r="M56" s="100">
        <v>0.52500000000000002</v>
      </c>
      <c r="O56" s="86">
        <f t="shared" si="4"/>
        <v>443627.52678526187</v>
      </c>
      <c r="P56" s="86">
        <f t="shared" si="5"/>
        <v>22016.370312953932</v>
      </c>
      <c r="Q56" s="86">
        <f t="shared" si="6"/>
        <v>9604.5208715936569</v>
      </c>
      <c r="S56" s="127">
        <f>'[5]主角分析-非R'!G56</f>
        <v>237671.41072840517</v>
      </c>
      <c r="T56" s="127">
        <f>'[5]主角分析-非R'!H56</f>
        <v>11979.453967963014</v>
      </c>
      <c r="U56" s="127">
        <f>'[5]主角分析-非R'!I56</f>
        <v>4823.7720000641157</v>
      </c>
      <c r="V56" s="128"/>
      <c r="W56" s="129">
        <f>'[2]3、总属性战斗节奏拟合'!D59</f>
        <v>472936.07168164715</v>
      </c>
      <c r="X56" s="129">
        <f>'[2]3、总属性战斗节奏拟合'!E59</f>
        <v>24287.729786789299</v>
      </c>
      <c r="Y56" s="129">
        <f>'[2]3、总属性战斗节奏拟合'!F59</f>
        <v>10794.546571906356</v>
      </c>
      <c r="Z56" s="128"/>
      <c r="AA56" s="130">
        <f>'[5]主角数据分析-超R'!G56</f>
        <v>620275.09794573323</v>
      </c>
      <c r="AB56" s="130">
        <f>'[5]主角数据分析-超R'!H56</f>
        <v>29781.927184109481</v>
      </c>
      <c r="AC56" s="130">
        <f>'[5]主角数据分析-超R'!I56</f>
        <v>13195.2440428105</v>
      </c>
    </row>
    <row r="57" spans="1:29">
      <c r="B57">
        <v>56</v>
      </c>
      <c r="C57" s="19">
        <f t="shared" si="1"/>
        <v>353212.35195662215</v>
      </c>
      <c r="D57" s="19">
        <f t="shared" si="2"/>
        <v>13537.06346483278</v>
      </c>
      <c r="E57" s="19">
        <f t="shared" si="3"/>
        <v>6016.4726510367909</v>
      </c>
      <c r="K57" s="100">
        <v>0.7</v>
      </c>
      <c r="L57" s="100">
        <v>0.53</v>
      </c>
      <c r="M57" s="100">
        <v>0.53</v>
      </c>
      <c r="O57" s="86">
        <f t="shared" si="4"/>
        <v>489360.82539166906</v>
      </c>
      <c r="P57" s="86">
        <f t="shared" si="5"/>
        <v>24193.370456384891</v>
      </c>
      <c r="Q57" s="86">
        <f t="shared" si="6"/>
        <v>10797.339028758694</v>
      </c>
      <c r="S57" s="127">
        <f>'[5]主角分析-非R'!G57</f>
        <v>261059.5234864646</v>
      </c>
      <c r="T57" s="127">
        <f>'[5]主角分析-非R'!H57</f>
        <v>12845.888941976045</v>
      </c>
      <c r="U57" s="127">
        <f>'[5]主角分析-非R'!I57</f>
        <v>5488.303398178924</v>
      </c>
      <c r="V57" s="128"/>
      <c r="W57" s="129">
        <f>'[2]3、总属性战斗节奏拟合'!D60</f>
        <v>504589.07422374596</v>
      </c>
      <c r="X57" s="129">
        <f>'[2]3、总属性战斗节奏拟合'!E60</f>
        <v>25541.629178929772</v>
      </c>
      <c r="Y57" s="129">
        <f>'[2]3、总属性战斗节奏拟合'!F60</f>
        <v>11351.835190635455</v>
      </c>
      <c r="Z57" s="128"/>
      <c r="AA57" s="130">
        <f>'[5]主角数据分析-超R'!G57</f>
        <v>702433.87846479658</v>
      </c>
      <c r="AB57" s="130">
        <f>'[5]主角数据分析-超R'!H57</f>
        <v>34192.59324824885</v>
      </c>
      <c r="AC57" s="130">
        <f>'[5]主角数据分析-超R'!I57</f>
        <v>15551.878497461699</v>
      </c>
    </row>
    <row r="58" spans="1:29">
      <c r="B58">
        <v>57</v>
      </c>
      <c r="C58" s="19">
        <f t="shared" si="1"/>
        <v>381680.80555589392</v>
      </c>
      <c r="D58" s="19">
        <f t="shared" si="2"/>
        <v>14352.320243904687</v>
      </c>
      <c r="E58" s="19">
        <f t="shared" si="3"/>
        <v>6378.808997290972</v>
      </c>
      <c r="K58" s="100">
        <v>0.71</v>
      </c>
      <c r="L58" s="100">
        <v>0.53500000000000003</v>
      </c>
      <c r="M58" s="100">
        <v>0.53500000000000003</v>
      </c>
      <c r="O58" s="86">
        <f t="shared" si="4"/>
        <v>508064.15945079242</v>
      </c>
      <c r="P58" s="86">
        <f t="shared" si="5"/>
        <v>24796.922741454433</v>
      </c>
      <c r="Q58" s="86">
        <f t="shared" si="6"/>
        <v>11038.246711635837</v>
      </c>
      <c r="S58" s="127">
        <f>'[5]主角分析-非R'!G58</f>
        <v>267939.95007059944</v>
      </c>
      <c r="T58" s="127">
        <f>'[5]主角分析-非R'!H58</f>
        <v>13029.083128927916</v>
      </c>
      <c r="U58" s="127">
        <f>'[5]主角分析-非R'!I58</f>
        <v>5502.980031246515</v>
      </c>
      <c r="V58" s="128"/>
      <c r="W58" s="129">
        <f>'[2]3、总属性战斗节奏拟合'!D61</f>
        <v>537578.59937449847</v>
      </c>
      <c r="X58" s="129">
        <f>'[2]3、总属性战斗节奏拟合'!E61</f>
        <v>26826.766811036796</v>
      </c>
      <c r="Y58" s="129">
        <f>'[2]3、总属性战斗节奏拟合'!F61</f>
        <v>11923.007471571909</v>
      </c>
      <c r="Z58" s="128"/>
      <c r="AA58" s="130">
        <f>'[5]主角数据分析-超R'!G58</f>
        <v>718673.92890727916</v>
      </c>
      <c r="AB58" s="130">
        <f>'[5]主角数据分析-超R'!H58</f>
        <v>34534.918284398584</v>
      </c>
      <c r="AC58" s="130">
        <f>'[5]主角数据分析-超R'!I58</f>
        <v>15688.752632089081</v>
      </c>
    </row>
    <row r="59" spans="1:29">
      <c r="B59">
        <v>58</v>
      </c>
      <c r="C59" s="19">
        <f t="shared" si="1"/>
        <v>411790.46373927098</v>
      </c>
      <c r="D59" s="19">
        <f t="shared" si="2"/>
        <v>15197.297048879604</v>
      </c>
      <c r="E59" s="19">
        <f t="shared" si="3"/>
        <v>6754.3542439464909</v>
      </c>
      <c r="K59" s="100">
        <v>0.72</v>
      </c>
      <c r="L59" s="100">
        <v>0.54</v>
      </c>
      <c r="M59" s="100">
        <v>0.54</v>
      </c>
      <c r="O59" s="86">
        <f t="shared" si="4"/>
        <v>526499.14746538003</v>
      </c>
      <c r="P59" s="86">
        <f t="shared" si="5"/>
        <v>25790.831969400529</v>
      </c>
      <c r="Q59" s="86">
        <f t="shared" si="6"/>
        <v>11376.529205913119</v>
      </c>
      <c r="S59" s="127">
        <f>'[5]主角分析-非R'!G59</f>
        <v>281852.69133114221</v>
      </c>
      <c r="T59" s="127">
        <f>'[5]主角分析-非R'!H59</f>
        <v>13876.109904542889</v>
      </c>
      <c r="U59" s="127">
        <f>'[5]主角分析-非R'!I59</f>
        <v>5783.8974363071738</v>
      </c>
      <c r="V59" s="128"/>
      <c r="W59" s="129">
        <f>'[2]3、总属性战斗节奏拟合'!D62</f>
        <v>571931.19963787636</v>
      </c>
      <c r="X59" s="129">
        <f>'[2]3、总属性战斗节奏拟合'!E62</f>
        <v>28143.142683110374</v>
      </c>
      <c r="Y59" s="129">
        <f>'[2]3、总属性战斗节奏拟合'!F62</f>
        <v>12508.063414715723</v>
      </c>
      <c r="Z59" s="128"/>
      <c r="AA59" s="130">
        <f>'[5]主角数据分析-超R'!G59</f>
        <v>725713.55142712151</v>
      </c>
      <c r="AB59" s="130">
        <f>'[5]主角数据分析-超R'!H59</f>
        <v>35353.243320548318</v>
      </c>
      <c r="AC59" s="130">
        <f>'[5]主角数据分析-超R'!I59</f>
        <v>15837.626766716463</v>
      </c>
    </row>
    <row r="60" spans="1:29">
      <c r="B60">
        <v>59</v>
      </c>
      <c r="C60" s="19">
        <f t="shared" si="1"/>
        <v>443601.60208803148</v>
      </c>
      <c r="D60" s="19">
        <f t="shared" si="2"/>
        <v>16072.46245335703</v>
      </c>
      <c r="E60" s="19">
        <f t="shared" si="3"/>
        <v>7143.3166459364575</v>
      </c>
      <c r="K60" s="100">
        <v>0.73</v>
      </c>
      <c r="L60" s="100">
        <v>0.54500000000000004</v>
      </c>
      <c r="M60" s="100">
        <v>0.54500000000000004</v>
      </c>
      <c r="O60" s="86">
        <f t="shared" si="4"/>
        <v>541695.77212667407</v>
      </c>
      <c r="P60" s="86">
        <f t="shared" si="5"/>
        <v>26454.768278404994</v>
      </c>
      <c r="Q60" s="86">
        <f t="shared" si="6"/>
        <v>11637.016819713019</v>
      </c>
      <c r="S60" s="127">
        <f>'[5]主角分析-非R'!G60</f>
        <v>284645.41491520707</v>
      </c>
      <c r="T60" s="127">
        <f>'[5]主角分析-非R'!H60</f>
        <v>14032.979683366419</v>
      </c>
      <c r="U60" s="127">
        <f>'[5]主角分析-非R'!I60</f>
        <v>5829.5465377283181</v>
      </c>
      <c r="V60" s="128"/>
      <c r="W60" s="129">
        <f>'[2]3、总属性战斗节奏拟合'!D63</f>
        <v>607673.42751785135</v>
      </c>
      <c r="X60" s="129">
        <f>'[2]3、总属性战斗节奏拟合'!E63</f>
        <v>29490.756795150512</v>
      </c>
      <c r="Y60" s="129">
        <f>'[2]3、总属性战斗节奏拟合'!F63</f>
        <v>13107.003020066893</v>
      </c>
      <c r="Z60" s="128"/>
      <c r="AA60" s="130">
        <f>'[5]主角数据分析-超R'!G60</f>
        <v>732768.4739469639</v>
      </c>
      <c r="AB60" s="130">
        <f>'[5]主角数据分析-超R'!H60</f>
        <v>35840.568356698052</v>
      </c>
      <c r="AC60" s="130">
        <f>'[5]主角数据分析-超R'!I60</f>
        <v>15974.500901343845</v>
      </c>
    </row>
    <row r="61" spans="1:29" s="60" customFormat="1">
      <c r="A61" s="60" t="s">
        <v>637</v>
      </c>
      <c r="B61" s="60">
        <v>60</v>
      </c>
      <c r="C61" s="19">
        <f t="shared" si="1"/>
        <v>479526.17679732462</v>
      </c>
      <c r="D61" s="19">
        <f t="shared" si="2"/>
        <v>17061.921903010043</v>
      </c>
      <c r="E61" s="19">
        <f t="shared" si="3"/>
        <v>7583.0764013377966</v>
      </c>
      <c r="K61" s="100">
        <v>0.74</v>
      </c>
      <c r="L61" s="100">
        <v>0.55000000000000004</v>
      </c>
      <c r="M61" s="100">
        <v>0.55000000000000004</v>
      </c>
      <c r="O61" s="86">
        <f t="shared" si="4"/>
        <v>600328.72858711157</v>
      </c>
      <c r="P61" s="86">
        <f t="shared" si="5"/>
        <v>28827.464379813668</v>
      </c>
      <c r="Q61" s="86">
        <f t="shared" si="6"/>
        <v>12530.241146487539</v>
      </c>
      <c r="S61" s="127">
        <f>'[5]主角分析-非R'!G61</f>
        <v>326860.96562238073</v>
      </c>
      <c r="T61" s="127">
        <f>'[5]主角分析-非R'!H61</f>
        <v>16716.454802938606</v>
      </c>
      <c r="U61" s="127">
        <f>'[5]主角分析-非R'!I61</f>
        <v>6755.5115107612473</v>
      </c>
      <c r="V61" s="131"/>
      <c r="W61" s="132">
        <f>'[2]3、总属性战斗节奏拟合'!D64</f>
        <v>648008.34702341165</v>
      </c>
      <c r="X61" s="132">
        <f>'[2]3、总属性战斗节奏拟合'!E64</f>
        <v>31021.676187290985</v>
      </c>
      <c r="Y61" s="132">
        <f>'[2]3、总属性战斗节奏拟合'!F64</f>
        <v>13787.411638795993</v>
      </c>
      <c r="Z61" s="131"/>
      <c r="AA61" s="130">
        <f>'[5]主角数据分析-超R'!G61</f>
        <v>826116.87311554258</v>
      </c>
      <c r="AB61" s="130">
        <f>'[5]主角数据分析-超R'!H61</f>
        <v>38744.262149211419</v>
      </c>
      <c r="AC61" s="130">
        <f>'[5]主角数据分析-超R'!I61</f>
        <v>17047.800289905372</v>
      </c>
    </row>
    <row r="62" spans="1:29">
      <c r="B62">
        <v>61</v>
      </c>
      <c r="C62" s="19">
        <f t="shared" si="1"/>
        <v>517503.33530095126</v>
      </c>
      <c r="D62" s="19">
        <f t="shared" si="2"/>
        <v>18087.495214402181</v>
      </c>
      <c r="E62" s="19">
        <f t="shared" si="3"/>
        <v>8038.8867619565244</v>
      </c>
      <c r="K62" s="100">
        <v>0.75</v>
      </c>
      <c r="L62" s="100">
        <v>0.55500000000000005</v>
      </c>
      <c r="M62" s="100">
        <v>0.55500000000000005</v>
      </c>
      <c r="O62" s="86">
        <f t="shared" si="4"/>
        <v>619525.16497056896</v>
      </c>
      <c r="P62" s="86">
        <f t="shared" si="5"/>
        <v>29133.407915818592</v>
      </c>
      <c r="Q62" s="86">
        <f t="shared" si="6"/>
        <v>12817.540396908715</v>
      </c>
      <c r="S62" s="127">
        <f>'[5]主角分析-非R'!G62</f>
        <v>328002.79220838676</v>
      </c>
      <c r="T62" s="127">
        <f>'[5]主角分析-非R'!H62</f>
        <v>15422.155094703314</v>
      </c>
      <c r="U62" s="127">
        <f>'[5]主角分析-非R'!I62</f>
        <v>6773.0661140194788</v>
      </c>
      <c r="V62" s="128"/>
      <c r="W62" s="129">
        <f>'[2]3、总属性战斗节奏拟合'!D65</f>
        <v>690004.44706793502</v>
      </c>
      <c r="X62" s="129">
        <f>'[2]3、总属性战斗节奏拟合'!E65</f>
        <v>32590.081467391312</v>
      </c>
      <c r="Y62" s="129">
        <f>'[2]3、总属性战斗节奏拟合'!F65</f>
        <v>14484.480652173917</v>
      </c>
      <c r="Z62" s="128"/>
      <c r="AA62" s="130">
        <f>'[5]主角数据分析-超R'!G62</f>
        <v>840568.25563538517</v>
      </c>
      <c r="AB62" s="130">
        <f>'[5]主角数据分析-超R'!H62</f>
        <v>39387.987185361148</v>
      </c>
      <c r="AC62" s="130">
        <f>'[5]主角数据分析-超R'!I62</f>
        <v>17195.074424532751</v>
      </c>
    </row>
    <row r="63" spans="1:29">
      <c r="B63">
        <v>62</v>
      </c>
      <c r="C63" s="19">
        <f t="shared" si="1"/>
        <v>557607.12889870256</v>
      </c>
      <c r="D63" s="19">
        <f t="shared" si="2"/>
        <v>19149.744675852849</v>
      </c>
      <c r="E63" s="19">
        <f t="shared" si="3"/>
        <v>8510.997633712379</v>
      </c>
      <c r="K63" s="100">
        <v>0.76</v>
      </c>
      <c r="L63" s="100">
        <v>0.56000000000000005</v>
      </c>
      <c r="M63" s="100">
        <v>0.56000000000000005</v>
      </c>
      <c r="O63" s="86">
        <f t="shared" si="4"/>
        <v>640136.67720856296</v>
      </c>
      <c r="P63" s="86">
        <f t="shared" si="5"/>
        <v>30108.178049913524</v>
      </c>
      <c r="Q63" s="86">
        <f t="shared" si="6"/>
        <v>13401.195238521332</v>
      </c>
      <c r="S63" s="127">
        <f>'[5]主角分析-非R'!G63</f>
        <v>334606.44281427353</v>
      </c>
      <c r="T63" s="127">
        <f>'[5]主角分析-非R'!H63</f>
        <v>16140.849292778181</v>
      </c>
      <c r="U63" s="127">
        <f>'[5]主角分析-非R'!I63</f>
        <v>6856.0270962031891</v>
      </c>
      <c r="V63" s="128"/>
      <c r="W63" s="129">
        <f>'[2]3、总属性战斗节奏拟合'!D66</f>
        <v>733693.59065618762</v>
      </c>
      <c r="X63" s="129">
        <f>'[2]3、总属性战斗节奏拟合'!E66</f>
        <v>34195.972635451515</v>
      </c>
      <c r="Y63" s="129">
        <f>'[2]3、总属性战斗节奏拟合'!F66</f>
        <v>15198.210060200676</v>
      </c>
      <c r="Z63" s="128"/>
      <c r="AA63" s="130">
        <f>'[5]主角数据分析-超R'!G63</f>
        <v>852109.99815522763</v>
      </c>
      <c r="AB63" s="130">
        <f>'[5]主角数据分析-超R'!H63</f>
        <v>39987.712221510883</v>
      </c>
      <c r="AC63" s="130">
        <f>'[5]主角数据分析-超R'!I63</f>
        <v>18149.348559160135</v>
      </c>
    </row>
    <row r="64" spans="1:29">
      <c r="B64">
        <v>63</v>
      </c>
      <c r="C64" s="19">
        <f t="shared" si="1"/>
        <v>599912.88341056008</v>
      </c>
      <c r="D64" s="19">
        <f t="shared" si="2"/>
        <v>20249.232575681446</v>
      </c>
      <c r="E64" s="19">
        <f t="shared" si="3"/>
        <v>8999.6589225250864</v>
      </c>
      <c r="K64" s="100">
        <v>0.77</v>
      </c>
      <c r="L64" s="100">
        <v>0.56499999999999995</v>
      </c>
      <c r="M64" s="100">
        <v>0.56499999999999995</v>
      </c>
      <c r="O64" s="86">
        <f t="shared" si="4"/>
        <v>671470.5982960551</v>
      </c>
      <c r="P64" s="86">
        <f t="shared" si="5"/>
        <v>31193.573329530769</v>
      </c>
      <c r="Q64" s="86">
        <f t="shared" si="6"/>
        <v>14001.603545016891</v>
      </c>
      <c r="S64" s="127">
        <f>'[5]主角分析-非R'!G64</f>
        <v>347078.05342016026</v>
      </c>
      <c r="T64" s="127">
        <f>'[5]主角分析-非R'!H64</f>
        <v>16892.064571580697</v>
      </c>
      <c r="U64" s="127">
        <f>'[5]主角分析-非R'!I64</f>
        <v>7233.5880783868961</v>
      </c>
      <c r="V64" s="128"/>
      <c r="W64" s="129">
        <f>'[2]3、总属性战斗节奏拟合'!D67</f>
        <v>779107.64079293516</v>
      </c>
      <c r="X64" s="129">
        <f>'[2]3、总属性战斗节奏拟合'!E67</f>
        <v>35839.349691471587</v>
      </c>
      <c r="Y64" s="129">
        <f>'[2]3、总属性战斗节奏拟合'!F67</f>
        <v>15928.599862876261</v>
      </c>
      <c r="Z64" s="128"/>
      <c r="AA64" s="130">
        <f>'[5]主角数据分析-超R'!G64</f>
        <v>888226.10067506996</v>
      </c>
      <c r="AB64" s="130">
        <f>'[5]主角数据分析-超R'!H64</f>
        <v>40849.30572554002</v>
      </c>
      <c r="AC64" s="130">
        <f>'[5]主角数据分析-超R'!I64</f>
        <v>18842.622693787518</v>
      </c>
    </row>
    <row r="65" spans="1:29">
      <c r="B65">
        <v>64</v>
      </c>
      <c r="C65" s="19">
        <f t="shared" si="1"/>
        <v>644497.19917669601</v>
      </c>
      <c r="D65" s="19">
        <f t="shared" si="2"/>
        <v>21386.521202207365</v>
      </c>
      <c r="E65" s="19">
        <f t="shared" si="3"/>
        <v>9505.1205343143865</v>
      </c>
      <c r="K65" s="100">
        <v>0.78</v>
      </c>
      <c r="L65" s="100">
        <v>0.56999999999999995</v>
      </c>
      <c r="M65" s="100">
        <v>0.56999999999999995</v>
      </c>
      <c r="O65" s="86">
        <f t="shared" si="4"/>
        <v>730683.15056133142</v>
      </c>
      <c r="P65" s="86">
        <f t="shared" si="5"/>
        <v>33276.321721053486</v>
      </c>
      <c r="Q65" s="86">
        <f t="shared" si="6"/>
        <v>15015.04112607766</v>
      </c>
      <c r="S65" s="127">
        <f>'[5]主角分析-非R'!G65</f>
        <v>376208.9959744307</v>
      </c>
      <c r="T65" s="127">
        <f>'[5]主角分析-非R'!H65</f>
        <v>17763.154493291928</v>
      </c>
      <c r="U65" s="127">
        <f>'[5]主角分析-非R'!I65</f>
        <v>7661.7525034822174</v>
      </c>
      <c r="V65" s="128"/>
      <c r="W65" s="129">
        <f>'[2]3、总属性战斗节奏拟合'!D68</f>
        <v>826278.46048294357</v>
      </c>
      <c r="X65" s="129">
        <f>'[2]3、总属性战斗节奏拟合'!E68</f>
        <v>37520.21263545152</v>
      </c>
      <c r="Y65" s="129">
        <f>'[2]3、总属性战斗节奏拟合'!F68</f>
        <v>16675.650060200678</v>
      </c>
      <c r="Z65" s="128"/>
      <c r="AA65" s="130">
        <f>'[5]主角数据分析-超R'!G65</f>
        <v>989561.99522662023</v>
      </c>
      <c r="AB65" s="130">
        <f>'[5]主角数据分析-超R'!H65</f>
        <v>44545.598034417024</v>
      </c>
      <c r="AC65" s="130">
        <f>'[5]主角数据分析-超R'!I65</f>
        <v>20707.720814550088</v>
      </c>
    </row>
    <row r="66" spans="1:29" s="83" customFormat="1">
      <c r="B66" s="83">
        <v>65</v>
      </c>
      <c r="C66" s="19">
        <f t="shared" si="1"/>
        <v>691437.95105747296</v>
      </c>
      <c r="D66" s="19">
        <f t="shared" si="2"/>
        <v>22562.172843749999</v>
      </c>
      <c r="E66" s="19">
        <f t="shared" si="3"/>
        <v>10027.632375000001</v>
      </c>
      <c r="K66" s="100">
        <v>0.79</v>
      </c>
      <c r="L66" s="100">
        <v>0.57499999999999996</v>
      </c>
      <c r="M66" s="100">
        <v>0.57499999999999996</v>
      </c>
      <c r="O66" s="87">
        <f t="shared" si="4"/>
        <v>771646.68820292142</v>
      </c>
      <c r="P66" s="87">
        <f t="shared" si="5"/>
        <v>35206.94089605569</v>
      </c>
      <c r="Q66" s="87">
        <f t="shared" si="6"/>
        <v>15700.860970822667</v>
      </c>
      <c r="S66" s="127">
        <f>'[5]主角分析-非R'!G66</f>
        <v>410614.34805720428</v>
      </c>
      <c r="T66" s="127">
        <f>'[5]主角分析-非R'!H66</f>
        <v>18718.811588165241</v>
      </c>
      <c r="U66" s="127">
        <f>'[5]主角分析-非R'!I66</f>
        <v>8307.3546991527437</v>
      </c>
      <c r="V66" s="134"/>
      <c r="W66" s="129">
        <f>'[2]3、总属性战斗节奏拟合'!D69</f>
        <v>875237.91273097834</v>
      </c>
      <c r="X66" s="129">
        <f>'[2]3、总属性战斗节奏拟合'!E69</f>
        <v>39238.561467391308</v>
      </c>
      <c r="Y66" s="129">
        <f>'[2]3、总属性战斗节奏拟合'!F69</f>
        <v>17439.360652173917</v>
      </c>
      <c r="Z66" s="134"/>
      <c r="AA66" s="130">
        <f>'[5]主角数据分析-超R'!G66</f>
        <v>1029087.8038205816</v>
      </c>
      <c r="AB66" s="130">
        <f>'[5]主角数据分析-超R'!H66</f>
        <v>47663.449632610522</v>
      </c>
      <c r="AC66" s="130">
        <f>'[5]主角数据分析-超R'!I66</f>
        <v>21355.867561141346</v>
      </c>
    </row>
    <row r="67" spans="1:29">
      <c r="B67">
        <v>66</v>
      </c>
      <c r="C67" s="19">
        <f t="shared" ref="C67:C101" si="7">W67*K67</f>
        <v>740814.28843344527</v>
      </c>
      <c r="D67" s="19">
        <f t="shared" ref="D67:D101" si="8">X67*L67</f>
        <v>23776.749788628775</v>
      </c>
      <c r="E67" s="19">
        <f t="shared" ref="E67:E101" si="9">Y67*M67</f>
        <v>10567.444350501679</v>
      </c>
      <c r="K67" s="100">
        <v>0.8</v>
      </c>
      <c r="L67" s="100">
        <v>0.57999999999999996</v>
      </c>
      <c r="M67" s="100">
        <v>0.57999999999999996</v>
      </c>
      <c r="O67" s="86">
        <f t="shared" ref="O67:O81" si="10">(S67+W67+AA67)/3</f>
        <v>806629.120374438</v>
      </c>
      <c r="P67" s="86">
        <f t="shared" ref="P67:P81" si="11">(T67+X67+AB67)/3</f>
        <v>35991.071576663962</v>
      </c>
      <c r="Q67" s="86">
        <f t="shared" ref="Q67:Q81" si="12">(U67+Y67+AC67)/3</f>
        <v>16682.943284445395</v>
      </c>
      <c r="S67" s="127">
        <f>'[5]主角分析-非R'!G67</f>
        <v>436347.32977722306</v>
      </c>
      <c r="T67" s="127">
        <f>'[5]主角分析-非R'!H67</f>
        <v>18905.885148806956</v>
      </c>
      <c r="U67" s="127">
        <f>'[5]主角分析-非R'!I67</f>
        <v>8396.5292938147904</v>
      </c>
      <c r="V67" s="128"/>
      <c r="W67" s="129">
        <f>'[2]3、总属性战斗节奏拟合'!D70</f>
        <v>926017.86054180656</v>
      </c>
      <c r="X67" s="129">
        <f>'[2]3、总属性战斗节奏拟合'!E70</f>
        <v>40994.396187290993</v>
      </c>
      <c r="Y67" s="129">
        <f>'[2]3、总属性战斗节奏拟合'!F70</f>
        <v>18219.731638795998</v>
      </c>
      <c r="Z67" s="128"/>
      <c r="AA67" s="130">
        <f>'[5]主角数据分析-超R'!G67</f>
        <v>1057522.1708042845</v>
      </c>
      <c r="AB67" s="130">
        <f>'[5]主角数据分析-超R'!H67</f>
        <v>48072.933393893945</v>
      </c>
      <c r="AC67" s="130">
        <f>'[5]主角数据分析-超R'!I67</f>
        <v>23432.5689207254</v>
      </c>
    </row>
    <row r="68" spans="1:29">
      <c r="B68">
        <v>67</v>
      </c>
      <c r="C68" s="19">
        <f t="shared" si="7"/>
        <v>782920.1335361544</v>
      </c>
      <c r="D68" s="19">
        <f t="shared" si="8"/>
        <v>25030.814325163061</v>
      </c>
      <c r="E68" s="19">
        <f t="shared" si="9"/>
        <v>11124.806366739138</v>
      </c>
      <c r="K68" s="100">
        <v>0.8</v>
      </c>
      <c r="L68" s="100">
        <v>0.58499999999999996</v>
      </c>
      <c r="M68" s="100">
        <v>0.58499999999999996</v>
      </c>
      <c r="O68" s="86">
        <f t="shared" si="10"/>
        <v>831056.1307497971</v>
      </c>
      <c r="P68" s="86">
        <f t="shared" si="11"/>
        <v>37451.987459815609</v>
      </c>
      <c r="Q68" s="86">
        <f t="shared" si="12"/>
        <v>17013.919344961465</v>
      </c>
      <c r="S68" s="127">
        <f>'[5]主角分析-非R'!G68</f>
        <v>448453.31636322918</v>
      </c>
      <c r="T68" s="127">
        <f>'[5]主角分析-非R'!H68</f>
        <v>20550.862258603091</v>
      </c>
      <c r="U68" s="127">
        <f>'[5]主角分析-非R'!I68</f>
        <v>8432.7247345080323</v>
      </c>
      <c r="V68" s="128"/>
      <c r="W68" s="129">
        <f>'[2]3、总属性战斗节奏拟合'!D71</f>
        <v>978650.16692019301</v>
      </c>
      <c r="X68" s="129">
        <f>'[2]3、总属性战斗节奏拟合'!E71</f>
        <v>42787.716795150533</v>
      </c>
      <c r="Y68" s="129">
        <f>'[2]3、总属性战斗节奏拟合'!F71</f>
        <v>19016.763020066905</v>
      </c>
      <c r="Z68" s="128"/>
      <c r="AA68" s="130">
        <f>'[5]主角数据分析-超R'!G68</f>
        <v>1066064.908965969</v>
      </c>
      <c r="AB68" s="130">
        <f>'[5]主角数据分析-超R'!H68</f>
        <v>49017.383325693212</v>
      </c>
      <c r="AC68" s="130">
        <f>'[5]主角数据分析-超R'!I68</f>
        <v>23592.270280309458</v>
      </c>
    </row>
    <row r="69" spans="1:29">
      <c r="B69">
        <v>68</v>
      </c>
      <c r="C69" s="19">
        <f t="shared" si="7"/>
        <v>826533.35589672311</v>
      </c>
      <c r="D69" s="19">
        <f t="shared" si="8"/>
        <v>26324.928741672262</v>
      </c>
      <c r="E69" s="19">
        <f t="shared" si="9"/>
        <v>11699.968329632116</v>
      </c>
      <c r="K69" s="100">
        <v>0.8</v>
      </c>
      <c r="L69" s="100">
        <v>0.59</v>
      </c>
      <c r="M69" s="100">
        <v>0.59</v>
      </c>
      <c r="O69" s="86">
        <f t="shared" si="10"/>
        <v>867435.17230794684</v>
      </c>
      <c r="P69" s="86">
        <f t="shared" si="11"/>
        <v>38778.032371500718</v>
      </c>
      <c r="Q69" s="86">
        <f t="shared" si="12"/>
        <v>17342.950093959866</v>
      </c>
      <c r="S69" s="127">
        <f>'[5]主角分析-非R'!G69</f>
        <v>465970.94609075424</v>
      </c>
      <c r="T69" s="127">
        <f>'[5]主角分析-非R'!H69</f>
        <v>21230.224913236347</v>
      </c>
      <c r="U69" s="127">
        <f>'[5]主角分析-非R'!I69</f>
        <v>9020.471022981088</v>
      </c>
      <c r="V69" s="128"/>
      <c r="W69" s="129">
        <f>'[2]3、总属性战斗节奏拟合'!D72</f>
        <v>1033166.6948709039</v>
      </c>
      <c r="X69" s="129">
        <f>'[2]3、总属性战斗节奏拟合'!E72</f>
        <v>44618.523290969941</v>
      </c>
      <c r="Y69" s="129">
        <f>'[2]3、总属性战斗节奏拟合'!F72</f>
        <v>19830.45479598664</v>
      </c>
      <c r="Z69" s="128"/>
      <c r="AA69" s="130">
        <f>'[5]主角数据分析-超R'!G69</f>
        <v>1103167.8759621824</v>
      </c>
      <c r="AB69" s="130">
        <f>'[5]主角数据分析-超R'!H69</f>
        <v>50485.348910295877</v>
      </c>
      <c r="AC69" s="130">
        <f>'[5]主角数据分析-超R'!I69</f>
        <v>23177.924462911866</v>
      </c>
    </row>
    <row r="70" spans="1:29">
      <c r="B70">
        <v>69</v>
      </c>
      <c r="C70" s="19">
        <f t="shared" si="7"/>
        <v>871679.44591896411</v>
      </c>
      <c r="D70" s="19">
        <f t="shared" si="8"/>
        <v>27659.655326475775</v>
      </c>
      <c r="E70" s="19">
        <f t="shared" si="9"/>
        <v>12293.180145100345</v>
      </c>
      <c r="K70" s="100">
        <v>0.8</v>
      </c>
      <c r="L70" s="100">
        <v>0.59499999999999997</v>
      </c>
      <c r="M70" s="100">
        <v>0.59499999999999997</v>
      </c>
      <c r="O70" s="86">
        <f t="shared" si="10"/>
        <v>915789.31000670325</v>
      </c>
      <c r="P70" s="86">
        <f t="shared" si="11"/>
        <v>40031.125691584006</v>
      </c>
      <c r="Q70" s="86">
        <f t="shared" si="12"/>
        <v>17796.027450873822</v>
      </c>
      <c r="S70" s="127">
        <f>'[5]主角分析-非R'!G70</f>
        <v>494895.01647376746</v>
      </c>
      <c r="T70" s="127">
        <f>'[5]主角分析-非R'!H70</f>
        <v>22316.728728423514</v>
      </c>
      <c r="U70" s="127">
        <f>'[5]主角分析-非R'!I70</f>
        <v>9389.6495635703432</v>
      </c>
      <c r="V70" s="128"/>
      <c r="W70" s="129">
        <f>'[2]3、总属性战斗节奏拟合'!D73</f>
        <v>1089599.307398705</v>
      </c>
      <c r="X70" s="129">
        <f>'[2]3、总属性战斗节奏拟合'!E73</f>
        <v>46486.815674749203</v>
      </c>
      <c r="Y70" s="129">
        <f>'[2]3、总属性战斗节奏拟合'!F73</f>
        <v>20660.806966555203</v>
      </c>
      <c r="Z70" s="128"/>
      <c r="AA70" s="130">
        <f>'[5]主角数据分析-超R'!G70</f>
        <v>1162873.6061476371</v>
      </c>
      <c r="AB70" s="130">
        <f>'[5]主角数据分析-超R'!H70</f>
        <v>51289.832671579308</v>
      </c>
      <c r="AC70" s="130">
        <f>'[5]主角数据分析-超R'!I70</f>
        <v>23337.62582249592</v>
      </c>
    </row>
    <row r="71" spans="1:29" s="60" customFormat="1">
      <c r="A71" s="60" t="s">
        <v>638</v>
      </c>
      <c r="B71" s="60">
        <v>70</v>
      </c>
      <c r="C71" s="19">
        <f t="shared" si="7"/>
        <v>921862.62087792717</v>
      </c>
      <c r="D71" s="19">
        <f t="shared" si="8"/>
        <v>29145.539535953201</v>
      </c>
      <c r="E71" s="19">
        <f t="shared" si="9"/>
        <v>12953.573127090312</v>
      </c>
      <c r="K71" s="100">
        <v>0.8</v>
      </c>
      <c r="L71" s="100">
        <v>0.6</v>
      </c>
      <c r="M71" s="100">
        <v>0.6</v>
      </c>
      <c r="O71" s="86">
        <f t="shared" si="10"/>
        <v>975453.89702679822</v>
      </c>
      <c r="P71" s="86">
        <f t="shared" si="11"/>
        <v>42465.124184336193</v>
      </c>
      <c r="Q71" s="86">
        <f t="shared" si="12"/>
        <v>18927.64779858584</v>
      </c>
      <c r="S71" s="127">
        <f>'[5]主角分析-非R'!G71</f>
        <v>540670.17366876814</v>
      </c>
      <c r="T71" s="127">
        <f>'[5]主角分析-非R'!H71</f>
        <v>24003.965446284477</v>
      </c>
      <c r="U71" s="127">
        <f>'[5]主角分析-非R'!I71</f>
        <v>10567.149455147466</v>
      </c>
      <c r="V71" s="131"/>
      <c r="W71" s="132">
        <f>'[2]3、总属性战斗节奏拟合'!D74</f>
        <v>1152328.276097409</v>
      </c>
      <c r="X71" s="132">
        <f>'[2]3、总属性战斗节奏拟合'!E74</f>
        <v>48575.89922658867</v>
      </c>
      <c r="Y71" s="132">
        <f>'[2]3、总属性战斗节奏拟合'!F74</f>
        <v>21589.288545150521</v>
      </c>
      <c r="Z71" s="131"/>
      <c r="AA71" s="130">
        <f>'[5]主角数据分析-超R'!G71</f>
        <v>1233363.2413142174</v>
      </c>
      <c r="AB71" s="130">
        <f>'[5]主角数据分析-超R'!H71</f>
        <v>54815.507880135447</v>
      </c>
      <c r="AC71" s="130">
        <f>'[5]主角数据分析-超R'!I71</f>
        <v>24626.505395459528</v>
      </c>
    </row>
    <row r="72" spans="1:29">
      <c r="B72">
        <v>71</v>
      </c>
      <c r="C72" s="19">
        <f t="shared" si="7"/>
        <v>973832.72530862933</v>
      </c>
      <c r="D72" s="19">
        <f t="shared" si="8"/>
        <v>30678.773370200688</v>
      </c>
      <c r="E72" s="19">
        <f t="shared" si="9"/>
        <v>13635.010386755861</v>
      </c>
      <c r="K72" s="100">
        <v>0.8</v>
      </c>
      <c r="L72" s="100">
        <v>0.60499999999999998</v>
      </c>
      <c r="M72" s="100">
        <v>0.60499999999999998</v>
      </c>
      <c r="O72" s="86">
        <f t="shared" si="10"/>
        <v>1006034.4692092091</v>
      </c>
      <c r="P72" s="86">
        <f t="shared" si="11"/>
        <v>44311.854909001479</v>
      </c>
      <c r="Q72" s="86">
        <f t="shared" si="12"/>
        <v>19351.438602364346</v>
      </c>
      <c r="S72" s="127">
        <f>'[5]主角分析-非R'!G72</f>
        <v>558035.92151593859</v>
      </c>
      <c r="T72" s="127">
        <f>'[5]主角分析-非R'!H72</f>
        <v>24828.456771204263</v>
      </c>
      <c r="U72" s="127">
        <f>'[5]主角分析-非R'!I72</f>
        <v>10719.501801213324</v>
      </c>
      <c r="V72" s="128"/>
      <c r="W72" s="129">
        <f>'[2]3、总属性战斗节奏拟合'!D75</f>
        <v>1217290.9066357866</v>
      </c>
      <c r="X72" s="129">
        <f>'[2]3、总属性战斗节奏拟合'!E75</f>
        <v>50708.716314381301</v>
      </c>
      <c r="Y72" s="129">
        <f>'[2]3、总属性战斗节奏拟合'!F75</f>
        <v>22537.207250836134</v>
      </c>
      <c r="Z72" s="128"/>
      <c r="AA72" s="130">
        <f>'[5]主角数据分析-超R'!G72</f>
        <v>1242776.579475902</v>
      </c>
      <c r="AB72" s="130">
        <f>'[5]主角数据分析-超R'!H72</f>
        <v>57398.391641418879</v>
      </c>
      <c r="AC72" s="130">
        <f>'[5]主角数据分析-超R'!I72</f>
        <v>24797.60675504358</v>
      </c>
    </row>
    <row r="73" spans="1:29">
      <c r="B73">
        <v>72</v>
      </c>
      <c r="C73" s="19">
        <f t="shared" si="7"/>
        <v>1027619.4980155191</v>
      </c>
      <c r="D73" s="19">
        <f t="shared" si="8"/>
        <v>32260.012832257547</v>
      </c>
      <c r="E73" s="19">
        <f t="shared" si="9"/>
        <v>14337.783481003353</v>
      </c>
      <c r="K73" s="100">
        <v>0.8</v>
      </c>
      <c r="L73" s="100">
        <v>0.61</v>
      </c>
      <c r="M73" s="100">
        <v>0.61</v>
      </c>
      <c r="O73" s="86">
        <f t="shared" si="10"/>
        <v>1079488.261702891</v>
      </c>
      <c r="P73" s="86">
        <f t="shared" si="11"/>
        <v>47297.354320481827</v>
      </c>
      <c r="Q73" s="86">
        <f t="shared" si="12"/>
        <v>20368.076739112876</v>
      </c>
      <c r="S73" s="127">
        <f>'[5]主角分析-非R'!G73</f>
        <v>576510.37372002378</v>
      </c>
      <c r="T73" s="127">
        <f>'[5]主角分析-非R'!H73</f>
        <v>25679.060855910149</v>
      </c>
      <c r="U73" s="127">
        <f>'[5]主角分析-非R'!I73</f>
        <v>10825.466246828575</v>
      </c>
      <c r="V73" s="128"/>
      <c r="W73" s="129">
        <f>'[2]3、总属性战斗节奏拟合'!D76</f>
        <v>1284524.3725193988</v>
      </c>
      <c r="X73" s="129">
        <f>'[2]3、总属性战斗节奏拟合'!E76</f>
        <v>52885.266938127126</v>
      </c>
      <c r="Y73" s="129">
        <f>'[2]3、总属性战斗节奏拟合'!F76</f>
        <v>23504.563083612054</v>
      </c>
      <c r="Z73" s="128"/>
      <c r="AA73" s="130">
        <f>'[5]主角数据分析-超R'!G73</f>
        <v>1377430.0388692503</v>
      </c>
      <c r="AB73" s="130">
        <f>'[5]主角数据分析-超R'!H73</f>
        <v>63327.735167408187</v>
      </c>
      <c r="AC73" s="130">
        <f>'[5]主角数据分析-超R'!I73</f>
        <v>26774.200886898001</v>
      </c>
    </row>
    <row r="74" spans="1:29">
      <c r="B74">
        <v>73</v>
      </c>
      <c r="C74" s="19">
        <f t="shared" si="7"/>
        <v>1083252.6778030442</v>
      </c>
      <c r="D74" s="19">
        <f t="shared" si="8"/>
        <v>33889.913925163062</v>
      </c>
      <c r="E74" s="19">
        <f t="shared" si="9"/>
        <v>15062.183966739141</v>
      </c>
      <c r="K74" s="100">
        <v>0.8</v>
      </c>
      <c r="L74" s="100">
        <v>0.61499999999999999</v>
      </c>
      <c r="M74" s="100">
        <v>0.61499999999999999</v>
      </c>
      <c r="O74" s="86">
        <f t="shared" si="10"/>
        <v>1124924.0272703061</v>
      </c>
      <c r="P74" s="86">
        <f t="shared" si="11"/>
        <v>48966.375819704124</v>
      </c>
      <c r="Q74" s="86">
        <f t="shared" si="12"/>
        <v>21298.086580500985</v>
      </c>
      <c r="S74" s="127">
        <f>'[5]主角分析-非R'!G74</f>
        <v>603485.33600253961</v>
      </c>
      <c r="T74" s="127">
        <f>'[5]主角分析-非R'!H74</f>
        <v>27395.19870746095</v>
      </c>
      <c r="U74" s="127">
        <f>'[5]主角分析-非R'!I74</f>
        <v>11022.174226585941</v>
      </c>
      <c r="V74" s="128"/>
      <c r="W74" s="129">
        <f>'[2]3、总属性战斗节奏拟合'!D77</f>
        <v>1354065.8472538053</v>
      </c>
      <c r="X74" s="129">
        <f>'[2]3、总属性战斗节奏拟合'!E77</f>
        <v>55105.551097826123</v>
      </c>
      <c r="Y74" s="129">
        <f>'[2]3、总属性战斗节奏拟合'!F77</f>
        <v>24491.356043478278</v>
      </c>
      <c r="Z74" s="128"/>
      <c r="AA74" s="130">
        <f>'[5]主角数据分析-超R'!G74</f>
        <v>1417220.898554574</v>
      </c>
      <c r="AB74" s="130">
        <f>'[5]主角数据分析-超R'!H74</f>
        <v>64398.377653825301</v>
      </c>
      <c r="AC74" s="130">
        <f>'[5]主角数据分析-超R'!I74</f>
        <v>28380.729471438732</v>
      </c>
    </row>
    <row r="75" spans="1:29">
      <c r="B75">
        <v>74</v>
      </c>
      <c r="C75" s="19">
        <f t="shared" si="7"/>
        <v>1140762.0034756528</v>
      </c>
      <c r="D75" s="19">
        <f t="shared" si="8"/>
        <v>35569.132651956541</v>
      </c>
      <c r="E75" s="19">
        <f t="shared" si="9"/>
        <v>15808.503400869573</v>
      </c>
      <c r="K75" s="100">
        <v>0.8</v>
      </c>
      <c r="L75" s="100">
        <v>0.62</v>
      </c>
      <c r="M75" s="100">
        <v>0.62</v>
      </c>
      <c r="O75" s="86">
        <f t="shared" si="10"/>
        <v>1187659.1646319123</v>
      </c>
      <c r="P75" s="86">
        <f t="shared" si="11"/>
        <v>50324.152476969255</v>
      </c>
      <c r="Q75" s="86">
        <f t="shared" si="12"/>
        <v>21724.150328816355</v>
      </c>
      <c r="S75" s="127">
        <f>'[5]主角分析-非R'!G75</f>
        <v>625577.08603740181</v>
      </c>
      <c r="T75" s="127">
        <f>'[5]主角分析-非R'!H75</f>
        <v>27988.078876469193</v>
      </c>
      <c r="U75" s="127">
        <f>'[5]主角分析-非R'!I75</f>
        <v>11087.606800034813</v>
      </c>
      <c r="V75" s="128"/>
      <c r="W75" s="129">
        <f>'[2]3、总属性战斗节奏拟合'!D78</f>
        <v>1425952.504344566</v>
      </c>
      <c r="X75" s="129">
        <f>'[2]3、总属性战斗节奏拟合'!E78</f>
        <v>57369.568793478291</v>
      </c>
      <c r="Y75" s="129">
        <f>'[2]3、总属性战斗节奏拟合'!F78</f>
        <v>25497.586130434796</v>
      </c>
      <c r="Z75" s="128"/>
      <c r="AA75" s="130">
        <f>'[5]主角数据分析-超R'!G75</f>
        <v>1511447.9035137685</v>
      </c>
      <c r="AB75" s="130">
        <f>'[5]主角数据分析-超R'!H75</f>
        <v>65614.809760960256</v>
      </c>
      <c r="AC75" s="130">
        <f>'[5]主角数据分析-超R'!I75</f>
        <v>28587.258055979459</v>
      </c>
    </row>
    <row r="76" spans="1:29" s="83" customFormat="1">
      <c r="B76" s="83">
        <v>75</v>
      </c>
      <c r="C76" s="19">
        <f t="shared" si="7"/>
        <v>1200177.2138377933</v>
      </c>
      <c r="D76" s="19">
        <f t="shared" si="8"/>
        <v>37298.325015677277</v>
      </c>
      <c r="E76" s="19">
        <f t="shared" si="9"/>
        <v>16577.033340301015</v>
      </c>
      <c r="K76" s="100">
        <v>0.8</v>
      </c>
      <c r="L76" s="100">
        <v>0.625</v>
      </c>
      <c r="M76" s="100">
        <v>0.625</v>
      </c>
      <c r="O76" s="87">
        <f t="shared" si="10"/>
        <v>1247588.3459147993</v>
      </c>
      <c r="P76" s="87">
        <f t="shared" si="11"/>
        <v>52673.474651083117</v>
      </c>
      <c r="Q76" s="87">
        <f t="shared" si="12"/>
        <v>23081.180387948236</v>
      </c>
      <c r="S76" s="127">
        <f>'[5]主角分析-非R'!G76</f>
        <v>667478.03294524993</v>
      </c>
      <c r="T76" s="127">
        <f>'[5]主角分析-非R'!H76</f>
        <v>29875.535359372305</v>
      </c>
      <c r="U76" s="127">
        <f>'[5]主角分析-非R'!I76</f>
        <v>12779.274530389408</v>
      </c>
      <c r="V76" s="134"/>
      <c r="W76" s="129">
        <f>'[2]3、总属性战斗节奏拟合'!D79</f>
        <v>1500221.5172972416</v>
      </c>
      <c r="X76" s="129">
        <f>'[2]3、总属性战斗节奏拟合'!E79</f>
        <v>59677.320025083645</v>
      </c>
      <c r="Y76" s="129">
        <f>'[2]3、总属性战斗节奏拟合'!F79</f>
        <v>26523.253344481622</v>
      </c>
      <c r="Z76" s="134"/>
      <c r="AA76" s="130">
        <f>'[5]主角数据分析-超R'!G76</f>
        <v>1575065.4875019062</v>
      </c>
      <c r="AB76" s="130">
        <f>'[5]主角数据分析-超R'!H76</f>
        <v>68467.568568793416</v>
      </c>
      <c r="AC76" s="130">
        <f>'[5]主角数据分析-超R'!I76</f>
        <v>29941.013288973681</v>
      </c>
    </row>
    <row r="77" spans="1:29">
      <c r="B77">
        <v>76</v>
      </c>
      <c r="C77" s="19">
        <f t="shared" si="7"/>
        <v>1261528.0476939138</v>
      </c>
      <c r="D77" s="19">
        <f t="shared" si="8"/>
        <v>39078.147019364565</v>
      </c>
      <c r="E77" s="19">
        <f t="shared" si="9"/>
        <v>17368.065341939808</v>
      </c>
      <c r="K77" s="100">
        <v>0.8</v>
      </c>
      <c r="L77" s="100">
        <v>0.63</v>
      </c>
      <c r="M77" s="100">
        <v>0.63</v>
      </c>
      <c r="O77" s="86">
        <f t="shared" si="10"/>
        <v>1301826.186705268</v>
      </c>
      <c r="P77" s="86">
        <f t="shared" si="11"/>
        <v>54157.468043477857</v>
      </c>
      <c r="Q77" s="86">
        <f t="shared" si="12"/>
        <v>23534.98743222098</v>
      </c>
      <c r="S77" s="127">
        <f>'[5]主角分析-非R'!G77</f>
        <v>701936.37919297884</v>
      </c>
      <c r="T77" s="127">
        <f>'[5]主角分析-非R'!H77</f>
        <v>30430.388282580861</v>
      </c>
      <c r="U77" s="127">
        <f>'[5]主角分析-非R'!I77</f>
        <v>12889.062737529788</v>
      </c>
      <c r="V77" s="128"/>
      <c r="W77" s="129">
        <f>'[2]3、总属性战斗节奏拟合'!D80</f>
        <v>1576910.059617392</v>
      </c>
      <c r="X77" s="129">
        <f>'[2]3、总属性战斗节奏拟合'!E80</f>
        <v>62028.804792642171</v>
      </c>
      <c r="Y77" s="129">
        <f>'[2]3、总属性战斗节奏拟合'!F80</f>
        <v>27568.357685618743</v>
      </c>
      <c r="Z77" s="128"/>
      <c r="AA77" s="130">
        <f>'[5]主角数据分析-超R'!G77</f>
        <v>1626632.1213054329</v>
      </c>
      <c r="AB77" s="130">
        <f>'[5]主角数据分析-超R'!H77</f>
        <v>70013.21105521053</v>
      </c>
      <c r="AC77" s="130">
        <f>'[5]主角数据分析-超R'!I77</f>
        <v>30147.541873514409</v>
      </c>
    </row>
    <row r="78" spans="1:29">
      <c r="B78">
        <v>77</v>
      </c>
      <c r="C78" s="19">
        <f t="shared" si="7"/>
        <v>1324844.2438484624</v>
      </c>
      <c r="D78" s="19">
        <f t="shared" si="8"/>
        <v>40909.254666057714</v>
      </c>
      <c r="E78" s="19">
        <f t="shared" si="9"/>
        <v>18181.890962692316</v>
      </c>
      <c r="K78" s="100">
        <v>0.8</v>
      </c>
      <c r="L78" s="100">
        <v>0.63500000000000001</v>
      </c>
      <c r="M78" s="100">
        <v>0.63500000000000001</v>
      </c>
      <c r="O78" s="86">
        <f t="shared" si="10"/>
        <v>1332384.9141513258</v>
      </c>
      <c r="P78" s="86">
        <f t="shared" si="11"/>
        <v>55284.49043897997</v>
      </c>
      <c r="Q78" s="86">
        <f t="shared" si="12"/>
        <v>23957.821640959988</v>
      </c>
      <c r="S78" s="127">
        <f>'[5]主角分析-非R'!G78</f>
        <v>704359.26253444038</v>
      </c>
      <c r="T78" s="127">
        <f>'[5]主角分析-非R'!H78</f>
        <v>30580.594679158403</v>
      </c>
      <c r="U78" s="127">
        <f>'[5]主角分析-非R'!I78</f>
        <v>12909.495310978662</v>
      </c>
      <c r="V78" s="128"/>
      <c r="W78" s="129">
        <f>'[2]3、总属性战斗节奏拟合'!D81</f>
        <v>1656055.3048105778</v>
      </c>
      <c r="X78" s="129">
        <f>'[2]3、总属性战斗节奏拟合'!E81</f>
        <v>64424.023096153876</v>
      </c>
      <c r="Y78" s="129">
        <f>'[2]3、总属性战斗节奏拟合'!F81</f>
        <v>28632.899153846167</v>
      </c>
      <c r="Z78" s="128"/>
      <c r="AA78" s="130">
        <f>'[5]主角数据分析-超R'!G78</f>
        <v>1636740.1751089597</v>
      </c>
      <c r="AB78" s="130">
        <f>'[5]主角数据分析-超R'!H78</f>
        <v>70848.853541627643</v>
      </c>
      <c r="AC78" s="130">
        <f>'[5]主角数据分析-超R'!I78</f>
        <v>30331.070458055132</v>
      </c>
    </row>
    <row r="79" spans="1:29">
      <c r="B79">
        <v>78</v>
      </c>
      <c r="C79" s="19">
        <f t="shared" si="7"/>
        <v>1390155.5411058867</v>
      </c>
      <c r="D79" s="19">
        <f t="shared" si="8"/>
        <v>42792.303958795994</v>
      </c>
      <c r="E79" s="19">
        <f t="shared" si="9"/>
        <v>19018.801759464888</v>
      </c>
      <c r="K79" s="100">
        <v>0.8</v>
      </c>
      <c r="L79" s="100">
        <v>0.64</v>
      </c>
      <c r="M79" s="100">
        <v>0.64</v>
      </c>
      <c r="O79" s="86">
        <f t="shared" si="10"/>
        <v>1374650.1478972773</v>
      </c>
      <c r="P79" s="86">
        <f t="shared" si="11"/>
        <v>57089.75098010822</v>
      </c>
      <c r="Q79" s="86">
        <f t="shared" si="12"/>
        <v>25182.746495436204</v>
      </c>
      <c r="S79" s="127">
        <f>'[5]主角分析-非R'!G79</f>
        <v>730493.36839698756</v>
      </c>
      <c r="T79" s="127">
        <f>'[5]主角分析-非R'!H79</f>
        <v>32233.827383101612</v>
      </c>
      <c r="U79" s="127">
        <f>'[5]主角分析-非R'!I79</f>
        <v>13160.762694548854</v>
      </c>
      <c r="V79" s="128"/>
      <c r="W79" s="129">
        <f>'[2]3、总属性战斗节奏拟合'!D82</f>
        <v>1737694.4263823582</v>
      </c>
      <c r="X79" s="129">
        <f>'[2]3、总属性战斗节奏拟合'!E82</f>
        <v>66862.974935618739</v>
      </c>
      <c r="Y79" s="129">
        <f>'[2]3、总属性战斗节奏拟合'!F82</f>
        <v>29716.877749163887</v>
      </c>
      <c r="Z79" s="128"/>
      <c r="AA79" s="130">
        <f>'[5]主角数据分析-超R'!G79</f>
        <v>1655762.6489124864</v>
      </c>
      <c r="AB79" s="130">
        <f>'[5]主角数据分析-超R'!H79</f>
        <v>72172.450621604308</v>
      </c>
      <c r="AC79" s="130">
        <f>'[5]主角数据分析-超R'!I79</f>
        <v>32670.599042595866</v>
      </c>
    </row>
    <row r="80" spans="1:29">
      <c r="B80">
        <v>79</v>
      </c>
      <c r="C80" s="19">
        <f t="shared" si="7"/>
        <v>1457491.6782706361</v>
      </c>
      <c r="D80" s="19">
        <f t="shared" si="8"/>
        <v>44727.950900618751</v>
      </c>
      <c r="E80" s="19">
        <f t="shared" si="9"/>
        <v>19879.08928916389</v>
      </c>
      <c r="K80" s="100">
        <v>0.8</v>
      </c>
      <c r="L80" s="100">
        <v>0.64500000000000002</v>
      </c>
      <c r="M80" s="100">
        <v>0.64500000000000002</v>
      </c>
      <c r="O80" s="86">
        <f t="shared" si="10"/>
        <v>1407615.0740736155</v>
      </c>
      <c r="P80" s="86">
        <f t="shared" si="11"/>
        <v>58162.619381539909</v>
      </c>
      <c r="Q80" s="86">
        <f t="shared" si="12"/>
        <v>26084.896798045636</v>
      </c>
      <c r="S80" s="127">
        <f>'[5]主角分析-非R'!G80</f>
        <v>735067.08166653838</v>
      </c>
      <c r="T80" s="127">
        <f>'[5]主角分析-非R'!H80</f>
        <v>32491.104725561501</v>
      </c>
      <c r="U80" s="127">
        <f>'[5]主角分析-非R'!I80</f>
        <v>13734.765224818027</v>
      </c>
      <c r="V80" s="128"/>
      <c r="W80" s="129">
        <f>'[2]3、总属性战斗节奏拟合'!D83</f>
        <v>1821864.5978382952</v>
      </c>
      <c r="X80" s="129">
        <f>'[2]3、总属性战斗节奏拟合'!E83</f>
        <v>69345.660311036816</v>
      </c>
      <c r="Y80" s="129">
        <f>'[2]3、总属性战斗节奏拟合'!F83</f>
        <v>30820.29347157192</v>
      </c>
      <c r="Z80" s="128"/>
      <c r="AA80" s="130">
        <f>'[5]主角数据分析-超R'!G80</f>
        <v>1665913.5427160128</v>
      </c>
      <c r="AB80" s="130">
        <f>'[5]主角数据分析-超R'!H80</f>
        <v>72651.093108021407</v>
      </c>
      <c r="AC80" s="130">
        <f>'[5]主角数据分析-超R'!I80</f>
        <v>33699.631697746969</v>
      </c>
    </row>
    <row r="81" spans="1:29" s="60" customFormat="1">
      <c r="A81" s="60">
        <v>80</v>
      </c>
      <c r="B81" s="60">
        <v>80</v>
      </c>
      <c r="C81" s="19">
        <f t="shared" si="7"/>
        <v>1531440.2520401338</v>
      </c>
      <c r="D81" s="19">
        <f t="shared" si="8"/>
        <v>46856.304782608699</v>
      </c>
      <c r="E81" s="19">
        <f t="shared" si="9"/>
        <v>20825.024347826089</v>
      </c>
      <c r="K81" s="100">
        <v>0.8</v>
      </c>
      <c r="L81" s="100">
        <v>0.65</v>
      </c>
      <c r="M81" s="100">
        <v>0.65</v>
      </c>
      <c r="O81" s="86">
        <f t="shared" si="10"/>
        <v>1527751.9406745986</v>
      </c>
      <c r="P81" s="86">
        <f t="shared" si="11"/>
        <v>63384.663695477393</v>
      </c>
      <c r="Q81" s="86">
        <f t="shared" si="12"/>
        <v>28545.760115788697</v>
      </c>
      <c r="S81" s="127">
        <f>'[5]主角分析-非R'!G81</f>
        <v>813620.32693150372</v>
      </c>
      <c r="T81" s="127">
        <f>'[5]主角分析-非R'!H81</f>
        <v>36488.266354652413</v>
      </c>
      <c r="U81" s="127">
        <f>'[5]主角分析-非R'!I81</f>
        <v>16561.649884506067</v>
      </c>
      <c r="V81" s="131"/>
      <c r="W81" s="132">
        <f>'[2]3、总属性战斗节奏拟合'!D84</f>
        <v>1914300.3150501673</v>
      </c>
      <c r="X81" s="132">
        <f>'[2]3、总属性战斗节奏拟合'!E84</f>
        <v>72086.622742474923</v>
      </c>
      <c r="Y81" s="132">
        <f>'[2]3、总属性战斗节奏拟合'!F84</f>
        <v>32038.498996655522</v>
      </c>
      <c r="Z81" s="131"/>
      <c r="AA81" s="130">
        <f>'[5]主角数据分析-超R'!G81</f>
        <v>1855335.1800421251</v>
      </c>
      <c r="AB81" s="130">
        <f>'[5]主角数据分析-超R'!H81</f>
        <v>81579.101989304836</v>
      </c>
      <c r="AC81" s="130">
        <f>'[5]主角数据分析-超R'!I81</f>
        <v>37037.131466204512</v>
      </c>
    </row>
    <row r="82" spans="1:29">
      <c r="B82">
        <v>81</v>
      </c>
      <c r="C82" s="19">
        <f t="shared" si="7"/>
        <v>1909149.1495615474</v>
      </c>
      <c r="D82" s="19">
        <f t="shared" si="8"/>
        <v>49044.805964398009</v>
      </c>
      <c r="E82" s="19">
        <f t="shared" si="9"/>
        <v>21797.691539732452</v>
      </c>
      <c r="K82" s="100">
        <v>0.95</v>
      </c>
      <c r="L82" s="100">
        <v>0.65500000000000003</v>
      </c>
      <c r="M82" s="100">
        <v>0.65500000000000003</v>
      </c>
      <c r="O82" s="86">
        <f t="shared" ref="O82:O101" si="13">(S82+W82+AA82)/3</f>
        <v>669876.89458299917</v>
      </c>
      <c r="P82" s="86">
        <f t="shared" ref="P82:P101" si="14">(T82+X82+AB82)/3</f>
        <v>24959.188785953185</v>
      </c>
      <c r="Q82" s="86">
        <f t="shared" ref="Q82:Q101" si="15">(U82+Y82+AC82)/3</f>
        <v>11092.972793756971</v>
      </c>
      <c r="S82" s="127">
        <f>'[5]主角分析-非R'!G82</f>
        <v>0</v>
      </c>
      <c r="T82" s="127">
        <f>'[5]主角分析-非R'!H82</f>
        <v>0</v>
      </c>
      <c r="U82" s="127">
        <f>'[5]主角分析-非R'!I82</f>
        <v>0</v>
      </c>
      <c r="V82" s="128"/>
      <c r="W82" s="129">
        <f>'[2]3、总属性战斗节奏拟合'!D85</f>
        <v>2009630.6837489975</v>
      </c>
      <c r="X82" s="129">
        <f>'[2]3、总属性战斗节奏拟合'!E85</f>
        <v>74877.566357859556</v>
      </c>
      <c r="Y82" s="129">
        <f>'[2]3、总属性战斗节奏拟合'!F85</f>
        <v>33278.918381270916</v>
      </c>
      <c r="Z82" s="128"/>
      <c r="AA82" s="130">
        <f>'[5]主角数据分析-超R'!G82</f>
        <v>0</v>
      </c>
      <c r="AB82" s="130">
        <f>'[5]主角数据分析-超R'!H82</f>
        <v>0</v>
      </c>
      <c r="AC82" s="130">
        <f>'[5]主角数据分析-超R'!I82</f>
        <v>0</v>
      </c>
    </row>
    <row r="83" spans="1:29">
      <c r="B83">
        <v>82</v>
      </c>
      <c r="C83" s="19">
        <f t="shared" si="7"/>
        <v>2023582.2604234922</v>
      </c>
      <c r="D83" s="19">
        <f t="shared" si="8"/>
        <v>51294.204163745839</v>
      </c>
      <c r="E83" s="19">
        <f t="shared" si="9"/>
        <v>22797.424072775928</v>
      </c>
      <c r="K83" s="100">
        <v>0.96</v>
      </c>
      <c r="L83" s="100">
        <v>0.66</v>
      </c>
      <c r="M83" s="100">
        <v>0.66</v>
      </c>
      <c r="O83" s="86">
        <f t="shared" si="13"/>
        <v>702632.72931371257</v>
      </c>
      <c r="P83" s="86">
        <f t="shared" si="14"/>
        <v>25906.163719063552</v>
      </c>
      <c r="Q83" s="86">
        <f t="shared" si="15"/>
        <v>11513.850541806023</v>
      </c>
      <c r="S83" s="127">
        <f>'[5]主角分析-非R'!G83</f>
        <v>0</v>
      </c>
      <c r="T83" s="127">
        <f>'[5]主角分析-非R'!H83</f>
        <v>0</v>
      </c>
      <c r="U83" s="127">
        <f>'[5]主角分析-非R'!I83</f>
        <v>0</v>
      </c>
      <c r="V83" s="128"/>
      <c r="W83" s="129">
        <f>'[2]3、总属性战斗节奏拟合'!D86</f>
        <v>2107898.1879411377</v>
      </c>
      <c r="X83" s="129">
        <f>'[2]3、总属性战斗节奏拟合'!E86</f>
        <v>77718.491157190656</v>
      </c>
      <c r="Y83" s="129">
        <f>'[2]3、总属性战斗节奏拟合'!F86</f>
        <v>34541.551625418069</v>
      </c>
      <c r="Z83" s="128"/>
      <c r="AA83" s="130">
        <f>'[5]主角数据分析-超R'!G83</f>
        <v>0</v>
      </c>
      <c r="AB83" s="130">
        <f>'[5]主角数据分析-超R'!H83</f>
        <v>0</v>
      </c>
      <c r="AC83" s="130">
        <f>'[5]主角数据分析-超R'!I83</f>
        <v>0</v>
      </c>
    </row>
    <row r="84" spans="1:29">
      <c r="B84">
        <v>83</v>
      </c>
      <c r="C84" s="19">
        <f t="shared" si="7"/>
        <v>2142870.9522839556</v>
      </c>
      <c r="D84" s="19">
        <f t="shared" si="8"/>
        <v>53605.24909841139</v>
      </c>
      <c r="E84" s="19">
        <f t="shared" si="9"/>
        <v>23824.55515484951</v>
      </c>
      <c r="K84" s="100">
        <v>0.97</v>
      </c>
      <c r="L84" s="100">
        <v>0.66500000000000004</v>
      </c>
      <c r="M84" s="100">
        <v>0.66500000000000004</v>
      </c>
      <c r="O84" s="86">
        <f t="shared" si="13"/>
        <v>736381.77054431464</v>
      </c>
      <c r="P84" s="86">
        <f t="shared" si="14"/>
        <v>26869.799046822751</v>
      </c>
      <c r="Q84" s="86">
        <f t="shared" si="15"/>
        <v>11942.132909699001</v>
      </c>
      <c r="S84" s="127">
        <f>'[5]主角分析-非R'!G84</f>
        <v>0</v>
      </c>
      <c r="T84" s="127">
        <f>'[5]主角分析-非R'!H84</f>
        <v>0</v>
      </c>
      <c r="U84" s="127">
        <f>'[5]主角分析-非R'!I84</f>
        <v>0</v>
      </c>
      <c r="V84" s="128"/>
      <c r="W84" s="129">
        <f>'[2]3、总属性战斗节奏拟合'!D87</f>
        <v>2209145.3116329438</v>
      </c>
      <c r="X84" s="129">
        <f>'[2]3、总属性战斗节奏拟合'!E87</f>
        <v>80609.397140468252</v>
      </c>
      <c r="Y84" s="129">
        <f>'[2]3、总属性战斗节奏拟合'!F87</f>
        <v>35826.398729097004</v>
      </c>
      <c r="Z84" s="128"/>
      <c r="AA84" s="130">
        <f>'[5]主角数据分析-超R'!G84</f>
        <v>0</v>
      </c>
      <c r="AB84" s="130">
        <f>'[5]主角数据分析-超R'!H84</f>
        <v>0</v>
      </c>
      <c r="AC84" s="130">
        <f>'[5]主角数据分析-超R'!I84</f>
        <v>0</v>
      </c>
    </row>
    <row r="85" spans="1:29">
      <c r="B85">
        <v>84</v>
      </c>
      <c r="C85" s="19">
        <f t="shared" si="7"/>
        <v>2267146.2480541547</v>
      </c>
      <c r="D85" s="19">
        <f t="shared" si="8"/>
        <v>55978.690486153864</v>
      </c>
      <c r="E85" s="19">
        <f t="shared" si="9"/>
        <v>24879.417993846164</v>
      </c>
      <c r="K85" s="100">
        <v>0.98</v>
      </c>
      <c r="L85" s="100">
        <v>0.67</v>
      </c>
      <c r="M85" s="100">
        <v>0.67</v>
      </c>
      <c r="O85" s="86">
        <f t="shared" si="13"/>
        <v>771138.17961025669</v>
      </c>
      <c r="P85" s="86">
        <f t="shared" si="14"/>
        <v>27850.094769230778</v>
      </c>
      <c r="Q85" s="86">
        <f t="shared" si="15"/>
        <v>12377.819897435902</v>
      </c>
      <c r="S85" s="127">
        <f>'[5]主角分析-非R'!G85</f>
        <v>0</v>
      </c>
      <c r="T85" s="127">
        <f>'[5]主角分析-非R'!H85</f>
        <v>0</v>
      </c>
      <c r="U85" s="127">
        <f>'[5]主角分析-非R'!I85</f>
        <v>0</v>
      </c>
      <c r="V85" s="128"/>
      <c r="W85" s="129">
        <f>'[2]3、总属性战斗节奏拟合'!D88</f>
        <v>2313414.5388307702</v>
      </c>
      <c r="X85" s="129">
        <f>'[2]3、总属性战斗节奏拟合'!E88</f>
        <v>83550.284307692331</v>
      </c>
      <c r="Y85" s="129">
        <f>'[2]3、总属性战斗节奏拟合'!F88</f>
        <v>37133.459692307704</v>
      </c>
      <c r="Z85" s="128"/>
      <c r="AA85" s="130">
        <f>'[5]主角数据分析-超R'!G85</f>
        <v>0</v>
      </c>
      <c r="AB85" s="130">
        <f>'[5]主角数据分析-超R'!H85</f>
        <v>0</v>
      </c>
      <c r="AC85" s="130">
        <f>'[5]主角数据分析-超R'!I85</f>
        <v>0</v>
      </c>
    </row>
    <row r="86" spans="1:29">
      <c r="B86">
        <v>85</v>
      </c>
      <c r="C86" s="19">
        <f t="shared" si="7"/>
        <v>2396540.8700055596</v>
      </c>
      <c r="D86" s="19">
        <f t="shared" si="8"/>
        <v>58415.278044732448</v>
      </c>
      <c r="E86" s="19">
        <f t="shared" si="9"/>
        <v>25962.345797658862</v>
      </c>
      <c r="K86" s="100">
        <v>0.99</v>
      </c>
      <c r="L86" s="100">
        <v>0.67500000000000004</v>
      </c>
      <c r="M86" s="100">
        <v>0.67500000000000004</v>
      </c>
      <c r="O86" s="87">
        <f t="shared" si="13"/>
        <v>806916.11784698989</v>
      </c>
      <c r="P86" s="87">
        <f t="shared" si="14"/>
        <v>28847.050886287627</v>
      </c>
      <c r="Q86" s="87">
        <f t="shared" si="15"/>
        <v>12820.911505016722</v>
      </c>
      <c r="S86" s="127">
        <f>'[5]主角分析-非R'!G86</f>
        <v>0</v>
      </c>
      <c r="T86" s="127">
        <f>'[5]主角分析-非R'!H86</f>
        <v>0</v>
      </c>
      <c r="U86" s="127">
        <f>'[5]主角分析-非R'!I86</f>
        <v>0</v>
      </c>
      <c r="V86" s="128"/>
      <c r="W86" s="129">
        <f>'[2]3、总属性战斗节奏拟合'!D89</f>
        <v>2420748.3535409695</v>
      </c>
      <c r="X86" s="129">
        <f>'[2]3、总属性战斗节奏拟合'!E89</f>
        <v>86541.152658862877</v>
      </c>
      <c r="Y86" s="129">
        <f>'[2]3、总属性战斗节奏拟合'!F89</f>
        <v>38462.734515050164</v>
      </c>
      <c r="Z86" s="128"/>
      <c r="AA86" s="130">
        <f>'[5]主角数据分析-超R'!G86</f>
        <v>0</v>
      </c>
      <c r="AB86" s="130">
        <f>'[5]主角数据分析-超R'!H86</f>
        <v>0</v>
      </c>
      <c r="AC86" s="130">
        <f>'[5]主角数据分析-超R'!I86</f>
        <v>0</v>
      </c>
    </row>
    <row r="87" spans="1:29">
      <c r="B87">
        <v>86</v>
      </c>
      <c r="C87" s="19">
        <f t="shared" si="7"/>
        <v>2531189.2397698998</v>
      </c>
      <c r="D87" s="19">
        <f t="shared" si="8"/>
        <v>60915.761491906371</v>
      </c>
      <c r="E87" s="19">
        <f t="shared" si="9"/>
        <v>27073.671774180606</v>
      </c>
      <c r="K87" s="100">
        <v>1</v>
      </c>
      <c r="L87" s="100">
        <v>0.68</v>
      </c>
      <c r="M87" s="100">
        <v>0.68</v>
      </c>
      <c r="O87" s="86">
        <f t="shared" si="13"/>
        <v>843729.74658996658</v>
      </c>
      <c r="P87" s="86">
        <f t="shared" si="14"/>
        <v>29860.667397993315</v>
      </c>
      <c r="Q87" s="86">
        <f t="shared" si="15"/>
        <v>13271.407732441474</v>
      </c>
      <c r="S87" s="127">
        <f>'[5]主角分析-非R'!G87</f>
        <v>0</v>
      </c>
      <c r="T87" s="127">
        <f>'[5]主角分析-非R'!H87</f>
        <v>0</v>
      </c>
      <c r="U87" s="127">
        <f>'[5]主角分析-非R'!I87</f>
        <v>0</v>
      </c>
      <c r="V87" s="128"/>
      <c r="W87" s="129">
        <f>'[2]3、总属性战斗节奏拟合'!D90</f>
        <v>2531189.2397698998</v>
      </c>
      <c r="X87" s="129">
        <f>'[2]3、总属性战斗节奏拟合'!E90</f>
        <v>89582.002193979948</v>
      </c>
      <c r="Y87" s="129">
        <f>'[2]3、总属性战斗节奏拟合'!F90</f>
        <v>39814.22319732442</v>
      </c>
      <c r="Z87" s="128"/>
      <c r="AA87" s="130">
        <f>'[5]主角数据分析-超R'!G87</f>
        <v>0</v>
      </c>
      <c r="AB87" s="130">
        <f>'[5]主角数据分析-超R'!H87</f>
        <v>0</v>
      </c>
      <c r="AC87" s="130">
        <f>'[5]主角数据分析-超R'!I87</f>
        <v>0</v>
      </c>
    </row>
    <row r="88" spans="1:29">
      <c r="B88">
        <v>87</v>
      </c>
      <c r="C88" s="19">
        <f t="shared" si="7"/>
        <v>2671227.4783391515</v>
      </c>
      <c r="D88" s="19">
        <f t="shared" si="8"/>
        <v>63480.890545434777</v>
      </c>
      <c r="E88" s="19">
        <f t="shared" si="9"/>
        <v>28213.729131304346</v>
      </c>
      <c r="K88" s="100">
        <v>1.01</v>
      </c>
      <c r="L88" s="100">
        <v>0.68500000000000005</v>
      </c>
      <c r="M88" s="100">
        <v>0.68500000000000005</v>
      </c>
      <c r="O88" s="86">
        <f t="shared" si="13"/>
        <v>881593.22717463737</v>
      </c>
      <c r="P88" s="86">
        <f t="shared" si="14"/>
        <v>30890.94430434782</v>
      </c>
      <c r="Q88" s="86">
        <f t="shared" si="15"/>
        <v>13729.308579710143</v>
      </c>
      <c r="S88" s="127">
        <f>'[5]主角分析-非R'!G88</f>
        <v>0</v>
      </c>
      <c r="T88" s="127">
        <f>'[5]主角分析-非R'!H88</f>
        <v>0</v>
      </c>
      <c r="U88" s="127">
        <f>'[5]主角分析-非R'!I88</f>
        <v>0</v>
      </c>
      <c r="V88" s="128"/>
      <c r="W88" s="129">
        <f>'[2]3、总属性战斗节奏拟合'!D91</f>
        <v>2644779.6815239121</v>
      </c>
      <c r="X88" s="129">
        <f>'[2]3、总属性战斗节奏拟合'!E91</f>
        <v>92672.832913043458</v>
      </c>
      <c r="Y88" s="129">
        <f>'[2]3、总属性战斗节奏拟合'!F91</f>
        <v>41187.925739130427</v>
      </c>
      <c r="Z88" s="128"/>
      <c r="AA88" s="130">
        <f>'[5]主角数据分析-超R'!G88</f>
        <v>0</v>
      </c>
      <c r="AB88" s="130">
        <f>'[5]主角数据分析-超R'!H88</f>
        <v>0</v>
      </c>
      <c r="AC88" s="130">
        <f>'[5]主角数据分析-超R'!I88</f>
        <v>0</v>
      </c>
    </row>
    <row r="89" spans="1:29">
      <c r="B89">
        <v>88</v>
      </c>
      <c r="C89" s="19">
        <f t="shared" si="7"/>
        <v>2816793.4060655516</v>
      </c>
      <c r="D89" s="19">
        <f t="shared" si="8"/>
        <v>66111.414923076896</v>
      </c>
      <c r="E89" s="19">
        <f t="shared" si="9"/>
        <v>29382.851076923067</v>
      </c>
      <c r="K89" s="100">
        <v>1.02</v>
      </c>
      <c r="L89" s="100">
        <v>0.69</v>
      </c>
      <c r="M89" s="100">
        <v>0.69</v>
      </c>
      <c r="O89" s="86">
        <f t="shared" si="13"/>
        <v>920520.72093645472</v>
      </c>
      <c r="P89" s="86">
        <f t="shared" si="14"/>
        <v>31937.881605351158</v>
      </c>
      <c r="Q89" s="86">
        <f t="shared" si="15"/>
        <v>14194.614046822739</v>
      </c>
      <c r="S89" s="127">
        <f>'[5]主角分析-非R'!G89</f>
        <v>0</v>
      </c>
      <c r="T89" s="127">
        <f>'[5]主角分析-非R'!H89</f>
        <v>0</v>
      </c>
      <c r="U89" s="127">
        <f>'[5]主角分析-非R'!I89</f>
        <v>0</v>
      </c>
      <c r="V89" s="128"/>
      <c r="W89" s="129">
        <f>'[2]3、总属性战斗节奏拟合'!D92</f>
        <v>2761562.162809364</v>
      </c>
      <c r="X89" s="129">
        <f>'[2]3、总属性战斗节奏拟合'!E92</f>
        <v>95813.644816053478</v>
      </c>
      <c r="Y89" s="129">
        <f>'[2]3、总属性战斗节奏拟合'!F92</f>
        <v>42583.842140468216</v>
      </c>
      <c r="Z89" s="128"/>
      <c r="AA89" s="130">
        <f>'[5]主角数据分析-超R'!G89</f>
        <v>0</v>
      </c>
      <c r="AB89" s="130">
        <f>'[5]主角数据分析-超R'!H89</f>
        <v>0</v>
      </c>
      <c r="AC89" s="130">
        <f>'[5]主角数据分析-超R'!I89</f>
        <v>0</v>
      </c>
    </row>
    <row r="90" spans="1:29">
      <c r="B90">
        <v>89</v>
      </c>
      <c r="C90" s="19">
        <f t="shared" si="7"/>
        <v>2968026.5426615863</v>
      </c>
      <c r="D90" s="19">
        <f t="shared" si="8"/>
        <v>68808.084342591959</v>
      </c>
      <c r="E90" s="19">
        <f t="shared" si="9"/>
        <v>30581.370818929758</v>
      </c>
      <c r="K90" s="100">
        <v>1.03</v>
      </c>
      <c r="L90" s="100">
        <v>0.69499999999999995</v>
      </c>
      <c r="M90" s="100">
        <v>0.69499999999999995</v>
      </c>
      <c r="O90" s="86">
        <f t="shared" si="13"/>
        <v>960526.38921086944</v>
      </c>
      <c r="P90" s="86">
        <f t="shared" si="14"/>
        <v>33001.479301003339</v>
      </c>
      <c r="Q90" s="86">
        <f t="shared" si="15"/>
        <v>14667.324133779262</v>
      </c>
      <c r="S90" s="127">
        <f>'[5]主角分析-非R'!G90</f>
        <v>0</v>
      </c>
      <c r="T90" s="127">
        <f>'[5]主角分析-非R'!H90</f>
        <v>0</v>
      </c>
      <c r="U90" s="127">
        <f>'[5]主角分析-非R'!I90</f>
        <v>0</v>
      </c>
      <c r="V90" s="128"/>
      <c r="W90" s="129">
        <f>'[2]3、总属性战斗节奏拟合'!D93</f>
        <v>2881579.1676326082</v>
      </c>
      <c r="X90" s="129">
        <f>'[2]3、总属性战斗节奏拟合'!E93</f>
        <v>99004.437903010024</v>
      </c>
      <c r="Y90" s="129">
        <f>'[2]3、总属性战斗节奏拟合'!F93</f>
        <v>44001.972401337785</v>
      </c>
      <c r="Z90" s="128"/>
      <c r="AA90" s="130">
        <f>'[5]主角数据分析-超R'!G90</f>
        <v>0</v>
      </c>
      <c r="AB90" s="130">
        <f>'[5]主角数据分析-超R'!H90</f>
        <v>0</v>
      </c>
      <c r="AC90" s="130">
        <f>'[5]主角数据分析-超R'!I90</f>
        <v>0</v>
      </c>
    </row>
    <row r="91" spans="1:29">
      <c r="B91">
        <v>90</v>
      </c>
      <c r="C91" s="19">
        <f t="shared" si="7"/>
        <v>3125068.107199999</v>
      </c>
      <c r="D91" s="19">
        <f t="shared" si="8"/>
        <v>71571.648521739087</v>
      </c>
      <c r="E91" s="19">
        <f t="shared" si="9"/>
        <v>31809.621565217378</v>
      </c>
      <c r="K91" s="100">
        <v>1.04</v>
      </c>
      <c r="L91" s="100">
        <v>0.7</v>
      </c>
      <c r="M91" s="100">
        <v>0.7</v>
      </c>
      <c r="O91" s="86">
        <f t="shared" si="13"/>
        <v>1001624.393333333</v>
      </c>
      <c r="P91" s="86">
        <f t="shared" si="14"/>
        <v>34081.737391304334</v>
      </c>
      <c r="Q91" s="86">
        <f t="shared" si="15"/>
        <v>15147.438840579705</v>
      </c>
      <c r="S91" s="127">
        <f>'[5]主角分析-非R'!G91</f>
        <v>0</v>
      </c>
      <c r="T91" s="127">
        <f>'[5]主角分析-非R'!H91</f>
        <v>0</v>
      </c>
      <c r="U91" s="127">
        <f>'[5]主角分析-非R'!I91</f>
        <v>0</v>
      </c>
      <c r="V91" s="128"/>
      <c r="W91" s="132">
        <f>'[2]3、总属性战斗节奏拟合'!D94</f>
        <v>3004873.1799999988</v>
      </c>
      <c r="X91" s="132">
        <f>'[2]3、总属性战斗节奏拟合'!E94</f>
        <v>102245.21217391299</v>
      </c>
      <c r="Y91" s="132">
        <f>'[2]3、总属性战斗节奏拟合'!F94</f>
        <v>45442.316521739114</v>
      </c>
      <c r="Z91" s="128"/>
      <c r="AA91" s="130">
        <f>'[5]主角数据分析-超R'!G91</f>
        <v>0</v>
      </c>
      <c r="AB91" s="130">
        <f>'[5]主角数据分析-超R'!H91</f>
        <v>0</v>
      </c>
      <c r="AC91" s="130">
        <f>'[5]主角数据分析-超R'!I91</f>
        <v>0</v>
      </c>
    </row>
    <row r="92" spans="1:29">
      <c r="B92">
        <v>91</v>
      </c>
      <c r="C92" s="19">
        <f t="shared" si="7"/>
        <v>3288061.0181137868</v>
      </c>
      <c r="D92" s="19">
        <f t="shared" si="8"/>
        <v>74402.857178277554</v>
      </c>
      <c r="E92" s="19">
        <f t="shared" si="9"/>
        <v>33067.936523678916</v>
      </c>
      <c r="K92" s="100">
        <v>1.05</v>
      </c>
      <c r="L92" s="100">
        <v>0.70499999999999996</v>
      </c>
      <c r="M92" s="100">
        <v>0.70499999999999996</v>
      </c>
      <c r="O92" s="86">
        <f t="shared" si="13"/>
        <v>1043828.8946392974</v>
      </c>
      <c r="P92" s="86">
        <f t="shared" si="14"/>
        <v>35178.655876254168</v>
      </c>
      <c r="Q92" s="86">
        <f t="shared" si="15"/>
        <v>15634.958167224075</v>
      </c>
      <c r="S92" s="127">
        <f>'[5]主角分析-非R'!G92</f>
        <v>0</v>
      </c>
      <c r="T92" s="127">
        <f>'[5]主角分析-非R'!H92</f>
        <v>0</v>
      </c>
      <c r="U92" s="127">
        <f>'[5]主角分析-非R'!I92</f>
        <v>0</v>
      </c>
      <c r="V92" s="128"/>
      <c r="W92" s="129">
        <f>'[2]3、总属性战斗节奏拟合'!D95</f>
        <v>3131486.6839178922</v>
      </c>
      <c r="X92" s="129">
        <f>'[2]3、总属性战斗节奏拟合'!E95</f>
        <v>105535.9676287625</v>
      </c>
      <c r="Y92" s="129">
        <f>'[2]3、总属性战斗节奏拟合'!F95</f>
        <v>46904.874501672224</v>
      </c>
      <c r="Z92" s="128"/>
      <c r="AA92" s="130">
        <f>'[5]主角数据分析-超R'!G92</f>
        <v>0</v>
      </c>
      <c r="AB92" s="130">
        <f>'[5]主角数据分析-超R'!H92</f>
        <v>0</v>
      </c>
      <c r="AC92" s="130">
        <f>'[5]主角数据分析-超R'!I92</f>
        <v>0</v>
      </c>
    </row>
    <row r="93" spans="1:29">
      <c r="B93">
        <v>92</v>
      </c>
      <c r="C93" s="19">
        <f t="shared" si="7"/>
        <v>3457149.8931962</v>
      </c>
      <c r="D93" s="19">
        <f t="shared" si="8"/>
        <v>77302.460029966533</v>
      </c>
      <c r="E93" s="19">
        <f t="shared" si="9"/>
        <v>34356.648902207351</v>
      </c>
      <c r="K93" s="100">
        <v>1.06</v>
      </c>
      <c r="L93" s="100">
        <v>0.71</v>
      </c>
      <c r="M93" s="100">
        <v>0.71</v>
      </c>
      <c r="O93" s="86">
        <f t="shared" si="13"/>
        <v>1087154.0544642138</v>
      </c>
      <c r="P93" s="86">
        <f t="shared" si="14"/>
        <v>36292.234755852834</v>
      </c>
      <c r="Q93" s="86">
        <f t="shared" si="15"/>
        <v>16129.882113712372</v>
      </c>
      <c r="S93" s="127">
        <f>'[5]主角分析-非R'!G93</f>
        <v>0</v>
      </c>
      <c r="T93" s="127">
        <f>'[5]主角分析-非R'!H93</f>
        <v>0</v>
      </c>
      <c r="U93" s="127">
        <f>'[5]主角分析-非R'!I93</f>
        <v>0</v>
      </c>
      <c r="V93" s="128"/>
      <c r="W93" s="129">
        <f>'[2]3、总属性战斗节奏拟合'!D96</f>
        <v>3261462.1633926416</v>
      </c>
      <c r="X93" s="129">
        <f>'[2]3、总属性战斗节奏拟合'!E96</f>
        <v>108876.7042675585</v>
      </c>
      <c r="Y93" s="129">
        <f>'[2]3、总属性战斗节奏拟合'!F96</f>
        <v>48389.646341137115</v>
      </c>
      <c r="Z93" s="128"/>
      <c r="AA93" s="130">
        <f>'[5]主角数据分析-超R'!G93</f>
        <v>0</v>
      </c>
      <c r="AB93" s="130">
        <f>'[5]主角数据分析-超R'!H93</f>
        <v>0</v>
      </c>
      <c r="AC93" s="130">
        <f>'[5]主角数据分析-超R'!I93</f>
        <v>0</v>
      </c>
    </row>
    <row r="94" spans="1:29">
      <c r="B94">
        <v>93</v>
      </c>
      <c r="C94" s="19">
        <f t="shared" si="7"/>
        <v>3632481.0496007418</v>
      </c>
      <c r="D94" s="19">
        <f t="shared" si="8"/>
        <v>80271.206794565165</v>
      </c>
      <c r="E94" s="19">
        <f t="shared" si="9"/>
        <v>35676.091908695627</v>
      </c>
      <c r="K94" s="100">
        <v>1.07</v>
      </c>
      <c r="L94" s="100">
        <v>0.71499999999999997</v>
      </c>
      <c r="M94" s="100">
        <v>0.71499999999999997</v>
      </c>
      <c r="O94" s="86">
        <f t="shared" si="13"/>
        <v>1131614.0341435333</v>
      </c>
      <c r="P94" s="86">
        <f t="shared" si="14"/>
        <v>37422.474030100311</v>
      </c>
      <c r="Q94" s="86">
        <f t="shared" si="15"/>
        <v>16632.210680044584</v>
      </c>
      <c r="S94" s="127">
        <f>'[5]主角分析-非R'!G94</f>
        <v>0</v>
      </c>
      <c r="T94" s="127">
        <f>'[5]主角分析-非R'!H94</f>
        <v>0</v>
      </c>
      <c r="U94" s="127">
        <f>'[5]主角分析-非R'!I94</f>
        <v>0</v>
      </c>
      <c r="V94" s="128"/>
      <c r="W94" s="129">
        <f>'[2]3、总属性战斗节奏拟合'!D97</f>
        <v>3394842.1024305997</v>
      </c>
      <c r="X94" s="129">
        <f>'[2]3、总属性战斗节奏拟合'!E97</f>
        <v>112267.42209030094</v>
      </c>
      <c r="Y94" s="129">
        <f>'[2]3、总属性战斗节奏拟合'!F97</f>
        <v>49896.632040133751</v>
      </c>
      <c r="Z94" s="128"/>
      <c r="AA94" s="130">
        <f>'[5]主角数据分析-超R'!G94</f>
        <v>0</v>
      </c>
      <c r="AB94" s="130">
        <f>'[5]主角数据分析-超R'!H94</f>
        <v>0</v>
      </c>
      <c r="AC94" s="130">
        <f>'[5]主角数据分析-超R'!I94</f>
        <v>0</v>
      </c>
    </row>
    <row r="95" spans="1:29">
      <c r="B95">
        <v>94</v>
      </c>
      <c r="C95" s="19">
        <f t="shared" si="7"/>
        <v>3814202.5038411752</v>
      </c>
      <c r="D95" s="19">
        <f t="shared" si="8"/>
        <v>83309.847189832726</v>
      </c>
      <c r="E95" s="19">
        <f t="shared" si="9"/>
        <v>37026.59875103677</v>
      </c>
      <c r="K95" s="100">
        <v>1.08</v>
      </c>
      <c r="L95" s="100">
        <v>0.72</v>
      </c>
      <c r="M95" s="100">
        <v>0.72</v>
      </c>
      <c r="O95" s="86">
        <f t="shared" si="13"/>
        <v>1177222.9950127082</v>
      </c>
      <c r="P95" s="86">
        <f t="shared" si="14"/>
        <v>38569.373698996635</v>
      </c>
      <c r="Q95" s="86">
        <f t="shared" si="15"/>
        <v>17141.943866220729</v>
      </c>
      <c r="S95" s="127">
        <f>'[5]主角分析-非R'!G95</f>
        <v>0</v>
      </c>
      <c r="T95" s="127">
        <f>'[5]主角分析-非R'!H95</f>
        <v>0</v>
      </c>
      <c r="U95" s="127">
        <f>'[5]主角分析-非R'!I95</f>
        <v>0</v>
      </c>
      <c r="V95" s="128"/>
      <c r="W95" s="129">
        <f>'[2]3、总属性战斗节奏拟合'!D98</f>
        <v>3531668.985038125</v>
      </c>
      <c r="X95" s="129">
        <f>'[2]3、总属性战斗节奏拟合'!E98</f>
        <v>115708.1210969899</v>
      </c>
      <c r="Y95" s="129">
        <f>'[2]3、总属性战斗节奏拟合'!F98</f>
        <v>51425.831598662182</v>
      </c>
      <c r="Z95" s="128"/>
      <c r="AA95" s="130">
        <f>'[5]主角数据分析-超R'!G95</f>
        <v>0</v>
      </c>
      <c r="AB95" s="130">
        <f>'[5]主角数据分析-超R'!H95</f>
        <v>0</v>
      </c>
      <c r="AC95" s="130">
        <f>'[5]主角数据分析-超R'!I95</f>
        <v>0</v>
      </c>
    </row>
    <row r="96" spans="1:29">
      <c r="B96">
        <v>95</v>
      </c>
      <c r="C96" s="19">
        <f t="shared" si="7"/>
        <v>4002463.9717915109</v>
      </c>
      <c r="D96" s="19">
        <f t="shared" si="8"/>
        <v>86419.130933528359</v>
      </c>
      <c r="E96" s="19">
        <f t="shared" si="9"/>
        <v>38408.502637123718</v>
      </c>
      <c r="K96" s="100">
        <v>1.0900000000000001</v>
      </c>
      <c r="L96" s="100">
        <v>0.72499999999999998</v>
      </c>
      <c r="M96" s="100">
        <v>0.72499999999999998</v>
      </c>
      <c r="O96" s="87">
        <f t="shared" si="13"/>
        <v>1223995.0984071898</v>
      </c>
      <c r="P96" s="87">
        <f t="shared" si="14"/>
        <v>39732.933762541776</v>
      </c>
      <c r="Q96" s="87">
        <f t="shared" si="15"/>
        <v>17659.081672240791</v>
      </c>
      <c r="S96" s="127">
        <f>'[5]主角分析-非R'!G96</f>
        <v>0</v>
      </c>
      <c r="T96" s="127">
        <f>'[5]主角分析-非R'!H96</f>
        <v>0</v>
      </c>
      <c r="U96" s="127">
        <f>'[5]主角分析-非R'!I96</f>
        <v>0</v>
      </c>
      <c r="V96" s="128"/>
      <c r="W96" s="129">
        <f>'[2]3、总属性战斗节奏拟合'!D99</f>
        <v>3671985.2952215695</v>
      </c>
      <c r="X96" s="129">
        <f>'[2]3、总属性战斗节奏拟合'!E99</f>
        <v>119198.80128762533</v>
      </c>
      <c r="Y96" s="129">
        <f>'[2]3、总属性战斗节奏拟合'!F99</f>
        <v>52977.245016722372</v>
      </c>
      <c r="Z96" s="128"/>
      <c r="AA96" s="130">
        <f>'[5]主角数据分析-超R'!G96</f>
        <v>0</v>
      </c>
      <c r="AB96" s="130">
        <f>'[5]主角数据分析-超R'!H96</f>
        <v>0</v>
      </c>
      <c r="AC96" s="130">
        <f>'[5]主角数据分析-超R'!I96</f>
        <v>0</v>
      </c>
    </row>
    <row r="97" spans="2:29">
      <c r="B97">
        <v>96</v>
      </c>
      <c r="C97" s="19">
        <f t="shared" si="7"/>
        <v>4197416.8686860176</v>
      </c>
      <c r="D97" s="19">
        <f t="shared" si="8"/>
        <v>89599.807743411307</v>
      </c>
      <c r="E97" s="19">
        <f t="shared" si="9"/>
        <v>39822.136774849474</v>
      </c>
      <c r="K97" s="100">
        <v>1.1000000000000001</v>
      </c>
      <c r="L97" s="100">
        <v>0.73</v>
      </c>
      <c r="M97" s="100">
        <v>0.73</v>
      </c>
      <c r="O97" s="86">
        <f t="shared" si="13"/>
        <v>1271944.5056624294</v>
      </c>
      <c r="P97" s="86">
        <f t="shared" si="14"/>
        <v>40913.154220735763</v>
      </c>
      <c r="Q97" s="86">
        <f t="shared" si="15"/>
        <v>18183.624098104785</v>
      </c>
      <c r="S97" s="127">
        <f>'[5]主角分析-非R'!G97</f>
        <v>0</v>
      </c>
      <c r="T97" s="127">
        <f>'[5]主角分析-非R'!H97</f>
        <v>0</v>
      </c>
      <c r="U97" s="127">
        <f>'[5]主角分析-非R'!I97</f>
        <v>0</v>
      </c>
      <c r="V97" s="128"/>
      <c r="W97" s="129">
        <f>'[2]3、总属性战斗节奏拟合'!D100</f>
        <v>3815833.5169872884</v>
      </c>
      <c r="X97" s="129">
        <f>'[2]3、总属性战斗节奏拟合'!E100</f>
        <v>122739.46266220728</v>
      </c>
      <c r="Y97" s="129">
        <f>'[2]3、总属性战斗节奏拟合'!F100</f>
        <v>54550.872294314351</v>
      </c>
      <c r="Z97" s="128"/>
      <c r="AA97" s="130">
        <f>'[5]主角数据分析-超R'!G97</f>
        <v>0</v>
      </c>
      <c r="AB97" s="130">
        <f>'[5]主角数据分析-超R'!H97</f>
        <v>0</v>
      </c>
      <c r="AC97" s="130">
        <f>'[5]主角数据分析-超R'!I97</f>
        <v>0</v>
      </c>
    </row>
    <row r="98" spans="2:29">
      <c r="B98">
        <v>97</v>
      </c>
      <c r="C98" s="19">
        <f t="shared" si="7"/>
        <v>4399214.3091192162</v>
      </c>
      <c r="D98" s="19">
        <f t="shared" si="8"/>
        <v>92852.627337240745</v>
      </c>
      <c r="E98" s="19">
        <f t="shared" si="9"/>
        <v>41267.834372106998</v>
      </c>
      <c r="K98" s="100">
        <v>1.1100000000000001</v>
      </c>
      <c r="L98" s="100">
        <v>0.73499999999999999</v>
      </c>
      <c r="M98" s="100">
        <v>0.73499999999999999</v>
      </c>
      <c r="O98" s="86">
        <f t="shared" si="13"/>
        <v>1321085.3781138787</v>
      </c>
      <c r="P98" s="86">
        <f t="shared" si="14"/>
        <v>42110.035073578569</v>
      </c>
      <c r="Q98" s="86">
        <f t="shared" si="15"/>
        <v>18715.5711438127</v>
      </c>
      <c r="S98" s="127">
        <f>'[5]主角分析-非R'!G98</f>
        <v>0</v>
      </c>
      <c r="T98" s="127">
        <f>'[5]主角分析-非R'!H98</f>
        <v>0</v>
      </c>
      <c r="U98" s="127">
        <f>'[5]主角分析-非R'!I98</f>
        <v>0</v>
      </c>
      <c r="V98" s="128"/>
      <c r="W98" s="129">
        <f>'[2]3、总属性战斗节奏拟合'!D101</f>
        <v>3963256.1343416362</v>
      </c>
      <c r="X98" s="129">
        <f>'[2]3、总属性战斗节奏拟合'!E101</f>
        <v>126330.10522073571</v>
      </c>
      <c r="Y98" s="129">
        <f>'[2]3、总属性战斗节奏拟合'!F101</f>
        <v>56146.713431438096</v>
      </c>
      <c r="Z98" s="128"/>
      <c r="AA98" s="130">
        <f>'[5]主角数据分析-超R'!G98</f>
        <v>0</v>
      </c>
      <c r="AB98" s="130">
        <f>'[5]主角数据分析-超R'!H98</f>
        <v>0</v>
      </c>
      <c r="AC98" s="130">
        <f>'[5]主角数据分析-超R'!I98</f>
        <v>0</v>
      </c>
    </row>
    <row r="99" spans="2:29">
      <c r="B99">
        <v>98</v>
      </c>
      <c r="C99" s="19">
        <f t="shared" si="7"/>
        <v>4608011.1070458824</v>
      </c>
      <c r="D99" s="19">
        <f t="shared" si="8"/>
        <v>96178.339432775829</v>
      </c>
      <c r="E99" s="19">
        <f t="shared" si="9"/>
        <v>42745.928636789256</v>
      </c>
      <c r="K99" s="100">
        <v>1.1200000000000001</v>
      </c>
      <c r="L99" s="100">
        <v>0.74</v>
      </c>
      <c r="M99" s="100">
        <v>0.74</v>
      </c>
      <c r="O99" s="86">
        <f t="shared" si="13"/>
        <v>1371431.8770969887</v>
      </c>
      <c r="P99" s="86">
        <f t="shared" si="14"/>
        <v>43323.576321070192</v>
      </c>
      <c r="Q99" s="86">
        <f t="shared" si="15"/>
        <v>19254.922809364532</v>
      </c>
      <c r="S99" s="127">
        <f>'[5]主角分析-非R'!G99</f>
        <v>0</v>
      </c>
      <c r="T99" s="127">
        <f>'[5]主角分析-非R'!H99</f>
        <v>0</v>
      </c>
      <c r="U99" s="127">
        <f>'[5]主角分析-非R'!I99</f>
        <v>0</v>
      </c>
      <c r="V99" s="128"/>
      <c r="W99" s="129">
        <f>'[2]3、总属性战斗节奏拟合'!D102</f>
        <v>4114295.6312909662</v>
      </c>
      <c r="X99" s="129">
        <f>'[2]3、总属性战斗节奏拟合'!E102</f>
        <v>129970.72896321058</v>
      </c>
      <c r="Y99" s="129">
        <f>'[2]3、总属性战斗节奏拟合'!F102</f>
        <v>57764.768428093594</v>
      </c>
      <c r="Z99" s="128"/>
      <c r="AA99" s="130">
        <f>'[5]主角数据分析-超R'!G99</f>
        <v>0</v>
      </c>
      <c r="AB99" s="130">
        <f>'[5]主角数据分析-超R'!H99</f>
        <v>0</v>
      </c>
      <c r="AC99" s="130">
        <f>'[5]主角数据分析-超R'!I99</f>
        <v>0</v>
      </c>
    </row>
    <row r="100" spans="2:29">
      <c r="B100">
        <v>99</v>
      </c>
      <c r="C100" s="19">
        <f t="shared" si="7"/>
        <v>4823963.7757810466</v>
      </c>
      <c r="D100" s="19">
        <f t="shared" si="8"/>
        <v>99577.693747775833</v>
      </c>
      <c r="E100" s="19">
        <f t="shared" si="9"/>
        <v>44256.752776789261</v>
      </c>
      <c r="K100" s="100">
        <v>1.1299999999999999</v>
      </c>
      <c r="L100" s="100">
        <v>0.745</v>
      </c>
      <c r="M100" s="100">
        <v>0.745</v>
      </c>
      <c r="O100" s="86">
        <f t="shared" si="13"/>
        <v>1422998.1639472116</v>
      </c>
      <c r="P100" s="86">
        <f t="shared" si="14"/>
        <v>44553.777963210661</v>
      </c>
      <c r="Q100" s="86">
        <f t="shared" si="15"/>
        <v>19801.679094760297</v>
      </c>
      <c r="S100" s="127">
        <f>'[5]主角分析-非R'!G100</f>
        <v>0</v>
      </c>
      <c r="T100" s="127">
        <f>'[5]主角分析-非R'!H100</f>
        <v>0</v>
      </c>
      <c r="U100" s="127">
        <f>'[5]主角分析-非R'!I100</f>
        <v>0</v>
      </c>
      <c r="V100" s="128"/>
      <c r="W100" s="129">
        <f>'[2]3、总属性战斗节奏拟合'!D103</f>
        <v>4268994.4918416347</v>
      </c>
      <c r="X100" s="129">
        <f>'[2]3、总属性战斗节奏拟合'!E103</f>
        <v>133661.33388963199</v>
      </c>
      <c r="Y100" s="129">
        <f>'[2]3、总属性战斗节奏拟合'!F103</f>
        <v>59405.037284280887</v>
      </c>
      <c r="Z100" s="128"/>
      <c r="AA100" s="130">
        <f>'[5]主角数据分析-超R'!G100</f>
        <v>0</v>
      </c>
      <c r="AB100" s="130">
        <f>'[5]主角数据分析-超R'!H100</f>
        <v>0</v>
      </c>
      <c r="AC100" s="130">
        <f>'[5]主角数据分析-超R'!I100</f>
        <v>0</v>
      </c>
    </row>
    <row r="101" spans="2:29">
      <c r="B101">
        <v>100</v>
      </c>
      <c r="C101" s="19">
        <f t="shared" si="7"/>
        <v>5047230.5279999953</v>
      </c>
      <c r="D101" s="19">
        <f t="shared" si="8"/>
        <v>103051.43999999992</v>
      </c>
      <c r="E101" s="19">
        <f t="shared" si="9"/>
        <v>45800.639999999963</v>
      </c>
      <c r="K101" s="100">
        <v>1.1399999999999999</v>
      </c>
      <c r="L101" s="100">
        <v>0.75</v>
      </c>
      <c r="M101" s="100">
        <v>0.75</v>
      </c>
      <c r="O101" s="86">
        <f t="shared" si="13"/>
        <v>1475798.3999999987</v>
      </c>
      <c r="P101" s="86">
        <f t="shared" si="14"/>
        <v>45800.639999999963</v>
      </c>
      <c r="Q101" s="86">
        <f t="shared" si="15"/>
        <v>20355.839999999986</v>
      </c>
      <c r="S101" s="127">
        <f>'[5]主角分析-非R'!G101</f>
        <v>0</v>
      </c>
      <c r="T101" s="127">
        <f>'[5]主角分析-非R'!H101</f>
        <v>0</v>
      </c>
      <c r="U101" s="127">
        <f>'[5]主角分析-非R'!I101</f>
        <v>0</v>
      </c>
      <c r="V101" s="128"/>
      <c r="W101" s="132">
        <f>'[2]3、总属性战斗节奏拟合'!D104</f>
        <v>4427395.1999999965</v>
      </c>
      <c r="X101" s="132">
        <f>'[2]3、总属性战斗节奏拟合'!E104</f>
        <v>137401.9199999999</v>
      </c>
      <c r="Y101" s="132">
        <f>'[2]3、总属性战斗节奏拟合'!F104</f>
        <v>61067.519999999953</v>
      </c>
      <c r="Z101" s="128"/>
      <c r="AA101" s="130">
        <f>'[5]主角数据分析-超R'!G101</f>
        <v>0</v>
      </c>
      <c r="AB101" s="130">
        <f>'[5]主角数据分析-超R'!H101</f>
        <v>0</v>
      </c>
      <c r="AC101" s="130">
        <f>'[5]主角数据分析-超R'!I101</f>
        <v>0</v>
      </c>
    </row>
  </sheetData>
  <phoneticPr fontId="1" type="noConversion"/>
  <conditionalFormatting sqref="A6:B6 F6:J6 N6:R6 V6:Z6 AD6:XFD6">
    <cfRule type="expression" dxfId="114" priority="25">
      <formula>TRUE</formula>
    </cfRule>
  </conditionalFormatting>
  <conditionalFormatting sqref="A10:B10 N10:R10 F10:J10 V10:Z10 AD10:XFD10">
    <cfRule type="expression" dxfId="113" priority="17">
      <formula>TRUE</formula>
    </cfRule>
  </conditionalFormatting>
  <conditionalFormatting sqref="A16:B16 N16:R16 F16:J16 V16:Z16 AD16:XFD16">
    <cfRule type="expression" dxfId="112" priority="16">
      <formula>TRUE</formula>
    </cfRule>
  </conditionalFormatting>
  <conditionalFormatting sqref="A31:B31 F31:J31 N31:R31 V31:Z31 AD31:XFD31">
    <cfRule type="expression" dxfId="111" priority="15">
      <formula>TRUE</formula>
    </cfRule>
  </conditionalFormatting>
  <conditionalFormatting sqref="A46:B46 F46:J46 V46:Z46 AD46:XFD46 N46:R46">
    <cfRule type="expression" dxfId="110" priority="14">
      <formula>TRUE</formula>
    </cfRule>
  </conditionalFormatting>
  <conditionalFormatting sqref="A61:B61 F61:J61 V61:Z61 AD61:XFD61 N61:R61">
    <cfRule type="expression" dxfId="109" priority="13">
      <formula>TRUE</formula>
    </cfRule>
  </conditionalFormatting>
  <conditionalFormatting sqref="A71:B71 F71:J71 N71:R71 V71:Z71 AD71:XFD71">
    <cfRule type="expression" dxfId="108" priority="12">
      <formula>TRUE</formula>
    </cfRule>
  </conditionalFormatting>
  <conditionalFormatting sqref="A81:B81 F81:J81 N81:R81 V81:Z81 AD81:XFD81">
    <cfRule type="expression" dxfId="107" priority="11">
      <formula>TRUE</formula>
    </cfRule>
  </conditionalFormatting>
  <conditionalFormatting sqref="O91:Q91">
    <cfRule type="expression" dxfId="106" priority="8">
      <formula>TRUE</formula>
    </cfRule>
  </conditionalFormatting>
  <conditionalFormatting sqref="O101:Q101">
    <cfRule type="expression" dxfId="105" priority="7">
      <formula>TRUE</formula>
    </cfRule>
  </conditionalFormatting>
  <conditionalFormatting sqref="W91:Y91">
    <cfRule type="expression" dxfId="104" priority="4">
      <formula>TRUE</formula>
    </cfRule>
  </conditionalFormatting>
  <conditionalFormatting sqref="W101:Y101">
    <cfRule type="expression" dxfId="103" priority="3">
      <formula>TRUE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-0.249977111117893"/>
  </sheetPr>
  <dimension ref="B1:X104"/>
  <sheetViews>
    <sheetView workbookViewId="0">
      <selection activeCell="G5" sqref="G5"/>
    </sheetView>
  </sheetViews>
  <sheetFormatPr defaultRowHeight="13.5"/>
  <cols>
    <col min="1" max="5" width="8.875" customWidth="1"/>
    <col min="6" max="6" width="8.875" style="123" customWidth="1"/>
    <col min="7" max="9" width="8.875" customWidth="1"/>
    <col min="10" max="10" width="13.625" customWidth="1"/>
    <col min="11" max="11" width="20.5" customWidth="1"/>
    <col min="12" max="13" width="8.875" customWidth="1"/>
    <col min="14" max="14" width="8.875" style="123" customWidth="1"/>
    <col min="15" max="17" width="8.875" customWidth="1"/>
  </cols>
  <sheetData>
    <row r="1" spans="2:24">
      <c r="G1" s="2"/>
      <c r="H1" s="2"/>
      <c r="I1" s="47"/>
      <c r="J1" s="2"/>
    </row>
    <row r="2" spans="2:24">
      <c r="G2" s="2"/>
      <c r="H2" s="46"/>
      <c r="I2" s="48" t="s">
        <v>309</v>
      </c>
      <c r="J2" s="46"/>
      <c r="M2">
        <f>[2]各种公式!C13</f>
        <v>0.04</v>
      </c>
      <c r="N2" s="123">
        <f>[2]各种公式!D13</f>
        <v>1</v>
      </c>
      <c r="O2">
        <f>[2]各种公式!E13</f>
        <v>1</v>
      </c>
    </row>
    <row r="3" spans="2:24">
      <c r="B3">
        <v>1</v>
      </c>
      <c r="C3">
        <v>2</v>
      </c>
      <c r="D3">
        <v>3</v>
      </c>
      <c r="E3">
        <v>4</v>
      </c>
      <c r="F3" s="12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 s="123">
        <v>13</v>
      </c>
      <c r="O3">
        <v>14</v>
      </c>
    </row>
    <row r="4" spans="2:24">
      <c r="B4" s="63" t="s">
        <v>302</v>
      </c>
      <c r="C4" t="s">
        <v>335</v>
      </c>
      <c r="D4" t="s">
        <v>336</v>
      </c>
      <c r="E4" s="2" t="s">
        <v>303</v>
      </c>
      <c r="F4" s="124" t="s">
        <v>304</v>
      </c>
      <c r="G4" s="2" t="s">
        <v>305</v>
      </c>
      <c r="H4" s="2" t="s">
        <v>306</v>
      </c>
      <c r="I4" s="3" t="s">
        <v>307</v>
      </c>
      <c r="J4" s="3" t="s">
        <v>308</v>
      </c>
      <c r="K4" s="3" t="s">
        <v>310</v>
      </c>
      <c r="M4" t="s">
        <v>311</v>
      </c>
      <c r="N4" s="123" t="s">
        <v>312</v>
      </c>
      <c r="O4" t="s">
        <v>313</v>
      </c>
      <c r="P4" t="s">
        <v>314</v>
      </c>
      <c r="Q4" t="s">
        <v>337</v>
      </c>
      <c r="R4" t="s">
        <v>338</v>
      </c>
      <c r="T4" s="3" t="s">
        <v>424</v>
      </c>
      <c r="U4" s="3" t="s">
        <v>425</v>
      </c>
    </row>
    <row r="5" spans="2:24">
      <c r="B5" s="63">
        <v>1</v>
      </c>
      <c r="C5" s="15">
        <f>291.14*B5+1708</f>
        <v>1999.1399999999999</v>
      </c>
      <c r="D5" s="15">
        <f>291.14*B5+1708</f>
        <v>1999.1399999999999</v>
      </c>
      <c r="E5" s="2">
        <f>人物成长模拟表!C2</f>
        <v>247.82999999999998</v>
      </c>
      <c r="F5" s="124">
        <f>人物成长模拟表!D2</f>
        <v>59.400000000000006</v>
      </c>
      <c r="G5" s="2">
        <f>人物成长模拟表!E2</f>
        <v>26.400000000000002</v>
      </c>
      <c r="H5" s="2">
        <f>F5-G5</f>
        <v>33</v>
      </c>
      <c r="I5" s="46">
        <f>'[2]2、属性成长'!Q6</f>
        <v>1</v>
      </c>
      <c r="J5" s="46">
        <f>1-I5</f>
        <v>0</v>
      </c>
      <c r="K5" s="46">
        <v>0.8</v>
      </c>
      <c r="M5">
        <f t="shared" ref="M5:M36" si="0">E5*$K5</f>
        <v>198.26400000000001</v>
      </c>
      <c r="N5" s="123">
        <f>F5*$K5</f>
        <v>47.52000000000001</v>
      </c>
      <c r="O5">
        <f>G5*$K5</f>
        <v>21.120000000000005</v>
      </c>
      <c r="P5">
        <f>N5-O5</f>
        <v>26.400000000000006</v>
      </c>
      <c r="Q5" s="15">
        <f t="shared" ref="Q5:Q36" si="1">C5</f>
        <v>1999.1399999999999</v>
      </c>
      <c r="R5" s="15">
        <f t="shared" ref="R5:R36" si="2">D5</f>
        <v>1999.1399999999999</v>
      </c>
      <c r="T5" s="2">
        <v>1</v>
      </c>
      <c r="U5" s="2">
        <f>SUMPRODUCT($M$2:$O$2,M5:O5)</f>
        <v>76.570560000000015</v>
      </c>
      <c r="W5">
        <f t="shared" ref="W5:W36" si="3">0.0081*B5+0.1919</f>
        <v>0.19999999999999998</v>
      </c>
      <c r="X5">
        <f>W5</f>
        <v>0.19999999999999998</v>
      </c>
    </row>
    <row r="6" spans="2:24">
      <c r="B6" s="63">
        <v>2</v>
      </c>
      <c r="C6" s="15">
        <f t="shared" ref="C6:C69" si="4">291.14*B6+1708</f>
        <v>2290.2799999999997</v>
      </c>
      <c r="D6" s="15">
        <f t="shared" ref="D6:D69" si="5">291.14*B6+1708</f>
        <v>2290.2799999999997</v>
      </c>
      <c r="E6" s="2">
        <f>人物成长模拟表!C3</f>
        <v>288.71999999999997</v>
      </c>
      <c r="F6" s="124">
        <f>人物成长模拟表!D3</f>
        <v>64.8</v>
      </c>
      <c r="G6" s="2">
        <f>人物成长模拟表!E3</f>
        <v>28.8</v>
      </c>
      <c r="H6" s="2">
        <f t="shared" ref="H6:H69" si="6">F6-G6</f>
        <v>36</v>
      </c>
      <c r="I6" s="46">
        <f>'[2]2、属性成长'!Q7</f>
        <v>1</v>
      </c>
      <c r="J6" s="46">
        <f t="shared" ref="J6:J69" si="7">1-I6</f>
        <v>0</v>
      </c>
      <c r="K6" s="46">
        <v>0.8</v>
      </c>
      <c r="M6">
        <f t="shared" si="0"/>
        <v>230.976</v>
      </c>
      <c r="N6" s="123">
        <f t="shared" ref="N6:N36" si="8">F6*$K6</f>
        <v>51.84</v>
      </c>
      <c r="O6">
        <f t="shared" ref="O6:O36" si="9">G6*$K6</f>
        <v>23.040000000000003</v>
      </c>
      <c r="P6">
        <f t="shared" ref="P6:P69" si="10">N6-O6</f>
        <v>28.8</v>
      </c>
      <c r="Q6" s="15">
        <f t="shared" si="1"/>
        <v>2290.2799999999997</v>
      </c>
      <c r="R6" s="15">
        <f t="shared" si="2"/>
        <v>2290.2799999999997</v>
      </c>
      <c r="T6" s="2">
        <v>2</v>
      </c>
      <c r="U6" s="2">
        <f t="shared" ref="U6:U69" si="11">SUMPRODUCT($M$2:$O$2,M6:O6)</f>
        <v>84.119040000000012</v>
      </c>
      <c r="W6">
        <f t="shared" si="3"/>
        <v>0.20809999999999998</v>
      </c>
      <c r="X6">
        <f t="shared" ref="X6:X69" si="12">W6</f>
        <v>0.20809999999999998</v>
      </c>
    </row>
    <row r="7" spans="2:24">
      <c r="B7" s="63">
        <v>3</v>
      </c>
      <c r="C7" s="15">
        <f t="shared" si="4"/>
        <v>2581.42</v>
      </c>
      <c r="D7" s="15">
        <f t="shared" si="5"/>
        <v>2581.42</v>
      </c>
      <c r="E7" s="2">
        <f>人物成长模拟表!C4</f>
        <v>332.67000000000007</v>
      </c>
      <c r="F7" s="124">
        <f>人物成长模拟表!D4</f>
        <v>70.2</v>
      </c>
      <c r="G7" s="2">
        <f>人物成长模拟表!E4</f>
        <v>31.200000000000003</v>
      </c>
      <c r="H7" s="2">
        <f t="shared" si="6"/>
        <v>39</v>
      </c>
      <c r="I7" s="46">
        <f>'[2]2、属性成长'!Q8</f>
        <v>1</v>
      </c>
      <c r="J7" s="46">
        <f t="shared" si="7"/>
        <v>0</v>
      </c>
      <c r="K7" s="46">
        <v>0.8</v>
      </c>
      <c r="M7">
        <f t="shared" si="0"/>
        <v>266.13600000000008</v>
      </c>
      <c r="N7" s="123">
        <f t="shared" si="8"/>
        <v>56.160000000000004</v>
      </c>
      <c r="O7">
        <f t="shared" si="9"/>
        <v>24.960000000000004</v>
      </c>
      <c r="P7">
        <f t="shared" si="10"/>
        <v>31.2</v>
      </c>
      <c r="Q7" s="15">
        <f t="shared" si="1"/>
        <v>2581.42</v>
      </c>
      <c r="R7" s="15">
        <f t="shared" si="2"/>
        <v>2581.42</v>
      </c>
      <c r="T7" s="2">
        <v>3</v>
      </c>
      <c r="U7" s="2">
        <f t="shared" si="11"/>
        <v>91.765440000000012</v>
      </c>
      <c r="W7">
        <f t="shared" si="3"/>
        <v>0.21619999999999998</v>
      </c>
      <c r="X7">
        <f t="shared" si="12"/>
        <v>0.21619999999999998</v>
      </c>
    </row>
    <row r="8" spans="2:24">
      <c r="B8" s="63">
        <v>4</v>
      </c>
      <c r="C8" s="15">
        <f t="shared" si="4"/>
        <v>2872.56</v>
      </c>
      <c r="D8" s="15">
        <f t="shared" si="5"/>
        <v>2872.56</v>
      </c>
      <c r="E8" s="2">
        <f>人物成长模拟表!C5</f>
        <v>379.67999999999995</v>
      </c>
      <c r="F8" s="124">
        <f>人物成长模拟表!D5</f>
        <v>60.48</v>
      </c>
      <c r="G8" s="2">
        <f>人物成长模拟表!E5</f>
        <v>26.880000000000003</v>
      </c>
      <c r="H8" s="2">
        <f t="shared" si="6"/>
        <v>33.599999999999994</v>
      </c>
      <c r="I8" s="46">
        <f>'[2]2、属性成长'!Q9</f>
        <v>1</v>
      </c>
      <c r="J8" s="46">
        <f t="shared" si="7"/>
        <v>0</v>
      </c>
      <c r="K8" s="46">
        <v>0.8</v>
      </c>
      <c r="M8">
        <f t="shared" si="0"/>
        <v>303.74399999999997</v>
      </c>
      <c r="N8" s="123">
        <f t="shared" si="8"/>
        <v>48.384</v>
      </c>
      <c r="O8">
        <f t="shared" si="9"/>
        <v>21.504000000000005</v>
      </c>
      <c r="P8">
        <f t="shared" si="10"/>
        <v>26.879999999999995</v>
      </c>
      <c r="Q8" s="15">
        <f t="shared" si="1"/>
        <v>2872.56</v>
      </c>
      <c r="R8" s="15">
        <f t="shared" si="2"/>
        <v>2872.56</v>
      </c>
      <c r="T8" s="2">
        <v>4</v>
      </c>
      <c r="U8" s="2">
        <f t="shared" si="11"/>
        <v>82.037760000000006</v>
      </c>
      <c r="W8">
        <f t="shared" si="3"/>
        <v>0.2243</v>
      </c>
      <c r="X8">
        <f t="shared" si="12"/>
        <v>0.2243</v>
      </c>
    </row>
    <row r="9" spans="2:24">
      <c r="B9" s="63">
        <v>5</v>
      </c>
      <c r="C9" s="15">
        <f t="shared" si="4"/>
        <v>3163.7</v>
      </c>
      <c r="D9" s="15">
        <f t="shared" si="5"/>
        <v>3163.7</v>
      </c>
      <c r="E9" s="2">
        <f>人物成长模拟表!C6</f>
        <v>429.75000000000006</v>
      </c>
      <c r="F9" s="124">
        <f>人物成长模拟表!D6</f>
        <v>64.8</v>
      </c>
      <c r="G9" s="2">
        <f>人物成长模拟表!E6</f>
        <v>28.8</v>
      </c>
      <c r="H9" s="2">
        <f t="shared" si="6"/>
        <v>36</v>
      </c>
      <c r="I9" s="46">
        <f>'[2]2、属性成长'!Q10</f>
        <v>1</v>
      </c>
      <c r="J9" s="46">
        <f t="shared" si="7"/>
        <v>0</v>
      </c>
      <c r="K9" s="46">
        <v>0.8</v>
      </c>
      <c r="M9">
        <f t="shared" si="0"/>
        <v>343.80000000000007</v>
      </c>
      <c r="N9" s="123">
        <f t="shared" si="8"/>
        <v>51.84</v>
      </c>
      <c r="O9">
        <f t="shared" si="9"/>
        <v>23.040000000000003</v>
      </c>
      <c r="P9">
        <f t="shared" si="10"/>
        <v>28.8</v>
      </c>
      <c r="Q9" s="15">
        <f t="shared" si="1"/>
        <v>3163.7</v>
      </c>
      <c r="R9" s="15">
        <f t="shared" si="2"/>
        <v>3163.7</v>
      </c>
      <c r="T9" s="2">
        <v>5</v>
      </c>
      <c r="U9" s="2">
        <f t="shared" si="11"/>
        <v>88.632000000000019</v>
      </c>
      <c r="W9">
        <f t="shared" si="3"/>
        <v>0.2324</v>
      </c>
      <c r="X9">
        <f t="shared" si="12"/>
        <v>0.2324</v>
      </c>
    </row>
    <row r="10" spans="2:24">
      <c r="B10" s="63">
        <v>6</v>
      </c>
      <c r="C10" s="15">
        <f t="shared" si="4"/>
        <v>3454.84</v>
      </c>
      <c r="D10" s="15">
        <f t="shared" si="5"/>
        <v>3454.84</v>
      </c>
      <c r="E10" s="2">
        <f>人物成长模拟表!C7</f>
        <v>745.44600000000003</v>
      </c>
      <c r="F10" s="124">
        <f>人物成长模拟表!D7</f>
        <v>106.70400000000001</v>
      </c>
      <c r="G10" s="2">
        <f>人物成长模拟表!E7</f>
        <v>47.424000000000007</v>
      </c>
      <c r="H10" s="2">
        <f t="shared" si="6"/>
        <v>59.28</v>
      </c>
      <c r="I10" s="46">
        <f>'[2]2、属性成长'!Q11</f>
        <v>0.64777327935222673</v>
      </c>
      <c r="J10" s="46">
        <f t="shared" si="7"/>
        <v>0.35222672064777327</v>
      </c>
      <c r="K10" s="46">
        <v>0.8</v>
      </c>
      <c r="M10">
        <f t="shared" si="0"/>
        <v>596.35680000000002</v>
      </c>
      <c r="N10" s="123">
        <f t="shared" si="8"/>
        <v>85.363200000000006</v>
      </c>
      <c r="O10">
        <f t="shared" si="9"/>
        <v>37.939200000000007</v>
      </c>
      <c r="P10">
        <f t="shared" si="10"/>
        <v>47.423999999999999</v>
      </c>
      <c r="Q10" s="15">
        <f t="shared" si="1"/>
        <v>3454.84</v>
      </c>
      <c r="R10" s="15">
        <f t="shared" si="2"/>
        <v>3454.84</v>
      </c>
      <c r="T10" s="2">
        <v>6</v>
      </c>
      <c r="U10" s="2">
        <f t="shared" si="11"/>
        <v>147.15667200000001</v>
      </c>
      <c r="W10">
        <f t="shared" si="3"/>
        <v>0.24049999999999999</v>
      </c>
      <c r="X10">
        <f t="shared" si="12"/>
        <v>0.24049999999999999</v>
      </c>
    </row>
    <row r="11" spans="2:24">
      <c r="B11" s="63">
        <v>7</v>
      </c>
      <c r="C11" s="15">
        <f t="shared" si="4"/>
        <v>3745.98</v>
      </c>
      <c r="D11" s="15">
        <f t="shared" si="5"/>
        <v>3745.98</v>
      </c>
      <c r="E11" s="2">
        <f>人物成长模拟表!C8</f>
        <v>897.8884687499999</v>
      </c>
      <c r="F11" s="124">
        <f>人物成长模拟表!D8</f>
        <v>122.3235</v>
      </c>
      <c r="G11" s="2">
        <f>人物成长模拟表!E8</f>
        <v>54.366</v>
      </c>
      <c r="H11" s="2">
        <f t="shared" si="6"/>
        <v>67.957499999999996</v>
      </c>
      <c r="I11" s="46">
        <f>'[2]2、属性成长'!Q12</f>
        <v>0.60037523452157604</v>
      </c>
      <c r="J11" s="46">
        <f t="shared" si="7"/>
        <v>0.39962476547842396</v>
      </c>
      <c r="K11" s="46">
        <v>0.8</v>
      </c>
      <c r="M11">
        <f t="shared" si="0"/>
        <v>718.31077499999992</v>
      </c>
      <c r="N11" s="123">
        <f t="shared" si="8"/>
        <v>97.858800000000002</v>
      </c>
      <c r="O11">
        <f t="shared" si="9"/>
        <v>43.492800000000003</v>
      </c>
      <c r="P11">
        <f t="shared" si="10"/>
        <v>54.366</v>
      </c>
      <c r="Q11" s="15">
        <f t="shared" si="1"/>
        <v>3745.98</v>
      </c>
      <c r="R11" s="15">
        <f t="shared" si="2"/>
        <v>3745.98</v>
      </c>
      <c r="T11" s="2">
        <v>7</v>
      </c>
      <c r="U11" s="2">
        <f t="shared" si="11"/>
        <v>170.08403099999998</v>
      </c>
      <c r="W11">
        <f t="shared" si="3"/>
        <v>0.24859999999999999</v>
      </c>
      <c r="X11">
        <f t="shared" si="12"/>
        <v>0.24859999999999999</v>
      </c>
    </row>
    <row r="12" spans="2:24">
      <c r="B12" s="63">
        <v>8</v>
      </c>
      <c r="C12" s="15">
        <f t="shared" si="4"/>
        <v>4037.12</v>
      </c>
      <c r="D12" s="15">
        <f t="shared" si="5"/>
        <v>4037.12</v>
      </c>
      <c r="E12" s="2">
        <f>人物成长模拟表!C9</f>
        <v>1069.4970000000001</v>
      </c>
      <c r="F12" s="124">
        <f>人物成长模拟表!D9</f>
        <v>138.99600000000001</v>
      </c>
      <c r="G12" s="2">
        <f>人物成长模拟表!E9</f>
        <v>61.77600000000001</v>
      </c>
      <c r="H12" s="2">
        <f t="shared" si="6"/>
        <v>77.22</v>
      </c>
      <c r="I12" s="46">
        <f>'[2]2、属性成长'!Q13</f>
        <v>0.55944055944055937</v>
      </c>
      <c r="J12" s="46">
        <f t="shared" si="7"/>
        <v>0.44055944055944063</v>
      </c>
      <c r="K12" s="46">
        <v>0.8</v>
      </c>
      <c r="M12">
        <f t="shared" si="0"/>
        <v>855.59760000000006</v>
      </c>
      <c r="N12" s="123">
        <f t="shared" si="8"/>
        <v>111.19680000000001</v>
      </c>
      <c r="O12">
        <f t="shared" si="9"/>
        <v>49.420800000000014</v>
      </c>
      <c r="P12">
        <f t="shared" si="10"/>
        <v>61.775999999999996</v>
      </c>
      <c r="Q12" s="15">
        <f t="shared" si="1"/>
        <v>4037.12</v>
      </c>
      <c r="R12" s="15">
        <f t="shared" si="2"/>
        <v>4037.12</v>
      </c>
      <c r="T12" s="2">
        <v>8</v>
      </c>
      <c r="U12" s="2">
        <f t="shared" si="11"/>
        <v>194.84150400000001</v>
      </c>
      <c r="W12">
        <f t="shared" si="3"/>
        <v>0.25669999999999998</v>
      </c>
      <c r="X12">
        <f t="shared" si="12"/>
        <v>0.25669999999999998</v>
      </c>
    </row>
    <row r="13" spans="2:24">
      <c r="B13" s="63">
        <v>9</v>
      </c>
      <c r="C13" s="15">
        <f t="shared" si="4"/>
        <v>4328.26</v>
      </c>
      <c r="D13" s="15">
        <f t="shared" si="5"/>
        <v>4328.26</v>
      </c>
      <c r="E13" s="2">
        <f>人物成长模拟表!C10</f>
        <v>1405.0056236413043</v>
      </c>
      <c r="F13" s="124">
        <f>人物成长模拟表!D10</f>
        <v>174.56497826086957</v>
      </c>
      <c r="G13" s="2">
        <f>人物成长模拟表!E10</f>
        <v>77.584434782608696</v>
      </c>
      <c r="H13" s="2">
        <f t="shared" si="6"/>
        <v>96.98054347826087</v>
      </c>
      <c r="I13" s="46">
        <f>'[2]2、属性成长'!Q14</f>
        <v>0.4701974062480036</v>
      </c>
      <c r="J13" s="46">
        <f t="shared" si="7"/>
        <v>0.52980259375199634</v>
      </c>
      <c r="K13" s="46">
        <v>0.8</v>
      </c>
      <c r="M13">
        <f t="shared" si="0"/>
        <v>1124.0044989130436</v>
      </c>
      <c r="N13" s="123">
        <f t="shared" si="8"/>
        <v>139.65198260869565</v>
      </c>
      <c r="O13">
        <f t="shared" si="9"/>
        <v>62.067547826086958</v>
      </c>
      <c r="P13">
        <f t="shared" si="10"/>
        <v>77.584434782608696</v>
      </c>
      <c r="Q13" s="15">
        <f t="shared" si="1"/>
        <v>4328.26</v>
      </c>
      <c r="R13" s="15">
        <f t="shared" si="2"/>
        <v>4328.26</v>
      </c>
      <c r="T13" s="2">
        <v>9</v>
      </c>
      <c r="U13" s="2">
        <f t="shared" si="11"/>
        <v>246.67971039130433</v>
      </c>
      <c r="W13">
        <f t="shared" si="3"/>
        <v>0.26479999999999998</v>
      </c>
      <c r="X13">
        <f t="shared" si="12"/>
        <v>0.26479999999999998</v>
      </c>
    </row>
    <row r="14" spans="2:24">
      <c r="B14" s="63">
        <v>10</v>
      </c>
      <c r="C14" s="15">
        <f t="shared" si="4"/>
        <v>4619.3999999999996</v>
      </c>
      <c r="D14" s="15">
        <f t="shared" si="5"/>
        <v>4619.3999999999996</v>
      </c>
      <c r="E14" s="2">
        <f>人物成长模拟表!C11</f>
        <v>1790.3396739130437</v>
      </c>
      <c r="F14" s="124">
        <f>人物成长模拟表!D11</f>
        <v>213.0652173913044</v>
      </c>
      <c r="G14" s="2">
        <f>人物成长模拟表!E11</f>
        <v>94.695652173913061</v>
      </c>
      <c r="H14" s="2">
        <f t="shared" si="6"/>
        <v>118.36956521739134</v>
      </c>
      <c r="I14" s="46">
        <f>'[2]2、属性成长'!Q15</f>
        <v>0.4055096418732782</v>
      </c>
      <c r="J14" s="46">
        <f t="shared" si="7"/>
        <v>0.5944903581267218</v>
      </c>
      <c r="K14" s="46">
        <v>0.8</v>
      </c>
      <c r="M14">
        <f t="shared" si="0"/>
        <v>1432.271739130435</v>
      </c>
      <c r="N14" s="123">
        <f t="shared" si="8"/>
        <v>170.45217391304354</v>
      </c>
      <c r="O14">
        <f t="shared" si="9"/>
        <v>75.756521739130449</v>
      </c>
      <c r="P14">
        <f t="shared" si="10"/>
        <v>94.695652173913089</v>
      </c>
      <c r="Q14" s="15">
        <f t="shared" si="1"/>
        <v>4619.3999999999996</v>
      </c>
      <c r="R14" s="15">
        <f t="shared" si="2"/>
        <v>4619.3999999999996</v>
      </c>
      <c r="T14" s="2">
        <v>10</v>
      </c>
      <c r="U14" s="2">
        <f t="shared" si="11"/>
        <v>303.49956521739136</v>
      </c>
      <c r="W14">
        <f t="shared" si="3"/>
        <v>0.27289999999999998</v>
      </c>
      <c r="X14">
        <f t="shared" si="12"/>
        <v>0.27289999999999998</v>
      </c>
    </row>
    <row r="15" spans="2:24">
      <c r="B15" s="63">
        <v>11</v>
      </c>
      <c r="C15" s="15">
        <f t="shared" si="4"/>
        <v>4910.54</v>
      </c>
      <c r="D15" s="15">
        <f t="shared" si="5"/>
        <v>4910.54</v>
      </c>
      <c r="E15" s="2">
        <f>人物成长模拟表!C12</f>
        <v>2228.6136154891301</v>
      </c>
      <c r="F15" s="124">
        <f>人物成长模拟表!D12</f>
        <v>254.49671739130437</v>
      </c>
      <c r="G15" s="2">
        <f>人物成长模拟表!E12</f>
        <v>113.10965217391305</v>
      </c>
      <c r="H15" s="2">
        <f t="shared" si="6"/>
        <v>141.38706521739132</v>
      </c>
      <c r="I15" s="46">
        <f>'[2]2、属性成长'!Q16</f>
        <v>0.35646825204630206</v>
      </c>
      <c r="J15" s="46">
        <f t="shared" si="7"/>
        <v>0.64353174795369794</v>
      </c>
      <c r="K15" s="46">
        <v>0.8</v>
      </c>
      <c r="M15">
        <f t="shared" si="0"/>
        <v>1782.8908923913041</v>
      </c>
      <c r="N15" s="123">
        <f t="shared" si="8"/>
        <v>203.5973739130435</v>
      </c>
      <c r="O15">
        <f t="shared" si="9"/>
        <v>90.48772173913045</v>
      </c>
      <c r="P15">
        <f t="shared" si="10"/>
        <v>113.10965217391305</v>
      </c>
      <c r="Q15" s="15">
        <f t="shared" si="1"/>
        <v>4910.54</v>
      </c>
      <c r="R15" s="15">
        <f t="shared" si="2"/>
        <v>4910.54</v>
      </c>
      <c r="T15" s="2">
        <v>11</v>
      </c>
      <c r="U15" s="2">
        <f t="shared" si="11"/>
        <v>365.40073134782614</v>
      </c>
      <c r="W15">
        <f t="shared" si="3"/>
        <v>0.28099999999999997</v>
      </c>
      <c r="X15">
        <f t="shared" si="12"/>
        <v>0.28099999999999997</v>
      </c>
    </row>
    <row r="16" spans="2:24">
      <c r="B16" s="63">
        <v>12</v>
      </c>
      <c r="C16" s="15">
        <f t="shared" si="4"/>
        <v>5201.68</v>
      </c>
      <c r="D16" s="15">
        <f t="shared" si="5"/>
        <v>5201.68</v>
      </c>
      <c r="E16" s="2">
        <f>人物成长模拟表!C13</f>
        <v>2722.9419130434781</v>
      </c>
      <c r="F16" s="124">
        <f>人物成长模拟表!D13</f>
        <v>298.85947826086959</v>
      </c>
      <c r="G16" s="2">
        <f>人物成长模拟表!E13</f>
        <v>132.82643478260871</v>
      </c>
      <c r="H16" s="2">
        <f t="shared" si="6"/>
        <v>166.03304347826088</v>
      </c>
      <c r="I16" s="46">
        <f>'[2]2、属性成长'!Q17</f>
        <v>0.31800898721050813</v>
      </c>
      <c r="J16" s="46">
        <f t="shared" si="7"/>
        <v>0.68199101278949192</v>
      </c>
      <c r="K16" s="46">
        <v>0.8</v>
      </c>
      <c r="M16">
        <f t="shared" si="0"/>
        <v>2178.3535304347824</v>
      </c>
      <c r="N16" s="123">
        <f t="shared" si="8"/>
        <v>239.0875826086957</v>
      </c>
      <c r="O16">
        <f t="shared" si="9"/>
        <v>106.26114782608698</v>
      </c>
      <c r="P16">
        <f t="shared" si="10"/>
        <v>132.82643478260871</v>
      </c>
      <c r="Q16" s="15">
        <f t="shared" si="1"/>
        <v>5201.68</v>
      </c>
      <c r="R16" s="15">
        <f t="shared" si="2"/>
        <v>5201.68</v>
      </c>
      <c r="T16" s="2">
        <v>12</v>
      </c>
      <c r="U16" s="2">
        <f t="shared" si="11"/>
        <v>432.48287165217397</v>
      </c>
      <c r="W16">
        <f t="shared" si="3"/>
        <v>0.28909999999999997</v>
      </c>
      <c r="X16">
        <f t="shared" si="12"/>
        <v>0.28909999999999997</v>
      </c>
    </row>
    <row r="17" spans="2:24">
      <c r="B17" s="63">
        <v>13</v>
      </c>
      <c r="C17" s="15">
        <f t="shared" si="4"/>
        <v>5492.82</v>
      </c>
      <c r="D17" s="15">
        <f t="shared" si="5"/>
        <v>5492.82</v>
      </c>
      <c r="E17" s="2">
        <f>人物成长模拟表!C14</f>
        <v>3276.4390312499995</v>
      </c>
      <c r="F17" s="124">
        <f>人物成长模拟表!D14</f>
        <v>346.15350000000001</v>
      </c>
      <c r="G17" s="2">
        <f>人物成长模拟表!E14</f>
        <v>153.846</v>
      </c>
      <c r="H17" s="2">
        <f t="shared" si="6"/>
        <v>192.3075</v>
      </c>
      <c r="I17" s="46">
        <f>'[2]2、属性成长'!Q18</f>
        <v>0.28704028704028706</v>
      </c>
      <c r="J17" s="46">
        <f t="shared" si="7"/>
        <v>0.71295971295971294</v>
      </c>
      <c r="K17" s="46">
        <v>0.8</v>
      </c>
      <c r="M17">
        <f t="shared" si="0"/>
        <v>2621.1512249999996</v>
      </c>
      <c r="N17" s="123">
        <f t="shared" si="8"/>
        <v>276.9228</v>
      </c>
      <c r="O17">
        <f t="shared" si="9"/>
        <v>123.07680000000001</v>
      </c>
      <c r="P17">
        <f t="shared" si="10"/>
        <v>153.846</v>
      </c>
      <c r="Q17" s="15">
        <f t="shared" si="1"/>
        <v>5492.82</v>
      </c>
      <c r="R17" s="15">
        <f t="shared" si="2"/>
        <v>5492.82</v>
      </c>
      <c r="T17" s="2">
        <v>13</v>
      </c>
      <c r="U17" s="2">
        <f t="shared" si="11"/>
        <v>504.84564899999998</v>
      </c>
      <c r="W17">
        <f t="shared" si="3"/>
        <v>0.29719999999999996</v>
      </c>
      <c r="X17">
        <f t="shared" si="12"/>
        <v>0.29719999999999996</v>
      </c>
    </row>
    <row r="18" spans="2:24">
      <c r="B18" s="63">
        <v>14</v>
      </c>
      <c r="C18" s="15">
        <f t="shared" si="4"/>
        <v>5783.96</v>
      </c>
      <c r="D18" s="15">
        <f t="shared" si="5"/>
        <v>5783.96</v>
      </c>
      <c r="E18" s="2">
        <f>人物成长模拟表!C15</f>
        <v>3892.2194347826094</v>
      </c>
      <c r="F18" s="124">
        <f>人物成长模拟表!D15</f>
        <v>396.3787826086957</v>
      </c>
      <c r="G18" s="2">
        <f>人物成长模拟表!E15</f>
        <v>176.168347826087</v>
      </c>
      <c r="H18" s="2">
        <f t="shared" si="6"/>
        <v>220.2104347826087</v>
      </c>
      <c r="I18" s="46">
        <f>'[2]2、属性成长'!Q19</f>
        <v>0.26156798635297462</v>
      </c>
      <c r="J18" s="46">
        <f t="shared" si="7"/>
        <v>0.73843201364702538</v>
      </c>
      <c r="K18" s="46">
        <v>0.8</v>
      </c>
      <c r="M18">
        <f t="shared" si="0"/>
        <v>3113.7755478260879</v>
      </c>
      <c r="N18" s="123">
        <f t="shared" si="8"/>
        <v>317.10302608695656</v>
      </c>
      <c r="O18">
        <f t="shared" si="9"/>
        <v>140.93467826086962</v>
      </c>
      <c r="P18">
        <f t="shared" si="10"/>
        <v>176.16834782608694</v>
      </c>
      <c r="Q18" s="15">
        <f t="shared" si="1"/>
        <v>5783.96</v>
      </c>
      <c r="R18" s="15">
        <f t="shared" si="2"/>
        <v>5783.96</v>
      </c>
      <c r="T18" s="2">
        <v>14</v>
      </c>
      <c r="U18" s="2">
        <f t="shared" si="11"/>
        <v>582.58872626086975</v>
      </c>
      <c r="W18">
        <f t="shared" si="3"/>
        <v>0.30530000000000002</v>
      </c>
      <c r="X18">
        <f t="shared" si="12"/>
        <v>0.30530000000000002</v>
      </c>
    </row>
    <row r="19" spans="2:24">
      <c r="B19" s="63">
        <v>15</v>
      </c>
      <c r="C19" s="15">
        <f t="shared" si="4"/>
        <v>6075.0999999999995</v>
      </c>
      <c r="D19" s="15">
        <f t="shared" si="5"/>
        <v>6075.0999999999995</v>
      </c>
      <c r="E19" s="2">
        <f>人物成长模拟表!C16</f>
        <v>4573.397588315217</v>
      </c>
      <c r="F19" s="124">
        <f>人物成长模拟表!D16</f>
        <v>449.5353260869565</v>
      </c>
      <c r="G19" s="2">
        <f>人物成长模拟表!E16</f>
        <v>199.79347826086959</v>
      </c>
      <c r="H19" s="2">
        <f t="shared" si="6"/>
        <v>249.74184782608691</v>
      </c>
      <c r="I19" s="46">
        <f>'[2]2、属性成长'!Q20</f>
        <v>0.24024808225885427</v>
      </c>
      <c r="J19" s="46">
        <f t="shared" si="7"/>
        <v>0.7597519177411457</v>
      </c>
      <c r="K19" s="46">
        <v>0.8</v>
      </c>
      <c r="M19">
        <f t="shared" si="0"/>
        <v>3658.718070652174</v>
      </c>
      <c r="N19" s="123">
        <f t="shared" si="8"/>
        <v>359.62826086956522</v>
      </c>
      <c r="O19">
        <f t="shared" si="9"/>
        <v>159.83478260869569</v>
      </c>
      <c r="P19">
        <f t="shared" si="10"/>
        <v>199.79347826086953</v>
      </c>
      <c r="Q19" s="15">
        <f t="shared" si="1"/>
        <v>6075.0999999999995</v>
      </c>
      <c r="R19" s="15">
        <f t="shared" si="2"/>
        <v>6075.0999999999995</v>
      </c>
      <c r="T19" s="2">
        <v>15</v>
      </c>
      <c r="U19" s="2">
        <f t="shared" si="11"/>
        <v>665.81176630434788</v>
      </c>
      <c r="W19">
        <f t="shared" si="3"/>
        <v>0.31340000000000001</v>
      </c>
      <c r="X19">
        <f t="shared" si="12"/>
        <v>0.31340000000000001</v>
      </c>
    </row>
    <row r="20" spans="2:24">
      <c r="B20" s="63">
        <v>16</v>
      </c>
      <c r="C20" s="15">
        <f t="shared" si="4"/>
        <v>6366.24</v>
      </c>
      <c r="D20" s="15">
        <f t="shared" si="5"/>
        <v>6366.24</v>
      </c>
      <c r="E20" s="2">
        <f>人物成长模拟表!C17</f>
        <v>5323.0879565217401</v>
      </c>
      <c r="F20" s="124">
        <f>人物成长模拟表!D17</f>
        <v>505.62313043478264</v>
      </c>
      <c r="G20" s="2">
        <f>人物成长模拟表!E17</f>
        <v>224.72139130434786</v>
      </c>
      <c r="H20" s="2">
        <f t="shared" si="6"/>
        <v>280.90173913043475</v>
      </c>
      <c r="I20" s="46">
        <f>'[2]2、属性成长'!Q21</f>
        <v>0.22214173608595919</v>
      </c>
      <c r="J20" s="46">
        <f t="shared" si="7"/>
        <v>0.77785826391404078</v>
      </c>
      <c r="K20" s="46">
        <v>0.8</v>
      </c>
      <c r="M20">
        <f t="shared" si="0"/>
        <v>4258.4703652173921</v>
      </c>
      <c r="N20" s="123">
        <f t="shared" si="8"/>
        <v>404.49850434782616</v>
      </c>
      <c r="O20">
        <f t="shared" si="9"/>
        <v>179.77711304347829</v>
      </c>
      <c r="P20">
        <f t="shared" si="10"/>
        <v>224.72139130434786</v>
      </c>
      <c r="Q20" s="15">
        <f t="shared" si="1"/>
        <v>6366.24</v>
      </c>
      <c r="R20" s="15">
        <f t="shared" si="2"/>
        <v>6366.24</v>
      </c>
      <c r="T20" s="2">
        <v>16</v>
      </c>
      <c r="U20" s="2">
        <f t="shared" si="11"/>
        <v>754.61443200000008</v>
      </c>
      <c r="W20">
        <f t="shared" si="3"/>
        <v>0.32150000000000001</v>
      </c>
      <c r="X20">
        <f t="shared" si="12"/>
        <v>0.32150000000000001</v>
      </c>
    </row>
    <row r="21" spans="2:24">
      <c r="B21" s="63">
        <v>17</v>
      </c>
      <c r="C21" s="15">
        <f t="shared" si="4"/>
        <v>6657.38</v>
      </c>
      <c r="D21" s="15">
        <f t="shared" si="5"/>
        <v>6657.38</v>
      </c>
      <c r="E21" s="2">
        <f>人物成长模拟表!C18</f>
        <v>6144.4050040760867</v>
      </c>
      <c r="F21" s="124">
        <f>人物成长模拟表!D18</f>
        <v>564.64219565217388</v>
      </c>
      <c r="G21" s="2">
        <f>人物成长模拟表!E18</f>
        <v>250.95208695652178</v>
      </c>
      <c r="H21" s="2">
        <f t="shared" si="6"/>
        <v>313.6901086956521</v>
      </c>
      <c r="I21" s="46">
        <f>'[2]2、属性成长'!Q22</f>
        <v>0.20657329703331556</v>
      </c>
      <c r="J21" s="46">
        <f t="shared" si="7"/>
        <v>0.79342670296668438</v>
      </c>
      <c r="K21" s="46">
        <v>0.8</v>
      </c>
      <c r="M21">
        <f t="shared" si="0"/>
        <v>4915.5240032608699</v>
      </c>
      <c r="N21" s="123">
        <f t="shared" si="8"/>
        <v>451.71375652173913</v>
      </c>
      <c r="O21">
        <f t="shared" si="9"/>
        <v>200.76166956521743</v>
      </c>
      <c r="P21">
        <f t="shared" si="10"/>
        <v>250.9520869565217</v>
      </c>
      <c r="Q21" s="15">
        <f t="shared" si="1"/>
        <v>6657.38</v>
      </c>
      <c r="R21" s="15">
        <f t="shared" si="2"/>
        <v>6657.38</v>
      </c>
      <c r="T21" s="2">
        <v>17</v>
      </c>
      <c r="U21" s="2">
        <f t="shared" si="11"/>
        <v>849.09638621739134</v>
      </c>
      <c r="W21">
        <f t="shared" si="3"/>
        <v>0.3296</v>
      </c>
      <c r="X21">
        <f t="shared" si="12"/>
        <v>0.3296</v>
      </c>
    </row>
    <row r="22" spans="2:24">
      <c r="B22" s="63">
        <v>18</v>
      </c>
      <c r="C22" s="15">
        <f t="shared" si="4"/>
        <v>6948.5199999999995</v>
      </c>
      <c r="D22" s="15">
        <f t="shared" si="5"/>
        <v>6948.5199999999995</v>
      </c>
      <c r="E22" s="2">
        <f>人物成长模拟表!C19</f>
        <v>7040.4631956521762</v>
      </c>
      <c r="F22" s="124">
        <f>人物成长模拟表!D19</f>
        <v>626.59252173913069</v>
      </c>
      <c r="G22" s="2">
        <f>人物成长模拟表!E19</f>
        <v>278.48556521739141</v>
      </c>
      <c r="H22" s="2">
        <f t="shared" si="6"/>
        <v>348.10695652173928</v>
      </c>
      <c r="I22" s="46">
        <f>'[2]2、属性成长'!Q23</f>
        <v>0.19304411687562292</v>
      </c>
      <c r="J22" s="46">
        <f t="shared" si="7"/>
        <v>0.80695588312437705</v>
      </c>
      <c r="K22" s="46">
        <v>0.8</v>
      </c>
      <c r="M22">
        <f t="shared" si="0"/>
        <v>5632.3705565217415</v>
      </c>
      <c r="N22" s="123">
        <f t="shared" si="8"/>
        <v>501.2740173913046</v>
      </c>
      <c r="O22">
        <f t="shared" si="9"/>
        <v>222.78845217391313</v>
      </c>
      <c r="P22">
        <f t="shared" si="10"/>
        <v>278.48556521739147</v>
      </c>
      <c r="Q22" s="15">
        <f t="shared" si="1"/>
        <v>6948.5199999999995</v>
      </c>
      <c r="R22" s="15">
        <f t="shared" si="2"/>
        <v>6948.5199999999995</v>
      </c>
      <c r="T22" s="2">
        <v>18</v>
      </c>
      <c r="U22" s="2">
        <f t="shared" si="11"/>
        <v>949.35729182608736</v>
      </c>
      <c r="W22">
        <f t="shared" si="3"/>
        <v>0.3377</v>
      </c>
      <c r="X22">
        <f t="shared" si="12"/>
        <v>0.3377</v>
      </c>
    </row>
    <row r="23" spans="2:24">
      <c r="B23" s="63">
        <v>19</v>
      </c>
      <c r="C23" s="15">
        <f t="shared" si="4"/>
        <v>7239.66</v>
      </c>
      <c r="D23" s="15">
        <f t="shared" si="5"/>
        <v>7239.66</v>
      </c>
      <c r="E23" s="2">
        <f>人物成长模拟表!C20</f>
        <v>8014.3769959239125</v>
      </c>
      <c r="F23" s="124">
        <f>人物成长模拟表!D20</f>
        <v>691.47410869565238</v>
      </c>
      <c r="G23" s="2">
        <f>人物成长模拟表!E20</f>
        <v>307.32182608695661</v>
      </c>
      <c r="H23" s="2">
        <f t="shared" si="6"/>
        <v>384.15228260869577</v>
      </c>
      <c r="I23" s="46">
        <f>'[2]2、属性成长'!Q24</f>
        <v>0.1811781503089383</v>
      </c>
      <c r="J23" s="46">
        <f t="shared" si="7"/>
        <v>0.81882184969106175</v>
      </c>
      <c r="K23" s="46">
        <v>0.8</v>
      </c>
      <c r="M23">
        <f t="shared" si="0"/>
        <v>6411.50159673913</v>
      </c>
      <c r="N23" s="123">
        <f t="shared" si="8"/>
        <v>553.17928695652188</v>
      </c>
      <c r="O23">
        <f t="shared" si="9"/>
        <v>245.8574608695653</v>
      </c>
      <c r="P23">
        <f t="shared" si="10"/>
        <v>307.32182608695655</v>
      </c>
      <c r="Q23" s="15">
        <f t="shared" si="1"/>
        <v>7239.66</v>
      </c>
      <c r="R23" s="15">
        <f t="shared" si="2"/>
        <v>7239.66</v>
      </c>
      <c r="T23" s="2">
        <v>19</v>
      </c>
      <c r="U23" s="2">
        <f t="shared" si="11"/>
        <v>1055.4968116956525</v>
      </c>
      <c r="W23">
        <f t="shared" si="3"/>
        <v>0.3458</v>
      </c>
      <c r="X23">
        <f t="shared" si="12"/>
        <v>0.3458</v>
      </c>
    </row>
    <row r="24" spans="2:24">
      <c r="B24" s="63">
        <v>20</v>
      </c>
      <c r="C24" s="15">
        <f t="shared" si="4"/>
        <v>7530.7999999999993</v>
      </c>
      <c r="D24" s="15">
        <f t="shared" si="5"/>
        <v>7530.7999999999993</v>
      </c>
      <c r="E24" s="2">
        <f>人物成长模拟表!C21</f>
        <v>9069.2608695652179</v>
      </c>
      <c r="F24" s="124">
        <f>人物成长模拟表!D21</f>
        <v>759.28695652173928</v>
      </c>
      <c r="G24" s="2">
        <f>人物成长模拟表!E21</f>
        <v>337.46086956521748</v>
      </c>
      <c r="H24" s="2">
        <f t="shared" si="6"/>
        <v>421.82608695652181</v>
      </c>
      <c r="I24" s="46">
        <f>'[2]2、属性成长'!Q25</f>
        <v>0.17068645640074212</v>
      </c>
      <c r="J24" s="46">
        <f t="shared" si="7"/>
        <v>0.82931354359925791</v>
      </c>
      <c r="K24" s="46">
        <v>0.8</v>
      </c>
      <c r="M24">
        <f t="shared" si="0"/>
        <v>7255.4086956521751</v>
      </c>
      <c r="N24" s="123">
        <f t="shared" si="8"/>
        <v>607.42956521739143</v>
      </c>
      <c r="O24">
        <f t="shared" si="9"/>
        <v>269.96869565217401</v>
      </c>
      <c r="P24">
        <f t="shared" si="10"/>
        <v>337.46086956521742</v>
      </c>
      <c r="Q24" s="15">
        <f t="shared" si="1"/>
        <v>7530.7999999999993</v>
      </c>
      <c r="R24" s="15">
        <f t="shared" si="2"/>
        <v>7530.7999999999993</v>
      </c>
      <c r="T24" s="2">
        <v>20</v>
      </c>
      <c r="U24" s="2">
        <f t="shared" si="11"/>
        <v>1167.6146086956524</v>
      </c>
      <c r="W24">
        <f t="shared" si="3"/>
        <v>0.35389999999999999</v>
      </c>
      <c r="X24">
        <f t="shared" si="12"/>
        <v>0.35389999999999999</v>
      </c>
    </row>
    <row r="25" spans="2:24">
      <c r="B25" s="63">
        <v>21</v>
      </c>
      <c r="C25" s="15">
        <f t="shared" si="4"/>
        <v>7821.94</v>
      </c>
      <c r="D25" s="15">
        <f t="shared" si="5"/>
        <v>7821.94</v>
      </c>
      <c r="E25" s="2">
        <f>人物成长模拟表!C22</f>
        <v>10208.229281250004</v>
      </c>
      <c r="F25" s="124">
        <f>人物成长模拟表!D22</f>
        <v>830.03106521739164</v>
      </c>
      <c r="G25" s="2">
        <f>人物成长模拟表!E22</f>
        <v>368.90269565217409</v>
      </c>
      <c r="H25" s="2">
        <f t="shared" si="6"/>
        <v>461.12836956521755</v>
      </c>
      <c r="I25" s="46">
        <f>'[2]2、属性成长'!Q26</f>
        <v>0.16134335883552184</v>
      </c>
      <c r="J25" s="46">
        <f t="shared" si="7"/>
        <v>0.83865664116447813</v>
      </c>
      <c r="K25" s="46">
        <v>0.8</v>
      </c>
      <c r="M25">
        <f t="shared" si="0"/>
        <v>8166.5834250000034</v>
      </c>
      <c r="N25" s="123">
        <f t="shared" si="8"/>
        <v>664.02485217391336</v>
      </c>
      <c r="O25">
        <f t="shared" si="9"/>
        <v>295.12215652173927</v>
      </c>
      <c r="P25">
        <f t="shared" si="10"/>
        <v>368.90269565217409</v>
      </c>
      <c r="Q25" s="15">
        <f t="shared" si="1"/>
        <v>7821.94</v>
      </c>
      <c r="R25" s="15">
        <f t="shared" si="2"/>
        <v>7821.94</v>
      </c>
      <c r="T25" s="2">
        <v>21</v>
      </c>
      <c r="U25" s="2">
        <f t="shared" si="11"/>
        <v>1285.8103456956528</v>
      </c>
      <c r="W25">
        <f t="shared" si="3"/>
        <v>0.36199999999999999</v>
      </c>
      <c r="X25">
        <f t="shared" si="12"/>
        <v>0.36199999999999999</v>
      </c>
    </row>
    <row r="26" spans="2:24">
      <c r="B26" s="63">
        <v>22</v>
      </c>
      <c r="C26" s="15">
        <f t="shared" si="4"/>
        <v>8113.08</v>
      </c>
      <c r="D26" s="15">
        <f t="shared" si="5"/>
        <v>8113.08</v>
      </c>
      <c r="E26" s="2">
        <f>人物成长模拟表!C23</f>
        <v>11434.396695652174</v>
      </c>
      <c r="F26" s="124">
        <f>人物成长模拟表!D23</f>
        <v>903.70643478260888</v>
      </c>
      <c r="G26" s="2">
        <f>人物成长模拟表!E23</f>
        <v>401.64730434782615</v>
      </c>
      <c r="H26" s="2">
        <f t="shared" si="6"/>
        <v>502.05913043478273</v>
      </c>
      <c r="I26" s="46">
        <f>'[2]2、属性成长'!Q27</f>
        <v>0.1529700295132394</v>
      </c>
      <c r="J26" s="46">
        <f t="shared" si="7"/>
        <v>0.84702997048676054</v>
      </c>
      <c r="K26" s="46">
        <v>0.8</v>
      </c>
      <c r="M26">
        <f t="shared" si="0"/>
        <v>9147.5173565217392</v>
      </c>
      <c r="N26" s="123">
        <f t="shared" si="8"/>
        <v>722.9651478260871</v>
      </c>
      <c r="O26">
        <f t="shared" si="9"/>
        <v>321.31784347826095</v>
      </c>
      <c r="P26">
        <f t="shared" si="10"/>
        <v>401.64730434782615</v>
      </c>
      <c r="Q26" s="15">
        <f t="shared" si="1"/>
        <v>8113.08</v>
      </c>
      <c r="R26" s="15">
        <f t="shared" si="2"/>
        <v>8113.08</v>
      </c>
      <c r="T26" s="2">
        <v>22</v>
      </c>
      <c r="U26" s="2">
        <f t="shared" si="11"/>
        <v>1410.1836855652177</v>
      </c>
      <c r="W26">
        <f t="shared" si="3"/>
        <v>0.37009999999999998</v>
      </c>
      <c r="X26">
        <f t="shared" si="12"/>
        <v>0.37009999999999998</v>
      </c>
    </row>
    <row r="27" spans="2:24">
      <c r="B27" s="63">
        <v>23</v>
      </c>
      <c r="C27" s="15">
        <f t="shared" si="4"/>
        <v>8404.2199999999993</v>
      </c>
      <c r="D27" s="15">
        <f t="shared" si="5"/>
        <v>8404.2199999999993</v>
      </c>
      <c r="E27" s="2">
        <f>人物成长模拟表!C24</f>
        <v>12988.604500522579</v>
      </c>
      <c r="F27" s="124">
        <f>人物成长模拟表!D24</f>
        <v>998.58998829431459</v>
      </c>
      <c r="G27" s="2">
        <f>人物成长模拟表!E24</f>
        <v>443.81777257525096</v>
      </c>
      <c r="H27" s="2">
        <f t="shared" si="6"/>
        <v>554.77221571906364</v>
      </c>
      <c r="I27" s="46">
        <f>'[2]2、属性成长'!Q28</f>
        <v>0.14276129509720592</v>
      </c>
      <c r="J27" s="46">
        <f t="shared" si="7"/>
        <v>0.85723870490279408</v>
      </c>
      <c r="K27" s="46">
        <v>0.8</v>
      </c>
      <c r="M27">
        <f t="shared" si="0"/>
        <v>10390.883600418063</v>
      </c>
      <c r="N27" s="123">
        <f t="shared" si="8"/>
        <v>798.87199063545177</v>
      </c>
      <c r="O27">
        <f t="shared" si="9"/>
        <v>355.05421806020081</v>
      </c>
      <c r="P27">
        <f t="shared" si="10"/>
        <v>443.81777257525096</v>
      </c>
      <c r="Q27" s="15">
        <f t="shared" si="1"/>
        <v>8404.2199999999993</v>
      </c>
      <c r="R27" s="15">
        <f t="shared" si="2"/>
        <v>8404.2199999999993</v>
      </c>
      <c r="T27" s="2">
        <v>23</v>
      </c>
      <c r="U27" s="2">
        <f t="shared" si="11"/>
        <v>1569.561552712375</v>
      </c>
      <c r="W27">
        <f t="shared" si="3"/>
        <v>0.37819999999999998</v>
      </c>
      <c r="X27">
        <f t="shared" si="12"/>
        <v>0.37819999999999998</v>
      </c>
    </row>
    <row r="28" spans="2:24">
      <c r="B28" s="63">
        <v>24</v>
      </c>
      <c r="C28" s="15">
        <f t="shared" si="4"/>
        <v>8695.36</v>
      </c>
      <c r="D28" s="15">
        <f t="shared" si="5"/>
        <v>8695.36</v>
      </c>
      <c r="E28" s="2">
        <f>人物成长模拟表!C25</f>
        <v>14663.98639130435</v>
      </c>
      <c r="F28" s="124">
        <f>人物成长模拟表!D25</f>
        <v>1097.5124949832777</v>
      </c>
      <c r="G28" s="2">
        <f>人物成长模拟表!E25</f>
        <v>487.78333110367896</v>
      </c>
      <c r="H28" s="2">
        <f t="shared" si="6"/>
        <v>609.72916387959879</v>
      </c>
      <c r="I28" s="46">
        <f>'[2]2、属性成长'!Q29</f>
        <v>0.13382991143279693</v>
      </c>
      <c r="J28" s="46">
        <f t="shared" si="7"/>
        <v>0.86617008856720301</v>
      </c>
      <c r="K28" s="46">
        <v>0.8</v>
      </c>
      <c r="M28">
        <f t="shared" si="0"/>
        <v>11731.189113043481</v>
      </c>
      <c r="N28" s="123">
        <f t="shared" si="8"/>
        <v>878.00999598662224</v>
      </c>
      <c r="O28">
        <f t="shared" si="9"/>
        <v>390.22666488294317</v>
      </c>
      <c r="P28">
        <f t="shared" si="10"/>
        <v>487.78333110367907</v>
      </c>
      <c r="Q28" s="15">
        <f t="shared" si="1"/>
        <v>8695.36</v>
      </c>
      <c r="R28" s="15">
        <f t="shared" si="2"/>
        <v>8695.36</v>
      </c>
      <c r="T28" s="2">
        <v>24</v>
      </c>
      <c r="U28" s="2">
        <f t="shared" si="11"/>
        <v>1737.4842253913048</v>
      </c>
      <c r="W28">
        <f t="shared" si="3"/>
        <v>0.38629999999999998</v>
      </c>
      <c r="X28">
        <f t="shared" si="12"/>
        <v>0.38629999999999998</v>
      </c>
    </row>
    <row r="29" spans="2:24">
      <c r="B29" s="63">
        <v>25</v>
      </c>
      <c r="C29" s="15">
        <f t="shared" si="4"/>
        <v>8986.5</v>
      </c>
      <c r="D29" s="15">
        <f t="shared" si="5"/>
        <v>8986.5</v>
      </c>
      <c r="E29" s="2">
        <f>人物成长模拟表!C26</f>
        <v>16464.833755748332</v>
      </c>
      <c r="F29" s="124">
        <f>人物成长模拟表!D26</f>
        <v>1200.4739548494988</v>
      </c>
      <c r="G29" s="2">
        <f>人物成长模拟表!E26</f>
        <v>533.54397993311056</v>
      </c>
      <c r="H29" s="2">
        <f t="shared" si="6"/>
        <v>666.92997491638823</v>
      </c>
      <c r="I29" s="46">
        <f>'[2]2、属性成长'!Q30</f>
        <v>0.12595025438844754</v>
      </c>
      <c r="J29" s="46">
        <f t="shared" si="7"/>
        <v>0.87404974561155246</v>
      </c>
      <c r="K29" s="46">
        <v>0.8</v>
      </c>
      <c r="M29">
        <f t="shared" si="0"/>
        <v>13171.867004598666</v>
      </c>
      <c r="N29" s="123">
        <f t="shared" si="8"/>
        <v>960.3791638795991</v>
      </c>
      <c r="O29">
        <f t="shared" si="9"/>
        <v>426.83518394648848</v>
      </c>
      <c r="P29">
        <f t="shared" si="10"/>
        <v>533.54397993311068</v>
      </c>
      <c r="Q29" s="15">
        <f t="shared" si="1"/>
        <v>8986.5</v>
      </c>
      <c r="R29" s="15">
        <f t="shared" si="2"/>
        <v>8986.5</v>
      </c>
      <c r="T29" s="2">
        <v>25</v>
      </c>
      <c r="U29" s="2">
        <f t="shared" si="11"/>
        <v>1914.0890280100343</v>
      </c>
      <c r="W29">
        <f t="shared" si="3"/>
        <v>0.39439999999999997</v>
      </c>
      <c r="X29">
        <f t="shared" si="12"/>
        <v>0.39439999999999997</v>
      </c>
    </row>
    <row r="30" spans="2:24">
      <c r="B30" s="63">
        <v>26</v>
      </c>
      <c r="C30" s="15">
        <f t="shared" si="4"/>
        <v>9277.64</v>
      </c>
      <c r="D30" s="15">
        <f t="shared" si="5"/>
        <v>9277.64</v>
      </c>
      <c r="E30" s="2">
        <f>人物成长模拟表!C27</f>
        <v>18628.833181605354</v>
      </c>
      <c r="F30" s="124">
        <f>人物成长模拟表!D27</f>
        <v>1324.0631678929769</v>
      </c>
      <c r="G30" s="2">
        <f>人物成长模拟表!E27</f>
        <v>588.47251906354529</v>
      </c>
      <c r="H30" s="2">
        <f t="shared" si="6"/>
        <v>735.59064882943164</v>
      </c>
      <c r="I30" s="46">
        <f>'[2]2、属性成长'!Q31</f>
        <v>0.11745663180668629</v>
      </c>
      <c r="J30" s="46">
        <f t="shared" si="7"/>
        <v>0.88254336819331369</v>
      </c>
      <c r="K30" s="46">
        <v>0.8</v>
      </c>
      <c r="M30">
        <f t="shared" si="0"/>
        <v>14903.066545284284</v>
      </c>
      <c r="N30" s="123">
        <f t="shared" si="8"/>
        <v>1059.2505343143816</v>
      </c>
      <c r="O30">
        <f t="shared" si="9"/>
        <v>470.77801525083623</v>
      </c>
      <c r="P30">
        <f t="shared" si="10"/>
        <v>588.47251906354541</v>
      </c>
      <c r="Q30" s="15">
        <f t="shared" si="1"/>
        <v>9277.64</v>
      </c>
      <c r="R30" s="15">
        <f t="shared" si="2"/>
        <v>9277.64</v>
      </c>
      <c r="T30" s="2">
        <v>26</v>
      </c>
      <c r="U30" s="2">
        <f t="shared" si="11"/>
        <v>2126.1512113765893</v>
      </c>
      <c r="W30">
        <f t="shared" si="3"/>
        <v>0.40249999999999997</v>
      </c>
      <c r="X30">
        <f t="shared" si="12"/>
        <v>0.40249999999999997</v>
      </c>
    </row>
    <row r="31" spans="2:24">
      <c r="B31" s="63">
        <v>27</v>
      </c>
      <c r="C31" s="15">
        <f t="shared" si="4"/>
        <v>9568.7799999999988</v>
      </c>
      <c r="D31" s="15">
        <f t="shared" si="5"/>
        <v>9568.7799999999988</v>
      </c>
      <c r="E31" s="2">
        <f>人物成长模拟表!C28</f>
        <v>20951.92405662626</v>
      </c>
      <c r="F31" s="124">
        <f>人物成长模拟表!D28</f>
        <v>1452.6129341137128</v>
      </c>
      <c r="G31" s="2">
        <f>人物成长模拟表!E28</f>
        <v>645.60574849498346</v>
      </c>
      <c r="H31" s="2">
        <f t="shared" si="6"/>
        <v>807.0071856187293</v>
      </c>
      <c r="I31" s="46">
        <f>'[2]2、属性成长'!Q32</f>
        <v>0.11003619494653868</v>
      </c>
      <c r="J31" s="46">
        <f t="shared" si="7"/>
        <v>0.88996380505346129</v>
      </c>
      <c r="K31" s="46">
        <v>0.8</v>
      </c>
      <c r="M31">
        <f t="shared" si="0"/>
        <v>16761.53924530101</v>
      </c>
      <c r="N31" s="123">
        <f t="shared" si="8"/>
        <v>1162.0903472909702</v>
      </c>
      <c r="O31">
        <f t="shared" si="9"/>
        <v>516.48459879598681</v>
      </c>
      <c r="P31">
        <f t="shared" si="10"/>
        <v>645.60574849498335</v>
      </c>
      <c r="Q31" s="15">
        <f t="shared" si="1"/>
        <v>9568.7799999999988</v>
      </c>
      <c r="R31" s="15">
        <f t="shared" si="2"/>
        <v>9568.7799999999988</v>
      </c>
      <c r="T31" s="2">
        <v>27</v>
      </c>
      <c r="U31" s="2">
        <f t="shared" si="11"/>
        <v>2349.0365158989971</v>
      </c>
      <c r="W31">
        <f t="shared" si="3"/>
        <v>0.41059999999999997</v>
      </c>
      <c r="X31">
        <f t="shared" si="12"/>
        <v>0.41059999999999997</v>
      </c>
    </row>
    <row r="32" spans="2:24">
      <c r="B32" s="63">
        <v>28</v>
      </c>
      <c r="C32" s="15">
        <f t="shared" si="4"/>
        <v>9859.92</v>
      </c>
      <c r="D32" s="15">
        <f t="shared" si="5"/>
        <v>9859.92</v>
      </c>
      <c r="E32" s="2">
        <f>人物成长模拟表!C29</f>
        <v>23439.376968561879</v>
      </c>
      <c r="F32" s="124">
        <f>人物成长模拟表!D29</f>
        <v>1586.1232535117063</v>
      </c>
      <c r="G32" s="2">
        <f>人物成长模拟表!E29</f>
        <v>704.94366822742495</v>
      </c>
      <c r="H32" s="2">
        <f t="shared" si="6"/>
        <v>881.1795852842813</v>
      </c>
      <c r="I32" s="46">
        <f>'[2]2、属性成长'!Q33</f>
        <v>0.10349763149650999</v>
      </c>
      <c r="J32" s="46">
        <f t="shared" si="7"/>
        <v>0.89650236850348997</v>
      </c>
      <c r="K32" s="46">
        <v>0.8</v>
      </c>
      <c r="M32">
        <f t="shared" si="0"/>
        <v>18751.501574849503</v>
      </c>
      <c r="N32" s="123">
        <f t="shared" si="8"/>
        <v>1268.898602809365</v>
      </c>
      <c r="O32">
        <f t="shared" si="9"/>
        <v>563.95493458193994</v>
      </c>
      <c r="P32">
        <f t="shared" si="10"/>
        <v>704.94366822742506</v>
      </c>
      <c r="Q32" s="15">
        <f t="shared" si="1"/>
        <v>9859.92</v>
      </c>
      <c r="R32" s="15">
        <f t="shared" si="2"/>
        <v>9859.92</v>
      </c>
      <c r="T32" s="2">
        <v>28</v>
      </c>
      <c r="U32" s="2">
        <f t="shared" si="11"/>
        <v>2582.913600385285</v>
      </c>
      <c r="W32">
        <f t="shared" si="3"/>
        <v>0.41869999999999996</v>
      </c>
      <c r="X32">
        <f t="shared" si="12"/>
        <v>0.41869999999999996</v>
      </c>
    </row>
    <row r="33" spans="2:24">
      <c r="B33" s="63">
        <v>29</v>
      </c>
      <c r="C33" s="15">
        <f t="shared" si="4"/>
        <v>10151.06</v>
      </c>
      <c r="D33" s="15">
        <f t="shared" si="5"/>
        <v>10151.06</v>
      </c>
      <c r="E33" s="2">
        <f>人物成长模拟表!C30</f>
        <v>26096.462505163054</v>
      </c>
      <c r="F33" s="124">
        <f>人物成长模拟表!D30</f>
        <v>1724.5941260869572</v>
      </c>
      <c r="G33" s="2">
        <f>人物成长模拟表!E30</f>
        <v>766.48627826086999</v>
      </c>
      <c r="H33" s="2">
        <f t="shared" si="6"/>
        <v>958.10784782608721</v>
      </c>
      <c r="I33" s="46">
        <f>'[2]2、属性成长'!Q34</f>
        <v>9.769255122205199E-2</v>
      </c>
      <c r="J33" s="46">
        <f t="shared" si="7"/>
        <v>0.902307448777948</v>
      </c>
      <c r="K33" s="46">
        <v>0.8</v>
      </c>
      <c r="M33">
        <f t="shared" si="0"/>
        <v>20877.170004130443</v>
      </c>
      <c r="N33" s="123">
        <f t="shared" si="8"/>
        <v>1379.6753008695659</v>
      </c>
      <c r="O33">
        <f t="shared" si="9"/>
        <v>613.18902260869606</v>
      </c>
      <c r="P33">
        <f t="shared" si="10"/>
        <v>766.48627826086988</v>
      </c>
      <c r="Q33" s="15">
        <f t="shared" si="1"/>
        <v>10151.06</v>
      </c>
      <c r="R33" s="15">
        <f t="shared" si="2"/>
        <v>10151.06</v>
      </c>
      <c r="T33" s="2">
        <v>29</v>
      </c>
      <c r="U33" s="2">
        <f t="shared" si="11"/>
        <v>2827.9511236434801</v>
      </c>
      <c r="W33">
        <f t="shared" si="3"/>
        <v>0.42679999999999996</v>
      </c>
      <c r="X33">
        <f t="shared" si="12"/>
        <v>0.42679999999999996</v>
      </c>
    </row>
    <row r="34" spans="2:24">
      <c r="B34" s="63">
        <v>30</v>
      </c>
      <c r="C34" s="15">
        <f t="shared" si="4"/>
        <v>10442.199999999999</v>
      </c>
      <c r="D34" s="15">
        <f t="shared" si="5"/>
        <v>10442.199999999999</v>
      </c>
      <c r="E34" s="2">
        <f>人物成长模拟表!C31</f>
        <v>29290.056894857869</v>
      </c>
      <c r="F34" s="124">
        <f>人物成长模拟表!D31</f>
        <v>1891.3758712374593</v>
      </c>
      <c r="G34" s="2">
        <f>人物成长模拟表!E31</f>
        <v>840.61149832775959</v>
      </c>
      <c r="H34" s="2">
        <f t="shared" si="6"/>
        <v>1050.7643729096997</v>
      </c>
      <c r="I34" s="46">
        <f>'[2]2、属性成长'!Q35</f>
        <v>9.2504087982009653E-2</v>
      </c>
      <c r="J34" s="46">
        <f t="shared" si="7"/>
        <v>0.9074959120179904</v>
      </c>
      <c r="K34" s="46">
        <v>0.8</v>
      </c>
      <c r="M34">
        <f t="shared" si="0"/>
        <v>23432.045515886297</v>
      </c>
      <c r="N34" s="123">
        <f t="shared" si="8"/>
        <v>1513.1006969899674</v>
      </c>
      <c r="O34">
        <f t="shared" si="9"/>
        <v>672.48919866220774</v>
      </c>
      <c r="P34">
        <f t="shared" si="10"/>
        <v>840.6114983277597</v>
      </c>
      <c r="Q34" s="15">
        <f t="shared" si="1"/>
        <v>10442.199999999999</v>
      </c>
      <c r="R34" s="15">
        <f t="shared" si="2"/>
        <v>10442.199999999999</v>
      </c>
      <c r="T34" s="2">
        <v>30</v>
      </c>
      <c r="U34" s="2">
        <f t="shared" si="11"/>
        <v>3122.8717162876274</v>
      </c>
      <c r="W34">
        <f t="shared" si="3"/>
        <v>0.43489999999999995</v>
      </c>
      <c r="X34">
        <f t="shared" si="12"/>
        <v>0.43489999999999995</v>
      </c>
    </row>
    <row r="35" spans="2:24">
      <c r="B35" s="63">
        <v>31</v>
      </c>
      <c r="C35" s="15">
        <f t="shared" si="4"/>
        <v>10733.34</v>
      </c>
      <c r="D35" s="15">
        <f t="shared" si="5"/>
        <v>10733.34</v>
      </c>
      <c r="E35" s="2">
        <f>人物成长模拟表!C32</f>
        <v>32719.653164423085</v>
      </c>
      <c r="F35" s="124">
        <f>人物成长模拟表!D32</f>
        <v>2091.4184267307696</v>
      </c>
      <c r="G35" s="2">
        <f>人物成长模拟表!E32</f>
        <v>929.51930076923099</v>
      </c>
      <c r="H35" s="2">
        <f t="shared" si="6"/>
        <v>1161.8991259615386</v>
      </c>
      <c r="I35" s="46">
        <f>'[2]2、属性成长'!Q36</f>
        <v>8.7838950662381704E-2</v>
      </c>
      <c r="J35" s="46">
        <f t="shared" si="7"/>
        <v>0.91216104933761832</v>
      </c>
      <c r="K35" s="46">
        <v>0.8</v>
      </c>
      <c r="M35">
        <f t="shared" si="0"/>
        <v>26175.722531538471</v>
      </c>
      <c r="N35" s="123">
        <f t="shared" si="8"/>
        <v>1673.1347413846158</v>
      </c>
      <c r="O35">
        <f t="shared" si="9"/>
        <v>743.61544061538484</v>
      </c>
      <c r="P35">
        <f t="shared" si="10"/>
        <v>929.51930076923099</v>
      </c>
      <c r="Q35" s="15">
        <f t="shared" si="1"/>
        <v>10733.34</v>
      </c>
      <c r="R35" s="15">
        <f t="shared" si="2"/>
        <v>10733.34</v>
      </c>
      <c r="T35" s="2">
        <v>31</v>
      </c>
      <c r="U35" s="2">
        <f t="shared" si="11"/>
        <v>3463.7790832615392</v>
      </c>
      <c r="W35">
        <f t="shared" si="3"/>
        <v>0.44299999999999995</v>
      </c>
      <c r="X35">
        <f t="shared" si="12"/>
        <v>0.44299999999999995</v>
      </c>
    </row>
    <row r="36" spans="2:24">
      <c r="B36" s="63">
        <v>32</v>
      </c>
      <c r="C36" s="15">
        <f t="shared" si="4"/>
        <v>11024.48</v>
      </c>
      <c r="D36" s="15">
        <f t="shared" si="5"/>
        <v>11024.48</v>
      </c>
      <c r="E36" s="2">
        <f>人物成长模拟表!C33</f>
        <v>36406.38876070235</v>
      </c>
      <c r="F36" s="124">
        <f>人物成长模拟表!D33</f>
        <v>2304.2808666722412</v>
      </c>
      <c r="G36" s="2">
        <f>人物成长模拟表!E33</f>
        <v>1024.1248296321073</v>
      </c>
      <c r="H36" s="2">
        <f t="shared" si="6"/>
        <v>1280.1560370401339</v>
      </c>
      <c r="I36" s="46">
        <f>'[2]2、属性成长'!Q37</f>
        <v>8.3591372382556817E-2</v>
      </c>
      <c r="J36" s="46">
        <f t="shared" si="7"/>
        <v>0.91640862761744324</v>
      </c>
      <c r="K36" s="46">
        <v>0.8</v>
      </c>
      <c r="M36">
        <f t="shared" si="0"/>
        <v>29125.111008561882</v>
      </c>
      <c r="N36" s="123">
        <f t="shared" si="8"/>
        <v>1843.4246933377931</v>
      </c>
      <c r="O36">
        <f t="shared" si="9"/>
        <v>819.29986370568588</v>
      </c>
      <c r="P36">
        <f t="shared" si="10"/>
        <v>1024.1248296321073</v>
      </c>
      <c r="Q36" s="15">
        <f t="shared" si="1"/>
        <v>11024.48</v>
      </c>
      <c r="R36" s="15">
        <f t="shared" si="2"/>
        <v>11024.48</v>
      </c>
      <c r="T36" s="2">
        <v>32</v>
      </c>
      <c r="U36" s="2">
        <f t="shared" si="11"/>
        <v>3827.7289973859542</v>
      </c>
      <c r="W36">
        <f t="shared" si="3"/>
        <v>0.45109999999999995</v>
      </c>
      <c r="X36">
        <f t="shared" si="12"/>
        <v>0.45109999999999995</v>
      </c>
    </row>
    <row r="37" spans="2:24">
      <c r="B37" s="63">
        <v>33</v>
      </c>
      <c r="C37" s="15">
        <f t="shared" si="4"/>
        <v>11315.619999999999</v>
      </c>
      <c r="D37" s="15">
        <f t="shared" si="5"/>
        <v>11315.619999999999</v>
      </c>
      <c r="E37" s="2">
        <f>人物成长模拟表!C34</f>
        <v>40346.449217495843</v>
      </c>
      <c r="F37" s="124">
        <f>人物成长模拟表!D34</f>
        <v>2529.4836395693992</v>
      </c>
      <c r="G37" s="2">
        <f>人物成长模拟表!E34</f>
        <v>1124.2149509197332</v>
      </c>
      <c r="H37" s="2">
        <f t="shared" si="6"/>
        <v>1405.268688649666</v>
      </c>
      <c r="I37" s="46">
        <f>'[2]2、属性成长'!Q38</f>
        <v>7.9735641237171348E-2</v>
      </c>
      <c r="J37" s="46">
        <f t="shared" si="7"/>
        <v>0.92026435876282864</v>
      </c>
      <c r="K37" s="46">
        <v>0.8</v>
      </c>
      <c r="M37">
        <f t="shared" ref="M37:M68" si="13">E37*$K37</f>
        <v>32277.159373996677</v>
      </c>
      <c r="N37" s="123">
        <f t="shared" ref="N37:N68" si="14">F37*$K37</f>
        <v>2023.5869116555195</v>
      </c>
      <c r="O37">
        <f t="shared" ref="O37:O68" si="15">G37*$K37</f>
        <v>899.37196073578662</v>
      </c>
      <c r="P37">
        <f t="shared" si="10"/>
        <v>1124.2149509197329</v>
      </c>
      <c r="Q37" s="15">
        <f t="shared" ref="Q37:Q68" si="16">C37</f>
        <v>11315.619999999999</v>
      </c>
      <c r="R37" s="15">
        <f t="shared" ref="R37:R68" si="17">D37</f>
        <v>11315.619999999999</v>
      </c>
      <c r="T37" s="2">
        <v>33</v>
      </c>
      <c r="U37" s="2">
        <f t="shared" si="11"/>
        <v>4214.0452473511732</v>
      </c>
      <c r="W37">
        <f t="shared" ref="W37:W68" si="18">0.0081*B37+0.1919</f>
        <v>0.45919999999999994</v>
      </c>
      <c r="X37">
        <f t="shared" si="12"/>
        <v>0.45919999999999994</v>
      </c>
    </row>
    <row r="38" spans="2:24">
      <c r="B38" s="63">
        <v>34</v>
      </c>
      <c r="C38" s="15">
        <f t="shared" si="4"/>
        <v>11606.76</v>
      </c>
      <c r="D38" s="15">
        <f t="shared" si="5"/>
        <v>11606.76</v>
      </c>
      <c r="E38" s="2">
        <f>人物成长模拟表!C35</f>
        <v>44547.800285994985</v>
      </c>
      <c r="F38" s="124">
        <f>人物成长模拟表!D35</f>
        <v>2767.3078895819403</v>
      </c>
      <c r="G38" s="2">
        <f>人物成长模拟表!E35</f>
        <v>1229.9146175919734</v>
      </c>
      <c r="H38" s="2">
        <f t="shared" si="6"/>
        <v>1537.3932719899669</v>
      </c>
      <c r="I38" s="46">
        <f>'[2]2、属性成长'!Q39</f>
        <v>7.6219925073774314E-2</v>
      </c>
      <c r="J38" s="46">
        <f t="shared" si="7"/>
        <v>0.92378007492622571</v>
      </c>
      <c r="K38" s="46">
        <v>0.8</v>
      </c>
      <c r="M38">
        <f t="shared" si="13"/>
        <v>35638.240228795992</v>
      </c>
      <c r="N38" s="123">
        <f t="shared" si="14"/>
        <v>2213.8463116655525</v>
      </c>
      <c r="O38">
        <f t="shared" si="15"/>
        <v>983.9316940735788</v>
      </c>
      <c r="P38">
        <f t="shared" si="10"/>
        <v>1229.9146175919736</v>
      </c>
      <c r="Q38" s="15">
        <f t="shared" si="16"/>
        <v>11606.76</v>
      </c>
      <c r="R38" s="15">
        <f t="shared" si="17"/>
        <v>11606.76</v>
      </c>
      <c r="T38" s="2">
        <v>34</v>
      </c>
      <c r="U38" s="2">
        <f t="shared" si="11"/>
        <v>4623.3076148909713</v>
      </c>
      <c r="W38">
        <f t="shared" si="18"/>
        <v>0.46729999999999994</v>
      </c>
      <c r="X38">
        <f t="shared" si="12"/>
        <v>0.46729999999999994</v>
      </c>
    </row>
    <row r="39" spans="2:24">
      <c r="B39" s="63">
        <v>35</v>
      </c>
      <c r="C39" s="15">
        <f t="shared" si="4"/>
        <v>11897.9</v>
      </c>
      <c r="D39" s="15">
        <f t="shared" si="5"/>
        <v>11897.9</v>
      </c>
      <c r="E39" s="2">
        <f>人物成长模拟表!C36</f>
        <v>49018.40771739131</v>
      </c>
      <c r="F39" s="124">
        <f>人物成长模拟表!D36</f>
        <v>3018.0347608695656</v>
      </c>
      <c r="G39" s="2">
        <f>人物成长模拟表!E36</f>
        <v>1341.348782608696</v>
      </c>
      <c r="H39" s="2">
        <f t="shared" si="6"/>
        <v>1676.6859782608697</v>
      </c>
      <c r="I39" s="46">
        <f>'[2]2、属性成长'!Q40</f>
        <v>7.3001147255348633E-2</v>
      </c>
      <c r="J39" s="46">
        <f t="shared" si="7"/>
        <v>0.92699885274465132</v>
      </c>
      <c r="K39" s="46">
        <v>0.8</v>
      </c>
      <c r="M39">
        <f t="shared" si="13"/>
        <v>39214.726173913048</v>
      </c>
      <c r="N39" s="123">
        <f t="shared" si="14"/>
        <v>2414.4278086956524</v>
      </c>
      <c r="O39">
        <f t="shared" si="15"/>
        <v>1073.0790260869569</v>
      </c>
      <c r="P39">
        <f t="shared" si="10"/>
        <v>1341.3487826086955</v>
      </c>
      <c r="Q39" s="15">
        <f t="shared" si="16"/>
        <v>11897.9</v>
      </c>
      <c r="R39" s="15">
        <f t="shared" si="17"/>
        <v>11897.9</v>
      </c>
      <c r="T39" s="2">
        <v>35</v>
      </c>
      <c r="U39" s="2">
        <f t="shared" si="11"/>
        <v>5056.0958817391311</v>
      </c>
      <c r="W39">
        <f t="shared" si="18"/>
        <v>0.47539999999999993</v>
      </c>
      <c r="X39">
        <f t="shared" si="12"/>
        <v>0.47539999999999993</v>
      </c>
    </row>
    <row r="40" spans="2:24">
      <c r="B40" s="63">
        <v>36</v>
      </c>
      <c r="C40" s="15">
        <f t="shared" si="4"/>
        <v>12189.039999999999</v>
      </c>
      <c r="D40" s="15">
        <f t="shared" si="5"/>
        <v>12189.039999999999</v>
      </c>
      <c r="E40" s="2">
        <f>人物成长模拟表!C37</f>
        <v>53766.237262876261</v>
      </c>
      <c r="F40" s="124">
        <f>人物成长模拟表!D37</f>
        <v>3281.9453975919737</v>
      </c>
      <c r="G40" s="2">
        <f>人物成长模拟表!E37</f>
        <v>1458.6423989297662</v>
      </c>
      <c r="H40" s="2">
        <f t="shared" si="6"/>
        <v>1823.3029986622075</v>
      </c>
      <c r="I40" s="46">
        <f>'[2]2、属性成长'!Q41</f>
        <v>7.0043212836102001E-2</v>
      </c>
      <c r="J40" s="46">
        <f t="shared" si="7"/>
        <v>0.92995678716389796</v>
      </c>
      <c r="K40" s="46">
        <v>0.8</v>
      </c>
      <c r="M40">
        <f t="shared" si="13"/>
        <v>43012.989810301013</v>
      </c>
      <c r="N40" s="123">
        <f t="shared" si="14"/>
        <v>2625.556318073579</v>
      </c>
      <c r="O40">
        <f t="shared" si="15"/>
        <v>1166.913919143813</v>
      </c>
      <c r="P40">
        <f t="shared" si="10"/>
        <v>1458.6423989297659</v>
      </c>
      <c r="Q40" s="15">
        <f t="shared" si="16"/>
        <v>12189.039999999999</v>
      </c>
      <c r="R40" s="15">
        <f t="shared" si="17"/>
        <v>12189.039999999999</v>
      </c>
      <c r="T40" s="2">
        <v>36</v>
      </c>
      <c r="U40" s="2">
        <f t="shared" si="11"/>
        <v>5512.9898296294323</v>
      </c>
      <c r="W40">
        <f t="shared" si="18"/>
        <v>0.48349999999999993</v>
      </c>
      <c r="X40">
        <f t="shared" si="12"/>
        <v>0.48349999999999993</v>
      </c>
    </row>
    <row r="41" spans="2:24">
      <c r="B41" s="63">
        <v>37</v>
      </c>
      <c r="C41" s="15">
        <f t="shared" si="4"/>
        <v>12480.18</v>
      </c>
      <c r="D41" s="15">
        <f t="shared" si="5"/>
        <v>12480.18</v>
      </c>
      <c r="E41" s="2">
        <f>人物成长模拟表!C38</f>
        <v>59975.239767114137</v>
      </c>
      <c r="F41" s="124">
        <f>人物成长模拟表!D38</f>
        <v>3559.3209439088632</v>
      </c>
      <c r="G41" s="2">
        <f>人物成长模拟表!E38</f>
        <v>1581.9204195150503</v>
      </c>
      <c r="H41" s="2">
        <f t="shared" si="6"/>
        <v>1977.4005243938129</v>
      </c>
      <c r="I41" s="46">
        <f>'[2]2、属性成长'!Q42</f>
        <v>6.7315649185845094E-2</v>
      </c>
      <c r="J41" s="46">
        <f t="shared" si="7"/>
        <v>0.93268435081415491</v>
      </c>
      <c r="K41" s="46">
        <v>0.8</v>
      </c>
      <c r="M41">
        <f t="shared" si="13"/>
        <v>47980.191813691315</v>
      </c>
      <c r="N41" s="123">
        <f t="shared" si="14"/>
        <v>2847.4567551270907</v>
      </c>
      <c r="O41">
        <f t="shared" si="15"/>
        <v>1265.5363356120404</v>
      </c>
      <c r="P41">
        <f t="shared" si="10"/>
        <v>1581.9204195150503</v>
      </c>
      <c r="Q41" s="15">
        <f t="shared" si="16"/>
        <v>12480.18</v>
      </c>
      <c r="R41" s="15">
        <f t="shared" si="17"/>
        <v>12480.18</v>
      </c>
      <c r="T41" s="2">
        <v>37</v>
      </c>
      <c r="U41" s="2">
        <f t="shared" si="11"/>
        <v>6032.2007632867835</v>
      </c>
      <c r="W41">
        <f t="shared" si="18"/>
        <v>0.49159999999999993</v>
      </c>
      <c r="X41">
        <f t="shared" si="12"/>
        <v>0.49159999999999993</v>
      </c>
    </row>
    <row r="42" spans="2:24">
      <c r="B42" s="63">
        <v>38</v>
      </c>
      <c r="C42" s="15">
        <f t="shared" si="4"/>
        <v>12771.32</v>
      </c>
      <c r="D42" s="15">
        <f t="shared" si="5"/>
        <v>12771.32</v>
      </c>
      <c r="E42" s="2">
        <f>人物成长模拟表!C39</f>
        <v>66690.44272891304</v>
      </c>
      <c r="F42" s="124">
        <f>人物成长模拟表!D39</f>
        <v>3850.4425439799334</v>
      </c>
      <c r="G42" s="2">
        <f>人物成长模拟表!E39</f>
        <v>1711.3077973244149</v>
      </c>
      <c r="H42" s="2">
        <f t="shared" si="6"/>
        <v>2139.1347466555185</v>
      </c>
      <c r="I42" s="46">
        <f>'[2]2、属性成长'!Q43</f>
        <v>6.4792552323642782E-2</v>
      </c>
      <c r="J42" s="46">
        <f t="shared" si="7"/>
        <v>0.93520744767635722</v>
      </c>
      <c r="K42" s="46">
        <v>0.8</v>
      </c>
      <c r="M42">
        <f t="shared" si="13"/>
        <v>53352.354183130432</v>
      </c>
      <c r="N42" s="123">
        <f t="shared" si="14"/>
        <v>3080.354035183947</v>
      </c>
      <c r="O42">
        <f t="shared" si="15"/>
        <v>1369.0462378595321</v>
      </c>
      <c r="P42">
        <f t="shared" si="10"/>
        <v>1711.3077973244149</v>
      </c>
      <c r="Q42" s="15">
        <f t="shared" si="16"/>
        <v>12771.32</v>
      </c>
      <c r="R42" s="15">
        <f t="shared" si="17"/>
        <v>12771.32</v>
      </c>
      <c r="T42" s="2">
        <v>38</v>
      </c>
      <c r="U42" s="2">
        <f t="shared" si="11"/>
        <v>6583.4944403686959</v>
      </c>
      <c r="W42">
        <f t="shared" si="18"/>
        <v>0.49969999999999992</v>
      </c>
      <c r="X42">
        <f t="shared" si="12"/>
        <v>0.49969999999999992</v>
      </c>
    </row>
    <row r="43" spans="2:24">
      <c r="B43" s="63">
        <v>39</v>
      </c>
      <c r="C43" s="15">
        <f t="shared" si="4"/>
        <v>13062.46</v>
      </c>
      <c r="D43" s="15">
        <f t="shared" si="5"/>
        <v>13062.46</v>
      </c>
      <c r="E43" s="2">
        <f>人物成长模拟表!C40</f>
        <v>73937.879061524261</v>
      </c>
      <c r="F43" s="124">
        <f>人物成长模拟表!D40</f>
        <v>4155.5913419648832</v>
      </c>
      <c r="G43" s="2">
        <f>人物成长模拟表!E40</f>
        <v>1846.9294853177259</v>
      </c>
      <c r="H43" s="2">
        <f t="shared" si="6"/>
        <v>2308.661856647157</v>
      </c>
      <c r="I43" s="46">
        <f>'[2]2、属性成长'!Q44</f>
        <v>6.2451761649231281E-2</v>
      </c>
      <c r="J43" s="46">
        <f t="shared" si="7"/>
        <v>0.93754823835076873</v>
      </c>
      <c r="K43" s="46">
        <v>0.8</v>
      </c>
      <c r="M43">
        <f t="shared" si="13"/>
        <v>59150.303249219411</v>
      </c>
      <c r="N43" s="123">
        <f t="shared" si="14"/>
        <v>3324.4730735719068</v>
      </c>
      <c r="O43">
        <f t="shared" si="15"/>
        <v>1477.5435882541808</v>
      </c>
      <c r="P43">
        <f t="shared" si="10"/>
        <v>1846.9294853177259</v>
      </c>
      <c r="Q43" s="15">
        <f t="shared" si="16"/>
        <v>13062.46</v>
      </c>
      <c r="R43" s="15">
        <f t="shared" si="17"/>
        <v>13062.46</v>
      </c>
      <c r="T43" s="2">
        <v>39</v>
      </c>
      <c r="U43" s="2">
        <f t="shared" si="11"/>
        <v>7168.0287917948644</v>
      </c>
      <c r="W43">
        <f t="shared" si="18"/>
        <v>0.50779999999999992</v>
      </c>
      <c r="X43">
        <f t="shared" si="12"/>
        <v>0.50779999999999992</v>
      </c>
    </row>
    <row r="44" spans="2:24">
      <c r="B44" s="63">
        <v>40</v>
      </c>
      <c r="C44" s="15">
        <f t="shared" si="4"/>
        <v>13353.599999999999</v>
      </c>
      <c r="D44" s="15">
        <f t="shared" si="5"/>
        <v>13353.599999999999</v>
      </c>
      <c r="E44" s="2">
        <f>人物成长模拟表!C41</f>
        <v>82480.653343143844</v>
      </c>
      <c r="F44" s="124">
        <f>人物成长模拟表!D41</f>
        <v>4515.3642341137138</v>
      </c>
      <c r="G44" s="2">
        <f>人物成长模拟表!E41</f>
        <v>2006.8285484949843</v>
      </c>
      <c r="H44" s="2">
        <f t="shared" si="6"/>
        <v>2508.5356856187295</v>
      </c>
      <c r="I44" s="46">
        <f>'[2]2、属性成长'!Q45</f>
        <v>6.027420732613839E-2</v>
      </c>
      <c r="J44" s="46">
        <f t="shared" si="7"/>
        <v>0.93972579267386158</v>
      </c>
      <c r="K44" s="46">
        <v>0.8</v>
      </c>
      <c r="M44">
        <f t="shared" si="13"/>
        <v>65984.522674515072</v>
      </c>
      <c r="N44" s="123">
        <f t="shared" si="14"/>
        <v>3612.2913872909712</v>
      </c>
      <c r="O44">
        <f t="shared" si="15"/>
        <v>1605.4628387959874</v>
      </c>
      <c r="P44">
        <f t="shared" si="10"/>
        <v>2006.8285484949838</v>
      </c>
      <c r="Q44" s="15">
        <f t="shared" si="16"/>
        <v>13353.599999999999</v>
      </c>
      <c r="R44" s="15">
        <f t="shared" si="17"/>
        <v>13353.599999999999</v>
      </c>
      <c r="T44" s="2">
        <v>40</v>
      </c>
      <c r="U44" s="2">
        <f t="shared" si="11"/>
        <v>7857.1351330675616</v>
      </c>
      <c r="W44">
        <f t="shared" si="18"/>
        <v>0.51589999999999991</v>
      </c>
      <c r="X44">
        <f t="shared" si="12"/>
        <v>0.51589999999999991</v>
      </c>
    </row>
    <row r="45" spans="2:24">
      <c r="B45" s="63">
        <v>41</v>
      </c>
      <c r="C45" s="15">
        <f t="shared" si="4"/>
        <v>13644.74</v>
      </c>
      <c r="D45" s="15">
        <f t="shared" si="5"/>
        <v>13644.74</v>
      </c>
      <c r="E45" s="2">
        <f>人物成长模拟表!C42</f>
        <v>91718.116631132987</v>
      </c>
      <c r="F45" s="124">
        <f>人物成长模拟表!D42</f>
        <v>4893.4651979347846</v>
      </c>
      <c r="G45" s="2">
        <f>人物成长模拟表!E42</f>
        <v>2174.8734213043485</v>
      </c>
      <c r="H45" s="2">
        <f t="shared" si="6"/>
        <v>2718.591776630436</v>
      </c>
      <c r="I45" s="46">
        <f>'[2]2、属性成长'!Q46</f>
        <v>5.8243389596453095E-2</v>
      </c>
      <c r="J45" s="46">
        <f t="shared" si="7"/>
        <v>0.94175661040354686</v>
      </c>
      <c r="K45" s="46">
        <v>0.8</v>
      </c>
      <c r="M45">
        <f t="shared" si="13"/>
        <v>73374.493304906398</v>
      </c>
      <c r="N45" s="123">
        <f t="shared" si="14"/>
        <v>3914.7721583478278</v>
      </c>
      <c r="O45">
        <f t="shared" si="15"/>
        <v>1739.8987370434788</v>
      </c>
      <c r="P45">
        <f t="shared" si="10"/>
        <v>2174.873421304349</v>
      </c>
      <c r="Q45" s="15">
        <f t="shared" si="16"/>
        <v>13644.74</v>
      </c>
      <c r="R45" s="15">
        <f t="shared" si="17"/>
        <v>13644.74</v>
      </c>
      <c r="T45" s="2">
        <v>41</v>
      </c>
      <c r="U45" s="2">
        <f t="shared" si="11"/>
        <v>8589.6506275875618</v>
      </c>
      <c r="W45">
        <f t="shared" si="18"/>
        <v>0.52400000000000002</v>
      </c>
      <c r="X45">
        <f t="shared" si="12"/>
        <v>0.52400000000000002</v>
      </c>
    </row>
    <row r="46" spans="2:24">
      <c r="B46" s="63">
        <v>42</v>
      </c>
      <c r="C46" s="15">
        <f t="shared" si="4"/>
        <v>13935.88</v>
      </c>
      <c r="D46" s="15">
        <f t="shared" si="5"/>
        <v>13935.88</v>
      </c>
      <c r="E46" s="2">
        <f>人物成长模拟表!C43</f>
        <v>101685.61673658868</v>
      </c>
      <c r="F46" s="124">
        <f>人物成长模拟表!D43</f>
        <v>5290.2690923076943</v>
      </c>
      <c r="G46" s="2">
        <f>人物成长模拟表!E43</f>
        <v>2351.2307076923089</v>
      </c>
      <c r="H46" s="2">
        <f t="shared" si="6"/>
        <v>2939.0383846153854</v>
      </c>
      <c r="I46" s="46">
        <f>'[2]2、属性成长'!Q47</f>
        <v>5.6344959925275405E-2</v>
      </c>
      <c r="J46" s="46">
        <f t="shared" si="7"/>
        <v>0.94365504007472456</v>
      </c>
      <c r="K46" s="46">
        <v>0.8</v>
      </c>
      <c r="M46">
        <f t="shared" si="13"/>
        <v>81348.493389270952</v>
      </c>
      <c r="N46" s="123">
        <f t="shared" si="14"/>
        <v>4232.2152738461555</v>
      </c>
      <c r="O46">
        <f t="shared" si="15"/>
        <v>1880.9845661538473</v>
      </c>
      <c r="P46">
        <f t="shared" si="10"/>
        <v>2351.230707692308</v>
      </c>
      <c r="Q46" s="15">
        <f t="shared" si="16"/>
        <v>13935.88</v>
      </c>
      <c r="R46" s="15">
        <f t="shared" si="17"/>
        <v>13935.88</v>
      </c>
      <c r="T46" s="2">
        <v>42</v>
      </c>
      <c r="U46" s="2">
        <f t="shared" si="11"/>
        <v>9367.1395755708418</v>
      </c>
      <c r="W46">
        <f t="shared" si="18"/>
        <v>0.53210000000000002</v>
      </c>
      <c r="X46">
        <f t="shared" si="12"/>
        <v>0.53210000000000002</v>
      </c>
    </row>
    <row r="47" spans="2:24">
      <c r="B47" s="63">
        <v>43</v>
      </c>
      <c r="C47" s="15">
        <f t="shared" si="4"/>
        <v>14227.019999999999</v>
      </c>
      <c r="D47" s="15">
        <f t="shared" si="5"/>
        <v>14227.019999999999</v>
      </c>
      <c r="E47" s="2">
        <f>人物成长模拟表!C44</f>
        <v>112419.35115073496</v>
      </c>
      <c r="F47" s="124">
        <f>人物成长模拟表!D44</f>
        <v>5706.1507761120411</v>
      </c>
      <c r="G47" s="2">
        <f>人物成长模拟表!E44</f>
        <v>2536.067011605352</v>
      </c>
      <c r="H47" s="2">
        <f t="shared" si="6"/>
        <v>3170.083764506689</v>
      </c>
      <c r="I47" s="46">
        <f>'[2]2、属性成长'!Q48</f>
        <v>5.4566381474439749E-2</v>
      </c>
      <c r="J47" s="46">
        <f t="shared" si="7"/>
        <v>0.94543361852556029</v>
      </c>
      <c r="K47" s="46">
        <v>0.8</v>
      </c>
      <c r="M47">
        <f t="shared" si="13"/>
        <v>89935.480920587972</v>
      </c>
      <c r="N47" s="123">
        <f t="shared" si="14"/>
        <v>4564.920620889633</v>
      </c>
      <c r="O47">
        <f t="shared" si="15"/>
        <v>2028.8536092842817</v>
      </c>
      <c r="P47">
        <f t="shared" si="10"/>
        <v>2536.0670116053516</v>
      </c>
      <c r="Q47" s="15">
        <f t="shared" si="16"/>
        <v>14227.019999999999</v>
      </c>
      <c r="R47" s="15">
        <f t="shared" si="17"/>
        <v>14227.019999999999</v>
      </c>
      <c r="T47" s="2">
        <v>43</v>
      </c>
      <c r="U47" s="2">
        <f t="shared" si="11"/>
        <v>10191.193466997434</v>
      </c>
      <c r="W47">
        <f t="shared" si="18"/>
        <v>0.54020000000000001</v>
      </c>
      <c r="X47">
        <f t="shared" si="12"/>
        <v>0.54020000000000001</v>
      </c>
    </row>
    <row r="48" spans="2:24">
      <c r="B48" s="63">
        <v>44</v>
      </c>
      <c r="C48" s="15">
        <f t="shared" si="4"/>
        <v>14518.16</v>
      </c>
      <c r="D48" s="15">
        <f t="shared" si="5"/>
        <v>14518.16</v>
      </c>
      <c r="E48" s="2">
        <f>人物成长模拟表!C45</f>
        <v>123956.36704492308</v>
      </c>
      <c r="F48" s="124">
        <f>人物成长模拟表!D45</f>
        <v>6141.4851082274254</v>
      </c>
      <c r="G48" s="2">
        <f>人物成长模拟表!E45</f>
        <v>2729.5489369899669</v>
      </c>
      <c r="H48" s="2">
        <f t="shared" si="6"/>
        <v>3411.9361712374584</v>
      </c>
      <c r="I48" s="46">
        <f>'[2]2、属性成长'!Q49</f>
        <v>5.2896651913198783E-2</v>
      </c>
      <c r="J48" s="46">
        <f t="shared" si="7"/>
        <v>0.94710334808680119</v>
      </c>
      <c r="K48" s="46">
        <v>0.8</v>
      </c>
      <c r="M48">
        <f t="shared" si="13"/>
        <v>99165.09363593848</v>
      </c>
      <c r="N48" s="123">
        <f t="shared" si="14"/>
        <v>4913.1880865819403</v>
      </c>
      <c r="O48">
        <f t="shared" si="15"/>
        <v>2183.6391495919738</v>
      </c>
      <c r="P48">
        <f t="shared" si="10"/>
        <v>2729.5489369899665</v>
      </c>
      <c r="Q48" s="15">
        <f t="shared" si="16"/>
        <v>14518.16</v>
      </c>
      <c r="R48" s="15">
        <f t="shared" si="17"/>
        <v>14518.16</v>
      </c>
      <c r="T48" s="2">
        <v>44</v>
      </c>
      <c r="U48" s="2">
        <f t="shared" si="11"/>
        <v>11063.430981611455</v>
      </c>
      <c r="W48">
        <f t="shared" si="18"/>
        <v>0.54830000000000001</v>
      </c>
      <c r="X48">
        <f t="shared" si="12"/>
        <v>0.54830000000000001</v>
      </c>
    </row>
    <row r="49" spans="2:24">
      <c r="B49" s="63">
        <v>45</v>
      </c>
      <c r="C49" s="15">
        <f t="shared" si="4"/>
        <v>14809.3</v>
      </c>
      <c r="D49" s="15">
        <f t="shared" si="5"/>
        <v>14809.3</v>
      </c>
      <c r="E49" s="2">
        <f>人物成长模拟表!C46</f>
        <v>136334.5612706313</v>
      </c>
      <c r="F49" s="124">
        <f>人物成长模拟表!D46</f>
        <v>6596.6469475334461</v>
      </c>
      <c r="G49" s="2">
        <f>人物成长模拟表!E46</f>
        <v>2931.843087792643</v>
      </c>
      <c r="H49" s="2">
        <f t="shared" si="6"/>
        <v>3664.8038597408031</v>
      </c>
      <c r="I49" s="46">
        <f>'[2]2、属性成长'!Q50</f>
        <v>5.1326075609760893E-2</v>
      </c>
      <c r="J49" s="46">
        <f t="shared" si="7"/>
        <v>0.94867392439023912</v>
      </c>
      <c r="K49" s="46">
        <v>0.8</v>
      </c>
      <c r="M49">
        <f t="shared" si="13"/>
        <v>109067.64901650505</v>
      </c>
      <c r="N49" s="123">
        <f t="shared" si="14"/>
        <v>5277.3175580267571</v>
      </c>
      <c r="O49">
        <f t="shared" si="15"/>
        <v>2345.4744702341145</v>
      </c>
      <c r="P49">
        <f t="shared" si="10"/>
        <v>2931.8430877926426</v>
      </c>
      <c r="Q49" s="15">
        <f t="shared" si="16"/>
        <v>14809.3</v>
      </c>
      <c r="R49" s="15">
        <f t="shared" si="17"/>
        <v>14809.3</v>
      </c>
      <c r="T49" s="2">
        <v>45</v>
      </c>
      <c r="U49" s="2">
        <f t="shared" si="11"/>
        <v>11985.497988921074</v>
      </c>
      <c r="W49">
        <f t="shared" si="18"/>
        <v>0.55640000000000001</v>
      </c>
      <c r="X49">
        <f t="shared" si="12"/>
        <v>0.55640000000000001</v>
      </c>
    </row>
    <row r="50" spans="2:24">
      <c r="B50" s="63">
        <v>46</v>
      </c>
      <c r="C50" s="15">
        <f t="shared" si="4"/>
        <v>15100.439999999999</v>
      </c>
      <c r="D50" s="15">
        <f t="shared" si="5"/>
        <v>15100.439999999999</v>
      </c>
      <c r="E50" s="2">
        <f>人物成长模拟表!C47</f>
        <v>149592.68035946492</v>
      </c>
      <c r="F50" s="124">
        <f>人物成长模拟表!D47</f>
        <v>7072.0111529097012</v>
      </c>
      <c r="G50" s="2">
        <f>人物成长模拟表!E47</f>
        <v>3143.1160679598675</v>
      </c>
      <c r="H50" s="2">
        <f t="shared" si="6"/>
        <v>3928.8950849498337</v>
      </c>
      <c r="I50" s="46">
        <f>'[2]2、属性成长'!Q51</f>
        <v>4.9846075236315623E-2</v>
      </c>
      <c r="J50" s="46">
        <f t="shared" si="7"/>
        <v>0.95015392476368432</v>
      </c>
      <c r="K50" s="46">
        <v>0.8</v>
      </c>
      <c r="M50">
        <f t="shared" si="13"/>
        <v>119674.14428757195</v>
      </c>
      <c r="N50" s="123">
        <f t="shared" si="14"/>
        <v>5657.6089223277613</v>
      </c>
      <c r="O50">
        <f t="shared" si="15"/>
        <v>2514.4928543678943</v>
      </c>
      <c r="P50">
        <f t="shared" si="10"/>
        <v>3143.116067959867</v>
      </c>
      <c r="Q50" s="15">
        <f t="shared" si="16"/>
        <v>15100.439999999999</v>
      </c>
      <c r="R50" s="15">
        <f t="shared" si="17"/>
        <v>15100.439999999999</v>
      </c>
      <c r="T50" s="2">
        <v>46</v>
      </c>
      <c r="U50" s="2">
        <f t="shared" si="11"/>
        <v>12959.067548198534</v>
      </c>
      <c r="W50">
        <f t="shared" si="18"/>
        <v>0.5645</v>
      </c>
      <c r="X50">
        <f t="shared" si="12"/>
        <v>0.5645</v>
      </c>
    </row>
    <row r="51" spans="2:24">
      <c r="B51" s="63">
        <v>47</v>
      </c>
      <c r="C51" s="15">
        <f t="shared" si="4"/>
        <v>15391.58</v>
      </c>
      <c r="D51" s="15">
        <f t="shared" si="5"/>
        <v>15391.58</v>
      </c>
      <c r="E51" s="2">
        <f>人物成长模拟表!C48</f>
        <v>163770.32052315638</v>
      </c>
      <c r="F51" s="124">
        <f>人物成长模拟表!D48</f>
        <v>7567.9525832357876</v>
      </c>
      <c r="G51" s="2">
        <f>人物成长模拟表!E48</f>
        <v>3363.5344814381283</v>
      </c>
      <c r="H51" s="2">
        <f t="shared" si="6"/>
        <v>4204.4181017976589</v>
      </c>
      <c r="I51" s="46">
        <f>'[2]2、属性成长'!Q52</f>
        <v>4.8449035055030606E-2</v>
      </c>
      <c r="J51" s="46">
        <f t="shared" si="7"/>
        <v>0.95155096494496938</v>
      </c>
      <c r="K51" s="46">
        <v>0.8</v>
      </c>
      <c r="M51">
        <f t="shared" si="13"/>
        <v>131016.25641852511</v>
      </c>
      <c r="N51" s="123">
        <f t="shared" si="14"/>
        <v>6054.3620665886301</v>
      </c>
      <c r="O51">
        <f t="shared" si="15"/>
        <v>2690.8275851505027</v>
      </c>
      <c r="P51">
        <f t="shared" si="10"/>
        <v>3363.5344814381274</v>
      </c>
      <c r="Q51" s="15">
        <f t="shared" si="16"/>
        <v>15391.58</v>
      </c>
      <c r="R51" s="15">
        <f t="shared" si="17"/>
        <v>15391.58</v>
      </c>
      <c r="T51" s="2">
        <v>47</v>
      </c>
      <c r="U51" s="2">
        <f t="shared" si="11"/>
        <v>13985.839908480137</v>
      </c>
      <c r="W51">
        <f t="shared" si="18"/>
        <v>0.5726</v>
      </c>
      <c r="X51">
        <f t="shared" si="12"/>
        <v>0.5726</v>
      </c>
    </row>
    <row r="52" spans="2:24">
      <c r="B52" s="63">
        <v>48</v>
      </c>
      <c r="C52" s="15">
        <f t="shared" si="4"/>
        <v>15682.72</v>
      </c>
      <c r="D52" s="15">
        <f t="shared" si="5"/>
        <v>15682.72</v>
      </c>
      <c r="E52" s="2">
        <f>人物成长模拟表!C49</f>
        <v>178907.92765356528</v>
      </c>
      <c r="F52" s="124">
        <f>人物成长模拟表!D49</f>
        <v>8084.8460973913079</v>
      </c>
      <c r="G52" s="2">
        <f>人物成长模拟表!E49</f>
        <v>3593.2649321739145</v>
      </c>
      <c r="H52" s="2">
        <f t="shared" si="6"/>
        <v>4491.5811652173934</v>
      </c>
      <c r="I52" s="46">
        <f>'[2]2、属性成长'!Q53</f>
        <v>4.7128169838995829E-2</v>
      </c>
      <c r="J52" s="46">
        <f t="shared" si="7"/>
        <v>0.95287183016100419</v>
      </c>
      <c r="K52" s="46">
        <v>0.8</v>
      </c>
      <c r="M52">
        <f t="shared" si="13"/>
        <v>143126.34212285222</v>
      </c>
      <c r="N52" s="123">
        <f t="shared" si="14"/>
        <v>6467.8768779130469</v>
      </c>
      <c r="O52">
        <f t="shared" si="15"/>
        <v>2874.6119457391319</v>
      </c>
      <c r="P52">
        <f t="shared" si="10"/>
        <v>3593.264932173915</v>
      </c>
      <c r="Q52" s="15">
        <f t="shared" si="16"/>
        <v>15682.72</v>
      </c>
      <c r="R52" s="15">
        <f t="shared" si="17"/>
        <v>15682.72</v>
      </c>
      <c r="T52" s="2">
        <v>48</v>
      </c>
      <c r="U52" s="2">
        <f t="shared" si="11"/>
        <v>15067.542508566268</v>
      </c>
      <c r="W52">
        <f t="shared" si="18"/>
        <v>0.58069999999999999</v>
      </c>
      <c r="X52">
        <f t="shared" si="12"/>
        <v>0.58069999999999999</v>
      </c>
    </row>
    <row r="53" spans="2:24">
      <c r="B53" s="63">
        <v>49</v>
      </c>
      <c r="C53" s="15">
        <f t="shared" si="4"/>
        <v>15973.859999999999</v>
      </c>
      <c r="D53" s="15">
        <f t="shared" si="5"/>
        <v>15973.859999999999</v>
      </c>
      <c r="E53" s="2">
        <f>人物成长模拟表!C50</f>
        <v>195046.79732267821</v>
      </c>
      <c r="F53" s="124">
        <f>人物成长模拟表!D50</f>
        <v>8623.0665542558563</v>
      </c>
      <c r="G53" s="2">
        <f>人物成长模拟表!E50</f>
        <v>3832.4740241137142</v>
      </c>
      <c r="H53" s="2">
        <f t="shared" si="6"/>
        <v>4790.5925301421421</v>
      </c>
      <c r="I53" s="46">
        <f>'[2]2、属性成长'!Q54</f>
        <v>4.587741466575513E-2</v>
      </c>
      <c r="J53" s="46">
        <f t="shared" si="7"/>
        <v>0.95412258533424488</v>
      </c>
      <c r="K53" s="46">
        <v>0.8</v>
      </c>
      <c r="M53">
        <f t="shared" si="13"/>
        <v>156037.43785814257</v>
      </c>
      <c r="N53" s="123">
        <f t="shared" si="14"/>
        <v>6898.4532434046851</v>
      </c>
      <c r="O53">
        <f t="shared" si="15"/>
        <v>3065.9792192909717</v>
      </c>
      <c r="P53">
        <f t="shared" si="10"/>
        <v>3832.4740241137133</v>
      </c>
      <c r="Q53" s="15">
        <f t="shared" si="16"/>
        <v>15973.859999999999</v>
      </c>
      <c r="R53" s="15">
        <f t="shared" si="17"/>
        <v>15973.859999999999</v>
      </c>
      <c r="T53" s="2">
        <v>49</v>
      </c>
      <c r="U53" s="2">
        <f t="shared" si="11"/>
        <v>16205.92997702136</v>
      </c>
      <c r="W53">
        <f t="shared" si="18"/>
        <v>0.58879999999999999</v>
      </c>
      <c r="X53">
        <f t="shared" si="12"/>
        <v>0.58879999999999999</v>
      </c>
    </row>
    <row r="54" spans="2:24">
      <c r="B54" s="63">
        <v>50</v>
      </c>
      <c r="C54" s="15">
        <f t="shared" si="4"/>
        <v>16265</v>
      </c>
      <c r="D54" s="15">
        <f t="shared" si="5"/>
        <v>16265</v>
      </c>
      <c r="E54" s="2">
        <f>人物成长模拟表!C51</f>
        <v>213625.31869565227</v>
      </c>
      <c r="F54" s="124">
        <f>人物成长模拟表!D51</f>
        <v>9243.4032127926457</v>
      </c>
      <c r="G54" s="2">
        <f>人物成长模拟表!E51</f>
        <v>4108.1792056856202</v>
      </c>
      <c r="H54" s="2">
        <f t="shared" si="6"/>
        <v>5135.2240071070255</v>
      </c>
      <c r="I54" s="46">
        <f>'[2]2、属性成长'!Q55</f>
        <v>4.4691331806047341E-2</v>
      </c>
      <c r="J54" s="46">
        <f t="shared" si="7"/>
        <v>0.95530866819395266</v>
      </c>
      <c r="K54" s="46">
        <v>0.8</v>
      </c>
      <c r="M54">
        <f t="shared" si="13"/>
        <v>170900.25495652182</v>
      </c>
      <c r="N54" s="123">
        <f t="shared" si="14"/>
        <v>7394.7225702341166</v>
      </c>
      <c r="O54">
        <f t="shared" si="15"/>
        <v>3286.5433645484964</v>
      </c>
      <c r="P54">
        <f t="shared" si="10"/>
        <v>4108.1792056856202</v>
      </c>
      <c r="Q54" s="15">
        <f t="shared" si="16"/>
        <v>16265</v>
      </c>
      <c r="R54" s="15">
        <f t="shared" si="17"/>
        <v>16265</v>
      </c>
      <c r="T54" s="2">
        <v>50</v>
      </c>
      <c r="U54" s="2">
        <f t="shared" si="11"/>
        <v>17517.276133043484</v>
      </c>
      <c r="W54">
        <f t="shared" si="18"/>
        <v>0.59689999999999999</v>
      </c>
      <c r="X54">
        <f t="shared" si="12"/>
        <v>0.59689999999999999</v>
      </c>
    </row>
    <row r="55" spans="2:24">
      <c r="B55" s="63">
        <v>51</v>
      </c>
      <c r="C55" s="15">
        <f t="shared" si="4"/>
        <v>16556.14</v>
      </c>
      <c r="D55" s="15">
        <f t="shared" si="5"/>
        <v>16556.14</v>
      </c>
      <c r="E55" s="2">
        <f>人物成长模拟表!C52</f>
        <v>233452.8543882338</v>
      </c>
      <c r="F55" s="124">
        <f>人物成长模拟表!D52</f>
        <v>9792.2573089464895</v>
      </c>
      <c r="G55" s="2">
        <f>人物成长模拟表!E52</f>
        <v>4395.6355031270914</v>
      </c>
      <c r="H55" s="2">
        <f t="shared" si="6"/>
        <v>5396.6218058193981</v>
      </c>
      <c r="I55" s="46">
        <f>'[2]2、属性成长'!Q56</f>
        <v>4.3565031691951764E-2</v>
      </c>
      <c r="J55" s="46">
        <f t="shared" si="7"/>
        <v>0.95643496830804819</v>
      </c>
      <c r="K55" s="46">
        <v>0.8</v>
      </c>
      <c r="M55">
        <f t="shared" si="13"/>
        <v>186762.28351058706</v>
      </c>
      <c r="N55" s="123">
        <f t="shared" si="14"/>
        <v>7833.8058471571921</v>
      </c>
      <c r="O55">
        <f t="shared" si="15"/>
        <v>3516.5084025016731</v>
      </c>
      <c r="P55">
        <f t="shared" si="10"/>
        <v>4317.297444655519</v>
      </c>
      <c r="Q55" s="15">
        <f t="shared" si="16"/>
        <v>16556.14</v>
      </c>
      <c r="R55" s="15">
        <f t="shared" si="17"/>
        <v>16556.14</v>
      </c>
      <c r="T55" s="2">
        <v>51</v>
      </c>
      <c r="U55" s="2">
        <f t="shared" si="11"/>
        <v>18820.805590082349</v>
      </c>
      <c r="W55">
        <f t="shared" si="18"/>
        <v>0.60499999999999998</v>
      </c>
      <c r="X55">
        <f t="shared" si="12"/>
        <v>0.60499999999999998</v>
      </c>
    </row>
    <row r="56" spans="2:24">
      <c r="B56" s="63">
        <v>52</v>
      </c>
      <c r="C56" s="15">
        <f t="shared" si="4"/>
        <v>16847.28</v>
      </c>
      <c r="D56" s="15">
        <f t="shared" si="5"/>
        <v>16847.28</v>
      </c>
      <c r="E56" s="2">
        <f>人物成长模拟表!C53</f>
        <v>254582.24528058866</v>
      </c>
      <c r="F56" s="124">
        <f>人物成长模拟表!D53</f>
        <v>10563.865135585287</v>
      </c>
      <c r="G56" s="2">
        <f>人物成长模拟表!E53</f>
        <v>4695.0511713712385</v>
      </c>
      <c r="H56" s="2">
        <f t="shared" si="6"/>
        <v>5868.8139642140486</v>
      </c>
      <c r="I56" s="46">
        <f>'[2]2、属性成长'!Q57</f>
        <v>4.2494105541714573E-2</v>
      </c>
      <c r="J56" s="46">
        <f t="shared" si="7"/>
        <v>0.95750589445828538</v>
      </c>
      <c r="K56" s="46">
        <v>0.8</v>
      </c>
      <c r="M56">
        <f t="shared" si="13"/>
        <v>203665.79622447095</v>
      </c>
      <c r="N56" s="123">
        <f t="shared" si="14"/>
        <v>8451.0921084682304</v>
      </c>
      <c r="O56">
        <f t="shared" si="15"/>
        <v>3756.040937096991</v>
      </c>
      <c r="P56">
        <f t="shared" si="10"/>
        <v>4695.0511713712394</v>
      </c>
      <c r="Q56" s="15">
        <f t="shared" si="16"/>
        <v>16847.28</v>
      </c>
      <c r="R56" s="15">
        <f t="shared" si="17"/>
        <v>16847.28</v>
      </c>
      <c r="T56" s="2">
        <v>52</v>
      </c>
      <c r="U56" s="2">
        <f t="shared" si="11"/>
        <v>20353.76489454406</v>
      </c>
      <c r="W56">
        <f t="shared" si="18"/>
        <v>0.61309999999999998</v>
      </c>
      <c r="X56">
        <f t="shared" si="12"/>
        <v>0.61309999999999998</v>
      </c>
    </row>
    <row r="57" spans="2:24">
      <c r="B57" s="63">
        <v>53</v>
      </c>
      <c r="C57" s="15">
        <f t="shared" si="4"/>
        <v>17138.419999999998</v>
      </c>
      <c r="D57" s="15">
        <f t="shared" si="5"/>
        <v>17138.419999999998</v>
      </c>
      <c r="E57" s="2">
        <f>人物成长模拟表!C54</f>
        <v>277067.39435304189</v>
      </c>
      <c r="F57" s="124">
        <f>人物成长模拟表!D54</f>
        <v>11264.927547040137</v>
      </c>
      <c r="G57" s="2">
        <f>人物成长模拟表!E54</f>
        <v>5006.6344653511724</v>
      </c>
      <c r="H57" s="2">
        <f t="shared" si="6"/>
        <v>6258.2930816889648</v>
      </c>
      <c r="I57" s="46">
        <f>'[2]2、属性成长'!Q58</f>
        <v>4.1474567683549741E-2</v>
      </c>
      <c r="J57" s="46">
        <f t="shared" si="7"/>
        <v>0.95852543231645027</v>
      </c>
      <c r="K57" s="46">
        <v>0.8</v>
      </c>
      <c r="M57">
        <f t="shared" si="13"/>
        <v>221653.91548243351</v>
      </c>
      <c r="N57" s="123">
        <f t="shared" si="14"/>
        <v>9011.9420376321104</v>
      </c>
      <c r="O57">
        <f t="shared" si="15"/>
        <v>4005.3075722809381</v>
      </c>
      <c r="P57">
        <f t="shared" si="10"/>
        <v>5006.6344653511724</v>
      </c>
      <c r="Q57" s="15">
        <f t="shared" si="16"/>
        <v>17138.419999999998</v>
      </c>
      <c r="R57" s="15">
        <f t="shared" si="17"/>
        <v>17138.419999999998</v>
      </c>
      <c r="T57" s="2">
        <v>53</v>
      </c>
      <c r="U57" s="2">
        <f t="shared" si="11"/>
        <v>21883.406229210388</v>
      </c>
      <c r="W57">
        <f t="shared" si="18"/>
        <v>0.62119999999999997</v>
      </c>
      <c r="X57">
        <f t="shared" si="12"/>
        <v>0.62119999999999997</v>
      </c>
    </row>
    <row r="58" spans="2:24">
      <c r="B58" s="63">
        <v>54</v>
      </c>
      <c r="C58" s="15">
        <f t="shared" si="4"/>
        <v>17429.559999999998</v>
      </c>
      <c r="D58" s="15">
        <f t="shared" si="5"/>
        <v>17429.559999999998</v>
      </c>
      <c r="E58" s="2">
        <f>人物成长模拟表!C55</f>
        <v>300963.266686077</v>
      </c>
      <c r="F58" s="124">
        <f>人物成长模拟表!D55</f>
        <v>11993.835690000004</v>
      </c>
      <c r="G58" s="2">
        <f>人物成长模拟表!E55</f>
        <v>5330.5936400000019</v>
      </c>
      <c r="H58" s="2">
        <f t="shared" si="6"/>
        <v>6663.2420500000017</v>
      </c>
      <c r="I58" s="46">
        <f>'[2]2、属性成长'!Q59</f>
        <v>4.0502805987664821E-2</v>
      </c>
      <c r="J58" s="46">
        <f t="shared" si="7"/>
        <v>0.95949719401233513</v>
      </c>
      <c r="K58" s="46">
        <v>0.8</v>
      </c>
      <c r="M58">
        <f t="shared" si="13"/>
        <v>240770.6133488616</v>
      </c>
      <c r="N58" s="123">
        <f t="shared" si="14"/>
        <v>9595.0685520000025</v>
      </c>
      <c r="O58">
        <f t="shared" si="15"/>
        <v>4264.4749120000015</v>
      </c>
      <c r="P58">
        <f t="shared" si="10"/>
        <v>5330.593640000001</v>
      </c>
      <c r="Q58" s="15">
        <f t="shared" si="16"/>
        <v>17429.559999999998</v>
      </c>
      <c r="R58" s="15">
        <f t="shared" si="17"/>
        <v>17429.559999999998</v>
      </c>
      <c r="T58" s="2">
        <v>54</v>
      </c>
      <c r="U58" s="2">
        <f t="shared" si="11"/>
        <v>23490.367997954469</v>
      </c>
      <c r="W58">
        <f t="shared" si="18"/>
        <v>0.62929999999999997</v>
      </c>
      <c r="X58">
        <f t="shared" si="12"/>
        <v>0.62929999999999997</v>
      </c>
    </row>
    <row r="59" spans="2:24">
      <c r="B59" s="63">
        <v>55</v>
      </c>
      <c r="C59" s="15">
        <f t="shared" si="4"/>
        <v>17720.699999999997</v>
      </c>
      <c r="D59" s="15">
        <f t="shared" si="5"/>
        <v>17720.699999999997</v>
      </c>
      <c r="E59" s="2">
        <f>人物成长模拟表!C56</f>
        <v>326325.88946033653</v>
      </c>
      <c r="F59" s="124">
        <f>人物成长模拟表!D56</f>
        <v>12751.058138064383</v>
      </c>
      <c r="G59" s="2">
        <f>人物成长模拟表!E56</f>
        <v>5667.1369502508369</v>
      </c>
      <c r="H59" s="2">
        <f t="shared" si="6"/>
        <v>7083.9211878135466</v>
      </c>
      <c r="I59" s="46">
        <f>'[2]2、属性成长'!Q60</f>
        <v>3.9575539107109994E-2</v>
      </c>
      <c r="J59" s="46">
        <f t="shared" si="7"/>
        <v>0.96042446089289002</v>
      </c>
      <c r="K59" s="46">
        <v>0.8</v>
      </c>
      <c r="M59">
        <f t="shared" si="13"/>
        <v>261060.71156826924</v>
      </c>
      <c r="N59" s="123">
        <f t="shared" si="14"/>
        <v>10200.846510451507</v>
      </c>
      <c r="O59">
        <f t="shared" si="15"/>
        <v>4533.7095602006693</v>
      </c>
      <c r="P59">
        <f t="shared" si="10"/>
        <v>5667.1369502508378</v>
      </c>
      <c r="Q59" s="15">
        <f t="shared" si="16"/>
        <v>17720.699999999997</v>
      </c>
      <c r="R59" s="15">
        <f t="shared" si="17"/>
        <v>17720.699999999997</v>
      </c>
      <c r="T59" s="2">
        <v>55</v>
      </c>
      <c r="U59" s="2">
        <f t="shared" si="11"/>
        <v>25176.984533382947</v>
      </c>
      <c r="W59">
        <f t="shared" si="18"/>
        <v>0.63739999999999997</v>
      </c>
      <c r="X59">
        <f t="shared" si="12"/>
        <v>0.63739999999999997</v>
      </c>
    </row>
    <row r="60" spans="2:24">
      <c r="B60" s="63">
        <v>56</v>
      </c>
      <c r="C60" s="15">
        <f t="shared" si="4"/>
        <v>18011.84</v>
      </c>
      <c r="D60" s="15">
        <f t="shared" si="5"/>
        <v>18011.84</v>
      </c>
      <c r="E60" s="2">
        <f>人物成长模拟表!C57</f>
        <v>353212.35195662215</v>
      </c>
      <c r="F60" s="124">
        <f>人物成长模拟表!D57</f>
        <v>13537.06346483278</v>
      </c>
      <c r="G60" s="2">
        <f>人物成长模拟表!E57</f>
        <v>6016.4726510367909</v>
      </c>
      <c r="H60" s="2">
        <f t="shared" si="6"/>
        <v>7520.5908137959887</v>
      </c>
      <c r="I60" s="46">
        <f>'[2]2、属性成长'!Q61</f>
        <v>3.8689779460708902E-2</v>
      </c>
      <c r="J60" s="46">
        <f t="shared" si="7"/>
        <v>0.96131022053929105</v>
      </c>
      <c r="K60" s="46">
        <v>0.8</v>
      </c>
      <c r="M60">
        <f t="shared" si="13"/>
        <v>282569.88156529772</v>
      </c>
      <c r="N60" s="123">
        <f t="shared" si="14"/>
        <v>10829.650771866225</v>
      </c>
      <c r="O60">
        <f t="shared" si="15"/>
        <v>4813.1781208294333</v>
      </c>
      <c r="P60">
        <f t="shared" si="10"/>
        <v>6016.4726510367918</v>
      </c>
      <c r="Q60" s="15">
        <f t="shared" si="16"/>
        <v>18011.84</v>
      </c>
      <c r="R60" s="15">
        <f t="shared" si="17"/>
        <v>18011.84</v>
      </c>
      <c r="T60" s="2">
        <v>56</v>
      </c>
      <c r="U60" s="2">
        <f t="shared" si="11"/>
        <v>26945.624155307567</v>
      </c>
      <c r="W60">
        <f t="shared" si="18"/>
        <v>0.64549999999999996</v>
      </c>
      <c r="X60">
        <f t="shared" si="12"/>
        <v>0.64549999999999996</v>
      </c>
    </row>
    <row r="61" spans="2:24">
      <c r="B61" s="63">
        <v>57</v>
      </c>
      <c r="C61" s="15">
        <f t="shared" si="4"/>
        <v>18302.98</v>
      </c>
      <c r="D61" s="15">
        <f t="shared" si="5"/>
        <v>18302.98</v>
      </c>
      <c r="E61" s="2">
        <f>人物成长模拟表!C58</f>
        <v>381680.80555589392</v>
      </c>
      <c r="F61" s="124">
        <f>人物成长模拟表!D58</f>
        <v>14352.320243904687</v>
      </c>
      <c r="G61" s="2">
        <f>人物成长模拟表!E58</f>
        <v>6378.808997290972</v>
      </c>
      <c r="H61" s="2">
        <f t="shared" si="6"/>
        <v>7973.5112466137152</v>
      </c>
      <c r="I61" s="46">
        <f>'[2]2、属性成长'!Q62</f>
        <v>3.7842801078150683E-2</v>
      </c>
      <c r="J61" s="46">
        <f t="shared" si="7"/>
        <v>0.96215719892184937</v>
      </c>
      <c r="K61" s="46">
        <v>0.8</v>
      </c>
      <c r="M61">
        <f t="shared" si="13"/>
        <v>305344.64444471517</v>
      </c>
      <c r="N61" s="123">
        <f t="shared" si="14"/>
        <v>11481.85619512375</v>
      </c>
      <c r="O61">
        <f t="shared" si="15"/>
        <v>5103.0471978327778</v>
      </c>
      <c r="P61">
        <f t="shared" si="10"/>
        <v>6378.808997290972</v>
      </c>
      <c r="Q61" s="15">
        <f t="shared" si="16"/>
        <v>18302.98</v>
      </c>
      <c r="R61" s="15">
        <f t="shared" si="17"/>
        <v>18302.98</v>
      </c>
      <c r="T61" s="2">
        <v>57</v>
      </c>
      <c r="U61" s="2">
        <f t="shared" si="11"/>
        <v>28798.689170745136</v>
      </c>
      <c r="W61">
        <f t="shared" si="18"/>
        <v>0.65359999999999996</v>
      </c>
      <c r="X61">
        <f t="shared" si="12"/>
        <v>0.65359999999999996</v>
      </c>
    </row>
    <row r="62" spans="2:24">
      <c r="B62" s="63">
        <v>58</v>
      </c>
      <c r="C62" s="15">
        <f t="shared" si="4"/>
        <v>18594.12</v>
      </c>
      <c r="D62" s="15">
        <f t="shared" si="5"/>
        <v>18594.12</v>
      </c>
      <c r="E62" s="2">
        <f>人物成长模拟表!C59</f>
        <v>411790.46373927098</v>
      </c>
      <c r="F62" s="124">
        <f>人物成长模拟表!D59</f>
        <v>15197.297048879604</v>
      </c>
      <c r="G62" s="2">
        <f>人物成长模拟表!E59</f>
        <v>6754.3542439464909</v>
      </c>
      <c r="H62" s="2">
        <f t="shared" si="6"/>
        <v>8442.9428049331127</v>
      </c>
      <c r="I62" s="46">
        <f>'[2]2、属性成长'!Q63</f>
        <v>3.7032111578123743E-2</v>
      </c>
      <c r="J62" s="46">
        <f t="shared" si="7"/>
        <v>0.96296788842187631</v>
      </c>
      <c r="K62" s="46">
        <v>0.8</v>
      </c>
      <c r="M62">
        <f t="shared" si="13"/>
        <v>329432.3709914168</v>
      </c>
      <c r="N62" s="123">
        <f t="shared" si="14"/>
        <v>12157.837639103684</v>
      </c>
      <c r="O62">
        <f t="shared" si="15"/>
        <v>5403.4833951571927</v>
      </c>
      <c r="P62">
        <f t="shared" si="10"/>
        <v>6754.3542439464909</v>
      </c>
      <c r="Q62" s="15">
        <f t="shared" si="16"/>
        <v>18594.12</v>
      </c>
      <c r="R62" s="15">
        <f t="shared" si="17"/>
        <v>18594.12</v>
      </c>
      <c r="T62" s="2">
        <v>58</v>
      </c>
      <c r="U62" s="2">
        <f t="shared" si="11"/>
        <v>30738.615873917548</v>
      </c>
      <c r="W62">
        <f t="shared" si="18"/>
        <v>0.66169999999999995</v>
      </c>
      <c r="X62">
        <f t="shared" si="12"/>
        <v>0.66169999999999995</v>
      </c>
    </row>
    <row r="63" spans="2:24">
      <c r="B63" s="63">
        <v>59</v>
      </c>
      <c r="C63" s="15">
        <f t="shared" si="4"/>
        <v>18885.259999999998</v>
      </c>
      <c r="D63" s="15">
        <f t="shared" si="5"/>
        <v>18885.259999999998</v>
      </c>
      <c r="E63" s="2">
        <f>人物成长模拟表!C60</f>
        <v>443601.60208803148</v>
      </c>
      <c r="F63" s="124">
        <f>人物成长模拟表!D60</f>
        <v>16072.46245335703</v>
      </c>
      <c r="G63" s="2">
        <f>人物成长模拟表!E60</f>
        <v>7143.3166459364575</v>
      </c>
      <c r="H63" s="2">
        <f t="shared" si="6"/>
        <v>8929.145807420573</v>
      </c>
      <c r="I63" s="46">
        <f>'[2]2、属性成长'!Q64</f>
        <v>3.6255427672707966E-2</v>
      </c>
      <c r="J63" s="46">
        <f t="shared" si="7"/>
        <v>0.96374457232729205</v>
      </c>
      <c r="K63" s="46">
        <v>0.8</v>
      </c>
      <c r="M63">
        <f t="shared" si="13"/>
        <v>354881.2816704252</v>
      </c>
      <c r="N63" s="123">
        <f t="shared" si="14"/>
        <v>12857.969962685624</v>
      </c>
      <c r="O63">
        <f t="shared" si="15"/>
        <v>5714.6533167491662</v>
      </c>
      <c r="P63">
        <f t="shared" si="10"/>
        <v>7143.3166459364575</v>
      </c>
      <c r="Q63" s="15">
        <f t="shared" si="16"/>
        <v>18885.259999999998</v>
      </c>
      <c r="R63" s="15">
        <f t="shared" si="17"/>
        <v>18885.259999999998</v>
      </c>
      <c r="T63" s="2">
        <v>59</v>
      </c>
      <c r="U63" s="2">
        <f t="shared" si="11"/>
        <v>32767.874546251798</v>
      </c>
      <c r="W63">
        <f t="shared" si="18"/>
        <v>0.66979999999999995</v>
      </c>
      <c r="X63">
        <f t="shared" si="12"/>
        <v>0.66979999999999995</v>
      </c>
    </row>
    <row r="64" spans="2:24">
      <c r="B64" s="63">
        <v>60</v>
      </c>
      <c r="C64" s="15">
        <f t="shared" si="4"/>
        <v>19176.399999999998</v>
      </c>
      <c r="D64" s="15">
        <f t="shared" si="5"/>
        <v>19176.399999999998</v>
      </c>
      <c r="E64" s="2">
        <f>人物成长模拟表!C61</f>
        <v>479526.17679732462</v>
      </c>
      <c r="F64" s="124">
        <f>人物成长模拟表!D61</f>
        <v>17061.921903010043</v>
      </c>
      <c r="G64" s="2">
        <f>人物成长模拟表!E61</f>
        <v>7583.0764013377966</v>
      </c>
      <c r="H64" s="2">
        <f t="shared" si="6"/>
        <v>9478.8455016722473</v>
      </c>
      <c r="I64" s="46">
        <f>'[2]2、属性成长'!Q65</f>
        <v>3.551065369096032E-2</v>
      </c>
      <c r="J64" s="46">
        <f t="shared" si="7"/>
        <v>0.96448934630903971</v>
      </c>
      <c r="K64" s="46">
        <v>0.8</v>
      </c>
      <c r="M64">
        <f t="shared" si="13"/>
        <v>383620.94143785973</v>
      </c>
      <c r="N64" s="123">
        <f t="shared" si="14"/>
        <v>13649.537522408034</v>
      </c>
      <c r="O64">
        <f t="shared" si="15"/>
        <v>6066.4611210702378</v>
      </c>
      <c r="P64">
        <f t="shared" si="10"/>
        <v>7583.0764013377966</v>
      </c>
      <c r="Q64" s="15">
        <f t="shared" si="16"/>
        <v>19176.399999999998</v>
      </c>
      <c r="R64" s="15">
        <f t="shared" si="17"/>
        <v>19176.399999999998</v>
      </c>
      <c r="T64" s="2">
        <v>60</v>
      </c>
      <c r="U64" s="2">
        <f t="shared" si="11"/>
        <v>35060.836300992662</v>
      </c>
      <c r="W64">
        <f t="shared" si="18"/>
        <v>0.67789999999999995</v>
      </c>
      <c r="X64">
        <f t="shared" si="12"/>
        <v>0.67789999999999995</v>
      </c>
    </row>
    <row r="65" spans="2:24">
      <c r="B65" s="63">
        <v>61</v>
      </c>
      <c r="C65" s="15">
        <f t="shared" si="4"/>
        <v>19467.54</v>
      </c>
      <c r="D65" s="15">
        <f t="shared" si="5"/>
        <v>19467.54</v>
      </c>
      <c r="E65" s="2">
        <f>人物成长模拟表!C62</f>
        <v>517503.33530095126</v>
      </c>
      <c r="F65" s="124">
        <f>人物成长模拟表!D62</f>
        <v>18087.495214402181</v>
      </c>
      <c r="G65" s="2">
        <f>人物成长模拟表!E62</f>
        <v>8038.8867619565244</v>
      </c>
      <c r="H65" s="2">
        <f t="shared" si="6"/>
        <v>10048.608452445656</v>
      </c>
      <c r="I65" s="46">
        <f>'[2]2、属性成长'!Q66</f>
        <v>3.4795862696282237E-2</v>
      </c>
      <c r="J65" s="46">
        <f t="shared" si="7"/>
        <v>0.96520413730371779</v>
      </c>
      <c r="K65" s="46">
        <v>0.8</v>
      </c>
      <c r="M65">
        <f t="shared" si="13"/>
        <v>414002.66824076104</v>
      </c>
      <c r="N65" s="123">
        <f t="shared" si="14"/>
        <v>14469.996171521745</v>
      </c>
      <c r="O65">
        <f t="shared" si="15"/>
        <v>6431.1094095652197</v>
      </c>
      <c r="P65">
        <f t="shared" si="10"/>
        <v>8038.8867619565253</v>
      </c>
      <c r="Q65" s="15">
        <f t="shared" si="16"/>
        <v>19467.54</v>
      </c>
      <c r="R65" s="15">
        <f t="shared" si="17"/>
        <v>19467.54</v>
      </c>
      <c r="T65" s="2">
        <v>61</v>
      </c>
      <c r="U65" s="2">
        <f t="shared" si="11"/>
        <v>37461.212310717412</v>
      </c>
      <c r="W65">
        <f t="shared" si="18"/>
        <v>0.68599999999999994</v>
      </c>
      <c r="X65">
        <f t="shared" si="12"/>
        <v>0.68599999999999994</v>
      </c>
    </row>
    <row r="66" spans="2:24">
      <c r="B66" s="63">
        <v>62</v>
      </c>
      <c r="C66" s="15">
        <f t="shared" si="4"/>
        <v>19758.68</v>
      </c>
      <c r="D66" s="15">
        <f t="shared" si="5"/>
        <v>19758.68</v>
      </c>
      <c r="E66" s="2">
        <f>人物成长模拟表!C63</f>
        <v>557607.12889870256</v>
      </c>
      <c r="F66" s="124">
        <f>人物成长模拟表!D63</f>
        <v>19149.744675852849</v>
      </c>
      <c r="G66" s="2">
        <f>人物成长模拟表!E63</f>
        <v>8510.997633712379</v>
      </c>
      <c r="H66" s="2">
        <f t="shared" si="6"/>
        <v>10638.747042140471</v>
      </c>
      <c r="I66" s="46">
        <f>'[2]2、属性成长'!Q67</f>
        <v>3.4109279839309926E-2</v>
      </c>
      <c r="J66" s="46">
        <f t="shared" si="7"/>
        <v>0.96589072016069011</v>
      </c>
      <c r="K66" s="46">
        <v>0.8</v>
      </c>
      <c r="M66">
        <f t="shared" si="13"/>
        <v>446085.70311896206</v>
      </c>
      <c r="N66" s="123">
        <f t="shared" si="14"/>
        <v>15319.795740682281</v>
      </c>
      <c r="O66">
        <f t="shared" si="15"/>
        <v>6808.7981069699035</v>
      </c>
      <c r="P66">
        <f t="shared" si="10"/>
        <v>8510.9976337123771</v>
      </c>
      <c r="Q66" s="15">
        <f t="shared" si="16"/>
        <v>19758.68</v>
      </c>
      <c r="R66" s="15">
        <f t="shared" si="17"/>
        <v>19758.68</v>
      </c>
      <c r="T66" s="2">
        <v>62</v>
      </c>
      <c r="U66" s="2">
        <f t="shared" si="11"/>
        <v>39972.021972410665</v>
      </c>
      <c r="W66">
        <f t="shared" si="18"/>
        <v>0.69409999999999994</v>
      </c>
      <c r="X66">
        <f t="shared" si="12"/>
        <v>0.69409999999999994</v>
      </c>
    </row>
    <row r="67" spans="2:24">
      <c r="B67" s="63">
        <v>63</v>
      </c>
      <c r="C67" s="15">
        <f t="shared" si="4"/>
        <v>20049.82</v>
      </c>
      <c r="D67" s="15">
        <f t="shared" si="5"/>
        <v>20049.82</v>
      </c>
      <c r="E67" s="2">
        <f>人物成长模拟表!C64</f>
        <v>599912.88341056008</v>
      </c>
      <c r="F67" s="124">
        <f>人物成长模拟表!D64</f>
        <v>20249.232575681446</v>
      </c>
      <c r="G67" s="2">
        <f>人物成长模拟表!E64</f>
        <v>8999.6589225250864</v>
      </c>
      <c r="H67" s="2">
        <f t="shared" si="6"/>
        <v>11249.57365315636</v>
      </c>
      <c r="I67" s="46">
        <f>'[2]2、属性成长'!Q68</f>
        <v>3.3449267643527299E-2</v>
      </c>
      <c r="J67" s="46">
        <f t="shared" si="7"/>
        <v>0.96655073235647271</v>
      </c>
      <c r="K67" s="46">
        <v>0.8</v>
      </c>
      <c r="M67">
        <f t="shared" si="13"/>
        <v>479930.30672844808</v>
      </c>
      <c r="N67" s="123">
        <f t="shared" si="14"/>
        <v>16199.386060545157</v>
      </c>
      <c r="O67">
        <f t="shared" si="15"/>
        <v>7199.7271380200691</v>
      </c>
      <c r="P67">
        <f t="shared" si="10"/>
        <v>8999.6589225250882</v>
      </c>
      <c r="Q67" s="15">
        <f t="shared" si="16"/>
        <v>20049.82</v>
      </c>
      <c r="R67" s="15">
        <f t="shared" si="17"/>
        <v>20049.82</v>
      </c>
      <c r="T67" s="2">
        <v>63</v>
      </c>
      <c r="U67" s="2">
        <f t="shared" si="11"/>
        <v>42596.325467703151</v>
      </c>
      <c r="W67">
        <f t="shared" si="18"/>
        <v>0.70219999999999994</v>
      </c>
      <c r="X67">
        <f t="shared" si="12"/>
        <v>0.70219999999999994</v>
      </c>
    </row>
    <row r="68" spans="2:24">
      <c r="B68" s="63">
        <v>64</v>
      </c>
      <c r="C68" s="15">
        <f t="shared" si="4"/>
        <v>20340.96</v>
      </c>
      <c r="D68" s="15">
        <f t="shared" si="5"/>
        <v>20340.96</v>
      </c>
      <c r="E68" s="2">
        <f>人物成长模拟表!C65</f>
        <v>644497.19917669601</v>
      </c>
      <c r="F68" s="124">
        <f>人物成长模拟表!D65</f>
        <v>21386.521202207365</v>
      </c>
      <c r="G68" s="2">
        <f>人物成长模拟表!E65</f>
        <v>9505.1205343143865</v>
      </c>
      <c r="H68" s="2">
        <f t="shared" si="6"/>
        <v>11881.400667892978</v>
      </c>
      <c r="I68" s="46">
        <f>'[2]2、属性成长'!Q69</f>
        <v>3.281431296678429E-2</v>
      </c>
      <c r="J68" s="46">
        <f t="shared" si="7"/>
        <v>0.96718568703321572</v>
      </c>
      <c r="K68" s="46">
        <v>0.8</v>
      </c>
      <c r="M68">
        <f t="shared" si="13"/>
        <v>515597.75934135681</v>
      </c>
      <c r="N68" s="123">
        <f t="shared" si="14"/>
        <v>17109.216961765891</v>
      </c>
      <c r="O68">
        <f t="shared" si="15"/>
        <v>7604.09642745151</v>
      </c>
      <c r="P68">
        <f t="shared" si="10"/>
        <v>9505.1205343143811</v>
      </c>
      <c r="Q68" s="15">
        <f t="shared" si="16"/>
        <v>20340.96</v>
      </c>
      <c r="R68" s="15">
        <f t="shared" si="17"/>
        <v>20340.96</v>
      </c>
      <c r="T68" s="2">
        <v>64</v>
      </c>
      <c r="U68" s="2">
        <f t="shared" si="11"/>
        <v>45337.223762871668</v>
      </c>
      <c r="W68">
        <f t="shared" si="18"/>
        <v>0.71029999999999993</v>
      </c>
      <c r="X68">
        <f t="shared" si="12"/>
        <v>0.71029999999999993</v>
      </c>
    </row>
    <row r="69" spans="2:24">
      <c r="B69" s="63">
        <v>65</v>
      </c>
      <c r="C69" s="15">
        <f t="shared" si="4"/>
        <v>20632.099999999999</v>
      </c>
      <c r="D69" s="15">
        <f t="shared" si="5"/>
        <v>20632.099999999999</v>
      </c>
      <c r="E69" s="2">
        <f>人物成长模拟表!C66</f>
        <v>691437.95105747296</v>
      </c>
      <c r="F69" s="124">
        <f>人物成长模拟表!D66</f>
        <v>22562.172843749999</v>
      </c>
      <c r="G69" s="2">
        <f>人物成长模拟表!E66</f>
        <v>10027.632375000001</v>
      </c>
      <c r="H69" s="2">
        <f t="shared" si="6"/>
        <v>12534.540468749998</v>
      </c>
      <c r="I69" s="46">
        <f>'[2]2、属性成长'!Q70</f>
        <v>3.2203015420177894E-2</v>
      </c>
      <c r="J69" s="46">
        <f t="shared" si="7"/>
        <v>0.96779698457982211</v>
      </c>
      <c r="K69" s="46">
        <v>0.8</v>
      </c>
      <c r="M69">
        <f t="shared" ref="M69:M104" si="19">E69*$K69</f>
        <v>553150.36084597837</v>
      </c>
      <c r="N69" s="123">
        <f t="shared" ref="N69:N104" si="20">F69*$K69</f>
        <v>18049.738275</v>
      </c>
      <c r="O69">
        <f t="shared" ref="O69:O104" si="21">G69*$K69</f>
        <v>8022.1059000000014</v>
      </c>
      <c r="P69">
        <f t="shared" si="10"/>
        <v>10027.632374999997</v>
      </c>
      <c r="Q69" s="15">
        <f t="shared" ref="Q69:Q104" si="22">C69</f>
        <v>20632.099999999999</v>
      </c>
      <c r="R69" s="15">
        <f t="shared" ref="R69:R104" si="23">D69</f>
        <v>20632.099999999999</v>
      </c>
      <c r="T69" s="2">
        <v>65</v>
      </c>
      <c r="U69" s="2">
        <f t="shared" si="11"/>
        <v>48197.858608839138</v>
      </c>
      <c r="W69">
        <f t="shared" ref="W69:W83" si="24">0.0081*B69+0.1919</f>
        <v>0.71839999999999993</v>
      </c>
      <c r="X69">
        <f t="shared" si="12"/>
        <v>0.71839999999999993</v>
      </c>
    </row>
    <row r="70" spans="2:24">
      <c r="B70" s="63">
        <v>66</v>
      </c>
      <c r="C70" s="15">
        <f t="shared" ref="C70:C83" si="25">291.14*B70+1708</f>
        <v>20923.239999999998</v>
      </c>
      <c r="D70" s="15">
        <f t="shared" ref="D70:D83" si="26">291.14*B70+1708</f>
        <v>20923.239999999998</v>
      </c>
      <c r="E70" s="2">
        <f>人物成长模拟表!C67</f>
        <v>740814.28843344527</v>
      </c>
      <c r="F70" s="124">
        <f>人物成长模拟表!D67</f>
        <v>23776.749788628775</v>
      </c>
      <c r="G70" s="2">
        <f>人物成长模拟表!E67</f>
        <v>10567.444350501679</v>
      </c>
      <c r="H70" s="2">
        <f t="shared" ref="H70:H104" si="27">F70-G70</f>
        <v>13209.305438127096</v>
      </c>
      <c r="I70" s="46">
        <f>'[2]2、属性成长'!Q71</f>
        <v>3.1614077057726842E-2</v>
      </c>
      <c r="J70" s="46">
        <f t="shared" ref="J70:J104" si="28">1-I70</f>
        <v>0.9683859229422731</v>
      </c>
      <c r="K70" s="46">
        <v>0.8</v>
      </c>
      <c r="M70">
        <f t="shared" si="19"/>
        <v>592651.43074675626</v>
      </c>
      <c r="N70" s="123">
        <f t="shared" si="20"/>
        <v>19021.399830903021</v>
      </c>
      <c r="O70">
        <f t="shared" si="21"/>
        <v>8453.9554804013442</v>
      </c>
      <c r="P70">
        <f t="shared" ref="P70:P104" si="29">N70-O70</f>
        <v>10567.444350501677</v>
      </c>
      <c r="Q70" s="15">
        <f t="shared" si="22"/>
        <v>20923.239999999998</v>
      </c>
      <c r="R70" s="15">
        <f t="shared" si="23"/>
        <v>20923.239999999998</v>
      </c>
      <c r="T70" s="2">
        <v>66</v>
      </c>
      <c r="U70" s="2">
        <f t="shared" ref="U70:U104" si="30">SUMPRODUCT($M$2:$O$2,M70:O70)</f>
        <v>51181.412541174621</v>
      </c>
      <c r="W70">
        <f t="shared" si="24"/>
        <v>0.72649999999999992</v>
      </c>
      <c r="X70">
        <f t="shared" ref="X70:X104" si="31">W70</f>
        <v>0.72649999999999992</v>
      </c>
    </row>
    <row r="71" spans="2:24">
      <c r="B71" s="63">
        <v>67</v>
      </c>
      <c r="C71" s="15">
        <f t="shared" si="25"/>
        <v>21214.379999999997</v>
      </c>
      <c r="D71" s="15">
        <f t="shared" si="26"/>
        <v>21214.379999999997</v>
      </c>
      <c r="E71" s="2">
        <f>人物成长模拟表!C68</f>
        <v>782920.1335361544</v>
      </c>
      <c r="F71" s="124">
        <f>人物成长模拟表!D68</f>
        <v>25030.814325163061</v>
      </c>
      <c r="G71" s="2">
        <f>人物成长模拟表!E68</f>
        <v>11124.806366739138</v>
      </c>
      <c r="H71" s="2">
        <f t="shared" si="27"/>
        <v>13906.007958423923</v>
      </c>
      <c r="I71" s="46">
        <f>'[2]2、属性成长'!Q72</f>
        <v>3.1046293177077373E-2</v>
      </c>
      <c r="J71" s="46">
        <f t="shared" si="28"/>
        <v>0.96895370682292259</v>
      </c>
      <c r="K71" s="46">
        <v>0.8</v>
      </c>
      <c r="M71">
        <f t="shared" si="19"/>
        <v>626336.10682892357</v>
      </c>
      <c r="N71" s="123">
        <f t="shared" si="20"/>
        <v>20024.651460130452</v>
      </c>
      <c r="O71">
        <f t="shared" si="21"/>
        <v>8899.84509339131</v>
      </c>
      <c r="P71">
        <f t="shared" si="29"/>
        <v>11124.806366739142</v>
      </c>
      <c r="Q71" s="15">
        <f t="shared" si="22"/>
        <v>21214.379999999997</v>
      </c>
      <c r="R71" s="15">
        <f t="shared" si="23"/>
        <v>21214.379999999997</v>
      </c>
      <c r="T71" s="2">
        <v>67</v>
      </c>
      <c r="U71" s="2">
        <f t="shared" si="30"/>
        <v>53977.940826678707</v>
      </c>
      <c r="W71">
        <f t="shared" si="24"/>
        <v>0.73459999999999992</v>
      </c>
      <c r="X71">
        <f t="shared" si="31"/>
        <v>0.73459999999999992</v>
      </c>
    </row>
    <row r="72" spans="2:24">
      <c r="B72" s="63">
        <v>68</v>
      </c>
      <c r="C72" s="15">
        <f t="shared" si="25"/>
        <v>21505.52</v>
      </c>
      <c r="D72" s="15">
        <f t="shared" si="26"/>
        <v>21505.52</v>
      </c>
      <c r="E72" s="2">
        <f>人物成长模拟表!C69</f>
        <v>826533.35589672311</v>
      </c>
      <c r="F72" s="124">
        <f>人物成长模拟表!D69</f>
        <v>26324.928741672262</v>
      </c>
      <c r="G72" s="2">
        <f>人物成长模拟表!E69</f>
        <v>11699.968329632116</v>
      </c>
      <c r="H72" s="2">
        <f t="shared" si="27"/>
        <v>14624.960412040145</v>
      </c>
      <c r="I72" s="46">
        <f>'[2]2、属性成长'!Q73</f>
        <v>3.0498544094026633E-2</v>
      </c>
      <c r="J72" s="46">
        <f t="shared" si="28"/>
        <v>0.96950145590597336</v>
      </c>
      <c r="K72" s="46">
        <v>0.8</v>
      </c>
      <c r="M72">
        <f t="shared" si="19"/>
        <v>661226.68471737858</v>
      </c>
      <c r="N72" s="123">
        <f t="shared" si="20"/>
        <v>21059.942993337812</v>
      </c>
      <c r="O72">
        <f t="shared" si="21"/>
        <v>9359.9746637056942</v>
      </c>
      <c r="P72">
        <f t="shared" si="29"/>
        <v>11699.968329632118</v>
      </c>
      <c r="Q72" s="15">
        <f t="shared" si="22"/>
        <v>21505.52</v>
      </c>
      <c r="R72" s="15">
        <f t="shared" si="23"/>
        <v>21505.52</v>
      </c>
      <c r="T72" s="2">
        <v>68</v>
      </c>
      <c r="U72" s="2">
        <f t="shared" si="30"/>
        <v>56868.985045738649</v>
      </c>
      <c r="W72">
        <f t="shared" si="24"/>
        <v>0.74269999999999992</v>
      </c>
      <c r="X72">
        <f t="shared" si="31"/>
        <v>0.74269999999999992</v>
      </c>
    </row>
    <row r="73" spans="2:24">
      <c r="B73" s="63">
        <v>69</v>
      </c>
      <c r="C73" s="15">
        <f t="shared" si="25"/>
        <v>21796.66</v>
      </c>
      <c r="D73" s="15">
        <f t="shared" si="26"/>
        <v>21796.66</v>
      </c>
      <c r="E73" s="2">
        <f>人物成长模拟表!C70</f>
        <v>871679.44591896411</v>
      </c>
      <c r="F73" s="124">
        <f>人物成长模拟表!D70</f>
        <v>27659.655326475775</v>
      </c>
      <c r="G73" s="2">
        <f>人物成长模拟表!E70</f>
        <v>12293.180145100345</v>
      </c>
      <c r="H73" s="2">
        <f t="shared" si="27"/>
        <v>15366.47518137543</v>
      </c>
      <c r="I73" s="46">
        <f>'[2]2、属性成长'!Q74</f>
        <v>2.9969787772681576E-2</v>
      </c>
      <c r="J73" s="46">
        <f t="shared" si="28"/>
        <v>0.97003021222731844</v>
      </c>
      <c r="K73" s="46">
        <v>0.8</v>
      </c>
      <c r="M73">
        <f t="shared" si="19"/>
        <v>697343.55673517135</v>
      </c>
      <c r="N73" s="123">
        <f t="shared" si="20"/>
        <v>22127.724261180621</v>
      </c>
      <c r="O73">
        <f t="shared" si="21"/>
        <v>9834.5441160802766</v>
      </c>
      <c r="P73">
        <f t="shared" si="29"/>
        <v>12293.180145100345</v>
      </c>
      <c r="Q73" s="15">
        <f t="shared" si="22"/>
        <v>21796.66</v>
      </c>
      <c r="R73" s="15">
        <f t="shared" si="23"/>
        <v>21796.66</v>
      </c>
      <c r="T73" s="2">
        <v>69</v>
      </c>
      <c r="U73" s="2">
        <f t="shared" si="30"/>
        <v>59856.010646667753</v>
      </c>
      <c r="W73">
        <f t="shared" si="24"/>
        <v>0.75079999999999991</v>
      </c>
      <c r="X73">
        <f t="shared" si="31"/>
        <v>0.75079999999999991</v>
      </c>
    </row>
    <row r="74" spans="2:24">
      <c r="B74" s="63">
        <v>70</v>
      </c>
      <c r="C74" s="15">
        <f t="shared" si="25"/>
        <v>22087.8</v>
      </c>
      <c r="D74" s="15">
        <f t="shared" si="26"/>
        <v>22087.8</v>
      </c>
      <c r="E74" s="2">
        <f>人物成长模拟表!C71</f>
        <v>921862.62087792717</v>
      </c>
      <c r="F74" s="124">
        <f>人物成长模拟表!D71</f>
        <v>29145.539535953201</v>
      </c>
      <c r="G74" s="2">
        <f>人物成长模拟表!E71</f>
        <v>12953.573127090312</v>
      </c>
      <c r="H74" s="2">
        <f t="shared" si="27"/>
        <v>16191.966408862889</v>
      </c>
      <c r="I74" s="46">
        <f>'[2]2、属性成长'!Q75</f>
        <v>2.9459053209183291E-2</v>
      </c>
      <c r="J74" s="46">
        <f t="shared" si="28"/>
        <v>0.97054094679081671</v>
      </c>
      <c r="K74" s="46">
        <v>0.8</v>
      </c>
      <c r="M74">
        <f t="shared" si="19"/>
        <v>737490.09670234181</v>
      </c>
      <c r="N74" s="123">
        <f t="shared" si="20"/>
        <v>23316.431628762562</v>
      </c>
      <c r="O74">
        <f t="shared" si="21"/>
        <v>10362.85850167225</v>
      </c>
      <c r="P74">
        <f t="shared" si="29"/>
        <v>12953.573127090312</v>
      </c>
      <c r="Q74" s="15">
        <f t="shared" si="22"/>
        <v>22087.8</v>
      </c>
      <c r="R74" s="15">
        <f t="shared" si="23"/>
        <v>22087.8</v>
      </c>
      <c r="T74" s="2">
        <v>70</v>
      </c>
      <c r="U74" s="2">
        <f t="shared" si="30"/>
        <v>63178.893998528481</v>
      </c>
      <c r="W74">
        <f t="shared" si="24"/>
        <v>0.75889999999999991</v>
      </c>
      <c r="X74">
        <f t="shared" si="31"/>
        <v>0.75889999999999991</v>
      </c>
    </row>
    <row r="75" spans="2:24">
      <c r="B75" s="63">
        <v>71</v>
      </c>
      <c r="C75" s="15">
        <f t="shared" si="25"/>
        <v>22378.94</v>
      </c>
      <c r="D75" s="15">
        <f t="shared" si="26"/>
        <v>22378.94</v>
      </c>
      <c r="E75" s="2">
        <f>人物成长模拟表!C72</f>
        <v>973832.72530862933</v>
      </c>
      <c r="F75" s="124">
        <f>人物成长模拟表!D72</f>
        <v>30678.773370200688</v>
      </c>
      <c r="G75" s="2">
        <f>人物成长模拟表!E72</f>
        <v>13635.010386755861</v>
      </c>
      <c r="H75" s="2">
        <f t="shared" si="27"/>
        <v>17043.762983444827</v>
      </c>
      <c r="I75" s="46">
        <f>'[2]2、属性成长'!Q76</f>
        <v>2.8965434480609013E-2</v>
      </c>
      <c r="J75" s="46">
        <f t="shared" si="28"/>
        <v>0.97103456551939094</v>
      </c>
      <c r="K75" s="46">
        <v>0.8</v>
      </c>
      <c r="M75">
        <f t="shared" si="19"/>
        <v>779066.18024690356</v>
      </c>
      <c r="N75" s="123">
        <f t="shared" si="20"/>
        <v>24543.01869616055</v>
      </c>
      <c r="O75">
        <f t="shared" si="21"/>
        <v>10908.008309404689</v>
      </c>
      <c r="P75">
        <f t="shared" si="29"/>
        <v>13635.010386755861</v>
      </c>
      <c r="Q75" s="15">
        <f t="shared" si="22"/>
        <v>22378.94</v>
      </c>
      <c r="R75" s="15">
        <f t="shared" si="23"/>
        <v>22378.94</v>
      </c>
      <c r="T75" s="2">
        <v>71</v>
      </c>
      <c r="U75" s="2">
        <f t="shared" si="30"/>
        <v>66613.674215441381</v>
      </c>
      <c r="W75">
        <f t="shared" si="24"/>
        <v>0.7669999999999999</v>
      </c>
      <c r="X75">
        <f t="shared" si="31"/>
        <v>0.7669999999999999</v>
      </c>
    </row>
    <row r="76" spans="2:24">
      <c r="B76" s="63">
        <v>72</v>
      </c>
      <c r="C76" s="15">
        <f t="shared" si="25"/>
        <v>22670.079999999998</v>
      </c>
      <c r="D76" s="15">
        <f t="shared" si="26"/>
        <v>22670.079999999998</v>
      </c>
      <c r="E76" s="2">
        <f>人物成长模拟表!C73</f>
        <v>1027619.4980155191</v>
      </c>
      <c r="F76" s="124">
        <f>人物成长模拟表!D73</f>
        <v>32260.012832257547</v>
      </c>
      <c r="G76" s="2">
        <f>人物成长模拟表!E73</f>
        <v>14337.783481003353</v>
      </c>
      <c r="H76" s="2">
        <f t="shared" si="27"/>
        <v>17922.229351254195</v>
      </c>
      <c r="I76" s="46">
        <f>'[2]2、属性成长'!Q77</f>
        <v>2.8488085382317171E-2</v>
      </c>
      <c r="J76" s="46">
        <f t="shared" si="28"/>
        <v>0.97151191461768283</v>
      </c>
      <c r="K76" s="46">
        <v>0.8</v>
      </c>
      <c r="M76">
        <f t="shared" si="19"/>
        <v>822095.59841241536</v>
      </c>
      <c r="N76" s="123">
        <f t="shared" si="20"/>
        <v>25808.010265806039</v>
      </c>
      <c r="O76">
        <f t="shared" si="21"/>
        <v>11470.226784802682</v>
      </c>
      <c r="P76">
        <f t="shared" si="29"/>
        <v>14337.783481003356</v>
      </c>
      <c r="Q76" s="15">
        <f t="shared" si="22"/>
        <v>22670.079999999998</v>
      </c>
      <c r="R76" s="15">
        <f t="shared" si="23"/>
        <v>22670.079999999998</v>
      </c>
      <c r="T76" s="2">
        <v>72</v>
      </c>
      <c r="U76" s="2">
        <f t="shared" si="30"/>
        <v>70162.060987105331</v>
      </c>
      <c r="W76">
        <f t="shared" si="24"/>
        <v>0.7750999999999999</v>
      </c>
      <c r="X76">
        <f t="shared" si="31"/>
        <v>0.7750999999999999</v>
      </c>
    </row>
    <row r="77" spans="2:24">
      <c r="B77" s="63">
        <v>73</v>
      </c>
      <c r="C77" s="15">
        <f t="shared" si="25"/>
        <v>22961.219999999998</v>
      </c>
      <c r="D77" s="15">
        <f t="shared" si="26"/>
        <v>22961.219999999998</v>
      </c>
      <c r="E77" s="2">
        <f>人物成长模拟表!C74</f>
        <v>1083252.6778030442</v>
      </c>
      <c r="F77" s="124">
        <f>人物成长模拟表!D74</f>
        <v>33889.913925163062</v>
      </c>
      <c r="G77" s="2">
        <f>人物成长模拟表!E74</f>
        <v>15062.183966739141</v>
      </c>
      <c r="H77" s="2">
        <f t="shared" si="27"/>
        <v>18827.729958423923</v>
      </c>
      <c r="I77" s="46">
        <f>'[2]2、属性成长'!Q78</f>
        <v>2.8026214586953407E-2</v>
      </c>
      <c r="J77" s="46">
        <f t="shared" si="28"/>
        <v>0.97197378541304658</v>
      </c>
      <c r="K77" s="46">
        <v>0.8</v>
      </c>
      <c r="M77">
        <f t="shared" si="19"/>
        <v>866602.14224243537</v>
      </c>
      <c r="N77" s="123">
        <f t="shared" si="20"/>
        <v>27111.931140130451</v>
      </c>
      <c r="O77">
        <f t="shared" si="21"/>
        <v>12049.747173391313</v>
      </c>
      <c r="P77">
        <f t="shared" si="29"/>
        <v>15062.183966739138</v>
      </c>
      <c r="Q77" s="15">
        <f t="shared" si="22"/>
        <v>22961.219999999998</v>
      </c>
      <c r="R77" s="15">
        <f t="shared" si="23"/>
        <v>22961.219999999998</v>
      </c>
      <c r="T77" s="2">
        <v>73</v>
      </c>
      <c r="U77" s="2">
        <f t="shared" si="30"/>
        <v>73825.764003219185</v>
      </c>
      <c r="W77">
        <f t="shared" si="24"/>
        <v>0.7831999999999999</v>
      </c>
      <c r="X77">
        <f t="shared" si="31"/>
        <v>0.7831999999999999</v>
      </c>
    </row>
    <row r="78" spans="2:24">
      <c r="B78" s="63">
        <v>74</v>
      </c>
      <c r="C78" s="15">
        <f t="shared" si="25"/>
        <v>23252.36</v>
      </c>
      <c r="D78" s="15">
        <f t="shared" si="26"/>
        <v>23252.36</v>
      </c>
      <c r="E78" s="2">
        <f>人物成长模拟表!C75</f>
        <v>1140762.0034756528</v>
      </c>
      <c r="F78" s="124">
        <f>人物成长模拟表!D75</f>
        <v>35569.132651956541</v>
      </c>
      <c r="G78" s="2">
        <f>人物成长模拟表!E75</f>
        <v>15808.503400869573</v>
      </c>
      <c r="H78" s="2">
        <f t="shared" si="27"/>
        <v>19760.629251086968</v>
      </c>
      <c r="I78" s="46">
        <f>'[2]2、属性成长'!Q79</f>
        <v>2.7579081266859089E-2</v>
      </c>
      <c r="J78" s="46">
        <f t="shared" si="28"/>
        <v>0.97242091873314096</v>
      </c>
      <c r="K78" s="46">
        <v>0.8</v>
      </c>
      <c r="M78">
        <f t="shared" si="19"/>
        <v>912609.60278052231</v>
      </c>
      <c r="N78" s="123">
        <f t="shared" si="20"/>
        <v>28455.306121565234</v>
      </c>
      <c r="O78">
        <f t="shared" si="21"/>
        <v>12646.802720695659</v>
      </c>
      <c r="P78">
        <f t="shared" si="29"/>
        <v>15808.503400869575</v>
      </c>
      <c r="Q78" s="15">
        <f t="shared" si="22"/>
        <v>23252.36</v>
      </c>
      <c r="R78" s="15">
        <f t="shared" si="23"/>
        <v>23252.36</v>
      </c>
      <c r="T78" s="2">
        <v>74</v>
      </c>
      <c r="U78" s="2">
        <f t="shared" si="30"/>
        <v>77606.492953481778</v>
      </c>
      <c r="W78">
        <f t="shared" si="24"/>
        <v>0.79129999999999989</v>
      </c>
      <c r="X78">
        <f t="shared" si="31"/>
        <v>0.79129999999999989</v>
      </c>
    </row>
    <row r="79" spans="2:24">
      <c r="B79" s="63">
        <v>75</v>
      </c>
      <c r="C79" s="15">
        <f t="shared" si="25"/>
        <v>23543.5</v>
      </c>
      <c r="D79" s="15">
        <f t="shared" si="26"/>
        <v>23543.5</v>
      </c>
      <c r="E79" s="2">
        <f>人物成长模拟表!C76</f>
        <v>1200177.2138377933</v>
      </c>
      <c r="F79" s="124">
        <f>人物成长模拟表!D76</f>
        <v>37298.325015677277</v>
      </c>
      <c r="G79" s="2">
        <f>人物成长模拟表!E76</f>
        <v>16577.033340301015</v>
      </c>
      <c r="H79" s="2">
        <f t="shared" si="27"/>
        <v>20721.291675376262</v>
      </c>
      <c r="I79" s="46">
        <f>'[2]2、属性成长'!Q80</f>
        <v>2.7145991128942799E-2</v>
      </c>
      <c r="J79" s="46">
        <f t="shared" si="28"/>
        <v>0.97285400887105722</v>
      </c>
      <c r="K79" s="46">
        <v>0.8</v>
      </c>
      <c r="M79">
        <f t="shared" si="19"/>
        <v>960141.77107023471</v>
      </c>
      <c r="N79" s="123">
        <f t="shared" si="20"/>
        <v>29838.660012541823</v>
      </c>
      <c r="O79">
        <f t="shared" si="21"/>
        <v>13261.626672240813</v>
      </c>
      <c r="P79">
        <f t="shared" si="29"/>
        <v>16577.033340301008</v>
      </c>
      <c r="Q79" s="15">
        <f t="shared" si="22"/>
        <v>23543.5</v>
      </c>
      <c r="R79" s="15">
        <f t="shared" si="23"/>
        <v>23543.5</v>
      </c>
      <c r="T79" s="2">
        <v>75</v>
      </c>
      <c r="U79" s="2">
        <f t="shared" si="30"/>
        <v>81505.957527592036</v>
      </c>
      <c r="W79">
        <f t="shared" si="24"/>
        <v>0.79939999999999989</v>
      </c>
      <c r="X79">
        <f t="shared" si="31"/>
        <v>0.79939999999999989</v>
      </c>
    </row>
    <row r="80" spans="2:24">
      <c r="B80" s="63">
        <v>76</v>
      </c>
      <c r="C80" s="15">
        <f t="shared" si="25"/>
        <v>23834.639999999999</v>
      </c>
      <c r="D80" s="15">
        <f t="shared" si="26"/>
        <v>23834.639999999999</v>
      </c>
      <c r="E80" s="2">
        <f>人物成长模拟表!C77</f>
        <v>1261528.0476939138</v>
      </c>
      <c r="F80" s="124">
        <f>人物成长模拟表!D77</f>
        <v>39078.147019364565</v>
      </c>
      <c r="G80" s="2">
        <f>人物成长模拟表!E77</f>
        <v>17368.065341939808</v>
      </c>
      <c r="H80" s="2">
        <f t="shared" si="27"/>
        <v>21710.081677424758</v>
      </c>
      <c r="I80" s="46">
        <f>'[2]2、属性成长'!Q81</f>
        <v>2.6726292817375846E-2</v>
      </c>
      <c r="J80" s="46">
        <f t="shared" si="28"/>
        <v>0.97327370718262418</v>
      </c>
      <c r="K80" s="46">
        <v>0.8</v>
      </c>
      <c r="M80">
        <f t="shared" si="19"/>
        <v>1009222.4381551311</v>
      </c>
      <c r="N80" s="123">
        <f t="shared" si="20"/>
        <v>31262.517615491655</v>
      </c>
      <c r="O80">
        <f t="shared" si="21"/>
        <v>13894.452273551848</v>
      </c>
      <c r="P80">
        <f t="shared" si="29"/>
        <v>17368.065341939808</v>
      </c>
      <c r="Q80" s="15">
        <f t="shared" si="22"/>
        <v>23834.639999999999</v>
      </c>
      <c r="R80" s="15">
        <f t="shared" si="23"/>
        <v>23834.639999999999</v>
      </c>
      <c r="T80" s="2">
        <v>76</v>
      </c>
      <c r="U80" s="2">
        <f t="shared" si="30"/>
        <v>85525.867415248737</v>
      </c>
      <c r="W80">
        <f t="shared" si="24"/>
        <v>0.80749999999999988</v>
      </c>
      <c r="X80">
        <f t="shared" si="31"/>
        <v>0.80749999999999988</v>
      </c>
    </row>
    <row r="81" spans="2:24">
      <c r="B81" s="63">
        <v>77</v>
      </c>
      <c r="C81" s="15">
        <f t="shared" si="25"/>
        <v>24125.78</v>
      </c>
      <c r="D81" s="15">
        <f t="shared" si="26"/>
        <v>24125.78</v>
      </c>
      <c r="E81" s="2">
        <f>人物成长模拟表!C78</f>
        <v>1324844.2438484624</v>
      </c>
      <c r="F81" s="124">
        <f>人物成长模拟表!D78</f>
        <v>40909.254666057714</v>
      </c>
      <c r="G81" s="2">
        <f>人物成长模拟表!E78</f>
        <v>18181.890962692316</v>
      </c>
      <c r="H81" s="2">
        <f t="shared" si="27"/>
        <v>22727.363703365398</v>
      </c>
      <c r="I81" s="46">
        <f>'[2]2、属性成长'!Q82</f>
        <v>2.6319374644909879E-2</v>
      </c>
      <c r="J81" s="46">
        <f t="shared" si="28"/>
        <v>0.97368062535509015</v>
      </c>
      <c r="K81" s="46">
        <v>0.8</v>
      </c>
      <c r="M81">
        <f t="shared" si="19"/>
        <v>1059875.3950787699</v>
      </c>
      <c r="N81" s="123">
        <f t="shared" si="20"/>
        <v>32727.403732846171</v>
      </c>
      <c r="O81">
        <f t="shared" si="21"/>
        <v>14545.512770153853</v>
      </c>
      <c r="P81">
        <f t="shared" si="29"/>
        <v>18181.89096269232</v>
      </c>
      <c r="Q81" s="15">
        <f t="shared" si="22"/>
        <v>24125.78</v>
      </c>
      <c r="R81" s="15">
        <f t="shared" si="23"/>
        <v>24125.78</v>
      </c>
      <c r="T81" s="2">
        <v>77</v>
      </c>
      <c r="U81" s="2">
        <f t="shared" si="30"/>
        <v>89667.932306150833</v>
      </c>
      <c r="W81">
        <f t="shared" si="24"/>
        <v>0.81559999999999988</v>
      </c>
      <c r="X81">
        <f t="shared" si="31"/>
        <v>0.81559999999999988</v>
      </c>
    </row>
    <row r="82" spans="2:24">
      <c r="B82" s="63">
        <v>78</v>
      </c>
      <c r="C82" s="15">
        <f t="shared" si="25"/>
        <v>24416.92</v>
      </c>
      <c r="D82" s="15">
        <f t="shared" si="26"/>
        <v>24416.92</v>
      </c>
      <c r="E82" s="2">
        <f>人物成长模拟表!C79</f>
        <v>1390155.5411058867</v>
      </c>
      <c r="F82" s="124">
        <f>人物成长模拟表!D79</f>
        <v>42792.303958795994</v>
      </c>
      <c r="G82" s="2">
        <f>人物成长模拟表!E79</f>
        <v>19018.801759464888</v>
      </c>
      <c r="H82" s="2">
        <f t="shared" si="27"/>
        <v>23773.502199331106</v>
      </c>
      <c r="I82" s="46">
        <f>'[2]2、属性成长'!Q83</f>
        <v>2.5924661618318103E-2</v>
      </c>
      <c r="J82" s="46">
        <f t="shared" si="28"/>
        <v>0.97407533838168192</v>
      </c>
      <c r="K82" s="46">
        <v>0.8</v>
      </c>
      <c r="M82">
        <f t="shared" si="19"/>
        <v>1112124.4328847094</v>
      </c>
      <c r="N82" s="123">
        <f t="shared" si="20"/>
        <v>34233.843167036794</v>
      </c>
      <c r="O82">
        <f t="shared" si="21"/>
        <v>15215.041407571911</v>
      </c>
      <c r="P82">
        <f t="shared" si="29"/>
        <v>19018.801759464885</v>
      </c>
      <c r="Q82" s="15">
        <f t="shared" si="22"/>
        <v>24416.92</v>
      </c>
      <c r="R82" s="15">
        <f t="shared" si="23"/>
        <v>24416.92</v>
      </c>
      <c r="T82" s="2">
        <v>78</v>
      </c>
      <c r="U82" s="2">
        <f t="shared" si="30"/>
        <v>93933.86188999709</v>
      </c>
      <c r="W82">
        <f t="shared" si="24"/>
        <v>0.82369999999999988</v>
      </c>
      <c r="X82">
        <f t="shared" si="31"/>
        <v>0.82369999999999988</v>
      </c>
    </row>
    <row r="83" spans="2:24">
      <c r="B83" s="63">
        <v>79</v>
      </c>
      <c r="C83" s="15">
        <f t="shared" si="25"/>
        <v>24708.059999999998</v>
      </c>
      <c r="D83" s="15">
        <f t="shared" si="26"/>
        <v>24708.059999999998</v>
      </c>
      <c r="E83" s="2">
        <f>人物成长模拟表!C80</f>
        <v>1457491.6782706361</v>
      </c>
      <c r="F83" s="124">
        <f>人物成长模拟表!D80</f>
        <v>44727.950900618751</v>
      </c>
      <c r="G83" s="2">
        <f>人物成长模拟表!E80</f>
        <v>19879.08928916389</v>
      </c>
      <c r="H83" s="2">
        <f t="shared" si="27"/>
        <v>24848.86161145486</v>
      </c>
      <c r="I83" s="46">
        <f>'[2]2、属性成长'!Q84</f>
        <v>2.5541612727539385E-2</v>
      </c>
      <c r="J83" s="46">
        <f t="shared" si="28"/>
        <v>0.97445838727246059</v>
      </c>
      <c r="K83" s="46">
        <v>0.8</v>
      </c>
      <c r="M83">
        <f t="shared" si="19"/>
        <v>1165993.3426165089</v>
      </c>
      <c r="N83" s="123">
        <f t="shared" si="20"/>
        <v>35782.360720495002</v>
      </c>
      <c r="O83">
        <f t="shared" si="21"/>
        <v>15903.271431331113</v>
      </c>
      <c r="P83">
        <f t="shared" si="29"/>
        <v>19879.089289163887</v>
      </c>
      <c r="Q83" s="15">
        <f t="shared" si="22"/>
        <v>24708.059999999998</v>
      </c>
      <c r="R83" s="15">
        <f t="shared" si="23"/>
        <v>24708.059999999998</v>
      </c>
      <c r="T83" s="2">
        <v>79</v>
      </c>
      <c r="U83" s="2">
        <f t="shared" si="30"/>
        <v>98325.365856486475</v>
      </c>
      <c r="W83">
        <f t="shared" si="24"/>
        <v>0.83179999999999987</v>
      </c>
      <c r="X83">
        <f t="shared" si="31"/>
        <v>0.83179999999999987</v>
      </c>
    </row>
    <row r="84" spans="2:24" s="60" customFormat="1">
      <c r="B84" s="61">
        <v>80</v>
      </c>
      <c r="C84" s="77">
        <f>291.14*B84+1708</f>
        <v>24999.199999999997</v>
      </c>
      <c r="D84" s="77">
        <f>291.14*B84+1708</f>
        <v>24999.199999999997</v>
      </c>
      <c r="E84" s="79">
        <f>人物成长模拟表!C81</f>
        <v>1531440.2520401338</v>
      </c>
      <c r="F84" s="125">
        <f>人物成长模拟表!D81</f>
        <v>46856.304782608699</v>
      </c>
      <c r="G84" s="79">
        <f>人物成长模拟表!E81</f>
        <v>20825.024347826089</v>
      </c>
      <c r="H84" s="79">
        <f t="shared" si="27"/>
        <v>26031.28043478261</v>
      </c>
      <c r="I84" s="62">
        <f>'[2]2、属性成长'!Q85</f>
        <v>2.5169718471648117E-2</v>
      </c>
      <c r="J84" s="62">
        <f t="shared" si="28"/>
        <v>0.97483028152835183</v>
      </c>
      <c r="K84" s="122">
        <v>0.8</v>
      </c>
      <c r="M84" s="78">
        <f t="shared" si="19"/>
        <v>1225152.2016321071</v>
      </c>
      <c r="N84" s="126">
        <f t="shared" si="20"/>
        <v>37485.043826086963</v>
      </c>
      <c r="O84" s="78">
        <f t="shared" si="21"/>
        <v>16660.019478260871</v>
      </c>
      <c r="P84" s="78">
        <f t="shared" si="29"/>
        <v>20825.024347826093</v>
      </c>
      <c r="Q84" s="77">
        <f t="shared" si="22"/>
        <v>24999.199999999997</v>
      </c>
      <c r="R84" s="77">
        <f t="shared" si="23"/>
        <v>24999.199999999997</v>
      </c>
      <c r="T84" s="79">
        <v>80</v>
      </c>
      <c r="U84" s="79">
        <f t="shared" si="30"/>
        <v>103151.15136963212</v>
      </c>
      <c r="W84" s="60">
        <v>0.8</v>
      </c>
      <c r="X84" s="78">
        <f t="shared" si="31"/>
        <v>0.8</v>
      </c>
    </row>
    <row r="85" spans="2:24">
      <c r="B85" s="63">
        <v>81</v>
      </c>
      <c r="C85">
        <f t="shared" ref="C85:C104" si="32">291.14*B85+1708</f>
        <v>25290.34</v>
      </c>
      <c r="D85">
        <f t="shared" ref="D85:D104" si="33">291.14*B85+1708</f>
        <v>25290.34</v>
      </c>
      <c r="E85" s="2">
        <f>人物成长模拟表!C82</f>
        <v>1909149.1495615474</v>
      </c>
      <c r="F85" s="124">
        <f>人物成长模拟表!D82</f>
        <v>49044.805964398009</v>
      </c>
      <c r="G85" s="2">
        <f>人物成长模拟表!E82</f>
        <v>21797.691539732452</v>
      </c>
      <c r="H85" s="2">
        <f t="shared" si="27"/>
        <v>27247.114424665557</v>
      </c>
      <c r="I85" s="46">
        <f>'[2]2、属性成长'!Q86</f>
        <v>2.4808498597858299E-2</v>
      </c>
      <c r="J85" s="46">
        <f t="shared" si="28"/>
        <v>0.97519150140214172</v>
      </c>
      <c r="K85" s="46">
        <v>0.8</v>
      </c>
      <c r="M85">
        <f t="shared" si="19"/>
        <v>1527319.3196492381</v>
      </c>
      <c r="N85" s="123">
        <f t="shared" si="20"/>
        <v>39235.844771518408</v>
      </c>
      <c r="O85">
        <f t="shared" si="21"/>
        <v>17438.153231785964</v>
      </c>
      <c r="P85">
        <f t="shared" si="29"/>
        <v>21797.691539732445</v>
      </c>
      <c r="Q85" s="15">
        <f t="shared" si="22"/>
        <v>25290.34</v>
      </c>
      <c r="R85" s="15">
        <f t="shared" si="23"/>
        <v>25290.34</v>
      </c>
      <c r="T85" s="2">
        <v>81</v>
      </c>
      <c r="U85" s="2">
        <f t="shared" si="30"/>
        <v>117766.77078927391</v>
      </c>
      <c r="X85">
        <f t="shared" si="31"/>
        <v>0</v>
      </c>
    </row>
    <row r="86" spans="2:24">
      <c r="B86" s="63">
        <v>82</v>
      </c>
      <c r="C86">
        <f t="shared" si="32"/>
        <v>25581.48</v>
      </c>
      <c r="D86">
        <f t="shared" si="33"/>
        <v>25581.48</v>
      </c>
      <c r="E86" s="2">
        <f>人物成长模拟表!C83</f>
        <v>2023582.2604234922</v>
      </c>
      <c r="F86" s="124">
        <f>人物成长模拟表!D83</f>
        <v>51294.204163745839</v>
      </c>
      <c r="G86" s="2">
        <f>人物成长模拟表!E83</f>
        <v>22797.424072775928</v>
      </c>
      <c r="H86" s="2">
        <f t="shared" si="27"/>
        <v>28496.780090969911</v>
      </c>
      <c r="I86" s="46">
        <f>'[2]2、属性成长'!Q87</f>
        <v>2.4457500032463445E-2</v>
      </c>
      <c r="J86" s="46">
        <f t="shared" si="28"/>
        <v>0.9755424999675365</v>
      </c>
      <c r="K86" s="46">
        <v>0.8</v>
      </c>
      <c r="M86">
        <f t="shared" si="19"/>
        <v>1618865.8083387939</v>
      </c>
      <c r="N86" s="123">
        <f t="shared" si="20"/>
        <v>41035.363330996675</v>
      </c>
      <c r="O86">
        <f t="shared" si="21"/>
        <v>18237.939258220744</v>
      </c>
      <c r="P86">
        <f t="shared" si="29"/>
        <v>22797.424072775932</v>
      </c>
      <c r="Q86" s="15">
        <f t="shared" si="22"/>
        <v>25581.48</v>
      </c>
      <c r="R86" s="15">
        <f t="shared" si="23"/>
        <v>25581.48</v>
      </c>
      <c r="T86" s="2">
        <v>82</v>
      </c>
      <c r="U86" s="2">
        <f t="shared" si="30"/>
        <v>124027.93492276917</v>
      </c>
      <c r="X86">
        <f t="shared" si="31"/>
        <v>0</v>
      </c>
    </row>
    <row r="87" spans="2:24">
      <c r="B87" s="63">
        <v>83</v>
      </c>
      <c r="C87">
        <f t="shared" si="32"/>
        <v>25872.62</v>
      </c>
      <c r="D87">
        <f t="shared" si="33"/>
        <v>25872.62</v>
      </c>
      <c r="E87" s="2">
        <f>人物成长模拟表!C84</f>
        <v>2142870.9522839556</v>
      </c>
      <c r="F87" s="124">
        <f>人物成长模拟表!D84</f>
        <v>53605.24909841139</v>
      </c>
      <c r="G87" s="2">
        <f>人物成长模拟表!E84</f>
        <v>23824.55515484951</v>
      </c>
      <c r="H87" s="2">
        <f t="shared" si="27"/>
        <v>29780.693943561881</v>
      </c>
      <c r="I87" s="46">
        <f>'[2]2、属性成长'!Q88</f>
        <v>2.4116294984968398E-2</v>
      </c>
      <c r="J87" s="46">
        <f t="shared" si="28"/>
        <v>0.97588370501503163</v>
      </c>
      <c r="K87" s="46">
        <v>0.8</v>
      </c>
      <c r="M87">
        <f t="shared" si="19"/>
        <v>1714296.7618271646</v>
      </c>
      <c r="N87" s="123">
        <f t="shared" si="20"/>
        <v>42884.199278729116</v>
      </c>
      <c r="O87">
        <f t="shared" si="21"/>
        <v>19059.644123879607</v>
      </c>
      <c r="P87">
        <f t="shared" si="29"/>
        <v>23824.55515484951</v>
      </c>
      <c r="Q87" s="15">
        <f t="shared" si="22"/>
        <v>25872.62</v>
      </c>
      <c r="R87" s="15">
        <f t="shared" si="23"/>
        <v>25872.62</v>
      </c>
      <c r="T87" s="2">
        <v>83</v>
      </c>
      <c r="U87" s="2">
        <f t="shared" si="30"/>
        <v>130515.71387569531</v>
      </c>
      <c r="X87">
        <f t="shared" si="31"/>
        <v>0</v>
      </c>
    </row>
    <row r="88" spans="2:24">
      <c r="B88" s="63">
        <v>84</v>
      </c>
      <c r="C88">
        <f t="shared" si="32"/>
        <v>26163.759999999998</v>
      </c>
      <c r="D88">
        <f t="shared" si="33"/>
        <v>26163.759999999998</v>
      </c>
      <c r="E88" s="2">
        <f>人物成长模拟表!C85</f>
        <v>2267146.2480541547</v>
      </c>
      <c r="F88" s="124">
        <f>人物成长模拟表!D85</f>
        <v>55978.690486153864</v>
      </c>
      <c r="G88" s="2">
        <f>人物成长模拟表!E85</f>
        <v>24879.417993846164</v>
      </c>
      <c r="H88" s="2">
        <f t="shared" si="27"/>
        <v>31099.2724923077</v>
      </c>
      <c r="I88" s="46">
        <f>'[2]2、属性成长'!Q89</f>
        <v>2.3784479208732535E-2</v>
      </c>
      <c r="J88" s="46">
        <f t="shared" si="28"/>
        <v>0.9762155207912675</v>
      </c>
      <c r="K88" s="46">
        <v>0.8</v>
      </c>
      <c r="M88">
        <f t="shared" si="19"/>
        <v>1813716.9984433239</v>
      </c>
      <c r="N88" s="123">
        <f t="shared" si="20"/>
        <v>44782.952388923091</v>
      </c>
      <c r="O88">
        <f t="shared" si="21"/>
        <v>19903.534395076931</v>
      </c>
      <c r="P88">
        <f t="shared" si="29"/>
        <v>24879.41799384616</v>
      </c>
      <c r="Q88" s="15">
        <f t="shared" si="22"/>
        <v>26163.759999999998</v>
      </c>
      <c r="R88" s="15">
        <f t="shared" si="23"/>
        <v>26163.759999999998</v>
      </c>
      <c r="T88" s="2">
        <v>84</v>
      </c>
      <c r="U88" s="2">
        <f t="shared" si="30"/>
        <v>137235.166721733</v>
      </c>
      <c r="X88">
        <f t="shared" si="31"/>
        <v>0</v>
      </c>
    </row>
    <row r="89" spans="2:24">
      <c r="B89" s="63">
        <v>85</v>
      </c>
      <c r="C89">
        <f t="shared" si="32"/>
        <v>26454.899999999998</v>
      </c>
      <c r="D89">
        <f t="shared" si="33"/>
        <v>26454.899999999998</v>
      </c>
      <c r="E89" s="2">
        <f>人物成长模拟表!C86</f>
        <v>2396540.8700055596</v>
      </c>
      <c r="F89" s="124">
        <f>人物成长模拟表!D86</f>
        <v>58415.278044732448</v>
      </c>
      <c r="G89" s="2">
        <f>人物成长模拟表!E86</f>
        <v>25962.345797658862</v>
      </c>
      <c r="H89" s="2">
        <f t="shared" si="27"/>
        <v>32452.932247073586</v>
      </c>
      <c r="I89" s="46">
        <f>'[2]2、属性成长'!Q90</f>
        <v>2.3461670403254819E-2</v>
      </c>
      <c r="J89" s="46">
        <f t="shared" si="28"/>
        <v>0.97653832959674514</v>
      </c>
      <c r="K89" s="46">
        <v>0.8</v>
      </c>
      <c r="M89">
        <f t="shared" si="19"/>
        <v>1917232.6960044478</v>
      </c>
      <c r="N89" s="123">
        <f t="shared" si="20"/>
        <v>46732.22243578596</v>
      </c>
      <c r="O89">
        <f t="shared" si="21"/>
        <v>20769.876638127091</v>
      </c>
      <c r="P89">
        <f t="shared" si="29"/>
        <v>25962.345797658869</v>
      </c>
      <c r="Q89" s="15">
        <f t="shared" si="22"/>
        <v>26454.899999999998</v>
      </c>
      <c r="R89" s="15">
        <f t="shared" si="23"/>
        <v>26454.899999999998</v>
      </c>
      <c r="T89" s="2">
        <v>85</v>
      </c>
      <c r="U89" s="2">
        <f t="shared" si="30"/>
        <v>144191.40691409094</v>
      </c>
      <c r="X89">
        <f t="shared" si="31"/>
        <v>0</v>
      </c>
    </row>
    <row r="90" spans="2:24">
      <c r="B90" s="63">
        <v>86</v>
      </c>
      <c r="C90">
        <f t="shared" si="32"/>
        <v>26746.039999999997</v>
      </c>
      <c r="D90">
        <f t="shared" si="33"/>
        <v>26746.039999999997</v>
      </c>
      <c r="E90" s="2">
        <f>人物成长模拟表!C87</f>
        <v>2531189.2397698998</v>
      </c>
      <c r="F90" s="124">
        <f>人物成长模拟表!D87</f>
        <v>60915.761491906371</v>
      </c>
      <c r="G90" s="2">
        <f>人物成长模拟表!E87</f>
        <v>27073.671774180606</v>
      </c>
      <c r="H90" s="2">
        <f t="shared" si="27"/>
        <v>33842.089717725765</v>
      </c>
      <c r="I90" s="46">
        <f>'[2]2、属性成长'!Q91</f>
        <v>2.3147506744824124E-2</v>
      </c>
      <c r="J90" s="46">
        <f t="shared" si="28"/>
        <v>0.97685249325517587</v>
      </c>
      <c r="K90" s="46">
        <v>0.8</v>
      </c>
      <c r="M90">
        <f t="shared" si="19"/>
        <v>2024951.3918159199</v>
      </c>
      <c r="N90" s="123">
        <f t="shared" si="20"/>
        <v>48732.609193525102</v>
      </c>
      <c r="O90">
        <f t="shared" si="21"/>
        <v>21658.937419344486</v>
      </c>
      <c r="P90">
        <f t="shared" si="29"/>
        <v>27073.671774180617</v>
      </c>
      <c r="Q90" s="15">
        <f t="shared" si="22"/>
        <v>26746.039999999997</v>
      </c>
      <c r="R90" s="15">
        <f t="shared" si="23"/>
        <v>26746.039999999997</v>
      </c>
      <c r="T90" s="2">
        <v>86</v>
      </c>
      <c r="U90" s="2">
        <f t="shared" si="30"/>
        <v>151389.60228550638</v>
      </c>
      <c r="X90">
        <f t="shared" si="31"/>
        <v>0</v>
      </c>
    </row>
    <row r="91" spans="2:24">
      <c r="B91" s="63">
        <v>87</v>
      </c>
      <c r="C91">
        <f t="shared" si="32"/>
        <v>27037.18</v>
      </c>
      <c r="D91">
        <f t="shared" si="33"/>
        <v>27037.18</v>
      </c>
      <c r="E91" s="2">
        <f>人物成长模拟表!C88</f>
        <v>2671227.4783391515</v>
      </c>
      <c r="F91" s="124">
        <f>人物成长模拟表!D88</f>
        <v>63480.890545434777</v>
      </c>
      <c r="G91" s="2">
        <f>人物成长模拟表!E88</f>
        <v>28213.729131304346</v>
      </c>
      <c r="H91" s="2">
        <f t="shared" si="27"/>
        <v>35267.161414130431</v>
      </c>
      <c r="I91" s="46">
        <f>'[2]2、属性成长'!Q92</f>
        <v>2.2841645533661737E-2</v>
      </c>
      <c r="J91" s="46">
        <f t="shared" si="28"/>
        <v>0.97715835446633825</v>
      </c>
      <c r="K91" s="46">
        <v>0.8</v>
      </c>
      <c r="M91">
        <f t="shared" si="19"/>
        <v>2136981.9826713214</v>
      </c>
      <c r="N91" s="123">
        <f t="shared" si="20"/>
        <v>50784.712436347821</v>
      </c>
      <c r="O91">
        <f t="shared" si="21"/>
        <v>22570.983305043479</v>
      </c>
      <c r="P91">
        <f t="shared" si="29"/>
        <v>28213.729131304342</v>
      </c>
      <c r="Q91" s="15">
        <f t="shared" si="22"/>
        <v>27037.18</v>
      </c>
      <c r="R91" s="15">
        <f t="shared" si="23"/>
        <v>27037.18</v>
      </c>
      <c r="T91" s="2">
        <v>87</v>
      </c>
      <c r="U91" s="2">
        <f t="shared" si="30"/>
        <v>158834.97504824417</v>
      </c>
      <c r="X91">
        <f t="shared" si="31"/>
        <v>0</v>
      </c>
    </row>
    <row r="92" spans="2:24">
      <c r="B92" s="63">
        <v>88</v>
      </c>
      <c r="C92">
        <f t="shared" si="32"/>
        <v>27328.32</v>
      </c>
      <c r="D92">
        <f t="shared" si="33"/>
        <v>27328.32</v>
      </c>
      <c r="E92" s="2">
        <f>人物成长模拟表!C89</f>
        <v>2816793.4060655516</v>
      </c>
      <c r="F92" s="124">
        <f>人物成长模拟表!D89</f>
        <v>66111.414923076896</v>
      </c>
      <c r="G92" s="2">
        <f>人物成长模拟表!E89</f>
        <v>29382.851076923067</v>
      </c>
      <c r="H92" s="2">
        <f t="shared" si="27"/>
        <v>36728.563846153833</v>
      </c>
      <c r="I92" s="46">
        <f>'[2]2、属性成长'!Q93</f>
        <v>2.2543761946921505E-2</v>
      </c>
      <c r="J92" s="46">
        <f t="shared" si="28"/>
        <v>0.97745623805307846</v>
      </c>
      <c r="K92" s="46">
        <v>0.8</v>
      </c>
      <c r="M92">
        <f t="shared" si="19"/>
        <v>2253434.7248524413</v>
      </c>
      <c r="N92" s="123">
        <f t="shared" si="20"/>
        <v>52889.13193846152</v>
      </c>
      <c r="O92">
        <f t="shared" si="21"/>
        <v>23506.280861538457</v>
      </c>
      <c r="P92">
        <f t="shared" si="29"/>
        <v>29382.851076923063</v>
      </c>
      <c r="Q92" s="15">
        <f t="shared" si="22"/>
        <v>27328.32</v>
      </c>
      <c r="R92" s="15">
        <f t="shared" si="23"/>
        <v>27328.32</v>
      </c>
      <c r="T92" s="2">
        <v>88</v>
      </c>
      <c r="U92" s="2">
        <f t="shared" si="30"/>
        <v>166532.80179409761</v>
      </c>
      <c r="X92">
        <f t="shared" si="31"/>
        <v>0</v>
      </c>
    </row>
    <row r="93" spans="2:24">
      <c r="B93" s="63">
        <v>89</v>
      </c>
      <c r="C93">
        <f t="shared" si="32"/>
        <v>27619.46</v>
      </c>
      <c r="D93">
        <f t="shared" si="33"/>
        <v>27619.46</v>
      </c>
      <c r="E93" s="2">
        <f>人物成长模拟表!C90</f>
        <v>2968026.5426615863</v>
      </c>
      <c r="F93" s="124">
        <f>人物成长模拟表!D90</f>
        <v>68808.084342591959</v>
      </c>
      <c r="G93" s="2">
        <f>人物成长模拟表!E90</f>
        <v>30581.370818929758</v>
      </c>
      <c r="H93" s="2">
        <f t="shared" si="27"/>
        <v>38226.713523662198</v>
      </c>
      <c r="I93" s="46">
        <f>'[2]2、属性成长'!Q94</f>
        <v>2.2253547888008523E-2</v>
      </c>
      <c r="J93" s="46">
        <f t="shared" si="28"/>
        <v>0.97774645211199152</v>
      </c>
      <c r="K93" s="46">
        <v>0.8</v>
      </c>
      <c r="M93">
        <f t="shared" si="19"/>
        <v>2374421.2341292691</v>
      </c>
      <c r="N93" s="123">
        <f t="shared" si="20"/>
        <v>55046.467474073572</v>
      </c>
      <c r="O93">
        <f t="shared" si="21"/>
        <v>24465.096655143807</v>
      </c>
      <c r="P93">
        <f t="shared" si="29"/>
        <v>30581.370818929765</v>
      </c>
      <c r="Q93" s="15">
        <f t="shared" si="22"/>
        <v>27619.46</v>
      </c>
      <c r="R93" s="15">
        <f t="shared" si="23"/>
        <v>27619.46</v>
      </c>
      <c r="T93" s="2">
        <v>89</v>
      </c>
      <c r="U93" s="2">
        <f t="shared" si="30"/>
        <v>174488.41349438814</v>
      </c>
      <c r="X93">
        <f t="shared" si="31"/>
        <v>0</v>
      </c>
    </row>
    <row r="94" spans="2:24">
      <c r="B94" s="63">
        <v>90</v>
      </c>
      <c r="C94">
        <f t="shared" si="32"/>
        <v>27910.6</v>
      </c>
      <c r="D94">
        <f t="shared" si="33"/>
        <v>27910.6</v>
      </c>
      <c r="E94" s="2">
        <f>人物成长模拟表!C91</f>
        <v>3125068.107199999</v>
      </c>
      <c r="F94" s="124">
        <f>人物成长模拟表!D91</f>
        <v>71571.648521739087</v>
      </c>
      <c r="G94" s="2">
        <f>人物成长模拟表!E91</f>
        <v>31809.621565217378</v>
      </c>
      <c r="H94" s="2">
        <f t="shared" si="27"/>
        <v>39762.02695652171</v>
      </c>
      <c r="I94" s="46">
        <f>'[2]2、属性成长'!Q95</f>
        <v>2.1970710923647035E-2</v>
      </c>
      <c r="J94" s="46">
        <f t="shared" si="28"/>
        <v>0.978029289076353</v>
      </c>
      <c r="K94" s="46">
        <v>0.8</v>
      </c>
      <c r="M94">
        <f t="shared" si="19"/>
        <v>2500054.4857599991</v>
      </c>
      <c r="N94" s="123">
        <f t="shared" si="20"/>
        <v>57257.318817391271</v>
      </c>
      <c r="O94">
        <f t="shared" si="21"/>
        <v>25447.697252173904</v>
      </c>
      <c r="P94">
        <f t="shared" si="29"/>
        <v>31809.621565217367</v>
      </c>
      <c r="Q94" s="15">
        <f t="shared" si="22"/>
        <v>27910.6</v>
      </c>
      <c r="R94" s="15">
        <f t="shared" si="23"/>
        <v>27910.6</v>
      </c>
      <c r="T94" s="2">
        <v>90</v>
      </c>
      <c r="U94" s="2">
        <f t="shared" si="30"/>
        <v>182707.19549996514</v>
      </c>
      <c r="X94">
        <f t="shared" si="31"/>
        <v>0</v>
      </c>
    </row>
    <row r="95" spans="2:24">
      <c r="B95" s="63">
        <v>91</v>
      </c>
      <c r="C95">
        <f t="shared" si="32"/>
        <v>28201.739999999998</v>
      </c>
      <c r="D95">
        <f t="shared" si="33"/>
        <v>28201.739999999998</v>
      </c>
      <c r="E95" s="2">
        <f>人物成长模拟表!C92</f>
        <v>3288061.0181137868</v>
      </c>
      <c r="F95" s="124">
        <f>人物成长模拟表!D92</f>
        <v>74402.857178277554</v>
      </c>
      <c r="G95" s="2">
        <f>人物成长模拟表!E92</f>
        <v>33067.936523678916</v>
      </c>
      <c r="H95" s="2">
        <f t="shared" si="27"/>
        <v>41334.920654598638</v>
      </c>
      <c r="I95" s="46">
        <f>'[2]2、属性成长'!Q96</f>
        <v>2.1694973300988595E-2</v>
      </c>
      <c r="J95" s="46">
        <f t="shared" si="28"/>
        <v>0.97830502669901143</v>
      </c>
      <c r="K95" s="46">
        <v>0.8</v>
      </c>
      <c r="M95">
        <f t="shared" si="19"/>
        <v>2630448.8144910298</v>
      </c>
      <c r="N95" s="123">
        <f t="shared" si="20"/>
        <v>59522.285742622043</v>
      </c>
      <c r="O95">
        <f t="shared" si="21"/>
        <v>26454.349218943134</v>
      </c>
      <c r="P95">
        <f t="shared" si="29"/>
        <v>33067.936523678909</v>
      </c>
      <c r="Q95" s="15">
        <f t="shared" si="22"/>
        <v>28201.739999999998</v>
      </c>
      <c r="R95" s="15">
        <f t="shared" si="23"/>
        <v>28201.739999999998</v>
      </c>
      <c r="T95" s="2">
        <v>91</v>
      </c>
      <c r="U95" s="2">
        <f t="shared" si="30"/>
        <v>191194.58754120636</v>
      </c>
      <c r="X95">
        <f t="shared" si="31"/>
        <v>0</v>
      </c>
    </row>
    <row r="96" spans="2:24">
      <c r="B96" s="63">
        <v>92</v>
      </c>
      <c r="C96">
        <f t="shared" si="32"/>
        <v>28492.879999999997</v>
      </c>
      <c r="D96">
        <f t="shared" si="33"/>
        <v>28492.879999999997</v>
      </c>
      <c r="E96" s="2">
        <f>人物成长模拟表!C93</f>
        <v>3457149.8931962</v>
      </c>
      <c r="F96" s="124">
        <f>人物成长模拟表!D93</f>
        <v>77302.460029966533</v>
      </c>
      <c r="G96" s="2">
        <f>人物成长模拟表!E93</f>
        <v>34356.648902207351</v>
      </c>
      <c r="H96" s="2">
        <f t="shared" si="27"/>
        <v>42945.811127759182</v>
      </c>
      <c r="I96" s="46">
        <f>'[2]2、属性成长'!Q97</f>
        <v>2.1426071037816057E-2</v>
      </c>
      <c r="J96" s="46">
        <f t="shared" si="28"/>
        <v>0.97857392896218398</v>
      </c>
      <c r="K96" s="46">
        <v>0.8</v>
      </c>
      <c r="M96">
        <f t="shared" si="19"/>
        <v>2765719.9145569601</v>
      </c>
      <c r="N96" s="123">
        <f t="shared" si="20"/>
        <v>61841.968023973226</v>
      </c>
      <c r="O96">
        <f t="shared" si="21"/>
        <v>27485.319121765882</v>
      </c>
      <c r="P96">
        <f t="shared" si="29"/>
        <v>34356.648902207344</v>
      </c>
      <c r="Q96" s="15">
        <f t="shared" si="22"/>
        <v>28492.879999999997</v>
      </c>
      <c r="R96" s="15">
        <f t="shared" si="23"/>
        <v>28492.879999999997</v>
      </c>
      <c r="T96" s="2">
        <v>92</v>
      </c>
      <c r="U96" s="2">
        <f t="shared" si="30"/>
        <v>199956.08372801749</v>
      </c>
      <c r="X96">
        <f t="shared" si="31"/>
        <v>0</v>
      </c>
    </row>
    <row r="97" spans="2:24">
      <c r="B97" s="63">
        <v>93</v>
      </c>
      <c r="C97">
        <f t="shared" si="32"/>
        <v>28784.02</v>
      </c>
      <c r="D97">
        <f t="shared" si="33"/>
        <v>28784.02</v>
      </c>
      <c r="E97" s="2">
        <f>人物成长模拟表!C94</f>
        <v>3632481.0496007418</v>
      </c>
      <c r="F97" s="124">
        <f>人物成长模拟表!D94</f>
        <v>80271.206794565165</v>
      </c>
      <c r="G97" s="2">
        <f>人物成长模拟表!E94</f>
        <v>35676.091908695627</v>
      </c>
      <c r="H97" s="2">
        <f t="shared" si="27"/>
        <v>44595.114885869538</v>
      </c>
      <c r="I97" s="46">
        <f>'[2]2、属性成长'!Q98</f>
        <v>2.1163753079578972E-2</v>
      </c>
      <c r="J97" s="46">
        <f t="shared" si="28"/>
        <v>0.97883624692042104</v>
      </c>
      <c r="K97" s="46">
        <v>0.8</v>
      </c>
      <c r="M97">
        <f t="shared" si="19"/>
        <v>2905984.8396805935</v>
      </c>
      <c r="N97" s="123">
        <f t="shared" si="20"/>
        <v>64216.965435652135</v>
      </c>
      <c r="O97">
        <f t="shared" si="21"/>
        <v>28540.873526956504</v>
      </c>
      <c r="P97">
        <f t="shared" si="29"/>
        <v>35676.091908695627</v>
      </c>
      <c r="Q97" s="15">
        <f t="shared" si="22"/>
        <v>28784.02</v>
      </c>
      <c r="R97" s="15">
        <f t="shared" si="23"/>
        <v>28784.02</v>
      </c>
      <c r="T97" s="2">
        <v>93</v>
      </c>
      <c r="U97" s="2">
        <f t="shared" si="30"/>
        <v>208997.23254983238</v>
      </c>
      <c r="X97">
        <f t="shared" si="31"/>
        <v>0</v>
      </c>
    </row>
    <row r="98" spans="2:24">
      <c r="B98" s="63">
        <v>94</v>
      </c>
      <c r="C98">
        <f t="shared" si="32"/>
        <v>29075.16</v>
      </c>
      <c r="D98">
        <f t="shared" si="33"/>
        <v>29075.16</v>
      </c>
      <c r="E98" s="2">
        <f>人物成长模拟表!C95</f>
        <v>3814202.5038411752</v>
      </c>
      <c r="F98" s="124">
        <f>人物成长模拟表!D95</f>
        <v>83309.847189832726</v>
      </c>
      <c r="G98" s="2">
        <f>人物成长模拟表!E95</f>
        <v>37026.59875103677</v>
      </c>
      <c r="H98" s="2">
        <f t="shared" si="27"/>
        <v>46283.248438795956</v>
      </c>
      <c r="I98" s="46">
        <f>'[2]2、属性成长'!Q99</f>
        <v>2.0907780517602177E-2</v>
      </c>
      <c r="J98" s="46">
        <f t="shared" si="28"/>
        <v>0.97909221948239777</v>
      </c>
      <c r="K98" s="46">
        <v>0.8</v>
      </c>
      <c r="M98">
        <f t="shared" si="19"/>
        <v>3051362.0030729403</v>
      </c>
      <c r="N98" s="123">
        <f t="shared" si="20"/>
        <v>66647.877751866181</v>
      </c>
      <c r="O98">
        <f t="shared" si="21"/>
        <v>29621.279000829418</v>
      </c>
      <c r="P98">
        <f t="shared" si="29"/>
        <v>37026.598751036763</v>
      </c>
      <c r="Q98" s="15">
        <f t="shared" si="22"/>
        <v>29075.16</v>
      </c>
      <c r="R98" s="15">
        <f t="shared" si="23"/>
        <v>29075.16</v>
      </c>
      <c r="T98" s="2">
        <v>94</v>
      </c>
      <c r="U98" s="2">
        <f t="shared" si="30"/>
        <v>218323.63687561321</v>
      </c>
      <c r="X98">
        <f t="shared" si="31"/>
        <v>0</v>
      </c>
    </row>
    <row r="99" spans="2:24">
      <c r="B99" s="63">
        <v>95</v>
      </c>
      <c r="C99">
        <f t="shared" si="32"/>
        <v>29366.3</v>
      </c>
      <c r="D99">
        <f t="shared" si="33"/>
        <v>29366.3</v>
      </c>
      <c r="E99" s="2">
        <f>人物成长模拟表!C96</f>
        <v>4002463.9717915109</v>
      </c>
      <c r="F99" s="124">
        <f>人物成长模拟表!D96</f>
        <v>86419.130933528359</v>
      </c>
      <c r="G99" s="2">
        <f>人物成长模拟表!E96</f>
        <v>38408.502637123718</v>
      </c>
      <c r="H99" s="2">
        <f t="shared" si="27"/>
        <v>48010.62829640464</v>
      </c>
      <c r="I99" s="46">
        <f>'[2]2、属性成长'!Q100</f>
        <v>2.0657925863350385E-2</v>
      </c>
      <c r="J99" s="46">
        <f t="shared" si="28"/>
        <v>0.97934207413664964</v>
      </c>
      <c r="K99" s="46">
        <v>0.8</v>
      </c>
      <c r="M99">
        <f t="shared" si="19"/>
        <v>3201971.177433209</v>
      </c>
      <c r="N99" s="123">
        <f t="shared" si="20"/>
        <v>69135.304746822687</v>
      </c>
      <c r="O99">
        <f t="shared" si="21"/>
        <v>30726.802109698976</v>
      </c>
      <c r="P99">
        <f t="shared" si="29"/>
        <v>38408.502637123711</v>
      </c>
      <c r="Q99" s="15">
        <f t="shared" si="22"/>
        <v>29366.3</v>
      </c>
      <c r="R99" s="15">
        <f t="shared" si="23"/>
        <v>29366.3</v>
      </c>
      <c r="T99" s="2">
        <v>95</v>
      </c>
      <c r="U99" s="2">
        <f t="shared" si="30"/>
        <v>227940.95395385002</v>
      </c>
      <c r="X99">
        <f t="shared" si="31"/>
        <v>0</v>
      </c>
    </row>
    <row r="100" spans="2:24">
      <c r="B100" s="63">
        <v>96</v>
      </c>
      <c r="C100">
        <f t="shared" si="32"/>
        <v>29657.439999999999</v>
      </c>
      <c r="D100">
        <f t="shared" si="33"/>
        <v>29657.439999999999</v>
      </c>
      <c r="E100" s="2">
        <f>人物成长模拟表!C97</f>
        <v>4197416.8686860176</v>
      </c>
      <c r="F100" s="124">
        <f>人物成长模拟表!D97</f>
        <v>89599.807743411307</v>
      </c>
      <c r="G100" s="2">
        <f>人物成长模拟表!E97</f>
        <v>39822.136774849474</v>
      </c>
      <c r="H100" s="2">
        <f t="shared" si="27"/>
        <v>49777.670968561833</v>
      </c>
      <c r="I100" s="46">
        <f>'[2]2、属性成长'!Q101</f>
        <v>2.0413972374114832E-2</v>
      </c>
      <c r="J100" s="46">
        <f t="shared" si="28"/>
        <v>0.9795860276258852</v>
      </c>
      <c r="K100" s="46">
        <v>0.8</v>
      </c>
      <c r="M100">
        <f t="shared" si="19"/>
        <v>3357933.4949488142</v>
      </c>
      <c r="N100" s="123">
        <f t="shared" si="20"/>
        <v>71679.846194729049</v>
      </c>
      <c r="O100">
        <f t="shared" si="21"/>
        <v>31857.709419879582</v>
      </c>
      <c r="P100">
        <f t="shared" si="29"/>
        <v>39822.136774849467</v>
      </c>
      <c r="Q100" s="15">
        <f t="shared" si="22"/>
        <v>29657.439999999999</v>
      </c>
      <c r="R100" s="15">
        <f t="shared" si="23"/>
        <v>29657.439999999999</v>
      </c>
      <c r="T100" s="2">
        <v>96</v>
      </c>
      <c r="U100" s="2">
        <f t="shared" si="30"/>
        <v>237854.89541256119</v>
      </c>
      <c r="X100">
        <f t="shared" si="31"/>
        <v>0</v>
      </c>
    </row>
    <row r="101" spans="2:24">
      <c r="B101" s="63">
        <v>97</v>
      </c>
      <c r="C101">
        <f t="shared" si="32"/>
        <v>29948.579999999998</v>
      </c>
      <c r="D101">
        <f t="shared" si="33"/>
        <v>29948.579999999998</v>
      </c>
      <c r="E101" s="2">
        <f>人物成长模拟表!C98</f>
        <v>4399214.3091192162</v>
      </c>
      <c r="F101" s="124">
        <f>人物成长模拟表!D98</f>
        <v>92852.627337240745</v>
      </c>
      <c r="G101" s="2">
        <f>人物成长模拟表!E98</f>
        <v>41267.834372106998</v>
      </c>
      <c r="H101" s="2">
        <f t="shared" si="27"/>
        <v>51584.792965133747</v>
      </c>
      <c r="I101" s="46">
        <f>'[2]2、属性成长'!Q102</f>
        <v>2.0175713425920908E-2</v>
      </c>
      <c r="J101" s="46">
        <f t="shared" si="28"/>
        <v>0.97982428657407905</v>
      </c>
      <c r="K101" s="46">
        <v>0.8</v>
      </c>
      <c r="M101">
        <f t="shared" si="19"/>
        <v>3519371.4472953733</v>
      </c>
      <c r="N101" s="123">
        <f t="shared" si="20"/>
        <v>74282.101869792605</v>
      </c>
      <c r="O101">
        <f t="shared" si="21"/>
        <v>33014.2674976856</v>
      </c>
      <c r="P101">
        <f t="shared" si="29"/>
        <v>41267.834372107005</v>
      </c>
      <c r="Q101" s="15">
        <f t="shared" si="22"/>
        <v>29948.579999999998</v>
      </c>
      <c r="R101" s="15">
        <f t="shared" si="23"/>
        <v>29948.579999999998</v>
      </c>
      <c r="T101" s="2">
        <v>97</v>
      </c>
      <c r="U101" s="2">
        <f t="shared" si="30"/>
        <v>248071.22725929311</v>
      </c>
      <c r="X101">
        <f t="shared" si="31"/>
        <v>0</v>
      </c>
    </row>
    <row r="102" spans="2:24">
      <c r="B102" s="63">
        <v>98</v>
      </c>
      <c r="C102">
        <f t="shared" si="32"/>
        <v>30239.719999999998</v>
      </c>
      <c r="D102">
        <f t="shared" si="33"/>
        <v>30239.719999999998</v>
      </c>
      <c r="E102" s="2">
        <f>人物成长模拟表!C99</f>
        <v>4608011.1070458824</v>
      </c>
      <c r="F102" s="124">
        <f>人物成长模拟表!D99</f>
        <v>96178.339432775829</v>
      </c>
      <c r="G102" s="2">
        <f>人物成长模拟表!E99</f>
        <v>42745.928636789256</v>
      </c>
      <c r="H102" s="2">
        <f t="shared" si="27"/>
        <v>53432.410795986572</v>
      </c>
      <c r="I102" s="46">
        <f>'[2]2、属性成长'!Q103</f>
        <v>1.9942951929843276E-2</v>
      </c>
      <c r="J102" s="46">
        <f t="shared" si="28"/>
        <v>0.9800570480701567</v>
      </c>
      <c r="K102" s="46">
        <v>0.8</v>
      </c>
      <c r="M102">
        <f t="shared" si="19"/>
        <v>3686408.8856367059</v>
      </c>
      <c r="N102" s="123">
        <f t="shared" si="20"/>
        <v>76942.671546220663</v>
      </c>
      <c r="O102">
        <f t="shared" si="21"/>
        <v>34196.742909431407</v>
      </c>
      <c r="P102">
        <f t="shared" si="29"/>
        <v>42745.928636789256</v>
      </c>
      <c r="Q102" s="15">
        <f t="shared" si="22"/>
        <v>30239.719999999998</v>
      </c>
      <c r="R102" s="15">
        <f t="shared" si="23"/>
        <v>30239.719999999998</v>
      </c>
      <c r="T102" s="2">
        <v>98</v>
      </c>
      <c r="U102" s="2">
        <f t="shared" si="30"/>
        <v>258595.7698811203</v>
      </c>
      <c r="X102">
        <f t="shared" si="31"/>
        <v>0</v>
      </c>
    </row>
    <row r="103" spans="2:24">
      <c r="B103" s="63">
        <v>99</v>
      </c>
      <c r="C103">
        <f t="shared" si="32"/>
        <v>30530.859999999997</v>
      </c>
      <c r="D103">
        <f t="shared" si="33"/>
        <v>30530.859999999997</v>
      </c>
      <c r="E103" s="2">
        <f>人物成长模拟表!C100</f>
        <v>4823963.7757810466</v>
      </c>
      <c r="F103" s="124">
        <f>人物成长模拟表!D100</f>
        <v>99577.693747775833</v>
      </c>
      <c r="G103" s="2">
        <f>人物成长模拟表!E100</f>
        <v>44256.752776789261</v>
      </c>
      <c r="H103" s="2">
        <f t="shared" si="27"/>
        <v>55320.940970986572</v>
      </c>
      <c r="I103" s="46">
        <f>'[2]2、属性成长'!Q104</f>
        <v>1.9715499788263063E-2</v>
      </c>
      <c r="J103" s="46">
        <f t="shared" si="28"/>
        <v>0.98028450021173696</v>
      </c>
      <c r="K103" s="46">
        <v>0.8</v>
      </c>
      <c r="M103">
        <f t="shared" si="19"/>
        <v>3859171.0206248374</v>
      </c>
      <c r="N103" s="123">
        <f t="shared" si="20"/>
        <v>79662.154998220678</v>
      </c>
      <c r="O103">
        <f t="shared" si="21"/>
        <v>35405.40222143141</v>
      </c>
      <c r="P103">
        <f t="shared" si="29"/>
        <v>44256.752776789268</v>
      </c>
      <c r="Q103" s="15">
        <f t="shared" si="22"/>
        <v>30530.859999999997</v>
      </c>
      <c r="R103" s="15">
        <f t="shared" si="23"/>
        <v>30530.859999999997</v>
      </c>
      <c r="T103" s="2">
        <v>99</v>
      </c>
      <c r="U103" s="2">
        <f t="shared" si="30"/>
        <v>269434.39804464561</v>
      </c>
      <c r="X103">
        <f t="shared" si="31"/>
        <v>0</v>
      </c>
    </row>
    <row r="104" spans="2:24">
      <c r="B104" s="63">
        <v>100</v>
      </c>
      <c r="C104">
        <f t="shared" si="32"/>
        <v>30822</v>
      </c>
      <c r="D104">
        <f t="shared" si="33"/>
        <v>30822</v>
      </c>
      <c r="E104" s="2">
        <f>人物成长模拟表!C101</f>
        <v>5047230.5279999953</v>
      </c>
      <c r="F104" s="124">
        <f>人物成长模拟表!D101</f>
        <v>103051.43999999992</v>
      </c>
      <c r="G104" s="2">
        <f>人物成长模拟表!E101</f>
        <v>45800.639999999963</v>
      </c>
      <c r="H104" s="2">
        <f t="shared" si="27"/>
        <v>57250.799999999952</v>
      </c>
      <c r="I104" s="46">
        <f>'[2]2、属性成长'!Q105</f>
        <v>1.9493177387914232E-2</v>
      </c>
      <c r="J104" s="46">
        <f t="shared" si="28"/>
        <v>0.98050682261208577</v>
      </c>
      <c r="K104" s="46">
        <v>0.8</v>
      </c>
      <c r="M104">
        <f t="shared" si="19"/>
        <v>4037784.4223999963</v>
      </c>
      <c r="N104" s="123">
        <f t="shared" si="20"/>
        <v>82441.151999999944</v>
      </c>
      <c r="O104">
        <f t="shared" si="21"/>
        <v>36640.511999999973</v>
      </c>
      <c r="P104">
        <f t="shared" si="29"/>
        <v>45800.63999999997</v>
      </c>
      <c r="Q104" s="15">
        <f t="shared" si="22"/>
        <v>30822</v>
      </c>
      <c r="R104" s="15">
        <f t="shared" si="23"/>
        <v>30822</v>
      </c>
      <c r="T104" s="2">
        <v>100</v>
      </c>
      <c r="U104" s="2">
        <f t="shared" si="30"/>
        <v>280593.04089599976</v>
      </c>
      <c r="X104">
        <f t="shared" si="31"/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249977111117893"/>
  </sheetPr>
  <dimension ref="A1:AA104"/>
  <sheetViews>
    <sheetView workbookViewId="0">
      <selection activeCell="H31" sqref="H31"/>
    </sheetView>
  </sheetViews>
  <sheetFormatPr defaultRowHeight="13.5"/>
  <cols>
    <col min="1" max="1" width="18.375" bestFit="1" customWidth="1"/>
    <col min="2" max="2" width="11.625" bestFit="1" customWidth="1"/>
    <col min="3" max="3" width="11.625" customWidth="1"/>
    <col min="4" max="4" width="12.875" customWidth="1"/>
    <col min="6" max="6" width="15" bestFit="1" customWidth="1"/>
    <col min="7" max="7" width="13" customWidth="1"/>
    <col min="8" max="8" width="22.5" customWidth="1"/>
    <col min="9" max="9" width="15" customWidth="1"/>
    <col min="10" max="10" width="14.375" customWidth="1"/>
    <col min="11" max="11" width="13.875" customWidth="1"/>
    <col min="12" max="12" width="18.375" bestFit="1" customWidth="1"/>
    <col min="13" max="13" width="15.125" customWidth="1"/>
    <col min="14" max="14" width="13.875" customWidth="1"/>
    <col min="15" max="15" width="11.625" customWidth="1"/>
    <col min="16" max="16" width="10.375" customWidth="1"/>
    <col min="17" max="17" width="7.875" customWidth="1"/>
    <col min="18" max="18" width="7.5" bestFit="1" customWidth="1"/>
    <col min="19" max="19" width="12.75" bestFit="1" customWidth="1"/>
  </cols>
  <sheetData>
    <row r="1" spans="1:27">
      <c r="C1">
        <f>0.6/100</f>
        <v>6.0000000000000001E-3</v>
      </c>
      <c r="H1" t="s">
        <v>77</v>
      </c>
      <c r="I1">
        <v>3</v>
      </c>
      <c r="K1" t="s">
        <v>322</v>
      </c>
      <c r="L1" t="s">
        <v>334</v>
      </c>
    </row>
    <row r="2" spans="1:27">
      <c r="A2" t="s">
        <v>85</v>
      </c>
      <c r="B2" t="s">
        <v>84</v>
      </c>
      <c r="J2" t="s">
        <v>75</v>
      </c>
      <c r="K2">
        <v>40</v>
      </c>
      <c r="L2">
        <v>6</v>
      </c>
    </row>
    <row r="3" spans="1:27"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L3">
        <v>8</v>
      </c>
      <c r="M3">
        <v>9</v>
      </c>
      <c r="N3">
        <v>10</v>
      </c>
      <c r="O3">
        <v>11</v>
      </c>
      <c r="P3">
        <v>12</v>
      </c>
      <c r="Q3">
        <v>13</v>
      </c>
      <c r="R3">
        <v>14</v>
      </c>
      <c r="S3">
        <v>15</v>
      </c>
    </row>
    <row r="4" spans="1:27">
      <c r="A4" s="16" t="s">
        <v>83</v>
      </c>
      <c r="B4" s="17" t="s">
        <v>82</v>
      </c>
      <c r="C4" s="17" t="s">
        <v>333</v>
      </c>
      <c r="D4" s="17"/>
      <c r="E4" s="44" t="s">
        <v>69</v>
      </c>
      <c r="F4" s="43" t="s">
        <v>70</v>
      </c>
      <c r="G4" s="18" t="s">
        <v>71</v>
      </c>
      <c r="H4" s="18" t="s">
        <v>72</v>
      </c>
      <c r="I4" s="18" t="s">
        <v>73</v>
      </c>
      <c r="J4" s="18" t="s">
        <v>74</v>
      </c>
      <c r="K4" s="18" t="s">
        <v>76</v>
      </c>
      <c r="L4" s="18" t="s">
        <v>78</v>
      </c>
      <c r="M4" s="18" t="s">
        <v>79</v>
      </c>
      <c r="N4" s="18" t="s">
        <v>80</v>
      </c>
      <c r="O4" s="18" t="s">
        <v>81</v>
      </c>
      <c r="P4" s="64" t="s">
        <v>435</v>
      </c>
      <c r="Q4" s="64" t="s">
        <v>339</v>
      </c>
      <c r="R4" s="64" t="s">
        <v>340</v>
      </c>
      <c r="S4" s="64" t="s">
        <v>363</v>
      </c>
      <c r="W4" s="2" t="s">
        <v>86</v>
      </c>
      <c r="X4" s="2" t="s">
        <v>90</v>
      </c>
      <c r="Y4" s="3" t="s">
        <v>323</v>
      </c>
      <c r="Z4" s="3" t="s">
        <v>437</v>
      </c>
      <c r="AA4" s="13" t="s">
        <v>436</v>
      </c>
    </row>
    <row r="5" spans="1:27">
      <c r="A5">
        <f>1-$C$1*E5</f>
        <v>0.99399999999999999</v>
      </c>
      <c r="B5">
        <f>E5^0.25</f>
        <v>1</v>
      </c>
      <c r="C5">
        <f>D5</f>
        <v>1.3774999999999999</v>
      </c>
      <c r="D5">
        <f>'[2]3、总属性战斗节奏拟合'!B5</f>
        <v>1.3774999999999999</v>
      </c>
      <c r="E5" s="45">
        <f>'[2]3、总属性战斗节奏拟合'!C5</f>
        <v>1</v>
      </c>
      <c r="F5" s="121">
        <f>'人物&amp;怪物成长分析'!M5</f>
        <v>198.26400000000001</v>
      </c>
      <c r="G5" s="121">
        <f>'人物&amp;怪物成长分析'!N5</f>
        <v>47.52000000000001</v>
      </c>
      <c r="H5" s="121">
        <f>'人物&amp;怪物成长分析'!O5</f>
        <v>21.120000000000005</v>
      </c>
      <c r="I5" s="121">
        <f>'人物&amp;怪物成长分析'!P5</f>
        <v>26.400000000000006</v>
      </c>
      <c r="J5">
        <f>'[2]3、总属性战斗节奏拟合'!H5</f>
        <v>7.51</v>
      </c>
      <c r="K5">
        <f>$K$2*A5</f>
        <v>39.76</v>
      </c>
      <c r="L5">
        <f>D5*$I$1+B5*$L$2</f>
        <v>10.1325</v>
      </c>
      <c r="M5" s="15">
        <f>I5*L5</f>
        <v>267.49800000000005</v>
      </c>
      <c r="N5" s="15">
        <f>F5/K5+H5</f>
        <v>26.106519114688133</v>
      </c>
      <c r="O5" s="15">
        <f>G5-I5</f>
        <v>21.120000000000005</v>
      </c>
      <c r="P5" s="15">
        <f>N5-H5</f>
        <v>4.9865191146881287</v>
      </c>
      <c r="Q5" s="65">
        <f>'人物&amp;怪物成长分析'!Q5*$X$10</f>
        <v>399.82799999999997</v>
      </c>
      <c r="R5" s="65">
        <f>'人物&amp;怪物成长分析'!R5*$X$11</f>
        <v>0</v>
      </c>
      <c r="S5">
        <f>SUMPRODUCT(M5:O5,$W$13:$Y$13)</f>
        <v>57.926439114688137</v>
      </c>
      <c r="W5" s="2" t="s">
        <v>87</v>
      </c>
      <c r="X5" s="19">
        <v>1</v>
      </c>
      <c r="Y5" s="2">
        <v>1</v>
      </c>
      <c r="Z5" s="2">
        <v>1</v>
      </c>
      <c r="AA5" s="2">
        <v>1</v>
      </c>
    </row>
    <row r="6" spans="1:27">
      <c r="A6">
        <f t="shared" ref="A6:A69" si="0">1-$C$1*E6</f>
        <v>0.98799999999999999</v>
      </c>
      <c r="B6">
        <f t="shared" ref="B6:B69" si="1">E6^0.25</f>
        <v>1.189207115002721</v>
      </c>
      <c r="C6">
        <f t="shared" ref="C6:C69" si="2">D6</f>
        <v>1.5049999999999999</v>
      </c>
      <c r="D6">
        <f>'[2]3、总属性战斗节奏拟合'!B6</f>
        <v>1.5049999999999999</v>
      </c>
      <c r="E6" s="45">
        <f>'[2]3、总属性战斗节奏拟合'!C6</f>
        <v>2</v>
      </c>
      <c r="F6" s="121">
        <f>'人物&amp;怪物成长分析'!M6</f>
        <v>230.976</v>
      </c>
      <c r="G6" s="121">
        <f>'人物&amp;怪物成长分析'!N6</f>
        <v>51.84</v>
      </c>
      <c r="H6" s="121">
        <f>'人物&amp;怪物成长分析'!O6</f>
        <v>23.040000000000003</v>
      </c>
      <c r="I6" s="121">
        <f>'人物&amp;怪物成长分析'!P6</f>
        <v>28.8</v>
      </c>
      <c r="J6">
        <f>'[2]3、总属性战斗节奏拟合'!H6</f>
        <v>8.02</v>
      </c>
      <c r="K6">
        <f t="shared" ref="K6:K69" si="3">$K$2*A6</f>
        <v>39.519999999999996</v>
      </c>
      <c r="L6">
        <f t="shared" ref="L6:L69" si="4">D6*$I$1+B6*$L$2</f>
        <v>11.650242690016327</v>
      </c>
      <c r="M6" s="15">
        <f t="shared" ref="M6:M69" si="5">I6*L6</f>
        <v>335.52698947247023</v>
      </c>
      <c r="N6" s="15">
        <f t="shared" ref="N6:N69" si="6">F6/K6+H6</f>
        <v>28.884534412955468</v>
      </c>
      <c r="O6" s="15">
        <f t="shared" ref="O6:O69" si="7">G6-I6</f>
        <v>23.040000000000003</v>
      </c>
      <c r="P6" s="15">
        <f t="shared" ref="P6:P69" si="8">N6-H6</f>
        <v>5.8445344129554648</v>
      </c>
      <c r="Q6" s="65">
        <f>'人物&amp;怪物成长分析'!Q6*$X$10</f>
        <v>458.05599999999998</v>
      </c>
      <c r="R6" s="65">
        <f>'人物&amp;怪物成长分析'!R6*$X$11</f>
        <v>0</v>
      </c>
      <c r="S6">
        <f t="shared" ref="S6:S69" si="9">SUMPRODUCT(M6:O6,$W$13:$Y$13)</f>
        <v>65.345613991854279</v>
      </c>
      <c r="W6" s="2" t="s">
        <v>88</v>
      </c>
      <c r="X6" s="19">
        <v>0.8</v>
      </c>
      <c r="Y6" s="2">
        <v>0.8</v>
      </c>
      <c r="Z6" s="2">
        <v>0.9</v>
      </c>
      <c r="AA6" s="2">
        <v>0.8</v>
      </c>
    </row>
    <row r="7" spans="1:27">
      <c r="A7">
        <f t="shared" si="0"/>
        <v>0.98199999999999998</v>
      </c>
      <c r="B7">
        <f t="shared" si="1"/>
        <v>1.3160740129524926</v>
      </c>
      <c r="C7">
        <f t="shared" si="2"/>
        <v>1.6325000000000001</v>
      </c>
      <c r="D7">
        <f>'[2]3、总属性战斗节奏拟合'!B7</f>
        <v>1.6325000000000001</v>
      </c>
      <c r="E7" s="45">
        <f>'[2]3、总属性战斗节奏拟合'!C7</f>
        <v>3</v>
      </c>
      <c r="F7" s="121">
        <f>'人物&amp;怪物成长分析'!M7</f>
        <v>266.13600000000008</v>
      </c>
      <c r="G7" s="121">
        <f>'人物&amp;怪物成长分析'!N7</f>
        <v>56.160000000000004</v>
      </c>
      <c r="H7" s="121">
        <f>'人物&amp;怪物成长分析'!O7</f>
        <v>24.960000000000004</v>
      </c>
      <c r="I7" s="121">
        <f>'人物&amp;怪物成长分析'!P7</f>
        <v>31.2</v>
      </c>
      <c r="J7">
        <f>'[2]3、总属性战斗节奏拟合'!H7</f>
        <v>8.5300000000000011</v>
      </c>
      <c r="K7">
        <f t="shared" si="3"/>
        <v>39.28</v>
      </c>
      <c r="L7">
        <f t="shared" si="4"/>
        <v>12.793944077714954</v>
      </c>
      <c r="M7" s="15">
        <f t="shared" si="5"/>
        <v>399.17105522470655</v>
      </c>
      <c r="N7" s="15">
        <f t="shared" si="6"/>
        <v>31.73535641547862</v>
      </c>
      <c r="O7" s="15">
        <f t="shared" si="7"/>
        <v>24.960000000000004</v>
      </c>
      <c r="P7" s="15">
        <f t="shared" si="8"/>
        <v>6.7753564154786154</v>
      </c>
      <c r="Q7" s="65">
        <f>'人物&amp;怪物成长分析'!Q7*$X$10</f>
        <v>516.28399999999999</v>
      </c>
      <c r="R7" s="65">
        <f>'人物&amp;怪物成长分析'!R7*$X$11</f>
        <v>0</v>
      </c>
      <c r="S7">
        <f t="shared" si="9"/>
        <v>72.662198624466882</v>
      </c>
      <c r="W7" s="2" t="s">
        <v>89</v>
      </c>
      <c r="X7" s="19">
        <v>1.5</v>
      </c>
      <c r="Y7" s="2">
        <v>2.5</v>
      </c>
      <c r="Z7" s="2">
        <v>1.2</v>
      </c>
      <c r="AA7" s="2">
        <v>1.2</v>
      </c>
    </row>
    <row r="8" spans="1:27">
      <c r="A8">
        <f t="shared" si="0"/>
        <v>0.97599999999999998</v>
      </c>
      <c r="B8">
        <f t="shared" si="1"/>
        <v>1.4142135623730949</v>
      </c>
      <c r="C8">
        <f t="shared" si="2"/>
        <v>1.76</v>
      </c>
      <c r="D8">
        <f>'[2]3、总属性战斗节奏拟合'!B8</f>
        <v>1.76</v>
      </c>
      <c r="E8" s="45">
        <f>'[2]3、总属性战斗节奏拟合'!C8</f>
        <v>4</v>
      </c>
      <c r="F8" s="121">
        <f>'人物&amp;怪物成长分析'!M8</f>
        <v>303.74399999999997</v>
      </c>
      <c r="G8" s="121">
        <f>'人物&amp;怪物成长分析'!N8</f>
        <v>48.384</v>
      </c>
      <c r="H8" s="121">
        <f>'人物&amp;怪物成长分析'!O8</f>
        <v>21.504000000000005</v>
      </c>
      <c r="I8" s="121">
        <f>'人物&amp;怪物成长分析'!P8</f>
        <v>26.879999999999995</v>
      </c>
      <c r="J8">
        <f>'[2]3、总属性战斗节奏拟合'!H8</f>
        <v>9.0399999999999991</v>
      </c>
      <c r="K8">
        <f t="shared" si="3"/>
        <v>39.04</v>
      </c>
      <c r="L8">
        <f t="shared" si="4"/>
        <v>13.765281374238569</v>
      </c>
      <c r="M8" s="15">
        <f t="shared" si="5"/>
        <v>370.01076333953267</v>
      </c>
      <c r="N8" s="15">
        <f t="shared" si="6"/>
        <v>29.284327868852465</v>
      </c>
      <c r="O8" s="15">
        <f t="shared" si="7"/>
        <v>21.504000000000005</v>
      </c>
      <c r="P8" s="15">
        <f t="shared" si="8"/>
        <v>7.78032786885246</v>
      </c>
      <c r="Q8" s="65">
        <f>'人物&amp;怪物成长分析'!Q8*$X$10</f>
        <v>574.51200000000006</v>
      </c>
      <c r="R8" s="65">
        <f>'人物&amp;怪物成长分析'!R8*$X$11</f>
        <v>0</v>
      </c>
      <c r="S8">
        <f t="shared" si="9"/>
        <v>65.588758402433768</v>
      </c>
    </row>
    <row r="9" spans="1:27">
      <c r="A9">
        <f t="shared" si="0"/>
        <v>0.97</v>
      </c>
      <c r="B9">
        <f t="shared" si="1"/>
        <v>1.4953487812212205</v>
      </c>
      <c r="C9">
        <f t="shared" si="2"/>
        <v>1.8875</v>
      </c>
      <c r="D9">
        <f>'[2]3、总属性战斗节奏拟合'!B9</f>
        <v>1.8875</v>
      </c>
      <c r="E9" s="45">
        <f>'[2]3、总属性战斗节奏拟合'!C9</f>
        <v>5</v>
      </c>
      <c r="F9" s="121">
        <f>'人物&amp;怪物成长分析'!M9</f>
        <v>343.80000000000007</v>
      </c>
      <c r="G9" s="121">
        <f>'人物&amp;怪物成长分析'!N9</f>
        <v>51.84</v>
      </c>
      <c r="H9" s="121">
        <f>'人物&amp;怪物成长分析'!O9</f>
        <v>23.040000000000003</v>
      </c>
      <c r="I9" s="121">
        <f>'人物&amp;怪物成长分析'!P9</f>
        <v>28.8</v>
      </c>
      <c r="J9">
        <f>'[2]3、总属性战斗节奏拟合'!H9</f>
        <v>9.5500000000000007</v>
      </c>
      <c r="K9">
        <f t="shared" si="3"/>
        <v>38.799999999999997</v>
      </c>
      <c r="L9">
        <f t="shared" si="4"/>
        <v>14.634592687327322</v>
      </c>
      <c r="M9" s="15">
        <f>I9*L9</f>
        <v>421.47626939502686</v>
      </c>
      <c r="N9" s="15">
        <f t="shared" si="6"/>
        <v>31.900824742268046</v>
      </c>
      <c r="O9" s="15">
        <f>G9-I9</f>
        <v>23.040000000000003</v>
      </c>
      <c r="P9" s="15">
        <f>N9-H9</f>
        <v>8.8608247422680435</v>
      </c>
      <c r="Q9" s="65">
        <f>'人物&amp;怪物成长分析'!Q9*$X$10</f>
        <v>632.74</v>
      </c>
      <c r="R9" s="65">
        <f>'人物&amp;怪物成长分析'!R9*$X$11</f>
        <v>0</v>
      </c>
      <c r="S9">
        <f t="shared" si="9"/>
        <v>71.799875518069129</v>
      </c>
    </row>
    <row r="10" spans="1:27">
      <c r="A10">
        <f t="shared" si="0"/>
        <v>0.96399999999999997</v>
      </c>
      <c r="B10">
        <f t="shared" si="1"/>
        <v>1.5650845800732873</v>
      </c>
      <c r="C10">
        <f t="shared" si="2"/>
        <v>2.0150000000000001</v>
      </c>
      <c r="D10">
        <f>'[2]3、总属性战斗节奏拟合'!B10</f>
        <v>2.0150000000000001</v>
      </c>
      <c r="E10" s="45">
        <f>'[2]3、总属性战斗节奏拟合'!C10</f>
        <v>6</v>
      </c>
      <c r="F10" s="121">
        <f>'人物&amp;怪物成长分析'!M10</f>
        <v>596.35680000000002</v>
      </c>
      <c r="G10" s="121">
        <f>'人物&amp;怪物成长分析'!N10</f>
        <v>85.363200000000006</v>
      </c>
      <c r="H10" s="121">
        <f>'人物&amp;怪物成长分析'!O10</f>
        <v>37.939200000000007</v>
      </c>
      <c r="I10" s="121">
        <f>'人物&amp;怪物成长分析'!P10</f>
        <v>47.423999999999999</v>
      </c>
      <c r="J10">
        <f>'[2]3、总属性战斗节奏拟合'!H10</f>
        <v>10.06</v>
      </c>
      <c r="K10">
        <f t="shared" si="3"/>
        <v>38.56</v>
      </c>
      <c r="L10">
        <f t="shared" si="4"/>
        <v>15.435507480439723</v>
      </c>
      <c r="M10" s="15">
        <f t="shared" si="5"/>
        <v>732.01350675237336</v>
      </c>
      <c r="N10" s="15">
        <f>F10/K10+H10</f>
        <v>53.404884647302907</v>
      </c>
      <c r="O10" s="15">
        <f t="shared" si="7"/>
        <v>37.939200000000007</v>
      </c>
      <c r="P10" s="15">
        <f t="shared" si="8"/>
        <v>15.465684647302901</v>
      </c>
      <c r="Q10" s="65">
        <f>'人物&amp;怪物成长分析'!Q10*$X$10</f>
        <v>690.96800000000007</v>
      </c>
      <c r="R10" s="65">
        <f>'人物&amp;怪物成长分析'!R10*$X$11</f>
        <v>0</v>
      </c>
      <c r="S10">
        <f t="shared" si="9"/>
        <v>120.62462491739785</v>
      </c>
      <c r="W10" t="s">
        <v>410</v>
      </c>
      <c r="X10" s="76">
        <v>0.2</v>
      </c>
    </row>
    <row r="11" spans="1:27">
      <c r="A11">
        <f t="shared" si="0"/>
        <v>0.95799999999999996</v>
      </c>
      <c r="B11">
        <f t="shared" si="1"/>
        <v>1.6265765616977856</v>
      </c>
      <c r="C11">
        <f t="shared" si="2"/>
        <v>2.1425000000000001</v>
      </c>
      <c r="D11">
        <f>'[2]3、总属性战斗节奏拟合'!B11</f>
        <v>2.1425000000000001</v>
      </c>
      <c r="E11" s="45">
        <f>'[2]3、总属性战斗节奏拟合'!C11</f>
        <v>7</v>
      </c>
      <c r="F11" s="121">
        <f>'人物&amp;怪物成长分析'!M11</f>
        <v>718.31077499999992</v>
      </c>
      <c r="G11" s="121">
        <f>'人物&amp;怪物成长分析'!N11</f>
        <v>97.858800000000002</v>
      </c>
      <c r="H11" s="121">
        <f>'人物&amp;怪物成长分析'!O11</f>
        <v>43.492800000000003</v>
      </c>
      <c r="I11" s="121">
        <f>'人物&amp;怪物成长分析'!P11</f>
        <v>54.366</v>
      </c>
      <c r="J11">
        <f>'[2]3、总属性战斗节奏拟合'!H11</f>
        <v>10.57</v>
      </c>
      <c r="K11">
        <f t="shared" si="3"/>
        <v>38.32</v>
      </c>
      <c r="L11">
        <f t="shared" si="4"/>
        <v>16.186959370186713</v>
      </c>
      <c r="M11" s="15">
        <f t="shared" si="5"/>
        <v>880.02023311957089</v>
      </c>
      <c r="N11" s="15">
        <f t="shared" si="6"/>
        <v>62.237861978079337</v>
      </c>
      <c r="O11" s="15">
        <f t="shared" si="7"/>
        <v>43.492800000000003</v>
      </c>
      <c r="P11" s="15">
        <f t="shared" si="8"/>
        <v>18.745061978079335</v>
      </c>
      <c r="Q11" s="65">
        <f>'人物&amp;怪物成长分析'!Q11*$X$10</f>
        <v>749.19600000000003</v>
      </c>
      <c r="R11" s="65">
        <f>'人物&amp;怪物成长分析'!R11*$X$11</f>
        <v>0</v>
      </c>
      <c r="S11">
        <f t="shared" si="9"/>
        <v>140.93147130286218</v>
      </c>
      <c r="W11" t="s">
        <v>411</v>
      </c>
      <c r="X11">
        <v>0</v>
      </c>
    </row>
    <row r="12" spans="1:27">
      <c r="A12">
        <f t="shared" si="0"/>
        <v>0.95199999999999996</v>
      </c>
      <c r="B12">
        <f t="shared" si="1"/>
        <v>1.681792830507429</v>
      </c>
      <c r="C12">
        <f t="shared" si="2"/>
        <v>2.27</v>
      </c>
      <c r="D12">
        <f>'[2]3、总属性战斗节奏拟合'!B12</f>
        <v>2.27</v>
      </c>
      <c r="E12" s="45">
        <f>'[2]3、总属性战斗节奏拟合'!C12</f>
        <v>8</v>
      </c>
      <c r="F12" s="121">
        <f>'人物&amp;怪物成长分析'!M12</f>
        <v>855.59760000000006</v>
      </c>
      <c r="G12" s="121">
        <f>'人物&amp;怪物成长分析'!N12</f>
        <v>111.19680000000001</v>
      </c>
      <c r="H12" s="121">
        <f>'人物&amp;怪物成长分析'!O12</f>
        <v>49.420800000000014</v>
      </c>
      <c r="I12" s="121">
        <f>'人物&amp;怪物成长分析'!P12</f>
        <v>61.775999999999996</v>
      </c>
      <c r="J12">
        <f>'[2]3、总属性战斗节奏拟合'!H12</f>
        <v>11.08</v>
      </c>
      <c r="K12">
        <f t="shared" si="3"/>
        <v>38.08</v>
      </c>
      <c r="L12">
        <f t="shared" si="4"/>
        <v>16.900756983044573</v>
      </c>
      <c r="M12" s="15">
        <f t="shared" si="5"/>
        <v>1044.0611633845615</v>
      </c>
      <c r="N12" s="15">
        <f t="shared" si="6"/>
        <v>71.889224369747922</v>
      </c>
      <c r="O12" s="15">
        <f t="shared" si="7"/>
        <v>49.420800000000014</v>
      </c>
      <c r="P12" s="15">
        <f t="shared" si="8"/>
        <v>22.468424369747908</v>
      </c>
      <c r="Q12" s="65">
        <f>'人物&amp;怪物成长分析'!Q12*$X$10</f>
        <v>807.42399999999998</v>
      </c>
      <c r="R12" s="65">
        <f>'人物&amp;怪物成长分析'!R12*$X$11</f>
        <v>0</v>
      </c>
      <c r="S12">
        <f t="shared" si="9"/>
        <v>163.07247090513039</v>
      </c>
      <c r="W12" t="s">
        <v>362</v>
      </c>
      <c r="X12" t="s">
        <v>360</v>
      </c>
      <c r="Y12" t="s">
        <v>361</v>
      </c>
    </row>
    <row r="13" spans="1:27">
      <c r="A13">
        <f t="shared" si="0"/>
        <v>0.94599999999999995</v>
      </c>
      <c r="B13">
        <f t="shared" si="1"/>
        <v>1.7320508075688774</v>
      </c>
      <c r="C13">
        <f t="shared" si="2"/>
        <v>2.3975</v>
      </c>
      <c r="D13">
        <f>'[2]3、总属性战斗节奏拟合'!B13</f>
        <v>2.3975</v>
      </c>
      <c r="E13" s="45">
        <f>'[2]3、总属性战斗节奏拟合'!C13</f>
        <v>9</v>
      </c>
      <c r="F13" s="121">
        <f>'人物&amp;怪物成长分析'!M13</f>
        <v>1124.0044989130436</v>
      </c>
      <c r="G13" s="121">
        <f>'人物&amp;怪物成长分析'!N13</f>
        <v>139.65198260869565</v>
      </c>
      <c r="H13" s="121">
        <f>'人物&amp;怪物成长分析'!O13</f>
        <v>62.067547826086958</v>
      </c>
      <c r="I13" s="121">
        <f>'人物&amp;怪物成长分析'!P13</f>
        <v>77.584434782608696</v>
      </c>
      <c r="J13">
        <f>'[2]3、总属性战斗节奏拟合'!H13</f>
        <v>11.59</v>
      </c>
      <c r="K13">
        <f t="shared" si="3"/>
        <v>37.839999999999996</v>
      </c>
      <c r="L13">
        <f t="shared" si="4"/>
        <v>17.584804845413263</v>
      </c>
      <c r="M13" s="15">
        <f t="shared" si="5"/>
        <v>1364.3071446938668</v>
      </c>
      <c r="N13" s="15">
        <f t="shared" si="6"/>
        <v>91.771683632457041</v>
      </c>
      <c r="O13" s="15">
        <f t="shared" si="7"/>
        <v>62.067547826086951</v>
      </c>
      <c r="P13" s="15">
        <f t="shared" si="8"/>
        <v>29.704135806370083</v>
      </c>
      <c r="Q13" s="65">
        <f>'人物&amp;怪物成长分析'!Q13*$X$10</f>
        <v>865.65200000000004</v>
      </c>
      <c r="R13" s="65">
        <f>'人物&amp;怪物成长分析'!R13*$X$11</f>
        <v>0</v>
      </c>
      <c r="S13">
        <f t="shared" si="9"/>
        <v>208.41151724629867</v>
      </c>
      <c r="W13">
        <f>[2]各种公式!C13</f>
        <v>0.04</v>
      </c>
      <c r="X13">
        <f>[2]各种公式!D13</f>
        <v>1</v>
      </c>
      <c r="Y13">
        <f>[2]各种公式!E13</f>
        <v>1</v>
      </c>
    </row>
    <row r="14" spans="1:27">
      <c r="A14">
        <f t="shared" si="0"/>
        <v>0.94</v>
      </c>
      <c r="B14">
        <f t="shared" si="1"/>
        <v>1.778279410038923</v>
      </c>
      <c r="C14">
        <f t="shared" si="2"/>
        <v>2.5249999999999999</v>
      </c>
      <c r="D14">
        <f>'[2]3、总属性战斗节奏拟合'!B14</f>
        <v>2.5249999999999999</v>
      </c>
      <c r="E14" s="45">
        <f>'[2]3、总属性战斗节奏拟合'!C14</f>
        <v>10</v>
      </c>
      <c r="F14" s="121">
        <f>'人物&amp;怪物成长分析'!M14</f>
        <v>1432.271739130435</v>
      </c>
      <c r="G14" s="121">
        <f>'人物&amp;怪物成长分析'!N14</f>
        <v>170.45217391304354</v>
      </c>
      <c r="H14" s="121">
        <f>'人物&amp;怪物成长分析'!O14</f>
        <v>75.756521739130449</v>
      </c>
      <c r="I14" s="121">
        <f>'人物&amp;怪物成长分析'!P14</f>
        <v>94.695652173913089</v>
      </c>
      <c r="J14">
        <f>'[2]3、总属性战斗节奏拟合'!H14</f>
        <v>12.1</v>
      </c>
      <c r="K14">
        <f t="shared" si="3"/>
        <v>37.599999999999994</v>
      </c>
      <c r="L14">
        <f t="shared" si="4"/>
        <v>18.244676460233535</v>
      </c>
      <c r="M14" s="15">
        <f t="shared" si="5"/>
        <v>1727.6915361038548</v>
      </c>
      <c r="N14" s="15">
        <f t="shared" si="6"/>
        <v>113.84885522664203</v>
      </c>
      <c r="O14" s="15">
        <f t="shared" si="7"/>
        <v>75.756521739130449</v>
      </c>
      <c r="P14" s="15">
        <f t="shared" si="8"/>
        <v>38.092333487511581</v>
      </c>
      <c r="Q14" s="65">
        <f>'人物&amp;怪物成长分析'!Q14*$X$10</f>
        <v>923.88</v>
      </c>
      <c r="R14" s="65">
        <f>'人物&amp;怪物成长分析'!R14*$X$11</f>
        <v>0</v>
      </c>
      <c r="S14">
        <f t="shared" si="9"/>
        <v>258.71303840992664</v>
      </c>
    </row>
    <row r="15" spans="1:27">
      <c r="A15">
        <f t="shared" si="0"/>
        <v>0.93399999999999994</v>
      </c>
      <c r="B15">
        <f t="shared" si="1"/>
        <v>1.821160286837872</v>
      </c>
      <c r="C15">
        <f t="shared" si="2"/>
        <v>2.6524999999999999</v>
      </c>
      <c r="D15">
        <f>'[2]3、总属性战斗节奏拟合'!B15</f>
        <v>2.6524999999999999</v>
      </c>
      <c r="E15" s="45">
        <f>'[2]3、总属性战斗节奏拟合'!C15</f>
        <v>11</v>
      </c>
      <c r="F15" s="121">
        <f>'人物&amp;怪物成长分析'!M15</f>
        <v>1782.8908923913041</v>
      </c>
      <c r="G15" s="121">
        <f>'人物&amp;怪物成长分析'!N15</f>
        <v>203.5973739130435</v>
      </c>
      <c r="H15" s="121">
        <f>'人物&amp;怪物成长分析'!O15</f>
        <v>90.48772173913045</v>
      </c>
      <c r="I15" s="121">
        <f>'人物&amp;怪物成长分析'!P15</f>
        <v>113.10965217391305</v>
      </c>
      <c r="J15">
        <f>'[2]3、总属性战斗节奏拟合'!H15</f>
        <v>12.61</v>
      </c>
      <c r="K15">
        <f t="shared" si="3"/>
        <v>37.36</v>
      </c>
      <c r="L15">
        <f t="shared" si="4"/>
        <v>18.884461721027233</v>
      </c>
      <c r="M15" s="15">
        <f t="shared" si="5"/>
        <v>2136.0148967569658</v>
      </c>
      <c r="N15" s="15">
        <f t="shared" si="6"/>
        <v>138.20964070035379</v>
      </c>
      <c r="O15" s="15">
        <f t="shared" si="7"/>
        <v>90.48772173913045</v>
      </c>
      <c r="P15" s="15">
        <f t="shared" si="8"/>
        <v>47.721918961223338</v>
      </c>
      <c r="Q15" s="65">
        <f>'人物&amp;怪物成长分析'!Q15*$X$10</f>
        <v>982.10800000000006</v>
      </c>
      <c r="R15" s="65">
        <f>'人物&amp;怪物成长分析'!R15*$X$11</f>
        <v>0</v>
      </c>
      <c r="S15">
        <f t="shared" si="9"/>
        <v>314.13795830976289</v>
      </c>
    </row>
    <row r="16" spans="1:27">
      <c r="A16">
        <f t="shared" si="0"/>
        <v>0.92799999999999994</v>
      </c>
      <c r="B16">
        <f t="shared" si="1"/>
        <v>1.8612097182041991</v>
      </c>
      <c r="C16">
        <f t="shared" si="2"/>
        <v>2.7800000000000002</v>
      </c>
      <c r="D16">
        <f>'[2]3、总属性战斗节奏拟合'!B16</f>
        <v>2.7800000000000002</v>
      </c>
      <c r="E16" s="45">
        <f>'[2]3、总属性战斗节奏拟合'!C16</f>
        <v>12</v>
      </c>
      <c r="F16" s="121">
        <f>'人物&amp;怪物成长分析'!M16</f>
        <v>2178.3535304347824</v>
      </c>
      <c r="G16" s="121">
        <f>'人物&amp;怪物成长分析'!N16</f>
        <v>239.0875826086957</v>
      </c>
      <c r="H16" s="121">
        <f>'人物&amp;怪物成长分析'!O16</f>
        <v>106.26114782608698</v>
      </c>
      <c r="I16" s="121">
        <f>'人物&amp;怪物成长分析'!P16</f>
        <v>132.82643478260871</v>
      </c>
      <c r="J16">
        <f>'[2]3、总属性战斗节奏拟合'!H16</f>
        <v>13.120000000000001</v>
      </c>
      <c r="K16">
        <f t="shared" si="3"/>
        <v>37.119999999999997</v>
      </c>
      <c r="L16">
        <f t="shared" si="4"/>
        <v>19.507258309225193</v>
      </c>
      <c r="M16" s="15">
        <f t="shared" si="5"/>
        <v>2591.0795735978022</v>
      </c>
      <c r="N16" s="15">
        <f t="shared" si="6"/>
        <v>164.94524077961023</v>
      </c>
      <c r="O16" s="15">
        <f t="shared" si="7"/>
        <v>106.26114782608698</v>
      </c>
      <c r="P16" s="15">
        <f t="shared" si="8"/>
        <v>58.684092953523248</v>
      </c>
      <c r="Q16" s="65">
        <f>'人物&amp;怪物成长分析'!Q16*$X$10</f>
        <v>1040.336</v>
      </c>
      <c r="R16" s="65">
        <f>'人物&amp;怪物成长分析'!R16*$X$11</f>
        <v>0</v>
      </c>
      <c r="S16">
        <f t="shared" si="9"/>
        <v>374.84957154960932</v>
      </c>
    </row>
    <row r="17" spans="1:19">
      <c r="A17">
        <f t="shared" si="0"/>
        <v>0.92200000000000004</v>
      </c>
      <c r="B17">
        <f t="shared" si="1"/>
        <v>1.8988289221159418</v>
      </c>
      <c r="C17">
        <f t="shared" si="2"/>
        <v>2.9074999999999998</v>
      </c>
      <c r="D17">
        <f>'[2]3、总属性战斗节奏拟合'!B17</f>
        <v>2.9074999999999998</v>
      </c>
      <c r="E17" s="45">
        <f>'[2]3、总属性战斗节奏拟合'!C17</f>
        <v>13</v>
      </c>
      <c r="F17" s="121">
        <f>'人物&amp;怪物成长分析'!M17</f>
        <v>2621.1512249999996</v>
      </c>
      <c r="G17" s="121">
        <f>'人物&amp;怪物成长分析'!N17</f>
        <v>276.9228</v>
      </c>
      <c r="H17" s="121">
        <f>'人物&amp;怪物成长分析'!O17</f>
        <v>123.07680000000001</v>
      </c>
      <c r="I17" s="121">
        <f>'人物&amp;怪物成长分析'!P17</f>
        <v>153.846</v>
      </c>
      <c r="J17">
        <f>'[2]3、总属性战斗节奏拟合'!H17</f>
        <v>13.629999999999999</v>
      </c>
      <c r="K17">
        <f t="shared" si="3"/>
        <v>36.880000000000003</v>
      </c>
      <c r="L17">
        <f t="shared" si="4"/>
        <v>20.115473532695653</v>
      </c>
      <c r="M17" s="15">
        <f t="shared" si="5"/>
        <v>3094.6851411110956</v>
      </c>
      <c r="N17" s="15">
        <f t="shared" si="6"/>
        <v>194.14923017895876</v>
      </c>
      <c r="O17" s="15">
        <f t="shared" si="7"/>
        <v>123.07679999999999</v>
      </c>
      <c r="P17" s="15">
        <f t="shared" si="8"/>
        <v>71.072430178958754</v>
      </c>
      <c r="Q17" s="65">
        <f>'人物&amp;怪物成长分析'!Q17*$X$10</f>
        <v>1098.5640000000001</v>
      </c>
      <c r="R17" s="65">
        <f>'人物&amp;怪物成长分析'!R17*$X$11</f>
        <v>0</v>
      </c>
      <c r="S17">
        <f t="shared" si="9"/>
        <v>441.01343582340257</v>
      </c>
    </row>
    <row r="18" spans="1:19">
      <c r="A18">
        <f t="shared" si="0"/>
        <v>0.91600000000000004</v>
      </c>
      <c r="B18">
        <f t="shared" si="1"/>
        <v>1.9343364202676692</v>
      </c>
      <c r="C18">
        <f t="shared" si="2"/>
        <v>3.0350000000000001</v>
      </c>
      <c r="D18">
        <f>'[2]3、总属性战斗节奏拟合'!B18</f>
        <v>3.0350000000000001</v>
      </c>
      <c r="E18" s="45">
        <f>'[2]3、总属性战斗节奏拟合'!C18</f>
        <v>14</v>
      </c>
      <c r="F18" s="121">
        <f>'人物&amp;怪物成长分析'!M18</f>
        <v>3113.7755478260879</v>
      </c>
      <c r="G18" s="121">
        <f>'人物&amp;怪物成长分析'!N18</f>
        <v>317.10302608695656</v>
      </c>
      <c r="H18" s="121">
        <f>'人物&amp;怪物成长分析'!O18</f>
        <v>140.93467826086962</v>
      </c>
      <c r="I18" s="121">
        <f>'人物&amp;怪物成长分析'!P18</f>
        <v>176.16834782608694</v>
      </c>
      <c r="J18">
        <f>'[2]3、总属性战斗节奏拟合'!H18</f>
        <v>14.14</v>
      </c>
      <c r="K18">
        <f t="shared" si="3"/>
        <v>36.64</v>
      </c>
      <c r="L18">
        <f t="shared" si="4"/>
        <v>20.711018521606015</v>
      </c>
      <c r="M18" s="15">
        <f t="shared" si="5"/>
        <v>3648.6259147468172</v>
      </c>
      <c r="N18" s="15">
        <f t="shared" si="6"/>
        <v>225.91763535219297</v>
      </c>
      <c r="O18" s="15">
        <f t="shared" si="7"/>
        <v>140.93467826086962</v>
      </c>
      <c r="P18" s="15">
        <f t="shared" si="8"/>
        <v>84.982957091323357</v>
      </c>
      <c r="Q18" s="65">
        <f>'人物&amp;怪物成长分析'!Q18*$X$10</f>
        <v>1156.7920000000001</v>
      </c>
      <c r="R18" s="65">
        <f>'人物&amp;怪物成长分析'!R18*$X$11</f>
        <v>0</v>
      </c>
      <c r="S18">
        <f t="shared" si="9"/>
        <v>512.79735020293526</v>
      </c>
    </row>
    <row r="19" spans="1:19">
      <c r="A19">
        <f t="shared" si="0"/>
        <v>0.91</v>
      </c>
      <c r="B19">
        <f t="shared" si="1"/>
        <v>1.9679896712654303</v>
      </c>
      <c r="C19">
        <f t="shared" si="2"/>
        <v>3.1625000000000001</v>
      </c>
      <c r="D19">
        <f>'[2]3、总属性战斗节奏拟合'!B19</f>
        <v>3.1625000000000001</v>
      </c>
      <c r="E19" s="45">
        <f>'[2]3、总属性战斗节奏拟合'!C19</f>
        <v>15</v>
      </c>
      <c r="F19" s="121">
        <f>'人物&amp;怪物成长分析'!M19</f>
        <v>3658.718070652174</v>
      </c>
      <c r="G19" s="121">
        <f>'人物&amp;怪物成长分析'!N19</f>
        <v>359.62826086956522</v>
      </c>
      <c r="H19" s="121">
        <f>'人物&amp;怪物成长分析'!O19</f>
        <v>159.83478260869569</v>
      </c>
      <c r="I19" s="121">
        <f>'人物&amp;怪物成长分析'!P19</f>
        <v>199.79347826086953</v>
      </c>
      <c r="J19">
        <f>'[2]3、总属性战斗节奏拟合'!H19</f>
        <v>14.65</v>
      </c>
      <c r="K19">
        <f t="shared" si="3"/>
        <v>36.4</v>
      </c>
      <c r="L19">
        <f t="shared" si="4"/>
        <v>21.295438027592581</v>
      </c>
      <c r="M19" s="15">
        <f t="shared" si="5"/>
        <v>4254.6896346215126</v>
      </c>
      <c r="N19" s="15">
        <f t="shared" si="6"/>
        <v>260.34901531892024</v>
      </c>
      <c r="O19" s="15">
        <f t="shared" si="7"/>
        <v>159.83478260869569</v>
      </c>
      <c r="P19" s="15">
        <f t="shared" si="8"/>
        <v>100.51423271022455</v>
      </c>
      <c r="Q19" s="65">
        <f>'人物&amp;怪物成长分析'!Q19*$X$10</f>
        <v>1215.02</v>
      </c>
      <c r="R19" s="65">
        <f>'人物&amp;怪物成长分析'!R19*$X$11</f>
        <v>0</v>
      </c>
      <c r="S19">
        <f t="shared" si="9"/>
        <v>590.3713833124765</v>
      </c>
    </row>
    <row r="20" spans="1:19">
      <c r="A20">
        <f t="shared" si="0"/>
        <v>0.90400000000000003</v>
      </c>
      <c r="B20">
        <f t="shared" si="1"/>
        <v>2</v>
      </c>
      <c r="C20">
        <f t="shared" si="2"/>
        <v>3.29</v>
      </c>
      <c r="D20">
        <f>'[2]3、总属性战斗节奏拟合'!B20</f>
        <v>3.29</v>
      </c>
      <c r="E20" s="45">
        <f>'[2]3、总属性战斗节奏拟合'!C20</f>
        <v>16</v>
      </c>
      <c r="F20" s="121">
        <f>'人物&amp;怪物成长分析'!M20</f>
        <v>4258.4703652173921</v>
      </c>
      <c r="G20" s="121">
        <f>'人物&amp;怪物成长分析'!N20</f>
        <v>404.49850434782616</v>
      </c>
      <c r="H20" s="121">
        <f>'人物&amp;怪物成长分析'!O20</f>
        <v>179.77711304347829</v>
      </c>
      <c r="I20" s="121">
        <f>'人物&amp;怪物成长分析'!P20</f>
        <v>224.72139130434786</v>
      </c>
      <c r="J20">
        <f>'[2]3、总属性战斗节奏拟合'!H20</f>
        <v>15.16</v>
      </c>
      <c r="K20">
        <f t="shared" si="3"/>
        <v>36.160000000000004</v>
      </c>
      <c r="L20">
        <f t="shared" si="4"/>
        <v>21.87</v>
      </c>
      <c r="M20" s="15">
        <f t="shared" si="5"/>
        <v>4914.6568278260884</v>
      </c>
      <c r="N20" s="15">
        <f t="shared" si="6"/>
        <v>297.54454570988844</v>
      </c>
      <c r="O20" s="15">
        <f t="shared" si="7"/>
        <v>179.77711304347829</v>
      </c>
      <c r="P20" s="15">
        <f t="shared" si="8"/>
        <v>117.76743266641014</v>
      </c>
      <c r="Q20" s="65">
        <f>'人物&amp;怪物成长分析'!Q20*$X$10</f>
        <v>1273.248</v>
      </c>
      <c r="R20" s="65">
        <f>'人物&amp;怪物成长分析'!R20*$X$11</f>
        <v>0</v>
      </c>
      <c r="S20">
        <f t="shared" si="9"/>
        <v>673.90793186641031</v>
      </c>
    </row>
    <row r="21" spans="1:19">
      <c r="A21">
        <f t="shared" si="0"/>
        <v>0.89800000000000002</v>
      </c>
      <c r="B21">
        <f t="shared" si="1"/>
        <v>2.0305431848689306</v>
      </c>
      <c r="C21">
        <f t="shared" si="2"/>
        <v>3.4175</v>
      </c>
      <c r="D21">
        <f>'[2]3、总属性战斗节奏拟合'!B21</f>
        <v>3.4175</v>
      </c>
      <c r="E21" s="45">
        <f>'[2]3、总属性战斗节奏拟合'!C21</f>
        <v>17</v>
      </c>
      <c r="F21" s="121">
        <f>'人物&amp;怪物成长分析'!M21</f>
        <v>4915.5240032608699</v>
      </c>
      <c r="G21" s="121">
        <f>'人物&amp;怪物成长分析'!N21</f>
        <v>451.71375652173913</v>
      </c>
      <c r="H21" s="121">
        <f>'人物&amp;怪物成长分析'!O21</f>
        <v>200.76166956521743</v>
      </c>
      <c r="I21" s="121">
        <f>'人物&amp;怪物成长分析'!P21</f>
        <v>250.9520869565217</v>
      </c>
      <c r="J21">
        <f>'[2]3、总属性战斗节奏拟合'!H21</f>
        <v>15.67</v>
      </c>
      <c r="K21">
        <f t="shared" si="3"/>
        <v>35.92</v>
      </c>
      <c r="L21">
        <f t="shared" si="4"/>
        <v>22.435759109213585</v>
      </c>
      <c r="M21" s="15">
        <f t="shared" si="5"/>
        <v>5630.3005709109411</v>
      </c>
      <c r="N21" s="15">
        <f t="shared" si="6"/>
        <v>337.60810618161133</v>
      </c>
      <c r="O21" s="15">
        <f t="shared" si="7"/>
        <v>200.76166956521743</v>
      </c>
      <c r="P21" s="15">
        <f t="shared" si="8"/>
        <v>136.8464366163939</v>
      </c>
      <c r="Q21" s="65">
        <f>'人物&amp;怪物成长分析'!Q21*$X$10</f>
        <v>1331.4760000000001</v>
      </c>
      <c r="R21" s="65">
        <f>'人物&amp;怪物成长分析'!R21*$X$11</f>
        <v>0</v>
      </c>
      <c r="S21">
        <f t="shared" si="9"/>
        <v>763.58179858326639</v>
      </c>
    </row>
    <row r="22" spans="1:19">
      <c r="A22">
        <f t="shared" si="0"/>
        <v>0.89200000000000002</v>
      </c>
      <c r="B22">
        <f t="shared" si="1"/>
        <v>2.0597671439071177</v>
      </c>
      <c r="C22">
        <f t="shared" si="2"/>
        <v>3.5449999999999999</v>
      </c>
      <c r="D22">
        <f>'[2]3、总属性战斗节奏拟合'!B22</f>
        <v>3.5449999999999999</v>
      </c>
      <c r="E22" s="45">
        <f>'[2]3、总属性战斗节奏拟合'!C22</f>
        <v>18</v>
      </c>
      <c r="F22" s="121">
        <f>'人物&amp;怪物成长分析'!M22</f>
        <v>5632.3705565217415</v>
      </c>
      <c r="G22" s="121">
        <f>'人物&amp;怪物成长分析'!N22</f>
        <v>501.2740173913046</v>
      </c>
      <c r="H22" s="121">
        <f>'人物&amp;怪物成长分析'!O22</f>
        <v>222.78845217391313</v>
      </c>
      <c r="I22" s="121">
        <f>'人物&amp;怪物成长分析'!P22</f>
        <v>278.48556521739147</v>
      </c>
      <c r="J22">
        <f>'[2]3、总属性战斗节奏拟合'!H22</f>
        <v>16.18</v>
      </c>
      <c r="K22">
        <f t="shared" si="3"/>
        <v>35.68</v>
      </c>
      <c r="L22">
        <f t="shared" si="4"/>
        <v>22.993602863442703</v>
      </c>
      <c r="M22" s="15">
        <f t="shared" si="5"/>
        <v>6403.3864898100719</v>
      </c>
      <c r="N22" s="15">
        <f t="shared" si="6"/>
        <v>380.64637135893952</v>
      </c>
      <c r="O22" s="15">
        <f t="shared" si="7"/>
        <v>222.78845217391313</v>
      </c>
      <c r="P22" s="15">
        <f t="shared" si="8"/>
        <v>157.85791918502639</v>
      </c>
      <c r="Q22" s="65">
        <f>'人物&amp;怪物成长分析'!Q22*$X$10</f>
        <v>1389.704</v>
      </c>
      <c r="R22" s="65">
        <f>'人物&amp;怪物成长分析'!R22*$X$11</f>
        <v>0</v>
      </c>
      <c r="S22">
        <f t="shared" si="9"/>
        <v>859.57028312525551</v>
      </c>
    </row>
    <row r="23" spans="1:19">
      <c r="A23">
        <f t="shared" si="0"/>
        <v>0.88600000000000001</v>
      </c>
      <c r="B23">
        <f t="shared" si="1"/>
        <v>2.087797629929844</v>
      </c>
      <c r="C23">
        <f t="shared" si="2"/>
        <v>3.6724999999999999</v>
      </c>
      <c r="D23">
        <f>'[2]3、总属性战斗节奏拟合'!B23</f>
        <v>3.6724999999999999</v>
      </c>
      <c r="E23" s="45">
        <f>'[2]3、总属性战斗节奏拟合'!C23</f>
        <v>19</v>
      </c>
      <c r="F23" s="121">
        <f>'人物&amp;怪物成长分析'!M23</f>
        <v>6411.50159673913</v>
      </c>
      <c r="G23" s="121">
        <f>'人物&amp;怪物成长分析'!N23</f>
        <v>553.17928695652188</v>
      </c>
      <c r="H23" s="121">
        <f>'人物&amp;怪物成长分析'!O23</f>
        <v>245.8574608695653</v>
      </c>
      <c r="I23" s="121">
        <f>'人物&amp;怪物成长分析'!P23</f>
        <v>307.32182608695655</v>
      </c>
      <c r="J23">
        <f>'[2]3、总属性战斗节奏拟合'!H23</f>
        <v>16.689999999999998</v>
      </c>
      <c r="K23">
        <f t="shared" si="3"/>
        <v>35.44</v>
      </c>
      <c r="L23">
        <f t="shared" si="4"/>
        <v>23.544285779579063</v>
      </c>
      <c r="M23" s="15">
        <f t="shared" si="5"/>
        <v>7235.6728996934007</v>
      </c>
      <c r="N23" s="15">
        <f t="shared" si="6"/>
        <v>426.76890547281391</v>
      </c>
      <c r="O23" s="15">
        <f t="shared" si="7"/>
        <v>245.85746086956533</v>
      </c>
      <c r="P23" s="15">
        <f t="shared" si="8"/>
        <v>180.91144460324861</v>
      </c>
      <c r="Q23" s="65">
        <f>'人物&amp;怪物成长分析'!Q23*$X$10</f>
        <v>1447.932</v>
      </c>
      <c r="R23" s="65">
        <f>'人物&amp;怪物成长分析'!R23*$X$11</f>
        <v>0</v>
      </c>
      <c r="S23">
        <f t="shared" si="9"/>
        <v>962.05328233011528</v>
      </c>
    </row>
    <row r="24" spans="1:19">
      <c r="A24">
        <f t="shared" si="0"/>
        <v>0.88</v>
      </c>
      <c r="B24">
        <f t="shared" si="1"/>
        <v>2.1147425268811282</v>
      </c>
      <c r="C24">
        <f t="shared" si="2"/>
        <v>3.8</v>
      </c>
      <c r="D24">
        <f>'[2]3、总属性战斗节奏拟合'!B24</f>
        <v>3.8</v>
      </c>
      <c r="E24" s="45">
        <f>'[2]3、总属性战斗节奏拟合'!C24</f>
        <v>20</v>
      </c>
      <c r="F24" s="121">
        <f>'人物&amp;怪物成长分析'!M24</f>
        <v>7255.4086956521751</v>
      </c>
      <c r="G24" s="121">
        <f>'人物&amp;怪物成长分析'!N24</f>
        <v>607.42956521739143</v>
      </c>
      <c r="H24" s="121">
        <f>'人物&amp;怪物成长分析'!O24</f>
        <v>269.96869565217401</v>
      </c>
      <c r="I24" s="121">
        <f>'人物&amp;怪物成长分析'!P24</f>
        <v>337.46086956521742</v>
      </c>
      <c r="J24">
        <f>'[2]3、总属性战斗节奏拟合'!H24</f>
        <v>17.2</v>
      </c>
      <c r="K24">
        <f t="shared" si="3"/>
        <v>35.200000000000003</v>
      </c>
      <c r="L24">
        <f t="shared" si="4"/>
        <v>24.088455161286767</v>
      </c>
      <c r="M24" s="15">
        <f t="shared" si="5"/>
        <v>8128.911025210582</v>
      </c>
      <c r="N24" s="15">
        <f t="shared" si="6"/>
        <v>476.08826086956532</v>
      </c>
      <c r="O24" s="15">
        <f t="shared" si="7"/>
        <v>269.96869565217401</v>
      </c>
      <c r="P24" s="15">
        <f t="shared" si="8"/>
        <v>206.11956521739131</v>
      </c>
      <c r="Q24" s="65">
        <f>'人物&amp;怪物成长分析'!Q24*$X$10</f>
        <v>1506.1599999999999</v>
      </c>
      <c r="R24" s="65">
        <f>'人物&amp;怪物成长分析'!R24*$X$11</f>
        <v>0</v>
      </c>
      <c r="S24">
        <f t="shared" si="9"/>
        <v>1071.2133975301626</v>
      </c>
    </row>
    <row r="25" spans="1:19">
      <c r="A25">
        <f t="shared" si="0"/>
        <v>0.874</v>
      </c>
      <c r="B25">
        <f t="shared" si="1"/>
        <v>2.1406951429280725</v>
      </c>
      <c r="C25">
        <f t="shared" si="2"/>
        <v>3.9275000000000002</v>
      </c>
      <c r="D25">
        <f>'[2]3、总属性战斗节奏拟合'!B25</f>
        <v>3.9275000000000002</v>
      </c>
      <c r="E25" s="45">
        <f>'[2]3、总属性战斗节奏拟合'!C25</f>
        <v>21</v>
      </c>
      <c r="F25" s="121">
        <f>'人物&amp;怪物成长分析'!M25</f>
        <v>8166.5834250000034</v>
      </c>
      <c r="G25" s="121">
        <f>'人物&amp;怪物成长分析'!N25</f>
        <v>664.02485217391336</v>
      </c>
      <c r="H25" s="121">
        <f>'人物&amp;怪物成长分析'!O25</f>
        <v>295.12215652173927</v>
      </c>
      <c r="I25" s="121">
        <f>'人物&amp;怪物成长分析'!P25</f>
        <v>368.90269565217409</v>
      </c>
      <c r="J25">
        <f>'[2]3、总属性战斗节奏拟合'!H25</f>
        <v>17.71</v>
      </c>
      <c r="K25">
        <f t="shared" si="3"/>
        <v>34.96</v>
      </c>
      <c r="L25">
        <f t="shared" si="4"/>
        <v>24.626670857568435</v>
      </c>
      <c r="M25" s="15">
        <f t="shared" si="5"/>
        <v>9084.8452642958327</v>
      </c>
      <c r="N25" s="15">
        <f t="shared" si="6"/>
        <v>528.7200805778034</v>
      </c>
      <c r="O25" s="15">
        <f t="shared" si="7"/>
        <v>295.12215652173927</v>
      </c>
      <c r="P25" s="15">
        <f t="shared" si="8"/>
        <v>233.59792405606413</v>
      </c>
      <c r="Q25" s="65">
        <f>'人物&amp;怪物成长分析'!Q25*$X$10</f>
        <v>1564.3879999999999</v>
      </c>
      <c r="R25" s="65">
        <f>'人物&amp;怪物成长分析'!R25*$X$11</f>
        <v>0</v>
      </c>
      <c r="S25">
        <f t="shared" si="9"/>
        <v>1187.2360476713761</v>
      </c>
    </row>
    <row r="26" spans="1:19">
      <c r="A26">
        <f t="shared" si="0"/>
        <v>0.86799999999999999</v>
      </c>
      <c r="B26">
        <f t="shared" si="1"/>
        <v>2.1657367706679937</v>
      </c>
      <c r="C26">
        <f t="shared" si="2"/>
        <v>4.0549999999999997</v>
      </c>
      <c r="D26">
        <f>'[2]3、总属性战斗节奏拟合'!B26</f>
        <v>4.0549999999999997</v>
      </c>
      <c r="E26" s="45">
        <f>'[2]3、总属性战斗节奏拟合'!C26</f>
        <v>22</v>
      </c>
      <c r="F26" s="121">
        <f>'人物&amp;怪物成长分析'!M26</f>
        <v>9147.5173565217392</v>
      </c>
      <c r="G26" s="121">
        <f>'人物&amp;怪物成长分析'!N26</f>
        <v>722.9651478260871</v>
      </c>
      <c r="H26" s="121">
        <f>'人物&amp;怪物成长分析'!O26</f>
        <v>321.31784347826095</v>
      </c>
      <c r="I26" s="121">
        <f>'人物&amp;怪物成长分析'!P26</f>
        <v>401.64730434782615</v>
      </c>
      <c r="J26">
        <f>'[2]3、总属性战斗节奏拟合'!H26</f>
        <v>18.22</v>
      </c>
      <c r="K26">
        <f t="shared" si="3"/>
        <v>34.72</v>
      </c>
      <c r="L26">
        <f t="shared" si="4"/>
        <v>25.159420624007961</v>
      </c>
      <c r="M26" s="15">
        <f t="shared" si="5"/>
        <v>10105.2134725859</v>
      </c>
      <c r="N26" s="15">
        <f t="shared" si="6"/>
        <v>584.78320512923278</v>
      </c>
      <c r="O26" s="15">
        <f t="shared" si="7"/>
        <v>321.31784347826095</v>
      </c>
      <c r="P26" s="15">
        <f t="shared" si="8"/>
        <v>263.46536165097183</v>
      </c>
      <c r="Q26" s="65">
        <f>'人物&amp;怪物成长分析'!Q26*$X$10</f>
        <v>1622.616</v>
      </c>
      <c r="R26" s="65">
        <f>'人物&amp;怪物成长分析'!R26*$X$11</f>
        <v>0</v>
      </c>
      <c r="S26">
        <f t="shared" si="9"/>
        <v>1310.3095875109298</v>
      </c>
    </row>
    <row r="27" spans="1:19">
      <c r="A27">
        <f t="shared" si="0"/>
        <v>0.86199999999999999</v>
      </c>
      <c r="B27">
        <f t="shared" si="1"/>
        <v>2.1899387030948421</v>
      </c>
      <c r="C27">
        <f t="shared" si="2"/>
        <v>4.1825000000000001</v>
      </c>
      <c r="D27">
        <f>'[2]3、总属性战斗节奏拟合'!B27</f>
        <v>4.1825000000000001</v>
      </c>
      <c r="E27" s="45">
        <f>'[2]3、总属性战斗节奏拟合'!C27</f>
        <v>23</v>
      </c>
      <c r="F27" s="121">
        <f>'人物&amp;怪物成长分析'!M27</f>
        <v>10390.883600418063</v>
      </c>
      <c r="G27" s="121">
        <f>'人物&amp;怪物成长分析'!N27</f>
        <v>798.87199063545177</v>
      </c>
      <c r="H27" s="121">
        <f>'人物&amp;怪物成长分析'!O27</f>
        <v>355.05421806020081</v>
      </c>
      <c r="I27" s="121">
        <f>'人物&amp;怪物成长分析'!P27</f>
        <v>443.81777257525096</v>
      </c>
      <c r="J27">
        <f>'[2]3、总属性战斗节奏拟合'!H27</f>
        <v>18.73</v>
      </c>
      <c r="K27">
        <f t="shared" si="3"/>
        <v>34.479999999999997</v>
      </c>
      <c r="L27">
        <f t="shared" si="4"/>
        <v>25.687132218569051</v>
      </c>
      <c r="M27" s="15">
        <f t="shared" si="5"/>
        <v>11400.405805091281</v>
      </c>
      <c r="N27" s="15">
        <f t="shared" si="6"/>
        <v>656.41395125097995</v>
      </c>
      <c r="O27" s="15">
        <f t="shared" si="7"/>
        <v>355.05421806020081</v>
      </c>
      <c r="P27" s="15">
        <f t="shared" si="8"/>
        <v>301.35973319077914</v>
      </c>
      <c r="Q27" s="65">
        <f>'人物&amp;怪物成长分析'!Q27*$X$10</f>
        <v>1680.8440000000001</v>
      </c>
      <c r="R27" s="65">
        <f>'人物&amp;怪物成长分析'!R27*$X$11</f>
        <v>0</v>
      </c>
      <c r="S27">
        <f t="shared" si="9"/>
        <v>1467.4844015148321</v>
      </c>
    </row>
    <row r="28" spans="1:19">
      <c r="A28">
        <f t="shared" si="0"/>
        <v>0.85599999999999998</v>
      </c>
      <c r="B28">
        <f t="shared" si="1"/>
        <v>2.2133638394006434</v>
      </c>
      <c r="C28">
        <f t="shared" si="2"/>
        <v>4.3100000000000005</v>
      </c>
      <c r="D28">
        <f>'[2]3、总属性战斗节奏拟合'!B28</f>
        <v>4.3100000000000005</v>
      </c>
      <c r="E28" s="45">
        <f>'[2]3、总属性战斗节奏拟合'!C28</f>
        <v>24</v>
      </c>
      <c r="F28" s="121">
        <f>'人物&amp;怪物成长分析'!M28</f>
        <v>11731.189113043481</v>
      </c>
      <c r="G28" s="121">
        <f>'人物&amp;怪物成长分析'!N28</f>
        <v>878.00999598662224</v>
      </c>
      <c r="H28" s="121">
        <f>'人物&amp;怪物成长分析'!O28</f>
        <v>390.22666488294317</v>
      </c>
      <c r="I28" s="121">
        <f>'人物&amp;怪物成长分析'!P28</f>
        <v>487.78333110367907</v>
      </c>
      <c r="J28">
        <f>'[2]3、总属性战斗节奏拟合'!H28</f>
        <v>19.240000000000002</v>
      </c>
      <c r="K28">
        <f t="shared" si="3"/>
        <v>34.24</v>
      </c>
      <c r="L28">
        <f t="shared" si="4"/>
        <v>26.210183036403862</v>
      </c>
      <c r="M28" s="15">
        <f t="shared" si="5"/>
        <v>12784.890390334218</v>
      </c>
      <c r="N28" s="15">
        <f t="shared" si="6"/>
        <v>732.843169352671</v>
      </c>
      <c r="O28" s="15">
        <f t="shared" si="7"/>
        <v>390.22666488294317</v>
      </c>
      <c r="P28" s="15">
        <f t="shared" si="8"/>
        <v>342.61650446972783</v>
      </c>
      <c r="Q28" s="65">
        <f>'人物&amp;怪物成长分析'!Q28*$X$10</f>
        <v>1739.0720000000001</v>
      </c>
      <c r="R28" s="65">
        <f>'人物&amp;怪物成长分析'!R28*$X$11</f>
        <v>0</v>
      </c>
      <c r="S28">
        <f t="shared" si="9"/>
        <v>1634.4654498489829</v>
      </c>
    </row>
    <row r="29" spans="1:19">
      <c r="A29">
        <f t="shared" si="0"/>
        <v>0.85</v>
      </c>
      <c r="B29">
        <f t="shared" si="1"/>
        <v>2.2360679774997898</v>
      </c>
      <c r="C29">
        <f t="shared" si="2"/>
        <v>4.4375</v>
      </c>
      <c r="D29">
        <f>'[2]3、总属性战斗节奏拟合'!B29</f>
        <v>4.4375</v>
      </c>
      <c r="E29" s="45">
        <f>'[2]3、总属性战斗节奏拟合'!C29</f>
        <v>25</v>
      </c>
      <c r="F29" s="121">
        <f>'人物&amp;怪物成长分析'!M29</f>
        <v>13171.867004598666</v>
      </c>
      <c r="G29" s="121">
        <f>'人物&amp;怪物成长分析'!N29</f>
        <v>960.3791638795991</v>
      </c>
      <c r="H29" s="121">
        <f>'人物&amp;怪物成长分析'!O29</f>
        <v>426.83518394648848</v>
      </c>
      <c r="I29" s="121">
        <f>'人物&amp;怪物成长分析'!P29</f>
        <v>533.54397993311068</v>
      </c>
      <c r="J29">
        <f>'[2]3、总属性战斗节奏拟合'!H29</f>
        <v>19.75</v>
      </c>
      <c r="K29">
        <f t="shared" si="3"/>
        <v>34</v>
      </c>
      <c r="L29">
        <f t="shared" si="4"/>
        <v>26.728907864998739</v>
      </c>
      <c r="M29" s="15">
        <f t="shared" si="5"/>
        <v>14261.047881556851</v>
      </c>
      <c r="N29" s="15">
        <f t="shared" si="6"/>
        <v>814.24303702291991</v>
      </c>
      <c r="O29" s="15">
        <f t="shared" si="7"/>
        <v>426.83518394648843</v>
      </c>
      <c r="P29" s="15">
        <f t="shared" si="8"/>
        <v>387.40785307643142</v>
      </c>
      <c r="Q29" s="65">
        <f>'人物&amp;怪物成长分析'!Q29*$X$10</f>
        <v>1797.3000000000002</v>
      </c>
      <c r="R29" s="65">
        <f>'人物&amp;怪物成长分析'!R29*$X$11</f>
        <v>0</v>
      </c>
      <c r="S29">
        <f t="shared" si="9"/>
        <v>1811.5201362316825</v>
      </c>
    </row>
    <row r="30" spans="1:19">
      <c r="A30">
        <f t="shared" si="0"/>
        <v>0.84399999999999997</v>
      </c>
      <c r="B30">
        <f t="shared" si="1"/>
        <v>2.2581008643532257</v>
      </c>
      <c r="C30">
        <f t="shared" si="2"/>
        <v>4.5649999999999995</v>
      </c>
      <c r="D30">
        <f>'[2]3、总属性战斗节奏拟合'!B30</f>
        <v>4.5649999999999995</v>
      </c>
      <c r="E30" s="45">
        <f>'[2]3、总属性战斗节奏拟合'!C30</f>
        <v>26</v>
      </c>
      <c r="F30" s="121">
        <f>'人物&amp;怪物成长分析'!M30</f>
        <v>14903.066545284284</v>
      </c>
      <c r="G30" s="121">
        <f>'人物&amp;怪物成长分析'!N30</f>
        <v>1059.2505343143816</v>
      </c>
      <c r="H30" s="121">
        <f>'人物&amp;怪物成长分析'!O30</f>
        <v>470.77801525083623</v>
      </c>
      <c r="I30" s="121">
        <f>'人物&amp;怪物成长分析'!P30</f>
        <v>588.47251906354541</v>
      </c>
      <c r="J30">
        <f>'[2]3、总属性战斗节奏拟合'!H30</f>
        <v>20.259999999999998</v>
      </c>
      <c r="K30">
        <f t="shared" si="3"/>
        <v>33.76</v>
      </c>
      <c r="L30">
        <f t="shared" si="4"/>
        <v>27.243605186119353</v>
      </c>
      <c r="M30" s="15">
        <f t="shared" si="5"/>
        <v>16032.112972248326</v>
      </c>
      <c r="N30" s="15">
        <f t="shared" si="6"/>
        <v>912.21955983864086</v>
      </c>
      <c r="O30" s="15">
        <f t="shared" si="7"/>
        <v>470.77801525083623</v>
      </c>
      <c r="P30" s="15">
        <f t="shared" si="8"/>
        <v>441.44154458780463</v>
      </c>
      <c r="Q30" s="65">
        <f>'人物&amp;怪物成长分析'!Q30*$X$10</f>
        <v>1855.528</v>
      </c>
      <c r="R30" s="65">
        <f>'人物&amp;怪物成长分析'!R30*$X$11</f>
        <v>0</v>
      </c>
      <c r="S30">
        <f t="shared" si="9"/>
        <v>2024.2820939794101</v>
      </c>
    </row>
    <row r="31" spans="1:19">
      <c r="A31">
        <f t="shared" si="0"/>
        <v>0.83799999999999997</v>
      </c>
      <c r="B31">
        <f t="shared" si="1"/>
        <v>2.2795070569547775</v>
      </c>
      <c r="C31">
        <f t="shared" si="2"/>
        <v>4.6924999999999999</v>
      </c>
      <c r="D31">
        <f>'[2]3、总属性战斗节奏拟合'!B31</f>
        <v>4.6924999999999999</v>
      </c>
      <c r="E31" s="45">
        <f>'[2]3、总属性战斗节奏拟合'!C31</f>
        <v>27</v>
      </c>
      <c r="F31" s="121">
        <f>'人物&amp;怪物成长分析'!M31</f>
        <v>16761.53924530101</v>
      </c>
      <c r="G31" s="121">
        <f>'人物&amp;怪物成长分析'!N31</f>
        <v>1162.0903472909702</v>
      </c>
      <c r="H31" s="121">
        <f>'人物&amp;怪物成长分析'!O31</f>
        <v>516.48459879598681</v>
      </c>
      <c r="I31" s="121">
        <f>'人物&amp;怪物成长分析'!P31</f>
        <v>645.60574849498335</v>
      </c>
      <c r="J31">
        <f>'[2]3、总属性战斗节奏拟合'!H31</f>
        <v>20.77</v>
      </c>
      <c r="K31">
        <f t="shared" si="3"/>
        <v>33.519999999999996</v>
      </c>
      <c r="L31">
        <f t="shared" si="4"/>
        <v>27.754542341728666</v>
      </c>
      <c r="M31" s="15">
        <f t="shared" si="5"/>
        <v>17918.492082667442</v>
      </c>
      <c r="N31" s="15">
        <f t="shared" si="6"/>
        <v>1016.5305190018643</v>
      </c>
      <c r="O31" s="15">
        <f t="shared" si="7"/>
        <v>516.48459879598681</v>
      </c>
      <c r="P31" s="15">
        <f t="shared" si="8"/>
        <v>500.04592020587745</v>
      </c>
      <c r="Q31" s="65">
        <f>'人物&amp;怪物成长分析'!Q31*$X$10</f>
        <v>1913.7559999999999</v>
      </c>
      <c r="R31" s="65">
        <f>'人物&amp;怪物成长分析'!R31*$X$11</f>
        <v>0</v>
      </c>
      <c r="S31">
        <f t="shared" si="9"/>
        <v>2249.7548011045487</v>
      </c>
    </row>
    <row r="32" spans="1:19">
      <c r="A32">
        <f t="shared" si="0"/>
        <v>0.83199999999999996</v>
      </c>
      <c r="B32">
        <f t="shared" si="1"/>
        <v>2.3003266337912058</v>
      </c>
      <c r="C32">
        <f t="shared" si="2"/>
        <v>4.82</v>
      </c>
      <c r="D32">
        <f>'[2]3、总属性战斗节奏拟合'!B32</f>
        <v>4.82</v>
      </c>
      <c r="E32" s="45">
        <f>'[2]3、总属性战斗节奏拟合'!C32</f>
        <v>28</v>
      </c>
      <c r="F32" s="121">
        <f>'人物&amp;怪物成长分析'!M32</f>
        <v>18751.501574849503</v>
      </c>
      <c r="G32" s="121">
        <f>'人物&amp;怪物成长分析'!N32</f>
        <v>1268.898602809365</v>
      </c>
      <c r="H32" s="121">
        <f>'人物&amp;怪物成长分析'!O32</f>
        <v>563.95493458193994</v>
      </c>
      <c r="I32" s="121">
        <f>'人物&amp;怪物成长分析'!P32</f>
        <v>704.94366822742506</v>
      </c>
      <c r="J32">
        <f>'[2]3、总属性战斗节奏拟合'!H32</f>
        <v>21.28</v>
      </c>
      <c r="K32">
        <f t="shared" si="3"/>
        <v>33.28</v>
      </c>
      <c r="L32">
        <f t="shared" si="4"/>
        <v>28.261959802747235</v>
      </c>
      <c r="M32" s="15">
        <f t="shared" si="5"/>
        <v>19923.089614644672</v>
      </c>
      <c r="N32" s="15">
        <f t="shared" si="6"/>
        <v>1127.4014963262157</v>
      </c>
      <c r="O32" s="15">
        <f t="shared" si="7"/>
        <v>563.95493458193994</v>
      </c>
      <c r="P32" s="15">
        <f t="shared" si="8"/>
        <v>563.44656174427575</v>
      </c>
      <c r="Q32" s="65">
        <f>'人物&amp;怪物成长分析'!Q32*$X$10</f>
        <v>1971.9840000000002</v>
      </c>
      <c r="R32" s="65">
        <f>'人物&amp;怪物成长分析'!R32*$X$11</f>
        <v>0</v>
      </c>
      <c r="S32">
        <f t="shared" si="9"/>
        <v>2488.2800154939428</v>
      </c>
    </row>
    <row r="33" spans="1:19">
      <c r="A33">
        <f t="shared" si="0"/>
        <v>0.82599999999999996</v>
      </c>
      <c r="B33">
        <f t="shared" si="1"/>
        <v>2.3205957871060838</v>
      </c>
      <c r="C33">
        <f t="shared" si="2"/>
        <v>4.9474999999999998</v>
      </c>
      <c r="D33">
        <f>'[2]3、总属性战斗节奏拟合'!B33</f>
        <v>4.9474999999999998</v>
      </c>
      <c r="E33" s="45">
        <f>'[2]3、总属性战斗节奏拟合'!C33</f>
        <v>29</v>
      </c>
      <c r="F33" s="121">
        <f>'人物&amp;怪物成长分析'!M33</f>
        <v>20877.170004130443</v>
      </c>
      <c r="G33" s="121">
        <f>'人物&amp;怪物成长分析'!N33</f>
        <v>1379.6753008695659</v>
      </c>
      <c r="H33" s="121">
        <f>'人物&amp;怪物成长分析'!O33</f>
        <v>613.18902260869606</v>
      </c>
      <c r="I33" s="121">
        <f>'人物&amp;怪物成长分析'!P33</f>
        <v>766.48627826086988</v>
      </c>
      <c r="J33">
        <f>'[2]3、总属性战斗节奏拟合'!H33</f>
        <v>21.79</v>
      </c>
      <c r="K33">
        <f t="shared" si="3"/>
        <v>33.04</v>
      </c>
      <c r="L33">
        <f t="shared" si="4"/>
        <v>28.766074722636503</v>
      </c>
      <c r="M33" s="15">
        <f t="shared" si="5"/>
        <v>22048.80155432774</v>
      </c>
      <c r="N33" s="15">
        <f t="shared" si="6"/>
        <v>1245.0646280605861</v>
      </c>
      <c r="O33" s="15">
        <f t="shared" si="7"/>
        <v>613.18902260869606</v>
      </c>
      <c r="P33" s="15">
        <f t="shared" si="8"/>
        <v>631.87560545189001</v>
      </c>
      <c r="Q33" s="65">
        <f>'人物&amp;怪物成长分析'!Q33*$X$10</f>
        <v>2030.212</v>
      </c>
      <c r="R33" s="65">
        <f>'人物&amp;怪物成长分析'!R33*$X$11</f>
        <v>0</v>
      </c>
      <c r="S33">
        <f t="shared" si="9"/>
        <v>2740.2057128423921</v>
      </c>
    </row>
    <row r="34" spans="1:19">
      <c r="A34">
        <f t="shared" si="0"/>
        <v>0.82000000000000006</v>
      </c>
      <c r="B34">
        <f t="shared" si="1"/>
        <v>2.340347319320716</v>
      </c>
      <c r="C34">
        <f t="shared" si="2"/>
        <v>5.0750000000000002</v>
      </c>
      <c r="D34">
        <f>'[2]3、总属性战斗节奏拟合'!B34</f>
        <v>5.0750000000000002</v>
      </c>
      <c r="E34" s="45">
        <f>'[2]3、总属性战斗节奏拟合'!C34</f>
        <v>30</v>
      </c>
      <c r="F34" s="121">
        <f>'人物&amp;怪物成长分析'!M34</f>
        <v>23432.045515886297</v>
      </c>
      <c r="G34" s="121">
        <f>'人物&amp;怪物成长分析'!N34</f>
        <v>1513.1006969899674</v>
      </c>
      <c r="H34" s="121">
        <f>'人物&amp;怪物成长分析'!O34</f>
        <v>672.48919866220774</v>
      </c>
      <c r="I34" s="121">
        <f>'人物&amp;怪物成长分析'!P34</f>
        <v>840.6114983277597</v>
      </c>
      <c r="J34">
        <f>'[2]3、总属性战斗节奏拟合'!H34</f>
        <v>22.3</v>
      </c>
      <c r="K34">
        <f t="shared" si="3"/>
        <v>32.800000000000004</v>
      </c>
      <c r="L34">
        <f t="shared" si="4"/>
        <v>29.267083915924296</v>
      </c>
      <c r="M34" s="15">
        <f t="shared" si="5"/>
        <v>24602.247262249399</v>
      </c>
      <c r="N34" s="15">
        <f t="shared" si="6"/>
        <v>1386.8808302441071</v>
      </c>
      <c r="O34" s="15">
        <f t="shared" si="7"/>
        <v>672.48919866220774</v>
      </c>
      <c r="P34" s="15">
        <f t="shared" si="8"/>
        <v>714.39163158189933</v>
      </c>
      <c r="Q34" s="65">
        <f>'人物&amp;怪物成长分析'!Q34*$X$10</f>
        <v>2088.44</v>
      </c>
      <c r="R34" s="65">
        <f>'人物&amp;怪物成长分析'!R34*$X$11</f>
        <v>0</v>
      </c>
      <c r="S34">
        <f t="shared" si="9"/>
        <v>3043.4599193962908</v>
      </c>
    </row>
    <row r="35" spans="1:19">
      <c r="A35">
        <f t="shared" si="0"/>
        <v>0.81400000000000006</v>
      </c>
      <c r="B35">
        <f t="shared" si="1"/>
        <v>2.359611061770567</v>
      </c>
      <c r="C35">
        <f t="shared" si="2"/>
        <v>5.2025000000000006</v>
      </c>
      <c r="D35">
        <f>'[2]3、总属性战斗节奏拟合'!B35</f>
        <v>5.2025000000000006</v>
      </c>
      <c r="E35" s="45">
        <f>'[2]3、总属性战斗节奏拟合'!C35</f>
        <v>31</v>
      </c>
      <c r="F35" s="121">
        <f>'人物&amp;怪物成长分析'!M35</f>
        <v>26175.722531538471</v>
      </c>
      <c r="G35" s="121">
        <f>'人物&amp;怪物成长分析'!N35</f>
        <v>1673.1347413846158</v>
      </c>
      <c r="H35" s="121">
        <f>'人物&amp;怪物成长分析'!O35</f>
        <v>743.61544061538484</v>
      </c>
      <c r="I35" s="121">
        <f>'人物&amp;怪物成长分析'!P35</f>
        <v>929.51930076923099</v>
      </c>
      <c r="J35">
        <f>'[2]3、总属性战斗节奏拟合'!H35</f>
        <v>22.810000000000002</v>
      </c>
      <c r="K35">
        <f t="shared" si="3"/>
        <v>32.56</v>
      </c>
      <c r="L35">
        <f t="shared" si="4"/>
        <v>29.765166370623405</v>
      </c>
      <c r="M35" s="15">
        <f t="shared" si="5"/>
        <v>27667.296632101697</v>
      </c>
      <c r="N35" s="15">
        <f t="shared" si="6"/>
        <v>1547.5381227879423</v>
      </c>
      <c r="O35" s="15">
        <f t="shared" si="7"/>
        <v>743.61544061538484</v>
      </c>
      <c r="P35" s="15">
        <f t="shared" si="8"/>
        <v>803.92268217255742</v>
      </c>
      <c r="Q35" s="65">
        <f>'人物&amp;怪物成长分析'!Q35*$X$10</f>
        <v>2146.6680000000001</v>
      </c>
      <c r="R35" s="65">
        <f>'人物&amp;怪物成长分析'!R35*$X$11</f>
        <v>0</v>
      </c>
      <c r="S35">
        <f t="shared" si="9"/>
        <v>3397.8454286873948</v>
      </c>
    </row>
    <row r="36" spans="1:19">
      <c r="A36">
        <f t="shared" si="0"/>
        <v>0.80800000000000005</v>
      </c>
      <c r="B36">
        <f t="shared" si="1"/>
        <v>2.3784142300054421</v>
      </c>
      <c r="C36">
        <f t="shared" si="2"/>
        <v>5.33</v>
      </c>
      <c r="D36">
        <f>'[2]3、总属性战斗节奏拟合'!B36</f>
        <v>5.33</v>
      </c>
      <c r="E36" s="45">
        <f>'[2]3、总属性战斗节奏拟合'!C36</f>
        <v>32</v>
      </c>
      <c r="F36" s="121">
        <f>'人物&amp;怪物成长分析'!M36</f>
        <v>29125.111008561882</v>
      </c>
      <c r="G36" s="121">
        <f>'人物&amp;怪物成长分析'!N36</f>
        <v>1843.4246933377931</v>
      </c>
      <c r="H36" s="121">
        <f>'人物&amp;怪物成长分析'!O36</f>
        <v>819.29986370568588</v>
      </c>
      <c r="I36" s="121">
        <f>'人物&amp;怪物成长分析'!P36</f>
        <v>1024.1248296321073</v>
      </c>
      <c r="J36">
        <f>'[2]3、总属性战斗节奏拟合'!H36</f>
        <v>23.32</v>
      </c>
      <c r="K36">
        <f t="shared" si="3"/>
        <v>32.32</v>
      </c>
      <c r="L36">
        <f t="shared" si="4"/>
        <v>30.260485380032655</v>
      </c>
      <c r="M36" s="15">
        <f t="shared" si="5"/>
        <v>30990.514434410816</v>
      </c>
      <c r="N36" s="15">
        <f t="shared" si="6"/>
        <v>1720.4481003567344</v>
      </c>
      <c r="O36" s="15">
        <f t="shared" si="7"/>
        <v>819.29986370568577</v>
      </c>
      <c r="P36" s="15">
        <f t="shared" si="8"/>
        <v>901.14823665104848</v>
      </c>
      <c r="Q36" s="65">
        <f>'人物&amp;怪物成长分析'!Q36*$X$10</f>
        <v>2204.8960000000002</v>
      </c>
      <c r="R36" s="65">
        <f>'人物&amp;怪物成长分析'!R36*$X$11</f>
        <v>0</v>
      </c>
      <c r="S36">
        <f t="shared" si="9"/>
        <v>3779.3685414388528</v>
      </c>
    </row>
    <row r="37" spans="1:19">
      <c r="A37">
        <f t="shared" si="0"/>
        <v>0.80200000000000005</v>
      </c>
      <c r="B37">
        <f t="shared" si="1"/>
        <v>2.3967817269284302</v>
      </c>
      <c r="C37">
        <f t="shared" si="2"/>
        <v>5.4575000000000005</v>
      </c>
      <c r="D37">
        <f>'[2]3、总属性战斗节奏拟合'!B37</f>
        <v>5.4575000000000005</v>
      </c>
      <c r="E37" s="45">
        <f>'[2]3、总属性战斗节奏拟合'!C37</f>
        <v>33</v>
      </c>
      <c r="F37" s="121">
        <f>'人物&amp;怪物成长分析'!M37</f>
        <v>32277.159373996677</v>
      </c>
      <c r="G37" s="121">
        <f>'人物&amp;怪物成长分析'!N37</f>
        <v>2023.5869116555195</v>
      </c>
      <c r="H37" s="121">
        <f>'人物&amp;怪物成长分析'!O37</f>
        <v>899.37196073578662</v>
      </c>
      <c r="I37" s="121">
        <f>'人物&amp;怪物成长分析'!P37</f>
        <v>1124.2149509197329</v>
      </c>
      <c r="J37">
        <f>'[2]3、总属性战斗节奏拟合'!H37</f>
        <v>23.830000000000002</v>
      </c>
      <c r="K37">
        <f t="shared" si="3"/>
        <v>32.08</v>
      </c>
      <c r="L37">
        <f t="shared" si="4"/>
        <v>30.753190361570582</v>
      </c>
      <c r="M37" s="15">
        <f t="shared" si="5"/>
        <v>34573.196392958278</v>
      </c>
      <c r="N37" s="15">
        <f t="shared" si="6"/>
        <v>1905.5178265087504</v>
      </c>
      <c r="O37" s="15">
        <f t="shared" si="7"/>
        <v>899.37196073578662</v>
      </c>
      <c r="P37" s="15">
        <f t="shared" si="8"/>
        <v>1006.1458657729638</v>
      </c>
      <c r="Q37" s="65">
        <f>'人物&amp;怪物成长分析'!Q37*$X$10</f>
        <v>2263.1239999999998</v>
      </c>
      <c r="R37" s="65">
        <f>'人物&amp;怪物成长分析'!R37*$X$11</f>
        <v>0</v>
      </c>
      <c r="S37">
        <f t="shared" si="9"/>
        <v>4187.8176429628675</v>
      </c>
    </row>
    <row r="38" spans="1:19">
      <c r="A38">
        <f t="shared" si="0"/>
        <v>0.79600000000000004</v>
      </c>
      <c r="B38">
        <f t="shared" si="1"/>
        <v>2.414736402766418</v>
      </c>
      <c r="C38">
        <f t="shared" si="2"/>
        <v>5.585</v>
      </c>
      <c r="D38">
        <f>'[2]3、总属性战斗节奏拟合'!B38</f>
        <v>5.585</v>
      </c>
      <c r="E38" s="45">
        <f>'[2]3、总属性战斗节奏拟合'!C38</f>
        <v>34</v>
      </c>
      <c r="F38" s="121">
        <f>'人物&amp;怪物成长分析'!M38</f>
        <v>35638.240228795992</v>
      </c>
      <c r="G38" s="121">
        <f>'人物&amp;怪物成长分析'!N38</f>
        <v>2213.8463116655525</v>
      </c>
      <c r="H38" s="121">
        <f>'人物&amp;怪物成长分析'!O38</f>
        <v>983.9316940735788</v>
      </c>
      <c r="I38" s="121">
        <f>'人物&amp;怪物成长分析'!P38</f>
        <v>1229.9146175919736</v>
      </c>
      <c r="J38">
        <f>'[2]3、总属性战斗节奏拟合'!H38</f>
        <v>24.34</v>
      </c>
      <c r="K38">
        <f t="shared" si="3"/>
        <v>31.840000000000003</v>
      </c>
      <c r="L38">
        <f t="shared" si="4"/>
        <v>31.243418416598509</v>
      </c>
      <c r="M38" s="15">
        <f t="shared" si="5"/>
        <v>38426.737014116785</v>
      </c>
      <c r="N38" s="15">
        <f t="shared" si="6"/>
        <v>2103.2231585458144</v>
      </c>
      <c r="O38" s="15">
        <f t="shared" si="7"/>
        <v>983.93169407357891</v>
      </c>
      <c r="P38" s="15">
        <f t="shared" si="8"/>
        <v>1119.2914644722355</v>
      </c>
      <c r="Q38" s="65">
        <f>'人物&amp;怪物成长分析'!Q38*$X$10</f>
        <v>2321.3520000000003</v>
      </c>
      <c r="R38" s="65">
        <f>'人物&amp;怪物成长分析'!R38*$X$11</f>
        <v>0</v>
      </c>
      <c r="S38">
        <f t="shared" si="9"/>
        <v>4624.2243331840646</v>
      </c>
    </row>
    <row r="39" spans="1:19">
      <c r="A39">
        <f t="shared" si="0"/>
        <v>0.79</v>
      </c>
      <c r="B39">
        <f t="shared" si="1"/>
        <v>2.4322992790977871</v>
      </c>
      <c r="C39">
        <f t="shared" si="2"/>
        <v>5.7125000000000004</v>
      </c>
      <c r="D39">
        <f>'[2]3、总属性战斗节奏拟合'!B39</f>
        <v>5.7125000000000004</v>
      </c>
      <c r="E39" s="45">
        <f>'[2]3、总属性战斗节奏拟合'!C39</f>
        <v>35</v>
      </c>
      <c r="F39" s="121">
        <f>'人物&amp;怪物成长分析'!M39</f>
        <v>39214.726173913048</v>
      </c>
      <c r="G39" s="121">
        <f>'人物&amp;怪物成长分析'!N39</f>
        <v>2414.4278086956524</v>
      </c>
      <c r="H39" s="121">
        <f>'人物&amp;怪物成长分析'!O39</f>
        <v>1073.0790260869569</v>
      </c>
      <c r="I39" s="121">
        <f>'人物&amp;怪物成长分析'!P39</f>
        <v>1341.3487826086955</v>
      </c>
      <c r="J39">
        <f>'[2]3、总属性战斗节奏拟合'!H39</f>
        <v>24.85</v>
      </c>
      <c r="K39">
        <f t="shared" si="3"/>
        <v>31.6</v>
      </c>
      <c r="L39">
        <f t="shared" si="4"/>
        <v>31.731295674586725</v>
      </c>
      <c r="M39" s="15">
        <f t="shared" si="5"/>
        <v>42562.734823703468</v>
      </c>
      <c r="N39" s="15">
        <f t="shared" si="6"/>
        <v>2314.0513733626863</v>
      </c>
      <c r="O39" s="15">
        <f t="shared" si="7"/>
        <v>1073.0790260869569</v>
      </c>
      <c r="P39" s="15">
        <f t="shared" si="8"/>
        <v>1240.9723472757294</v>
      </c>
      <c r="Q39" s="65">
        <f>'人物&amp;怪物成长分析'!Q39*$X$10</f>
        <v>2379.58</v>
      </c>
      <c r="R39" s="65">
        <f>'人物&amp;怪物成长分析'!R39*$X$11</f>
        <v>0</v>
      </c>
      <c r="S39">
        <f t="shared" si="9"/>
        <v>5089.639792397782</v>
      </c>
    </row>
    <row r="40" spans="1:19">
      <c r="A40">
        <f t="shared" si="0"/>
        <v>0.78400000000000003</v>
      </c>
      <c r="B40">
        <f t="shared" si="1"/>
        <v>2.4494897427831779</v>
      </c>
      <c r="C40">
        <f t="shared" si="2"/>
        <v>5.84</v>
      </c>
      <c r="D40">
        <f>'[2]3、总属性战斗节奏拟合'!B40</f>
        <v>5.84</v>
      </c>
      <c r="E40" s="45">
        <f>'[2]3、总属性战斗节奏拟合'!C40</f>
        <v>36</v>
      </c>
      <c r="F40" s="121">
        <f>'人物&amp;怪物成长分析'!M40</f>
        <v>43012.989810301013</v>
      </c>
      <c r="G40" s="121">
        <f>'人物&amp;怪物成长分析'!N40</f>
        <v>2625.556318073579</v>
      </c>
      <c r="H40" s="121">
        <f>'人物&amp;怪物成长分析'!O40</f>
        <v>1166.913919143813</v>
      </c>
      <c r="I40" s="121">
        <f>'人物&amp;怪物成长分析'!P40</f>
        <v>1458.6423989297659</v>
      </c>
      <c r="J40">
        <f>'[2]3、总属性战斗节奏拟合'!H40</f>
        <v>25.36</v>
      </c>
      <c r="K40">
        <f t="shared" si="3"/>
        <v>31.36</v>
      </c>
      <c r="L40">
        <f t="shared" si="4"/>
        <v>32.216938456699069</v>
      </c>
      <c r="M40" s="15">
        <f t="shared" si="5"/>
        <v>46992.99239665216</v>
      </c>
      <c r="N40" s="15">
        <f t="shared" si="6"/>
        <v>2538.5016044212689</v>
      </c>
      <c r="O40" s="15">
        <f t="shared" si="7"/>
        <v>1166.913919143813</v>
      </c>
      <c r="P40" s="15">
        <f t="shared" si="8"/>
        <v>1371.5876852774559</v>
      </c>
      <c r="Q40" s="65">
        <f>'人物&amp;怪物成长分析'!Q40*$X$10</f>
        <v>2437.808</v>
      </c>
      <c r="R40" s="65">
        <f>'人物&amp;怪物成长分析'!R40*$X$11</f>
        <v>0</v>
      </c>
      <c r="S40">
        <f t="shared" si="9"/>
        <v>5585.1352194311676</v>
      </c>
    </row>
    <row r="41" spans="1:19">
      <c r="A41">
        <f t="shared" si="0"/>
        <v>0.77800000000000002</v>
      </c>
      <c r="B41">
        <f t="shared" si="1"/>
        <v>2.4663257145596602</v>
      </c>
      <c r="C41">
        <f t="shared" si="2"/>
        <v>5.9675000000000002</v>
      </c>
      <c r="D41">
        <f>'[2]3、总属性战斗节奏拟合'!B41</f>
        <v>5.9675000000000002</v>
      </c>
      <c r="E41" s="45">
        <f>'[2]3、总属性战斗节奏拟合'!C41</f>
        <v>37</v>
      </c>
      <c r="F41" s="121">
        <f>'人物&amp;怪物成长分析'!M41</f>
        <v>47980.191813691315</v>
      </c>
      <c r="G41" s="121">
        <f>'人物&amp;怪物成长分析'!N41</f>
        <v>2847.4567551270907</v>
      </c>
      <c r="H41" s="121">
        <f>'人物&amp;怪物成长分析'!O41</f>
        <v>1265.5363356120404</v>
      </c>
      <c r="I41" s="121">
        <f>'人物&amp;怪物成长分析'!P41</f>
        <v>1581.9204195150503</v>
      </c>
      <c r="J41">
        <f>'[2]3、总属性战斗节奏拟合'!H41</f>
        <v>25.87</v>
      </c>
      <c r="K41">
        <f t="shared" si="3"/>
        <v>31.12</v>
      </c>
      <c r="L41">
        <f t="shared" si="4"/>
        <v>32.700454287357957</v>
      </c>
      <c r="M41" s="15">
        <f t="shared" si="5"/>
        <v>51729.516364590025</v>
      </c>
      <c r="N41" s="15">
        <f t="shared" si="6"/>
        <v>2807.3162782113759</v>
      </c>
      <c r="O41" s="15">
        <f t="shared" si="7"/>
        <v>1265.5363356120404</v>
      </c>
      <c r="P41" s="15">
        <f t="shared" si="8"/>
        <v>1541.7799425993355</v>
      </c>
      <c r="Q41" s="65">
        <f>'人物&amp;怪物成长分析'!Q41*$X$10</f>
        <v>2496.0360000000001</v>
      </c>
      <c r="R41" s="65">
        <f>'人物&amp;怪物成长分析'!R41*$X$11</f>
        <v>0</v>
      </c>
      <c r="S41">
        <f t="shared" si="9"/>
        <v>6142.0332684070172</v>
      </c>
    </row>
    <row r="42" spans="1:19">
      <c r="A42">
        <f t="shared" si="0"/>
        <v>0.77200000000000002</v>
      </c>
      <c r="B42">
        <f t="shared" si="1"/>
        <v>2.4828237961983883</v>
      </c>
      <c r="C42">
        <f t="shared" si="2"/>
        <v>6.0949999999999998</v>
      </c>
      <c r="D42">
        <f>'[2]3、总属性战斗节奏拟合'!B42</f>
        <v>6.0949999999999998</v>
      </c>
      <c r="E42" s="45">
        <f>'[2]3、总属性战斗节奏拟合'!C42</f>
        <v>38</v>
      </c>
      <c r="F42" s="121">
        <f>'人物&amp;怪物成长分析'!M42</f>
        <v>53352.354183130432</v>
      </c>
      <c r="G42" s="121">
        <f>'人物&amp;怪物成长分析'!N42</f>
        <v>3080.354035183947</v>
      </c>
      <c r="H42" s="121">
        <f>'人物&amp;怪物成长分析'!O42</f>
        <v>1369.0462378595321</v>
      </c>
      <c r="I42" s="121">
        <f>'人物&amp;怪物成长分析'!P42</f>
        <v>1711.3077973244149</v>
      </c>
      <c r="J42">
        <f>'[2]3、总属性战斗节奏拟合'!H42</f>
        <v>26.38</v>
      </c>
      <c r="K42">
        <f t="shared" si="3"/>
        <v>30.880000000000003</v>
      </c>
      <c r="L42">
        <f t="shared" si="4"/>
        <v>33.181942777190329</v>
      </c>
      <c r="M42" s="15">
        <f t="shared" si="5"/>
        <v>56784.51740497836</v>
      </c>
      <c r="N42" s="15">
        <f t="shared" si="6"/>
        <v>3096.7779147743777</v>
      </c>
      <c r="O42" s="15">
        <f t="shared" si="7"/>
        <v>1369.0462378595321</v>
      </c>
      <c r="P42" s="15">
        <f t="shared" si="8"/>
        <v>1727.7316769148456</v>
      </c>
      <c r="Q42" s="65">
        <f>'人物&amp;怪物成长分析'!Q42*$X$10</f>
        <v>2554.2640000000001</v>
      </c>
      <c r="R42" s="65">
        <f>'人物&amp;怪物成长分析'!R42*$X$11</f>
        <v>0</v>
      </c>
      <c r="S42">
        <f t="shared" si="9"/>
        <v>6737.2048488330447</v>
      </c>
    </row>
    <row r="43" spans="1:19">
      <c r="A43">
        <f t="shared" si="0"/>
        <v>0.76600000000000001</v>
      </c>
      <c r="B43">
        <f t="shared" si="1"/>
        <v>2.4989993994393833</v>
      </c>
      <c r="C43">
        <f t="shared" si="2"/>
        <v>6.2225000000000001</v>
      </c>
      <c r="D43">
        <f>'[2]3、总属性战斗节奏拟合'!B43</f>
        <v>6.2225000000000001</v>
      </c>
      <c r="E43" s="45">
        <f>'[2]3、总属性战斗节奏拟合'!C43</f>
        <v>39</v>
      </c>
      <c r="F43" s="121">
        <f>'人物&amp;怪物成长分析'!M43</f>
        <v>59150.303249219411</v>
      </c>
      <c r="G43" s="121">
        <f>'人物&amp;怪物成长分析'!N43</f>
        <v>3324.4730735719068</v>
      </c>
      <c r="H43" s="121">
        <f>'人物&amp;怪物成长分析'!O43</f>
        <v>1477.5435882541808</v>
      </c>
      <c r="I43" s="121">
        <f>'人物&amp;怪物成长分析'!P43</f>
        <v>1846.9294853177259</v>
      </c>
      <c r="J43">
        <f>'[2]3、总属性战斗节奏拟合'!H43</f>
        <v>26.89</v>
      </c>
      <c r="K43">
        <f t="shared" si="3"/>
        <v>30.64</v>
      </c>
      <c r="L43">
        <f t="shared" si="4"/>
        <v>33.661496396636302</v>
      </c>
      <c r="M43" s="15">
        <f t="shared" si="5"/>
        <v>62170.410214863972</v>
      </c>
      <c r="N43" s="15">
        <f t="shared" si="6"/>
        <v>3408.0365141425427</v>
      </c>
      <c r="O43" s="15">
        <f t="shared" si="7"/>
        <v>1477.5435882541808</v>
      </c>
      <c r="P43" s="15">
        <f t="shared" si="8"/>
        <v>1930.4929258883619</v>
      </c>
      <c r="Q43" s="65">
        <f>'人物&amp;怪物成长分析'!Q43*$X$10</f>
        <v>2612.4920000000002</v>
      </c>
      <c r="R43" s="65">
        <f>'人物&amp;怪物成长分析'!R43*$X$11</f>
        <v>0</v>
      </c>
      <c r="S43">
        <f t="shared" si="9"/>
        <v>7372.3965109912824</v>
      </c>
    </row>
    <row r="44" spans="1:19">
      <c r="A44">
        <f t="shared" si="0"/>
        <v>0.76</v>
      </c>
      <c r="B44">
        <f t="shared" si="1"/>
        <v>2.514866859365871</v>
      </c>
      <c r="C44">
        <f t="shared" si="2"/>
        <v>6.35</v>
      </c>
      <c r="D44">
        <f>'[2]3、总属性战斗节奏拟合'!B44</f>
        <v>6.35</v>
      </c>
      <c r="E44" s="45">
        <f>'[2]3、总属性战斗节奏拟合'!C44</f>
        <v>40</v>
      </c>
      <c r="F44" s="121">
        <f>'人物&amp;怪物成长分析'!M44</f>
        <v>65984.522674515072</v>
      </c>
      <c r="G44" s="121">
        <f>'人物&amp;怪物成长分析'!N44</f>
        <v>3612.2913872909712</v>
      </c>
      <c r="H44" s="121">
        <f>'人物&amp;怪物成长分析'!O44</f>
        <v>1605.4628387959874</v>
      </c>
      <c r="I44" s="121">
        <f>'人物&amp;怪物成长分析'!P44</f>
        <v>2006.8285484949838</v>
      </c>
      <c r="J44">
        <f>'[2]3、总属性战斗节奏拟合'!H44</f>
        <v>27.4</v>
      </c>
      <c r="K44">
        <f t="shared" si="3"/>
        <v>30.4</v>
      </c>
      <c r="L44">
        <f t="shared" si="4"/>
        <v>34.139201156195227</v>
      </c>
      <c r="M44" s="15">
        <f t="shared" si="5"/>
        <v>68511.523503065546</v>
      </c>
      <c r="N44" s="15">
        <f t="shared" si="6"/>
        <v>3776.0063478260886</v>
      </c>
      <c r="O44" s="15">
        <f t="shared" si="7"/>
        <v>1605.4628387959874</v>
      </c>
      <c r="P44" s="15">
        <f t="shared" si="8"/>
        <v>2170.5435090301012</v>
      </c>
      <c r="Q44" s="65">
        <f>'人物&amp;怪物成长分析'!Q44*$X$10</f>
        <v>2670.72</v>
      </c>
      <c r="R44" s="65">
        <f>'人物&amp;怪物成长分析'!R44*$X$11</f>
        <v>0</v>
      </c>
      <c r="S44">
        <f t="shared" si="9"/>
        <v>8121.9301267446981</v>
      </c>
    </row>
    <row r="45" spans="1:19">
      <c r="A45">
        <f t="shared" si="0"/>
        <v>0.754</v>
      </c>
      <c r="B45">
        <f t="shared" si="1"/>
        <v>2.5304395344352431</v>
      </c>
      <c r="C45">
        <f t="shared" si="2"/>
        <v>6.4775</v>
      </c>
      <c r="D45">
        <f>'[2]3、总属性战斗节奏拟合'!B45</f>
        <v>6.4775</v>
      </c>
      <c r="E45" s="45">
        <f>'[2]3、总属性战斗节奏拟合'!C45</f>
        <v>41</v>
      </c>
      <c r="F45" s="121">
        <f>'人物&amp;怪物成长分析'!M45</f>
        <v>73374.493304906398</v>
      </c>
      <c r="G45" s="121">
        <f>'人物&amp;怪物成长分析'!N45</f>
        <v>3914.7721583478278</v>
      </c>
      <c r="H45" s="121">
        <f>'人物&amp;怪物成长分析'!O45</f>
        <v>1739.8987370434788</v>
      </c>
      <c r="I45" s="121">
        <f>'人物&amp;怪物成长分析'!P45</f>
        <v>2174.873421304349</v>
      </c>
      <c r="J45">
        <f>'[2]3、总属性战斗节奏拟合'!H45</f>
        <v>27.91</v>
      </c>
      <c r="K45">
        <f t="shared" si="3"/>
        <v>30.16</v>
      </c>
      <c r="L45">
        <f t="shared" si="4"/>
        <v>34.615137206611458</v>
      </c>
      <c r="M45" s="15">
        <f t="shared" si="5"/>
        <v>75283.541885462531</v>
      </c>
      <c r="N45" s="15">
        <f t="shared" si="6"/>
        <v>4172.7400269939562</v>
      </c>
      <c r="O45" s="15">
        <f t="shared" si="7"/>
        <v>1739.8987370434788</v>
      </c>
      <c r="P45" s="15">
        <f t="shared" si="8"/>
        <v>2432.8412899504774</v>
      </c>
      <c r="Q45" s="65">
        <f>'人物&amp;怪物成长分析'!Q45*$X$10</f>
        <v>2728.9480000000003</v>
      </c>
      <c r="R45" s="65">
        <f>'人物&amp;怪物成长分析'!R45*$X$11</f>
        <v>0</v>
      </c>
      <c r="S45">
        <f t="shared" si="9"/>
        <v>8923.980439455936</v>
      </c>
    </row>
    <row r="46" spans="1:19">
      <c r="A46">
        <f t="shared" si="0"/>
        <v>0.748</v>
      </c>
      <c r="B46">
        <f t="shared" si="1"/>
        <v>2.5457298950218306</v>
      </c>
      <c r="C46">
        <f t="shared" si="2"/>
        <v>6.6050000000000004</v>
      </c>
      <c r="D46">
        <f>'[2]3、总属性战斗节奏拟合'!B46</f>
        <v>6.6050000000000004</v>
      </c>
      <c r="E46" s="45">
        <f>'[2]3、总属性战斗节奏拟合'!C46</f>
        <v>42</v>
      </c>
      <c r="F46" s="121">
        <f>'人物&amp;怪物成长分析'!M46</f>
        <v>81348.493389270952</v>
      </c>
      <c r="G46" s="121">
        <f>'人物&amp;怪物成长分析'!N46</f>
        <v>4232.2152738461555</v>
      </c>
      <c r="H46" s="121">
        <f>'人物&amp;怪物成长分析'!O46</f>
        <v>1880.9845661538473</v>
      </c>
      <c r="I46" s="121">
        <f>'人物&amp;怪物成长分析'!P46</f>
        <v>2351.230707692308</v>
      </c>
      <c r="J46">
        <f>'[2]3、总属性战斗节奏拟合'!H46</f>
        <v>28.42</v>
      </c>
      <c r="K46">
        <f t="shared" si="3"/>
        <v>29.92</v>
      </c>
      <c r="L46">
        <f t="shared" si="4"/>
        <v>35.089379370130985</v>
      </c>
      <c r="M46" s="15">
        <f t="shared" si="5"/>
        <v>82503.226288916951</v>
      </c>
      <c r="N46" s="15">
        <f t="shared" si="6"/>
        <v>4599.8513238166461</v>
      </c>
      <c r="O46" s="15">
        <f t="shared" si="7"/>
        <v>1880.9845661538475</v>
      </c>
      <c r="P46" s="15">
        <f t="shared" si="8"/>
        <v>2718.8667576627986</v>
      </c>
      <c r="Q46" s="65">
        <f>'人物&amp;怪物成长分析'!Q46*$X$10</f>
        <v>2787.1759999999999</v>
      </c>
      <c r="R46" s="65">
        <f>'人物&amp;怪物成长分析'!R46*$X$11</f>
        <v>0</v>
      </c>
      <c r="S46">
        <f t="shared" si="9"/>
        <v>9780.9649415271706</v>
      </c>
    </row>
    <row r="47" spans="1:19">
      <c r="A47">
        <f t="shared" si="0"/>
        <v>0.74199999999999999</v>
      </c>
      <c r="B47">
        <f t="shared" si="1"/>
        <v>2.5607496020310148</v>
      </c>
      <c r="C47">
        <f t="shared" si="2"/>
        <v>6.7324999999999999</v>
      </c>
      <c r="D47">
        <f>'[2]3、总属性战斗节奏拟合'!B47</f>
        <v>6.7324999999999999</v>
      </c>
      <c r="E47" s="45">
        <f>'[2]3、总属性战斗节奏拟合'!C47</f>
        <v>43</v>
      </c>
      <c r="F47" s="121">
        <f>'人物&amp;怪物成长分析'!M47</f>
        <v>89935.480920587972</v>
      </c>
      <c r="G47" s="121">
        <f>'人物&amp;怪物成长分析'!N47</f>
        <v>4564.920620889633</v>
      </c>
      <c r="H47" s="121">
        <f>'人物&amp;怪物成长分析'!O47</f>
        <v>2028.8536092842817</v>
      </c>
      <c r="I47" s="121">
        <f>'人物&amp;怪物成长分析'!P47</f>
        <v>2536.0670116053516</v>
      </c>
      <c r="J47">
        <f>'[2]3、总属性战斗节奏拟合'!H47</f>
        <v>28.93</v>
      </c>
      <c r="K47">
        <f t="shared" si="3"/>
        <v>29.68</v>
      </c>
      <c r="L47">
        <f t="shared" si="4"/>
        <v>35.56199761218609</v>
      </c>
      <c r="M47" s="15">
        <f t="shared" si="5"/>
        <v>90187.609011053428</v>
      </c>
      <c r="N47" s="15">
        <f t="shared" si="6"/>
        <v>5059.0247993310459</v>
      </c>
      <c r="O47" s="15">
        <f t="shared" si="7"/>
        <v>2028.8536092842814</v>
      </c>
      <c r="P47" s="15">
        <f t="shared" si="8"/>
        <v>3030.1711900467644</v>
      </c>
      <c r="Q47" s="65">
        <f>'人物&amp;怪物成长分析'!Q47*$X$10</f>
        <v>2845.404</v>
      </c>
      <c r="R47" s="65">
        <f>'人物&amp;怪物成长分析'!R47*$X$11</f>
        <v>0</v>
      </c>
      <c r="S47">
        <f t="shared" si="9"/>
        <v>10695.382769057465</v>
      </c>
    </row>
    <row r="48" spans="1:19">
      <c r="A48">
        <f t="shared" si="0"/>
        <v>0.73599999999999999</v>
      </c>
      <c r="B48">
        <f t="shared" si="1"/>
        <v>2.5755095769013945</v>
      </c>
      <c r="C48">
        <f t="shared" si="2"/>
        <v>6.86</v>
      </c>
      <c r="D48">
        <f>'[2]3、总属性战斗节奏拟合'!B48</f>
        <v>6.86</v>
      </c>
      <c r="E48" s="45">
        <f>'[2]3、总属性战斗节奏拟合'!C48</f>
        <v>44</v>
      </c>
      <c r="F48" s="121">
        <f>'人物&amp;怪物成长分析'!M48</f>
        <v>99165.09363593848</v>
      </c>
      <c r="G48" s="121">
        <f>'人物&amp;怪物成长分析'!N48</f>
        <v>4913.1880865819403</v>
      </c>
      <c r="H48" s="121">
        <f>'人物&amp;怪物成长分析'!O48</f>
        <v>2183.6391495919738</v>
      </c>
      <c r="I48" s="121">
        <f>'人物&amp;怪物成长分析'!P48</f>
        <v>2729.5489369899665</v>
      </c>
      <c r="J48">
        <f>'[2]3、总属性战斗节奏拟合'!H48</f>
        <v>29.44</v>
      </c>
      <c r="K48">
        <f t="shared" si="3"/>
        <v>29.439999999999998</v>
      </c>
      <c r="L48">
        <f t="shared" si="4"/>
        <v>36.033057461408369</v>
      </c>
      <c r="M48" s="15">
        <f t="shared" si="5"/>
        <v>98353.993690285599</v>
      </c>
      <c r="N48" s="15">
        <f t="shared" si="6"/>
        <v>5552.0186888561893</v>
      </c>
      <c r="O48" s="15">
        <f t="shared" si="7"/>
        <v>2183.6391495919738</v>
      </c>
      <c r="P48" s="15">
        <f t="shared" si="8"/>
        <v>3368.3795392642155</v>
      </c>
      <c r="Q48" s="65">
        <f>'人物&amp;怪物成长分析'!Q48*$X$10</f>
        <v>2903.6320000000001</v>
      </c>
      <c r="R48" s="65">
        <f>'人物&amp;怪物成长分析'!R48*$X$11</f>
        <v>0</v>
      </c>
      <c r="S48">
        <f t="shared" si="9"/>
        <v>11669.817586059587</v>
      </c>
    </row>
    <row r="49" spans="1:19">
      <c r="A49">
        <f t="shared" si="0"/>
        <v>0.73</v>
      </c>
      <c r="B49">
        <f t="shared" si="1"/>
        <v>2.5900200641113513</v>
      </c>
      <c r="C49">
        <f t="shared" si="2"/>
        <v>6.9874999999999998</v>
      </c>
      <c r="D49">
        <f>'[2]3、总属性战斗节奏拟合'!B49</f>
        <v>6.9874999999999998</v>
      </c>
      <c r="E49" s="45">
        <f>'[2]3、总属性战斗节奏拟合'!C49</f>
        <v>45</v>
      </c>
      <c r="F49" s="121">
        <f>'人物&amp;怪物成长分析'!M49</f>
        <v>109067.64901650505</v>
      </c>
      <c r="G49" s="121">
        <f>'人物&amp;怪物成长分析'!N49</f>
        <v>5277.3175580267571</v>
      </c>
      <c r="H49" s="121">
        <f>'人物&amp;怪物成长分析'!O49</f>
        <v>2345.4744702341145</v>
      </c>
      <c r="I49" s="121">
        <f>'人物&amp;怪物成长分析'!P49</f>
        <v>2931.8430877926426</v>
      </c>
      <c r="J49">
        <f>'[2]3、总属性战斗节奏拟合'!H49</f>
        <v>29.95</v>
      </c>
      <c r="K49">
        <f t="shared" si="3"/>
        <v>29.2</v>
      </c>
      <c r="L49">
        <f t="shared" si="4"/>
        <v>36.502620384668106</v>
      </c>
      <c r="M49" s="15">
        <f t="shared" si="5"/>
        <v>107019.955261108</v>
      </c>
      <c r="N49" s="15">
        <f t="shared" si="6"/>
        <v>6080.6679297034661</v>
      </c>
      <c r="O49" s="15">
        <f t="shared" si="7"/>
        <v>2345.4744702341145</v>
      </c>
      <c r="P49" s="15">
        <f t="shared" si="8"/>
        <v>3735.1934594693516</v>
      </c>
      <c r="Q49" s="65">
        <f>'人物&amp;怪物成长分析'!Q49*$X$10</f>
        <v>2961.86</v>
      </c>
      <c r="R49" s="65">
        <f>'人物&amp;怪物成长分析'!R49*$X$11</f>
        <v>0</v>
      </c>
      <c r="S49">
        <f t="shared" si="9"/>
        <v>12706.9406103819</v>
      </c>
    </row>
    <row r="50" spans="1:19">
      <c r="A50">
        <f t="shared" si="0"/>
        <v>0.72399999999999998</v>
      </c>
      <c r="B50">
        <f t="shared" si="1"/>
        <v>2.6042906871402178</v>
      </c>
      <c r="C50">
        <f t="shared" si="2"/>
        <v>7.1150000000000002</v>
      </c>
      <c r="D50">
        <f>'[2]3、总属性战斗节奏拟合'!B50</f>
        <v>7.1150000000000002</v>
      </c>
      <c r="E50" s="45">
        <f>'[2]3、总属性战斗节奏拟合'!C50</f>
        <v>46</v>
      </c>
      <c r="F50" s="121">
        <f>'人物&amp;怪物成长分析'!M50</f>
        <v>119674.14428757195</v>
      </c>
      <c r="G50" s="121">
        <f>'人物&amp;怪物成长分析'!N50</f>
        <v>5657.6089223277613</v>
      </c>
      <c r="H50" s="121">
        <f>'人物&amp;怪物成长分析'!O50</f>
        <v>2514.4928543678943</v>
      </c>
      <c r="I50" s="121">
        <f>'人物&amp;怪物成长分析'!P50</f>
        <v>3143.116067959867</v>
      </c>
      <c r="J50">
        <f>'[2]3、总属性战斗节奏拟合'!H50</f>
        <v>30.46</v>
      </c>
      <c r="K50">
        <f t="shared" si="3"/>
        <v>28.96</v>
      </c>
      <c r="L50">
        <f t="shared" si="4"/>
        <v>36.97074412284131</v>
      </c>
      <c r="M50" s="15">
        <f t="shared" si="5"/>
        <v>116203.33989693534</v>
      </c>
      <c r="N50" s="15">
        <f t="shared" si="6"/>
        <v>6646.8873394359862</v>
      </c>
      <c r="O50" s="15">
        <f t="shared" si="7"/>
        <v>2514.4928543678943</v>
      </c>
      <c r="P50" s="15">
        <f t="shared" si="8"/>
        <v>4132.3944850680919</v>
      </c>
      <c r="Q50" s="65">
        <f>'人物&amp;怪物成长分析'!Q50*$X$10</f>
        <v>3020.0879999999997</v>
      </c>
      <c r="R50" s="65">
        <f>'人物&amp;怪物成长分析'!R50*$X$11</f>
        <v>0</v>
      </c>
      <c r="S50">
        <f t="shared" si="9"/>
        <v>13809.513789681294</v>
      </c>
    </row>
    <row r="51" spans="1:19">
      <c r="A51">
        <f t="shared" si="0"/>
        <v>0.71799999999999997</v>
      </c>
      <c r="B51">
        <f t="shared" si="1"/>
        <v>2.6183304986958853</v>
      </c>
      <c r="C51">
        <f t="shared" si="2"/>
        <v>7.2424999999999997</v>
      </c>
      <c r="D51">
        <f>'[2]3、总属性战斗节奏拟合'!B51</f>
        <v>7.2424999999999997</v>
      </c>
      <c r="E51" s="45">
        <f>'[2]3、总属性战斗节奏拟合'!C51</f>
        <v>47</v>
      </c>
      <c r="F51" s="121">
        <f>'人物&amp;怪物成长分析'!M51</f>
        <v>131016.25641852511</v>
      </c>
      <c r="G51" s="121">
        <f>'人物&amp;怪物成长分析'!N51</f>
        <v>6054.3620665886301</v>
      </c>
      <c r="H51" s="121">
        <f>'人物&amp;怪物成长分析'!O51</f>
        <v>2690.8275851505027</v>
      </c>
      <c r="I51" s="121">
        <f>'人物&amp;怪物成长分析'!P51</f>
        <v>3363.5344814381274</v>
      </c>
      <c r="J51">
        <f>'[2]3、总属性战斗节奏拟合'!H51</f>
        <v>30.97</v>
      </c>
      <c r="K51">
        <f t="shared" si="3"/>
        <v>28.72</v>
      </c>
      <c r="L51">
        <f t="shared" si="4"/>
        <v>37.437482992175312</v>
      </c>
      <c r="M51" s="15">
        <f t="shared" si="5"/>
        <v>125922.2649424351</v>
      </c>
      <c r="N51" s="15">
        <f t="shared" si="6"/>
        <v>7252.6749534835508</v>
      </c>
      <c r="O51" s="15">
        <f t="shared" si="7"/>
        <v>2690.8275851505027</v>
      </c>
      <c r="P51" s="15">
        <f t="shared" si="8"/>
        <v>4561.8473683330485</v>
      </c>
      <c r="Q51" s="65">
        <f>'人物&amp;怪物成长分析'!Q51*$X$10</f>
        <v>3078.3160000000003</v>
      </c>
      <c r="R51" s="65">
        <f>'人物&amp;怪物成长分析'!R51*$X$11</f>
        <v>0</v>
      </c>
      <c r="S51">
        <f t="shared" si="9"/>
        <v>14980.393136331457</v>
      </c>
    </row>
    <row r="52" spans="1:19">
      <c r="A52">
        <f t="shared" si="0"/>
        <v>0.71199999999999997</v>
      </c>
      <c r="B52">
        <f t="shared" si="1"/>
        <v>2.6321480259049852</v>
      </c>
      <c r="C52">
        <f t="shared" si="2"/>
        <v>7.37</v>
      </c>
      <c r="D52">
        <f>'[2]3、总属性战斗节奏拟合'!B52</f>
        <v>7.37</v>
      </c>
      <c r="E52" s="45">
        <f>'[2]3、总属性战斗节奏拟合'!C52</f>
        <v>48</v>
      </c>
      <c r="F52" s="121">
        <f>'人物&amp;怪物成长分析'!M52</f>
        <v>143126.34212285222</v>
      </c>
      <c r="G52" s="121">
        <f>'人物&amp;怪物成长分析'!N52</f>
        <v>6467.8768779130469</v>
      </c>
      <c r="H52" s="121">
        <f>'人物&amp;怪物成长分析'!O52</f>
        <v>2874.6119457391319</v>
      </c>
      <c r="I52" s="121">
        <f>'人物&amp;怪物成长分析'!P52</f>
        <v>3593.264932173915</v>
      </c>
      <c r="J52">
        <f>'[2]3、总属性战斗节奏拟合'!H52</f>
        <v>31.48</v>
      </c>
      <c r="K52">
        <f t="shared" si="3"/>
        <v>28.479999999999997</v>
      </c>
      <c r="L52">
        <f t="shared" si="4"/>
        <v>37.902888155429906</v>
      </c>
      <c r="M52" s="15">
        <f t="shared" si="5"/>
        <v>136195.11883701631</v>
      </c>
      <c r="N52" s="15">
        <f t="shared" si="6"/>
        <v>7900.1155315134383</v>
      </c>
      <c r="O52" s="15">
        <f t="shared" si="7"/>
        <v>2874.6119457391319</v>
      </c>
      <c r="P52" s="15">
        <f t="shared" si="8"/>
        <v>5025.503585774306</v>
      </c>
      <c r="Q52" s="65">
        <f>'人物&amp;怪物成长分析'!Q52*$X$10</f>
        <v>3136.5439999999999</v>
      </c>
      <c r="R52" s="65">
        <f>'人物&amp;怪物成长分析'!R52*$X$11</f>
        <v>0</v>
      </c>
      <c r="S52">
        <f t="shared" si="9"/>
        <v>16222.532230733224</v>
      </c>
    </row>
    <row r="53" spans="1:19">
      <c r="A53">
        <f t="shared" si="0"/>
        <v>0.70599999999999996</v>
      </c>
      <c r="B53">
        <f t="shared" si="1"/>
        <v>2.6457513110645903</v>
      </c>
      <c r="C53">
        <f t="shared" si="2"/>
        <v>7.4975000000000005</v>
      </c>
      <c r="D53">
        <f>'[2]3、总属性战斗节奏拟合'!B53</f>
        <v>7.4975000000000005</v>
      </c>
      <c r="E53" s="45">
        <f>'[2]3、总属性战斗节奏拟合'!C53</f>
        <v>49</v>
      </c>
      <c r="F53" s="121">
        <f>'人物&amp;怪物成长分析'!M53</f>
        <v>156037.43785814257</v>
      </c>
      <c r="G53" s="121">
        <f>'人物&amp;怪物成长分析'!N53</f>
        <v>6898.4532434046851</v>
      </c>
      <c r="H53" s="121">
        <f>'人物&amp;怪物成长分析'!O53</f>
        <v>3065.9792192909717</v>
      </c>
      <c r="I53" s="121">
        <f>'人物&amp;怪物成长分析'!P53</f>
        <v>3832.4740241137133</v>
      </c>
      <c r="J53">
        <f>'[2]3、总属性战斗节奏拟合'!H53</f>
        <v>31.990000000000002</v>
      </c>
      <c r="K53">
        <f t="shared" si="3"/>
        <v>28.24</v>
      </c>
      <c r="L53">
        <f t="shared" si="4"/>
        <v>38.367007866387539</v>
      </c>
      <c r="M53" s="15">
        <f t="shared" si="5"/>
        <v>147040.56103089673</v>
      </c>
      <c r="N53" s="15">
        <f t="shared" si="6"/>
        <v>8591.3842425963048</v>
      </c>
      <c r="O53" s="15">
        <f t="shared" si="7"/>
        <v>3065.9792192909717</v>
      </c>
      <c r="P53" s="15">
        <f t="shared" si="8"/>
        <v>5525.4050233053331</v>
      </c>
      <c r="Q53" s="65">
        <f>'人物&amp;怪物成长分析'!Q53*$X$10</f>
        <v>3194.7719999999999</v>
      </c>
      <c r="R53" s="65">
        <f>'人物&amp;怪物成长分析'!R53*$X$11</f>
        <v>0</v>
      </c>
      <c r="S53">
        <f t="shared" si="9"/>
        <v>17538.985903123146</v>
      </c>
    </row>
    <row r="54" spans="1:19">
      <c r="A54">
        <f t="shared" si="0"/>
        <v>0.7</v>
      </c>
      <c r="B54">
        <f t="shared" si="1"/>
        <v>2.6591479484724942</v>
      </c>
      <c r="C54">
        <f t="shared" si="2"/>
        <v>7.625</v>
      </c>
      <c r="D54">
        <f>'[2]3、总属性战斗节奏拟合'!B54</f>
        <v>7.625</v>
      </c>
      <c r="E54" s="45">
        <f>'[2]3、总属性战斗节奏拟合'!C54</f>
        <v>50</v>
      </c>
      <c r="F54" s="121">
        <f>'人物&amp;怪物成长分析'!M54</f>
        <v>170900.25495652182</v>
      </c>
      <c r="G54" s="121">
        <f>'人物&amp;怪物成长分析'!N54</f>
        <v>7394.7225702341166</v>
      </c>
      <c r="H54" s="121">
        <f>'人物&amp;怪物成长分析'!O54</f>
        <v>3286.5433645484964</v>
      </c>
      <c r="I54" s="121">
        <f>'人物&amp;怪物成长分析'!P54</f>
        <v>4108.1792056856202</v>
      </c>
      <c r="J54">
        <f>'[2]3、总属性战斗节奏拟合'!H54</f>
        <v>32.5</v>
      </c>
      <c r="K54">
        <f t="shared" si="3"/>
        <v>28</v>
      </c>
      <c r="L54">
        <f t="shared" si="4"/>
        <v>38.829887690834965</v>
      </c>
      <c r="M54" s="15">
        <f t="shared" si="5"/>
        <v>159520.13717059622</v>
      </c>
      <c r="N54" s="15">
        <f t="shared" si="6"/>
        <v>9390.1238987099896</v>
      </c>
      <c r="O54" s="15">
        <f t="shared" si="7"/>
        <v>3286.5433645484964</v>
      </c>
      <c r="P54" s="15">
        <f t="shared" si="8"/>
        <v>6103.5805341614932</v>
      </c>
      <c r="Q54" s="65">
        <f>'人物&amp;怪物成长分析'!Q54*$X$10</f>
        <v>3253</v>
      </c>
      <c r="R54" s="65">
        <f>'人物&amp;怪物成长分析'!R54*$X$11</f>
        <v>0</v>
      </c>
      <c r="S54">
        <f t="shared" si="9"/>
        <v>19057.472750082336</v>
      </c>
    </row>
    <row r="55" spans="1:19">
      <c r="A55">
        <f t="shared" si="0"/>
        <v>0.69399999999999995</v>
      </c>
      <c r="B55">
        <f t="shared" si="1"/>
        <v>2.6723451177837885</v>
      </c>
      <c r="C55">
        <f t="shared" si="2"/>
        <v>7.7525000000000004</v>
      </c>
      <c r="D55">
        <f>'[2]3、总属性战斗节奏拟合'!B55</f>
        <v>7.7525000000000004</v>
      </c>
      <c r="E55" s="45">
        <f>'[2]3、总属性战斗节奏拟合'!C55</f>
        <v>51</v>
      </c>
      <c r="F55" s="121">
        <f>'人物&amp;怪物成长分析'!M55</f>
        <v>186762.28351058706</v>
      </c>
      <c r="G55" s="121">
        <f>'人物&amp;怪物成长分析'!N55</f>
        <v>7833.8058471571921</v>
      </c>
      <c r="H55" s="121">
        <f>'人物&amp;怪物成长分析'!O55</f>
        <v>3516.5084025016731</v>
      </c>
      <c r="I55" s="121">
        <f>'人物&amp;怪物成长分析'!P55</f>
        <v>4317.297444655519</v>
      </c>
      <c r="J55">
        <f>'[2]3、总属性战斗节奏拟合'!H55</f>
        <v>33.010000000000005</v>
      </c>
      <c r="K55">
        <f t="shared" si="3"/>
        <v>27.759999999999998</v>
      </c>
      <c r="L55">
        <f t="shared" si="4"/>
        <v>39.291570706702728</v>
      </c>
      <c r="M55" s="15">
        <f t="shared" si="5"/>
        <v>169633.39780854934</v>
      </c>
      <c r="N55" s="15">
        <f t="shared" si="6"/>
        <v>10244.256367580459</v>
      </c>
      <c r="O55" s="15">
        <f t="shared" si="7"/>
        <v>3516.5084025016731</v>
      </c>
      <c r="P55" s="15">
        <f t="shared" si="8"/>
        <v>6727.7479650787864</v>
      </c>
      <c r="Q55" s="65">
        <f>'人物&amp;怪物成长分析'!Q55*$X$10</f>
        <v>3311.2280000000001</v>
      </c>
      <c r="R55" s="65">
        <f>'人物&amp;怪物成长分析'!R55*$X$11</f>
        <v>0</v>
      </c>
      <c r="S55">
        <f t="shared" si="9"/>
        <v>20546.100682424109</v>
      </c>
    </row>
    <row r="56" spans="1:19">
      <c r="A56">
        <f t="shared" si="0"/>
        <v>0.68799999999999994</v>
      </c>
      <c r="B56">
        <f t="shared" si="1"/>
        <v>2.6853496142826505</v>
      </c>
      <c r="C56">
        <f t="shared" si="2"/>
        <v>7.88</v>
      </c>
      <c r="D56">
        <f>'[2]3、总属性战斗节奏拟合'!B56</f>
        <v>7.88</v>
      </c>
      <c r="E56" s="45">
        <f>'[2]3、总属性战斗节奏拟合'!C56</f>
        <v>52</v>
      </c>
      <c r="F56" s="121">
        <f>'人物&amp;怪物成长分析'!M56</f>
        <v>203665.79622447095</v>
      </c>
      <c r="G56" s="121">
        <f>'人物&amp;怪物成长分析'!N56</f>
        <v>8451.0921084682304</v>
      </c>
      <c r="H56" s="121">
        <f>'人物&amp;怪物成长分析'!O56</f>
        <v>3756.040937096991</v>
      </c>
      <c r="I56" s="121">
        <f>'人物&amp;怪物成长分析'!P56</f>
        <v>4695.0511713712394</v>
      </c>
      <c r="J56">
        <f>'[2]3、总属性战斗节奏拟合'!H56</f>
        <v>33.519999999999996</v>
      </c>
      <c r="K56">
        <f t="shared" si="3"/>
        <v>27.519999999999996</v>
      </c>
      <c r="L56">
        <f t="shared" si="4"/>
        <v>39.752097685695901</v>
      </c>
      <c r="M56" s="15">
        <f t="shared" si="5"/>
        <v>186638.13280369047</v>
      </c>
      <c r="N56" s="15">
        <f t="shared" si="6"/>
        <v>11156.687602230384</v>
      </c>
      <c r="O56" s="15">
        <f t="shared" si="7"/>
        <v>3756.040937096991</v>
      </c>
      <c r="P56" s="15">
        <f t="shared" si="8"/>
        <v>7400.6466651333931</v>
      </c>
      <c r="Q56" s="65">
        <f>'人物&amp;怪物成长分析'!Q56*$X$10</f>
        <v>3369.4560000000001</v>
      </c>
      <c r="R56" s="65">
        <f>'人物&amp;怪物成长分析'!R56*$X$11</f>
        <v>0</v>
      </c>
      <c r="S56">
        <f t="shared" si="9"/>
        <v>22378.253851474994</v>
      </c>
    </row>
    <row r="57" spans="1:19">
      <c r="A57">
        <f t="shared" si="0"/>
        <v>0.68199999999999994</v>
      </c>
      <c r="B57">
        <f t="shared" si="1"/>
        <v>2.6981678764080859</v>
      </c>
      <c r="C57">
        <f t="shared" si="2"/>
        <v>8.0075000000000003</v>
      </c>
      <c r="D57">
        <f>'[2]3、总属性战斗节奏拟合'!B57</f>
        <v>8.0075000000000003</v>
      </c>
      <c r="E57" s="45">
        <f>'[2]3、总属性战斗节奏拟合'!C57</f>
        <v>53</v>
      </c>
      <c r="F57" s="121">
        <f>'人物&amp;怪物成长分析'!M57</f>
        <v>221653.91548243351</v>
      </c>
      <c r="G57" s="121">
        <f>'人物&amp;怪物成长分析'!N57</f>
        <v>9011.9420376321104</v>
      </c>
      <c r="H57" s="121">
        <f>'人物&amp;怪物成长分析'!O57</f>
        <v>4005.3075722809381</v>
      </c>
      <c r="I57" s="121">
        <f>'人物&amp;怪物成长分析'!P57</f>
        <v>5006.6344653511724</v>
      </c>
      <c r="J57">
        <f>'[2]3、总属性战斗节奏拟合'!H57</f>
        <v>34.03</v>
      </c>
      <c r="K57">
        <f t="shared" si="3"/>
        <v>27.279999999999998</v>
      </c>
      <c r="L57">
        <f t="shared" si="4"/>
        <v>40.21150725844852</v>
      </c>
      <c r="M57" s="15">
        <f t="shared" si="5"/>
        <v>201324.31814386719</v>
      </c>
      <c r="N57" s="15">
        <f t="shared" si="6"/>
        <v>12130.451101695657</v>
      </c>
      <c r="O57" s="15">
        <f t="shared" si="7"/>
        <v>4005.3075722809381</v>
      </c>
      <c r="P57" s="15">
        <f t="shared" si="8"/>
        <v>8125.1435294147186</v>
      </c>
      <c r="Q57" s="65">
        <f>'人物&amp;怪物成长分析'!Q57*$X$10</f>
        <v>3427.6839999999997</v>
      </c>
      <c r="R57" s="65">
        <f>'人物&amp;怪物成长分析'!R57*$X$11</f>
        <v>0</v>
      </c>
      <c r="S57">
        <f t="shared" si="9"/>
        <v>24188.731399731281</v>
      </c>
    </row>
    <row r="58" spans="1:19">
      <c r="A58">
        <f t="shared" si="0"/>
        <v>0.67599999999999993</v>
      </c>
      <c r="B58">
        <f t="shared" si="1"/>
        <v>2.7108060108295344</v>
      </c>
      <c r="C58">
        <f t="shared" si="2"/>
        <v>8.1349999999999998</v>
      </c>
      <c r="D58">
        <f>'[2]3、总属性战斗节奏拟合'!B58</f>
        <v>8.1349999999999998</v>
      </c>
      <c r="E58" s="45">
        <f>'[2]3、总属性战斗节奏拟合'!C58</f>
        <v>54</v>
      </c>
      <c r="F58" s="121">
        <f>'人物&amp;怪物成长分析'!M58</f>
        <v>240770.6133488616</v>
      </c>
      <c r="G58" s="121">
        <f>'人物&amp;怪物成长分析'!N58</f>
        <v>9595.0685520000025</v>
      </c>
      <c r="H58" s="121">
        <f>'人物&amp;怪物成长分析'!O58</f>
        <v>4264.4749120000015</v>
      </c>
      <c r="I58" s="121">
        <f>'人物&amp;怪物成长分析'!P58</f>
        <v>5330.593640000001</v>
      </c>
      <c r="J58">
        <f>'[2]3、总属性战斗节奏拟合'!H58</f>
        <v>34.54</v>
      </c>
      <c r="K58">
        <f t="shared" si="3"/>
        <v>27.04</v>
      </c>
      <c r="L58">
        <f t="shared" si="4"/>
        <v>40.669836064977204</v>
      </c>
      <c r="M58" s="15">
        <f t="shared" si="5"/>
        <v>216794.36946781015</v>
      </c>
      <c r="N58" s="15">
        <f t="shared" si="6"/>
        <v>13168.713571351393</v>
      </c>
      <c r="O58" s="15">
        <f t="shared" si="7"/>
        <v>4264.4749120000015</v>
      </c>
      <c r="P58" s="15">
        <f t="shared" si="8"/>
        <v>8904.2386593513911</v>
      </c>
      <c r="Q58" s="65">
        <f>'人物&amp;怪物成长分析'!Q58*$X$10</f>
        <v>3485.9119999999998</v>
      </c>
      <c r="R58" s="65">
        <f>'人物&amp;怪物成长分析'!R58*$X$11</f>
        <v>0</v>
      </c>
      <c r="S58">
        <f t="shared" si="9"/>
        <v>26104.9632620638</v>
      </c>
    </row>
    <row r="59" spans="1:19">
      <c r="A59">
        <f t="shared" si="0"/>
        <v>0.66999999999999993</v>
      </c>
      <c r="B59">
        <f t="shared" si="1"/>
        <v>2.7232698153315003</v>
      </c>
      <c r="C59">
        <f t="shared" si="2"/>
        <v>8.2624999999999993</v>
      </c>
      <c r="D59">
        <f>'[2]3、总属性战斗节奏拟合'!B59</f>
        <v>8.2624999999999993</v>
      </c>
      <c r="E59" s="45">
        <f>'[2]3、总属性战斗节奏拟合'!C59</f>
        <v>55</v>
      </c>
      <c r="F59" s="121">
        <f>'人物&amp;怪物成长分析'!M59</f>
        <v>261060.71156826924</v>
      </c>
      <c r="G59" s="121">
        <f>'人物&amp;怪物成长分析'!N59</f>
        <v>10200.846510451507</v>
      </c>
      <c r="H59" s="121">
        <f>'人物&amp;怪物成长分析'!O59</f>
        <v>4533.7095602006693</v>
      </c>
      <c r="I59" s="121">
        <f>'人物&amp;怪物成长分析'!P59</f>
        <v>5667.1369502508378</v>
      </c>
      <c r="J59">
        <f>'[2]3、总属性战斗节奏拟合'!H59</f>
        <v>35.049999999999997</v>
      </c>
      <c r="K59">
        <f t="shared" si="3"/>
        <v>26.799999999999997</v>
      </c>
      <c r="L59">
        <f t="shared" si="4"/>
        <v>41.127118891988999</v>
      </c>
      <c r="M59" s="15">
        <f t="shared" si="5"/>
        <v>233073.01513015016</v>
      </c>
      <c r="N59" s="15">
        <f t="shared" si="6"/>
        <v>14274.780887374895</v>
      </c>
      <c r="O59" s="15">
        <f t="shared" si="7"/>
        <v>4533.7095602006693</v>
      </c>
      <c r="P59" s="15">
        <f t="shared" si="8"/>
        <v>9741.0713271742243</v>
      </c>
      <c r="Q59" s="65">
        <f>'人物&amp;怪物成长分析'!Q59*$X$10</f>
        <v>3544.1399999999994</v>
      </c>
      <c r="R59" s="65">
        <f>'人物&amp;怪物成长分析'!R59*$X$11</f>
        <v>0</v>
      </c>
      <c r="S59">
        <f t="shared" si="9"/>
        <v>28131.411052781572</v>
      </c>
    </row>
    <row r="60" spans="1:19">
      <c r="A60">
        <f t="shared" si="0"/>
        <v>0.66399999999999992</v>
      </c>
      <c r="B60">
        <f t="shared" si="1"/>
        <v>2.7355647997347612</v>
      </c>
      <c r="C60">
        <f t="shared" si="2"/>
        <v>8.39</v>
      </c>
      <c r="D60">
        <f>'[2]3、总属性战斗节奏拟合'!B60</f>
        <v>8.39</v>
      </c>
      <c r="E60" s="45">
        <f>'[2]3、总属性战斗节奏拟合'!C60</f>
        <v>56</v>
      </c>
      <c r="F60" s="121">
        <f>'人物&amp;怪物成长分析'!M60</f>
        <v>282569.88156529772</v>
      </c>
      <c r="G60" s="121">
        <f>'人物&amp;怪物成长分析'!N60</f>
        <v>10829.650771866225</v>
      </c>
      <c r="H60" s="121">
        <f>'人物&amp;怪物成长分析'!O60</f>
        <v>4813.1781208294333</v>
      </c>
      <c r="I60" s="121">
        <f>'人物&amp;怪物成长分析'!P60</f>
        <v>6016.4726510367918</v>
      </c>
      <c r="J60">
        <f>'[2]3、总属性战斗节奏拟合'!H60</f>
        <v>35.56</v>
      </c>
      <c r="K60">
        <f t="shared" si="3"/>
        <v>26.559999999999995</v>
      </c>
      <c r="L60">
        <f t="shared" si="4"/>
        <v>41.583388798408571</v>
      </c>
      <c r="M60" s="15">
        <f t="shared" si="5"/>
        <v>250185.32144305485</v>
      </c>
      <c r="N60" s="15">
        <f t="shared" si="6"/>
        <v>15452.104384583115</v>
      </c>
      <c r="O60" s="15">
        <f t="shared" si="7"/>
        <v>4813.1781208294333</v>
      </c>
      <c r="P60" s="15">
        <f t="shared" si="8"/>
        <v>10638.926263753681</v>
      </c>
      <c r="Q60" s="65">
        <f>'人物&amp;怪物成长分析'!Q60*$X$10</f>
        <v>3602.3680000000004</v>
      </c>
      <c r="R60" s="65">
        <f>'人物&amp;怪物成长分析'!R60*$X$11</f>
        <v>0</v>
      </c>
      <c r="S60">
        <f t="shared" si="9"/>
        <v>30272.695363134742</v>
      </c>
    </row>
    <row r="61" spans="1:19">
      <c r="A61">
        <f t="shared" si="0"/>
        <v>0.65799999999999992</v>
      </c>
      <c r="B61">
        <f t="shared" si="1"/>
        <v>2.7476962050544724</v>
      </c>
      <c r="C61">
        <f t="shared" si="2"/>
        <v>8.5175000000000001</v>
      </c>
      <c r="D61">
        <f>'[2]3、总属性战斗节奏拟合'!B61</f>
        <v>8.5175000000000001</v>
      </c>
      <c r="E61" s="45">
        <f>'[2]3、总属性战斗节奏拟合'!C61</f>
        <v>57</v>
      </c>
      <c r="F61" s="121">
        <f>'人物&amp;怪物成长分析'!M61</f>
        <v>305344.64444471517</v>
      </c>
      <c r="G61" s="121">
        <f>'人物&amp;怪物成长分析'!N61</f>
        <v>11481.85619512375</v>
      </c>
      <c r="H61" s="121">
        <f>'人物&amp;怪物成长分析'!O61</f>
        <v>5103.0471978327778</v>
      </c>
      <c r="I61" s="121">
        <f>'人物&amp;怪物成长分析'!P61</f>
        <v>6378.808997290972</v>
      </c>
      <c r="J61">
        <f>'[2]3、总属性战斗节奏拟合'!H61</f>
        <v>36.07</v>
      </c>
      <c r="K61">
        <f t="shared" si="3"/>
        <v>26.319999999999997</v>
      </c>
      <c r="L61">
        <f t="shared" si="4"/>
        <v>42.03867723032684</v>
      </c>
      <c r="M61" s="15">
        <f t="shared" si="5"/>
        <v>268156.69255101995</v>
      </c>
      <c r="N61" s="15">
        <f t="shared" si="6"/>
        <v>16704.287488285485</v>
      </c>
      <c r="O61" s="15">
        <f t="shared" si="7"/>
        <v>5103.0471978327778</v>
      </c>
      <c r="P61" s="15">
        <f t="shared" si="8"/>
        <v>11601.240290452708</v>
      </c>
      <c r="Q61" s="65">
        <f>'人物&amp;怪物成长分析'!Q61*$X$10</f>
        <v>3660.596</v>
      </c>
      <c r="R61" s="65">
        <f>'人物&amp;怪物成长分析'!R61*$X$11</f>
        <v>0</v>
      </c>
      <c r="S61">
        <f t="shared" si="9"/>
        <v>32533.602388159059</v>
      </c>
    </row>
    <row r="62" spans="1:19">
      <c r="A62">
        <f t="shared" si="0"/>
        <v>0.65199999999999991</v>
      </c>
      <c r="B62">
        <f t="shared" si="1"/>
        <v>2.7596690210718942</v>
      </c>
      <c r="C62">
        <f t="shared" si="2"/>
        <v>8.6449999999999996</v>
      </c>
      <c r="D62">
        <f>'[2]3、总属性战斗节奏拟合'!B62</f>
        <v>8.6449999999999996</v>
      </c>
      <c r="E62" s="45">
        <f>'[2]3、总属性战斗节奏拟合'!C62</f>
        <v>58</v>
      </c>
      <c r="F62" s="121">
        <f>'人物&amp;怪物成长分析'!M62</f>
        <v>329432.3709914168</v>
      </c>
      <c r="G62" s="121">
        <f>'人物&amp;怪物成长分析'!N62</f>
        <v>12157.837639103684</v>
      </c>
      <c r="H62" s="121">
        <f>'人物&amp;怪物成长分析'!O62</f>
        <v>5403.4833951571927</v>
      </c>
      <c r="I62" s="121">
        <f>'人物&amp;怪物成长分析'!P62</f>
        <v>6754.3542439464909</v>
      </c>
      <c r="J62">
        <f>'[2]3、总属性战斗节奏拟合'!H62</f>
        <v>36.58</v>
      </c>
      <c r="K62">
        <f t="shared" si="3"/>
        <v>26.08</v>
      </c>
      <c r="L62">
        <f t="shared" si="4"/>
        <v>42.493014126431362</v>
      </c>
      <c r="M62" s="15">
        <f t="shared" si="5"/>
        <v>287012.87030293985</v>
      </c>
      <c r="N62" s="15">
        <f t="shared" si="6"/>
        <v>18035.092712312748</v>
      </c>
      <c r="O62" s="15">
        <f t="shared" si="7"/>
        <v>5403.4833951571927</v>
      </c>
      <c r="P62" s="15">
        <f t="shared" si="8"/>
        <v>12631.609317155555</v>
      </c>
      <c r="Q62" s="65">
        <f>'人物&amp;怪物成长分析'!Q62*$X$10</f>
        <v>3718.8240000000001</v>
      </c>
      <c r="R62" s="65">
        <f>'人物&amp;怪物成长分析'!R62*$X$11</f>
        <v>0</v>
      </c>
      <c r="S62">
        <f t="shared" si="9"/>
        <v>34919.090919587536</v>
      </c>
    </row>
    <row r="63" spans="1:19">
      <c r="A63">
        <f t="shared" si="0"/>
        <v>0.64600000000000002</v>
      </c>
      <c r="B63">
        <f t="shared" si="1"/>
        <v>2.771488002476036</v>
      </c>
      <c r="C63">
        <f t="shared" si="2"/>
        <v>8.7725000000000009</v>
      </c>
      <c r="D63">
        <f>'[2]3、总属性战斗节奏拟合'!B63</f>
        <v>8.7725000000000009</v>
      </c>
      <c r="E63" s="45">
        <f>'[2]3、总属性战斗节奏拟合'!C63</f>
        <v>59</v>
      </c>
      <c r="F63" s="121">
        <f>'人物&amp;怪物成长分析'!M63</f>
        <v>354881.2816704252</v>
      </c>
      <c r="G63" s="121">
        <f>'人物&amp;怪物成长分析'!N63</f>
        <v>12857.969962685624</v>
      </c>
      <c r="H63" s="121">
        <f>'人物&amp;怪物成长分析'!O63</f>
        <v>5714.6533167491662</v>
      </c>
      <c r="I63" s="121">
        <f>'人物&amp;怪物成长分析'!P63</f>
        <v>7143.3166459364575</v>
      </c>
      <c r="J63">
        <f>'[2]3、总属性战斗节奏拟合'!H63</f>
        <v>37.090000000000003</v>
      </c>
      <c r="K63">
        <f t="shared" si="3"/>
        <v>25.84</v>
      </c>
      <c r="L63">
        <f t="shared" si="4"/>
        <v>42.946428014856217</v>
      </c>
      <c r="M63" s="15">
        <f t="shared" si="5"/>
        <v>306779.93412203423</v>
      </c>
      <c r="N63" s="15">
        <f t="shared" si="6"/>
        <v>19448.449047028778</v>
      </c>
      <c r="O63" s="15">
        <f t="shared" si="7"/>
        <v>5714.6533167491662</v>
      </c>
      <c r="P63" s="15">
        <f t="shared" si="8"/>
        <v>13733.795730279613</v>
      </c>
      <c r="Q63" s="65">
        <f>'人物&amp;怪物成长分析'!Q63*$X$10</f>
        <v>3777.0519999999997</v>
      </c>
      <c r="R63" s="65">
        <f>'人物&amp;怪物成长分析'!R63*$X$11</f>
        <v>0</v>
      </c>
      <c r="S63">
        <f t="shared" si="9"/>
        <v>37434.299728659316</v>
      </c>
    </row>
    <row r="64" spans="1:19">
      <c r="A64">
        <f t="shared" si="0"/>
        <v>0.64</v>
      </c>
      <c r="B64">
        <f t="shared" si="1"/>
        <v>2.7831576837137404</v>
      </c>
      <c r="C64">
        <f t="shared" si="2"/>
        <v>8.9</v>
      </c>
      <c r="D64">
        <f>'[2]3、总属性战斗节奏拟合'!B64</f>
        <v>8.9</v>
      </c>
      <c r="E64" s="45">
        <f>'[2]3、总属性战斗节奏拟合'!C64</f>
        <v>60</v>
      </c>
      <c r="F64" s="121">
        <f>'人物&amp;怪物成长分析'!M64</f>
        <v>383620.94143785973</v>
      </c>
      <c r="G64" s="121">
        <f>'人物&amp;怪物成长分析'!N64</f>
        <v>13649.537522408034</v>
      </c>
      <c r="H64" s="121">
        <f>'人物&amp;怪物成长分析'!O64</f>
        <v>6066.4611210702378</v>
      </c>
      <c r="I64" s="121">
        <f>'人物&amp;怪物成长分析'!P64</f>
        <v>7583.0764013377966</v>
      </c>
      <c r="J64">
        <f>'[2]3、总属性战斗节奏拟合'!H64</f>
        <v>37.6</v>
      </c>
      <c r="K64">
        <f t="shared" si="3"/>
        <v>25.6</v>
      </c>
      <c r="L64">
        <f t="shared" si="4"/>
        <v>43.398946102282444</v>
      </c>
      <c r="M64" s="15">
        <f t="shared" si="5"/>
        <v>329097.52403114893</v>
      </c>
      <c r="N64" s="15">
        <f t="shared" si="6"/>
        <v>21051.654145986631</v>
      </c>
      <c r="O64" s="15">
        <f t="shared" si="7"/>
        <v>6066.4611210702378</v>
      </c>
      <c r="P64" s="15">
        <f t="shared" si="8"/>
        <v>14985.193024916392</v>
      </c>
      <c r="Q64" s="65">
        <f>'人物&amp;怪物成长分析'!Q64*$X$10</f>
        <v>3835.2799999999997</v>
      </c>
      <c r="R64" s="65">
        <f>'人物&amp;怪物成长分析'!R64*$X$11</f>
        <v>0</v>
      </c>
      <c r="S64">
        <f t="shared" si="9"/>
        <v>40282.016228302826</v>
      </c>
    </row>
    <row r="65" spans="1:19">
      <c r="A65">
        <f t="shared" si="0"/>
        <v>0.63400000000000001</v>
      </c>
      <c r="B65">
        <f t="shared" si="1"/>
        <v>2.7946823926712416</v>
      </c>
      <c r="C65">
        <f t="shared" si="2"/>
        <v>9.0274999999999999</v>
      </c>
      <c r="D65">
        <f>'[2]3、总属性战斗节奏拟合'!B65</f>
        <v>9.0274999999999999</v>
      </c>
      <c r="E65" s="45">
        <f>'[2]3、总属性战斗节奏拟合'!C65</f>
        <v>61</v>
      </c>
      <c r="F65" s="121">
        <f>'人物&amp;怪物成长分析'!M65</f>
        <v>414002.66824076104</v>
      </c>
      <c r="G65" s="121">
        <f>'人物&amp;怪物成长分析'!N65</f>
        <v>14469.996171521745</v>
      </c>
      <c r="H65" s="121">
        <f>'人物&amp;怪物成长分析'!O65</f>
        <v>6431.1094095652197</v>
      </c>
      <c r="I65" s="121">
        <f>'人物&amp;怪物成长分析'!P65</f>
        <v>8038.8867619565253</v>
      </c>
      <c r="J65">
        <f>'[2]3、总属性战斗节奏拟合'!H65</f>
        <v>38.11</v>
      </c>
      <c r="K65">
        <f t="shared" si="3"/>
        <v>25.36</v>
      </c>
      <c r="L65">
        <f t="shared" si="4"/>
        <v>43.85059435602745</v>
      </c>
      <c r="M65" s="15">
        <f t="shared" si="5"/>
        <v>352509.96247259458</v>
      </c>
      <c r="N65" s="15">
        <f t="shared" si="6"/>
        <v>22756.135759752957</v>
      </c>
      <c r="O65" s="15">
        <f t="shared" si="7"/>
        <v>6431.1094095652197</v>
      </c>
      <c r="P65" s="15">
        <f t="shared" si="8"/>
        <v>16325.026350187738</v>
      </c>
      <c r="Q65" s="65">
        <f>'人物&amp;怪物成长分析'!Q65*$X$10</f>
        <v>3893.5080000000003</v>
      </c>
      <c r="R65" s="65">
        <f>'人物&amp;怪物成长分析'!R65*$X$11</f>
        <v>0</v>
      </c>
      <c r="S65">
        <f t="shared" si="9"/>
        <v>43287.643668221965</v>
      </c>
    </row>
    <row r="66" spans="1:19">
      <c r="A66">
        <f t="shared" si="0"/>
        <v>0.628</v>
      </c>
      <c r="B66">
        <f t="shared" si="1"/>
        <v>2.8060662632966835</v>
      </c>
      <c r="C66">
        <f t="shared" si="2"/>
        <v>9.1550000000000011</v>
      </c>
      <c r="D66">
        <f>'[2]3、总属性战斗节奏拟合'!B66</f>
        <v>9.1550000000000011</v>
      </c>
      <c r="E66" s="45">
        <f>'[2]3、总属性战斗节奏拟合'!C66</f>
        <v>62</v>
      </c>
      <c r="F66" s="121">
        <f>'人物&amp;怪物成长分析'!M66</f>
        <v>446085.70311896206</v>
      </c>
      <c r="G66" s="121">
        <f>'人物&amp;怪物成长分析'!N66</f>
        <v>15319.795740682281</v>
      </c>
      <c r="H66" s="121">
        <f>'人物&amp;怪物成长分析'!O66</f>
        <v>6808.7981069699035</v>
      </c>
      <c r="I66" s="121">
        <f>'人物&amp;怪物成长分析'!P66</f>
        <v>8510.9976337123771</v>
      </c>
      <c r="J66">
        <f>'[2]3、总属性战斗节奏拟合'!H66</f>
        <v>38.620000000000005</v>
      </c>
      <c r="K66">
        <f t="shared" si="3"/>
        <v>25.12</v>
      </c>
      <c r="L66">
        <f t="shared" si="4"/>
        <v>44.301397579780101</v>
      </c>
      <c r="M66" s="15">
        <f t="shared" si="5"/>
        <v>377049.08997165965</v>
      </c>
      <c r="N66" s="15">
        <f t="shared" si="6"/>
        <v>24566.98692539992</v>
      </c>
      <c r="O66" s="15">
        <f t="shared" si="7"/>
        <v>6808.7981069699035</v>
      </c>
      <c r="P66" s="15">
        <f t="shared" si="8"/>
        <v>17758.188818430019</v>
      </c>
      <c r="Q66" s="65">
        <f>'人物&amp;怪物成长分析'!Q66*$X$10</f>
        <v>3951.7360000000003</v>
      </c>
      <c r="R66" s="65">
        <f>'人物&amp;怪物成长分析'!R66*$X$11</f>
        <v>0</v>
      </c>
      <c r="S66">
        <f t="shared" si="9"/>
        <v>46457.748631236209</v>
      </c>
    </row>
    <row r="67" spans="1:19">
      <c r="A67">
        <f t="shared" si="0"/>
        <v>0.622</v>
      </c>
      <c r="B67">
        <f t="shared" si="1"/>
        <v>2.8173132472612576</v>
      </c>
      <c r="C67">
        <f t="shared" si="2"/>
        <v>9.2825000000000006</v>
      </c>
      <c r="D67">
        <f>'[2]3、总属性战斗节奏拟合'!B67</f>
        <v>9.2825000000000006</v>
      </c>
      <c r="E67" s="45">
        <f>'[2]3、总属性战斗节奏拟合'!C67</f>
        <v>63</v>
      </c>
      <c r="F67" s="121">
        <f>'人物&amp;怪物成长分析'!M67</f>
        <v>479930.30672844808</v>
      </c>
      <c r="G67" s="121">
        <f>'人物&amp;怪物成长分析'!N67</f>
        <v>16199.386060545157</v>
      </c>
      <c r="H67" s="121">
        <f>'人物&amp;怪物成长分析'!O67</f>
        <v>7199.7271380200691</v>
      </c>
      <c r="I67" s="121">
        <f>'人物&amp;怪物成长分析'!P67</f>
        <v>8999.6589225250882</v>
      </c>
      <c r="J67">
        <f>'[2]3、总属性战斗节奏拟合'!H67</f>
        <v>39.130000000000003</v>
      </c>
      <c r="K67">
        <f t="shared" si="3"/>
        <v>24.88</v>
      </c>
      <c r="L67">
        <f t="shared" si="4"/>
        <v>44.751379483567547</v>
      </c>
      <c r="M67" s="15">
        <f t="shared" si="5"/>
        <v>402747.15166459483</v>
      </c>
      <c r="N67" s="15">
        <f t="shared" si="6"/>
        <v>26489.530463118466</v>
      </c>
      <c r="O67" s="15">
        <f t="shared" si="7"/>
        <v>7199.7271380200691</v>
      </c>
      <c r="P67" s="15">
        <f t="shared" si="8"/>
        <v>19289.803325098397</v>
      </c>
      <c r="Q67" s="65">
        <f>'人物&amp;怪物成长分析'!Q67*$X$10</f>
        <v>4009.9639999999999</v>
      </c>
      <c r="R67" s="65">
        <f>'人物&amp;怪物成长分析'!R67*$X$11</f>
        <v>0</v>
      </c>
      <c r="S67">
        <f t="shared" si="9"/>
        <v>49799.143667722325</v>
      </c>
    </row>
    <row r="68" spans="1:19">
      <c r="A68">
        <f t="shared" si="0"/>
        <v>0.61599999999999999</v>
      </c>
      <c r="B68">
        <f t="shared" si="1"/>
        <v>2.8284271247461898</v>
      </c>
      <c r="C68">
        <f t="shared" si="2"/>
        <v>9.41</v>
      </c>
      <c r="D68">
        <f>'[2]3、总属性战斗节奏拟合'!B68</f>
        <v>9.41</v>
      </c>
      <c r="E68" s="45">
        <f>'[2]3、总属性战斗节奏拟合'!C68</f>
        <v>64</v>
      </c>
      <c r="F68" s="121">
        <f>'人物&amp;怪物成长分析'!M68</f>
        <v>515597.75934135681</v>
      </c>
      <c r="G68" s="121">
        <f>'人物&amp;怪物成长分析'!N68</f>
        <v>17109.216961765891</v>
      </c>
      <c r="H68" s="121">
        <f>'人物&amp;怪物成长分析'!O68</f>
        <v>7604.09642745151</v>
      </c>
      <c r="I68" s="121">
        <f>'人物&amp;怪物成长分析'!P68</f>
        <v>9505.1205343143811</v>
      </c>
      <c r="J68">
        <f>'[2]3、总属性战斗节奏拟合'!H68</f>
        <v>39.64</v>
      </c>
      <c r="K68">
        <f t="shared" si="3"/>
        <v>24.64</v>
      </c>
      <c r="L68">
        <f t="shared" si="4"/>
        <v>45.20056274847714</v>
      </c>
      <c r="M68" s="15">
        <f t="shared" si="5"/>
        <v>429636.79714311572</v>
      </c>
      <c r="N68" s="15">
        <f t="shared" si="6"/>
        <v>28529.330166954627</v>
      </c>
      <c r="O68" s="15">
        <f t="shared" si="7"/>
        <v>7604.09642745151</v>
      </c>
      <c r="P68" s="15">
        <f t="shared" si="8"/>
        <v>20925.233739503117</v>
      </c>
      <c r="Q68" s="65">
        <f>'人物&amp;怪物成长分析'!Q68*$X$10</f>
        <v>4068.192</v>
      </c>
      <c r="R68" s="65">
        <f>'人物&amp;怪物成长分析'!R68*$X$11</f>
        <v>0</v>
      </c>
      <c r="S68">
        <f t="shared" si="9"/>
        <v>53318.898480130767</v>
      </c>
    </row>
    <row r="69" spans="1:19">
      <c r="A69">
        <f t="shared" si="0"/>
        <v>0.61</v>
      </c>
      <c r="B69">
        <f t="shared" si="1"/>
        <v>2.8394115144336771</v>
      </c>
      <c r="C69">
        <f t="shared" si="2"/>
        <v>9.5374999999999996</v>
      </c>
      <c r="D69">
        <f>'[2]3、总属性战斗节奏拟合'!B69</f>
        <v>9.5374999999999996</v>
      </c>
      <c r="E69" s="45">
        <f>'[2]3、总属性战斗节奏拟合'!C69</f>
        <v>65</v>
      </c>
      <c r="F69" s="121">
        <f>'人物&amp;怪物成长分析'!M69</f>
        <v>553150.36084597837</v>
      </c>
      <c r="G69" s="121">
        <f>'人物&amp;怪物成长分析'!N69</f>
        <v>18049.738275</v>
      </c>
      <c r="H69" s="121">
        <f>'人物&amp;怪物成长分析'!O69</f>
        <v>8022.1059000000014</v>
      </c>
      <c r="I69" s="121">
        <f>'人物&amp;怪物成长分析'!P69</f>
        <v>10027.632374999997</v>
      </c>
      <c r="J69">
        <f>'[2]3、总属性战斗节奏拟合'!H69</f>
        <v>40.15</v>
      </c>
      <c r="K69">
        <f t="shared" si="3"/>
        <v>24.4</v>
      </c>
      <c r="L69">
        <f t="shared" si="4"/>
        <v>45.648969086602058</v>
      </c>
      <c r="M69" s="15">
        <f t="shared" si="5"/>
        <v>457751.08029818488</v>
      </c>
      <c r="N69" s="15">
        <f t="shared" si="6"/>
        <v>30692.202655982725</v>
      </c>
      <c r="O69" s="15">
        <f t="shared" si="7"/>
        <v>8022.1059000000023</v>
      </c>
      <c r="P69" s="15">
        <f t="shared" si="8"/>
        <v>22670.096755982722</v>
      </c>
      <c r="Q69" s="65">
        <f>'人物&amp;怪物成长分析'!Q69*$X$10</f>
        <v>4126.42</v>
      </c>
      <c r="R69" s="65">
        <f>'人物&amp;怪物成长分析'!R69*$X$11</f>
        <v>0</v>
      </c>
      <c r="S69">
        <f t="shared" si="9"/>
        <v>57024.351767910128</v>
      </c>
    </row>
    <row r="70" spans="1:19">
      <c r="A70">
        <f t="shared" ref="A70:A104" si="10">1-$C$1*E70</f>
        <v>0.60399999999999998</v>
      </c>
      <c r="B70">
        <f t="shared" ref="B70:B104" si="11">E70^0.25</f>
        <v>2.8502698827717978</v>
      </c>
      <c r="C70">
        <f t="shared" ref="C70:C104" si="12">D70</f>
        <v>9.6650000000000009</v>
      </c>
      <c r="D70">
        <f>'[2]3、总属性战斗节奏拟合'!B70</f>
        <v>9.6650000000000009</v>
      </c>
      <c r="E70" s="45">
        <f>'[2]3、总属性战斗节奏拟合'!C70</f>
        <v>66</v>
      </c>
      <c r="F70" s="121">
        <f>'人物&amp;怪物成长分析'!M70</f>
        <v>592651.43074675626</v>
      </c>
      <c r="G70" s="121">
        <f>'人物&amp;怪物成长分析'!N70</f>
        <v>19021.399830903021</v>
      </c>
      <c r="H70" s="121">
        <f>'人物&amp;怪物成长分析'!O70</f>
        <v>8453.9554804013442</v>
      </c>
      <c r="I70" s="121">
        <f>'人物&amp;怪物成长分析'!P70</f>
        <v>10567.444350501677</v>
      </c>
      <c r="J70">
        <f>'[2]3、总属性战斗节奏拟合'!H70</f>
        <v>40.660000000000004</v>
      </c>
      <c r="K70">
        <f t="shared" ref="K70:K104" si="13">$K$2*A70</f>
        <v>24.16</v>
      </c>
      <c r="L70">
        <f t="shared" ref="L70:L104" si="14">D70*$I$1+B70*$L$2</f>
        <v>46.096619296630791</v>
      </c>
      <c r="M70" s="15">
        <f t="shared" ref="M70:M104" si="15">I70*L70</f>
        <v>487123.45916340762</v>
      </c>
      <c r="N70" s="15">
        <f t="shared" ref="N70:N104" si="16">F70/K70+H70</f>
        <v>32984.229931839931</v>
      </c>
      <c r="O70" s="15">
        <f t="shared" ref="O70:O104" si="17">G70-I70</f>
        <v>8453.9554804013442</v>
      </c>
      <c r="P70" s="15">
        <f t="shared" ref="P70:P104" si="18">N70-H70</f>
        <v>24530.274451438585</v>
      </c>
      <c r="Q70" s="65">
        <f>'人物&amp;怪物成长分析'!Q70*$X$10</f>
        <v>4184.6480000000001</v>
      </c>
      <c r="R70" s="65">
        <f>'人物&amp;怪物成长分析'!R70*$X$11</f>
        <v>0</v>
      </c>
      <c r="S70">
        <f t="shared" ref="S70:S104" si="19">SUMPRODUCT(M70:O70,$W$13:$Y$13)</f>
        <v>60923.123778777583</v>
      </c>
    </row>
    <row r="71" spans="1:19">
      <c r="A71">
        <f t="shared" si="10"/>
        <v>0.59799999999999998</v>
      </c>
      <c r="B71">
        <f t="shared" si="11"/>
        <v>2.8610055525763052</v>
      </c>
      <c r="C71">
        <f t="shared" si="12"/>
        <v>9.7925000000000004</v>
      </c>
      <c r="D71">
        <f>'[2]3、总属性战斗节奏拟合'!B71</f>
        <v>9.7925000000000004</v>
      </c>
      <c r="E71" s="45">
        <f>'[2]3、总属性战斗节奏拟合'!C71</f>
        <v>67</v>
      </c>
      <c r="F71" s="121">
        <f>'人物&amp;怪物成长分析'!M71</f>
        <v>626336.10682892357</v>
      </c>
      <c r="G71" s="121">
        <f>'人物&amp;怪物成长分析'!N71</f>
        <v>20024.651460130452</v>
      </c>
      <c r="H71" s="121">
        <f>'人物&amp;怪物成长分析'!O71</f>
        <v>8899.84509339131</v>
      </c>
      <c r="I71" s="121">
        <f>'人物&amp;怪物成长分析'!P71</f>
        <v>11124.806366739142</v>
      </c>
      <c r="J71">
        <f>'[2]3、总属性战斗节奏拟合'!H71</f>
        <v>41.17</v>
      </c>
      <c r="K71">
        <f t="shared" si="13"/>
        <v>23.919999999999998</v>
      </c>
      <c r="L71">
        <f t="shared" si="14"/>
        <v>46.543533315457836</v>
      </c>
      <c r="M71" s="15">
        <f t="shared" si="15"/>
        <v>517787.79575834068</v>
      </c>
      <c r="N71" s="15">
        <f t="shared" si="16"/>
        <v>35084.464944098821</v>
      </c>
      <c r="O71" s="15">
        <f t="shared" si="17"/>
        <v>8899.84509339131</v>
      </c>
      <c r="P71" s="15">
        <f t="shared" si="18"/>
        <v>26184.61985070751</v>
      </c>
      <c r="Q71" s="65">
        <f>'人物&amp;怪物成长分析'!Q71*$X$10</f>
        <v>4242.8759999999993</v>
      </c>
      <c r="R71" s="65">
        <f>'人物&amp;怪物成长分析'!R71*$X$11</f>
        <v>0</v>
      </c>
      <c r="S71">
        <f t="shared" si="19"/>
        <v>64695.821867823761</v>
      </c>
    </row>
    <row r="72" spans="1:19">
      <c r="A72">
        <f t="shared" si="10"/>
        <v>0.59199999999999997</v>
      </c>
      <c r="B72">
        <f t="shared" si="11"/>
        <v>2.871621711025901</v>
      </c>
      <c r="C72">
        <f t="shared" si="12"/>
        <v>9.92</v>
      </c>
      <c r="D72">
        <f>'[2]3、总属性战斗节奏拟合'!B72</f>
        <v>9.92</v>
      </c>
      <c r="E72" s="45">
        <f>'[2]3、总属性战斗节奏拟合'!C72</f>
        <v>68</v>
      </c>
      <c r="F72" s="121">
        <f>'人物&amp;怪物成长分析'!M72</f>
        <v>661226.68471737858</v>
      </c>
      <c r="G72" s="121">
        <f>'人物&amp;怪物成长分析'!N72</f>
        <v>21059.942993337812</v>
      </c>
      <c r="H72" s="121">
        <f>'人物&amp;怪物成长分析'!O72</f>
        <v>9359.9746637056942</v>
      </c>
      <c r="I72" s="121">
        <f>'人物&amp;怪物成长分析'!P72</f>
        <v>11699.968329632118</v>
      </c>
      <c r="J72">
        <f>'[2]3、总属性战斗节奏拟合'!H72</f>
        <v>41.68</v>
      </c>
      <c r="K72">
        <f t="shared" si="13"/>
        <v>23.68</v>
      </c>
      <c r="L72">
        <f t="shared" si="14"/>
        <v>46.989730266155405</v>
      </c>
      <c r="M72" s="15">
        <f t="shared" si="15"/>
        <v>549778.35593197402</v>
      </c>
      <c r="N72" s="15">
        <f t="shared" si="16"/>
        <v>37283.398849405807</v>
      </c>
      <c r="O72" s="15">
        <f t="shared" si="17"/>
        <v>9359.9746637056942</v>
      </c>
      <c r="P72" s="15">
        <f t="shared" si="18"/>
        <v>27923.424185700111</v>
      </c>
      <c r="Q72" s="65">
        <f>'人物&amp;怪物成长分析'!Q72*$X$10</f>
        <v>4301.1040000000003</v>
      </c>
      <c r="R72" s="65">
        <f>'人物&amp;怪物成长分析'!R72*$X$11</f>
        <v>0</v>
      </c>
      <c r="S72">
        <f t="shared" si="19"/>
        <v>68634.507750390461</v>
      </c>
    </row>
    <row r="73" spans="1:19">
      <c r="A73">
        <f t="shared" si="10"/>
        <v>0.58599999999999997</v>
      </c>
      <c r="B73">
        <f t="shared" si="11"/>
        <v>2.882121417102006</v>
      </c>
      <c r="C73">
        <f t="shared" si="12"/>
        <v>10.047499999999999</v>
      </c>
      <c r="D73">
        <f>'[2]3、总属性战斗节奏拟合'!B73</f>
        <v>10.047499999999999</v>
      </c>
      <c r="E73" s="45">
        <f>'[2]3、总属性战斗节奏拟合'!C73</f>
        <v>69</v>
      </c>
      <c r="F73" s="121">
        <f>'人物&amp;怪物成长分析'!M73</f>
        <v>697343.55673517135</v>
      </c>
      <c r="G73" s="121">
        <f>'人物&amp;怪物成长分析'!N73</f>
        <v>22127.724261180621</v>
      </c>
      <c r="H73" s="121">
        <f>'人物&amp;怪物成长分析'!O73</f>
        <v>9834.5441160802766</v>
      </c>
      <c r="I73" s="121">
        <f>'人物&amp;怪物成长分析'!P73</f>
        <v>12293.180145100345</v>
      </c>
      <c r="J73">
        <f>'[2]3、总属性战斗节奏拟合'!H73</f>
        <v>42.19</v>
      </c>
      <c r="K73">
        <f t="shared" si="13"/>
        <v>23.439999999999998</v>
      </c>
      <c r="L73">
        <f t="shared" si="14"/>
        <v>47.435228502612034</v>
      </c>
      <c r="M73" s="15">
        <f t="shared" si="15"/>
        <v>583129.80920660822</v>
      </c>
      <c r="N73" s="15">
        <f t="shared" si="16"/>
        <v>39584.69585392889</v>
      </c>
      <c r="O73" s="15">
        <f t="shared" si="17"/>
        <v>9834.5441160802766</v>
      </c>
      <c r="P73" s="15">
        <f t="shared" si="18"/>
        <v>29750.151737848613</v>
      </c>
      <c r="Q73" s="65">
        <f>'人物&amp;怪物成长分析'!Q73*$X$10</f>
        <v>4359.3320000000003</v>
      </c>
      <c r="R73" s="65">
        <f>'人物&amp;怪物成长分析'!R73*$X$11</f>
        <v>0</v>
      </c>
      <c r="S73">
        <f t="shared" si="19"/>
        <v>72744.432338273487</v>
      </c>
    </row>
    <row r="74" spans="1:19">
      <c r="A74">
        <f t="shared" si="10"/>
        <v>0.58000000000000007</v>
      </c>
      <c r="B74">
        <f t="shared" si="11"/>
        <v>2.8925076085190784</v>
      </c>
      <c r="C74">
        <f t="shared" si="12"/>
        <v>10.175000000000001</v>
      </c>
      <c r="D74">
        <f>'[2]3、总属性战斗节奏拟合'!B74</f>
        <v>10.175000000000001</v>
      </c>
      <c r="E74" s="45">
        <f>'[2]3、总属性战斗节奏拟合'!C74</f>
        <v>70</v>
      </c>
      <c r="F74" s="121">
        <f>'人物&amp;怪物成长分析'!M74</f>
        <v>737490.09670234181</v>
      </c>
      <c r="G74" s="121">
        <f>'人物&amp;怪物成长分析'!N74</f>
        <v>23316.431628762562</v>
      </c>
      <c r="H74" s="121">
        <f>'人物&amp;怪物成长分析'!O74</f>
        <v>10362.85850167225</v>
      </c>
      <c r="I74" s="121">
        <f>'人物&amp;怪物成长分析'!P74</f>
        <v>12953.573127090312</v>
      </c>
      <c r="J74">
        <f>'[2]3、总属性战斗节奏拟合'!H74</f>
        <v>42.7</v>
      </c>
      <c r="K74">
        <f t="shared" si="13"/>
        <v>23.200000000000003</v>
      </c>
      <c r="L74">
        <f t="shared" si="14"/>
        <v>47.880045651114472</v>
      </c>
      <c r="M74" s="15">
        <f t="shared" si="15"/>
        <v>620217.67267013376</v>
      </c>
      <c r="N74" s="15">
        <f t="shared" si="16"/>
        <v>42151.224738842153</v>
      </c>
      <c r="O74" s="15">
        <f t="shared" si="17"/>
        <v>10362.85850167225</v>
      </c>
      <c r="P74" s="15">
        <f t="shared" si="18"/>
        <v>31788.366237169903</v>
      </c>
      <c r="Q74" s="65">
        <f>'人物&amp;怪物成长分析'!Q74*$X$10</f>
        <v>4417.5600000000004</v>
      </c>
      <c r="R74" s="65">
        <f>'人物&amp;怪物成长分析'!R74*$X$11</f>
        <v>0</v>
      </c>
      <c r="S74">
        <f t="shared" si="19"/>
        <v>77322.790147319756</v>
      </c>
    </row>
    <row r="75" spans="1:19">
      <c r="A75">
        <f t="shared" si="10"/>
        <v>0.57400000000000007</v>
      </c>
      <c r="B75">
        <f t="shared" si="11"/>
        <v>2.9027831081870996</v>
      </c>
      <c r="C75">
        <f t="shared" si="12"/>
        <v>10.3025</v>
      </c>
      <c r="D75">
        <f>'[2]3、总属性战斗节奏拟合'!B75</f>
        <v>10.3025</v>
      </c>
      <c r="E75" s="45">
        <f>'[2]3、总属性战斗节奏拟合'!C75</f>
        <v>71</v>
      </c>
      <c r="F75" s="121">
        <f>'人物&amp;怪物成长分析'!M75</f>
        <v>779066.18024690356</v>
      </c>
      <c r="G75" s="121">
        <f>'人物&amp;怪物成长分析'!N75</f>
        <v>24543.01869616055</v>
      </c>
      <c r="H75" s="121">
        <f>'人物&amp;怪物成长分析'!O75</f>
        <v>10908.008309404689</v>
      </c>
      <c r="I75" s="121">
        <f>'人物&amp;怪物成长分析'!P75</f>
        <v>13635.010386755861</v>
      </c>
      <c r="J75">
        <f>'[2]3、总属性战斗节奏拟合'!H75</f>
        <v>43.21</v>
      </c>
      <c r="K75">
        <f t="shared" si="13"/>
        <v>22.96</v>
      </c>
      <c r="L75">
        <f t="shared" si="14"/>
        <v>48.324198649122593</v>
      </c>
      <c r="M75" s="15">
        <f t="shared" si="15"/>
        <v>658900.95051244006</v>
      </c>
      <c r="N75" s="15">
        <f t="shared" si="16"/>
        <v>44839.462152910943</v>
      </c>
      <c r="O75" s="15">
        <f t="shared" si="17"/>
        <v>10908.008309404689</v>
      </c>
      <c r="P75" s="15">
        <f t="shared" si="18"/>
        <v>33931.453843506257</v>
      </c>
      <c r="Q75" s="65">
        <f>'人物&amp;怪物成长分析'!Q75*$X$10</f>
        <v>4475.7879999999996</v>
      </c>
      <c r="R75" s="65">
        <f>'人物&amp;怪物成长分析'!R75*$X$11</f>
        <v>0</v>
      </c>
      <c r="S75">
        <f t="shared" si="19"/>
        <v>82103.508482813224</v>
      </c>
    </row>
    <row r="76" spans="1:19">
      <c r="A76">
        <f t="shared" si="10"/>
        <v>0.56800000000000006</v>
      </c>
      <c r="B76">
        <f t="shared" si="11"/>
        <v>2.9129506302439405</v>
      </c>
      <c r="C76">
        <f t="shared" si="12"/>
        <v>10.43</v>
      </c>
      <c r="D76">
        <f>'[2]3、总属性战斗节奏拟合'!B76</f>
        <v>10.43</v>
      </c>
      <c r="E76" s="45">
        <f>'[2]3、总属性战斗节奏拟合'!C76</f>
        <v>72</v>
      </c>
      <c r="F76" s="121">
        <f>'人物&amp;怪物成长分析'!M76</f>
        <v>822095.59841241536</v>
      </c>
      <c r="G76" s="121">
        <f>'人物&amp;怪物成长分析'!N76</f>
        <v>25808.010265806039</v>
      </c>
      <c r="H76" s="121">
        <f>'人物&amp;怪物成长分析'!O76</f>
        <v>11470.226784802682</v>
      </c>
      <c r="I76" s="121">
        <f>'人物&amp;怪物成长分析'!P76</f>
        <v>14337.783481003356</v>
      </c>
      <c r="J76">
        <f>'[2]3、总属性战斗节奏拟合'!H76</f>
        <v>43.72</v>
      </c>
      <c r="K76">
        <f t="shared" si="13"/>
        <v>22.720000000000002</v>
      </c>
      <c r="L76">
        <f t="shared" si="14"/>
        <v>48.767703781463638</v>
      </c>
      <c r="M76" s="15">
        <f t="shared" si="15"/>
        <v>699220.77768433432</v>
      </c>
      <c r="N76" s="15">
        <f t="shared" si="16"/>
        <v>47654.011926194202</v>
      </c>
      <c r="O76" s="15">
        <f t="shared" si="17"/>
        <v>11470.226784802682</v>
      </c>
      <c r="P76" s="15">
        <f t="shared" si="18"/>
        <v>36183.78514139152</v>
      </c>
      <c r="Q76" s="65">
        <f>'人物&amp;怪物成长分析'!Q76*$X$10</f>
        <v>4534.0159999999996</v>
      </c>
      <c r="R76" s="65">
        <f>'人物&amp;怪物成长分析'!R76*$X$11</f>
        <v>0</v>
      </c>
      <c r="S76">
        <f t="shared" si="19"/>
        <v>87093.069818370263</v>
      </c>
    </row>
    <row r="77" spans="1:19">
      <c r="A77">
        <f t="shared" si="10"/>
        <v>0.56200000000000006</v>
      </c>
      <c r="B77">
        <f t="shared" si="11"/>
        <v>2.9230127856917649</v>
      </c>
      <c r="C77">
        <f t="shared" si="12"/>
        <v>10.557500000000001</v>
      </c>
      <c r="D77">
        <f>'[2]3、总属性战斗节奏拟合'!B77</f>
        <v>10.557500000000001</v>
      </c>
      <c r="E77" s="45">
        <f>'[2]3、总属性战斗节奏拟合'!C77</f>
        <v>73</v>
      </c>
      <c r="F77" s="121">
        <f>'人物&amp;怪物成长分析'!M77</f>
        <v>866602.14224243537</v>
      </c>
      <c r="G77" s="121">
        <f>'人物&amp;怪物成长分析'!N77</f>
        <v>27111.931140130451</v>
      </c>
      <c r="H77" s="121">
        <f>'人物&amp;怪物成长分析'!O77</f>
        <v>12049.747173391313</v>
      </c>
      <c r="I77" s="121">
        <f>'人物&amp;怪物成长分析'!P77</f>
        <v>15062.183966739138</v>
      </c>
      <c r="J77">
        <f>'[2]3、总属性战斗节奏拟合'!H77</f>
        <v>44.230000000000004</v>
      </c>
      <c r="K77">
        <f t="shared" si="13"/>
        <v>22.480000000000004</v>
      </c>
      <c r="L77">
        <f t="shared" si="14"/>
        <v>49.210576714150591</v>
      </c>
      <c r="M77" s="15">
        <f t="shared" si="15"/>
        <v>741218.75957786536</v>
      </c>
      <c r="N77" s="15">
        <f t="shared" si="16"/>
        <v>50599.664532930241</v>
      </c>
      <c r="O77" s="15">
        <f t="shared" si="17"/>
        <v>12049.747173391313</v>
      </c>
      <c r="P77" s="15">
        <f t="shared" si="18"/>
        <v>38549.917359538929</v>
      </c>
      <c r="Q77" s="65">
        <f>'人物&amp;怪物成长分析'!Q77*$X$10</f>
        <v>4592.2439999999997</v>
      </c>
      <c r="R77" s="65">
        <f>'人物&amp;怪物成长分析'!R77*$X$11</f>
        <v>0</v>
      </c>
      <c r="S77">
        <f t="shared" si="19"/>
        <v>92298.162089436169</v>
      </c>
    </row>
    <row r="78" spans="1:19">
      <c r="A78">
        <f t="shared" si="10"/>
        <v>0.55600000000000005</v>
      </c>
      <c r="B78">
        <f t="shared" si="11"/>
        <v>2.9329720876685186</v>
      </c>
      <c r="C78">
        <f t="shared" si="12"/>
        <v>10.685</v>
      </c>
      <c r="D78">
        <f>'[2]3、总属性战斗节奏拟合'!B78</f>
        <v>10.685</v>
      </c>
      <c r="E78" s="45">
        <f>'[2]3、总属性战斗节奏拟合'!C78</f>
        <v>74</v>
      </c>
      <c r="F78" s="121">
        <f>'人物&amp;怪物成长分析'!M78</f>
        <v>912609.60278052231</v>
      </c>
      <c r="G78" s="121">
        <f>'人物&amp;怪物成长分析'!N78</f>
        <v>28455.306121565234</v>
      </c>
      <c r="H78" s="121">
        <f>'人物&amp;怪物成长分析'!O78</f>
        <v>12646.802720695659</v>
      </c>
      <c r="I78" s="121">
        <f>'人物&amp;怪物成长分析'!P78</f>
        <v>15808.503400869575</v>
      </c>
      <c r="J78">
        <f>'[2]3、总属性战斗节奏拟合'!H78</f>
        <v>44.74</v>
      </c>
      <c r="K78">
        <f t="shared" si="13"/>
        <v>22.240000000000002</v>
      </c>
      <c r="L78">
        <f t="shared" si="14"/>
        <v>49.65283252601111</v>
      </c>
      <c r="M78" s="15">
        <f t="shared" si="15"/>
        <v>784936.97185025411</v>
      </c>
      <c r="N78" s="15">
        <f t="shared" si="16"/>
        <v>53681.407162265903</v>
      </c>
      <c r="O78" s="15">
        <f t="shared" si="17"/>
        <v>12646.802720695659</v>
      </c>
      <c r="P78" s="15">
        <f t="shared" si="18"/>
        <v>41034.604441570242</v>
      </c>
      <c r="Q78" s="65">
        <f>'人物&amp;怪物成长分析'!Q78*$X$10</f>
        <v>4650.4720000000007</v>
      </c>
      <c r="R78" s="65">
        <f>'人物&amp;怪物成长分析'!R78*$X$11</f>
        <v>0</v>
      </c>
      <c r="S78">
        <f t="shared" si="19"/>
        <v>97725.688756971722</v>
      </c>
    </row>
    <row r="79" spans="1:19">
      <c r="A79">
        <f t="shared" si="10"/>
        <v>0.55000000000000004</v>
      </c>
      <c r="B79">
        <f t="shared" si="11"/>
        <v>2.9428309563827115</v>
      </c>
      <c r="C79">
        <f t="shared" si="12"/>
        <v>10.8125</v>
      </c>
      <c r="D79">
        <f>'[2]3、总属性战斗节奏拟合'!B79</f>
        <v>10.8125</v>
      </c>
      <c r="E79" s="45">
        <f>'[2]3、总属性战斗节奏拟合'!C79</f>
        <v>75</v>
      </c>
      <c r="F79" s="121">
        <f>'人物&amp;怪物成长分析'!M79</f>
        <v>960141.77107023471</v>
      </c>
      <c r="G79" s="121">
        <f>'人物&amp;怪物成长分析'!N79</f>
        <v>29838.660012541823</v>
      </c>
      <c r="H79" s="121">
        <f>'人物&amp;怪物成长分析'!O79</f>
        <v>13261.626672240813</v>
      </c>
      <c r="I79" s="121">
        <f>'人物&amp;怪物成长分析'!P79</f>
        <v>16577.033340301008</v>
      </c>
      <c r="J79">
        <f>'[2]3、总属性战斗节奏拟合'!H79</f>
        <v>45.25</v>
      </c>
      <c r="K79">
        <f t="shared" si="13"/>
        <v>22</v>
      </c>
      <c r="L79">
        <f t="shared" si="14"/>
        <v>50.094485738296271</v>
      </c>
      <c r="M79" s="15">
        <f t="shared" si="15"/>
        <v>830417.96024897066</v>
      </c>
      <c r="N79" s="15">
        <f t="shared" si="16"/>
        <v>56904.434448160573</v>
      </c>
      <c r="O79" s="15">
        <f t="shared" si="17"/>
        <v>13261.626672240815</v>
      </c>
      <c r="P79" s="15">
        <f t="shared" si="18"/>
        <v>43642.807775919762</v>
      </c>
      <c r="Q79" s="65">
        <f>'人物&amp;怪物成长分析'!Q79*$X$10</f>
        <v>4708.7</v>
      </c>
      <c r="R79" s="65">
        <f>'人物&amp;怪物成长分析'!R79*$X$11</f>
        <v>0</v>
      </c>
      <c r="S79">
        <f t="shared" si="19"/>
        <v>103382.77953036022</v>
      </c>
    </row>
    <row r="80" spans="1:19">
      <c r="A80">
        <f t="shared" si="10"/>
        <v>0.54400000000000004</v>
      </c>
      <c r="B80">
        <f t="shared" si="11"/>
        <v>2.9525917237371893</v>
      </c>
      <c r="C80">
        <f t="shared" si="12"/>
        <v>10.94</v>
      </c>
      <c r="D80">
        <f>'[2]3、总属性战斗节奏拟合'!B80</f>
        <v>10.94</v>
      </c>
      <c r="E80" s="45">
        <f>'[2]3、总属性战斗节奏拟合'!C80</f>
        <v>76</v>
      </c>
      <c r="F80" s="121">
        <f>'人物&amp;怪物成长分析'!M80</f>
        <v>1009222.4381551311</v>
      </c>
      <c r="G80" s="121">
        <f>'人物&amp;怪物成长分析'!N80</f>
        <v>31262.517615491655</v>
      </c>
      <c r="H80" s="121">
        <f>'人物&amp;怪物成长分析'!O80</f>
        <v>13894.452273551848</v>
      </c>
      <c r="I80" s="121">
        <f>'人物&amp;怪物成长分析'!P80</f>
        <v>17368.065341939808</v>
      </c>
      <c r="J80">
        <f>'[2]3、总属性战斗节奏拟合'!H80</f>
        <v>45.76</v>
      </c>
      <c r="K80">
        <f t="shared" si="13"/>
        <v>21.76</v>
      </c>
      <c r="L80">
        <f t="shared" si="14"/>
        <v>50.535550342423136</v>
      </c>
      <c r="M80" s="15">
        <f t="shared" si="15"/>
        <v>877704.74043809366</v>
      </c>
      <c r="N80" s="15">
        <f t="shared" si="16"/>
        <v>60274.159909357499</v>
      </c>
      <c r="O80" s="15">
        <f t="shared" si="17"/>
        <v>13894.452273551848</v>
      </c>
      <c r="P80" s="15">
        <f t="shared" si="18"/>
        <v>46379.707635805651</v>
      </c>
      <c r="Q80" s="65">
        <f>'人物&amp;怪物成长分析'!Q80*$X$10</f>
        <v>4766.9279999999999</v>
      </c>
      <c r="R80" s="65">
        <f>'人物&amp;怪物成长分析'!R80*$X$11</f>
        <v>0</v>
      </c>
      <c r="S80">
        <f t="shared" si="19"/>
        <v>109276.80180043308</v>
      </c>
    </row>
    <row r="81" spans="1:19">
      <c r="A81">
        <f t="shared" si="10"/>
        <v>0.53800000000000003</v>
      </c>
      <c r="B81">
        <f t="shared" si="11"/>
        <v>2.9622566376652992</v>
      </c>
      <c r="C81">
        <f t="shared" si="12"/>
        <v>11.067500000000001</v>
      </c>
      <c r="D81">
        <f>'[2]3、总属性战斗节奏拟合'!B81</f>
        <v>11.067500000000001</v>
      </c>
      <c r="E81" s="45">
        <f>'[2]3、总属性战斗节奏拟合'!C81</f>
        <v>77</v>
      </c>
      <c r="F81" s="121">
        <f>'人物&amp;怪物成长分析'!M81</f>
        <v>1059875.3950787699</v>
      </c>
      <c r="G81" s="121">
        <f>'人物&amp;怪物成长分析'!N81</f>
        <v>32727.403732846171</v>
      </c>
      <c r="H81" s="121">
        <f>'人物&amp;怪物成长分析'!O81</f>
        <v>14545.512770153853</v>
      </c>
      <c r="I81" s="121">
        <f>'人物&amp;怪物成长分析'!P81</f>
        <v>18181.89096269232</v>
      </c>
      <c r="J81">
        <f>'[2]3、总属性战斗节奏拟合'!H81</f>
        <v>46.27</v>
      </c>
      <c r="K81">
        <f t="shared" si="13"/>
        <v>21.520000000000003</v>
      </c>
      <c r="L81">
        <f t="shared" si="14"/>
        <v>50.976039825991798</v>
      </c>
      <c r="M81" s="15">
        <f t="shared" si="15"/>
        <v>926840.79782604403</v>
      </c>
      <c r="N81" s="15">
        <f t="shared" si="16"/>
        <v>63796.228154855045</v>
      </c>
      <c r="O81" s="15">
        <f t="shared" si="17"/>
        <v>14545.512770153851</v>
      </c>
      <c r="P81" s="15">
        <f t="shared" si="18"/>
        <v>49250.715384701194</v>
      </c>
      <c r="Q81" s="65">
        <f>'人物&amp;怪物成长分析'!Q81*$X$10</f>
        <v>4825.1559999999999</v>
      </c>
      <c r="R81" s="65">
        <f>'人物&amp;怪物成长分析'!R81*$X$11</f>
        <v>0</v>
      </c>
      <c r="S81">
        <f t="shared" si="19"/>
        <v>115415.37283805065</v>
      </c>
    </row>
    <row r="82" spans="1:19">
      <c r="A82">
        <f t="shared" si="10"/>
        <v>0.53200000000000003</v>
      </c>
      <c r="B82">
        <f t="shared" si="11"/>
        <v>2.9718278662008415</v>
      </c>
      <c r="C82">
        <f t="shared" si="12"/>
        <v>11.195</v>
      </c>
      <c r="D82">
        <f>'[2]3、总属性战斗节奏拟合'!B82</f>
        <v>11.195</v>
      </c>
      <c r="E82" s="45">
        <f>'[2]3、总属性战斗节奏拟合'!C82</f>
        <v>78</v>
      </c>
      <c r="F82" s="121">
        <f>'人物&amp;怪物成长分析'!M82</f>
        <v>1112124.4328847094</v>
      </c>
      <c r="G82" s="121">
        <f>'人物&amp;怪物成长分析'!N82</f>
        <v>34233.843167036794</v>
      </c>
      <c r="H82" s="121">
        <f>'人物&amp;怪物成长分析'!O82</f>
        <v>15215.041407571911</v>
      </c>
      <c r="I82" s="121">
        <f>'人物&amp;怪物成长分析'!P82</f>
        <v>19018.801759464885</v>
      </c>
      <c r="J82">
        <f>'[2]3、总属性战斗节奏拟合'!H82</f>
        <v>46.78</v>
      </c>
      <c r="K82">
        <f t="shared" si="13"/>
        <v>21.28</v>
      </c>
      <c r="L82">
        <f t="shared" si="14"/>
        <v>51.415967197205049</v>
      </c>
      <c r="M82" s="15">
        <f t="shared" si="15"/>
        <v>977870.08739479212</v>
      </c>
      <c r="N82" s="15">
        <f t="shared" si="16"/>
        <v>67476.527915312021</v>
      </c>
      <c r="O82" s="15">
        <f t="shared" si="17"/>
        <v>15215.041407571909</v>
      </c>
      <c r="P82" s="15">
        <f t="shared" si="18"/>
        <v>52261.486507740112</v>
      </c>
      <c r="Q82" s="65">
        <f>'人物&amp;怪物成长分析'!Q82*$X$10</f>
        <v>4883.384</v>
      </c>
      <c r="R82" s="65">
        <f>'人物&amp;怪物成长分析'!R82*$X$11</f>
        <v>0</v>
      </c>
      <c r="S82">
        <f t="shared" si="19"/>
        <v>121806.37281867562</v>
      </c>
    </row>
    <row r="83" spans="1:19">
      <c r="A83">
        <f t="shared" si="10"/>
        <v>0.52600000000000002</v>
      </c>
      <c r="B83">
        <f t="shared" si="11"/>
        <v>2.9813075013013317</v>
      </c>
      <c r="C83">
        <f t="shared" si="12"/>
        <v>11.3225</v>
      </c>
      <c r="D83">
        <f>'[2]3、总属性战斗节奏拟合'!B83</f>
        <v>11.3225</v>
      </c>
      <c r="E83" s="45">
        <f>'[2]3、总属性战斗节奏拟合'!C83</f>
        <v>79</v>
      </c>
      <c r="F83" s="121">
        <f>'人物&amp;怪物成长分析'!M83</f>
        <v>1165993.3426165089</v>
      </c>
      <c r="G83" s="121">
        <f>'人物&amp;怪物成长分析'!N83</f>
        <v>35782.360720495002</v>
      </c>
      <c r="H83" s="121">
        <f>'人物&amp;怪物成长分析'!O83</f>
        <v>15903.271431331113</v>
      </c>
      <c r="I83" s="121">
        <f>'人物&amp;怪物成长分析'!P83</f>
        <v>19879.089289163887</v>
      </c>
      <c r="J83">
        <f>'[2]3、总属性战斗节奏拟合'!H83</f>
        <v>47.29</v>
      </c>
      <c r="K83">
        <f t="shared" si="13"/>
        <v>21.04</v>
      </c>
      <c r="L83">
        <f t="shared" si="14"/>
        <v>51.85534500780799</v>
      </c>
      <c r="M83" s="15">
        <f t="shared" si="15"/>
        <v>1030837.0335306139</v>
      </c>
      <c r="N83" s="15">
        <f t="shared" si="16"/>
        <v>71321.205966336289</v>
      </c>
      <c r="O83" s="15">
        <f t="shared" si="17"/>
        <v>15903.271431331115</v>
      </c>
      <c r="P83" s="15">
        <f t="shared" si="18"/>
        <v>55417.934535005174</v>
      </c>
      <c r="Q83" s="65">
        <f>'人物&amp;怪物成长分析'!Q83*$X$10</f>
        <v>4941.6120000000001</v>
      </c>
      <c r="R83" s="65">
        <f>'人物&amp;怪物成长分析'!R83*$X$11</f>
        <v>0</v>
      </c>
      <c r="S83">
        <f t="shared" si="19"/>
        <v>128457.95873889196</v>
      </c>
    </row>
    <row r="84" spans="1:19">
      <c r="A84">
        <f t="shared" si="10"/>
        <v>0.52</v>
      </c>
      <c r="B84">
        <f t="shared" si="11"/>
        <v>2.9906975624424406</v>
      </c>
      <c r="C84">
        <f t="shared" si="12"/>
        <v>11.45</v>
      </c>
      <c r="D84">
        <f>'[2]3、总属性战斗节奏拟合'!B84</f>
        <v>11.45</v>
      </c>
      <c r="E84" s="45">
        <f>'[2]3、总属性战斗节奏拟合'!C84</f>
        <v>80</v>
      </c>
      <c r="F84" s="121">
        <f>'人物&amp;怪物成长分析'!M84</f>
        <v>1225152.2016321071</v>
      </c>
      <c r="G84" s="121">
        <f>'人物&amp;怪物成长分析'!N84</f>
        <v>37485.043826086963</v>
      </c>
      <c r="H84" s="121">
        <f>'人物&amp;怪物成长分析'!O84</f>
        <v>16660.019478260871</v>
      </c>
      <c r="I84" s="121">
        <f>'人物&amp;怪物成长分析'!P84</f>
        <v>20825.024347826093</v>
      </c>
      <c r="J84">
        <f>'[2]3、总属性战斗节奏拟合'!H84</f>
        <v>47.8</v>
      </c>
      <c r="K84">
        <f t="shared" si="13"/>
        <v>20.8</v>
      </c>
      <c r="L84">
        <f t="shared" si="14"/>
        <v>52.294185374654639</v>
      </c>
      <c r="M84" s="15">
        <f t="shared" si="15"/>
        <v>1089027.6836769141</v>
      </c>
      <c r="N84" s="15">
        <f t="shared" si="16"/>
        <v>75561.567633650629</v>
      </c>
      <c r="O84" s="15">
        <f t="shared" si="17"/>
        <v>16660.019478260871</v>
      </c>
      <c r="P84" s="15">
        <f t="shared" si="18"/>
        <v>58901.548155389755</v>
      </c>
      <c r="Q84" s="65">
        <f>'人物&amp;怪物成长分析'!Q84*$X$10</f>
        <v>4999.84</v>
      </c>
      <c r="R84" s="65">
        <f>'人物&amp;怪物成长分析'!R84*$X$11</f>
        <v>0</v>
      </c>
      <c r="S84">
        <f t="shared" si="19"/>
        <v>135782.69445898806</v>
      </c>
    </row>
    <row r="85" spans="1:19">
      <c r="A85">
        <f t="shared" si="10"/>
        <v>0.51400000000000001</v>
      </c>
      <c r="B85">
        <f t="shared" si="11"/>
        <v>3.0000000000000004</v>
      </c>
      <c r="C85">
        <f t="shared" si="12"/>
        <v>11.577500000000001</v>
      </c>
      <c r="D85">
        <f>'[2]3、总属性战斗节奏拟合'!B85</f>
        <v>11.577500000000001</v>
      </c>
      <c r="E85" s="45">
        <f>'[2]3、总属性战斗节奏拟合'!C85</f>
        <v>81</v>
      </c>
      <c r="F85" s="121">
        <f>'人物&amp;怪物成长分析'!M85</f>
        <v>1527319.3196492381</v>
      </c>
      <c r="G85" s="121">
        <f>'人物&amp;怪物成长分析'!N85</f>
        <v>39235.844771518408</v>
      </c>
      <c r="H85" s="121">
        <f>'人物&amp;怪物成长分析'!O85</f>
        <v>17438.153231785964</v>
      </c>
      <c r="I85" s="121">
        <f>'人物&amp;怪物成长分析'!P85</f>
        <v>21797.691539732445</v>
      </c>
      <c r="J85">
        <f>'[2]3、总属性战斗节奏拟合'!H85</f>
        <v>48.31</v>
      </c>
      <c r="K85">
        <f t="shared" si="13"/>
        <v>20.560000000000002</v>
      </c>
      <c r="L85">
        <f t="shared" si="14"/>
        <v>52.732500000000002</v>
      </c>
      <c r="M85" s="15">
        <f t="shared" si="15"/>
        <v>1149446.7691189412</v>
      </c>
      <c r="N85" s="15">
        <f t="shared" si="16"/>
        <v>91724.11235869443</v>
      </c>
      <c r="O85" s="15">
        <f t="shared" si="17"/>
        <v>17438.153231785964</v>
      </c>
      <c r="P85" s="15">
        <f t="shared" si="18"/>
        <v>74285.959126908463</v>
      </c>
      <c r="Q85" s="65">
        <f>'人物&amp;怪物成长分析'!Q85*$X$10</f>
        <v>5058.0680000000002</v>
      </c>
      <c r="R85" s="65">
        <f>'人物&amp;怪物成长分析'!R85*$X$11</f>
        <v>0</v>
      </c>
      <c r="S85">
        <f t="shared" si="19"/>
        <v>155140.13635523804</v>
      </c>
    </row>
    <row r="86" spans="1:19">
      <c r="A86">
        <f t="shared" si="10"/>
        <v>0.50800000000000001</v>
      </c>
      <c r="B86">
        <f t="shared" si="11"/>
        <v>3.0092166984345639</v>
      </c>
      <c r="C86">
        <f t="shared" si="12"/>
        <v>11.705</v>
      </c>
      <c r="D86">
        <f>'[2]3、总属性战斗节奏拟合'!B86</f>
        <v>11.705</v>
      </c>
      <c r="E86" s="45">
        <f>'[2]3、总属性战斗节奏拟合'!C86</f>
        <v>82</v>
      </c>
      <c r="F86" s="121">
        <f>'人物&amp;怪物成长分析'!M86</f>
        <v>1618865.8083387939</v>
      </c>
      <c r="G86" s="121">
        <f>'人物&amp;怪物成长分析'!N86</f>
        <v>41035.363330996675</v>
      </c>
      <c r="H86" s="121">
        <f>'人物&amp;怪物成长分析'!O86</f>
        <v>18237.939258220744</v>
      </c>
      <c r="I86" s="121">
        <f>'人物&amp;怪物成长分析'!P86</f>
        <v>22797.424072775932</v>
      </c>
      <c r="J86">
        <f>'[2]3、总属性战斗节奏拟合'!H86</f>
        <v>48.82</v>
      </c>
      <c r="K86">
        <f t="shared" si="13"/>
        <v>20.32</v>
      </c>
      <c r="L86">
        <f t="shared" si="14"/>
        <v>53.170300190607385</v>
      </c>
      <c r="M86" s="15">
        <f t="shared" si="15"/>
        <v>1212145.8815220755</v>
      </c>
      <c r="N86" s="15">
        <f t="shared" si="16"/>
        <v>97906.532188279496</v>
      </c>
      <c r="O86" s="15">
        <f t="shared" si="17"/>
        <v>18237.939258220744</v>
      </c>
      <c r="P86" s="15">
        <f t="shared" si="18"/>
        <v>79668.592930058745</v>
      </c>
      <c r="Q86" s="65">
        <f>'人物&amp;怪物成长分析'!Q86*$X$10</f>
        <v>5116.2960000000003</v>
      </c>
      <c r="R86" s="65">
        <f>'人物&amp;怪物成长分析'!R86*$X$11</f>
        <v>0</v>
      </c>
      <c r="S86">
        <f t="shared" si="19"/>
        <v>164630.30670738328</v>
      </c>
    </row>
    <row r="87" spans="1:19">
      <c r="A87">
        <f t="shared" si="10"/>
        <v>0.502</v>
      </c>
      <c r="B87">
        <f t="shared" si="11"/>
        <v>3.0183494792923335</v>
      </c>
      <c r="C87">
        <f t="shared" si="12"/>
        <v>11.8325</v>
      </c>
      <c r="D87">
        <f>'[2]3、总属性战斗节奏拟合'!B87</f>
        <v>11.8325</v>
      </c>
      <c r="E87" s="45">
        <f>'[2]3、总属性战斗节奏拟合'!C87</f>
        <v>83</v>
      </c>
      <c r="F87" s="121">
        <f>'人物&amp;怪物成长分析'!M87</f>
        <v>1714296.7618271646</v>
      </c>
      <c r="G87" s="121">
        <f>'人物&amp;怪物成长分析'!N87</f>
        <v>42884.199278729116</v>
      </c>
      <c r="H87" s="121">
        <f>'人物&amp;怪物成长分析'!O87</f>
        <v>19059.644123879607</v>
      </c>
      <c r="I87" s="121">
        <f>'人物&amp;怪物成长分析'!P87</f>
        <v>23824.55515484951</v>
      </c>
      <c r="J87">
        <f>'[2]3、总属性战斗节奏拟合'!H87</f>
        <v>49.33</v>
      </c>
      <c r="K87">
        <f t="shared" si="13"/>
        <v>20.079999999999998</v>
      </c>
      <c r="L87">
        <f t="shared" si="14"/>
        <v>53.607596875754005</v>
      </c>
      <c r="M87" s="15">
        <f t="shared" si="15"/>
        <v>1277177.1484853395</v>
      </c>
      <c r="N87" s="15">
        <f t="shared" si="16"/>
        <v>104432.98883638781</v>
      </c>
      <c r="O87" s="15">
        <f t="shared" si="17"/>
        <v>19059.644123879607</v>
      </c>
      <c r="P87" s="15">
        <f t="shared" si="18"/>
        <v>85373.344712508202</v>
      </c>
      <c r="Q87" s="65">
        <f>'人物&amp;怪物成长分析'!Q87*$X$10</f>
        <v>5174.5240000000003</v>
      </c>
      <c r="R87" s="65">
        <f>'人物&amp;怪物成长分析'!R87*$X$11</f>
        <v>0</v>
      </c>
      <c r="S87">
        <f t="shared" si="19"/>
        <v>174579.718899681</v>
      </c>
    </row>
    <row r="88" spans="1:19">
      <c r="A88">
        <f t="shared" si="10"/>
        <v>0.496</v>
      </c>
      <c r="B88">
        <f t="shared" si="11"/>
        <v>3.0274001040350909</v>
      </c>
      <c r="C88">
        <f t="shared" si="12"/>
        <v>11.96</v>
      </c>
      <c r="D88">
        <f>'[2]3、总属性战斗节奏拟合'!B88</f>
        <v>11.96</v>
      </c>
      <c r="E88" s="45">
        <f>'[2]3、总属性战斗节奏拟合'!C88</f>
        <v>84</v>
      </c>
      <c r="F88" s="121">
        <f>'人物&amp;怪物成长分析'!M88</f>
        <v>1813716.9984433239</v>
      </c>
      <c r="G88" s="121">
        <f>'人物&amp;怪物成长分析'!N88</f>
        <v>44782.952388923091</v>
      </c>
      <c r="H88" s="121">
        <f>'人物&amp;怪物成长分析'!O88</f>
        <v>19903.534395076931</v>
      </c>
      <c r="I88" s="121">
        <f>'人物&amp;怪物成长分析'!P88</f>
        <v>24879.41799384616</v>
      </c>
      <c r="J88">
        <f>'[2]3、总属性战斗节奏拟合'!H88</f>
        <v>49.84</v>
      </c>
      <c r="K88">
        <f t="shared" si="13"/>
        <v>19.84</v>
      </c>
      <c r="L88">
        <f t="shared" si="14"/>
        <v>54.044400624210546</v>
      </c>
      <c r="M88" s="15">
        <f t="shared" si="15"/>
        <v>1344593.2333566146</v>
      </c>
      <c r="N88" s="15">
        <f t="shared" si="16"/>
        <v>111320.72181661543</v>
      </c>
      <c r="O88" s="15">
        <f t="shared" si="17"/>
        <v>19903.534395076931</v>
      </c>
      <c r="P88" s="15">
        <f t="shared" si="18"/>
        <v>91417.187421538503</v>
      </c>
      <c r="Q88" s="65">
        <f>'人物&amp;怪物成长分析'!Q88*$X$10</f>
        <v>5232.7520000000004</v>
      </c>
      <c r="R88" s="65">
        <f>'人物&amp;怪物成长分析'!R88*$X$11</f>
        <v>0</v>
      </c>
      <c r="S88">
        <f t="shared" si="19"/>
        <v>185007.98554595694</v>
      </c>
    </row>
    <row r="89" spans="1:19">
      <c r="A89">
        <f t="shared" si="10"/>
        <v>0.49</v>
      </c>
      <c r="B89">
        <f t="shared" si="11"/>
        <v>3.0363702767108114</v>
      </c>
      <c r="C89">
        <f t="shared" si="12"/>
        <v>12.0875</v>
      </c>
      <c r="D89">
        <f>'[2]3、总属性战斗节奏拟合'!B89</f>
        <v>12.0875</v>
      </c>
      <c r="E89" s="45">
        <f>'[2]3、总属性战斗节奏拟合'!C89</f>
        <v>85</v>
      </c>
      <c r="F89" s="121">
        <f>'人物&amp;怪物成长分析'!M89</f>
        <v>1917232.6960044478</v>
      </c>
      <c r="G89" s="121">
        <f>'人物&amp;怪物成长分析'!N89</f>
        <v>46732.22243578596</v>
      </c>
      <c r="H89" s="121">
        <f>'人物&amp;怪物成长分析'!O89</f>
        <v>20769.876638127091</v>
      </c>
      <c r="I89" s="121">
        <f>'人物&amp;怪物成长分析'!P89</f>
        <v>25962.345797658869</v>
      </c>
      <c r="J89">
        <f>'[2]3、总属性战斗节奏拟合'!H89</f>
        <v>50.35</v>
      </c>
      <c r="K89">
        <f t="shared" si="13"/>
        <v>19.600000000000001</v>
      </c>
      <c r="L89">
        <f t="shared" si="14"/>
        <v>54.480721660264869</v>
      </c>
      <c r="M89" s="15">
        <f t="shared" si="15"/>
        <v>1414447.3350498001</v>
      </c>
      <c r="N89" s="15">
        <f t="shared" si="16"/>
        <v>118587.87133223156</v>
      </c>
      <c r="O89" s="15">
        <f t="shared" si="17"/>
        <v>20769.876638127091</v>
      </c>
      <c r="P89" s="15">
        <f t="shared" si="18"/>
        <v>97817.994694104476</v>
      </c>
      <c r="Q89" s="65">
        <f>'人物&amp;怪物成长分析'!Q89*$X$10</f>
        <v>5290.98</v>
      </c>
      <c r="R89" s="65">
        <f>'人物&amp;怪物成长分析'!R89*$X$11</f>
        <v>0</v>
      </c>
      <c r="S89">
        <f t="shared" si="19"/>
        <v>195935.64137235066</v>
      </c>
    </row>
    <row r="90" spans="1:19">
      <c r="A90">
        <f t="shared" si="10"/>
        <v>0.48399999999999999</v>
      </c>
      <c r="B90">
        <f t="shared" si="11"/>
        <v>3.045261646475669</v>
      </c>
      <c r="C90">
        <f t="shared" si="12"/>
        <v>12.215</v>
      </c>
      <c r="D90">
        <f>'[2]3、总属性战斗节奏拟合'!B90</f>
        <v>12.215</v>
      </c>
      <c r="E90" s="45">
        <f>'[2]3、总属性战斗节奏拟合'!C90</f>
        <v>86</v>
      </c>
      <c r="F90" s="121">
        <f>'人物&amp;怪物成长分析'!M90</f>
        <v>2024951.3918159199</v>
      </c>
      <c r="G90" s="121">
        <f>'人物&amp;怪物成长分析'!N90</f>
        <v>48732.609193525102</v>
      </c>
      <c r="H90" s="121">
        <f>'人物&amp;怪物成长分析'!O90</f>
        <v>21658.937419344486</v>
      </c>
      <c r="I90" s="121">
        <f>'人物&amp;怪物成长分析'!P90</f>
        <v>27073.671774180617</v>
      </c>
      <c r="J90">
        <f>'[2]3、总属性战斗节奏拟合'!H90</f>
        <v>50.86</v>
      </c>
      <c r="K90">
        <f t="shared" si="13"/>
        <v>19.36</v>
      </c>
      <c r="L90">
        <f t="shared" si="14"/>
        <v>54.916569878854006</v>
      </c>
      <c r="M90" s="15">
        <f t="shared" si="15"/>
        <v>1486793.1878639471</v>
      </c>
      <c r="N90" s="15">
        <f t="shared" si="16"/>
        <v>126253.5341040511</v>
      </c>
      <c r="O90" s="15">
        <f t="shared" si="17"/>
        <v>21658.937419344486</v>
      </c>
      <c r="P90" s="15">
        <f t="shared" si="18"/>
        <v>104594.59668470662</v>
      </c>
      <c r="Q90" s="65">
        <f>'人物&amp;怪物成长分析'!Q90*$X$10</f>
        <v>5349.2079999999996</v>
      </c>
      <c r="R90" s="65">
        <f>'人物&amp;怪物成长分析'!R90*$X$11</f>
        <v>0</v>
      </c>
      <c r="S90">
        <f t="shared" si="19"/>
        <v>207384.19903795348</v>
      </c>
    </row>
    <row r="91" spans="1:19">
      <c r="A91">
        <f t="shared" si="10"/>
        <v>0.47799999999999998</v>
      </c>
      <c r="B91">
        <f t="shared" si="11"/>
        <v>3.0540758099773515</v>
      </c>
      <c r="C91">
        <f t="shared" si="12"/>
        <v>12.342499999999999</v>
      </c>
      <c r="D91">
        <f>'[2]3、总属性战斗节奏拟合'!B91</f>
        <v>12.342499999999999</v>
      </c>
      <c r="E91" s="45">
        <f>'[2]3、总属性战斗节奏拟合'!C91</f>
        <v>87</v>
      </c>
      <c r="F91" s="121">
        <f>'人物&amp;怪物成长分析'!M91</f>
        <v>2136981.9826713214</v>
      </c>
      <c r="G91" s="121">
        <f>'人物&amp;怪物成长分析'!N91</f>
        <v>50784.712436347821</v>
      </c>
      <c r="H91" s="121">
        <f>'人物&amp;怪物成长分析'!O91</f>
        <v>22570.983305043479</v>
      </c>
      <c r="I91" s="121">
        <f>'人物&amp;怪物成长分析'!P91</f>
        <v>28213.729131304342</v>
      </c>
      <c r="J91">
        <f>'[2]3、总属性战斗节奏拟合'!H91</f>
        <v>51.37</v>
      </c>
      <c r="K91">
        <f t="shared" si="13"/>
        <v>19.119999999999997</v>
      </c>
      <c r="L91">
        <f t="shared" si="14"/>
        <v>55.351954859864108</v>
      </c>
      <c r="M91" s="15">
        <f t="shared" si="15"/>
        <v>1561685.0613043909</v>
      </c>
      <c r="N91" s="15">
        <f t="shared" si="16"/>
        <v>134337.82340291594</v>
      </c>
      <c r="O91" s="15">
        <f t="shared" si="17"/>
        <v>22570.983305043479</v>
      </c>
      <c r="P91" s="15">
        <f t="shared" si="18"/>
        <v>111766.84009787245</v>
      </c>
      <c r="Q91" s="65">
        <f>'人物&amp;怪物成长分析'!Q91*$X$10</f>
        <v>5407.4360000000006</v>
      </c>
      <c r="R91" s="65">
        <f>'人物&amp;怪物成长分析'!R91*$X$11</f>
        <v>0</v>
      </c>
      <c r="S91">
        <f t="shared" si="19"/>
        <v>219376.20916013507</v>
      </c>
    </row>
    <row r="92" spans="1:19">
      <c r="A92">
        <f t="shared" si="10"/>
        <v>0.47199999999999998</v>
      </c>
      <c r="B92">
        <f t="shared" si="11"/>
        <v>3.0628143136087864</v>
      </c>
      <c r="C92">
        <f t="shared" si="12"/>
        <v>12.47</v>
      </c>
      <c r="D92">
        <f>'[2]3、总属性战斗节奏拟合'!B92</f>
        <v>12.47</v>
      </c>
      <c r="E92" s="45">
        <f>'[2]3、总属性战斗节奏拟合'!C92</f>
        <v>88</v>
      </c>
      <c r="F92" s="121">
        <f>'人物&amp;怪物成长分析'!M92</f>
        <v>2253434.7248524413</v>
      </c>
      <c r="G92" s="121">
        <f>'人物&amp;怪物成长分析'!N92</f>
        <v>52889.13193846152</v>
      </c>
      <c r="H92" s="121">
        <f>'人物&amp;怪物成长分析'!O92</f>
        <v>23506.280861538457</v>
      </c>
      <c r="I92" s="121">
        <f>'人物&amp;怪物成长分析'!P92</f>
        <v>29382.851076923063</v>
      </c>
      <c r="J92">
        <f>'[2]3、总属性战斗节奏拟合'!H92</f>
        <v>51.88</v>
      </c>
      <c r="K92">
        <f t="shared" si="13"/>
        <v>18.88</v>
      </c>
      <c r="L92">
        <f t="shared" si="14"/>
        <v>55.786885881652722</v>
      </c>
      <c r="M92" s="15">
        <f t="shared" si="15"/>
        <v>1639177.7599059038</v>
      </c>
      <c r="N92" s="15">
        <f t="shared" si="16"/>
        <v>142861.93366092624</v>
      </c>
      <c r="O92" s="15">
        <f t="shared" si="17"/>
        <v>23506.280861538457</v>
      </c>
      <c r="P92" s="15">
        <f t="shared" si="18"/>
        <v>119355.65279938778</v>
      </c>
      <c r="Q92" s="65">
        <f>'人物&amp;怪物成长分析'!Q92*$X$10</f>
        <v>5465.6640000000007</v>
      </c>
      <c r="R92" s="65">
        <f>'人物&amp;怪物成长分析'!R92*$X$11</f>
        <v>0</v>
      </c>
      <c r="S92">
        <f t="shared" si="19"/>
        <v>231935.32491870085</v>
      </c>
    </row>
    <row r="93" spans="1:19">
      <c r="A93">
        <f t="shared" si="10"/>
        <v>0.46599999999999997</v>
      </c>
      <c r="B93">
        <f t="shared" si="11"/>
        <v>3.0714786556407327</v>
      </c>
      <c r="C93">
        <f t="shared" si="12"/>
        <v>12.5975</v>
      </c>
      <c r="D93">
        <f>'[2]3、总属性战斗节奏拟合'!B93</f>
        <v>12.5975</v>
      </c>
      <c r="E93" s="45">
        <f>'[2]3、总属性战斗节奏拟合'!C93</f>
        <v>89</v>
      </c>
      <c r="F93" s="121">
        <f>'人物&amp;怪物成长分析'!M93</f>
        <v>2374421.2341292691</v>
      </c>
      <c r="G93" s="121">
        <f>'人物&amp;怪物成长分析'!N93</f>
        <v>55046.467474073572</v>
      </c>
      <c r="H93" s="121">
        <f>'人物&amp;怪物成长分析'!O93</f>
        <v>24465.096655143807</v>
      </c>
      <c r="I93" s="121">
        <f>'人物&amp;怪物成长分析'!P93</f>
        <v>30581.370818929765</v>
      </c>
      <c r="J93">
        <f>'[2]3、总属性战斗节奏拟合'!H93</f>
        <v>52.39</v>
      </c>
      <c r="K93">
        <f t="shared" si="13"/>
        <v>18.64</v>
      </c>
      <c r="L93">
        <f t="shared" si="14"/>
        <v>56.221371933844402</v>
      </c>
      <c r="M93" s="15">
        <f t="shared" si="15"/>
        <v>1719326.623057866</v>
      </c>
      <c r="N93" s="15">
        <f t="shared" si="16"/>
        <v>151848.21007409602</v>
      </c>
      <c r="O93" s="15">
        <f t="shared" si="17"/>
        <v>24465.096655143807</v>
      </c>
      <c r="P93" s="15">
        <f t="shared" si="18"/>
        <v>127383.11341895221</v>
      </c>
      <c r="Q93" s="65">
        <f>'人物&amp;怪物成长分析'!Q93*$X$10</f>
        <v>5523.8919999999998</v>
      </c>
      <c r="R93" s="65">
        <f>'人物&amp;怪物成长分析'!R93*$X$11</f>
        <v>0</v>
      </c>
      <c r="S93">
        <f t="shared" si="19"/>
        <v>245086.37165155445</v>
      </c>
    </row>
    <row r="94" spans="1:19">
      <c r="A94">
        <f t="shared" si="10"/>
        <v>0.45999999999999996</v>
      </c>
      <c r="B94">
        <f t="shared" si="11"/>
        <v>3.0800702882410227</v>
      </c>
      <c r="C94">
        <f t="shared" si="12"/>
        <v>12.725</v>
      </c>
      <c r="D94">
        <f>'[2]3、总属性战斗节奏拟合'!B94</f>
        <v>12.725</v>
      </c>
      <c r="E94" s="45">
        <f>'[2]3、总属性战斗节奏拟合'!C94</f>
        <v>90</v>
      </c>
      <c r="F94" s="121">
        <f>'人物&amp;怪物成长分析'!M94</f>
        <v>2500054.4857599991</v>
      </c>
      <c r="G94" s="121">
        <f>'人物&amp;怪物成长分析'!N94</f>
        <v>57257.318817391271</v>
      </c>
      <c r="H94" s="121">
        <f>'人物&amp;怪物成长分析'!O94</f>
        <v>25447.697252173904</v>
      </c>
      <c r="I94" s="121">
        <f>'人物&amp;怪物成长分析'!P94</f>
        <v>31809.621565217367</v>
      </c>
      <c r="J94">
        <f>'[2]3、总属性战斗节奏拟合'!H94</f>
        <v>52.9</v>
      </c>
      <c r="K94">
        <f t="shared" si="13"/>
        <v>18.399999999999999</v>
      </c>
      <c r="L94">
        <f t="shared" si="14"/>
        <v>56.655421729446132</v>
      </c>
      <c r="M94" s="15">
        <f t="shared" si="15"/>
        <v>1802187.5248314743</v>
      </c>
      <c r="N94" s="15">
        <f t="shared" si="16"/>
        <v>161320.22365217388</v>
      </c>
      <c r="O94" s="15">
        <f t="shared" si="17"/>
        <v>25447.697252173904</v>
      </c>
      <c r="P94" s="15">
        <f t="shared" si="18"/>
        <v>135872.52639999997</v>
      </c>
      <c r="Q94" s="65">
        <f>'人物&amp;怪物成长分析'!Q94*$X$10</f>
        <v>5582.12</v>
      </c>
      <c r="R94" s="65">
        <f>'人物&amp;怪物成长分析'!R94*$X$11</f>
        <v>0</v>
      </c>
      <c r="S94">
        <f t="shared" si="19"/>
        <v>258855.42189760675</v>
      </c>
    </row>
    <row r="95" spans="1:19">
      <c r="A95">
        <f t="shared" si="10"/>
        <v>0.45399999999999996</v>
      </c>
      <c r="B95">
        <f t="shared" si="11"/>
        <v>3.0885906193876611</v>
      </c>
      <c r="C95">
        <f t="shared" si="12"/>
        <v>12.852500000000001</v>
      </c>
      <c r="D95">
        <f>'[2]3、总属性战斗节奏拟合'!B95</f>
        <v>12.852500000000001</v>
      </c>
      <c r="E95" s="45">
        <f>'[2]3、总属性战斗节奏拟合'!C95</f>
        <v>91</v>
      </c>
      <c r="F95" s="121">
        <f>'人物&amp;怪物成长分析'!M95</f>
        <v>2630448.8144910298</v>
      </c>
      <c r="G95" s="121">
        <f>'人物&amp;怪物成长分析'!N95</f>
        <v>59522.285742622043</v>
      </c>
      <c r="H95" s="121">
        <f>'人物&amp;怪物成长分析'!O95</f>
        <v>26454.349218943134</v>
      </c>
      <c r="I95" s="121">
        <f>'人物&amp;怪物成长分析'!P95</f>
        <v>33067.936523678909</v>
      </c>
      <c r="J95">
        <f>'[2]3、总属性战斗节奏拟合'!H95</f>
        <v>53.410000000000004</v>
      </c>
      <c r="K95">
        <f t="shared" si="13"/>
        <v>18.159999999999997</v>
      </c>
      <c r="L95">
        <f t="shared" si="14"/>
        <v>57.089043716325975</v>
      </c>
      <c r="M95" s="15">
        <f t="shared" si="15"/>
        <v>1887816.8738089977</v>
      </c>
      <c r="N95" s="15">
        <f t="shared" si="16"/>
        <v>171302.85221955052</v>
      </c>
      <c r="O95" s="15">
        <f t="shared" si="17"/>
        <v>26454.349218943134</v>
      </c>
      <c r="P95" s="15">
        <f t="shared" si="18"/>
        <v>144848.50300060739</v>
      </c>
      <c r="Q95" s="65">
        <f>'人物&amp;怪物成长分析'!Q95*$X$10</f>
        <v>5640.348</v>
      </c>
      <c r="R95" s="65">
        <f>'人物&amp;怪物成长分析'!R95*$X$11</f>
        <v>0</v>
      </c>
      <c r="S95">
        <f t="shared" si="19"/>
        <v>273269.87639085361</v>
      </c>
    </row>
    <row r="96" spans="1:19">
      <c r="A96">
        <f t="shared" si="10"/>
        <v>0.44799999999999995</v>
      </c>
      <c r="B96">
        <f t="shared" si="11"/>
        <v>3.0970410146824725</v>
      </c>
      <c r="C96">
        <f t="shared" si="12"/>
        <v>12.98</v>
      </c>
      <c r="D96">
        <f>'[2]3、总属性战斗节奏拟合'!B96</f>
        <v>12.98</v>
      </c>
      <c r="E96" s="45">
        <f>'[2]3、总属性战斗节奏拟合'!C96</f>
        <v>92</v>
      </c>
      <c r="F96" s="121">
        <f>'人物&amp;怪物成长分析'!M96</f>
        <v>2765719.9145569601</v>
      </c>
      <c r="G96" s="121">
        <f>'人物&amp;怪物成长分析'!N96</f>
        <v>61841.968023973226</v>
      </c>
      <c r="H96" s="121">
        <f>'人物&amp;怪物成长分析'!O96</f>
        <v>27485.319121765882</v>
      </c>
      <c r="I96" s="121">
        <f>'人物&amp;怪物成长分析'!P96</f>
        <v>34356.648902207344</v>
      </c>
      <c r="J96">
        <f>'[2]3、总属性战斗节奏拟合'!H96</f>
        <v>53.92</v>
      </c>
      <c r="K96">
        <f t="shared" si="13"/>
        <v>17.919999999999998</v>
      </c>
      <c r="L96">
        <f t="shared" si="14"/>
        <v>57.522246088094832</v>
      </c>
      <c r="M96" s="15">
        <f t="shared" si="15"/>
        <v>1976271.612915044</v>
      </c>
      <c r="N96" s="15">
        <f t="shared" si="16"/>
        <v>181822.36792516769</v>
      </c>
      <c r="O96" s="15">
        <f t="shared" si="17"/>
        <v>27485.319121765882</v>
      </c>
      <c r="P96" s="15">
        <f t="shared" si="18"/>
        <v>154337.04880340182</v>
      </c>
      <c r="Q96" s="65">
        <f>'人物&amp;怪物成长分析'!Q96*$X$10</f>
        <v>5698.576</v>
      </c>
      <c r="R96" s="65">
        <f>'人物&amp;怪物成长分析'!R96*$X$11</f>
        <v>0</v>
      </c>
      <c r="S96">
        <f t="shared" si="19"/>
        <v>288358.55156353535</v>
      </c>
    </row>
    <row r="97" spans="1:19">
      <c r="A97">
        <f t="shared" si="10"/>
        <v>0.44199999999999995</v>
      </c>
      <c r="B97">
        <f t="shared" si="11"/>
        <v>3.1054227990714818</v>
      </c>
      <c r="C97">
        <f t="shared" si="12"/>
        <v>13.1075</v>
      </c>
      <c r="D97">
        <f>'[2]3、总属性战斗节奏拟合'!B97</f>
        <v>13.1075</v>
      </c>
      <c r="E97" s="45">
        <f>'[2]3、总属性战斗节奏拟合'!C97</f>
        <v>93</v>
      </c>
      <c r="F97" s="121">
        <f>'人物&amp;怪物成长分析'!M97</f>
        <v>2905984.8396805935</v>
      </c>
      <c r="G97" s="121">
        <f>'人物&amp;怪物成长分析'!N97</f>
        <v>64216.965435652135</v>
      </c>
      <c r="H97" s="121">
        <f>'人物&amp;怪物成长分析'!O97</f>
        <v>28540.873526956504</v>
      </c>
      <c r="I97" s="121">
        <f>'人物&amp;怪物成长分析'!P97</f>
        <v>35676.091908695627</v>
      </c>
      <c r="J97">
        <f>'[2]3、总属性战斗节奏拟合'!H97</f>
        <v>54.43</v>
      </c>
      <c r="K97">
        <f t="shared" si="13"/>
        <v>17.68</v>
      </c>
      <c r="L97">
        <f t="shared" si="14"/>
        <v>57.955036794428892</v>
      </c>
      <c r="M97" s="15">
        <f t="shared" si="15"/>
        <v>2067609.219249882</v>
      </c>
      <c r="N97" s="15">
        <f t="shared" si="16"/>
        <v>192906.53187993125</v>
      </c>
      <c r="O97" s="15">
        <f t="shared" si="17"/>
        <v>28540.873526956508</v>
      </c>
      <c r="P97" s="15">
        <f t="shared" si="18"/>
        <v>164365.65835297474</v>
      </c>
      <c r="Q97" s="65">
        <f>'人物&amp;怪物成长分析'!Q97*$X$10</f>
        <v>5756.8040000000001</v>
      </c>
      <c r="R97" s="65">
        <f>'人物&amp;怪物成长分析'!R97*$X$11</f>
        <v>0</v>
      </c>
      <c r="S97">
        <f t="shared" si="19"/>
        <v>304151.77417688305</v>
      </c>
    </row>
    <row r="98" spans="1:19">
      <c r="A98">
        <f t="shared" si="10"/>
        <v>0.43599999999999994</v>
      </c>
      <c r="B98">
        <f t="shared" si="11"/>
        <v>3.1137372584777698</v>
      </c>
      <c r="C98">
        <f t="shared" si="12"/>
        <v>13.234999999999999</v>
      </c>
      <c r="D98">
        <f>'[2]3、总属性战斗节奏拟合'!B98</f>
        <v>13.234999999999999</v>
      </c>
      <c r="E98" s="45">
        <f>'[2]3、总属性战斗节奏拟合'!C98</f>
        <v>94</v>
      </c>
      <c r="F98" s="121">
        <f>'人物&amp;怪物成长分析'!M98</f>
        <v>3051362.0030729403</v>
      </c>
      <c r="G98" s="121">
        <f>'人物&amp;怪物成长分析'!N98</f>
        <v>66647.877751866181</v>
      </c>
      <c r="H98" s="121">
        <f>'人物&amp;怪物成长分析'!O98</f>
        <v>29621.279000829418</v>
      </c>
      <c r="I98" s="121">
        <f>'人物&amp;怪物成长分析'!P98</f>
        <v>37026.598751036763</v>
      </c>
      <c r="J98">
        <f>'[2]3、总属性战斗节奏拟合'!H98</f>
        <v>54.94</v>
      </c>
      <c r="K98">
        <f t="shared" si="13"/>
        <v>17.439999999999998</v>
      </c>
      <c r="L98">
        <f t="shared" si="14"/>
        <v>58.387423550866615</v>
      </c>
      <c r="M98" s="15">
        <f t="shared" si="15"/>
        <v>2161887.7039247723</v>
      </c>
      <c r="N98" s="15">
        <f t="shared" si="16"/>
        <v>204584.69660822279</v>
      </c>
      <c r="O98" s="15">
        <f t="shared" si="17"/>
        <v>29621.279000829418</v>
      </c>
      <c r="P98" s="15">
        <f t="shared" si="18"/>
        <v>174963.41760739338</v>
      </c>
      <c r="Q98" s="65">
        <f>'人物&amp;怪物成长分析'!Q98*$X$10</f>
        <v>5815.0320000000002</v>
      </c>
      <c r="R98" s="65">
        <f>'人物&amp;怪物成长分析'!R98*$X$11</f>
        <v>0</v>
      </c>
      <c r="S98">
        <f t="shared" si="19"/>
        <v>320681.48376604309</v>
      </c>
    </row>
    <row r="99" spans="1:19">
      <c r="A99">
        <f t="shared" si="10"/>
        <v>0.42999999999999994</v>
      </c>
      <c r="B99">
        <f t="shared" si="11"/>
        <v>3.1219856413521447</v>
      </c>
      <c r="C99">
        <f t="shared" si="12"/>
        <v>13.362500000000001</v>
      </c>
      <c r="D99">
        <f>'[2]3、总属性战斗节奏拟合'!B99</f>
        <v>13.362500000000001</v>
      </c>
      <c r="E99" s="45">
        <f>'[2]3、总属性战斗节奏拟合'!C99</f>
        <v>95</v>
      </c>
      <c r="F99" s="121">
        <f>'人物&amp;怪物成长分析'!M99</f>
        <v>3201971.177433209</v>
      </c>
      <c r="G99" s="121">
        <f>'人物&amp;怪物成长分析'!N99</f>
        <v>69135.304746822687</v>
      </c>
      <c r="H99" s="121">
        <f>'人物&amp;怪物成长分析'!O99</f>
        <v>30726.802109698976</v>
      </c>
      <c r="I99" s="121">
        <f>'人物&amp;怪物成长分析'!P99</f>
        <v>38408.502637123711</v>
      </c>
      <c r="J99">
        <f>'[2]3、总属性战斗节奏拟合'!H99</f>
        <v>55.45</v>
      </c>
      <c r="K99">
        <f t="shared" si="13"/>
        <v>17.199999999999996</v>
      </c>
      <c r="L99">
        <f t="shared" si="14"/>
        <v>58.819413848112873</v>
      </c>
      <c r="M99" s="15">
        <f t="shared" si="15"/>
        <v>2259165.611899314</v>
      </c>
      <c r="N99" s="15">
        <f t="shared" si="16"/>
        <v>216887.91707674606</v>
      </c>
      <c r="O99" s="15">
        <f t="shared" si="17"/>
        <v>30726.802109698976</v>
      </c>
      <c r="P99" s="15">
        <f t="shared" si="18"/>
        <v>186161.11496704709</v>
      </c>
      <c r="Q99" s="65">
        <f>'人物&amp;怪物成长分析'!Q99*$X$10</f>
        <v>5873.26</v>
      </c>
      <c r="R99" s="65">
        <f>'人物&amp;怪物成长分析'!R99*$X$11</f>
        <v>0</v>
      </c>
      <c r="S99">
        <f t="shared" si="19"/>
        <v>337981.34366241761</v>
      </c>
    </row>
    <row r="100" spans="1:19">
      <c r="A100">
        <f t="shared" si="10"/>
        <v>0.42399999999999993</v>
      </c>
      <c r="B100">
        <f t="shared" si="11"/>
        <v>3.1301691601465746</v>
      </c>
      <c r="C100">
        <f t="shared" si="12"/>
        <v>13.49</v>
      </c>
      <c r="D100">
        <f>'[2]3、总属性战斗节奏拟合'!B100</f>
        <v>13.49</v>
      </c>
      <c r="E100" s="45">
        <f>'[2]3、总属性战斗节奏拟合'!C100</f>
        <v>96</v>
      </c>
      <c r="F100" s="121">
        <f>'人物&amp;怪物成长分析'!M100</f>
        <v>3357933.4949488142</v>
      </c>
      <c r="G100" s="121">
        <f>'人物&amp;怪物成长分析'!N100</f>
        <v>71679.846194729049</v>
      </c>
      <c r="H100" s="121">
        <f>'人物&amp;怪物成长分析'!O100</f>
        <v>31857.709419879582</v>
      </c>
      <c r="I100" s="121">
        <f>'人物&amp;怪物成长分析'!P100</f>
        <v>39822.136774849467</v>
      </c>
      <c r="J100">
        <f>'[2]3、总属性战斗节奏拟合'!H100</f>
        <v>55.96</v>
      </c>
      <c r="K100">
        <f t="shared" si="13"/>
        <v>16.959999999999997</v>
      </c>
      <c r="L100">
        <f t="shared" si="14"/>
        <v>59.251014960879445</v>
      </c>
      <c r="M100" s="15">
        <f t="shared" si="15"/>
        <v>2359502.0218207934</v>
      </c>
      <c r="N100" s="15">
        <f t="shared" si="16"/>
        <v>229849.07115035213</v>
      </c>
      <c r="O100" s="15">
        <f t="shared" si="17"/>
        <v>31857.709419879582</v>
      </c>
      <c r="P100" s="15">
        <f t="shared" si="18"/>
        <v>197991.36173047253</v>
      </c>
      <c r="Q100" s="65">
        <f>'人物&amp;怪物成长分析'!Q100*$X$10</f>
        <v>5931.4880000000003</v>
      </c>
      <c r="R100" s="65">
        <f>'人物&amp;怪物成长分析'!R100*$X$11</f>
        <v>0</v>
      </c>
      <c r="S100">
        <f t="shared" si="19"/>
        <v>356086.86144306348</v>
      </c>
    </row>
    <row r="101" spans="1:19">
      <c r="A101">
        <f t="shared" si="10"/>
        <v>0.41800000000000004</v>
      </c>
      <c r="B101">
        <f t="shared" si="11"/>
        <v>3.1382889927149962</v>
      </c>
      <c r="C101">
        <f t="shared" si="12"/>
        <v>13.6175</v>
      </c>
      <c r="D101">
        <f>'[2]3、总属性战斗节奏拟合'!B101</f>
        <v>13.6175</v>
      </c>
      <c r="E101" s="45">
        <f>'[2]3、总属性战斗节奏拟合'!C101</f>
        <v>97</v>
      </c>
      <c r="F101" s="121">
        <f>'人物&amp;怪物成长分析'!M101</f>
        <v>3519371.4472953733</v>
      </c>
      <c r="G101" s="121">
        <f>'人物&amp;怪物成长分析'!N101</f>
        <v>74282.101869792605</v>
      </c>
      <c r="H101" s="121">
        <f>'人物&amp;怪物成长分析'!O101</f>
        <v>33014.2674976856</v>
      </c>
      <c r="I101" s="121">
        <f>'人物&amp;怪物成长分析'!P101</f>
        <v>41267.834372107005</v>
      </c>
      <c r="J101">
        <f>'[2]3、总属性战斗节奏拟合'!H101</f>
        <v>56.47</v>
      </c>
      <c r="K101">
        <f t="shared" si="13"/>
        <v>16.720000000000002</v>
      </c>
      <c r="L101">
        <f t="shared" si="14"/>
        <v>59.682233956289977</v>
      </c>
      <c r="M101" s="15">
        <f t="shared" si="15"/>
        <v>2462956.5458655152</v>
      </c>
      <c r="N101" s="15">
        <f t="shared" si="16"/>
        <v>243502.99042205</v>
      </c>
      <c r="O101" s="15">
        <f t="shared" si="17"/>
        <v>33014.2674976856</v>
      </c>
      <c r="P101" s="15">
        <f t="shared" si="18"/>
        <v>210488.72292436441</v>
      </c>
      <c r="Q101" s="65">
        <f>'人物&amp;怪物成长分析'!Q101*$X$10</f>
        <v>5989.7160000000003</v>
      </c>
      <c r="R101" s="65">
        <f>'人物&amp;怪物成长分析'!R101*$X$11</f>
        <v>0</v>
      </c>
      <c r="S101">
        <f t="shared" si="19"/>
        <v>375035.51975435624</v>
      </c>
    </row>
    <row r="102" spans="1:19">
      <c r="A102">
        <f t="shared" si="10"/>
        <v>0.41200000000000003</v>
      </c>
      <c r="B102">
        <f t="shared" si="11"/>
        <v>3.1463462836457889</v>
      </c>
      <c r="C102">
        <f t="shared" si="12"/>
        <v>13.745000000000001</v>
      </c>
      <c r="D102">
        <f>'[2]3、总属性战斗节奏拟合'!B102</f>
        <v>13.745000000000001</v>
      </c>
      <c r="E102" s="45">
        <f>'[2]3、总属性战斗节奏拟合'!C102</f>
        <v>98</v>
      </c>
      <c r="F102" s="121">
        <f>'人物&amp;怪物成长分析'!M102</f>
        <v>3686408.8856367059</v>
      </c>
      <c r="G102" s="121">
        <f>'人物&amp;怪物成长分析'!N102</f>
        <v>76942.671546220663</v>
      </c>
      <c r="H102" s="121">
        <f>'人物&amp;怪物成长分析'!O102</f>
        <v>34196.742909431407</v>
      </c>
      <c r="I102" s="121">
        <f>'人物&amp;怪物成长分析'!P102</f>
        <v>42745.928636789256</v>
      </c>
      <c r="J102">
        <f>'[2]3、总属性战斗节奏拟合'!H102</f>
        <v>56.980000000000004</v>
      </c>
      <c r="K102">
        <f t="shared" si="13"/>
        <v>16.48</v>
      </c>
      <c r="L102">
        <f t="shared" si="14"/>
        <v>60.11307770187473</v>
      </c>
      <c r="M102" s="15">
        <f t="shared" si="15"/>
        <v>2569589.3295821049</v>
      </c>
      <c r="N102" s="15">
        <f t="shared" si="16"/>
        <v>257886.6024747655</v>
      </c>
      <c r="O102" s="15">
        <f t="shared" si="17"/>
        <v>34196.742909431407</v>
      </c>
      <c r="P102" s="15">
        <f t="shared" si="18"/>
        <v>223689.8595653341</v>
      </c>
      <c r="Q102" s="65">
        <f>'人物&amp;怪物成长分析'!Q102*$X$10</f>
        <v>6047.9439999999995</v>
      </c>
      <c r="R102" s="65">
        <f>'人物&amp;怪物成长分析'!R102*$X$11</f>
        <v>0</v>
      </c>
      <c r="S102">
        <f t="shared" si="19"/>
        <v>394866.9185674811</v>
      </c>
    </row>
    <row r="103" spans="1:19">
      <c r="A103">
        <f t="shared" si="10"/>
        <v>0.40600000000000003</v>
      </c>
      <c r="B103">
        <f t="shared" si="11"/>
        <v>3.1543421455299043</v>
      </c>
      <c r="C103">
        <f t="shared" si="12"/>
        <v>13.8725</v>
      </c>
      <c r="D103">
        <f>'[2]3、总属性战斗节奏拟合'!B103</f>
        <v>13.8725</v>
      </c>
      <c r="E103" s="45">
        <f>'[2]3、总属性战斗节奏拟合'!C103</f>
        <v>99</v>
      </c>
      <c r="F103" s="121">
        <f>'人物&amp;怪物成长分析'!M103</f>
        <v>3859171.0206248374</v>
      </c>
      <c r="G103" s="121">
        <f>'人物&amp;怪物成长分析'!N103</f>
        <v>79662.154998220678</v>
      </c>
      <c r="H103" s="121">
        <f>'人物&amp;怪物成长分析'!O103</f>
        <v>35405.40222143141</v>
      </c>
      <c r="I103" s="121">
        <f>'人物&amp;怪物成长分析'!P103</f>
        <v>44256.752776789268</v>
      </c>
      <c r="J103">
        <f>'[2]3、总属性战斗节奏拟合'!H103</f>
        <v>57.49</v>
      </c>
      <c r="K103">
        <f t="shared" si="13"/>
        <v>16.240000000000002</v>
      </c>
      <c r="L103">
        <f t="shared" si="14"/>
        <v>60.543552873179422</v>
      </c>
      <c r="M103" s="15">
        <f t="shared" si="15"/>
        <v>2679461.0517367711</v>
      </c>
      <c r="N103" s="15">
        <f t="shared" si="16"/>
        <v>273039.08575744356</v>
      </c>
      <c r="O103" s="15">
        <f t="shared" si="17"/>
        <v>35405.40222143141</v>
      </c>
      <c r="P103" s="15">
        <f t="shared" si="18"/>
        <v>237633.68353601216</v>
      </c>
      <c r="Q103" s="65">
        <f>'人物&amp;怪物成长分析'!Q103*$X$10</f>
        <v>6106.1719999999996</v>
      </c>
      <c r="R103" s="65">
        <f>'人物&amp;怪物成长分析'!R103*$X$11</f>
        <v>0</v>
      </c>
      <c r="S103">
        <f t="shared" si="19"/>
        <v>415622.93004834588</v>
      </c>
    </row>
    <row r="104" spans="1:19">
      <c r="A104">
        <f t="shared" si="10"/>
        <v>0.4</v>
      </c>
      <c r="B104">
        <f t="shared" si="11"/>
        <v>3.1622776601683795</v>
      </c>
      <c r="C104">
        <f t="shared" si="12"/>
        <v>14</v>
      </c>
      <c r="D104">
        <f>'[2]3、总属性战斗节奏拟合'!B104</f>
        <v>14</v>
      </c>
      <c r="E104" s="45">
        <f>'[2]3、总属性战斗节奏拟合'!C104</f>
        <v>100</v>
      </c>
      <c r="F104" s="121">
        <f>'人物&amp;怪物成长分析'!M104</f>
        <v>4037784.4223999963</v>
      </c>
      <c r="G104" s="121">
        <f>'人物&amp;怪物成长分析'!N104</f>
        <v>82441.151999999944</v>
      </c>
      <c r="H104" s="121">
        <f>'人物&amp;怪物成长分析'!O104</f>
        <v>36640.511999999973</v>
      </c>
      <c r="I104" s="121">
        <f>'人物&amp;怪物成长分析'!P104</f>
        <v>45800.63999999997</v>
      </c>
      <c r="J104">
        <f>'[2]3、总属性战斗节奏拟合'!H104</f>
        <v>58</v>
      </c>
      <c r="K104">
        <f t="shared" si="13"/>
        <v>16</v>
      </c>
      <c r="L104">
        <f t="shared" si="14"/>
        <v>60.973665961010276</v>
      </c>
      <c r="M104" s="15">
        <f t="shared" si="15"/>
        <v>2792632.9241604838</v>
      </c>
      <c r="N104" s="15">
        <f t="shared" si="16"/>
        <v>289002.03839999973</v>
      </c>
      <c r="O104" s="15">
        <f t="shared" si="17"/>
        <v>36640.511999999973</v>
      </c>
      <c r="P104" s="15">
        <f t="shared" si="18"/>
        <v>252361.52639999974</v>
      </c>
      <c r="Q104" s="65">
        <f>'人物&amp;怪物成长分析'!Q104*$X$10</f>
        <v>6164.4000000000005</v>
      </c>
      <c r="R104" s="65">
        <f>'人物&amp;怪物成长分析'!R104*$X$11</f>
        <v>0</v>
      </c>
      <c r="S104">
        <f t="shared" si="19"/>
        <v>437347.86736641906</v>
      </c>
    </row>
  </sheetData>
  <phoneticPr fontId="1" type="noConversion"/>
  <conditionalFormatting sqref="A5:P104">
    <cfRule type="expression" dxfId="102" priority="2">
      <formula>MOD($E5,10)=0</formula>
    </cfRule>
  </conditionalFormatting>
  <conditionalFormatting sqref="AA5:AA7">
    <cfRule type="cellIs" dxfId="101" priority="1" operator="greaterThan">
      <formula>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81"/>
  <sheetViews>
    <sheetView tabSelected="1" topLeftCell="A4" workbookViewId="0">
      <selection activeCell="E36" sqref="E36"/>
    </sheetView>
  </sheetViews>
  <sheetFormatPr defaultRowHeight="13.5"/>
  <cols>
    <col min="1" max="1" width="17.25" bestFit="1" customWidth="1"/>
    <col min="2" max="2" width="12" customWidth="1"/>
    <col min="3" max="3" width="13.75" customWidth="1"/>
    <col min="4" max="4" width="9" bestFit="1" customWidth="1"/>
    <col min="5" max="5" width="9" style="21" bestFit="1" customWidth="1"/>
    <col min="6" max="6" width="11.625" bestFit="1" customWidth="1"/>
    <col min="7" max="7" width="9.5" bestFit="1" customWidth="1"/>
    <col min="8" max="8" width="9" bestFit="1" customWidth="1"/>
    <col min="9" max="9" width="11.625" bestFit="1" customWidth="1"/>
    <col min="10" max="10" width="9.5" bestFit="1" customWidth="1"/>
    <col min="11" max="11" width="9" bestFit="1" customWidth="1"/>
    <col min="12" max="12" width="11.625" bestFit="1" customWidth="1"/>
    <col min="13" max="13" width="9.5" bestFit="1" customWidth="1"/>
    <col min="14" max="14" width="9" bestFit="1" customWidth="1"/>
    <col min="15" max="15" width="14.5" customWidth="1"/>
    <col min="16" max="16" width="12.75" bestFit="1" customWidth="1"/>
    <col min="18" max="18" width="13.5" customWidth="1"/>
    <col min="19" max="19" width="9.25" customWidth="1"/>
  </cols>
  <sheetData>
    <row r="1" spans="1:19" ht="13.9" customHeight="1">
      <c r="C1" s="25"/>
    </row>
    <row r="3" spans="1:19">
      <c r="A3">
        <v>1</v>
      </c>
      <c r="B3">
        <v>2</v>
      </c>
      <c r="C3">
        <v>3</v>
      </c>
      <c r="D3">
        <v>4</v>
      </c>
      <c r="E3" s="21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</row>
    <row r="4" spans="1:19">
      <c r="F4" s="149" t="s">
        <v>87</v>
      </c>
      <c r="G4" s="149"/>
      <c r="H4" s="149"/>
      <c r="I4" s="149" t="s">
        <v>88</v>
      </c>
      <c r="J4" s="149"/>
      <c r="K4" s="149"/>
      <c r="L4" s="149" t="s">
        <v>89</v>
      </c>
      <c r="M4" s="149"/>
      <c r="N4" s="149"/>
    </row>
    <row r="5" spans="1:19">
      <c r="F5" s="22"/>
      <c r="G5" s="22"/>
      <c r="H5" s="22"/>
      <c r="I5" s="22"/>
      <c r="J5" s="22"/>
      <c r="K5" s="22"/>
      <c r="L5" s="22"/>
      <c r="M5" s="22"/>
      <c r="N5" s="22"/>
    </row>
    <row r="6" spans="1:19">
      <c r="A6" s="37"/>
      <c r="B6" s="20" t="s">
        <v>300</v>
      </c>
      <c r="C6" s="20" t="s">
        <v>285</v>
      </c>
      <c r="D6" s="31" t="s">
        <v>91</v>
      </c>
      <c r="E6" s="32" t="s">
        <v>58</v>
      </c>
      <c r="F6" s="31" t="s">
        <v>92</v>
      </c>
      <c r="G6" s="31" t="s">
        <v>93</v>
      </c>
      <c r="H6" s="31" t="s">
        <v>94</v>
      </c>
      <c r="I6" s="31" t="s">
        <v>92</v>
      </c>
      <c r="J6" s="31" t="s">
        <v>93</v>
      </c>
      <c r="K6" s="31" t="s">
        <v>94</v>
      </c>
      <c r="L6" s="31" t="s">
        <v>92</v>
      </c>
      <c r="M6" s="31" t="s">
        <v>93</v>
      </c>
      <c r="N6" s="67" t="s">
        <v>94</v>
      </c>
      <c r="O6" s="63" t="s">
        <v>341</v>
      </c>
      <c r="P6" s="63" t="s">
        <v>342</v>
      </c>
    </row>
    <row r="7" spans="1:19">
      <c r="A7" s="33"/>
      <c r="B7" s="33">
        <f>VLOOKUP(C7,$R$7:$S$14,2,FALSE)</f>
        <v>1</v>
      </c>
      <c r="C7" s="33" t="s">
        <v>760</v>
      </c>
      <c r="D7" s="33">
        <v>1</v>
      </c>
      <c r="E7" s="35">
        <v>1010</v>
      </c>
      <c r="F7" s="49">
        <v>401.24700000000007</v>
      </c>
      <c r="G7" s="49">
        <v>26.106519114688133</v>
      </c>
      <c r="H7" s="49">
        <v>21.120000000000005</v>
      </c>
      <c r="I7" s="49">
        <v>320.99760000000009</v>
      </c>
      <c r="J7" s="49">
        <v>25.607867203219321</v>
      </c>
      <c r="K7" s="49">
        <v>15.840000000000003</v>
      </c>
      <c r="L7" s="49">
        <v>1003.1175000000002</v>
      </c>
      <c r="M7" s="49">
        <v>27.103822937625758</v>
      </c>
      <c r="N7" s="49">
        <v>26.400000000000006</v>
      </c>
      <c r="O7" s="49">
        <v>399.82799999999997</v>
      </c>
      <c r="P7" s="49">
        <v>0</v>
      </c>
      <c r="Q7">
        <v>1</v>
      </c>
      <c r="R7" t="s">
        <v>293</v>
      </c>
      <c r="S7">
        <v>1</v>
      </c>
    </row>
    <row r="8" spans="1:19">
      <c r="A8" s="33"/>
      <c r="B8" s="33">
        <f t="shared" ref="B8:B71" si="0">VLOOKUP(C8,$R$7:$S$14,2,FALSE)</f>
        <v>1</v>
      </c>
      <c r="C8" s="33" t="s">
        <v>760</v>
      </c>
      <c r="D8" s="33">
        <v>2</v>
      </c>
      <c r="E8" s="35">
        <v>1001</v>
      </c>
      <c r="F8" s="49">
        <v>496.57994441925592</v>
      </c>
      <c r="G8" s="49">
        <v>28.884534412955468</v>
      </c>
      <c r="H8" s="49">
        <v>23.040000000000003</v>
      </c>
      <c r="I8" s="49">
        <v>397.26395553540476</v>
      </c>
      <c r="J8" s="49">
        <v>28.30008097165992</v>
      </c>
      <c r="K8" s="49">
        <v>17.28</v>
      </c>
      <c r="L8" s="49">
        <v>1241.4498610481398</v>
      </c>
      <c r="M8" s="49">
        <v>30.053441295546559</v>
      </c>
      <c r="N8" s="49">
        <v>28.8</v>
      </c>
      <c r="O8" s="49">
        <v>458.05599999999998</v>
      </c>
      <c r="P8" s="49">
        <v>0</v>
      </c>
      <c r="Q8">
        <v>2</v>
      </c>
      <c r="R8" t="s">
        <v>294</v>
      </c>
      <c r="S8">
        <v>2</v>
      </c>
    </row>
    <row r="9" spans="1:19">
      <c r="A9" s="33"/>
      <c r="B9" s="33">
        <f t="shared" si="0"/>
        <v>1</v>
      </c>
      <c r="C9" s="33" t="s">
        <v>760</v>
      </c>
      <c r="D9" s="33">
        <v>3</v>
      </c>
      <c r="E9" s="35">
        <v>1002</v>
      </c>
      <c r="F9" s="49">
        <v>582.78974062807151</v>
      </c>
      <c r="G9" s="49">
        <v>31.73535641547862</v>
      </c>
      <c r="H9" s="49">
        <v>24.960000000000004</v>
      </c>
      <c r="I9" s="49">
        <v>466.23179250245727</v>
      </c>
      <c r="J9" s="49">
        <v>31.057820773930757</v>
      </c>
      <c r="K9" s="49">
        <v>18.720000000000006</v>
      </c>
      <c r="L9" s="49">
        <v>1456.9743515701789</v>
      </c>
      <c r="M9" s="49">
        <v>33.090427698574345</v>
      </c>
      <c r="N9" s="49">
        <v>31.200000000000003</v>
      </c>
      <c r="O9" s="49">
        <v>516.28399999999999</v>
      </c>
      <c r="P9" s="49">
        <v>0</v>
      </c>
      <c r="Q9">
        <v>3</v>
      </c>
      <c r="R9" t="s">
        <v>295</v>
      </c>
      <c r="S9">
        <v>3</v>
      </c>
    </row>
    <row r="10" spans="1:19">
      <c r="A10" s="33"/>
      <c r="B10" s="33">
        <f t="shared" si="0"/>
        <v>1</v>
      </c>
      <c r="C10" s="33" t="s">
        <v>760</v>
      </c>
      <c r="D10" s="33">
        <v>4</v>
      </c>
      <c r="E10" s="35">
        <v>1003</v>
      </c>
      <c r="F10" s="49">
        <v>532.81549920892701</v>
      </c>
      <c r="G10" s="49">
        <v>29.284327868852465</v>
      </c>
      <c r="H10" s="49">
        <v>21.504000000000005</v>
      </c>
      <c r="I10" s="49">
        <v>426.25239936714166</v>
      </c>
      <c r="J10" s="49">
        <v>28.50629508196722</v>
      </c>
      <c r="K10" s="49">
        <v>16.128000000000007</v>
      </c>
      <c r="L10" s="49">
        <v>1332.0387480223176</v>
      </c>
      <c r="M10" s="49">
        <v>30.840393442622954</v>
      </c>
      <c r="N10" s="49">
        <v>26.880000000000003</v>
      </c>
      <c r="O10" s="49">
        <v>574.51200000000006</v>
      </c>
      <c r="P10" s="49">
        <v>0</v>
      </c>
      <c r="Q10">
        <v>4</v>
      </c>
      <c r="R10" t="s">
        <v>296</v>
      </c>
      <c r="S10">
        <v>4</v>
      </c>
    </row>
    <row r="11" spans="1:19">
      <c r="A11" s="33"/>
      <c r="B11" s="33">
        <f t="shared" si="0"/>
        <v>1</v>
      </c>
      <c r="C11" s="33" t="s">
        <v>760</v>
      </c>
      <c r="D11" s="33">
        <v>5</v>
      </c>
      <c r="E11" s="35">
        <v>1004</v>
      </c>
      <c r="F11" s="49">
        <v>598.49630254093813</v>
      </c>
      <c r="G11" s="49">
        <v>31.900824742268046</v>
      </c>
      <c r="H11" s="49">
        <v>23.040000000000003</v>
      </c>
      <c r="I11" s="49">
        <v>478.79704203275048</v>
      </c>
      <c r="J11" s="49">
        <v>31.014742268041243</v>
      </c>
      <c r="K11" s="49">
        <v>17.28</v>
      </c>
      <c r="L11" s="49">
        <v>1496.2407563523454</v>
      </c>
      <c r="M11" s="49">
        <v>33.672989690721657</v>
      </c>
      <c r="N11" s="49">
        <v>28.8</v>
      </c>
      <c r="O11" s="49">
        <v>632.74</v>
      </c>
      <c r="P11" s="49">
        <v>0</v>
      </c>
      <c r="Q11">
        <v>5</v>
      </c>
      <c r="R11" t="s">
        <v>297</v>
      </c>
      <c r="S11">
        <v>5</v>
      </c>
    </row>
    <row r="12" spans="1:19">
      <c r="A12" s="33"/>
      <c r="B12" s="33">
        <f t="shared" si="0"/>
        <v>1</v>
      </c>
      <c r="C12" s="33" t="s">
        <v>760</v>
      </c>
      <c r="D12" s="33">
        <v>6</v>
      </c>
      <c r="E12" s="35">
        <v>1005</v>
      </c>
      <c r="F12" s="49">
        <v>1024.8189094533227</v>
      </c>
      <c r="G12" s="49">
        <v>53.404884647302907</v>
      </c>
      <c r="H12" s="49">
        <v>37.939200000000007</v>
      </c>
      <c r="I12" s="49">
        <v>819.85512756265814</v>
      </c>
      <c r="J12" s="49">
        <v>51.858316182572615</v>
      </c>
      <c r="K12" s="49">
        <v>28.454400000000007</v>
      </c>
      <c r="L12" s="49">
        <v>2562.0472736333068</v>
      </c>
      <c r="M12" s="49">
        <v>56.498021576763492</v>
      </c>
      <c r="N12" s="49">
        <v>47.424000000000007</v>
      </c>
      <c r="O12" s="49">
        <v>690.96800000000007</v>
      </c>
      <c r="P12" s="49">
        <v>0</v>
      </c>
      <c r="Q12">
        <v>6</v>
      </c>
      <c r="R12" t="s">
        <v>298</v>
      </c>
      <c r="S12">
        <v>6</v>
      </c>
    </row>
    <row r="13" spans="1:19">
      <c r="A13" s="33"/>
      <c r="B13" s="33">
        <f t="shared" si="0"/>
        <v>1</v>
      </c>
      <c r="C13" s="33" t="s">
        <v>760</v>
      </c>
      <c r="D13" s="33">
        <v>7</v>
      </c>
      <c r="E13" s="35">
        <v>1006</v>
      </c>
      <c r="F13" s="49">
        <v>1214.4279217050077</v>
      </c>
      <c r="G13" s="49">
        <v>62.237861978079337</v>
      </c>
      <c r="H13" s="49">
        <v>43.492800000000003</v>
      </c>
      <c r="I13" s="49">
        <v>971.54233736400624</v>
      </c>
      <c r="J13" s="49">
        <v>60.363355780271405</v>
      </c>
      <c r="K13" s="49">
        <v>32.619600000000005</v>
      </c>
      <c r="L13" s="49">
        <v>3036.0698042625195</v>
      </c>
      <c r="M13" s="49">
        <v>65.986874373695201</v>
      </c>
      <c r="N13" s="49">
        <v>54.366</v>
      </c>
      <c r="O13" s="49">
        <v>749.19600000000003</v>
      </c>
      <c r="P13" s="49">
        <v>0</v>
      </c>
      <c r="Q13">
        <v>7</v>
      </c>
      <c r="R13" t="s">
        <v>292</v>
      </c>
      <c r="S13">
        <v>7</v>
      </c>
    </row>
    <row r="14" spans="1:19">
      <c r="A14" s="33"/>
      <c r="B14" s="33">
        <f t="shared" si="0"/>
        <v>1</v>
      </c>
      <c r="C14" s="33" t="s">
        <v>760</v>
      </c>
      <c r="D14" s="33">
        <v>8</v>
      </c>
      <c r="E14" s="35">
        <v>1007</v>
      </c>
      <c r="F14" s="49">
        <v>1419.9231822030038</v>
      </c>
      <c r="G14" s="49">
        <v>71.889224369747922</v>
      </c>
      <c r="H14" s="49">
        <v>49.420800000000014</v>
      </c>
      <c r="I14" s="49">
        <v>1135.938545762403</v>
      </c>
      <c r="J14" s="49">
        <v>69.642381932773134</v>
      </c>
      <c r="K14" s="49">
        <v>37.065600000000018</v>
      </c>
      <c r="L14" s="49">
        <v>3549.8079555075096</v>
      </c>
      <c r="M14" s="49">
        <v>76.382909243697497</v>
      </c>
      <c r="N14" s="49">
        <v>61.77600000000001</v>
      </c>
      <c r="O14" s="49">
        <v>807.42399999999998</v>
      </c>
      <c r="P14" s="49">
        <v>0</v>
      </c>
      <c r="Q14">
        <v>8</v>
      </c>
      <c r="R14" t="s">
        <v>317</v>
      </c>
      <c r="S14">
        <v>8</v>
      </c>
    </row>
    <row r="15" spans="1:19">
      <c r="A15" s="33"/>
      <c r="B15" s="33">
        <f t="shared" si="0"/>
        <v>1</v>
      </c>
      <c r="C15" s="33" t="s">
        <v>760</v>
      </c>
      <c r="D15" s="33">
        <v>9</v>
      </c>
      <c r="E15" s="35">
        <v>1008</v>
      </c>
      <c r="F15" s="49">
        <v>1828.1715738897817</v>
      </c>
      <c r="G15" s="49">
        <v>91.771683632457041</v>
      </c>
      <c r="H15" s="49">
        <v>62.067547826086951</v>
      </c>
      <c r="I15" s="49">
        <v>1462.5372591118253</v>
      </c>
      <c r="J15" s="49">
        <v>88.80127005182004</v>
      </c>
      <c r="K15" s="49">
        <v>46.55066086956522</v>
      </c>
      <c r="L15" s="49">
        <v>4570.4289347244539</v>
      </c>
      <c r="M15" s="49">
        <v>97.712510793731056</v>
      </c>
      <c r="N15" s="49">
        <v>77.584434782608696</v>
      </c>
      <c r="O15" s="49">
        <v>865.65200000000004</v>
      </c>
      <c r="P15" s="49">
        <v>0</v>
      </c>
      <c r="Q15" s="34"/>
    </row>
    <row r="16" spans="1:19">
      <c r="A16" s="33"/>
      <c r="B16" s="33">
        <f t="shared" si="0"/>
        <v>1</v>
      </c>
      <c r="C16" s="33" t="s">
        <v>760</v>
      </c>
      <c r="D16" s="33">
        <v>10</v>
      </c>
      <c r="E16" s="35">
        <v>1009</v>
      </c>
      <c r="F16" s="49">
        <v>2159.6144201298184</v>
      </c>
      <c r="G16" s="49">
        <v>121.46732192414434</v>
      </c>
      <c r="H16" s="49">
        <v>94.695652173913061</v>
      </c>
      <c r="I16" s="49">
        <v>1727.691536103855</v>
      </c>
      <c r="J16" s="49">
        <v>116.89624190564297</v>
      </c>
      <c r="K16" s="49">
        <v>79.544347826086977</v>
      </c>
      <c r="L16" s="49">
        <v>5399.0360503245465</v>
      </c>
      <c r="M16" s="49">
        <v>130.60948196114711</v>
      </c>
      <c r="N16" s="49">
        <v>109.84695652173914</v>
      </c>
      <c r="O16" s="49">
        <v>923.88</v>
      </c>
      <c r="P16" s="49">
        <v>0</v>
      </c>
    </row>
    <row r="17" spans="1:16">
      <c r="A17" s="33"/>
      <c r="B17" s="33">
        <f t="shared" si="0"/>
        <v>1</v>
      </c>
      <c r="C17" s="33" t="s">
        <v>760</v>
      </c>
      <c r="D17" s="33">
        <v>11</v>
      </c>
      <c r="E17" s="35">
        <v>2001</v>
      </c>
      <c r="F17" s="49">
        <v>2456.4171312705103</v>
      </c>
      <c r="G17" s="49">
        <v>138.20964070035379</v>
      </c>
      <c r="H17" s="49">
        <v>90.48772173913045</v>
      </c>
      <c r="I17" s="49">
        <v>1965.1337050164086</v>
      </c>
      <c r="J17" s="49">
        <v>133.43744880423145</v>
      </c>
      <c r="K17" s="49">
        <v>67.865791304347852</v>
      </c>
      <c r="L17" s="49">
        <v>6141.0428281762761</v>
      </c>
      <c r="M17" s="49">
        <v>147.75402449259846</v>
      </c>
      <c r="N17" s="49">
        <v>113.10965217391305</v>
      </c>
      <c r="O17" s="49">
        <v>982.10800000000006</v>
      </c>
      <c r="P17" s="49">
        <v>0</v>
      </c>
    </row>
    <row r="18" spans="1:16">
      <c r="A18" s="33"/>
      <c r="B18" s="33">
        <f t="shared" si="0"/>
        <v>1</v>
      </c>
      <c r="C18" s="33" t="s">
        <v>760</v>
      </c>
      <c r="D18" s="33">
        <v>12</v>
      </c>
      <c r="E18" s="35">
        <v>2002</v>
      </c>
      <c r="F18" s="49">
        <v>2720.6335522776926</v>
      </c>
      <c r="G18" s="49">
        <v>164.94524077961023</v>
      </c>
      <c r="H18" s="49">
        <v>106.26114782608698</v>
      </c>
      <c r="I18" s="49">
        <v>2176.506841822154</v>
      </c>
      <c r="J18" s="49">
        <v>159.07683148425792</v>
      </c>
      <c r="K18" s="49">
        <v>79.695860869565252</v>
      </c>
      <c r="L18" s="49">
        <v>6801.5838806942311</v>
      </c>
      <c r="M18" s="49">
        <v>176.68205937031487</v>
      </c>
      <c r="N18" s="49">
        <v>132.82643478260871</v>
      </c>
      <c r="O18" s="49">
        <v>1040.336</v>
      </c>
      <c r="P18" s="49">
        <v>0</v>
      </c>
    </row>
    <row r="19" spans="1:16">
      <c r="A19" s="33"/>
      <c r="B19" s="33">
        <f t="shared" si="0"/>
        <v>1</v>
      </c>
      <c r="C19" s="33" t="s">
        <v>760</v>
      </c>
      <c r="D19" s="33">
        <v>13</v>
      </c>
      <c r="E19" s="35">
        <v>2003</v>
      </c>
      <c r="F19" s="49">
        <v>3094.6851411110956</v>
      </c>
      <c r="G19" s="49">
        <v>194.14923017895876</v>
      </c>
      <c r="H19" s="49">
        <v>123.07679999999999</v>
      </c>
      <c r="I19" s="49">
        <v>2475.7481128888767</v>
      </c>
      <c r="J19" s="49">
        <v>187.04198716106288</v>
      </c>
      <c r="K19" s="49">
        <v>92.307600000000008</v>
      </c>
      <c r="L19" s="49">
        <v>7736.7128527777386</v>
      </c>
      <c r="M19" s="49">
        <v>208.36371621475053</v>
      </c>
      <c r="N19" s="49">
        <v>153.846</v>
      </c>
      <c r="O19" s="49">
        <v>1098.5640000000001</v>
      </c>
      <c r="P19" s="49">
        <v>0</v>
      </c>
    </row>
    <row r="20" spans="1:16">
      <c r="A20" s="33"/>
      <c r="B20" s="33">
        <f t="shared" si="0"/>
        <v>1</v>
      </c>
      <c r="C20" s="33" t="s">
        <v>760</v>
      </c>
      <c r="D20" s="33">
        <v>14</v>
      </c>
      <c r="E20" s="35">
        <v>2004</v>
      </c>
      <c r="F20" s="49">
        <v>3648.6259147468172</v>
      </c>
      <c r="G20" s="49">
        <v>225.91763535219297</v>
      </c>
      <c r="H20" s="49">
        <v>140.93467826086962</v>
      </c>
      <c r="I20" s="49">
        <v>2918.9007317974538</v>
      </c>
      <c r="J20" s="49">
        <v>217.41933964306065</v>
      </c>
      <c r="K20" s="49">
        <v>105.70100869565223</v>
      </c>
      <c r="L20" s="49">
        <v>9121.5647868670421</v>
      </c>
      <c r="M20" s="49">
        <v>242.91422677045765</v>
      </c>
      <c r="N20" s="49">
        <v>176.168347826087</v>
      </c>
      <c r="O20" s="49">
        <v>1156.7920000000001</v>
      </c>
      <c r="P20" s="49">
        <v>0</v>
      </c>
    </row>
    <row r="21" spans="1:16">
      <c r="A21" s="33"/>
      <c r="B21" s="33">
        <f t="shared" si="0"/>
        <v>1</v>
      </c>
      <c r="C21" s="33" t="s">
        <v>760</v>
      </c>
      <c r="D21" s="33">
        <v>15</v>
      </c>
      <c r="E21" s="35">
        <v>2005</v>
      </c>
      <c r="F21" s="49">
        <v>4254.6896346215126</v>
      </c>
      <c r="G21" s="49">
        <v>260.34901531892024</v>
      </c>
      <c r="H21" s="49">
        <v>159.83478260869569</v>
      </c>
      <c r="I21" s="49">
        <v>3403.7517076972103</v>
      </c>
      <c r="J21" s="49">
        <v>250.29759204789778</v>
      </c>
      <c r="K21" s="49">
        <v>119.87608695652179</v>
      </c>
      <c r="L21" s="49">
        <v>10636.724086553782</v>
      </c>
      <c r="M21" s="49">
        <v>280.45186186096515</v>
      </c>
      <c r="N21" s="49">
        <v>199.79347826086959</v>
      </c>
      <c r="O21" s="49">
        <v>1215.02</v>
      </c>
      <c r="P21" s="49">
        <v>0</v>
      </c>
    </row>
    <row r="22" spans="1:16">
      <c r="A22" s="33"/>
      <c r="B22" s="33">
        <f t="shared" si="0"/>
        <v>1</v>
      </c>
      <c r="C22" s="33" t="s">
        <v>760</v>
      </c>
      <c r="D22" s="33">
        <v>16</v>
      </c>
      <c r="E22" s="35">
        <v>2006</v>
      </c>
      <c r="F22" s="49">
        <v>4914.6568278260884</v>
      </c>
      <c r="G22" s="49">
        <v>297.54454570988844</v>
      </c>
      <c r="H22" s="49">
        <v>179.77711304347829</v>
      </c>
      <c r="I22" s="49">
        <v>3931.7254622608707</v>
      </c>
      <c r="J22" s="49">
        <v>285.76780244324743</v>
      </c>
      <c r="K22" s="49">
        <v>134.83283478260876</v>
      </c>
      <c r="L22" s="49">
        <v>12286.642069565221</v>
      </c>
      <c r="M22" s="49">
        <v>321.09803224317045</v>
      </c>
      <c r="N22" s="49">
        <v>224.72139130434786</v>
      </c>
      <c r="O22" s="49">
        <v>1273.248</v>
      </c>
      <c r="P22" s="49">
        <v>0</v>
      </c>
    </row>
    <row r="23" spans="1:16">
      <c r="A23" s="33"/>
      <c r="B23" s="33">
        <f t="shared" si="0"/>
        <v>1</v>
      </c>
      <c r="C23" s="33" t="s">
        <v>760</v>
      </c>
      <c r="D23" s="33">
        <v>17</v>
      </c>
      <c r="E23" s="35">
        <v>2007</v>
      </c>
      <c r="F23" s="49">
        <v>5630.3005709109411</v>
      </c>
      <c r="G23" s="49">
        <v>337.60810618161133</v>
      </c>
      <c r="H23" s="49">
        <v>200.76166956521743</v>
      </c>
      <c r="I23" s="49">
        <v>4504.2404567287531</v>
      </c>
      <c r="J23" s="49">
        <v>323.92346251997196</v>
      </c>
      <c r="K23" s="49">
        <v>150.57125217391308</v>
      </c>
      <c r="L23" s="49">
        <v>14075.751427277353</v>
      </c>
      <c r="M23" s="49">
        <v>364.97739350489007</v>
      </c>
      <c r="N23" s="49">
        <v>250.95208695652175</v>
      </c>
      <c r="O23" s="49">
        <v>1331.4760000000001</v>
      </c>
      <c r="P23" s="49">
        <v>0</v>
      </c>
    </row>
    <row r="24" spans="1:16">
      <c r="A24" s="33"/>
      <c r="B24" s="33">
        <f t="shared" si="0"/>
        <v>1</v>
      </c>
      <c r="C24" s="33" t="s">
        <v>760</v>
      </c>
      <c r="D24" s="33">
        <v>18</v>
      </c>
      <c r="E24" s="35">
        <v>2008</v>
      </c>
      <c r="F24" s="49">
        <v>6403.3864898100719</v>
      </c>
      <c r="G24" s="49">
        <v>380.64637135893952</v>
      </c>
      <c r="H24" s="49">
        <v>222.78845217391313</v>
      </c>
      <c r="I24" s="49">
        <v>5122.7091918480583</v>
      </c>
      <c r="J24" s="49">
        <v>364.86057944043688</v>
      </c>
      <c r="K24" s="49">
        <v>167.09133913043485</v>
      </c>
      <c r="L24" s="49">
        <v>16008.46622452518</v>
      </c>
      <c r="M24" s="49">
        <v>412.2179551959448</v>
      </c>
      <c r="N24" s="49">
        <v>278.48556521739141</v>
      </c>
      <c r="O24" s="49">
        <v>1389.704</v>
      </c>
      <c r="P24" s="49">
        <v>0</v>
      </c>
    </row>
    <row r="25" spans="1:16">
      <c r="A25" s="33"/>
      <c r="B25" s="33">
        <f t="shared" si="0"/>
        <v>1</v>
      </c>
      <c r="C25" s="33" t="s">
        <v>760</v>
      </c>
      <c r="D25" s="33">
        <v>19</v>
      </c>
      <c r="E25" s="35">
        <v>2009</v>
      </c>
      <c r="F25" s="49">
        <v>8682.8074796320798</v>
      </c>
      <c r="G25" s="49">
        <v>462.95119439346365</v>
      </c>
      <c r="H25" s="49">
        <v>307.32182608695666</v>
      </c>
      <c r="I25" s="49">
        <v>6946.2459837056649</v>
      </c>
      <c r="J25" s="49">
        <v>441.24182104107376</v>
      </c>
      <c r="K25" s="49">
        <v>258.1503339130436</v>
      </c>
      <c r="L25" s="49">
        <v>21707.018699080199</v>
      </c>
      <c r="M25" s="49">
        <v>506.36994109824332</v>
      </c>
      <c r="N25" s="49">
        <v>356.49331826086967</v>
      </c>
      <c r="O25" s="49">
        <v>1447.932</v>
      </c>
      <c r="P25" s="49">
        <v>0</v>
      </c>
    </row>
    <row r="26" spans="1:16">
      <c r="A26" s="33"/>
      <c r="B26" s="33">
        <f t="shared" si="0"/>
        <v>1</v>
      </c>
      <c r="C26" s="33" t="s">
        <v>760</v>
      </c>
      <c r="D26" s="33">
        <v>20</v>
      </c>
      <c r="E26" s="35">
        <v>3001</v>
      </c>
      <c r="F26" s="49">
        <v>8128.911025210582</v>
      </c>
      <c r="G26" s="49">
        <v>476.08826086956532</v>
      </c>
      <c r="H26" s="49">
        <v>269.96869565217401</v>
      </c>
      <c r="I26" s="49">
        <v>6503.1288201684656</v>
      </c>
      <c r="J26" s="49">
        <v>455.47630434782616</v>
      </c>
      <c r="K26" s="49">
        <v>202.47652173913053</v>
      </c>
      <c r="L26" s="49">
        <v>20322.277563026455</v>
      </c>
      <c r="M26" s="49">
        <v>517.31217391304358</v>
      </c>
      <c r="N26" s="49">
        <v>337.46086956521748</v>
      </c>
      <c r="O26" s="49">
        <v>1506.1599999999999</v>
      </c>
      <c r="P26" s="49">
        <v>0</v>
      </c>
    </row>
    <row r="27" spans="1:16">
      <c r="A27" s="33"/>
      <c r="B27" s="33">
        <f t="shared" si="0"/>
        <v>1</v>
      </c>
      <c r="C27" s="33" t="s">
        <v>760</v>
      </c>
      <c r="D27" s="33">
        <v>21</v>
      </c>
      <c r="E27" s="35">
        <v>3002</v>
      </c>
      <c r="F27" s="49">
        <v>9084.8452642958327</v>
      </c>
      <c r="G27" s="49">
        <v>528.7200805778034</v>
      </c>
      <c r="H27" s="49">
        <v>295.12215652173927</v>
      </c>
      <c r="I27" s="49">
        <v>7267.8762114366664</v>
      </c>
      <c r="J27" s="49">
        <v>505.36028817219699</v>
      </c>
      <c r="K27" s="49">
        <v>221.34161739130445</v>
      </c>
      <c r="L27" s="49">
        <v>22712.11316073958</v>
      </c>
      <c r="M27" s="49">
        <v>575.43966538901623</v>
      </c>
      <c r="N27" s="49">
        <v>368.90269565217409</v>
      </c>
      <c r="O27" s="49">
        <v>1564.3879999999999</v>
      </c>
      <c r="P27" s="49">
        <v>0</v>
      </c>
    </row>
    <row r="28" spans="1:16">
      <c r="A28" s="33"/>
      <c r="B28" s="33">
        <f t="shared" si="0"/>
        <v>1</v>
      </c>
      <c r="C28" s="33" t="s">
        <v>760</v>
      </c>
      <c r="D28" s="33">
        <v>22</v>
      </c>
      <c r="E28" s="35">
        <v>3003</v>
      </c>
      <c r="F28" s="49">
        <v>10105.2134725859</v>
      </c>
      <c r="G28" s="49">
        <v>584.78320512923278</v>
      </c>
      <c r="H28" s="49">
        <v>321.31784347826095</v>
      </c>
      <c r="I28" s="49">
        <v>8084.1707780687202</v>
      </c>
      <c r="J28" s="49">
        <v>558.43666896413561</v>
      </c>
      <c r="K28" s="49">
        <v>240.98838260869576</v>
      </c>
      <c r="L28" s="49">
        <v>25263.033681464749</v>
      </c>
      <c r="M28" s="49">
        <v>637.47627745942714</v>
      </c>
      <c r="N28" s="49">
        <v>401.64730434782615</v>
      </c>
      <c r="O28" s="49">
        <v>1622.616</v>
      </c>
      <c r="P28" s="49">
        <v>0</v>
      </c>
    </row>
    <row r="29" spans="1:16">
      <c r="A29" s="33"/>
      <c r="B29" s="33">
        <f t="shared" si="0"/>
        <v>1</v>
      </c>
      <c r="C29" s="33" t="s">
        <v>760</v>
      </c>
      <c r="D29" s="33">
        <v>23</v>
      </c>
      <c r="E29" s="35">
        <v>3004</v>
      </c>
      <c r="F29" s="49">
        <v>11400.405805091281</v>
      </c>
      <c r="G29" s="49">
        <v>656.41395125097995</v>
      </c>
      <c r="H29" s="49">
        <v>355.05421806020081</v>
      </c>
      <c r="I29" s="49">
        <v>9120.3246440730254</v>
      </c>
      <c r="J29" s="49">
        <v>626.27797793190211</v>
      </c>
      <c r="K29" s="49">
        <v>266.29066354515066</v>
      </c>
      <c r="L29" s="49">
        <v>28501.014512728201</v>
      </c>
      <c r="M29" s="49">
        <v>716.68589788913573</v>
      </c>
      <c r="N29" s="49">
        <v>443.81777257525096</v>
      </c>
      <c r="O29" s="49">
        <v>1680.8440000000001</v>
      </c>
      <c r="P29" s="49">
        <v>0</v>
      </c>
    </row>
    <row r="30" spans="1:16">
      <c r="A30" s="33"/>
      <c r="B30" s="33">
        <f t="shared" si="0"/>
        <v>1</v>
      </c>
      <c r="C30" s="33" t="s">
        <v>760</v>
      </c>
      <c r="D30" s="33">
        <v>24</v>
      </c>
      <c r="E30" s="35">
        <v>3005</v>
      </c>
      <c r="F30" s="49">
        <v>12784.890390334218</v>
      </c>
      <c r="G30" s="49">
        <v>732.843169352671</v>
      </c>
      <c r="H30" s="49">
        <v>390.22666488294317</v>
      </c>
      <c r="I30" s="49">
        <v>10227.912312267375</v>
      </c>
      <c r="J30" s="49">
        <v>698.5815189056982</v>
      </c>
      <c r="K30" s="49">
        <v>292.66999866220738</v>
      </c>
      <c r="L30" s="49">
        <v>31962.225975835543</v>
      </c>
      <c r="M30" s="49">
        <v>801.36647024661647</v>
      </c>
      <c r="N30" s="49">
        <v>487.78333110367896</v>
      </c>
      <c r="O30" s="49">
        <v>1739.0720000000001</v>
      </c>
      <c r="P30" s="49">
        <v>0</v>
      </c>
    </row>
    <row r="31" spans="1:16">
      <c r="A31" s="33"/>
      <c r="B31" s="33">
        <f t="shared" si="0"/>
        <v>1</v>
      </c>
      <c r="C31" s="33" t="s">
        <v>760</v>
      </c>
      <c r="D31" s="33">
        <v>25</v>
      </c>
      <c r="E31" s="35">
        <v>3006</v>
      </c>
      <c r="F31" s="49">
        <v>14261.047881556851</v>
      </c>
      <c r="G31" s="49">
        <v>814.24303702291991</v>
      </c>
      <c r="H31" s="49">
        <v>426.83518394648843</v>
      </c>
      <c r="I31" s="49">
        <v>11408.838305245481</v>
      </c>
      <c r="J31" s="49">
        <v>775.50225171527677</v>
      </c>
      <c r="K31" s="49">
        <v>320.12638795986629</v>
      </c>
      <c r="L31" s="49">
        <v>35652.619703892131</v>
      </c>
      <c r="M31" s="49">
        <v>891.72460763820618</v>
      </c>
      <c r="N31" s="49">
        <v>533.54397993311056</v>
      </c>
      <c r="O31" s="49">
        <v>1797.3000000000002</v>
      </c>
      <c r="P31" s="49">
        <v>0</v>
      </c>
    </row>
    <row r="32" spans="1:16">
      <c r="A32" s="33"/>
      <c r="B32" s="33">
        <f t="shared" si="0"/>
        <v>1</v>
      </c>
      <c r="C32" s="33" t="s">
        <v>760</v>
      </c>
      <c r="D32" s="33">
        <v>26</v>
      </c>
      <c r="E32" s="35">
        <v>3007</v>
      </c>
      <c r="F32" s="49">
        <v>16032.112972248326</v>
      </c>
      <c r="G32" s="49">
        <v>912.21955983864086</v>
      </c>
      <c r="H32" s="49">
        <v>470.77801525083623</v>
      </c>
      <c r="I32" s="49">
        <v>12825.690377798661</v>
      </c>
      <c r="J32" s="49">
        <v>868.0754053798604</v>
      </c>
      <c r="K32" s="49">
        <v>353.08351143812718</v>
      </c>
      <c r="L32" s="49">
        <v>40080.282430620813</v>
      </c>
      <c r="M32" s="49">
        <v>1000.5078687562018</v>
      </c>
      <c r="N32" s="49">
        <v>588.47251906354529</v>
      </c>
      <c r="O32" s="49">
        <v>1855.528</v>
      </c>
      <c r="P32" s="49">
        <v>0</v>
      </c>
    </row>
    <row r="33" spans="1:16">
      <c r="A33" s="33"/>
      <c r="B33" s="33">
        <f t="shared" si="0"/>
        <v>1</v>
      </c>
      <c r="C33" s="33" t="s">
        <v>760</v>
      </c>
      <c r="D33" s="33">
        <v>27</v>
      </c>
      <c r="E33" s="35">
        <v>3008</v>
      </c>
      <c r="F33" s="49">
        <v>17918.492082667442</v>
      </c>
      <c r="G33" s="49">
        <v>1016.5305190018643</v>
      </c>
      <c r="H33" s="49">
        <v>516.48459879598681</v>
      </c>
      <c r="I33" s="49">
        <v>14334.793666133955</v>
      </c>
      <c r="J33" s="49">
        <v>966.5259269812766</v>
      </c>
      <c r="K33" s="49">
        <v>387.36344909699017</v>
      </c>
      <c r="L33" s="49">
        <v>44796.23020666861</v>
      </c>
      <c r="M33" s="49">
        <v>1116.5397030430397</v>
      </c>
      <c r="N33" s="49">
        <v>645.60574849498346</v>
      </c>
      <c r="O33" s="49">
        <v>1913.7559999999999</v>
      </c>
      <c r="P33" s="49">
        <v>0</v>
      </c>
    </row>
    <row r="34" spans="1:16">
      <c r="A34" s="33"/>
      <c r="B34" s="33">
        <f t="shared" si="0"/>
        <v>1</v>
      </c>
      <c r="C34" s="33" t="s">
        <v>760</v>
      </c>
      <c r="D34" s="33">
        <v>28</v>
      </c>
      <c r="E34" s="35">
        <v>3009</v>
      </c>
      <c r="F34" s="49">
        <v>23907.707537573606</v>
      </c>
      <c r="G34" s="49">
        <v>1240.0908086750708</v>
      </c>
      <c r="H34" s="49">
        <v>704.94366822742495</v>
      </c>
      <c r="I34" s="49">
        <v>19126.166030058885</v>
      </c>
      <c r="J34" s="49">
        <v>1172.4772212657576</v>
      </c>
      <c r="K34" s="49">
        <v>592.15268131103687</v>
      </c>
      <c r="L34" s="49">
        <v>59769.268843934013</v>
      </c>
      <c r="M34" s="49">
        <v>1375.3179834936968</v>
      </c>
      <c r="N34" s="49">
        <v>817.73465514381292</v>
      </c>
      <c r="O34" s="49">
        <v>1971.9840000000002</v>
      </c>
      <c r="P34" s="49">
        <v>0</v>
      </c>
    </row>
    <row r="35" spans="1:16">
      <c r="A35" s="33"/>
      <c r="B35" s="33">
        <f t="shared" si="0"/>
        <v>1</v>
      </c>
      <c r="C35" s="33" t="s">
        <v>760</v>
      </c>
      <c r="D35" s="33">
        <v>29</v>
      </c>
      <c r="E35" s="35">
        <v>4001</v>
      </c>
      <c r="F35" s="49">
        <v>22048.80155432774</v>
      </c>
      <c r="G35" s="49">
        <v>1245.0646280605861</v>
      </c>
      <c r="H35" s="49">
        <v>613.18902260869606</v>
      </c>
      <c r="I35" s="49">
        <v>17639.041243462194</v>
      </c>
      <c r="J35" s="49">
        <v>1181.8770675153971</v>
      </c>
      <c r="K35" s="49">
        <v>459.89176695652213</v>
      </c>
      <c r="L35" s="49">
        <v>55122.003885819351</v>
      </c>
      <c r="M35" s="49">
        <v>1371.439749150964</v>
      </c>
      <c r="N35" s="49">
        <v>766.48627826086999</v>
      </c>
      <c r="O35" s="49">
        <v>2030.212</v>
      </c>
      <c r="P35" s="49">
        <v>0</v>
      </c>
    </row>
    <row r="36" spans="1:16">
      <c r="A36" s="33"/>
      <c r="B36" s="33">
        <f t="shared" si="0"/>
        <v>1</v>
      </c>
      <c r="C36" s="33" t="s">
        <v>760</v>
      </c>
      <c r="D36" s="33">
        <v>30</v>
      </c>
      <c r="E36" s="35">
        <v>4002</v>
      </c>
      <c r="F36" s="49">
        <v>24602.247262249399</v>
      </c>
      <c r="G36" s="49">
        <v>1386.8808302441071</v>
      </c>
      <c r="H36" s="49">
        <v>672.48919866220774</v>
      </c>
      <c r="I36" s="49">
        <v>19681.797809799522</v>
      </c>
      <c r="J36" s="49">
        <v>1315.4416670859173</v>
      </c>
      <c r="K36" s="49">
        <v>504.36689899665589</v>
      </c>
      <c r="L36" s="49">
        <v>61505.618155623495</v>
      </c>
      <c r="M36" s="49">
        <v>1529.7591565604869</v>
      </c>
      <c r="N36" s="49">
        <v>840.61149832775959</v>
      </c>
      <c r="O36" s="49">
        <v>2088.44</v>
      </c>
      <c r="P36" s="49">
        <v>0</v>
      </c>
    </row>
    <row r="37" spans="1:16">
      <c r="A37" s="33"/>
      <c r="B37" s="33">
        <f t="shared" si="0"/>
        <v>1</v>
      </c>
      <c r="C37" s="33" t="s">
        <v>760</v>
      </c>
      <c r="D37" s="33">
        <v>31</v>
      </c>
      <c r="E37" s="35">
        <v>4003</v>
      </c>
      <c r="F37" s="49">
        <v>27667.296632101697</v>
      </c>
      <c r="G37" s="49">
        <v>1547.5381227879423</v>
      </c>
      <c r="H37" s="49">
        <v>743.61544061538484</v>
      </c>
      <c r="I37" s="49">
        <v>22133.837305681358</v>
      </c>
      <c r="J37" s="49">
        <v>1467.1458545706864</v>
      </c>
      <c r="K37" s="49">
        <v>557.71158046153869</v>
      </c>
      <c r="L37" s="49">
        <v>69168.241580254238</v>
      </c>
      <c r="M37" s="49">
        <v>1708.3226592224537</v>
      </c>
      <c r="N37" s="49">
        <v>929.51930076923099</v>
      </c>
      <c r="O37" s="49">
        <v>2146.6680000000001</v>
      </c>
      <c r="P37" s="49">
        <v>0</v>
      </c>
    </row>
    <row r="38" spans="1:16">
      <c r="A38" s="33"/>
      <c r="B38" s="33">
        <f t="shared" si="0"/>
        <v>1</v>
      </c>
      <c r="C38" s="33" t="s">
        <v>760</v>
      </c>
      <c r="D38" s="33">
        <v>32</v>
      </c>
      <c r="E38" s="35">
        <v>4004</v>
      </c>
      <c r="F38" s="49">
        <v>30990.514434410816</v>
      </c>
      <c r="G38" s="49">
        <v>1720.4481003567344</v>
      </c>
      <c r="H38" s="49">
        <v>819.29986370568577</v>
      </c>
      <c r="I38" s="49">
        <v>24792.411547528653</v>
      </c>
      <c r="J38" s="49">
        <v>1630.3332766916296</v>
      </c>
      <c r="K38" s="49">
        <v>614.47489777926444</v>
      </c>
      <c r="L38" s="49">
        <v>77476.286086027045</v>
      </c>
      <c r="M38" s="49">
        <v>1900.6777476869438</v>
      </c>
      <c r="N38" s="49">
        <v>1024.1248296321073</v>
      </c>
      <c r="O38" s="49">
        <v>2204.8960000000002</v>
      </c>
      <c r="P38" s="49">
        <v>0</v>
      </c>
    </row>
    <row r="39" spans="1:16">
      <c r="A39" s="33"/>
      <c r="B39" s="33">
        <f t="shared" si="0"/>
        <v>1</v>
      </c>
      <c r="C39" s="33" t="s">
        <v>760</v>
      </c>
      <c r="D39" s="33">
        <v>33</v>
      </c>
      <c r="E39" s="35">
        <v>4005</v>
      </c>
      <c r="F39" s="49">
        <v>34573.196392958278</v>
      </c>
      <c r="G39" s="49">
        <v>1905.5178265087504</v>
      </c>
      <c r="H39" s="49">
        <v>899.37196073578662</v>
      </c>
      <c r="I39" s="49">
        <v>27658.557114366624</v>
      </c>
      <c r="J39" s="49">
        <v>1804.9032399314542</v>
      </c>
      <c r="K39" s="49">
        <v>674.52897055184008</v>
      </c>
      <c r="L39" s="49">
        <v>86432.990982395699</v>
      </c>
      <c r="M39" s="49">
        <v>2106.7469996633431</v>
      </c>
      <c r="N39" s="49">
        <v>1124.2149509197332</v>
      </c>
      <c r="O39" s="49">
        <v>2263.1239999999998</v>
      </c>
      <c r="P39" s="49">
        <v>0</v>
      </c>
    </row>
    <row r="40" spans="1:16">
      <c r="A40" s="33"/>
      <c r="B40" s="33">
        <f t="shared" si="0"/>
        <v>1</v>
      </c>
      <c r="C40" s="33" t="s">
        <v>760</v>
      </c>
      <c r="D40" s="33">
        <v>34</v>
      </c>
      <c r="E40" s="35">
        <v>4006</v>
      </c>
      <c r="F40" s="49">
        <v>38426.737014116785</v>
      </c>
      <c r="G40" s="49">
        <v>2103.2231585458144</v>
      </c>
      <c r="H40" s="49">
        <v>983.93169407357891</v>
      </c>
      <c r="I40" s="49">
        <v>30741.389611293431</v>
      </c>
      <c r="J40" s="49">
        <v>1991.2940120985909</v>
      </c>
      <c r="K40" s="49">
        <v>737.94877055518418</v>
      </c>
      <c r="L40" s="49">
        <v>96066.842535291958</v>
      </c>
      <c r="M40" s="49">
        <v>2327.0814514402614</v>
      </c>
      <c r="N40" s="49">
        <v>1229.9146175919736</v>
      </c>
      <c r="O40" s="49">
        <v>2321.3520000000003</v>
      </c>
      <c r="P40" s="49">
        <v>0</v>
      </c>
    </row>
    <row r="41" spans="1:16">
      <c r="A41" s="33"/>
      <c r="B41" s="33">
        <f t="shared" si="0"/>
        <v>1</v>
      </c>
      <c r="C41" s="33" t="s">
        <v>760</v>
      </c>
      <c r="D41" s="33">
        <v>35</v>
      </c>
      <c r="E41" s="35">
        <v>4007</v>
      </c>
      <c r="F41" s="49">
        <v>42562.734823703468</v>
      </c>
      <c r="G41" s="49">
        <v>2314.0513733626863</v>
      </c>
      <c r="H41" s="49">
        <v>1073.0790260869569</v>
      </c>
      <c r="I41" s="49">
        <v>34050.187858962774</v>
      </c>
      <c r="J41" s="49">
        <v>2189.9541386351134</v>
      </c>
      <c r="K41" s="49">
        <v>804.80926956521785</v>
      </c>
      <c r="L41" s="49">
        <v>106406.83705925867</v>
      </c>
      <c r="M41" s="49">
        <v>2562.245842817832</v>
      </c>
      <c r="N41" s="49">
        <v>1341.348782608696</v>
      </c>
      <c r="O41" s="49">
        <v>2379.58</v>
      </c>
      <c r="P41" s="49">
        <v>0</v>
      </c>
    </row>
    <row r="42" spans="1:16">
      <c r="A42" s="33"/>
      <c r="B42" s="33">
        <f t="shared" si="0"/>
        <v>1</v>
      </c>
      <c r="C42" s="33" t="s">
        <v>760</v>
      </c>
      <c r="D42" s="33">
        <v>36</v>
      </c>
      <c r="E42" s="35">
        <v>4008</v>
      </c>
      <c r="F42" s="49">
        <v>46992.99239665216</v>
      </c>
      <c r="G42" s="49">
        <v>2538.5016044212689</v>
      </c>
      <c r="H42" s="49">
        <v>1166.913919143813</v>
      </c>
      <c r="I42" s="49">
        <v>37594.39391732173</v>
      </c>
      <c r="J42" s="49">
        <v>2401.3428358935234</v>
      </c>
      <c r="K42" s="49">
        <v>875.18543935785988</v>
      </c>
      <c r="L42" s="49">
        <v>117482.48099163041</v>
      </c>
      <c r="M42" s="49">
        <v>2812.8191414767598</v>
      </c>
      <c r="N42" s="49">
        <v>1458.6423989297662</v>
      </c>
      <c r="O42" s="49">
        <v>2437.808</v>
      </c>
      <c r="P42" s="49">
        <v>0</v>
      </c>
    </row>
    <row r="43" spans="1:16">
      <c r="A43" s="33"/>
      <c r="B43" s="33">
        <f t="shared" si="0"/>
        <v>1</v>
      </c>
      <c r="C43" s="33" t="s">
        <v>760</v>
      </c>
      <c r="D43" s="33">
        <v>37</v>
      </c>
      <c r="E43" s="35">
        <v>4009</v>
      </c>
      <c r="F43" s="49">
        <v>62075.419637508028</v>
      </c>
      <c r="G43" s="49">
        <v>3115.6722667312429</v>
      </c>
      <c r="H43" s="49">
        <v>1581.9204195150503</v>
      </c>
      <c r="I43" s="49">
        <v>49660.335710006424</v>
      </c>
      <c r="J43" s="49">
        <v>2930.6586736193231</v>
      </c>
      <c r="K43" s="49">
        <v>1328.8131523926425</v>
      </c>
      <c r="L43" s="49">
        <v>155188.54909377007</v>
      </c>
      <c r="M43" s="49">
        <v>3485.699452955083</v>
      </c>
      <c r="N43" s="49">
        <v>1835.0276866374584</v>
      </c>
      <c r="O43" s="49">
        <v>2496.0360000000001</v>
      </c>
      <c r="P43" s="49">
        <v>0</v>
      </c>
    </row>
    <row r="44" spans="1:16">
      <c r="A44" s="33"/>
      <c r="B44" s="33">
        <f t="shared" si="0"/>
        <v>1</v>
      </c>
      <c r="C44" s="33" t="s">
        <v>760</v>
      </c>
      <c r="D44" s="33">
        <v>38</v>
      </c>
      <c r="E44" s="35">
        <v>5001</v>
      </c>
      <c r="F44" s="49">
        <v>56784.51740497836</v>
      </c>
      <c r="G44" s="49">
        <v>3096.7779147743777</v>
      </c>
      <c r="H44" s="49">
        <v>1369.0462378595321</v>
      </c>
      <c r="I44" s="49">
        <v>45427.613923982688</v>
      </c>
      <c r="J44" s="49">
        <v>2924.0047470828931</v>
      </c>
      <c r="K44" s="49">
        <v>1026.7846783946493</v>
      </c>
      <c r="L44" s="49">
        <v>141961.2935124459</v>
      </c>
      <c r="M44" s="49">
        <v>3442.3242501573468</v>
      </c>
      <c r="N44" s="49">
        <v>1711.3077973244149</v>
      </c>
      <c r="O44" s="49">
        <v>2554.2640000000001</v>
      </c>
      <c r="P44" s="49">
        <v>0</v>
      </c>
    </row>
    <row r="45" spans="1:16">
      <c r="A45" s="33"/>
      <c r="B45" s="33">
        <f t="shared" si="0"/>
        <v>1</v>
      </c>
      <c r="C45" s="33" t="s">
        <v>760</v>
      </c>
      <c r="D45" s="33">
        <v>39</v>
      </c>
      <c r="E45" s="35">
        <v>5002</v>
      </c>
      <c r="F45" s="49">
        <v>62170.410214863972</v>
      </c>
      <c r="G45" s="49">
        <v>3408.0365141425427</v>
      </c>
      <c r="H45" s="49">
        <v>1477.5435882541808</v>
      </c>
      <c r="I45" s="49">
        <v>49736.328171891182</v>
      </c>
      <c r="J45" s="49">
        <v>3214.9872215537066</v>
      </c>
      <c r="K45" s="49">
        <v>1108.1576911906359</v>
      </c>
      <c r="L45" s="49">
        <v>155426.02553715993</v>
      </c>
      <c r="M45" s="49">
        <v>3794.135099320215</v>
      </c>
      <c r="N45" s="49">
        <v>1846.9294853177259</v>
      </c>
      <c r="O45" s="49">
        <v>2612.4920000000002</v>
      </c>
      <c r="P45" s="49">
        <v>0</v>
      </c>
    </row>
    <row r="46" spans="1:16">
      <c r="A46" s="33"/>
      <c r="B46" s="33">
        <f t="shared" si="0"/>
        <v>1</v>
      </c>
      <c r="C46" s="33" t="s">
        <v>760</v>
      </c>
      <c r="D46" s="33">
        <v>40</v>
      </c>
      <c r="E46" s="35">
        <v>5003</v>
      </c>
      <c r="F46" s="49">
        <v>68511.523503065546</v>
      </c>
      <c r="G46" s="49">
        <v>3776.0063478260886</v>
      </c>
      <c r="H46" s="49">
        <v>1605.4628387959874</v>
      </c>
      <c r="I46" s="49">
        <v>54809.218802452437</v>
      </c>
      <c r="J46" s="49">
        <v>3558.9519969230787</v>
      </c>
      <c r="K46" s="49">
        <v>1204.0971290969906</v>
      </c>
      <c r="L46" s="49">
        <v>171278.80875766388</v>
      </c>
      <c r="M46" s="49">
        <v>4210.1150496321088</v>
      </c>
      <c r="N46" s="49">
        <v>2006.828548494984</v>
      </c>
      <c r="O46" s="49">
        <v>2670.72</v>
      </c>
      <c r="P46" s="49">
        <v>0</v>
      </c>
    </row>
    <row r="47" spans="1:16">
      <c r="A47" s="33"/>
      <c r="B47" s="33">
        <f t="shared" si="0"/>
        <v>1</v>
      </c>
      <c r="C47" s="33" t="s">
        <v>760</v>
      </c>
      <c r="D47" s="33">
        <v>41</v>
      </c>
      <c r="E47" s="35">
        <v>5004</v>
      </c>
      <c r="F47" s="49">
        <v>75283.541885462531</v>
      </c>
      <c r="G47" s="49">
        <v>4172.7400269939562</v>
      </c>
      <c r="H47" s="49">
        <v>1739.8987370434788</v>
      </c>
      <c r="I47" s="49">
        <v>60226.833508370029</v>
      </c>
      <c r="J47" s="49">
        <v>3929.4558979989088</v>
      </c>
      <c r="K47" s="49">
        <v>1304.9240527826091</v>
      </c>
      <c r="L47" s="49">
        <v>188208.85471365633</v>
      </c>
      <c r="M47" s="49">
        <v>4659.3082849840521</v>
      </c>
      <c r="N47" s="49">
        <v>2174.8734213043485</v>
      </c>
      <c r="O47" s="49">
        <v>2728.9480000000003</v>
      </c>
      <c r="P47" s="49">
        <v>0</v>
      </c>
    </row>
    <row r="48" spans="1:16">
      <c r="A48" s="33"/>
      <c r="B48" s="33">
        <f t="shared" si="0"/>
        <v>1</v>
      </c>
      <c r="C48" s="33" t="s">
        <v>760</v>
      </c>
      <c r="D48" s="33">
        <v>42</v>
      </c>
      <c r="E48" s="35">
        <v>5005</v>
      </c>
      <c r="F48" s="49">
        <v>82503.226288916951</v>
      </c>
      <c r="G48" s="49">
        <v>4599.8513238166461</v>
      </c>
      <c r="H48" s="49">
        <v>1880.9845661538475</v>
      </c>
      <c r="I48" s="49">
        <v>66002.581031133566</v>
      </c>
      <c r="J48" s="49">
        <v>4327.9646480503661</v>
      </c>
      <c r="K48" s="49">
        <v>1410.7384246153861</v>
      </c>
      <c r="L48" s="49">
        <v>206258.06572229238</v>
      </c>
      <c r="M48" s="49">
        <v>5143.6246753492051</v>
      </c>
      <c r="N48" s="49">
        <v>2351.2307076923089</v>
      </c>
      <c r="O48" s="49">
        <v>2787.1759999999999</v>
      </c>
      <c r="P48" s="49">
        <v>0</v>
      </c>
    </row>
    <row r="49" spans="1:16">
      <c r="A49" s="33"/>
      <c r="B49" s="33">
        <f t="shared" si="0"/>
        <v>1</v>
      </c>
      <c r="C49" s="33" t="s">
        <v>760</v>
      </c>
      <c r="D49" s="33">
        <v>43</v>
      </c>
      <c r="E49" s="35">
        <v>5006</v>
      </c>
      <c r="F49" s="49">
        <v>90187.609011053428</v>
      </c>
      <c r="G49" s="49">
        <v>5059.0247993310459</v>
      </c>
      <c r="H49" s="49">
        <v>2028.8536092842814</v>
      </c>
      <c r="I49" s="49">
        <v>72150.087208842742</v>
      </c>
      <c r="J49" s="49">
        <v>4756.0076803263701</v>
      </c>
      <c r="K49" s="49">
        <v>1521.6402069632113</v>
      </c>
      <c r="L49" s="49">
        <v>225469.02252763358</v>
      </c>
      <c r="M49" s="49">
        <v>5665.0590373403993</v>
      </c>
      <c r="N49" s="49">
        <v>2536.0670116053516</v>
      </c>
      <c r="O49" s="49">
        <v>2845.404</v>
      </c>
      <c r="P49" s="49">
        <v>0</v>
      </c>
    </row>
    <row r="50" spans="1:16">
      <c r="A50" s="33"/>
      <c r="B50" s="33">
        <f t="shared" si="0"/>
        <v>1</v>
      </c>
      <c r="C50" s="33" t="s">
        <v>760</v>
      </c>
      <c r="D50" s="33">
        <v>44</v>
      </c>
      <c r="E50" s="35">
        <v>5007</v>
      </c>
      <c r="F50" s="49">
        <v>98353.993690285599</v>
      </c>
      <c r="G50" s="49">
        <v>5552.0186888561893</v>
      </c>
      <c r="H50" s="49">
        <v>2183.6391495919738</v>
      </c>
      <c r="I50" s="49">
        <v>78683.194952228485</v>
      </c>
      <c r="J50" s="49">
        <v>5215.1807349297678</v>
      </c>
      <c r="K50" s="49">
        <v>1637.7293621939807</v>
      </c>
      <c r="L50" s="49">
        <v>245884.984225714</v>
      </c>
      <c r="M50" s="49">
        <v>6225.6945967090323</v>
      </c>
      <c r="N50" s="49">
        <v>2729.5489369899669</v>
      </c>
      <c r="O50" s="49">
        <v>2903.6320000000001</v>
      </c>
      <c r="P50" s="49">
        <v>0</v>
      </c>
    </row>
    <row r="51" spans="1:16">
      <c r="A51" s="33"/>
      <c r="B51" s="33">
        <f t="shared" si="0"/>
        <v>1</v>
      </c>
      <c r="C51" s="33" t="s">
        <v>760</v>
      </c>
      <c r="D51" s="33">
        <v>45</v>
      </c>
      <c r="E51" s="35">
        <v>5008</v>
      </c>
      <c r="F51" s="49">
        <v>107019.955261108</v>
      </c>
      <c r="G51" s="49">
        <v>6080.6679297034661</v>
      </c>
      <c r="H51" s="49">
        <v>2345.4744702341145</v>
      </c>
      <c r="I51" s="49">
        <v>85615.964208886406</v>
      </c>
      <c r="J51" s="49">
        <v>5707.1485837565306</v>
      </c>
      <c r="K51" s="49">
        <v>1759.105852675586</v>
      </c>
      <c r="L51" s="49">
        <v>267549.88815277</v>
      </c>
      <c r="M51" s="49">
        <v>6827.7066215973355</v>
      </c>
      <c r="N51" s="49">
        <v>2931.843087792643</v>
      </c>
      <c r="O51" s="49">
        <v>2961.86</v>
      </c>
      <c r="P51" s="49">
        <v>0</v>
      </c>
    </row>
    <row r="52" spans="1:16">
      <c r="A52" s="33"/>
      <c r="B52" s="33">
        <f t="shared" si="0"/>
        <v>1</v>
      </c>
      <c r="C52" s="33" t="s">
        <v>760</v>
      </c>
      <c r="D52" s="33">
        <v>46</v>
      </c>
      <c r="E52" s="35">
        <v>5009</v>
      </c>
      <c r="F52" s="49">
        <v>139444.0078763224</v>
      </c>
      <c r="G52" s="49">
        <v>7473.366236449604</v>
      </c>
      <c r="H52" s="49">
        <v>3143.1160679598675</v>
      </c>
      <c r="I52" s="49">
        <v>111555.20630105794</v>
      </c>
      <c r="J52" s="49">
        <v>6977.4788982414339</v>
      </c>
      <c r="K52" s="49">
        <v>2640.2174970862889</v>
      </c>
      <c r="L52" s="49">
        <v>348610.01969080599</v>
      </c>
      <c r="M52" s="49">
        <v>8465.140912865947</v>
      </c>
      <c r="N52" s="49">
        <v>3646.014638833446</v>
      </c>
      <c r="O52" s="49">
        <v>3020.0879999999997</v>
      </c>
      <c r="P52" s="49">
        <v>0</v>
      </c>
    </row>
    <row r="53" spans="1:16">
      <c r="A53" s="33"/>
      <c r="B53" s="33">
        <f t="shared" si="0"/>
        <v>1</v>
      </c>
      <c r="C53" s="33" t="s">
        <v>760</v>
      </c>
      <c r="D53" s="33">
        <v>47</v>
      </c>
      <c r="E53" s="35">
        <v>6001</v>
      </c>
      <c r="F53" s="49">
        <v>125922.2649424351</v>
      </c>
      <c r="G53" s="49">
        <v>7252.6749534835508</v>
      </c>
      <c r="H53" s="49">
        <v>2690.8275851505027</v>
      </c>
      <c r="I53" s="49">
        <v>100737.81195394808</v>
      </c>
      <c r="J53" s="49">
        <v>6796.490216650247</v>
      </c>
      <c r="K53" s="49">
        <v>2018.1206888628776</v>
      </c>
      <c r="L53" s="49">
        <v>314805.66235608776</v>
      </c>
      <c r="M53" s="49">
        <v>8165.0444271501601</v>
      </c>
      <c r="N53" s="49">
        <v>3363.5344814381278</v>
      </c>
      <c r="O53" s="49">
        <v>3078.3160000000003</v>
      </c>
      <c r="P53" s="49">
        <v>0</v>
      </c>
    </row>
    <row r="54" spans="1:16">
      <c r="A54" s="33"/>
      <c r="B54" s="33">
        <f t="shared" si="0"/>
        <v>1</v>
      </c>
      <c r="C54" s="33" t="s">
        <v>760</v>
      </c>
      <c r="D54" s="33">
        <v>48</v>
      </c>
      <c r="E54" s="35">
        <v>6002</v>
      </c>
      <c r="F54" s="49">
        <v>136195.11883701631</v>
      </c>
      <c r="G54" s="49">
        <v>7900.1155315134383</v>
      </c>
      <c r="H54" s="49">
        <v>2874.6119457391319</v>
      </c>
      <c r="I54" s="49">
        <v>108956.09506961306</v>
      </c>
      <c r="J54" s="49">
        <v>7397.565172936007</v>
      </c>
      <c r="K54" s="49">
        <v>2155.9589593043493</v>
      </c>
      <c r="L54" s="49">
        <v>340487.79709254077</v>
      </c>
      <c r="M54" s="49">
        <v>8905.2162486682992</v>
      </c>
      <c r="N54" s="49">
        <v>3593.2649321739145</v>
      </c>
      <c r="O54" s="49">
        <v>3136.5439999999999</v>
      </c>
      <c r="P54" s="49">
        <v>0</v>
      </c>
    </row>
    <row r="55" spans="1:16">
      <c r="A55" s="33"/>
      <c r="B55" s="33">
        <f>VLOOKUP(C55,$R$7:$S$14,2,FALSE)</f>
        <v>1</v>
      </c>
      <c r="C55" s="33" t="s">
        <v>760</v>
      </c>
      <c r="D55" s="33">
        <v>49</v>
      </c>
      <c r="E55" s="35">
        <v>6003</v>
      </c>
      <c r="F55" s="49">
        <v>147040.56103089673</v>
      </c>
      <c r="G55" s="49">
        <v>8591.3842425963048</v>
      </c>
      <c r="H55" s="49">
        <v>3065.9792192909717</v>
      </c>
      <c r="I55" s="49">
        <v>117632.44882471739</v>
      </c>
      <c r="J55" s="49">
        <v>8038.8437402657719</v>
      </c>
      <c r="K55" s="49">
        <v>2299.4844144682293</v>
      </c>
      <c r="L55" s="49">
        <v>367601.40257724182</v>
      </c>
      <c r="M55" s="49">
        <v>9696.4652472573725</v>
      </c>
      <c r="N55" s="49">
        <v>3832.4740241137142</v>
      </c>
      <c r="O55" s="49">
        <v>3194.7719999999999</v>
      </c>
      <c r="P55" s="49">
        <v>0</v>
      </c>
    </row>
    <row r="56" spans="1:16">
      <c r="A56" s="33"/>
      <c r="B56" s="33">
        <f t="shared" si="0"/>
        <v>1</v>
      </c>
      <c r="C56" s="33" t="s">
        <v>760</v>
      </c>
      <c r="D56" s="33">
        <v>50</v>
      </c>
      <c r="E56" s="35">
        <v>6004</v>
      </c>
      <c r="F56" s="49">
        <v>159520.13717059622</v>
      </c>
      <c r="G56" s="49">
        <v>9390.1238987099896</v>
      </c>
      <c r="H56" s="49">
        <v>3286.5433645484964</v>
      </c>
      <c r="I56" s="49">
        <v>127616.10973647698</v>
      </c>
      <c r="J56" s="49">
        <v>8779.7658452938413</v>
      </c>
      <c r="K56" s="49">
        <v>2464.9075234113725</v>
      </c>
      <c r="L56" s="49">
        <v>398800.34292649059</v>
      </c>
      <c r="M56" s="49">
        <v>10610.840005542288</v>
      </c>
      <c r="N56" s="49">
        <v>4108.1792056856202</v>
      </c>
      <c r="O56" s="49">
        <v>3253</v>
      </c>
      <c r="P56" s="49">
        <v>0</v>
      </c>
    </row>
    <row r="57" spans="1:16">
      <c r="A57" s="33"/>
      <c r="B57" s="33">
        <f t="shared" si="0"/>
        <v>1</v>
      </c>
      <c r="C57" s="33" t="s">
        <v>760</v>
      </c>
      <c r="D57" s="33">
        <v>51</v>
      </c>
      <c r="E57" s="35">
        <v>6005</v>
      </c>
      <c r="F57" s="49">
        <v>169633.39780854934</v>
      </c>
      <c r="G57" s="49">
        <v>10244.256367580459</v>
      </c>
      <c r="H57" s="49">
        <v>3516.5084025016731</v>
      </c>
      <c r="I57" s="49">
        <v>135706.71824683947</v>
      </c>
      <c r="J57" s="49">
        <v>9571.4815710725816</v>
      </c>
      <c r="K57" s="49">
        <v>2653.0489135705693</v>
      </c>
      <c r="L57" s="49">
        <v>424083.49452137336</v>
      </c>
      <c r="M57" s="49">
        <v>11589.805960596215</v>
      </c>
      <c r="N57" s="49">
        <v>4379.9678914327769</v>
      </c>
      <c r="O57" s="49">
        <v>3311.2280000000001</v>
      </c>
      <c r="P57" s="49">
        <v>0</v>
      </c>
    </row>
    <row r="58" spans="1:16">
      <c r="A58" s="33"/>
      <c r="B58" s="33">
        <f t="shared" si="0"/>
        <v>1</v>
      </c>
      <c r="C58" s="33" t="s">
        <v>760</v>
      </c>
      <c r="D58" s="33">
        <v>52</v>
      </c>
      <c r="E58" s="35">
        <v>6006</v>
      </c>
      <c r="F58" s="49">
        <v>186638.13280369047</v>
      </c>
      <c r="G58" s="49">
        <v>11156.687602230384</v>
      </c>
      <c r="H58" s="49">
        <v>3756.040937096991</v>
      </c>
      <c r="I58" s="49">
        <v>149310.5062429524</v>
      </c>
      <c r="J58" s="49">
        <v>10416.622935717045</v>
      </c>
      <c r="K58" s="49">
        <v>2817.0307028227435</v>
      </c>
      <c r="L58" s="49">
        <v>466595.3320092262</v>
      </c>
      <c r="M58" s="49">
        <v>12636.816935257062</v>
      </c>
      <c r="N58" s="49">
        <v>4695.0511713712385</v>
      </c>
      <c r="O58" s="49">
        <v>3369.4560000000001</v>
      </c>
      <c r="P58" s="49">
        <v>0</v>
      </c>
    </row>
    <row r="59" spans="1:16">
      <c r="A59" s="33"/>
      <c r="B59" s="33">
        <f t="shared" si="0"/>
        <v>1</v>
      </c>
      <c r="C59" s="33" t="s">
        <v>760</v>
      </c>
      <c r="D59" s="33">
        <v>53</v>
      </c>
      <c r="E59" s="35">
        <v>6007</v>
      </c>
      <c r="F59" s="49">
        <v>201324.31814386719</v>
      </c>
      <c r="G59" s="49">
        <v>12130.451101695657</v>
      </c>
      <c r="H59" s="49">
        <v>4005.3075722809381</v>
      </c>
      <c r="I59" s="49">
        <v>161059.45451509376</v>
      </c>
      <c r="J59" s="49">
        <v>11317.936748754186</v>
      </c>
      <c r="K59" s="49">
        <v>3003.9806792107038</v>
      </c>
      <c r="L59" s="49">
        <v>503310.79535966797</v>
      </c>
      <c r="M59" s="49">
        <v>13755.479807578598</v>
      </c>
      <c r="N59" s="49">
        <v>5006.6344653511724</v>
      </c>
      <c r="O59" s="49">
        <v>3427.6839999999997</v>
      </c>
      <c r="P59" s="49">
        <v>0</v>
      </c>
    </row>
    <row r="60" spans="1:16">
      <c r="A60" s="33"/>
      <c r="B60" s="33">
        <f t="shared" si="0"/>
        <v>1</v>
      </c>
      <c r="C60" s="33" t="s">
        <v>760</v>
      </c>
      <c r="D60" s="33">
        <v>54</v>
      </c>
      <c r="E60" s="35">
        <v>6008</v>
      </c>
      <c r="F60" s="49">
        <v>216794.36946781015</v>
      </c>
      <c r="G60" s="49">
        <v>13168.713571351393</v>
      </c>
      <c r="H60" s="49">
        <v>4264.4749120000015</v>
      </c>
      <c r="I60" s="49">
        <v>173435.49557424814</v>
      </c>
      <c r="J60" s="49">
        <v>12278.289705416253</v>
      </c>
      <c r="K60" s="49">
        <v>3198.3561840000011</v>
      </c>
      <c r="L60" s="49">
        <v>541985.92366952542</v>
      </c>
      <c r="M60" s="49">
        <v>14949.56130322167</v>
      </c>
      <c r="N60" s="49">
        <v>5330.5936400000019</v>
      </c>
      <c r="O60" s="49">
        <v>3485.9119999999998</v>
      </c>
      <c r="P60" s="49">
        <v>0</v>
      </c>
    </row>
    <row r="61" spans="1:16">
      <c r="A61" s="33"/>
      <c r="B61" s="33">
        <f t="shared" si="0"/>
        <v>1</v>
      </c>
      <c r="C61" s="33" t="s">
        <v>760</v>
      </c>
      <c r="D61" s="33">
        <v>55</v>
      </c>
      <c r="E61" s="35">
        <v>6009</v>
      </c>
      <c r="F61" s="49">
        <v>279687.61815618019</v>
      </c>
      <c r="G61" s="49">
        <v>16222.995152809737</v>
      </c>
      <c r="H61" s="49">
        <v>5667.1369502508369</v>
      </c>
      <c r="I61" s="49">
        <v>223750.09452494414</v>
      </c>
      <c r="J61" s="49">
        <v>15054.066593548832</v>
      </c>
      <c r="K61" s="49">
        <v>4760.3950382107023</v>
      </c>
      <c r="L61" s="49">
        <v>699219.04539045051</v>
      </c>
      <c r="M61" s="49">
        <v>18560.852271331551</v>
      </c>
      <c r="N61" s="49">
        <v>6573.8788622909706</v>
      </c>
      <c r="O61" s="49">
        <v>3544.1399999999994</v>
      </c>
      <c r="P61" s="49">
        <v>0</v>
      </c>
    </row>
    <row r="62" spans="1:16">
      <c r="A62" s="33"/>
      <c r="B62" s="33">
        <f t="shared" si="0"/>
        <v>1</v>
      </c>
      <c r="C62" s="33" t="s">
        <v>760</v>
      </c>
      <c r="D62" s="33">
        <v>56</v>
      </c>
      <c r="E62" s="35">
        <v>7001</v>
      </c>
      <c r="F62" s="49">
        <v>250185.32144305485</v>
      </c>
      <c r="G62" s="49">
        <v>15452.104384583115</v>
      </c>
      <c r="H62" s="49">
        <v>4813.1781208294333</v>
      </c>
      <c r="I62" s="49">
        <v>200148.25715444388</v>
      </c>
      <c r="J62" s="49">
        <v>14388.211758207748</v>
      </c>
      <c r="K62" s="49">
        <v>3609.8835906220747</v>
      </c>
      <c r="L62" s="49">
        <v>625463.30360763718</v>
      </c>
      <c r="M62" s="49">
        <v>17579.88963733385</v>
      </c>
      <c r="N62" s="49">
        <v>6016.4726510367918</v>
      </c>
      <c r="O62" s="49">
        <v>3602.3680000000004</v>
      </c>
      <c r="P62" s="49">
        <v>0</v>
      </c>
    </row>
    <row r="63" spans="1:16">
      <c r="A63" s="33"/>
      <c r="B63" s="33">
        <f t="shared" si="0"/>
        <v>1</v>
      </c>
      <c r="C63" s="33" t="s">
        <v>760</v>
      </c>
      <c r="D63" s="33">
        <v>57</v>
      </c>
      <c r="E63" s="35">
        <v>7002</v>
      </c>
      <c r="F63" s="49">
        <v>268156.69255101995</v>
      </c>
      <c r="G63" s="49">
        <v>16704.287488285485</v>
      </c>
      <c r="H63" s="49">
        <v>5103.0471978327778</v>
      </c>
      <c r="I63" s="49">
        <v>214525.35404081596</v>
      </c>
      <c r="J63" s="49">
        <v>15544.163459240215</v>
      </c>
      <c r="K63" s="49">
        <v>3827.2853983745836</v>
      </c>
      <c r="L63" s="49">
        <v>670391.73137754994</v>
      </c>
      <c r="M63" s="49">
        <v>19024.535546376028</v>
      </c>
      <c r="N63" s="49">
        <v>6378.808997290972</v>
      </c>
      <c r="O63" s="49">
        <v>3660.596</v>
      </c>
      <c r="P63" s="49">
        <v>0</v>
      </c>
    </row>
    <row r="64" spans="1:16">
      <c r="A64" s="33"/>
      <c r="B64" s="33">
        <f t="shared" si="0"/>
        <v>1</v>
      </c>
      <c r="C64" s="33" t="s">
        <v>760</v>
      </c>
      <c r="D64" s="33">
        <v>58</v>
      </c>
      <c r="E64" s="35">
        <v>7003</v>
      </c>
      <c r="F64" s="49">
        <v>287012.87030293985</v>
      </c>
      <c r="G64" s="49">
        <v>18035.092712312748</v>
      </c>
      <c r="H64" s="49">
        <v>5403.4833951571927</v>
      </c>
      <c r="I64" s="49">
        <v>229610.29624235188</v>
      </c>
      <c r="J64" s="49">
        <v>16771.931780597195</v>
      </c>
      <c r="K64" s="49">
        <v>4052.6125463678945</v>
      </c>
      <c r="L64" s="49">
        <v>717532.17575734959</v>
      </c>
      <c r="M64" s="49">
        <v>20561.41457574386</v>
      </c>
      <c r="N64" s="49">
        <v>6754.3542439464909</v>
      </c>
      <c r="O64" s="49">
        <v>3718.8240000000001</v>
      </c>
      <c r="P64" s="49">
        <v>0</v>
      </c>
    </row>
    <row r="65" spans="1:16">
      <c r="A65" s="33"/>
      <c r="B65" s="33">
        <f t="shared" si="0"/>
        <v>1</v>
      </c>
      <c r="C65" s="33" t="s">
        <v>760</v>
      </c>
      <c r="D65" s="33">
        <v>59</v>
      </c>
      <c r="E65" s="35">
        <v>7004</v>
      </c>
      <c r="F65" s="49">
        <v>306779.93412203423</v>
      </c>
      <c r="G65" s="49">
        <v>19448.449047028778</v>
      </c>
      <c r="H65" s="49">
        <v>5714.6533167491662</v>
      </c>
      <c r="I65" s="49">
        <v>245423.9472976274</v>
      </c>
      <c r="J65" s="49">
        <v>18075.069474000818</v>
      </c>
      <c r="K65" s="49">
        <v>4285.9899875618758</v>
      </c>
      <c r="L65" s="49">
        <v>766949.83530508564</v>
      </c>
      <c r="M65" s="49">
        <v>22195.208193084702</v>
      </c>
      <c r="N65" s="49">
        <v>7143.3166459364575</v>
      </c>
      <c r="O65" s="49">
        <v>3777.0519999999997</v>
      </c>
      <c r="P65" s="49">
        <v>0</v>
      </c>
    </row>
    <row r="66" spans="1:16">
      <c r="A66" s="33"/>
      <c r="B66" s="33">
        <f t="shared" si="0"/>
        <v>1</v>
      </c>
      <c r="C66" s="33" t="s">
        <v>760</v>
      </c>
      <c r="D66" s="33">
        <v>60</v>
      </c>
      <c r="E66" s="35">
        <v>7005</v>
      </c>
      <c r="F66" s="49">
        <v>329097.52403114893</v>
      </c>
      <c r="G66" s="49">
        <v>21051.654145986631</v>
      </c>
      <c r="H66" s="49">
        <v>6066.4611210702378</v>
      </c>
      <c r="I66" s="49">
        <v>263278.01922491915</v>
      </c>
      <c r="J66" s="49">
        <v>19553.13484349499</v>
      </c>
      <c r="K66" s="49">
        <v>4549.8458408026781</v>
      </c>
      <c r="L66" s="49">
        <v>822743.81007787236</v>
      </c>
      <c r="M66" s="49">
        <v>24048.692750969909</v>
      </c>
      <c r="N66" s="49">
        <v>7583.0764013377966</v>
      </c>
      <c r="O66" s="49">
        <v>3835.2799999999997</v>
      </c>
      <c r="P66" s="49">
        <v>0</v>
      </c>
    </row>
    <row r="67" spans="1:16">
      <c r="A67" s="33"/>
      <c r="B67" s="33">
        <f t="shared" si="0"/>
        <v>1</v>
      </c>
      <c r="C67" s="33" t="s">
        <v>760</v>
      </c>
      <c r="D67" s="33">
        <v>61</v>
      </c>
      <c r="E67" s="35">
        <v>7006</v>
      </c>
      <c r="F67" s="49">
        <v>352509.96247259458</v>
      </c>
      <c r="G67" s="49">
        <v>22756.135759752957</v>
      </c>
      <c r="H67" s="49">
        <v>6431.1094095652197</v>
      </c>
      <c r="I67" s="49">
        <v>282007.96997807565</v>
      </c>
      <c r="J67" s="49">
        <v>21123.633124734184</v>
      </c>
      <c r="K67" s="49">
        <v>4823.332057173915</v>
      </c>
      <c r="L67" s="49">
        <v>881274.90618148644</v>
      </c>
      <c r="M67" s="49">
        <v>26021.141029790502</v>
      </c>
      <c r="N67" s="49">
        <v>8038.8867619565244</v>
      </c>
      <c r="O67" s="49">
        <v>3893.5080000000003</v>
      </c>
      <c r="P67" s="49">
        <v>0</v>
      </c>
    </row>
    <row r="68" spans="1:16">
      <c r="A68" s="33"/>
      <c r="B68" s="33">
        <f t="shared" si="0"/>
        <v>1</v>
      </c>
      <c r="C68" s="33" t="s">
        <v>760</v>
      </c>
      <c r="D68" s="33">
        <v>62</v>
      </c>
      <c r="E68" s="35">
        <v>7007</v>
      </c>
      <c r="F68" s="49">
        <v>377049.08997165965</v>
      </c>
      <c r="G68" s="49">
        <v>24566.98692539992</v>
      </c>
      <c r="H68" s="49">
        <v>6808.7981069699035</v>
      </c>
      <c r="I68" s="49">
        <v>301639.27197732771</v>
      </c>
      <c r="J68" s="49">
        <v>22791.168043556921</v>
      </c>
      <c r="K68" s="49">
        <v>5106.5985802274281</v>
      </c>
      <c r="L68" s="49">
        <v>942622.72492914915</v>
      </c>
      <c r="M68" s="49">
        <v>28118.624689085926</v>
      </c>
      <c r="N68" s="49">
        <v>8510.997633712379</v>
      </c>
      <c r="O68" s="49">
        <v>3951.7360000000003</v>
      </c>
      <c r="P68" s="49">
        <v>0</v>
      </c>
    </row>
    <row r="69" spans="1:16">
      <c r="A69" s="33"/>
      <c r="B69" s="33">
        <f t="shared" si="0"/>
        <v>1</v>
      </c>
      <c r="C69" s="33" t="s">
        <v>760</v>
      </c>
      <c r="D69" s="33">
        <v>63</v>
      </c>
      <c r="E69" s="35">
        <v>7008</v>
      </c>
      <c r="F69" s="49">
        <v>402747.15166459483</v>
      </c>
      <c r="G69" s="49">
        <v>26489.530463118466</v>
      </c>
      <c r="H69" s="49">
        <v>7199.7271380200691</v>
      </c>
      <c r="I69" s="49">
        <v>322197.72133167589</v>
      </c>
      <c r="J69" s="49">
        <v>24560.550130608626</v>
      </c>
      <c r="K69" s="49">
        <v>5399.7953535150518</v>
      </c>
      <c r="L69" s="49">
        <v>1006867.8791614871</v>
      </c>
      <c r="M69" s="49">
        <v>30347.491128138146</v>
      </c>
      <c r="N69" s="49">
        <v>8999.6589225250864</v>
      </c>
      <c r="O69" s="49">
        <v>4009.9639999999999</v>
      </c>
      <c r="P69" s="49">
        <v>0</v>
      </c>
    </row>
    <row r="70" spans="1:16">
      <c r="A70" s="33"/>
      <c r="B70" s="33">
        <f t="shared" si="0"/>
        <v>1</v>
      </c>
      <c r="C70" s="33" t="s">
        <v>760</v>
      </c>
      <c r="D70" s="33">
        <v>64</v>
      </c>
      <c r="E70" s="35">
        <v>7009</v>
      </c>
      <c r="F70" s="49">
        <v>515564.15657173883</v>
      </c>
      <c r="G70" s="49">
        <v>32714.376914855249</v>
      </c>
      <c r="H70" s="49">
        <v>9505.1205343143847</v>
      </c>
      <c r="I70" s="49">
        <v>412451.32525739114</v>
      </c>
      <c r="J70" s="49">
        <v>30203.348866114873</v>
      </c>
      <c r="K70" s="49">
        <v>7984.3012488240838</v>
      </c>
      <c r="L70" s="49">
        <v>1288910.3914293472</v>
      </c>
      <c r="M70" s="49">
        <v>37736.433012335998</v>
      </c>
      <c r="N70" s="49">
        <v>11025.939819804687</v>
      </c>
      <c r="O70" s="49">
        <v>4068.192</v>
      </c>
      <c r="P70" s="49">
        <v>0</v>
      </c>
    </row>
    <row r="71" spans="1:16">
      <c r="A71" s="33"/>
      <c r="B71" s="33">
        <f t="shared" si="0"/>
        <v>1</v>
      </c>
      <c r="C71" s="33" t="s">
        <v>760</v>
      </c>
      <c r="D71" s="33">
        <v>65</v>
      </c>
      <c r="E71" s="35">
        <v>8001</v>
      </c>
      <c r="F71" s="49">
        <v>457751.08029818488</v>
      </c>
      <c r="G71" s="49">
        <v>30692.202655982725</v>
      </c>
      <c r="H71" s="49">
        <v>8022.1059000000023</v>
      </c>
      <c r="I71" s="49">
        <v>366200.86423854792</v>
      </c>
      <c r="J71" s="49">
        <v>28425.192980384454</v>
      </c>
      <c r="K71" s="49">
        <v>6016.5794250000035</v>
      </c>
      <c r="L71" s="49">
        <v>1144377.7007454622</v>
      </c>
      <c r="M71" s="49">
        <v>35226.222007179269</v>
      </c>
      <c r="N71" s="49">
        <v>10027.632375000001</v>
      </c>
      <c r="O71" s="49">
        <v>4126.42</v>
      </c>
      <c r="P71" s="49">
        <v>0</v>
      </c>
    </row>
    <row r="72" spans="1:16">
      <c r="A72" s="33"/>
      <c r="B72" s="33">
        <f t="shared" ref="B72:B135" si="1">VLOOKUP(C72,$R$7:$S$14,2,FALSE)</f>
        <v>1</v>
      </c>
      <c r="C72" s="33" t="s">
        <v>760</v>
      </c>
      <c r="D72" s="33">
        <v>66</v>
      </c>
      <c r="E72" s="35">
        <v>8002</v>
      </c>
      <c r="F72" s="49">
        <v>487123.45916340762</v>
      </c>
      <c r="G72" s="49">
        <v>32984.229931839931</v>
      </c>
      <c r="H72" s="49">
        <v>8453.9554804013442</v>
      </c>
      <c r="I72" s="49">
        <v>389698.76733072614</v>
      </c>
      <c r="J72" s="49">
        <v>30531.202486696071</v>
      </c>
      <c r="K72" s="49">
        <v>6340.4666103010095</v>
      </c>
      <c r="L72" s="49">
        <v>1217808.647908519</v>
      </c>
      <c r="M72" s="49">
        <v>37890.284822127644</v>
      </c>
      <c r="N72" s="49">
        <v>10567.444350501679</v>
      </c>
      <c r="O72" s="49">
        <v>4184.6480000000001</v>
      </c>
      <c r="P72" s="49">
        <v>0</v>
      </c>
    </row>
    <row r="73" spans="1:16">
      <c r="A73" s="33"/>
      <c r="B73" s="33">
        <f t="shared" si="1"/>
        <v>1</v>
      </c>
      <c r="C73" s="33" t="s">
        <v>760</v>
      </c>
      <c r="D73" s="33">
        <v>67</v>
      </c>
      <c r="E73" s="35">
        <v>8003</v>
      </c>
      <c r="F73" s="49">
        <v>517787.79575834068</v>
      </c>
      <c r="G73" s="49">
        <v>35084.464944098821</v>
      </c>
      <c r="H73" s="49">
        <v>8899.84509339131</v>
      </c>
      <c r="I73" s="49">
        <v>414230.23660667258</v>
      </c>
      <c r="J73" s="49">
        <v>32466.002959028068</v>
      </c>
      <c r="K73" s="49">
        <v>6674.883820043482</v>
      </c>
      <c r="L73" s="49">
        <v>1294469.4893958517</v>
      </c>
      <c r="M73" s="49">
        <v>40321.38891424032</v>
      </c>
      <c r="N73" s="49">
        <v>11124.806366739138</v>
      </c>
      <c r="O73" s="49">
        <v>4242.8759999999993</v>
      </c>
      <c r="P73" s="49">
        <v>0</v>
      </c>
    </row>
    <row r="74" spans="1:16">
      <c r="A74" s="33"/>
      <c r="B74" s="33">
        <f t="shared" si="1"/>
        <v>1</v>
      </c>
      <c r="C74" s="33" t="s">
        <v>760</v>
      </c>
      <c r="D74" s="33">
        <v>68</v>
      </c>
      <c r="E74" s="35">
        <v>8004</v>
      </c>
      <c r="F74" s="49">
        <v>549778.35593197402</v>
      </c>
      <c r="G74" s="49">
        <v>37283.398849405807</v>
      </c>
      <c r="H74" s="49">
        <v>9359.9746637056942</v>
      </c>
      <c r="I74" s="49">
        <v>439822.68474557926</v>
      </c>
      <c r="J74" s="49">
        <v>34491.056430835793</v>
      </c>
      <c r="K74" s="49">
        <v>7019.9809977792702</v>
      </c>
      <c r="L74" s="49">
        <v>1374445.889829935</v>
      </c>
      <c r="M74" s="49">
        <v>42868.083686545826</v>
      </c>
      <c r="N74" s="49">
        <v>11699.968329632118</v>
      </c>
      <c r="O74" s="49">
        <v>4301.1040000000003</v>
      </c>
      <c r="P74" s="49">
        <v>0</v>
      </c>
    </row>
    <row r="75" spans="1:16">
      <c r="A75" s="33"/>
      <c r="B75" s="33">
        <f t="shared" si="1"/>
        <v>1</v>
      </c>
      <c r="C75" s="33" t="s">
        <v>760</v>
      </c>
      <c r="D75" s="33">
        <v>69</v>
      </c>
      <c r="E75" s="35">
        <v>8005</v>
      </c>
      <c r="F75" s="49">
        <v>583129.80920660822</v>
      </c>
      <c r="G75" s="49">
        <v>39584.69585392889</v>
      </c>
      <c r="H75" s="49">
        <v>9834.5441160802766</v>
      </c>
      <c r="I75" s="49">
        <v>466503.84736528661</v>
      </c>
      <c r="J75" s="49">
        <v>36609.680680144025</v>
      </c>
      <c r="K75" s="49">
        <v>7375.9080870602083</v>
      </c>
      <c r="L75" s="49">
        <v>1457824.5230165205</v>
      </c>
      <c r="M75" s="49">
        <v>45534.726201498604</v>
      </c>
      <c r="N75" s="49">
        <v>12293.180145100345</v>
      </c>
      <c r="O75" s="49">
        <v>4359.3320000000003</v>
      </c>
      <c r="P75" s="49">
        <v>0</v>
      </c>
    </row>
    <row r="76" spans="1:16">
      <c r="A76" s="33"/>
      <c r="B76" s="33">
        <f t="shared" si="1"/>
        <v>1</v>
      </c>
      <c r="C76" s="33" t="s">
        <v>760</v>
      </c>
      <c r="D76" s="33">
        <v>70</v>
      </c>
      <c r="E76" s="35">
        <v>8006</v>
      </c>
      <c r="F76" s="49">
        <v>620217.67267013376</v>
      </c>
      <c r="G76" s="49">
        <v>42151.224738842153</v>
      </c>
      <c r="H76" s="49">
        <v>10362.85850167225</v>
      </c>
      <c r="I76" s="49">
        <v>496174.13813610701</v>
      </c>
      <c r="J76" s="49">
        <v>38972.388115125163</v>
      </c>
      <c r="K76" s="49">
        <v>7772.1438762541875</v>
      </c>
      <c r="L76" s="49">
        <v>1550544.1816753345</v>
      </c>
      <c r="M76" s="49">
        <v>48508.897986276133</v>
      </c>
      <c r="N76" s="49">
        <v>12953.573127090312</v>
      </c>
      <c r="O76" s="49">
        <v>4417.5600000000004</v>
      </c>
      <c r="P76" s="49">
        <v>0</v>
      </c>
    </row>
    <row r="77" spans="1:16">
      <c r="A77" s="33"/>
      <c r="B77" s="33">
        <f t="shared" si="1"/>
        <v>1</v>
      </c>
      <c r="C77" s="33" t="s">
        <v>760</v>
      </c>
      <c r="D77" s="33">
        <v>71</v>
      </c>
      <c r="E77" s="35">
        <v>8007</v>
      </c>
      <c r="F77" s="49">
        <v>658900.95051244006</v>
      </c>
      <c r="G77" s="49">
        <v>44839.462152910943</v>
      </c>
      <c r="H77" s="49">
        <v>10908.008309404689</v>
      </c>
      <c r="I77" s="49">
        <v>527120.76040995202</v>
      </c>
      <c r="J77" s="49">
        <v>41446.316768560326</v>
      </c>
      <c r="K77" s="49">
        <v>8181.006232053518</v>
      </c>
      <c r="L77" s="49">
        <v>1647252.3762811001</v>
      </c>
      <c r="M77" s="49">
        <v>51625.752921612191</v>
      </c>
      <c r="N77" s="49">
        <v>13635.010386755861</v>
      </c>
      <c r="O77" s="49">
        <v>4475.7879999999996</v>
      </c>
      <c r="P77" s="49">
        <v>0</v>
      </c>
    </row>
    <row r="78" spans="1:16">
      <c r="A78" s="33"/>
      <c r="B78" s="33">
        <f t="shared" si="1"/>
        <v>1</v>
      </c>
      <c r="C78" s="33" t="s">
        <v>760</v>
      </c>
      <c r="D78" s="33">
        <v>72</v>
      </c>
      <c r="E78" s="35">
        <v>8008</v>
      </c>
      <c r="F78" s="49">
        <v>699220.77768433432</v>
      </c>
      <c r="G78" s="49">
        <v>47654.011926194202</v>
      </c>
      <c r="H78" s="49">
        <v>11470.226784802682</v>
      </c>
      <c r="I78" s="49">
        <v>559376.62214746745</v>
      </c>
      <c r="J78" s="49">
        <v>44035.633412055045</v>
      </c>
      <c r="K78" s="49">
        <v>8602.6700886020117</v>
      </c>
      <c r="L78" s="49">
        <v>1748051.9442108357</v>
      </c>
      <c r="M78" s="49">
        <v>54890.768954472507</v>
      </c>
      <c r="N78" s="49">
        <v>14337.783481003353</v>
      </c>
      <c r="O78" s="49">
        <v>4534.0159999999996</v>
      </c>
      <c r="P78" s="49">
        <v>0</v>
      </c>
    </row>
    <row r="79" spans="1:16">
      <c r="A79" s="33"/>
      <c r="B79" s="33">
        <f t="shared" si="1"/>
        <v>1</v>
      </c>
      <c r="C79" s="33" t="s">
        <v>760</v>
      </c>
      <c r="D79" s="33">
        <v>73</v>
      </c>
      <c r="E79" s="35">
        <v>8009</v>
      </c>
      <c r="F79" s="49">
        <v>889462.51149343839</v>
      </c>
      <c r="G79" s="49">
        <v>58309.648004838025</v>
      </c>
      <c r="H79" s="49">
        <v>15062.18396673914</v>
      </c>
      <c r="I79" s="49">
        <v>711570.0091947508</v>
      </c>
      <c r="J79" s="49">
        <v>53683.657921693361</v>
      </c>
      <c r="K79" s="49">
        <v>12652.23453206088</v>
      </c>
      <c r="L79" s="49">
        <v>2223656.2787335957</v>
      </c>
      <c r="M79" s="49">
        <v>67561.628171127377</v>
      </c>
      <c r="N79" s="49">
        <v>17472.133401417399</v>
      </c>
      <c r="O79" s="49">
        <v>4592.2439999999997</v>
      </c>
      <c r="P79" s="49">
        <v>0</v>
      </c>
    </row>
    <row r="80" spans="1:16">
      <c r="A80" s="33"/>
      <c r="B80" s="33">
        <f t="shared" si="1"/>
        <v>2</v>
      </c>
      <c r="C80" s="33" t="s">
        <v>761</v>
      </c>
      <c r="D80" s="33">
        <v>13</v>
      </c>
      <c r="E80" s="35">
        <v>1201</v>
      </c>
      <c r="F80" s="49">
        <v>3094.6851411110956</v>
      </c>
      <c r="G80" s="49">
        <v>201.25647319685464</v>
      </c>
      <c r="H80" s="49">
        <v>123.07679999999999</v>
      </c>
      <c r="I80" s="49">
        <v>2475.7481128888767</v>
      </c>
      <c r="J80" s="49">
        <v>193.43850587716918</v>
      </c>
      <c r="K80" s="49">
        <v>92.307600000000008</v>
      </c>
      <c r="L80" s="49">
        <v>7736.7128527777386</v>
      </c>
      <c r="M80" s="49">
        <v>216.89240783622557</v>
      </c>
      <c r="N80" s="49">
        <v>153.846</v>
      </c>
      <c r="O80" s="49">
        <v>1098.5640000000001</v>
      </c>
      <c r="P80" s="49">
        <v>0</v>
      </c>
    </row>
    <row r="81" spans="1:16">
      <c r="A81" s="33"/>
      <c r="B81" s="33">
        <f t="shared" si="1"/>
        <v>2</v>
      </c>
      <c r="C81" s="33" t="s">
        <v>761</v>
      </c>
      <c r="D81" s="33">
        <v>14</v>
      </c>
      <c r="E81" s="35">
        <v>1202</v>
      </c>
      <c r="F81" s="49">
        <v>3721.5984330417537</v>
      </c>
      <c r="G81" s="49">
        <v>236.11559020315178</v>
      </c>
      <c r="H81" s="49">
        <v>144.45804521739137</v>
      </c>
      <c r="I81" s="49">
        <v>2977.2787464334028</v>
      </c>
      <c r="J81" s="49">
        <v>226.59749900892356</v>
      </c>
      <c r="K81" s="49">
        <v>109.92904904347833</v>
      </c>
      <c r="L81" s="49">
        <v>9303.9960826043825</v>
      </c>
      <c r="M81" s="49">
        <v>255.15177259160822</v>
      </c>
      <c r="N81" s="49">
        <v>178.98704139130439</v>
      </c>
      <c r="O81" s="49">
        <v>1156.7920000000001</v>
      </c>
      <c r="P81" s="49">
        <v>0</v>
      </c>
    </row>
    <row r="82" spans="1:16">
      <c r="A82" s="33"/>
      <c r="B82" s="33">
        <f t="shared" si="1"/>
        <v>2</v>
      </c>
      <c r="C82" s="33" t="s">
        <v>761</v>
      </c>
      <c r="D82" s="33">
        <v>15</v>
      </c>
      <c r="E82" s="35">
        <v>1203</v>
      </c>
      <c r="F82" s="49">
        <v>4424.8772200063731</v>
      </c>
      <c r="G82" s="49">
        <v>274.42100789835166</v>
      </c>
      <c r="H82" s="49">
        <v>167.82652173913047</v>
      </c>
      <c r="I82" s="49">
        <v>3539.9017760050988</v>
      </c>
      <c r="J82" s="49">
        <v>262.96238536938608</v>
      </c>
      <c r="K82" s="49">
        <v>129.46617391304355</v>
      </c>
      <c r="L82" s="49">
        <v>11062.193050015934</v>
      </c>
      <c r="M82" s="49">
        <v>297.33825295628287</v>
      </c>
      <c r="N82" s="49">
        <v>206.18686956521742</v>
      </c>
      <c r="O82" s="49">
        <v>1215.02</v>
      </c>
      <c r="P82" s="49">
        <v>0</v>
      </c>
    </row>
    <row r="83" spans="1:16">
      <c r="A83" s="33"/>
      <c r="B83" s="33">
        <f t="shared" si="1"/>
        <v>2</v>
      </c>
      <c r="C83" s="33" t="s">
        <v>761</v>
      </c>
      <c r="D83" s="33">
        <v>16</v>
      </c>
      <c r="E83" s="35">
        <v>1204</v>
      </c>
      <c r="F83" s="49">
        <v>5209.5362374956539</v>
      </c>
      <c r="G83" s="49">
        <v>316.38733493651409</v>
      </c>
      <c r="H83" s="49">
        <v>193.26039652173918</v>
      </c>
      <c r="I83" s="49">
        <v>4167.6289899965232</v>
      </c>
      <c r="J83" s="49">
        <v>302.7263127472105</v>
      </c>
      <c r="K83" s="49">
        <v>151.01277495652181</v>
      </c>
      <c r="L83" s="49">
        <v>13023.840593739136</v>
      </c>
      <c r="M83" s="49">
        <v>343.70937931512117</v>
      </c>
      <c r="N83" s="49">
        <v>235.50801808695658</v>
      </c>
      <c r="O83" s="49">
        <v>1273.248</v>
      </c>
      <c r="P83" s="49">
        <v>0</v>
      </c>
    </row>
    <row r="84" spans="1:16">
      <c r="A84" s="33"/>
      <c r="B84" s="33">
        <f t="shared" si="1"/>
        <v>2</v>
      </c>
      <c r="C84" s="33" t="s">
        <v>761</v>
      </c>
      <c r="D84" s="33">
        <v>17</v>
      </c>
      <c r="E84" s="35">
        <v>1205</v>
      </c>
      <c r="F84" s="49">
        <v>6080.7246165838169</v>
      </c>
      <c r="G84" s="49">
        <v>362.24046477256223</v>
      </c>
      <c r="H84" s="49">
        <v>220.83783652173918</v>
      </c>
      <c r="I84" s="49">
        <v>4864.5796932670537</v>
      </c>
      <c r="J84" s="49">
        <v>346.09258525182776</v>
      </c>
      <c r="K84" s="49">
        <v>174.66265252173918</v>
      </c>
      <c r="L84" s="49">
        <v>15201.811541459543</v>
      </c>
      <c r="M84" s="49">
        <v>394.53622381403113</v>
      </c>
      <c r="N84" s="49">
        <v>267.01302052173912</v>
      </c>
      <c r="O84" s="49">
        <v>1331.4760000000001</v>
      </c>
      <c r="P84" s="49">
        <v>0</v>
      </c>
    </row>
    <row r="85" spans="1:16">
      <c r="A85" s="33"/>
      <c r="B85" s="33">
        <f t="shared" si="1"/>
        <v>2</v>
      </c>
      <c r="C85" s="33" t="s">
        <v>761</v>
      </c>
      <c r="D85" s="33">
        <v>18</v>
      </c>
      <c r="E85" s="35">
        <v>1206</v>
      </c>
      <c r="F85" s="49">
        <v>7043.7251387910801</v>
      </c>
      <c r="G85" s="49">
        <v>412.2179551959448</v>
      </c>
      <c r="H85" s="49">
        <v>250.6370086956523</v>
      </c>
      <c r="I85" s="49">
        <v>5634.9801110328644</v>
      </c>
      <c r="J85" s="49">
        <v>393.27500489374165</v>
      </c>
      <c r="K85" s="49">
        <v>200.50960695652185</v>
      </c>
      <c r="L85" s="49">
        <v>17609.3128469777</v>
      </c>
      <c r="M85" s="49">
        <v>450.10385580035108</v>
      </c>
      <c r="N85" s="49">
        <v>300.76441043478275</v>
      </c>
      <c r="O85" s="49">
        <v>1389.704</v>
      </c>
      <c r="P85" s="49">
        <v>0</v>
      </c>
    </row>
    <row r="86" spans="1:16">
      <c r="A86" s="33"/>
      <c r="B86" s="33">
        <f t="shared" si="1"/>
        <v>2</v>
      </c>
      <c r="C86" s="33" t="s">
        <v>761</v>
      </c>
      <c r="D86" s="33">
        <v>19</v>
      </c>
      <c r="E86" s="35">
        <v>1207</v>
      </c>
      <c r="F86" s="49">
        <v>8103.95364765661</v>
      </c>
      <c r="G86" s="49">
        <v>462.95119439346365</v>
      </c>
      <c r="H86" s="49">
        <v>282.73608000000013</v>
      </c>
      <c r="I86" s="49">
        <v>6483.1629181252874</v>
      </c>
      <c r="J86" s="49">
        <v>441.24182104107376</v>
      </c>
      <c r="K86" s="49">
        <v>228.64743860869584</v>
      </c>
      <c r="L86" s="49">
        <v>20259.884119141523</v>
      </c>
      <c r="M86" s="49">
        <v>506.36994109824332</v>
      </c>
      <c r="N86" s="49">
        <v>336.82472139130448</v>
      </c>
      <c r="O86" s="49">
        <v>1447.932</v>
      </c>
      <c r="P86" s="49">
        <v>0</v>
      </c>
    </row>
    <row r="87" spans="1:16">
      <c r="A87" s="33"/>
      <c r="B87" s="33">
        <f t="shared" si="1"/>
        <v>2</v>
      </c>
      <c r="C87" s="33" t="s">
        <v>761</v>
      </c>
      <c r="D87" s="33">
        <v>20</v>
      </c>
      <c r="E87" s="35">
        <v>1208</v>
      </c>
      <c r="F87" s="49">
        <v>9266.9585687400631</v>
      </c>
      <c r="G87" s="49">
        <v>537.92413043478268</v>
      </c>
      <c r="H87" s="49">
        <v>317.2132173913044</v>
      </c>
      <c r="I87" s="49">
        <v>7413.5668549920501</v>
      </c>
      <c r="J87" s="49">
        <v>511.12858695652187</v>
      </c>
      <c r="K87" s="49">
        <v>259.16994782608703</v>
      </c>
      <c r="L87" s="49">
        <v>23167.396421850157</v>
      </c>
      <c r="M87" s="49">
        <v>591.51521739130453</v>
      </c>
      <c r="N87" s="49">
        <v>375.25648695652183</v>
      </c>
      <c r="O87" s="49">
        <v>1506.1599999999999</v>
      </c>
      <c r="P87" s="49">
        <v>0</v>
      </c>
    </row>
    <row r="88" spans="1:16">
      <c r="A88" s="33"/>
      <c r="B88" s="33">
        <f t="shared" si="1"/>
        <v>2</v>
      </c>
      <c r="C88" s="33" t="s">
        <v>761</v>
      </c>
      <c r="D88" s="33">
        <v>21</v>
      </c>
      <c r="E88" s="35">
        <v>1209</v>
      </c>
      <c r="F88" s="49">
        <v>10538.420506583165</v>
      </c>
      <c r="G88" s="49">
        <v>598.79945779462264</v>
      </c>
      <c r="H88" s="49">
        <v>354.14658782608711</v>
      </c>
      <c r="I88" s="49">
        <v>8430.7364052665325</v>
      </c>
      <c r="J88" s="49">
        <v>568.43172766733437</v>
      </c>
      <c r="K88" s="49">
        <v>292.17093495652182</v>
      </c>
      <c r="L88" s="49">
        <v>26346.051266457911</v>
      </c>
      <c r="M88" s="49">
        <v>659.5349180491994</v>
      </c>
      <c r="N88" s="49">
        <v>416.12224069565235</v>
      </c>
      <c r="O88" s="49">
        <v>1564.3879999999999</v>
      </c>
      <c r="P88" s="49">
        <v>0</v>
      </c>
    </row>
    <row r="89" spans="1:16">
      <c r="A89" s="33"/>
      <c r="B89" s="33">
        <f t="shared" si="1"/>
        <v>2</v>
      </c>
      <c r="C89" s="33" t="s">
        <v>761</v>
      </c>
      <c r="D89" s="33">
        <v>22</v>
      </c>
      <c r="E89" s="35">
        <v>2201</v>
      </c>
      <c r="F89" s="49">
        <v>10105.2134725859</v>
      </c>
      <c r="G89" s="49">
        <v>611.12974129432996</v>
      </c>
      <c r="H89" s="49">
        <v>321.31784347826095</v>
      </c>
      <c r="I89" s="49">
        <v>8084.1707780687202</v>
      </c>
      <c r="J89" s="49">
        <v>582.14855151272309</v>
      </c>
      <c r="K89" s="49">
        <v>240.98838260869576</v>
      </c>
      <c r="L89" s="49">
        <v>25263.033681464749</v>
      </c>
      <c r="M89" s="49">
        <v>669.0921208575437</v>
      </c>
      <c r="N89" s="49">
        <v>401.64730434782615</v>
      </c>
      <c r="O89" s="49">
        <v>1622.616</v>
      </c>
      <c r="P89" s="49">
        <v>0</v>
      </c>
    </row>
    <row r="90" spans="1:16">
      <c r="A90" s="33"/>
      <c r="B90" s="33">
        <f t="shared" si="1"/>
        <v>2</v>
      </c>
      <c r="C90" s="33" t="s">
        <v>761</v>
      </c>
      <c r="D90" s="33">
        <v>23</v>
      </c>
      <c r="E90" s="35">
        <v>2202</v>
      </c>
      <c r="F90" s="49">
        <v>11628.413921193107</v>
      </c>
      <c r="G90" s="49">
        <v>692.57711923387342</v>
      </c>
      <c r="H90" s="49">
        <v>363.93057351170586</v>
      </c>
      <c r="I90" s="49">
        <v>9302.7311369544859</v>
      </c>
      <c r="J90" s="49">
        <v>658.82482911650618</v>
      </c>
      <c r="K90" s="49">
        <v>276.94229008695675</v>
      </c>
      <c r="L90" s="49">
        <v>29071.034802982766</v>
      </c>
      <c r="M90" s="49">
        <v>760.08169946860801</v>
      </c>
      <c r="N90" s="49">
        <v>450.91885693645497</v>
      </c>
      <c r="O90" s="49">
        <v>1680.8440000000001</v>
      </c>
      <c r="P90" s="49">
        <v>0</v>
      </c>
    </row>
    <row r="91" spans="1:16">
      <c r="A91" s="33"/>
      <c r="B91" s="33">
        <f t="shared" si="1"/>
        <v>2</v>
      </c>
      <c r="C91" s="33" t="s">
        <v>761</v>
      </c>
      <c r="D91" s="33">
        <v>24</v>
      </c>
      <c r="E91" s="35">
        <v>2203</v>
      </c>
      <c r="F91" s="49">
        <v>13296.286005947588</v>
      </c>
      <c r="G91" s="49">
        <v>780.80947997843282</v>
      </c>
      <c r="H91" s="49">
        <v>409.73799812709035</v>
      </c>
      <c r="I91" s="49">
        <v>10637.028804758071</v>
      </c>
      <c r="J91" s="49">
        <v>741.7511984688839</v>
      </c>
      <c r="K91" s="49">
        <v>316.08359855518404</v>
      </c>
      <c r="L91" s="49">
        <v>33240.715014868969</v>
      </c>
      <c r="M91" s="49">
        <v>858.92604299753077</v>
      </c>
      <c r="N91" s="49">
        <v>503.39239769899672</v>
      </c>
      <c r="O91" s="49">
        <v>1739.0720000000001</v>
      </c>
      <c r="P91" s="49">
        <v>0</v>
      </c>
    </row>
    <row r="92" spans="1:16">
      <c r="A92" s="33"/>
      <c r="B92" s="33">
        <f t="shared" si="1"/>
        <v>2</v>
      </c>
      <c r="C92" s="33" t="s">
        <v>761</v>
      </c>
      <c r="D92" s="33">
        <v>25</v>
      </c>
      <c r="E92" s="35">
        <v>2204</v>
      </c>
      <c r="F92" s="49">
        <v>15116.710754450263</v>
      </c>
      <c r="G92" s="49">
        <v>876.22829351514883</v>
      </c>
      <c r="H92" s="49">
        <v>458.8478227424751</v>
      </c>
      <c r="I92" s="49">
        <v>12093.368603560211</v>
      </c>
      <c r="J92" s="49">
        <v>831.2889825582829</v>
      </c>
      <c r="K92" s="49">
        <v>358.54155451505028</v>
      </c>
      <c r="L92" s="49">
        <v>37791.776886125663</v>
      </c>
      <c r="M92" s="49">
        <v>966.10691542888094</v>
      </c>
      <c r="N92" s="49">
        <v>559.15409096989993</v>
      </c>
      <c r="O92" s="49">
        <v>1797.3000000000002</v>
      </c>
      <c r="P92" s="49">
        <v>0</v>
      </c>
    </row>
    <row r="93" spans="1:16">
      <c r="A93" s="33"/>
      <c r="B93" s="33">
        <f t="shared" si="1"/>
        <v>2</v>
      </c>
      <c r="C93" s="33" t="s">
        <v>761</v>
      </c>
      <c r="D93" s="33">
        <v>26</v>
      </c>
      <c r="E93" s="35">
        <v>2205</v>
      </c>
      <c r="F93" s="49">
        <v>17314.682010028191</v>
      </c>
      <c r="G93" s="49">
        <v>991.67903786444572</v>
      </c>
      <c r="H93" s="49">
        <v>517.85581677591995</v>
      </c>
      <c r="I93" s="49">
        <v>13851.745608022555</v>
      </c>
      <c r="J93" s="49">
        <v>939.58893560308479</v>
      </c>
      <c r="K93" s="49">
        <v>409.57687326822759</v>
      </c>
      <c r="L93" s="49">
        <v>43286.705025070478</v>
      </c>
      <c r="M93" s="49">
        <v>1095.8592423871676</v>
      </c>
      <c r="N93" s="49">
        <v>626.1347602836122</v>
      </c>
      <c r="O93" s="49">
        <v>1855.528</v>
      </c>
      <c r="P93" s="49">
        <v>0</v>
      </c>
    </row>
    <row r="94" spans="1:16">
      <c r="A94" s="33"/>
      <c r="B94" s="33">
        <f t="shared" si="1"/>
        <v>2</v>
      </c>
      <c r="C94" s="33" t="s">
        <v>761</v>
      </c>
      <c r="D94" s="33">
        <v>27</v>
      </c>
      <c r="E94" s="35">
        <v>2206</v>
      </c>
      <c r="F94" s="49">
        <v>19710.34129093419</v>
      </c>
      <c r="G94" s="49">
        <v>1116.5397030430397</v>
      </c>
      <c r="H94" s="49">
        <v>581.04517364548519</v>
      </c>
      <c r="I94" s="49">
        <v>15768.273032747353</v>
      </c>
      <c r="J94" s="49">
        <v>1056.5341926183346</v>
      </c>
      <c r="K94" s="49">
        <v>464.83613891638822</v>
      </c>
      <c r="L94" s="49">
        <v>49275.853227335472</v>
      </c>
      <c r="M94" s="49">
        <v>1236.5507238924502</v>
      </c>
      <c r="N94" s="49">
        <v>697.25420837458216</v>
      </c>
      <c r="O94" s="49">
        <v>1913.7559999999999</v>
      </c>
      <c r="P94" s="49">
        <v>0</v>
      </c>
    </row>
    <row r="95" spans="1:16">
      <c r="A95" s="33"/>
      <c r="B95" s="33">
        <f t="shared" si="1"/>
        <v>2</v>
      </c>
      <c r="C95" s="33" t="s">
        <v>761</v>
      </c>
      <c r="D95" s="33">
        <v>28</v>
      </c>
      <c r="E95" s="35">
        <v>2207</v>
      </c>
      <c r="F95" s="49">
        <v>22313.860368402035</v>
      </c>
      <c r="G95" s="49">
        <v>1240.0908086750708</v>
      </c>
      <c r="H95" s="49">
        <v>648.54817476923097</v>
      </c>
      <c r="I95" s="49">
        <v>17851.088294721631</v>
      </c>
      <c r="J95" s="49">
        <v>1172.4772212657576</v>
      </c>
      <c r="K95" s="49">
        <v>524.47808916120425</v>
      </c>
      <c r="L95" s="49">
        <v>55784.650921005086</v>
      </c>
      <c r="M95" s="49">
        <v>1375.3179834936968</v>
      </c>
      <c r="N95" s="49">
        <v>772.6182603772578</v>
      </c>
      <c r="O95" s="49">
        <v>1971.9840000000002</v>
      </c>
      <c r="P95" s="49">
        <v>0</v>
      </c>
    </row>
    <row r="96" spans="1:16">
      <c r="A96" s="33"/>
      <c r="B96" s="33">
        <f t="shared" si="1"/>
        <v>2</v>
      </c>
      <c r="C96" s="33" t="s">
        <v>761</v>
      </c>
      <c r="D96" s="33">
        <v>29</v>
      </c>
      <c r="E96" s="35">
        <v>2208</v>
      </c>
      <c r="F96" s="49">
        <v>25135.633771933622</v>
      </c>
      <c r="G96" s="49">
        <v>1434.6273096961531</v>
      </c>
      <c r="H96" s="49">
        <v>720.4971015652178</v>
      </c>
      <c r="I96" s="49">
        <v>20108.507017546901</v>
      </c>
      <c r="J96" s="49">
        <v>1352.4834809874073</v>
      </c>
      <c r="K96" s="49">
        <v>588.6614617043482</v>
      </c>
      <c r="L96" s="49">
        <v>62839.084429834053</v>
      </c>
      <c r="M96" s="49">
        <v>1598.9149671136445</v>
      </c>
      <c r="N96" s="49">
        <v>852.33274142608741</v>
      </c>
      <c r="O96" s="49">
        <v>2030.212</v>
      </c>
      <c r="P96" s="49">
        <v>0</v>
      </c>
    </row>
    <row r="97" spans="1:16">
      <c r="A97" s="33"/>
      <c r="B97" s="33">
        <f t="shared" si="1"/>
        <v>2</v>
      </c>
      <c r="C97" s="33" t="s">
        <v>761</v>
      </c>
      <c r="D97" s="33">
        <v>30</v>
      </c>
      <c r="E97" s="35">
        <v>2209</v>
      </c>
      <c r="F97" s="49">
        <v>28538.606824209299</v>
      </c>
      <c r="G97" s="49">
        <v>1601.1983197186769</v>
      </c>
      <c r="H97" s="49">
        <v>806.98703839464918</v>
      </c>
      <c r="I97" s="49">
        <v>22830.885459367444</v>
      </c>
      <c r="J97" s="49">
        <v>1508.3274076130301</v>
      </c>
      <c r="K97" s="49">
        <v>665.76430667558566</v>
      </c>
      <c r="L97" s="49">
        <v>71346.517060523256</v>
      </c>
      <c r="M97" s="49">
        <v>1786.9401439299709</v>
      </c>
      <c r="N97" s="49">
        <v>948.20977011371281</v>
      </c>
      <c r="O97" s="49">
        <v>2088.44</v>
      </c>
      <c r="P97" s="49">
        <v>0</v>
      </c>
    </row>
    <row r="98" spans="1:16">
      <c r="A98" s="33"/>
      <c r="B98" s="33">
        <f t="shared" si="1"/>
        <v>2</v>
      </c>
      <c r="C98" s="33" t="s">
        <v>761</v>
      </c>
      <c r="D98" s="33">
        <v>31</v>
      </c>
      <c r="E98" s="35">
        <v>3201</v>
      </c>
      <c r="F98" s="49">
        <v>27667.296632101697</v>
      </c>
      <c r="G98" s="49">
        <v>1627.9303910051981</v>
      </c>
      <c r="H98" s="49">
        <v>743.61544061538484</v>
      </c>
      <c r="I98" s="49">
        <v>22133.837305681358</v>
      </c>
      <c r="J98" s="49">
        <v>1539.4988959662169</v>
      </c>
      <c r="K98" s="49">
        <v>557.71158046153869</v>
      </c>
      <c r="L98" s="49">
        <v>69168.241580254238</v>
      </c>
      <c r="M98" s="49">
        <v>1804.7933810831607</v>
      </c>
      <c r="N98" s="49">
        <v>929.51930076923099</v>
      </c>
      <c r="O98" s="49">
        <v>2146.6680000000001</v>
      </c>
      <c r="P98" s="49">
        <v>0</v>
      </c>
    </row>
    <row r="99" spans="1:16">
      <c r="A99" s="33"/>
      <c r="B99" s="33">
        <f t="shared" si="1"/>
        <v>2</v>
      </c>
      <c r="C99" s="33" t="s">
        <v>761</v>
      </c>
      <c r="D99" s="33">
        <v>32</v>
      </c>
      <c r="E99" s="35">
        <v>3202</v>
      </c>
      <c r="F99" s="49">
        <v>31610.324723099031</v>
      </c>
      <c r="G99" s="49">
        <v>1828.5858887548602</v>
      </c>
      <c r="H99" s="49">
        <v>839.78236029832794</v>
      </c>
      <c r="I99" s="49">
        <v>25288.259778479227</v>
      </c>
      <c r="J99" s="49">
        <v>1727.6572862499429</v>
      </c>
      <c r="K99" s="49">
        <v>639.05389369043496</v>
      </c>
      <c r="L99" s="49">
        <v>79025.811807747581</v>
      </c>
      <c r="M99" s="49">
        <v>2030.4430937646948</v>
      </c>
      <c r="N99" s="49">
        <v>1040.5108269062209</v>
      </c>
      <c r="O99" s="49">
        <v>2204.8960000000002</v>
      </c>
      <c r="P99" s="49">
        <v>0</v>
      </c>
    </row>
    <row r="100" spans="1:16">
      <c r="A100" s="33"/>
      <c r="B100" s="33">
        <f t="shared" si="1"/>
        <v>2</v>
      </c>
      <c r="C100" s="33" t="s">
        <v>761</v>
      </c>
      <c r="D100" s="33">
        <v>33</v>
      </c>
      <c r="E100" s="35">
        <v>3203</v>
      </c>
      <c r="F100" s="49">
        <v>35956.124248676613</v>
      </c>
      <c r="G100" s="49">
        <v>2046.3782477169652</v>
      </c>
      <c r="H100" s="49">
        <v>944.34055877257606</v>
      </c>
      <c r="I100" s="49">
        <v>28764.899398941288</v>
      </c>
      <c r="J100" s="49">
        <v>1931.6776190188475</v>
      </c>
      <c r="K100" s="49">
        <v>728.49128819598741</v>
      </c>
      <c r="L100" s="49">
        <v>89890.310621691533</v>
      </c>
      <c r="M100" s="49">
        <v>2275.7795051132007</v>
      </c>
      <c r="N100" s="49">
        <v>1160.1898293491645</v>
      </c>
      <c r="O100" s="49">
        <v>2263.1239999999998</v>
      </c>
      <c r="P100" s="49">
        <v>0</v>
      </c>
    </row>
    <row r="101" spans="1:16">
      <c r="A101" s="33"/>
      <c r="B101" s="33">
        <f t="shared" si="1"/>
        <v>2</v>
      </c>
      <c r="C101" s="33" t="s">
        <v>761</v>
      </c>
      <c r="D101" s="33">
        <v>34</v>
      </c>
      <c r="E101" s="35">
        <v>3204</v>
      </c>
      <c r="F101" s="49">
        <v>40732.341234963795</v>
      </c>
      <c r="G101" s="49">
        <v>2282.309792861372</v>
      </c>
      <c r="H101" s="49">
        <v>1057.7265711290975</v>
      </c>
      <c r="I101" s="49">
        <v>32585.872987971037</v>
      </c>
      <c r="J101" s="49">
        <v>2152.4719829825926</v>
      </c>
      <c r="K101" s="49">
        <v>826.50262302180636</v>
      </c>
      <c r="L101" s="49">
        <v>101830.85308740949</v>
      </c>
      <c r="M101" s="49">
        <v>2541.9854126189302</v>
      </c>
      <c r="N101" s="49">
        <v>1288.9505192363886</v>
      </c>
      <c r="O101" s="49">
        <v>2321.3520000000003</v>
      </c>
      <c r="P101" s="49">
        <v>0</v>
      </c>
    </row>
    <row r="102" spans="1:16">
      <c r="A102" s="33"/>
      <c r="B102" s="33">
        <f t="shared" si="1"/>
        <v>2</v>
      </c>
      <c r="C102" s="33" t="s">
        <v>761</v>
      </c>
      <c r="D102" s="33">
        <v>35</v>
      </c>
      <c r="E102" s="35">
        <v>3205</v>
      </c>
      <c r="F102" s="49">
        <v>45967.753609599749</v>
      </c>
      <c r="G102" s="49">
        <v>2537.4263958723177</v>
      </c>
      <c r="H102" s="49">
        <v>1180.3869286956526</v>
      </c>
      <c r="I102" s="49">
        <v>36774.202887679799</v>
      </c>
      <c r="J102" s="49">
        <v>2390.9916588937813</v>
      </c>
      <c r="K102" s="49">
        <v>933.57875269565284</v>
      </c>
      <c r="L102" s="49">
        <v>114919.38402399937</v>
      </c>
      <c r="M102" s="49">
        <v>2830.2958698293896</v>
      </c>
      <c r="N102" s="49">
        <v>1427.1951046956524</v>
      </c>
      <c r="O102" s="49">
        <v>2379.58</v>
      </c>
      <c r="P102" s="49">
        <v>0</v>
      </c>
    </row>
    <row r="103" spans="1:16">
      <c r="A103" s="33"/>
      <c r="B103" s="33">
        <f t="shared" si="1"/>
        <v>2</v>
      </c>
      <c r="C103" s="33" t="s">
        <v>761</v>
      </c>
      <c r="D103" s="33">
        <v>36</v>
      </c>
      <c r="E103" s="35">
        <v>3206</v>
      </c>
      <c r="F103" s="49">
        <v>51692.291636317379</v>
      </c>
      <c r="G103" s="49">
        <v>2812.8191414767598</v>
      </c>
      <c r="H103" s="49">
        <v>1312.7781590367897</v>
      </c>
      <c r="I103" s="49">
        <v>41353.833309053909</v>
      </c>
      <c r="J103" s="49">
        <v>2648.2286192434658</v>
      </c>
      <c r="K103" s="49">
        <v>1050.222527229432</v>
      </c>
      <c r="L103" s="49">
        <v>129230.72909079347</v>
      </c>
      <c r="M103" s="49">
        <v>3142.0001859433496</v>
      </c>
      <c r="N103" s="49">
        <v>1575.3337908441476</v>
      </c>
      <c r="O103" s="49">
        <v>2437.808</v>
      </c>
      <c r="P103" s="49">
        <v>0</v>
      </c>
    </row>
    <row r="104" spans="1:16">
      <c r="A104" s="33"/>
      <c r="B104" s="33">
        <f t="shared" si="1"/>
        <v>2</v>
      </c>
      <c r="C104" s="33" t="s">
        <v>761</v>
      </c>
      <c r="D104" s="33">
        <v>37</v>
      </c>
      <c r="E104" s="35">
        <v>3207</v>
      </c>
      <c r="F104" s="49">
        <v>57937.058328340834</v>
      </c>
      <c r="G104" s="49">
        <v>3115.6722667312429</v>
      </c>
      <c r="H104" s="49">
        <v>1455.3667859538466</v>
      </c>
      <c r="I104" s="49">
        <v>46349.646662672669</v>
      </c>
      <c r="J104" s="49">
        <v>2930.6586736193231</v>
      </c>
      <c r="K104" s="49">
        <v>1176.9487921191978</v>
      </c>
      <c r="L104" s="49">
        <v>144842.64582085208</v>
      </c>
      <c r="M104" s="49">
        <v>3485.699452955083</v>
      </c>
      <c r="N104" s="49">
        <v>1733.7847797884954</v>
      </c>
      <c r="O104" s="49">
        <v>2496.0360000000001</v>
      </c>
      <c r="P104" s="49">
        <v>0</v>
      </c>
    </row>
    <row r="105" spans="1:16">
      <c r="A105" s="33"/>
      <c r="B105" s="33">
        <f t="shared" si="1"/>
        <v>2</v>
      </c>
      <c r="C105" s="33" t="s">
        <v>761</v>
      </c>
      <c r="D105" s="33">
        <v>38</v>
      </c>
      <c r="E105" s="35">
        <v>3208</v>
      </c>
      <c r="F105" s="49">
        <v>64734.349841675328</v>
      </c>
      <c r="G105" s="49">
        <v>3615.0974178488314</v>
      </c>
      <c r="H105" s="49">
        <v>1608.6293294849499</v>
      </c>
      <c r="I105" s="49">
        <v>51787.479873340257</v>
      </c>
      <c r="J105" s="49">
        <v>3390.4922998499014</v>
      </c>
      <c r="K105" s="49">
        <v>1314.2843883451508</v>
      </c>
      <c r="L105" s="49">
        <v>161835.87460418831</v>
      </c>
      <c r="M105" s="49">
        <v>4064.3076538466912</v>
      </c>
      <c r="N105" s="49">
        <v>1902.9742706247491</v>
      </c>
      <c r="O105" s="49">
        <v>2554.2640000000001</v>
      </c>
      <c r="P105" s="49">
        <v>0</v>
      </c>
    </row>
    <row r="106" spans="1:16">
      <c r="A106" s="33"/>
      <c r="B106" s="33">
        <f t="shared" si="1"/>
        <v>2</v>
      </c>
      <c r="C106" s="33" t="s">
        <v>761</v>
      </c>
      <c r="D106" s="33">
        <v>39</v>
      </c>
      <c r="E106" s="35">
        <v>3209</v>
      </c>
      <c r="F106" s="49">
        <v>72117.675849242209</v>
      </c>
      <c r="G106" s="49">
        <v>3987.1843919090516</v>
      </c>
      <c r="H106" s="49">
        <v>1773.0523059050167</v>
      </c>
      <c r="I106" s="49">
        <v>57694.140679393764</v>
      </c>
      <c r="J106" s="49">
        <v>3736.2203115435641</v>
      </c>
      <c r="K106" s="49">
        <v>1462.768152371639</v>
      </c>
      <c r="L106" s="49">
        <v>180294.18962310551</v>
      </c>
      <c r="M106" s="49">
        <v>4489.1125526400256</v>
      </c>
      <c r="N106" s="49">
        <v>2083.3364594383947</v>
      </c>
      <c r="O106" s="49">
        <v>2612.4920000000002</v>
      </c>
      <c r="P106" s="49">
        <v>0</v>
      </c>
    </row>
    <row r="107" spans="1:16">
      <c r="A107" s="33"/>
      <c r="B107" s="33">
        <f t="shared" si="1"/>
        <v>2</v>
      </c>
      <c r="C107" s="33" t="s">
        <v>761</v>
      </c>
      <c r="D107" s="33">
        <v>40</v>
      </c>
      <c r="E107" s="35">
        <v>4201</v>
      </c>
      <c r="F107" s="49">
        <v>68511.523503065546</v>
      </c>
      <c r="G107" s="49">
        <v>3993.0606987290989</v>
      </c>
      <c r="H107" s="49">
        <v>1605.4628387959874</v>
      </c>
      <c r="I107" s="49">
        <v>54809.218802452437</v>
      </c>
      <c r="J107" s="49">
        <v>3754.3009127357877</v>
      </c>
      <c r="K107" s="49">
        <v>1204.0971290969906</v>
      </c>
      <c r="L107" s="49">
        <v>171278.80875766388</v>
      </c>
      <c r="M107" s="49">
        <v>4470.5802707157218</v>
      </c>
      <c r="N107" s="49">
        <v>2006.828548494984</v>
      </c>
      <c r="O107" s="49">
        <v>2670.72</v>
      </c>
      <c r="P107" s="49">
        <v>0</v>
      </c>
    </row>
    <row r="108" spans="1:16">
      <c r="A108" s="33"/>
      <c r="B108" s="33">
        <f t="shared" si="1"/>
        <v>2</v>
      </c>
      <c r="C108" s="33" t="s">
        <v>761</v>
      </c>
      <c r="D108" s="33">
        <v>41</v>
      </c>
      <c r="E108" s="35">
        <v>4202</v>
      </c>
      <c r="F108" s="49">
        <v>76789.21272317179</v>
      </c>
      <c r="G108" s="49">
        <v>4464.6809817880139</v>
      </c>
      <c r="H108" s="49">
        <v>1783.3962054695658</v>
      </c>
      <c r="I108" s="49">
        <v>61431.370178537429</v>
      </c>
      <c r="J108" s="49">
        <v>4192.2027573135601</v>
      </c>
      <c r="K108" s="49">
        <v>1357.1210148939135</v>
      </c>
      <c r="L108" s="49">
        <v>191973.03180792945</v>
      </c>
      <c r="M108" s="49">
        <v>5009.6374307369206</v>
      </c>
      <c r="N108" s="49">
        <v>2209.671396045218</v>
      </c>
      <c r="O108" s="49">
        <v>2728.9480000000003</v>
      </c>
      <c r="P108" s="49">
        <v>0</v>
      </c>
    </row>
    <row r="109" spans="1:16">
      <c r="A109" s="33"/>
      <c r="B109" s="33">
        <f t="shared" si="1"/>
        <v>2</v>
      </c>
      <c r="C109" s="33" t="s">
        <v>761</v>
      </c>
      <c r="D109" s="33">
        <v>42</v>
      </c>
      <c r="E109" s="35">
        <v>4203</v>
      </c>
      <c r="F109" s="49">
        <v>85803.35534047363</v>
      </c>
      <c r="G109" s="49">
        <v>4980.4926698894378</v>
      </c>
      <c r="H109" s="49">
        <v>1975.0337944615399</v>
      </c>
      <c r="I109" s="49">
        <v>68642.684272378916</v>
      </c>
      <c r="J109" s="49">
        <v>4670.5418595158781</v>
      </c>
      <c r="K109" s="49">
        <v>1523.5974985846169</v>
      </c>
      <c r="L109" s="49">
        <v>214508.38835118408</v>
      </c>
      <c r="M109" s="49">
        <v>5600.3942906365555</v>
      </c>
      <c r="N109" s="49">
        <v>2426.4700903384628</v>
      </c>
      <c r="O109" s="49">
        <v>2787.1759999999999</v>
      </c>
      <c r="P109" s="49">
        <v>0</v>
      </c>
    </row>
    <row r="110" spans="1:16">
      <c r="A110" s="33"/>
      <c r="B110" s="33">
        <f t="shared" si="1"/>
        <v>2</v>
      </c>
      <c r="C110" s="33" t="s">
        <v>761</v>
      </c>
      <c r="D110" s="33">
        <v>43</v>
      </c>
      <c r="E110" s="35">
        <v>4204</v>
      </c>
      <c r="F110" s="49">
        <v>95598.865551716633</v>
      </c>
      <c r="G110" s="49">
        <v>5543.8521897385281</v>
      </c>
      <c r="H110" s="49">
        <v>2181.0176299806026</v>
      </c>
      <c r="I110" s="49">
        <v>76479.092441373316</v>
      </c>
      <c r="J110" s="49">
        <v>5192.3523316931041</v>
      </c>
      <c r="K110" s="49">
        <v>1704.2370317987966</v>
      </c>
      <c r="L110" s="49">
        <v>238997.16387929162</v>
      </c>
      <c r="M110" s="49">
        <v>6246.8519058293778</v>
      </c>
      <c r="N110" s="49">
        <v>2657.7982281624086</v>
      </c>
      <c r="O110" s="49">
        <v>2845.404</v>
      </c>
      <c r="P110" s="49">
        <v>0</v>
      </c>
    </row>
    <row r="111" spans="1:16">
      <c r="A111" s="33"/>
      <c r="B111" s="33">
        <f t="shared" si="1"/>
        <v>2</v>
      </c>
      <c r="C111" s="33" t="s">
        <v>761</v>
      </c>
      <c r="D111" s="33">
        <v>44</v>
      </c>
      <c r="E111" s="35">
        <v>4205</v>
      </c>
      <c r="F111" s="49">
        <v>106222.31318550845</v>
      </c>
      <c r="G111" s="49">
        <v>6158.3270059237475</v>
      </c>
      <c r="H111" s="49">
        <v>2402.0030645511715</v>
      </c>
      <c r="I111" s="49">
        <v>84977.850548406772</v>
      </c>
      <c r="J111" s="49">
        <v>5760.8582202905709</v>
      </c>
      <c r="K111" s="49">
        <v>1899.7660601450175</v>
      </c>
      <c r="L111" s="49">
        <v>265555.78296377114</v>
      </c>
      <c r="M111" s="49">
        <v>6953.2645771901025</v>
      </c>
      <c r="N111" s="49">
        <v>2904.2400689573251</v>
      </c>
      <c r="O111" s="49">
        <v>2903.6320000000001</v>
      </c>
      <c r="P111" s="49">
        <v>0</v>
      </c>
    </row>
    <row r="112" spans="1:16">
      <c r="A112" s="33"/>
      <c r="B112" s="33">
        <f t="shared" si="1"/>
        <v>2</v>
      </c>
      <c r="C112" s="33" t="s">
        <v>761</v>
      </c>
      <c r="D112" s="33">
        <v>45</v>
      </c>
      <c r="E112" s="35">
        <v>4206</v>
      </c>
      <c r="F112" s="49">
        <v>117721.95078721881</v>
      </c>
      <c r="G112" s="49">
        <v>6827.7066215973355</v>
      </c>
      <c r="H112" s="49">
        <v>2638.658779013379</v>
      </c>
      <c r="I112" s="49">
        <v>94177.560629775049</v>
      </c>
      <c r="J112" s="49">
        <v>6379.4834064610141</v>
      </c>
      <c r="K112" s="49">
        <v>2110.9270232107033</v>
      </c>
      <c r="L112" s="49">
        <v>294304.876968047</v>
      </c>
      <c r="M112" s="49">
        <v>7724.1530518699801</v>
      </c>
      <c r="N112" s="49">
        <v>3166.3905348160547</v>
      </c>
      <c r="O112" s="49">
        <v>2961.86</v>
      </c>
      <c r="P112" s="49">
        <v>0</v>
      </c>
    </row>
    <row r="113" spans="1:16">
      <c r="A113" s="33"/>
      <c r="B113" s="33">
        <f t="shared" si="1"/>
        <v>2</v>
      </c>
      <c r="C113" s="33" t="s">
        <v>761</v>
      </c>
      <c r="D113" s="33">
        <v>46</v>
      </c>
      <c r="E113" s="35">
        <v>4207</v>
      </c>
      <c r="F113" s="49">
        <v>130147.7406845676</v>
      </c>
      <c r="G113" s="49">
        <v>7473.366236449604</v>
      </c>
      <c r="H113" s="49">
        <v>2891.6667825230788</v>
      </c>
      <c r="I113" s="49">
        <v>104118.19254765409</v>
      </c>
      <c r="J113" s="49">
        <v>6977.4788982414339</v>
      </c>
      <c r="K113" s="49">
        <v>2338.4783545621426</v>
      </c>
      <c r="L113" s="49">
        <v>325369.351711419</v>
      </c>
      <c r="M113" s="49">
        <v>8465.140912865947</v>
      </c>
      <c r="N113" s="49">
        <v>3444.8552104840151</v>
      </c>
      <c r="O113" s="49">
        <v>3020.0879999999997</v>
      </c>
      <c r="P113" s="49">
        <v>0</v>
      </c>
    </row>
    <row r="114" spans="1:16">
      <c r="A114" s="33"/>
      <c r="B114" s="33">
        <f t="shared" si="1"/>
        <v>2</v>
      </c>
      <c r="C114" s="33" t="s">
        <v>761</v>
      </c>
      <c r="D114" s="33">
        <v>47</v>
      </c>
      <c r="E114" s="35">
        <v>4208</v>
      </c>
      <c r="F114" s="49">
        <v>143551.382034376</v>
      </c>
      <c r="G114" s="49">
        <v>8621.2291639834657</v>
      </c>
      <c r="H114" s="49">
        <v>3161.7224125518401</v>
      </c>
      <c r="I114" s="49">
        <v>114841.1056275008</v>
      </c>
      <c r="J114" s="49">
        <v>8028.1890061001704</v>
      </c>
      <c r="K114" s="49">
        <v>2583.1944817444823</v>
      </c>
      <c r="L114" s="49">
        <v>358878.45508594002</v>
      </c>
      <c r="M114" s="49">
        <v>9807.309479750058</v>
      </c>
      <c r="N114" s="49">
        <v>3740.2503433591978</v>
      </c>
      <c r="O114" s="49">
        <v>3078.3160000000003</v>
      </c>
      <c r="P114" s="49">
        <v>0</v>
      </c>
    </row>
    <row r="115" spans="1:16">
      <c r="A115" s="33"/>
      <c r="B115" s="33">
        <f t="shared" si="1"/>
        <v>2</v>
      </c>
      <c r="C115" s="33" t="s">
        <v>761</v>
      </c>
      <c r="D115" s="33">
        <v>48</v>
      </c>
      <c r="E115" s="35">
        <v>4209</v>
      </c>
      <c r="F115" s="49">
        <v>157986.3378509389</v>
      </c>
      <c r="G115" s="49">
        <v>9407.7666072457305</v>
      </c>
      <c r="H115" s="49">
        <v>3449.5343348869578</v>
      </c>
      <c r="I115" s="49">
        <v>126389.07028075114</v>
      </c>
      <c r="J115" s="49">
        <v>8754.4511410950709</v>
      </c>
      <c r="K115" s="49">
        <v>2845.8658262817407</v>
      </c>
      <c r="L115" s="49">
        <v>394965.84462734725</v>
      </c>
      <c r="M115" s="49">
        <v>10714.39753954705</v>
      </c>
      <c r="N115" s="49">
        <v>4053.2028434921754</v>
      </c>
      <c r="O115" s="49">
        <v>3136.5439999999999</v>
      </c>
      <c r="P115" s="49">
        <v>0</v>
      </c>
    </row>
    <row r="116" spans="1:16">
      <c r="A116" s="33"/>
      <c r="B116" s="33">
        <f t="shared" si="1"/>
        <v>2</v>
      </c>
      <c r="C116" s="33" t="s">
        <v>761</v>
      </c>
      <c r="D116" s="33">
        <v>49</v>
      </c>
      <c r="E116" s="35">
        <v>5201</v>
      </c>
      <c r="F116" s="49">
        <v>147040.56103089673</v>
      </c>
      <c r="G116" s="49">
        <v>9143.9247449268387</v>
      </c>
      <c r="H116" s="49">
        <v>3065.9792192909717</v>
      </c>
      <c r="I116" s="49">
        <v>117632.44882471739</v>
      </c>
      <c r="J116" s="49">
        <v>8536.1301923632527</v>
      </c>
      <c r="K116" s="49">
        <v>2299.4844144682293</v>
      </c>
      <c r="L116" s="49">
        <v>367601.40257724182</v>
      </c>
      <c r="M116" s="49">
        <v>10359.513850054012</v>
      </c>
      <c r="N116" s="49">
        <v>3832.4740241137142</v>
      </c>
      <c r="O116" s="49">
        <v>3194.7719999999999</v>
      </c>
      <c r="P116" s="49">
        <v>0</v>
      </c>
    </row>
    <row r="117" spans="1:16">
      <c r="A117" s="33"/>
      <c r="B117" s="33">
        <f t="shared" si="1"/>
        <v>2</v>
      </c>
      <c r="C117" s="33" t="s">
        <v>761</v>
      </c>
      <c r="D117" s="33">
        <v>50</v>
      </c>
      <c r="E117" s="35">
        <v>5202</v>
      </c>
      <c r="F117" s="49">
        <v>162710.53991400814</v>
      </c>
      <c r="G117" s="49">
        <v>10122.553562809369</v>
      </c>
      <c r="H117" s="49">
        <v>3368.706948662209</v>
      </c>
      <c r="I117" s="49">
        <v>130168.43193120652</v>
      </c>
      <c r="J117" s="49">
        <v>9438.9525429832829</v>
      </c>
      <c r="K117" s="49">
        <v>2563.5038243478275</v>
      </c>
      <c r="L117" s="49">
        <v>406776.3497850204</v>
      </c>
      <c r="M117" s="49">
        <v>11489.755602461544</v>
      </c>
      <c r="N117" s="49">
        <v>4173.9100729765905</v>
      </c>
      <c r="O117" s="49">
        <v>3253</v>
      </c>
      <c r="P117" s="49">
        <v>0</v>
      </c>
    </row>
    <row r="118" spans="1:16">
      <c r="A118" s="33"/>
      <c r="B118" s="33">
        <f t="shared" si="1"/>
        <v>2</v>
      </c>
      <c r="C118" s="33" t="s">
        <v>761</v>
      </c>
      <c r="D118" s="33">
        <v>51</v>
      </c>
      <c r="E118" s="35">
        <v>5203</v>
      </c>
      <c r="F118" s="49">
        <v>176418.73372089132</v>
      </c>
      <c r="G118" s="49">
        <v>11186.141082691489</v>
      </c>
      <c r="H118" s="49">
        <v>3689.2003002878937</v>
      </c>
      <c r="I118" s="49">
        <v>141134.98697671306</v>
      </c>
      <c r="J118" s="49">
        <v>10419.177814672508</v>
      </c>
      <c r="K118" s="49">
        <v>2860.2791909140342</v>
      </c>
      <c r="L118" s="49">
        <v>441046.83430222829</v>
      </c>
      <c r="M118" s="49">
        <v>12720.067618729452</v>
      </c>
      <c r="N118" s="49">
        <v>4518.1214096617532</v>
      </c>
      <c r="O118" s="49">
        <v>3311.2280000000001</v>
      </c>
      <c r="P118" s="49">
        <v>0</v>
      </c>
    </row>
    <row r="119" spans="1:16">
      <c r="A119" s="33"/>
      <c r="B119" s="33">
        <f t="shared" si="1"/>
        <v>2</v>
      </c>
      <c r="C119" s="33" t="s">
        <v>761</v>
      </c>
      <c r="D119" s="33">
        <v>52</v>
      </c>
      <c r="E119" s="35">
        <v>5204</v>
      </c>
      <c r="F119" s="49">
        <v>197836.42077191191</v>
      </c>
      <c r="G119" s="49">
        <v>12340.791068651728</v>
      </c>
      <c r="H119" s="49">
        <v>4037.7440073792659</v>
      </c>
      <c r="I119" s="49">
        <v>158269.13661752956</v>
      </c>
      <c r="J119" s="49">
        <v>11482.316055496252</v>
      </c>
      <c r="K119" s="49">
        <v>3155.0743871614732</v>
      </c>
      <c r="L119" s="49">
        <v>494591.05192977982</v>
      </c>
      <c r="M119" s="49">
        <v>14057.741094962676</v>
      </c>
      <c r="N119" s="49">
        <v>4920.4136275970577</v>
      </c>
      <c r="O119" s="49">
        <v>3369.4560000000001</v>
      </c>
      <c r="P119" s="49">
        <v>0</v>
      </c>
    </row>
    <row r="120" spans="1:16">
      <c r="A120" s="33"/>
      <c r="B120" s="33">
        <f t="shared" si="1"/>
        <v>2</v>
      </c>
      <c r="C120" s="33" t="s">
        <v>761</v>
      </c>
      <c r="D120" s="33">
        <v>53</v>
      </c>
      <c r="E120" s="35">
        <v>5205</v>
      </c>
      <c r="F120" s="49">
        <v>217430.26359537657</v>
      </c>
      <c r="G120" s="49">
        <v>13592.976936990304</v>
      </c>
      <c r="H120" s="49">
        <v>4405.8383295090325</v>
      </c>
      <c r="I120" s="49">
        <v>173944.21087630128</v>
      </c>
      <c r="J120" s="49">
        <v>12634.210000519368</v>
      </c>
      <c r="K120" s="49">
        <v>3484.6175878844169</v>
      </c>
      <c r="L120" s="49">
        <v>543575.65898844146</v>
      </c>
      <c r="M120" s="49">
        <v>15510.510809932177</v>
      </c>
      <c r="N120" s="49">
        <v>5327.0590711336481</v>
      </c>
      <c r="O120" s="49">
        <v>3427.6839999999997</v>
      </c>
      <c r="P120" s="49">
        <v>0</v>
      </c>
    </row>
    <row r="121" spans="1:16">
      <c r="A121" s="33"/>
      <c r="B121" s="33">
        <f t="shared" si="1"/>
        <v>2</v>
      </c>
      <c r="C121" s="33" t="s">
        <v>761</v>
      </c>
      <c r="D121" s="33">
        <v>54</v>
      </c>
      <c r="E121" s="35">
        <v>5206</v>
      </c>
      <c r="F121" s="49">
        <v>238473.80641459118</v>
      </c>
      <c r="G121" s="49">
        <v>14949.56130322167</v>
      </c>
      <c r="H121" s="49">
        <v>4797.5342760000021</v>
      </c>
      <c r="I121" s="49">
        <v>190779.04513167296</v>
      </c>
      <c r="J121" s="49">
        <v>13881.052664099505</v>
      </c>
      <c r="K121" s="49">
        <v>3838.0274208000019</v>
      </c>
      <c r="L121" s="49">
        <v>596184.51603647799</v>
      </c>
      <c r="M121" s="49">
        <v>17086.578581466005</v>
      </c>
      <c r="N121" s="49">
        <v>5757.0411312000024</v>
      </c>
      <c r="O121" s="49">
        <v>3485.9119999999998</v>
      </c>
      <c r="P121" s="49">
        <v>0</v>
      </c>
    </row>
    <row r="122" spans="1:16">
      <c r="A122" s="33"/>
      <c r="B122" s="33">
        <f t="shared" si="1"/>
        <v>2</v>
      </c>
      <c r="C122" s="33" t="s">
        <v>761</v>
      </c>
      <c r="D122" s="33">
        <v>55</v>
      </c>
      <c r="E122" s="35">
        <v>5207</v>
      </c>
      <c r="F122" s="49">
        <v>261041.77694576822</v>
      </c>
      <c r="G122" s="49">
        <v>16222.995152809737</v>
      </c>
      <c r="H122" s="49">
        <v>5213.76599423077</v>
      </c>
      <c r="I122" s="49">
        <v>208833.42155661457</v>
      </c>
      <c r="J122" s="49">
        <v>15054.066593548832</v>
      </c>
      <c r="K122" s="49">
        <v>4216.349890986623</v>
      </c>
      <c r="L122" s="49">
        <v>652604.44236442051</v>
      </c>
      <c r="M122" s="49">
        <v>18560.852271331551</v>
      </c>
      <c r="N122" s="49">
        <v>6211.182097474918</v>
      </c>
      <c r="O122" s="49">
        <v>3544.1399999999994</v>
      </c>
      <c r="P122" s="49">
        <v>0</v>
      </c>
    </row>
    <row r="123" spans="1:16">
      <c r="A123" s="33"/>
      <c r="B123" s="33">
        <f t="shared" si="1"/>
        <v>2</v>
      </c>
      <c r="C123" s="33" t="s">
        <v>761</v>
      </c>
      <c r="D123" s="33">
        <v>56</v>
      </c>
      <c r="E123" s="35">
        <v>5208</v>
      </c>
      <c r="F123" s="49">
        <v>285211.2664450825</v>
      </c>
      <c r="G123" s="49">
        <v>18643.782263709218</v>
      </c>
      <c r="H123" s="49">
        <v>5655.4842919745834</v>
      </c>
      <c r="I123" s="49">
        <v>228169.01315606601</v>
      </c>
      <c r="J123" s="49">
        <v>17260.721849421243</v>
      </c>
      <c r="K123" s="49">
        <v>4620.650995996255</v>
      </c>
      <c r="L123" s="49">
        <v>713028.1661127063</v>
      </c>
      <c r="M123" s="49">
        <v>21409.903092285178</v>
      </c>
      <c r="N123" s="49">
        <v>6690.3175879529117</v>
      </c>
      <c r="O123" s="49">
        <v>3602.3680000000004</v>
      </c>
      <c r="P123" s="49">
        <v>0</v>
      </c>
    </row>
    <row r="124" spans="1:16">
      <c r="A124" s="33"/>
      <c r="B124" s="33">
        <f t="shared" si="1"/>
        <v>2</v>
      </c>
      <c r="C124" s="33" t="s">
        <v>761</v>
      </c>
      <c r="D124" s="33">
        <v>57</v>
      </c>
      <c r="E124" s="35">
        <v>5209</v>
      </c>
      <c r="F124" s="49">
        <v>311061.7633591831</v>
      </c>
      <c r="G124" s="49">
        <v>20184.659575421298</v>
      </c>
      <c r="H124" s="49">
        <v>6123.6566373993328</v>
      </c>
      <c r="I124" s="49">
        <v>248849.41068734651</v>
      </c>
      <c r="J124" s="49">
        <v>18676.498337662448</v>
      </c>
      <c r="K124" s="49">
        <v>5052.0167258544498</v>
      </c>
      <c r="L124" s="49">
        <v>777654.40839795792</v>
      </c>
      <c r="M124" s="49">
        <v>23200.982050939001</v>
      </c>
      <c r="N124" s="49">
        <v>7195.2965489442158</v>
      </c>
      <c r="O124" s="49">
        <v>3660.596</v>
      </c>
      <c r="P124" s="49">
        <v>0</v>
      </c>
    </row>
    <row r="125" spans="1:16">
      <c r="A125" s="33"/>
      <c r="B125" s="33">
        <f t="shared" si="1"/>
        <v>2</v>
      </c>
      <c r="C125" s="33" t="s">
        <v>761</v>
      </c>
      <c r="D125" s="33">
        <v>58</v>
      </c>
      <c r="E125" s="35">
        <v>6201</v>
      </c>
      <c r="F125" s="49">
        <v>287012.87030293985</v>
      </c>
      <c r="G125" s="49">
        <v>19298.253644028304</v>
      </c>
      <c r="H125" s="49">
        <v>5403.4833951571927</v>
      </c>
      <c r="I125" s="49">
        <v>229610.29624235188</v>
      </c>
      <c r="J125" s="49">
        <v>17908.776619141194</v>
      </c>
      <c r="K125" s="49">
        <v>4052.6125463678945</v>
      </c>
      <c r="L125" s="49">
        <v>717532.17575734959</v>
      </c>
      <c r="M125" s="49">
        <v>22077.207693802528</v>
      </c>
      <c r="N125" s="49">
        <v>6754.3542439464909</v>
      </c>
      <c r="O125" s="49">
        <v>3718.8240000000001</v>
      </c>
      <c r="P125" s="49">
        <v>0</v>
      </c>
    </row>
    <row r="126" spans="1:16">
      <c r="A126" s="33"/>
      <c r="B126" s="33">
        <f t="shared" si="1"/>
        <v>2</v>
      </c>
      <c r="C126" s="33" t="s">
        <v>761</v>
      </c>
      <c r="D126" s="33">
        <v>59</v>
      </c>
      <c r="E126" s="35">
        <v>6202</v>
      </c>
      <c r="F126" s="49">
        <v>312915.53280447493</v>
      </c>
      <c r="G126" s="49">
        <v>21096.504534662334</v>
      </c>
      <c r="H126" s="49">
        <v>5857.5196496678955</v>
      </c>
      <c r="I126" s="49">
        <v>250332.42624357995</v>
      </c>
      <c r="J126" s="49">
        <v>19558.319412871017</v>
      </c>
      <c r="K126" s="49">
        <v>4457.4295870643509</v>
      </c>
      <c r="L126" s="49">
        <v>782288.83201118733</v>
      </c>
      <c r="M126" s="49">
        <v>24172.874778244968</v>
      </c>
      <c r="N126" s="49">
        <v>7257.6097122714409</v>
      </c>
      <c r="O126" s="49">
        <v>3777.0519999999997</v>
      </c>
      <c r="P126" s="49">
        <v>0</v>
      </c>
    </row>
    <row r="127" spans="1:16">
      <c r="A127" s="33"/>
      <c r="B127" s="33">
        <f t="shared" si="1"/>
        <v>2</v>
      </c>
      <c r="C127" s="33" t="s">
        <v>761</v>
      </c>
      <c r="D127" s="33">
        <v>60</v>
      </c>
      <c r="E127" s="35">
        <v>6203</v>
      </c>
      <c r="F127" s="49">
        <v>342261.42499239492</v>
      </c>
      <c r="G127" s="49">
        <v>23149.581169474925</v>
      </c>
      <c r="H127" s="49">
        <v>6369.7841771237499</v>
      </c>
      <c r="I127" s="49">
        <v>273809.13999391592</v>
      </c>
      <c r="J127" s="49">
        <v>21441.269164634454</v>
      </c>
      <c r="K127" s="49">
        <v>4913.833508066893</v>
      </c>
      <c r="L127" s="49">
        <v>855653.56248098728</v>
      </c>
      <c r="M127" s="49">
        <v>26566.205179155862</v>
      </c>
      <c r="N127" s="49">
        <v>7825.7348461806059</v>
      </c>
      <c r="O127" s="49">
        <v>3835.2799999999997</v>
      </c>
      <c r="P127" s="49">
        <v>0</v>
      </c>
    </row>
    <row r="128" spans="1:16">
      <c r="A128" s="33"/>
      <c r="B128" s="33">
        <f t="shared" si="1"/>
        <v>2</v>
      </c>
      <c r="C128" s="33" t="s">
        <v>761</v>
      </c>
      <c r="D128" s="33">
        <v>61</v>
      </c>
      <c r="E128" s="35">
        <v>6204</v>
      </c>
      <c r="F128" s="49">
        <v>373660.56022095028</v>
      </c>
      <c r="G128" s="49">
        <v>25368.139975782993</v>
      </c>
      <c r="H128" s="49">
        <v>6913.4426152826118</v>
      </c>
      <c r="I128" s="49">
        <v>298928.44817676023</v>
      </c>
      <c r="J128" s="49">
        <v>23474.436919161217</v>
      </c>
      <c r="K128" s="49">
        <v>5402.1319040347862</v>
      </c>
      <c r="L128" s="49">
        <v>934151.40055237571</v>
      </c>
      <c r="M128" s="49">
        <v>29155.546089026546</v>
      </c>
      <c r="N128" s="49">
        <v>8424.7533265304373</v>
      </c>
      <c r="O128" s="49">
        <v>3893.5080000000003</v>
      </c>
      <c r="P128" s="49">
        <v>0</v>
      </c>
    </row>
    <row r="129" spans="1:16">
      <c r="A129" s="33"/>
      <c r="B129" s="33">
        <f t="shared" si="1"/>
        <v>2</v>
      </c>
      <c r="C129" s="33" t="s">
        <v>761</v>
      </c>
      <c r="D129" s="33">
        <v>62</v>
      </c>
      <c r="E129" s="35">
        <v>6205</v>
      </c>
      <c r="F129" s="49">
        <v>407213.01716939243</v>
      </c>
      <c r="G129" s="49">
        <v>27763.460912717324</v>
      </c>
      <c r="H129" s="49">
        <v>7489.6779176668942</v>
      </c>
      <c r="I129" s="49">
        <v>325770.41373551392</v>
      </c>
      <c r="J129" s="49">
        <v>25667.994632142581</v>
      </c>
      <c r="K129" s="49">
        <v>5923.6543530638173</v>
      </c>
      <c r="L129" s="49">
        <v>1018032.5429234811</v>
      </c>
      <c r="M129" s="49">
        <v>31954.393473866803</v>
      </c>
      <c r="N129" s="49">
        <v>9055.7014822699712</v>
      </c>
      <c r="O129" s="49">
        <v>3951.7360000000003</v>
      </c>
      <c r="P129" s="49">
        <v>0</v>
      </c>
    </row>
    <row r="130" spans="1:16">
      <c r="A130" s="33"/>
      <c r="B130" s="33">
        <f t="shared" si="1"/>
        <v>2</v>
      </c>
      <c r="C130" s="33" t="s">
        <v>761</v>
      </c>
      <c r="D130" s="33">
        <v>63</v>
      </c>
      <c r="E130" s="35">
        <v>6206</v>
      </c>
      <c r="F130" s="49">
        <v>443021.86683105433</v>
      </c>
      <c r="G130" s="49">
        <v>30347.491128138146</v>
      </c>
      <c r="H130" s="49">
        <v>8099.6930302725787</v>
      </c>
      <c r="I130" s="49">
        <v>354417.49346484349</v>
      </c>
      <c r="J130" s="49">
        <v>28032.714729126335</v>
      </c>
      <c r="K130" s="49">
        <v>6479.7544242180629</v>
      </c>
      <c r="L130" s="49">
        <v>1107554.6670776359</v>
      </c>
      <c r="M130" s="49">
        <v>34977.043926161758</v>
      </c>
      <c r="N130" s="49">
        <v>9719.6316363270944</v>
      </c>
      <c r="O130" s="49">
        <v>4009.9639999999999</v>
      </c>
      <c r="P130" s="49">
        <v>0</v>
      </c>
    </row>
    <row r="131" spans="1:16">
      <c r="A131" s="33"/>
      <c r="B131" s="33">
        <f t="shared" si="1"/>
        <v>2</v>
      </c>
      <c r="C131" s="33" t="s">
        <v>761</v>
      </c>
      <c r="D131" s="33">
        <v>64</v>
      </c>
      <c r="E131" s="35">
        <v>6207</v>
      </c>
      <c r="F131" s="49">
        <v>481193.21280028968</v>
      </c>
      <c r="G131" s="49">
        <v>32714.376914855249</v>
      </c>
      <c r="H131" s="49">
        <v>8744.710891569237</v>
      </c>
      <c r="I131" s="49">
        <v>384954.57024023175</v>
      </c>
      <c r="J131" s="49">
        <v>30203.348866114873</v>
      </c>
      <c r="K131" s="49">
        <v>7071.8096775299055</v>
      </c>
      <c r="L131" s="49">
        <v>1202983.0320007242</v>
      </c>
      <c r="M131" s="49">
        <v>37736.433012335998</v>
      </c>
      <c r="N131" s="49">
        <v>10417.612105608567</v>
      </c>
      <c r="O131" s="49">
        <v>4068.192</v>
      </c>
      <c r="P131" s="49">
        <v>0</v>
      </c>
    </row>
    <row r="132" spans="1:16">
      <c r="A132" s="33"/>
      <c r="B132" s="33">
        <f t="shared" si="1"/>
        <v>2</v>
      </c>
      <c r="C132" s="33" t="s">
        <v>761</v>
      </c>
      <c r="D132" s="33">
        <v>65</v>
      </c>
      <c r="E132" s="35">
        <v>6208</v>
      </c>
      <c r="F132" s="49">
        <v>521836.23153993074</v>
      </c>
      <c r="G132" s="49">
        <v>37493.231682777543</v>
      </c>
      <c r="H132" s="49">
        <v>9425.9744325000011</v>
      </c>
      <c r="I132" s="49">
        <v>417468.98523194459</v>
      </c>
      <c r="J132" s="49">
        <v>34546.11910449979</v>
      </c>
      <c r="K132" s="49">
        <v>7701.2216640000024</v>
      </c>
      <c r="L132" s="49">
        <v>1304590.5788498267</v>
      </c>
      <c r="M132" s="49">
        <v>43387.456839333048</v>
      </c>
      <c r="N132" s="49">
        <v>11150.727201</v>
      </c>
      <c r="O132" s="49">
        <v>4126.42</v>
      </c>
      <c r="P132" s="49">
        <v>0</v>
      </c>
    </row>
    <row r="133" spans="1:16">
      <c r="A133" s="33"/>
      <c r="B133" s="33">
        <f t="shared" si="1"/>
        <v>2</v>
      </c>
      <c r="C133" s="33" t="s">
        <v>761</v>
      </c>
      <c r="D133" s="33">
        <v>66</v>
      </c>
      <c r="E133" s="35">
        <v>6209</v>
      </c>
      <c r="F133" s="49">
        <v>565063.21262955281</v>
      </c>
      <c r="G133" s="49">
        <v>40343.312267271504</v>
      </c>
      <c r="H133" s="49">
        <v>10144.746576481612</v>
      </c>
      <c r="I133" s="49">
        <v>452050.5701036423</v>
      </c>
      <c r="J133" s="49">
        <v>37154.376588584491</v>
      </c>
      <c r="K133" s="49">
        <v>8369.41592559733</v>
      </c>
      <c r="L133" s="49">
        <v>1412658.0315738819</v>
      </c>
      <c r="M133" s="49">
        <v>46721.183624645542</v>
      </c>
      <c r="N133" s="49">
        <v>11920.077227365893</v>
      </c>
      <c r="O133" s="49">
        <v>4184.6480000000001</v>
      </c>
      <c r="P133" s="49">
        <v>0</v>
      </c>
    </row>
    <row r="134" spans="1:16">
      <c r="A134" s="33"/>
      <c r="B134" s="33">
        <f t="shared" si="1"/>
        <v>2</v>
      </c>
      <c r="C134" s="33" t="s">
        <v>761</v>
      </c>
      <c r="D134" s="68">
        <v>67</v>
      </c>
      <c r="E134" s="68">
        <v>7201</v>
      </c>
      <c r="F134" s="68">
        <v>517787.79575834068</v>
      </c>
      <c r="G134" s="68">
        <v>37702.926929169575</v>
      </c>
      <c r="H134" s="68">
        <v>8899.84509339131</v>
      </c>
      <c r="I134" s="68">
        <v>414230.23660667258</v>
      </c>
      <c r="J134" s="68">
        <v>34822.618745591746</v>
      </c>
      <c r="K134" s="68">
        <v>6674.883820043482</v>
      </c>
      <c r="L134" s="68">
        <v>1294469.4893958517</v>
      </c>
      <c r="M134" s="68">
        <v>43463.543296325224</v>
      </c>
      <c r="N134" s="49">
        <v>11124.806366739138</v>
      </c>
      <c r="O134" s="49">
        <v>4242.8759999999993</v>
      </c>
      <c r="P134" s="49">
        <v>0</v>
      </c>
    </row>
    <row r="135" spans="1:16">
      <c r="A135" s="33"/>
      <c r="B135" s="33">
        <f t="shared" si="1"/>
        <v>2</v>
      </c>
      <c r="C135" s="33" t="s">
        <v>761</v>
      </c>
      <c r="D135" s="68">
        <v>68</v>
      </c>
      <c r="E135" s="68">
        <v>7202</v>
      </c>
      <c r="F135" s="68">
        <v>560773.92305061349</v>
      </c>
      <c r="G135" s="68">
        <v>40634.209751689821</v>
      </c>
      <c r="H135" s="68">
        <v>9593.9740302983373</v>
      </c>
      <c r="I135" s="68">
        <v>448619.13844049087</v>
      </c>
      <c r="J135" s="68">
        <v>37506.786242891409</v>
      </c>
      <c r="K135" s="68">
        <v>7300.7802376904419</v>
      </c>
      <c r="L135" s="68">
        <v>1401934.8076265338</v>
      </c>
      <c r="M135" s="68">
        <v>46889.056769286646</v>
      </c>
      <c r="N135" s="49">
        <v>11887.167822906233</v>
      </c>
      <c r="O135" s="49">
        <v>4301.1040000000003</v>
      </c>
      <c r="P135" s="49">
        <v>0</v>
      </c>
    </row>
    <row r="136" spans="1:16">
      <c r="A136" s="33"/>
      <c r="B136" s="33">
        <f t="shared" ref="B136:B199" si="2">VLOOKUP(C136,$R$7:$S$14,2,FALSE)</f>
        <v>2</v>
      </c>
      <c r="C136" s="33" t="s">
        <v>761</v>
      </c>
      <c r="D136" s="68">
        <v>69</v>
      </c>
      <c r="E136" s="68">
        <v>7203</v>
      </c>
      <c r="F136" s="68">
        <v>606455.00157487253</v>
      </c>
      <c r="G136" s="68">
        <v>43749.717097227694</v>
      </c>
      <c r="H136" s="68">
        <v>10326.271321884291</v>
      </c>
      <c r="I136" s="68">
        <v>485164.00125989807</v>
      </c>
      <c r="J136" s="68">
        <v>40358.199799112946</v>
      </c>
      <c r="K136" s="68">
        <v>7965.9807340250245</v>
      </c>
      <c r="L136" s="68">
        <v>1516137.5039371813</v>
      </c>
      <c r="M136" s="68">
        <v>50532.751693457176</v>
      </c>
      <c r="N136" s="49">
        <v>12686.561909743556</v>
      </c>
      <c r="O136" s="49">
        <v>4359.3320000000003</v>
      </c>
      <c r="P136" s="49">
        <v>0</v>
      </c>
    </row>
    <row r="137" spans="1:16">
      <c r="A137" s="33"/>
      <c r="B137" s="33">
        <f t="shared" si="2"/>
        <v>2</v>
      </c>
      <c r="C137" s="33" t="s">
        <v>761</v>
      </c>
      <c r="D137" s="68">
        <v>70</v>
      </c>
      <c r="E137" s="68">
        <v>7204</v>
      </c>
      <c r="F137" s="68">
        <v>657430.7330303418</v>
      </c>
      <c r="G137" s="68">
        <v>47237.363336789334</v>
      </c>
      <c r="H137" s="68">
        <v>11140.072889297669</v>
      </c>
      <c r="I137" s="68">
        <v>525944.58642427344</v>
      </c>
      <c r="J137" s="68">
        <v>43549.912853277623</v>
      </c>
      <c r="K137" s="68">
        <v>8704.8011414046905</v>
      </c>
      <c r="L137" s="68">
        <v>1643576.8325758546</v>
      </c>
      <c r="M137" s="68">
        <v>54612.26430381275</v>
      </c>
      <c r="N137" s="49">
        <v>13575.344637190648</v>
      </c>
      <c r="O137" s="49">
        <v>4417.5600000000004</v>
      </c>
      <c r="P137" s="49">
        <v>0</v>
      </c>
    </row>
    <row r="138" spans="1:16">
      <c r="A138" s="33"/>
      <c r="B138" s="33">
        <f t="shared" si="2"/>
        <v>2</v>
      </c>
      <c r="C138" s="33" t="s">
        <v>761</v>
      </c>
      <c r="D138" s="68">
        <v>71</v>
      </c>
      <c r="E138" s="68">
        <v>7205</v>
      </c>
      <c r="F138" s="68">
        <v>711613.02655343537</v>
      </c>
      <c r="G138" s="68">
        <v>50947.123844742076</v>
      </c>
      <c r="H138" s="68">
        <v>11998.80914034516</v>
      </c>
      <c r="I138" s="68">
        <v>569290.42124274827</v>
      </c>
      <c r="J138" s="68">
        <v>46943.212291208329</v>
      </c>
      <c r="K138" s="68">
        <v>9489.9672291820825</v>
      </c>
      <c r="L138" s="68">
        <v>1779032.5663835881</v>
      </c>
      <c r="M138" s="68">
        <v>58954.946951809543</v>
      </c>
      <c r="N138" s="49">
        <v>14507.651051508237</v>
      </c>
      <c r="O138" s="49">
        <v>4475.7879999999996</v>
      </c>
      <c r="P138" s="49">
        <v>0</v>
      </c>
    </row>
    <row r="139" spans="1:16">
      <c r="A139" s="33"/>
      <c r="B139" s="33">
        <f t="shared" si="2"/>
        <v>2</v>
      </c>
      <c r="C139" s="33" t="s">
        <v>761</v>
      </c>
      <c r="D139" s="68">
        <v>72</v>
      </c>
      <c r="E139" s="68">
        <v>7206</v>
      </c>
      <c r="F139" s="68">
        <v>769142.85545276781</v>
      </c>
      <c r="G139" s="68">
        <v>54890.768954472507</v>
      </c>
      <c r="H139" s="68">
        <v>12904.005132903019</v>
      </c>
      <c r="I139" s="68">
        <v>615314.28436221427</v>
      </c>
      <c r="J139" s="68">
        <v>50548.714737505521</v>
      </c>
      <c r="K139" s="68">
        <v>10323.204106322415</v>
      </c>
      <c r="L139" s="68">
        <v>1922857.1386319194</v>
      </c>
      <c r="M139" s="68">
        <v>63574.877388406472</v>
      </c>
      <c r="N139" s="49">
        <v>15484.806159483622</v>
      </c>
      <c r="O139" s="49">
        <v>4534.0159999999996</v>
      </c>
      <c r="P139" s="49">
        <v>0</v>
      </c>
    </row>
    <row r="140" spans="1:16">
      <c r="A140" s="33"/>
      <c r="B140" s="33">
        <f t="shared" si="2"/>
        <v>2</v>
      </c>
      <c r="C140" s="33" t="s">
        <v>761</v>
      </c>
      <c r="D140" s="68">
        <v>73</v>
      </c>
      <c r="E140" s="68">
        <v>7207</v>
      </c>
      <c r="F140" s="68">
        <v>830165.01072720927</v>
      </c>
      <c r="G140" s="68">
        <v>58309.648004838025</v>
      </c>
      <c r="H140" s="68">
        <v>13857.209249400012</v>
      </c>
      <c r="I140" s="68">
        <v>664132.00858176744</v>
      </c>
      <c r="J140" s="68">
        <v>53683.657921693361</v>
      </c>
      <c r="K140" s="68">
        <v>11206.264871253925</v>
      </c>
      <c r="L140" s="68">
        <v>2075412.5268180231</v>
      </c>
      <c r="M140" s="68">
        <v>67561.628171127377</v>
      </c>
      <c r="N140" s="49">
        <v>16508.153627546097</v>
      </c>
      <c r="O140" s="49">
        <v>4592.2439999999997</v>
      </c>
      <c r="P140" s="49">
        <v>0</v>
      </c>
    </row>
    <row r="141" spans="1:16">
      <c r="A141" s="33"/>
      <c r="B141" s="33">
        <f t="shared" si="2"/>
        <v>2</v>
      </c>
      <c r="C141" s="33" t="s">
        <v>761</v>
      </c>
      <c r="D141" s="68">
        <v>74</v>
      </c>
      <c r="E141" s="68">
        <v>7208</v>
      </c>
      <c r="F141" s="68">
        <v>894828.14790928958</v>
      </c>
      <c r="G141" s="68">
        <v>65991.788494736975</v>
      </c>
      <c r="H141" s="68">
        <v>14859.993196817399</v>
      </c>
      <c r="I141" s="68">
        <v>715862.51832743175</v>
      </c>
      <c r="J141" s="68">
        <v>60657.289917332841</v>
      </c>
      <c r="K141" s="68">
        <v>12140.930611867832</v>
      </c>
      <c r="L141" s="68">
        <v>2237070.369773224</v>
      </c>
      <c r="M141" s="68">
        <v>76660.785649545229</v>
      </c>
      <c r="N141" s="49">
        <v>17579.055781766965</v>
      </c>
      <c r="O141" s="49">
        <v>4650.4720000000007</v>
      </c>
      <c r="P141" s="49">
        <v>0</v>
      </c>
    </row>
    <row r="142" spans="1:16">
      <c r="A142" s="33"/>
      <c r="B142" s="33">
        <f t="shared" si="2"/>
        <v>2</v>
      </c>
      <c r="C142" s="33" t="s">
        <v>761</v>
      </c>
      <c r="D142" s="68">
        <v>75</v>
      </c>
      <c r="E142" s="68">
        <v>7209</v>
      </c>
      <c r="F142" s="68">
        <v>963284.83388880594</v>
      </c>
      <c r="G142" s="68">
        <v>69997.276780936503</v>
      </c>
      <c r="H142" s="68">
        <v>15913.952006688975</v>
      </c>
      <c r="I142" s="68">
        <v>770627.86711104482</v>
      </c>
      <c r="J142" s="68">
        <v>64323.711770066941</v>
      </c>
      <c r="K142" s="68">
        <v>13129.010405518406</v>
      </c>
      <c r="L142" s="68">
        <v>2408212.0847220146</v>
      </c>
      <c r="M142" s="68">
        <v>81344.406802675643</v>
      </c>
      <c r="N142" s="49">
        <v>18698.893607859543</v>
      </c>
      <c r="O142" s="49">
        <v>4708.7</v>
      </c>
      <c r="P142" s="49">
        <v>0</v>
      </c>
    </row>
    <row r="143" spans="1:16">
      <c r="A143" s="33"/>
      <c r="B143" s="33">
        <f t="shared" si="2"/>
        <v>2</v>
      </c>
      <c r="C143" s="33" t="s">
        <v>761</v>
      </c>
      <c r="D143" s="68">
        <v>76</v>
      </c>
      <c r="E143" s="68">
        <v>8201</v>
      </c>
      <c r="F143" s="68">
        <v>877704.74043809366</v>
      </c>
      <c r="G143" s="68">
        <v>64912.130672938067</v>
      </c>
      <c r="H143" s="68">
        <v>13894.452273551848</v>
      </c>
      <c r="I143" s="68">
        <v>702163.79235047498</v>
      </c>
      <c r="J143" s="68">
        <v>59810.362832999454</v>
      </c>
      <c r="K143" s="68">
        <v>10420.839205163888</v>
      </c>
      <c r="L143" s="68">
        <v>2194261.851095234</v>
      </c>
      <c r="M143" s="68">
        <v>75115.666352815315</v>
      </c>
      <c r="N143" s="49">
        <v>17368.065341939808</v>
      </c>
      <c r="O143" s="49">
        <v>4766.9279999999999</v>
      </c>
      <c r="P143" s="49">
        <v>0</v>
      </c>
    </row>
    <row r="144" spans="1:16">
      <c r="A144" s="33"/>
      <c r="B144" s="33">
        <f t="shared" si="2"/>
        <v>2</v>
      </c>
      <c r="C144" s="33" t="s">
        <v>761</v>
      </c>
      <c r="D144" s="68">
        <v>77</v>
      </c>
      <c r="E144" s="68">
        <v>8202</v>
      </c>
      <c r="F144" s="68">
        <v>945377.61378256488</v>
      </c>
      <c r="G144" s="68">
        <v>69706.3140010192</v>
      </c>
      <c r="H144" s="68">
        <v>14909.150589407698</v>
      </c>
      <c r="I144" s="68">
        <v>756302.09102605202</v>
      </c>
      <c r="J144" s="68">
        <v>64190.23387793266</v>
      </c>
      <c r="K144" s="68">
        <v>11345.499960720004</v>
      </c>
      <c r="L144" s="68">
        <v>2363444.0344564123</v>
      </c>
      <c r="M144" s="68">
        <v>80738.474247192265</v>
      </c>
      <c r="N144" s="49">
        <v>18472.801218095392</v>
      </c>
      <c r="O144" s="49">
        <v>4825.1559999999999</v>
      </c>
      <c r="P144" s="49">
        <v>0</v>
      </c>
    </row>
    <row r="145" spans="1:16">
      <c r="A145" s="33"/>
      <c r="B145" s="33">
        <f t="shared" si="2"/>
        <v>2</v>
      </c>
      <c r="C145" s="33" t="s">
        <v>761</v>
      </c>
      <c r="D145" s="68">
        <v>78</v>
      </c>
      <c r="E145" s="68">
        <v>8203</v>
      </c>
      <c r="F145" s="68">
        <v>1016984.8908905839</v>
      </c>
      <c r="G145" s="68">
        <v>74793.13602639563</v>
      </c>
      <c r="H145" s="68">
        <v>15975.793477950505</v>
      </c>
      <c r="I145" s="68">
        <v>813587.91271246714</v>
      </c>
      <c r="J145" s="68">
        <v>68835.326564513263</v>
      </c>
      <c r="K145" s="68">
        <v>12324.18354013325</v>
      </c>
      <c r="L145" s="68">
        <v>2542462.2272264599</v>
      </c>
      <c r="M145" s="68">
        <v>86708.754950160379</v>
      </c>
      <c r="N145" s="49">
        <v>19627.40341576776</v>
      </c>
      <c r="O145" s="49">
        <v>4883.384</v>
      </c>
      <c r="P145" s="49">
        <v>0</v>
      </c>
    </row>
    <row r="146" spans="1:16">
      <c r="A146" s="33"/>
      <c r="B146" s="33">
        <f t="shared" si="2"/>
        <v>2</v>
      </c>
      <c r="C146" s="33" t="s">
        <v>761</v>
      </c>
      <c r="D146" s="68">
        <v>79</v>
      </c>
      <c r="E146" s="68">
        <v>8204</v>
      </c>
      <c r="F146" s="68">
        <v>1092687.2555424508</v>
      </c>
      <c r="G146" s="68">
        <v>80188.07549193711</v>
      </c>
      <c r="H146" s="68">
        <v>17096.01678868095</v>
      </c>
      <c r="I146" s="68">
        <v>874149.8044339607</v>
      </c>
      <c r="J146" s="68">
        <v>73759.595085876514</v>
      </c>
      <c r="K146" s="68">
        <v>13358.748002318142</v>
      </c>
      <c r="L146" s="68">
        <v>2731718.1388561265</v>
      </c>
      <c r="M146" s="68">
        <v>93045.036304058318</v>
      </c>
      <c r="N146" s="49">
        <v>20833.285575043759</v>
      </c>
      <c r="O146" s="49">
        <v>4941.6120000000001</v>
      </c>
      <c r="P146" s="49">
        <v>0</v>
      </c>
    </row>
    <row r="147" spans="1:16">
      <c r="A147" s="33"/>
      <c r="B147" s="33">
        <f t="shared" si="2"/>
        <v>2</v>
      </c>
      <c r="C147" s="33" t="s">
        <v>761</v>
      </c>
      <c r="D147" s="68">
        <v>80</v>
      </c>
      <c r="E147" s="68">
        <v>8205</v>
      </c>
      <c r="F147" s="68">
        <v>1176149.8983710674</v>
      </c>
      <c r="G147" s="68">
        <v>86163.846301620782</v>
      </c>
      <c r="H147" s="68">
        <v>18326.021426086958</v>
      </c>
      <c r="I147" s="68">
        <v>940919.91869685391</v>
      </c>
      <c r="J147" s="68">
        <v>79213.463619284783</v>
      </c>
      <c r="K147" s="68">
        <v>14494.216946086959</v>
      </c>
      <c r="L147" s="68">
        <v>2940374.7459276682</v>
      </c>
      <c r="M147" s="68">
        <v>100064.61166629277</v>
      </c>
      <c r="N147" s="49">
        <v>22157.82590608696</v>
      </c>
      <c r="O147" s="49">
        <v>4999.84</v>
      </c>
      <c r="P147" s="49">
        <v>0</v>
      </c>
    </row>
    <row r="148" spans="1:16">
      <c r="A148" s="33"/>
      <c r="B148" s="33">
        <f t="shared" si="2"/>
        <v>2</v>
      </c>
      <c r="C148" s="33" t="s">
        <v>761</v>
      </c>
      <c r="D148" s="68">
        <v>81</v>
      </c>
      <c r="E148" s="68">
        <v>8206</v>
      </c>
      <c r="F148" s="68">
        <v>1264391.4460308354</v>
      </c>
      <c r="G148" s="68">
        <v>106581.30418407611</v>
      </c>
      <c r="H148" s="68">
        <v>19617.922385759211</v>
      </c>
      <c r="I148" s="68">
        <v>1011513.1568246683</v>
      </c>
      <c r="J148" s="68">
        <v>97666.989088847113</v>
      </c>
      <c r="K148" s="68">
        <v>15694.337908607373</v>
      </c>
      <c r="L148" s="68">
        <v>3160978.6150770886</v>
      </c>
      <c r="M148" s="68">
        <v>124409.93437453415</v>
      </c>
      <c r="N148" s="49">
        <v>23541.506862911046</v>
      </c>
      <c r="O148" s="49">
        <v>5058.0680000000002</v>
      </c>
      <c r="P148" s="49">
        <v>0</v>
      </c>
    </row>
    <row r="149" spans="1:16">
      <c r="A149" s="33"/>
      <c r="B149" s="33">
        <f t="shared" si="2"/>
        <v>2</v>
      </c>
      <c r="C149" s="33" t="s">
        <v>761</v>
      </c>
      <c r="D149" s="68">
        <v>82</v>
      </c>
      <c r="E149" s="68">
        <v>8207</v>
      </c>
      <c r="F149" s="68">
        <v>1357603.3873047247</v>
      </c>
      <c r="G149" s="68">
        <v>113840.25077429123</v>
      </c>
      <c r="H149" s="68">
        <v>20973.630146953859</v>
      </c>
      <c r="I149" s="68">
        <v>1086082.7098437797</v>
      </c>
      <c r="J149" s="68">
        <v>104280.01962268419</v>
      </c>
      <c r="K149" s="68">
        <v>16961.283510145295</v>
      </c>
      <c r="L149" s="68">
        <v>3394008.4682618114</v>
      </c>
      <c r="M149" s="68">
        <v>132960.71307750532</v>
      </c>
      <c r="N149" s="49">
        <v>24985.97678376242</v>
      </c>
      <c r="O149" s="49">
        <v>5116.2960000000003</v>
      </c>
      <c r="P149" s="49">
        <v>0</v>
      </c>
    </row>
    <row r="150" spans="1:16">
      <c r="A150" s="33"/>
      <c r="B150" s="33">
        <f t="shared" si="2"/>
        <v>2</v>
      </c>
      <c r="C150" s="33" t="s">
        <v>761</v>
      </c>
      <c r="D150" s="68">
        <v>83</v>
      </c>
      <c r="E150" s="68">
        <v>8208</v>
      </c>
      <c r="F150" s="68">
        <v>1455981.9492732869</v>
      </c>
      <c r="G150" s="68">
        <v>130044.99225014028</v>
      </c>
      <c r="H150" s="68">
        <v>22395.081845558536</v>
      </c>
      <c r="I150" s="68">
        <v>1164785.5594186296</v>
      </c>
      <c r="J150" s="68">
        <v>118946.45743751423</v>
      </c>
      <c r="K150" s="68">
        <v>18297.25835892442</v>
      </c>
      <c r="L150" s="68">
        <v>3639954.8731832169</v>
      </c>
      <c r="M150" s="68">
        <v>152242.06187539242</v>
      </c>
      <c r="N150" s="49">
        <v>26492.905332192651</v>
      </c>
      <c r="O150" s="49">
        <v>5174.5240000000003</v>
      </c>
      <c r="P150" s="49">
        <v>0</v>
      </c>
    </row>
    <row r="151" spans="1:16">
      <c r="A151" s="33"/>
      <c r="B151" s="33">
        <f t="shared" si="2"/>
        <v>2</v>
      </c>
      <c r="C151" s="33" t="s">
        <v>761</v>
      </c>
      <c r="D151" s="68">
        <v>84</v>
      </c>
      <c r="E151" s="68">
        <v>8209</v>
      </c>
      <c r="F151" s="68">
        <v>1559728.1506936727</v>
      </c>
      <c r="G151" s="68">
        <v>138745.87804307698</v>
      </c>
      <c r="H151" s="68">
        <v>23884.241274092314</v>
      </c>
      <c r="I151" s="68">
        <v>1247782.5205549384</v>
      </c>
      <c r="J151" s="68">
        <v>126861.64367827697</v>
      </c>
      <c r="K151" s="68">
        <v>19704.49905112616</v>
      </c>
      <c r="L151" s="68">
        <v>3899320.3767341822</v>
      </c>
      <c r="M151" s="68">
        <v>162514.34677267697</v>
      </c>
      <c r="N151" s="49">
        <v>28063.983497058467</v>
      </c>
      <c r="O151" s="49">
        <v>5232.7520000000004</v>
      </c>
      <c r="P151" s="49">
        <v>0</v>
      </c>
    </row>
    <row r="152" spans="1:16">
      <c r="A152" s="33"/>
      <c r="B152" s="33">
        <f t="shared" si="2"/>
        <v>3</v>
      </c>
      <c r="C152" s="33" t="s">
        <v>762</v>
      </c>
      <c r="D152" s="68">
        <v>17</v>
      </c>
      <c r="E152" s="68">
        <v>1301</v>
      </c>
      <c r="F152" s="68">
        <v>42227.254281832058</v>
      </c>
      <c r="G152" s="68">
        <v>337.60810618161133</v>
      </c>
      <c r="H152" s="68">
        <v>150.57125217391308</v>
      </c>
      <c r="I152" s="68">
        <v>33781.803425465645</v>
      </c>
      <c r="J152" s="68">
        <v>323.92346251997196</v>
      </c>
      <c r="K152" s="68">
        <v>90.342751304347871</v>
      </c>
      <c r="L152" s="68">
        <v>105568.13570458016</v>
      </c>
      <c r="M152" s="68">
        <v>364.97739350489007</v>
      </c>
      <c r="N152" s="49">
        <v>210.79975304347829</v>
      </c>
      <c r="O152" s="49">
        <v>1331.4760000000001</v>
      </c>
      <c r="P152" s="49">
        <v>0</v>
      </c>
    </row>
    <row r="153" spans="1:16">
      <c r="A153" s="33"/>
      <c r="B153" s="33">
        <f t="shared" si="2"/>
        <v>3</v>
      </c>
      <c r="C153" s="33" t="s">
        <v>762</v>
      </c>
      <c r="D153" s="68">
        <v>29</v>
      </c>
      <c r="E153" s="68">
        <v>1302</v>
      </c>
      <c r="F153" s="68">
        <v>99219.606994474831</v>
      </c>
      <c r="G153" s="68">
        <v>1245.0646280605861</v>
      </c>
      <c r="H153" s="68">
        <v>459.89176695652213</v>
      </c>
      <c r="I153" s="68">
        <v>79375.685595579867</v>
      </c>
      <c r="J153" s="68">
        <v>1181.8770675153971</v>
      </c>
      <c r="K153" s="68">
        <v>275.93506017391337</v>
      </c>
      <c r="L153" s="68">
        <v>248049.01748618708</v>
      </c>
      <c r="M153" s="68">
        <v>1371.439749150964</v>
      </c>
      <c r="N153" s="49">
        <v>643.84847373913078</v>
      </c>
      <c r="O153" s="49">
        <v>2030.212</v>
      </c>
      <c r="P153" s="49">
        <v>0</v>
      </c>
    </row>
    <row r="154" spans="1:16">
      <c r="A154" s="33"/>
      <c r="B154" s="33">
        <f t="shared" si="2"/>
        <v>3</v>
      </c>
      <c r="C154" s="33" t="s">
        <v>762</v>
      </c>
      <c r="D154" s="68">
        <v>39</v>
      </c>
      <c r="E154" s="68">
        <v>1303</v>
      </c>
      <c r="F154" s="68">
        <v>248681.64085945589</v>
      </c>
      <c r="G154" s="68">
        <v>3408.0365141425427</v>
      </c>
      <c r="H154" s="68">
        <v>1108.1576911906359</v>
      </c>
      <c r="I154" s="68">
        <v>198945.31268756473</v>
      </c>
      <c r="J154" s="68">
        <v>3214.9872215537066</v>
      </c>
      <c r="K154" s="68">
        <v>664.89461471438199</v>
      </c>
      <c r="L154" s="68">
        <v>621704.10214863974</v>
      </c>
      <c r="M154" s="68">
        <v>3794.135099320215</v>
      </c>
      <c r="N154" s="49">
        <v>1551.4207676668898</v>
      </c>
      <c r="O154" s="49">
        <v>2612.4920000000002</v>
      </c>
      <c r="P154" s="49">
        <v>0</v>
      </c>
    </row>
    <row r="155" spans="1:16">
      <c r="A155" s="33"/>
      <c r="B155" s="33">
        <f t="shared" si="2"/>
        <v>3</v>
      </c>
      <c r="C155" s="33" t="s">
        <v>762</v>
      </c>
      <c r="D155" s="68">
        <v>49</v>
      </c>
      <c r="E155" s="68">
        <v>1304</v>
      </c>
      <c r="F155" s="68">
        <v>735202.80515448365</v>
      </c>
      <c r="G155" s="68">
        <v>8591.3842425963048</v>
      </c>
      <c r="H155" s="68">
        <v>2299.4844144682293</v>
      </c>
      <c r="I155" s="68">
        <v>588162.24412358692</v>
      </c>
      <c r="J155" s="68">
        <v>8038.8437402657719</v>
      </c>
      <c r="K155" s="68">
        <v>1379.6906486809385</v>
      </c>
      <c r="L155" s="68">
        <v>1838007.0128862092</v>
      </c>
      <c r="M155" s="68">
        <v>9696.4652472573725</v>
      </c>
      <c r="N155" s="49">
        <v>3219.2781802555201</v>
      </c>
      <c r="O155" s="49">
        <v>3194.7719999999999</v>
      </c>
      <c r="P155" s="49">
        <v>0</v>
      </c>
    </row>
    <row r="156" spans="1:16">
      <c r="A156" s="33"/>
      <c r="B156" s="33">
        <f t="shared" si="2"/>
        <v>3</v>
      </c>
      <c r="C156" s="33" t="s">
        <v>762</v>
      </c>
      <c r="D156" s="68">
        <v>59</v>
      </c>
      <c r="E156" s="68">
        <v>1305</v>
      </c>
      <c r="F156" s="68">
        <v>2147459.5388542395</v>
      </c>
      <c r="G156" s="68">
        <v>19448.449047028778</v>
      </c>
      <c r="H156" s="68">
        <v>4285.9899875618758</v>
      </c>
      <c r="I156" s="68">
        <v>1717967.6310833918</v>
      </c>
      <c r="J156" s="68">
        <v>18075.069474000818</v>
      </c>
      <c r="K156" s="68">
        <v>2571.5939925371258</v>
      </c>
      <c r="L156" s="68">
        <v>5368648.8471355997</v>
      </c>
      <c r="M156" s="68">
        <v>22195.208193084702</v>
      </c>
      <c r="N156" s="49">
        <v>6000.3859825866248</v>
      </c>
      <c r="O156" s="49">
        <v>3777.0519999999997</v>
      </c>
      <c r="P156" s="49">
        <v>0</v>
      </c>
    </row>
    <row r="157" spans="1:16">
      <c r="A157" s="33"/>
      <c r="B157" s="33">
        <f t="shared" si="2"/>
        <v>3</v>
      </c>
      <c r="C157" s="33" t="s">
        <v>762</v>
      </c>
      <c r="D157" s="68">
        <v>69</v>
      </c>
      <c r="E157" s="68">
        <v>1306</v>
      </c>
      <c r="F157" s="68">
        <v>5831298.0920660822</v>
      </c>
      <c r="G157" s="68">
        <v>39584.69585392889</v>
      </c>
      <c r="H157" s="68">
        <v>7375.9080870602083</v>
      </c>
      <c r="I157" s="68">
        <v>4665038.4736528657</v>
      </c>
      <c r="J157" s="68">
        <v>36609.680680144025</v>
      </c>
      <c r="K157" s="68">
        <v>4425.5448522361257</v>
      </c>
      <c r="L157" s="68">
        <v>14578245.230165206</v>
      </c>
      <c r="M157" s="68">
        <v>45534.726201498604</v>
      </c>
      <c r="N157" s="49">
        <v>10326.271321884289</v>
      </c>
      <c r="O157" s="49">
        <v>4359.3320000000003</v>
      </c>
      <c r="P157" s="49">
        <v>0</v>
      </c>
    </row>
    <row r="158" spans="1:16">
      <c r="A158" s="33"/>
      <c r="B158" s="33">
        <f t="shared" si="2"/>
        <v>4</v>
      </c>
      <c r="C158" s="33" t="s">
        <v>763</v>
      </c>
      <c r="D158" s="68">
        <v>35</v>
      </c>
      <c r="E158" s="68">
        <v>1401</v>
      </c>
      <c r="F158" s="68">
        <v>29793.914376592424</v>
      </c>
      <c r="G158" s="68">
        <v>1941.7596691799674</v>
      </c>
      <c r="H158" s="68">
        <v>670.67439130434809</v>
      </c>
      <c r="I158" s="68">
        <v>23835.13150127394</v>
      </c>
      <c r="J158" s="68">
        <v>1854.8916048706665</v>
      </c>
      <c r="K158" s="68">
        <v>321.92370782608759</v>
      </c>
      <c r="L158" s="68">
        <v>74484.785941481066</v>
      </c>
      <c r="M158" s="68">
        <v>2115.4957977985696</v>
      </c>
      <c r="N158" s="49">
        <v>1019.425074782609</v>
      </c>
      <c r="O158" s="49">
        <v>2379.58</v>
      </c>
      <c r="P158" s="49">
        <v>0</v>
      </c>
    </row>
    <row r="159" spans="1:16">
      <c r="A159" s="33"/>
      <c r="B159" s="33">
        <f t="shared" si="2"/>
        <v>4</v>
      </c>
      <c r="C159" s="33" t="s">
        <v>763</v>
      </c>
      <c r="D159" s="68">
        <v>40</v>
      </c>
      <c r="E159" s="68">
        <v>1402</v>
      </c>
      <c r="F159" s="68">
        <v>58234.794977605714</v>
      </c>
      <c r="G159" s="68">
        <v>3450.4248214715735</v>
      </c>
      <c r="H159" s="68">
        <v>1304.4385565217399</v>
      </c>
      <c r="I159" s="68">
        <v>46587.835982084573</v>
      </c>
      <c r="J159" s="68">
        <v>3265.9286232040149</v>
      </c>
      <c r="K159" s="68">
        <v>842.86799036789353</v>
      </c>
      <c r="L159" s="68">
        <v>145586.98744401429</v>
      </c>
      <c r="M159" s="68">
        <v>3819.4172180066907</v>
      </c>
      <c r="N159" s="49">
        <v>1766.009122675586</v>
      </c>
      <c r="O159" s="49">
        <v>2670.72</v>
      </c>
      <c r="P159" s="49">
        <v>0</v>
      </c>
    </row>
    <row r="160" spans="1:16">
      <c r="A160" s="33"/>
      <c r="B160" s="33">
        <f t="shared" si="2"/>
        <v>4</v>
      </c>
      <c r="C160" s="33" t="s">
        <v>763</v>
      </c>
      <c r="D160" s="68">
        <v>47</v>
      </c>
      <c r="E160" s="68">
        <v>1403</v>
      </c>
      <c r="F160" s="68">
        <v>125922.2649424351</v>
      </c>
      <c r="G160" s="68">
        <v>7252.6749534835508</v>
      </c>
      <c r="H160" s="68">
        <v>2690.8275851505027</v>
      </c>
      <c r="I160" s="68">
        <v>100737.81195394808</v>
      </c>
      <c r="J160" s="68">
        <v>6796.490216650247</v>
      </c>
      <c r="K160" s="68">
        <v>2018.1206888628776</v>
      </c>
      <c r="L160" s="68">
        <v>314805.66235608776</v>
      </c>
      <c r="M160" s="68">
        <v>8165.0444271501601</v>
      </c>
      <c r="N160" s="49">
        <v>3363.5344814381278</v>
      </c>
      <c r="O160" s="49">
        <v>3078.3160000000003</v>
      </c>
      <c r="P160" s="49">
        <v>0</v>
      </c>
    </row>
    <row r="161" spans="1:16">
      <c r="A161" s="33"/>
      <c r="B161" s="33">
        <f t="shared" si="2"/>
        <v>4</v>
      </c>
      <c r="C161" s="33" t="s">
        <v>763</v>
      </c>
      <c r="D161" s="68">
        <v>55</v>
      </c>
      <c r="E161" s="68">
        <v>1404</v>
      </c>
      <c r="F161" s="68">
        <v>233073.01513015016</v>
      </c>
      <c r="G161" s="68">
        <v>14274.780887374895</v>
      </c>
      <c r="H161" s="68">
        <v>4533.7095602006693</v>
      </c>
      <c r="I161" s="68">
        <v>186458.41210412013</v>
      </c>
      <c r="J161" s="68">
        <v>13300.673754657473</v>
      </c>
      <c r="K161" s="68">
        <v>3400.2821701505018</v>
      </c>
      <c r="L161" s="68">
        <v>582682.53782537545</v>
      </c>
      <c r="M161" s="68">
        <v>16222.995152809737</v>
      </c>
      <c r="N161" s="49">
        <v>5667.1369502508369</v>
      </c>
      <c r="O161" s="49">
        <v>3544.1399999999994</v>
      </c>
      <c r="P161" s="49">
        <v>0</v>
      </c>
    </row>
    <row r="162" spans="1:16">
      <c r="A162" s="33"/>
      <c r="B162" s="33">
        <f t="shared" si="2"/>
        <v>4</v>
      </c>
      <c r="C162" s="33" t="s">
        <v>763</v>
      </c>
      <c r="D162" s="68">
        <v>63</v>
      </c>
      <c r="E162" s="68">
        <v>1405</v>
      </c>
      <c r="F162" s="68">
        <v>402747.15166459483</v>
      </c>
      <c r="G162" s="68">
        <v>26489.530463118466</v>
      </c>
      <c r="H162" s="68">
        <v>7199.7271380200691</v>
      </c>
      <c r="I162" s="68">
        <v>322197.72133167589</v>
      </c>
      <c r="J162" s="68">
        <v>24560.550130608626</v>
      </c>
      <c r="K162" s="68">
        <v>5399.7953535150518</v>
      </c>
      <c r="L162" s="68">
        <v>1006867.8791614871</v>
      </c>
      <c r="M162" s="68">
        <v>30347.491128138146</v>
      </c>
      <c r="N162" s="49">
        <v>8999.6589225250864</v>
      </c>
      <c r="O162" s="49">
        <v>4009.9639999999999</v>
      </c>
      <c r="P162" s="49">
        <v>0</v>
      </c>
    </row>
    <row r="163" spans="1:16">
      <c r="A163" s="33"/>
      <c r="B163" s="33">
        <f t="shared" si="2"/>
        <v>4</v>
      </c>
      <c r="C163" s="33" t="s">
        <v>763</v>
      </c>
      <c r="D163" s="68">
        <v>71</v>
      </c>
      <c r="E163" s="68">
        <v>1406</v>
      </c>
      <c r="F163" s="68">
        <v>658900.95051244006</v>
      </c>
      <c r="G163" s="68">
        <v>44839.462152910943</v>
      </c>
      <c r="H163" s="68">
        <v>10908.008309404689</v>
      </c>
      <c r="I163" s="68">
        <v>527120.76040995202</v>
      </c>
      <c r="J163" s="68">
        <v>41446.316768560326</v>
      </c>
      <c r="K163" s="68">
        <v>8181.006232053518</v>
      </c>
      <c r="L163" s="68">
        <v>1647252.3762811001</v>
      </c>
      <c r="M163" s="68">
        <v>51625.752921612191</v>
      </c>
      <c r="N163" s="49">
        <v>13635.010386755861</v>
      </c>
      <c r="O163" s="49">
        <v>4475.7879999999996</v>
      </c>
      <c r="P163" s="49">
        <v>0</v>
      </c>
    </row>
    <row r="164" spans="1:16">
      <c r="A164" s="33"/>
      <c r="B164" s="33">
        <f t="shared" si="2"/>
        <v>5</v>
      </c>
      <c r="C164" s="33" t="s">
        <v>764</v>
      </c>
      <c r="D164" s="68">
        <v>11</v>
      </c>
      <c r="E164" s="68">
        <v>1801</v>
      </c>
      <c r="F164" s="68">
        <v>1708.8119174055728</v>
      </c>
      <c r="G164" s="68">
        <v>128.66525690810911</v>
      </c>
      <c r="H164" s="68">
        <v>67.865791304347852</v>
      </c>
      <c r="I164" s="68">
        <v>1367.0495339244583</v>
      </c>
      <c r="J164" s="68">
        <v>124.84750339121126</v>
      </c>
      <c r="K164" s="68">
        <v>40.719474782608728</v>
      </c>
      <c r="L164" s="68">
        <v>4272.0297935139315</v>
      </c>
      <c r="M164" s="68">
        <v>136.30076394190485</v>
      </c>
      <c r="N164" s="49">
        <v>95.012107826086961</v>
      </c>
      <c r="O164" s="49">
        <v>982.10800000000006</v>
      </c>
      <c r="P164" s="49">
        <v>0</v>
      </c>
    </row>
    <row r="165" spans="1:16">
      <c r="A165" s="33"/>
      <c r="B165" s="33">
        <f t="shared" si="2"/>
        <v>5</v>
      </c>
      <c r="C165" s="33" t="s">
        <v>764</v>
      </c>
      <c r="D165" s="68">
        <v>28</v>
      </c>
      <c r="E165" s="68">
        <v>1802</v>
      </c>
      <c r="F165" s="68">
        <v>15938.471691715738</v>
      </c>
      <c r="G165" s="68">
        <v>1014.7121839773606</v>
      </c>
      <c r="H165" s="68">
        <v>422.96620093645492</v>
      </c>
      <c r="I165" s="68">
        <v>12750.777353372592</v>
      </c>
      <c r="J165" s="68">
        <v>969.63645903781855</v>
      </c>
      <c r="K165" s="68">
        <v>253.77972056187298</v>
      </c>
      <c r="L165" s="68">
        <v>39846.179229289351</v>
      </c>
      <c r="M165" s="68">
        <v>1104.8636338564447</v>
      </c>
      <c r="N165" s="49">
        <v>592.15268131103699</v>
      </c>
      <c r="O165" s="49">
        <v>1971.9840000000002</v>
      </c>
      <c r="P165" s="49">
        <v>0</v>
      </c>
    </row>
    <row r="166" spans="1:16">
      <c r="A166" s="33"/>
      <c r="B166" s="33">
        <f t="shared" si="2"/>
        <v>5</v>
      </c>
      <c r="C166" s="33" t="s">
        <v>764</v>
      </c>
      <c r="D166" s="68">
        <v>38</v>
      </c>
      <c r="E166" s="68">
        <v>1803</v>
      </c>
      <c r="F166" s="68">
        <v>45427.613923982688</v>
      </c>
      <c r="G166" s="68">
        <v>2751.2315793914086</v>
      </c>
      <c r="H166" s="68">
        <v>1026.7846783946493</v>
      </c>
      <c r="I166" s="68">
        <v>36342.091139186152</v>
      </c>
      <c r="J166" s="68">
        <v>2613.0130452382209</v>
      </c>
      <c r="K166" s="68">
        <v>616.07080703679003</v>
      </c>
      <c r="L166" s="68">
        <v>113569.03480995673</v>
      </c>
      <c r="M166" s="68">
        <v>3027.6686476977839</v>
      </c>
      <c r="N166" s="49">
        <v>1437.4985497525086</v>
      </c>
      <c r="O166" s="49">
        <v>2554.2640000000001</v>
      </c>
      <c r="P166" s="49">
        <v>0</v>
      </c>
    </row>
    <row r="167" spans="1:16">
      <c r="A167" s="33"/>
      <c r="B167" s="33">
        <f t="shared" si="2"/>
        <v>5</v>
      </c>
      <c r="C167" s="33" t="s">
        <v>764</v>
      </c>
      <c r="D167" s="68">
        <v>48</v>
      </c>
      <c r="E167" s="68">
        <v>1804</v>
      </c>
      <c r="F167" s="68">
        <v>108956.09506961306</v>
      </c>
      <c r="G167" s="68">
        <v>6895.0148143585775</v>
      </c>
      <c r="H167" s="68">
        <v>2155.9589593043493</v>
      </c>
      <c r="I167" s="68">
        <v>87164.87605569046</v>
      </c>
      <c r="J167" s="68">
        <v>6492.9745274966326</v>
      </c>
      <c r="K167" s="68">
        <v>1293.5753755826099</v>
      </c>
      <c r="L167" s="68">
        <v>272390.23767403263</v>
      </c>
      <c r="M167" s="68">
        <v>7699.0953880824654</v>
      </c>
      <c r="N167" s="49">
        <v>3018.3425430260882</v>
      </c>
      <c r="O167" s="49">
        <v>3136.5439999999999</v>
      </c>
      <c r="P167" s="49">
        <v>0</v>
      </c>
    </row>
    <row r="168" spans="1:16">
      <c r="A168" s="33"/>
      <c r="B168" s="33">
        <f t="shared" si="2"/>
        <v>5</v>
      </c>
      <c r="C168" s="33" t="s">
        <v>764</v>
      </c>
      <c r="D168" s="68">
        <v>58</v>
      </c>
      <c r="E168" s="68">
        <v>1805</v>
      </c>
      <c r="F168" s="68">
        <v>229610.29624235188</v>
      </c>
      <c r="G168" s="68">
        <v>15508.770848881637</v>
      </c>
      <c r="H168" s="68">
        <v>4052.6125463678945</v>
      </c>
      <c r="I168" s="68">
        <v>183688.23699388152</v>
      </c>
      <c r="J168" s="68">
        <v>14498.242103509194</v>
      </c>
      <c r="K168" s="68">
        <v>2431.5675278207364</v>
      </c>
      <c r="L168" s="68">
        <v>574025.74060587969</v>
      </c>
      <c r="M168" s="68">
        <v>17529.828339626525</v>
      </c>
      <c r="N168" s="49">
        <v>5673.6575649150527</v>
      </c>
      <c r="O168" s="49">
        <v>3718.8240000000001</v>
      </c>
      <c r="P168" s="49">
        <v>0</v>
      </c>
    </row>
    <row r="169" spans="1:16">
      <c r="A169" s="33"/>
      <c r="B169" s="33">
        <f t="shared" si="2"/>
        <v>5</v>
      </c>
      <c r="C169" s="33" t="s">
        <v>764</v>
      </c>
      <c r="D169" s="68">
        <v>68</v>
      </c>
      <c r="E169" s="68">
        <v>1806</v>
      </c>
      <c r="F169" s="68">
        <v>439822.68474557926</v>
      </c>
      <c r="G169" s="68">
        <v>31698.714012265787</v>
      </c>
      <c r="H169" s="68">
        <v>7019.9809977792702</v>
      </c>
      <c r="I169" s="68">
        <v>351858.14779646345</v>
      </c>
      <c r="J169" s="68">
        <v>29464.840077409775</v>
      </c>
      <c r="K169" s="68">
        <v>4211.9885986675617</v>
      </c>
      <c r="L169" s="68">
        <v>1099556.711863948</v>
      </c>
      <c r="M169" s="68">
        <v>36166.461881977797</v>
      </c>
      <c r="N169" s="49">
        <v>9827.9733968909804</v>
      </c>
      <c r="O169" s="49">
        <v>4301.1040000000003</v>
      </c>
      <c r="P169" s="49">
        <v>0</v>
      </c>
    </row>
    <row r="170" spans="1:16">
      <c r="A170" s="33"/>
      <c r="B170" s="33">
        <f t="shared" si="2"/>
        <v>6</v>
      </c>
      <c r="C170" s="33" t="s">
        <v>765</v>
      </c>
      <c r="D170" s="68">
        <v>23</v>
      </c>
      <c r="E170" s="68">
        <v>1701</v>
      </c>
      <c r="F170" s="68">
        <v>9120.3246440730254</v>
      </c>
      <c r="G170" s="68">
        <v>581.07401795328519</v>
      </c>
      <c r="H170" s="68">
        <v>266.29066354515066</v>
      </c>
      <c r="I170" s="68">
        <v>7296.2597152584203</v>
      </c>
      <c r="J170" s="68">
        <v>558.47203796397673</v>
      </c>
      <c r="K170" s="68">
        <v>159.77439812709042</v>
      </c>
      <c r="L170" s="68">
        <v>22800.811610182562</v>
      </c>
      <c r="M170" s="68">
        <v>626.27797793190211</v>
      </c>
      <c r="N170" s="49">
        <v>372.80692896321079</v>
      </c>
      <c r="O170" s="49">
        <v>1680.8440000000001</v>
      </c>
      <c r="P170" s="49">
        <v>0</v>
      </c>
    </row>
    <row r="171" spans="1:16">
      <c r="A171" s="33"/>
      <c r="B171" s="33">
        <f t="shared" si="2"/>
        <v>6</v>
      </c>
      <c r="C171" s="33" t="s">
        <v>765</v>
      </c>
      <c r="D171" s="68">
        <v>33</v>
      </c>
      <c r="E171" s="68">
        <v>1702</v>
      </c>
      <c r="F171" s="68">
        <v>27658.557114366624</v>
      </c>
      <c r="G171" s="68">
        <v>1653.9813600655095</v>
      </c>
      <c r="H171" s="68">
        <v>674.52897055184008</v>
      </c>
      <c r="I171" s="68">
        <v>22126.845691493301</v>
      </c>
      <c r="J171" s="68">
        <v>1578.5204201325373</v>
      </c>
      <c r="K171" s="68">
        <v>404.71738233110432</v>
      </c>
      <c r="L171" s="68">
        <v>69146.392785916556</v>
      </c>
      <c r="M171" s="68">
        <v>1804.903239931454</v>
      </c>
      <c r="N171" s="49">
        <v>944.34055877257583</v>
      </c>
      <c r="O171" s="49">
        <v>2263.1239999999998</v>
      </c>
      <c r="P171" s="49">
        <v>0</v>
      </c>
    </row>
    <row r="172" spans="1:16">
      <c r="A172" s="33"/>
      <c r="B172" s="33">
        <f t="shared" si="2"/>
        <v>6</v>
      </c>
      <c r="C172" s="33" t="s">
        <v>765</v>
      </c>
      <c r="D172" s="68">
        <v>43</v>
      </c>
      <c r="E172" s="68">
        <v>1703</v>
      </c>
      <c r="F172" s="68">
        <v>72150.087208842742</v>
      </c>
      <c r="G172" s="68">
        <v>4301.482001819355</v>
      </c>
      <c r="H172" s="68">
        <v>1521.6402069632113</v>
      </c>
      <c r="I172" s="68">
        <v>57720.069767074194</v>
      </c>
      <c r="J172" s="68">
        <v>4074.2191625658479</v>
      </c>
      <c r="K172" s="68">
        <v>912.98412417792724</v>
      </c>
      <c r="L172" s="68">
        <v>180375.21802210688</v>
      </c>
      <c r="M172" s="68">
        <v>4756.0076803263701</v>
      </c>
      <c r="N172" s="49">
        <v>2130.2962897484954</v>
      </c>
      <c r="O172" s="49">
        <v>2845.404</v>
      </c>
      <c r="P172" s="49">
        <v>0</v>
      </c>
    </row>
    <row r="173" spans="1:16">
      <c r="A173" s="33"/>
      <c r="B173" s="33">
        <f t="shared" si="2"/>
        <v>6</v>
      </c>
      <c r="C173" s="33" t="s">
        <v>765</v>
      </c>
      <c r="D173" s="68">
        <v>52</v>
      </c>
      <c r="E173" s="68">
        <v>1704</v>
      </c>
      <c r="F173" s="68">
        <v>149310.5062429524</v>
      </c>
      <c r="G173" s="68">
        <v>9306.5259359470365</v>
      </c>
      <c r="H173" s="68">
        <v>2817.0307028227435</v>
      </c>
      <c r="I173" s="68">
        <v>119448.40499436192</v>
      </c>
      <c r="J173" s="68">
        <v>8751.4774360620322</v>
      </c>
      <c r="K173" s="68">
        <v>1690.2184216936466</v>
      </c>
      <c r="L173" s="68">
        <v>373276.26560738101</v>
      </c>
      <c r="M173" s="68">
        <v>10416.622935717045</v>
      </c>
      <c r="N173" s="49">
        <v>3943.8429839518403</v>
      </c>
      <c r="O173" s="49">
        <v>3369.4560000000001</v>
      </c>
      <c r="P173" s="49">
        <v>0</v>
      </c>
    </row>
    <row r="174" spans="1:16">
      <c r="A174" s="33"/>
      <c r="B174" s="33">
        <f t="shared" si="2"/>
        <v>6</v>
      </c>
      <c r="C174" s="33" t="s">
        <v>765</v>
      </c>
      <c r="D174" s="68">
        <v>61</v>
      </c>
      <c r="E174" s="68">
        <v>1705</v>
      </c>
      <c r="F174" s="68">
        <v>282007.96997807565</v>
      </c>
      <c r="G174" s="68">
        <v>18674.879172206023</v>
      </c>
      <c r="H174" s="68">
        <v>4823.332057173915</v>
      </c>
      <c r="I174" s="68">
        <v>225606.37598246054</v>
      </c>
      <c r="J174" s="68">
        <v>17450.502195941943</v>
      </c>
      <c r="K174" s="68">
        <v>2893.9992343043486</v>
      </c>
      <c r="L174" s="68">
        <v>705019.92494518915</v>
      </c>
      <c r="M174" s="68">
        <v>21123.63312473418</v>
      </c>
      <c r="N174" s="49">
        <v>6752.6648800434805</v>
      </c>
      <c r="O174" s="49">
        <v>3893.5080000000003</v>
      </c>
      <c r="P174" s="49">
        <v>0</v>
      </c>
    </row>
    <row r="175" spans="1:16">
      <c r="A175" s="33"/>
      <c r="B175" s="33">
        <f t="shared" si="2"/>
        <v>6</v>
      </c>
      <c r="C175" s="33" t="s">
        <v>765</v>
      </c>
      <c r="D175" s="68">
        <v>70</v>
      </c>
      <c r="E175" s="68">
        <v>1706</v>
      </c>
      <c r="F175" s="68">
        <v>496174.13813610701</v>
      </c>
      <c r="G175" s="68">
        <v>34204.133179549681</v>
      </c>
      <c r="H175" s="68">
        <v>7772.1438762541875</v>
      </c>
      <c r="I175" s="68">
        <v>396939.31050888565</v>
      </c>
      <c r="J175" s="68">
        <v>31820.005711761936</v>
      </c>
      <c r="K175" s="68">
        <v>4663.2863257525132</v>
      </c>
      <c r="L175" s="68">
        <v>1240435.3453402675</v>
      </c>
      <c r="M175" s="68">
        <v>38972.388115125163</v>
      </c>
      <c r="N175" s="49">
        <v>10881.001426755864</v>
      </c>
      <c r="O175" s="49">
        <v>4417.5600000000004</v>
      </c>
      <c r="P175" s="49">
        <v>0</v>
      </c>
    </row>
    <row r="176" spans="1:16">
      <c r="A176" s="33"/>
      <c r="B176" s="33">
        <f t="shared" si="2"/>
        <v>7</v>
      </c>
      <c r="C176" s="33" t="s">
        <v>766</v>
      </c>
      <c r="D176" s="68">
        <v>1</v>
      </c>
      <c r="E176" s="68">
        <v>1501</v>
      </c>
      <c r="F176" s="68">
        <v>267.49800000000005</v>
      </c>
      <c r="G176" s="68">
        <v>26.106519114688133</v>
      </c>
      <c r="H176" s="68">
        <v>21.120000000000005</v>
      </c>
      <c r="I176" s="68">
        <v>213.99840000000006</v>
      </c>
      <c r="J176" s="68">
        <v>25.607867203219321</v>
      </c>
      <c r="K176" s="68">
        <v>15.840000000000003</v>
      </c>
      <c r="L176" s="68">
        <v>668.74500000000012</v>
      </c>
      <c r="M176" s="68">
        <v>27.103822937625758</v>
      </c>
      <c r="N176" s="49">
        <v>26.400000000000006</v>
      </c>
      <c r="O176" s="49">
        <v>399.82799999999997</v>
      </c>
      <c r="P176" s="49">
        <v>0</v>
      </c>
    </row>
    <row r="177" spans="1:16">
      <c r="A177" s="33"/>
      <c r="B177" s="33">
        <f t="shared" si="2"/>
        <v>7</v>
      </c>
      <c r="C177" s="33" t="s">
        <v>766</v>
      </c>
      <c r="D177" s="68">
        <v>1</v>
      </c>
      <c r="E177" s="68">
        <v>1502</v>
      </c>
      <c r="F177" s="68">
        <v>267.49800000000005</v>
      </c>
      <c r="G177" s="68">
        <v>26.106519114688133</v>
      </c>
      <c r="H177" s="68">
        <v>21.120000000000005</v>
      </c>
      <c r="I177" s="68">
        <v>213.99840000000006</v>
      </c>
      <c r="J177" s="68">
        <v>25.607867203219321</v>
      </c>
      <c r="K177" s="68">
        <v>15.840000000000003</v>
      </c>
      <c r="L177" s="68">
        <v>668.74500000000012</v>
      </c>
      <c r="M177" s="68">
        <v>27.103822937625758</v>
      </c>
      <c r="N177" s="49">
        <v>26.400000000000006</v>
      </c>
      <c r="O177" s="49">
        <v>399.82799999999997</v>
      </c>
      <c r="P177" s="49">
        <v>0</v>
      </c>
    </row>
    <row r="178" spans="1:16">
      <c r="A178" s="33"/>
      <c r="B178" s="33">
        <f t="shared" si="2"/>
        <v>7</v>
      </c>
      <c r="C178" s="33" t="s">
        <v>766</v>
      </c>
      <c r="D178" s="68">
        <v>1</v>
      </c>
      <c r="E178" s="68">
        <v>1503</v>
      </c>
      <c r="F178" s="68">
        <v>267.49800000000005</v>
      </c>
      <c r="G178" s="68">
        <v>26.106519114688133</v>
      </c>
      <c r="H178" s="68">
        <v>21.120000000000005</v>
      </c>
      <c r="I178" s="68">
        <v>213.99840000000006</v>
      </c>
      <c r="J178" s="68">
        <v>25.607867203219321</v>
      </c>
      <c r="K178" s="68">
        <v>15.840000000000003</v>
      </c>
      <c r="L178" s="68">
        <v>668.74500000000012</v>
      </c>
      <c r="M178" s="68">
        <v>27.103822937625758</v>
      </c>
      <c r="N178" s="49">
        <v>26.400000000000006</v>
      </c>
      <c r="O178" s="49">
        <v>399.82799999999997</v>
      </c>
      <c r="P178" s="49">
        <v>0</v>
      </c>
    </row>
    <row r="179" spans="1:16">
      <c r="A179" s="33"/>
      <c r="B179" s="33">
        <f t="shared" si="2"/>
        <v>7</v>
      </c>
      <c r="C179" s="33" t="s">
        <v>766</v>
      </c>
      <c r="D179" s="68">
        <v>1</v>
      </c>
      <c r="E179" s="68">
        <v>1504</v>
      </c>
      <c r="F179" s="68">
        <v>267.49800000000005</v>
      </c>
      <c r="G179" s="68">
        <v>26.106519114688133</v>
      </c>
      <c r="H179" s="68">
        <v>21.120000000000005</v>
      </c>
      <c r="I179" s="68">
        <v>213.99840000000006</v>
      </c>
      <c r="J179" s="68">
        <v>25.607867203219321</v>
      </c>
      <c r="K179" s="68">
        <v>15.840000000000003</v>
      </c>
      <c r="L179" s="68">
        <v>668.74500000000012</v>
      </c>
      <c r="M179" s="68">
        <v>27.103822937625758</v>
      </c>
      <c r="N179" s="49">
        <v>26.400000000000006</v>
      </c>
      <c r="O179" s="49">
        <v>399.82799999999997</v>
      </c>
      <c r="P179" s="49">
        <v>0</v>
      </c>
    </row>
    <row r="180" spans="1:16">
      <c r="A180" s="33"/>
      <c r="B180" s="33">
        <f t="shared" si="2"/>
        <v>7</v>
      </c>
      <c r="C180" s="33" t="s">
        <v>766</v>
      </c>
      <c r="D180" s="68">
        <v>1</v>
      </c>
      <c r="E180" s="68">
        <v>1505</v>
      </c>
      <c r="F180" s="68">
        <v>267.49800000000005</v>
      </c>
      <c r="G180" s="68">
        <v>26.106519114688133</v>
      </c>
      <c r="H180" s="68">
        <v>21.120000000000005</v>
      </c>
      <c r="I180" s="68">
        <v>213.99840000000006</v>
      </c>
      <c r="J180" s="68">
        <v>25.607867203219321</v>
      </c>
      <c r="K180" s="68">
        <v>15.840000000000003</v>
      </c>
      <c r="L180" s="68">
        <v>668.74500000000012</v>
      </c>
      <c r="M180" s="68">
        <v>27.103822937625758</v>
      </c>
      <c r="N180" s="49">
        <v>26.400000000000006</v>
      </c>
      <c r="O180" s="49">
        <v>399.82799999999997</v>
      </c>
      <c r="P180" s="49">
        <v>0</v>
      </c>
    </row>
    <row r="181" spans="1:16">
      <c r="A181" s="33"/>
      <c r="B181" s="33">
        <f t="shared" si="2"/>
        <v>7</v>
      </c>
      <c r="C181" s="33" t="s">
        <v>766</v>
      </c>
      <c r="D181" s="68">
        <v>1</v>
      </c>
      <c r="E181" s="68">
        <v>1506</v>
      </c>
      <c r="F181" s="68">
        <v>267.49800000000005</v>
      </c>
      <c r="G181" s="68">
        <v>26.106519114688133</v>
      </c>
      <c r="H181" s="68">
        <v>21.120000000000005</v>
      </c>
      <c r="I181" s="68">
        <v>213.99840000000006</v>
      </c>
      <c r="J181" s="68">
        <v>25.607867203219321</v>
      </c>
      <c r="K181" s="68">
        <v>15.840000000000003</v>
      </c>
      <c r="L181" s="68">
        <v>668.74500000000012</v>
      </c>
      <c r="M181" s="68">
        <v>27.103822937625758</v>
      </c>
      <c r="N181" s="49">
        <v>26.400000000000006</v>
      </c>
      <c r="O181" s="49">
        <v>399.82799999999997</v>
      </c>
      <c r="P181" s="49">
        <v>0</v>
      </c>
    </row>
    <row r="182" spans="1:16">
      <c r="A182" s="33"/>
      <c r="B182" s="33">
        <f t="shared" si="2"/>
        <v>7</v>
      </c>
      <c r="C182" s="33" t="s">
        <v>766</v>
      </c>
      <c r="D182" s="68">
        <v>1</v>
      </c>
      <c r="E182" s="68">
        <v>1507</v>
      </c>
      <c r="F182" s="68">
        <v>267.49800000000005</v>
      </c>
      <c r="G182" s="68">
        <v>26.106519114688133</v>
      </c>
      <c r="H182" s="68">
        <v>21.120000000000005</v>
      </c>
      <c r="I182" s="68">
        <v>213.99840000000006</v>
      </c>
      <c r="J182" s="68">
        <v>25.607867203219321</v>
      </c>
      <c r="K182" s="68">
        <v>15.840000000000003</v>
      </c>
      <c r="L182" s="68">
        <v>668.74500000000012</v>
      </c>
      <c r="M182" s="68">
        <v>27.103822937625758</v>
      </c>
      <c r="N182" s="49">
        <v>26.400000000000006</v>
      </c>
      <c r="O182" s="49">
        <v>399.82799999999997</v>
      </c>
      <c r="P182" s="49">
        <v>0</v>
      </c>
    </row>
    <row r="183" spans="1:16">
      <c r="A183" s="33"/>
      <c r="B183" s="33">
        <f t="shared" si="2"/>
        <v>7</v>
      </c>
      <c r="C183" s="33" t="s">
        <v>766</v>
      </c>
      <c r="D183" s="68">
        <v>1</v>
      </c>
      <c r="E183" s="68">
        <v>1508</v>
      </c>
      <c r="F183" s="68">
        <v>267.49800000000005</v>
      </c>
      <c r="G183" s="68">
        <v>26.106519114688133</v>
      </c>
      <c r="H183" s="68">
        <v>21.120000000000005</v>
      </c>
      <c r="I183" s="68">
        <v>213.99840000000006</v>
      </c>
      <c r="J183" s="68">
        <v>25.607867203219321</v>
      </c>
      <c r="K183" s="68">
        <v>15.840000000000003</v>
      </c>
      <c r="L183" s="68">
        <v>668.74500000000012</v>
      </c>
      <c r="M183" s="68">
        <v>27.103822937625758</v>
      </c>
      <c r="N183" s="49">
        <v>26.400000000000006</v>
      </c>
      <c r="O183" s="49">
        <v>399.82799999999997</v>
      </c>
      <c r="P183" s="49">
        <v>0</v>
      </c>
    </row>
    <row r="184" spans="1:16">
      <c r="A184" s="33"/>
      <c r="B184" s="33">
        <f t="shared" si="2"/>
        <v>7</v>
      </c>
      <c r="C184" s="33" t="s">
        <v>766</v>
      </c>
      <c r="D184" s="68">
        <v>1</v>
      </c>
      <c r="E184" s="68">
        <v>1509</v>
      </c>
      <c r="F184" s="68">
        <v>267.49800000000005</v>
      </c>
      <c r="G184" s="68">
        <v>26.106519114688133</v>
      </c>
      <c r="H184" s="68">
        <v>21.120000000000005</v>
      </c>
      <c r="I184" s="68">
        <v>213.99840000000006</v>
      </c>
      <c r="J184" s="68">
        <v>25.607867203219321</v>
      </c>
      <c r="K184" s="68">
        <v>15.840000000000003</v>
      </c>
      <c r="L184" s="68">
        <v>668.74500000000012</v>
      </c>
      <c r="M184" s="68">
        <v>27.103822937625758</v>
      </c>
      <c r="N184" s="49">
        <v>26.400000000000006</v>
      </c>
      <c r="O184" s="49">
        <v>399.82799999999997</v>
      </c>
      <c r="P184" s="49">
        <v>0</v>
      </c>
    </row>
    <row r="185" spans="1:16">
      <c r="A185" s="33"/>
      <c r="B185" s="33">
        <f t="shared" si="2"/>
        <v>7</v>
      </c>
      <c r="C185" s="33" t="s">
        <v>766</v>
      </c>
      <c r="D185" s="68">
        <v>1</v>
      </c>
      <c r="E185" s="68">
        <v>1510</v>
      </c>
      <c r="F185" s="68">
        <v>267.49800000000005</v>
      </c>
      <c r="G185" s="68">
        <v>26.106519114688133</v>
      </c>
      <c r="H185" s="68">
        <v>21.120000000000005</v>
      </c>
      <c r="I185" s="68">
        <v>213.99840000000006</v>
      </c>
      <c r="J185" s="68">
        <v>25.607867203219321</v>
      </c>
      <c r="K185" s="68">
        <v>15.840000000000003</v>
      </c>
      <c r="L185" s="68">
        <v>668.74500000000012</v>
      </c>
      <c r="M185" s="68">
        <v>27.103822937625758</v>
      </c>
      <c r="N185" s="49">
        <v>26.400000000000006</v>
      </c>
      <c r="O185" s="49">
        <v>399.82799999999997</v>
      </c>
      <c r="P185" s="49">
        <v>0</v>
      </c>
    </row>
    <row r="186" spans="1:16">
      <c r="A186" s="33"/>
      <c r="B186" s="33">
        <f t="shared" si="2"/>
        <v>7</v>
      </c>
      <c r="C186" s="33" t="s">
        <v>766</v>
      </c>
      <c r="D186" s="68">
        <v>1</v>
      </c>
      <c r="E186" s="68">
        <v>1511</v>
      </c>
      <c r="F186" s="68">
        <v>267.49800000000005</v>
      </c>
      <c r="G186" s="68">
        <v>26.106519114688133</v>
      </c>
      <c r="H186" s="68">
        <v>21.120000000000005</v>
      </c>
      <c r="I186" s="68">
        <v>213.99840000000006</v>
      </c>
      <c r="J186" s="68">
        <v>25.607867203219321</v>
      </c>
      <c r="K186" s="68">
        <v>15.840000000000003</v>
      </c>
      <c r="L186" s="68">
        <v>668.74500000000012</v>
      </c>
      <c r="M186" s="68">
        <v>27.103822937625758</v>
      </c>
      <c r="N186" s="49">
        <v>26.400000000000006</v>
      </c>
      <c r="O186" s="49">
        <v>399.82799999999997</v>
      </c>
      <c r="P186" s="49">
        <v>0</v>
      </c>
    </row>
    <row r="187" spans="1:16">
      <c r="A187" s="33"/>
      <c r="B187" s="33">
        <f t="shared" si="2"/>
        <v>7</v>
      </c>
      <c r="C187" s="33" t="s">
        <v>766</v>
      </c>
      <c r="D187" s="68">
        <v>1</v>
      </c>
      <c r="E187" s="68">
        <v>1512</v>
      </c>
      <c r="F187" s="68">
        <v>267.49800000000005</v>
      </c>
      <c r="G187" s="68">
        <v>26.106519114688133</v>
      </c>
      <c r="H187" s="68">
        <v>21.120000000000005</v>
      </c>
      <c r="I187" s="68">
        <v>213.99840000000006</v>
      </c>
      <c r="J187" s="68">
        <v>25.607867203219321</v>
      </c>
      <c r="K187" s="68">
        <v>15.840000000000003</v>
      </c>
      <c r="L187" s="68">
        <v>668.74500000000012</v>
      </c>
      <c r="M187" s="68">
        <v>27.103822937625758</v>
      </c>
      <c r="N187" s="49">
        <v>26.400000000000006</v>
      </c>
      <c r="O187" s="49">
        <v>399.82799999999997</v>
      </c>
      <c r="P187" s="49">
        <v>0</v>
      </c>
    </row>
    <row r="188" spans="1:16">
      <c r="A188" s="33"/>
      <c r="B188" s="33">
        <f t="shared" si="2"/>
        <v>7</v>
      </c>
      <c r="C188" s="33" t="s">
        <v>766</v>
      </c>
      <c r="D188" s="68">
        <v>1</v>
      </c>
      <c r="E188" s="68">
        <v>1513</v>
      </c>
      <c r="F188" s="68">
        <v>267.49800000000005</v>
      </c>
      <c r="G188" s="68">
        <v>26.106519114688133</v>
      </c>
      <c r="H188" s="68">
        <v>21.120000000000005</v>
      </c>
      <c r="I188" s="68">
        <v>213.99840000000006</v>
      </c>
      <c r="J188" s="68">
        <v>25.607867203219321</v>
      </c>
      <c r="K188" s="68">
        <v>15.840000000000003</v>
      </c>
      <c r="L188" s="68">
        <v>668.74500000000012</v>
      </c>
      <c r="M188" s="68">
        <v>27.103822937625758</v>
      </c>
      <c r="N188" s="49">
        <v>26.400000000000006</v>
      </c>
      <c r="O188" s="49">
        <v>399.82799999999997</v>
      </c>
      <c r="P188" s="49">
        <v>0</v>
      </c>
    </row>
    <row r="189" spans="1:16">
      <c r="A189" s="33"/>
      <c r="B189" s="33">
        <f t="shared" si="2"/>
        <v>7</v>
      </c>
      <c r="C189" s="33" t="s">
        <v>766</v>
      </c>
      <c r="D189" s="68">
        <v>1</v>
      </c>
      <c r="E189" s="68">
        <v>1514</v>
      </c>
      <c r="F189" s="68">
        <v>267.49800000000005</v>
      </c>
      <c r="G189" s="68">
        <v>26.106519114688133</v>
      </c>
      <c r="H189" s="68">
        <v>21.120000000000005</v>
      </c>
      <c r="I189" s="68">
        <v>213.99840000000006</v>
      </c>
      <c r="J189" s="68">
        <v>25.607867203219321</v>
      </c>
      <c r="K189" s="68">
        <v>15.840000000000003</v>
      </c>
      <c r="L189" s="68">
        <v>668.74500000000012</v>
      </c>
      <c r="M189" s="68">
        <v>27.103822937625758</v>
      </c>
      <c r="N189" s="49">
        <v>26.400000000000006</v>
      </c>
      <c r="O189" s="49">
        <v>399.82799999999997</v>
      </c>
      <c r="P189" s="49">
        <v>0</v>
      </c>
    </row>
    <row r="190" spans="1:16">
      <c r="A190" s="33"/>
      <c r="B190" s="33">
        <f t="shared" si="2"/>
        <v>8</v>
      </c>
      <c r="C190" s="33" t="s">
        <v>767</v>
      </c>
      <c r="D190" s="68">
        <v>20</v>
      </c>
      <c r="E190" s="68">
        <v>1901</v>
      </c>
      <c r="F190" s="68">
        <v>10161.138781513228</v>
      </c>
      <c r="G190" s="68">
        <v>579.148043478261</v>
      </c>
      <c r="H190" s="68">
        <v>337.46086956521748</v>
      </c>
      <c r="I190" s="68">
        <v>8128.911025210582</v>
      </c>
      <c r="J190" s="68">
        <v>548.23010869565223</v>
      </c>
      <c r="K190" s="68">
        <v>283.46713043478269</v>
      </c>
      <c r="L190" s="68">
        <v>25402.846953783068</v>
      </c>
      <c r="M190" s="68">
        <v>640.98391304347842</v>
      </c>
      <c r="N190" s="49">
        <v>391.45460869565227</v>
      </c>
      <c r="O190" s="49">
        <v>1506.1599999999999</v>
      </c>
      <c r="P190" s="49">
        <v>0</v>
      </c>
    </row>
    <row r="191" spans="1:16">
      <c r="A191" s="33"/>
      <c r="B191" s="33">
        <f t="shared" si="2"/>
        <v>8</v>
      </c>
      <c r="C191" s="33" t="s">
        <v>767</v>
      </c>
      <c r="D191" s="68">
        <v>21</v>
      </c>
      <c r="E191" s="68">
        <v>1901</v>
      </c>
      <c r="F191" s="68">
        <v>11356.05658036979</v>
      </c>
      <c r="G191" s="68">
        <v>645.51904260583547</v>
      </c>
      <c r="H191" s="68">
        <v>368.90269565217409</v>
      </c>
      <c r="I191" s="68">
        <v>9084.8452642958327</v>
      </c>
      <c r="J191" s="68">
        <v>610.47935399742585</v>
      </c>
      <c r="K191" s="68">
        <v>309.87826434782619</v>
      </c>
      <c r="L191" s="68">
        <v>28390.141450924475</v>
      </c>
      <c r="M191" s="68">
        <v>715.59841982265471</v>
      </c>
      <c r="N191" s="49">
        <v>427.92712695652193</v>
      </c>
      <c r="O191" s="49">
        <v>1564.3879999999999</v>
      </c>
      <c r="P191" s="49">
        <v>0</v>
      </c>
    </row>
    <row r="192" spans="1:16">
      <c r="A192" s="33"/>
      <c r="B192" s="33">
        <f t="shared" si="2"/>
        <v>8</v>
      </c>
      <c r="C192" s="33" t="s">
        <v>767</v>
      </c>
      <c r="D192" s="68">
        <v>22</v>
      </c>
      <c r="E192" s="68">
        <v>1901</v>
      </c>
      <c r="F192" s="68">
        <v>12631.516840732374</v>
      </c>
      <c r="G192" s="68">
        <v>716.51588595471867</v>
      </c>
      <c r="H192" s="68">
        <v>401.64730434782615</v>
      </c>
      <c r="I192" s="68">
        <v>10105.2134725859</v>
      </c>
      <c r="J192" s="68">
        <v>676.99608170707302</v>
      </c>
      <c r="K192" s="68">
        <v>337.38373565217398</v>
      </c>
      <c r="L192" s="68">
        <v>31578.792101830935</v>
      </c>
      <c r="M192" s="68">
        <v>795.5554944500102</v>
      </c>
      <c r="N192" s="49">
        <v>465.91087304347832</v>
      </c>
      <c r="O192" s="49">
        <v>1622.616</v>
      </c>
      <c r="P192" s="49">
        <v>0</v>
      </c>
    </row>
    <row r="193" spans="1:16">
      <c r="A193" s="33"/>
      <c r="B193" s="33">
        <f t="shared" si="2"/>
        <v>8</v>
      </c>
      <c r="C193" s="33" t="s">
        <v>767</v>
      </c>
      <c r="D193" s="68">
        <v>23</v>
      </c>
      <c r="E193" s="68">
        <v>1901</v>
      </c>
      <c r="F193" s="68">
        <v>14250.507256364101</v>
      </c>
      <c r="G193" s="68">
        <v>807.09381784636957</v>
      </c>
      <c r="H193" s="68">
        <v>443.81777257525096</v>
      </c>
      <c r="I193" s="68">
        <v>11400.405805091283</v>
      </c>
      <c r="J193" s="68">
        <v>761.88985786775265</v>
      </c>
      <c r="K193" s="68">
        <v>372.80692896321085</v>
      </c>
      <c r="L193" s="68">
        <v>35626.268140910252</v>
      </c>
      <c r="M193" s="68">
        <v>897.50173780360331</v>
      </c>
      <c r="N193" s="49">
        <v>514.82861618729112</v>
      </c>
      <c r="O193" s="49">
        <v>1680.8440000000001</v>
      </c>
      <c r="P193" s="49">
        <v>0</v>
      </c>
    </row>
    <row r="194" spans="1:16">
      <c r="A194" s="33"/>
      <c r="B194" s="33">
        <f t="shared" si="2"/>
        <v>8</v>
      </c>
      <c r="C194" s="33" t="s">
        <v>767</v>
      </c>
      <c r="D194" s="68">
        <v>24</v>
      </c>
      <c r="E194" s="68">
        <v>1901</v>
      </c>
      <c r="F194" s="68">
        <v>15981.112987917772</v>
      </c>
      <c r="G194" s="68">
        <v>904.15142158753497</v>
      </c>
      <c r="H194" s="68">
        <v>487.78333110367896</v>
      </c>
      <c r="I194" s="68">
        <v>12784.89039033422</v>
      </c>
      <c r="J194" s="68">
        <v>852.75894591707572</v>
      </c>
      <c r="K194" s="68">
        <v>409.73799812709035</v>
      </c>
      <c r="L194" s="68">
        <v>39952.782469794431</v>
      </c>
      <c r="M194" s="68">
        <v>1006.9363729284532</v>
      </c>
      <c r="N194" s="49">
        <v>565.82866408026757</v>
      </c>
      <c r="O194" s="49">
        <v>1739.0720000000001</v>
      </c>
      <c r="P194" s="49">
        <v>0</v>
      </c>
    </row>
    <row r="195" spans="1:16">
      <c r="A195" s="33"/>
      <c r="B195" s="33">
        <f t="shared" si="2"/>
        <v>8</v>
      </c>
      <c r="C195" s="33" t="s">
        <v>767</v>
      </c>
      <c r="D195" s="68">
        <v>25</v>
      </c>
      <c r="E195" s="68">
        <v>1901</v>
      </c>
      <c r="F195" s="68">
        <v>17826.309851946065</v>
      </c>
      <c r="G195" s="68">
        <v>1007.9469635611356</v>
      </c>
      <c r="H195" s="68">
        <v>533.54397993311056</v>
      </c>
      <c r="I195" s="68">
        <v>14261.047881556851</v>
      </c>
      <c r="J195" s="68">
        <v>949.835785599671</v>
      </c>
      <c r="K195" s="68">
        <v>448.17694314381288</v>
      </c>
      <c r="L195" s="68">
        <v>44565.774629865162</v>
      </c>
      <c r="M195" s="68">
        <v>1124.169319484065</v>
      </c>
      <c r="N195" s="49">
        <v>618.91101672240825</v>
      </c>
      <c r="O195" s="49">
        <v>1797.3000000000002</v>
      </c>
      <c r="P195" s="49">
        <v>0</v>
      </c>
    </row>
    <row r="196" spans="1:16">
      <c r="A196" s="33"/>
      <c r="B196" s="33">
        <f t="shared" si="2"/>
        <v>8</v>
      </c>
      <c r="C196" s="33" t="s">
        <v>767</v>
      </c>
      <c r="D196" s="68">
        <v>26</v>
      </c>
      <c r="E196" s="68">
        <v>1901</v>
      </c>
      <c r="F196" s="68">
        <v>20040.141215310407</v>
      </c>
      <c r="G196" s="68">
        <v>1132.9403321325431</v>
      </c>
      <c r="H196" s="68">
        <v>588.47251906354529</v>
      </c>
      <c r="I196" s="68">
        <v>16032.112972248326</v>
      </c>
      <c r="J196" s="68">
        <v>1066.7241004443724</v>
      </c>
      <c r="K196" s="68">
        <v>494.31691601337809</v>
      </c>
      <c r="L196" s="68">
        <v>50100.353038276015</v>
      </c>
      <c r="M196" s="68">
        <v>1265.3727955088846</v>
      </c>
      <c r="N196" s="49">
        <v>682.62812211371261</v>
      </c>
      <c r="O196" s="49">
        <v>1855.528</v>
      </c>
      <c r="P196" s="49">
        <v>0</v>
      </c>
    </row>
    <row r="197" spans="1:16">
      <c r="A197" s="33"/>
      <c r="B197" s="33">
        <f t="shared" si="2"/>
        <v>8</v>
      </c>
      <c r="C197" s="33" t="s">
        <v>767</v>
      </c>
      <c r="D197" s="68">
        <v>27</v>
      </c>
      <c r="E197" s="68">
        <v>1901</v>
      </c>
      <c r="F197" s="68">
        <v>22398.115103334305</v>
      </c>
      <c r="G197" s="68">
        <v>1266.553479104803</v>
      </c>
      <c r="H197" s="68">
        <v>645.60574849498346</v>
      </c>
      <c r="I197" s="68">
        <v>17918.492082667442</v>
      </c>
      <c r="J197" s="68">
        <v>1191.5465910739213</v>
      </c>
      <c r="K197" s="68">
        <v>542.30882873578616</v>
      </c>
      <c r="L197" s="68">
        <v>55995.287758335762</v>
      </c>
      <c r="M197" s="68">
        <v>1416.5672551665662</v>
      </c>
      <c r="N197" s="49">
        <v>748.90266825418075</v>
      </c>
      <c r="O197" s="49">
        <v>1913.7559999999999</v>
      </c>
      <c r="P197" s="49">
        <v>0</v>
      </c>
    </row>
    <row r="198" spans="1:16">
      <c r="A198" s="33"/>
      <c r="B198" s="33">
        <f t="shared" si="2"/>
        <v>8</v>
      </c>
      <c r="C198" s="33" t="s">
        <v>767</v>
      </c>
      <c r="D198" s="68">
        <v>28</v>
      </c>
      <c r="E198" s="68">
        <v>1901</v>
      </c>
      <c r="F198" s="68">
        <v>24903.862018305841</v>
      </c>
      <c r="G198" s="68">
        <v>1409.1247771983535</v>
      </c>
      <c r="H198" s="68">
        <v>704.94366822742495</v>
      </c>
      <c r="I198" s="68">
        <v>19923.089614644672</v>
      </c>
      <c r="J198" s="68">
        <v>1324.6077929367123</v>
      </c>
      <c r="K198" s="68">
        <v>592.15268131103687</v>
      </c>
      <c r="L198" s="68">
        <v>62259.655045764601</v>
      </c>
      <c r="M198" s="68">
        <v>1578.158745721636</v>
      </c>
      <c r="N198" s="49">
        <v>817.73465514381292</v>
      </c>
      <c r="O198" s="49">
        <v>1971.9840000000002</v>
      </c>
      <c r="P198" s="49">
        <v>0</v>
      </c>
    </row>
    <row r="199" spans="1:16">
      <c r="A199" s="33"/>
      <c r="B199" s="33">
        <f t="shared" si="2"/>
        <v>8</v>
      </c>
      <c r="C199" s="33" t="s">
        <v>767</v>
      </c>
      <c r="D199" s="68">
        <v>29</v>
      </c>
      <c r="E199" s="68">
        <v>1901</v>
      </c>
      <c r="F199" s="68">
        <v>27561.001942909676</v>
      </c>
      <c r="G199" s="68">
        <v>1561.002430786531</v>
      </c>
      <c r="H199" s="68">
        <v>766.48627826086999</v>
      </c>
      <c r="I199" s="68">
        <v>22048.801554327743</v>
      </c>
      <c r="J199" s="68">
        <v>1466.2210899687475</v>
      </c>
      <c r="K199" s="68">
        <v>643.8484737391309</v>
      </c>
      <c r="L199" s="68">
        <v>68902.504857274194</v>
      </c>
      <c r="M199" s="68">
        <v>1750.5651124220981</v>
      </c>
      <c r="N199" s="49">
        <v>889.12408278260909</v>
      </c>
      <c r="O199" s="49">
        <v>2030.212</v>
      </c>
      <c r="P199" s="49">
        <v>0</v>
      </c>
    </row>
    <row r="200" spans="1:16">
      <c r="A200" s="33"/>
      <c r="B200" s="33">
        <f t="shared" ref="B200:B204" si="3">VLOOKUP(C200,$R$7:$S$14,2,FALSE)</f>
        <v>8</v>
      </c>
      <c r="C200" s="33" t="s">
        <v>767</v>
      </c>
      <c r="D200" s="68">
        <v>30</v>
      </c>
      <c r="E200" s="68">
        <v>1901</v>
      </c>
      <c r="F200" s="68">
        <v>30752.809077811748</v>
      </c>
      <c r="G200" s="68">
        <v>1744.0766460350569</v>
      </c>
      <c r="H200" s="68">
        <v>840.61149832775959</v>
      </c>
      <c r="I200" s="68">
        <v>24602.247262249402</v>
      </c>
      <c r="J200" s="68">
        <v>1636.917901297772</v>
      </c>
      <c r="K200" s="68">
        <v>706.11365859531816</v>
      </c>
      <c r="L200" s="68">
        <v>76882.022694529369</v>
      </c>
      <c r="M200" s="68">
        <v>1958.3941355096263</v>
      </c>
      <c r="N200" s="49">
        <v>975.10933806020114</v>
      </c>
      <c r="O200" s="49">
        <v>2088.44</v>
      </c>
      <c r="P200" s="49">
        <v>0</v>
      </c>
    </row>
    <row r="201" spans="1:16">
      <c r="A201" s="33"/>
      <c r="B201" s="33">
        <f t="shared" si="3"/>
        <v>8</v>
      </c>
      <c r="C201" s="33" t="s">
        <v>767</v>
      </c>
      <c r="D201" s="68">
        <v>31</v>
      </c>
      <c r="E201" s="68">
        <v>1901</v>
      </c>
      <c r="F201" s="68">
        <v>34238.279582225849</v>
      </c>
      <c r="G201" s="68">
        <v>1937.4406236416326</v>
      </c>
      <c r="H201" s="68">
        <v>918.36506916000019</v>
      </c>
      <c r="I201" s="68">
        <v>27390.62366578068</v>
      </c>
      <c r="J201" s="68">
        <v>1818.0581053390079</v>
      </c>
      <c r="K201" s="68">
        <v>767.41113471507708</v>
      </c>
      <c r="L201" s="68">
        <v>85595.698955564629</v>
      </c>
      <c r="M201" s="68">
        <v>2176.205660246882</v>
      </c>
      <c r="N201" s="49">
        <v>1069.3190036049232</v>
      </c>
      <c r="O201" s="49">
        <v>2146.6680000000001</v>
      </c>
      <c r="P201" s="49">
        <v>0</v>
      </c>
    </row>
    <row r="202" spans="1:16">
      <c r="A202" s="33"/>
      <c r="B202" s="33">
        <f t="shared" si="3"/>
        <v>8</v>
      </c>
      <c r="C202" s="33" t="s">
        <v>767</v>
      </c>
      <c r="D202" s="68">
        <v>32</v>
      </c>
      <c r="E202" s="68">
        <v>1901</v>
      </c>
      <c r="F202" s="68">
        <v>37963.380182153254</v>
      </c>
      <c r="G202" s="68">
        <v>2143.987771582727</v>
      </c>
      <c r="H202" s="68">
        <v>999.54583372093657</v>
      </c>
      <c r="I202" s="68">
        <v>30370.704145722601</v>
      </c>
      <c r="J202" s="68">
        <v>2011.5189807950228</v>
      </c>
      <c r="K202" s="68">
        <v>830.7700617975654</v>
      </c>
      <c r="L202" s="68">
        <v>94908.450455383136</v>
      </c>
      <c r="M202" s="68">
        <v>2408.9253531581353</v>
      </c>
      <c r="N202" s="49">
        <v>1168.321605644308</v>
      </c>
      <c r="O202" s="49">
        <v>2204.8960000000002</v>
      </c>
      <c r="P202" s="49">
        <v>0</v>
      </c>
    </row>
    <row r="203" spans="1:16">
      <c r="A203" s="33"/>
      <c r="B203" s="33">
        <f t="shared" si="3"/>
        <v>8</v>
      </c>
      <c r="C203" s="33" t="s">
        <v>767</v>
      </c>
      <c r="D203" s="68">
        <v>33</v>
      </c>
      <c r="E203" s="68">
        <v>1901</v>
      </c>
      <c r="F203" s="68">
        <v>41920.000626461908</v>
      </c>
      <c r="G203" s="68">
        <v>2363.3141954354487</v>
      </c>
      <c r="H203" s="68">
        <v>1083.7432126866229</v>
      </c>
      <c r="I203" s="68">
        <v>33536.000501169532</v>
      </c>
      <c r="J203" s="68">
        <v>2216.9199719654825</v>
      </c>
      <c r="K203" s="68">
        <v>895.77447289284351</v>
      </c>
      <c r="L203" s="68">
        <v>104800.00156615478</v>
      </c>
      <c r="M203" s="68">
        <v>2656.1026423753815</v>
      </c>
      <c r="N203" s="49">
        <v>1271.711952480402</v>
      </c>
      <c r="O203" s="49">
        <v>2263.1239999999998</v>
      </c>
      <c r="P203" s="49">
        <v>0</v>
      </c>
    </row>
    <row r="204" spans="1:16">
      <c r="A204" s="33"/>
      <c r="B204" s="33">
        <f t="shared" si="3"/>
        <v>8</v>
      </c>
      <c r="C204" s="33" t="s">
        <v>767</v>
      </c>
      <c r="D204" s="68">
        <v>34</v>
      </c>
      <c r="E204" s="68">
        <v>1901</v>
      </c>
      <c r="F204" s="68">
        <v>46112.084416940139</v>
      </c>
      <c r="G204" s="68">
        <v>2595.7114029135978</v>
      </c>
      <c r="H204" s="68">
        <v>1170.8787159475587</v>
      </c>
      <c r="I204" s="68">
        <v>36889.667533552114</v>
      </c>
      <c r="J204" s="68">
        <v>2434.533432029596</v>
      </c>
      <c r="K204" s="68">
        <v>962.28519680395993</v>
      </c>
      <c r="L204" s="68">
        <v>115280.21104235035</v>
      </c>
      <c r="M204" s="68">
        <v>2918.0673446816013</v>
      </c>
      <c r="N204" s="49">
        <v>1379.4722350911575</v>
      </c>
      <c r="O204" s="49">
        <v>2321.3520000000003</v>
      </c>
      <c r="P204" s="49">
        <v>0</v>
      </c>
    </row>
    <row r="205" spans="1:16">
      <c r="C205" t="s">
        <v>767</v>
      </c>
      <c r="D205">
        <v>35</v>
      </c>
      <c r="E205" s="21">
        <v>1901</v>
      </c>
      <c r="F205">
        <v>50543.247603147865</v>
      </c>
      <c r="G205">
        <v>2841.464620954871</v>
      </c>
      <c r="H205">
        <v>1260.8678556521741</v>
      </c>
      <c r="I205">
        <v>40434.598082518292</v>
      </c>
      <c r="J205">
        <v>2664.6260614680796</v>
      </c>
      <c r="K205">
        <v>1030.1558650434786</v>
      </c>
      <c r="L205">
        <v>126358.11900786967</v>
      </c>
      <c r="M205">
        <v>3195.1417399284537</v>
      </c>
      <c r="N205">
        <v>1491.5798462608698</v>
      </c>
      <c r="O205">
        <v>2379.58</v>
      </c>
      <c r="P205">
        <v>0</v>
      </c>
    </row>
    <row r="206" spans="1:16">
      <c r="C206" t="s">
        <v>767</v>
      </c>
      <c r="D206">
        <v>36</v>
      </c>
      <c r="E206" s="21">
        <v>1901</v>
      </c>
      <c r="F206">
        <v>55216.76606606628</v>
      </c>
      <c r="G206">
        <v>3100.8525553850259</v>
      </c>
      <c r="H206">
        <v>1353.6201462068229</v>
      </c>
      <c r="I206">
        <v>44173.412852853027</v>
      </c>
      <c r="J206">
        <v>2907.4586917609049</v>
      </c>
      <c r="K206">
        <v>1099.2329118334717</v>
      </c>
      <c r="L206">
        <v>138041.9151651657</v>
      </c>
      <c r="M206">
        <v>3487.6402826332683</v>
      </c>
      <c r="N206">
        <v>1608.007380580174</v>
      </c>
      <c r="O206">
        <v>2437.808</v>
      </c>
      <c r="P206">
        <v>0</v>
      </c>
    </row>
    <row r="207" spans="1:16">
      <c r="C207" t="s">
        <v>767</v>
      </c>
      <c r="D207">
        <v>37</v>
      </c>
      <c r="E207" s="21">
        <v>1901</v>
      </c>
      <c r="F207">
        <v>60135.562773835911</v>
      </c>
      <c r="G207">
        <v>3416.3193555381131</v>
      </c>
      <c r="H207">
        <v>1449.0391042757865</v>
      </c>
      <c r="I207">
        <v>48108.450219068727</v>
      </c>
      <c r="J207">
        <v>3201.2410535455065</v>
      </c>
      <c r="K207">
        <v>1169.3555741055256</v>
      </c>
      <c r="L207">
        <v>150338.90693458979</v>
      </c>
      <c r="M207">
        <v>3846.4759595233281</v>
      </c>
      <c r="N207">
        <v>1728.7226344460471</v>
      </c>
      <c r="O207">
        <v>2496.0360000000001</v>
      </c>
      <c r="P207">
        <v>0</v>
      </c>
    </row>
    <row r="208" spans="1:16">
      <c r="C208" t="s">
        <v>767</v>
      </c>
      <c r="D208">
        <v>38</v>
      </c>
      <c r="E208" s="21">
        <v>1901</v>
      </c>
      <c r="F208">
        <v>65302.195015725119</v>
      </c>
      <c r="G208">
        <v>3753.315952002019</v>
      </c>
      <c r="H208">
        <v>1547.0222487812714</v>
      </c>
      <c r="I208">
        <v>52241.756012580096</v>
      </c>
      <c r="J208">
        <v>3514.8889805877707</v>
      </c>
      <c r="K208">
        <v>1240.3558915007363</v>
      </c>
      <c r="L208">
        <v>163255.4875393128</v>
      </c>
      <c r="M208">
        <v>4230.1698948305166</v>
      </c>
      <c r="N208">
        <v>1853.6886060618062</v>
      </c>
      <c r="O208">
        <v>2554.2640000000001</v>
      </c>
      <c r="P208">
        <v>0</v>
      </c>
    </row>
    <row r="209" spans="3:16">
      <c r="C209" t="s">
        <v>767</v>
      </c>
      <c r="D209">
        <v>39</v>
      </c>
      <c r="E209" s="21">
        <v>1901</v>
      </c>
      <c r="F209">
        <v>70718.841619407773</v>
      </c>
      <c r="G209">
        <v>4112.6664320917944</v>
      </c>
      <c r="H209">
        <v>1647.4611009034118</v>
      </c>
      <c r="I209">
        <v>56575.073295526221</v>
      </c>
      <c r="J209">
        <v>3849.1541477080336</v>
      </c>
      <c r="K209">
        <v>1312.058706369713</v>
      </c>
      <c r="L209">
        <v>176797.10404851942</v>
      </c>
      <c r="M209">
        <v>4639.6910008593177</v>
      </c>
      <c r="N209">
        <v>1982.8634954371107</v>
      </c>
      <c r="O209">
        <v>2612.4920000000002</v>
      </c>
      <c r="P209">
        <v>0</v>
      </c>
    </row>
    <row r="210" spans="3:16">
      <c r="C210" t="s">
        <v>767</v>
      </c>
      <c r="D210">
        <v>40</v>
      </c>
      <c r="E210" s="21">
        <v>1901</v>
      </c>
      <c r="F210">
        <v>77075.463940948743</v>
      </c>
      <c r="G210">
        <v>4535.6965759866243</v>
      </c>
      <c r="H210">
        <v>1766.0091226755862</v>
      </c>
      <c r="I210">
        <v>61660.371152758991</v>
      </c>
      <c r="J210">
        <v>4242.6732022675606</v>
      </c>
      <c r="K210">
        <v>1396.7526697525091</v>
      </c>
      <c r="L210">
        <v>192688.65985237187</v>
      </c>
      <c r="M210">
        <v>5121.743323424751</v>
      </c>
      <c r="N210">
        <v>2135.2655755986634</v>
      </c>
      <c r="O210">
        <v>2670.72</v>
      </c>
      <c r="P210">
        <v>0</v>
      </c>
    </row>
    <row r="211" spans="3:16">
      <c r="C211" t="s">
        <v>767</v>
      </c>
      <c r="D211">
        <v>41</v>
      </c>
      <c r="E211" s="21">
        <v>1901</v>
      </c>
      <c r="F211">
        <v>83752.940347577067</v>
      </c>
      <c r="G211">
        <v>4987.7418591273663</v>
      </c>
      <c r="H211">
        <v>1887.7901296921748</v>
      </c>
      <c r="I211">
        <v>67002.352278061662</v>
      </c>
      <c r="J211">
        <v>4662.9575469189776</v>
      </c>
      <c r="K211">
        <v>1482.3937239610441</v>
      </c>
      <c r="L211">
        <v>209382.35086894268</v>
      </c>
      <c r="M211">
        <v>5637.3104835441436</v>
      </c>
      <c r="N211">
        <v>2293.186535423305</v>
      </c>
      <c r="O211">
        <v>2728.9480000000003</v>
      </c>
      <c r="P211">
        <v>0</v>
      </c>
    </row>
    <row r="212" spans="3:16">
      <c r="C212" t="s">
        <v>767</v>
      </c>
      <c r="D212">
        <v>42</v>
      </c>
      <c r="E212" s="21">
        <v>1901</v>
      </c>
      <c r="F212">
        <v>90753.548917808657</v>
      </c>
      <c r="G212">
        <v>5469.8886862687414</v>
      </c>
      <c r="H212">
        <v>2012.6534857846168</v>
      </c>
      <c r="I212">
        <v>72602.839134246926</v>
      </c>
      <c r="J212">
        <v>5110.998274257252</v>
      </c>
      <c r="K212">
        <v>1568.7411281723093</v>
      </c>
      <c r="L212">
        <v>226883.87229452163</v>
      </c>
      <c r="M212">
        <v>6187.6695102917201</v>
      </c>
      <c r="N212">
        <v>2456.5658433969247</v>
      </c>
      <c r="O212">
        <v>2787.1759999999999</v>
      </c>
      <c r="P212">
        <v>0</v>
      </c>
    </row>
    <row r="213" spans="3:16">
      <c r="C213" t="s">
        <v>767</v>
      </c>
      <c r="D213">
        <v>43</v>
      </c>
      <c r="E213" s="21">
        <v>1901</v>
      </c>
      <c r="F213">
        <v>98079.024799520601</v>
      </c>
      <c r="G213">
        <v>5983.2270122953087</v>
      </c>
      <c r="H213">
        <v>2140.4405577949169</v>
      </c>
      <c r="I213">
        <v>78463.219839616475</v>
      </c>
      <c r="J213">
        <v>5587.7896719942064</v>
      </c>
      <c r="K213">
        <v>1655.5445451759738</v>
      </c>
      <c r="L213">
        <v>245197.56199880151</v>
      </c>
      <c r="M213">
        <v>6774.1016928975141</v>
      </c>
      <c r="N213">
        <v>2625.33657041386</v>
      </c>
      <c r="O213">
        <v>2845.404</v>
      </c>
      <c r="P213">
        <v>0</v>
      </c>
    </row>
    <row r="214" spans="3:16">
      <c r="C214" t="s">
        <v>767</v>
      </c>
      <c r="D214">
        <v>44</v>
      </c>
      <c r="E214" s="21">
        <v>1901</v>
      </c>
      <c r="F214">
        <v>105730.54321705701</v>
      </c>
      <c r="G214">
        <v>6528.8487552428123</v>
      </c>
      <c r="H214">
        <v>2270.9847155756529</v>
      </c>
      <c r="I214">
        <v>84584.434573645616</v>
      </c>
      <c r="J214">
        <v>6094.327794677728</v>
      </c>
      <c r="K214">
        <v>1742.5440413743954</v>
      </c>
      <c r="L214">
        <v>264326.35804264253</v>
      </c>
      <c r="M214">
        <v>7397.8906763729792</v>
      </c>
      <c r="N214">
        <v>2799.4253897769099</v>
      </c>
      <c r="O214">
        <v>2903.6320000000001</v>
      </c>
      <c r="P214">
        <v>0</v>
      </c>
    </row>
    <row r="215" spans="3:16">
      <c r="C215" t="s">
        <v>767</v>
      </c>
      <c r="D215">
        <v>45</v>
      </c>
      <c r="E215" s="21">
        <v>1901</v>
      </c>
      <c r="F215">
        <v>113708.70246492725</v>
      </c>
      <c r="G215">
        <v>7107.8461310575367</v>
      </c>
      <c r="H215">
        <v>2404.1113319899673</v>
      </c>
      <c r="I215">
        <v>90966.961971941811</v>
      </c>
      <c r="J215">
        <v>6631.6089649751957</v>
      </c>
      <c r="K215">
        <v>1829.4700867826095</v>
      </c>
      <c r="L215">
        <v>284271.75616231811</v>
      </c>
      <c r="M215">
        <v>8060.3204632222223</v>
      </c>
      <c r="N215">
        <v>2978.7525771973255</v>
      </c>
      <c r="O215">
        <v>2961.86</v>
      </c>
      <c r="P215">
        <v>0</v>
      </c>
    </row>
    <row r="216" spans="3:16">
      <c r="C216" t="s">
        <v>767</v>
      </c>
      <c r="D216">
        <v>46</v>
      </c>
      <c r="E216" s="21">
        <v>1901</v>
      </c>
      <c r="F216">
        <v>122013.50689178212</v>
      </c>
      <c r="G216">
        <v>7721.3099055536904</v>
      </c>
      <c r="H216">
        <v>2539.6377829115731</v>
      </c>
      <c r="I216">
        <v>97610.805513425701</v>
      </c>
      <c r="J216">
        <v>7200.6282004351106</v>
      </c>
      <c r="K216">
        <v>1916.043555028336</v>
      </c>
      <c r="L216">
        <v>305033.76722945529</v>
      </c>
      <c r="M216">
        <v>8762.6733157908493</v>
      </c>
      <c r="N216">
        <v>3163.2320107948108</v>
      </c>
      <c r="O216">
        <v>3020.0879999999997</v>
      </c>
      <c r="P216">
        <v>0</v>
      </c>
    </row>
    <row r="217" spans="3:16">
      <c r="C217" t="s">
        <v>767</v>
      </c>
      <c r="D217">
        <v>47</v>
      </c>
      <c r="E217" s="21">
        <v>1901</v>
      </c>
      <c r="F217">
        <v>130644.34987777639</v>
      </c>
      <c r="G217">
        <v>8370.3275587251483</v>
      </c>
      <c r="H217">
        <v>2677.3734472247502</v>
      </c>
      <c r="I217">
        <v>104515.47990222112</v>
      </c>
      <c r="J217">
        <v>7802.3775613676826</v>
      </c>
      <c r="K217">
        <v>2001.9757233519745</v>
      </c>
      <c r="L217">
        <v>326610.87469444104</v>
      </c>
      <c r="M217">
        <v>9506.227553440076</v>
      </c>
      <c r="N217">
        <v>3352.7711710975259</v>
      </c>
      <c r="O217">
        <v>3078.3160000000003</v>
      </c>
      <c r="P217">
        <v>0</v>
      </c>
    </row>
    <row r="218" spans="3:16">
      <c r="C218" t="s">
        <v>767</v>
      </c>
      <c r="D218">
        <v>48</v>
      </c>
      <c r="E218" s="21">
        <v>1901</v>
      </c>
      <c r="F218">
        <v>139599.9968079417</v>
      </c>
      <c r="G218">
        <v>9055.9813562415275</v>
      </c>
      <c r="H218">
        <v>2817.1197068243491</v>
      </c>
      <c r="I218">
        <v>111679.99744635337</v>
      </c>
      <c r="J218">
        <v>8437.8444151912881</v>
      </c>
      <c r="K218">
        <v>2086.9682726066103</v>
      </c>
      <c r="L218">
        <v>348999.99201985425</v>
      </c>
      <c r="M218">
        <v>10292.255238342006</v>
      </c>
      <c r="N218">
        <v>3547.2711410420884</v>
      </c>
      <c r="O218">
        <v>3136.5439999999999</v>
      </c>
      <c r="P218">
        <v>0</v>
      </c>
    </row>
    <row r="219" spans="3:16">
      <c r="C219" t="s">
        <v>767</v>
      </c>
      <c r="D219">
        <v>49</v>
      </c>
      <c r="E219" s="21">
        <v>1901</v>
      </c>
      <c r="F219">
        <v>148878.56804378296</v>
      </c>
      <c r="G219">
        <v>9779.3463226069507</v>
      </c>
      <c r="H219">
        <v>2958.6699466157875</v>
      </c>
      <c r="I219">
        <v>119102.85443502637</v>
      </c>
      <c r="J219">
        <v>9108.009612275353</v>
      </c>
      <c r="K219">
        <v>2170.7132872580087</v>
      </c>
      <c r="L219">
        <v>372196.42010945739</v>
      </c>
      <c r="M219">
        <v>11122.019743270148</v>
      </c>
      <c r="N219">
        <v>3746.6266059735672</v>
      </c>
      <c r="O219">
        <v>3194.7719999999999</v>
      </c>
      <c r="P219">
        <v>0</v>
      </c>
    </row>
    <row r="220" spans="3:16">
      <c r="C220" t="s">
        <v>767</v>
      </c>
      <c r="D220">
        <v>50</v>
      </c>
      <c r="E220" s="21">
        <v>1901</v>
      </c>
      <c r="F220">
        <v>159520.13717059622</v>
      </c>
      <c r="G220">
        <v>10610.84000554229</v>
      </c>
      <c r="H220">
        <v>3122.216196321071</v>
      </c>
      <c r="I220">
        <v>127616.10973647698</v>
      </c>
      <c r="J220">
        <v>9878.4103414429101</v>
      </c>
      <c r="K220">
        <v>2267.7149215384625</v>
      </c>
      <c r="L220">
        <v>398800.34292649059</v>
      </c>
      <c r="M220">
        <v>12075.699333741049</v>
      </c>
      <c r="N220">
        <v>3976.7174711036801</v>
      </c>
      <c r="O220">
        <v>3253</v>
      </c>
      <c r="P220">
        <v>0</v>
      </c>
    </row>
    <row r="221" spans="3:16">
      <c r="C221" t="s">
        <v>767</v>
      </c>
      <c r="D221">
        <v>51</v>
      </c>
      <c r="E221" s="21">
        <v>1901</v>
      </c>
      <c r="F221">
        <v>169633.39780854934</v>
      </c>
      <c r="G221">
        <v>11589.805960596219</v>
      </c>
      <c r="H221">
        <v>3343.8165047154525</v>
      </c>
      <c r="I221">
        <v>135706.71824683947</v>
      </c>
      <c r="J221">
        <v>10782.476204786763</v>
      </c>
      <c r="K221">
        <v>2445.8186362271044</v>
      </c>
      <c r="L221">
        <v>424083.49452137336</v>
      </c>
      <c r="M221">
        <v>13204.465472215126</v>
      </c>
      <c r="N221">
        <v>4241.8143732038006</v>
      </c>
      <c r="O221">
        <v>3311.2280000000001</v>
      </c>
      <c r="P221">
        <v>0</v>
      </c>
    </row>
    <row r="222" spans="3:16">
      <c r="C222" t="s">
        <v>767</v>
      </c>
      <c r="D222">
        <v>52</v>
      </c>
      <c r="E222" s="21">
        <v>1901</v>
      </c>
      <c r="F222">
        <v>186638.13280369047</v>
      </c>
      <c r="G222">
        <v>12636.816935257066</v>
      </c>
      <c r="H222">
        <v>3568.2388902421417</v>
      </c>
      <c r="I222">
        <v>149310.5062429524</v>
      </c>
      <c r="J222">
        <v>11748.739335441056</v>
      </c>
      <c r="K222">
        <v>2591.6682465969234</v>
      </c>
      <c r="L222">
        <v>466595.3320092262</v>
      </c>
      <c r="M222">
        <v>14412.972134889078</v>
      </c>
      <c r="N222">
        <v>4544.8095338873591</v>
      </c>
      <c r="O222">
        <v>3369.4560000000001</v>
      </c>
      <c r="P222">
        <v>0</v>
      </c>
    </row>
    <row r="223" spans="3:16">
      <c r="C223" t="s">
        <v>767</v>
      </c>
      <c r="D223">
        <v>53</v>
      </c>
      <c r="E223" s="21">
        <v>1901</v>
      </c>
      <c r="F223">
        <v>201324.31814386719</v>
      </c>
      <c r="G223">
        <v>13755.479807578602</v>
      </c>
      <c r="H223">
        <v>3805.0421936668909</v>
      </c>
      <c r="I223">
        <v>161059.45451509376</v>
      </c>
      <c r="J223">
        <v>12780.462584048837</v>
      </c>
      <c r="K223">
        <v>2763.6622248738477</v>
      </c>
      <c r="L223">
        <v>503310.79535966797</v>
      </c>
      <c r="M223">
        <v>15705.514254638132</v>
      </c>
      <c r="N223">
        <v>4846.422162459935</v>
      </c>
      <c r="O223">
        <v>3427.6839999999997</v>
      </c>
      <c r="P223">
        <v>0</v>
      </c>
    </row>
    <row r="224" spans="3:16">
      <c r="C224" t="s">
        <v>767</v>
      </c>
      <c r="D224">
        <v>54</v>
      </c>
      <c r="E224" s="21">
        <v>1901</v>
      </c>
      <c r="F224">
        <v>216794.36946781015</v>
      </c>
      <c r="G224">
        <v>14949.561303221672</v>
      </c>
      <c r="H224">
        <v>4051.2511664000012</v>
      </c>
      <c r="I224">
        <v>173435.49557424814</v>
      </c>
      <c r="J224">
        <v>13881.052664099507</v>
      </c>
      <c r="K224">
        <v>2942.4876892800012</v>
      </c>
      <c r="L224">
        <v>541985.92366952542</v>
      </c>
      <c r="M224">
        <v>17086.578581466005</v>
      </c>
      <c r="N224">
        <v>5160.0146435200013</v>
      </c>
      <c r="O224">
        <v>3485.9119999999998</v>
      </c>
      <c r="P224">
        <v>0</v>
      </c>
    </row>
    <row r="225" spans="3:16">
      <c r="C225" t="s">
        <v>767</v>
      </c>
      <c r="D225">
        <v>55</v>
      </c>
      <c r="E225" s="21">
        <v>1901</v>
      </c>
      <c r="F225">
        <v>233073.01513015016</v>
      </c>
      <c r="G225">
        <v>16222.995152809741</v>
      </c>
      <c r="H225">
        <v>4307.0240821906355</v>
      </c>
      <c r="I225">
        <v>186458.41210412013</v>
      </c>
      <c r="J225">
        <v>15054.066593548836</v>
      </c>
      <c r="K225">
        <v>3128.2595965384617</v>
      </c>
      <c r="L225">
        <v>582682.53782537545</v>
      </c>
      <c r="M225">
        <v>18560.852271331554</v>
      </c>
      <c r="N225">
        <v>5485.7885678428102</v>
      </c>
      <c r="O225">
        <v>3544.1399999999994</v>
      </c>
      <c r="P225">
        <v>0</v>
      </c>
    </row>
    <row r="226" spans="3:16">
      <c r="C226" t="s">
        <v>767</v>
      </c>
      <c r="D226">
        <v>56</v>
      </c>
      <c r="E226" s="21">
        <v>1901</v>
      </c>
      <c r="F226">
        <v>250185.32144305485</v>
      </c>
      <c r="G226">
        <v>17579.889637333854</v>
      </c>
      <c r="H226">
        <v>4572.5192147879616</v>
      </c>
      <c r="I226">
        <v>200148.25715444388</v>
      </c>
      <c r="J226">
        <v>16303.21848568341</v>
      </c>
      <c r="K226">
        <v>3321.0929033723087</v>
      </c>
      <c r="L226">
        <v>625463.30360763718</v>
      </c>
      <c r="M226">
        <v>20133.231940634738</v>
      </c>
      <c r="N226">
        <v>5823.9455262036145</v>
      </c>
      <c r="O226">
        <v>3602.3680000000004</v>
      </c>
      <c r="P226">
        <v>0</v>
      </c>
    </row>
    <row r="227" spans="3:16">
      <c r="C227" t="s">
        <v>767</v>
      </c>
      <c r="D227">
        <v>57</v>
      </c>
      <c r="E227" s="21">
        <v>1901</v>
      </c>
      <c r="F227">
        <v>268156.69255101995</v>
      </c>
      <c r="G227">
        <v>19024.535546376028</v>
      </c>
      <c r="H227">
        <v>4847.8948379411386</v>
      </c>
      <c r="I227">
        <v>214525.35404081596</v>
      </c>
      <c r="J227">
        <v>17632.386711521707</v>
      </c>
      <c r="K227">
        <v>3521.1025665046163</v>
      </c>
      <c r="L227">
        <v>670391.73137754994</v>
      </c>
      <c r="M227">
        <v>21808.833216084677</v>
      </c>
      <c r="N227">
        <v>6174.6871093776608</v>
      </c>
      <c r="O227">
        <v>3660.596</v>
      </c>
      <c r="P227">
        <v>0</v>
      </c>
    </row>
    <row r="228" spans="3:16">
      <c r="C228" t="s">
        <v>767</v>
      </c>
      <c r="D228">
        <v>58</v>
      </c>
      <c r="E228" s="21">
        <v>1901</v>
      </c>
      <c r="F228">
        <v>287012.87030293985</v>
      </c>
      <c r="G228">
        <v>20561.41457574386</v>
      </c>
      <c r="H228">
        <v>5133.3092253993327</v>
      </c>
      <c r="I228">
        <v>229610.29624235188</v>
      </c>
      <c r="J228">
        <v>19045.621457685196</v>
      </c>
      <c r="K228">
        <v>3728.4035426584633</v>
      </c>
      <c r="L228">
        <v>717532.17575734959</v>
      </c>
      <c r="M228">
        <v>23593.000811861195</v>
      </c>
      <c r="N228">
        <v>6538.2149081402031</v>
      </c>
      <c r="O228">
        <v>3718.8240000000001</v>
      </c>
      <c r="P228">
        <v>0</v>
      </c>
    </row>
    <row r="229" spans="3:16">
      <c r="C229" t="s">
        <v>767</v>
      </c>
      <c r="D229">
        <v>59</v>
      </c>
      <c r="E229" s="21">
        <v>1901</v>
      </c>
      <c r="F229">
        <v>306779.93412203423</v>
      </c>
      <c r="G229">
        <v>22195.208193084702</v>
      </c>
      <c r="H229">
        <v>5428.9206509117075</v>
      </c>
      <c r="I229">
        <v>245423.9472976274</v>
      </c>
      <c r="J229">
        <v>20547.15270545115</v>
      </c>
      <c r="K229">
        <v>3943.1107885569254</v>
      </c>
      <c r="L229">
        <v>766949.83530508564</v>
      </c>
      <c r="M229">
        <v>25491.319168351813</v>
      </c>
      <c r="N229">
        <v>6914.7305132664906</v>
      </c>
      <c r="O229">
        <v>3777.0519999999997</v>
      </c>
      <c r="P229">
        <v>0</v>
      </c>
    </row>
    <row r="230" spans="3:16">
      <c r="C230" t="s">
        <v>767</v>
      </c>
      <c r="D230">
        <v>60</v>
      </c>
      <c r="E230" s="21">
        <v>1901</v>
      </c>
      <c r="F230">
        <v>329097.52403114893</v>
      </c>
      <c r="G230">
        <v>24048.692750969913</v>
      </c>
      <c r="H230">
        <v>5763.1380650167257</v>
      </c>
      <c r="I230">
        <v>263278.01922491915</v>
      </c>
      <c r="J230">
        <v>22250.469587979944</v>
      </c>
      <c r="K230">
        <v>4185.8581735384632</v>
      </c>
      <c r="L230">
        <v>822743.81007787236</v>
      </c>
      <c r="M230">
        <v>27645.139076949847</v>
      </c>
      <c r="N230">
        <v>7340.4179564949873</v>
      </c>
      <c r="O230">
        <v>3835.2799999999997</v>
      </c>
      <c r="P230">
        <v>0</v>
      </c>
    </row>
    <row r="231" spans="3:16">
      <c r="C231" t="s">
        <v>767</v>
      </c>
      <c r="D231">
        <v>61</v>
      </c>
      <c r="E231" s="21">
        <v>1901</v>
      </c>
      <c r="F231">
        <v>352509.96247259458</v>
      </c>
      <c r="G231">
        <v>26021.141029790506</v>
      </c>
      <c r="H231">
        <v>6109.5539390869581</v>
      </c>
      <c r="I231">
        <v>282007.96997807565</v>
      </c>
      <c r="J231">
        <v>24062.137867767979</v>
      </c>
      <c r="K231">
        <v>4437.4654926000021</v>
      </c>
      <c r="L231">
        <v>881274.90618148644</v>
      </c>
      <c r="M231">
        <v>29939.147353835564</v>
      </c>
      <c r="N231">
        <v>7781.6423855739158</v>
      </c>
      <c r="O231">
        <v>3893.5080000000003</v>
      </c>
      <c r="P231">
        <v>0</v>
      </c>
    </row>
    <row r="232" spans="3:16">
      <c r="C232" t="s">
        <v>767</v>
      </c>
      <c r="D232">
        <v>62</v>
      </c>
      <c r="E232" s="21">
        <v>1901</v>
      </c>
      <c r="F232">
        <v>377049.08997165965</v>
      </c>
      <c r="G232">
        <v>28118.624689085926</v>
      </c>
      <c r="H232">
        <v>6468.3582016214077</v>
      </c>
      <c r="I232">
        <v>301639.27197732771</v>
      </c>
      <c r="J232">
        <v>25987.642030874325</v>
      </c>
      <c r="K232">
        <v>4698.0706938092335</v>
      </c>
      <c r="L232">
        <v>942622.72492914915</v>
      </c>
      <c r="M232">
        <v>32380.590005509133</v>
      </c>
      <c r="N232">
        <v>8238.6457094335819</v>
      </c>
      <c r="O232">
        <v>3951.7360000000003</v>
      </c>
      <c r="P232">
        <v>0</v>
      </c>
    </row>
    <row r="233" spans="3:16">
      <c r="C233" t="s">
        <v>767</v>
      </c>
      <c r="D233">
        <v>63</v>
      </c>
      <c r="E233" s="21">
        <v>1901</v>
      </c>
      <c r="F233">
        <v>402747.15166459483</v>
      </c>
      <c r="G233">
        <v>30347.49112813815</v>
      </c>
      <c r="H233">
        <v>6839.740781119066</v>
      </c>
      <c r="I233">
        <v>322197.72133167589</v>
      </c>
      <c r="J233">
        <v>28032.714729126339</v>
      </c>
      <c r="K233">
        <v>4967.811725233847</v>
      </c>
      <c r="L233">
        <v>1006867.8791614871</v>
      </c>
      <c r="M233">
        <v>34977.043926161765</v>
      </c>
      <c r="N233">
        <v>8711.6698370042832</v>
      </c>
      <c r="O233">
        <v>4009.9639999999999</v>
      </c>
      <c r="P233">
        <v>0</v>
      </c>
    </row>
    <row r="234" spans="3:16">
      <c r="C234" t="s">
        <v>767</v>
      </c>
      <c r="D234">
        <v>64</v>
      </c>
      <c r="E234" s="21">
        <v>1901</v>
      </c>
      <c r="F234">
        <v>429636.79714311572</v>
      </c>
      <c r="G234">
        <v>32714.376914855253</v>
      </c>
      <c r="H234">
        <v>7223.8916060789343</v>
      </c>
      <c r="I234">
        <v>343709.43771449261</v>
      </c>
      <c r="J234">
        <v>30203.34886611488</v>
      </c>
      <c r="K234">
        <v>5246.8265349415433</v>
      </c>
      <c r="L234">
        <v>1074091.9928577894</v>
      </c>
      <c r="M234">
        <v>37736.433012335998</v>
      </c>
      <c r="N234">
        <v>9200.9566772163253</v>
      </c>
      <c r="O234">
        <v>4068.192</v>
      </c>
      <c r="P234">
        <v>0</v>
      </c>
    </row>
    <row r="235" spans="3:16">
      <c r="C235" t="s">
        <v>767</v>
      </c>
      <c r="D235">
        <v>65</v>
      </c>
      <c r="E235" s="21">
        <v>1901</v>
      </c>
      <c r="F235">
        <v>457751.08029818488</v>
      </c>
      <c r="G235">
        <v>35226.222007179269</v>
      </c>
      <c r="H235">
        <v>7621.0006050000029</v>
      </c>
      <c r="I235">
        <v>366200.86423854792</v>
      </c>
      <c r="J235">
        <v>32505.810396461347</v>
      </c>
      <c r="K235">
        <v>5535.2530710000028</v>
      </c>
      <c r="L235">
        <v>1144377.7007454622</v>
      </c>
      <c r="M235">
        <v>40667.045228615127</v>
      </c>
      <c r="N235">
        <v>9706.7481390000012</v>
      </c>
      <c r="O235">
        <v>4126.42</v>
      </c>
      <c r="P235">
        <v>0</v>
      </c>
    </row>
    <row r="236" spans="3:16">
      <c r="C236" t="s">
        <v>767</v>
      </c>
      <c r="D236">
        <v>66</v>
      </c>
      <c r="E236" s="21">
        <v>1901</v>
      </c>
      <c r="F236">
        <v>487123.45916340762</v>
      </c>
      <c r="G236">
        <v>37890.284822127651</v>
      </c>
      <c r="H236">
        <v>8031.2577063812769</v>
      </c>
      <c r="I236">
        <v>389698.76733072614</v>
      </c>
      <c r="J236">
        <v>34946.65188795502</v>
      </c>
      <c r="K236">
        <v>5833.229281476928</v>
      </c>
      <c r="L236">
        <v>1217808.647908519</v>
      </c>
      <c r="M236">
        <v>43777.550690472912</v>
      </c>
      <c r="N236">
        <v>10229.286131285626</v>
      </c>
      <c r="O236">
        <v>4184.6480000000001</v>
      </c>
      <c r="P236">
        <v>0</v>
      </c>
    </row>
    <row r="237" spans="3:16">
      <c r="C237" t="s">
        <v>767</v>
      </c>
      <c r="D237">
        <v>67</v>
      </c>
      <c r="E237" s="21">
        <v>1901</v>
      </c>
      <c r="F237">
        <v>517787.79575834068</v>
      </c>
      <c r="G237">
        <v>40321.388914240328</v>
      </c>
      <c r="H237">
        <v>8454.8528387217448</v>
      </c>
      <c r="I237">
        <v>414230.23660667258</v>
      </c>
      <c r="J237">
        <v>37179.234532155424</v>
      </c>
      <c r="K237">
        <v>6140.893114440003</v>
      </c>
      <c r="L237">
        <v>1294469.4893958517</v>
      </c>
      <c r="M237">
        <v>46605.697678410128</v>
      </c>
      <c r="N237">
        <v>10768.812563003485</v>
      </c>
      <c r="O237">
        <v>4242.8759999999993</v>
      </c>
      <c r="P237">
        <v>0</v>
      </c>
    </row>
    <row r="238" spans="3:16">
      <c r="C238" t="s">
        <v>767</v>
      </c>
      <c r="D238">
        <v>68</v>
      </c>
      <c r="E238" s="21">
        <v>1901</v>
      </c>
      <c r="F238">
        <v>549778.35593197402</v>
      </c>
      <c r="G238">
        <v>42868.083686545833</v>
      </c>
      <c r="H238">
        <v>8891.9759305204097</v>
      </c>
      <c r="I238">
        <v>439822.68474557926</v>
      </c>
      <c r="J238">
        <v>39517.272784261819</v>
      </c>
      <c r="K238">
        <v>6458.3825179569285</v>
      </c>
      <c r="L238">
        <v>1374445.889829935</v>
      </c>
      <c r="M238">
        <v>49569.705491113855</v>
      </c>
      <c r="N238">
        <v>11325.569343083889</v>
      </c>
      <c r="O238">
        <v>4301.1040000000003</v>
      </c>
      <c r="P238">
        <v>0</v>
      </c>
    </row>
    <row r="239" spans="3:16">
      <c r="C239" t="s">
        <v>767</v>
      </c>
      <c r="D239">
        <v>69</v>
      </c>
      <c r="E239" s="21">
        <v>1901</v>
      </c>
      <c r="F239">
        <v>583129.80920660822</v>
      </c>
      <c r="G239">
        <v>45534.726201498619</v>
      </c>
      <c r="H239">
        <v>9342.8169102762622</v>
      </c>
      <c r="I239">
        <v>466503.84736528661</v>
      </c>
      <c r="J239">
        <v>41964.707992956784</v>
      </c>
      <c r="K239">
        <v>6785.8354400953922</v>
      </c>
      <c r="L239">
        <v>1457824.5230165205</v>
      </c>
      <c r="M239">
        <v>52674.762618582274</v>
      </c>
      <c r="N239">
        <v>11899.798380457134</v>
      </c>
      <c r="O239">
        <v>4359.3320000000003</v>
      </c>
      <c r="P239">
        <v>0</v>
      </c>
    </row>
    <row r="240" spans="3:16">
      <c r="C240" t="s">
        <v>767</v>
      </c>
      <c r="D240">
        <v>70</v>
      </c>
      <c r="E240" s="21">
        <v>1901</v>
      </c>
      <c r="F240">
        <v>620217.67267013376</v>
      </c>
      <c r="G240">
        <v>48508.897986276141</v>
      </c>
      <c r="H240">
        <v>9844.7155765886364</v>
      </c>
      <c r="I240">
        <v>496174.13813610701</v>
      </c>
      <c r="J240">
        <v>44694.294037815751</v>
      </c>
      <c r="K240">
        <v>7150.3723661538515</v>
      </c>
      <c r="L240">
        <v>1550544.1816753345</v>
      </c>
      <c r="M240">
        <v>56138.10588319692</v>
      </c>
      <c r="N240">
        <v>12539.058787023421</v>
      </c>
      <c r="O240">
        <v>4417.5600000000004</v>
      </c>
      <c r="P240">
        <v>0</v>
      </c>
    </row>
    <row r="241" spans="3:16">
      <c r="C241" t="s">
        <v>767</v>
      </c>
      <c r="D241">
        <v>71</v>
      </c>
      <c r="E241" s="21">
        <v>1901</v>
      </c>
      <c r="F241">
        <v>658900.95051244006</v>
      </c>
      <c r="G241">
        <v>51625.752921612206</v>
      </c>
      <c r="H241">
        <v>10362.607893934455</v>
      </c>
      <c r="I241">
        <v>527120.76040995202</v>
      </c>
      <c r="J241">
        <v>47553.97846039146</v>
      </c>
      <c r="K241">
        <v>7526.5257334892376</v>
      </c>
      <c r="L241">
        <v>1647252.3762811001</v>
      </c>
      <c r="M241">
        <v>59769.301844053698</v>
      </c>
      <c r="N241">
        <v>13198.690054379673</v>
      </c>
      <c r="O241">
        <v>4475.7879999999996</v>
      </c>
      <c r="P241">
        <v>0</v>
      </c>
    </row>
    <row r="242" spans="3:16">
      <c r="C242" t="s">
        <v>767</v>
      </c>
      <c r="D242">
        <v>72</v>
      </c>
      <c r="E242" s="21">
        <v>1901</v>
      </c>
      <c r="F242">
        <v>699220.77768433432</v>
      </c>
      <c r="G242">
        <v>54890.768954472514</v>
      </c>
      <c r="H242">
        <v>10896.715445562548</v>
      </c>
      <c r="I242">
        <v>559376.62214746745</v>
      </c>
      <c r="J242">
        <v>50548.714737505528</v>
      </c>
      <c r="K242">
        <v>7914.456481513851</v>
      </c>
      <c r="L242">
        <v>1748051.9442108357</v>
      </c>
      <c r="M242">
        <v>63574.877388406479</v>
      </c>
      <c r="N242">
        <v>13878.974409611244</v>
      </c>
      <c r="O242">
        <v>4534.0159999999996</v>
      </c>
      <c r="P242">
        <v>0</v>
      </c>
    </row>
    <row r="243" spans="3:16">
      <c r="C243" t="s">
        <v>767</v>
      </c>
      <c r="D243">
        <v>73</v>
      </c>
      <c r="E243" s="21">
        <v>1901</v>
      </c>
      <c r="F243">
        <v>741218.75957786536</v>
      </c>
      <c r="G243">
        <v>58309.648004838033</v>
      </c>
      <c r="H243">
        <v>11447.259814721747</v>
      </c>
      <c r="I243">
        <v>592975.00766229234</v>
      </c>
      <c r="J243">
        <v>53683.657921693368</v>
      </c>
      <c r="K243">
        <v>8314.3255496400088</v>
      </c>
      <c r="L243">
        <v>1853046.8989446633</v>
      </c>
      <c r="M243">
        <v>67561.628171127377</v>
      </c>
      <c r="N243">
        <v>14580.194079803487</v>
      </c>
      <c r="O243">
        <v>4592.2439999999997</v>
      </c>
      <c r="P243">
        <v>0</v>
      </c>
    </row>
    <row r="244" spans="3:16">
      <c r="C244" t="s">
        <v>767</v>
      </c>
      <c r="D244">
        <v>74</v>
      </c>
      <c r="E244" s="21">
        <v>1901</v>
      </c>
      <c r="F244">
        <v>784936.97185025411</v>
      </c>
      <c r="G244">
        <v>61888.328050579956</v>
      </c>
      <c r="H244">
        <v>12014.462584660876</v>
      </c>
      <c r="I244">
        <v>627949.57748020336</v>
      </c>
      <c r="J244">
        <v>56964.175517591524</v>
      </c>
      <c r="K244">
        <v>8726.2938772800044</v>
      </c>
      <c r="L244">
        <v>1962342.4296256353</v>
      </c>
      <c r="M244">
        <v>71736.633116556812</v>
      </c>
      <c r="N244">
        <v>15302.631292041746</v>
      </c>
      <c r="O244">
        <v>4650.4720000000007</v>
      </c>
      <c r="P244">
        <v>0</v>
      </c>
    </row>
    <row r="245" spans="3:16">
      <c r="C245" t="s">
        <v>767</v>
      </c>
      <c r="D245">
        <v>75</v>
      </c>
      <c r="E245" s="21">
        <v>1901</v>
      </c>
      <c r="F245">
        <v>830417.96024897066</v>
      </c>
      <c r="G245">
        <v>65632.996003344539</v>
      </c>
      <c r="H245">
        <v>12598.545338628774</v>
      </c>
      <c r="I245">
        <v>664334.36819917662</v>
      </c>
      <c r="J245">
        <v>60395.859070234168</v>
      </c>
      <c r="K245">
        <v>9150.5224038461638</v>
      </c>
      <c r="L245">
        <v>2076044.9006224265</v>
      </c>
      <c r="M245">
        <v>76107.26986956528</v>
      </c>
      <c r="N245">
        <v>16046.568273411383</v>
      </c>
      <c r="O245">
        <v>4708.7</v>
      </c>
      <c r="P245">
        <v>0</v>
      </c>
    </row>
    <row r="246" spans="3:16">
      <c r="C246" t="s">
        <v>767</v>
      </c>
      <c r="D246">
        <v>76</v>
      </c>
      <c r="E246" s="21">
        <v>1901</v>
      </c>
      <c r="F246">
        <v>877704.74043809366</v>
      </c>
      <c r="G246">
        <v>69550.101436518627</v>
      </c>
      <c r="H246">
        <v>13199.729659874254</v>
      </c>
      <c r="I246">
        <v>702163.79235047498</v>
      </c>
      <c r="J246">
        <v>63984.536520221962</v>
      </c>
      <c r="K246">
        <v>9587.1720687507768</v>
      </c>
      <c r="L246">
        <v>2194261.851095234</v>
      </c>
      <c r="M246">
        <v>80681.231269112002</v>
      </c>
      <c r="N246">
        <v>16812.287250997731</v>
      </c>
      <c r="O246">
        <v>4766.9279999999999</v>
      </c>
      <c r="P246">
        <v>0</v>
      </c>
    </row>
    <row r="247" spans="3:16">
      <c r="C247" t="s">
        <v>767</v>
      </c>
      <c r="D247">
        <v>77</v>
      </c>
      <c r="E247" s="21">
        <v>1901</v>
      </c>
      <c r="F247">
        <v>926840.79782604403</v>
      </c>
      <c r="G247">
        <v>73646.371231795303</v>
      </c>
      <c r="H247">
        <v>13818.237131646158</v>
      </c>
      <c r="I247">
        <v>741472.63826083532</v>
      </c>
      <c r="J247">
        <v>67736.285385631156</v>
      </c>
      <c r="K247">
        <v>10036.403811406155</v>
      </c>
      <c r="L247">
        <v>2317101.9945651102</v>
      </c>
      <c r="M247">
        <v>85466.542924123583</v>
      </c>
      <c r="N247">
        <v>17600.07045188616</v>
      </c>
      <c r="O247">
        <v>4825.1559999999999</v>
      </c>
      <c r="P247">
        <v>0</v>
      </c>
    </row>
    <row r="248" spans="3:16">
      <c r="C248" t="s">
        <v>767</v>
      </c>
      <c r="D248">
        <v>78</v>
      </c>
      <c r="E248" s="21">
        <v>1901</v>
      </c>
      <c r="F248">
        <v>977870.08739479212</v>
      </c>
      <c r="G248">
        <v>77928.825216860059</v>
      </c>
      <c r="H248">
        <v>14454.289337193313</v>
      </c>
      <c r="I248">
        <v>782296.06991583377</v>
      </c>
      <c r="J248">
        <v>71657.446835931245</v>
      </c>
      <c r="K248">
        <v>10498.378571224617</v>
      </c>
      <c r="L248">
        <v>2444675.2184869805</v>
      </c>
      <c r="M248">
        <v>90471.581978717688</v>
      </c>
      <c r="N248">
        <v>18410.200103162009</v>
      </c>
      <c r="O248">
        <v>4883.384</v>
      </c>
      <c r="P248">
        <v>0</v>
      </c>
    </row>
    <row r="249" spans="3:16">
      <c r="C249" t="s">
        <v>767</v>
      </c>
      <c r="D249">
        <v>79</v>
      </c>
      <c r="E249" s="21">
        <v>1901</v>
      </c>
      <c r="F249">
        <v>1030837.0335306139</v>
      </c>
      <c r="G249">
        <v>82404.792873337326</v>
      </c>
      <c r="H249">
        <v>15108.107859764557</v>
      </c>
      <c r="I249">
        <v>824669.62682449119</v>
      </c>
      <c r="J249">
        <v>75754.640729136707</v>
      </c>
      <c r="K249">
        <v>10973.257287618471</v>
      </c>
      <c r="L249">
        <v>2577092.5838265345</v>
      </c>
      <c r="M249">
        <v>95705.09716173858</v>
      </c>
      <c r="N249">
        <v>19242.958431910647</v>
      </c>
      <c r="O249">
        <v>4941.6120000000001</v>
      </c>
      <c r="P249">
        <v>0</v>
      </c>
    </row>
    <row r="250" spans="3:16">
      <c r="C250" t="s">
        <v>767</v>
      </c>
      <c r="D250">
        <v>80</v>
      </c>
      <c r="E250" s="21">
        <v>1901</v>
      </c>
      <c r="F250">
        <v>1089027.6836769141</v>
      </c>
      <c r="G250">
        <v>87341.877264728595</v>
      </c>
      <c r="H250">
        <v>15827.018504347827</v>
      </c>
      <c r="I250">
        <v>871222.14694153133</v>
      </c>
      <c r="J250">
        <v>80273.691486081821</v>
      </c>
      <c r="K250">
        <v>11495.41344</v>
      </c>
      <c r="L250">
        <v>2722569.2091922853</v>
      </c>
      <c r="M250">
        <v>101478.24882202213</v>
      </c>
      <c r="N250">
        <v>20158.623568695653</v>
      </c>
      <c r="O250">
        <v>4999.84</v>
      </c>
      <c r="P250">
        <v>0</v>
      </c>
    </row>
    <row r="251" spans="3:16">
      <c r="C251" t="s">
        <v>767</v>
      </c>
      <c r="D251">
        <v>81</v>
      </c>
      <c r="E251" s="21">
        <v>1901</v>
      </c>
      <c r="F251">
        <v>1149446.7691189412</v>
      </c>
      <c r="G251">
        <v>106581.30418407614</v>
      </c>
      <c r="H251">
        <v>16566.245570196665</v>
      </c>
      <c r="I251">
        <v>919557.41529515292</v>
      </c>
      <c r="J251">
        <v>97666.989088847127</v>
      </c>
      <c r="K251">
        <v>12032.325729932316</v>
      </c>
      <c r="L251">
        <v>2873616.922797353</v>
      </c>
      <c r="M251">
        <v>124409.93437453416</v>
      </c>
      <c r="N251">
        <v>21100.165410461013</v>
      </c>
      <c r="O251">
        <v>5058.0680000000002</v>
      </c>
      <c r="P251">
        <v>0</v>
      </c>
    </row>
    <row r="252" spans="3:16">
      <c r="C252" t="s">
        <v>767</v>
      </c>
      <c r="D252">
        <v>82</v>
      </c>
      <c r="E252" s="21">
        <v>1901</v>
      </c>
      <c r="F252">
        <v>1212145.8815220755</v>
      </c>
      <c r="G252">
        <v>113840.25077429126</v>
      </c>
      <c r="H252">
        <v>17326.042295309704</v>
      </c>
      <c r="I252">
        <v>969716.7052176604</v>
      </c>
      <c r="J252">
        <v>104280.01962268422</v>
      </c>
      <c r="K252">
        <v>12584.178088172313</v>
      </c>
      <c r="L252">
        <v>3030364.7038051886</v>
      </c>
      <c r="M252">
        <v>132960.71307750535</v>
      </c>
      <c r="N252">
        <v>22067.906502447098</v>
      </c>
      <c r="O252">
        <v>5116.2960000000003</v>
      </c>
      <c r="P252">
        <v>0</v>
      </c>
    </row>
    <row r="253" spans="3:16">
      <c r="C253" t="s">
        <v>767</v>
      </c>
      <c r="D253">
        <v>83</v>
      </c>
      <c r="E253" s="21">
        <v>1901</v>
      </c>
      <c r="F253">
        <v>1277177.1484853395</v>
      </c>
      <c r="G253">
        <v>121507.65777888946</v>
      </c>
      <c r="H253">
        <v>18106.661917685626</v>
      </c>
      <c r="I253">
        <v>1021741.7187882717</v>
      </c>
      <c r="J253">
        <v>111262.85641338849</v>
      </c>
      <c r="K253">
        <v>13151.154445476928</v>
      </c>
      <c r="L253">
        <v>3192942.8712133486</v>
      </c>
      <c r="M253">
        <v>141997.26050989144</v>
      </c>
      <c r="N253">
        <v>23062.169389894323</v>
      </c>
      <c r="O253">
        <v>5174.5240000000003</v>
      </c>
      <c r="P253">
        <v>0</v>
      </c>
    </row>
    <row r="254" spans="3:16">
      <c r="C254" t="s">
        <v>767</v>
      </c>
      <c r="D254">
        <v>84</v>
      </c>
      <c r="E254" s="21">
        <v>1901</v>
      </c>
      <c r="F254">
        <v>1344593.2333566146</v>
      </c>
      <c r="G254">
        <v>129604.15930092316</v>
      </c>
      <c r="H254">
        <v>18908.357675323085</v>
      </c>
      <c r="I254">
        <v>1075674.5866852917</v>
      </c>
      <c r="J254">
        <v>118634.09681033852</v>
      </c>
      <c r="K254">
        <v>13733.438732603085</v>
      </c>
      <c r="L254">
        <v>3361483.0833915365</v>
      </c>
      <c r="M254">
        <v>151544.28428209241</v>
      </c>
      <c r="N254">
        <v>24083.276618043081</v>
      </c>
      <c r="O254">
        <v>5232.7520000000004</v>
      </c>
      <c r="P254">
        <v>0</v>
      </c>
    </row>
    <row r="255" spans="3:16">
      <c r="C255" t="s">
        <v>767</v>
      </c>
      <c r="D255">
        <v>85</v>
      </c>
      <c r="E255" s="21">
        <v>1901</v>
      </c>
      <c r="F255">
        <v>1414447.3350498001</v>
      </c>
      <c r="G255">
        <v>138151.47027105247</v>
      </c>
      <c r="H255">
        <v>19731.382806220736</v>
      </c>
      <c r="I255">
        <v>1131557.8680398401</v>
      </c>
      <c r="J255">
        <v>126413.31090775994</v>
      </c>
      <c r="K255">
        <v>14331.214880307693</v>
      </c>
      <c r="L255">
        <v>3536118.3376245005</v>
      </c>
      <c r="M255">
        <v>161627.78899763754</v>
      </c>
      <c r="N255">
        <v>25131.550732133775</v>
      </c>
      <c r="O255">
        <v>5290.98</v>
      </c>
      <c r="P255">
        <v>0</v>
      </c>
    </row>
    <row r="256" spans="3:16">
      <c r="C256" t="s">
        <v>767</v>
      </c>
      <c r="D256">
        <v>86</v>
      </c>
      <c r="E256" s="21">
        <v>1901</v>
      </c>
      <c r="F256">
        <v>1486793.1878639471</v>
      </c>
      <c r="G256">
        <v>147172.45344099245</v>
      </c>
      <c r="H256">
        <v>20575.99054837726</v>
      </c>
      <c r="I256">
        <v>1189434.5502911578</v>
      </c>
      <c r="J256">
        <v>134621.10183882766</v>
      </c>
      <c r="K256">
        <v>14944.666819347694</v>
      </c>
      <c r="L256">
        <v>3716982.9696598677</v>
      </c>
      <c r="M256">
        <v>172275.15664532204</v>
      </c>
      <c r="N256">
        <v>26207.314277406826</v>
      </c>
      <c r="O256">
        <v>5349.2079999999996</v>
      </c>
      <c r="P256">
        <v>0</v>
      </c>
    </row>
    <row r="257" spans="3:16">
      <c r="C257" t="s">
        <v>767</v>
      </c>
      <c r="D257">
        <v>87</v>
      </c>
      <c r="E257" s="21">
        <v>1901</v>
      </c>
      <c r="F257">
        <v>1561685.0613043909</v>
      </c>
      <c r="G257">
        <v>156691.19142249043</v>
      </c>
      <c r="H257">
        <v>21442.434139791305</v>
      </c>
      <c r="I257">
        <v>1249348.0490435127</v>
      </c>
      <c r="J257">
        <v>143279.17061074573</v>
      </c>
      <c r="K257">
        <v>15573.97848048</v>
      </c>
      <c r="L257">
        <v>3904212.653260977</v>
      </c>
      <c r="M257">
        <v>183515.23304597984</v>
      </c>
      <c r="N257">
        <v>27310.889799102606</v>
      </c>
      <c r="O257">
        <v>5407.4360000000006</v>
      </c>
      <c r="P257">
        <v>0</v>
      </c>
    </row>
    <row r="258" spans="3:16">
      <c r="C258" t="s">
        <v>767</v>
      </c>
      <c r="D258">
        <v>88</v>
      </c>
      <c r="E258" s="21">
        <v>1901</v>
      </c>
      <c r="F258">
        <v>1639177.7599059038</v>
      </c>
      <c r="G258">
        <v>166733.06422080382</v>
      </c>
      <c r="H258">
        <v>22330.966818461533</v>
      </c>
      <c r="I258">
        <v>1311342.2079247232</v>
      </c>
      <c r="J258">
        <v>152410.38588487729</v>
      </c>
      <c r="K258">
        <v>16219.333794461534</v>
      </c>
      <c r="L258">
        <v>4097944.3997647595</v>
      </c>
      <c r="M258">
        <v>195378.42089265687</v>
      </c>
      <c r="N258">
        <v>28442.599842461528</v>
      </c>
      <c r="O258">
        <v>5465.6640000000007</v>
      </c>
      <c r="P258">
        <v>0</v>
      </c>
    </row>
    <row r="259" spans="3:16">
      <c r="C259" t="s">
        <v>767</v>
      </c>
      <c r="D259">
        <v>89</v>
      </c>
      <c r="E259" s="21">
        <v>1901</v>
      </c>
      <c r="F259">
        <v>1719326.623057866</v>
      </c>
      <c r="G259">
        <v>177324.83275788647</v>
      </c>
      <c r="H259">
        <v>23241.841822386614</v>
      </c>
      <c r="I259">
        <v>1375461.298446293</v>
      </c>
      <c r="J259">
        <v>162038.85914761221</v>
      </c>
      <c r="K259">
        <v>16880.916692049221</v>
      </c>
      <c r="L259">
        <v>4298316.5576446652</v>
      </c>
      <c r="M259">
        <v>207896.77997843499</v>
      </c>
      <c r="N259">
        <v>29602.766952724003</v>
      </c>
      <c r="O259">
        <v>5523.8919999999998</v>
      </c>
      <c r="P259">
        <v>0</v>
      </c>
    </row>
    <row r="260" spans="3:16">
      <c r="C260" t="s">
        <v>767</v>
      </c>
      <c r="D260">
        <v>90</v>
      </c>
      <c r="E260" s="21">
        <v>1901</v>
      </c>
      <c r="F260">
        <v>1802187.5248314743</v>
      </c>
      <c r="G260">
        <v>188494.72893217389</v>
      </c>
      <c r="H260">
        <v>24175.31238956521</v>
      </c>
      <c r="I260">
        <v>1441750.0198651794</v>
      </c>
      <c r="J260">
        <v>172190.02576417392</v>
      </c>
      <c r="K260">
        <v>17558.911103999999</v>
      </c>
      <c r="L260">
        <v>4505468.8120786855</v>
      </c>
      <c r="M260">
        <v>221104.13526817388</v>
      </c>
      <c r="N260">
        <v>30791.713675130421</v>
      </c>
      <c r="O260">
        <v>5582.12</v>
      </c>
      <c r="P260">
        <v>0</v>
      </c>
    </row>
    <row r="261" spans="3:16">
      <c r="C261" t="s">
        <v>767</v>
      </c>
      <c r="D261">
        <v>20</v>
      </c>
      <c r="E261" s="21">
        <v>1902</v>
      </c>
      <c r="F261">
        <v>6503.1288201684656</v>
      </c>
      <c r="G261">
        <v>414.25239130434795</v>
      </c>
      <c r="H261">
        <v>202.47652173913053</v>
      </c>
      <c r="I261">
        <v>5202.503056134773</v>
      </c>
      <c r="J261">
        <v>399.82402173913056</v>
      </c>
      <c r="K261">
        <v>121.48591304347838</v>
      </c>
      <c r="L261">
        <v>16257.822050421164</v>
      </c>
      <c r="M261">
        <v>443.10913043478268</v>
      </c>
      <c r="N261">
        <v>283.46713043478269</v>
      </c>
      <c r="O261">
        <v>1506.1599999999999</v>
      </c>
      <c r="P261">
        <v>0</v>
      </c>
    </row>
    <row r="262" spans="3:16">
      <c r="C262" t="s">
        <v>767</v>
      </c>
      <c r="D262">
        <v>21</v>
      </c>
      <c r="E262" s="21">
        <v>1902</v>
      </c>
      <c r="F262">
        <v>7267.8762114366664</v>
      </c>
      <c r="G262">
        <v>458.64070336098416</v>
      </c>
      <c r="H262">
        <v>221.34161739130445</v>
      </c>
      <c r="I262">
        <v>5814.3009691493335</v>
      </c>
      <c r="J262">
        <v>442.28884867705966</v>
      </c>
      <c r="K262">
        <v>132.80497043478272</v>
      </c>
      <c r="L262">
        <v>18169.690528591665</v>
      </c>
      <c r="M262">
        <v>491.34441272883316</v>
      </c>
      <c r="N262">
        <v>309.87826434782625</v>
      </c>
      <c r="O262">
        <v>1564.3879999999999</v>
      </c>
      <c r="P262">
        <v>0</v>
      </c>
    </row>
    <row r="263" spans="3:16">
      <c r="C263" t="s">
        <v>767</v>
      </c>
      <c r="D263">
        <v>22</v>
      </c>
      <c r="E263" s="21">
        <v>1902</v>
      </c>
      <c r="F263">
        <v>8084.1707780687202</v>
      </c>
      <c r="G263">
        <v>505.74359663394125</v>
      </c>
      <c r="H263">
        <v>240.98838260869576</v>
      </c>
      <c r="I263">
        <v>6467.3366224549764</v>
      </c>
      <c r="J263">
        <v>487.30102131837316</v>
      </c>
      <c r="K263">
        <v>144.59302956521753</v>
      </c>
      <c r="L263">
        <v>20210.426945171799</v>
      </c>
      <c r="M263">
        <v>542.62874726507721</v>
      </c>
      <c r="N263">
        <v>337.38373565217398</v>
      </c>
      <c r="O263">
        <v>1622.616</v>
      </c>
      <c r="P263">
        <v>0</v>
      </c>
    </row>
    <row r="264" spans="3:16">
      <c r="C264" t="s">
        <v>767</v>
      </c>
      <c r="D264">
        <v>23</v>
      </c>
      <c r="E264" s="21">
        <v>1902</v>
      </c>
      <c r="F264">
        <v>9120.3246440730254</v>
      </c>
      <c r="G264">
        <v>566.00603129374622</v>
      </c>
      <c r="H264">
        <v>266.29066354515066</v>
      </c>
      <c r="I264">
        <v>7296.2597152584203</v>
      </c>
      <c r="J264">
        <v>544.91084997039161</v>
      </c>
      <c r="K264">
        <v>159.77439812709042</v>
      </c>
      <c r="L264">
        <v>22800.811610182562</v>
      </c>
      <c r="M264">
        <v>608.19639394045521</v>
      </c>
      <c r="N264">
        <v>372.80692896321079</v>
      </c>
      <c r="O264">
        <v>1680.8440000000001</v>
      </c>
      <c r="P264">
        <v>0</v>
      </c>
    </row>
    <row r="265" spans="3:16">
      <c r="C265" t="s">
        <v>767</v>
      </c>
      <c r="D265">
        <v>24</v>
      </c>
      <c r="E265" s="21">
        <v>1902</v>
      </c>
      <c r="F265">
        <v>10227.912312267375</v>
      </c>
      <c r="G265">
        <v>630.05821801175261</v>
      </c>
      <c r="H265">
        <v>292.66999866220738</v>
      </c>
      <c r="I265">
        <v>8182.3298498139011</v>
      </c>
      <c r="J265">
        <v>606.07506269887165</v>
      </c>
      <c r="K265">
        <v>175.6019991973244</v>
      </c>
      <c r="L265">
        <v>25569.780780668436</v>
      </c>
      <c r="M265">
        <v>678.02452863751455</v>
      </c>
      <c r="N265">
        <v>409.73799812709035</v>
      </c>
      <c r="O265">
        <v>1739.0720000000001</v>
      </c>
      <c r="P265">
        <v>0</v>
      </c>
    </row>
    <row r="266" spans="3:16">
      <c r="C266" t="s">
        <v>767</v>
      </c>
      <c r="D266">
        <v>25</v>
      </c>
      <c r="E266" s="21">
        <v>1902</v>
      </c>
      <c r="F266">
        <v>11408.838305245481</v>
      </c>
      <c r="G266">
        <v>698.0206810999905</v>
      </c>
      <c r="H266">
        <v>320.12638795986629</v>
      </c>
      <c r="I266">
        <v>9127.0706441963848</v>
      </c>
      <c r="J266">
        <v>670.90213138464026</v>
      </c>
      <c r="K266">
        <v>192.07583277591971</v>
      </c>
      <c r="L266">
        <v>28522.095763113706</v>
      </c>
      <c r="M266">
        <v>752.25778053069087</v>
      </c>
      <c r="N266">
        <v>448.17694314381288</v>
      </c>
      <c r="O266">
        <v>1797.3000000000002</v>
      </c>
      <c r="P266">
        <v>0</v>
      </c>
    </row>
    <row r="267" spans="3:16">
      <c r="C267" t="s">
        <v>767</v>
      </c>
      <c r="D267">
        <v>26</v>
      </c>
      <c r="E267" s="21">
        <v>1902</v>
      </c>
      <c r="F267">
        <v>12825.690377798661</v>
      </c>
      <c r="G267">
        <v>779.78709646229947</v>
      </c>
      <c r="H267">
        <v>353.08351143812718</v>
      </c>
      <c r="I267">
        <v>10260.55230223893</v>
      </c>
      <c r="J267">
        <v>748.88618834115312</v>
      </c>
      <c r="K267">
        <v>211.85010686287626</v>
      </c>
      <c r="L267">
        <v>32064.225944496651</v>
      </c>
      <c r="M267">
        <v>841.58891270459208</v>
      </c>
      <c r="N267">
        <v>494.31691601337809</v>
      </c>
      <c r="O267">
        <v>1855.528</v>
      </c>
      <c r="P267">
        <v>0</v>
      </c>
    </row>
    <row r="268" spans="3:16">
      <c r="C268" t="s">
        <v>767</v>
      </c>
      <c r="D268">
        <v>27</v>
      </c>
      <c r="E268" s="21">
        <v>1902</v>
      </c>
      <c r="F268">
        <v>14334.793666133955</v>
      </c>
      <c r="G268">
        <v>866.51674294010104</v>
      </c>
      <c r="H268">
        <v>387.36344909699017</v>
      </c>
      <c r="I268">
        <v>11467.834932907164</v>
      </c>
      <c r="J268">
        <v>831.51352852568959</v>
      </c>
      <c r="K268">
        <v>232.41806945819417</v>
      </c>
      <c r="L268">
        <v>35836.984165334892</v>
      </c>
      <c r="M268">
        <v>936.52317176892382</v>
      </c>
      <c r="N268">
        <v>542.30882873578616</v>
      </c>
      <c r="O268">
        <v>1913.7559999999999</v>
      </c>
      <c r="P268">
        <v>0</v>
      </c>
    </row>
    <row r="269" spans="3:16">
      <c r="C269" t="s">
        <v>767</v>
      </c>
      <c r="D269">
        <v>28</v>
      </c>
      <c r="E269" s="21">
        <v>1902</v>
      </c>
      <c r="F269">
        <v>15938.471691715738</v>
      </c>
      <c r="G269">
        <v>958.36752780293295</v>
      </c>
      <c r="H269">
        <v>422.96620093645492</v>
      </c>
      <c r="I269">
        <v>12750.777353372592</v>
      </c>
      <c r="J269">
        <v>918.92626848083364</v>
      </c>
      <c r="K269">
        <v>253.77972056187298</v>
      </c>
      <c r="L269">
        <v>39846.179229289351</v>
      </c>
      <c r="M269">
        <v>1037.2500464471314</v>
      </c>
      <c r="N269">
        <v>592.15268131103699</v>
      </c>
      <c r="O269">
        <v>1971.9840000000002</v>
      </c>
      <c r="P269">
        <v>0</v>
      </c>
    </row>
    <row r="270" spans="3:16">
      <c r="C270" t="s">
        <v>767</v>
      </c>
      <c r="D270">
        <v>29</v>
      </c>
      <c r="E270" s="21">
        <v>1902</v>
      </c>
      <c r="F270">
        <v>17639.041243462194</v>
      </c>
      <c r="G270">
        <v>1055.501946425019</v>
      </c>
      <c r="H270">
        <v>459.89176695652213</v>
      </c>
      <c r="I270">
        <v>14111.232994769756</v>
      </c>
      <c r="J270">
        <v>1011.2706540433868</v>
      </c>
      <c r="K270">
        <v>275.93506017391337</v>
      </c>
      <c r="L270">
        <v>44097.603108655487</v>
      </c>
      <c r="M270">
        <v>1143.9645311882837</v>
      </c>
      <c r="N270">
        <v>643.84847373913078</v>
      </c>
      <c r="O270">
        <v>2030.212</v>
      </c>
      <c r="P270">
        <v>0</v>
      </c>
    </row>
    <row r="271" spans="3:16">
      <c r="C271" t="s">
        <v>767</v>
      </c>
      <c r="D271">
        <v>30</v>
      </c>
      <c r="E271" s="21">
        <v>1902</v>
      </c>
      <c r="F271">
        <v>19681.797809799522</v>
      </c>
      <c r="G271">
        <v>1172.5633407695373</v>
      </c>
      <c r="H271">
        <v>504.36689899665589</v>
      </c>
      <c r="I271">
        <v>15745.438247839618</v>
      </c>
      <c r="J271">
        <v>1122.5559265588042</v>
      </c>
      <c r="K271">
        <v>302.62013939799363</v>
      </c>
      <c r="L271">
        <v>49204.494524498798</v>
      </c>
      <c r="M271">
        <v>1272.5781691910031</v>
      </c>
      <c r="N271">
        <v>706.11365859531804</v>
      </c>
      <c r="O271">
        <v>2088.44</v>
      </c>
      <c r="P271">
        <v>0</v>
      </c>
    </row>
    <row r="272" spans="3:16">
      <c r="C272" t="s">
        <v>767</v>
      </c>
      <c r="D272">
        <v>31</v>
      </c>
      <c r="E272" s="21">
        <v>1902</v>
      </c>
      <c r="F272">
        <v>21912.498932624545</v>
      </c>
      <c r="G272">
        <v>1300.733859360967</v>
      </c>
      <c r="H272">
        <v>550.27542605538474</v>
      </c>
      <c r="I272">
        <v>17529.999146099635</v>
      </c>
      <c r="J272">
        <v>1245.0220174864089</v>
      </c>
      <c r="K272">
        <v>325.7035629895388</v>
      </c>
      <c r="L272">
        <v>54781.247331561361</v>
      </c>
      <c r="M272">
        <v>1412.1575431100835</v>
      </c>
      <c r="N272">
        <v>774.84728912123103</v>
      </c>
      <c r="O272">
        <v>2146.6680000000001</v>
      </c>
      <c r="P272">
        <v>0</v>
      </c>
    </row>
    <row r="273" spans="3:16">
      <c r="C273" t="s">
        <v>767</v>
      </c>
      <c r="D273">
        <v>32</v>
      </c>
      <c r="E273" s="21">
        <v>1902</v>
      </c>
      <c r="F273">
        <v>24296.563316578082</v>
      </c>
      <c r="G273">
        <v>1437.4875540483051</v>
      </c>
      <c r="H273">
        <v>598.0889005051506</v>
      </c>
      <c r="I273">
        <v>19437.250653262465</v>
      </c>
      <c r="J273">
        <v>1375.6687850140431</v>
      </c>
      <c r="K273">
        <v>349.0217419386222</v>
      </c>
      <c r="L273">
        <v>60741.408291445208</v>
      </c>
      <c r="M273">
        <v>1561.1250921168289</v>
      </c>
      <c r="N273">
        <v>847.15605907167912</v>
      </c>
      <c r="O273">
        <v>2204.8960000000002</v>
      </c>
      <c r="P273">
        <v>0</v>
      </c>
    </row>
    <row r="274" spans="3:16">
      <c r="C274" t="s">
        <v>767</v>
      </c>
      <c r="D274">
        <v>33</v>
      </c>
      <c r="E274" s="21">
        <v>1902</v>
      </c>
      <c r="F274">
        <v>26828.800400935623</v>
      </c>
      <c r="G274">
        <v>1582.5450035956289</v>
      </c>
      <c r="H274">
        <v>647.54781172976641</v>
      </c>
      <c r="I274">
        <v>21463.0403207485</v>
      </c>
      <c r="J274">
        <v>1514.2276993096448</v>
      </c>
      <c r="K274">
        <v>372.33999174461587</v>
      </c>
      <c r="L274">
        <v>67072.001002339064</v>
      </c>
      <c r="M274">
        <v>1719.1796121675975</v>
      </c>
      <c r="N274">
        <v>922.75563171491694</v>
      </c>
      <c r="O274">
        <v>2263.1239999999998</v>
      </c>
      <c r="P274">
        <v>0</v>
      </c>
    </row>
    <row r="275" spans="3:16">
      <c r="C275" t="s">
        <v>767</v>
      </c>
      <c r="D275">
        <v>34</v>
      </c>
      <c r="E275" s="21">
        <v>1902</v>
      </c>
      <c r="F275">
        <v>29511.734026841692</v>
      </c>
      <c r="G275">
        <v>1736.095558198921</v>
      </c>
      <c r="H275">
        <v>698.59150279224104</v>
      </c>
      <c r="I275">
        <v>23609.387221473356</v>
      </c>
      <c r="J275">
        <v>1660.8791717863869</v>
      </c>
      <c r="K275">
        <v>395.54054101757879</v>
      </c>
      <c r="L275">
        <v>73779.335067104228</v>
      </c>
      <c r="M275">
        <v>1886.5283310239893</v>
      </c>
      <c r="N275">
        <v>1001.6424645669033</v>
      </c>
      <c r="O275">
        <v>2321.3520000000003</v>
      </c>
      <c r="P275">
        <v>0</v>
      </c>
    </row>
    <row r="276" spans="3:16">
      <c r="C276" t="s">
        <v>767</v>
      </c>
      <c r="D276">
        <v>35</v>
      </c>
      <c r="E276" s="21">
        <v>1902</v>
      </c>
      <c r="F276">
        <v>32347.678466014637</v>
      </c>
      <c r="G276">
        <v>1898.3256370253168</v>
      </c>
      <c r="H276">
        <v>751.15531826086999</v>
      </c>
      <c r="I276">
        <v>25878.142772811709</v>
      </c>
      <c r="J276">
        <v>1815.8009759314809</v>
      </c>
      <c r="K276">
        <v>418.50082017391355</v>
      </c>
      <c r="L276">
        <v>80869.196165036599</v>
      </c>
      <c r="M276">
        <v>2063.3749592129889</v>
      </c>
      <c r="N276">
        <v>1083.8098163478264</v>
      </c>
      <c r="O276">
        <v>2379.58</v>
      </c>
      <c r="P276">
        <v>0</v>
      </c>
    </row>
    <row r="277" spans="3:16">
      <c r="C277" t="s">
        <v>767</v>
      </c>
      <c r="D277">
        <v>36</v>
      </c>
      <c r="E277" s="21">
        <v>1902</v>
      </c>
      <c r="F277">
        <v>35338.730282282428</v>
      </c>
      <c r="G277">
        <v>2069.4186160563786</v>
      </c>
      <c r="H277">
        <v>805.17060420923099</v>
      </c>
      <c r="I277">
        <v>28270.984225825941</v>
      </c>
      <c r="J277">
        <v>1979.1681463651225</v>
      </c>
      <c r="K277">
        <v>441.09346143636139</v>
      </c>
      <c r="L277">
        <v>88346.825705706069</v>
      </c>
      <c r="M277">
        <v>2249.9195554388921</v>
      </c>
      <c r="N277">
        <v>1169.2477469821006</v>
      </c>
      <c r="O277">
        <v>2437.808</v>
      </c>
      <c r="P277">
        <v>0</v>
      </c>
    </row>
    <row r="278" spans="3:16">
      <c r="C278" t="s">
        <v>767</v>
      </c>
      <c r="D278">
        <v>37</v>
      </c>
      <c r="E278" s="21">
        <v>1902</v>
      </c>
      <c r="F278">
        <v>38486.760175254982</v>
      </c>
      <c r="G278">
        <v>2269.2350782442077</v>
      </c>
      <c r="H278">
        <v>860.56470821618791</v>
      </c>
      <c r="I278">
        <v>30789.408140203988</v>
      </c>
      <c r="J278">
        <v>2168.8652039809913</v>
      </c>
      <c r="K278">
        <v>463.18629883400763</v>
      </c>
      <c r="L278">
        <v>96216.900438137469</v>
      </c>
      <c r="M278">
        <v>2469.9748267706409</v>
      </c>
      <c r="N278">
        <v>1257.9431175983682</v>
      </c>
      <c r="O278">
        <v>2496.0360000000001</v>
      </c>
      <c r="P278">
        <v>0</v>
      </c>
    </row>
    <row r="279" spans="3:16">
      <c r="C279" t="s">
        <v>767</v>
      </c>
      <c r="D279">
        <v>38</v>
      </c>
      <c r="E279" s="21">
        <v>1902</v>
      </c>
      <c r="F279">
        <v>41793.404810064079</v>
      </c>
      <c r="G279">
        <v>2481.7054377926925</v>
      </c>
      <c r="H279">
        <v>917.26097936588712</v>
      </c>
      <c r="I279">
        <v>33434.723848051261</v>
      </c>
      <c r="J279">
        <v>2370.4395177993765</v>
      </c>
      <c r="K279">
        <v>484.64236820227507</v>
      </c>
      <c r="L279">
        <v>104483.51202516021</v>
      </c>
      <c r="M279">
        <v>2704.2372777793248</v>
      </c>
      <c r="N279">
        <v>1349.8795905294987</v>
      </c>
      <c r="O279">
        <v>2554.2640000000001</v>
      </c>
      <c r="P279">
        <v>0</v>
      </c>
    </row>
    <row r="280" spans="3:16">
      <c r="C280" t="s">
        <v>767</v>
      </c>
      <c r="D280">
        <v>39</v>
      </c>
      <c r="E280" s="21">
        <v>1902</v>
      </c>
      <c r="F280">
        <v>45260.058636420974</v>
      </c>
      <c r="G280">
        <v>2707.2675820450677</v>
      </c>
      <c r="H280">
        <v>975.17876824775976</v>
      </c>
      <c r="I280">
        <v>36208.046909136785</v>
      </c>
      <c r="J280">
        <v>2584.2951826659787</v>
      </c>
      <c r="K280">
        <v>505.31990718293082</v>
      </c>
      <c r="L280">
        <v>113150.14659105244</v>
      </c>
      <c r="M280">
        <v>2953.2123808032447</v>
      </c>
      <c r="N280">
        <v>1445.0376293125892</v>
      </c>
      <c r="O280">
        <v>2612.4920000000002</v>
      </c>
      <c r="P280">
        <v>0</v>
      </c>
    </row>
    <row r="281" spans="3:16">
      <c r="C281" t="s">
        <v>767</v>
      </c>
      <c r="D281">
        <v>40</v>
      </c>
      <c r="E281" s="21">
        <v>1902</v>
      </c>
      <c r="F281">
        <v>49328.296922207199</v>
      </c>
      <c r="G281">
        <v>2972.9052494849511</v>
      </c>
      <c r="H281">
        <v>1043.5508452173922</v>
      </c>
      <c r="I281">
        <v>39462.63753776576</v>
      </c>
      <c r="J281">
        <v>2836.1610084160548</v>
      </c>
      <c r="K281">
        <v>529.80273680267646</v>
      </c>
      <c r="L281">
        <v>123320.74230551801</v>
      </c>
      <c r="M281">
        <v>3246.3937316227439</v>
      </c>
      <c r="N281">
        <v>1557.2989536321079</v>
      </c>
      <c r="O281">
        <v>2670.72</v>
      </c>
      <c r="P281">
        <v>0</v>
      </c>
    </row>
    <row r="282" spans="3:16">
      <c r="C282" t="s">
        <v>767</v>
      </c>
      <c r="D282">
        <v>41</v>
      </c>
      <c r="E282" s="21">
        <v>1902</v>
      </c>
      <c r="F282">
        <v>53601.88182244933</v>
      </c>
      <c r="G282">
        <v>3255.5588606826263</v>
      </c>
      <c r="H282">
        <v>1113.5351917078269</v>
      </c>
      <c r="I282">
        <v>42881.505457959465</v>
      </c>
      <c r="J282">
        <v>3103.9928483187114</v>
      </c>
      <c r="K282">
        <v>553.28779837982665</v>
      </c>
      <c r="L282">
        <v>134004.70455612332</v>
      </c>
      <c r="M282">
        <v>3558.6908854104558</v>
      </c>
      <c r="N282">
        <v>1673.7825850358267</v>
      </c>
      <c r="O282">
        <v>2728.9480000000003</v>
      </c>
      <c r="P282">
        <v>0</v>
      </c>
    </row>
    <row r="283" spans="3:16">
      <c r="C283" t="s">
        <v>767</v>
      </c>
      <c r="D283">
        <v>42</v>
      </c>
      <c r="E283" s="21">
        <v>1902</v>
      </c>
      <c r="F283">
        <v>58082.271307397539</v>
      </c>
      <c r="G283">
        <v>3555.806488874131</v>
      </c>
      <c r="H283">
        <v>1185.0202766769248</v>
      </c>
      <c r="I283">
        <v>46465.817045918033</v>
      </c>
      <c r="J283">
        <v>3388.3242966021025</v>
      </c>
      <c r="K283">
        <v>575.58127724307906</v>
      </c>
      <c r="L283">
        <v>145205.67826849385</v>
      </c>
      <c r="M283">
        <v>3890.7708734181879</v>
      </c>
      <c r="N283">
        <v>1794.4592761107706</v>
      </c>
      <c r="O283">
        <v>2787.1759999999999</v>
      </c>
      <c r="P283">
        <v>0</v>
      </c>
    </row>
    <row r="284" spans="3:16">
      <c r="C284" t="s">
        <v>767</v>
      </c>
      <c r="D284">
        <v>43</v>
      </c>
      <c r="E284" s="21">
        <v>1902</v>
      </c>
      <c r="F284">
        <v>62770.575871693189</v>
      </c>
      <c r="G284">
        <v>3874.2278640227614</v>
      </c>
      <c r="H284">
        <v>1257.8892377562552</v>
      </c>
      <c r="I284">
        <v>50216.460697354552</v>
      </c>
      <c r="J284">
        <v>3689.6904385489133</v>
      </c>
      <c r="K284">
        <v>596.48296112957951</v>
      </c>
      <c r="L284">
        <v>156926.43967923298</v>
      </c>
      <c r="M284">
        <v>4243.3027149704567</v>
      </c>
      <c r="N284">
        <v>1919.2955143829304</v>
      </c>
      <c r="O284">
        <v>2845.404</v>
      </c>
      <c r="P284">
        <v>0</v>
      </c>
    </row>
    <row r="285" spans="3:16">
      <c r="C285" t="s">
        <v>767</v>
      </c>
      <c r="D285">
        <v>44</v>
      </c>
      <c r="E285" s="21">
        <v>1902</v>
      </c>
      <c r="F285">
        <v>67667.547658916505</v>
      </c>
      <c r="G285">
        <v>4211.4036322290312</v>
      </c>
      <c r="H285">
        <v>1332.0198812511048</v>
      </c>
      <c r="I285">
        <v>54134.038127133201</v>
      </c>
      <c r="J285">
        <v>4008.6271839653255</v>
      </c>
      <c r="K285">
        <v>615.78624018493792</v>
      </c>
      <c r="L285">
        <v>169168.86914729123</v>
      </c>
      <c r="M285">
        <v>4616.9565287564428</v>
      </c>
      <c r="N285">
        <v>2048.2535223172717</v>
      </c>
      <c r="O285">
        <v>2903.6320000000001</v>
      </c>
      <c r="P285">
        <v>0</v>
      </c>
    </row>
    <row r="286" spans="3:16">
      <c r="C286" t="s">
        <v>767</v>
      </c>
      <c r="D286">
        <v>45</v>
      </c>
      <c r="E286" s="21">
        <v>1902</v>
      </c>
      <c r="F286">
        <v>72773.56957755344</v>
      </c>
      <c r="G286">
        <v>4567.9145786183781</v>
      </c>
      <c r="H286">
        <v>1407.2846821404692</v>
      </c>
      <c r="I286">
        <v>58218.855662042763</v>
      </c>
      <c r="J286">
        <v>4345.6705677799528</v>
      </c>
      <c r="K286">
        <v>633.27810696321194</v>
      </c>
      <c r="L286">
        <v>181933.92394388362</v>
      </c>
      <c r="M286">
        <v>5012.4026002952305</v>
      </c>
      <c r="N286">
        <v>2181.2912573177268</v>
      </c>
      <c r="O286">
        <v>2961.86</v>
      </c>
      <c r="P286">
        <v>0</v>
      </c>
    </row>
    <row r="287" spans="3:16">
      <c r="C287" t="s">
        <v>767</v>
      </c>
      <c r="D287">
        <v>46</v>
      </c>
      <c r="E287" s="21">
        <v>1902</v>
      </c>
      <c r="F287">
        <v>78088.644410740555</v>
      </c>
      <c r="G287">
        <v>4944.340811587932</v>
      </c>
      <c r="H287">
        <v>1483.5507840770588</v>
      </c>
      <c r="I287">
        <v>62470.91552859245</v>
      </c>
      <c r="J287">
        <v>4701.3560158659284</v>
      </c>
      <c r="K287">
        <v>648.73915642691827</v>
      </c>
      <c r="L287">
        <v>195221.61102685137</v>
      </c>
      <c r="M287">
        <v>5430.3104030319391</v>
      </c>
      <c r="N287">
        <v>2318.3624117271988</v>
      </c>
      <c r="O287">
        <v>3020.0879999999997</v>
      </c>
      <c r="P287">
        <v>0</v>
      </c>
    </row>
    <row r="288" spans="3:16">
      <c r="C288" t="s">
        <v>767</v>
      </c>
      <c r="D288">
        <v>47</v>
      </c>
      <c r="E288" s="21">
        <v>1902</v>
      </c>
      <c r="F288">
        <v>83612.383921776913</v>
      </c>
      <c r="G288">
        <v>5341.2609061520034</v>
      </c>
      <c r="H288">
        <v>1560.6799993872928</v>
      </c>
      <c r="I288">
        <v>66889.907137421527</v>
      </c>
      <c r="J288">
        <v>5076.2175740518542</v>
      </c>
      <c r="K288">
        <v>661.94358594702499</v>
      </c>
      <c r="L288">
        <v>209030.95980444227</v>
      </c>
      <c r="M288">
        <v>5871.3475703523036</v>
      </c>
      <c r="N288">
        <v>2459.4164128275593</v>
      </c>
      <c r="O288">
        <v>3078.3160000000003</v>
      </c>
      <c r="P288">
        <v>0</v>
      </c>
    </row>
    <row r="289" spans="3:16">
      <c r="C289" t="s">
        <v>767</v>
      </c>
      <c r="D289">
        <v>48</v>
      </c>
      <c r="E289" s="21">
        <v>1902</v>
      </c>
      <c r="F289">
        <v>89343.997957082713</v>
      </c>
      <c r="G289">
        <v>5759.2510039735835</v>
      </c>
      <c r="H289">
        <v>1638.5288090713057</v>
      </c>
      <c r="I289">
        <v>71475.198365666176</v>
      </c>
      <c r="J289">
        <v>5470.7870981501383</v>
      </c>
      <c r="K289">
        <v>672.65919530295832</v>
      </c>
      <c r="L289">
        <v>223359.99489270675</v>
      </c>
      <c r="M289">
        <v>6336.178815620473</v>
      </c>
      <c r="N289">
        <v>2604.3984228396534</v>
      </c>
      <c r="O289">
        <v>3136.5439999999999</v>
      </c>
      <c r="P289">
        <v>0</v>
      </c>
    </row>
    <row r="290" spans="3:16">
      <c r="C290" t="s">
        <v>767</v>
      </c>
      <c r="D290">
        <v>49</v>
      </c>
      <c r="E290" s="21">
        <v>1902</v>
      </c>
      <c r="F290">
        <v>95282.283548021107</v>
      </c>
      <c r="G290">
        <v>6198.8838675050956</v>
      </c>
      <c r="H290">
        <v>1716.9483628029448</v>
      </c>
      <c r="I290">
        <v>76225.826838416877</v>
      </c>
      <c r="J290">
        <v>5885.5934026836831</v>
      </c>
      <c r="K290">
        <v>680.64738668259724</v>
      </c>
      <c r="L290">
        <v>238205.70887005274</v>
      </c>
      <c r="M290">
        <v>6825.4647971479208</v>
      </c>
      <c r="N290">
        <v>2753.2493389232932</v>
      </c>
      <c r="O290">
        <v>3194.7719999999999</v>
      </c>
      <c r="P290">
        <v>0</v>
      </c>
    </row>
    <row r="291" spans="3:16">
      <c r="C291" t="s">
        <v>767</v>
      </c>
      <c r="D291">
        <v>50</v>
      </c>
      <c r="E291" s="21">
        <v>1902</v>
      </c>
      <c r="F291">
        <v>102092.88778918161</v>
      </c>
      <c r="G291">
        <v>6704.5484636789324</v>
      </c>
      <c r="H291">
        <v>1807.598850501674</v>
      </c>
      <c r="I291">
        <v>81674.310231345284</v>
      </c>
      <c r="J291">
        <v>6362.7479537658892</v>
      </c>
      <c r="K291">
        <v>690.17410655518506</v>
      </c>
      <c r="L291">
        <v>255232.21947295402</v>
      </c>
      <c r="M291">
        <v>7388.1494835050189</v>
      </c>
      <c r="N291">
        <v>2925.0235944481619</v>
      </c>
      <c r="O291">
        <v>3253</v>
      </c>
      <c r="P291">
        <v>0</v>
      </c>
    </row>
    <row r="292" spans="3:16">
      <c r="C292" t="s">
        <v>767</v>
      </c>
      <c r="D292">
        <v>51</v>
      </c>
      <c r="E292" s="21">
        <v>1902</v>
      </c>
      <c r="F292">
        <v>108565.3745974716</v>
      </c>
      <c r="G292">
        <v>7284.0472629457927</v>
      </c>
      <c r="H292">
        <v>1962.281322425687</v>
      </c>
      <c r="I292">
        <v>86852.29967797728</v>
      </c>
      <c r="J292">
        <v>6907.2933769013816</v>
      </c>
      <c r="K292">
        <v>787.97641747938542</v>
      </c>
      <c r="L292">
        <v>271413.43649367901</v>
      </c>
      <c r="M292">
        <v>8037.5550350346166</v>
      </c>
      <c r="N292">
        <v>3136.5862273719877</v>
      </c>
      <c r="O292">
        <v>3311.2280000000001</v>
      </c>
      <c r="P292">
        <v>0</v>
      </c>
    </row>
    <row r="293" spans="3:16">
      <c r="C293" t="s">
        <v>767</v>
      </c>
      <c r="D293">
        <v>52</v>
      </c>
      <c r="E293" s="21">
        <v>1902</v>
      </c>
      <c r="F293">
        <v>119448.40499436193</v>
      </c>
      <c r="G293">
        <v>7900.403069571691</v>
      </c>
      <c r="H293">
        <v>2065.8225154033453</v>
      </c>
      <c r="I293">
        <v>95558.723995489549</v>
      </c>
      <c r="J293">
        <v>7485.9668563242212</v>
      </c>
      <c r="K293">
        <v>788.76859679036897</v>
      </c>
      <c r="L293">
        <v>298621.01248590485</v>
      </c>
      <c r="M293">
        <v>8729.2754960666316</v>
      </c>
      <c r="N293">
        <v>3342.8764340163216</v>
      </c>
      <c r="O293">
        <v>3369.4560000000001</v>
      </c>
      <c r="P293">
        <v>0</v>
      </c>
    </row>
    <row r="294" spans="3:16">
      <c r="C294" t="s">
        <v>767</v>
      </c>
      <c r="D294">
        <v>53</v>
      </c>
      <c r="E294" s="21">
        <v>1902</v>
      </c>
      <c r="F294">
        <v>128847.56361207503</v>
      </c>
      <c r="G294">
        <v>8555.3879487531813</v>
      </c>
      <c r="H294">
        <v>2202.9191647545167</v>
      </c>
      <c r="I294">
        <v>103078.05088966002</v>
      </c>
      <c r="J294">
        <v>8100.3799111059561</v>
      </c>
      <c r="K294">
        <v>841.11459017899779</v>
      </c>
      <c r="L294">
        <v>322118.90903018758</v>
      </c>
      <c r="M294">
        <v>9465.4040240476279</v>
      </c>
      <c r="N294">
        <v>3564.7237393300347</v>
      </c>
      <c r="O294">
        <v>3427.6839999999997</v>
      </c>
      <c r="P294">
        <v>0</v>
      </c>
    </row>
    <row r="295" spans="3:16">
      <c r="C295" t="s">
        <v>767</v>
      </c>
      <c r="D295">
        <v>54</v>
      </c>
      <c r="E295" s="21">
        <v>1902</v>
      </c>
      <c r="F295">
        <v>138748.39645939853</v>
      </c>
      <c r="G295">
        <v>9250.8485612367804</v>
      </c>
      <c r="H295">
        <v>2345.4612016000019</v>
      </c>
      <c r="I295">
        <v>110998.71716751883</v>
      </c>
      <c r="J295">
        <v>8752.2111963131028</v>
      </c>
      <c r="K295">
        <v>895.53973152000071</v>
      </c>
      <c r="L295">
        <v>346870.99114849634</v>
      </c>
      <c r="M295">
        <v>10248.123291084135</v>
      </c>
      <c r="N295">
        <v>3795.3826716800022</v>
      </c>
      <c r="O295">
        <v>3485.9119999999998</v>
      </c>
      <c r="P295">
        <v>0</v>
      </c>
    </row>
    <row r="296" spans="3:16">
      <c r="C296" t="s">
        <v>767</v>
      </c>
      <c r="D296">
        <v>55</v>
      </c>
      <c r="E296" s="21">
        <v>1902</v>
      </c>
      <c r="F296">
        <v>149166.72968329614</v>
      </c>
      <c r="G296">
        <v>9988.7095034182348</v>
      </c>
      <c r="H296">
        <v>2493.5402581103681</v>
      </c>
      <c r="I296">
        <v>119333.3837466369</v>
      </c>
      <c r="J296">
        <v>9443.2095090964795</v>
      </c>
      <c r="K296">
        <v>952.07900764213991</v>
      </c>
      <c r="L296">
        <v>372916.82420824037</v>
      </c>
      <c r="M296">
        <v>11079.709492061747</v>
      </c>
      <c r="N296">
        <v>4035.0015085785963</v>
      </c>
      <c r="O296">
        <v>3544.1399999999994</v>
      </c>
      <c r="P296">
        <v>0</v>
      </c>
    </row>
    <row r="297" spans="3:16">
      <c r="C297" t="s">
        <v>767</v>
      </c>
      <c r="D297">
        <v>56</v>
      </c>
      <c r="E297" s="21">
        <v>1902</v>
      </c>
      <c r="F297">
        <v>160118.60572355514</v>
      </c>
      <c r="G297">
        <v>10770.976828531493</v>
      </c>
      <c r="H297">
        <v>2647.2479664561888</v>
      </c>
      <c r="I297">
        <v>128094.88457884411</v>
      </c>
      <c r="J297">
        <v>10175.196957761287</v>
      </c>
      <c r="K297">
        <v>1010.7674053741812</v>
      </c>
      <c r="L297">
        <v>400296.51430888788</v>
      </c>
      <c r="M297">
        <v>11962.536570071907</v>
      </c>
      <c r="N297">
        <v>4283.7285275381964</v>
      </c>
      <c r="O297">
        <v>3602.3680000000004</v>
      </c>
      <c r="P297">
        <v>0</v>
      </c>
    </row>
    <row r="298" spans="3:16">
      <c r="C298" t="s">
        <v>767</v>
      </c>
      <c r="D298">
        <v>57</v>
      </c>
      <c r="E298" s="21">
        <v>1902</v>
      </c>
      <c r="F298">
        <v>171620.28323265282</v>
      </c>
      <c r="G298">
        <v>11599.741760486293</v>
      </c>
      <c r="H298">
        <v>2806.6759588080295</v>
      </c>
      <c r="I298">
        <v>137296.22658612224</v>
      </c>
      <c r="J298">
        <v>10950.072304220943</v>
      </c>
      <c r="K298">
        <v>1071.6399115448839</v>
      </c>
      <c r="L298">
        <v>429050.70808163204</v>
      </c>
      <c r="M298">
        <v>12899.080673016997</v>
      </c>
      <c r="N298">
        <v>4541.7120060711723</v>
      </c>
      <c r="O298">
        <v>3660.596</v>
      </c>
      <c r="P298">
        <v>0</v>
      </c>
    </row>
    <row r="299" spans="3:16">
      <c r="C299" t="s">
        <v>767</v>
      </c>
      <c r="D299">
        <v>58</v>
      </c>
      <c r="E299" s="21">
        <v>1902</v>
      </c>
      <c r="F299">
        <v>183688.23699388152</v>
      </c>
      <c r="G299">
        <v>12477.184612764304</v>
      </c>
      <c r="H299">
        <v>2971.9158673364564</v>
      </c>
      <c r="I299">
        <v>146950.58959510524</v>
      </c>
      <c r="J299">
        <v>11769.814491003592</v>
      </c>
      <c r="K299">
        <v>1134.7315129830113</v>
      </c>
      <c r="L299">
        <v>459220.59248470381</v>
      </c>
      <c r="M299">
        <v>13891.924856285725</v>
      </c>
      <c r="N299">
        <v>4809.1002216899024</v>
      </c>
      <c r="O299">
        <v>3718.8240000000001</v>
      </c>
      <c r="P299">
        <v>0</v>
      </c>
    </row>
    <row r="300" spans="3:16">
      <c r="C300" t="s">
        <v>767</v>
      </c>
      <c r="D300">
        <v>59</v>
      </c>
      <c r="E300" s="21">
        <v>1902</v>
      </c>
      <c r="F300">
        <v>196339.15783810194</v>
      </c>
      <c r="G300">
        <v>13405.578925705748</v>
      </c>
      <c r="H300">
        <v>3143.0593242120431</v>
      </c>
      <c r="I300">
        <v>157071.32627048157</v>
      </c>
      <c r="J300">
        <v>12636.486364810091</v>
      </c>
      <c r="K300">
        <v>1200.077196517328</v>
      </c>
      <c r="L300">
        <v>490847.89459525491</v>
      </c>
      <c r="M300">
        <v>14943.764047497065</v>
      </c>
      <c r="N300">
        <v>5086.0414519067581</v>
      </c>
      <c r="O300">
        <v>3777.0519999999997</v>
      </c>
      <c r="P300">
        <v>0</v>
      </c>
    </row>
    <row r="301" spans="3:16">
      <c r="C301" t="s">
        <v>767</v>
      </c>
      <c r="D301">
        <v>60</v>
      </c>
      <c r="E301" s="21">
        <v>1902</v>
      </c>
      <c r="F301">
        <v>210622.41537993535</v>
      </c>
      <c r="G301">
        <v>14458.169215023416</v>
      </c>
      <c r="H301">
        <v>3336.5536165886315</v>
      </c>
      <c r="I301">
        <v>168497.9323039483</v>
      </c>
      <c r="J301">
        <v>13618.998405628099</v>
      </c>
      <c r="K301">
        <v>1273.9568354247513</v>
      </c>
      <c r="L301">
        <v>526556.03844983841</v>
      </c>
      <c r="M301">
        <v>16136.510833814053</v>
      </c>
      <c r="N301">
        <v>5399.1503977525117</v>
      </c>
      <c r="O301">
        <v>3835.2799999999997</v>
      </c>
      <c r="P301">
        <v>0</v>
      </c>
    </row>
    <row r="302" spans="3:16">
      <c r="C302" t="s">
        <v>767</v>
      </c>
      <c r="D302">
        <v>61</v>
      </c>
      <c r="E302" s="21">
        <v>1902</v>
      </c>
      <c r="F302">
        <v>225606.37598246057</v>
      </c>
      <c r="G302">
        <v>15573.124165670353</v>
      </c>
      <c r="H302">
        <v>3537.110175260872</v>
      </c>
      <c r="I302">
        <v>180485.10078596845</v>
      </c>
      <c r="J302">
        <v>14658.922690059841</v>
      </c>
      <c r="K302">
        <v>1350.532976008697</v>
      </c>
      <c r="L302">
        <v>564015.93995615141</v>
      </c>
      <c r="M302">
        <v>17401.527116891379</v>
      </c>
      <c r="N302">
        <v>5723.6873745130451</v>
      </c>
      <c r="O302">
        <v>3893.5080000000003</v>
      </c>
      <c r="P302">
        <v>0</v>
      </c>
    </row>
    <row r="303" spans="3:16">
      <c r="C303" t="s">
        <v>767</v>
      </c>
      <c r="D303">
        <v>62</v>
      </c>
      <c r="E303" s="21">
        <v>1902</v>
      </c>
      <c r="F303">
        <v>241311.41758186222</v>
      </c>
      <c r="G303">
        <v>16753.383845290715</v>
      </c>
      <c r="H303">
        <v>3744.8389588334485</v>
      </c>
      <c r="I303">
        <v>193049.13406548978</v>
      </c>
      <c r="J303">
        <v>15758.925271458633</v>
      </c>
      <c r="K303">
        <v>1429.8476024636821</v>
      </c>
      <c r="L303">
        <v>603278.54395465553</v>
      </c>
      <c r="M303">
        <v>18742.300992954872</v>
      </c>
      <c r="N303">
        <v>6059.8303152032149</v>
      </c>
      <c r="O303">
        <v>3951.7360000000003</v>
      </c>
      <c r="P303">
        <v>0</v>
      </c>
    </row>
    <row r="304" spans="3:16">
      <c r="C304" t="s">
        <v>767</v>
      </c>
      <c r="D304">
        <v>63</v>
      </c>
      <c r="E304" s="21">
        <v>1902</v>
      </c>
      <c r="F304">
        <v>257758.17706534074</v>
      </c>
      <c r="G304">
        <v>18002.017000075168</v>
      </c>
      <c r="H304">
        <v>3959.8499259110376</v>
      </c>
      <c r="I304">
        <v>206206.5416522726</v>
      </c>
      <c r="J304">
        <v>16921.78801386966</v>
      </c>
      <c r="K304">
        <v>1511.9426989842159</v>
      </c>
      <c r="L304">
        <v>644395.44266335189</v>
      </c>
      <c r="M304">
        <v>20162.47497248619</v>
      </c>
      <c r="N304">
        <v>6407.7571528378612</v>
      </c>
      <c r="O304">
        <v>4009.9639999999999</v>
      </c>
      <c r="P304">
        <v>0</v>
      </c>
    </row>
    <row r="305" spans="3:16">
      <c r="C305" t="s">
        <v>767</v>
      </c>
      <c r="D305">
        <v>64</v>
      </c>
      <c r="E305" s="21">
        <v>1902</v>
      </c>
      <c r="F305">
        <v>274967.55017159414</v>
      </c>
      <c r="G305">
        <v>19322.227321573257</v>
      </c>
      <c r="H305">
        <v>4182.2530350983343</v>
      </c>
      <c r="I305">
        <v>219974.04013727533</v>
      </c>
      <c r="J305">
        <v>18150.414232161078</v>
      </c>
      <c r="K305">
        <v>1596.8602497648226</v>
      </c>
      <c r="L305">
        <v>687418.87542898534</v>
      </c>
      <c r="M305">
        <v>21665.853500397603</v>
      </c>
      <c r="N305">
        <v>6767.6458204318442</v>
      </c>
      <c r="O305">
        <v>4068.192</v>
      </c>
      <c r="P305">
        <v>0</v>
      </c>
    </row>
    <row r="306" spans="3:16">
      <c r="C306" t="s">
        <v>767</v>
      </c>
      <c r="D306">
        <v>65</v>
      </c>
      <c r="E306" s="21">
        <v>1902</v>
      </c>
      <c r="F306">
        <v>292960.69139083836</v>
      </c>
      <c r="G306">
        <v>20717.360083350326</v>
      </c>
      <c r="H306">
        <v>4412.1582450000042</v>
      </c>
      <c r="I306">
        <v>234368.55311267072</v>
      </c>
      <c r="J306">
        <v>19447.834665015293</v>
      </c>
      <c r="K306">
        <v>1684.6422390000062</v>
      </c>
      <c r="L306">
        <v>732401.72847709595</v>
      </c>
      <c r="M306">
        <v>23256.410920020389</v>
      </c>
      <c r="N306">
        <v>7139.6742510000022</v>
      </c>
      <c r="O306">
        <v>4126.42</v>
      </c>
      <c r="P306">
        <v>0</v>
      </c>
    </row>
    <row r="307" spans="3:16">
      <c r="C307" t="s">
        <v>767</v>
      </c>
      <c r="D307">
        <v>66</v>
      </c>
      <c r="E307" s="21">
        <v>1902</v>
      </c>
      <c r="F307">
        <v>311759.01386458095</v>
      </c>
      <c r="G307">
        <v>22190.90917320695</v>
      </c>
      <c r="H307">
        <v>4649.6755142207421</v>
      </c>
      <c r="I307">
        <v>249407.21109166479</v>
      </c>
      <c r="J307">
        <v>20817.213803926388</v>
      </c>
      <c r="K307">
        <v>1775.330650884287</v>
      </c>
      <c r="L307">
        <v>779397.53466145229</v>
      </c>
      <c r="M307">
        <v>24938.299911768074</v>
      </c>
      <c r="N307">
        <v>7524.0203775571972</v>
      </c>
      <c r="O307">
        <v>4184.6480000000001</v>
      </c>
      <c r="P307">
        <v>0</v>
      </c>
    </row>
    <row r="308" spans="3:16">
      <c r="C308" t="s">
        <v>767</v>
      </c>
      <c r="D308">
        <v>67</v>
      </c>
      <c r="E308" s="21">
        <v>1902</v>
      </c>
      <c r="F308">
        <v>331384.1892853381</v>
      </c>
      <c r="G308">
        <v>23563.232209787515</v>
      </c>
      <c r="H308">
        <v>4894.9148013652211</v>
      </c>
      <c r="I308">
        <v>265107.35142827051</v>
      </c>
      <c r="J308">
        <v>22096.893498147896</v>
      </c>
      <c r="K308">
        <v>1868.9674696121729</v>
      </c>
      <c r="L308">
        <v>828460.47321334528</v>
      </c>
      <c r="M308">
        <v>26495.909633066753</v>
      </c>
      <c r="N308">
        <v>7920.8621331182658</v>
      </c>
      <c r="O308">
        <v>4242.8759999999993</v>
      </c>
      <c r="P308">
        <v>0</v>
      </c>
    </row>
    <row r="309" spans="3:16">
      <c r="C309" t="s">
        <v>767</v>
      </c>
      <c r="D309">
        <v>68</v>
      </c>
      <c r="E309" s="21">
        <v>1902</v>
      </c>
      <c r="F309">
        <v>351858.14779646345</v>
      </c>
      <c r="G309">
        <v>24997.092207697755</v>
      </c>
      <c r="H309">
        <v>5147.9860650381324</v>
      </c>
      <c r="I309">
        <v>281486.51823717076</v>
      </c>
      <c r="J309">
        <v>23433.380453298549</v>
      </c>
      <c r="K309">
        <v>1965.594679378195</v>
      </c>
      <c r="L309">
        <v>879645.36949115864</v>
      </c>
      <c r="M309">
        <v>28124.515716496164</v>
      </c>
      <c r="N309">
        <v>8330.3774506980699</v>
      </c>
      <c r="O309">
        <v>4301.1040000000003</v>
      </c>
      <c r="P309">
        <v>0</v>
      </c>
    </row>
    <row r="310" spans="3:16">
      <c r="C310" t="s">
        <v>767</v>
      </c>
      <c r="D310">
        <v>69</v>
      </c>
      <c r="E310" s="21">
        <v>1902</v>
      </c>
      <c r="F310">
        <v>373203.07789222931</v>
      </c>
      <c r="G310">
        <v>26494.629089275499</v>
      </c>
      <c r="H310">
        <v>5408.9992638441545</v>
      </c>
      <c r="I310">
        <v>298562.46231378347</v>
      </c>
      <c r="J310">
        <v>24828.620591955976</v>
      </c>
      <c r="K310">
        <v>2065.2542643768611</v>
      </c>
      <c r="L310">
        <v>933007.69473057333</v>
      </c>
      <c r="M310">
        <v>29826.64608391454</v>
      </c>
      <c r="N310">
        <v>8752.744263311446</v>
      </c>
      <c r="O310">
        <v>4359.3320000000003</v>
      </c>
      <c r="P310">
        <v>0</v>
      </c>
    </row>
    <row r="311" spans="3:16">
      <c r="C311" t="s">
        <v>767</v>
      </c>
      <c r="D311">
        <v>70</v>
      </c>
      <c r="E311" s="21">
        <v>1902</v>
      </c>
      <c r="F311">
        <v>396939.31050888571</v>
      </c>
      <c r="G311">
        <v>28164.343594487393</v>
      </c>
      <c r="H311">
        <v>5699.5721759197404</v>
      </c>
      <c r="I311">
        <v>317551.44840710855</v>
      </c>
      <c r="J311">
        <v>26384.19508520588</v>
      </c>
      <c r="K311">
        <v>2176.2002853511731</v>
      </c>
      <c r="L311">
        <v>992348.27627221425</v>
      </c>
      <c r="M311">
        <v>31724.640613050422</v>
      </c>
      <c r="N311">
        <v>9222.9440664883041</v>
      </c>
      <c r="O311">
        <v>4417.5600000000004</v>
      </c>
      <c r="P311">
        <v>0</v>
      </c>
    </row>
    <row r="312" spans="3:16">
      <c r="C312" t="s">
        <v>767</v>
      </c>
      <c r="D312">
        <v>71</v>
      </c>
      <c r="E312" s="21">
        <v>1902</v>
      </c>
      <c r="F312">
        <v>421696.6083279617</v>
      </c>
      <c r="G312">
        <v>29909.622461768191</v>
      </c>
      <c r="H312">
        <v>5999.4045701725809</v>
      </c>
      <c r="I312">
        <v>337357.28666236938</v>
      </c>
      <c r="J312">
        <v>28009.461046531844</v>
      </c>
      <c r="K312">
        <v>2290.6817449749869</v>
      </c>
      <c r="L312">
        <v>1054241.5208199043</v>
      </c>
      <c r="M312">
        <v>33709.945292240889</v>
      </c>
      <c r="N312">
        <v>9708.1273953701748</v>
      </c>
      <c r="O312">
        <v>4475.7879999999996</v>
      </c>
      <c r="P312">
        <v>0</v>
      </c>
    </row>
    <row r="313" spans="3:16">
      <c r="C313" t="s">
        <v>767</v>
      </c>
      <c r="D313">
        <v>72</v>
      </c>
      <c r="E313" s="21">
        <v>1902</v>
      </c>
      <c r="F313">
        <v>447501.29771797406</v>
      </c>
      <c r="G313">
        <v>31733.146463981931</v>
      </c>
      <c r="H313">
        <v>6308.6247316414774</v>
      </c>
      <c r="I313">
        <v>358001.03817437927</v>
      </c>
      <c r="J313">
        <v>29706.854496064007</v>
      </c>
      <c r="K313">
        <v>2408.7476248085659</v>
      </c>
      <c r="L313">
        <v>1118753.2442949351</v>
      </c>
      <c r="M313">
        <v>35785.730399817781</v>
      </c>
      <c r="N313">
        <v>10208.501838474387</v>
      </c>
      <c r="O313">
        <v>4534.0159999999996</v>
      </c>
      <c r="P313">
        <v>0</v>
      </c>
    </row>
    <row r="314" spans="3:16">
      <c r="C314" t="s">
        <v>767</v>
      </c>
      <c r="D314">
        <v>73</v>
      </c>
      <c r="E314" s="21">
        <v>1902</v>
      </c>
      <c r="F314">
        <v>474380.00612983393</v>
      </c>
      <c r="G314">
        <v>33637.700894733112</v>
      </c>
      <c r="H314">
        <v>6627.3609453652243</v>
      </c>
      <c r="I314">
        <v>379504.00490386714</v>
      </c>
      <c r="J314">
        <v>31478.905522598936</v>
      </c>
      <c r="K314">
        <v>2530.446906412184</v>
      </c>
      <c r="L314">
        <v>1185950.0153245847</v>
      </c>
      <c r="M314">
        <v>37955.291639001473</v>
      </c>
      <c r="N314">
        <v>10724.274984318268</v>
      </c>
      <c r="O314">
        <v>4592.2439999999997</v>
      </c>
      <c r="P314">
        <v>0</v>
      </c>
    </row>
    <row r="315" spans="3:16">
      <c r="C315" t="s">
        <v>767</v>
      </c>
      <c r="D315">
        <v>74</v>
      </c>
      <c r="E315" s="21">
        <v>1902</v>
      </c>
      <c r="F315">
        <v>502359.66198416275</v>
      </c>
      <c r="G315">
        <v>35626.181207974994</v>
      </c>
      <c r="H315">
        <v>6955.7414963826159</v>
      </c>
      <c r="I315">
        <v>401887.72958733025</v>
      </c>
      <c r="J315">
        <v>33328.243359247055</v>
      </c>
      <c r="K315">
        <v>2655.8285713460937</v>
      </c>
      <c r="L315">
        <v>1255899.1549604067</v>
      </c>
      <c r="M315">
        <v>40222.056905430858</v>
      </c>
      <c r="N315">
        <v>11255.654421419138</v>
      </c>
      <c r="O315">
        <v>4650.4720000000007</v>
      </c>
      <c r="P315">
        <v>0</v>
      </c>
    </row>
    <row r="316" spans="3:16">
      <c r="C316" t="s">
        <v>767</v>
      </c>
      <c r="D316">
        <v>75</v>
      </c>
      <c r="E316" s="21">
        <v>1902</v>
      </c>
      <c r="F316">
        <v>531467.49455934134</v>
      </c>
      <c r="G316">
        <v>37701.599026755874</v>
      </c>
      <c r="H316">
        <v>7293.8946697324536</v>
      </c>
      <c r="I316">
        <v>425173.99564747314</v>
      </c>
      <c r="J316">
        <v>35257.601791304376</v>
      </c>
      <c r="K316">
        <v>2784.9416011705798</v>
      </c>
      <c r="L316">
        <v>1328668.7363983532</v>
      </c>
      <c r="M316">
        <v>42589.593497658891</v>
      </c>
      <c r="N316">
        <v>11802.847738294327</v>
      </c>
      <c r="O316">
        <v>4708.7</v>
      </c>
      <c r="P316">
        <v>0</v>
      </c>
    </row>
    <row r="317" spans="3:16">
      <c r="C317" t="s">
        <v>767</v>
      </c>
      <c r="D317">
        <v>76</v>
      </c>
      <c r="E317" s="21">
        <v>1902</v>
      </c>
      <c r="F317">
        <v>561731.0338803801</v>
      </c>
      <c r="G317">
        <v>39867.08854960301</v>
      </c>
      <c r="H317">
        <v>7641.9487504535173</v>
      </c>
      <c r="I317">
        <v>449384.8271043041</v>
      </c>
      <c r="J317">
        <v>37269.824921997897</v>
      </c>
      <c r="K317">
        <v>2917.8349774458948</v>
      </c>
      <c r="L317">
        <v>1404327.58470095</v>
      </c>
      <c r="M317">
        <v>45061.615804813242</v>
      </c>
      <c r="N317">
        <v>12366.062523461143</v>
      </c>
      <c r="O317">
        <v>4766.9279999999999</v>
      </c>
      <c r="P317">
        <v>0</v>
      </c>
    </row>
    <row r="318" spans="3:16">
      <c r="C318" t="s">
        <v>767</v>
      </c>
      <c r="D318">
        <v>77</v>
      </c>
      <c r="E318" s="21">
        <v>1902</v>
      </c>
      <c r="F318">
        <v>593178.1106086683</v>
      </c>
      <c r="G318">
        <v>42125.913385586522</v>
      </c>
      <c r="H318">
        <v>8000.0320235846193</v>
      </c>
      <c r="I318">
        <v>474542.48848693469</v>
      </c>
      <c r="J318">
        <v>39367.873324043256</v>
      </c>
      <c r="K318">
        <v>3054.5576817323054</v>
      </c>
      <c r="L318">
        <v>1482945.2765216709</v>
      </c>
      <c r="M318">
        <v>47641.993508673047</v>
      </c>
      <c r="N318">
        <v>12945.506365436926</v>
      </c>
      <c r="O318">
        <v>4825.1559999999999</v>
      </c>
      <c r="P318">
        <v>0</v>
      </c>
    </row>
    <row r="319" spans="3:16">
      <c r="C319" t="s">
        <v>767</v>
      </c>
      <c r="D319">
        <v>78</v>
      </c>
      <c r="E319" s="21">
        <v>1902</v>
      </c>
      <c r="F319">
        <v>625836.85593266704</v>
      </c>
      <c r="G319">
        <v>44481.473851906369</v>
      </c>
      <c r="H319">
        <v>8368.272774164554</v>
      </c>
      <c r="I319">
        <v>500669.48474613373</v>
      </c>
      <c r="J319">
        <v>41554.830607472926</v>
      </c>
      <c r="K319">
        <v>3195.1586955901075</v>
      </c>
      <c r="L319">
        <v>1564592.1398316678</v>
      </c>
      <c r="M319">
        <v>50334.76034077326</v>
      </c>
      <c r="N319">
        <v>13541.386852739</v>
      </c>
      <c r="O319">
        <v>4883.384</v>
      </c>
      <c r="P319">
        <v>0</v>
      </c>
    </row>
    <row r="320" spans="3:16">
      <c r="C320" t="s">
        <v>767</v>
      </c>
      <c r="D320">
        <v>79</v>
      </c>
      <c r="E320" s="21">
        <v>1902</v>
      </c>
      <c r="F320">
        <v>659735.70145959302</v>
      </c>
      <c r="G320">
        <v>46937.314770934005</v>
      </c>
      <c r="H320">
        <v>8746.7992872321192</v>
      </c>
      <c r="I320">
        <v>527788.56116767449</v>
      </c>
      <c r="J320">
        <v>43833.910436973718</v>
      </c>
      <c r="K320">
        <v>3339.6870005795463</v>
      </c>
      <c r="L320">
        <v>1649339.2536489824</v>
      </c>
      <c r="M320">
        <v>53144.123438854593</v>
      </c>
      <c r="N320">
        <v>14153.911573884696</v>
      </c>
      <c r="O320">
        <v>4941.6120000000001</v>
      </c>
      <c r="P320">
        <v>0</v>
      </c>
    </row>
    <row r="321" spans="3:16">
      <c r="C321" t="s">
        <v>767</v>
      </c>
      <c r="D321">
        <v>80</v>
      </c>
      <c r="E321" s="21">
        <v>1902</v>
      </c>
      <c r="F321">
        <v>696977.71755322511</v>
      </c>
      <c r="G321">
        <v>49644.886445279131</v>
      </c>
      <c r="H321">
        <v>9163.0107130434808</v>
      </c>
      <c r="I321">
        <v>557582.17404258018</v>
      </c>
      <c r="J321">
        <v>46346.3997485773</v>
      </c>
      <c r="K321">
        <v>3498.6040904347828</v>
      </c>
      <c r="L321">
        <v>1742444.2938830629</v>
      </c>
      <c r="M321">
        <v>56241.85983868278</v>
      </c>
      <c r="N321">
        <v>14827.417335652175</v>
      </c>
      <c r="O321">
        <v>4999.84</v>
      </c>
      <c r="P321">
        <v>0</v>
      </c>
    </row>
    <row r="322" spans="3:16">
      <c r="C322" t="s">
        <v>767</v>
      </c>
      <c r="D322">
        <v>81</v>
      </c>
      <c r="E322" s="21">
        <v>1902</v>
      </c>
      <c r="F322">
        <v>735645.93223612243</v>
      </c>
      <c r="G322">
        <v>59038.2903428547</v>
      </c>
      <c r="H322">
        <v>9590.9842774822864</v>
      </c>
      <c r="I322">
        <v>588516.74578889797</v>
      </c>
      <c r="J322">
        <v>54878.276631747824</v>
      </c>
      <c r="K322">
        <v>3662.0121786750606</v>
      </c>
      <c r="L322">
        <v>1839114.8305903063</v>
      </c>
      <c r="M322">
        <v>67358.317765068437</v>
      </c>
      <c r="N322">
        <v>15519.956376289509</v>
      </c>
      <c r="O322">
        <v>5058.0680000000002</v>
      </c>
      <c r="P322">
        <v>0</v>
      </c>
    </row>
    <row r="323" spans="3:16">
      <c r="C323" t="s">
        <v>767</v>
      </c>
      <c r="D323">
        <v>82</v>
      </c>
      <c r="E323" s="21">
        <v>1902</v>
      </c>
      <c r="F323">
        <v>775773.36417412851</v>
      </c>
      <c r="G323">
        <v>62852.351299053633</v>
      </c>
      <c r="H323">
        <v>10030.866592021412</v>
      </c>
      <c r="I323">
        <v>620618.69133930281</v>
      </c>
      <c r="J323">
        <v>58390.91009497035</v>
      </c>
      <c r="K323">
        <v>3829.9672442263618</v>
      </c>
      <c r="L323">
        <v>1939433.410435321</v>
      </c>
      <c r="M323">
        <v>71775.233707220206</v>
      </c>
      <c r="N323">
        <v>16231.765939816461</v>
      </c>
      <c r="O323">
        <v>5116.2960000000003</v>
      </c>
      <c r="P323">
        <v>0</v>
      </c>
    </row>
    <row r="324" spans="3:16">
      <c r="C324" t="s">
        <v>767</v>
      </c>
      <c r="D324">
        <v>83</v>
      </c>
      <c r="E324" s="21">
        <v>1902</v>
      </c>
      <c r="F324">
        <v>817393.37503061746</v>
      </c>
      <c r="G324">
        <v>66868.71716288419</v>
      </c>
      <c r="H324">
        <v>10482.804268133787</v>
      </c>
      <c r="I324">
        <v>653914.70002449397</v>
      </c>
      <c r="J324">
        <v>62087.809858983746</v>
      </c>
      <c r="K324">
        <v>4002.5252660147162</v>
      </c>
      <c r="L324">
        <v>2043483.4375765435</v>
      </c>
      <c r="M324">
        <v>76430.531770685106</v>
      </c>
      <c r="N324">
        <v>16963.083270252853</v>
      </c>
      <c r="O324">
        <v>5174.5240000000003</v>
      </c>
      <c r="P324">
        <v>0</v>
      </c>
    </row>
    <row r="325" spans="3:16">
      <c r="C325" t="s">
        <v>767</v>
      </c>
      <c r="D325">
        <v>84</v>
      </c>
      <c r="E325" s="21">
        <v>1902</v>
      </c>
      <c r="F325">
        <v>860539.6693482335</v>
      </c>
      <c r="G325">
        <v>71097.159351138485</v>
      </c>
      <c r="H325">
        <v>10946.943917292316</v>
      </c>
      <c r="I325">
        <v>688431.73547858687</v>
      </c>
      <c r="J325">
        <v>65977.796855532331</v>
      </c>
      <c r="K325">
        <v>4179.7422229661679</v>
      </c>
      <c r="L325">
        <v>2151349.1733705839</v>
      </c>
      <c r="M325">
        <v>81335.884342350793</v>
      </c>
      <c r="N325">
        <v>17714.145611618467</v>
      </c>
      <c r="O325">
        <v>5232.7520000000004</v>
      </c>
      <c r="P325">
        <v>0</v>
      </c>
    </row>
    <row r="326" spans="3:16">
      <c r="C326" t="s">
        <v>767</v>
      </c>
      <c r="D326">
        <v>85</v>
      </c>
      <c r="E326" s="21">
        <v>1902</v>
      </c>
      <c r="F326">
        <v>905246.2944318722</v>
      </c>
      <c r="G326">
        <v>75547.95366682559</v>
      </c>
      <c r="H326">
        <v>11423.4321509699</v>
      </c>
      <c r="I326">
        <v>724197.03554549778</v>
      </c>
      <c r="J326">
        <v>70070.145963955743</v>
      </c>
      <c r="K326">
        <v>4361.6740940066957</v>
      </c>
      <c r="L326">
        <v>2263115.7360796807</v>
      </c>
      <c r="M326">
        <v>86503.569072565297</v>
      </c>
      <c r="N326">
        <v>18485.190207933108</v>
      </c>
      <c r="O326">
        <v>5290.98</v>
      </c>
      <c r="P326">
        <v>0</v>
      </c>
    </row>
    <row r="327" spans="3:16">
      <c r="C327" t="s">
        <v>767</v>
      </c>
      <c r="D327">
        <v>86</v>
      </c>
      <c r="E327" s="21">
        <v>1902</v>
      </c>
      <c r="F327">
        <v>951547.64023292635</v>
      </c>
      <c r="G327">
        <v>80231.91156278018</v>
      </c>
      <c r="H327">
        <v>11912.41558063947</v>
      </c>
      <c r="I327">
        <v>761238.11218634108</v>
      </c>
      <c r="J327">
        <v>74374.614148436609</v>
      </c>
      <c r="K327">
        <v>4548.3768580623437</v>
      </c>
      <c r="L327">
        <v>2378869.1005823156</v>
      </c>
      <c r="M327">
        <v>91946.506391467308</v>
      </c>
      <c r="N327">
        <v>19276.454303216589</v>
      </c>
      <c r="O327">
        <v>5349.2079999999996</v>
      </c>
      <c r="P327">
        <v>0</v>
      </c>
    </row>
    <row r="328" spans="3:16">
      <c r="C328" t="s">
        <v>767</v>
      </c>
      <c r="D328">
        <v>87</v>
      </c>
      <c r="E328" s="21">
        <v>1902</v>
      </c>
      <c r="F328">
        <v>999478.43923481042</v>
      </c>
      <c r="G328">
        <v>85160.413759852046</v>
      </c>
      <c r="H328">
        <v>12414.040817773923</v>
      </c>
      <c r="I328">
        <v>799582.75138784829</v>
      </c>
      <c r="J328">
        <v>78901.470714371186</v>
      </c>
      <c r="K328">
        <v>4739.9064940591416</v>
      </c>
      <c r="L328">
        <v>2498696.0980870258</v>
      </c>
      <c r="M328">
        <v>97678.299850813768</v>
      </c>
      <c r="N328">
        <v>20088.175141488697</v>
      </c>
      <c r="O328">
        <v>5407.4360000000006</v>
      </c>
      <c r="P328">
        <v>0</v>
      </c>
    </row>
    <row r="329" spans="3:16">
      <c r="C329" t="s">
        <v>767</v>
      </c>
      <c r="D329">
        <v>88</v>
      </c>
      <c r="E329" s="21">
        <v>1902</v>
      </c>
      <c r="F329">
        <v>1049073.7663397787</v>
      </c>
      <c r="G329">
        <v>90345.44642919561</v>
      </c>
      <c r="H329">
        <v>12928.454473846155</v>
      </c>
      <c r="I329">
        <v>839259.01307182293</v>
      </c>
      <c r="J329">
        <v>83661.529872429892</v>
      </c>
      <c r="K329">
        <v>4936.3189809230826</v>
      </c>
      <c r="L329">
        <v>2622684.4158494468</v>
      </c>
      <c r="M329">
        <v>103713.27954272703</v>
      </c>
      <c r="N329">
        <v>20920.589966769228</v>
      </c>
      <c r="O329">
        <v>5465.6640000000007</v>
      </c>
      <c r="P329">
        <v>0</v>
      </c>
    </row>
    <row r="330" spans="3:16">
      <c r="C330" t="s">
        <v>767</v>
      </c>
      <c r="D330">
        <v>89</v>
      </c>
      <c r="E330" s="21">
        <v>1902</v>
      </c>
      <c r="F330">
        <v>1100369.0387570343</v>
      </c>
      <c r="G330">
        <v>95799.64016975704</v>
      </c>
      <c r="H330">
        <v>13455.803160329095</v>
      </c>
      <c r="I330">
        <v>880295.23100562766</v>
      </c>
      <c r="J330">
        <v>88666.185818295722</v>
      </c>
      <c r="K330">
        <v>5137.6702975801963</v>
      </c>
      <c r="L330">
        <v>2750922.5968925864</v>
      </c>
      <c r="M330">
        <v>110066.54887267968</v>
      </c>
      <c r="N330">
        <v>21773.936023077986</v>
      </c>
      <c r="O330">
        <v>5523.8919999999998</v>
      </c>
      <c r="P330">
        <v>0</v>
      </c>
    </row>
    <row r="331" spans="3:16">
      <c r="C331" t="s">
        <v>767</v>
      </c>
      <c r="D331">
        <v>90</v>
      </c>
      <c r="E331" s="21">
        <v>1902</v>
      </c>
      <c r="F331">
        <v>1153400.0158921438</v>
      </c>
      <c r="G331">
        <v>101536.31203617388</v>
      </c>
      <c r="H331">
        <v>13996.23348869566</v>
      </c>
      <c r="I331">
        <v>922720.01271371497</v>
      </c>
      <c r="J331">
        <v>93927.450557773889</v>
      </c>
      <c r="K331">
        <v>5344.0164229565344</v>
      </c>
      <c r="L331">
        <v>2883500.0397303593</v>
      </c>
      <c r="M331">
        <v>116754.03499297387</v>
      </c>
      <c r="N331">
        <v>22648.450554434778</v>
      </c>
      <c r="O331">
        <v>5582.12</v>
      </c>
      <c r="P331">
        <v>0</v>
      </c>
    </row>
    <row r="332" spans="3:16">
      <c r="C332" t="s">
        <v>767</v>
      </c>
      <c r="D332">
        <v>20</v>
      </c>
      <c r="E332" s="21">
        <v>1903</v>
      </c>
      <c r="F332">
        <v>9754.6932302526984</v>
      </c>
      <c r="G332">
        <v>496.70021739130448</v>
      </c>
      <c r="H332">
        <v>202.47652173913053</v>
      </c>
      <c r="I332">
        <v>7803.7545842021582</v>
      </c>
      <c r="J332">
        <v>474.0270652173914</v>
      </c>
      <c r="K332">
        <v>121.48591304347838</v>
      </c>
      <c r="L332">
        <v>24386.733075631746</v>
      </c>
      <c r="M332">
        <v>542.04652173913064</v>
      </c>
      <c r="N332">
        <v>283.46713043478269</v>
      </c>
      <c r="O332">
        <v>1506.1599999999999</v>
      </c>
      <c r="P332">
        <v>0</v>
      </c>
    </row>
    <row r="333" spans="3:16">
      <c r="C333" t="s">
        <v>767</v>
      </c>
      <c r="D333">
        <v>21</v>
      </c>
      <c r="E333" s="21">
        <v>1903</v>
      </c>
      <c r="F333">
        <v>10901.814317154998</v>
      </c>
      <c r="G333">
        <v>552.07987298340981</v>
      </c>
      <c r="H333">
        <v>221.34161739130445</v>
      </c>
      <c r="I333">
        <v>8721.4514537239993</v>
      </c>
      <c r="J333">
        <v>526.38410133724278</v>
      </c>
      <c r="K333">
        <v>132.80497043478272</v>
      </c>
      <c r="L333">
        <v>27254.535792887495</v>
      </c>
      <c r="M333">
        <v>603.47141627574388</v>
      </c>
      <c r="N333">
        <v>309.87826434782625</v>
      </c>
      <c r="O333">
        <v>1564.3879999999999</v>
      </c>
      <c r="P333">
        <v>0</v>
      </c>
    </row>
    <row r="334" spans="3:16">
      <c r="C334" t="s">
        <v>767</v>
      </c>
      <c r="D334">
        <v>22</v>
      </c>
      <c r="E334" s="21">
        <v>1903</v>
      </c>
      <c r="F334">
        <v>12126.25616710308</v>
      </c>
      <c r="G334">
        <v>611.12974129432996</v>
      </c>
      <c r="H334">
        <v>240.98838260869576</v>
      </c>
      <c r="I334">
        <v>9701.0049336824632</v>
      </c>
      <c r="J334">
        <v>582.14855151272309</v>
      </c>
      <c r="K334">
        <v>144.59302956521753</v>
      </c>
      <c r="L334">
        <v>30315.640417757699</v>
      </c>
      <c r="M334">
        <v>669.0921208575437</v>
      </c>
      <c r="N334">
        <v>337.38373565217398</v>
      </c>
      <c r="O334">
        <v>1622.616</v>
      </c>
      <c r="P334">
        <v>0</v>
      </c>
    </row>
    <row r="335" spans="3:16">
      <c r="C335" t="s">
        <v>767</v>
      </c>
      <c r="D335">
        <v>23</v>
      </c>
      <c r="E335" s="21">
        <v>1903</v>
      </c>
      <c r="F335">
        <v>13680.486966109536</v>
      </c>
      <c r="G335">
        <v>686.5499245700579</v>
      </c>
      <c r="H335">
        <v>266.29066354515066</v>
      </c>
      <c r="I335">
        <v>10944.38957288763</v>
      </c>
      <c r="J335">
        <v>653.40035391907213</v>
      </c>
      <c r="K335">
        <v>159.77439812709042</v>
      </c>
      <c r="L335">
        <v>34201.217415273837</v>
      </c>
      <c r="M335">
        <v>752.84906587202931</v>
      </c>
      <c r="N335">
        <v>372.80692896321079</v>
      </c>
      <c r="O335">
        <v>1680.8440000000001</v>
      </c>
      <c r="P335">
        <v>0</v>
      </c>
    </row>
    <row r="336" spans="3:16">
      <c r="C336" t="s">
        <v>767</v>
      </c>
      <c r="D336">
        <v>24</v>
      </c>
      <c r="E336" s="21">
        <v>1903</v>
      </c>
      <c r="F336">
        <v>15341.86846840106</v>
      </c>
      <c r="G336">
        <v>767.10481979964379</v>
      </c>
      <c r="H336">
        <v>292.66999866220738</v>
      </c>
      <c r="I336">
        <v>12273.49477472085</v>
      </c>
      <c r="J336">
        <v>729.41700430797368</v>
      </c>
      <c r="K336">
        <v>175.6019991973244</v>
      </c>
      <c r="L336">
        <v>38354.67117100265</v>
      </c>
      <c r="M336">
        <v>842.48045078298389</v>
      </c>
      <c r="N336">
        <v>409.73799812709035</v>
      </c>
      <c r="O336">
        <v>1739.0720000000001</v>
      </c>
      <c r="P336">
        <v>0</v>
      </c>
    </row>
    <row r="337" spans="3:16">
      <c r="C337" t="s">
        <v>767</v>
      </c>
      <c r="D337">
        <v>25</v>
      </c>
      <c r="E337" s="21">
        <v>1903</v>
      </c>
      <c r="F337">
        <v>17113.257457868222</v>
      </c>
      <c r="G337">
        <v>852.98382233056304</v>
      </c>
      <c r="H337">
        <v>320.12638795986629</v>
      </c>
      <c r="I337">
        <v>13690.605966294577</v>
      </c>
      <c r="J337">
        <v>810.36895849215557</v>
      </c>
      <c r="K337">
        <v>192.07583277591971</v>
      </c>
      <c r="L337">
        <v>42783.143644670556</v>
      </c>
      <c r="M337">
        <v>938.21355000737799</v>
      </c>
      <c r="N337">
        <v>448.17694314381288</v>
      </c>
      <c r="O337">
        <v>1797.3000000000002</v>
      </c>
      <c r="P337">
        <v>0</v>
      </c>
    </row>
    <row r="338" spans="3:16">
      <c r="C338" t="s">
        <v>767</v>
      </c>
      <c r="D338">
        <v>26</v>
      </c>
      <c r="E338" s="21">
        <v>1903</v>
      </c>
      <c r="F338">
        <v>19238.535566697989</v>
      </c>
      <c r="G338">
        <v>956.36371429742144</v>
      </c>
      <c r="H338">
        <v>353.08351143812718</v>
      </c>
      <c r="I338">
        <v>15390.828453358392</v>
      </c>
      <c r="J338">
        <v>907.80514439276283</v>
      </c>
      <c r="K338">
        <v>211.85010686287626</v>
      </c>
      <c r="L338">
        <v>48096.338916744971</v>
      </c>
      <c r="M338">
        <v>1053.4808541067384</v>
      </c>
      <c r="N338">
        <v>494.31691601337809</v>
      </c>
      <c r="O338">
        <v>1855.528</v>
      </c>
      <c r="P338">
        <v>0</v>
      </c>
    </row>
    <row r="339" spans="3:16">
      <c r="C339" t="s">
        <v>767</v>
      </c>
      <c r="D339">
        <v>27</v>
      </c>
      <c r="E339" s="21">
        <v>1903</v>
      </c>
      <c r="F339">
        <v>21502.190499200929</v>
      </c>
      <c r="G339">
        <v>1066.5351110224519</v>
      </c>
      <c r="H339">
        <v>387.36344909699017</v>
      </c>
      <c r="I339">
        <v>17201.752399360746</v>
      </c>
      <c r="J339">
        <v>1011.5300597998055</v>
      </c>
      <c r="K339">
        <v>232.41806945819417</v>
      </c>
      <c r="L339">
        <v>53755.476248002327</v>
      </c>
      <c r="M339">
        <v>1176.545213467745</v>
      </c>
      <c r="N339">
        <v>542.30882873578616</v>
      </c>
      <c r="O339">
        <v>1913.7559999999999</v>
      </c>
      <c r="P339">
        <v>0</v>
      </c>
    </row>
    <row r="340" spans="3:16">
      <c r="C340" t="s">
        <v>767</v>
      </c>
      <c r="D340">
        <v>28</v>
      </c>
      <c r="E340" s="21">
        <v>1903</v>
      </c>
      <c r="F340">
        <v>23907.707537573606</v>
      </c>
      <c r="G340">
        <v>1183.7461525006433</v>
      </c>
      <c r="H340">
        <v>422.96620093645492</v>
      </c>
      <c r="I340">
        <v>19126.166030058885</v>
      </c>
      <c r="J340">
        <v>1121.7670307087731</v>
      </c>
      <c r="K340">
        <v>253.77972056187298</v>
      </c>
      <c r="L340">
        <v>59769.268843934013</v>
      </c>
      <c r="M340">
        <v>1307.7043960843839</v>
      </c>
      <c r="N340">
        <v>592.15268131103699</v>
      </c>
      <c r="O340">
        <v>1971.9840000000002</v>
      </c>
      <c r="P340">
        <v>0</v>
      </c>
    </row>
    <row r="341" spans="3:16">
      <c r="C341" t="s">
        <v>767</v>
      </c>
      <c r="D341">
        <v>29</v>
      </c>
      <c r="E341" s="21">
        <v>1903</v>
      </c>
      <c r="F341">
        <v>26458.561865193285</v>
      </c>
      <c r="G341">
        <v>1308.2521886057752</v>
      </c>
      <c r="H341">
        <v>459.89176695652213</v>
      </c>
      <c r="I341">
        <v>21166.849492154633</v>
      </c>
      <c r="J341">
        <v>1238.7458720060672</v>
      </c>
      <c r="K341">
        <v>275.93506017391337</v>
      </c>
      <c r="L341">
        <v>66146.404662983216</v>
      </c>
      <c r="M341">
        <v>1447.2648218051909</v>
      </c>
      <c r="N341">
        <v>643.84847373913078</v>
      </c>
      <c r="O341">
        <v>2030.212</v>
      </c>
      <c r="P341">
        <v>0</v>
      </c>
    </row>
    <row r="342" spans="3:16">
      <c r="C342" t="s">
        <v>767</v>
      </c>
      <c r="D342">
        <v>30</v>
      </c>
      <c r="E342" s="21">
        <v>1903</v>
      </c>
      <c r="F342">
        <v>29522.696714699276</v>
      </c>
      <c r="G342">
        <v>1458.3199934022971</v>
      </c>
      <c r="H342">
        <v>504.36689899665589</v>
      </c>
      <c r="I342">
        <v>23618.157371759426</v>
      </c>
      <c r="J342">
        <v>1379.7369139282882</v>
      </c>
      <c r="K342">
        <v>302.62013939799363</v>
      </c>
      <c r="L342">
        <v>73806.741786748185</v>
      </c>
      <c r="M342">
        <v>1615.486152350315</v>
      </c>
      <c r="N342">
        <v>706.11365859531804</v>
      </c>
      <c r="O342">
        <v>2088.44</v>
      </c>
      <c r="P342">
        <v>0</v>
      </c>
    </row>
    <row r="343" spans="3:16">
      <c r="C343" t="s">
        <v>767</v>
      </c>
      <c r="D343">
        <v>31</v>
      </c>
      <c r="E343" s="21">
        <v>1903</v>
      </c>
      <c r="F343">
        <v>32868.748398936812</v>
      </c>
      <c r="G343">
        <v>1619.0872415012998</v>
      </c>
      <c r="H343">
        <v>550.27542605538474</v>
      </c>
      <c r="I343">
        <v>26294.998719149451</v>
      </c>
      <c r="J343">
        <v>1531.5400614127084</v>
      </c>
      <c r="K343">
        <v>325.7035629895388</v>
      </c>
      <c r="L343">
        <v>82171.870997342034</v>
      </c>
      <c r="M343">
        <v>1794.1816016784828</v>
      </c>
      <c r="N343">
        <v>774.84728912123103</v>
      </c>
      <c r="O343">
        <v>2146.6680000000001</v>
      </c>
      <c r="P343">
        <v>0</v>
      </c>
    </row>
    <row r="344" spans="3:16">
      <c r="C344" t="s">
        <v>767</v>
      </c>
      <c r="D344">
        <v>32</v>
      </c>
      <c r="E344" s="21">
        <v>1903</v>
      </c>
      <c r="F344">
        <v>36444.844974867119</v>
      </c>
      <c r="G344">
        <v>1790.7376628155162</v>
      </c>
      <c r="H344">
        <v>598.0889005051506</v>
      </c>
      <c r="I344">
        <v>29155.875979893695</v>
      </c>
      <c r="J344">
        <v>1693.5938829045331</v>
      </c>
      <c r="K344">
        <v>349.0217419386222</v>
      </c>
      <c r="L344">
        <v>91112.112437167802</v>
      </c>
      <c r="M344">
        <v>1985.0252226374823</v>
      </c>
      <c r="N344">
        <v>847.15605907167912</v>
      </c>
      <c r="O344">
        <v>2204.8960000000002</v>
      </c>
      <c r="P344">
        <v>0</v>
      </c>
    </row>
    <row r="345" spans="3:16">
      <c r="C345" t="s">
        <v>767</v>
      </c>
      <c r="D345">
        <v>33</v>
      </c>
      <c r="E345" s="21">
        <v>1903</v>
      </c>
      <c r="F345">
        <v>40243.200601403434</v>
      </c>
      <c r="G345">
        <v>1972.9295995155389</v>
      </c>
      <c r="H345">
        <v>647.54781172976641</v>
      </c>
      <c r="I345">
        <v>32194.560481122749</v>
      </c>
      <c r="J345">
        <v>1865.5738356375637</v>
      </c>
      <c r="K345">
        <v>372.33999174461587</v>
      </c>
      <c r="L345">
        <v>100608.00150350858</v>
      </c>
      <c r="M345">
        <v>2187.6411272714895</v>
      </c>
      <c r="N345">
        <v>922.75563171491694</v>
      </c>
      <c r="O345">
        <v>2263.1239999999998</v>
      </c>
      <c r="P345">
        <v>0</v>
      </c>
    </row>
    <row r="346" spans="3:16">
      <c r="C346" t="s">
        <v>767</v>
      </c>
      <c r="D346">
        <v>34</v>
      </c>
      <c r="E346" s="21">
        <v>1903</v>
      </c>
      <c r="F346">
        <v>44267.601040262532</v>
      </c>
      <c r="G346">
        <v>2165.9034805562596</v>
      </c>
      <c r="H346">
        <v>698.59150279224104</v>
      </c>
      <c r="I346">
        <v>35414.080832210027</v>
      </c>
      <c r="J346">
        <v>2047.7063019079915</v>
      </c>
      <c r="K346">
        <v>395.54054101757879</v>
      </c>
      <c r="L346">
        <v>110669.00260065633</v>
      </c>
      <c r="M346">
        <v>2402.2978378527955</v>
      </c>
      <c r="N346">
        <v>1001.6424645669033</v>
      </c>
      <c r="O346">
        <v>2321.3520000000003</v>
      </c>
      <c r="P346">
        <v>0</v>
      </c>
    </row>
    <row r="347" spans="3:16">
      <c r="C347" t="s">
        <v>767</v>
      </c>
      <c r="D347">
        <v>35</v>
      </c>
      <c r="E347" s="21">
        <v>1903</v>
      </c>
      <c r="F347">
        <v>48521.517699021948</v>
      </c>
      <c r="G347">
        <v>2369.8951289900942</v>
      </c>
      <c r="H347">
        <v>751.15531826086999</v>
      </c>
      <c r="I347">
        <v>38817.214159217561</v>
      </c>
      <c r="J347">
        <v>2240.2135186997803</v>
      </c>
      <c r="K347">
        <v>418.50082017391355</v>
      </c>
      <c r="L347">
        <v>121303.79424755488</v>
      </c>
      <c r="M347">
        <v>2629.2583495707213</v>
      </c>
      <c r="N347">
        <v>1083.8098163478264</v>
      </c>
      <c r="O347">
        <v>2379.58</v>
      </c>
      <c r="P347">
        <v>0</v>
      </c>
    </row>
    <row r="348" spans="3:16">
      <c r="C348" t="s">
        <v>767</v>
      </c>
      <c r="D348">
        <v>36</v>
      </c>
      <c r="E348" s="21">
        <v>1903</v>
      </c>
      <c r="F348">
        <v>53008.095423423634</v>
      </c>
      <c r="G348">
        <v>2585.1355857207027</v>
      </c>
      <c r="H348">
        <v>805.17060420923099</v>
      </c>
      <c r="I348">
        <v>42406.47633873891</v>
      </c>
      <c r="J348">
        <v>2443.3134190630135</v>
      </c>
      <c r="K348">
        <v>441.09346143636139</v>
      </c>
      <c r="L348">
        <v>132520.2385585591</v>
      </c>
      <c r="M348">
        <v>2868.7799190360802</v>
      </c>
      <c r="N348">
        <v>1169.2477469821006</v>
      </c>
      <c r="O348">
        <v>2437.808</v>
      </c>
      <c r="P348">
        <v>0</v>
      </c>
    </row>
    <row r="349" spans="3:16">
      <c r="C349" t="s">
        <v>767</v>
      </c>
      <c r="D349">
        <v>37</v>
      </c>
      <c r="E349" s="21">
        <v>1903</v>
      </c>
      <c r="F349">
        <v>57730.140262882473</v>
      </c>
      <c r="G349">
        <v>2842.7772168911606</v>
      </c>
      <c r="H349">
        <v>860.56470821618791</v>
      </c>
      <c r="I349">
        <v>46184.112210305982</v>
      </c>
      <c r="J349">
        <v>2685.0531287632489</v>
      </c>
      <c r="K349">
        <v>463.18629883400763</v>
      </c>
      <c r="L349">
        <v>144325.35065720617</v>
      </c>
      <c r="M349">
        <v>3158.225393146985</v>
      </c>
      <c r="N349">
        <v>1257.9431175983682</v>
      </c>
      <c r="O349">
        <v>2496.0360000000001</v>
      </c>
      <c r="P349">
        <v>0</v>
      </c>
    </row>
    <row r="350" spans="3:16">
      <c r="C350" t="s">
        <v>767</v>
      </c>
      <c r="D350">
        <v>38</v>
      </c>
      <c r="E350" s="21">
        <v>1903</v>
      </c>
      <c r="F350">
        <v>62690.107215096112</v>
      </c>
      <c r="G350">
        <v>3117.5106948973562</v>
      </c>
      <c r="H350">
        <v>917.26097936588712</v>
      </c>
      <c r="I350">
        <v>50152.085772076891</v>
      </c>
      <c r="J350">
        <v>2942.6642491935736</v>
      </c>
      <c r="K350">
        <v>484.64236820227507</v>
      </c>
      <c r="L350">
        <v>156725.26803774029</v>
      </c>
      <c r="M350">
        <v>3467.2035863049209</v>
      </c>
      <c r="N350">
        <v>1349.8795905294987</v>
      </c>
      <c r="O350">
        <v>2554.2640000000001</v>
      </c>
      <c r="P350">
        <v>0</v>
      </c>
    </row>
    <row r="351" spans="3:16">
      <c r="C351" t="s">
        <v>767</v>
      </c>
      <c r="D351">
        <v>39</v>
      </c>
      <c r="E351" s="21">
        <v>1903</v>
      </c>
      <c r="F351">
        <v>67890.087954631468</v>
      </c>
      <c r="G351">
        <v>3409.9670070684315</v>
      </c>
      <c r="H351">
        <v>975.17876824775976</v>
      </c>
      <c r="I351">
        <v>54312.070363705177</v>
      </c>
      <c r="J351">
        <v>3216.7246651870064</v>
      </c>
      <c r="K351">
        <v>505.31990718293082</v>
      </c>
      <c r="L351">
        <v>169725.21988657865</v>
      </c>
      <c r="M351">
        <v>3796.4516908312817</v>
      </c>
      <c r="N351">
        <v>1445.0376293125892</v>
      </c>
      <c r="O351">
        <v>2612.4920000000002</v>
      </c>
      <c r="P351">
        <v>0</v>
      </c>
    </row>
    <row r="352" spans="3:16">
      <c r="C352" t="s">
        <v>767</v>
      </c>
      <c r="D352">
        <v>40</v>
      </c>
      <c r="E352" s="21">
        <v>1903</v>
      </c>
      <c r="F352">
        <v>73992.445383310798</v>
      </c>
      <c r="G352">
        <v>3754.3009127357877</v>
      </c>
      <c r="H352">
        <v>1043.5508452173922</v>
      </c>
      <c r="I352">
        <v>59193.956306648637</v>
      </c>
      <c r="J352">
        <v>3539.4171053418077</v>
      </c>
      <c r="K352">
        <v>529.80273680267646</v>
      </c>
      <c r="L352">
        <v>184981.11345827699</v>
      </c>
      <c r="M352">
        <v>4184.0685275237483</v>
      </c>
      <c r="N352">
        <v>1557.2989536321079</v>
      </c>
      <c r="O352">
        <v>2670.72</v>
      </c>
      <c r="P352">
        <v>0</v>
      </c>
    </row>
    <row r="353" spans="3:16">
      <c r="C353" t="s">
        <v>767</v>
      </c>
      <c r="D353">
        <v>41</v>
      </c>
      <c r="E353" s="21">
        <v>1903</v>
      </c>
      <c r="F353">
        <v>80402.822733673995</v>
      </c>
      <c r="G353">
        <v>4121.6503599049965</v>
      </c>
      <c r="H353">
        <v>1113.5351917078269</v>
      </c>
      <c r="I353">
        <v>64322.258186939194</v>
      </c>
      <c r="J353">
        <v>3883.475197618845</v>
      </c>
      <c r="K353">
        <v>553.28779837982665</v>
      </c>
      <c r="L353">
        <v>201007.05683418497</v>
      </c>
      <c r="M353">
        <v>4598.0006844772997</v>
      </c>
      <c r="N353">
        <v>1673.7825850358267</v>
      </c>
      <c r="O353">
        <v>2728.9480000000003</v>
      </c>
      <c r="P353">
        <v>0</v>
      </c>
    </row>
    <row r="354" spans="3:16">
      <c r="C354" t="s">
        <v>767</v>
      </c>
      <c r="D354">
        <v>42</v>
      </c>
      <c r="E354" s="21">
        <v>1903</v>
      </c>
      <c r="F354">
        <v>87123.406961096305</v>
      </c>
      <c r="G354">
        <v>4512.8475875714366</v>
      </c>
      <c r="H354">
        <v>1185.0202766769248</v>
      </c>
      <c r="I354">
        <v>69698.725568877053</v>
      </c>
      <c r="J354">
        <v>4249.6612854296773</v>
      </c>
      <c r="K354">
        <v>575.58127724307906</v>
      </c>
      <c r="L354">
        <v>217808.51740274075</v>
      </c>
      <c r="M354">
        <v>5039.2201918549545</v>
      </c>
      <c r="N354">
        <v>1794.4592761107706</v>
      </c>
      <c r="O354">
        <v>2787.1759999999999</v>
      </c>
      <c r="P354">
        <v>0</v>
      </c>
    </row>
    <row r="355" spans="3:16">
      <c r="C355" t="s">
        <v>767</v>
      </c>
      <c r="D355">
        <v>43</v>
      </c>
      <c r="E355" s="21">
        <v>1903</v>
      </c>
      <c r="F355">
        <v>94155.863807539776</v>
      </c>
      <c r="G355">
        <v>4928.727438159035</v>
      </c>
      <c r="H355">
        <v>1257.8892377562552</v>
      </c>
      <c r="I355">
        <v>75324.691046031832</v>
      </c>
      <c r="J355">
        <v>4638.7400552715599</v>
      </c>
      <c r="K355">
        <v>596.48296112957951</v>
      </c>
      <c r="L355">
        <v>235389.65951884948</v>
      </c>
      <c r="M355">
        <v>5508.7022039339863</v>
      </c>
      <c r="N355">
        <v>1919.2955143829304</v>
      </c>
      <c r="O355">
        <v>2845.404</v>
      </c>
      <c r="P355">
        <v>0</v>
      </c>
    </row>
    <row r="356" spans="3:16">
      <c r="C356" t="s">
        <v>767</v>
      </c>
      <c r="D356">
        <v>44</v>
      </c>
      <c r="E356" s="21">
        <v>1903</v>
      </c>
      <c r="F356">
        <v>101501.32148837474</v>
      </c>
      <c r="G356">
        <v>5370.1261937359213</v>
      </c>
      <c r="H356">
        <v>1332.0198812511048</v>
      </c>
      <c r="I356">
        <v>81201.057190699794</v>
      </c>
      <c r="J356">
        <v>5051.4774893215272</v>
      </c>
      <c r="K356">
        <v>615.78624018493792</v>
      </c>
      <c r="L356">
        <v>253753.30372093685</v>
      </c>
      <c r="M356">
        <v>6007.4236025647115</v>
      </c>
      <c r="N356">
        <v>2048.2535223172717</v>
      </c>
      <c r="O356">
        <v>2903.6320000000001</v>
      </c>
      <c r="P356">
        <v>0</v>
      </c>
    </row>
    <row r="357" spans="3:16">
      <c r="C357" t="s">
        <v>767</v>
      </c>
      <c r="D357">
        <v>45</v>
      </c>
      <c r="E357" s="21">
        <v>1903</v>
      </c>
      <c r="F357">
        <v>109160.35436633017</v>
      </c>
      <c r="G357">
        <v>5837.8803548379583</v>
      </c>
      <c r="H357">
        <v>1407.2846821404692</v>
      </c>
      <c r="I357">
        <v>87328.28349306414</v>
      </c>
      <c r="J357">
        <v>5488.6397663775742</v>
      </c>
      <c r="K357">
        <v>633.27810696321194</v>
      </c>
      <c r="L357">
        <v>272900.88591582538</v>
      </c>
      <c r="M357">
        <v>6536.3615317587264</v>
      </c>
      <c r="N357">
        <v>2181.2912573177268</v>
      </c>
      <c r="O357">
        <v>2961.86</v>
      </c>
      <c r="P357">
        <v>0</v>
      </c>
    </row>
    <row r="358" spans="3:16">
      <c r="C358" t="s">
        <v>767</v>
      </c>
      <c r="D358">
        <v>46</v>
      </c>
      <c r="E358" s="21">
        <v>1903</v>
      </c>
      <c r="F358">
        <v>117132.96661611083</v>
      </c>
      <c r="G358">
        <v>6332.8253585708117</v>
      </c>
      <c r="H358">
        <v>1483.5507840770588</v>
      </c>
      <c r="I358">
        <v>93706.373292888675</v>
      </c>
      <c r="J358">
        <v>5950.9921081505199</v>
      </c>
      <c r="K358">
        <v>648.73915642691827</v>
      </c>
      <c r="L358">
        <v>292832.41654027707</v>
      </c>
      <c r="M358">
        <v>7096.4918594113942</v>
      </c>
      <c r="N358">
        <v>2318.3624117271988</v>
      </c>
      <c r="O358">
        <v>3020.0879999999997</v>
      </c>
      <c r="P358">
        <v>0</v>
      </c>
    </row>
    <row r="359" spans="3:16">
      <c r="C359" t="s">
        <v>767</v>
      </c>
      <c r="D359">
        <v>47</v>
      </c>
      <c r="E359" s="21">
        <v>1903</v>
      </c>
      <c r="F359">
        <v>125418.57588266535</v>
      </c>
      <c r="G359">
        <v>6855.7942324385767</v>
      </c>
      <c r="H359">
        <v>1560.6799993872928</v>
      </c>
      <c r="I359">
        <v>100334.86070613228</v>
      </c>
      <c r="J359">
        <v>6439.2975677097693</v>
      </c>
      <c r="K359">
        <v>661.94358594702499</v>
      </c>
      <c r="L359">
        <v>313546.43970666337</v>
      </c>
      <c r="M359">
        <v>7688.7875618961898</v>
      </c>
      <c r="N359">
        <v>2459.4164128275593</v>
      </c>
      <c r="O359">
        <v>3078.3160000000003</v>
      </c>
      <c r="P359">
        <v>0</v>
      </c>
    </row>
    <row r="360" spans="3:16">
      <c r="C360" t="s">
        <v>767</v>
      </c>
      <c r="D360">
        <v>48</v>
      </c>
      <c r="E360" s="21">
        <v>1903</v>
      </c>
      <c r="F360">
        <v>134015.99693562405</v>
      </c>
      <c r="G360">
        <v>7407.6161801075559</v>
      </c>
      <c r="H360">
        <v>1638.5288090713057</v>
      </c>
      <c r="I360">
        <v>107212.79754849923</v>
      </c>
      <c r="J360">
        <v>6954.3157566707141</v>
      </c>
      <c r="K360">
        <v>672.65919530295832</v>
      </c>
      <c r="L360">
        <v>335039.99233906006</v>
      </c>
      <c r="M360">
        <v>8314.2170269812414</v>
      </c>
      <c r="N360">
        <v>2604.3984228396534</v>
      </c>
      <c r="O360">
        <v>3136.5439999999999</v>
      </c>
      <c r="P360">
        <v>0</v>
      </c>
    </row>
    <row r="361" spans="3:16">
      <c r="C361" t="s">
        <v>767</v>
      </c>
      <c r="D361">
        <v>49</v>
      </c>
      <c r="E361" s="21">
        <v>1903</v>
      </c>
      <c r="F361">
        <v>142923.42532203163</v>
      </c>
      <c r="G361">
        <v>7989.1150950560241</v>
      </c>
      <c r="H361">
        <v>1716.9483628029448</v>
      </c>
      <c r="I361">
        <v>114338.74025762529</v>
      </c>
      <c r="J361">
        <v>7496.8015074795194</v>
      </c>
      <c r="K361">
        <v>680.64738668259724</v>
      </c>
      <c r="L361">
        <v>357308.56330507906</v>
      </c>
      <c r="M361">
        <v>8973.7422702090353</v>
      </c>
      <c r="N361">
        <v>2753.2493389232932</v>
      </c>
      <c r="O361">
        <v>3194.7719999999999</v>
      </c>
      <c r="P361">
        <v>0</v>
      </c>
    </row>
    <row r="362" spans="3:16">
      <c r="C362" t="s">
        <v>767</v>
      </c>
      <c r="D362">
        <v>50</v>
      </c>
      <c r="E362" s="21">
        <v>1903</v>
      </c>
      <c r="F362">
        <v>153139.33168377235</v>
      </c>
      <c r="G362">
        <v>8657.6942346106116</v>
      </c>
      <c r="H362">
        <v>1807.598850501674</v>
      </c>
      <c r="I362">
        <v>122511.4653470179</v>
      </c>
      <c r="J362">
        <v>8120.5791476043996</v>
      </c>
      <c r="K362">
        <v>690.17410655518506</v>
      </c>
      <c r="L362">
        <v>382848.32920943096</v>
      </c>
      <c r="M362">
        <v>9731.9244086230337</v>
      </c>
      <c r="N362">
        <v>2925.0235944481619</v>
      </c>
      <c r="O362">
        <v>3253</v>
      </c>
      <c r="P362">
        <v>0</v>
      </c>
    </row>
    <row r="363" spans="3:16">
      <c r="C363" t="s">
        <v>767</v>
      </c>
      <c r="D363">
        <v>51</v>
      </c>
      <c r="E363" s="21">
        <v>1903</v>
      </c>
      <c r="F363">
        <v>162848.06189620736</v>
      </c>
      <c r="G363">
        <v>9436.9266117710067</v>
      </c>
      <c r="H363">
        <v>1962.281322425687</v>
      </c>
      <c r="I363">
        <v>130278.44951696589</v>
      </c>
      <c r="J363">
        <v>8844.884790844073</v>
      </c>
      <c r="K363">
        <v>787.97641747938542</v>
      </c>
      <c r="L363">
        <v>407120.15474051842</v>
      </c>
      <c r="M363">
        <v>10621.010253624872</v>
      </c>
      <c r="N363">
        <v>3136.5862273719877</v>
      </c>
      <c r="O363">
        <v>3311.2280000000001</v>
      </c>
      <c r="P363">
        <v>0</v>
      </c>
    </row>
    <row r="364" spans="3:16">
      <c r="C364" t="s">
        <v>767</v>
      </c>
      <c r="D364">
        <v>52</v>
      </c>
      <c r="E364" s="21">
        <v>1903</v>
      </c>
      <c r="F364">
        <v>179172.60749154285</v>
      </c>
      <c r="G364">
        <v>10268.610002414378</v>
      </c>
      <c r="H364">
        <v>2065.8225154033453</v>
      </c>
      <c r="I364">
        <v>143338.0859932343</v>
      </c>
      <c r="J364">
        <v>9617.3530958826395</v>
      </c>
      <c r="K364">
        <v>788.76859679036897</v>
      </c>
      <c r="L364">
        <v>447931.51872885716</v>
      </c>
      <c r="M364">
        <v>11571.123815477855</v>
      </c>
      <c r="N364">
        <v>3342.8764340163216</v>
      </c>
      <c r="O364">
        <v>3369.4560000000001</v>
      </c>
      <c r="P364">
        <v>0</v>
      </c>
    </row>
    <row r="365" spans="3:16">
      <c r="C365" t="s">
        <v>767</v>
      </c>
      <c r="D365">
        <v>53</v>
      </c>
      <c r="E365" s="21">
        <v>1903</v>
      </c>
      <c r="F365">
        <v>193271.3454181125</v>
      </c>
      <c r="G365">
        <v>11155.433878165892</v>
      </c>
      <c r="H365">
        <v>2202.9191647545167</v>
      </c>
      <c r="I365">
        <v>154617.07633449</v>
      </c>
      <c r="J365">
        <v>10440.421247577397</v>
      </c>
      <c r="K365">
        <v>841.11459017899779</v>
      </c>
      <c r="L365">
        <v>483178.36354528123</v>
      </c>
      <c r="M365">
        <v>12585.459139342882</v>
      </c>
      <c r="N365">
        <v>3564.7237393300347</v>
      </c>
      <c r="O365">
        <v>3427.6839999999997</v>
      </c>
      <c r="P365">
        <v>0</v>
      </c>
    </row>
    <row r="366" spans="3:16">
      <c r="C366" t="s">
        <v>767</v>
      </c>
      <c r="D366">
        <v>54</v>
      </c>
      <c r="E366" s="21">
        <v>1903</v>
      </c>
      <c r="F366">
        <v>208122.59468909772</v>
      </c>
      <c r="G366">
        <v>12100.204932229226</v>
      </c>
      <c r="H366">
        <v>2345.4612016000019</v>
      </c>
      <c r="I366">
        <v>166498.0757512782</v>
      </c>
      <c r="J366">
        <v>11316.631930206306</v>
      </c>
      <c r="K366">
        <v>895.53973152000071</v>
      </c>
      <c r="L366">
        <v>520306.48672274436</v>
      </c>
      <c r="M366">
        <v>13667.35093627507</v>
      </c>
      <c r="N366">
        <v>3795.3826716800022</v>
      </c>
      <c r="O366">
        <v>3485.9119999999998</v>
      </c>
      <c r="P366">
        <v>0</v>
      </c>
    </row>
    <row r="367" spans="3:16">
      <c r="C367" t="s">
        <v>767</v>
      </c>
      <c r="D367">
        <v>55</v>
      </c>
      <c r="E367" s="21">
        <v>1903</v>
      </c>
      <c r="F367">
        <v>223750.09452494414</v>
      </c>
      <c r="G367">
        <v>13105.852328113986</v>
      </c>
      <c r="H367">
        <v>2493.5402581103681</v>
      </c>
      <c r="I367">
        <v>179000.07561995531</v>
      </c>
      <c r="J367">
        <v>12248.638051322658</v>
      </c>
      <c r="K367">
        <v>952.07900764213991</v>
      </c>
      <c r="L367">
        <v>559375.23631236039</v>
      </c>
      <c r="M367">
        <v>14820.28088169665</v>
      </c>
      <c r="N367">
        <v>4035.0015085785963</v>
      </c>
      <c r="O367">
        <v>3544.1399999999994</v>
      </c>
      <c r="P367">
        <v>0</v>
      </c>
    </row>
    <row r="368" spans="3:16">
      <c r="C368" t="s">
        <v>767</v>
      </c>
      <c r="D368">
        <v>56</v>
      </c>
      <c r="E368" s="21">
        <v>1903</v>
      </c>
      <c r="F368">
        <v>240177.90858533265</v>
      </c>
      <c r="G368">
        <v>14175.433232932675</v>
      </c>
      <c r="H368">
        <v>2647.2479664561888</v>
      </c>
      <c r="I368">
        <v>192142.32686826613</v>
      </c>
      <c r="J368">
        <v>13239.207721722352</v>
      </c>
      <c r="K368">
        <v>1010.7674053741812</v>
      </c>
      <c r="L368">
        <v>600444.77146333165</v>
      </c>
      <c r="M368">
        <v>16047.884255353321</v>
      </c>
      <c r="N368">
        <v>4283.7285275381964</v>
      </c>
      <c r="O368">
        <v>3602.3680000000004</v>
      </c>
      <c r="P368">
        <v>0</v>
      </c>
    </row>
    <row r="369" spans="3:16">
      <c r="C369" t="s">
        <v>767</v>
      </c>
      <c r="D369">
        <v>57</v>
      </c>
      <c r="E369" s="21">
        <v>1903</v>
      </c>
      <c r="F369">
        <v>257430.42484897914</v>
      </c>
      <c r="G369">
        <v>15312.13865343116</v>
      </c>
      <c r="H369">
        <v>2806.6759588080295</v>
      </c>
      <c r="I369">
        <v>205944.3398791833</v>
      </c>
      <c r="J369">
        <v>14291.229507871325</v>
      </c>
      <c r="K369">
        <v>1071.6399115448839</v>
      </c>
      <c r="L369">
        <v>643576.06212244788</v>
      </c>
      <c r="M369">
        <v>17353.956944550839</v>
      </c>
      <c r="N369">
        <v>4541.7120060711723</v>
      </c>
      <c r="O369">
        <v>3660.596</v>
      </c>
      <c r="P369">
        <v>0</v>
      </c>
    </row>
    <row r="370" spans="3:16">
      <c r="C370" t="s">
        <v>767</v>
      </c>
      <c r="D370">
        <v>58</v>
      </c>
      <c r="E370" s="21">
        <v>1903</v>
      </c>
      <c r="F370">
        <v>275532.35549082223</v>
      </c>
      <c r="G370">
        <v>16519.29959425408</v>
      </c>
      <c r="H370">
        <v>2971.9158673364564</v>
      </c>
      <c r="I370">
        <v>220425.88439265778</v>
      </c>
      <c r="J370">
        <v>15407.717974344394</v>
      </c>
      <c r="K370">
        <v>1134.7315129830113</v>
      </c>
      <c r="L370">
        <v>688830.88872705563</v>
      </c>
      <c r="M370">
        <v>18742.46283407346</v>
      </c>
      <c r="N370">
        <v>4809.1002216899024</v>
      </c>
      <c r="O370">
        <v>3718.8240000000001</v>
      </c>
      <c r="P370">
        <v>0</v>
      </c>
    </row>
    <row r="371" spans="3:16">
      <c r="C371" t="s">
        <v>767</v>
      </c>
      <c r="D371">
        <v>59</v>
      </c>
      <c r="E371" s="21">
        <v>1903</v>
      </c>
      <c r="F371">
        <v>294508.73675715283</v>
      </c>
      <c r="G371">
        <v>17800.393559395226</v>
      </c>
      <c r="H371">
        <v>3143.0593242120431</v>
      </c>
      <c r="I371">
        <v>235606.9894057223</v>
      </c>
      <c r="J371">
        <v>16591.81953513062</v>
      </c>
      <c r="K371">
        <v>1200.077196517328</v>
      </c>
      <c r="L371">
        <v>736271.84189288213</v>
      </c>
      <c r="M371">
        <v>20217.541607924439</v>
      </c>
      <c r="N371">
        <v>5086.0414519067581</v>
      </c>
      <c r="O371">
        <v>3777.0519999999997</v>
      </c>
      <c r="P371">
        <v>0</v>
      </c>
    </row>
    <row r="372" spans="3:16">
      <c r="C372" t="s">
        <v>767</v>
      </c>
      <c r="D372">
        <v>60</v>
      </c>
      <c r="E372" s="21">
        <v>1903</v>
      </c>
      <c r="F372">
        <v>315933.62306990294</v>
      </c>
      <c r="G372">
        <v>19253.430982996666</v>
      </c>
      <c r="H372">
        <v>3336.5536165886315</v>
      </c>
      <c r="I372">
        <v>252746.89845592238</v>
      </c>
      <c r="J372">
        <v>17934.733996804021</v>
      </c>
      <c r="K372">
        <v>1273.9568354247513</v>
      </c>
      <c r="L372">
        <v>789834.05767475744</v>
      </c>
      <c r="M372">
        <v>21890.824955381951</v>
      </c>
      <c r="N372">
        <v>5399.1503977525117</v>
      </c>
      <c r="O372">
        <v>3835.2799999999997</v>
      </c>
      <c r="P372">
        <v>0</v>
      </c>
    </row>
    <row r="373" spans="3:16">
      <c r="C373" t="s">
        <v>767</v>
      </c>
      <c r="D373">
        <v>61</v>
      </c>
      <c r="E373" s="21">
        <v>1903</v>
      </c>
      <c r="F373">
        <v>338409.56397369079</v>
      </c>
      <c r="G373">
        <v>20797.13259773043</v>
      </c>
      <c r="H373">
        <v>3537.110175260872</v>
      </c>
      <c r="I373">
        <v>270727.6511789526</v>
      </c>
      <c r="J373">
        <v>19360.53027891391</v>
      </c>
      <c r="K373">
        <v>1350.532976008697</v>
      </c>
      <c r="L373">
        <v>846023.90993422701</v>
      </c>
      <c r="M373">
        <v>23670.33723536347</v>
      </c>
      <c r="N373">
        <v>5723.6873745130451</v>
      </c>
      <c r="O373">
        <v>3893.5080000000003</v>
      </c>
      <c r="P373">
        <v>0</v>
      </c>
    </row>
    <row r="374" spans="3:16">
      <c r="C374" t="s">
        <v>767</v>
      </c>
      <c r="D374">
        <v>62</v>
      </c>
      <c r="E374" s="21">
        <v>1903</v>
      </c>
      <c r="F374">
        <v>361967.12637279322</v>
      </c>
      <c r="G374">
        <v>22436.00426718832</v>
      </c>
      <c r="H374">
        <v>3744.8389588334485</v>
      </c>
      <c r="I374">
        <v>289573.70109823457</v>
      </c>
      <c r="J374">
        <v>20873.283651166479</v>
      </c>
      <c r="K374">
        <v>1429.8476024636821</v>
      </c>
      <c r="L374">
        <v>904917.81593198318</v>
      </c>
      <c r="M374">
        <v>25561.445499232002</v>
      </c>
      <c r="N374">
        <v>6059.8303152032149</v>
      </c>
      <c r="O374">
        <v>3951.7360000000003</v>
      </c>
      <c r="P374">
        <v>0</v>
      </c>
    </row>
    <row r="375" spans="3:16">
      <c r="C375" t="s">
        <v>767</v>
      </c>
      <c r="D375">
        <v>63</v>
      </c>
      <c r="E375" s="21">
        <v>1903</v>
      </c>
      <c r="F375">
        <v>386637.26559801103</v>
      </c>
      <c r="G375">
        <v>24174.754064106663</v>
      </c>
      <c r="H375">
        <v>3959.8499259110376</v>
      </c>
      <c r="I375">
        <v>309309.81247840886</v>
      </c>
      <c r="J375">
        <v>22477.251371498001</v>
      </c>
      <c r="K375">
        <v>1511.9426989842159</v>
      </c>
      <c r="L375">
        <v>966593.16399502754</v>
      </c>
      <c r="M375">
        <v>27569.759449323981</v>
      </c>
      <c r="N375">
        <v>6407.7571528378612</v>
      </c>
      <c r="O375">
        <v>4009.9639999999999</v>
      </c>
      <c r="P375">
        <v>0</v>
      </c>
    </row>
    <row r="376" spans="3:16">
      <c r="C376" t="s">
        <v>767</v>
      </c>
      <c r="D376">
        <v>64</v>
      </c>
      <c r="E376" s="21">
        <v>1903</v>
      </c>
      <c r="F376">
        <v>412451.32525739109</v>
      </c>
      <c r="G376">
        <v>26018.302118214255</v>
      </c>
      <c r="H376">
        <v>4182.2530350983343</v>
      </c>
      <c r="I376">
        <v>329961.06020591292</v>
      </c>
      <c r="J376">
        <v>24176.881549137979</v>
      </c>
      <c r="K376">
        <v>1596.8602497648226</v>
      </c>
      <c r="L376">
        <v>1031128.3131434778</v>
      </c>
      <c r="M376">
        <v>29701.143256366802</v>
      </c>
      <c r="N376">
        <v>6767.6458204318442</v>
      </c>
      <c r="O376">
        <v>4068.192</v>
      </c>
      <c r="P376">
        <v>0</v>
      </c>
    </row>
    <row r="377" spans="3:16">
      <c r="C377" t="s">
        <v>767</v>
      </c>
      <c r="D377">
        <v>65</v>
      </c>
      <c r="E377" s="21">
        <v>1903</v>
      </c>
      <c r="F377">
        <v>439441.03708625748</v>
      </c>
      <c r="G377">
        <v>27971.791045264799</v>
      </c>
      <c r="H377">
        <v>4412.1582450000042</v>
      </c>
      <c r="I377">
        <v>351552.82966900599</v>
      </c>
      <c r="J377">
        <v>25976.822530738322</v>
      </c>
      <c r="K377">
        <v>1684.6422390000062</v>
      </c>
      <c r="L377">
        <v>1098602.5927156436</v>
      </c>
      <c r="M377">
        <v>31961.728074317762</v>
      </c>
      <c r="N377">
        <v>7139.6742510000022</v>
      </c>
      <c r="O377">
        <v>4126.42</v>
      </c>
      <c r="P377">
        <v>0</v>
      </c>
    </row>
    <row r="378" spans="3:16">
      <c r="C378" t="s">
        <v>767</v>
      </c>
      <c r="D378">
        <v>66</v>
      </c>
      <c r="E378" s="21">
        <v>1903</v>
      </c>
      <c r="F378">
        <v>467638.52079687128</v>
      </c>
      <c r="G378">
        <v>30040.5969976673</v>
      </c>
      <c r="H378">
        <v>4649.6755142207421</v>
      </c>
      <c r="I378">
        <v>374110.8166374971</v>
      </c>
      <c r="J378">
        <v>27881.932845940712</v>
      </c>
      <c r="K378">
        <v>1775.330650884287</v>
      </c>
      <c r="L378">
        <v>1169096.3019921782</v>
      </c>
      <c r="M378">
        <v>34357.925301120493</v>
      </c>
      <c r="N378">
        <v>7524.0203775571972</v>
      </c>
      <c r="O378">
        <v>4184.6480000000001</v>
      </c>
      <c r="P378">
        <v>0</v>
      </c>
    </row>
    <row r="379" spans="3:16">
      <c r="C379" t="s">
        <v>767</v>
      </c>
      <c r="D379">
        <v>67</v>
      </c>
      <c r="E379" s="21">
        <v>1903</v>
      </c>
      <c r="F379">
        <v>497076.28392800706</v>
      </c>
      <c r="G379">
        <v>31942.310562013925</v>
      </c>
      <c r="H379">
        <v>4894.9148013652211</v>
      </c>
      <c r="I379">
        <v>397661.02714240568</v>
      </c>
      <c r="J379">
        <v>29638.064015151664</v>
      </c>
      <c r="K379">
        <v>1868.9674696121729</v>
      </c>
      <c r="L379">
        <v>1242690.7098200177</v>
      </c>
      <c r="M379">
        <v>36550.80365573844</v>
      </c>
      <c r="N379">
        <v>7920.8621331182658</v>
      </c>
      <c r="O379">
        <v>4242.8759999999993</v>
      </c>
      <c r="P379">
        <v>0</v>
      </c>
    </row>
    <row r="380" spans="3:16">
      <c r="C380" t="s">
        <v>767</v>
      </c>
      <c r="D380">
        <v>68</v>
      </c>
      <c r="E380" s="21">
        <v>1903</v>
      </c>
      <c r="F380">
        <v>527787.22169469506</v>
      </c>
      <c r="G380">
        <v>33932.587947121792</v>
      </c>
      <c r="H380">
        <v>5147.9860650381324</v>
      </c>
      <c r="I380">
        <v>422229.77735575609</v>
      </c>
      <c r="J380">
        <v>31475.326618780186</v>
      </c>
      <c r="K380">
        <v>1965.594679378195</v>
      </c>
      <c r="L380">
        <v>1319468.0542367375</v>
      </c>
      <c r="M380">
        <v>38847.110603805013</v>
      </c>
      <c r="N380">
        <v>8330.3774506980699</v>
      </c>
      <c r="O380">
        <v>4301.1040000000003</v>
      </c>
      <c r="P380">
        <v>0</v>
      </c>
    </row>
    <row r="381" spans="3:16">
      <c r="C381" t="s">
        <v>767</v>
      </c>
      <c r="D381">
        <v>69</v>
      </c>
      <c r="E381" s="21">
        <v>1903</v>
      </c>
      <c r="F381">
        <v>559804.61683834391</v>
      </c>
      <c r="G381">
        <v>36014.677645387055</v>
      </c>
      <c r="H381">
        <v>5408.9992638441545</v>
      </c>
      <c r="I381">
        <v>447843.69347067515</v>
      </c>
      <c r="J381">
        <v>33396.664292456378</v>
      </c>
      <c r="K381">
        <v>2065.2542643768611</v>
      </c>
      <c r="L381">
        <v>1399511.5420958598</v>
      </c>
      <c r="M381">
        <v>41250.704351248409</v>
      </c>
      <c r="N381">
        <v>8752.744263311446</v>
      </c>
      <c r="O381">
        <v>4359.3320000000003</v>
      </c>
      <c r="P381">
        <v>0</v>
      </c>
    </row>
    <row r="382" spans="3:16">
      <c r="C382" t="s">
        <v>767</v>
      </c>
      <c r="D382">
        <v>70</v>
      </c>
      <c r="E382" s="21">
        <v>1903</v>
      </c>
      <c r="F382">
        <v>595408.96576332836</v>
      </c>
      <c r="G382">
        <v>38336.62079038177</v>
      </c>
      <c r="H382">
        <v>5699.5721759197404</v>
      </c>
      <c r="I382">
        <v>476327.1726106627</v>
      </c>
      <c r="J382">
        <v>35539.244561510815</v>
      </c>
      <c r="K382">
        <v>2176.2002853511731</v>
      </c>
      <c r="L382">
        <v>1488522.414408321</v>
      </c>
      <c r="M382">
        <v>43931.373248123673</v>
      </c>
      <c r="N382">
        <v>9222.9440664883041</v>
      </c>
      <c r="O382">
        <v>4417.5600000000004</v>
      </c>
      <c r="P382">
        <v>0</v>
      </c>
    </row>
    <row r="383" spans="3:16">
      <c r="C383" t="s">
        <v>767</v>
      </c>
      <c r="D383">
        <v>71</v>
      </c>
      <c r="E383" s="21">
        <v>1903</v>
      </c>
      <c r="F383">
        <v>632544.91249194241</v>
      </c>
      <c r="G383">
        <v>40767.687691690197</v>
      </c>
      <c r="H383">
        <v>5999.4045701725809</v>
      </c>
      <c r="I383">
        <v>506035.9299935539</v>
      </c>
      <c r="J383">
        <v>37781.71975346165</v>
      </c>
      <c r="K383">
        <v>2290.6817449749869</v>
      </c>
      <c r="L383">
        <v>1581362.281229856</v>
      </c>
      <c r="M383">
        <v>46739.623568147304</v>
      </c>
      <c r="N383">
        <v>9708.1273953701748</v>
      </c>
      <c r="O383">
        <v>4475.7879999999996</v>
      </c>
      <c r="P383">
        <v>0</v>
      </c>
    </row>
    <row r="384" spans="3:16">
      <c r="C384" t="s">
        <v>767</v>
      </c>
      <c r="D384">
        <v>72</v>
      </c>
      <c r="E384" s="21">
        <v>1903</v>
      </c>
      <c r="F384">
        <v>671251.94657696097</v>
      </c>
      <c r="G384">
        <v>43311.957709227223</v>
      </c>
      <c r="H384">
        <v>6308.6247316414774</v>
      </c>
      <c r="I384">
        <v>537001.55726156873</v>
      </c>
      <c r="J384">
        <v>40127.784616784767</v>
      </c>
      <c r="K384">
        <v>2408.7476248085659</v>
      </c>
      <c r="L384">
        <v>1678129.8664424021</v>
      </c>
      <c r="M384">
        <v>49680.303894112134</v>
      </c>
      <c r="N384">
        <v>10208.501838474387</v>
      </c>
      <c r="O384">
        <v>4534.0159999999996</v>
      </c>
      <c r="P384">
        <v>0</v>
      </c>
    </row>
    <row r="385" spans="3:16">
      <c r="C385" t="s">
        <v>767</v>
      </c>
      <c r="D385">
        <v>73</v>
      </c>
      <c r="E385" s="21">
        <v>1903</v>
      </c>
      <c r="F385">
        <v>711570.00919475069</v>
      </c>
      <c r="G385">
        <v>45973.674449785576</v>
      </c>
      <c r="H385">
        <v>6627.3609453652243</v>
      </c>
      <c r="I385">
        <v>569256.0073558006</v>
      </c>
      <c r="J385">
        <v>42581.281722146152</v>
      </c>
      <c r="K385">
        <v>2530.446906412184</v>
      </c>
      <c r="L385">
        <v>1778925.0229868768</v>
      </c>
      <c r="M385">
        <v>52758.459905064425</v>
      </c>
      <c r="N385">
        <v>10724.274984318268</v>
      </c>
      <c r="O385">
        <v>4592.2439999999997</v>
      </c>
      <c r="P385">
        <v>0</v>
      </c>
    </row>
    <row r="386" spans="3:16">
      <c r="C386" t="s">
        <v>767</v>
      </c>
      <c r="D386">
        <v>74</v>
      </c>
      <c r="E386" s="21">
        <v>1903</v>
      </c>
      <c r="F386">
        <v>753539.49297624396</v>
      </c>
      <c r="G386">
        <v>48757.254629277479</v>
      </c>
      <c r="H386">
        <v>6955.7414963826159</v>
      </c>
      <c r="I386">
        <v>602831.59438099514</v>
      </c>
      <c r="J386">
        <v>45146.20943841929</v>
      </c>
      <c r="K386">
        <v>2655.8285713460937</v>
      </c>
      <c r="L386">
        <v>1883848.7324406097</v>
      </c>
      <c r="M386">
        <v>55979.345010993842</v>
      </c>
      <c r="N386">
        <v>11255.654421419138</v>
      </c>
      <c r="O386">
        <v>4650.4720000000007</v>
      </c>
      <c r="P386">
        <v>0</v>
      </c>
    </row>
    <row r="387" spans="3:16">
      <c r="C387" t="s">
        <v>767</v>
      </c>
      <c r="D387">
        <v>75</v>
      </c>
      <c r="E387" s="21">
        <v>1903</v>
      </c>
      <c r="F387">
        <v>797201.24183901178</v>
      </c>
      <c r="G387">
        <v>51667.29751505021</v>
      </c>
      <c r="H387">
        <v>7293.8946697324536</v>
      </c>
      <c r="I387">
        <v>637760.99347120954</v>
      </c>
      <c r="J387">
        <v>47826.730430769268</v>
      </c>
      <c r="K387">
        <v>2784.9416011705798</v>
      </c>
      <c r="L387">
        <v>1993003.1045975294</v>
      </c>
      <c r="M387">
        <v>59348.431683612085</v>
      </c>
      <c r="N387">
        <v>11802.847738294327</v>
      </c>
      <c r="O387">
        <v>4708.7</v>
      </c>
      <c r="P387">
        <v>0</v>
      </c>
    </row>
    <row r="388" spans="3:16">
      <c r="C388" t="s">
        <v>767</v>
      </c>
      <c r="D388">
        <v>76</v>
      </c>
      <c r="E388" s="21">
        <v>1903</v>
      </c>
      <c r="F388">
        <v>842596.55082056986</v>
      </c>
      <c r="G388">
        <v>54708.594993060826</v>
      </c>
      <c r="H388">
        <v>7641.9487504535173</v>
      </c>
      <c r="I388">
        <v>674077.24065645598</v>
      </c>
      <c r="J388">
        <v>50627.180721109929</v>
      </c>
      <c r="K388">
        <v>2917.8349774458948</v>
      </c>
      <c r="L388">
        <v>2106491.3770514247</v>
      </c>
      <c r="M388">
        <v>62871.423536962619</v>
      </c>
      <c r="N388">
        <v>12366.062523461143</v>
      </c>
      <c r="O388">
        <v>4766.9279999999999</v>
      </c>
      <c r="P388">
        <v>0</v>
      </c>
    </row>
    <row r="389" spans="3:16">
      <c r="C389" t="s">
        <v>767</v>
      </c>
      <c r="D389">
        <v>77</v>
      </c>
      <c r="E389" s="21">
        <v>1903</v>
      </c>
      <c r="F389">
        <v>889767.16591300222</v>
      </c>
      <c r="G389">
        <v>57886.142308690905</v>
      </c>
      <c r="H389">
        <v>8000.0320235846193</v>
      </c>
      <c r="I389">
        <v>711813.73273040191</v>
      </c>
      <c r="J389">
        <v>53552.079354837202</v>
      </c>
      <c r="K389">
        <v>3054.5576817323054</v>
      </c>
      <c r="L389">
        <v>2224417.9147825055</v>
      </c>
      <c r="M389">
        <v>66554.268216398326</v>
      </c>
      <c r="N389">
        <v>12945.506365436926</v>
      </c>
      <c r="O389">
        <v>4825.1559999999999</v>
      </c>
      <c r="P389">
        <v>0</v>
      </c>
    </row>
    <row r="390" spans="3:16">
      <c r="C390" t="s">
        <v>767</v>
      </c>
      <c r="D390">
        <v>78</v>
      </c>
      <c r="E390" s="21">
        <v>1903</v>
      </c>
      <c r="F390">
        <v>938755.28389900038</v>
      </c>
      <c r="G390">
        <v>61205.149534383214</v>
      </c>
      <c r="H390">
        <v>8368.272774164554</v>
      </c>
      <c r="I390">
        <v>751004.2271192004</v>
      </c>
      <c r="J390">
        <v>56606.138721702082</v>
      </c>
      <c r="K390">
        <v>3195.1586955901075</v>
      </c>
      <c r="L390">
        <v>2346888.2097475012</v>
      </c>
      <c r="M390">
        <v>70403.171159745471</v>
      </c>
      <c r="N390">
        <v>13541.386852739</v>
      </c>
      <c r="O390">
        <v>4883.384</v>
      </c>
      <c r="P390">
        <v>0</v>
      </c>
    </row>
    <row r="391" spans="3:16">
      <c r="C391" t="s">
        <v>767</v>
      </c>
      <c r="D391">
        <v>79</v>
      </c>
      <c r="E391" s="21">
        <v>1903</v>
      </c>
      <c r="F391">
        <v>989603.55218938924</v>
      </c>
      <c r="G391">
        <v>64671.053822135676</v>
      </c>
      <c r="H391">
        <v>8746.7992872321192</v>
      </c>
      <c r="I391">
        <v>791682.84175151156</v>
      </c>
      <c r="J391">
        <v>59794.27558305522</v>
      </c>
      <c r="K391">
        <v>3339.6870005795463</v>
      </c>
      <c r="L391">
        <v>2474008.8804734731</v>
      </c>
      <c r="M391">
        <v>74424.610300296583</v>
      </c>
      <c r="N391">
        <v>14153.911573884696</v>
      </c>
      <c r="O391">
        <v>4941.6120000000001</v>
      </c>
      <c r="P391">
        <v>0</v>
      </c>
    </row>
    <row r="392" spans="3:16">
      <c r="C392" t="s">
        <v>767</v>
      </c>
      <c r="D392">
        <v>80</v>
      </c>
      <c r="E392" s="21">
        <v>1903</v>
      </c>
      <c r="F392">
        <v>1045466.5763298374</v>
      </c>
      <c r="G392">
        <v>68493.381855003856</v>
      </c>
      <c r="H392">
        <v>9163.0107130434808</v>
      </c>
      <c r="I392">
        <v>836373.26106387004</v>
      </c>
      <c r="J392">
        <v>63310.045617329568</v>
      </c>
      <c r="K392">
        <v>3498.6040904347828</v>
      </c>
      <c r="L392">
        <v>2613666.4408245939</v>
      </c>
      <c r="M392">
        <v>78860.054330352461</v>
      </c>
      <c r="N392">
        <v>14827.417335652175</v>
      </c>
      <c r="O392">
        <v>4999.84</v>
      </c>
      <c r="P392">
        <v>0</v>
      </c>
    </row>
    <row r="393" spans="3:16">
      <c r="C393" t="s">
        <v>767</v>
      </c>
      <c r="D393">
        <v>81</v>
      </c>
      <c r="E393" s="21">
        <v>1903</v>
      </c>
      <c r="F393">
        <v>1103468.8983541834</v>
      </c>
      <c r="G393">
        <v>82809.797263465414</v>
      </c>
      <c r="H393">
        <v>9590.9842774822864</v>
      </c>
      <c r="I393">
        <v>882775.11868334678</v>
      </c>
      <c r="J393">
        <v>76272.632860297483</v>
      </c>
      <c r="K393">
        <v>3662.0121786750606</v>
      </c>
      <c r="L393">
        <v>2758672.2458854588</v>
      </c>
      <c r="M393">
        <v>95884.126069801307</v>
      </c>
      <c r="N393">
        <v>15519.956376289509</v>
      </c>
      <c r="O393">
        <v>5058.0680000000002</v>
      </c>
      <c r="P393">
        <v>0</v>
      </c>
    </row>
    <row r="394" spans="3:16">
      <c r="C394" t="s">
        <v>767</v>
      </c>
      <c r="D394">
        <v>82</v>
      </c>
      <c r="E394" s="21">
        <v>1903</v>
      </c>
      <c r="F394">
        <v>1163660.0462611925</v>
      </c>
      <c r="G394">
        <v>88346.301036672463</v>
      </c>
      <c r="H394">
        <v>10030.866592021412</v>
      </c>
      <c r="I394">
        <v>930928.03700895398</v>
      </c>
      <c r="J394">
        <v>81335.464858827283</v>
      </c>
      <c r="K394">
        <v>3829.9672442263618</v>
      </c>
      <c r="L394">
        <v>2909150.1156529812</v>
      </c>
      <c r="M394">
        <v>102367.97339236279</v>
      </c>
      <c r="N394">
        <v>16231.765939816461</v>
      </c>
      <c r="O394">
        <v>5116.2960000000003</v>
      </c>
      <c r="P394">
        <v>0</v>
      </c>
    </row>
    <row r="395" spans="3:16">
      <c r="C395" t="s">
        <v>767</v>
      </c>
      <c r="D395">
        <v>83</v>
      </c>
      <c r="E395" s="21">
        <v>1903</v>
      </c>
      <c r="F395">
        <v>1226090.0625459258</v>
      </c>
      <c r="G395">
        <v>94188.187470886842</v>
      </c>
      <c r="H395">
        <v>10482.804268133787</v>
      </c>
      <c r="I395">
        <v>980872.05003674072</v>
      </c>
      <c r="J395">
        <v>86675.33313618612</v>
      </c>
      <c r="K395">
        <v>4002.5252660147162</v>
      </c>
      <c r="L395">
        <v>3065225.1563648144</v>
      </c>
      <c r="M395">
        <v>109213.89614028829</v>
      </c>
      <c r="N395">
        <v>16963.083270252853</v>
      </c>
      <c r="O395">
        <v>5174.5240000000003</v>
      </c>
      <c r="P395">
        <v>0</v>
      </c>
    </row>
    <row r="396" spans="3:16">
      <c r="C396" t="s">
        <v>767</v>
      </c>
      <c r="D396">
        <v>84</v>
      </c>
      <c r="E396" s="21">
        <v>1903</v>
      </c>
      <c r="F396">
        <v>1290809.5040223501</v>
      </c>
      <c r="G396">
        <v>100350.65932603083</v>
      </c>
      <c r="H396">
        <v>10946.943917292316</v>
      </c>
      <c r="I396">
        <v>1032647.60321788</v>
      </c>
      <c r="J396">
        <v>92305.946832935428</v>
      </c>
      <c r="K396">
        <v>4179.7422229661679</v>
      </c>
      <c r="L396">
        <v>3227023.7600558749</v>
      </c>
      <c r="M396">
        <v>116440.0843122216</v>
      </c>
      <c r="N396">
        <v>17714.145611618467</v>
      </c>
      <c r="O396">
        <v>5232.7520000000004</v>
      </c>
      <c r="P396">
        <v>0</v>
      </c>
    </row>
    <row r="397" spans="3:16">
      <c r="C397" t="s">
        <v>767</v>
      </c>
      <c r="D397">
        <v>85</v>
      </c>
      <c r="E397" s="21">
        <v>1903</v>
      </c>
      <c r="F397">
        <v>1357869.4416478081</v>
      </c>
      <c r="G397">
        <v>106849.71196893905</v>
      </c>
      <c r="H397">
        <v>11423.4321509699</v>
      </c>
      <c r="I397">
        <v>1086295.5533182465</v>
      </c>
      <c r="J397">
        <v>98241.728435857862</v>
      </c>
      <c r="K397">
        <v>4361.6740940066957</v>
      </c>
      <c r="L397">
        <v>3394673.6041195202</v>
      </c>
      <c r="M397">
        <v>124065.67903510144</v>
      </c>
      <c r="N397">
        <v>18485.190207933108</v>
      </c>
      <c r="O397">
        <v>5290.98</v>
      </c>
      <c r="P397">
        <v>0</v>
      </c>
    </row>
    <row r="398" spans="3:16">
      <c r="C398" t="s">
        <v>767</v>
      </c>
      <c r="D398">
        <v>86</v>
      </c>
      <c r="E398" s="21">
        <v>1903</v>
      </c>
      <c r="F398">
        <v>1427321.4603493891</v>
      </c>
      <c r="G398">
        <v>113702.18250188632</v>
      </c>
      <c r="H398">
        <v>11912.41558063947</v>
      </c>
      <c r="I398">
        <v>1141857.1682795114</v>
      </c>
      <c r="J398">
        <v>104497.85799363213</v>
      </c>
      <c r="K398">
        <v>4548.3768580623437</v>
      </c>
      <c r="L398">
        <v>3568303.6508734729</v>
      </c>
      <c r="M398">
        <v>132110.83151839467</v>
      </c>
      <c r="N398">
        <v>19276.454303216589</v>
      </c>
      <c r="O398">
        <v>5349.2079999999996</v>
      </c>
      <c r="P398">
        <v>0</v>
      </c>
    </row>
    <row r="399" spans="3:16">
      <c r="C399" t="s">
        <v>767</v>
      </c>
      <c r="D399">
        <v>87</v>
      </c>
      <c r="E399" s="21">
        <v>1903</v>
      </c>
      <c r="F399">
        <v>1499217.6588522152</v>
      </c>
      <c r="G399">
        <v>120925.80259117126</v>
      </c>
      <c r="H399">
        <v>12414.040817773923</v>
      </c>
      <c r="I399">
        <v>1199374.1270817721</v>
      </c>
      <c r="J399">
        <v>111090.32066255847</v>
      </c>
      <c r="K399">
        <v>4739.9064940591416</v>
      </c>
      <c r="L399">
        <v>3748044.1471305378</v>
      </c>
      <c r="M399">
        <v>140596.76644839681</v>
      </c>
      <c r="N399">
        <v>20088.175141488697</v>
      </c>
      <c r="O399">
        <v>5407.4360000000006</v>
      </c>
      <c r="P399">
        <v>0</v>
      </c>
    </row>
    <row r="400" spans="3:16">
      <c r="C400" t="s">
        <v>767</v>
      </c>
      <c r="D400">
        <v>88</v>
      </c>
      <c r="E400" s="21">
        <v>1903</v>
      </c>
      <c r="F400">
        <v>1573610.6495096677</v>
      </c>
      <c r="G400">
        <v>128539.25532499971</v>
      </c>
      <c r="H400">
        <v>12928.454473846155</v>
      </c>
      <c r="I400">
        <v>1258888.5196077342</v>
      </c>
      <c r="J400">
        <v>118035.9578786536</v>
      </c>
      <c r="K400">
        <v>4936.3189809230826</v>
      </c>
      <c r="L400">
        <v>3934026.623774169</v>
      </c>
      <c r="M400">
        <v>149545.85021769197</v>
      </c>
      <c r="N400">
        <v>20920.589966769228</v>
      </c>
      <c r="O400">
        <v>5465.6640000000007</v>
      </c>
      <c r="P400">
        <v>0</v>
      </c>
    </row>
    <row r="401" spans="3:16">
      <c r="C401" t="s">
        <v>767</v>
      </c>
      <c r="D401">
        <v>89</v>
      </c>
      <c r="E401" s="21">
        <v>1903</v>
      </c>
      <c r="F401">
        <v>1650553.5581355514</v>
      </c>
      <c r="G401">
        <v>136562.23646382178</v>
      </c>
      <c r="H401">
        <v>13455.803160329095</v>
      </c>
      <c r="I401">
        <v>1320442.8465084413</v>
      </c>
      <c r="J401">
        <v>125352.52248295398</v>
      </c>
      <c r="K401">
        <v>5137.6702975801963</v>
      </c>
      <c r="L401">
        <v>4126383.8953388785</v>
      </c>
      <c r="M401">
        <v>158981.66442555733</v>
      </c>
      <c r="N401">
        <v>21773.936023077986</v>
      </c>
      <c r="O401">
        <v>5523.8919999999998</v>
      </c>
      <c r="P401">
        <v>0</v>
      </c>
    </row>
    <row r="402" spans="3:16">
      <c r="C402" t="s">
        <v>767</v>
      </c>
      <c r="D402">
        <v>90</v>
      </c>
      <c r="E402" s="21">
        <v>1903</v>
      </c>
      <c r="F402">
        <v>1730100.0238382153</v>
      </c>
      <c r="G402">
        <v>145015.5204841739</v>
      </c>
      <c r="H402">
        <v>13996.23348869566</v>
      </c>
      <c r="I402">
        <v>1384080.0190705722</v>
      </c>
      <c r="J402">
        <v>133058.73816097391</v>
      </c>
      <c r="K402">
        <v>5344.0164229565344</v>
      </c>
      <c r="L402">
        <v>4325250.0595955383</v>
      </c>
      <c r="M402">
        <v>168929.08513057389</v>
      </c>
      <c r="N402">
        <v>22648.450554434778</v>
      </c>
      <c r="O402">
        <v>5582.12</v>
      </c>
      <c r="P402">
        <v>0</v>
      </c>
    </row>
    <row r="403" spans="3:16">
      <c r="C403" t="s">
        <v>767</v>
      </c>
      <c r="D403">
        <v>20</v>
      </c>
      <c r="E403" s="21">
        <v>1904</v>
      </c>
      <c r="F403">
        <v>10567.584332773757</v>
      </c>
      <c r="G403">
        <v>455.47630434782616</v>
      </c>
      <c r="H403">
        <v>202.47652173913053</v>
      </c>
      <c r="I403">
        <v>8454.0674662190049</v>
      </c>
      <c r="J403">
        <v>436.92554347826098</v>
      </c>
      <c r="K403">
        <v>121.48591304347838</v>
      </c>
      <c r="L403">
        <v>26418.960831934393</v>
      </c>
      <c r="M403">
        <v>492.57782608695663</v>
      </c>
      <c r="N403">
        <v>283.46713043478269</v>
      </c>
      <c r="O403">
        <v>1506.1599999999999</v>
      </c>
      <c r="P403">
        <v>0</v>
      </c>
    </row>
    <row r="404" spans="3:16">
      <c r="C404" t="s">
        <v>767</v>
      </c>
      <c r="D404">
        <v>21</v>
      </c>
      <c r="E404" s="21">
        <v>1904</v>
      </c>
      <c r="F404">
        <v>11810.298843584584</v>
      </c>
      <c r="G404">
        <v>505.36028817219699</v>
      </c>
      <c r="H404">
        <v>221.34161739130445</v>
      </c>
      <c r="I404">
        <v>9448.2390748676662</v>
      </c>
      <c r="J404">
        <v>484.33647500715119</v>
      </c>
      <c r="K404">
        <v>132.80497043478272</v>
      </c>
      <c r="L404">
        <v>29525.747108961456</v>
      </c>
      <c r="M404">
        <v>547.40791450228858</v>
      </c>
      <c r="N404">
        <v>309.87826434782625</v>
      </c>
      <c r="O404">
        <v>1564.3879999999999</v>
      </c>
      <c r="P404">
        <v>0</v>
      </c>
    </row>
    <row r="405" spans="3:16">
      <c r="C405" t="s">
        <v>767</v>
      </c>
      <c r="D405">
        <v>22</v>
      </c>
      <c r="E405" s="21">
        <v>1904</v>
      </c>
      <c r="F405">
        <v>13136.777514361669</v>
      </c>
      <c r="G405">
        <v>558.43666896413561</v>
      </c>
      <c r="H405">
        <v>240.98838260869576</v>
      </c>
      <c r="I405">
        <v>10509.422011489336</v>
      </c>
      <c r="J405">
        <v>534.72478641554812</v>
      </c>
      <c r="K405">
        <v>144.59302956521753</v>
      </c>
      <c r="L405">
        <v>32841.943785904172</v>
      </c>
      <c r="M405">
        <v>605.86043406131057</v>
      </c>
      <c r="N405">
        <v>337.38373565217398</v>
      </c>
      <c r="O405">
        <v>1622.616</v>
      </c>
      <c r="P405">
        <v>0</v>
      </c>
    </row>
    <row r="406" spans="3:16">
      <c r="C406" t="s">
        <v>767</v>
      </c>
      <c r="D406">
        <v>23</v>
      </c>
      <c r="E406" s="21">
        <v>1904</v>
      </c>
      <c r="F406">
        <v>14820.527546618665</v>
      </c>
      <c r="G406">
        <v>626.27797793190211</v>
      </c>
      <c r="H406">
        <v>266.29066354515066</v>
      </c>
      <c r="I406">
        <v>11856.422037294933</v>
      </c>
      <c r="J406">
        <v>599.15560194473187</v>
      </c>
      <c r="K406">
        <v>159.77439812709042</v>
      </c>
      <c r="L406">
        <v>37051.318866546666</v>
      </c>
      <c r="M406">
        <v>680.52272990624238</v>
      </c>
      <c r="N406">
        <v>372.80692896321079</v>
      </c>
      <c r="O406">
        <v>1680.8440000000001</v>
      </c>
      <c r="P406">
        <v>0</v>
      </c>
    </row>
    <row r="407" spans="3:16">
      <c r="C407" t="s">
        <v>767</v>
      </c>
      <c r="D407">
        <v>24</v>
      </c>
      <c r="E407" s="21">
        <v>1904</v>
      </c>
      <c r="F407">
        <v>16620.357507434484</v>
      </c>
      <c r="G407">
        <v>698.5815189056982</v>
      </c>
      <c r="H407">
        <v>292.66999866220738</v>
      </c>
      <c r="I407">
        <v>13296.286005947588</v>
      </c>
      <c r="J407">
        <v>667.74603350342272</v>
      </c>
      <c r="K407">
        <v>175.6019991973244</v>
      </c>
      <c r="L407">
        <v>41550.893768586204</v>
      </c>
      <c r="M407">
        <v>760.25248971024917</v>
      </c>
      <c r="N407">
        <v>409.73799812709035</v>
      </c>
      <c r="O407">
        <v>1739.0720000000001</v>
      </c>
      <c r="P407">
        <v>0</v>
      </c>
    </row>
    <row r="408" spans="3:16">
      <c r="C408" t="s">
        <v>767</v>
      </c>
      <c r="D408">
        <v>25</v>
      </c>
      <c r="E408" s="21">
        <v>1904</v>
      </c>
      <c r="F408">
        <v>18539.362246023906</v>
      </c>
      <c r="G408">
        <v>775.50225171527677</v>
      </c>
      <c r="H408">
        <v>320.12638795986629</v>
      </c>
      <c r="I408">
        <v>14831.489796819125</v>
      </c>
      <c r="J408">
        <v>740.63554493839797</v>
      </c>
      <c r="K408">
        <v>192.07583277591971</v>
      </c>
      <c r="L408">
        <v>46348.405615059775</v>
      </c>
      <c r="M408">
        <v>845.23566526903437</v>
      </c>
      <c r="N408">
        <v>448.17694314381288</v>
      </c>
      <c r="O408">
        <v>1797.3000000000002</v>
      </c>
      <c r="P408">
        <v>0</v>
      </c>
    </row>
    <row r="409" spans="3:16">
      <c r="C409" t="s">
        <v>767</v>
      </c>
      <c r="D409">
        <v>26</v>
      </c>
      <c r="E409" s="21">
        <v>1904</v>
      </c>
      <c r="F409">
        <v>20841.746863922825</v>
      </c>
      <c r="G409">
        <v>868.0754053798604</v>
      </c>
      <c r="H409">
        <v>353.08351143812718</v>
      </c>
      <c r="I409">
        <v>16673.397491138261</v>
      </c>
      <c r="J409">
        <v>828.34566636695797</v>
      </c>
      <c r="K409">
        <v>211.85010686287626</v>
      </c>
      <c r="L409">
        <v>52104.367159807058</v>
      </c>
      <c r="M409">
        <v>947.53488340566525</v>
      </c>
      <c r="N409">
        <v>494.31691601337809</v>
      </c>
      <c r="O409">
        <v>1855.528</v>
      </c>
      <c r="P409">
        <v>0</v>
      </c>
    </row>
    <row r="410" spans="3:16">
      <c r="C410" t="s">
        <v>767</v>
      </c>
      <c r="D410">
        <v>27</v>
      </c>
      <c r="E410" s="21">
        <v>1904</v>
      </c>
      <c r="F410">
        <v>23294.039707467677</v>
      </c>
      <c r="G410">
        <v>966.5259269812766</v>
      </c>
      <c r="H410">
        <v>387.36344909699017</v>
      </c>
      <c r="I410">
        <v>18635.231765974142</v>
      </c>
      <c r="J410">
        <v>921.5217941627476</v>
      </c>
      <c r="K410">
        <v>232.41806945819417</v>
      </c>
      <c r="L410">
        <v>58235.099268669197</v>
      </c>
      <c r="M410">
        <v>1056.5341926183346</v>
      </c>
      <c r="N410">
        <v>542.30882873578616</v>
      </c>
      <c r="O410">
        <v>1913.7559999999999</v>
      </c>
      <c r="P410">
        <v>0</v>
      </c>
    </row>
    <row r="411" spans="3:16">
      <c r="C411" t="s">
        <v>767</v>
      </c>
      <c r="D411">
        <v>28</v>
      </c>
      <c r="E411" s="21">
        <v>1904</v>
      </c>
      <c r="F411">
        <v>25900.016499038076</v>
      </c>
      <c r="G411">
        <v>1071.056840151788</v>
      </c>
      <c r="H411">
        <v>422.96620093645492</v>
      </c>
      <c r="I411">
        <v>20720.01319923046</v>
      </c>
      <c r="J411">
        <v>1020.3466495948034</v>
      </c>
      <c r="K411">
        <v>253.77972056187298</v>
      </c>
      <c r="L411">
        <v>64750.041247595189</v>
      </c>
      <c r="M411">
        <v>1172.4772212657576</v>
      </c>
      <c r="N411">
        <v>592.15268131103699</v>
      </c>
      <c r="O411">
        <v>1971.9840000000002</v>
      </c>
      <c r="P411">
        <v>0</v>
      </c>
    </row>
    <row r="412" spans="3:16">
      <c r="C412" t="s">
        <v>767</v>
      </c>
      <c r="D412">
        <v>29</v>
      </c>
      <c r="E412" s="21">
        <v>1904</v>
      </c>
      <c r="F412">
        <v>28663.442020626062</v>
      </c>
      <c r="G412">
        <v>1181.8770675153971</v>
      </c>
      <c r="H412">
        <v>459.89176695652213</v>
      </c>
      <c r="I412">
        <v>22930.753616500853</v>
      </c>
      <c r="J412">
        <v>1125.0082630247271</v>
      </c>
      <c r="K412">
        <v>275.93506017391337</v>
      </c>
      <c r="L412">
        <v>71658.605051565159</v>
      </c>
      <c r="M412">
        <v>1295.6146764967373</v>
      </c>
      <c r="N412">
        <v>643.84847373913078</v>
      </c>
      <c r="O412">
        <v>2030.212</v>
      </c>
      <c r="P412">
        <v>0</v>
      </c>
    </row>
    <row r="413" spans="3:16">
      <c r="C413" t="s">
        <v>767</v>
      </c>
      <c r="D413">
        <v>30</v>
      </c>
      <c r="E413" s="21">
        <v>1904</v>
      </c>
      <c r="F413">
        <v>31982.921440924219</v>
      </c>
      <c r="G413">
        <v>1315.4416670859173</v>
      </c>
      <c r="H413">
        <v>504.36689899665589</v>
      </c>
      <c r="I413">
        <v>25586.337152739379</v>
      </c>
      <c r="J413">
        <v>1251.1464202435463</v>
      </c>
      <c r="K413">
        <v>302.62013939799363</v>
      </c>
      <c r="L413">
        <v>79957.303602310552</v>
      </c>
      <c r="M413">
        <v>1444.0321607706589</v>
      </c>
      <c r="N413">
        <v>706.11365859531804</v>
      </c>
      <c r="O413">
        <v>2088.44</v>
      </c>
      <c r="P413">
        <v>0</v>
      </c>
    </row>
    <row r="414" spans="3:16">
      <c r="C414" t="s">
        <v>767</v>
      </c>
      <c r="D414">
        <v>31</v>
      </c>
      <c r="E414" s="21">
        <v>1904</v>
      </c>
      <c r="F414">
        <v>35607.810765514885</v>
      </c>
      <c r="G414">
        <v>1459.9105504311335</v>
      </c>
      <c r="H414">
        <v>550.27542605538474</v>
      </c>
      <c r="I414">
        <v>28486.248612411906</v>
      </c>
      <c r="J414">
        <v>1388.2810394495586</v>
      </c>
      <c r="K414">
        <v>325.7035629895388</v>
      </c>
      <c r="L414">
        <v>89019.526913787195</v>
      </c>
      <c r="M414">
        <v>1603.1695723942833</v>
      </c>
      <c r="N414">
        <v>774.84728912123103</v>
      </c>
      <c r="O414">
        <v>2146.6680000000001</v>
      </c>
      <c r="P414">
        <v>0</v>
      </c>
    </row>
    <row r="415" spans="3:16">
      <c r="C415" t="s">
        <v>767</v>
      </c>
      <c r="D415">
        <v>32</v>
      </c>
      <c r="E415" s="21">
        <v>1904</v>
      </c>
      <c r="F415">
        <v>39481.915389439382</v>
      </c>
      <c r="G415">
        <v>1614.1126084319108</v>
      </c>
      <c r="H415">
        <v>598.0889005051506</v>
      </c>
      <c r="I415">
        <v>31585.532311551506</v>
      </c>
      <c r="J415">
        <v>1534.6313339592882</v>
      </c>
      <c r="K415">
        <v>349.0217419386222</v>
      </c>
      <c r="L415">
        <v>98704.788473598455</v>
      </c>
      <c r="M415">
        <v>1773.0751573771554</v>
      </c>
      <c r="N415">
        <v>847.15605907167912</v>
      </c>
      <c r="O415">
        <v>2204.8960000000002</v>
      </c>
      <c r="P415">
        <v>0</v>
      </c>
    </row>
    <row r="416" spans="3:16">
      <c r="C416" t="s">
        <v>767</v>
      </c>
      <c r="D416">
        <v>33</v>
      </c>
      <c r="E416" s="21">
        <v>1904</v>
      </c>
      <c r="F416">
        <v>43596.800651520382</v>
      </c>
      <c r="G416">
        <v>1777.7373015555841</v>
      </c>
      <c r="H416">
        <v>647.54781172976641</v>
      </c>
      <c r="I416">
        <v>34877.440521216311</v>
      </c>
      <c r="J416">
        <v>1689.9007674736044</v>
      </c>
      <c r="K416">
        <v>372.33999174461587</v>
      </c>
      <c r="L416">
        <v>108992.00162880096</v>
      </c>
      <c r="M416">
        <v>1953.4103697195435</v>
      </c>
      <c r="N416">
        <v>922.75563171491694</v>
      </c>
      <c r="O416">
        <v>2263.1239999999998</v>
      </c>
      <c r="P416">
        <v>0</v>
      </c>
    </row>
    <row r="417" spans="3:16">
      <c r="C417" t="s">
        <v>767</v>
      </c>
      <c r="D417">
        <v>34</v>
      </c>
      <c r="E417" s="21">
        <v>1904</v>
      </c>
      <c r="F417">
        <v>47956.567793617745</v>
      </c>
      <c r="G417">
        <v>1950.9995193775903</v>
      </c>
      <c r="H417">
        <v>698.59150279224104</v>
      </c>
      <c r="I417">
        <v>38365.254234894201</v>
      </c>
      <c r="J417">
        <v>1854.2927368471892</v>
      </c>
      <c r="K417">
        <v>395.54054101757879</v>
      </c>
      <c r="L417">
        <v>119891.41948404437</v>
      </c>
      <c r="M417">
        <v>2144.4130844383926</v>
      </c>
      <c r="N417">
        <v>1001.6424645669033</v>
      </c>
      <c r="O417">
        <v>2321.3520000000003</v>
      </c>
      <c r="P417">
        <v>0</v>
      </c>
    </row>
    <row r="418" spans="3:16">
      <c r="C418" t="s">
        <v>767</v>
      </c>
      <c r="D418">
        <v>35</v>
      </c>
      <c r="E418" s="21">
        <v>1904</v>
      </c>
      <c r="F418">
        <v>52564.977507273776</v>
      </c>
      <c r="G418">
        <v>2134.1103830077054</v>
      </c>
      <c r="H418">
        <v>751.15531826086999</v>
      </c>
      <c r="I418">
        <v>42051.982005819023</v>
      </c>
      <c r="J418">
        <v>2028.0072473156306</v>
      </c>
      <c r="K418">
        <v>418.50082017391355</v>
      </c>
      <c r="L418">
        <v>131412.44376818446</v>
      </c>
      <c r="M418">
        <v>2346.3166543918551</v>
      </c>
      <c r="N418">
        <v>1083.8098163478264</v>
      </c>
      <c r="O418">
        <v>2379.58</v>
      </c>
      <c r="P418">
        <v>0</v>
      </c>
    </row>
    <row r="419" spans="3:16">
      <c r="C419" t="s">
        <v>767</v>
      </c>
      <c r="D419">
        <v>36</v>
      </c>
      <c r="E419" s="21">
        <v>1904</v>
      </c>
      <c r="F419">
        <v>57425.436708708941</v>
      </c>
      <c r="G419">
        <v>2327.2771008885406</v>
      </c>
      <c r="H419">
        <v>805.17060420923099</v>
      </c>
      <c r="I419">
        <v>45940.349366967152</v>
      </c>
      <c r="J419">
        <v>2211.2407827140678</v>
      </c>
      <c r="K419">
        <v>441.09346143636139</v>
      </c>
      <c r="L419">
        <v>143563.59177177236</v>
      </c>
      <c r="M419">
        <v>2559.3497372374859</v>
      </c>
      <c r="N419">
        <v>1169.2477469821006</v>
      </c>
      <c r="O419">
        <v>2437.808</v>
      </c>
      <c r="P419">
        <v>0</v>
      </c>
    </row>
    <row r="420" spans="3:16">
      <c r="C420" t="s">
        <v>767</v>
      </c>
      <c r="D420">
        <v>37</v>
      </c>
      <c r="E420" s="21">
        <v>1904</v>
      </c>
      <c r="F420">
        <v>62540.985284789342</v>
      </c>
      <c r="G420">
        <v>2556.0061475676844</v>
      </c>
      <c r="H420">
        <v>860.56470821618791</v>
      </c>
      <c r="I420">
        <v>50032.788227831479</v>
      </c>
      <c r="J420">
        <v>2426.9591663721203</v>
      </c>
      <c r="K420">
        <v>463.18629883400763</v>
      </c>
      <c r="L420">
        <v>156352.46321197337</v>
      </c>
      <c r="M420">
        <v>2814.1001099588129</v>
      </c>
      <c r="N420">
        <v>1257.9431175983682</v>
      </c>
      <c r="O420">
        <v>2496.0360000000001</v>
      </c>
      <c r="P420">
        <v>0</v>
      </c>
    </row>
    <row r="421" spans="3:16">
      <c r="C421" t="s">
        <v>767</v>
      </c>
      <c r="D421">
        <v>38</v>
      </c>
      <c r="E421" s="21">
        <v>1904</v>
      </c>
      <c r="F421">
        <v>67914.282816354127</v>
      </c>
      <c r="G421">
        <v>2799.6080663450243</v>
      </c>
      <c r="H421">
        <v>917.26097936588712</v>
      </c>
      <c r="I421">
        <v>54331.4262530833</v>
      </c>
      <c r="J421">
        <v>2656.5518834964751</v>
      </c>
      <c r="K421">
        <v>484.64236820227507</v>
      </c>
      <c r="L421">
        <v>169785.70704088532</v>
      </c>
      <c r="M421">
        <v>3085.7204320421229</v>
      </c>
      <c r="N421">
        <v>1349.8795905294987</v>
      </c>
      <c r="O421">
        <v>2554.2640000000001</v>
      </c>
      <c r="P421">
        <v>0</v>
      </c>
    </row>
    <row r="422" spans="3:16">
      <c r="C422" t="s">
        <v>767</v>
      </c>
      <c r="D422">
        <v>39</v>
      </c>
      <c r="E422" s="21">
        <v>1904</v>
      </c>
      <c r="F422">
        <v>73547.595284184077</v>
      </c>
      <c r="G422">
        <v>3058.6172945567496</v>
      </c>
      <c r="H422">
        <v>975.17876824775976</v>
      </c>
      <c r="I422">
        <v>58838.076227347272</v>
      </c>
      <c r="J422">
        <v>2900.5099239264928</v>
      </c>
      <c r="K422">
        <v>505.31990718293082</v>
      </c>
      <c r="L422">
        <v>183868.9882104602</v>
      </c>
      <c r="M422">
        <v>3374.8320358172632</v>
      </c>
      <c r="N422">
        <v>1445.0376293125892</v>
      </c>
      <c r="O422">
        <v>2612.4920000000002</v>
      </c>
      <c r="P422">
        <v>0</v>
      </c>
    </row>
    <row r="423" spans="3:16">
      <c r="C423" t="s">
        <v>767</v>
      </c>
      <c r="D423">
        <v>40</v>
      </c>
      <c r="E423" s="21">
        <v>1904</v>
      </c>
      <c r="F423">
        <v>80158.482498586702</v>
      </c>
      <c r="G423">
        <v>3363.6030811103692</v>
      </c>
      <c r="H423">
        <v>1043.5508452173922</v>
      </c>
      <c r="I423">
        <v>64126.78599886936</v>
      </c>
      <c r="J423">
        <v>3187.7890568789312</v>
      </c>
      <c r="K423">
        <v>529.80273680267646</v>
      </c>
      <c r="L423">
        <v>200396.20624646675</v>
      </c>
      <c r="M423">
        <v>3715.2311295732461</v>
      </c>
      <c r="N423">
        <v>1557.2989536321079</v>
      </c>
      <c r="O423">
        <v>2670.72</v>
      </c>
      <c r="P423">
        <v>0</v>
      </c>
    </row>
    <row r="424" spans="3:16">
      <c r="C424" t="s">
        <v>767</v>
      </c>
      <c r="D424">
        <v>41</v>
      </c>
      <c r="E424" s="21">
        <v>1904</v>
      </c>
      <c r="F424">
        <v>87103.057961480154</v>
      </c>
      <c r="G424">
        <v>3688.6046102938117</v>
      </c>
      <c r="H424">
        <v>1113.5351917078269</v>
      </c>
      <c r="I424">
        <v>69682.446369184123</v>
      </c>
      <c r="J424">
        <v>3493.7340229687784</v>
      </c>
      <c r="K424">
        <v>553.28779837982665</v>
      </c>
      <c r="L424">
        <v>217757.64490370039</v>
      </c>
      <c r="M424">
        <v>4078.3457849438778</v>
      </c>
      <c r="N424">
        <v>1673.7825850358267</v>
      </c>
      <c r="O424">
        <v>2728.9480000000003</v>
      </c>
      <c r="P424">
        <v>0</v>
      </c>
    </row>
    <row r="425" spans="3:16">
      <c r="C425" t="s">
        <v>767</v>
      </c>
      <c r="D425">
        <v>42</v>
      </c>
      <c r="E425" s="21">
        <v>1904</v>
      </c>
      <c r="F425">
        <v>94383.690874520995</v>
      </c>
      <c r="G425">
        <v>4034.3270382227838</v>
      </c>
      <c r="H425">
        <v>1185.0202766769248</v>
      </c>
      <c r="I425">
        <v>75506.952699616813</v>
      </c>
      <c r="J425">
        <v>3818.9927910158904</v>
      </c>
      <c r="K425">
        <v>575.58127724307906</v>
      </c>
      <c r="L425">
        <v>235959.22718630251</v>
      </c>
      <c r="M425">
        <v>4464.9955326365707</v>
      </c>
      <c r="N425">
        <v>1794.4592761107706</v>
      </c>
      <c r="O425">
        <v>2787.1759999999999</v>
      </c>
      <c r="P425">
        <v>0</v>
      </c>
    </row>
    <row r="426" spans="3:16">
      <c r="C426" t="s">
        <v>767</v>
      </c>
      <c r="D426">
        <v>43</v>
      </c>
      <c r="E426" s="21">
        <v>1904</v>
      </c>
      <c r="F426">
        <v>102002.18579150143</v>
      </c>
      <c r="G426">
        <v>4401.4776510908987</v>
      </c>
      <c r="H426">
        <v>1257.8892377562552</v>
      </c>
      <c r="I426">
        <v>81601.748633201147</v>
      </c>
      <c r="J426">
        <v>4164.2152469102366</v>
      </c>
      <c r="K426">
        <v>596.48296112957951</v>
      </c>
      <c r="L426">
        <v>255005.46447875359</v>
      </c>
      <c r="M426">
        <v>4876.002459452222</v>
      </c>
      <c r="N426">
        <v>1919.2955143829304</v>
      </c>
      <c r="O426">
        <v>2845.404</v>
      </c>
      <c r="P426">
        <v>0</v>
      </c>
    </row>
    <row r="427" spans="3:16">
      <c r="C427" t="s">
        <v>767</v>
      </c>
      <c r="D427">
        <v>44</v>
      </c>
      <c r="E427" s="21">
        <v>1904</v>
      </c>
      <c r="F427">
        <v>109959.76494573931</v>
      </c>
      <c r="G427">
        <v>4790.7649129824767</v>
      </c>
      <c r="H427">
        <v>1332.0198812511048</v>
      </c>
      <c r="I427">
        <v>87967.811956591453</v>
      </c>
      <c r="J427">
        <v>4530.0523366434263</v>
      </c>
      <c r="K427">
        <v>615.78624018493792</v>
      </c>
      <c r="L427">
        <v>274899.4123643483</v>
      </c>
      <c r="M427">
        <v>5312.1900656605776</v>
      </c>
      <c r="N427">
        <v>2048.2535223172717</v>
      </c>
      <c r="O427">
        <v>2903.6320000000001</v>
      </c>
      <c r="P427">
        <v>0</v>
      </c>
    </row>
    <row r="428" spans="3:16">
      <c r="C428" t="s">
        <v>767</v>
      </c>
      <c r="D428">
        <v>45</v>
      </c>
      <c r="E428" s="21">
        <v>1904</v>
      </c>
      <c r="F428">
        <v>118257.05056352433</v>
      </c>
      <c r="G428">
        <v>5202.8974667281691</v>
      </c>
      <c r="H428">
        <v>1407.2846821404692</v>
      </c>
      <c r="I428">
        <v>94605.640450819483</v>
      </c>
      <c r="J428">
        <v>4917.155167078763</v>
      </c>
      <c r="K428">
        <v>633.27810696321194</v>
      </c>
      <c r="L428">
        <v>295642.62640881084</v>
      </c>
      <c r="M428">
        <v>5774.3820660269794</v>
      </c>
      <c r="N428">
        <v>2181.2912573177268</v>
      </c>
      <c r="O428">
        <v>2961.86</v>
      </c>
      <c r="P428">
        <v>0</v>
      </c>
    </row>
    <row r="429" spans="3:16">
      <c r="C429" t="s">
        <v>767</v>
      </c>
      <c r="D429">
        <v>46</v>
      </c>
      <c r="E429" s="21">
        <v>1904</v>
      </c>
      <c r="F429">
        <v>126894.04716745341</v>
      </c>
      <c r="G429">
        <v>5638.5830850793718</v>
      </c>
      <c r="H429">
        <v>1483.5507840770588</v>
      </c>
      <c r="I429">
        <v>101515.23773396274</v>
      </c>
      <c r="J429">
        <v>5326.1740620082237</v>
      </c>
      <c r="K429">
        <v>648.73915642691827</v>
      </c>
      <c r="L429">
        <v>317235.11791863351</v>
      </c>
      <c r="M429">
        <v>6263.4011312216662</v>
      </c>
      <c r="N429">
        <v>2318.3624117271988</v>
      </c>
      <c r="O429">
        <v>3020.0879999999997</v>
      </c>
      <c r="P429">
        <v>0</v>
      </c>
    </row>
    <row r="430" spans="3:16">
      <c r="C430" t="s">
        <v>767</v>
      </c>
      <c r="D430">
        <v>47</v>
      </c>
      <c r="E430" s="21">
        <v>1904</v>
      </c>
      <c r="F430">
        <v>135870.12387288746</v>
      </c>
      <c r="G430">
        <v>6098.52756929529</v>
      </c>
      <c r="H430">
        <v>1560.6799993872928</v>
      </c>
      <c r="I430">
        <v>108696.09909830998</v>
      </c>
      <c r="J430">
        <v>5757.7575708808108</v>
      </c>
      <c r="K430">
        <v>661.94358594702499</v>
      </c>
      <c r="L430">
        <v>339675.30968221871</v>
      </c>
      <c r="M430">
        <v>6780.0675661242476</v>
      </c>
      <c r="N430">
        <v>2459.4164128275593</v>
      </c>
      <c r="O430">
        <v>3078.3160000000003</v>
      </c>
      <c r="P430">
        <v>0</v>
      </c>
    </row>
    <row r="431" spans="3:16">
      <c r="C431" t="s">
        <v>767</v>
      </c>
      <c r="D431">
        <v>48</v>
      </c>
      <c r="E431" s="21">
        <v>1904</v>
      </c>
      <c r="F431">
        <v>145183.99668025941</v>
      </c>
      <c r="G431">
        <v>6583.4335920405701</v>
      </c>
      <c r="H431">
        <v>1638.5288090713057</v>
      </c>
      <c r="I431">
        <v>116147.19734420753</v>
      </c>
      <c r="J431">
        <v>6212.5514274104262</v>
      </c>
      <c r="K431">
        <v>672.65919530295832</v>
      </c>
      <c r="L431">
        <v>362959.9917006485</v>
      </c>
      <c r="M431">
        <v>7325.1979213008563</v>
      </c>
      <c r="N431">
        <v>2604.3984228396534</v>
      </c>
      <c r="O431">
        <v>3136.5439999999999</v>
      </c>
      <c r="P431">
        <v>0</v>
      </c>
    </row>
    <row r="432" spans="3:16">
      <c r="C432" t="s">
        <v>767</v>
      </c>
      <c r="D432">
        <v>49</v>
      </c>
      <c r="E432" s="21">
        <v>1904</v>
      </c>
      <c r="F432">
        <v>154833.71076553428</v>
      </c>
      <c r="G432">
        <v>7093.9994812805598</v>
      </c>
      <c r="H432">
        <v>1716.9483628029448</v>
      </c>
      <c r="I432">
        <v>123866.96861242743</v>
      </c>
      <c r="J432">
        <v>6691.1974550816012</v>
      </c>
      <c r="K432">
        <v>680.64738668259724</v>
      </c>
      <c r="L432">
        <v>387084.27691383573</v>
      </c>
      <c r="M432">
        <v>7899.603533678478</v>
      </c>
      <c r="N432">
        <v>2753.2493389232932</v>
      </c>
      <c r="O432">
        <v>3194.7719999999999</v>
      </c>
      <c r="P432">
        <v>0</v>
      </c>
    </row>
    <row r="433" spans="3:16">
      <c r="C433" t="s">
        <v>767</v>
      </c>
      <c r="D433">
        <v>50</v>
      </c>
      <c r="E433" s="21">
        <v>1904</v>
      </c>
      <c r="F433">
        <v>165900.94265742009</v>
      </c>
      <c r="G433">
        <v>7681.1213491447716</v>
      </c>
      <c r="H433">
        <v>1807.598850501674</v>
      </c>
      <c r="I433">
        <v>132720.75412593607</v>
      </c>
      <c r="J433">
        <v>7241.6635506851444</v>
      </c>
      <c r="K433">
        <v>690.17410655518506</v>
      </c>
      <c r="L433">
        <v>414752.35664355021</v>
      </c>
      <c r="M433">
        <v>8560.0369460640268</v>
      </c>
      <c r="N433">
        <v>2925.0235944481619</v>
      </c>
      <c r="O433">
        <v>3253</v>
      </c>
      <c r="P433">
        <v>0</v>
      </c>
    </row>
    <row r="434" spans="3:16">
      <c r="C434" t="s">
        <v>767</v>
      </c>
      <c r="D434">
        <v>51</v>
      </c>
      <c r="E434" s="21">
        <v>1904</v>
      </c>
      <c r="F434">
        <v>176418.73372089132</v>
      </c>
      <c r="G434">
        <v>8360.4869373584006</v>
      </c>
      <c r="H434">
        <v>1962.281322425687</v>
      </c>
      <c r="I434">
        <v>141134.98697671306</v>
      </c>
      <c r="J434">
        <v>7876.0890838727273</v>
      </c>
      <c r="K434">
        <v>787.97641747938542</v>
      </c>
      <c r="L434">
        <v>441046.83430222829</v>
      </c>
      <c r="M434">
        <v>9329.2826443297454</v>
      </c>
      <c r="N434">
        <v>3136.5862273719877</v>
      </c>
      <c r="O434">
        <v>3311.2280000000001</v>
      </c>
      <c r="P434">
        <v>0</v>
      </c>
    </row>
    <row r="435" spans="3:16">
      <c r="C435" t="s">
        <v>767</v>
      </c>
      <c r="D435">
        <v>52</v>
      </c>
      <c r="E435" s="21">
        <v>1904</v>
      </c>
      <c r="F435">
        <v>194103.6581158381</v>
      </c>
      <c r="G435">
        <v>9084.506535993034</v>
      </c>
      <c r="H435">
        <v>2065.8225154033453</v>
      </c>
      <c r="I435">
        <v>155282.92649267049</v>
      </c>
      <c r="J435">
        <v>8551.6599761034304</v>
      </c>
      <c r="K435">
        <v>788.76859679036897</v>
      </c>
      <c r="L435">
        <v>485259.14528959524</v>
      </c>
      <c r="M435">
        <v>10150.199655772243</v>
      </c>
      <c r="N435">
        <v>3342.8764340163216</v>
      </c>
      <c r="O435">
        <v>3369.4560000000001</v>
      </c>
      <c r="P435">
        <v>0</v>
      </c>
    </row>
    <row r="436" spans="3:16">
      <c r="C436" t="s">
        <v>767</v>
      </c>
      <c r="D436">
        <v>53</v>
      </c>
      <c r="E436" s="21">
        <v>1904</v>
      </c>
      <c r="F436">
        <v>209377.29086962188</v>
      </c>
      <c r="G436">
        <v>9855.4109134595365</v>
      </c>
      <c r="H436">
        <v>2202.9191647545167</v>
      </c>
      <c r="I436">
        <v>167501.83269569752</v>
      </c>
      <c r="J436">
        <v>9270.4005793416763</v>
      </c>
      <c r="K436">
        <v>841.11459017899779</v>
      </c>
      <c r="L436">
        <v>523443.22717405471</v>
      </c>
      <c r="M436">
        <v>11025.431581695255</v>
      </c>
      <c r="N436">
        <v>3564.7237393300347</v>
      </c>
      <c r="O436">
        <v>3427.6839999999997</v>
      </c>
      <c r="P436">
        <v>0</v>
      </c>
    </row>
    <row r="437" spans="3:16">
      <c r="C437" t="s">
        <v>767</v>
      </c>
      <c r="D437">
        <v>54</v>
      </c>
      <c r="E437" s="21">
        <v>1904</v>
      </c>
      <c r="F437">
        <v>225466.14424652257</v>
      </c>
      <c r="G437">
        <v>10675.526746733005</v>
      </c>
      <c r="H437">
        <v>2345.4612016000019</v>
      </c>
      <c r="I437">
        <v>180372.91539721808</v>
      </c>
      <c r="J437">
        <v>10034.421563259704</v>
      </c>
      <c r="K437">
        <v>895.53973152000071</v>
      </c>
      <c r="L437">
        <v>563665.36061630643</v>
      </c>
      <c r="M437">
        <v>11957.737113679603</v>
      </c>
      <c r="N437">
        <v>3795.3826716800022</v>
      </c>
      <c r="O437">
        <v>3485.9119999999998</v>
      </c>
      <c r="P437">
        <v>0</v>
      </c>
    </row>
    <row r="438" spans="3:16">
      <c r="C438" t="s">
        <v>767</v>
      </c>
      <c r="D438">
        <v>55</v>
      </c>
      <c r="E438" s="21">
        <v>1904</v>
      </c>
      <c r="F438">
        <v>242395.93573535618</v>
      </c>
      <c r="G438">
        <v>11547.28091576611</v>
      </c>
      <c r="H438">
        <v>2493.5402581103681</v>
      </c>
      <c r="I438">
        <v>193916.74858828494</v>
      </c>
      <c r="J438">
        <v>10845.923780209569</v>
      </c>
      <c r="K438">
        <v>952.07900764213991</v>
      </c>
      <c r="L438">
        <v>605989.83933839051</v>
      </c>
      <c r="M438">
        <v>12949.995186879201</v>
      </c>
      <c r="N438">
        <v>4035.0015085785963</v>
      </c>
      <c r="O438">
        <v>3544.1399999999994</v>
      </c>
      <c r="P438">
        <v>0</v>
      </c>
    </row>
    <row r="439" spans="3:16">
      <c r="C439" t="s">
        <v>767</v>
      </c>
      <c r="D439">
        <v>56</v>
      </c>
      <c r="E439" s="21">
        <v>1904</v>
      </c>
      <c r="F439">
        <v>260192.73430077705</v>
      </c>
      <c r="G439">
        <v>12473.205030732086</v>
      </c>
      <c r="H439">
        <v>2647.2479664561888</v>
      </c>
      <c r="I439">
        <v>208154.18744062164</v>
      </c>
      <c r="J439">
        <v>11707.20233974182</v>
      </c>
      <c r="K439">
        <v>1010.7674053741812</v>
      </c>
      <c r="L439">
        <v>650481.83575194271</v>
      </c>
      <c r="M439">
        <v>14005.210412712615</v>
      </c>
      <c r="N439">
        <v>4283.7285275381964</v>
      </c>
      <c r="O439">
        <v>3602.3680000000004</v>
      </c>
      <c r="P439">
        <v>0</v>
      </c>
    </row>
    <row r="440" spans="3:16">
      <c r="C440" t="s">
        <v>767</v>
      </c>
      <c r="D440">
        <v>57</v>
      </c>
      <c r="E440" s="21">
        <v>1904</v>
      </c>
      <c r="F440">
        <v>278882.96025306074</v>
      </c>
      <c r="G440">
        <v>13455.940206958727</v>
      </c>
      <c r="H440">
        <v>2806.6759588080295</v>
      </c>
      <c r="I440">
        <v>223106.36820244862</v>
      </c>
      <c r="J440">
        <v>12620.650906046134</v>
      </c>
      <c r="K440">
        <v>1071.6399115448839</v>
      </c>
      <c r="L440">
        <v>697207.40063265199</v>
      </c>
      <c r="M440">
        <v>15126.51880878392</v>
      </c>
      <c r="N440">
        <v>4541.7120060711723</v>
      </c>
      <c r="O440">
        <v>3660.596</v>
      </c>
      <c r="P440">
        <v>0</v>
      </c>
    </row>
    <row r="441" spans="3:16">
      <c r="C441" t="s">
        <v>767</v>
      </c>
      <c r="D441">
        <v>58</v>
      </c>
      <c r="E441" s="21">
        <v>1904</v>
      </c>
      <c r="F441">
        <v>298493.38511505746</v>
      </c>
      <c r="G441">
        <v>14498.242103509194</v>
      </c>
      <c r="H441">
        <v>2971.9158673364564</v>
      </c>
      <c r="I441">
        <v>238794.70809204597</v>
      </c>
      <c r="J441">
        <v>13588.766232673994</v>
      </c>
      <c r="K441">
        <v>1134.7315129830113</v>
      </c>
      <c r="L441">
        <v>746233.46278764354</v>
      </c>
      <c r="M441">
        <v>16317.193845179594</v>
      </c>
      <c r="N441">
        <v>4809.1002216899024</v>
      </c>
      <c r="O441">
        <v>3718.8240000000001</v>
      </c>
      <c r="P441">
        <v>0</v>
      </c>
    </row>
    <row r="442" spans="3:16">
      <c r="C442" t="s">
        <v>767</v>
      </c>
      <c r="D442">
        <v>59</v>
      </c>
      <c r="E442" s="21">
        <v>1904</v>
      </c>
      <c r="F442">
        <v>319051.13148691563</v>
      </c>
      <c r="G442">
        <v>15602.986242550487</v>
      </c>
      <c r="H442">
        <v>3143.0593242120431</v>
      </c>
      <c r="I442">
        <v>255240.9051895325</v>
      </c>
      <c r="J442">
        <v>14614.152949970357</v>
      </c>
      <c r="K442">
        <v>1200.077196517328</v>
      </c>
      <c r="L442">
        <v>797627.82871728914</v>
      </c>
      <c r="M442">
        <v>17580.652827710754</v>
      </c>
      <c r="N442">
        <v>5086.0414519067581</v>
      </c>
      <c r="O442">
        <v>3777.0519999999997</v>
      </c>
      <c r="P442">
        <v>0</v>
      </c>
    </row>
    <row r="443" spans="3:16">
      <c r="C443" t="s">
        <v>767</v>
      </c>
      <c r="D443">
        <v>60</v>
      </c>
      <c r="E443" s="21">
        <v>1904</v>
      </c>
      <c r="F443">
        <v>342261.42499239492</v>
      </c>
      <c r="G443">
        <v>16855.800099010041</v>
      </c>
      <c r="H443">
        <v>3336.5536165886315</v>
      </c>
      <c r="I443">
        <v>273809.13999391592</v>
      </c>
      <c r="J443">
        <v>15776.86620121606</v>
      </c>
      <c r="K443">
        <v>1273.9568354247513</v>
      </c>
      <c r="L443">
        <v>855653.56248098728</v>
      </c>
      <c r="M443">
        <v>19013.667894598002</v>
      </c>
      <c r="N443">
        <v>5399.1503977525117</v>
      </c>
      <c r="O443">
        <v>3835.2799999999997</v>
      </c>
      <c r="P443">
        <v>0</v>
      </c>
    </row>
    <row r="444" spans="3:16">
      <c r="C444" t="s">
        <v>767</v>
      </c>
      <c r="D444">
        <v>61</v>
      </c>
      <c r="E444" s="21">
        <v>1904</v>
      </c>
      <c r="F444">
        <v>366610.36097149836</v>
      </c>
      <c r="G444">
        <v>18185.128381700393</v>
      </c>
      <c r="H444">
        <v>3537.110175260872</v>
      </c>
      <c r="I444">
        <v>293288.2887771987</v>
      </c>
      <c r="J444">
        <v>17009.726484486877</v>
      </c>
      <c r="K444">
        <v>1350.532976008697</v>
      </c>
      <c r="L444">
        <v>916525.90242874587</v>
      </c>
      <c r="M444">
        <v>20535.932176127426</v>
      </c>
      <c r="N444">
        <v>5723.6873745130451</v>
      </c>
      <c r="O444">
        <v>3893.5080000000003</v>
      </c>
      <c r="P444">
        <v>0</v>
      </c>
    </row>
    <row r="445" spans="3:16">
      <c r="C445" t="s">
        <v>767</v>
      </c>
      <c r="D445">
        <v>62</v>
      </c>
      <c r="E445" s="21">
        <v>1904</v>
      </c>
      <c r="F445">
        <v>392131.05357052607</v>
      </c>
      <c r="G445">
        <v>19594.694056239518</v>
      </c>
      <c r="H445">
        <v>3744.8389588334485</v>
      </c>
      <c r="I445">
        <v>313704.84285642084</v>
      </c>
      <c r="J445">
        <v>18316.104461312556</v>
      </c>
      <c r="K445">
        <v>1429.8476024636821</v>
      </c>
      <c r="L445">
        <v>980327.63392631512</v>
      </c>
      <c r="M445">
        <v>22151.873246093441</v>
      </c>
      <c r="N445">
        <v>6059.8303152032149</v>
      </c>
      <c r="O445">
        <v>3951.7360000000003</v>
      </c>
      <c r="P445">
        <v>0</v>
      </c>
    </row>
    <row r="446" spans="3:16">
      <c r="C446" t="s">
        <v>767</v>
      </c>
      <c r="D446">
        <v>63</v>
      </c>
      <c r="E446" s="21">
        <v>1904</v>
      </c>
      <c r="F446">
        <v>418857.03773117863</v>
      </c>
      <c r="G446">
        <v>21088.385532090917</v>
      </c>
      <c r="H446">
        <v>3959.8499259110376</v>
      </c>
      <c r="I446">
        <v>335085.63018494291</v>
      </c>
      <c r="J446">
        <v>19699.519692683833</v>
      </c>
      <c r="K446">
        <v>1511.9426989842159</v>
      </c>
      <c r="L446">
        <v>1047142.5943279467</v>
      </c>
      <c r="M446">
        <v>23866.117210905086</v>
      </c>
      <c r="N446">
        <v>6407.7571528378612</v>
      </c>
      <c r="O446">
        <v>4009.9639999999999</v>
      </c>
      <c r="P446">
        <v>0</v>
      </c>
    </row>
    <row r="447" spans="3:16">
      <c r="C447" t="s">
        <v>767</v>
      </c>
      <c r="D447">
        <v>64</v>
      </c>
      <c r="E447" s="21">
        <v>1904</v>
      </c>
      <c r="F447">
        <v>446822.26902884035</v>
      </c>
      <c r="G447">
        <v>22670.264719893756</v>
      </c>
      <c r="H447">
        <v>4182.2530350983343</v>
      </c>
      <c r="I447">
        <v>357457.81522307231</v>
      </c>
      <c r="J447">
        <v>21163.647890649532</v>
      </c>
      <c r="K447">
        <v>1596.8602497648226</v>
      </c>
      <c r="L447">
        <v>1117055.672572101</v>
      </c>
      <c r="M447">
        <v>25683.498378382203</v>
      </c>
      <c r="N447">
        <v>6767.6458204318442</v>
      </c>
      <c r="O447">
        <v>4068.192</v>
      </c>
      <c r="P447">
        <v>0</v>
      </c>
    </row>
    <row r="448" spans="3:16">
      <c r="C448" t="s">
        <v>767</v>
      </c>
      <c r="D448">
        <v>65</v>
      </c>
      <c r="E448" s="21">
        <v>1904</v>
      </c>
      <c r="F448">
        <v>476061.12351011229</v>
      </c>
      <c r="G448">
        <v>24344.575564307564</v>
      </c>
      <c r="H448">
        <v>4412.1582450000042</v>
      </c>
      <c r="I448">
        <v>380848.89880808984</v>
      </c>
      <c r="J448">
        <v>22712.328597876807</v>
      </c>
      <c r="K448">
        <v>1684.6422390000062</v>
      </c>
      <c r="L448">
        <v>1190152.8087752808</v>
      </c>
      <c r="M448">
        <v>27609.069497169075</v>
      </c>
      <c r="N448">
        <v>7139.6742510000022</v>
      </c>
      <c r="O448">
        <v>4126.42</v>
      </c>
      <c r="P448">
        <v>0</v>
      </c>
    </row>
    <row r="449" spans="3:16">
      <c r="C449" t="s">
        <v>767</v>
      </c>
      <c r="D449">
        <v>66</v>
      </c>
      <c r="E449" s="21">
        <v>1904</v>
      </c>
      <c r="F449">
        <v>506608.39752994396</v>
      </c>
      <c r="G449">
        <v>26115.753085437129</v>
      </c>
      <c r="H449">
        <v>4649.6755142207421</v>
      </c>
      <c r="I449">
        <v>405286.71802395518</v>
      </c>
      <c r="J449">
        <v>24349.57332493355</v>
      </c>
      <c r="K449">
        <v>1775.330650884287</v>
      </c>
      <c r="L449">
        <v>1266520.9938248598</v>
      </c>
      <c r="M449">
        <v>29648.112606444287</v>
      </c>
      <c r="N449">
        <v>7524.0203775571972</v>
      </c>
      <c r="O449">
        <v>4184.6480000000001</v>
      </c>
      <c r="P449">
        <v>0</v>
      </c>
    </row>
    <row r="450" spans="3:16">
      <c r="C450" t="s">
        <v>767</v>
      </c>
      <c r="D450">
        <v>67</v>
      </c>
      <c r="E450" s="21">
        <v>1904</v>
      </c>
      <c r="F450">
        <v>538499.30758867436</v>
      </c>
      <c r="G450">
        <v>27752.77138590072</v>
      </c>
      <c r="H450">
        <v>4894.9148013652211</v>
      </c>
      <c r="I450">
        <v>430799.44607093948</v>
      </c>
      <c r="J450">
        <v>25867.478756649776</v>
      </c>
      <c r="K450">
        <v>1868.9674696121729</v>
      </c>
      <c r="L450">
        <v>1346248.2689716858</v>
      </c>
      <c r="M450">
        <v>31523.3566444026</v>
      </c>
      <c r="N450">
        <v>7920.8621331182658</v>
      </c>
      <c r="O450">
        <v>4242.8759999999993</v>
      </c>
      <c r="P450">
        <v>0</v>
      </c>
    </row>
    <row r="451" spans="3:16">
      <c r="C451" t="s">
        <v>767</v>
      </c>
      <c r="D451">
        <v>68</v>
      </c>
      <c r="E451" s="21">
        <v>1904</v>
      </c>
      <c r="F451">
        <v>571769.49016925297</v>
      </c>
      <c r="G451">
        <v>29464.840077409775</v>
      </c>
      <c r="H451">
        <v>5147.9860650381324</v>
      </c>
      <c r="I451">
        <v>457415.59213540243</v>
      </c>
      <c r="J451">
        <v>27454.353536039373</v>
      </c>
      <c r="K451">
        <v>1965.594679378195</v>
      </c>
      <c r="L451">
        <v>1429423.7254231325</v>
      </c>
      <c r="M451">
        <v>33485.813160150588</v>
      </c>
      <c r="N451">
        <v>8330.3774506980699</v>
      </c>
      <c r="O451">
        <v>4301.1040000000003</v>
      </c>
      <c r="P451">
        <v>0</v>
      </c>
    </row>
    <row r="452" spans="3:16">
      <c r="C452" t="s">
        <v>767</v>
      </c>
      <c r="D452">
        <v>69</v>
      </c>
      <c r="E452" s="21">
        <v>1904</v>
      </c>
      <c r="F452">
        <v>606455.00157487253</v>
      </c>
      <c r="G452">
        <v>31254.653367331281</v>
      </c>
      <c r="H452">
        <v>5408.9992638441545</v>
      </c>
      <c r="I452">
        <v>485164.00125989807</v>
      </c>
      <c r="J452">
        <v>29112.642442206179</v>
      </c>
      <c r="K452">
        <v>2065.2542643768611</v>
      </c>
      <c r="L452">
        <v>1516137.5039371813</v>
      </c>
      <c r="M452">
        <v>35538.675217581476</v>
      </c>
      <c r="N452">
        <v>8752.744263311446</v>
      </c>
      <c r="O452">
        <v>4359.3320000000003</v>
      </c>
      <c r="P452">
        <v>0</v>
      </c>
    </row>
    <row r="453" spans="3:16">
      <c r="C453" t="s">
        <v>767</v>
      </c>
      <c r="D453">
        <v>70</v>
      </c>
      <c r="E453" s="21">
        <v>1904</v>
      </c>
      <c r="F453">
        <v>645026.37957693916</v>
      </c>
      <c r="G453">
        <v>33250.482192434582</v>
      </c>
      <c r="H453">
        <v>5699.5721759197404</v>
      </c>
      <c r="I453">
        <v>516021.10366155131</v>
      </c>
      <c r="J453">
        <v>30961.719823358351</v>
      </c>
      <c r="K453">
        <v>2176.2002853511731</v>
      </c>
      <c r="L453">
        <v>1612565.9489423479</v>
      </c>
      <c r="M453">
        <v>37828.006930587049</v>
      </c>
      <c r="N453">
        <v>9222.9440664883041</v>
      </c>
      <c r="O453">
        <v>4417.5600000000004</v>
      </c>
      <c r="P453">
        <v>0</v>
      </c>
    </row>
    <row r="454" spans="3:16">
      <c r="C454" t="s">
        <v>767</v>
      </c>
      <c r="D454">
        <v>71</v>
      </c>
      <c r="E454" s="21">
        <v>1904</v>
      </c>
      <c r="F454">
        <v>685256.98853293771</v>
      </c>
      <c r="G454">
        <v>35338.655076729192</v>
      </c>
      <c r="H454">
        <v>5999.4045701725809</v>
      </c>
      <c r="I454">
        <v>548205.59082635015</v>
      </c>
      <c r="J454">
        <v>32895.590399996749</v>
      </c>
      <c r="K454">
        <v>2290.6817449749869</v>
      </c>
      <c r="L454">
        <v>1713142.4713323442</v>
      </c>
      <c r="M454">
        <v>40224.784430194093</v>
      </c>
      <c r="N454">
        <v>9708.1273953701748</v>
      </c>
      <c r="O454">
        <v>4475.7879999999996</v>
      </c>
      <c r="P454">
        <v>0</v>
      </c>
    </row>
    <row r="455" spans="3:16">
      <c r="C455" t="s">
        <v>767</v>
      </c>
      <c r="D455">
        <v>72</v>
      </c>
      <c r="E455" s="21">
        <v>1904</v>
      </c>
      <c r="F455">
        <v>727189.60879170767</v>
      </c>
      <c r="G455">
        <v>37522.552086604584</v>
      </c>
      <c r="H455">
        <v>6308.6247316414774</v>
      </c>
      <c r="I455">
        <v>581751.68703336618</v>
      </c>
      <c r="J455">
        <v>34917.319556424394</v>
      </c>
      <c r="K455">
        <v>2408.7476248085659</v>
      </c>
      <c r="L455">
        <v>1817974.0219792693</v>
      </c>
      <c r="M455">
        <v>42733.017146964965</v>
      </c>
      <c r="N455">
        <v>10208.501838474387</v>
      </c>
      <c r="O455">
        <v>4534.0159999999996</v>
      </c>
      <c r="P455">
        <v>0</v>
      </c>
    </row>
    <row r="456" spans="3:16">
      <c r="C456" t="s">
        <v>767</v>
      </c>
      <c r="D456">
        <v>73</v>
      </c>
      <c r="E456" s="21">
        <v>1904</v>
      </c>
      <c r="F456">
        <v>770867.50996098004</v>
      </c>
      <c r="G456">
        <v>39805.687672259344</v>
      </c>
      <c r="H456">
        <v>6627.3609453652243</v>
      </c>
      <c r="I456">
        <v>616694.00796878408</v>
      </c>
      <c r="J456">
        <v>37030.093622372544</v>
      </c>
      <c r="K456">
        <v>2530.446906412184</v>
      </c>
      <c r="L456">
        <v>1927168.7749024499</v>
      </c>
      <c r="M456">
        <v>45356.875772032952</v>
      </c>
      <c r="N456">
        <v>10724.274984318268</v>
      </c>
      <c r="O456">
        <v>4592.2439999999997</v>
      </c>
      <c r="P456">
        <v>0</v>
      </c>
    </row>
    <row r="457" spans="3:16">
      <c r="C457" t="s">
        <v>767</v>
      </c>
      <c r="D457">
        <v>74</v>
      </c>
      <c r="E457" s="21">
        <v>1904</v>
      </c>
      <c r="F457">
        <v>816334.45072426426</v>
      </c>
      <c r="G457">
        <v>42191.717918626236</v>
      </c>
      <c r="H457">
        <v>6955.7414963826159</v>
      </c>
      <c r="I457">
        <v>653067.56057941157</v>
      </c>
      <c r="J457">
        <v>39237.226398833176</v>
      </c>
      <c r="K457">
        <v>2655.8285713460937</v>
      </c>
      <c r="L457">
        <v>2040836.1268106608</v>
      </c>
      <c r="M457">
        <v>48100.70095821235</v>
      </c>
      <c r="N457">
        <v>11255.654421419138</v>
      </c>
      <c r="O457">
        <v>4650.4720000000007</v>
      </c>
      <c r="P457">
        <v>0</v>
      </c>
    </row>
    <row r="458" spans="3:16">
      <c r="C458" t="s">
        <v>767</v>
      </c>
      <c r="D458">
        <v>75</v>
      </c>
      <c r="E458" s="21">
        <v>1904</v>
      </c>
      <c r="F458">
        <v>863634.67865892954</v>
      </c>
      <c r="G458">
        <v>44684.448270903042</v>
      </c>
      <c r="H458">
        <v>7293.8946697324536</v>
      </c>
      <c r="I458">
        <v>690907.7429271437</v>
      </c>
      <c r="J458">
        <v>41542.166111036822</v>
      </c>
      <c r="K458">
        <v>2784.9416011705798</v>
      </c>
      <c r="L458">
        <v>2159086.6966473237</v>
      </c>
      <c r="M458">
        <v>50969.012590635488</v>
      </c>
      <c r="N458">
        <v>11802.847738294327</v>
      </c>
      <c r="O458">
        <v>4708.7</v>
      </c>
      <c r="P458">
        <v>0</v>
      </c>
    </row>
    <row r="459" spans="3:16">
      <c r="C459" t="s">
        <v>767</v>
      </c>
      <c r="D459">
        <v>76</v>
      </c>
      <c r="E459" s="21">
        <v>1904</v>
      </c>
      <c r="F459">
        <v>912812.93005561747</v>
      </c>
      <c r="G459">
        <v>47287.841771331921</v>
      </c>
      <c r="H459">
        <v>7641.9487504535173</v>
      </c>
      <c r="I459">
        <v>730250.34404449398</v>
      </c>
      <c r="J459">
        <v>43948.502821553921</v>
      </c>
      <c r="K459">
        <v>2917.8349774458948</v>
      </c>
      <c r="L459">
        <v>2282032.3251390434</v>
      </c>
      <c r="M459">
        <v>53966.51967088793</v>
      </c>
      <c r="N459">
        <v>12366.062523461143</v>
      </c>
      <c r="O459">
        <v>4766.9279999999999</v>
      </c>
      <c r="P459">
        <v>0</v>
      </c>
    </row>
    <row r="460" spans="3:16">
      <c r="C460" t="s">
        <v>767</v>
      </c>
      <c r="D460">
        <v>77</v>
      </c>
      <c r="E460" s="21">
        <v>1904</v>
      </c>
      <c r="F460">
        <v>963914.42973908584</v>
      </c>
      <c r="G460">
        <v>50006.027847138714</v>
      </c>
      <c r="H460">
        <v>8000.0320235846193</v>
      </c>
      <c r="I460">
        <v>771131.54379126872</v>
      </c>
      <c r="J460">
        <v>46459.976339440233</v>
      </c>
      <c r="K460">
        <v>3054.5576817323054</v>
      </c>
      <c r="L460">
        <v>2409786.0743477149</v>
      </c>
      <c r="M460">
        <v>57098.130862535683</v>
      </c>
      <c r="N460">
        <v>12945.506365436926</v>
      </c>
      <c r="O460">
        <v>4825.1559999999999</v>
      </c>
      <c r="P460">
        <v>0</v>
      </c>
    </row>
    <row r="461" spans="3:16">
      <c r="C461" t="s">
        <v>767</v>
      </c>
      <c r="D461">
        <v>78</v>
      </c>
      <c r="E461" s="21">
        <v>1904</v>
      </c>
      <c r="F461">
        <v>1016984.8908905839</v>
      </c>
      <c r="G461">
        <v>52843.311693144795</v>
      </c>
      <c r="H461">
        <v>8368.272774164554</v>
      </c>
      <c r="I461">
        <v>813587.91271246714</v>
      </c>
      <c r="J461">
        <v>49080.484664587508</v>
      </c>
      <c r="K461">
        <v>3195.1586955901075</v>
      </c>
      <c r="L461">
        <v>2542462.2272264599</v>
      </c>
      <c r="M461">
        <v>60368.965750259369</v>
      </c>
      <c r="N461">
        <v>13541.386852739</v>
      </c>
      <c r="O461">
        <v>4883.384</v>
      </c>
      <c r="P461">
        <v>0</v>
      </c>
    </row>
    <row r="462" spans="3:16">
      <c r="C462" t="s">
        <v>767</v>
      </c>
      <c r="D462">
        <v>79</v>
      </c>
      <c r="E462" s="21">
        <v>1904</v>
      </c>
      <c r="F462">
        <v>1072070.5148718385</v>
      </c>
      <c r="G462">
        <v>55804.184296534848</v>
      </c>
      <c r="H462">
        <v>8746.7992872321192</v>
      </c>
      <c r="I462">
        <v>857656.41189747083</v>
      </c>
      <c r="J462">
        <v>51814.093010014469</v>
      </c>
      <c r="K462">
        <v>3339.6870005795463</v>
      </c>
      <c r="L462">
        <v>2680176.2871795958</v>
      </c>
      <c r="M462">
        <v>63784.366869575591</v>
      </c>
      <c r="N462">
        <v>14153.911573884696</v>
      </c>
      <c r="O462">
        <v>4941.6120000000001</v>
      </c>
      <c r="P462">
        <v>0</v>
      </c>
    </row>
    <row r="463" spans="3:16">
      <c r="C463" t="s">
        <v>767</v>
      </c>
      <c r="D463">
        <v>80</v>
      </c>
      <c r="E463" s="21">
        <v>1904</v>
      </c>
      <c r="F463">
        <v>1132588.7910239906</v>
      </c>
      <c r="G463">
        <v>59069.134150141501</v>
      </c>
      <c r="H463">
        <v>9163.0107130434808</v>
      </c>
      <c r="I463">
        <v>906071.03281919262</v>
      </c>
      <c r="J463">
        <v>54828.222682953434</v>
      </c>
      <c r="K463">
        <v>3498.6040904347828</v>
      </c>
      <c r="L463">
        <v>2831471.9775599767</v>
      </c>
      <c r="M463">
        <v>67550.95708451762</v>
      </c>
      <c r="N463">
        <v>14827.417335652175</v>
      </c>
      <c r="O463">
        <v>4999.84</v>
      </c>
      <c r="P463">
        <v>0</v>
      </c>
    </row>
    <row r="464" spans="3:16">
      <c r="C464" t="s">
        <v>767</v>
      </c>
      <c r="D464">
        <v>81</v>
      </c>
      <c r="E464" s="21">
        <v>1904</v>
      </c>
      <c r="F464">
        <v>1195424.6398836989</v>
      </c>
      <c r="G464">
        <v>70924.043803160064</v>
      </c>
      <c r="H464">
        <v>9590.9842774822864</v>
      </c>
      <c r="I464">
        <v>956339.71190695907</v>
      </c>
      <c r="J464">
        <v>65575.45474602266</v>
      </c>
      <c r="K464">
        <v>3662.0121786750606</v>
      </c>
      <c r="L464">
        <v>2988561.5997092472</v>
      </c>
      <c r="M464">
        <v>81621.221917434872</v>
      </c>
      <c r="N464">
        <v>15519.956376289509</v>
      </c>
      <c r="O464">
        <v>5058.0680000000002</v>
      </c>
      <c r="P464">
        <v>0</v>
      </c>
    </row>
    <row r="465" spans="3:16">
      <c r="C465" t="s">
        <v>767</v>
      </c>
      <c r="D465">
        <v>82</v>
      </c>
      <c r="E465" s="21">
        <v>1904</v>
      </c>
      <c r="F465">
        <v>1260631.7167829585</v>
      </c>
      <c r="G465">
        <v>75599.326167863037</v>
      </c>
      <c r="H465">
        <v>10030.866592021412</v>
      </c>
      <c r="I465">
        <v>1008505.3734263668</v>
      </c>
      <c r="J465">
        <v>69863.18747689882</v>
      </c>
      <c r="K465">
        <v>3829.9672442263618</v>
      </c>
      <c r="L465">
        <v>3151579.2919573961</v>
      </c>
      <c r="M465">
        <v>87071.6035497915</v>
      </c>
      <c r="N465">
        <v>16231.765939816461</v>
      </c>
      <c r="O465">
        <v>5116.2960000000003</v>
      </c>
      <c r="P465">
        <v>0</v>
      </c>
    </row>
    <row r="466" spans="3:16">
      <c r="C466" t="s">
        <v>767</v>
      </c>
      <c r="D466">
        <v>83</v>
      </c>
      <c r="E466" s="21">
        <v>1904</v>
      </c>
      <c r="F466">
        <v>1328264.2344247531</v>
      </c>
      <c r="G466">
        <v>80528.452316885523</v>
      </c>
      <c r="H466">
        <v>10482.804268133787</v>
      </c>
      <c r="I466">
        <v>1062611.3875398026</v>
      </c>
      <c r="J466">
        <v>74381.571497584941</v>
      </c>
      <c r="K466">
        <v>4002.5252660147162</v>
      </c>
      <c r="L466">
        <v>3320660.5860618828</v>
      </c>
      <c r="M466">
        <v>92822.213955486703</v>
      </c>
      <c r="N466">
        <v>16963.083270252853</v>
      </c>
      <c r="O466">
        <v>5174.5240000000003</v>
      </c>
      <c r="P466">
        <v>0</v>
      </c>
    </row>
    <row r="467" spans="3:16">
      <c r="C467" t="s">
        <v>767</v>
      </c>
      <c r="D467">
        <v>84</v>
      </c>
      <c r="E467" s="21">
        <v>1904</v>
      </c>
      <c r="F467">
        <v>1398376.9626908791</v>
      </c>
      <c r="G467">
        <v>85723.909338584665</v>
      </c>
      <c r="H467">
        <v>10946.943917292316</v>
      </c>
      <c r="I467">
        <v>1118701.5701527034</v>
      </c>
      <c r="J467">
        <v>79141.871844233887</v>
      </c>
      <c r="K467">
        <v>4179.7422229661679</v>
      </c>
      <c r="L467">
        <v>3495942.406727198</v>
      </c>
      <c r="M467">
        <v>98887.984327286205</v>
      </c>
      <c r="N467">
        <v>17714.145611618467</v>
      </c>
      <c r="O467">
        <v>5232.7520000000004</v>
      </c>
      <c r="P467">
        <v>0</v>
      </c>
    </row>
    <row r="468" spans="3:16">
      <c r="C468" t="s">
        <v>767</v>
      </c>
      <c r="D468">
        <v>85</v>
      </c>
      <c r="E468" s="21">
        <v>1904</v>
      </c>
      <c r="F468">
        <v>1471025.2284517922</v>
      </c>
      <c r="G468">
        <v>91198.832817882329</v>
      </c>
      <c r="H468">
        <v>11423.4321509699</v>
      </c>
      <c r="I468">
        <v>1176820.1827614338</v>
      </c>
      <c r="J468">
        <v>84155.937199906795</v>
      </c>
      <c r="K468">
        <v>4361.6740940066957</v>
      </c>
      <c r="L468">
        <v>3677563.0711294808</v>
      </c>
      <c r="M468">
        <v>105284.62405383337</v>
      </c>
      <c r="N468">
        <v>18485.190207933108</v>
      </c>
      <c r="O468">
        <v>5290.98</v>
      </c>
      <c r="P468">
        <v>0</v>
      </c>
    </row>
    <row r="469" spans="3:16">
      <c r="C469" t="s">
        <v>767</v>
      </c>
      <c r="D469">
        <v>86</v>
      </c>
      <c r="E469" s="21">
        <v>1904</v>
      </c>
      <c r="F469">
        <v>1546264.9153785051</v>
      </c>
      <c r="G469">
        <v>96967.047032333256</v>
      </c>
      <c r="H469">
        <v>11912.41558063947</v>
      </c>
      <c r="I469">
        <v>1237011.9323028042</v>
      </c>
      <c r="J469">
        <v>89436.236071034378</v>
      </c>
      <c r="K469">
        <v>4548.3768580623437</v>
      </c>
      <c r="L469">
        <v>3865662.2884462625</v>
      </c>
      <c r="M469">
        <v>112028.668954931</v>
      </c>
      <c r="N469">
        <v>19276.454303216589</v>
      </c>
      <c r="O469">
        <v>5349.2079999999996</v>
      </c>
      <c r="P469">
        <v>0</v>
      </c>
    </row>
    <row r="470" spans="3:16">
      <c r="C470" t="s">
        <v>767</v>
      </c>
      <c r="D470">
        <v>87</v>
      </c>
      <c r="E470" s="21">
        <v>1904</v>
      </c>
      <c r="F470">
        <v>1624152.4637565666</v>
      </c>
      <c r="G470">
        <v>103043.10817551166</v>
      </c>
      <c r="H470">
        <v>12414.040817773923</v>
      </c>
      <c r="I470">
        <v>1299321.9710052533</v>
      </c>
      <c r="J470">
        <v>94995.895688464836</v>
      </c>
      <c r="K470">
        <v>4739.9064940591416</v>
      </c>
      <c r="L470">
        <v>4060381.1593914162</v>
      </c>
      <c r="M470">
        <v>119137.5331496053</v>
      </c>
      <c r="N470">
        <v>20088.175141488697</v>
      </c>
      <c r="O470">
        <v>5407.4360000000006</v>
      </c>
      <c r="P470">
        <v>0</v>
      </c>
    </row>
    <row r="471" spans="3:16">
      <c r="C471" t="s">
        <v>767</v>
      </c>
      <c r="D471">
        <v>88</v>
      </c>
      <c r="E471" s="21">
        <v>1904</v>
      </c>
      <c r="F471">
        <v>1704744.87030214</v>
      </c>
      <c r="G471">
        <v>109442.35087709768</v>
      </c>
      <c r="H471">
        <v>12928.454473846155</v>
      </c>
      <c r="I471">
        <v>1363795.8962417122</v>
      </c>
      <c r="J471">
        <v>100848.74387554175</v>
      </c>
      <c r="K471">
        <v>4936.3189809230826</v>
      </c>
      <c r="L471">
        <v>4261862.1757553499</v>
      </c>
      <c r="M471">
        <v>126629.56488020951</v>
      </c>
      <c r="N471">
        <v>20920.589966769228</v>
      </c>
      <c r="O471">
        <v>5465.6640000000007</v>
      </c>
      <c r="P471">
        <v>0</v>
      </c>
    </row>
    <row r="472" spans="3:16">
      <c r="C472" t="s">
        <v>767</v>
      </c>
      <c r="D472">
        <v>89</v>
      </c>
      <c r="E472" s="21">
        <v>1904</v>
      </c>
      <c r="F472">
        <v>1788099.6879801806</v>
      </c>
      <c r="G472">
        <v>116180.93831678941</v>
      </c>
      <c r="H472">
        <v>13455.803160329095</v>
      </c>
      <c r="I472">
        <v>1430479.7503841447</v>
      </c>
      <c r="J472">
        <v>107009.35415062486</v>
      </c>
      <c r="K472">
        <v>5137.6702975801963</v>
      </c>
      <c r="L472">
        <v>4470249.2199504524</v>
      </c>
      <c r="M472">
        <v>134524.10664911853</v>
      </c>
      <c r="N472">
        <v>21773.936023077986</v>
      </c>
      <c r="O472">
        <v>5523.8919999999998</v>
      </c>
      <c r="P472">
        <v>0</v>
      </c>
    </row>
    <row r="473" spans="3:16">
      <c r="C473" t="s">
        <v>767</v>
      </c>
      <c r="D473">
        <v>90</v>
      </c>
      <c r="E473" s="21">
        <v>1904</v>
      </c>
      <c r="F473">
        <v>1874275.0258247333</v>
      </c>
      <c r="G473">
        <v>123275.91626017389</v>
      </c>
      <c r="H473">
        <v>13996.23348869566</v>
      </c>
      <c r="I473">
        <v>1499420.0206597866</v>
      </c>
      <c r="J473">
        <v>113493.09435937391</v>
      </c>
      <c r="K473">
        <v>5344.0164229565344</v>
      </c>
      <c r="L473">
        <v>4685687.5645618327</v>
      </c>
      <c r="M473">
        <v>142841.5600617739</v>
      </c>
      <c r="N473">
        <v>22648.450554434778</v>
      </c>
      <c r="O473">
        <v>5582.12</v>
      </c>
      <c r="P473">
        <v>0</v>
      </c>
    </row>
    <row r="474" spans="3:16">
      <c r="C474" t="s">
        <v>767</v>
      </c>
      <c r="D474">
        <v>20</v>
      </c>
      <c r="E474" s="21">
        <v>1905</v>
      </c>
      <c r="F474">
        <v>12193.366537815873</v>
      </c>
      <c r="G474">
        <v>455.47630434782616</v>
      </c>
      <c r="H474">
        <v>337.46086956521748</v>
      </c>
      <c r="I474">
        <v>9754.6932302526984</v>
      </c>
      <c r="J474">
        <v>436.92554347826098</v>
      </c>
      <c r="K474">
        <v>283.46713043478269</v>
      </c>
      <c r="L474">
        <v>30483.416344539684</v>
      </c>
      <c r="M474">
        <v>492.57782608695663</v>
      </c>
      <c r="N474">
        <v>391.45460869565227</v>
      </c>
      <c r="O474">
        <v>1506.1599999999999</v>
      </c>
      <c r="P474">
        <v>0</v>
      </c>
    </row>
    <row r="475" spans="3:16">
      <c r="C475" t="s">
        <v>767</v>
      </c>
      <c r="D475">
        <v>21</v>
      </c>
      <c r="E475" s="21">
        <v>1905</v>
      </c>
      <c r="F475">
        <v>13627.267896443749</v>
      </c>
      <c r="G475">
        <v>505.36028817219699</v>
      </c>
      <c r="H475">
        <v>368.90269565217409</v>
      </c>
      <c r="I475">
        <v>10901.814317155</v>
      </c>
      <c r="J475">
        <v>484.33647500715119</v>
      </c>
      <c r="K475">
        <v>309.87826434782619</v>
      </c>
      <c r="L475">
        <v>34068.16974110937</v>
      </c>
      <c r="M475">
        <v>547.40791450228858</v>
      </c>
      <c r="N475">
        <v>427.92712695652193</v>
      </c>
      <c r="O475">
        <v>1564.3879999999999</v>
      </c>
      <c r="P475">
        <v>0</v>
      </c>
    </row>
    <row r="476" spans="3:16">
      <c r="C476" t="s">
        <v>767</v>
      </c>
      <c r="D476">
        <v>22</v>
      </c>
      <c r="E476" s="21">
        <v>1905</v>
      </c>
      <c r="F476">
        <v>15157.820208878849</v>
      </c>
      <c r="G476">
        <v>558.43666896413561</v>
      </c>
      <c r="H476">
        <v>401.64730434782615</v>
      </c>
      <c r="I476">
        <v>12126.25616710308</v>
      </c>
      <c r="J476">
        <v>534.72478641554812</v>
      </c>
      <c r="K476">
        <v>337.38373565217398</v>
      </c>
      <c r="L476">
        <v>37894.550522197125</v>
      </c>
      <c r="M476">
        <v>605.86043406131057</v>
      </c>
      <c r="N476">
        <v>465.91087304347832</v>
      </c>
      <c r="O476">
        <v>1622.616</v>
      </c>
      <c r="P476">
        <v>0</v>
      </c>
    </row>
    <row r="477" spans="3:16">
      <c r="C477" t="s">
        <v>767</v>
      </c>
      <c r="D477">
        <v>23</v>
      </c>
      <c r="E477" s="21">
        <v>1905</v>
      </c>
      <c r="F477">
        <v>17100.608707636922</v>
      </c>
      <c r="G477">
        <v>626.27797793190211</v>
      </c>
      <c r="H477">
        <v>443.81777257525096</v>
      </c>
      <c r="I477">
        <v>13680.486966109538</v>
      </c>
      <c r="J477">
        <v>599.15560194473187</v>
      </c>
      <c r="K477">
        <v>372.80692896321085</v>
      </c>
      <c r="L477">
        <v>42751.521769092302</v>
      </c>
      <c r="M477">
        <v>680.52272990624238</v>
      </c>
      <c r="N477">
        <v>514.82861618729112</v>
      </c>
      <c r="O477">
        <v>1680.8440000000001</v>
      </c>
      <c r="P477">
        <v>0</v>
      </c>
    </row>
    <row r="478" spans="3:16">
      <c r="C478" t="s">
        <v>767</v>
      </c>
      <c r="D478">
        <v>24</v>
      </c>
      <c r="E478" s="21">
        <v>1905</v>
      </c>
      <c r="F478">
        <v>19177.335585501329</v>
      </c>
      <c r="G478">
        <v>698.5815189056982</v>
      </c>
      <c r="H478">
        <v>487.78333110367896</v>
      </c>
      <c r="I478">
        <v>15341.868468401062</v>
      </c>
      <c r="J478">
        <v>667.74603350342272</v>
      </c>
      <c r="K478">
        <v>409.73799812709035</v>
      </c>
      <c r="L478">
        <v>47943.338963753311</v>
      </c>
      <c r="M478">
        <v>760.25248971024917</v>
      </c>
      <c r="N478">
        <v>565.82866408026757</v>
      </c>
      <c r="O478">
        <v>1739.0720000000001</v>
      </c>
      <c r="P478">
        <v>0</v>
      </c>
    </row>
    <row r="479" spans="3:16">
      <c r="C479" t="s">
        <v>767</v>
      </c>
      <c r="D479">
        <v>25</v>
      </c>
      <c r="E479" s="21">
        <v>1905</v>
      </c>
      <c r="F479">
        <v>21391.571822335278</v>
      </c>
      <c r="G479">
        <v>775.50225171527677</v>
      </c>
      <c r="H479">
        <v>533.54397993311056</v>
      </c>
      <c r="I479">
        <v>17113.257457868222</v>
      </c>
      <c r="J479">
        <v>740.63554493839797</v>
      </c>
      <c r="K479">
        <v>448.17694314381288</v>
      </c>
      <c r="L479">
        <v>53478.9295558382</v>
      </c>
      <c r="M479">
        <v>845.23566526903437</v>
      </c>
      <c r="N479">
        <v>618.91101672240825</v>
      </c>
      <c r="O479">
        <v>1797.3000000000002</v>
      </c>
      <c r="P479">
        <v>0</v>
      </c>
    </row>
    <row r="480" spans="3:16">
      <c r="C480" t="s">
        <v>767</v>
      </c>
      <c r="D480">
        <v>26</v>
      </c>
      <c r="E480" s="21">
        <v>1905</v>
      </c>
      <c r="F480">
        <v>24048.169458372489</v>
      </c>
      <c r="G480">
        <v>868.0754053798604</v>
      </c>
      <c r="H480">
        <v>588.47251906354529</v>
      </c>
      <c r="I480">
        <v>19238.535566697992</v>
      </c>
      <c r="J480">
        <v>828.34566636695797</v>
      </c>
      <c r="K480">
        <v>494.31691601337809</v>
      </c>
      <c r="L480">
        <v>60120.423645931223</v>
      </c>
      <c r="M480">
        <v>947.53488340566525</v>
      </c>
      <c r="N480">
        <v>682.62812211371261</v>
      </c>
      <c r="O480">
        <v>1855.528</v>
      </c>
      <c r="P480">
        <v>0</v>
      </c>
    </row>
    <row r="481" spans="3:16">
      <c r="C481" t="s">
        <v>767</v>
      </c>
      <c r="D481">
        <v>27</v>
      </c>
      <c r="E481" s="21">
        <v>1905</v>
      </c>
      <c r="F481">
        <v>26877.738124001164</v>
      </c>
      <c r="G481">
        <v>966.5259269812766</v>
      </c>
      <c r="H481">
        <v>645.60574849498346</v>
      </c>
      <c r="I481">
        <v>21502.190499200933</v>
      </c>
      <c r="J481">
        <v>921.5217941627476</v>
      </c>
      <c r="K481">
        <v>542.30882873578616</v>
      </c>
      <c r="L481">
        <v>67194.345310002915</v>
      </c>
      <c r="M481">
        <v>1056.5341926183346</v>
      </c>
      <c r="N481">
        <v>748.90266825418075</v>
      </c>
      <c r="O481">
        <v>1913.7559999999999</v>
      </c>
      <c r="P481">
        <v>0</v>
      </c>
    </row>
    <row r="482" spans="3:16">
      <c r="C482" t="s">
        <v>767</v>
      </c>
      <c r="D482">
        <v>28</v>
      </c>
      <c r="E482" s="21">
        <v>1905</v>
      </c>
      <c r="F482">
        <v>29884.634421967006</v>
      </c>
      <c r="G482">
        <v>1071.056840151788</v>
      </c>
      <c r="H482">
        <v>704.94366822742495</v>
      </c>
      <c r="I482">
        <v>23907.707537573609</v>
      </c>
      <c r="J482">
        <v>1020.3466495948034</v>
      </c>
      <c r="K482">
        <v>592.15268131103687</v>
      </c>
      <c r="L482">
        <v>74711.586054917527</v>
      </c>
      <c r="M482">
        <v>1172.4772212657576</v>
      </c>
      <c r="N482">
        <v>817.73465514381292</v>
      </c>
      <c r="O482">
        <v>1971.9840000000002</v>
      </c>
      <c r="P482">
        <v>0</v>
      </c>
    </row>
    <row r="483" spans="3:16">
      <c r="C483" t="s">
        <v>767</v>
      </c>
      <c r="D483">
        <v>29</v>
      </c>
      <c r="E483" s="21">
        <v>1905</v>
      </c>
      <c r="F483">
        <v>33073.202331491608</v>
      </c>
      <c r="G483">
        <v>1181.8770675153971</v>
      </c>
      <c r="H483">
        <v>766.48627826086999</v>
      </c>
      <c r="I483">
        <v>26458.561865193289</v>
      </c>
      <c r="J483">
        <v>1125.0082630247271</v>
      </c>
      <c r="K483">
        <v>643.8484737391309</v>
      </c>
      <c r="L483">
        <v>82683.00582872903</v>
      </c>
      <c r="M483">
        <v>1295.6146764967373</v>
      </c>
      <c r="N483">
        <v>889.12408278260909</v>
      </c>
      <c r="O483">
        <v>2030.212</v>
      </c>
      <c r="P483">
        <v>0</v>
      </c>
    </row>
    <row r="484" spans="3:16">
      <c r="C484" t="s">
        <v>767</v>
      </c>
      <c r="D484">
        <v>30</v>
      </c>
      <c r="E484" s="21">
        <v>1905</v>
      </c>
      <c r="F484">
        <v>36903.3708933741</v>
      </c>
      <c r="G484">
        <v>1315.4416670859173</v>
      </c>
      <c r="H484">
        <v>840.61149832775959</v>
      </c>
      <c r="I484">
        <v>29522.696714699283</v>
      </c>
      <c r="J484">
        <v>1251.1464202435463</v>
      </c>
      <c r="K484">
        <v>706.11365859531816</v>
      </c>
      <c r="L484">
        <v>92258.427233435243</v>
      </c>
      <c r="M484">
        <v>1444.0321607706589</v>
      </c>
      <c r="N484">
        <v>975.10933806020114</v>
      </c>
      <c r="O484">
        <v>2088.44</v>
      </c>
      <c r="P484">
        <v>0</v>
      </c>
    </row>
    <row r="485" spans="3:16">
      <c r="C485" t="s">
        <v>767</v>
      </c>
      <c r="D485">
        <v>31</v>
      </c>
      <c r="E485" s="21">
        <v>1905</v>
      </c>
      <c r="F485">
        <v>41085.935498671017</v>
      </c>
      <c r="G485">
        <v>1459.9105504311335</v>
      </c>
      <c r="H485">
        <v>918.36506916000019</v>
      </c>
      <c r="I485">
        <v>32868.748398936812</v>
      </c>
      <c r="J485">
        <v>1388.2810394495586</v>
      </c>
      <c r="K485">
        <v>767.41113471507708</v>
      </c>
      <c r="L485">
        <v>102714.83874667753</v>
      </c>
      <c r="M485">
        <v>1603.1695723942833</v>
      </c>
      <c r="N485">
        <v>1069.3190036049232</v>
      </c>
      <c r="O485">
        <v>2146.6680000000001</v>
      </c>
      <c r="P485">
        <v>0</v>
      </c>
    </row>
    <row r="486" spans="3:16">
      <c r="C486" t="s">
        <v>767</v>
      </c>
      <c r="D486">
        <v>32</v>
      </c>
      <c r="E486" s="21">
        <v>1905</v>
      </c>
      <c r="F486">
        <v>45556.056218583901</v>
      </c>
      <c r="G486">
        <v>1614.1126084319108</v>
      </c>
      <c r="H486">
        <v>999.54583372093657</v>
      </c>
      <c r="I486">
        <v>36444.844974867119</v>
      </c>
      <c r="J486">
        <v>1534.6313339592882</v>
      </c>
      <c r="K486">
        <v>830.7700617975654</v>
      </c>
      <c r="L486">
        <v>113890.14054645975</v>
      </c>
      <c r="M486">
        <v>1773.0751573771554</v>
      </c>
      <c r="N486">
        <v>1168.321605644308</v>
      </c>
      <c r="O486">
        <v>2204.8960000000002</v>
      </c>
      <c r="P486">
        <v>0</v>
      </c>
    </row>
    <row r="487" spans="3:16">
      <c r="C487" t="s">
        <v>767</v>
      </c>
      <c r="D487">
        <v>33</v>
      </c>
      <c r="E487" s="21">
        <v>1905</v>
      </c>
      <c r="F487">
        <v>50304.000751754298</v>
      </c>
      <c r="G487">
        <v>1777.7373015555841</v>
      </c>
      <c r="H487">
        <v>1083.7432126866229</v>
      </c>
      <c r="I487">
        <v>40243.200601403441</v>
      </c>
      <c r="J487">
        <v>1689.9007674736044</v>
      </c>
      <c r="K487">
        <v>895.77447289284351</v>
      </c>
      <c r="L487">
        <v>125760.00187938575</v>
      </c>
      <c r="M487">
        <v>1953.4103697195435</v>
      </c>
      <c r="N487">
        <v>1271.711952480402</v>
      </c>
      <c r="O487">
        <v>2263.1239999999998</v>
      </c>
      <c r="P487">
        <v>0</v>
      </c>
    </row>
    <row r="488" spans="3:16">
      <c r="C488" t="s">
        <v>767</v>
      </c>
      <c r="D488">
        <v>34</v>
      </c>
      <c r="E488" s="21">
        <v>1905</v>
      </c>
      <c r="F488">
        <v>55334.501300328171</v>
      </c>
      <c r="G488">
        <v>1950.9995193775903</v>
      </c>
      <c r="H488">
        <v>1170.8787159475587</v>
      </c>
      <c r="I488">
        <v>44267.60104026254</v>
      </c>
      <c r="J488">
        <v>1854.2927368471892</v>
      </c>
      <c r="K488">
        <v>962.28519680395993</v>
      </c>
      <c r="L488">
        <v>138336.25325082042</v>
      </c>
      <c r="M488">
        <v>2144.4130844383926</v>
      </c>
      <c r="N488">
        <v>1379.4722350911575</v>
      </c>
      <c r="O488">
        <v>2321.3520000000003</v>
      </c>
      <c r="P488">
        <v>0</v>
      </c>
    </row>
    <row r="489" spans="3:16">
      <c r="C489" t="s">
        <v>767</v>
      </c>
      <c r="D489">
        <v>35</v>
      </c>
      <c r="E489" s="21">
        <v>1905</v>
      </c>
      <c r="F489">
        <v>60651.897123777431</v>
      </c>
      <c r="G489">
        <v>2134.1103830077054</v>
      </c>
      <c r="H489">
        <v>1260.8678556521741</v>
      </c>
      <c r="I489">
        <v>48521.517699021948</v>
      </c>
      <c r="J489">
        <v>2028.0072473156306</v>
      </c>
      <c r="K489">
        <v>1030.1558650434786</v>
      </c>
      <c r="L489">
        <v>151629.74280944359</v>
      </c>
      <c r="M489">
        <v>2346.3166543918551</v>
      </c>
      <c r="N489">
        <v>1491.5798462608698</v>
      </c>
      <c r="O489">
        <v>2379.58</v>
      </c>
      <c r="P489">
        <v>0</v>
      </c>
    </row>
    <row r="490" spans="3:16">
      <c r="C490" t="s">
        <v>767</v>
      </c>
      <c r="D490">
        <v>36</v>
      </c>
      <c r="E490" s="21">
        <v>1905</v>
      </c>
      <c r="F490">
        <v>66260.119279279548</v>
      </c>
      <c r="G490">
        <v>2327.2771008885406</v>
      </c>
      <c r="H490">
        <v>1353.6201462068229</v>
      </c>
      <c r="I490">
        <v>53008.095423423634</v>
      </c>
      <c r="J490">
        <v>2211.2407827140678</v>
      </c>
      <c r="K490">
        <v>1099.2329118334717</v>
      </c>
      <c r="L490">
        <v>165650.29819819887</v>
      </c>
      <c r="M490">
        <v>2559.3497372374859</v>
      </c>
      <c r="N490">
        <v>1608.007380580174</v>
      </c>
      <c r="O490">
        <v>2437.808</v>
      </c>
      <c r="P490">
        <v>0</v>
      </c>
    </row>
    <row r="491" spans="3:16">
      <c r="C491" t="s">
        <v>767</v>
      </c>
      <c r="D491">
        <v>37</v>
      </c>
      <c r="E491" s="21">
        <v>1905</v>
      </c>
      <c r="F491">
        <v>72162.675328603087</v>
      </c>
      <c r="G491">
        <v>2556.0061475676844</v>
      </c>
      <c r="H491">
        <v>1449.0391042757865</v>
      </c>
      <c r="I491">
        <v>57730.140262882473</v>
      </c>
      <c r="J491">
        <v>2426.9591663721203</v>
      </c>
      <c r="K491">
        <v>1169.3555741055256</v>
      </c>
      <c r="L491">
        <v>180406.68832150771</v>
      </c>
      <c r="M491">
        <v>2814.1001099588129</v>
      </c>
      <c r="N491">
        <v>1728.7226344460471</v>
      </c>
      <c r="O491">
        <v>2496.0360000000001</v>
      </c>
      <c r="P491">
        <v>0</v>
      </c>
    </row>
    <row r="492" spans="3:16">
      <c r="C492" t="s">
        <v>767</v>
      </c>
      <c r="D492">
        <v>38</v>
      </c>
      <c r="E492" s="21">
        <v>1905</v>
      </c>
      <c r="F492">
        <v>78362.634018870143</v>
      </c>
      <c r="G492">
        <v>2799.6080663450243</v>
      </c>
      <c r="H492">
        <v>1547.0222487812714</v>
      </c>
      <c r="I492">
        <v>62690.107215096112</v>
      </c>
      <c r="J492">
        <v>2656.5518834964751</v>
      </c>
      <c r="K492">
        <v>1240.3558915007363</v>
      </c>
      <c r="L492">
        <v>195906.58504717535</v>
      </c>
      <c r="M492">
        <v>3085.7204320421229</v>
      </c>
      <c r="N492">
        <v>1853.6886060618062</v>
      </c>
      <c r="O492">
        <v>2554.2640000000001</v>
      </c>
      <c r="P492">
        <v>0</v>
      </c>
    </row>
    <row r="493" spans="3:16">
      <c r="C493" t="s">
        <v>767</v>
      </c>
      <c r="D493">
        <v>39</v>
      </c>
      <c r="E493" s="21">
        <v>1905</v>
      </c>
      <c r="F493">
        <v>84862.609943289324</v>
      </c>
      <c r="G493">
        <v>3058.6172945567496</v>
      </c>
      <c r="H493">
        <v>1647.4611009034118</v>
      </c>
      <c r="I493">
        <v>67890.087954631468</v>
      </c>
      <c r="J493">
        <v>2900.5099239264928</v>
      </c>
      <c r="K493">
        <v>1312.058706369713</v>
      </c>
      <c r="L493">
        <v>212156.5248582233</v>
      </c>
      <c r="M493">
        <v>3374.8320358172632</v>
      </c>
      <c r="N493">
        <v>1982.8634954371107</v>
      </c>
      <c r="O493">
        <v>2612.4920000000002</v>
      </c>
      <c r="P493">
        <v>0</v>
      </c>
    </row>
    <row r="494" spans="3:16">
      <c r="C494" t="s">
        <v>767</v>
      </c>
      <c r="D494">
        <v>40</v>
      </c>
      <c r="E494" s="21">
        <v>1905</v>
      </c>
      <c r="F494">
        <v>92490.556729138494</v>
      </c>
      <c r="G494">
        <v>3363.6030811103692</v>
      </c>
      <c r="H494">
        <v>1766.0091226755862</v>
      </c>
      <c r="I494">
        <v>73992.445383310798</v>
      </c>
      <c r="J494">
        <v>3187.7890568789312</v>
      </c>
      <c r="K494">
        <v>1396.7526697525091</v>
      </c>
      <c r="L494">
        <v>231226.39182284626</v>
      </c>
      <c r="M494">
        <v>3715.2311295732461</v>
      </c>
      <c r="N494">
        <v>2135.2655755986634</v>
      </c>
      <c r="O494">
        <v>2670.72</v>
      </c>
      <c r="P494">
        <v>0</v>
      </c>
    </row>
    <row r="495" spans="3:16">
      <c r="C495" t="s">
        <v>767</v>
      </c>
      <c r="D495">
        <v>41</v>
      </c>
      <c r="E495" s="21">
        <v>1905</v>
      </c>
      <c r="F495">
        <v>100503.52841709247</v>
      </c>
      <c r="G495">
        <v>3688.6046102938117</v>
      </c>
      <c r="H495">
        <v>1887.7901296921748</v>
      </c>
      <c r="I495">
        <v>80402.82273367398</v>
      </c>
      <c r="J495">
        <v>3493.7340229687784</v>
      </c>
      <c r="K495">
        <v>1482.3937239610441</v>
      </c>
      <c r="L495">
        <v>251258.8210427312</v>
      </c>
      <c r="M495">
        <v>4078.3457849438778</v>
      </c>
      <c r="N495">
        <v>2293.186535423305</v>
      </c>
      <c r="O495">
        <v>2728.9480000000003</v>
      </c>
      <c r="P495">
        <v>0</v>
      </c>
    </row>
    <row r="496" spans="3:16">
      <c r="C496" t="s">
        <v>767</v>
      </c>
      <c r="D496">
        <v>42</v>
      </c>
      <c r="E496" s="21">
        <v>1905</v>
      </c>
      <c r="F496">
        <v>108904.25870137037</v>
      </c>
      <c r="G496">
        <v>4034.3270382227838</v>
      </c>
      <c r="H496">
        <v>2012.6534857846168</v>
      </c>
      <c r="I496">
        <v>87123.406961096305</v>
      </c>
      <c r="J496">
        <v>3818.9927910158904</v>
      </c>
      <c r="K496">
        <v>1568.7411281723093</v>
      </c>
      <c r="L496">
        <v>272260.64675342594</v>
      </c>
      <c r="M496">
        <v>4464.9955326365707</v>
      </c>
      <c r="N496">
        <v>2456.5658433969247</v>
      </c>
      <c r="O496">
        <v>2787.1759999999999</v>
      </c>
      <c r="P496">
        <v>0</v>
      </c>
    </row>
    <row r="497" spans="3:16">
      <c r="C497" t="s">
        <v>767</v>
      </c>
      <c r="D497">
        <v>43</v>
      </c>
      <c r="E497" s="21">
        <v>1905</v>
      </c>
      <c r="F497">
        <v>117694.82975942471</v>
      </c>
      <c r="G497">
        <v>4401.4776510908987</v>
      </c>
      <c r="H497">
        <v>2140.4405577949169</v>
      </c>
      <c r="I497">
        <v>94155.863807539776</v>
      </c>
      <c r="J497">
        <v>4164.2152469102366</v>
      </c>
      <c r="K497">
        <v>1655.5445451759738</v>
      </c>
      <c r="L497">
        <v>294237.07439856179</v>
      </c>
      <c r="M497">
        <v>4876.002459452222</v>
      </c>
      <c r="N497">
        <v>2625.33657041386</v>
      </c>
      <c r="O497">
        <v>2845.404</v>
      </c>
      <c r="P497">
        <v>0</v>
      </c>
    </row>
    <row r="498" spans="3:16">
      <c r="C498" t="s">
        <v>767</v>
      </c>
      <c r="D498">
        <v>44</v>
      </c>
      <c r="E498" s="21">
        <v>1905</v>
      </c>
      <c r="F498">
        <v>126876.65186046842</v>
      </c>
      <c r="G498">
        <v>4790.7649129824767</v>
      </c>
      <c r="H498">
        <v>2270.9847155756529</v>
      </c>
      <c r="I498">
        <v>101501.32148837474</v>
      </c>
      <c r="J498">
        <v>4530.0523366434263</v>
      </c>
      <c r="K498">
        <v>1742.5440413743954</v>
      </c>
      <c r="L498">
        <v>317191.62965117104</v>
      </c>
      <c r="M498">
        <v>5312.1900656605776</v>
      </c>
      <c r="N498">
        <v>2799.4253897769099</v>
      </c>
      <c r="O498">
        <v>2903.6320000000001</v>
      </c>
      <c r="P498">
        <v>0</v>
      </c>
    </row>
    <row r="499" spans="3:16">
      <c r="C499" t="s">
        <v>767</v>
      </c>
      <c r="D499">
        <v>45</v>
      </c>
      <c r="E499" s="21">
        <v>1905</v>
      </c>
      <c r="F499">
        <v>136450.44295791269</v>
      </c>
      <c r="G499">
        <v>5202.8974667281691</v>
      </c>
      <c r="H499">
        <v>2404.1113319899673</v>
      </c>
      <c r="I499">
        <v>109160.35436633015</v>
      </c>
      <c r="J499">
        <v>4917.155167078763</v>
      </c>
      <c r="K499">
        <v>1829.4700867826095</v>
      </c>
      <c r="L499">
        <v>341126.10739478172</v>
      </c>
      <c r="M499">
        <v>5774.3820660269794</v>
      </c>
      <c r="N499">
        <v>2978.7525771973255</v>
      </c>
      <c r="O499">
        <v>2961.86</v>
      </c>
      <c r="P499">
        <v>0</v>
      </c>
    </row>
    <row r="500" spans="3:16">
      <c r="C500" t="s">
        <v>767</v>
      </c>
      <c r="D500">
        <v>46</v>
      </c>
      <c r="E500" s="21">
        <v>1905</v>
      </c>
      <c r="F500">
        <v>146416.20827013854</v>
      </c>
      <c r="G500">
        <v>5638.5830850793718</v>
      </c>
      <c r="H500">
        <v>2539.6377829115731</v>
      </c>
      <c r="I500">
        <v>117132.96661611085</v>
      </c>
      <c r="J500">
        <v>5326.1740620082237</v>
      </c>
      <c r="K500">
        <v>1916.043555028336</v>
      </c>
      <c r="L500">
        <v>366040.52067534631</v>
      </c>
      <c r="M500">
        <v>6263.4011312216662</v>
      </c>
      <c r="N500">
        <v>3163.2320107948108</v>
      </c>
      <c r="O500">
        <v>3020.0879999999997</v>
      </c>
      <c r="P500">
        <v>0</v>
      </c>
    </row>
    <row r="501" spans="3:16">
      <c r="C501" t="s">
        <v>767</v>
      </c>
      <c r="D501">
        <v>47</v>
      </c>
      <c r="E501" s="21">
        <v>1905</v>
      </c>
      <c r="F501">
        <v>156773.21985333168</v>
      </c>
      <c r="G501">
        <v>6098.52756929529</v>
      </c>
      <c r="H501">
        <v>2677.3734472247502</v>
      </c>
      <c r="I501">
        <v>125418.57588266535</v>
      </c>
      <c r="J501">
        <v>5757.7575708808108</v>
      </c>
      <c r="K501">
        <v>2001.9757233519745</v>
      </c>
      <c r="L501">
        <v>391933.04963332921</v>
      </c>
      <c r="M501">
        <v>6780.0675661242476</v>
      </c>
      <c r="N501">
        <v>3352.7711710975259</v>
      </c>
      <c r="O501">
        <v>3078.3160000000003</v>
      </c>
      <c r="P501">
        <v>0</v>
      </c>
    </row>
    <row r="502" spans="3:16">
      <c r="C502" t="s">
        <v>767</v>
      </c>
      <c r="D502">
        <v>48</v>
      </c>
      <c r="E502" s="21">
        <v>1905</v>
      </c>
      <c r="F502">
        <v>167519.99616953006</v>
      </c>
      <c r="G502">
        <v>6583.4335920405701</v>
      </c>
      <c r="H502">
        <v>2817.1197068243491</v>
      </c>
      <c r="I502">
        <v>134015.99693562408</v>
      </c>
      <c r="J502">
        <v>6212.5514274104262</v>
      </c>
      <c r="K502">
        <v>2086.9682726066103</v>
      </c>
      <c r="L502">
        <v>418799.99042382516</v>
      </c>
      <c r="M502">
        <v>7325.1979213008563</v>
      </c>
      <c r="N502">
        <v>3547.2711410420884</v>
      </c>
      <c r="O502">
        <v>3136.5439999999999</v>
      </c>
      <c r="P502">
        <v>0</v>
      </c>
    </row>
    <row r="503" spans="3:16">
      <c r="C503" t="s">
        <v>767</v>
      </c>
      <c r="D503">
        <v>49</v>
      </c>
      <c r="E503" s="21">
        <v>1905</v>
      </c>
      <c r="F503">
        <v>178654.28165253953</v>
      </c>
      <c r="G503">
        <v>7093.9994812805598</v>
      </c>
      <c r="H503">
        <v>2958.6699466157875</v>
      </c>
      <c r="I503">
        <v>142923.42532203163</v>
      </c>
      <c r="J503">
        <v>6691.1974550816012</v>
      </c>
      <c r="K503">
        <v>2170.7132872580087</v>
      </c>
      <c r="L503">
        <v>446635.70413134887</v>
      </c>
      <c r="M503">
        <v>7899.603533678478</v>
      </c>
      <c r="N503">
        <v>3746.6266059735672</v>
      </c>
      <c r="O503">
        <v>3194.7719999999999</v>
      </c>
      <c r="P503">
        <v>0</v>
      </c>
    </row>
    <row r="504" spans="3:16">
      <c r="C504" t="s">
        <v>767</v>
      </c>
      <c r="D504">
        <v>50</v>
      </c>
      <c r="E504" s="21">
        <v>1905</v>
      </c>
      <c r="F504">
        <v>191424.16460471551</v>
      </c>
      <c r="G504">
        <v>7681.1213491447716</v>
      </c>
      <c r="H504">
        <v>3122.216196321071</v>
      </c>
      <c r="I504">
        <v>153139.33168377241</v>
      </c>
      <c r="J504">
        <v>7241.6635506851444</v>
      </c>
      <c r="K504">
        <v>2267.7149215384625</v>
      </c>
      <c r="L504">
        <v>478560.41151178878</v>
      </c>
      <c r="M504">
        <v>8560.0369460640268</v>
      </c>
      <c r="N504">
        <v>3976.7174711036801</v>
      </c>
      <c r="O504">
        <v>3253</v>
      </c>
      <c r="P504">
        <v>0</v>
      </c>
    </row>
    <row r="505" spans="3:16">
      <c r="C505" t="s">
        <v>767</v>
      </c>
      <c r="D505">
        <v>51</v>
      </c>
      <c r="E505" s="21">
        <v>1905</v>
      </c>
      <c r="F505">
        <v>203560.07737025924</v>
      </c>
      <c r="G505">
        <v>8360.4869373584006</v>
      </c>
      <c r="H505">
        <v>3343.8165047154525</v>
      </c>
      <c r="I505">
        <v>162848.06189620739</v>
      </c>
      <c r="J505">
        <v>7876.0890838727273</v>
      </c>
      <c r="K505">
        <v>2445.8186362271044</v>
      </c>
      <c r="L505">
        <v>508900.19342564809</v>
      </c>
      <c r="M505">
        <v>9329.2826443297454</v>
      </c>
      <c r="N505">
        <v>4241.8143732038006</v>
      </c>
      <c r="O505">
        <v>3311.2280000000001</v>
      </c>
      <c r="P505">
        <v>0</v>
      </c>
    </row>
    <row r="506" spans="3:16">
      <c r="C506" t="s">
        <v>767</v>
      </c>
      <c r="D506">
        <v>52</v>
      </c>
      <c r="E506" s="21">
        <v>1905</v>
      </c>
      <c r="F506">
        <v>223965.75936442861</v>
      </c>
      <c r="G506">
        <v>9084.506535993034</v>
      </c>
      <c r="H506">
        <v>3568.2388902421417</v>
      </c>
      <c r="I506">
        <v>179172.60749154291</v>
      </c>
      <c r="J506">
        <v>8551.6599761034304</v>
      </c>
      <c r="K506">
        <v>2591.6682465969234</v>
      </c>
      <c r="L506">
        <v>559914.39841107151</v>
      </c>
      <c r="M506">
        <v>10150.199655772243</v>
      </c>
      <c r="N506">
        <v>4544.8095338873591</v>
      </c>
      <c r="O506">
        <v>3369.4560000000001</v>
      </c>
      <c r="P506">
        <v>0</v>
      </c>
    </row>
    <row r="507" spans="3:16">
      <c r="C507" t="s">
        <v>767</v>
      </c>
      <c r="D507">
        <v>53</v>
      </c>
      <c r="E507" s="21">
        <v>1905</v>
      </c>
      <c r="F507">
        <v>241589.18177264067</v>
      </c>
      <c r="G507">
        <v>9855.4109134595365</v>
      </c>
      <c r="H507">
        <v>3805.0421936668909</v>
      </c>
      <c r="I507">
        <v>193271.34541811256</v>
      </c>
      <c r="J507">
        <v>9270.4005793416763</v>
      </c>
      <c r="K507">
        <v>2763.6622248738477</v>
      </c>
      <c r="L507">
        <v>603972.95443160168</v>
      </c>
      <c r="M507">
        <v>11025.431581695255</v>
      </c>
      <c r="N507">
        <v>4846.422162459935</v>
      </c>
      <c r="O507">
        <v>3427.6839999999997</v>
      </c>
      <c r="P507">
        <v>0</v>
      </c>
    </row>
    <row r="508" spans="3:16">
      <c r="C508" t="s">
        <v>767</v>
      </c>
      <c r="D508">
        <v>54</v>
      </c>
      <c r="E508" s="21">
        <v>1905</v>
      </c>
      <c r="F508">
        <v>260153.24336137221</v>
      </c>
      <c r="G508">
        <v>10675.526746733005</v>
      </c>
      <c r="H508">
        <v>4051.2511664000012</v>
      </c>
      <c r="I508">
        <v>208122.59468909781</v>
      </c>
      <c r="J508">
        <v>10034.421563259704</v>
      </c>
      <c r="K508">
        <v>2942.4876892800012</v>
      </c>
      <c r="L508">
        <v>650383.10840343055</v>
      </c>
      <c r="M508">
        <v>11957.737113679603</v>
      </c>
      <c r="N508">
        <v>5160.0146435200013</v>
      </c>
      <c r="O508">
        <v>3485.9119999999998</v>
      </c>
      <c r="P508">
        <v>0</v>
      </c>
    </row>
    <row r="509" spans="3:16">
      <c r="C509" t="s">
        <v>767</v>
      </c>
      <c r="D509">
        <v>55</v>
      </c>
      <c r="E509" s="21">
        <v>1905</v>
      </c>
      <c r="F509">
        <v>279687.61815618025</v>
      </c>
      <c r="G509">
        <v>11547.28091576611</v>
      </c>
      <c r="H509">
        <v>4307.0240821906355</v>
      </c>
      <c r="I509">
        <v>223750.0945249442</v>
      </c>
      <c r="J509">
        <v>10845.923780209569</v>
      </c>
      <c r="K509">
        <v>3128.2595965384617</v>
      </c>
      <c r="L509">
        <v>699219.04539045063</v>
      </c>
      <c r="M509">
        <v>12949.995186879201</v>
      </c>
      <c r="N509">
        <v>5485.7885678428102</v>
      </c>
      <c r="O509">
        <v>3544.1399999999994</v>
      </c>
      <c r="P509">
        <v>0</v>
      </c>
    </row>
    <row r="510" spans="3:16">
      <c r="C510" t="s">
        <v>767</v>
      </c>
      <c r="D510">
        <v>56</v>
      </c>
      <c r="E510" s="21">
        <v>1905</v>
      </c>
      <c r="F510">
        <v>300222.38573166588</v>
      </c>
      <c r="G510">
        <v>12473.205030732086</v>
      </c>
      <c r="H510">
        <v>4572.5192147879616</v>
      </c>
      <c r="I510">
        <v>240177.90858533268</v>
      </c>
      <c r="J510">
        <v>11707.20233974182</v>
      </c>
      <c r="K510">
        <v>3321.0929033723087</v>
      </c>
      <c r="L510">
        <v>750555.96432916471</v>
      </c>
      <c r="M510">
        <v>14005.210412712615</v>
      </c>
      <c r="N510">
        <v>5823.9455262036145</v>
      </c>
      <c r="O510">
        <v>3602.3680000000004</v>
      </c>
      <c r="P510">
        <v>0</v>
      </c>
    </row>
    <row r="511" spans="3:16">
      <c r="C511" t="s">
        <v>767</v>
      </c>
      <c r="D511">
        <v>57</v>
      </c>
      <c r="E511" s="21">
        <v>1905</v>
      </c>
      <c r="F511">
        <v>321788.031061224</v>
      </c>
      <c r="G511">
        <v>13455.940206958727</v>
      </c>
      <c r="H511">
        <v>4847.8948379411386</v>
      </c>
      <c r="I511">
        <v>257430.42484897919</v>
      </c>
      <c r="J511">
        <v>12620.650906046134</v>
      </c>
      <c r="K511">
        <v>3521.1025665046163</v>
      </c>
      <c r="L511">
        <v>804470.07765306009</v>
      </c>
      <c r="M511">
        <v>15126.51880878392</v>
      </c>
      <c r="N511">
        <v>6174.6871093776608</v>
      </c>
      <c r="O511">
        <v>3660.596</v>
      </c>
      <c r="P511">
        <v>0</v>
      </c>
    </row>
    <row r="512" spans="3:16">
      <c r="C512" t="s">
        <v>767</v>
      </c>
      <c r="D512">
        <v>58</v>
      </c>
      <c r="E512" s="21">
        <v>1905</v>
      </c>
      <c r="F512">
        <v>344415.44436352787</v>
      </c>
      <c r="G512">
        <v>14498.242103509194</v>
      </c>
      <c r="H512">
        <v>5133.3092253993327</v>
      </c>
      <c r="I512">
        <v>275532.35549082229</v>
      </c>
      <c r="J512">
        <v>13588.766232673994</v>
      </c>
      <c r="K512">
        <v>3728.4035426584633</v>
      </c>
      <c r="L512">
        <v>861038.6109088196</v>
      </c>
      <c r="M512">
        <v>16317.193845179594</v>
      </c>
      <c r="N512">
        <v>6538.2149081402031</v>
      </c>
      <c r="O512">
        <v>3718.8240000000001</v>
      </c>
      <c r="P512">
        <v>0</v>
      </c>
    </row>
    <row r="513" spans="3:16">
      <c r="C513" t="s">
        <v>767</v>
      </c>
      <c r="D513">
        <v>59</v>
      </c>
      <c r="E513" s="21">
        <v>1905</v>
      </c>
      <c r="F513">
        <v>368135.92094644113</v>
      </c>
      <c r="G513">
        <v>15602.986242550487</v>
      </c>
      <c r="H513">
        <v>5428.9206509117075</v>
      </c>
      <c r="I513">
        <v>294508.73675715295</v>
      </c>
      <c r="J513">
        <v>14614.152949970357</v>
      </c>
      <c r="K513">
        <v>3943.1107885569254</v>
      </c>
      <c r="L513">
        <v>920339.80236610293</v>
      </c>
      <c r="M513">
        <v>17580.652827710754</v>
      </c>
      <c r="N513">
        <v>6914.7305132664906</v>
      </c>
      <c r="O513">
        <v>3777.0519999999997</v>
      </c>
      <c r="P513">
        <v>0</v>
      </c>
    </row>
    <row r="514" spans="3:16">
      <c r="C514" t="s">
        <v>767</v>
      </c>
      <c r="D514">
        <v>60</v>
      </c>
      <c r="E514" s="21">
        <v>1905</v>
      </c>
      <c r="F514">
        <v>394917.02883737878</v>
      </c>
      <c r="G514">
        <v>16855.800099010041</v>
      </c>
      <c r="H514">
        <v>5763.1380650167257</v>
      </c>
      <c r="I514">
        <v>315933.623069903</v>
      </c>
      <c r="J514">
        <v>15776.86620121606</v>
      </c>
      <c r="K514">
        <v>4185.8581735384632</v>
      </c>
      <c r="L514">
        <v>987292.57209344697</v>
      </c>
      <c r="M514">
        <v>19013.667894598002</v>
      </c>
      <c r="N514">
        <v>7340.4179564949873</v>
      </c>
      <c r="O514">
        <v>3835.2799999999997</v>
      </c>
      <c r="P514">
        <v>0</v>
      </c>
    </row>
    <row r="515" spans="3:16">
      <c r="C515" t="s">
        <v>767</v>
      </c>
      <c r="D515">
        <v>61</v>
      </c>
      <c r="E515" s="21">
        <v>1905</v>
      </c>
      <c r="F515">
        <v>423011.95496711356</v>
      </c>
      <c r="G515">
        <v>18185.128381700393</v>
      </c>
      <c r="H515">
        <v>6109.5539390869581</v>
      </c>
      <c r="I515">
        <v>338409.56397369085</v>
      </c>
      <c r="J515">
        <v>17009.726484486877</v>
      </c>
      <c r="K515">
        <v>4437.4654926000021</v>
      </c>
      <c r="L515">
        <v>1057529.887417784</v>
      </c>
      <c r="M515">
        <v>20535.932176127426</v>
      </c>
      <c r="N515">
        <v>7781.6423855739158</v>
      </c>
      <c r="O515">
        <v>3893.5080000000003</v>
      </c>
      <c r="P515">
        <v>0</v>
      </c>
    </row>
    <row r="516" spans="3:16">
      <c r="C516" t="s">
        <v>767</v>
      </c>
      <c r="D516">
        <v>62</v>
      </c>
      <c r="E516" s="21">
        <v>1905</v>
      </c>
      <c r="F516">
        <v>452458.90796599165</v>
      </c>
      <c r="G516">
        <v>19594.694056239518</v>
      </c>
      <c r="H516">
        <v>6468.3582016214077</v>
      </c>
      <c r="I516">
        <v>361967.12637279328</v>
      </c>
      <c r="J516">
        <v>18316.104461312556</v>
      </c>
      <c r="K516">
        <v>4698.0706938092335</v>
      </c>
      <c r="L516">
        <v>1131147.2699149791</v>
      </c>
      <c r="M516">
        <v>22151.873246093441</v>
      </c>
      <c r="N516">
        <v>8238.6457094335819</v>
      </c>
      <c r="O516">
        <v>3951.7360000000003</v>
      </c>
      <c r="P516">
        <v>0</v>
      </c>
    </row>
    <row r="517" spans="3:16">
      <c r="C517" t="s">
        <v>767</v>
      </c>
      <c r="D517">
        <v>63</v>
      </c>
      <c r="E517" s="21">
        <v>1905</v>
      </c>
      <c r="F517">
        <v>483296.58199751389</v>
      </c>
      <c r="G517">
        <v>21088.385532090917</v>
      </c>
      <c r="H517">
        <v>6839.740781119066</v>
      </c>
      <c r="I517">
        <v>386637.26559801114</v>
      </c>
      <c r="J517">
        <v>19699.519692683833</v>
      </c>
      <c r="K517">
        <v>4967.811725233847</v>
      </c>
      <c r="L517">
        <v>1208241.4549937847</v>
      </c>
      <c r="M517">
        <v>23866.117210905086</v>
      </c>
      <c r="N517">
        <v>8711.6698370042832</v>
      </c>
      <c r="O517">
        <v>4009.9639999999999</v>
      </c>
      <c r="P517">
        <v>0</v>
      </c>
    </row>
    <row r="518" spans="3:16">
      <c r="C518" t="s">
        <v>767</v>
      </c>
      <c r="D518">
        <v>64</v>
      </c>
      <c r="E518" s="21">
        <v>1905</v>
      </c>
      <c r="F518">
        <v>515564.15657173895</v>
      </c>
      <c r="G518">
        <v>22670.264719893756</v>
      </c>
      <c r="H518">
        <v>7223.8916060789343</v>
      </c>
      <c r="I518">
        <v>412451.3252573912</v>
      </c>
      <c r="J518">
        <v>21163.647890649532</v>
      </c>
      <c r="K518">
        <v>5246.8265349415433</v>
      </c>
      <c r="L518">
        <v>1288910.3914293475</v>
      </c>
      <c r="M518">
        <v>25683.498378382203</v>
      </c>
      <c r="N518">
        <v>9200.9566772163253</v>
      </c>
      <c r="O518">
        <v>4068.192</v>
      </c>
      <c r="P518">
        <v>0</v>
      </c>
    </row>
    <row r="519" spans="3:16">
      <c r="C519" t="s">
        <v>767</v>
      </c>
      <c r="D519">
        <v>65</v>
      </c>
      <c r="E519" s="21">
        <v>1905</v>
      </c>
      <c r="F519">
        <v>549301.29635782191</v>
      </c>
      <c r="G519">
        <v>24344.575564307564</v>
      </c>
      <c r="H519">
        <v>7621.0006050000029</v>
      </c>
      <c r="I519">
        <v>439441.03708625759</v>
      </c>
      <c r="J519">
        <v>22712.328597876807</v>
      </c>
      <c r="K519">
        <v>5535.2530710000028</v>
      </c>
      <c r="L519">
        <v>1373253.2408945549</v>
      </c>
      <c r="M519">
        <v>27609.069497169075</v>
      </c>
      <c r="N519">
        <v>9706.7481390000012</v>
      </c>
      <c r="O519">
        <v>4126.42</v>
      </c>
      <c r="P519">
        <v>0</v>
      </c>
    </row>
    <row r="520" spans="3:16">
      <c r="C520" t="s">
        <v>767</v>
      </c>
      <c r="D520">
        <v>66</v>
      </c>
      <c r="E520" s="21">
        <v>1905</v>
      </c>
      <c r="F520">
        <v>584548.15099608921</v>
      </c>
      <c r="G520">
        <v>26115.753085437129</v>
      </c>
      <c r="H520">
        <v>8031.2577063812769</v>
      </c>
      <c r="I520">
        <v>467638.52079687145</v>
      </c>
      <c r="J520">
        <v>24349.57332493355</v>
      </c>
      <c r="K520">
        <v>5833.229281476928</v>
      </c>
      <c r="L520">
        <v>1461370.3774902232</v>
      </c>
      <c r="M520">
        <v>29648.112606444287</v>
      </c>
      <c r="N520">
        <v>10229.286131285626</v>
      </c>
      <c r="O520">
        <v>4184.6480000000001</v>
      </c>
      <c r="P520">
        <v>0</v>
      </c>
    </row>
    <row r="521" spans="3:16">
      <c r="C521" t="s">
        <v>767</v>
      </c>
      <c r="D521">
        <v>67</v>
      </c>
      <c r="E521" s="21">
        <v>1905</v>
      </c>
      <c r="F521">
        <v>621345.35491000896</v>
      </c>
      <c r="G521">
        <v>27752.77138590072</v>
      </c>
      <c r="H521">
        <v>8454.8528387217448</v>
      </c>
      <c r="I521">
        <v>497076.28392800718</v>
      </c>
      <c r="J521">
        <v>25867.478756649776</v>
      </c>
      <c r="K521">
        <v>6140.893114440003</v>
      </c>
      <c r="L521">
        <v>1553363.3872750222</v>
      </c>
      <c r="M521">
        <v>31523.3566444026</v>
      </c>
      <c r="N521">
        <v>10768.812563003485</v>
      </c>
      <c r="O521">
        <v>4242.8759999999993</v>
      </c>
      <c r="P521">
        <v>0</v>
      </c>
    </row>
    <row r="522" spans="3:16">
      <c r="C522" t="s">
        <v>767</v>
      </c>
      <c r="D522">
        <v>68</v>
      </c>
      <c r="E522" s="21">
        <v>1905</v>
      </c>
      <c r="F522">
        <v>659734.02711836889</v>
      </c>
      <c r="G522">
        <v>29464.840077409775</v>
      </c>
      <c r="H522">
        <v>8891.9759305204097</v>
      </c>
      <c r="I522">
        <v>527787.22169469518</v>
      </c>
      <c r="J522">
        <v>27454.353536039373</v>
      </c>
      <c r="K522">
        <v>6458.3825179569285</v>
      </c>
      <c r="L522">
        <v>1649335.0677959223</v>
      </c>
      <c r="M522">
        <v>33485.813160150588</v>
      </c>
      <c r="N522">
        <v>11325.569343083889</v>
      </c>
      <c r="O522">
        <v>4301.1040000000003</v>
      </c>
      <c r="P522">
        <v>0</v>
      </c>
    </row>
    <row r="523" spans="3:16">
      <c r="C523" t="s">
        <v>767</v>
      </c>
      <c r="D523">
        <v>69</v>
      </c>
      <c r="E523" s="21">
        <v>1905</v>
      </c>
      <c r="F523">
        <v>699755.77104793</v>
      </c>
      <c r="G523">
        <v>31254.653367331281</v>
      </c>
      <c r="H523">
        <v>9342.8169102762622</v>
      </c>
      <c r="I523">
        <v>559804.61683834402</v>
      </c>
      <c r="J523">
        <v>29112.642442206179</v>
      </c>
      <c r="K523">
        <v>6785.8354400953922</v>
      </c>
      <c r="L523">
        <v>1749389.4276198249</v>
      </c>
      <c r="M523">
        <v>35538.675217581476</v>
      </c>
      <c r="N523">
        <v>11899.798380457134</v>
      </c>
      <c r="O523">
        <v>4359.3320000000003</v>
      </c>
      <c r="P523">
        <v>0</v>
      </c>
    </row>
    <row r="524" spans="3:16">
      <c r="C524" t="s">
        <v>767</v>
      </c>
      <c r="D524">
        <v>70</v>
      </c>
      <c r="E524" s="21">
        <v>1905</v>
      </c>
      <c r="F524">
        <v>744261.20720416063</v>
      </c>
      <c r="G524">
        <v>33250.482192434582</v>
      </c>
      <c r="H524">
        <v>9844.7155765886364</v>
      </c>
      <c r="I524">
        <v>595408.96576332848</v>
      </c>
      <c r="J524">
        <v>30961.719823358351</v>
      </c>
      <c r="K524">
        <v>7150.3723661538515</v>
      </c>
      <c r="L524">
        <v>1860653.0180104016</v>
      </c>
      <c r="M524">
        <v>37828.006930587049</v>
      </c>
      <c r="N524">
        <v>12539.058787023421</v>
      </c>
      <c r="O524">
        <v>4417.5600000000004</v>
      </c>
      <c r="P524">
        <v>0</v>
      </c>
    </row>
    <row r="525" spans="3:16">
      <c r="C525" t="s">
        <v>767</v>
      </c>
      <c r="D525">
        <v>71</v>
      </c>
      <c r="E525" s="21">
        <v>1905</v>
      </c>
      <c r="F525">
        <v>790681.14061492821</v>
      </c>
      <c r="G525">
        <v>35338.655076729192</v>
      </c>
      <c r="H525">
        <v>10362.607893934455</v>
      </c>
      <c r="I525">
        <v>632544.91249194252</v>
      </c>
      <c r="J525">
        <v>32895.590399996749</v>
      </c>
      <c r="K525">
        <v>7526.5257334892376</v>
      </c>
      <c r="L525">
        <v>1976702.8515373203</v>
      </c>
      <c r="M525">
        <v>40224.784430194093</v>
      </c>
      <c r="N525">
        <v>13198.690054379673</v>
      </c>
      <c r="O525">
        <v>4475.7879999999996</v>
      </c>
      <c r="P525">
        <v>0</v>
      </c>
    </row>
    <row r="526" spans="3:16">
      <c r="C526" t="s">
        <v>767</v>
      </c>
      <c r="D526">
        <v>72</v>
      </c>
      <c r="E526" s="21">
        <v>1905</v>
      </c>
      <c r="F526">
        <v>839064.9332212013</v>
      </c>
      <c r="G526">
        <v>37522.552086604584</v>
      </c>
      <c r="H526">
        <v>10896.715445562548</v>
      </c>
      <c r="I526">
        <v>671251.94657696108</v>
      </c>
      <c r="J526">
        <v>34917.319556424394</v>
      </c>
      <c r="K526">
        <v>7914.456481513851</v>
      </c>
      <c r="L526">
        <v>2097662.3330530031</v>
      </c>
      <c r="M526">
        <v>42733.017146964965</v>
      </c>
      <c r="N526">
        <v>13878.974409611244</v>
      </c>
      <c r="O526">
        <v>4534.0159999999996</v>
      </c>
      <c r="P526">
        <v>0</v>
      </c>
    </row>
    <row r="527" spans="3:16">
      <c r="C527" t="s">
        <v>767</v>
      </c>
      <c r="D527">
        <v>73</v>
      </c>
      <c r="E527" s="21">
        <v>1905</v>
      </c>
      <c r="F527">
        <v>889462.51149343862</v>
      </c>
      <c r="G527">
        <v>39805.687672259344</v>
      </c>
      <c r="H527">
        <v>11447.259814721747</v>
      </c>
      <c r="I527">
        <v>711570.00919475092</v>
      </c>
      <c r="J527">
        <v>37030.093622372544</v>
      </c>
      <c r="K527">
        <v>8314.3255496400088</v>
      </c>
      <c r="L527">
        <v>2223656.2787335962</v>
      </c>
      <c r="M527">
        <v>45356.875772032952</v>
      </c>
      <c r="N527">
        <v>14580.194079803487</v>
      </c>
      <c r="O527">
        <v>4592.2439999999997</v>
      </c>
      <c r="P527">
        <v>0</v>
      </c>
    </row>
    <row r="528" spans="3:16">
      <c r="C528" t="s">
        <v>767</v>
      </c>
      <c r="D528">
        <v>74</v>
      </c>
      <c r="E528" s="21">
        <v>1905</v>
      </c>
      <c r="F528">
        <v>941924.36622030509</v>
      </c>
      <c r="G528">
        <v>42191.717918626236</v>
      </c>
      <c r="H528">
        <v>12014.462584660876</v>
      </c>
      <c r="I528">
        <v>753539.49297624419</v>
      </c>
      <c r="J528">
        <v>39237.226398833176</v>
      </c>
      <c r="K528">
        <v>8726.2938772800044</v>
      </c>
      <c r="L528">
        <v>2354810.9155507628</v>
      </c>
      <c r="M528">
        <v>48100.70095821235</v>
      </c>
      <c r="N528">
        <v>15302.631292041746</v>
      </c>
      <c r="O528">
        <v>4650.4720000000007</v>
      </c>
      <c r="P528">
        <v>0</v>
      </c>
    </row>
    <row r="529" spans="3:16">
      <c r="C529" t="s">
        <v>767</v>
      </c>
      <c r="D529">
        <v>75</v>
      </c>
      <c r="E529" s="21">
        <v>1905</v>
      </c>
      <c r="F529">
        <v>996501.55229876493</v>
      </c>
      <c r="G529">
        <v>44684.448270903042</v>
      </c>
      <c r="H529">
        <v>12598.545338628774</v>
      </c>
      <c r="I529">
        <v>797201.24183901201</v>
      </c>
      <c r="J529">
        <v>41542.166111036822</v>
      </c>
      <c r="K529">
        <v>9150.5224038461638</v>
      </c>
      <c r="L529">
        <v>2491253.8807469122</v>
      </c>
      <c r="M529">
        <v>50969.012590635488</v>
      </c>
      <c r="N529">
        <v>16046.568273411383</v>
      </c>
      <c r="O529">
        <v>4708.7</v>
      </c>
      <c r="P529">
        <v>0</v>
      </c>
    </row>
    <row r="530" spans="3:16">
      <c r="C530" t="s">
        <v>767</v>
      </c>
      <c r="D530">
        <v>76</v>
      </c>
      <c r="E530" s="21">
        <v>1905</v>
      </c>
      <c r="F530">
        <v>1053245.6885257126</v>
      </c>
      <c r="G530">
        <v>47287.841771331921</v>
      </c>
      <c r="H530">
        <v>13199.729659874254</v>
      </c>
      <c r="I530">
        <v>842596.55082057009</v>
      </c>
      <c r="J530">
        <v>43948.502821553921</v>
      </c>
      <c r="K530">
        <v>9587.1720687507768</v>
      </c>
      <c r="L530">
        <v>2633114.2213142812</v>
      </c>
      <c r="M530">
        <v>53966.51967088793</v>
      </c>
      <c r="N530">
        <v>16812.287250997731</v>
      </c>
      <c r="O530">
        <v>4766.9279999999999</v>
      </c>
      <c r="P530">
        <v>0</v>
      </c>
    </row>
    <row r="531" spans="3:16">
      <c r="C531" t="s">
        <v>767</v>
      </c>
      <c r="D531">
        <v>77</v>
      </c>
      <c r="E531" s="21">
        <v>1905</v>
      </c>
      <c r="F531">
        <v>1112208.957391253</v>
      </c>
      <c r="G531">
        <v>50006.027847138714</v>
      </c>
      <c r="H531">
        <v>13818.237131646158</v>
      </c>
      <c r="I531">
        <v>889767.16591300257</v>
      </c>
      <c r="J531">
        <v>46459.976339440233</v>
      </c>
      <c r="K531">
        <v>10036.403811406155</v>
      </c>
      <c r="L531">
        <v>2780522.3934781328</v>
      </c>
      <c r="M531">
        <v>57098.130862535683</v>
      </c>
      <c r="N531">
        <v>17600.07045188616</v>
      </c>
      <c r="O531">
        <v>4825.1559999999999</v>
      </c>
      <c r="P531">
        <v>0</v>
      </c>
    </row>
    <row r="532" spans="3:16">
      <c r="C532" t="s">
        <v>767</v>
      </c>
      <c r="D532">
        <v>78</v>
      </c>
      <c r="E532" s="21">
        <v>1905</v>
      </c>
      <c r="F532">
        <v>1173444.1048737508</v>
      </c>
      <c r="G532">
        <v>52843.311693144795</v>
      </c>
      <c r="H532">
        <v>14454.289337193313</v>
      </c>
      <c r="I532">
        <v>938755.28389900061</v>
      </c>
      <c r="J532">
        <v>49080.484664587508</v>
      </c>
      <c r="K532">
        <v>10498.378571224617</v>
      </c>
      <c r="L532">
        <v>2933610.2621843773</v>
      </c>
      <c r="M532">
        <v>60368.965750259369</v>
      </c>
      <c r="N532">
        <v>18410.200103162009</v>
      </c>
      <c r="O532">
        <v>4883.384</v>
      </c>
      <c r="P532">
        <v>0</v>
      </c>
    </row>
    <row r="533" spans="3:16">
      <c r="C533" t="s">
        <v>767</v>
      </c>
      <c r="D533">
        <v>79</v>
      </c>
      <c r="E533" s="21">
        <v>1905</v>
      </c>
      <c r="F533">
        <v>1237004.4402367368</v>
      </c>
      <c r="G533">
        <v>55804.184296534848</v>
      </c>
      <c r="H533">
        <v>15108.107859764557</v>
      </c>
      <c r="I533">
        <v>989603.55218938959</v>
      </c>
      <c r="J533">
        <v>51814.093010014469</v>
      </c>
      <c r="K533">
        <v>10973.257287618471</v>
      </c>
      <c r="L533">
        <v>3092511.1005918416</v>
      </c>
      <c r="M533">
        <v>63784.366869575591</v>
      </c>
      <c r="N533">
        <v>19242.958431910647</v>
      </c>
      <c r="O533">
        <v>4941.6120000000001</v>
      </c>
      <c r="P533">
        <v>0</v>
      </c>
    </row>
    <row r="534" spans="3:16">
      <c r="C534" t="s">
        <v>767</v>
      </c>
      <c r="D534">
        <v>80</v>
      </c>
      <c r="E534" s="21">
        <v>1905</v>
      </c>
      <c r="F534">
        <v>1306833.2204122972</v>
      </c>
      <c r="G534">
        <v>59069.134150141501</v>
      </c>
      <c r="H534">
        <v>15827.018504347827</v>
      </c>
      <c r="I534">
        <v>1045466.5763298378</v>
      </c>
      <c r="J534">
        <v>54828.222682953434</v>
      </c>
      <c r="K534">
        <v>11495.41344</v>
      </c>
      <c r="L534">
        <v>3267083.0510307429</v>
      </c>
      <c r="M534">
        <v>67550.95708451762</v>
      </c>
      <c r="N534">
        <v>20158.623568695653</v>
      </c>
      <c r="O534">
        <v>4999.84</v>
      </c>
      <c r="P534">
        <v>0</v>
      </c>
    </row>
    <row r="535" spans="3:16">
      <c r="C535" t="s">
        <v>767</v>
      </c>
      <c r="D535">
        <v>81</v>
      </c>
      <c r="E535" s="21">
        <v>1905</v>
      </c>
      <c r="F535">
        <v>1379336.1229427296</v>
      </c>
      <c r="G535">
        <v>70924.043803160064</v>
      </c>
      <c r="H535">
        <v>16566.245570196665</v>
      </c>
      <c r="I535">
        <v>1103468.8983541836</v>
      </c>
      <c r="J535">
        <v>65575.45474602266</v>
      </c>
      <c r="K535">
        <v>12032.325729932316</v>
      </c>
      <c r="L535">
        <v>3448340.3073568242</v>
      </c>
      <c r="M535">
        <v>81621.221917434872</v>
      </c>
      <c r="N535">
        <v>21100.165410461013</v>
      </c>
      <c r="O535">
        <v>5058.0680000000002</v>
      </c>
      <c r="P535">
        <v>0</v>
      </c>
    </row>
    <row r="536" spans="3:16">
      <c r="C536" t="s">
        <v>767</v>
      </c>
      <c r="D536">
        <v>82</v>
      </c>
      <c r="E536" s="21">
        <v>1905</v>
      </c>
      <c r="F536">
        <v>1454575.0578264908</v>
      </c>
      <c r="G536">
        <v>75599.326167863037</v>
      </c>
      <c r="H536">
        <v>17326.042295309704</v>
      </c>
      <c r="I536">
        <v>1163660.0462611928</v>
      </c>
      <c r="J536">
        <v>69863.18747689882</v>
      </c>
      <c r="K536">
        <v>12584.178088172313</v>
      </c>
      <c r="L536">
        <v>3636437.6445662268</v>
      </c>
      <c r="M536">
        <v>87071.6035497915</v>
      </c>
      <c r="N536">
        <v>22067.906502447098</v>
      </c>
      <c r="O536">
        <v>5116.2960000000003</v>
      </c>
      <c r="P536">
        <v>0</v>
      </c>
    </row>
    <row r="537" spans="3:16">
      <c r="C537" t="s">
        <v>767</v>
      </c>
      <c r="D537">
        <v>83</v>
      </c>
      <c r="E537" s="21">
        <v>1905</v>
      </c>
      <c r="F537">
        <v>1532612.5781824077</v>
      </c>
      <c r="G537">
        <v>80528.452316885523</v>
      </c>
      <c r="H537">
        <v>18106.661917685626</v>
      </c>
      <c r="I537">
        <v>1226090.0625459261</v>
      </c>
      <c r="J537">
        <v>74381.571497584941</v>
      </c>
      <c r="K537">
        <v>13151.154445476928</v>
      </c>
      <c r="L537">
        <v>3831531.4454560187</v>
      </c>
      <c r="M537">
        <v>92822.213955486703</v>
      </c>
      <c r="N537">
        <v>23062.169389894323</v>
      </c>
      <c r="O537">
        <v>5174.5240000000003</v>
      </c>
      <c r="P537">
        <v>0</v>
      </c>
    </row>
    <row r="538" spans="3:16">
      <c r="C538" t="s">
        <v>767</v>
      </c>
      <c r="D538">
        <v>84</v>
      </c>
      <c r="E538" s="21">
        <v>1905</v>
      </c>
      <c r="F538">
        <v>1613511.8800279377</v>
      </c>
      <c r="G538">
        <v>85723.909338584665</v>
      </c>
      <c r="H538">
        <v>18908.357675323085</v>
      </c>
      <c r="I538">
        <v>1290809.5040223503</v>
      </c>
      <c r="J538">
        <v>79141.871844233887</v>
      </c>
      <c r="K538">
        <v>13733.438732603085</v>
      </c>
      <c r="L538">
        <v>4033779.7000698443</v>
      </c>
      <c r="M538">
        <v>98887.984327286205</v>
      </c>
      <c r="N538">
        <v>24083.276618043081</v>
      </c>
      <c r="O538">
        <v>5232.7520000000004</v>
      </c>
      <c r="P538">
        <v>0</v>
      </c>
    </row>
    <row r="539" spans="3:16">
      <c r="C539" t="s">
        <v>767</v>
      </c>
      <c r="D539">
        <v>85</v>
      </c>
      <c r="E539" s="21">
        <v>1905</v>
      </c>
      <c r="F539">
        <v>1697336.8020597603</v>
      </c>
      <c r="G539">
        <v>91198.832817882329</v>
      </c>
      <c r="H539">
        <v>19731.382806220736</v>
      </c>
      <c r="I539">
        <v>1357869.4416478083</v>
      </c>
      <c r="J539">
        <v>84155.937199906795</v>
      </c>
      <c r="K539">
        <v>14331.214880307693</v>
      </c>
      <c r="L539">
        <v>4243342.0051494008</v>
      </c>
      <c r="M539">
        <v>105284.62405383337</v>
      </c>
      <c r="N539">
        <v>25131.550732133775</v>
      </c>
      <c r="O539">
        <v>5290.98</v>
      </c>
      <c r="P539">
        <v>0</v>
      </c>
    </row>
    <row r="540" spans="3:16">
      <c r="C540" t="s">
        <v>767</v>
      </c>
      <c r="D540">
        <v>86</v>
      </c>
      <c r="E540" s="21">
        <v>1905</v>
      </c>
      <c r="F540">
        <v>1784151.8254367369</v>
      </c>
      <c r="G540">
        <v>96967.047032333256</v>
      </c>
      <c r="H540">
        <v>20575.99054837726</v>
      </c>
      <c r="I540">
        <v>1427321.4603493896</v>
      </c>
      <c r="J540">
        <v>89436.236071034378</v>
      </c>
      <c r="K540">
        <v>14944.666819347694</v>
      </c>
      <c r="L540">
        <v>4460379.5635918416</v>
      </c>
      <c r="M540">
        <v>112028.668954931</v>
      </c>
      <c r="N540">
        <v>26207.314277406826</v>
      </c>
      <c r="O540">
        <v>5349.2079999999996</v>
      </c>
      <c r="P540">
        <v>0</v>
      </c>
    </row>
    <row r="541" spans="3:16">
      <c r="C541" t="s">
        <v>767</v>
      </c>
      <c r="D541">
        <v>87</v>
      </c>
      <c r="E541" s="21">
        <v>1905</v>
      </c>
      <c r="F541">
        <v>1874022.0735652694</v>
      </c>
      <c r="G541">
        <v>103043.10817551166</v>
      </c>
      <c r="H541">
        <v>21442.434139791305</v>
      </c>
      <c r="I541">
        <v>1499217.6588522154</v>
      </c>
      <c r="J541">
        <v>94995.895688464836</v>
      </c>
      <c r="K541">
        <v>15573.97848048</v>
      </c>
      <c r="L541">
        <v>4685055.1839131732</v>
      </c>
      <c r="M541">
        <v>119137.5331496053</v>
      </c>
      <c r="N541">
        <v>27310.889799102606</v>
      </c>
      <c r="O541">
        <v>5407.4360000000006</v>
      </c>
      <c r="P541">
        <v>0</v>
      </c>
    </row>
    <row r="542" spans="3:16">
      <c r="C542" t="s">
        <v>767</v>
      </c>
      <c r="D542">
        <v>88</v>
      </c>
      <c r="E542" s="21">
        <v>1905</v>
      </c>
      <c r="F542">
        <v>1967013.311887085</v>
      </c>
      <c r="G542">
        <v>109442.35087709768</v>
      </c>
      <c r="H542">
        <v>22330.966818461533</v>
      </c>
      <c r="I542">
        <v>1573610.6495096681</v>
      </c>
      <c r="J542">
        <v>100848.74387554175</v>
      </c>
      <c r="K542">
        <v>16219.333794461534</v>
      </c>
      <c r="L542">
        <v>4917533.2797177117</v>
      </c>
      <c r="M542">
        <v>126629.56488020951</v>
      </c>
      <c r="N542">
        <v>28442.599842461528</v>
      </c>
      <c r="O542">
        <v>5465.6640000000007</v>
      </c>
      <c r="P542">
        <v>0</v>
      </c>
    </row>
    <row r="543" spans="3:16">
      <c r="C543" t="s">
        <v>767</v>
      </c>
      <c r="D543">
        <v>89</v>
      </c>
      <c r="E543" s="21">
        <v>1905</v>
      </c>
      <c r="F543">
        <v>2063191.9476694395</v>
      </c>
      <c r="G543">
        <v>116180.93831678941</v>
      </c>
      <c r="H543">
        <v>23241.841822386614</v>
      </c>
      <c r="I543">
        <v>1650553.5581355519</v>
      </c>
      <c r="J543">
        <v>107009.35415062486</v>
      </c>
      <c r="K543">
        <v>16880.916692049221</v>
      </c>
      <c r="L543">
        <v>5157979.8691735994</v>
      </c>
      <c r="M543">
        <v>134524.10664911853</v>
      </c>
      <c r="N543">
        <v>29602.766952724003</v>
      </c>
      <c r="O543">
        <v>5523.8919999999998</v>
      </c>
      <c r="P543">
        <v>0</v>
      </c>
    </row>
    <row r="544" spans="3:16">
      <c r="C544" t="s">
        <v>767</v>
      </c>
      <c r="D544">
        <v>90</v>
      </c>
      <c r="E544" s="21">
        <v>1905</v>
      </c>
      <c r="F544">
        <v>2162625.0297977696</v>
      </c>
      <c r="G544">
        <v>123275.91626017389</v>
      </c>
      <c r="H544">
        <v>24175.31238956521</v>
      </c>
      <c r="I544">
        <v>1730100.0238382155</v>
      </c>
      <c r="J544">
        <v>113493.09435937391</v>
      </c>
      <c r="K544">
        <v>17558.911103999999</v>
      </c>
      <c r="L544">
        <v>5406562.5744944233</v>
      </c>
      <c r="M544">
        <v>142841.5600617739</v>
      </c>
      <c r="N544">
        <v>30791.713675130421</v>
      </c>
      <c r="O544">
        <v>5582.12</v>
      </c>
      <c r="P544">
        <v>0</v>
      </c>
    </row>
    <row r="545" spans="3:16">
      <c r="C545" t="s">
        <v>767</v>
      </c>
      <c r="D545">
        <v>20</v>
      </c>
      <c r="E545" s="21">
        <v>1906</v>
      </c>
      <c r="F545">
        <v>8941.8021277316402</v>
      </c>
      <c r="G545">
        <v>455.47630434782616</v>
      </c>
      <c r="H545">
        <v>236.22260869565224</v>
      </c>
      <c r="I545">
        <v>7153.4417021853124</v>
      </c>
      <c r="J545">
        <v>436.92554347826098</v>
      </c>
      <c r="K545">
        <v>161.98121739130443</v>
      </c>
      <c r="L545">
        <v>22354.505319329102</v>
      </c>
      <c r="M545">
        <v>492.57782608695663</v>
      </c>
      <c r="N545">
        <v>310.46400000000006</v>
      </c>
      <c r="O545">
        <v>1506.1599999999999</v>
      </c>
      <c r="P545">
        <v>0</v>
      </c>
    </row>
    <row r="546" spans="3:16">
      <c r="C546" t="s">
        <v>767</v>
      </c>
      <c r="D546">
        <v>21</v>
      </c>
      <c r="E546" s="21">
        <v>1906</v>
      </c>
      <c r="F546">
        <v>9993.3297907254164</v>
      </c>
      <c r="G546">
        <v>505.36028817219699</v>
      </c>
      <c r="H546">
        <v>258.23188695652181</v>
      </c>
      <c r="I546">
        <v>7994.6638325803333</v>
      </c>
      <c r="J546">
        <v>484.33647500715119</v>
      </c>
      <c r="K546">
        <v>177.07329391304353</v>
      </c>
      <c r="L546">
        <v>24983.324476813541</v>
      </c>
      <c r="M546">
        <v>547.40791450228858</v>
      </c>
      <c r="N546">
        <v>339.39048000000014</v>
      </c>
      <c r="O546">
        <v>1564.3879999999999</v>
      </c>
      <c r="P546">
        <v>0</v>
      </c>
    </row>
    <row r="547" spans="3:16">
      <c r="C547" t="s">
        <v>767</v>
      </c>
      <c r="D547">
        <v>22</v>
      </c>
      <c r="E547" s="21">
        <v>1906</v>
      </c>
      <c r="F547">
        <v>11115.734819844491</v>
      </c>
      <c r="G547">
        <v>558.43666896413561</v>
      </c>
      <c r="H547">
        <v>281.1531130434783</v>
      </c>
      <c r="I547">
        <v>8892.5878558755921</v>
      </c>
      <c r="J547">
        <v>534.72478641554812</v>
      </c>
      <c r="K547">
        <v>192.79070608695656</v>
      </c>
      <c r="L547">
        <v>27789.337049611226</v>
      </c>
      <c r="M547">
        <v>605.86043406131057</v>
      </c>
      <c r="N547">
        <v>369.51552000000004</v>
      </c>
      <c r="O547">
        <v>1622.616</v>
      </c>
      <c r="P547">
        <v>0</v>
      </c>
    </row>
    <row r="548" spans="3:16">
      <c r="C548" t="s">
        <v>767</v>
      </c>
      <c r="D548">
        <v>23</v>
      </c>
      <c r="E548" s="21">
        <v>1906</v>
      </c>
      <c r="F548">
        <v>12540.446385600409</v>
      </c>
      <c r="G548">
        <v>626.27797793190211</v>
      </c>
      <c r="H548">
        <v>310.67244080267568</v>
      </c>
      <c r="I548">
        <v>10032.357108480328</v>
      </c>
      <c r="J548">
        <v>599.15560194473187</v>
      </c>
      <c r="K548">
        <v>213.03253083612049</v>
      </c>
      <c r="L548">
        <v>31351.115964001023</v>
      </c>
      <c r="M548">
        <v>680.52272990624238</v>
      </c>
      <c r="N548">
        <v>408.31235076923082</v>
      </c>
      <c r="O548">
        <v>1680.8440000000001</v>
      </c>
      <c r="P548">
        <v>0</v>
      </c>
    </row>
    <row r="549" spans="3:16">
      <c r="C549" t="s">
        <v>767</v>
      </c>
      <c r="D549">
        <v>24</v>
      </c>
      <c r="E549" s="21">
        <v>1906</v>
      </c>
      <c r="F549">
        <v>14063.37942936764</v>
      </c>
      <c r="G549">
        <v>698.5815189056982</v>
      </c>
      <c r="H549">
        <v>341.44833177257522</v>
      </c>
      <c r="I549">
        <v>11250.703543494114</v>
      </c>
      <c r="J549">
        <v>667.74603350342272</v>
      </c>
      <c r="K549">
        <v>234.13599892976583</v>
      </c>
      <c r="L549">
        <v>35158.448573419097</v>
      </c>
      <c r="M549">
        <v>760.25248971024917</v>
      </c>
      <c r="N549">
        <v>448.7606646153846</v>
      </c>
      <c r="O549">
        <v>1739.0720000000001</v>
      </c>
      <c r="P549">
        <v>0</v>
      </c>
    </row>
    <row r="550" spans="3:16">
      <c r="C550" t="s">
        <v>767</v>
      </c>
      <c r="D550">
        <v>25</v>
      </c>
      <c r="E550" s="21">
        <v>1906</v>
      </c>
      <c r="F550">
        <v>15687.152669712537</v>
      </c>
      <c r="G550">
        <v>775.50225171527677</v>
      </c>
      <c r="H550">
        <v>373.48078595317736</v>
      </c>
      <c r="I550">
        <v>12549.722135770031</v>
      </c>
      <c r="J550">
        <v>740.63554493839797</v>
      </c>
      <c r="K550">
        <v>256.10111036789294</v>
      </c>
      <c r="L550">
        <v>39217.881674281351</v>
      </c>
      <c r="M550">
        <v>845.23566526903437</v>
      </c>
      <c r="N550">
        <v>490.86046153846166</v>
      </c>
      <c r="O550">
        <v>1797.3000000000002</v>
      </c>
      <c r="P550">
        <v>0</v>
      </c>
    </row>
    <row r="551" spans="3:16">
      <c r="C551" t="s">
        <v>767</v>
      </c>
      <c r="D551">
        <v>26</v>
      </c>
      <c r="E551" s="21">
        <v>1906</v>
      </c>
      <c r="F551">
        <v>17635.32426947316</v>
      </c>
      <c r="G551">
        <v>868.0754053798604</v>
      </c>
      <c r="H551">
        <v>411.93076334448165</v>
      </c>
      <c r="I551">
        <v>14108.259415578528</v>
      </c>
      <c r="J551">
        <v>828.34566636695797</v>
      </c>
      <c r="K551">
        <v>282.46680915050172</v>
      </c>
      <c r="L551">
        <v>44088.3106736829</v>
      </c>
      <c r="M551">
        <v>947.53488340566525</v>
      </c>
      <c r="N551">
        <v>541.39471753846158</v>
      </c>
      <c r="O551">
        <v>1855.528</v>
      </c>
      <c r="P551">
        <v>0</v>
      </c>
    </row>
    <row r="552" spans="3:16">
      <c r="C552" t="s">
        <v>767</v>
      </c>
      <c r="D552">
        <v>27</v>
      </c>
      <c r="E552" s="21">
        <v>1906</v>
      </c>
      <c r="F552">
        <v>19710.34129093419</v>
      </c>
      <c r="G552">
        <v>966.5259269812766</v>
      </c>
      <c r="H552">
        <v>451.92402394648843</v>
      </c>
      <c r="I552">
        <v>15768.273032747353</v>
      </c>
      <c r="J552">
        <v>921.5217941627476</v>
      </c>
      <c r="K552">
        <v>309.89075927759211</v>
      </c>
      <c r="L552">
        <v>49275.853227335472</v>
      </c>
      <c r="M552">
        <v>1056.5341926183346</v>
      </c>
      <c r="N552">
        <v>593.95728861538475</v>
      </c>
      <c r="O552">
        <v>1913.7559999999999</v>
      </c>
      <c r="P552">
        <v>0</v>
      </c>
    </row>
    <row r="553" spans="3:16">
      <c r="C553" t="s">
        <v>767</v>
      </c>
      <c r="D553">
        <v>28</v>
      </c>
      <c r="E553" s="21">
        <v>1906</v>
      </c>
      <c r="F553">
        <v>21915.398576109143</v>
      </c>
      <c r="G553">
        <v>1071.056840151788</v>
      </c>
      <c r="H553">
        <v>493.46056775919737</v>
      </c>
      <c r="I553">
        <v>17532.318860887313</v>
      </c>
      <c r="J553">
        <v>1020.3466495948034</v>
      </c>
      <c r="K553">
        <v>338.37296074916389</v>
      </c>
      <c r="L553">
        <v>54788.496440272858</v>
      </c>
      <c r="M553">
        <v>1172.4772212657576</v>
      </c>
      <c r="N553">
        <v>648.54817476923085</v>
      </c>
      <c r="O553">
        <v>1971.9840000000002</v>
      </c>
      <c r="P553">
        <v>0</v>
      </c>
    </row>
    <row r="554" spans="3:16">
      <c r="C554" t="s">
        <v>767</v>
      </c>
      <c r="D554">
        <v>29</v>
      </c>
      <c r="E554" s="21">
        <v>1906</v>
      </c>
      <c r="F554">
        <v>24253.681709760516</v>
      </c>
      <c r="G554">
        <v>1181.8770675153971</v>
      </c>
      <c r="H554">
        <v>536.54039478260904</v>
      </c>
      <c r="I554">
        <v>19402.945367808414</v>
      </c>
      <c r="J554">
        <v>1125.0082630247271</v>
      </c>
      <c r="K554">
        <v>367.91341356521764</v>
      </c>
      <c r="L554">
        <v>60634.204274401294</v>
      </c>
      <c r="M554">
        <v>1295.6146764967373</v>
      </c>
      <c r="N554">
        <v>705.16737600000033</v>
      </c>
      <c r="O554">
        <v>2030.212</v>
      </c>
      <c r="P554">
        <v>0</v>
      </c>
    </row>
    <row r="555" spans="3:16">
      <c r="C555" t="s">
        <v>767</v>
      </c>
      <c r="D555">
        <v>30</v>
      </c>
      <c r="E555" s="21">
        <v>1906</v>
      </c>
      <c r="F555">
        <v>27062.471988474343</v>
      </c>
      <c r="G555">
        <v>1315.4416670859173</v>
      </c>
      <c r="H555">
        <v>588.42804882943165</v>
      </c>
      <c r="I555">
        <v>21649.977590779476</v>
      </c>
      <c r="J555">
        <v>1251.1464202435463</v>
      </c>
      <c r="K555">
        <v>403.49351919732476</v>
      </c>
      <c r="L555">
        <v>67656.179971185848</v>
      </c>
      <c r="M555">
        <v>1444.0321607706589</v>
      </c>
      <c r="N555">
        <v>773.36257846153876</v>
      </c>
      <c r="O555">
        <v>2088.44</v>
      </c>
      <c r="P555">
        <v>0</v>
      </c>
    </row>
    <row r="556" spans="3:16">
      <c r="C556" t="s">
        <v>767</v>
      </c>
      <c r="D556">
        <v>31</v>
      </c>
      <c r="E556" s="21">
        <v>1906</v>
      </c>
      <c r="F556">
        <v>30129.686032358746</v>
      </c>
      <c r="G556">
        <v>1459.9105504311335</v>
      </c>
      <c r="H556">
        <v>642.29783683153869</v>
      </c>
      <c r="I556">
        <v>24103.748825887</v>
      </c>
      <c r="J556">
        <v>1388.2810394495586</v>
      </c>
      <c r="K556">
        <v>436.1304559209234</v>
      </c>
      <c r="L556">
        <v>75324.215080896858</v>
      </c>
      <c r="M556">
        <v>1603.1695723942833</v>
      </c>
      <c r="N556">
        <v>848.4652177421541</v>
      </c>
      <c r="O556">
        <v>2146.6680000000001</v>
      </c>
      <c r="P556">
        <v>0</v>
      </c>
    </row>
    <row r="557" spans="3:16">
      <c r="C557" t="s">
        <v>767</v>
      </c>
      <c r="D557">
        <v>32</v>
      </c>
      <c r="E557" s="21">
        <v>1906</v>
      </c>
      <c r="F557">
        <v>33407.774560294863</v>
      </c>
      <c r="G557">
        <v>1614.1126084319108</v>
      </c>
      <c r="H557">
        <v>698.45313380909715</v>
      </c>
      <c r="I557">
        <v>26726.219648235889</v>
      </c>
      <c r="J557">
        <v>1534.6313339592882</v>
      </c>
      <c r="K557">
        <v>469.45882190335828</v>
      </c>
      <c r="L557">
        <v>83519.436400737162</v>
      </c>
      <c r="M557">
        <v>1773.0751573771554</v>
      </c>
      <c r="N557">
        <v>927.44744571483636</v>
      </c>
      <c r="O557">
        <v>2204.8960000000002</v>
      </c>
      <c r="P557">
        <v>0</v>
      </c>
    </row>
    <row r="558" spans="3:16">
      <c r="C558" t="s">
        <v>767</v>
      </c>
      <c r="D558">
        <v>33</v>
      </c>
      <c r="E558" s="21">
        <v>1906</v>
      </c>
      <c r="F558">
        <v>36889.600551286479</v>
      </c>
      <c r="G558">
        <v>1777.7373015555841</v>
      </c>
      <c r="H558">
        <v>756.59666196898047</v>
      </c>
      <c r="I558">
        <v>29511.680441029188</v>
      </c>
      <c r="J558">
        <v>1689.9007674736044</v>
      </c>
      <c r="K558">
        <v>503.19861203167284</v>
      </c>
      <c r="L558">
        <v>92224.001378216213</v>
      </c>
      <c r="M558">
        <v>1953.4103697195435</v>
      </c>
      <c r="N558">
        <v>1009.9947119062883</v>
      </c>
      <c r="O558">
        <v>2263.1239999999998</v>
      </c>
      <c r="P558">
        <v>0</v>
      </c>
    </row>
    <row r="559" spans="3:16">
      <c r="C559" t="s">
        <v>767</v>
      </c>
      <c r="D559">
        <v>34</v>
      </c>
      <c r="E559" s="21">
        <v>1906</v>
      </c>
      <c r="F559">
        <v>40578.634286907327</v>
      </c>
      <c r="G559">
        <v>1950.9995193775903</v>
      </c>
      <c r="H559">
        <v>816.66330608107046</v>
      </c>
      <c r="I559">
        <v>32462.907429525865</v>
      </c>
      <c r="J559">
        <v>1854.2927368471892</v>
      </c>
      <c r="K559">
        <v>537.2267049641739</v>
      </c>
      <c r="L559">
        <v>101446.58571726832</v>
      </c>
      <c r="M559">
        <v>2144.4130844383926</v>
      </c>
      <c r="N559">
        <v>1096.0999071979668</v>
      </c>
      <c r="O559">
        <v>2321.3520000000003</v>
      </c>
      <c r="P559">
        <v>0</v>
      </c>
    </row>
    <row r="560" spans="3:16">
      <c r="C560" t="s">
        <v>767</v>
      </c>
      <c r="D560">
        <v>35</v>
      </c>
      <c r="E560" s="21">
        <v>1906</v>
      </c>
      <c r="F560">
        <v>44478.05789077012</v>
      </c>
      <c r="G560">
        <v>2134.1103830077054</v>
      </c>
      <c r="H560">
        <v>878.58345260869601</v>
      </c>
      <c r="I560">
        <v>35582.446312616099</v>
      </c>
      <c r="J560">
        <v>2028.0072473156306</v>
      </c>
      <c r="K560">
        <v>571.41458139130486</v>
      </c>
      <c r="L560">
        <v>111195.14472692531</v>
      </c>
      <c r="M560">
        <v>2346.3166543918551</v>
      </c>
      <c r="N560">
        <v>1185.7523238260871</v>
      </c>
      <c r="O560">
        <v>2379.58</v>
      </c>
      <c r="P560">
        <v>0</v>
      </c>
    </row>
    <row r="561" spans="3:16">
      <c r="C561" t="s">
        <v>767</v>
      </c>
      <c r="D561">
        <v>36</v>
      </c>
      <c r="E561" s="21">
        <v>1906</v>
      </c>
      <c r="F561">
        <v>48590.754138138334</v>
      </c>
      <c r="G561">
        <v>2327.2771008885406</v>
      </c>
      <c r="H561">
        <v>942.2829897086292</v>
      </c>
      <c r="I561">
        <v>38872.603310510669</v>
      </c>
      <c r="J561">
        <v>2211.2407827140678</v>
      </c>
      <c r="K561">
        <v>605.62832403563925</v>
      </c>
      <c r="L561">
        <v>121476.88534534584</v>
      </c>
      <c r="M561">
        <v>2559.3497372374859</v>
      </c>
      <c r="N561">
        <v>1278.9376553816192</v>
      </c>
      <c r="O561">
        <v>2437.808</v>
      </c>
      <c r="P561">
        <v>0</v>
      </c>
    </row>
    <row r="562" spans="3:16">
      <c r="C562" t="s">
        <v>767</v>
      </c>
      <c r="D562">
        <v>37</v>
      </c>
      <c r="E562" s="21">
        <v>1906</v>
      </c>
      <c r="F562">
        <v>52919.295240975604</v>
      </c>
      <c r="G562">
        <v>2556.0061475676844</v>
      </c>
      <c r="H562">
        <v>1007.6833072310874</v>
      </c>
      <c r="I562">
        <v>42335.436192780486</v>
      </c>
      <c r="J562">
        <v>2426.9591663721203</v>
      </c>
      <c r="K562">
        <v>639.72861765188691</v>
      </c>
      <c r="L562">
        <v>132298.23810243901</v>
      </c>
      <c r="M562">
        <v>2814.1001099588129</v>
      </c>
      <c r="N562">
        <v>1375.6379968102879</v>
      </c>
      <c r="O562">
        <v>2496.0360000000001</v>
      </c>
      <c r="P562">
        <v>0</v>
      </c>
    </row>
    <row r="563" spans="3:16">
      <c r="C563" t="s">
        <v>767</v>
      </c>
      <c r="D563">
        <v>38</v>
      </c>
      <c r="E563" s="21">
        <v>1906</v>
      </c>
      <c r="F563">
        <v>57465.931613838111</v>
      </c>
      <c r="G563">
        <v>2799.6080663450243</v>
      </c>
      <c r="H563">
        <v>1074.7012967197329</v>
      </c>
      <c r="I563">
        <v>45972.745291070489</v>
      </c>
      <c r="J563">
        <v>2656.5518834964751</v>
      </c>
      <c r="K563">
        <v>673.5707490268901</v>
      </c>
      <c r="L563">
        <v>143664.82903459528</v>
      </c>
      <c r="M563">
        <v>3085.7204320421229</v>
      </c>
      <c r="N563">
        <v>1475.8318444125755</v>
      </c>
      <c r="O563">
        <v>2554.2640000000001</v>
      </c>
      <c r="P563">
        <v>0</v>
      </c>
    </row>
    <row r="564" spans="3:16">
      <c r="C564" t="s">
        <v>767</v>
      </c>
      <c r="D564">
        <v>39</v>
      </c>
      <c r="E564" s="21">
        <v>1906</v>
      </c>
      <c r="F564">
        <v>62232.580625078845</v>
      </c>
      <c r="G564">
        <v>3058.6172945567496</v>
      </c>
      <c r="H564">
        <v>1143.2493514116723</v>
      </c>
      <c r="I564">
        <v>49786.064500063076</v>
      </c>
      <c r="J564">
        <v>2900.5099239264928</v>
      </c>
      <c r="K564">
        <v>707.00460697962581</v>
      </c>
      <c r="L564">
        <v>155581.4515626971</v>
      </c>
      <c r="M564">
        <v>3374.8320358172632</v>
      </c>
      <c r="N564">
        <v>1579.4940958437192</v>
      </c>
      <c r="O564">
        <v>2612.4920000000002</v>
      </c>
      <c r="P564">
        <v>0</v>
      </c>
    </row>
    <row r="565" spans="3:16">
      <c r="C565" t="s">
        <v>767</v>
      </c>
      <c r="D565">
        <v>40</v>
      </c>
      <c r="E565" s="21">
        <v>1906</v>
      </c>
      <c r="F565">
        <v>67826.408268034895</v>
      </c>
      <c r="G565">
        <v>3363.6030811103692</v>
      </c>
      <c r="H565">
        <v>1224.1654145819407</v>
      </c>
      <c r="I565">
        <v>54261.126614427914</v>
      </c>
      <c r="J565">
        <v>3187.7890568789312</v>
      </c>
      <c r="K565">
        <v>746.5402200401345</v>
      </c>
      <c r="L565">
        <v>169566.02067008725</v>
      </c>
      <c r="M565">
        <v>3715.2311295732461</v>
      </c>
      <c r="N565">
        <v>1701.7906091237467</v>
      </c>
      <c r="O565">
        <v>2670.72</v>
      </c>
      <c r="P565">
        <v>0</v>
      </c>
    </row>
    <row r="566" spans="3:16">
      <c r="C566" t="s">
        <v>767</v>
      </c>
      <c r="D566">
        <v>41</v>
      </c>
      <c r="E566" s="21">
        <v>1906</v>
      </c>
      <c r="F566">
        <v>73702.587505867821</v>
      </c>
      <c r="G566">
        <v>3688.6046102938117</v>
      </c>
      <c r="H566">
        <v>1307.0989262039138</v>
      </c>
      <c r="I566">
        <v>58962.070004694266</v>
      </c>
      <c r="J566">
        <v>3493.7340229687784</v>
      </c>
      <c r="K566">
        <v>785.56427977513113</v>
      </c>
      <c r="L566">
        <v>184256.46876466955</v>
      </c>
      <c r="M566">
        <v>4078.3457849438778</v>
      </c>
      <c r="N566">
        <v>1828.6335726326965</v>
      </c>
      <c r="O566">
        <v>2728.9480000000003</v>
      </c>
      <c r="P566">
        <v>0</v>
      </c>
    </row>
    <row r="567" spans="3:16">
      <c r="C567" t="s">
        <v>767</v>
      </c>
      <c r="D567">
        <v>42</v>
      </c>
      <c r="E567" s="21">
        <v>1906</v>
      </c>
      <c r="F567">
        <v>79863.123047671615</v>
      </c>
      <c r="G567">
        <v>4034.3270382227838</v>
      </c>
      <c r="H567">
        <v>1391.9285789538476</v>
      </c>
      <c r="I567">
        <v>63890.4984381373</v>
      </c>
      <c r="J567">
        <v>3818.9927910158904</v>
      </c>
      <c r="K567">
        <v>823.87123997538629</v>
      </c>
      <c r="L567">
        <v>199657.80761917905</v>
      </c>
      <c r="M567">
        <v>4464.9955326365707</v>
      </c>
      <c r="N567">
        <v>1959.9859179323089</v>
      </c>
      <c r="O567">
        <v>2787.1759999999999</v>
      </c>
      <c r="P567">
        <v>0</v>
      </c>
    </row>
    <row r="568" spans="3:16">
      <c r="C568" t="s">
        <v>767</v>
      </c>
      <c r="D568">
        <v>43</v>
      </c>
      <c r="E568" s="21">
        <v>1906</v>
      </c>
      <c r="F568">
        <v>86309.54182357814</v>
      </c>
      <c r="G568">
        <v>4401.4776510908987</v>
      </c>
      <c r="H568">
        <v>1478.52706776592</v>
      </c>
      <c r="I568">
        <v>69047.633458862503</v>
      </c>
      <c r="J568">
        <v>4164.2152469102366</v>
      </c>
      <c r="K568">
        <v>861.24835714117762</v>
      </c>
      <c r="L568">
        <v>215773.85455894534</v>
      </c>
      <c r="M568">
        <v>4876.002459452222</v>
      </c>
      <c r="N568">
        <v>2095.8057783906625</v>
      </c>
      <c r="O568">
        <v>2845.404</v>
      </c>
      <c r="P568">
        <v>0</v>
      </c>
    </row>
    <row r="569" spans="3:16">
      <c r="C569" t="s">
        <v>767</v>
      </c>
      <c r="D569">
        <v>44</v>
      </c>
      <c r="E569" s="21">
        <v>1906</v>
      </c>
      <c r="F569">
        <v>93042.878031010187</v>
      </c>
      <c r="G569">
        <v>4790.7649129824767</v>
      </c>
      <c r="H569">
        <v>1566.7610898322414</v>
      </c>
      <c r="I569">
        <v>74434.302424808149</v>
      </c>
      <c r="J569">
        <v>4530.0523366434263</v>
      </c>
      <c r="K569">
        <v>897.47569048230207</v>
      </c>
      <c r="L569">
        <v>232607.19507752545</v>
      </c>
      <c r="M569">
        <v>5312.1900656605776</v>
      </c>
      <c r="N569">
        <v>2236.0464891821812</v>
      </c>
      <c r="O569">
        <v>2903.6320000000001</v>
      </c>
      <c r="P569">
        <v>0</v>
      </c>
    </row>
    <row r="570" spans="3:16">
      <c r="C570" t="s">
        <v>767</v>
      </c>
      <c r="D570">
        <v>45</v>
      </c>
      <c r="E570" s="21">
        <v>1906</v>
      </c>
      <c r="F570">
        <v>100063.65816913599</v>
      </c>
      <c r="G570">
        <v>5202.8974667281691</v>
      </c>
      <c r="H570">
        <v>1656.491344602844</v>
      </c>
      <c r="I570">
        <v>80050.926535308798</v>
      </c>
      <c r="J570">
        <v>4917.155167078763</v>
      </c>
      <c r="K570">
        <v>932.32610191806089</v>
      </c>
      <c r="L570">
        <v>250159.14542283997</v>
      </c>
      <c r="M570">
        <v>5774.3820660269794</v>
      </c>
      <c r="N570">
        <v>2380.6565872876267</v>
      </c>
      <c r="O570">
        <v>2961.86</v>
      </c>
      <c r="P570">
        <v>0</v>
      </c>
    </row>
    <row r="571" spans="3:16">
      <c r="C571" t="s">
        <v>767</v>
      </c>
      <c r="D571">
        <v>46</v>
      </c>
      <c r="E571" s="21">
        <v>1906</v>
      </c>
      <c r="F571">
        <v>107371.88606476826</v>
      </c>
      <c r="G571">
        <v>5638.5830850793718</v>
      </c>
      <c r="H571">
        <v>1747.5725337856866</v>
      </c>
      <c r="I571">
        <v>85897.508851814622</v>
      </c>
      <c r="J571">
        <v>5326.1740620082237</v>
      </c>
      <c r="K571">
        <v>965.56525607727235</v>
      </c>
      <c r="L571">
        <v>268429.71516192064</v>
      </c>
      <c r="M571">
        <v>6263.4011312216662</v>
      </c>
      <c r="N571">
        <v>2529.5798114941012</v>
      </c>
      <c r="O571">
        <v>3020.0879999999997</v>
      </c>
      <c r="P571">
        <v>0</v>
      </c>
    </row>
    <row r="572" spans="3:16">
      <c r="C572" t="s">
        <v>767</v>
      </c>
      <c r="D572">
        <v>47</v>
      </c>
      <c r="E572" s="21">
        <v>1906</v>
      </c>
      <c r="F572">
        <v>114967.02789244325</v>
      </c>
      <c r="G572">
        <v>6098.52756929529</v>
      </c>
      <c r="H572">
        <v>1839.8533613466561</v>
      </c>
      <c r="I572">
        <v>91973.622313954605</v>
      </c>
      <c r="J572">
        <v>5757.7575708808108</v>
      </c>
      <c r="K572">
        <v>996.95162029826133</v>
      </c>
      <c r="L572">
        <v>287417.56973110815</v>
      </c>
      <c r="M572">
        <v>6780.0675661242476</v>
      </c>
      <c r="N572">
        <v>2682.7551023950505</v>
      </c>
      <c r="O572">
        <v>3078.3160000000003</v>
      </c>
      <c r="P572">
        <v>0</v>
      </c>
    </row>
    <row r="573" spans="3:16">
      <c r="C573" t="s">
        <v>767</v>
      </c>
      <c r="D573">
        <v>48</v>
      </c>
      <c r="E573" s="21">
        <v>1906</v>
      </c>
      <c r="F573">
        <v>122847.99719098872</v>
      </c>
      <c r="G573">
        <v>6583.4335920405701</v>
      </c>
      <c r="H573">
        <v>1933.1765335095661</v>
      </c>
      <c r="I573">
        <v>98278.397752790988</v>
      </c>
      <c r="J573">
        <v>6212.5514274104262</v>
      </c>
      <c r="K573">
        <v>1026.2364646288706</v>
      </c>
      <c r="L573">
        <v>307119.99297747179</v>
      </c>
      <c r="M573">
        <v>7325.1979213008563</v>
      </c>
      <c r="N573">
        <v>2840.116602390262</v>
      </c>
      <c r="O573">
        <v>3136.5439999999999</v>
      </c>
      <c r="P573">
        <v>0</v>
      </c>
    </row>
    <row r="574" spans="3:16">
      <c r="C574" t="s">
        <v>767</v>
      </c>
      <c r="D574">
        <v>49</v>
      </c>
      <c r="E574" s="21">
        <v>1906</v>
      </c>
      <c r="F574">
        <v>131013.13987852901</v>
      </c>
      <c r="G574">
        <v>7093.9994812805598</v>
      </c>
      <c r="H574">
        <v>2027.3787587561555</v>
      </c>
      <c r="I574">
        <v>104810.5119028232</v>
      </c>
      <c r="J574">
        <v>6691.1974550816012</v>
      </c>
      <c r="K574">
        <v>1053.1638618264506</v>
      </c>
      <c r="L574">
        <v>327532.84969632252</v>
      </c>
      <c r="M574">
        <v>7899.603533678478</v>
      </c>
      <c r="N574">
        <v>3001.5936556858614</v>
      </c>
      <c r="O574">
        <v>3194.7719999999999</v>
      </c>
      <c r="P574">
        <v>0</v>
      </c>
    </row>
    <row r="575" spans="3:16">
      <c r="C575" t="s">
        <v>767</v>
      </c>
      <c r="D575">
        <v>50</v>
      </c>
      <c r="E575" s="21">
        <v>1906</v>
      </c>
      <c r="F575">
        <v>140377.7207101247</v>
      </c>
      <c r="G575">
        <v>7681.1213491447716</v>
      </c>
      <c r="H575">
        <v>2136.2531869565237</v>
      </c>
      <c r="I575">
        <v>112302.17656809976</v>
      </c>
      <c r="J575">
        <v>7241.6635506851444</v>
      </c>
      <c r="K575">
        <v>1084.5593103010051</v>
      </c>
      <c r="L575">
        <v>350944.30177531176</v>
      </c>
      <c r="M575">
        <v>8560.0369460640268</v>
      </c>
      <c r="N575">
        <v>3187.9470636120423</v>
      </c>
      <c r="O575">
        <v>3253</v>
      </c>
      <c r="P575">
        <v>0</v>
      </c>
    </row>
    <row r="576" spans="3:16">
      <c r="C576" t="s">
        <v>767</v>
      </c>
      <c r="D576">
        <v>51</v>
      </c>
      <c r="E576" s="21">
        <v>1906</v>
      </c>
      <c r="F576">
        <v>149277.39007152343</v>
      </c>
      <c r="G576">
        <v>8360.4869373584006</v>
      </c>
      <c r="H576">
        <v>2307.6651179981291</v>
      </c>
      <c r="I576">
        <v>119421.91205721875</v>
      </c>
      <c r="J576">
        <v>7876.0890838727273</v>
      </c>
      <c r="K576">
        <v>1202.4369721663161</v>
      </c>
      <c r="L576">
        <v>373193.47517880861</v>
      </c>
      <c r="M576">
        <v>9329.2826443297454</v>
      </c>
      <c r="N576">
        <v>3412.8932638299411</v>
      </c>
      <c r="O576">
        <v>3311.2280000000001</v>
      </c>
      <c r="P576">
        <v>0</v>
      </c>
    </row>
    <row r="577" spans="3:16">
      <c r="C577" t="s">
        <v>767</v>
      </c>
      <c r="D577">
        <v>52</v>
      </c>
      <c r="E577" s="21">
        <v>1906</v>
      </c>
      <c r="F577">
        <v>164241.55686724765</v>
      </c>
      <c r="G577">
        <v>9084.506535993034</v>
      </c>
      <c r="H577">
        <v>2441.4266091130448</v>
      </c>
      <c r="I577">
        <v>131393.24549379814</v>
      </c>
      <c r="J577">
        <v>8551.6599761034304</v>
      </c>
      <c r="K577">
        <v>1239.4935092420083</v>
      </c>
      <c r="L577">
        <v>410603.89216811908</v>
      </c>
      <c r="M577">
        <v>10150.199655772243</v>
      </c>
      <c r="N577">
        <v>3643.3597089840814</v>
      </c>
      <c r="O577">
        <v>3369.4560000000001</v>
      </c>
      <c r="P577">
        <v>0</v>
      </c>
    </row>
    <row r="578" spans="3:16">
      <c r="C578" t="s">
        <v>767</v>
      </c>
      <c r="D578">
        <v>53</v>
      </c>
      <c r="E578" s="21">
        <v>1906</v>
      </c>
      <c r="F578">
        <v>177165.39996660315</v>
      </c>
      <c r="G578">
        <v>9855.4109134595365</v>
      </c>
      <c r="H578">
        <v>2603.4499219826112</v>
      </c>
      <c r="I578">
        <v>141732.31997328252</v>
      </c>
      <c r="J578">
        <v>9270.4005793416763</v>
      </c>
      <c r="K578">
        <v>1321.7514988527109</v>
      </c>
      <c r="L578">
        <v>442913.49991650786</v>
      </c>
      <c r="M578">
        <v>11025.431581695255</v>
      </c>
      <c r="N578">
        <v>3885.1483451125105</v>
      </c>
      <c r="O578">
        <v>3427.6839999999997</v>
      </c>
      <c r="P578">
        <v>0</v>
      </c>
    </row>
    <row r="579" spans="3:16">
      <c r="C579" t="s">
        <v>767</v>
      </c>
      <c r="D579">
        <v>54</v>
      </c>
      <c r="E579" s="21">
        <v>1906</v>
      </c>
      <c r="F579">
        <v>190779.04513167296</v>
      </c>
      <c r="G579">
        <v>10675.526746733005</v>
      </c>
      <c r="H579">
        <v>2771.9086928000024</v>
      </c>
      <c r="I579">
        <v>152623.23610533838</v>
      </c>
      <c r="J579">
        <v>10034.421563259704</v>
      </c>
      <c r="K579">
        <v>1407.2767209600024</v>
      </c>
      <c r="L579">
        <v>476947.61282918241</v>
      </c>
      <c r="M579">
        <v>11957.737113679603</v>
      </c>
      <c r="N579">
        <v>4136.5406646400024</v>
      </c>
      <c r="O579">
        <v>3485.9119999999998</v>
      </c>
      <c r="P579">
        <v>0</v>
      </c>
    </row>
    <row r="580" spans="3:16">
      <c r="C580" t="s">
        <v>767</v>
      </c>
      <c r="D580">
        <v>55</v>
      </c>
      <c r="E580" s="21">
        <v>1906</v>
      </c>
      <c r="F580">
        <v>205104.25331453216</v>
      </c>
      <c r="G580">
        <v>11547.28091576611</v>
      </c>
      <c r="H580">
        <v>2946.9112141304358</v>
      </c>
      <c r="I580">
        <v>164083.40265162574</v>
      </c>
      <c r="J580">
        <v>10845.923780209569</v>
      </c>
      <c r="K580">
        <v>1496.1241548662219</v>
      </c>
      <c r="L580">
        <v>512760.63328633044</v>
      </c>
      <c r="M580">
        <v>12949.995186879201</v>
      </c>
      <c r="N580">
        <v>4397.6982733946497</v>
      </c>
      <c r="O580">
        <v>3544.1399999999994</v>
      </c>
      <c r="P580">
        <v>0</v>
      </c>
    </row>
    <row r="581" spans="3:16">
      <c r="C581" t="s">
        <v>767</v>
      </c>
      <c r="D581">
        <v>56</v>
      </c>
      <c r="E581" s="21">
        <v>1906</v>
      </c>
      <c r="F581">
        <v>220163.08286988831</v>
      </c>
      <c r="G581">
        <v>12473.205030732086</v>
      </c>
      <c r="H581">
        <v>3128.5657785391331</v>
      </c>
      <c r="I581">
        <v>176130.46629591065</v>
      </c>
      <c r="J581">
        <v>11707.20233974182</v>
      </c>
      <c r="K581">
        <v>1588.3487798737133</v>
      </c>
      <c r="L581">
        <v>550407.70717472082</v>
      </c>
      <c r="M581">
        <v>14005.210412712615</v>
      </c>
      <c r="N581">
        <v>4668.7827772045512</v>
      </c>
      <c r="O581">
        <v>3602.3680000000004</v>
      </c>
      <c r="P581">
        <v>0</v>
      </c>
    </row>
    <row r="582" spans="3:16">
      <c r="C582" t="s">
        <v>767</v>
      </c>
      <c r="D582">
        <v>57</v>
      </c>
      <c r="E582" s="21">
        <v>1906</v>
      </c>
      <c r="F582">
        <v>235977.88944489759</v>
      </c>
      <c r="G582">
        <v>13455.940206958727</v>
      </c>
      <c r="H582">
        <v>3316.980678591307</v>
      </c>
      <c r="I582">
        <v>188782.31155591807</v>
      </c>
      <c r="J582">
        <v>12620.650906046134</v>
      </c>
      <c r="K582">
        <v>1684.0055752848184</v>
      </c>
      <c r="L582">
        <v>589944.72361224401</v>
      </c>
      <c r="M582">
        <v>15126.51880878392</v>
      </c>
      <c r="N582">
        <v>4949.9557818977955</v>
      </c>
      <c r="O582">
        <v>3660.596</v>
      </c>
      <c r="P582">
        <v>0</v>
      </c>
    </row>
    <row r="583" spans="3:16">
      <c r="C583" t="s">
        <v>767</v>
      </c>
      <c r="D583">
        <v>58</v>
      </c>
      <c r="E583" s="21">
        <v>1906</v>
      </c>
      <c r="F583">
        <v>252571.32586658711</v>
      </c>
      <c r="G583">
        <v>14498.242103509194</v>
      </c>
      <c r="H583">
        <v>3512.2642068521764</v>
      </c>
      <c r="I583">
        <v>202057.06069326968</v>
      </c>
      <c r="J583">
        <v>13588.766232673994</v>
      </c>
      <c r="K583">
        <v>1783.1495204018756</v>
      </c>
      <c r="L583">
        <v>631428.31466646772</v>
      </c>
      <c r="M583">
        <v>16317.193845179594</v>
      </c>
      <c r="N583">
        <v>5241.378893302478</v>
      </c>
      <c r="O583">
        <v>3718.8240000000001</v>
      </c>
      <c r="P583">
        <v>0</v>
      </c>
    </row>
    <row r="584" spans="3:16">
      <c r="C584" t="s">
        <v>767</v>
      </c>
      <c r="D584">
        <v>59</v>
      </c>
      <c r="E584" s="21">
        <v>1906</v>
      </c>
      <c r="F584">
        <v>269966.34202739014</v>
      </c>
      <c r="G584">
        <v>15602.986242550487</v>
      </c>
      <c r="H584">
        <v>3714.5246558869603</v>
      </c>
      <c r="I584">
        <v>215973.07362191213</v>
      </c>
      <c r="J584">
        <v>14614.152949970357</v>
      </c>
      <c r="K584">
        <v>1885.8355945272287</v>
      </c>
      <c r="L584">
        <v>674915.85506847547</v>
      </c>
      <c r="M584">
        <v>17580.652827710754</v>
      </c>
      <c r="N584">
        <v>5543.2137172466919</v>
      </c>
      <c r="O584">
        <v>3777.0519999999997</v>
      </c>
      <c r="P584">
        <v>0</v>
      </c>
    </row>
    <row r="585" spans="3:16">
      <c r="C585" t="s">
        <v>767</v>
      </c>
      <c r="D585">
        <v>60</v>
      </c>
      <c r="E585" s="21">
        <v>1906</v>
      </c>
      <c r="F585">
        <v>289605.82114741107</v>
      </c>
      <c r="G585">
        <v>16855.800099010041</v>
      </c>
      <c r="H585">
        <v>3943.1997286956557</v>
      </c>
      <c r="I585">
        <v>231684.65691792889</v>
      </c>
      <c r="J585">
        <v>15776.86620121606</v>
      </c>
      <c r="K585">
        <v>2001.9321699531793</v>
      </c>
      <c r="L585">
        <v>724014.55286852783</v>
      </c>
      <c r="M585">
        <v>19013.667894598002</v>
      </c>
      <c r="N585">
        <v>5884.4672874381313</v>
      </c>
      <c r="O585">
        <v>3835.2799999999997</v>
      </c>
      <c r="P585">
        <v>0</v>
      </c>
    </row>
    <row r="586" spans="3:16">
      <c r="C586" t="s">
        <v>767</v>
      </c>
      <c r="D586">
        <v>61</v>
      </c>
      <c r="E586" s="21">
        <v>1906</v>
      </c>
      <c r="F586">
        <v>310208.76697588328</v>
      </c>
      <c r="G586">
        <v>18185.128381700393</v>
      </c>
      <c r="H586">
        <v>4180.2211162173935</v>
      </c>
      <c r="I586">
        <v>248167.01358070661</v>
      </c>
      <c r="J586">
        <v>17009.726484486877</v>
      </c>
      <c r="K586">
        <v>2122.2661051565246</v>
      </c>
      <c r="L586">
        <v>775521.91743970814</v>
      </c>
      <c r="M586">
        <v>20535.932176127426</v>
      </c>
      <c r="N586">
        <v>6238.1761272782642</v>
      </c>
      <c r="O586">
        <v>3893.5080000000003</v>
      </c>
      <c r="P586">
        <v>0</v>
      </c>
    </row>
    <row r="587" spans="3:16">
      <c r="C587" t="s">
        <v>767</v>
      </c>
      <c r="D587">
        <v>62</v>
      </c>
      <c r="E587" s="21">
        <v>1906</v>
      </c>
      <c r="F587">
        <v>331803.19917506055</v>
      </c>
      <c r="G587">
        <v>19594.694056239518</v>
      </c>
      <c r="H587">
        <v>4425.7187695304401</v>
      </c>
      <c r="I587">
        <v>265442.55934004841</v>
      </c>
      <c r="J587">
        <v>18316.104461312556</v>
      </c>
      <c r="K587">
        <v>2246.9033753000713</v>
      </c>
      <c r="L587">
        <v>829507.99793765135</v>
      </c>
      <c r="M587">
        <v>22151.873246093441</v>
      </c>
      <c r="N587">
        <v>6604.5341637608071</v>
      </c>
      <c r="O587">
        <v>3951.7360000000003</v>
      </c>
      <c r="P587">
        <v>0</v>
      </c>
    </row>
    <row r="588" spans="3:16">
      <c r="C588" t="s">
        <v>767</v>
      </c>
      <c r="D588">
        <v>63</v>
      </c>
      <c r="E588" s="21">
        <v>1906</v>
      </c>
      <c r="F588">
        <v>354417.49346484349</v>
      </c>
      <c r="G588">
        <v>21088.385532090917</v>
      </c>
      <c r="H588">
        <v>4679.8226397130456</v>
      </c>
      <c r="I588">
        <v>283533.9947718748</v>
      </c>
      <c r="J588">
        <v>19699.519692683833</v>
      </c>
      <c r="K588">
        <v>2375.9099555466237</v>
      </c>
      <c r="L588">
        <v>886043.73366210877</v>
      </c>
      <c r="M588">
        <v>23866.117210905086</v>
      </c>
      <c r="N588">
        <v>6983.7353238794676</v>
      </c>
      <c r="O588">
        <v>4009.9639999999999</v>
      </c>
      <c r="P588">
        <v>0</v>
      </c>
    </row>
    <row r="589" spans="3:16">
      <c r="C589" t="s">
        <v>767</v>
      </c>
      <c r="D589">
        <v>64</v>
      </c>
      <c r="E589" s="21">
        <v>1906</v>
      </c>
      <c r="F589">
        <v>378080.38148594188</v>
      </c>
      <c r="G589">
        <v>22670.264719893756</v>
      </c>
      <c r="H589">
        <v>4942.6626778434857</v>
      </c>
      <c r="I589">
        <v>302464.30518875353</v>
      </c>
      <c r="J589">
        <v>21163.647890649532</v>
      </c>
      <c r="K589">
        <v>2509.3518210590028</v>
      </c>
      <c r="L589">
        <v>945200.95371485478</v>
      </c>
      <c r="M589">
        <v>25683.498378382203</v>
      </c>
      <c r="N589">
        <v>7375.9735346279649</v>
      </c>
      <c r="O589">
        <v>4068.192</v>
      </c>
      <c r="P589">
        <v>0</v>
      </c>
    </row>
    <row r="590" spans="3:16">
      <c r="C590" t="s">
        <v>767</v>
      </c>
      <c r="D590">
        <v>65</v>
      </c>
      <c r="E590" s="21">
        <v>1906</v>
      </c>
      <c r="F590">
        <v>402820.95066240273</v>
      </c>
      <c r="G590">
        <v>24344.575564307564</v>
      </c>
      <c r="H590">
        <v>5214.3688350000048</v>
      </c>
      <c r="I590">
        <v>322256.76052992221</v>
      </c>
      <c r="J590">
        <v>22712.328597876807</v>
      </c>
      <c r="K590">
        <v>2647.2949470000076</v>
      </c>
      <c r="L590">
        <v>1007052.3766560069</v>
      </c>
      <c r="M590">
        <v>27609.069497169075</v>
      </c>
      <c r="N590">
        <v>7781.4427230000038</v>
      </c>
      <c r="O590">
        <v>4126.42</v>
      </c>
      <c r="P590">
        <v>0</v>
      </c>
    </row>
    <row r="591" spans="3:16">
      <c r="C591" t="s">
        <v>767</v>
      </c>
      <c r="D591">
        <v>66</v>
      </c>
      <c r="E591" s="21">
        <v>1906</v>
      </c>
      <c r="F591">
        <v>428668.64406379877</v>
      </c>
      <c r="G591">
        <v>26115.753085437129</v>
      </c>
      <c r="H591">
        <v>5495.0710622608767</v>
      </c>
      <c r="I591">
        <v>342934.91525103903</v>
      </c>
      <c r="J591">
        <v>24349.57332493355</v>
      </c>
      <c r="K591">
        <v>2789.8053085324482</v>
      </c>
      <c r="L591">
        <v>1071671.6101594968</v>
      </c>
      <c r="M591">
        <v>29648.112606444287</v>
      </c>
      <c r="N591">
        <v>8200.3368159893053</v>
      </c>
      <c r="O591">
        <v>4184.6480000000001</v>
      </c>
      <c r="P591">
        <v>0</v>
      </c>
    </row>
    <row r="592" spans="3:16">
      <c r="C592" t="s">
        <v>767</v>
      </c>
      <c r="D592">
        <v>67</v>
      </c>
      <c r="E592" s="21">
        <v>1906</v>
      </c>
      <c r="F592">
        <v>455653.26026733988</v>
      </c>
      <c r="G592">
        <v>27752.77138590072</v>
      </c>
      <c r="H592">
        <v>5784.8993107043534</v>
      </c>
      <c r="I592">
        <v>364522.60821387189</v>
      </c>
      <c r="J592">
        <v>25867.478756649776</v>
      </c>
      <c r="K592">
        <v>2936.9488808191345</v>
      </c>
      <c r="L592">
        <v>1139133.1506683496</v>
      </c>
      <c r="M592">
        <v>31523.3566444026</v>
      </c>
      <c r="N592">
        <v>8632.8497405895723</v>
      </c>
      <c r="O592">
        <v>4242.8759999999993</v>
      </c>
      <c r="P592">
        <v>0</v>
      </c>
    </row>
    <row r="593" spans="3:16">
      <c r="C593" t="s">
        <v>767</v>
      </c>
      <c r="D593">
        <v>68</v>
      </c>
      <c r="E593" s="21">
        <v>1906</v>
      </c>
      <c r="F593">
        <v>483804.95322013722</v>
      </c>
      <c r="G593">
        <v>29464.840077409775</v>
      </c>
      <c r="H593">
        <v>6083.9835314087031</v>
      </c>
      <c r="I593">
        <v>387043.9625761098</v>
      </c>
      <c r="J593">
        <v>27454.353536039373</v>
      </c>
      <c r="K593">
        <v>3088.791639022882</v>
      </c>
      <c r="L593">
        <v>1209512.383050343</v>
      </c>
      <c r="M593">
        <v>33485.813160150588</v>
      </c>
      <c r="N593">
        <v>9079.1754237945261</v>
      </c>
      <c r="O593">
        <v>4301.1040000000003</v>
      </c>
      <c r="P593">
        <v>0</v>
      </c>
    </row>
    <row r="594" spans="3:16">
      <c r="C594" t="s">
        <v>767</v>
      </c>
      <c r="D594">
        <v>69</v>
      </c>
      <c r="E594" s="21">
        <v>1906</v>
      </c>
      <c r="F594">
        <v>513154.23210181529</v>
      </c>
      <c r="G594">
        <v>31254.653367331281</v>
      </c>
      <c r="H594">
        <v>6392.4536754521832</v>
      </c>
      <c r="I594">
        <v>410523.38568145229</v>
      </c>
      <c r="J594">
        <v>29112.642442206179</v>
      </c>
      <c r="K594">
        <v>3245.3995583064971</v>
      </c>
      <c r="L594">
        <v>1282885.5802545382</v>
      </c>
      <c r="M594">
        <v>35538.675217581476</v>
      </c>
      <c r="N594">
        <v>9539.5077925978694</v>
      </c>
      <c r="O594">
        <v>4359.3320000000003</v>
      </c>
      <c r="P594">
        <v>0</v>
      </c>
    </row>
    <row r="595" spans="3:16">
      <c r="C595" t="s">
        <v>767</v>
      </c>
      <c r="D595">
        <v>70</v>
      </c>
      <c r="E595" s="21">
        <v>1906</v>
      </c>
      <c r="F595">
        <v>545791.5519497178</v>
      </c>
      <c r="G595">
        <v>33250.482192434582</v>
      </c>
      <c r="H595">
        <v>6735.8580260869639</v>
      </c>
      <c r="I595">
        <v>436633.24155977421</v>
      </c>
      <c r="J595">
        <v>30961.719823358351</v>
      </c>
      <c r="K595">
        <v>3419.743305551845</v>
      </c>
      <c r="L595">
        <v>1364478.8798742944</v>
      </c>
      <c r="M595">
        <v>37828.006930587049</v>
      </c>
      <c r="N595">
        <v>10051.972746622085</v>
      </c>
      <c r="O595">
        <v>4417.5600000000004</v>
      </c>
      <c r="P595">
        <v>0</v>
      </c>
    </row>
    <row r="596" spans="3:16">
      <c r="C596" t="s">
        <v>767</v>
      </c>
      <c r="D596">
        <v>71</v>
      </c>
      <c r="E596" s="21">
        <v>1906</v>
      </c>
      <c r="F596">
        <v>579832.83645094733</v>
      </c>
      <c r="G596">
        <v>35338.655076729192</v>
      </c>
      <c r="H596">
        <v>7090.2054011130494</v>
      </c>
      <c r="I596">
        <v>463866.26916075783</v>
      </c>
      <c r="J596">
        <v>32895.590399996749</v>
      </c>
      <c r="K596">
        <v>3599.6427421035514</v>
      </c>
      <c r="L596">
        <v>1449582.0911273682</v>
      </c>
      <c r="M596">
        <v>40224.784430194093</v>
      </c>
      <c r="N596">
        <v>10580.768060122549</v>
      </c>
      <c r="O596">
        <v>4475.7879999999996</v>
      </c>
      <c r="P596">
        <v>0</v>
      </c>
    </row>
    <row r="597" spans="3:16">
      <c r="C597" t="s">
        <v>767</v>
      </c>
      <c r="D597">
        <v>72</v>
      </c>
      <c r="E597" s="21">
        <v>1906</v>
      </c>
      <c r="F597">
        <v>615314.28436221427</v>
      </c>
      <c r="G597">
        <v>37522.552086604584</v>
      </c>
      <c r="H597">
        <v>7455.6474101217464</v>
      </c>
      <c r="I597">
        <v>492251.42748977145</v>
      </c>
      <c r="J597">
        <v>34917.319556424394</v>
      </c>
      <c r="K597">
        <v>3785.1748389848872</v>
      </c>
      <c r="L597">
        <v>1538285.7109055356</v>
      </c>
      <c r="M597">
        <v>42733.017146964965</v>
      </c>
      <c r="N597">
        <v>11126.119981258604</v>
      </c>
      <c r="O597">
        <v>4534.0159999999996</v>
      </c>
      <c r="P597">
        <v>0</v>
      </c>
    </row>
    <row r="598" spans="3:16">
      <c r="C598" t="s">
        <v>767</v>
      </c>
      <c r="D598">
        <v>73</v>
      </c>
      <c r="E598" s="21">
        <v>1906</v>
      </c>
      <c r="F598">
        <v>652272.50842852157</v>
      </c>
      <c r="G598">
        <v>39805.687672259344</v>
      </c>
      <c r="H598">
        <v>7832.3356627043577</v>
      </c>
      <c r="I598">
        <v>521818.00674281735</v>
      </c>
      <c r="J598">
        <v>37030.093622372544</v>
      </c>
      <c r="K598">
        <v>3976.4165672191411</v>
      </c>
      <c r="L598">
        <v>1630681.2710713039</v>
      </c>
      <c r="M598">
        <v>45356.875772032952</v>
      </c>
      <c r="N598">
        <v>11688.254758189574</v>
      </c>
      <c r="O598">
        <v>4592.2439999999997</v>
      </c>
      <c r="P598">
        <v>0</v>
      </c>
    </row>
    <row r="599" spans="3:16">
      <c r="C599" t="s">
        <v>767</v>
      </c>
      <c r="D599">
        <v>74</v>
      </c>
      <c r="E599" s="21">
        <v>1906</v>
      </c>
      <c r="F599">
        <v>690744.53522822366</v>
      </c>
      <c r="G599">
        <v>42191.717918626236</v>
      </c>
      <c r="H599">
        <v>8220.4217684521827</v>
      </c>
      <c r="I599">
        <v>552595.62818257906</v>
      </c>
      <c r="J599">
        <v>39237.226398833176</v>
      </c>
      <c r="K599">
        <v>4173.4448978295732</v>
      </c>
      <c r="L599">
        <v>1726861.3380705593</v>
      </c>
      <c r="M599">
        <v>48100.70095821235</v>
      </c>
      <c r="N599">
        <v>12267.39863907479</v>
      </c>
      <c r="O599">
        <v>4650.4720000000007</v>
      </c>
      <c r="P599">
        <v>0</v>
      </c>
    </row>
    <row r="600" spans="3:16">
      <c r="C600" t="s">
        <v>767</v>
      </c>
      <c r="D600">
        <v>75</v>
      </c>
      <c r="E600" s="21">
        <v>1906</v>
      </c>
      <c r="F600">
        <v>730767.80501909426</v>
      </c>
      <c r="G600">
        <v>44684.448270903042</v>
      </c>
      <c r="H600">
        <v>8620.0573369565354</v>
      </c>
      <c r="I600">
        <v>584614.2440152755</v>
      </c>
      <c r="J600">
        <v>41542.166111036822</v>
      </c>
      <c r="K600">
        <v>4376.3368018394794</v>
      </c>
      <c r="L600">
        <v>1826919.5125477356</v>
      </c>
      <c r="M600">
        <v>50969.012590635488</v>
      </c>
      <c r="N600">
        <v>12863.777872073591</v>
      </c>
      <c r="O600">
        <v>4708.7</v>
      </c>
      <c r="P600">
        <v>0</v>
      </c>
    </row>
    <row r="601" spans="3:16">
      <c r="C601" t="s">
        <v>767</v>
      </c>
      <c r="D601">
        <v>76</v>
      </c>
      <c r="E601" s="21">
        <v>1906</v>
      </c>
      <c r="F601">
        <v>772380.17158552248</v>
      </c>
      <c r="G601">
        <v>47287.841771331921</v>
      </c>
      <c r="H601">
        <v>9031.3939778087042</v>
      </c>
      <c r="I601">
        <v>617904.1372684181</v>
      </c>
      <c r="J601">
        <v>43948.502821553921</v>
      </c>
      <c r="K601">
        <v>4585.1692502721162</v>
      </c>
      <c r="L601">
        <v>1930950.4289638062</v>
      </c>
      <c r="M601">
        <v>53966.51967088793</v>
      </c>
      <c r="N601">
        <v>13477.618705345292</v>
      </c>
      <c r="O601">
        <v>4766.9279999999999</v>
      </c>
      <c r="P601">
        <v>0</v>
      </c>
    </row>
    <row r="602" spans="3:16">
      <c r="C602" t="s">
        <v>767</v>
      </c>
      <c r="D602">
        <v>77</v>
      </c>
      <c r="E602" s="21">
        <v>1906</v>
      </c>
      <c r="F602">
        <v>815619.90208691882</v>
      </c>
      <c r="G602">
        <v>50006.027847138714</v>
      </c>
      <c r="H602">
        <v>9454.5833006000066</v>
      </c>
      <c r="I602">
        <v>652495.92166953511</v>
      </c>
      <c r="J602">
        <v>46459.976339440233</v>
      </c>
      <c r="K602">
        <v>4800.0192141507723</v>
      </c>
      <c r="L602">
        <v>2039049.7552172972</v>
      </c>
      <c r="M602">
        <v>57098.130862535683</v>
      </c>
      <c r="N602">
        <v>14109.147387049237</v>
      </c>
      <c r="O602">
        <v>4825.1559999999999</v>
      </c>
      <c r="P602">
        <v>0</v>
      </c>
    </row>
    <row r="603" spans="3:16">
      <c r="C603" t="s">
        <v>767</v>
      </c>
      <c r="D603">
        <v>78</v>
      </c>
      <c r="E603" s="21">
        <v>1906</v>
      </c>
      <c r="F603">
        <v>860525.67690741713</v>
      </c>
      <c r="G603">
        <v>52843.311693144795</v>
      </c>
      <c r="H603">
        <v>9889.7769149217456</v>
      </c>
      <c r="I603">
        <v>688420.54152593378</v>
      </c>
      <c r="J603">
        <v>49080.484664587508</v>
      </c>
      <c r="K603">
        <v>5020.9636644987368</v>
      </c>
      <c r="L603">
        <v>2151314.1922685429</v>
      </c>
      <c r="M603">
        <v>60368.965750259369</v>
      </c>
      <c r="N603">
        <v>14758.590165344754</v>
      </c>
      <c r="O603">
        <v>4883.384</v>
      </c>
      <c r="P603">
        <v>0</v>
      </c>
    </row>
    <row r="604" spans="3:16">
      <c r="C604" t="s">
        <v>767</v>
      </c>
      <c r="D604">
        <v>79</v>
      </c>
      <c r="E604" s="21">
        <v>1906</v>
      </c>
      <c r="F604">
        <v>907136.58950694033</v>
      </c>
      <c r="G604">
        <v>55804.184296534848</v>
      </c>
      <c r="H604">
        <v>10337.126430365231</v>
      </c>
      <c r="I604">
        <v>725709.27160555229</v>
      </c>
      <c r="J604">
        <v>51814.093010014469</v>
      </c>
      <c r="K604">
        <v>5248.0795723392803</v>
      </c>
      <c r="L604">
        <v>2267841.4737673504</v>
      </c>
      <c r="M604">
        <v>63784.366869575591</v>
      </c>
      <c r="N604">
        <v>15426.173288391186</v>
      </c>
      <c r="O604">
        <v>4941.6120000000001</v>
      </c>
      <c r="P604">
        <v>0</v>
      </c>
    </row>
    <row r="605" spans="3:16">
      <c r="C605" t="s">
        <v>767</v>
      </c>
      <c r="D605">
        <v>80</v>
      </c>
      <c r="E605" s="21">
        <v>1906</v>
      </c>
      <c r="F605">
        <v>958344.3616356845</v>
      </c>
      <c r="G605">
        <v>59069.134150141501</v>
      </c>
      <c r="H605">
        <v>10829.012660869568</v>
      </c>
      <c r="I605">
        <v>766675.48930854769</v>
      </c>
      <c r="J605">
        <v>54828.222682953434</v>
      </c>
      <c r="K605">
        <v>5497.8064278260899</v>
      </c>
      <c r="L605">
        <v>2395860.9040892115</v>
      </c>
      <c r="M605">
        <v>67550.95708451762</v>
      </c>
      <c r="N605">
        <v>16160.218893913046</v>
      </c>
      <c r="O605">
        <v>4999.84</v>
      </c>
      <c r="P605">
        <v>0</v>
      </c>
    </row>
    <row r="606" spans="3:16">
      <c r="C606" t="s">
        <v>767</v>
      </c>
      <c r="D606">
        <v>81</v>
      </c>
      <c r="E606" s="21">
        <v>1906</v>
      </c>
      <c r="F606">
        <v>1011513.1568246684</v>
      </c>
      <c r="G606">
        <v>70924.043803160064</v>
      </c>
      <c r="H606">
        <v>11334.799600660885</v>
      </c>
      <c r="I606">
        <v>809210.52545973472</v>
      </c>
      <c r="J606">
        <v>65575.45474602266</v>
      </c>
      <c r="K606">
        <v>5754.5905664893799</v>
      </c>
      <c r="L606">
        <v>2528782.8920616708</v>
      </c>
      <c r="M606">
        <v>81621.221917434872</v>
      </c>
      <c r="N606">
        <v>16915.008634832386</v>
      </c>
      <c r="O606">
        <v>5058.0680000000002</v>
      </c>
      <c r="P606">
        <v>0</v>
      </c>
    </row>
    <row r="607" spans="3:16">
      <c r="C607" t="s">
        <v>767</v>
      </c>
      <c r="D607">
        <v>82</v>
      </c>
      <c r="E607" s="21">
        <v>1906</v>
      </c>
      <c r="F607">
        <v>1066688.3757394266</v>
      </c>
      <c r="G607">
        <v>75599.326167863037</v>
      </c>
      <c r="H607">
        <v>11854.660517843487</v>
      </c>
      <c r="I607">
        <v>853350.70059154124</v>
      </c>
      <c r="J607">
        <v>69863.18747689882</v>
      </c>
      <c r="K607">
        <v>6018.5199552128543</v>
      </c>
      <c r="L607">
        <v>2666720.9393485663</v>
      </c>
      <c r="M607">
        <v>87071.6035497915</v>
      </c>
      <c r="N607">
        <v>17690.801080474121</v>
      </c>
      <c r="O607">
        <v>5116.2960000000003</v>
      </c>
      <c r="P607">
        <v>0</v>
      </c>
    </row>
    <row r="608" spans="3:16">
      <c r="C608" t="s">
        <v>767</v>
      </c>
      <c r="D608">
        <v>83</v>
      </c>
      <c r="E608" s="21">
        <v>1906</v>
      </c>
      <c r="F608">
        <v>1123915.8906670988</v>
      </c>
      <c r="G608">
        <v>80528.452316885523</v>
      </c>
      <c r="H608">
        <v>12388.768680521749</v>
      </c>
      <c r="I608">
        <v>899132.71253367921</v>
      </c>
      <c r="J608">
        <v>74381.571497584941</v>
      </c>
      <c r="K608">
        <v>6289.6825608802756</v>
      </c>
      <c r="L608">
        <v>2809789.7266677469</v>
      </c>
      <c r="M608">
        <v>92822.213955486703</v>
      </c>
      <c r="N608">
        <v>18487.854800163223</v>
      </c>
      <c r="O608">
        <v>5174.5240000000003</v>
      </c>
      <c r="P608">
        <v>0</v>
      </c>
    </row>
    <row r="609" spans="3:16">
      <c r="C609" t="s">
        <v>767</v>
      </c>
      <c r="D609">
        <v>84</v>
      </c>
      <c r="E609" s="21">
        <v>1906</v>
      </c>
      <c r="F609">
        <v>1183242.045353821</v>
      </c>
      <c r="G609">
        <v>85723.909338584665</v>
      </c>
      <c r="H609">
        <v>12937.297356800012</v>
      </c>
      <c r="I609">
        <v>946593.63628305681</v>
      </c>
      <c r="J609">
        <v>79141.871844233887</v>
      </c>
      <c r="K609">
        <v>6568.1663503753953</v>
      </c>
      <c r="L609">
        <v>2958105.1133845523</v>
      </c>
      <c r="M609">
        <v>98887.984327286205</v>
      </c>
      <c r="N609">
        <v>19306.428363224622</v>
      </c>
      <c r="O609">
        <v>5232.7520000000004</v>
      </c>
      <c r="P609">
        <v>0</v>
      </c>
    </row>
    <row r="610" spans="3:16">
      <c r="C610" t="s">
        <v>767</v>
      </c>
      <c r="D610">
        <v>85</v>
      </c>
      <c r="E610" s="21">
        <v>1906</v>
      </c>
      <c r="F610">
        <v>1244713.6548438242</v>
      </c>
      <c r="G610">
        <v>91198.832817882329</v>
      </c>
      <c r="H610">
        <v>13500.41981478261</v>
      </c>
      <c r="I610">
        <v>995770.92387505947</v>
      </c>
      <c r="J610">
        <v>84155.937199906795</v>
      </c>
      <c r="K610">
        <v>6854.0592905819503</v>
      </c>
      <c r="L610">
        <v>3111784.1371095609</v>
      </c>
      <c r="M610">
        <v>105284.62405383337</v>
      </c>
      <c r="N610">
        <v>20146.780338983277</v>
      </c>
      <c r="O610">
        <v>5290.98</v>
      </c>
      <c r="P610">
        <v>0</v>
      </c>
    </row>
    <row r="611" spans="3:16">
      <c r="C611" t="s">
        <v>767</v>
      </c>
      <c r="D611">
        <v>86</v>
      </c>
      <c r="E611" s="21">
        <v>1906</v>
      </c>
      <c r="F611">
        <v>1308378.0053202736</v>
      </c>
      <c r="G611">
        <v>96967.047032333256</v>
      </c>
      <c r="H611">
        <v>14078.309322573921</v>
      </c>
      <c r="I611">
        <v>1046702.404256219</v>
      </c>
      <c r="J611">
        <v>89436.236071034378</v>
      </c>
      <c r="K611">
        <v>7147.449348383685</v>
      </c>
      <c r="L611">
        <v>3270945.0133006838</v>
      </c>
      <c r="M611">
        <v>112028.668954931</v>
      </c>
      <c r="N611">
        <v>21009.16929676415</v>
      </c>
      <c r="O611">
        <v>5349.2079999999996</v>
      </c>
      <c r="P611">
        <v>0</v>
      </c>
    </row>
    <row r="612" spans="3:16">
      <c r="C612" t="s">
        <v>767</v>
      </c>
      <c r="D612">
        <v>87</v>
      </c>
      <c r="E612" s="21">
        <v>1906</v>
      </c>
      <c r="F612">
        <v>1374282.8539478641</v>
      </c>
      <c r="G612">
        <v>103043.10817551166</v>
      </c>
      <c r="H612">
        <v>14671.139148278271</v>
      </c>
      <c r="I612">
        <v>1099426.2831582914</v>
      </c>
      <c r="J612">
        <v>94995.895688464836</v>
      </c>
      <c r="K612">
        <v>7448.424490664358</v>
      </c>
      <c r="L612">
        <v>3435707.1348696603</v>
      </c>
      <c r="M612">
        <v>119137.5331496053</v>
      </c>
      <c r="N612">
        <v>21893.853805892177</v>
      </c>
      <c r="O612">
        <v>5407.4360000000006</v>
      </c>
      <c r="P612">
        <v>0</v>
      </c>
    </row>
    <row r="613" spans="3:16">
      <c r="C613" t="s">
        <v>767</v>
      </c>
      <c r="D613">
        <v>88</v>
      </c>
      <c r="E613" s="21">
        <v>1906</v>
      </c>
      <c r="F613">
        <v>1442476.4287171955</v>
      </c>
      <c r="G613">
        <v>109442.35087709768</v>
      </c>
      <c r="H613">
        <v>15279.082560000003</v>
      </c>
      <c r="I613">
        <v>1153981.1429737564</v>
      </c>
      <c r="J613">
        <v>100848.74387554175</v>
      </c>
      <c r="K613">
        <v>7757.0726843076991</v>
      </c>
      <c r="L613">
        <v>3606191.0717929886</v>
      </c>
      <c r="M613">
        <v>126629.56488020951</v>
      </c>
      <c r="N613">
        <v>22801.092435692306</v>
      </c>
      <c r="O613">
        <v>5465.6640000000007</v>
      </c>
      <c r="P613">
        <v>0</v>
      </c>
    </row>
    <row r="614" spans="3:16">
      <c r="C614" t="s">
        <v>767</v>
      </c>
      <c r="D614">
        <v>89</v>
      </c>
      <c r="E614" s="21">
        <v>1906</v>
      </c>
      <c r="F614">
        <v>1513007.4282909222</v>
      </c>
      <c r="G614">
        <v>116180.93831678941</v>
      </c>
      <c r="H614">
        <v>15902.312825843481</v>
      </c>
      <c r="I614">
        <v>1210405.942632738</v>
      </c>
      <c r="J614">
        <v>107009.35415062486</v>
      </c>
      <c r="K614">
        <v>8073.4818961974597</v>
      </c>
      <c r="L614">
        <v>3782518.570727306</v>
      </c>
      <c r="M614">
        <v>134524.10664911853</v>
      </c>
      <c r="N614">
        <v>23731.143755489495</v>
      </c>
      <c r="O614">
        <v>5523.8919999999998</v>
      </c>
      <c r="P614">
        <v>0</v>
      </c>
    </row>
    <row r="615" spans="3:16">
      <c r="C615" t="s">
        <v>767</v>
      </c>
      <c r="D615">
        <v>90</v>
      </c>
      <c r="E615" s="21">
        <v>1906</v>
      </c>
      <c r="F615">
        <v>1585925.0218516975</v>
      </c>
      <c r="G615">
        <v>123275.91626017389</v>
      </c>
      <c r="H615">
        <v>16541.003213913049</v>
      </c>
      <c r="I615">
        <v>1268740.017481358</v>
      </c>
      <c r="J615">
        <v>113493.09435937391</v>
      </c>
      <c r="K615">
        <v>8397.740093217406</v>
      </c>
      <c r="L615">
        <v>3964812.5546292439</v>
      </c>
      <c r="M615">
        <v>142841.5600617739</v>
      </c>
      <c r="N615">
        <v>24684.266334608692</v>
      </c>
      <c r="O615">
        <v>5582.12</v>
      </c>
      <c r="P615">
        <v>0</v>
      </c>
    </row>
    <row r="616" spans="3:16">
      <c r="C616" t="s">
        <v>747</v>
      </c>
      <c r="D616">
        <v>25</v>
      </c>
      <c r="E616" s="21">
        <v>1906</v>
      </c>
      <c r="F616">
        <v>15687.152669712537</v>
      </c>
      <c r="G616">
        <v>775.50225171527677</v>
      </c>
      <c r="H616">
        <v>373.48078595317736</v>
      </c>
      <c r="I616">
        <v>12549.722135770031</v>
      </c>
      <c r="J616">
        <v>705.76883816151917</v>
      </c>
      <c r="K616">
        <v>256.10111036789294</v>
      </c>
      <c r="L616">
        <v>31374.305339425075</v>
      </c>
      <c r="M616">
        <v>845.23566526903437</v>
      </c>
      <c r="N616">
        <v>490.86046153846166</v>
      </c>
      <c r="O616">
        <v>1797.3000000000002</v>
      </c>
      <c r="P616">
        <v>0</v>
      </c>
    </row>
    <row r="617" spans="3:16">
      <c r="C617" t="s">
        <v>747</v>
      </c>
      <c r="D617">
        <v>26</v>
      </c>
      <c r="E617" s="21">
        <v>1906</v>
      </c>
      <c r="F617">
        <v>17635.32426947316</v>
      </c>
      <c r="G617">
        <v>868.0754053798604</v>
      </c>
      <c r="H617">
        <v>411.93076334448165</v>
      </c>
      <c r="I617">
        <v>14108.259415578528</v>
      </c>
      <c r="J617">
        <v>788.61592735405566</v>
      </c>
      <c r="K617">
        <v>282.46680915050172</v>
      </c>
      <c r="L617">
        <v>35270.64853894632</v>
      </c>
      <c r="M617">
        <v>947.53488340566525</v>
      </c>
      <c r="N617">
        <v>541.39471753846158</v>
      </c>
      <c r="O617">
        <v>1855.528</v>
      </c>
      <c r="P617">
        <v>0</v>
      </c>
    </row>
    <row r="618" spans="3:16">
      <c r="C618" t="s">
        <v>747</v>
      </c>
      <c r="D618">
        <v>27</v>
      </c>
      <c r="E618" s="21">
        <v>1906</v>
      </c>
      <c r="F618">
        <v>19710.34129093419</v>
      </c>
      <c r="G618">
        <v>966.5259269812766</v>
      </c>
      <c r="H618">
        <v>451.92402394648843</v>
      </c>
      <c r="I618">
        <v>15768.273032747353</v>
      </c>
      <c r="J618">
        <v>876.5176613442186</v>
      </c>
      <c r="K618">
        <v>309.89075927759211</v>
      </c>
      <c r="L618">
        <v>39420.682581868379</v>
      </c>
      <c r="M618">
        <v>1056.5341926183346</v>
      </c>
      <c r="N618">
        <v>593.95728861538475</v>
      </c>
      <c r="O618">
        <v>1913.7559999999999</v>
      </c>
      <c r="P618">
        <v>0</v>
      </c>
    </row>
    <row r="619" spans="3:16">
      <c r="C619" t="s">
        <v>747</v>
      </c>
      <c r="D619">
        <v>28</v>
      </c>
      <c r="E619" s="21">
        <v>1906</v>
      </c>
      <c r="F619">
        <v>21915.398576109143</v>
      </c>
      <c r="G619">
        <v>1071.056840151788</v>
      </c>
      <c r="H619">
        <v>493.46056775919737</v>
      </c>
      <c r="I619">
        <v>17532.318860887313</v>
      </c>
      <c r="J619">
        <v>969.63645903781844</v>
      </c>
      <c r="K619">
        <v>338.37296074916389</v>
      </c>
      <c r="L619">
        <v>43830.797152218285</v>
      </c>
      <c r="M619">
        <v>1172.4772212657576</v>
      </c>
      <c r="N619">
        <v>648.54817476923085</v>
      </c>
      <c r="O619">
        <v>1971.9840000000002</v>
      </c>
      <c r="P619">
        <v>0</v>
      </c>
    </row>
    <row r="620" spans="3:16">
      <c r="C620" t="s">
        <v>747</v>
      </c>
      <c r="D620">
        <v>29</v>
      </c>
      <c r="E620" s="21">
        <v>1906</v>
      </c>
      <c r="F620">
        <v>24253.681709760516</v>
      </c>
      <c r="G620">
        <v>1181.8770675153971</v>
      </c>
      <c r="H620">
        <v>536.54039478260904</v>
      </c>
      <c r="I620">
        <v>19402.945367808414</v>
      </c>
      <c r="J620">
        <v>1068.1394585340568</v>
      </c>
      <c r="K620">
        <v>367.91341356521764</v>
      </c>
      <c r="L620">
        <v>48507.363419521032</v>
      </c>
      <c r="M620">
        <v>1295.6146764967373</v>
      </c>
      <c r="N620">
        <v>705.16737600000033</v>
      </c>
      <c r="O620">
        <v>2030.212</v>
      </c>
      <c r="P620">
        <v>0</v>
      </c>
    </row>
    <row r="621" spans="3:16">
      <c r="C621" t="s">
        <v>747</v>
      </c>
      <c r="D621">
        <v>30</v>
      </c>
      <c r="E621" s="21">
        <v>1906</v>
      </c>
      <c r="F621">
        <v>27062.471988474343</v>
      </c>
      <c r="G621">
        <v>1315.4416670859173</v>
      </c>
      <c r="H621">
        <v>588.42804882943165</v>
      </c>
      <c r="I621">
        <v>21649.977590779476</v>
      </c>
      <c r="J621">
        <v>1186.8511734011754</v>
      </c>
      <c r="K621">
        <v>403.49351919732476</v>
      </c>
      <c r="L621">
        <v>54124.943976948685</v>
      </c>
      <c r="M621">
        <v>1444.0321607706589</v>
      </c>
      <c r="N621">
        <v>773.36257846153876</v>
      </c>
      <c r="O621">
        <v>2088.44</v>
      </c>
      <c r="P621">
        <v>0</v>
      </c>
    </row>
    <row r="622" spans="3:16">
      <c r="C622" t="s">
        <v>747</v>
      </c>
      <c r="D622">
        <v>31</v>
      </c>
      <c r="E622" s="21">
        <v>1906</v>
      </c>
      <c r="F622">
        <v>30434.026295311869</v>
      </c>
      <c r="G622">
        <v>1467.1458545706864</v>
      </c>
      <c r="H622">
        <v>650.66351053846165</v>
      </c>
      <c r="I622">
        <v>24347.221036249495</v>
      </c>
      <c r="J622">
        <v>1322.4397717796262</v>
      </c>
      <c r="K622">
        <v>446.16926436923086</v>
      </c>
      <c r="L622">
        <v>60868.052590623738</v>
      </c>
      <c r="M622">
        <v>1611.8519373617469</v>
      </c>
      <c r="N622">
        <v>855.15775670769244</v>
      </c>
      <c r="O622">
        <v>2146.6680000000001</v>
      </c>
      <c r="P622">
        <v>0</v>
      </c>
    </row>
    <row r="623" spans="3:16">
      <c r="C623" t="s">
        <v>747</v>
      </c>
      <c r="D623">
        <v>32</v>
      </c>
      <c r="E623" s="21">
        <v>1906</v>
      </c>
      <c r="F623">
        <v>34089.565877851899</v>
      </c>
      <c r="G623">
        <v>1630.3332766916296</v>
      </c>
      <c r="H623">
        <v>716.88738074247499</v>
      </c>
      <c r="I623">
        <v>27271.652702281521</v>
      </c>
      <c r="J623">
        <v>1468.1265940944409</v>
      </c>
      <c r="K623">
        <v>491.57991822341137</v>
      </c>
      <c r="L623">
        <v>68179.131755703798</v>
      </c>
      <c r="M623">
        <v>1792.5399592888182</v>
      </c>
      <c r="N623">
        <v>942.19484326153849</v>
      </c>
      <c r="O623">
        <v>2204.8960000000002</v>
      </c>
      <c r="P623">
        <v>0</v>
      </c>
    </row>
    <row r="624" spans="3:16">
      <c r="C624" t="s">
        <v>747</v>
      </c>
      <c r="D624">
        <v>33</v>
      </c>
      <c r="E624" s="21">
        <v>1906</v>
      </c>
      <c r="F624">
        <v>38030.516032254112</v>
      </c>
      <c r="G624">
        <v>1804.9032399314542</v>
      </c>
      <c r="H624">
        <v>786.95046564381323</v>
      </c>
      <c r="I624">
        <v>30424.412825803287</v>
      </c>
      <c r="J624">
        <v>1623.7969840923206</v>
      </c>
      <c r="K624">
        <v>539.62317644147197</v>
      </c>
      <c r="L624">
        <v>76061.032064508225</v>
      </c>
      <c r="M624">
        <v>1986.0094957705876</v>
      </c>
      <c r="N624">
        <v>1034.2777548461545</v>
      </c>
      <c r="O624">
        <v>2263.1239999999998</v>
      </c>
      <c r="P624">
        <v>0</v>
      </c>
    </row>
    <row r="625" spans="3:16">
      <c r="C625" t="s">
        <v>747</v>
      </c>
      <c r="D625">
        <v>34</v>
      </c>
      <c r="E625" s="21">
        <v>1906</v>
      </c>
      <c r="F625">
        <v>42269.410715528466</v>
      </c>
      <c r="G625">
        <v>1991.2940120985909</v>
      </c>
      <c r="H625">
        <v>860.94023231438155</v>
      </c>
      <c r="I625">
        <v>33815.52857242278</v>
      </c>
      <c r="J625">
        <v>1789.8215484935886</v>
      </c>
      <c r="K625">
        <v>590.3590164441473</v>
      </c>
      <c r="L625">
        <v>84538.821431056931</v>
      </c>
      <c r="M625">
        <v>2192.7664757035932</v>
      </c>
      <c r="N625">
        <v>1131.5214481846156</v>
      </c>
      <c r="O625">
        <v>2321.3520000000003</v>
      </c>
      <c r="P625">
        <v>0</v>
      </c>
    </row>
    <row r="626" spans="3:16">
      <c r="C626" t="s">
        <v>747</v>
      </c>
      <c r="D626">
        <v>35</v>
      </c>
      <c r="E626" s="21">
        <v>1906</v>
      </c>
      <c r="F626">
        <v>46819.008306073818</v>
      </c>
      <c r="G626">
        <v>2189.9541386351134</v>
      </c>
      <c r="H626">
        <v>938.94414782608715</v>
      </c>
      <c r="I626">
        <v>37455.206644859056</v>
      </c>
      <c r="J626">
        <v>1966.579116125482</v>
      </c>
      <c r="K626">
        <v>643.84741565217428</v>
      </c>
      <c r="L626">
        <v>93638.016612147636</v>
      </c>
      <c r="M626">
        <v>2413.3291611447448</v>
      </c>
      <c r="N626">
        <v>1234.0408800000002</v>
      </c>
      <c r="O626">
        <v>2379.58</v>
      </c>
      <c r="P626">
        <v>0</v>
      </c>
    </row>
    <row r="627" spans="3:16">
      <c r="C627" t="s">
        <v>747</v>
      </c>
      <c r="D627">
        <v>36</v>
      </c>
      <c r="E627" s="21">
        <v>1906</v>
      </c>
      <c r="F627">
        <v>51692.291636317379</v>
      </c>
      <c r="G627">
        <v>2401.3428358935234</v>
      </c>
      <c r="H627">
        <v>1021.0496792508363</v>
      </c>
      <c r="I627">
        <v>41353.833309053909</v>
      </c>
      <c r="J627">
        <v>2154.4570525435811</v>
      </c>
      <c r="K627">
        <v>700.14835148628777</v>
      </c>
      <c r="L627">
        <v>103384.58327263476</v>
      </c>
      <c r="M627">
        <v>2648.2286192434653</v>
      </c>
      <c r="N627">
        <v>1341.9510070153847</v>
      </c>
      <c r="O627">
        <v>2437.808</v>
      </c>
      <c r="P627">
        <v>0</v>
      </c>
    </row>
    <row r="628" spans="3:16">
      <c r="C628" t="s">
        <v>747</v>
      </c>
      <c r="D628">
        <v>37</v>
      </c>
      <c r="E628" s="21">
        <v>1906</v>
      </c>
      <c r="F628">
        <v>56902.468001049034</v>
      </c>
      <c r="G628">
        <v>2653.1382839514426</v>
      </c>
      <c r="H628">
        <v>1107.3442936605352</v>
      </c>
      <c r="I628">
        <v>45521.97440083923</v>
      </c>
      <c r="J628">
        <v>2375.6178942835622</v>
      </c>
      <c r="K628">
        <v>759.32180136722445</v>
      </c>
      <c r="L628">
        <v>113804.93600209807</v>
      </c>
      <c r="M628">
        <v>2930.6586736193226</v>
      </c>
      <c r="N628">
        <v>1455.3667859538461</v>
      </c>
      <c r="O628">
        <v>2496.0360000000001</v>
      </c>
      <c r="P628">
        <v>0</v>
      </c>
    </row>
    <row r="629" spans="3:16">
      <c r="C629" t="s">
        <v>747</v>
      </c>
      <c r="D629">
        <v>38</v>
      </c>
      <c r="E629" s="21">
        <v>1906</v>
      </c>
      <c r="F629">
        <v>62462.9691454762</v>
      </c>
      <c r="G629">
        <v>2924.0047470828931</v>
      </c>
      <c r="H629">
        <v>1197.9154581270905</v>
      </c>
      <c r="I629">
        <v>49970.37531638096</v>
      </c>
      <c r="J629">
        <v>2613.0130452382209</v>
      </c>
      <c r="K629">
        <v>821.42774271571943</v>
      </c>
      <c r="L629">
        <v>124925.9382909524</v>
      </c>
      <c r="M629">
        <v>3234.9964489275653</v>
      </c>
      <c r="N629">
        <v>1574.4031735384615</v>
      </c>
      <c r="O629">
        <v>2554.2640000000001</v>
      </c>
      <c r="P629">
        <v>0</v>
      </c>
    </row>
    <row r="630" spans="3:16">
      <c r="C630" t="s">
        <v>747</v>
      </c>
      <c r="D630">
        <v>39</v>
      </c>
      <c r="E630" s="21">
        <v>1906</v>
      </c>
      <c r="F630">
        <v>68387.451236350375</v>
      </c>
      <c r="G630">
        <v>3214.9872215537066</v>
      </c>
      <c r="H630">
        <v>1292.850639722408</v>
      </c>
      <c r="I630">
        <v>54709.960989080304</v>
      </c>
      <c r="J630">
        <v>2867.4984948938018</v>
      </c>
      <c r="K630">
        <v>886.52615295250871</v>
      </c>
      <c r="L630">
        <v>136774.90247270075</v>
      </c>
      <c r="M630">
        <v>3562.4759482136114</v>
      </c>
      <c r="N630">
        <v>1699.1751264923078</v>
      </c>
      <c r="O630">
        <v>2612.4920000000002</v>
      </c>
      <c r="P630">
        <v>0</v>
      </c>
    </row>
    <row r="631" spans="3:16">
      <c r="C631" t="s">
        <v>747</v>
      </c>
      <c r="D631">
        <v>40</v>
      </c>
      <c r="E631" s="21">
        <v>1906</v>
      </c>
      <c r="F631">
        <v>75362.6758533721</v>
      </c>
      <c r="G631">
        <v>3558.9519969230787</v>
      </c>
      <c r="H631">
        <v>1404.7799839464888</v>
      </c>
      <c r="I631">
        <v>60290.140682697682</v>
      </c>
      <c r="J631">
        <v>3168.2541652976606</v>
      </c>
      <c r="K631">
        <v>963.27770327759208</v>
      </c>
      <c r="L631">
        <v>150725.3517067442</v>
      </c>
      <c r="M631">
        <v>3949.6498285484968</v>
      </c>
      <c r="N631">
        <v>1846.2822646153852</v>
      </c>
      <c r="O631">
        <v>2670.72</v>
      </c>
      <c r="P631">
        <v>0</v>
      </c>
    </row>
    <row r="632" spans="3:16">
      <c r="C632" t="s">
        <v>747</v>
      </c>
      <c r="D632">
        <v>41</v>
      </c>
      <c r="E632" s="21">
        <v>1906</v>
      </c>
      <c r="F632">
        <v>82811.896074008793</v>
      </c>
      <c r="G632">
        <v>3929.4558979989088</v>
      </c>
      <c r="H632">
        <v>1522.4113949130438</v>
      </c>
      <c r="I632">
        <v>66249.51685920704</v>
      </c>
      <c r="J632">
        <v>3491.5444658078227</v>
      </c>
      <c r="K632">
        <v>1043.9392422260871</v>
      </c>
      <c r="L632">
        <v>165623.79214801759</v>
      </c>
      <c r="M632">
        <v>4367.3673301899944</v>
      </c>
      <c r="N632">
        <v>2000.8835476000004</v>
      </c>
      <c r="O632">
        <v>2728.9480000000003</v>
      </c>
      <c r="P632">
        <v>0</v>
      </c>
    </row>
    <row r="633" spans="3:16">
      <c r="C633" t="s">
        <v>747</v>
      </c>
      <c r="D633">
        <v>42</v>
      </c>
      <c r="E633" s="21">
        <v>1906</v>
      </c>
      <c r="F633">
        <v>90753.548917808657</v>
      </c>
      <c r="G633">
        <v>4327.9646480503661</v>
      </c>
      <c r="H633">
        <v>1645.8614953846163</v>
      </c>
      <c r="I633">
        <v>72602.839134246926</v>
      </c>
      <c r="J633">
        <v>3838.5686316710626</v>
      </c>
      <c r="K633">
        <v>1128.5907396923089</v>
      </c>
      <c r="L633">
        <v>181507.09783561731</v>
      </c>
      <c r="M633">
        <v>4817.3606644296697</v>
      </c>
      <c r="N633">
        <v>2163.1322510769241</v>
      </c>
      <c r="O633">
        <v>2787.1759999999999</v>
      </c>
      <c r="P633">
        <v>0</v>
      </c>
    </row>
    <row r="634" spans="3:16">
      <c r="C634" t="s">
        <v>747</v>
      </c>
      <c r="D634">
        <v>43</v>
      </c>
      <c r="E634" s="21">
        <v>1906</v>
      </c>
      <c r="F634">
        <v>99206.369912158785</v>
      </c>
      <c r="G634">
        <v>4756.0076803263701</v>
      </c>
      <c r="H634">
        <v>1775.2469081237459</v>
      </c>
      <c r="I634">
        <v>79365.095929727016</v>
      </c>
      <c r="J634">
        <v>4210.5768661179518</v>
      </c>
      <c r="K634">
        <v>1217.3121655705691</v>
      </c>
      <c r="L634">
        <v>198412.73982431757</v>
      </c>
      <c r="M634">
        <v>5301.4384945347874</v>
      </c>
      <c r="N634">
        <v>2333.1816506769233</v>
      </c>
      <c r="O634">
        <v>2845.404</v>
      </c>
      <c r="P634">
        <v>0</v>
      </c>
    </row>
    <row r="635" spans="3:16">
      <c r="C635" t="s">
        <v>747</v>
      </c>
      <c r="D635">
        <v>44</v>
      </c>
      <c r="E635" s="21">
        <v>1906</v>
      </c>
      <c r="F635">
        <v>108189.39305931417</v>
      </c>
      <c r="G635">
        <v>5215.1807349297678</v>
      </c>
      <c r="H635">
        <v>1910.684255892977</v>
      </c>
      <c r="I635">
        <v>86551.514447451336</v>
      </c>
      <c r="J635">
        <v>4608.8724178622087</v>
      </c>
      <c r="K635">
        <v>1310.1834897551844</v>
      </c>
      <c r="L635">
        <v>216378.78611862834</v>
      </c>
      <c r="M635">
        <v>5821.4890519973269</v>
      </c>
      <c r="N635">
        <v>2511.1850220307692</v>
      </c>
      <c r="O635">
        <v>2903.6320000000001</v>
      </c>
      <c r="P635">
        <v>0</v>
      </c>
    </row>
    <row r="636" spans="3:16">
      <c r="C636" t="s">
        <v>747</v>
      </c>
      <c r="D636">
        <v>45</v>
      </c>
      <c r="E636" s="21">
        <v>1906</v>
      </c>
      <c r="F636">
        <v>117721.95078721881</v>
      </c>
      <c r="G636">
        <v>5707.1485837565306</v>
      </c>
      <c r="H636">
        <v>2052.29016145485</v>
      </c>
      <c r="I636">
        <v>94177.560629775049</v>
      </c>
      <c r="J636">
        <v>5034.813761052048</v>
      </c>
      <c r="K636">
        <v>1407.2846821404687</v>
      </c>
      <c r="L636">
        <v>235443.90157443762</v>
      </c>
      <c r="M636">
        <v>6379.4834064610141</v>
      </c>
      <c r="N636">
        <v>2697.2956407692313</v>
      </c>
      <c r="O636">
        <v>2961.86</v>
      </c>
      <c r="P636">
        <v>0</v>
      </c>
    </row>
    <row r="637" spans="3:16">
      <c r="C637" t="s">
        <v>747</v>
      </c>
      <c r="D637">
        <v>46</v>
      </c>
      <c r="E637" s="21">
        <v>1906</v>
      </c>
      <c r="F637">
        <v>127823.67388662889</v>
      </c>
      <c r="G637">
        <v>6233.6478909291773</v>
      </c>
      <c r="H637">
        <v>2200.1812475719075</v>
      </c>
      <c r="I637">
        <v>102258.93910930313</v>
      </c>
      <c r="J637">
        <v>5489.8168836169207</v>
      </c>
      <c r="K637">
        <v>1508.6957126207371</v>
      </c>
      <c r="L637">
        <v>255647.34777325779</v>
      </c>
      <c r="M637">
        <v>6977.4788982414329</v>
      </c>
      <c r="N637">
        <v>2891.6667825230779</v>
      </c>
      <c r="O637">
        <v>3020.0879999999997</v>
      </c>
      <c r="P637">
        <v>0</v>
      </c>
    </row>
    <row r="638" spans="3:16">
      <c r="C638" t="s">
        <v>747</v>
      </c>
      <c r="D638">
        <v>47</v>
      </c>
      <c r="E638" s="21">
        <v>1906</v>
      </c>
      <c r="F638">
        <v>138514.49143667863</v>
      </c>
      <c r="G638">
        <v>6796.490216650247</v>
      </c>
      <c r="H638">
        <v>2354.4741370066895</v>
      </c>
      <c r="I638">
        <v>110811.59314934289</v>
      </c>
      <c r="J638">
        <v>5975.3576903502981</v>
      </c>
      <c r="K638">
        <v>1614.4965510903021</v>
      </c>
      <c r="L638">
        <v>277028.98287335725</v>
      </c>
      <c r="M638">
        <v>7617.6227429501942</v>
      </c>
      <c r="N638">
        <v>3094.4517229230773</v>
      </c>
      <c r="O638">
        <v>3078.3160000000003</v>
      </c>
      <c r="P638">
        <v>0</v>
      </c>
    </row>
    <row r="639" spans="3:16">
      <c r="C639" t="s">
        <v>747</v>
      </c>
      <c r="D639">
        <v>48</v>
      </c>
      <c r="E639" s="21">
        <v>1906</v>
      </c>
      <c r="F639">
        <v>149814.63072071795</v>
      </c>
      <c r="G639">
        <v>7397.565172936007</v>
      </c>
      <c r="H639">
        <v>2515.2854525217399</v>
      </c>
      <c r="I639">
        <v>119851.70457657438</v>
      </c>
      <c r="J639">
        <v>6492.9745274966326</v>
      </c>
      <c r="K639">
        <v>1724.7671674434787</v>
      </c>
      <c r="L639">
        <v>299629.2614414359</v>
      </c>
      <c r="M639">
        <v>8302.1558183753823</v>
      </c>
      <c r="N639">
        <v>3305.8037376000011</v>
      </c>
      <c r="O639">
        <v>3136.5439999999999</v>
      </c>
      <c r="P639">
        <v>0</v>
      </c>
    </row>
    <row r="640" spans="3:16">
      <c r="C640" t="s">
        <v>747</v>
      </c>
      <c r="D640">
        <v>49</v>
      </c>
      <c r="E640" s="21">
        <v>1906</v>
      </c>
      <c r="F640">
        <v>161744.61713398641</v>
      </c>
      <c r="G640">
        <v>8038.8437402657719</v>
      </c>
      <c r="H640">
        <v>2682.7318168796</v>
      </c>
      <c r="I640">
        <v>129395.69370718913</v>
      </c>
      <c r="J640">
        <v>7044.2708360708111</v>
      </c>
      <c r="K640">
        <v>1839.5875315745834</v>
      </c>
      <c r="L640">
        <v>323489.23426797282</v>
      </c>
      <c r="M640">
        <v>9033.4166444607326</v>
      </c>
      <c r="N640">
        <v>3525.8761021846167</v>
      </c>
      <c r="O640">
        <v>3194.7719999999999</v>
      </c>
      <c r="P640">
        <v>0</v>
      </c>
    </row>
    <row r="641" spans="3:16">
      <c r="C641" t="s">
        <v>747</v>
      </c>
      <c r="D641">
        <v>50</v>
      </c>
      <c r="E641" s="21">
        <v>1906</v>
      </c>
      <c r="F641">
        <v>175472.15088765585</v>
      </c>
      <c r="G641">
        <v>8779.7658452938413</v>
      </c>
      <c r="H641">
        <v>2875.7254439799335</v>
      </c>
      <c r="I641">
        <v>140377.7207101247</v>
      </c>
      <c r="J641">
        <v>7681.1213491447716</v>
      </c>
      <c r="K641">
        <v>1971.9260187290974</v>
      </c>
      <c r="L641">
        <v>350944.3017753117</v>
      </c>
      <c r="M641">
        <v>9878.4103414429082</v>
      </c>
      <c r="N641">
        <v>3779.5248692307705</v>
      </c>
      <c r="O641">
        <v>3253</v>
      </c>
      <c r="P641">
        <v>0</v>
      </c>
    </row>
    <row r="642" spans="3:16">
      <c r="C642" t="s">
        <v>747</v>
      </c>
      <c r="D642">
        <v>51</v>
      </c>
      <c r="E642" s="21">
        <v>1906</v>
      </c>
      <c r="F642">
        <v>186596.73758940431</v>
      </c>
      <c r="G642">
        <v>9571.4815710725816</v>
      </c>
      <c r="H642">
        <v>3084.7786580361208</v>
      </c>
      <c r="I642">
        <v>149277.39007152343</v>
      </c>
      <c r="J642">
        <v>8360.4869373584006</v>
      </c>
      <c r="K642">
        <v>2134.9732202119067</v>
      </c>
      <c r="L642">
        <v>373193.47517880861</v>
      </c>
      <c r="M642">
        <v>10782.476204786763</v>
      </c>
      <c r="N642">
        <v>4034.5840958603353</v>
      </c>
      <c r="O642">
        <v>3311.2280000000001</v>
      </c>
      <c r="P642">
        <v>0</v>
      </c>
    </row>
    <row r="643" spans="3:16">
      <c r="C643" t="s">
        <v>747</v>
      </c>
      <c r="D643">
        <v>52</v>
      </c>
      <c r="E643" s="21">
        <v>1906</v>
      </c>
      <c r="F643">
        <v>205301.94608405954</v>
      </c>
      <c r="G643">
        <v>10416.622935717045</v>
      </c>
      <c r="H643">
        <v>3286.5358199598668</v>
      </c>
      <c r="I643">
        <v>164241.55686724765</v>
      </c>
      <c r="J643">
        <v>9084.506535993034</v>
      </c>
      <c r="K643">
        <v>2253.6245622581946</v>
      </c>
      <c r="L643">
        <v>410603.89216811908</v>
      </c>
      <c r="M643">
        <v>11748.739335441056</v>
      </c>
      <c r="N643">
        <v>4319.447077661539</v>
      </c>
      <c r="O643">
        <v>3369.4560000000001</v>
      </c>
      <c r="P643">
        <v>0</v>
      </c>
    </row>
    <row r="644" spans="3:16">
      <c r="C644" t="s">
        <v>747</v>
      </c>
      <c r="D644">
        <v>53</v>
      </c>
      <c r="E644" s="21">
        <v>1906</v>
      </c>
      <c r="F644">
        <v>221456.74995825393</v>
      </c>
      <c r="G644">
        <v>11317.936748754186</v>
      </c>
      <c r="H644">
        <v>3504.64412574582</v>
      </c>
      <c r="I644">
        <v>177165.39996660315</v>
      </c>
      <c r="J644">
        <v>9855.4109134595346</v>
      </c>
      <c r="K644">
        <v>2403.184543368563</v>
      </c>
      <c r="L644">
        <v>442913.49991650786</v>
      </c>
      <c r="M644">
        <v>12780.462584048833</v>
      </c>
      <c r="N644">
        <v>4606.1037081230779</v>
      </c>
      <c r="O644">
        <v>3427.6839999999997</v>
      </c>
      <c r="P644">
        <v>0</v>
      </c>
    </row>
    <row r="645" spans="3:16">
      <c r="C645" t="s">
        <v>747</v>
      </c>
      <c r="D645">
        <v>54</v>
      </c>
      <c r="E645" s="21">
        <v>1906</v>
      </c>
      <c r="F645">
        <v>238473.80641459118</v>
      </c>
      <c r="G645">
        <v>12278.289705416253</v>
      </c>
      <c r="H645">
        <v>3731.4155480000009</v>
      </c>
      <c r="I645">
        <v>190779.04513167296</v>
      </c>
      <c r="J645">
        <v>10675.526746733003</v>
      </c>
      <c r="K645">
        <v>2558.6849472000004</v>
      </c>
      <c r="L645">
        <v>476947.61282918236</v>
      </c>
      <c r="M645">
        <v>13881.052664099503</v>
      </c>
      <c r="N645">
        <v>4904.1461488000014</v>
      </c>
      <c r="O645">
        <v>3485.9119999999998</v>
      </c>
      <c r="P645">
        <v>0</v>
      </c>
    </row>
    <row r="646" spans="3:16">
      <c r="C646" t="s">
        <v>747</v>
      </c>
      <c r="D646">
        <v>55</v>
      </c>
      <c r="E646" s="21">
        <v>1906</v>
      </c>
      <c r="F646">
        <v>256380.31664316519</v>
      </c>
      <c r="G646">
        <v>13300.673754657473</v>
      </c>
      <c r="H646">
        <v>3966.9958651755851</v>
      </c>
      <c r="I646">
        <v>205104.25331453216</v>
      </c>
      <c r="J646">
        <v>11547.28091576611</v>
      </c>
      <c r="K646">
        <v>2720.2257361204011</v>
      </c>
      <c r="L646">
        <v>512760.63328633038</v>
      </c>
      <c r="M646">
        <v>15054.066593548832</v>
      </c>
      <c r="N646">
        <v>5213.7659942307691</v>
      </c>
      <c r="O646">
        <v>3544.1399999999994</v>
      </c>
      <c r="P646">
        <v>0</v>
      </c>
    </row>
    <row r="647" spans="3:16">
      <c r="C647" t="s">
        <v>747</v>
      </c>
      <c r="D647">
        <v>56</v>
      </c>
      <c r="E647" s="21">
        <v>1906</v>
      </c>
      <c r="F647">
        <v>275203.85358736035</v>
      </c>
      <c r="G647">
        <v>14388.211758207748</v>
      </c>
      <c r="H647">
        <v>4211.530855725754</v>
      </c>
      <c r="I647">
        <v>220163.08286988828</v>
      </c>
      <c r="J647">
        <v>12473.205030732082</v>
      </c>
      <c r="K647">
        <v>2887.9068724976587</v>
      </c>
      <c r="L647">
        <v>550407.70717472071</v>
      </c>
      <c r="M647">
        <v>16303.21848568341</v>
      </c>
      <c r="N647">
        <v>5535.1548389538484</v>
      </c>
      <c r="O647">
        <v>3602.3680000000004</v>
      </c>
      <c r="P647">
        <v>0</v>
      </c>
    </row>
    <row r="648" spans="3:16">
      <c r="C648" t="s">
        <v>747</v>
      </c>
      <c r="D648">
        <v>57</v>
      </c>
      <c r="E648" s="21">
        <v>1906</v>
      </c>
      <c r="F648">
        <v>294972.36180612195</v>
      </c>
      <c r="G648">
        <v>15544.163459240215</v>
      </c>
      <c r="H648">
        <v>4465.1662981036798</v>
      </c>
      <c r="I648">
        <v>235977.88944489756</v>
      </c>
      <c r="J648">
        <v>13455.940206958727</v>
      </c>
      <c r="K648">
        <v>3061.8283186996669</v>
      </c>
      <c r="L648">
        <v>589944.72361224389</v>
      </c>
      <c r="M648">
        <v>17632.386711521704</v>
      </c>
      <c r="N648">
        <v>5868.5042775076936</v>
      </c>
      <c r="O648">
        <v>3660.596</v>
      </c>
      <c r="P648">
        <v>0</v>
      </c>
    </row>
    <row r="649" spans="3:16">
      <c r="C649" t="s">
        <v>747</v>
      </c>
      <c r="D649">
        <v>58</v>
      </c>
      <c r="E649" s="21">
        <v>1906</v>
      </c>
      <c r="F649">
        <v>315714.15733323386</v>
      </c>
      <c r="G649">
        <v>16771.931780597195</v>
      </c>
      <c r="H649">
        <v>4728.0479707625427</v>
      </c>
      <c r="I649">
        <v>252571.32586658708</v>
      </c>
      <c r="J649">
        <v>14498.242103509192</v>
      </c>
      <c r="K649">
        <v>3242.0900370943145</v>
      </c>
      <c r="L649">
        <v>631428.31466646772</v>
      </c>
      <c r="M649">
        <v>19045.621457685193</v>
      </c>
      <c r="N649">
        <v>6214.0059044307709</v>
      </c>
      <c r="O649">
        <v>3718.8240000000001</v>
      </c>
      <c r="P649">
        <v>0</v>
      </c>
    </row>
    <row r="650" spans="3:16">
      <c r="C650" t="s">
        <v>747</v>
      </c>
      <c r="D650">
        <v>59</v>
      </c>
      <c r="E650" s="21">
        <v>1906</v>
      </c>
      <c r="F650">
        <v>337457.92753423768</v>
      </c>
      <c r="G650">
        <v>18075.069474000818</v>
      </c>
      <c r="H650">
        <v>5000.3216521555196</v>
      </c>
      <c r="I650">
        <v>269966.34202739014</v>
      </c>
      <c r="J650">
        <v>15602.986242550487</v>
      </c>
      <c r="K650">
        <v>3428.7919900494999</v>
      </c>
      <c r="L650">
        <v>674915.85506847536</v>
      </c>
      <c r="M650">
        <v>20547.15270545115</v>
      </c>
      <c r="N650">
        <v>6571.8513142615402</v>
      </c>
      <c r="O650">
        <v>3777.0519999999997</v>
      </c>
      <c r="P650">
        <v>0</v>
      </c>
    </row>
    <row r="651" spans="3:16">
      <c r="C651" t="s">
        <v>747</v>
      </c>
      <c r="D651">
        <v>60</v>
      </c>
      <c r="E651" s="21">
        <v>1906</v>
      </c>
      <c r="F651">
        <v>362007.27643426385</v>
      </c>
      <c r="G651">
        <v>19553.13484349499</v>
      </c>
      <c r="H651">
        <v>5308.1534809364566</v>
      </c>
      <c r="I651">
        <v>289605.82114741107</v>
      </c>
      <c r="J651">
        <v>16855.800099010041</v>
      </c>
      <c r="K651">
        <v>3639.8766726421418</v>
      </c>
      <c r="L651">
        <v>724014.55286852771</v>
      </c>
      <c r="M651">
        <v>22250.46958797994</v>
      </c>
      <c r="N651">
        <v>6976.4302892307724</v>
      </c>
      <c r="O651">
        <v>3835.2799999999997</v>
      </c>
      <c r="P651">
        <v>0</v>
      </c>
    </row>
    <row r="652" spans="3:16">
      <c r="C652" t="s">
        <v>747</v>
      </c>
      <c r="D652">
        <v>61</v>
      </c>
      <c r="E652" s="21">
        <v>1906</v>
      </c>
      <c r="F652">
        <v>387760.95871985407</v>
      </c>
      <c r="G652">
        <v>21123.633124734184</v>
      </c>
      <c r="H652">
        <v>5627.220733369566</v>
      </c>
      <c r="I652">
        <v>310208.76697588322</v>
      </c>
      <c r="J652">
        <v>18185.128381700393</v>
      </c>
      <c r="K652">
        <v>3858.6656457391309</v>
      </c>
      <c r="L652">
        <v>775521.91743970814</v>
      </c>
      <c r="M652">
        <v>24062.137867767975</v>
      </c>
      <c r="N652">
        <v>7395.775821000002</v>
      </c>
      <c r="O652">
        <v>3893.5080000000003</v>
      </c>
      <c r="P652">
        <v>0</v>
      </c>
    </row>
    <row r="653" spans="3:16">
      <c r="C653" t="s">
        <v>747</v>
      </c>
      <c r="D653">
        <v>62</v>
      </c>
      <c r="E653" s="21">
        <v>1906</v>
      </c>
      <c r="F653">
        <v>414753.99896882562</v>
      </c>
      <c r="G653">
        <v>22791.168043556921</v>
      </c>
      <c r="H653">
        <v>5957.6983435986658</v>
      </c>
      <c r="I653">
        <v>331803.19917506049</v>
      </c>
      <c r="J653">
        <v>19594.694056239518</v>
      </c>
      <c r="K653">
        <v>4085.2788641819425</v>
      </c>
      <c r="L653">
        <v>829507.99793765123</v>
      </c>
      <c r="M653">
        <v>25987.642030874325</v>
      </c>
      <c r="N653">
        <v>7830.1178230153882</v>
      </c>
      <c r="O653">
        <v>3951.7360000000003</v>
      </c>
      <c r="P653">
        <v>0</v>
      </c>
    </row>
    <row r="654" spans="3:16">
      <c r="C654" t="s">
        <v>747</v>
      </c>
      <c r="D654">
        <v>63</v>
      </c>
      <c r="E654" s="21">
        <v>1906</v>
      </c>
      <c r="F654">
        <v>443021.86683105433</v>
      </c>
      <c r="G654">
        <v>24560.550130608626</v>
      </c>
      <c r="H654">
        <v>6299.7612457675586</v>
      </c>
      <c r="I654">
        <v>354417.49346484349</v>
      </c>
      <c r="J654">
        <v>21088.385532090917</v>
      </c>
      <c r="K654">
        <v>4319.8362828120407</v>
      </c>
      <c r="L654">
        <v>886043.73366210866</v>
      </c>
      <c r="M654">
        <v>28032.714729126339</v>
      </c>
      <c r="N654">
        <v>8279.6862087230784</v>
      </c>
      <c r="O654">
        <v>4009.9639999999999</v>
      </c>
      <c r="P654">
        <v>0</v>
      </c>
    </row>
    <row r="655" spans="3:16">
      <c r="C655" t="s">
        <v>747</v>
      </c>
      <c r="D655">
        <v>64</v>
      </c>
      <c r="E655" s="21">
        <v>1906</v>
      </c>
      <c r="F655">
        <v>472600.47685742733</v>
      </c>
      <c r="G655">
        <v>26436.806793004314</v>
      </c>
      <c r="H655">
        <v>6653.5843740200708</v>
      </c>
      <c r="I655">
        <v>378080.38148594188</v>
      </c>
      <c r="J655">
        <v>22670.264719893756</v>
      </c>
      <c r="K655">
        <v>4562.4578564709063</v>
      </c>
      <c r="L655">
        <v>945200.95371485467</v>
      </c>
      <c r="M655">
        <v>30203.348866114877</v>
      </c>
      <c r="N655">
        <v>8744.7108915692352</v>
      </c>
      <c r="O655">
        <v>4068.192</v>
      </c>
      <c r="P655">
        <v>0</v>
      </c>
    </row>
    <row r="656" spans="3:16">
      <c r="C656" t="s">
        <v>747</v>
      </c>
      <c r="D656">
        <v>65</v>
      </c>
      <c r="E656" s="21">
        <v>1906</v>
      </c>
      <c r="F656">
        <v>503526.18832800339</v>
      </c>
      <c r="G656">
        <v>28425.192980384454</v>
      </c>
      <c r="H656">
        <v>7019.3426625000011</v>
      </c>
      <c r="I656">
        <v>402820.95066240273</v>
      </c>
      <c r="J656">
        <v>24344.575564307561</v>
      </c>
      <c r="K656">
        <v>4813.2635400000036</v>
      </c>
      <c r="L656">
        <v>1007052.3766560068</v>
      </c>
      <c r="M656">
        <v>32505.810396461344</v>
      </c>
      <c r="N656">
        <v>9225.4217850000005</v>
      </c>
      <c r="O656">
        <v>4126.42</v>
      </c>
      <c r="P656">
        <v>0</v>
      </c>
    </row>
    <row r="657" spans="3:16">
      <c r="C657" t="s">
        <v>747</v>
      </c>
      <c r="D657">
        <v>66</v>
      </c>
      <c r="E657" s="21">
        <v>1906</v>
      </c>
      <c r="F657">
        <v>535835.80507974839</v>
      </c>
      <c r="G657">
        <v>30531.202486696071</v>
      </c>
      <c r="H657">
        <v>7397.2110453511759</v>
      </c>
      <c r="I657">
        <v>428668.64406379877</v>
      </c>
      <c r="J657">
        <v>26115.753085437129</v>
      </c>
      <c r="K657">
        <v>5072.3732882408076</v>
      </c>
      <c r="L657">
        <v>1071671.6101594968</v>
      </c>
      <c r="M657">
        <v>34946.651887955013</v>
      </c>
      <c r="N657">
        <v>9722.0488024615443</v>
      </c>
      <c r="O657">
        <v>4184.6480000000001</v>
      </c>
      <c r="P657">
        <v>0</v>
      </c>
    </row>
    <row r="658" spans="3:16">
      <c r="C658" t="s">
        <v>747</v>
      </c>
      <c r="D658">
        <v>67</v>
      </c>
      <c r="E658" s="21">
        <v>1906</v>
      </c>
      <c r="F658">
        <v>569566.57533417479</v>
      </c>
      <c r="G658">
        <v>32760.579932348526</v>
      </c>
      <c r="H658">
        <v>7787.3644567173942</v>
      </c>
      <c r="I658">
        <v>455653.26026733988</v>
      </c>
      <c r="J658">
        <v>27988.432964557083</v>
      </c>
      <c r="K658">
        <v>5339.9070560347845</v>
      </c>
      <c r="L658">
        <v>1139133.1506683496</v>
      </c>
      <c r="M658">
        <v>37532.726900139969</v>
      </c>
      <c r="N658">
        <v>10234.821857400006</v>
      </c>
      <c r="O658">
        <v>4242.8759999999993</v>
      </c>
      <c r="P658">
        <v>0</v>
      </c>
    </row>
    <row r="659" spans="3:16">
      <c r="C659" t="s">
        <v>747</v>
      </c>
      <c r="D659">
        <v>68</v>
      </c>
      <c r="E659" s="21">
        <v>1906</v>
      </c>
      <c r="F659">
        <v>604756.19152517151</v>
      </c>
      <c r="G659">
        <v>35119.333475014042</v>
      </c>
      <c r="H659">
        <v>8189.9778307424822</v>
      </c>
      <c r="I659">
        <v>483804.95322013722</v>
      </c>
      <c r="J659">
        <v>29967.461712752374</v>
      </c>
      <c r="K659">
        <v>5615.9847982234151</v>
      </c>
      <c r="L659">
        <v>1209512.383050343</v>
      </c>
      <c r="M659">
        <v>40271.20523727571</v>
      </c>
      <c r="N659">
        <v>10763.970863261547</v>
      </c>
      <c r="O659">
        <v>4301.1040000000003</v>
      </c>
      <c r="P659">
        <v>0</v>
      </c>
    </row>
    <row r="660" spans="3:16">
      <c r="C660" t="s">
        <v>747</v>
      </c>
      <c r="D660">
        <v>69</v>
      </c>
      <c r="E660" s="21">
        <v>1906</v>
      </c>
      <c r="F660">
        <v>641442.79012726911</v>
      </c>
      <c r="G660">
        <v>37613.748301296415</v>
      </c>
      <c r="H660">
        <v>8605.2261015702406</v>
      </c>
      <c r="I660">
        <v>513154.23210181529</v>
      </c>
      <c r="J660">
        <v>32057.907464253189</v>
      </c>
      <c r="K660">
        <v>5900.7264696481652</v>
      </c>
      <c r="L660">
        <v>1282885.5802545382</v>
      </c>
      <c r="M660">
        <v>43169.589138339637</v>
      </c>
      <c r="N660">
        <v>11309.725733492316</v>
      </c>
      <c r="O660">
        <v>4359.3320000000003</v>
      </c>
      <c r="P660">
        <v>0</v>
      </c>
    </row>
    <row r="661" spans="3:16">
      <c r="C661" t="s">
        <v>747</v>
      </c>
      <c r="D661">
        <v>70</v>
      </c>
      <c r="E661" s="21">
        <v>1906</v>
      </c>
      <c r="F661">
        <v>682239.4399371472</v>
      </c>
      <c r="G661">
        <v>40402.864595797801</v>
      </c>
      <c r="H661">
        <v>9067.5011889632169</v>
      </c>
      <c r="I661">
        <v>545791.5519497178</v>
      </c>
      <c r="J661">
        <v>34394.863376972695</v>
      </c>
      <c r="K661">
        <v>6217.7151010033485</v>
      </c>
      <c r="L661">
        <v>1364478.8798742944</v>
      </c>
      <c r="M661">
        <v>46410.865814622921</v>
      </c>
      <c r="N661">
        <v>11917.287276923087</v>
      </c>
      <c r="O661">
        <v>4417.5600000000004</v>
      </c>
      <c r="P661">
        <v>0</v>
      </c>
    </row>
    <row r="662" spans="3:16">
      <c r="C662" t="s">
        <v>747</v>
      </c>
      <c r="D662">
        <v>71</v>
      </c>
      <c r="E662" s="21">
        <v>1906</v>
      </c>
      <c r="F662">
        <v>724791.04556368408</v>
      </c>
      <c r="G662">
        <v>43354.961047257551</v>
      </c>
      <c r="H662">
        <v>9544.5072707291019</v>
      </c>
      <c r="I662">
        <v>579832.83645094733</v>
      </c>
      <c r="J662">
        <v>36865.570499686975</v>
      </c>
      <c r="K662">
        <v>6544.8049856428152</v>
      </c>
      <c r="L662">
        <v>1449582.0911273682</v>
      </c>
      <c r="M662">
        <v>49844.351594828113</v>
      </c>
      <c r="N662">
        <v>12544.209555815391</v>
      </c>
      <c r="O662">
        <v>4475.7879999999996</v>
      </c>
      <c r="P662">
        <v>0</v>
      </c>
    </row>
    <row r="663" spans="3:16">
      <c r="C663" t="s">
        <v>747</v>
      </c>
      <c r="D663">
        <v>72</v>
      </c>
      <c r="E663" s="21">
        <v>1906</v>
      </c>
      <c r="F663">
        <v>769142.85545276781</v>
      </c>
      <c r="G663">
        <v>46478.03890909897</v>
      </c>
      <c r="H663">
        <v>10036.448436702345</v>
      </c>
      <c r="I663">
        <v>615314.28436221427</v>
      </c>
      <c r="J663">
        <v>39476.476484239713</v>
      </c>
      <c r="K663">
        <v>6882.1360708816064</v>
      </c>
      <c r="L663">
        <v>1538285.7109055356</v>
      </c>
      <c r="M663">
        <v>53479.601333958228</v>
      </c>
      <c r="N663">
        <v>13190.760802523084</v>
      </c>
      <c r="O663">
        <v>4534.0159999999996</v>
      </c>
      <c r="P663">
        <v>0</v>
      </c>
    </row>
    <row r="664" spans="3:16">
      <c r="C664" t="s">
        <v>747</v>
      </c>
      <c r="D664">
        <v>73</v>
      </c>
      <c r="E664" s="21">
        <v>1906</v>
      </c>
      <c r="F664">
        <v>815340.63553565193</v>
      </c>
      <c r="G664">
        <v>49780.478789040048</v>
      </c>
      <c r="H664">
        <v>10543.528776717398</v>
      </c>
      <c r="I664">
        <v>652272.50842852157</v>
      </c>
      <c r="J664">
        <v>42234.332465910302</v>
      </c>
      <c r="K664">
        <v>7229.8483040347892</v>
      </c>
      <c r="L664">
        <v>1630681.2710713039</v>
      </c>
      <c r="M664">
        <v>57326.625112169793</v>
      </c>
      <c r="N664">
        <v>13857.209249400008</v>
      </c>
      <c r="O664">
        <v>4592.2439999999997</v>
      </c>
      <c r="P664">
        <v>0</v>
      </c>
    </row>
    <row r="665" spans="3:16">
      <c r="C665" t="s">
        <v>747</v>
      </c>
      <c r="D665">
        <v>74</v>
      </c>
      <c r="E665" s="21">
        <v>1906</v>
      </c>
      <c r="F665">
        <v>863430.66903527954</v>
      </c>
      <c r="G665">
        <v>53271.0611178502</v>
      </c>
      <c r="H665">
        <v>11065.952380608702</v>
      </c>
      <c r="I665">
        <v>690744.53522822377</v>
      </c>
      <c r="J665">
        <v>45146.209438419297</v>
      </c>
      <c r="K665">
        <v>7588.0816324173938</v>
      </c>
      <c r="L665">
        <v>1726861.3380705591</v>
      </c>
      <c r="M665">
        <v>61395.912797281111</v>
      </c>
      <c r="N665">
        <v>14543.823128800006</v>
      </c>
      <c r="O665">
        <v>4650.4720000000007</v>
      </c>
      <c r="P665">
        <v>0</v>
      </c>
    </row>
    <row r="666" spans="3:16">
      <c r="C666" t="s">
        <v>747</v>
      </c>
      <c r="D666">
        <v>75</v>
      </c>
      <c r="E666" s="21">
        <v>1906</v>
      </c>
      <c r="F666">
        <v>913459.7562738678</v>
      </c>
      <c r="G666">
        <v>56958.987957880461</v>
      </c>
      <c r="H666">
        <v>11603.923338210712</v>
      </c>
      <c r="I666">
        <v>730767.80501909438</v>
      </c>
      <c r="J666">
        <v>48219.515700752534</v>
      </c>
      <c r="K666">
        <v>7956.9760033444909</v>
      </c>
      <c r="L666">
        <v>1826919.5125477356</v>
      </c>
      <c r="M666">
        <v>65698.460215008396</v>
      </c>
      <c r="N666">
        <v>15250.870673076934</v>
      </c>
      <c r="O666">
        <v>4708.7</v>
      </c>
      <c r="P666">
        <v>0</v>
      </c>
    </row>
    <row r="667" spans="3:16">
      <c r="C667" t="s">
        <v>747</v>
      </c>
      <c r="D667">
        <v>76</v>
      </c>
      <c r="E667" s="21">
        <v>1906</v>
      </c>
      <c r="F667">
        <v>965475.21448190312</v>
      </c>
      <c r="G667">
        <v>60853.906254805072</v>
      </c>
      <c r="H667">
        <v>12157.645739357864</v>
      </c>
      <c r="I667">
        <v>772380.17158552259</v>
      </c>
      <c r="J667">
        <v>51462.01545855443</v>
      </c>
      <c r="K667">
        <v>8336.6713641311071</v>
      </c>
      <c r="L667">
        <v>1930950.4289638062</v>
      </c>
      <c r="M667">
        <v>70245.797051055706</v>
      </c>
      <c r="N667">
        <v>15978.620114584623</v>
      </c>
      <c r="O667">
        <v>4766.9279999999999</v>
      </c>
      <c r="P667">
        <v>0</v>
      </c>
    </row>
    <row r="668" spans="3:16">
      <c r="C668" t="s">
        <v>747</v>
      </c>
      <c r="D668">
        <v>77</v>
      </c>
      <c r="E668" s="21">
        <v>1906</v>
      </c>
      <c r="F668">
        <v>1019524.8776086485</v>
      </c>
      <c r="G668">
        <v>64965.932645241701</v>
      </c>
      <c r="H668">
        <v>12727.323673884617</v>
      </c>
      <c r="I668">
        <v>815619.90208691894</v>
      </c>
      <c r="J668">
        <v>54881.848670224135</v>
      </c>
      <c r="K668">
        <v>8727.3076620923057</v>
      </c>
      <c r="L668">
        <v>2039049.755217297</v>
      </c>
      <c r="M668">
        <v>75050.016620259281</v>
      </c>
      <c r="N668">
        <v>16727.339685676925</v>
      </c>
      <c r="O668">
        <v>4825.1559999999999</v>
      </c>
      <c r="P668">
        <v>0</v>
      </c>
    </row>
    <row r="669" spans="3:16">
      <c r="C669" t="s">
        <v>747</v>
      </c>
      <c r="D669">
        <v>78</v>
      </c>
      <c r="E669" s="21">
        <v>1906</v>
      </c>
      <c r="F669">
        <v>1075657.0961342715</v>
      </c>
      <c r="G669">
        <v>69305.679943082927</v>
      </c>
      <c r="H669">
        <v>13313.161231625418</v>
      </c>
      <c r="I669">
        <v>860525.67690741725</v>
      </c>
      <c r="J669">
        <v>58487.552235980715</v>
      </c>
      <c r="K669">
        <v>9129.0248445431462</v>
      </c>
      <c r="L669">
        <v>2151314.1922685429</v>
      </c>
      <c r="M669">
        <v>80123.807650185117</v>
      </c>
      <c r="N669">
        <v>17497.297618707693</v>
      </c>
      <c r="O669">
        <v>4883.384</v>
      </c>
      <c r="P669">
        <v>0</v>
      </c>
    </row>
    <row r="670" spans="3:16">
      <c r="C670" t="s">
        <v>747</v>
      </c>
      <c r="D670">
        <v>79</v>
      </c>
      <c r="E670" s="21">
        <v>1906</v>
      </c>
      <c r="F670">
        <v>1133920.7368836754</v>
      </c>
      <c r="G670">
        <v>73884.285438580293</v>
      </c>
      <c r="H670">
        <v>13915.362502414726</v>
      </c>
      <c r="I670">
        <v>907136.58950694033</v>
      </c>
      <c r="J670">
        <v>62288.082637130465</v>
      </c>
      <c r="K670">
        <v>9541.9628587986736</v>
      </c>
      <c r="L670">
        <v>2267841.4737673509</v>
      </c>
      <c r="M670">
        <v>85480.488240030129</v>
      </c>
      <c r="N670">
        <v>18288.762146030778</v>
      </c>
      <c r="O670">
        <v>4941.6120000000001</v>
      </c>
      <c r="P670">
        <v>0</v>
      </c>
    </row>
    <row r="671" spans="3:16">
      <c r="C671" t="s">
        <v>747</v>
      </c>
      <c r="D671">
        <v>80</v>
      </c>
      <c r="E671" s="21">
        <v>1906</v>
      </c>
      <c r="F671">
        <v>1197930.4520446055</v>
      </c>
      <c r="G671">
        <v>78948.406652585545</v>
      </c>
      <c r="H671">
        <v>14577.517043478259</v>
      </c>
      <c r="I671">
        <v>958344.3616356845</v>
      </c>
      <c r="J671">
        <v>66490.729217720611</v>
      </c>
      <c r="K671">
        <v>9996.0116869565172</v>
      </c>
      <c r="L671">
        <v>2395860.904089211</v>
      </c>
      <c r="M671">
        <v>91406.084087450479</v>
      </c>
      <c r="N671">
        <v>19159.022400000002</v>
      </c>
      <c r="O671">
        <v>4999.84</v>
      </c>
      <c r="P671">
        <v>0</v>
      </c>
    </row>
    <row r="672" spans="3:16">
      <c r="C672" t="s">
        <v>747</v>
      </c>
      <c r="D672">
        <v>81</v>
      </c>
      <c r="E672" s="21">
        <v>1906</v>
      </c>
      <c r="F672">
        <v>1264391.4460308354</v>
      </c>
      <c r="G672">
        <v>84295.516446003588</v>
      </c>
      <c r="H672">
        <v>15258.384077812716</v>
      </c>
      <c r="I672">
        <v>1011513.1568246683</v>
      </c>
      <c r="J672">
        <v>70924.043803160064</v>
      </c>
      <c r="K672">
        <v>10462.891939071578</v>
      </c>
      <c r="L672">
        <v>2528782.8920616708</v>
      </c>
      <c r="M672">
        <v>97666.989088847098</v>
      </c>
      <c r="N672">
        <v>20053.876216553854</v>
      </c>
      <c r="O672">
        <v>5058.0680000000002</v>
      </c>
      <c r="P672">
        <v>0</v>
      </c>
    </row>
    <row r="673" spans="3:16">
      <c r="C673" t="s">
        <v>747</v>
      </c>
      <c r="D673">
        <v>82</v>
      </c>
      <c r="E673" s="21">
        <v>1906</v>
      </c>
      <c r="F673">
        <v>1333360.4696742832</v>
      </c>
      <c r="G673">
        <v>89939.67289527363</v>
      </c>
      <c r="H673">
        <v>15958.19685094315</v>
      </c>
      <c r="I673">
        <v>1066688.3757394266</v>
      </c>
      <c r="J673">
        <v>75599.326167863037</v>
      </c>
      <c r="K673">
        <v>10942.763554932444</v>
      </c>
      <c r="L673">
        <v>2666720.9393485663</v>
      </c>
      <c r="M673">
        <v>104280.01962268419</v>
      </c>
      <c r="N673">
        <v>20973.630146953852</v>
      </c>
      <c r="O673">
        <v>5116.2960000000003</v>
      </c>
      <c r="P673">
        <v>0</v>
      </c>
    </row>
    <row r="674" spans="3:16">
      <c r="C674" t="s">
        <v>747</v>
      </c>
      <c r="D674">
        <v>83</v>
      </c>
      <c r="E674" s="21">
        <v>1906</v>
      </c>
      <c r="F674">
        <v>1404894.8633338735</v>
      </c>
      <c r="G674">
        <v>95895.654365137001</v>
      </c>
      <c r="H674">
        <v>16677.188608394656</v>
      </c>
      <c r="I674">
        <v>1123915.8906670988</v>
      </c>
      <c r="J674">
        <v>80528.452316885523</v>
      </c>
      <c r="K674">
        <v>11435.786474327761</v>
      </c>
      <c r="L674">
        <v>2809789.7266677469</v>
      </c>
      <c r="M674">
        <v>111262.85641338846</v>
      </c>
      <c r="N674">
        <v>21918.590742461547</v>
      </c>
      <c r="O674">
        <v>5174.5240000000003</v>
      </c>
      <c r="P674">
        <v>0</v>
      </c>
    </row>
    <row r="675" spans="3:16">
      <c r="C675" t="s">
        <v>747</v>
      </c>
      <c r="D675">
        <v>84</v>
      </c>
      <c r="E675" s="21">
        <v>1906</v>
      </c>
      <c r="F675">
        <v>1479052.5566922761</v>
      </c>
      <c r="G675">
        <v>102179.00307446158</v>
      </c>
      <c r="H675">
        <v>17415.592595692313</v>
      </c>
      <c r="I675">
        <v>1183242.045353821</v>
      </c>
      <c r="J675">
        <v>85723.909338584665</v>
      </c>
      <c r="K675">
        <v>11942.120637046159</v>
      </c>
      <c r="L675">
        <v>2958105.1133845523</v>
      </c>
      <c r="M675">
        <v>118634.09681033851</v>
      </c>
      <c r="N675">
        <v>22889.064554338467</v>
      </c>
      <c r="O675">
        <v>5232.7520000000004</v>
      </c>
      <c r="P675">
        <v>0</v>
      </c>
    </row>
    <row r="676" spans="3:16">
      <c r="C676" t="s">
        <v>747</v>
      </c>
      <c r="D676">
        <v>85</v>
      </c>
      <c r="E676" s="21">
        <v>1906</v>
      </c>
      <c r="F676">
        <v>1555892.0685547802</v>
      </c>
      <c r="G676">
        <v>108806.07186282112</v>
      </c>
      <c r="H676">
        <v>18173.642058361202</v>
      </c>
      <c r="I676">
        <v>1244713.6548438242</v>
      </c>
      <c r="J676">
        <v>91198.832817882299</v>
      </c>
      <c r="K676">
        <v>12461.925982876252</v>
      </c>
      <c r="L676">
        <v>3111784.1371095604</v>
      </c>
      <c r="M676">
        <v>126413.31090775994</v>
      </c>
      <c r="N676">
        <v>23885.358133846148</v>
      </c>
      <c r="O676">
        <v>5290.98</v>
      </c>
      <c r="P676">
        <v>0</v>
      </c>
    </row>
    <row r="677" spans="3:16">
      <c r="C677" t="s">
        <v>747</v>
      </c>
      <c r="D677">
        <v>86</v>
      </c>
      <c r="E677" s="21">
        <v>1906</v>
      </c>
      <c r="F677">
        <v>1635472.5066503419</v>
      </c>
      <c r="G677">
        <v>115794.07443558043</v>
      </c>
      <c r="H677">
        <v>18951.57024192642</v>
      </c>
      <c r="I677">
        <v>1308378.0053202736</v>
      </c>
      <c r="J677">
        <v>96967.047032333256</v>
      </c>
      <c r="K677">
        <v>12995.362451606692</v>
      </c>
      <c r="L677">
        <v>3270945.0133006838</v>
      </c>
      <c r="M677">
        <v>134621.10183882763</v>
      </c>
      <c r="N677">
        <v>24907.778032246155</v>
      </c>
      <c r="O677">
        <v>5349.2079999999996</v>
      </c>
      <c r="P677">
        <v>0</v>
      </c>
    </row>
    <row r="678" spans="3:16">
      <c r="C678" t="s">
        <v>747</v>
      </c>
      <c r="D678">
        <v>87</v>
      </c>
      <c r="E678" s="21">
        <v>1906</v>
      </c>
      <c r="F678">
        <v>1717853.5674348301</v>
      </c>
      <c r="G678">
        <v>123161.13939312869</v>
      </c>
      <c r="H678">
        <v>19749.610391913044</v>
      </c>
      <c r="I678">
        <v>1374282.8539478641</v>
      </c>
      <c r="J678">
        <v>103043.10817551166</v>
      </c>
      <c r="K678">
        <v>13542.58998302609</v>
      </c>
      <c r="L678">
        <v>3435707.1348696603</v>
      </c>
      <c r="M678">
        <v>143279.17061074573</v>
      </c>
      <c r="N678">
        <v>25956.630800799998</v>
      </c>
      <c r="O678">
        <v>5407.4360000000006</v>
      </c>
      <c r="P678">
        <v>0</v>
      </c>
    </row>
    <row r="679" spans="3:16">
      <c r="C679" t="s">
        <v>747</v>
      </c>
      <c r="D679">
        <v>88</v>
      </c>
      <c r="E679" s="21">
        <v>1906</v>
      </c>
      <c r="F679">
        <v>1803095.5358964943</v>
      </c>
      <c r="G679">
        <v>130926.36838098746</v>
      </c>
      <c r="H679">
        <v>20567.995753846146</v>
      </c>
      <c r="I679">
        <v>1442476.4287171955</v>
      </c>
      <c r="J679">
        <v>109442.35087709766</v>
      </c>
      <c r="K679">
        <v>14103.768516923068</v>
      </c>
      <c r="L679">
        <v>3606191.0717929886</v>
      </c>
      <c r="M679">
        <v>152410.38588487727</v>
      </c>
      <c r="N679">
        <v>27032.22299076922</v>
      </c>
      <c r="O679">
        <v>5465.6640000000007</v>
      </c>
      <c r="P679">
        <v>0</v>
      </c>
    </row>
    <row r="680" spans="3:16">
      <c r="C680" t="s">
        <v>747</v>
      </c>
      <c r="D680">
        <v>89</v>
      </c>
      <c r="E680" s="21">
        <v>1906</v>
      </c>
      <c r="F680">
        <v>1891259.2853636527</v>
      </c>
      <c r="G680">
        <v>139109.89873220082</v>
      </c>
      <c r="H680">
        <v>21406.959573250824</v>
      </c>
      <c r="I680">
        <v>1513007.4282909224</v>
      </c>
      <c r="J680">
        <v>116180.9383167894</v>
      </c>
      <c r="K680">
        <v>14679.05799308628</v>
      </c>
      <c r="L680">
        <v>3782518.5707273055</v>
      </c>
      <c r="M680">
        <v>162038.85914761218</v>
      </c>
      <c r="N680">
        <v>28134.861153415375</v>
      </c>
      <c r="O680">
        <v>5523.8919999999998</v>
      </c>
      <c r="P680">
        <v>0</v>
      </c>
    </row>
    <row r="681" spans="3:16">
      <c r="C681" t="s">
        <v>747</v>
      </c>
      <c r="D681">
        <v>90</v>
      </c>
      <c r="E681" s="21">
        <v>1906</v>
      </c>
      <c r="F681">
        <v>1982406.277314622</v>
      </c>
      <c r="G681">
        <v>147732.97101217389</v>
      </c>
      <c r="H681">
        <v>22266.735095652162</v>
      </c>
      <c r="I681">
        <v>1585925.0218516975</v>
      </c>
      <c r="J681">
        <v>123275.91626017391</v>
      </c>
      <c r="K681">
        <v>15268.618351304343</v>
      </c>
      <c r="L681">
        <v>3964812.5546292439</v>
      </c>
      <c r="M681">
        <v>172190.02576417389</v>
      </c>
      <c r="N681">
        <v>29264.851839999985</v>
      </c>
      <c r="O681">
        <v>5582.12</v>
      </c>
      <c r="P681">
        <v>0</v>
      </c>
    </row>
  </sheetData>
  <dataConsolidate/>
  <mergeCells count="3">
    <mergeCell ref="F4:H4"/>
    <mergeCell ref="I4:K4"/>
    <mergeCell ref="L4:N4"/>
  </mergeCells>
  <phoneticPr fontId="1" type="noConversion"/>
  <conditionalFormatting sqref="A7 C7:M7 A8:M139 C140:M153 C154:C204 A140:B204">
    <cfRule type="expression" dxfId="100" priority="69">
      <formula>$B7=8</formula>
    </cfRule>
    <cfRule type="expression" dxfId="99" priority="70">
      <formula>$B7=7</formula>
    </cfRule>
    <cfRule type="expression" dxfId="98" priority="71">
      <formula>$B7=6</formula>
    </cfRule>
    <cfRule type="expression" dxfId="97" priority="72">
      <formula>$B7=5</formula>
    </cfRule>
    <cfRule type="expression" dxfId="96" priority="73">
      <formula>$B7=4</formula>
    </cfRule>
    <cfRule type="expression" dxfId="95" priority="74">
      <formula>$B7=3</formula>
    </cfRule>
    <cfRule type="expression" dxfId="94" priority="75">
      <formula>$B7=2</formula>
    </cfRule>
    <cfRule type="expression" dxfId="93" priority="76">
      <formula>$B7=1</formula>
    </cfRule>
  </conditionalFormatting>
  <conditionalFormatting sqref="A122:M139 A140:A148 C140:M153 B140:B204">
    <cfRule type="expression" dxfId="92" priority="61">
      <formula>$B122=8</formula>
    </cfRule>
    <cfRule type="expression" dxfId="91" priority="62">
      <formula>$B122=7</formula>
    </cfRule>
    <cfRule type="expression" dxfId="90" priority="63">
      <formula>$B122=6</formula>
    </cfRule>
    <cfRule type="expression" dxfId="89" priority="64">
      <formula>$B122=5</formula>
    </cfRule>
    <cfRule type="expression" dxfId="88" priority="65">
      <formula>$B122=4</formula>
    </cfRule>
    <cfRule type="expression" dxfId="87" priority="66">
      <formula>$B122=3</formula>
    </cfRule>
    <cfRule type="expression" dxfId="86" priority="67">
      <formula>$B122=2</formula>
    </cfRule>
    <cfRule type="expression" dxfId="85" priority="68">
      <formula>$B122=1</formula>
    </cfRule>
  </conditionalFormatting>
  <conditionalFormatting sqref="A7:M139 A140:A166 C140:M153 C154:C166 B140:B204">
    <cfRule type="expression" dxfId="84" priority="54">
      <formula>$B7=7</formula>
    </cfRule>
    <cfRule type="expression" dxfId="83" priority="55">
      <formula>$B7=6</formula>
    </cfRule>
    <cfRule type="expression" dxfId="82" priority="56">
      <formula>$B7=5</formula>
    </cfRule>
    <cfRule type="expression" dxfId="81" priority="57">
      <formula>$B7=4</formula>
    </cfRule>
    <cfRule type="expression" dxfId="80" priority="58">
      <formula>$B7=3</formula>
    </cfRule>
    <cfRule type="expression" dxfId="79" priority="59">
      <formula>$B7=2</formula>
    </cfRule>
    <cfRule type="expression" dxfId="78" priority="60">
      <formula>$B7=1</formula>
    </cfRule>
  </conditionalFormatting>
  <conditionalFormatting sqref="N7:P153">
    <cfRule type="expression" dxfId="77" priority="46">
      <formula>$B7=8</formula>
    </cfRule>
    <cfRule type="expression" dxfId="76" priority="47">
      <formula>$B7=7</formula>
    </cfRule>
    <cfRule type="expression" dxfId="75" priority="48">
      <formula>$B7=6</formula>
    </cfRule>
    <cfRule type="expression" dxfId="74" priority="49">
      <formula>$B7=5</formula>
    </cfRule>
    <cfRule type="expression" dxfId="73" priority="50">
      <formula>$B7=4</formula>
    </cfRule>
    <cfRule type="expression" dxfId="72" priority="51">
      <formula>$B7=3</formula>
    </cfRule>
    <cfRule type="expression" dxfId="71" priority="52">
      <formula>$B7=2</formula>
    </cfRule>
    <cfRule type="expression" dxfId="70" priority="53">
      <formula>$B7=1</formula>
    </cfRule>
  </conditionalFormatting>
  <conditionalFormatting sqref="N7:P153">
    <cfRule type="expression" dxfId="69" priority="39">
      <formula>$B7=7</formula>
    </cfRule>
    <cfRule type="expression" dxfId="68" priority="40">
      <formula>$B7=6</formula>
    </cfRule>
    <cfRule type="expression" dxfId="67" priority="41">
      <formula>$B7=5</formula>
    </cfRule>
    <cfRule type="expression" dxfId="66" priority="42">
      <formula>$B7=4</formula>
    </cfRule>
    <cfRule type="expression" dxfId="65" priority="43">
      <formula>$B7=3</formula>
    </cfRule>
    <cfRule type="expression" dxfId="64" priority="44">
      <formula>$B7=2</formula>
    </cfRule>
    <cfRule type="expression" dxfId="63" priority="45">
      <formula>$B7=1</formula>
    </cfRule>
  </conditionalFormatting>
  <conditionalFormatting sqref="D154:M204">
    <cfRule type="expression" dxfId="62" priority="31">
      <formula>$B154=8</formula>
    </cfRule>
    <cfRule type="expression" dxfId="61" priority="32">
      <formula>$B154=7</formula>
    </cfRule>
    <cfRule type="expression" dxfId="60" priority="33">
      <formula>$B154=6</formula>
    </cfRule>
    <cfRule type="expression" dxfId="59" priority="34">
      <formula>$B154=5</formula>
    </cfRule>
    <cfRule type="expression" dxfId="58" priority="35">
      <formula>$B154=4</formula>
    </cfRule>
    <cfRule type="expression" dxfId="57" priority="36">
      <formula>$B154=3</formula>
    </cfRule>
    <cfRule type="expression" dxfId="56" priority="37">
      <formula>$B154=2</formula>
    </cfRule>
    <cfRule type="expression" dxfId="55" priority="38">
      <formula>$B154=1</formula>
    </cfRule>
  </conditionalFormatting>
  <conditionalFormatting sqref="D154:M204">
    <cfRule type="expression" dxfId="54" priority="23">
      <formula>$B154=8</formula>
    </cfRule>
    <cfRule type="expression" dxfId="53" priority="24">
      <formula>$B154=7</formula>
    </cfRule>
    <cfRule type="expression" dxfId="52" priority="25">
      <formula>$B154=6</formula>
    </cfRule>
    <cfRule type="expression" dxfId="51" priority="26">
      <formula>$B154=5</formula>
    </cfRule>
    <cfRule type="expression" dxfId="50" priority="27">
      <formula>$B154=4</formula>
    </cfRule>
    <cfRule type="expression" dxfId="49" priority="28">
      <formula>$B154=3</formula>
    </cfRule>
    <cfRule type="expression" dxfId="48" priority="29">
      <formula>$B154=2</formula>
    </cfRule>
    <cfRule type="expression" dxfId="47" priority="30">
      <formula>$B154=1</formula>
    </cfRule>
  </conditionalFormatting>
  <conditionalFormatting sqref="D154:M204">
    <cfRule type="expression" dxfId="46" priority="16">
      <formula>$B154=7</formula>
    </cfRule>
    <cfRule type="expression" dxfId="45" priority="17">
      <formula>$B154=6</formula>
    </cfRule>
    <cfRule type="expression" dxfId="44" priority="18">
      <formula>$B154=5</formula>
    </cfRule>
    <cfRule type="expression" dxfId="43" priority="19">
      <formula>$B154=4</formula>
    </cfRule>
    <cfRule type="expression" dxfId="42" priority="20">
      <formula>$B154=3</formula>
    </cfRule>
    <cfRule type="expression" dxfId="41" priority="21">
      <formula>$B154=2</formula>
    </cfRule>
    <cfRule type="expression" dxfId="40" priority="22">
      <formula>$B154=1</formula>
    </cfRule>
  </conditionalFormatting>
  <conditionalFormatting sqref="N154:P204">
    <cfRule type="expression" dxfId="39" priority="8">
      <formula>$B154=8</formula>
    </cfRule>
    <cfRule type="expression" dxfId="38" priority="9">
      <formula>$B154=7</formula>
    </cfRule>
    <cfRule type="expression" dxfId="37" priority="10">
      <formula>$B154=6</formula>
    </cfRule>
    <cfRule type="expression" dxfId="36" priority="11">
      <formula>$B154=5</formula>
    </cfRule>
    <cfRule type="expression" dxfId="35" priority="12">
      <formula>$B154=4</formula>
    </cfRule>
    <cfRule type="expression" dxfId="34" priority="13">
      <formula>$B154=3</formula>
    </cfRule>
    <cfRule type="expression" dxfId="33" priority="14">
      <formula>$B154=2</formula>
    </cfRule>
    <cfRule type="expression" dxfId="32" priority="15">
      <formula>$B154=1</formula>
    </cfRule>
  </conditionalFormatting>
  <conditionalFormatting sqref="N154:P204">
    <cfRule type="expression" dxfId="31" priority="1">
      <formula>$B154=7</formula>
    </cfRule>
    <cfRule type="expression" dxfId="30" priority="2">
      <formula>$B154=6</formula>
    </cfRule>
    <cfRule type="expression" dxfId="29" priority="3">
      <formula>$B154=5</formula>
    </cfRule>
    <cfRule type="expression" dxfId="28" priority="4">
      <formula>$B154=4</formula>
    </cfRule>
    <cfRule type="expression" dxfId="27" priority="5">
      <formula>$B154=3</formula>
    </cfRule>
    <cfRule type="expression" dxfId="26" priority="6">
      <formula>$B154=2</formula>
    </cfRule>
    <cfRule type="expression" dxfId="25" priority="7">
      <formula>$B154=1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T77"/>
  <sheetViews>
    <sheetView topLeftCell="B1" workbookViewId="0">
      <selection activeCell="Q19" sqref="Q19"/>
    </sheetView>
  </sheetViews>
  <sheetFormatPr defaultRowHeight="13.5"/>
  <cols>
    <col min="4" max="4" width="13.875" bestFit="1" customWidth="1"/>
    <col min="5" max="5" width="11.625" bestFit="1" customWidth="1"/>
    <col min="6" max="6" width="9.5" bestFit="1" customWidth="1"/>
    <col min="7" max="7" width="9" bestFit="1" customWidth="1"/>
    <col min="8" max="8" width="11.625" bestFit="1" customWidth="1"/>
    <col min="9" max="9" width="9.5" bestFit="1" customWidth="1"/>
    <col min="10" max="10" width="9" bestFit="1" customWidth="1"/>
    <col min="11" max="11" width="11.625" bestFit="1" customWidth="1"/>
    <col min="12" max="12" width="9.5" bestFit="1" customWidth="1"/>
    <col min="13" max="13" width="9" bestFit="1" customWidth="1"/>
    <col min="18" max="18" width="13" customWidth="1"/>
    <col min="19" max="19" width="13.875" bestFit="1" customWidth="1"/>
  </cols>
  <sheetData>
    <row r="2" spans="2:20">
      <c r="P2" s="71"/>
    </row>
    <row r="3" spans="2:20">
      <c r="E3" s="149" t="s">
        <v>87</v>
      </c>
      <c r="F3" s="149"/>
      <c r="G3" s="149"/>
      <c r="H3" s="149" t="s">
        <v>88</v>
      </c>
      <c r="I3" s="149"/>
      <c r="J3" s="149"/>
      <c r="K3" s="149" t="s">
        <v>89</v>
      </c>
      <c r="L3" s="149"/>
      <c r="M3" s="149"/>
      <c r="P3" s="71"/>
      <c r="S3" t="s">
        <v>438</v>
      </c>
    </row>
    <row r="4" spans="2:20">
      <c r="B4" t="s">
        <v>284</v>
      </c>
      <c r="C4" s="2" t="s">
        <v>91</v>
      </c>
      <c r="D4" s="10" t="s">
        <v>58</v>
      </c>
      <c r="E4" s="13" t="s">
        <v>92</v>
      </c>
      <c r="F4" s="13" t="s">
        <v>93</v>
      </c>
      <c r="G4" s="13" t="s">
        <v>94</v>
      </c>
      <c r="H4" s="13" t="s">
        <v>92</v>
      </c>
      <c r="I4" s="13" t="s">
        <v>93</v>
      </c>
      <c r="J4" s="13" t="s">
        <v>94</v>
      </c>
      <c r="K4" s="13" t="s">
        <v>92</v>
      </c>
      <c r="L4" s="13" t="s">
        <v>93</v>
      </c>
      <c r="M4" s="13" t="s">
        <v>94</v>
      </c>
      <c r="N4" s="13" t="s">
        <v>339</v>
      </c>
      <c r="O4" s="13" t="s">
        <v>340</v>
      </c>
      <c r="P4" s="73"/>
      <c r="Q4" s="13" t="s">
        <v>356</v>
      </c>
      <c r="R4" s="13" t="s">
        <v>437</v>
      </c>
      <c r="S4" s="13" t="s">
        <v>436</v>
      </c>
    </row>
    <row r="5" spans="2:20">
      <c r="B5" t="str">
        <f>怪物并表!$R$7</f>
        <v>普通副本</v>
      </c>
      <c r="C5" s="2">
        <f>怪物信息表!B5</f>
        <v>1</v>
      </c>
      <c r="D5" s="50">
        <f>怪物信息表!C5</f>
        <v>1010</v>
      </c>
      <c r="E5" s="72">
        <f>VLOOKUP($C5,难度推算表,副本难度推算!$M$3,FALSE)*副本难度推算!$Y$5*Q5</f>
        <v>401.24700000000007</v>
      </c>
      <c r="F5" s="72">
        <f>VLOOKUP($C5,难度推算表,副本难度推算!$P$3,FALSE)*副本难度推算!$Z$5*$R5+VLOOKUP($C5,难度推算表,副本难度推算!$H$3,FALSE)</f>
        <v>26.106519114688133</v>
      </c>
      <c r="G5" s="72">
        <f>VLOOKUP($C5,难度推算表,副本难度推算!$G$3,FALSE)-VLOOKUP($C5,难度推算表,副本难度推算!$I$3,FALSE)*(2-副本难度推算!$AA$5)*(2-$S5)</f>
        <v>21.120000000000005</v>
      </c>
      <c r="H5" s="72">
        <f>VLOOKUP($C5,难度推算表,副本难度推算!$M$3,FALSE)*副本难度推算!$Y$6*Q5</f>
        <v>320.99760000000009</v>
      </c>
      <c r="I5" s="72">
        <f>VLOOKUP($C5,难度推算表,副本难度推算!$P$3,FALSE)*副本难度推算!$Z$6*$R5+VLOOKUP($C5,难度推算表,副本难度推算!$H$3,FALSE)</f>
        <v>25.607867203219321</v>
      </c>
      <c r="J5" s="72">
        <f>VLOOKUP($C5,难度推算表,副本难度推算!$G$3,FALSE)-VLOOKUP($C5,难度推算表,副本难度推算!$I$3,FALSE)*(2-副本难度推算!$AA$6)*(2-$S5)</f>
        <v>15.840000000000003</v>
      </c>
      <c r="K5" s="72">
        <f>VLOOKUP($C5,难度推算表,副本难度推算!$M$3,FALSE)*副本难度推算!$Y$7*Q5</f>
        <v>1003.1175000000002</v>
      </c>
      <c r="L5" s="72">
        <f>VLOOKUP($C5,难度推算表,副本难度推算!$P$3,FALSE)*副本难度推算!$Z$7*$R5+VLOOKUP($C5,难度推算表,副本难度推算!$H$3,FALSE)</f>
        <v>27.103822937625758</v>
      </c>
      <c r="M5" s="72">
        <f>VLOOKUP($C5,难度推算表,副本难度推算!$G$3,FALSE)-VLOOKUP($C5,难度推算表,副本难度推算!$I$3,FALSE)*(2-副本难度推算!$AA$7)*(2-$S5)</f>
        <v>26.400000000000006</v>
      </c>
      <c r="N5" s="2">
        <f>VLOOKUP($C5,难度推算表,副本难度推算!$Q$3,FALSE)</f>
        <v>399.82799999999997</v>
      </c>
      <c r="O5" s="2">
        <f>VLOOKUP($C5,难度推算表,副本难度推算!$R$3,FALSE)</f>
        <v>0</v>
      </c>
      <c r="P5" s="71"/>
      <c r="Q5" s="46">
        <v>1.5</v>
      </c>
      <c r="R5" s="46">
        <v>1</v>
      </c>
      <c r="S5" s="46">
        <v>1</v>
      </c>
      <c r="T5">
        <f>SUMPRODUCT(K5:M5,[2]各种公式!$C$13:$E$13)</f>
        <v>93.628522937625775</v>
      </c>
    </row>
    <row r="6" spans="2:20">
      <c r="B6" t="str">
        <f>怪物并表!$R$7</f>
        <v>普通副本</v>
      </c>
      <c r="C6" s="2">
        <f>怪物信息表!B6</f>
        <v>2</v>
      </c>
      <c r="D6" s="50">
        <f>怪物信息表!C6</f>
        <v>1001</v>
      </c>
      <c r="E6" s="72">
        <f>VLOOKUP($C6,难度推算表,副本难度推算!$M$3,FALSE)*副本难度推算!$Y$5*Q6</f>
        <v>496.57994441925592</v>
      </c>
      <c r="F6" s="72">
        <f>VLOOKUP($C6,难度推算表,副本难度推算!$P$3,FALSE)*副本难度推算!$Z$5*$R6+VLOOKUP($C6,难度推算表,副本难度推算!$H$3,FALSE)</f>
        <v>28.884534412955468</v>
      </c>
      <c r="G6" s="72">
        <f>VLOOKUP($C6,难度推算表,副本难度推算!$G$3,FALSE)-VLOOKUP($C6,难度推算表,副本难度推算!$I$3,FALSE)*(2-副本难度推算!$AA$5)*(2-$S6)</f>
        <v>23.040000000000003</v>
      </c>
      <c r="H6" s="72">
        <f>VLOOKUP($C6,难度推算表,副本难度推算!$M$3,FALSE)*副本难度推算!$Y$6*Q6</f>
        <v>397.26395553540476</v>
      </c>
      <c r="I6" s="72">
        <f>VLOOKUP($C6,难度推算表,副本难度推算!$P$3,FALSE)*副本难度推算!$Z$6*$R6+VLOOKUP($C6,难度推算表,副本难度推算!$H$3,FALSE)</f>
        <v>28.30008097165992</v>
      </c>
      <c r="J6" s="72">
        <f>VLOOKUP($C6,难度推算表,副本难度推算!$G$3,FALSE)-VLOOKUP($C6,难度推算表,副本难度推算!$I$3,FALSE)*(2-副本难度推算!$AA$6)*(2-$S6)</f>
        <v>17.28</v>
      </c>
      <c r="K6" s="72">
        <f>VLOOKUP($C6,难度推算表,副本难度推算!$M$3,FALSE)*副本难度推算!$Y$7*Q6</f>
        <v>1241.4498610481398</v>
      </c>
      <c r="L6" s="72">
        <f>VLOOKUP($C6,难度推算表,副本难度推算!$P$3,FALSE)*副本难度推算!$Z$7*$R6+VLOOKUP($C6,难度推算表,副本难度推算!$H$3,FALSE)</f>
        <v>30.053441295546559</v>
      </c>
      <c r="M6" s="72">
        <f>VLOOKUP($C6,难度推算表,副本难度推算!$G$3,FALSE)-VLOOKUP($C6,难度推算表,副本难度推算!$I$3,FALSE)*(2-副本难度推算!$AA$7)*(2-$S6)</f>
        <v>28.8</v>
      </c>
      <c r="N6" s="2">
        <f>VLOOKUP($C6,难度推算表,副本难度推算!$Q$3,FALSE)</f>
        <v>458.05599999999998</v>
      </c>
      <c r="O6" s="2">
        <f>VLOOKUP($C6,难度推算表,副本难度推算!$R$3,FALSE)</f>
        <v>0</v>
      </c>
      <c r="P6" s="71"/>
      <c r="Q6" s="46">
        <v>1.48</v>
      </c>
      <c r="R6" s="46">
        <v>1</v>
      </c>
      <c r="S6" s="46">
        <v>1</v>
      </c>
      <c r="T6">
        <f>SUMPRODUCT(K6:M6,[2]各种公式!$C$13:$E$13)</f>
        <v>108.51143573747215</v>
      </c>
    </row>
    <row r="7" spans="2:20">
      <c r="B7" t="str">
        <f>怪物并表!$R$7</f>
        <v>普通副本</v>
      </c>
      <c r="C7" s="2">
        <f>怪物信息表!B7</f>
        <v>3</v>
      </c>
      <c r="D7" s="50">
        <f>怪物信息表!C7</f>
        <v>1002</v>
      </c>
      <c r="E7" s="72">
        <f>VLOOKUP($C7,难度推算表,副本难度推算!$M$3,FALSE)*副本难度推算!$Y$5*Q7</f>
        <v>582.78974062807151</v>
      </c>
      <c r="F7" s="72">
        <f>VLOOKUP($C7,难度推算表,副本难度推算!$P$3,FALSE)*副本难度推算!$Z$5*$R7+VLOOKUP($C7,难度推算表,副本难度推算!$H$3,FALSE)</f>
        <v>31.73535641547862</v>
      </c>
      <c r="G7" s="72">
        <f>VLOOKUP($C7,难度推算表,副本难度推算!$G$3,FALSE)-VLOOKUP($C7,难度推算表,副本难度推算!$I$3,FALSE)*(2-副本难度推算!$AA$5)*(2-$S7)</f>
        <v>24.960000000000004</v>
      </c>
      <c r="H7" s="72">
        <f>VLOOKUP($C7,难度推算表,副本难度推算!$M$3,FALSE)*副本难度推算!$Y$6*Q7</f>
        <v>466.23179250245727</v>
      </c>
      <c r="I7" s="72">
        <f>VLOOKUP($C7,难度推算表,副本难度推算!$P$3,FALSE)*副本难度推算!$Z$6*$R7+VLOOKUP($C7,难度推算表,副本难度推算!$H$3,FALSE)</f>
        <v>31.057820773930757</v>
      </c>
      <c r="J7" s="72">
        <f>VLOOKUP($C7,难度推算表,副本难度推算!$G$3,FALSE)-VLOOKUP($C7,难度推算表,副本难度推算!$I$3,FALSE)*(2-副本难度推算!$AA$6)*(2-$S7)</f>
        <v>18.720000000000006</v>
      </c>
      <c r="K7" s="72">
        <f>VLOOKUP($C7,难度推算表,副本难度推算!$M$3,FALSE)*副本难度推算!$Y$7*Q7</f>
        <v>1456.9743515701789</v>
      </c>
      <c r="L7" s="72">
        <f>VLOOKUP($C7,难度推算表,副本难度推算!$P$3,FALSE)*副本难度推算!$Z$7*$R7+VLOOKUP($C7,难度推算表,副本难度推算!$H$3,FALSE)</f>
        <v>33.090427698574345</v>
      </c>
      <c r="M7" s="72">
        <f>VLOOKUP($C7,难度推算表,副本难度推算!$G$3,FALSE)-VLOOKUP($C7,难度推算表,副本难度推算!$I$3,FALSE)*(2-副本难度推算!$AA$7)*(2-$S7)</f>
        <v>31.200000000000003</v>
      </c>
      <c r="N7" s="2">
        <f>VLOOKUP($C7,难度推算表,副本难度推算!$Q$3,FALSE)</f>
        <v>516.28399999999999</v>
      </c>
      <c r="O7" s="2">
        <f>VLOOKUP($C7,难度推算表,副本难度推算!$R$3,FALSE)</f>
        <v>0</v>
      </c>
      <c r="Q7" s="46">
        <v>1.46</v>
      </c>
      <c r="R7" s="46">
        <v>1</v>
      </c>
      <c r="S7" s="46">
        <v>1</v>
      </c>
      <c r="T7">
        <f>SUMPRODUCT(K7:M7,[2]各种公式!$C$13:$E$13)</f>
        <v>122.56940176138151</v>
      </c>
    </row>
    <row r="8" spans="2:20">
      <c r="B8" t="str">
        <f>怪物并表!$R$7</f>
        <v>普通副本</v>
      </c>
      <c r="C8" s="2">
        <f>怪物信息表!B8</f>
        <v>4</v>
      </c>
      <c r="D8" s="50">
        <f>怪物信息表!C8</f>
        <v>1003</v>
      </c>
      <c r="E8" s="72">
        <f>VLOOKUP($C8,难度推算表,副本难度推算!$M$3,FALSE)*副本难度推算!$Y$5*Q8</f>
        <v>532.81549920892701</v>
      </c>
      <c r="F8" s="72">
        <f>VLOOKUP($C8,难度推算表,副本难度推算!$P$3,FALSE)*副本难度推算!$Z$5*$R8+VLOOKUP($C8,难度推算表,副本难度推算!$H$3,FALSE)</f>
        <v>29.284327868852465</v>
      </c>
      <c r="G8" s="72">
        <f>VLOOKUP($C8,难度推算表,副本难度推算!$G$3,FALSE)-VLOOKUP($C8,难度推算表,副本难度推算!$I$3,FALSE)*(2-副本难度推算!$AA$5)*(2-$S8)</f>
        <v>21.504000000000005</v>
      </c>
      <c r="H8" s="72">
        <f>VLOOKUP($C8,难度推算表,副本难度推算!$M$3,FALSE)*副本难度推算!$Y$6*Q8</f>
        <v>426.25239936714166</v>
      </c>
      <c r="I8" s="72">
        <f>VLOOKUP($C8,难度推算表,副本难度推算!$P$3,FALSE)*副本难度推算!$Z$6*$R8+VLOOKUP($C8,难度推算表,副本难度推算!$H$3,FALSE)</f>
        <v>28.50629508196722</v>
      </c>
      <c r="J8" s="72">
        <f>VLOOKUP($C8,难度推算表,副本难度推算!$G$3,FALSE)-VLOOKUP($C8,难度推算表,副本难度推算!$I$3,FALSE)*(2-副本难度推算!$AA$6)*(2-$S8)</f>
        <v>16.128000000000007</v>
      </c>
      <c r="K8" s="72">
        <f>VLOOKUP($C8,难度推算表,副本难度推算!$M$3,FALSE)*副本难度推算!$Y$7*Q8</f>
        <v>1332.0387480223176</v>
      </c>
      <c r="L8" s="72">
        <f>VLOOKUP($C8,难度推算表,副本难度推算!$P$3,FALSE)*副本难度推算!$Z$7*$R8+VLOOKUP($C8,难度推算表,副本难度推算!$H$3,FALSE)</f>
        <v>30.840393442622954</v>
      </c>
      <c r="M8" s="72">
        <f>VLOOKUP($C8,难度推算表,副本难度推算!$G$3,FALSE)-VLOOKUP($C8,难度推算表,副本难度推算!$I$3,FALSE)*(2-副本难度推算!$AA$7)*(2-$S8)</f>
        <v>26.880000000000003</v>
      </c>
      <c r="N8" s="2">
        <f>VLOOKUP($C8,难度推算表,副本难度推算!$Q$3,FALSE)</f>
        <v>574.51200000000006</v>
      </c>
      <c r="O8" s="2">
        <f>VLOOKUP($C8,难度推算表,副本难度推算!$R$3,FALSE)</f>
        <v>0</v>
      </c>
      <c r="Q8" s="46">
        <v>1.44</v>
      </c>
      <c r="R8" s="46">
        <v>1</v>
      </c>
      <c r="S8" s="46">
        <v>1</v>
      </c>
      <c r="T8">
        <f>SUMPRODUCT(K8:M8,[2]各种公式!$C$13:$E$13)</f>
        <v>111.00194336351566</v>
      </c>
    </row>
    <row r="9" spans="2:20">
      <c r="B9" t="str">
        <f>怪物并表!$R$7</f>
        <v>普通副本</v>
      </c>
      <c r="C9" s="2">
        <f>怪物信息表!B9</f>
        <v>5</v>
      </c>
      <c r="D9" s="50">
        <f>怪物信息表!C9</f>
        <v>1004</v>
      </c>
      <c r="E9" s="72">
        <f>VLOOKUP($C9,难度推算表,副本难度推算!$M$3,FALSE)*副本难度推算!$Y$5*Q9</f>
        <v>598.49630254093813</v>
      </c>
      <c r="F9" s="72">
        <f>VLOOKUP($C9,难度推算表,副本难度推算!$P$3,FALSE)*副本难度推算!$Z$5*$R9+VLOOKUP($C9,难度推算表,副本难度推算!$H$3,FALSE)</f>
        <v>31.900824742268046</v>
      </c>
      <c r="G9" s="72">
        <f>VLOOKUP($C9,难度推算表,副本难度推算!$G$3,FALSE)-VLOOKUP($C9,难度推算表,副本难度推算!$I$3,FALSE)*(2-副本难度推算!$AA$5)*(2-$S9)</f>
        <v>23.040000000000003</v>
      </c>
      <c r="H9" s="72">
        <f>VLOOKUP($C9,难度推算表,副本难度推算!$M$3,FALSE)*副本难度推算!$Y$6*Q9</f>
        <v>478.79704203275048</v>
      </c>
      <c r="I9" s="72">
        <f>VLOOKUP($C9,难度推算表,副本难度推算!$P$3,FALSE)*副本难度推算!$Z$6*$R9+VLOOKUP($C9,难度推算表,副本难度推算!$H$3,FALSE)</f>
        <v>31.014742268041243</v>
      </c>
      <c r="J9" s="72">
        <f>VLOOKUP($C9,难度推算表,副本难度推算!$G$3,FALSE)-VLOOKUP($C9,难度推算表,副本难度推算!$I$3,FALSE)*(2-副本难度推算!$AA$6)*(2-$S9)</f>
        <v>17.28</v>
      </c>
      <c r="K9" s="72">
        <f>VLOOKUP($C9,难度推算表,副本难度推算!$M$3,FALSE)*副本难度推算!$Y$7*Q9</f>
        <v>1496.2407563523454</v>
      </c>
      <c r="L9" s="72">
        <f>VLOOKUP($C9,难度推算表,副本难度推算!$P$3,FALSE)*副本难度推算!$Z$7*$R9+VLOOKUP($C9,难度推算表,副本难度推算!$H$3,FALSE)</f>
        <v>33.672989690721657</v>
      </c>
      <c r="M9" s="72">
        <f>VLOOKUP($C9,难度推算表,副本难度推算!$G$3,FALSE)-VLOOKUP($C9,难度推算表,副本难度推算!$I$3,FALSE)*(2-副本难度推算!$AA$7)*(2-$S9)</f>
        <v>28.8</v>
      </c>
      <c r="N9" s="2">
        <f>VLOOKUP($C9,难度推算表,副本难度推算!$Q$3,FALSE)</f>
        <v>632.74</v>
      </c>
      <c r="O9" s="2">
        <f>VLOOKUP($C9,难度推算表,副本难度推算!$R$3,FALSE)</f>
        <v>0</v>
      </c>
      <c r="Q9" s="46">
        <v>1.42</v>
      </c>
      <c r="R9" s="46">
        <v>1</v>
      </c>
      <c r="S9" s="46">
        <v>1</v>
      </c>
      <c r="T9">
        <f>SUMPRODUCT(K9:M9,[2]各种公式!$C$13:$E$13)</f>
        <v>122.32261994481547</v>
      </c>
    </row>
    <row r="10" spans="2:20">
      <c r="B10" t="str">
        <f>怪物并表!$R$7</f>
        <v>普通副本</v>
      </c>
      <c r="C10" s="2">
        <f>怪物信息表!B10</f>
        <v>6</v>
      </c>
      <c r="D10" s="50">
        <f>怪物信息表!C10</f>
        <v>1005</v>
      </c>
      <c r="E10" s="72">
        <f>VLOOKUP($C10,难度推算表,副本难度推算!$M$3,FALSE)*副本难度推算!$Y$5*Q10</f>
        <v>1024.8189094533227</v>
      </c>
      <c r="F10" s="72">
        <f>VLOOKUP($C10,难度推算表,副本难度推算!$P$3,FALSE)*副本难度推算!$Z$5*$R10+VLOOKUP($C10,难度推算表,副本难度推算!$H$3,FALSE)</f>
        <v>53.404884647302907</v>
      </c>
      <c r="G10" s="72">
        <f>VLOOKUP($C10,难度推算表,副本难度推算!$G$3,FALSE)-VLOOKUP($C10,难度推算表,副本难度推算!$I$3,FALSE)*(2-副本难度推算!$AA$5)*(2-$S10)</f>
        <v>37.939200000000007</v>
      </c>
      <c r="H10" s="72">
        <f>VLOOKUP($C10,难度推算表,副本难度推算!$M$3,FALSE)*副本难度推算!$Y$6*Q10</f>
        <v>819.85512756265814</v>
      </c>
      <c r="I10" s="72">
        <f>VLOOKUP($C10,难度推算表,副本难度推算!$P$3,FALSE)*副本难度推算!$Z$6*$R10+VLOOKUP($C10,难度推算表,副本难度推算!$H$3,FALSE)</f>
        <v>51.858316182572615</v>
      </c>
      <c r="J10" s="72">
        <f>VLOOKUP($C10,难度推算表,副本难度推算!$G$3,FALSE)-VLOOKUP($C10,难度推算表,副本难度推算!$I$3,FALSE)*(2-副本难度推算!$AA$6)*(2-$S10)</f>
        <v>28.454400000000007</v>
      </c>
      <c r="K10" s="72">
        <f>VLOOKUP($C10,难度推算表,副本难度推算!$M$3,FALSE)*副本难度推算!$Y$7*Q10</f>
        <v>2562.0472736333068</v>
      </c>
      <c r="L10" s="72">
        <f>VLOOKUP($C10,难度推算表,副本难度推算!$P$3,FALSE)*副本难度推算!$Z$7*$R10+VLOOKUP($C10,难度推算表,副本难度推算!$H$3,FALSE)</f>
        <v>56.498021576763492</v>
      </c>
      <c r="M10" s="72">
        <f>VLOOKUP($C10,难度推算表,副本难度推算!$G$3,FALSE)-VLOOKUP($C10,难度推算表,副本难度推算!$I$3,FALSE)*(2-副本难度推算!$AA$7)*(2-$S10)</f>
        <v>47.424000000000007</v>
      </c>
      <c r="N10" s="2">
        <f>VLOOKUP($C10,难度推算表,副本难度推算!$Q$3,FALSE)</f>
        <v>690.96800000000007</v>
      </c>
      <c r="O10" s="2">
        <f>VLOOKUP($C10,难度推算表,副本难度推算!$R$3,FALSE)</f>
        <v>0</v>
      </c>
      <c r="Q10" s="46">
        <v>1.4</v>
      </c>
      <c r="R10" s="46">
        <v>1</v>
      </c>
      <c r="S10" s="46">
        <v>1</v>
      </c>
      <c r="T10">
        <f>SUMPRODUCT(K10:M10,[2]各种公式!$C$13:$E$13)</f>
        <v>206.40391252209577</v>
      </c>
    </row>
    <row r="11" spans="2:20">
      <c r="B11" t="str">
        <f>怪物并表!$R$7</f>
        <v>普通副本</v>
      </c>
      <c r="C11" s="2">
        <f>怪物信息表!B11</f>
        <v>7</v>
      </c>
      <c r="D11" s="50">
        <f>怪物信息表!C11</f>
        <v>1006</v>
      </c>
      <c r="E11" s="72">
        <f>VLOOKUP($C11,难度推算表,副本难度推算!$M$3,FALSE)*副本难度推算!$Y$5*Q11</f>
        <v>1214.4279217050077</v>
      </c>
      <c r="F11" s="72">
        <f>VLOOKUP($C11,难度推算表,副本难度推算!$P$3,FALSE)*副本难度推算!$Z$5*$R11+VLOOKUP($C11,难度推算表,副本难度推算!$H$3,FALSE)</f>
        <v>62.237861978079337</v>
      </c>
      <c r="G11" s="72">
        <f>VLOOKUP($C11,难度推算表,副本难度推算!$G$3,FALSE)-VLOOKUP($C11,难度推算表,副本难度推算!$I$3,FALSE)*(2-副本难度推算!$AA$5)*(2-$S11)</f>
        <v>43.492800000000003</v>
      </c>
      <c r="H11" s="72">
        <f>VLOOKUP($C11,难度推算表,副本难度推算!$M$3,FALSE)*副本难度推算!$Y$6*Q11</f>
        <v>971.54233736400624</v>
      </c>
      <c r="I11" s="72">
        <f>VLOOKUP($C11,难度推算表,副本难度推算!$P$3,FALSE)*副本难度推算!$Z$6*$R11+VLOOKUP($C11,难度推算表,副本难度推算!$H$3,FALSE)</f>
        <v>60.363355780271405</v>
      </c>
      <c r="J11" s="72">
        <f>VLOOKUP($C11,难度推算表,副本难度推算!$G$3,FALSE)-VLOOKUP($C11,难度推算表,副本难度推算!$I$3,FALSE)*(2-副本难度推算!$AA$6)*(2-$S11)</f>
        <v>32.619600000000005</v>
      </c>
      <c r="K11" s="72">
        <f>VLOOKUP($C11,难度推算表,副本难度推算!$M$3,FALSE)*副本难度推算!$Y$7*Q11</f>
        <v>3036.0698042625195</v>
      </c>
      <c r="L11" s="72">
        <f>VLOOKUP($C11,难度推算表,副本难度推算!$P$3,FALSE)*副本难度推算!$Z$7*$R11+VLOOKUP($C11,难度推算表,副本难度推算!$H$3,FALSE)</f>
        <v>65.986874373695201</v>
      </c>
      <c r="M11" s="72">
        <f>VLOOKUP($C11,难度推算表,副本难度推算!$G$3,FALSE)-VLOOKUP($C11,难度推算表,副本难度推算!$I$3,FALSE)*(2-副本难度推算!$AA$7)*(2-$S11)</f>
        <v>54.366</v>
      </c>
      <c r="N11" s="2">
        <f>VLOOKUP($C11,难度推算表,副本难度推算!$Q$3,FALSE)</f>
        <v>749.19600000000003</v>
      </c>
      <c r="O11" s="2">
        <f>VLOOKUP($C11,难度推算表,副本难度推算!$R$3,FALSE)</f>
        <v>0</v>
      </c>
      <c r="Q11" s="46">
        <v>1.38</v>
      </c>
      <c r="R11" s="46">
        <v>1</v>
      </c>
      <c r="S11" s="46">
        <v>1</v>
      </c>
      <c r="T11">
        <f>SUMPRODUCT(K11:M11,[2]各种公式!$C$13:$E$13)</f>
        <v>241.79566654419597</v>
      </c>
    </row>
    <row r="12" spans="2:20">
      <c r="B12" t="str">
        <f>怪物并表!$R$7</f>
        <v>普通副本</v>
      </c>
      <c r="C12" s="2">
        <f>怪物信息表!B12</f>
        <v>8</v>
      </c>
      <c r="D12" s="50">
        <f>怪物信息表!C12</f>
        <v>1007</v>
      </c>
      <c r="E12" s="72">
        <f>VLOOKUP($C12,难度推算表,副本难度推算!$M$3,FALSE)*副本难度推算!$Y$5*Q12</f>
        <v>1419.9231822030038</v>
      </c>
      <c r="F12" s="72">
        <f>VLOOKUP($C12,难度推算表,副本难度推算!$P$3,FALSE)*副本难度推算!$Z$5*$R12+VLOOKUP($C12,难度推算表,副本难度推算!$H$3,FALSE)</f>
        <v>71.889224369747922</v>
      </c>
      <c r="G12" s="72">
        <f>VLOOKUP($C12,难度推算表,副本难度推算!$G$3,FALSE)-VLOOKUP($C12,难度推算表,副本难度推算!$I$3,FALSE)*(2-副本难度推算!$AA$5)*(2-$S12)</f>
        <v>49.420800000000014</v>
      </c>
      <c r="H12" s="72">
        <f>VLOOKUP($C12,难度推算表,副本难度推算!$M$3,FALSE)*副本难度推算!$Y$6*Q12</f>
        <v>1135.938545762403</v>
      </c>
      <c r="I12" s="72">
        <f>VLOOKUP($C12,难度推算表,副本难度推算!$P$3,FALSE)*副本难度推算!$Z$6*$R12+VLOOKUP($C12,难度推算表,副本难度推算!$H$3,FALSE)</f>
        <v>69.642381932773134</v>
      </c>
      <c r="J12" s="72">
        <f>VLOOKUP($C12,难度推算表,副本难度推算!$G$3,FALSE)-VLOOKUP($C12,难度推算表,副本难度推算!$I$3,FALSE)*(2-副本难度推算!$AA$6)*(2-$S12)</f>
        <v>37.065600000000018</v>
      </c>
      <c r="K12" s="72">
        <f>VLOOKUP($C12,难度推算表,副本难度推算!$M$3,FALSE)*副本难度推算!$Y$7*Q12</f>
        <v>3549.8079555075096</v>
      </c>
      <c r="L12" s="72">
        <f>VLOOKUP($C12,难度推算表,副本难度推算!$P$3,FALSE)*副本难度推算!$Z$7*$R12+VLOOKUP($C12,难度推算表,副本难度推算!$H$3,FALSE)</f>
        <v>76.382909243697497</v>
      </c>
      <c r="M12" s="72">
        <f>VLOOKUP($C12,难度推算表,副本难度推算!$G$3,FALSE)-VLOOKUP($C12,难度推算表,副本难度推算!$I$3,FALSE)*(2-副本难度推算!$AA$7)*(2-$S12)</f>
        <v>61.77600000000001</v>
      </c>
      <c r="N12" s="2">
        <f>VLOOKUP($C12,难度推算表,副本难度推算!$Q$3,FALSE)</f>
        <v>807.42399999999998</v>
      </c>
      <c r="O12" s="2">
        <f>VLOOKUP($C12,难度推算表,副本难度推算!$R$3,FALSE)</f>
        <v>0</v>
      </c>
      <c r="Q12" s="46">
        <v>1.36</v>
      </c>
      <c r="R12" s="46">
        <v>1</v>
      </c>
      <c r="S12" s="46">
        <v>1</v>
      </c>
      <c r="T12">
        <f>SUMPRODUCT(K12:M12,[2]各种公式!$C$13:$E$13)</f>
        <v>280.15122746399788</v>
      </c>
    </row>
    <row r="13" spans="2:20">
      <c r="B13" t="str">
        <f>怪物并表!$R$7</f>
        <v>普通副本</v>
      </c>
      <c r="C13" s="2">
        <f>怪物信息表!B13</f>
        <v>9</v>
      </c>
      <c r="D13" s="50">
        <f>怪物信息表!C13</f>
        <v>1008</v>
      </c>
      <c r="E13" s="72">
        <f>VLOOKUP($C13,难度推算表,副本难度推算!$M$3,FALSE)*副本难度推算!$Y$5*Q13</f>
        <v>1828.1715738897817</v>
      </c>
      <c r="F13" s="72">
        <f>VLOOKUP($C13,难度推算表,副本难度推算!$P$3,FALSE)*副本难度推算!$Z$5*$R13+VLOOKUP($C13,难度推算表,副本难度推算!$H$3,FALSE)</f>
        <v>91.771683632457041</v>
      </c>
      <c r="G13" s="72">
        <f>VLOOKUP($C13,难度推算表,副本难度推算!$G$3,FALSE)-VLOOKUP($C13,难度推算表,副本难度推算!$I$3,FALSE)*(2-副本难度推算!$AA$5)*(2-$S13)</f>
        <v>62.067547826086951</v>
      </c>
      <c r="H13" s="72">
        <f>VLOOKUP($C13,难度推算表,副本难度推算!$M$3,FALSE)*副本难度推算!$Y$6*Q13</f>
        <v>1462.5372591118253</v>
      </c>
      <c r="I13" s="72">
        <f>VLOOKUP($C13,难度推算表,副本难度推算!$P$3,FALSE)*副本难度推算!$Z$6*$R13+VLOOKUP($C13,难度推算表,副本难度推算!$H$3,FALSE)</f>
        <v>88.80127005182004</v>
      </c>
      <c r="J13" s="72">
        <f>VLOOKUP($C13,难度推算表,副本难度推算!$G$3,FALSE)-VLOOKUP($C13,难度推算表,副本难度推算!$I$3,FALSE)*(2-副本难度推算!$AA$6)*(2-$S13)</f>
        <v>46.55066086956522</v>
      </c>
      <c r="K13" s="72">
        <f>VLOOKUP($C13,难度推算表,副本难度推算!$M$3,FALSE)*副本难度推算!$Y$7*Q13</f>
        <v>4570.4289347244539</v>
      </c>
      <c r="L13" s="72">
        <f>VLOOKUP($C13,难度推算表,副本难度推算!$P$3,FALSE)*副本难度推算!$Z$7*$R13+VLOOKUP($C13,难度推算表,副本难度推算!$H$3,FALSE)</f>
        <v>97.712510793731056</v>
      </c>
      <c r="M13" s="72">
        <f>VLOOKUP($C13,难度推算表,副本难度推算!$G$3,FALSE)-VLOOKUP($C13,难度推算表,副本难度推算!$I$3,FALSE)*(2-副本难度推算!$AA$7)*(2-$S13)</f>
        <v>77.584434782608696</v>
      </c>
      <c r="N13" s="2">
        <f>VLOOKUP($C13,难度推算表,副本难度推算!$Q$3,FALSE)</f>
        <v>865.65200000000004</v>
      </c>
      <c r="O13" s="2">
        <f>VLOOKUP($C13,难度推算表,副本难度推算!$R$3,FALSE)</f>
        <v>0</v>
      </c>
      <c r="Q13" s="46">
        <v>1.34</v>
      </c>
      <c r="R13" s="46">
        <v>1</v>
      </c>
      <c r="S13" s="46">
        <v>1</v>
      </c>
      <c r="T13">
        <f>SUMPRODUCT(K13:M13,[2]各种公式!$C$13:$E$13)</f>
        <v>358.1141029653179</v>
      </c>
    </row>
    <row r="14" spans="2:20" s="102" customFormat="1">
      <c r="B14" s="102" t="str">
        <f>怪物并表!$R$7</f>
        <v>普通副本</v>
      </c>
      <c r="C14" s="103">
        <f>怪物信息表!B14</f>
        <v>10</v>
      </c>
      <c r="D14" s="104">
        <f>怪物信息表!C14</f>
        <v>1009</v>
      </c>
      <c r="E14" s="105">
        <f>VLOOKUP($C14,难度推算表,副本难度推算!$M$3,FALSE)*副本难度推算!$Y$5*Q14</f>
        <v>2159.6144201298184</v>
      </c>
      <c r="F14" s="105">
        <f>VLOOKUP($C14,难度推算表,副本难度推算!$P$3,FALSE)*副本难度推算!$Z$5*$R14+VLOOKUP($C14,难度推算表,副本难度推算!$H$3,FALSE)</f>
        <v>121.46732192414434</v>
      </c>
      <c r="G14" s="105">
        <f>VLOOKUP($C14,难度推算表,副本难度推算!$G$3,FALSE)-VLOOKUP($C14,难度推算表,副本难度推算!$I$3,FALSE)*(2-副本难度推算!$AA$5)*(2-$S14)</f>
        <v>94.695652173913061</v>
      </c>
      <c r="H14" s="105">
        <f>VLOOKUP($C14,难度推算表,副本难度推算!$M$3,FALSE)*副本难度推算!$Y$6*Q14</f>
        <v>1727.691536103855</v>
      </c>
      <c r="I14" s="105">
        <f>VLOOKUP($C14,难度推算表,副本难度推算!$P$3,FALSE)*副本难度推算!$Z$6*$R14+VLOOKUP($C14,难度推算表,副本难度推算!$H$3,FALSE)</f>
        <v>116.89624190564297</v>
      </c>
      <c r="J14" s="105">
        <f>VLOOKUP($C14,难度推算表,副本难度推算!$G$3,FALSE)-VLOOKUP($C14,难度推算表,副本难度推算!$I$3,FALSE)*(2-副本难度推算!$AA$6)*(2-$S14)</f>
        <v>79.544347826086977</v>
      </c>
      <c r="K14" s="105">
        <f>VLOOKUP($C14,难度推算表,副本难度推算!$M$3,FALSE)*副本难度推算!$Y$7*Q14</f>
        <v>5399.0360503245465</v>
      </c>
      <c r="L14" s="105">
        <f>VLOOKUP($C14,难度推算表,副本难度推算!$P$3,FALSE)*副本难度推算!$Z$7*$R14+VLOOKUP($C14,难度推算表,副本难度推算!$H$3,FALSE)</f>
        <v>130.60948196114711</v>
      </c>
      <c r="M14" s="105">
        <f>VLOOKUP($C14,难度推算表,副本难度推算!$G$3,FALSE)-VLOOKUP($C14,难度推算表,副本难度推算!$I$3,FALSE)*(2-副本难度推算!$AA$7)*(2-$S14)</f>
        <v>109.84695652173914</v>
      </c>
      <c r="N14" s="103">
        <f>VLOOKUP($C14,难度推算表,副本难度推算!$Q$3,FALSE)</f>
        <v>923.88</v>
      </c>
      <c r="O14" s="103">
        <f>VLOOKUP($C14,难度推算表,副本难度推算!$R$3,FALSE)</f>
        <v>0</v>
      </c>
      <c r="Q14" s="46">
        <v>1.25</v>
      </c>
      <c r="R14" s="46">
        <v>1.2</v>
      </c>
      <c r="S14" s="106">
        <v>1.2</v>
      </c>
      <c r="T14">
        <f>SUMPRODUCT(K14:M14,[2]各种公式!$C$13:$E$13)</f>
        <v>456.41788049586808</v>
      </c>
    </row>
    <row r="15" spans="2:20">
      <c r="B15" t="str">
        <f>怪物并表!$R$7</f>
        <v>普通副本</v>
      </c>
      <c r="C15" s="2">
        <f>怪物信息表!B15</f>
        <v>11</v>
      </c>
      <c r="D15" s="50">
        <f>怪物信息表!C15</f>
        <v>2001</v>
      </c>
      <c r="E15" s="72">
        <f>VLOOKUP($C15,难度推算表,副本难度推算!$M$3,FALSE)*副本难度推算!$Y$5*Q15</f>
        <v>2456.4171312705103</v>
      </c>
      <c r="F15" s="72">
        <f>VLOOKUP($C15,难度推算表,副本难度推算!$P$3,FALSE)*副本难度推算!$Z$5*$R15+VLOOKUP($C15,难度推算表,副本难度推算!$H$3,FALSE)</f>
        <v>138.20964070035379</v>
      </c>
      <c r="G15" s="72">
        <f>VLOOKUP($C15,难度推算表,副本难度推算!$G$3,FALSE)-VLOOKUP($C15,难度推算表,副本难度推算!$I$3,FALSE)*(2-副本难度推算!$AA$5)*(2-$S15)</f>
        <v>90.48772173913045</v>
      </c>
      <c r="H15" s="72">
        <f>VLOOKUP($C15,难度推算表,副本难度推算!$M$3,FALSE)*副本难度推算!$Y$6*Q15</f>
        <v>1965.1337050164086</v>
      </c>
      <c r="I15" s="72">
        <f>VLOOKUP($C15,难度推算表,副本难度推算!$P$3,FALSE)*副本难度推算!$Z$6*$R15+VLOOKUP($C15,难度推算表,副本难度推算!$H$3,FALSE)</f>
        <v>133.43744880423145</v>
      </c>
      <c r="J15" s="72">
        <f>VLOOKUP($C15,难度推算表,副本难度推算!$G$3,FALSE)-VLOOKUP($C15,难度推算表,副本难度推算!$I$3,FALSE)*(2-副本难度推算!$AA$6)*(2-$S15)</f>
        <v>67.865791304347852</v>
      </c>
      <c r="K15" s="72">
        <f>VLOOKUP($C15,难度推算表,副本难度推算!$M$3,FALSE)*副本难度推算!$Y$7*Q15</f>
        <v>6141.0428281762761</v>
      </c>
      <c r="L15" s="72">
        <f>VLOOKUP($C15,难度推算表,副本难度推算!$P$3,FALSE)*副本难度推算!$Z$7*$R15+VLOOKUP($C15,难度推算表,副本难度推算!$H$3,FALSE)</f>
        <v>147.75402449259846</v>
      </c>
      <c r="M15" s="72">
        <f>VLOOKUP($C15,难度推算表,副本难度推算!$G$3,FALSE)-VLOOKUP($C15,难度推算表,副本难度推算!$I$3,FALSE)*(2-副本难度推算!$AA$7)*(2-$S15)</f>
        <v>113.10965217391305</v>
      </c>
      <c r="N15" s="2">
        <f>VLOOKUP($C15,难度推算表,副本难度推算!$Q$3,FALSE)</f>
        <v>982.10800000000006</v>
      </c>
      <c r="O15" s="2">
        <f>VLOOKUP($C15,难度推算表,副本难度推算!$R$3,FALSE)</f>
        <v>0</v>
      </c>
      <c r="Q15" s="46">
        <v>1.1499999999999999</v>
      </c>
      <c r="R15" s="46">
        <v>1</v>
      </c>
      <c r="S15" s="46">
        <v>1</v>
      </c>
      <c r="T15">
        <f>SUMPRODUCT(K15:M15,[2]各种公式!$C$13:$E$13)</f>
        <v>506.50538979356253</v>
      </c>
    </row>
    <row r="16" spans="2:20">
      <c r="B16" t="str">
        <f>怪物并表!$R$7</f>
        <v>普通副本</v>
      </c>
      <c r="C16" s="2">
        <f>怪物信息表!B16</f>
        <v>12</v>
      </c>
      <c r="D16" s="50">
        <f>怪物信息表!C16</f>
        <v>2002</v>
      </c>
      <c r="E16" s="72">
        <f>VLOOKUP($C16,难度推算表,副本难度推算!$M$3,FALSE)*副本难度推算!$Y$5*Q16</f>
        <v>2720.6335522776926</v>
      </c>
      <c r="F16" s="72">
        <f>VLOOKUP($C16,难度推算表,副本难度推算!$P$3,FALSE)*副本难度推算!$Z$5*$R16+VLOOKUP($C16,难度推算表,副本难度推算!$H$3,FALSE)</f>
        <v>164.94524077961023</v>
      </c>
      <c r="G16" s="72">
        <f>VLOOKUP($C16,难度推算表,副本难度推算!$G$3,FALSE)-VLOOKUP($C16,难度推算表,副本难度推算!$I$3,FALSE)*(2-副本难度推算!$AA$5)*(2-$S16)</f>
        <v>106.26114782608698</v>
      </c>
      <c r="H16" s="72">
        <f>VLOOKUP($C16,难度推算表,副本难度推算!$M$3,FALSE)*副本难度推算!$Y$6*Q16</f>
        <v>2176.506841822154</v>
      </c>
      <c r="I16" s="72">
        <f>VLOOKUP($C16,难度推算表,副本难度推算!$P$3,FALSE)*副本难度推算!$Z$6*$R16+VLOOKUP($C16,难度推算表,副本难度推算!$H$3,FALSE)</f>
        <v>159.07683148425792</v>
      </c>
      <c r="J16" s="72">
        <f>VLOOKUP($C16,难度推算表,副本难度推算!$G$3,FALSE)-VLOOKUP($C16,难度推算表,副本难度推算!$I$3,FALSE)*(2-副本难度推算!$AA$6)*(2-$S16)</f>
        <v>79.695860869565252</v>
      </c>
      <c r="K16" s="72">
        <f>VLOOKUP($C16,难度推算表,副本难度推算!$M$3,FALSE)*副本难度推算!$Y$7*Q16</f>
        <v>6801.5838806942311</v>
      </c>
      <c r="L16" s="72">
        <f>VLOOKUP($C16,难度推算表,副本难度推算!$P$3,FALSE)*副本难度推算!$Z$7*$R16+VLOOKUP($C16,难度推算表,副本难度推算!$H$3,FALSE)</f>
        <v>176.68205937031487</v>
      </c>
      <c r="M16" s="72">
        <f>VLOOKUP($C16,难度推算表,副本难度推算!$G$3,FALSE)-VLOOKUP($C16,难度推算表,副本难度推算!$I$3,FALSE)*(2-副本难度推算!$AA$7)*(2-$S16)</f>
        <v>132.82643478260871</v>
      </c>
      <c r="N16" s="2">
        <f>VLOOKUP($C16,难度推算表,副本难度推算!$Q$3,FALSE)</f>
        <v>1040.336</v>
      </c>
      <c r="O16" s="2">
        <f>VLOOKUP($C16,难度推算表,副本难度推算!$R$3,FALSE)</f>
        <v>0</v>
      </c>
      <c r="Q16" s="46">
        <v>1.05</v>
      </c>
      <c r="R16" s="46">
        <v>1</v>
      </c>
      <c r="S16" s="46">
        <v>1</v>
      </c>
      <c r="T16">
        <f>SUMPRODUCT(K16:M16,[2]各种公式!$C$13:$E$13)</f>
        <v>581.57184938069281</v>
      </c>
    </row>
    <row r="17" spans="2:20">
      <c r="B17" t="str">
        <f>怪物并表!$R$7</f>
        <v>普通副本</v>
      </c>
      <c r="C17" s="2">
        <f>怪物信息表!B17</f>
        <v>13</v>
      </c>
      <c r="D17" s="50">
        <f>怪物信息表!C17</f>
        <v>2003</v>
      </c>
      <c r="E17" s="72">
        <f>VLOOKUP($C17,难度推算表,副本难度推算!$M$3,FALSE)*副本难度推算!$Y$5*Q17</f>
        <v>3094.6851411110956</v>
      </c>
      <c r="F17" s="72">
        <f>VLOOKUP($C17,难度推算表,副本难度推算!$P$3,FALSE)*副本难度推算!$Z$5*$R17+VLOOKUP($C17,难度推算表,副本难度推算!$H$3,FALSE)</f>
        <v>194.14923017895876</v>
      </c>
      <c r="G17" s="72">
        <f>VLOOKUP($C17,难度推算表,副本难度推算!$G$3,FALSE)-VLOOKUP($C17,难度推算表,副本难度推算!$I$3,FALSE)*(2-副本难度推算!$AA$5)*(2-$S17)</f>
        <v>123.07679999999999</v>
      </c>
      <c r="H17" s="72">
        <f>VLOOKUP($C17,难度推算表,副本难度推算!$M$3,FALSE)*副本难度推算!$Y$6*Q17</f>
        <v>2475.7481128888767</v>
      </c>
      <c r="I17" s="72">
        <f>VLOOKUP($C17,难度推算表,副本难度推算!$P$3,FALSE)*副本难度推算!$Z$6*$R17+VLOOKUP($C17,难度推算表,副本难度推算!$H$3,FALSE)</f>
        <v>187.04198716106288</v>
      </c>
      <c r="J17" s="72">
        <f>VLOOKUP($C17,难度推算表,副本难度推算!$G$3,FALSE)-VLOOKUP($C17,难度推算表,副本难度推算!$I$3,FALSE)*(2-副本难度推算!$AA$6)*(2-$S17)</f>
        <v>92.307600000000008</v>
      </c>
      <c r="K17" s="72">
        <f>VLOOKUP($C17,难度推算表,副本难度推算!$M$3,FALSE)*副本难度推算!$Y$7*Q17</f>
        <v>7736.7128527777386</v>
      </c>
      <c r="L17" s="72">
        <f>VLOOKUP($C17,难度推算表,副本难度推算!$P$3,FALSE)*副本难度推算!$Z$7*$R17+VLOOKUP($C17,难度推算表,副本难度推算!$H$3,FALSE)</f>
        <v>208.36371621475053</v>
      </c>
      <c r="M17" s="72">
        <f>VLOOKUP($C17,难度推算表,副本难度推算!$G$3,FALSE)-VLOOKUP($C17,难度推算表,副本难度推算!$I$3,FALSE)*(2-副本难度推算!$AA$7)*(2-$S17)</f>
        <v>153.846</v>
      </c>
      <c r="N17" s="2">
        <f>VLOOKUP($C17,难度推算表,副本难度推算!$Q$3,FALSE)</f>
        <v>1098.5640000000001</v>
      </c>
      <c r="O17" s="2">
        <f>VLOOKUP($C17,难度推算表,副本难度推算!$R$3,FALSE)</f>
        <v>0</v>
      </c>
      <c r="Q17" s="46">
        <v>1</v>
      </c>
      <c r="R17" s="46">
        <v>1</v>
      </c>
      <c r="S17" s="46">
        <v>1</v>
      </c>
      <c r="T17">
        <f>SUMPRODUCT(K17:M17,[2]各种公式!$C$13:$E$13)</f>
        <v>671.67823032586011</v>
      </c>
    </row>
    <row r="18" spans="2:20">
      <c r="B18" t="str">
        <f>怪物并表!$R$7</f>
        <v>普通副本</v>
      </c>
      <c r="C18" s="2">
        <f>怪物信息表!B18</f>
        <v>14</v>
      </c>
      <c r="D18" s="50">
        <f>怪物信息表!C18</f>
        <v>2004</v>
      </c>
      <c r="E18" s="72">
        <f>VLOOKUP($C18,难度推算表,副本难度推算!$M$3,FALSE)*副本难度推算!$Y$5*Q18</f>
        <v>3648.6259147468172</v>
      </c>
      <c r="F18" s="72">
        <f>VLOOKUP($C18,难度推算表,副本难度推算!$P$3,FALSE)*副本难度推算!$Z$5*$R18+VLOOKUP($C18,难度推算表,副本难度推算!$H$3,FALSE)</f>
        <v>225.91763535219297</v>
      </c>
      <c r="G18" s="72">
        <f>VLOOKUP($C18,难度推算表,副本难度推算!$G$3,FALSE)-VLOOKUP($C18,难度推算表,副本难度推算!$I$3,FALSE)*(2-副本难度推算!$AA$5)*(2-$S18)</f>
        <v>140.93467826086962</v>
      </c>
      <c r="H18" s="72">
        <f>VLOOKUP($C18,难度推算表,副本难度推算!$M$3,FALSE)*副本难度推算!$Y$6*Q18</f>
        <v>2918.9007317974538</v>
      </c>
      <c r="I18" s="72">
        <f>VLOOKUP($C18,难度推算表,副本难度推算!$P$3,FALSE)*副本难度推算!$Z$6*$R18+VLOOKUP($C18,难度推算表,副本难度推算!$H$3,FALSE)</f>
        <v>217.41933964306065</v>
      </c>
      <c r="J18" s="72">
        <f>VLOOKUP($C18,难度推算表,副本难度推算!$G$3,FALSE)-VLOOKUP($C18,难度推算表,副本难度推算!$I$3,FALSE)*(2-副本难度推算!$AA$6)*(2-$S18)</f>
        <v>105.70100869565223</v>
      </c>
      <c r="K18" s="72">
        <f>VLOOKUP($C18,难度推算表,副本难度推算!$M$3,FALSE)*副本难度推算!$Y$7*Q18</f>
        <v>9121.5647868670421</v>
      </c>
      <c r="L18" s="72">
        <f>VLOOKUP($C18,难度推算表,副本难度推算!$P$3,FALSE)*副本难度推算!$Z$7*$R18+VLOOKUP($C18,难度推算表,副本难度推算!$H$3,FALSE)</f>
        <v>242.91422677045765</v>
      </c>
      <c r="M18" s="72">
        <f>VLOOKUP($C18,难度推算表,副本难度推算!$G$3,FALSE)-VLOOKUP($C18,难度推算表,副本难度推算!$I$3,FALSE)*(2-副本难度推算!$AA$7)*(2-$S18)</f>
        <v>176.168347826087</v>
      </c>
      <c r="N18" s="2">
        <f>VLOOKUP($C18,难度推算表,副本难度推算!$Q$3,FALSE)</f>
        <v>1156.7920000000001</v>
      </c>
      <c r="O18" s="2">
        <f>VLOOKUP($C18,难度推算表,副本难度推算!$R$3,FALSE)</f>
        <v>0</v>
      </c>
      <c r="Q18" s="46">
        <v>1</v>
      </c>
      <c r="R18" s="46">
        <v>1</v>
      </c>
      <c r="S18" s="46">
        <v>1</v>
      </c>
      <c r="T18">
        <f>SUMPRODUCT(K18:M18,[2]各种公式!$C$13:$E$13)</f>
        <v>783.94516607122637</v>
      </c>
    </row>
    <row r="19" spans="2:20">
      <c r="B19" t="str">
        <f>怪物并表!$R$7</f>
        <v>普通副本</v>
      </c>
      <c r="C19" s="2">
        <f>怪物信息表!B19</f>
        <v>15</v>
      </c>
      <c r="D19" s="50">
        <f>怪物信息表!C19</f>
        <v>2005</v>
      </c>
      <c r="E19" s="72">
        <f>VLOOKUP($C19,难度推算表,副本难度推算!$M$3,FALSE)*副本难度推算!$Y$5*Q19</f>
        <v>4254.6896346215126</v>
      </c>
      <c r="F19" s="72">
        <f>VLOOKUP($C19,难度推算表,副本难度推算!$P$3,FALSE)*副本难度推算!$Z$5*$R19+VLOOKUP($C19,难度推算表,副本难度推算!$H$3,FALSE)</f>
        <v>260.34901531892024</v>
      </c>
      <c r="G19" s="72">
        <f>VLOOKUP($C19,难度推算表,副本难度推算!$G$3,FALSE)-VLOOKUP($C19,难度推算表,副本难度推算!$I$3,FALSE)*(2-副本难度推算!$AA$5)*(2-$S19)</f>
        <v>159.83478260869569</v>
      </c>
      <c r="H19" s="72">
        <f>VLOOKUP($C19,难度推算表,副本难度推算!$M$3,FALSE)*副本难度推算!$Y$6*Q19</f>
        <v>3403.7517076972103</v>
      </c>
      <c r="I19" s="72">
        <f>VLOOKUP($C19,难度推算表,副本难度推算!$P$3,FALSE)*副本难度推算!$Z$6*$R19+VLOOKUP($C19,难度推算表,副本难度推算!$H$3,FALSE)</f>
        <v>250.29759204789778</v>
      </c>
      <c r="J19" s="72">
        <f>VLOOKUP($C19,难度推算表,副本难度推算!$G$3,FALSE)-VLOOKUP($C19,难度推算表,副本难度推算!$I$3,FALSE)*(2-副本难度推算!$AA$6)*(2-$S19)</f>
        <v>119.87608695652179</v>
      </c>
      <c r="K19" s="72">
        <f>VLOOKUP($C19,难度推算表,副本难度推算!$M$3,FALSE)*副本难度推算!$Y$7*Q19</f>
        <v>10636.724086553782</v>
      </c>
      <c r="L19" s="72">
        <f>VLOOKUP($C19,难度推算表,副本难度推算!$P$3,FALSE)*副本难度推算!$Z$7*$R19+VLOOKUP($C19,难度推算表,副本难度推算!$H$3,FALSE)</f>
        <v>280.45186186096515</v>
      </c>
      <c r="M19" s="72">
        <f>VLOOKUP($C19,难度推算表,副本难度推算!$G$3,FALSE)-VLOOKUP($C19,难度推算表,副本难度推算!$I$3,FALSE)*(2-副本难度推算!$AA$7)*(2-$S19)</f>
        <v>199.79347826086959</v>
      </c>
      <c r="N19" s="2">
        <f>VLOOKUP($C19,难度推算表,副本难度推算!$Q$3,FALSE)</f>
        <v>1215.02</v>
      </c>
      <c r="O19" s="2">
        <f>VLOOKUP($C19,难度推算表,副本难度推算!$R$3,FALSE)</f>
        <v>0</v>
      </c>
      <c r="Q19" s="46">
        <v>1</v>
      </c>
      <c r="R19" s="46">
        <v>1</v>
      </c>
      <c r="S19" s="46">
        <v>1</v>
      </c>
      <c r="T19">
        <f>SUMPRODUCT(K19:M19,[2]各种公式!$C$13:$E$13)</f>
        <v>905.71430358398607</v>
      </c>
    </row>
    <row r="20" spans="2:20">
      <c r="B20" t="str">
        <f>怪物并表!$R$7</f>
        <v>普通副本</v>
      </c>
      <c r="C20" s="2">
        <f>怪物信息表!B20</f>
        <v>16</v>
      </c>
      <c r="D20" s="50">
        <f>怪物信息表!C20</f>
        <v>2006</v>
      </c>
      <c r="E20" s="72">
        <f>VLOOKUP($C20,难度推算表,副本难度推算!$M$3,FALSE)*副本难度推算!$Y$5*Q20</f>
        <v>4914.6568278260884</v>
      </c>
      <c r="F20" s="72">
        <f>VLOOKUP($C20,难度推算表,副本难度推算!$P$3,FALSE)*副本难度推算!$Z$5*$R20+VLOOKUP($C20,难度推算表,副本难度推算!$H$3,FALSE)</f>
        <v>297.54454570988844</v>
      </c>
      <c r="G20" s="72">
        <f>VLOOKUP($C20,难度推算表,副本难度推算!$G$3,FALSE)-VLOOKUP($C20,难度推算表,副本难度推算!$I$3,FALSE)*(2-副本难度推算!$AA$5)*(2-$S20)</f>
        <v>179.77711304347829</v>
      </c>
      <c r="H20" s="72">
        <f>VLOOKUP($C20,难度推算表,副本难度推算!$M$3,FALSE)*副本难度推算!$Y$6*Q20</f>
        <v>3931.7254622608707</v>
      </c>
      <c r="I20" s="72">
        <f>VLOOKUP($C20,难度推算表,副本难度推算!$P$3,FALSE)*副本难度推算!$Z$6*$R20+VLOOKUP($C20,难度推算表,副本难度推算!$H$3,FALSE)</f>
        <v>285.76780244324743</v>
      </c>
      <c r="J20" s="72">
        <f>VLOOKUP($C20,难度推算表,副本难度推算!$G$3,FALSE)-VLOOKUP($C20,难度推算表,副本难度推算!$I$3,FALSE)*(2-副本难度推算!$AA$6)*(2-$S20)</f>
        <v>134.83283478260876</v>
      </c>
      <c r="K20" s="72">
        <f>VLOOKUP($C20,难度推算表,副本难度推算!$M$3,FALSE)*副本难度推算!$Y$7*Q20</f>
        <v>12286.642069565221</v>
      </c>
      <c r="L20" s="72">
        <f>VLOOKUP($C20,难度推算表,副本难度推算!$P$3,FALSE)*副本难度推算!$Z$7*$R20+VLOOKUP($C20,难度推算表,副本难度推算!$H$3,FALSE)</f>
        <v>321.09803224317045</v>
      </c>
      <c r="M20" s="72">
        <f>VLOOKUP($C20,难度推算表,副本难度推算!$G$3,FALSE)-VLOOKUP($C20,难度推算表,副本难度推算!$I$3,FALSE)*(2-副本难度推算!$AA$7)*(2-$S20)</f>
        <v>224.72139130434786</v>
      </c>
      <c r="N20" s="2">
        <f>VLOOKUP($C20,难度推算表,副本难度推算!$Q$3,FALSE)</f>
        <v>1273.248</v>
      </c>
      <c r="O20" s="2">
        <f>VLOOKUP($C20,难度推算表,副本难度推算!$R$3,FALSE)</f>
        <v>0</v>
      </c>
      <c r="Q20" s="46">
        <v>1</v>
      </c>
      <c r="R20" s="46">
        <v>1</v>
      </c>
      <c r="S20" s="46">
        <v>1</v>
      </c>
      <c r="T20">
        <f>SUMPRODUCT(K20:M20,[2]各种公式!$C$13:$E$13)</f>
        <v>1037.2851063301271</v>
      </c>
    </row>
    <row r="21" spans="2:20">
      <c r="B21" t="str">
        <f>怪物并表!$R$7</f>
        <v>普通副本</v>
      </c>
      <c r="C21" s="2">
        <f>怪物信息表!B21</f>
        <v>17</v>
      </c>
      <c r="D21" s="50">
        <f>怪物信息表!C21</f>
        <v>2007</v>
      </c>
      <c r="E21" s="72">
        <f>VLOOKUP($C21,难度推算表,副本难度推算!$M$3,FALSE)*副本难度推算!$Y$5*Q21</f>
        <v>5630.3005709109411</v>
      </c>
      <c r="F21" s="72">
        <f>VLOOKUP($C21,难度推算表,副本难度推算!$P$3,FALSE)*副本难度推算!$Z$5*$R21+VLOOKUP($C21,难度推算表,副本难度推算!$H$3,FALSE)</f>
        <v>337.60810618161133</v>
      </c>
      <c r="G21" s="72">
        <f>VLOOKUP($C21,难度推算表,副本难度推算!$G$3,FALSE)-VLOOKUP($C21,难度推算表,副本难度推算!$I$3,FALSE)*(2-副本难度推算!$AA$5)*(2-$S21)</f>
        <v>200.76166956521743</v>
      </c>
      <c r="H21" s="72">
        <f>VLOOKUP($C21,难度推算表,副本难度推算!$M$3,FALSE)*副本难度推算!$Y$6*Q21</f>
        <v>4504.2404567287531</v>
      </c>
      <c r="I21" s="72">
        <f>VLOOKUP($C21,难度推算表,副本难度推算!$P$3,FALSE)*副本难度推算!$Z$6*$R21+VLOOKUP($C21,难度推算表,副本难度推算!$H$3,FALSE)</f>
        <v>323.92346251997196</v>
      </c>
      <c r="J21" s="72">
        <f>VLOOKUP($C21,难度推算表,副本难度推算!$G$3,FALSE)-VLOOKUP($C21,难度推算表,副本难度推算!$I$3,FALSE)*(2-副本难度推算!$AA$6)*(2-$S21)</f>
        <v>150.57125217391308</v>
      </c>
      <c r="K21" s="72">
        <f>VLOOKUP($C21,难度推算表,副本难度推算!$M$3,FALSE)*副本难度推算!$Y$7*Q21</f>
        <v>14075.751427277353</v>
      </c>
      <c r="L21" s="72">
        <f>VLOOKUP($C21,难度推算表,副本难度推算!$P$3,FALSE)*副本难度推算!$Z$7*$R21+VLOOKUP($C21,难度推算表,副本难度推算!$H$3,FALSE)</f>
        <v>364.97739350489007</v>
      </c>
      <c r="M21" s="72">
        <f>VLOOKUP($C21,难度推算表,副本难度推算!$G$3,FALSE)-VLOOKUP($C21,难度推算表,副本难度推算!$I$3,FALSE)*(2-副本难度推算!$AA$7)*(2-$S21)</f>
        <v>250.95208695652175</v>
      </c>
      <c r="N21" s="2">
        <f>VLOOKUP($C21,难度推算表,副本难度推算!$Q$3,FALSE)</f>
        <v>1331.4760000000001</v>
      </c>
      <c r="O21" s="2">
        <f>VLOOKUP($C21,难度推算表,副本难度推算!$R$3,FALSE)</f>
        <v>0</v>
      </c>
      <c r="Q21" s="46">
        <v>1</v>
      </c>
      <c r="R21" s="46">
        <v>1</v>
      </c>
      <c r="S21" s="46">
        <v>1</v>
      </c>
      <c r="T21">
        <f>SUMPRODUCT(K21:M21,[2]各种公式!$C$13:$E$13)</f>
        <v>1178.9595375525059</v>
      </c>
    </row>
    <row r="22" spans="2:20">
      <c r="B22" t="str">
        <f>怪物并表!$R$7</f>
        <v>普通副本</v>
      </c>
      <c r="C22" s="2">
        <f>怪物信息表!B22</f>
        <v>18</v>
      </c>
      <c r="D22" s="50">
        <f>怪物信息表!C22</f>
        <v>2008</v>
      </c>
      <c r="E22" s="72">
        <f>VLOOKUP($C22,难度推算表,副本难度推算!$M$3,FALSE)*副本难度推算!$Y$5*Q22</f>
        <v>6403.3864898100719</v>
      </c>
      <c r="F22" s="72">
        <f>VLOOKUP($C22,难度推算表,副本难度推算!$P$3,FALSE)*副本难度推算!$Z$5*$R22+VLOOKUP($C22,难度推算表,副本难度推算!$H$3,FALSE)</f>
        <v>380.64637135893952</v>
      </c>
      <c r="G22" s="72">
        <f>VLOOKUP($C22,难度推算表,副本难度推算!$G$3,FALSE)-VLOOKUP($C22,难度推算表,副本难度推算!$I$3,FALSE)*(2-副本难度推算!$AA$5)*(2-$S22)</f>
        <v>222.78845217391313</v>
      </c>
      <c r="H22" s="72">
        <f>VLOOKUP($C22,难度推算表,副本难度推算!$M$3,FALSE)*副本难度推算!$Y$6*Q22</f>
        <v>5122.7091918480583</v>
      </c>
      <c r="I22" s="72">
        <f>VLOOKUP($C22,难度推算表,副本难度推算!$P$3,FALSE)*副本难度推算!$Z$6*$R22+VLOOKUP($C22,难度推算表,副本难度推算!$H$3,FALSE)</f>
        <v>364.86057944043688</v>
      </c>
      <c r="J22" s="72">
        <f>VLOOKUP($C22,难度推算表,副本难度推算!$G$3,FALSE)-VLOOKUP($C22,难度推算表,副本难度推算!$I$3,FALSE)*(2-副本难度推算!$AA$6)*(2-$S22)</f>
        <v>167.09133913043485</v>
      </c>
      <c r="K22" s="72">
        <f>VLOOKUP($C22,难度推算表,副本难度推算!$M$3,FALSE)*副本难度推算!$Y$7*Q22</f>
        <v>16008.46622452518</v>
      </c>
      <c r="L22" s="72">
        <f>VLOOKUP($C22,难度推算表,副本难度推算!$P$3,FALSE)*副本难度推算!$Z$7*$R22+VLOOKUP($C22,难度推算表,副本难度推算!$H$3,FALSE)</f>
        <v>412.2179551959448</v>
      </c>
      <c r="M22" s="72">
        <f>VLOOKUP($C22,难度推算表,副本难度推算!$G$3,FALSE)-VLOOKUP($C22,难度推算表,副本难度推算!$I$3,FALSE)*(2-副本难度推算!$AA$7)*(2-$S22)</f>
        <v>278.48556521739141</v>
      </c>
      <c r="N22" s="2">
        <f>VLOOKUP($C22,难度推算表,副本难度推算!$Q$3,FALSE)</f>
        <v>1389.704</v>
      </c>
      <c r="O22" s="2">
        <f>VLOOKUP($C22,难度推算表,副本难度推算!$R$3,FALSE)</f>
        <v>0</v>
      </c>
      <c r="Q22" s="46">
        <v>1</v>
      </c>
      <c r="R22" s="46">
        <v>1</v>
      </c>
      <c r="S22" s="46">
        <v>1</v>
      </c>
      <c r="T22">
        <f>SUMPRODUCT(K22:M22,[2]各种公式!$C$13:$E$13)</f>
        <v>1331.0421693943435</v>
      </c>
    </row>
    <row r="23" spans="2:20" s="102" customFormat="1">
      <c r="B23" s="102" t="str">
        <f>怪物并表!$R$7</f>
        <v>普通副本</v>
      </c>
      <c r="C23" s="103">
        <f>怪物信息表!B23</f>
        <v>19</v>
      </c>
      <c r="D23" s="104">
        <f>怪物信息表!C23</f>
        <v>2009</v>
      </c>
      <c r="E23" s="105">
        <f>VLOOKUP($C23,难度推算表,副本难度推算!$M$3,FALSE)*副本难度推算!$Y$5*Q23</f>
        <v>8682.8074796320798</v>
      </c>
      <c r="F23" s="105">
        <f>VLOOKUP($C23,难度推算表,副本难度推算!$P$3,FALSE)*副本难度推算!$Z$5*$R23+VLOOKUP($C23,难度推算表,副本难度推算!$H$3,FALSE)</f>
        <v>462.95119439346365</v>
      </c>
      <c r="G23" s="105">
        <f>VLOOKUP($C23,难度推算表,副本难度推算!$G$3,FALSE)-VLOOKUP($C23,难度推算表,副本难度推算!$I$3,FALSE)*(2-副本难度推算!$AA$5)*(2-$S23)</f>
        <v>307.32182608695666</v>
      </c>
      <c r="H23" s="105">
        <f>VLOOKUP($C23,难度推算表,副本难度推算!$M$3,FALSE)*副本难度推算!$Y$6*Q23</f>
        <v>6946.2459837056649</v>
      </c>
      <c r="I23" s="105">
        <f>VLOOKUP($C23,难度推算表,副本难度推算!$P$3,FALSE)*副本难度推算!$Z$6*$R23+VLOOKUP($C23,难度推算表,副本难度推算!$H$3,FALSE)</f>
        <v>441.24182104107376</v>
      </c>
      <c r="J23" s="105">
        <f>VLOOKUP($C23,难度推算表,副本难度推算!$G$3,FALSE)-VLOOKUP($C23,难度推算表,副本难度推算!$I$3,FALSE)*(2-副本难度推算!$AA$6)*(2-$S23)</f>
        <v>258.1503339130436</v>
      </c>
      <c r="K23" s="105">
        <f>VLOOKUP($C23,难度推算表,副本难度推算!$M$3,FALSE)*副本难度推算!$Y$7*Q23</f>
        <v>21707.018699080199</v>
      </c>
      <c r="L23" s="105">
        <f>VLOOKUP($C23,难度推算表,副本难度推算!$P$3,FALSE)*副本难度推算!$Z$7*$R23+VLOOKUP($C23,难度推算表,副本难度推算!$H$3,FALSE)</f>
        <v>506.36994109824332</v>
      </c>
      <c r="M23" s="105">
        <f>VLOOKUP($C23,难度推算表,副本难度推算!$G$3,FALSE)-VLOOKUP($C23,难度推算表,副本难度推算!$I$3,FALSE)*(2-副本难度推算!$AA$7)*(2-$S23)</f>
        <v>356.49331826086967</v>
      </c>
      <c r="N23" s="103">
        <f>VLOOKUP($C23,难度推算表,副本难度推算!$Q$3,FALSE)</f>
        <v>1447.932</v>
      </c>
      <c r="O23" s="103">
        <f>VLOOKUP($C23,难度推算表,副本难度推算!$R$3,FALSE)</f>
        <v>0</v>
      </c>
      <c r="Q23" s="46">
        <v>1.2</v>
      </c>
      <c r="R23" s="46">
        <v>1.2</v>
      </c>
      <c r="S23" s="106">
        <v>1.2</v>
      </c>
      <c r="T23">
        <f>SUMPRODUCT(K23:M23,[2]各种公式!$C$13:$E$13)</f>
        <v>1731.1440073223212</v>
      </c>
    </row>
    <row r="24" spans="2:20">
      <c r="B24" t="str">
        <f>怪物并表!$R$7</f>
        <v>普通副本</v>
      </c>
      <c r="C24" s="2">
        <f>怪物信息表!B24</f>
        <v>20</v>
      </c>
      <c r="D24" s="50">
        <f>怪物信息表!C24</f>
        <v>3001</v>
      </c>
      <c r="E24" s="72">
        <f>VLOOKUP($C24,难度推算表,副本难度推算!$M$3,FALSE)*副本难度推算!$Y$5*Q24</f>
        <v>8128.911025210582</v>
      </c>
      <c r="F24" s="72">
        <f>VLOOKUP($C24,难度推算表,副本难度推算!$P$3,FALSE)*副本难度推算!$Z$5*$R24+VLOOKUP($C24,难度推算表,副本难度推算!$H$3,FALSE)</f>
        <v>476.08826086956532</v>
      </c>
      <c r="G24" s="72">
        <f>VLOOKUP($C24,难度推算表,副本难度推算!$G$3,FALSE)-VLOOKUP($C24,难度推算表,副本难度推算!$I$3,FALSE)*(2-副本难度推算!$AA$5)*(2-$S24)</f>
        <v>269.96869565217401</v>
      </c>
      <c r="H24" s="72">
        <f>VLOOKUP($C24,难度推算表,副本难度推算!$M$3,FALSE)*副本难度推算!$Y$6*Q24</f>
        <v>6503.1288201684656</v>
      </c>
      <c r="I24" s="72">
        <f>VLOOKUP($C24,难度推算表,副本难度推算!$P$3,FALSE)*副本难度推算!$Z$6*$R24+VLOOKUP($C24,难度推算表,副本难度推算!$H$3,FALSE)</f>
        <v>455.47630434782616</v>
      </c>
      <c r="J24" s="72">
        <f>VLOOKUP($C24,难度推算表,副本难度推算!$G$3,FALSE)-VLOOKUP($C24,难度推算表,副本难度推算!$I$3,FALSE)*(2-副本难度推算!$AA$6)*(2-$S24)</f>
        <v>202.47652173913053</v>
      </c>
      <c r="K24" s="72">
        <f>VLOOKUP($C24,难度推算表,副本难度推算!$M$3,FALSE)*副本难度推算!$Y$7*Q24</f>
        <v>20322.277563026455</v>
      </c>
      <c r="L24" s="72">
        <f>VLOOKUP($C24,难度推算表,副本难度推算!$P$3,FALSE)*副本难度推算!$Z$7*$R24+VLOOKUP($C24,难度推算表,副本难度推算!$H$3,FALSE)</f>
        <v>517.31217391304358</v>
      </c>
      <c r="M24" s="72">
        <f>VLOOKUP($C24,难度推算表,副本难度推算!$G$3,FALSE)-VLOOKUP($C24,难度推算表,副本难度推算!$I$3,FALSE)*(2-副本难度推算!$AA$7)*(2-$S24)</f>
        <v>337.46086956521748</v>
      </c>
      <c r="N24" s="2">
        <f>VLOOKUP($C24,难度推算表,副本难度推算!$Q$3,FALSE)</f>
        <v>1506.1599999999999</v>
      </c>
      <c r="O24" s="2">
        <f>VLOOKUP($C24,难度推算表,副本难度推算!$R$3,FALSE)</f>
        <v>0</v>
      </c>
      <c r="Q24" s="46">
        <v>1</v>
      </c>
      <c r="R24" s="46">
        <v>1</v>
      </c>
      <c r="S24" s="46">
        <v>1</v>
      </c>
      <c r="T24">
        <f>SUMPRODUCT(K24:M24,[2]各种公式!$C$13:$E$13)</f>
        <v>1667.6641459993193</v>
      </c>
    </row>
    <row r="25" spans="2:20">
      <c r="B25" t="str">
        <f>怪物并表!$R$7</f>
        <v>普通副本</v>
      </c>
      <c r="C25" s="2">
        <f>怪物信息表!B25</f>
        <v>21</v>
      </c>
      <c r="D25" s="50">
        <f>怪物信息表!C25</f>
        <v>3002</v>
      </c>
      <c r="E25" s="72">
        <f>VLOOKUP($C25,难度推算表,副本难度推算!$M$3,FALSE)*副本难度推算!$Y$5*Q25</f>
        <v>9084.8452642958327</v>
      </c>
      <c r="F25" s="72">
        <f>VLOOKUP($C25,难度推算表,副本难度推算!$P$3,FALSE)*副本难度推算!$Z$5*$R25+VLOOKUP($C25,难度推算表,副本难度推算!$H$3,FALSE)</f>
        <v>528.7200805778034</v>
      </c>
      <c r="G25" s="72">
        <f>VLOOKUP($C25,难度推算表,副本难度推算!$G$3,FALSE)-VLOOKUP($C25,难度推算表,副本难度推算!$I$3,FALSE)*(2-副本难度推算!$AA$5)*(2-$S25)</f>
        <v>295.12215652173927</v>
      </c>
      <c r="H25" s="72">
        <f>VLOOKUP($C25,难度推算表,副本难度推算!$M$3,FALSE)*副本难度推算!$Y$6*Q25</f>
        <v>7267.8762114366664</v>
      </c>
      <c r="I25" s="72">
        <f>VLOOKUP($C25,难度推算表,副本难度推算!$P$3,FALSE)*副本难度推算!$Z$6*$R25+VLOOKUP($C25,难度推算表,副本难度推算!$H$3,FALSE)</f>
        <v>505.36028817219699</v>
      </c>
      <c r="J25" s="72">
        <f>VLOOKUP($C25,难度推算表,副本难度推算!$G$3,FALSE)-VLOOKUP($C25,难度推算表,副本难度推算!$I$3,FALSE)*(2-副本难度推算!$AA$6)*(2-$S25)</f>
        <v>221.34161739130445</v>
      </c>
      <c r="K25" s="72">
        <f>VLOOKUP($C25,难度推算表,副本难度推算!$M$3,FALSE)*副本难度推算!$Y$7*Q25</f>
        <v>22712.11316073958</v>
      </c>
      <c r="L25" s="72">
        <f>VLOOKUP($C25,难度推算表,副本难度推算!$P$3,FALSE)*副本难度推算!$Z$7*$R25+VLOOKUP($C25,难度推算表,副本难度推算!$H$3,FALSE)</f>
        <v>575.43966538901623</v>
      </c>
      <c r="M25" s="72">
        <f>VLOOKUP($C25,难度推算表,副本难度推算!$G$3,FALSE)-VLOOKUP($C25,难度推算表,副本难度推算!$I$3,FALSE)*(2-副本难度推算!$AA$7)*(2-$S25)</f>
        <v>368.90269565217409</v>
      </c>
      <c r="N25" s="2">
        <f>VLOOKUP($C25,难度推算表,副本难度推算!$Q$3,FALSE)</f>
        <v>1564.3879999999999</v>
      </c>
      <c r="O25" s="2">
        <f>VLOOKUP($C25,难度推算表,副本难度推算!$R$3,FALSE)</f>
        <v>0</v>
      </c>
      <c r="Q25" s="46">
        <v>1</v>
      </c>
      <c r="R25" s="46">
        <v>1</v>
      </c>
      <c r="S25" s="46">
        <v>1</v>
      </c>
      <c r="T25">
        <f>SUMPRODUCT(K25:M25,[2]各种公式!$C$13:$E$13)</f>
        <v>1852.8268874707735</v>
      </c>
    </row>
    <row r="26" spans="2:20">
      <c r="B26" t="str">
        <f>怪物并表!$R$7</f>
        <v>普通副本</v>
      </c>
      <c r="C26" s="2">
        <f>怪物信息表!B26</f>
        <v>22</v>
      </c>
      <c r="D26" s="50">
        <f>怪物信息表!C26</f>
        <v>3003</v>
      </c>
      <c r="E26" s="72">
        <f>VLOOKUP($C26,难度推算表,副本难度推算!$M$3,FALSE)*副本难度推算!$Y$5*Q26</f>
        <v>10105.2134725859</v>
      </c>
      <c r="F26" s="72">
        <f>VLOOKUP($C26,难度推算表,副本难度推算!$P$3,FALSE)*副本难度推算!$Z$5*$R26+VLOOKUP($C26,难度推算表,副本难度推算!$H$3,FALSE)</f>
        <v>584.78320512923278</v>
      </c>
      <c r="G26" s="72">
        <f>VLOOKUP($C26,难度推算表,副本难度推算!$G$3,FALSE)-VLOOKUP($C26,难度推算表,副本难度推算!$I$3,FALSE)*(2-副本难度推算!$AA$5)*(2-$S26)</f>
        <v>321.31784347826095</v>
      </c>
      <c r="H26" s="72">
        <f>VLOOKUP($C26,难度推算表,副本难度推算!$M$3,FALSE)*副本难度推算!$Y$6*Q26</f>
        <v>8084.1707780687202</v>
      </c>
      <c r="I26" s="72">
        <f>VLOOKUP($C26,难度推算表,副本难度推算!$P$3,FALSE)*副本难度推算!$Z$6*$R26+VLOOKUP($C26,难度推算表,副本难度推算!$H$3,FALSE)</f>
        <v>558.43666896413561</v>
      </c>
      <c r="J26" s="72">
        <f>VLOOKUP($C26,难度推算表,副本难度推算!$G$3,FALSE)-VLOOKUP($C26,难度推算表,副本难度推算!$I$3,FALSE)*(2-副本难度推算!$AA$6)*(2-$S26)</f>
        <v>240.98838260869576</v>
      </c>
      <c r="K26" s="72">
        <f>VLOOKUP($C26,难度推算表,副本难度推算!$M$3,FALSE)*副本难度推算!$Y$7*Q26</f>
        <v>25263.033681464749</v>
      </c>
      <c r="L26" s="72">
        <f>VLOOKUP($C26,难度推算表,副本难度推算!$P$3,FALSE)*副本难度推算!$Z$7*$R26+VLOOKUP($C26,难度推算表,副本难度推算!$H$3,FALSE)</f>
        <v>637.47627745942714</v>
      </c>
      <c r="M26" s="72">
        <f>VLOOKUP($C26,难度推算表,副本难度推算!$G$3,FALSE)-VLOOKUP($C26,难度推算表,副本难度推算!$I$3,FALSE)*(2-副本难度推算!$AA$7)*(2-$S26)</f>
        <v>401.64730434782615</v>
      </c>
      <c r="N26" s="2">
        <f>VLOOKUP($C26,难度推算表,副本难度推算!$Q$3,FALSE)</f>
        <v>1622.616</v>
      </c>
      <c r="O26" s="2">
        <f>VLOOKUP($C26,难度推算表,副本难度推算!$R$3,FALSE)</f>
        <v>0</v>
      </c>
      <c r="Q26" s="46">
        <v>1</v>
      </c>
      <c r="R26" s="46">
        <v>1</v>
      </c>
      <c r="S26" s="46">
        <v>1</v>
      </c>
      <c r="T26">
        <f>SUMPRODUCT(K26:M26,[2]各种公式!$C$13:$E$13)</f>
        <v>2049.6449290658434</v>
      </c>
    </row>
    <row r="27" spans="2:20">
      <c r="B27" t="str">
        <f>怪物并表!$R$7</f>
        <v>普通副本</v>
      </c>
      <c r="C27" s="2">
        <f>怪物信息表!B27</f>
        <v>23</v>
      </c>
      <c r="D27" s="50">
        <f>怪物信息表!C27</f>
        <v>3004</v>
      </c>
      <c r="E27" s="72">
        <f>VLOOKUP($C27,难度推算表,副本难度推算!$M$3,FALSE)*副本难度推算!$Y$5*Q27</f>
        <v>11400.405805091281</v>
      </c>
      <c r="F27" s="72">
        <f>VLOOKUP($C27,难度推算表,副本难度推算!$P$3,FALSE)*副本难度推算!$Z$5*$R27+VLOOKUP($C27,难度推算表,副本难度推算!$H$3,FALSE)</f>
        <v>656.41395125097995</v>
      </c>
      <c r="G27" s="72">
        <f>VLOOKUP($C27,难度推算表,副本难度推算!$G$3,FALSE)-VLOOKUP($C27,难度推算表,副本难度推算!$I$3,FALSE)*(2-副本难度推算!$AA$5)*(2-$S27)</f>
        <v>355.05421806020081</v>
      </c>
      <c r="H27" s="72">
        <f>VLOOKUP($C27,难度推算表,副本难度推算!$M$3,FALSE)*副本难度推算!$Y$6*Q27</f>
        <v>9120.3246440730254</v>
      </c>
      <c r="I27" s="72">
        <f>VLOOKUP($C27,难度推算表,副本难度推算!$P$3,FALSE)*副本难度推算!$Z$6*$R27+VLOOKUP($C27,难度推算表,副本难度推算!$H$3,FALSE)</f>
        <v>626.27797793190211</v>
      </c>
      <c r="J27" s="72">
        <f>VLOOKUP($C27,难度推算表,副本难度推算!$G$3,FALSE)-VLOOKUP($C27,难度推算表,副本难度推算!$I$3,FALSE)*(2-副本难度推算!$AA$6)*(2-$S27)</f>
        <v>266.29066354515066</v>
      </c>
      <c r="K27" s="72">
        <f>VLOOKUP($C27,难度推算表,副本难度推算!$M$3,FALSE)*副本难度推算!$Y$7*Q27</f>
        <v>28501.014512728201</v>
      </c>
      <c r="L27" s="72">
        <f>VLOOKUP($C27,难度推算表,副本难度推算!$P$3,FALSE)*副本难度推算!$Z$7*$R27+VLOOKUP($C27,难度推算表,副本难度推算!$H$3,FALSE)</f>
        <v>716.68589788913573</v>
      </c>
      <c r="M27" s="72">
        <f>VLOOKUP($C27,难度推算表,副本难度推算!$G$3,FALSE)-VLOOKUP($C27,难度推算表,副本难度推算!$I$3,FALSE)*(2-副本难度推算!$AA$7)*(2-$S27)</f>
        <v>443.81777257525096</v>
      </c>
      <c r="N27" s="2">
        <f>VLOOKUP($C27,难度推算表,副本难度推算!$Q$3,FALSE)</f>
        <v>1680.8440000000001</v>
      </c>
      <c r="O27" s="2">
        <f>VLOOKUP($C27,难度推算表,副本难度推算!$R$3,FALSE)</f>
        <v>0</v>
      </c>
      <c r="Q27" s="46">
        <v>1</v>
      </c>
      <c r="R27" s="46">
        <v>1</v>
      </c>
      <c r="S27" s="46">
        <v>1</v>
      </c>
      <c r="T27">
        <f>SUMPRODUCT(K27:M27,[2]各种公式!$C$13:$E$13)</f>
        <v>2300.5442509735149</v>
      </c>
    </row>
    <row r="28" spans="2:20">
      <c r="B28" t="str">
        <f>怪物并表!$R$7</f>
        <v>普通副本</v>
      </c>
      <c r="C28" s="2">
        <f>怪物信息表!B28</f>
        <v>24</v>
      </c>
      <c r="D28" s="50">
        <f>怪物信息表!C28</f>
        <v>3005</v>
      </c>
      <c r="E28" s="72">
        <f>VLOOKUP($C28,难度推算表,副本难度推算!$M$3,FALSE)*副本难度推算!$Y$5*Q28</f>
        <v>12784.890390334218</v>
      </c>
      <c r="F28" s="72">
        <f>VLOOKUP($C28,难度推算表,副本难度推算!$P$3,FALSE)*副本难度推算!$Z$5*$R28+VLOOKUP($C28,难度推算表,副本难度推算!$H$3,FALSE)</f>
        <v>732.843169352671</v>
      </c>
      <c r="G28" s="72">
        <f>VLOOKUP($C28,难度推算表,副本难度推算!$G$3,FALSE)-VLOOKUP($C28,难度推算表,副本难度推算!$I$3,FALSE)*(2-副本难度推算!$AA$5)*(2-$S28)</f>
        <v>390.22666488294317</v>
      </c>
      <c r="H28" s="72">
        <f>VLOOKUP($C28,难度推算表,副本难度推算!$M$3,FALSE)*副本难度推算!$Y$6*Q28</f>
        <v>10227.912312267375</v>
      </c>
      <c r="I28" s="72">
        <f>VLOOKUP($C28,难度推算表,副本难度推算!$P$3,FALSE)*副本难度推算!$Z$6*$R28+VLOOKUP($C28,难度推算表,副本难度推算!$H$3,FALSE)</f>
        <v>698.5815189056982</v>
      </c>
      <c r="J28" s="72">
        <f>VLOOKUP($C28,难度推算表,副本难度推算!$G$3,FALSE)-VLOOKUP($C28,难度推算表,副本难度推算!$I$3,FALSE)*(2-副本难度推算!$AA$6)*(2-$S28)</f>
        <v>292.66999866220738</v>
      </c>
      <c r="K28" s="72">
        <f>VLOOKUP($C28,难度推算表,副本难度推算!$M$3,FALSE)*副本难度推算!$Y$7*Q28</f>
        <v>31962.225975835543</v>
      </c>
      <c r="L28" s="72">
        <f>VLOOKUP($C28,难度推算表,副本难度推算!$P$3,FALSE)*副本难度推算!$Z$7*$R28+VLOOKUP($C28,难度推算表,副本难度推算!$H$3,FALSE)</f>
        <v>801.36647024661647</v>
      </c>
      <c r="M28" s="72">
        <f>VLOOKUP($C28,难度推算表,副本难度推算!$G$3,FALSE)-VLOOKUP($C28,难度推算表,副本难度推算!$I$3,FALSE)*(2-副本难度推算!$AA$7)*(2-$S28)</f>
        <v>487.78333110367896</v>
      </c>
      <c r="N28" s="2">
        <f>VLOOKUP($C28,难度推算表,副本难度推算!$Q$3,FALSE)</f>
        <v>1739.0720000000001</v>
      </c>
      <c r="O28" s="2">
        <f>VLOOKUP($C28,难度推算表,副本难度推算!$R$3,FALSE)</f>
        <v>0</v>
      </c>
      <c r="Q28" s="46">
        <v>1</v>
      </c>
      <c r="R28" s="46">
        <v>1</v>
      </c>
      <c r="S28" s="46">
        <v>1</v>
      </c>
      <c r="T28">
        <f>SUMPRODUCT(K28:M28,[2]各种公式!$C$13:$E$13)</f>
        <v>2567.6388403837168</v>
      </c>
    </row>
    <row r="29" spans="2:20">
      <c r="B29" t="str">
        <f>怪物并表!$R$7</f>
        <v>普通副本</v>
      </c>
      <c r="C29" s="2">
        <f>怪物信息表!B29</f>
        <v>25</v>
      </c>
      <c r="D29" s="50">
        <f>怪物信息表!C29</f>
        <v>3006</v>
      </c>
      <c r="E29" s="72">
        <f>VLOOKUP($C29,难度推算表,副本难度推算!$M$3,FALSE)*副本难度推算!$Y$5*Q29</f>
        <v>14261.047881556851</v>
      </c>
      <c r="F29" s="72">
        <f>VLOOKUP($C29,难度推算表,副本难度推算!$P$3,FALSE)*副本难度推算!$Z$5*$R29+VLOOKUP($C29,难度推算表,副本难度推算!$H$3,FALSE)</f>
        <v>814.24303702291991</v>
      </c>
      <c r="G29" s="72">
        <f>VLOOKUP($C29,难度推算表,副本难度推算!$G$3,FALSE)-VLOOKUP($C29,难度推算表,副本难度推算!$I$3,FALSE)*(2-副本难度推算!$AA$5)*(2-$S29)</f>
        <v>426.83518394648843</v>
      </c>
      <c r="H29" s="72">
        <f>VLOOKUP($C29,难度推算表,副本难度推算!$M$3,FALSE)*副本难度推算!$Y$6*Q29</f>
        <v>11408.838305245481</v>
      </c>
      <c r="I29" s="72">
        <f>VLOOKUP($C29,难度推算表,副本难度推算!$P$3,FALSE)*副本难度推算!$Z$6*$R29+VLOOKUP($C29,难度推算表,副本难度推算!$H$3,FALSE)</f>
        <v>775.50225171527677</v>
      </c>
      <c r="J29" s="72">
        <f>VLOOKUP($C29,难度推算表,副本难度推算!$G$3,FALSE)-VLOOKUP($C29,难度推算表,副本难度推算!$I$3,FALSE)*(2-副本难度推算!$AA$6)*(2-$S29)</f>
        <v>320.12638795986629</v>
      </c>
      <c r="K29" s="72">
        <f>VLOOKUP($C29,难度推算表,副本难度推算!$M$3,FALSE)*副本难度推算!$Y$7*Q29</f>
        <v>35652.619703892131</v>
      </c>
      <c r="L29" s="72">
        <f>VLOOKUP($C29,难度推算表,副本难度推算!$P$3,FALSE)*副本难度推算!$Z$7*$R29+VLOOKUP($C29,难度推算表,副本难度推算!$H$3,FALSE)</f>
        <v>891.72460763820618</v>
      </c>
      <c r="M29" s="72">
        <f>VLOOKUP($C29,难度推算表,副本难度推算!$G$3,FALSE)-VLOOKUP($C29,难度推算表,副本难度推算!$I$3,FALSE)*(2-副本难度推算!$AA$7)*(2-$S29)</f>
        <v>533.54397993311056</v>
      </c>
      <c r="N29" s="2">
        <f>VLOOKUP($C29,难度推算表,副本难度推算!$Q$3,FALSE)</f>
        <v>1797.3000000000002</v>
      </c>
      <c r="O29" s="2">
        <f>VLOOKUP($C29,难度推算表,副本难度推算!$R$3,FALSE)</f>
        <v>0</v>
      </c>
      <c r="Q29" s="46">
        <v>1</v>
      </c>
      <c r="R29" s="46">
        <v>1</v>
      </c>
      <c r="S29" s="46">
        <v>1</v>
      </c>
      <c r="T29">
        <f>SUMPRODUCT(K29:M29,[2]各种公式!$C$13:$E$13)</f>
        <v>2851.373375727002</v>
      </c>
    </row>
    <row r="30" spans="2:20">
      <c r="B30" t="str">
        <f>怪物并表!$R$7</f>
        <v>普通副本</v>
      </c>
      <c r="C30" s="2">
        <f>怪物信息表!B30</f>
        <v>26</v>
      </c>
      <c r="D30" s="50">
        <f>怪物信息表!C30</f>
        <v>3007</v>
      </c>
      <c r="E30" s="72">
        <f>VLOOKUP($C30,难度推算表,副本难度推算!$M$3,FALSE)*副本难度推算!$Y$5*Q30</f>
        <v>16032.112972248326</v>
      </c>
      <c r="F30" s="72">
        <f>VLOOKUP($C30,难度推算表,副本难度推算!$P$3,FALSE)*副本难度推算!$Z$5*$R30+VLOOKUP($C30,难度推算表,副本难度推算!$H$3,FALSE)</f>
        <v>912.21955983864086</v>
      </c>
      <c r="G30" s="72">
        <f>VLOOKUP($C30,难度推算表,副本难度推算!$G$3,FALSE)-VLOOKUP($C30,难度推算表,副本难度推算!$I$3,FALSE)*(2-副本难度推算!$AA$5)*(2-$S30)</f>
        <v>470.77801525083623</v>
      </c>
      <c r="H30" s="72">
        <f>VLOOKUP($C30,难度推算表,副本难度推算!$M$3,FALSE)*副本难度推算!$Y$6*Q30</f>
        <v>12825.690377798661</v>
      </c>
      <c r="I30" s="72">
        <f>VLOOKUP($C30,难度推算表,副本难度推算!$P$3,FALSE)*副本难度推算!$Z$6*$R30+VLOOKUP($C30,难度推算表,副本难度推算!$H$3,FALSE)</f>
        <v>868.0754053798604</v>
      </c>
      <c r="J30" s="72">
        <f>VLOOKUP($C30,难度推算表,副本难度推算!$G$3,FALSE)-VLOOKUP($C30,难度推算表,副本难度推算!$I$3,FALSE)*(2-副本难度推算!$AA$6)*(2-$S30)</f>
        <v>353.08351143812718</v>
      </c>
      <c r="K30" s="72">
        <f>VLOOKUP($C30,难度推算表,副本难度推算!$M$3,FALSE)*副本难度推算!$Y$7*Q30</f>
        <v>40080.282430620813</v>
      </c>
      <c r="L30" s="72">
        <f>VLOOKUP($C30,难度推算表,副本难度推算!$P$3,FALSE)*副本难度推算!$Z$7*$R30+VLOOKUP($C30,难度推算表,副本难度推算!$H$3,FALSE)</f>
        <v>1000.5078687562018</v>
      </c>
      <c r="M30" s="72">
        <f>VLOOKUP($C30,难度推算表,副本难度推算!$G$3,FALSE)-VLOOKUP($C30,难度推算表,副本难度推算!$I$3,FALSE)*(2-副本难度推算!$AA$7)*(2-$S30)</f>
        <v>588.47251906354529</v>
      </c>
      <c r="N30" s="2">
        <f>VLOOKUP($C30,难度推算表,副本难度推算!$Q$3,FALSE)</f>
        <v>1855.528</v>
      </c>
      <c r="O30" s="2">
        <f>VLOOKUP($C30,难度推算表,副本难度推算!$R$3,FALSE)</f>
        <v>0</v>
      </c>
      <c r="Q30" s="46">
        <v>1</v>
      </c>
      <c r="R30" s="46">
        <v>1</v>
      </c>
      <c r="S30" s="46">
        <v>1</v>
      </c>
      <c r="T30">
        <f>SUMPRODUCT(K30:M30,[2]各种公式!$C$13:$E$13)</f>
        <v>3192.1916850445796</v>
      </c>
    </row>
    <row r="31" spans="2:20">
      <c r="B31" t="str">
        <f>怪物并表!$R$7</f>
        <v>普通副本</v>
      </c>
      <c r="C31" s="2">
        <f>怪物信息表!B31</f>
        <v>27</v>
      </c>
      <c r="D31" s="50">
        <f>怪物信息表!C31</f>
        <v>3008</v>
      </c>
      <c r="E31" s="72">
        <f>VLOOKUP($C31,难度推算表,副本难度推算!$M$3,FALSE)*副本难度推算!$Y$5*Q31</f>
        <v>17918.492082667442</v>
      </c>
      <c r="F31" s="72">
        <f>VLOOKUP($C31,难度推算表,副本难度推算!$P$3,FALSE)*副本难度推算!$Z$5*$R31+VLOOKUP($C31,难度推算表,副本难度推算!$H$3,FALSE)</f>
        <v>1016.5305190018643</v>
      </c>
      <c r="G31" s="72">
        <f>VLOOKUP($C31,难度推算表,副本难度推算!$G$3,FALSE)-VLOOKUP($C31,难度推算表,副本难度推算!$I$3,FALSE)*(2-副本难度推算!$AA$5)*(2-$S31)</f>
        <v>516.48459879598681</v>
      </c>
      <c r="H31" s="72">
        <f>VLOOKUP($C31,难度推算表,副本难度推算!$M$3,FALSE)*副本难度推算!$Y$6*Q31</f>
        <v>14334.793666133955</v>
      </c>
      <c r="I31" s="72">
        <f>VLOOKUP($C31,难度推算表,副本难度推算!$P$3,FALSE)*副本难度推算!$Z$6*$R31+VLOOKUP($C31,难度推算表,副本难度推算!$H$3,FALSE)</f>
        <v>966.5259269812766</v>
      </c>
      <c r="J31" s="72">
        <f>VLOOKUP($C31,难度推算表,副本难度推算!$G$3,FALSE)-VLOOKUP($C31,难度推算表,副本难度推算!$I$3,FALSE)*(2-副本难度推算!$AA$6)*(2-$S31)</f>
        <v>387.36344909699017</v>
      </c>
      <c r="K31" s="72">
        <f>VLOOKUP($C31,难度推算表,副本难度推算!$M$3,FALSE)*副本难度推算!$Y$7*Q31</f>
        <v>44796.23020666861</v>
      </c>
      <c r="L31" s="72">
        <f>VLOOKUP($C31,难度推算表,副本难度推算!$P$3,FALSE)*副本难度推算!$Z$7*$R31+VLOOKUP($C31,难度推算表,副本难度推算!$H$3,FALSE)</f>
        <v>1116.5397030430397</v>
      </c>
      <c r="M31" s="72">
        <f>VLOOKUP($C31,难度推算表,副本难度推算!$G$3,FALSE)-VLOOKUP($C31,难度推算表,副本难度推算!$I$3,FALSE)*(2-副本难度推算!$AA$7)*(2-$S31)</f>
        <v>645.60574849498346</v>
      </c>
      <c r="N31" s="2">
        <f>VLOOKUP($C31,难度推算表,副本难度推算!$Q$3,FALSE)</f>
        <v>1913.7559999999999</v>
      </c>
      <c r="O31" s="2">
        <f>VLOOKUP($C31,难度推算表,副本难度推算!$R$3,FALSE)</f>
        <v>0</v>
      </c>
      <c r="Q31" s="46">
        <v>1</v>
      </c>
      <c r="R31" s="46">
        <v>1</v>
      </c>
      <c r="S31" s="46">
        <v>1</v>
      </c>
      <c r="T31">
        <f>SUMPRODUCT(K31:M31,[2]各种公式!$C$13:$E$13)</f>
        <v>3553.9946598047673</v>
      </c>
    </row>
    <row r="32" spans="2:20" s="102" customFormat="1">
      <c r="B32" s="102" t="str">
        <f>怪物并表!$R$7</f>
        <v>普通副本</v>
      </c>
      <c r="C32" s="103">
        <f>怪物信息表!B32</f>
        <v>28</v>
      </c>
      <c r="D32" s="104">
        <f>怪物信息表!C32</f>
        <v>3009</v>
      </c>
      <c r="E32" s="105">
        <f>VLOOKUP($C32,难度推算表,副本难度推算!$M$3,FALSE)*副本难度推算!$Y$5*Q32</f>
        <v>23907.707537573606</v>
      </c>
      <c r="F32" s="105">
        <f>VLOOKUP($C32,难度推算表,副本难度推算!$P$3,FALSE)*副本难度推算!$Z$5*$R32+VLOOKUP($C32,难度推算表,副本难度推算!$H$3,FALSE)</f>
        <v>1240.0908086750708</v>
      </c>
      <c r="G32" s="105">
        <f>VLOOKUP($C32,难度推算表,副本难度推算!$G$3,FALSE)-VLOOKUP($C32,难度推算表,副本难度推算!$I$3,FALSE)*(2-副本难度推算!$AA$5)*(2-$S32)</f>
        <v>704.94366822742495</v>
      </c>
      <c r="H32" s="105">
        <f>VLOOKUP($C32,难度推算表,副本难度推算!$M$3,FALSE)*副本难度推算!$Y$6*Q32</f>
        <v>19126.166030058885</v>
      </c>
      <c r="I32" s="105">
        <f>VLOOKUP($C32,难度推算表,副本难度推算!$P$3,FALSE)*副本难度推算!$Z$6*$R32+VLOOKUP($C32,难度推算表,副本难度推算!$H$3,FALSE)</f>
        <v>1172.4772212657576</v>
      </c>
      <c r="J32" s="105">
        <f>VLOOKUP($C32,难度推算表,副本难度推算!$G$3,FALSE)-VLOOKUP($C32,难度推算表,副本难度推算!$I$3,FALSE)*(2-副本难度推算!$AA$6)*(2-$S32)</f>
        <v>592.15268131103687</v>
      </c>
      <c r="K32" s="105">
        <f>VLOOKUP($C32,难度推算表,副本难度推算!$M$3,FALSE)*副本难度推算!$Y$7*Q32</f>
        <v>59769.268843934013</v>
      </c>
      <c r="L32" s="105">
        <f>VLOOKUP($C32,难度推算表,副本难度推算!$P$3,FALSE)*副本难度推算!$Z$7*$R32+VLOOKUP($C32,难度推算表,副本难度推算!$H$3,FALSE)</f>
        <v>1375.3179834936968</v>
      </c>
      <c r="M32" s="105">
        <f>VLOOKUP($C32,难度推算表,副本难度推算!$G$3,FALSE)-VLOOKUP($C32,难度推算表,副本难度推算!$I$3,FALSE)*(2-副本难度推算!$AA$7)*(2-$S32)</f>
        <v>817.73465514381292</v>
      </c>
      <c r="N32" s="103">
        <f>VLOOKUP($C32,难度推算表,副本难度推算!$Q$3,FALSE)</f>
        <v>1971.9840000000002</v>
      </c>
      <c r="O32" s="103">
        <f>VLOOKUP($C32,难度推算表,副本难度推算!$R$3,FALSE)</f>
        <v>0</v>
      </c>
      <c r="Q32" s="46">
        <v>1.2</v>
      </c>
      <c r="R32" s="46">
        <v>1.2</v>
      </c>
      <c r="S32" s="106">
        <v>1.2</v>
      </c>
      <c r="T32">
        <f>SUMPRODUCT(K32:M32,[2]各种公式!$C$13:$E$13)</f>
        <v>4583.8233923948701</v>
      </c>
    </row>
    <row r="33" spans="2:20">
      <c r="B33" t="str">
        <f>怪物并表!$R$7</f>
        <v>普通副本</v>
      </c>
      <c r="C33" s="2">
        <f>怪物信息表!B33</f>
        <v>29</v>
      </c>
      <c r="D33" s="50">
        <f>怪物信息表!C33</f>
        <v>4001</v>
      </c>
      <c r="E33" s="72">
        <f>VLOOKUP($C33,难度推算表,副本难度推算!$M$3,FALSE)*副本难度推算!$Y$5*Q33</f>
        <v>22048.80155432774</v>
      </c>
      <c r="F33" s="72">
        <f>VLOOKUP($C33,难度推算表,副本难度推算!$P$3,FALSE)*副本难度推算!$Z$5*$R33+VLOOKUP($C33,难度推算表,副本难度推算!$H$3,FALSE)</f>
        <v>1245.0646280605861</v>
      </c>
      <c r="G33" s="72">
        <f>VLOOKUP($C33,难度推算表,副本难度推算!$G$3,FALSE)-VLOOKUP($C33,难度推算表,副本难度推算!$I$3,FALSE)*(2-副本难度推算!$AA$5)*(2-$S33)</f>
        <v>613.18902260869606</v>
      </c>
      <c r="H33" s="72">
        <f>VLOOKUP($C33,难度推算表,副本难度推算!$M$3,FALSE)*副本难度推算!$Y$6*Q33</f>
        <v>17639.041243462194</v>
      </c>
      <c r="I33" s="72">
        <f>VLOOKUP($C33,难度推算表,副本难度推算!$P$3,FALSE)*副本难度推算!$Z$6*$R33+VLOOKUP($C33,难度推算表,副本难度推算!$H$3,FALSE)</f>
        <v>1181.8770675153971</v>
      </c>
      <c r="J33" s="72">
        <f>VLOOKUP($C33,难度推算表,副本难度推算!$G$3,FALSE)-VLOOKUP($C33,难度推算表,副本难度推算!$I$3,FALSE)*(2-副本难度推算!$AA$6)*(2-$S33)</f>
        <v>459.89176695652213</v>
      </c>
      <c r="K33" s="72">
        <f>VLOOKUP($C33,难度推算表,副本难度推算!$M$3,FALSE)*副本难度推算!$Y$7*Q33</f>
        <v>55122.003885819351</v>
      </c>
      <c r="L33" s="72">
        <f>VLOOKUP($C33,难度推算表,副本难度推算!$P$3,FALSE)*副本难度推算!$Z$7*$R33+VLOOKUP($C33,难度推算表,副本难度推算!$H$3,FALSE)</f>
        <v>1371.439749150964</v>
      </c>
      <c r="M33" s="72">
        <f>VLOOKUP($C33,难度推算表,副本难度推算!$G$3,FALSE)-VLOOKUP($C33,难度推算表,副本难度推算!$I$3,FALSE)*(2-副本难度推算!$AA$7)*(2-$S33)</f>
        <v>766.48627826086999</v>
      </c>
      <c r="N33" s="2">
        <f>VLOOKUP($C33,难度推算表,副本难度推算!$Q$3,FALSE)</f>
        <v>2030.212</v>
      </c>
      <c r="O33" s="2">
        <f>VLOOKUP($C33,难度推算表,副本难度推算!$R$3,FALSE)</f>
        <v>0</v>
      </c>
      <c r="Q33" s="46">
        <v>1</v>
      </c>
      <c r="R33" s="46">
        <v>1</v>
      </c>
      <c r="S33" s="46">
        <v>1</v>
      </c>
      <c r="T33">
        <f>SUMPRODUCT(K33:M33,[2]各种公式!$C$13:$E$13)</f>
        <v>4342.806182844608</v>
      </c>
    </row>
    <row r="34" spans="2:20">
      <c r="B34" t="str">
        <f>怪物并表!$R$7</f>
        <v>普通副本</v>
      </c>
      <c r="C34" s="2">
        <f>怪物信息表!B34</f>
        <v>30</v>
      </c>
      <c r="D34" s="50">
        <f>怪物信息表!C34</f>
        <v>4002</v>
      </c>
      <c r="E34" s="72">
        <f>VLOOKUP($C34,难度推算表,副本难度推算!$M$3,FALSE)*副本难度推算!$Y$5*Q34</f>
        <v>24602.247262249399</v>
      </c>
      <c r="F34" s="72">
        <f>VLOOKUP($C34,难度推算表,副本难度推算!$P$3,FALSE)*副本难度推算!$Z$5*$R34+VLOOKUP($C34,难度推算表,副本难度推算!$H$3,FALSE)</f>
        <v>1386.8808302441071</v>
      </c>
      <c r="G34" s="72">
        <f>VLOOKUP($C34,难度推算表,副本难度推算!$G$3,FALSE)-VLOOKUP($C34,难度推算表,副本难度推算!$I$3,FALSE)*(2-副本难度推算!$AA$5)*(2-$S34)</f>
        <v>672.48919866220774</v>
      </c>
      <c r="H34" s="72">
        <f>VLOOKUP($C34,难度推算表,副本难度推算!$M$3,FALSE)*副本难度推算!$Y$6*Q34</f>
        <v>19681.797809799522</v>
      </c>
      <c r="I34" s="72">
        <f>VLOOKUP($C34,难度推算表,副本难度推算!$P$3,FALSE)*副本难度推算!$Z$6*$R34+VLOOKUP($C34,难度推算表,副本难度推算!$H$3,FALSE)</f>
        <v>1315.4416670859173</v>
      </c>
      <c r="J34" s="72">
        <f>VLOOKUP($C34,难度推算表,副本难度推算!$G$3,FALSE)-VLOOKUP($C34,难度推算表,副本难度推算!$I$3,FALSE)*(2-副本难度推算!$AA$6)*(2-$S34)</f>
        <v>504.36689899665589</v>
      </c>
      <c r="K34" s="72">
        <f>VLOOKUP($C34,难度推算表,副本难度推算!$M$3,FALSE)*副本难度推算!$Y$7*Q34</f>
        <v>61505.618155623495</v>
      </c>
      <c r="L34" s="72">
        <f>VLOOKUP($C34,难度推算表,副本难度推算!$P$3,FALSE)*副本难度推算!$Z$7*$R34+VLOOKUP($C34,难度推算表,副本难度推算!$H$3,FALSE)</f>
        <v>1529.7591565604869</v>
      </c>
      <c r="M34" s="72">
        <f>VLOOKUP($C34,难度推算表,副本难度推算!$G$3,FALSE)-VLOOKUP($C34,难度推算表,副本难度推算!$I$3,FALSE)*(2-副本难度推算!$AA$7)*(2-$S34)</f>
        <v>840.61149832775959</v>
      </c>
      <c r="N34" s="2">
        <f>VLOOKUP($C34,难度推算表,副本难度推算!$Q$3,FALSE)</f>
        <v>2088.44</v>
      </c>
      <c r="O34" s="2">
        <f>VLOOKUP($C34,难度推算表,副本难度推算!$R$3,FALSE)</f>
        <v>0</v>
      </c>
      <c r="Q34" s="46">
        <v>1</v>
      </c>
      <c r="R34" s="46">
        <v>1</v>
      </c>
      <c r="S34" s="46">
        <v>1</v>
      </c>
      <c r="T34">
        <f>SUMPRODUCT(K34:M34,[2]各种公式!$C$13:$E$13)</f>
        <v>4830.5953811131858</v>
      </c>
    </row>
    <row r="35" spans="2:20">
      <c r="B35" t="str">
        <f>怪物并表!$R$7</f>
        <v>普通副本</v>
      </c>
      <c r="C35" s="2">
        <f>怪物信息表!B35</f>
        <v>31</v>
      </c>
      <c r="D35" s="50">
        <f>怪物信息表!C35</f>
        <v>4003</v>
      </c>
      <c r="E35" s="72">
        <f>VLOOKUP($C35,难度推算表,副本难度推算!$M$3,FALSE)*副本难度推算!$Y$5*Q35</f>
        <v>27667.296632101697</v>
      </c>
      <c r="F35" s="72">
        <f>VLOOKUP($C35,难度推算表,副本难度推算!$P$3,FALSE)*副本难度推算!$Z$5*$R35+VLOOKUP($C35,难度推算表,副本难度推算!$H$3,FALSE)</f>
        <v>1547.5381227879423</v>
      </c>
      <c r="G35" s="72">
        <f>VLOOKUP($C35,难度推算表,副本难度推算!$G$3,FALSE)-VLOOKUP($C35,难度推算表,副本难度推算!$I$3,FALSE)*(2-副本难度推算!$AA$5)*(2-$S35)</f>
        <v>743.61544061538484</v>
      </c>
      <c r="H35" s="72">
        <f>VLOOKUP($C35,难度推算表,副本难度推算!$M$3,FALSE)*副本难度推算!$Y$6*Q35</f>
        <v>22133.837305681358</v>
      </c>
      <c r="I35" s="72">
        <f>VLOOKUP($C35,难度推算表,副本难度推算!$P$3,FALSE)*副本难度推算!$Z$6*$R35+VLOOKUP($C35,难度推算表,副本难度推算!$H$3,FALSE)</f>
        <v>1467.1458545706864</v>
      </c>
      <c r="J35" s="72">
        <f>VLOOKUP($C35,难度推算表,副本难度推算!$G$3,FALSE)-VLOOKUP($C35,难度推算表,副本难度推算!$I$3,FALSE)*(2-副本难度推算!$AA$6)*(2-$S35)</f>
        <v>557.71158046153869</v>
      </c>
      <c r="K35" s="72">
        <f>VLOOKUP($C35,难度推算表,副本难度推算!$M$3,FALSE)*副本难度推算!$Y$7*Q35</f>
        <v>69168.241580254238</v>
      </c>
      <c r="L35" s="72">
        <f>VLOOKUP($C35,难度推算表,副本难度推算!$P$3,FALSE)*副本难度推算!$Z$7*$R35+VLOOKUP($C35,难度推算表,副本难度推算!$H$3,FALSE)</f>
        <v>1708.3226592224537</v>
      </c>
      <c r="M35" s="72">
        <f>VLOOKUP($C35,难度推算表,副本难度推算!$G$3,FALSE)-VLOOKUP($C35,难度推算表,副本难度推算!$I$3,FALSE)*(2-副本难度推算!$AA$7)*(2-$S35)</f>
        <v>929.51930076923099</v>
      </c>
      <c r="N35" s="2">
        <f>VLOOKUP($C35,难度推算表,副本难度推算!$Q$3,FALSE)</f>
        <v>2146.6680000000001</v>
      </c>
      <c r="O35" s="2">
        <f>VLOOKUP($C35,难度推算表,副本难度推算!$R$3,FALSE)</f>
        <v>0</v>
      </c>
      <c r="Q35" s="46">
        <v>1</v>
      </c>
      <c r="R35" s="46">
        <v>1</v>
      </c>
      <c r="S35" s="46">
        <v>1</v>
      </c>
      <c r="T35">
        <f>SUMPRODUCT(K35:M35,[2]各种公式!$C$13:$E$13)</f>
        <v>5404.5716232018549</v>
      </c>
    </row>
    <row r="36" spans="2:20">
      <c r="B36" t="str">
        <f>怪物并表!$R$7</f>
        <v>普通副本</v>
      </c>
      <c r="C36" s="2">
        <f>怪物信息表!B36</f>
        <v>32</v>
      </c>
      <c r="D36" s="50">
        <f>怪物信息表!C36</f>
        <v>4004</v>
      </c>
      <c r="E36" s="72">
        <f>VLOOKUP($C36,难度推算表,副本难度推算!$M$3,FALSE)*副本难度推算!$Y$5*Q36</f>
        <v>30990.514434410816</v>
      </c>
      <c r="F36" s="72">
        <f>VLOOKUP($C36,难度推算表,副本难度推算!$P$3,FALSE)*副本难度推算!$Z$5*$R36+VLOOKUP($C36,难度推算表,副本难度推算!$H$3,FALSE)</f>
        <v>1720.4481003567344</v>
      </c>
      <c r="G36" s="72">
        <f>VLOOKUP($C36,难度推算表,副本难度推算!$G$3,FALSE)-VLOOKUP($C36,难度推算表,副本难度推算!$I$3,FALSE)*(2-副本难度推算!$AA$5)*(2-$S36)</f>
        <v>819.29986370568577</v>
      </c>
      <c r="H36" s="72">
        <f>VLOOKUP($C36,难度推算表,副本难度推算!$M$3,FALSE)*副本难度推算!$Y$6*Q36</f>
        <v>24792.411547528653</v>
      </c>
      <c r="I36" s="72">
        <f>VLOOKUP($C36,难度推算表,副本难度推算!$P$3,FALSE)*副本难度推算!$Z$6*$R36+VLOOKUP($C36,难度推算表,副本难度推算!$H$3,FALSE)</f>
        <v>1630.3332766916296</v>
      </c>
      <c r="J36" s="72">
        <f>VLOOKUP($C36,难度推算表,副本难度推算!$G$3,FALSE)-VLOOKUP($C36,难度推算表,副本难度推算!$I$3,FALSE)*(2-副本难度推算!$AA$6)*(2-$S36)</f>
        <v>614.47489777926444</v>
      </c>
      <c r="K36" s="72">
        <f>VLOOKUP($C36,难度推算表,副本难度推算!$M$3,FALSE)*副本难度推算!$Y$7*Q36</f>
        <v>77476.286086027045</v>
      </c>
      <c r="L36" s="72">
        <f>VLOOKUP($C36,难度推算表,副本难度推算!$P$3,FALSE)*副本难度推算!$Z$7*$R36+VLOOKUP($C36,难度推算表,副本难度推算!$H$3,FALSE)</f>
        <v>1900.6777476869438</v>
      </c>
      <c r="M36" s="72">
        <f>VLOOKUP($C36,难度推算表,副本难度推算!$G$3,FALSE)-VLOOKUP($C36,难度推算表,副本难度推算!$I$3,FALSE)*(2-副本难度推算!$AA$7)*(2-$S36)</f>
        <v>1024.1248296321073</v>
      </c>
      <c r="N36" s="2">
        <f>VLOOKUP($C36,难度推算表,副本难度推算!$Q$3,FALSE)</f>
        <v>2204.8960000000002</v>
      </c>
      <c r="O36" s="2">
        <f>VLOOKUP($C36,难度推算表,副本难度推算!$R$3,FALSE)</f>
        <v>0</v>
      </c>
      <c r="Q36" s="46">
        <v>1</v>
      </c>
      <c r="R36" s="46">
        <v>1</v>
      </c>
      <c r="S36" s="46">
        <v>1</v>
      </c>
      <c r="T36">
        <f>SUMPRODUCT(K36:M36,[2]各种公式!$C$13:$E$13)</f>
        <v>6023.8540207601336</v>
      </c>
    </row>
    <row r="37" spans="2:20">
      <c r="B37" t="str">
        <f>怪物并表!$R$7</f>
        <v>普通副本</v>
      </c>
      <c r="C37" s="2">
        <f>怪物信息表!B37</f>
        <v>33</v>
      </c>
      <c r="D37" s="50">
        <f>怪物信息表!C37</f>
        <v>4005</v>
      </c>
      <c r="E37" s="72">
        <f>VLOOKUP($C37,难度推算表,副本难度推算!$M$3,FALSE)*副本难度推算!$Y$5*Q37</f>
        <v>34573.196392958278</v>
      </c>
      <c r="F37" s="72">
        <f>VLOOKUP($C37,难度推算表,副本难度推算!$P$3,FALSE)*副本难度推算!$Z$5*$R37+VLOOKUP($C37,难度推算表,副本难度推算!$H$3,FALSE)</f>
        <v>1905.5178265087504</v>
      </c>
      <c r="G37" s="72">
        <f>VLOOKUP($C37,难度推算表,副本难度推算!$G$3,FALSE)-VLOOKUP($C37,难度推算表,副本难度推算!$I$3,FALSE)*(2-副本难度推算!$AA$5)*(2-$S37)</f>
        <v>899.37196073578662</v>
      </c>
      <c r="H37" s="72">
        <f>VLOOKUP($C37,难度推算表,副本难度推算!$M$3,FALSE)*副本难度推算!$Y$6*Q37</f>
        <v>27658.557114366624</v>
      </c>
      <c r="I37" s="72">
        <f>VLOOKUP($C37,难度推算表,副本难度推算!$P$3,FALSE)*副本难度推算!$Z$6*$R37+VLOOKUP($C37,难度推算表,副本难度推算!$H$3,FALSE)</f>
        <v>1804.9032399314542</v>
      </c>
      <c r="J37" s="72">
        <f>VLOOKUP($C37,难度推算表,副本难度推算!$G$3,FALSE)-VLOOKUP($C37,难度推算表,副本难度推算!$I$3,FALSE)*(2-副本难度推算!$AA$6)*(2-$S37)</f>
        <v>674.52897055184008</v>
      </c>
      <c r="K37" s="72">
        <f>VLOOKUP($C37,难度推算表,副本难度推算!$M$3,FALSE)*副本难度推算!$Y$7*Q37</f>
        <v>86432.990982395699</v>
      </c>
      <c r="L37" s="72">
        <f>VLOOKUP($C37,难度推算表,副本难度推算!$P$3,FALSE)*副本难度推算!$Z$7*$R37+VLOOKUP($C37,难度推算表,副本难度推算!$H$3,FALSE)</f>
        <v>2106.7469996633431</v>
      </c>
      <c r="M37" s="72">
        <f>VLOOKUP($C37,难度推算表,副本难度推算!$G$3,FALSE)-VLOOKUP($C37,难度推算表,副本难度推算!$I$3,FALSE)*(2-副本难度推算!$AA$7)*(2-$S37)</f>
        <v>1124.2149509197332</v>
      </c>
      <c r="N37" s="2">
        <f>VLOOKUP($C37,难度推算表,副本难度推算!$Q$3,FALSE)</f>
        <v>2263.1239999999998</v>
      </c>
      <c r="O37" s="2">
        <f>VLOOKUP($C37,难度推算表,副本难度推算!$R$3,FALSE)</f>
        <v>0</v>
      </c>
      <c r="Q37" s="46">
        <v>1</v>
      </c>
      <c r="R37" s="46">
        <v>1</v>
      </c>
      <c r="S37" s="46">
        <v>1</v>
      </c>
      <c r="T37">
        <f>SUMPRODUCT(K37:M37,[2]各种公式!$C$13:$E$13)</f>
        <v>6688.2815898789049</v>
      </c>
    </row>
    <row r="38" spans="2:20">
      <c r="B38" t="str">
        <f>怪物并表!$R$7</f>
        <v>普通副本</v>
      </c>
      <c r="C38" s="2">
        <f>怪物信息表!B38</f>
        <v>34</v>
      </c>
      <c r="D38" s="50">
        <f>怪物信息表!C38</f>
        <v>4006</v>
      </c>
      <c r="E38" s="72">
        <f>VLOOKUP($C38,难度推算表,副本难度推算!$M$3,FALSE)*副本难度推算!$Y$5*Q38</f>
        <v>38426.737014116785</v>
      </c>
      <c r="F38" s="72">
        <f>VLOOKUP($C38,难度推算表,副本难度推算!$P$3,FALSE)*副本难度推算!$Z$5*$R38+VLOOKUP($C38,难度推算表,副本难度推算!$H$3,FALSE)</f>
        <v>2103.2231585458144</v>
      </c>
      <c r="G38" s="72">
        <f>VLOOKUP($C38,难度推算表,副本难度推算!$G$3,FALSE)-VLOOKUP($C38,难度推算表,副本难度推算!$I$3,FALSE)*(2-副本难度推算!$AA$5)*(2-$S38)</f>
        <v>983.93169407357891</v>
      </c>
      <c r="H38" s="72">
        <f>VLOOKUP($C38,难度推算表,副本难度推算!$M$3,FALSE)*副本难度推算!$Y$6*Q38</f>
        <v>30741.389611293431</v>
      </c>
      <c r="I38" s="72">
        <f>VLOOKUP($C38,难度推算表,副本难度推算!$P$3,FALSE)*副本难度推算!$Z$6*$R38+VLOOKUP($C38,难度推算表,副本难度推算!$H$3,FALSE)</f>
        <v>1991.2940120985909</v>
      </c>
      <c r="J38" s="72">
        <f>VLOOKUP($C38,难度推算表,副本难度推算!$G$3,FALSE)-VLOOKUP($C38,难度推算表,副本难度推算!$I$3,FALSE)*(2-副本难度推算!$AA$6)*(2-$S38)</f>
        <v>737.94877055518418</v>
      </c>
      <c r="K38" s="72">
        <f>VLOOKUP($C38,难度推算表,副本难度推算!$M$3,FALSE)*副本难度推算!$Y$7*Q38</f>
        <v>96066.842535291958</v>
      </c>
      <c r="L38" s="72">
        <f>VLOOKUP($C38,难度推算表,副本难度推算!$P$3,FALSE)*副本难度推算!$Z$7*$R38+VLOOKUP($C38,难度推算表,副本难度推算!$H$3,FALSE)</f>
        <v>2327.0814514402614</v>
      </c>
      <c r="M38" s="72">
        <f>VLOOKUP($C38,难度推算表,副本难度推算!$G$3,FALSE)-VLOOKUP($C38,难度推算表,副本难度推算!$I$3,FALSE)*(2-副本难度推算!$AA$7)*(2-$S38)</f>
        <v>1229.9146175919736</v>
      </c>
      <c r="N38" s="2">
        <f>VLOOKUP($C38,难度推算表,副本难度推算!$Q$3,FALSE)</f>
        <v>2321.3520000000003</v>
      </c>
      <c r="O38" s="2">
        <f>VLOOKUP($C38,难度推算表,副本难度推算!$R$3,FALSE)</f>
        <v>0</v>
      </c>
      <c r="Q38" s="46">
        <v>1</v>
      </c>
      <c r="R38" s="46">
        <v>1</v>
      </c>
      <c r="S38" s="46">
        <v>1</v>
      </c>
      <c r="T38">
        <f>SUMPRODUCT(K38:M38,[2]各种公式!$C$13:$E$13)</f>
        <v>7399.6697704439139</v>
      </c>
    </row>
    <row r="39" spans="2:20">
      <c r="B39" t="str">
        <f>怪物并表!$R$7</f>
        <v>普通副本</v>
      </c>
      <c r="C39" s="2">
        <f>怪物信息表!B39</f>
        <v>35</v>
      </c>
      <c r="D39" s="50">
        <f>怪物信息表!C39</f>
        <v>4007</v>
      </c>
      <c r="E39" s="72">
        <f>VLOOKUP($C39,难度推算表,副本难度推算!$M$3,FALSE)*副本难度推算!$Y$5*Q39</f>
        <v>42562.734823703468</v>
      </c>
      <c r="F39" s="72">
        <f>VLOOKUP($C39,难度推算表,副本难度推算!$P$3,FALSE)*副本难度推算!$Z$5*$R39+VLOOKUP($C39,难度推算表,副本难度推算!$H$3,FALSE)</f>
        <v>2314.0513733626863</v>
      </c>
      <c r="G39" s="72">
        <f>VLOOKUP($C39,难度推算表,副本难度推算!$G$3,FALSE)-VLOOKUP($C39,难度推算表,副本难度推算!$I$3,FALSE)*(2-副本难度推算!$AA$5)*(2-$S39)</f>
        <v>1073.0790260869569</v>
      </c>
      <c r="H39" s="72">
        <f>VLOOKUP($C39,难度推算表,副本难度推算!$M$3,FALSE)*副本难度推算!$Y$6*Q39</f>
        <v>34050.187858962774</v>
      </c>
      <c r="I39" s="72">
        <f>VLOOKUP($C39,难度推算表,副本难度推算!$P$3,FALSE)*副本难度推算!$Z$6*$R39+VLOOKUP($C39,难度推算表,副本难度推算!$H$3,FALSE)</f>
        <v>2189.9541386351134</v>
      </c>
      <c r="J39" s="72">
        <f>VLOOKUP($C39,难度推算表,副本难度推算!$G$3,FALSE)-VLOOKUP($C39,难度推算表,副本难度推算!$I$3,FALSE)*(2-副本难度推算!$AA$6)*(2-$S39)</f>
        <v>804.80926956521785</v>
      </c>
      <c r="K39" s="72">
        <f>VLOOKUP($C39,难度推算表,副本难度推算!$M$3,FALSE)*副本难度推算!$Y$7*Q39</f>
        <v>106406.83705925867</v>
      </c>
      <c r="L39" s="72">
        <f>VLOOKUP($C39,难度推算表,副本难度推算!$P$3,FALSE)*副本难度推算!$Z$7*$R39+VLOOKUP($C39,难度推算表,副本难度推算!$H$3,FALSE)</f>
        <v>2562.245842817832</v>
      </c>
      <c r="M39" s="72">
        <f>VLOOKUP($C39,难度推算表,副本难度推算!$G$3,FALSE)-VLOOKUP($C39,难度推算表,副本难度推算!$I$3,FALSE)*(2-副本难度推算!$AA$7)*(2-$S39)</f>
        <v>1341.348782608696</v>
      </c>
      <c r="N39" s="2">
        <f>VLOOKUP($C39,难度推算表,副本难度推算!$Q$3,FALSE)</f>
        <v>2379.58</v>
      </c>
      <c r="O39" s="2">
        <f>VLOOKUP($C39,难度推算表,副本难度推算!$R$3,FALSE)</f>
        <v>0</v>
      </c>
      <c r="Q39" s="46">
        <v>1</v>
      </c>
      <c r="R39" s="46">
        <v>1</v>
      </c>
      <c r="S39" s="46">
        <v>1</v>
      </c>
      <c r="T39">
        <f>SUMPRODUCT(K39:M39,[2]各种公式!$C$13:$E$13)</f>
        <v>8159.8681077968749</v>
      </c>
    </row>
    <row r="40" spans="2:20">
      <c r="B40" t="str">
        <f>怪物并表!$R$7</f>
        <v>普通副本</v>
      </c>
      <c r="C40" s="2">
        <f>怪物信息表!B40</f>
        <v>36</v>
      </c>
      <c r="D40" s="50">
        <f>怪物信息表!C40</f>
        <v>4008</v>
      </c>
      <c r="E40" s="72">
        <f>VLOOKUP($C40,难度推算表,副本难度推算!$M$3,FALSE)*副本难度推算!$Y$5*Q40</f>
        <v>46992.99239665216</v>
      </c>
      <c r="F40" s="72">
        <f>VLOOKUP($C40,难度推算表,副本难度推算!$P$3,FALSE)*副本难度推算!$Z$5*$R40+VLOOKUP($C40,难度推算表,副本难度推算!$H$3,FALSE)</f>
        <v>2538.5016044212689</v>
      </c>
      <c r="G40" s="72">
        <f>VLOOKUP($C40,难度推算表,副本难度推算!$G$3,FALSE)-VLOOKUP($C40,难度推算表,副本难度推算!$I$3,FALSE)*(2-副本难度推算!$AA$5)*(2-$S40)</f>
        <v>1166.913919143813</v>
      </c>
      <c r="H40" s="72">
        <f>VLOOKUP($C40,难度推算表,副本难度推算!$M$3,FALSE)*副本难度推算!$Y$6*Q40</f>
        <v>37594.39391732173</v>
      </c>
      <c r="I40" s="72">
        <f>VLOOKUP($C40,难度推算表,副本难度推算!$P$3,FALSE)*副本难度推算!$Z$6*$R40+VLOOKUP($C40,难度推算表,副本难度推算!$H$3,FALSE)</f>
        <v>2401.3428358935234</v>
      </c>
      <c r="J40" s="72">
        <f>VLOOKUP($C40,难度推算表,副本难度推算!$G$3,FALSE)-VLOOKUP($C40,难度推算表,副本难度推算!$I$3,FALSE)*(2-副本难度推算!$AA$6)*(2-$S40)</f>
        <v>875.18543935785988</v>
      </c>
      <c r="K40" s="72">
        <f>VLOOKUP($C40,难度推算表,副本难度推算!$M$3,FALSE)*副本难度推算!$Y$7*Q40</f>
        <v>117482.48099163041</v>
      </c>
      <c r="L40" s="72">
        <f>VLOOKUP($C40,难度推算表,副本难度推算!$P$3,FALSE)*副本难度推算!$Z$7*$R40+VLOOKUP($C40,难度推算表,副本难度推算!$H$3,FALSE)</f>
        <v>2812.8191414767598</v>
      </c>
      <c r="M40" s="72">
        <f>VLOOKUP($C40,难度推算表,副本难度推算!$G$3,FALSE)-VLOOKUP($C40,难度推算表,副本难度推算!$I$3,FALSE)*(2-副本难度推算!$AA$7)*(2-$S40)</f>
        <v>1458.6423989297662</v>
      </c>
      <c r="N40" s="2">
        <f>VLOOKUP($C40,难度推算表,副本难度推算!$Q$3,FALSE)</f>
        <v>2437.808</v>
      </c>
      <c r="O40" s="2">
        <f>VLOOKUP($C40,难度推算表,副本难度推算!$R$3,FALSE)</f>
        <v>0</v>
      </c>
      <c r="Q40" s="46">
        <v>1</v>
      </c>
      <c r="R40" s="46">
        <v>1</v>
      </c>
      <c r="S40" s="46">
        <v>1</v>
      </c>
      <c r="T40">
        <f>SUMPRODUCT(K40:M40,[2]各种公式!$C$13:$E$13)</f>
        <v>8970.7607800717415</v>
      </c>
    </row>
    <row r="41" spans="2:20" s="102" customFormat="1">
      <c r="B41" s="102" t="str">
        <f>怪物并表!$R$7</f>
        <v>普通副本</v>
      </c>
      <c r="C41" s="103">
        <f>怪物信息表!B41</f>
        <v>37</v>
      </c>
      <c r="D41" s="104">
        <f>怪物信息表!C41</f>
        <v>4009</v>
      </c>
      <c r="E41" s="105">
        <f>VLOOKUP($C41,难度推算表,副本难度推算!$M$3,FALSE)*副本难度推算!$Y$5*Q41</f>
        <v>62075.419637508028</v>
      </c>
      <c r="F41" s="105">
        <f>VLOOKUP($C41,难度推算表,副本难度推算!$P$3,FALSE)*副本难度推算!$Z$5*$R41+VLOOKUP($C41,难度推算表,副本难度推算!$H$3,FALSE)</f>
        <v>3115.6722667312429</v>
      </c>
      <c r="G41" s="105">
        <f>VLOOKUP($C41,难度推算表,副本难度推算!$G$3,FALSE)-VLOOKUP($C41,难度推算表,副本难度推算!$I$3,FALSE)*(2-副本难度推算!$AA$5)*(2-$S41)</f>
        <v>1581.9204195150503</v>
      </c>
      <c r="H41" s="105">
        <f>VLOOKUP($C41,难度推算表,副本难度推算!$M$3,FALSE)*副本难度推算!$Y$6*Q41</f>
        <v>49660.335710006424</v>
      </c>
      <c r="I41" s="105">
        <f>VLOOKUP($C41,难度推算表,副本难度推算!$P$3,FALSE)*副本难度推算!$Z$6*$R41+VLOOKUP($C41,难度推算表,副本难度推算!$H$3,FALSE)</f>
        <v>2930.6586736193231</v>
      </c>
      <c r="J41" s="105">
        <f>VLOOKUP($C41,难度推算表,副本难度推算!$G$3,FALSE)-VLOOKUP($C41,难度推算表,副本难度推算!$I$3,FALSE)*(2-副本难度推算!$AA$6)*(2-$S41)</f>
        <v>1328.8131523926425</v>
      </c>
      <c r="K41" s="105">
        <f>VLOOKUP($C41,难度推算表,副本难度推算!$M$3,FALSE)*副本难度推算!$Y$7*Q41</f>
        <v>155188.54909377007</v>
      </c>
      <c r="L41" s="105">
        <f>VLOOKUP($C41,难度推算表,副本难度推算!$P$3,FALSE)*副本难度推算!$Z$7*$R41+VLOOKUP($C41,难度推算表,副本难度推算!$H$3,FALSE)</f>
        <v>3485.699452955083</v>
      </c>
      <c r="M41" s="105">
        <f>VLOOKUP($C41,难度推算表,副本难度推算!$G$3,FALSE)-VLOOKUP($C41,难度推算表,副本难度推算!$I$3,FALSE)*(2-副本难度推算!$AA$7)*(2-$S41)</f>
        <v>1835.0276866374584</v>
      </c>
      <c r="N41" s="103">
        <f>VLOOKUP($C41,难度推算表,副本难度推算!$Q$3,FALSE)</f>
        <v>2496.0360000000001</v>
      </c>
      <c r="O41" s="103">
        <f>VLOOKUP($C41,难度推算表,副本难度推算!$R$3,FALSE)</f>
        <v>0</v>
      </c>
      <c r="Q41" s="46">
        <v>1.2</v>
      </c>
      <c r="R41" s="46">
        <v>1.2</v>
      </c>
      <c r="S41" s="106">
        <v>1.2</v>
      </c>
      <c r="T41">
        <f>SUMPRODUCT(K41:M41,[2]各种公式!$C$13:$E$13)</f>
        <v>11528.269103343344</v>
      </c>
    </row>
    <row r="42" spans="2:20">
      <c r="B42" t="str">
        <f>怪物并表!$R$7</f>
        <v>普通副本</v>
      </c>
      <c r="C42" s="2">
        <f>怪物信息表!B42</f>
        <v>38</v>
      </c>
      <c r="D42" s="50">
        <f>怪物信息表!C42</f>
        <v>5001</v>
      </c>
      <c r="E42" s="72">
        <f>VLOOKUP($C42,难度推算表,副本难度推算!$M$3,FALSE)*副本难度推算!$Y$5*Q42</f>
        <v>56784.51740497836</v>
      </c>
      <c r="F42" s="72">
        <f>VLOOKUP($C42,难度推算表,副本难度推算!$P$3,FALSE)*副本难度推算!$Z$5*$R42+VLOOKUP($C42,难度推算表,副本难度推算!$H$3,FALSE)</f>
        <v>3096.7779147743777</v>
      </c>
      <c r="G42" s="72">
        <f>VLOOKUP($C42,难度推算表,副本难度推算!$G$3,FALSE)-VLOOKUP($C42,难度推算表,副本难度推算!$I$3,FALSE)*(2-副本难度推算!$AA$5)*(2-$S42)</f>
        <v>1369.0462378595321</v>
      </c>
      <c r="H42" s="72">
        <f>VLOOKUP($C42,难度推算表,副本难度推算!$M$3,FALSE)*副本难度推算!$Y$6*Q42</f>
        <v>45427.613923982688</v>
      </c>
      <c r="I42" s="72">
        <f>VLOOKUP($C42,难度推算表,副本难度推算!$P$3,FALSE)*副本难度推算!$Z$6*$R42+VLOOKUP($C42,难度推算表,副本难度推算!$H$3,FALSE)</f>
        <v>2924.0047470828931</v>
      </c>
      <c r="J42" s="72">
        <f>VLOOKUP($C42,难度推算表,副本难度推算!$G$3,FALSE)-VLOOKUP($C42,难度推算表,副本难度推算!$I$3,FALSE)*(2-副本难度推算!$AA$6)*(2-$S42)</f>
        <v>1026.7846783946493</v>
      </c>
      <c r="K42" s="72">
        <f>VLOOKUP($C42,难度推算表,副本难度推算!$M$3,FALSE)*副本难度推算!$Y$7*Q42</f>
        <v>141961.2935124459</v>
      </c>
      <c r="L42" s="72">
        <f>VLOOKUP($C42,难度推算表,副本难度推算!$P$3,FALSE)*副本难度推算!$Z$7*$R42+VLOOKUP($C42,难度推算表,副本难度推算!$H$3,FALSE)</f>
        <v>3442.3242501573468</v>
      </c>
      <c r="M42" s="72">
        <f>VLOOKUP($C42,难度推算表,副本难度推算!$G$3,FALSE)-VLOOKUP($C42,难度推算表,副本难度推算!$I$3,FALSE)*(2-副本难度推算!$AA$7)*(2-$S42)</f>
        <v>1711.3077973244149</v>
      </c>
      <c r="N42" s="2">
        <f>VLOOKUP($C42,难度推算表,副本难度推算!$Q$3,FALSE)</f>
        <v>2554.2640000000001</v>
      </c>
      <c r="O42" s="2">
        <f>VLOOKUP($C42,难度推算表,副本难度推算!$R$3,FALSE)</f>
        <v>0</v>
      </c>
      <c r="Q42" s="46">
        <v>1</v>
      </c>
      <c r="R42" s="46">
        <v>1</v>
      </c>
      <c r="S42" s="46">
        <v>1</v>
      </c>
      <c r="T42">
        <f>SUMPRODUCT(K42:M42,[2]各种公式!$C$13:$E$13)</f>
        <v>10832.083787979598</v>
      </c>
    </row>
    <row r="43" spans="2:20">
      <c r="B43" t="str">
        <f>怪物并表!$R$7</f>
        <v>普通副本</v>
      </c>
      <c r="C43" s="2">
        <f>怪物信息表!B43</f>
        <v>39</v>
      </c>
      <c r="D43" s="50">
        <f>怪物信息表!C43</f>
        <v>5002</v>
      </c>
      <c r="E43" s="72">
        <f>VLOOKUP($C43,难度推算表,副本难度推算!$M$3,FALSE)*副本难度推算!$Y$5*Q43</f>
        <v>62170.410214863972</v>
      </c>
      <c r="F43" s="72">
        <f>VLOOKUP($C43,难度推算表,副本难度推算!$P$3,FALSE)*副本难度推算!$Z$5*$R43+VLOOKUP($C43,难度推算表,副本难度推算!$H$3,FALSE)</f>
        <v>3408.0365141425427</v>
      </c>
      <c r="G43" s="72">
        <f>VLOOKUP($C43,难度推算表,副本难度推算!$G$3,FALSE)-VLOOKUP($C43,难度推算表,副本难度推算!$I$3,FALSE)*(2-副本难度推算!$AA$5)*(2-$S43)</f>
        <v>1477.5435882541808</v>
      </c>
      <c r="H43" s="72">
        <f>VLOOKUP($C43,难度推算表,副本难度推算!$M$3,FALSE)*副本难度推算!$Y$6*Q43</f>
        <v>49736.328171891182</v>
      </c>
      <c r="I43" s="72">
        <f>VLOOKUP($C43,难度推算表,副本难度推算!$P$3,FALSE)*副本难度推算!$Z$6*$R43+VLOOKUP($C43,难度推算表,副本难度推算!$H$3,FALSE)</f>
        <v>3214.9872215537066</v>
      </c>
      <c r="J43" s="72">
        <f>VLOOKUP($C43,难度推算表,副本难度推算!$G$3,FALSE)-VLOOKUP($C43,难度推算表,副本难度推算!$I$3,FALSE)*(2-副本难度推算!$AA$6)*(2-$S43)</f>
        <v>1108.1576911906359</v>
      </c>
      <c r="K43" s="72">
        <f>VLOOKUP($C43,难度推算表,副本难度推算!$M$3,FALSE)*副本难度推算!$Y$7*Q43</f>
        <v>155426.02553715993</v>
      </c>
      <c r="L43" s="72">
        <f>VLOOKUP($C43,难度推算表,副本难度推算!$P$3,FALSE)*副本难度推算!$Z$7*$R43+VLOOKUP($C43,难度推算表,副本难度推算!$H$3,FALSE)</f>
        <v>3794.135099320215</v>
      </c>
      <c r="M43" s="72">
        <f>VLOOKUP($C43,难度推算表,副本难度推算!$G$3,FALSE)-VLOOKUP($C43,难度推算表,副本难度推算!$I$3,FALSE)*(2-副本难度推算!$AA$7)*(2-$S43)</f>
        <v>1846.9294853177259</v>
      </c>
      <c r="N43" s="2">
        <f>VLOOKUP($C43,难度推算表,副本难度推算!$Q$3,FALSE)</f>
        <v>2612.4920000000002</v>
      </c>
      <c r="O43" s="2">
        <f>VLOOKUP($C43,难度推算表,副本难度推算!$R$3,FALSE)</f>
        <v>0</v>
      </c>
      <c r="Q43" s="46">
        <v>1</v>
      </c>
      <c r="R43" s="46">
        <v>1</v>
      </c>
      <c r="S43" s="46">
        <v>1</v>
      </c>
      <c r="T43">
        <f>SUMPRODUCT(K43:M43,[2]各种公式!$C$13:$E$13)</f>
        <v>11858.105606124338</v>
      </c>
    </row>
    <row r="44" spans="2:20">
      <c r="B44" t="str">
        <f>怪物并表!$R$7</f>
        <v>普通副本</v>
      </c>
      <c r="C44" s="2">
        <f>怪物信息表!B44</f>
        <v>40</v>
      </c>
      <c r="D44" s="50">
        <f>怪物信息表!C44</f>
        <v>5003</v>
      </c>
      <c r="E44" s="72">
        <f>VLOOKUP($C44,难度推算表,副本难度推算!$M$3,FALSE)*副本难度推算!$Y$5*Q44</f>
        <v>68511.523503065546</v>
      </c>
      <c r="F44" s="72">
        <f>VLOOKUP($C44,难度推算表,副本难度推算!$P$3,FALSE)*副本难度推算!$Z$5*$R44+VLOOKUP($C44,难度推算表,副本难度推算!$H$3,FALSE)</f>
        <v>3776.0063478260886</v>
      </c>
      <c r="G44" s="72">
        <f>VLOOKUP($C44,难度推算表,副本难度推算!$G$3,FALSE)-VLOOKUP($C44,难度推算表,副本难度推算!$I$3,FALSE)*(2-副本难度推算!$AA$5)*(2-$S44)</f>
        <v>1605.4628387959874</v>
      </c>
      <c r="H44" s="72">
        <f>VLOOKUP($C44,难度推算表,副本难度推算!$M$3,FALSE)*副本难度推算!$Y$6*Q44</f>
        <v>54809.218802452437</v>
      </c>
      <c r="I44" s="72">
        <f>VLOOKUP($C44,难度推算表,副本难度推算!$P$3,FALSE)*副本难度推算!$Z$6*$R44+VLOOKUP($C44,难度推算表,副本难度推算!$H$3,FALSE)</f>
        <v>3558.9519969230787</v>
      </c>
      <c r="J44" s="72">
        <f>VLOOKUP($C44,难度推算表,副本难度推算!$G$3,FALSE)-VLOOKUP($C44,难度推算表,副本难度推算!$I$3,FALSE)*(2-副本难度推算!$AA$6)*(2-$S44)</f>
        <v>1204.0971290969906</v>
      </c>
      <c r="K44" s="72">
        <f>VLOOKUP($C44,难度推算表,副本难度推算!$M$3,FALSE)*副本难度推算!$Y$7*Q44</f>
        <v>171278.80875766388</v>
      </c>
      <c r="L44" s="72">
        <f>VLOOKUP($C44,难度推算表,副本难度推算!$P$3,FALSE)*副本难度推算!$Z$7*$R44+VLOOKUP($C44,难度推算表,副本难度推算!$H$3,FALSE)</f>
        <v>4210.1150496321088</v>
      </c>
      <c r="M44" s="72">
        <f>VLOOKUP($C44,难度推算表,副本难度推算!$G$3,FALSE)-VLOOKUP($C44,难度推算表,副本难度推算!$I$3,FALSE)*(2-副本难度推算!$AA$7)*(2-$S44)</f>
        <v>2006.828548494984</v>
      </c>
      <c r="N44" s="2">
        <f>VLOOKUP($C44,难度推算表,副本难度推算!$Q$3,FALSE)</f>
        <v>2670.72</v>
      </c>
      <c r="O44" s="2">
        <f>VLOOKUP($C44,难度推算表,副本难度推算!$R$3,FALSE)</f>
        <v>0</v>
      </c>
      <c r="Q44" s="46">
        <v>1</v>
      </c>
      <c r="R44" s="46">
        <v>1</v>
      </c>
      <c r="S44" s="46">
        <v>1</v>
      </c>
      <c r="T44">
        <f>SUMPRODUCT(K44:M44,[2]各种公式!$C$13:$E$13)</f>
        <v>13068.095948433649</v>
      </c>
    </row>
    <row r="45" spans="2:20">
      <c r="B45" t="str">
        <f>怪物并表!$R$7</f>
        <v>普通副本</v>
      </c>
      <c r="C45" s="2">
        <f>怪物信息表!B45</f>
        <v>41</v>
      </c>
      <c r="D45" s="50">
        <f>怪物信息表!C45</f>
        <v>5004</v>
      </c>
      <c r="E45" s="72">
        <f>VLOOKUP($C45,难度推算表,副本难度推算!$M$3,FALSE)*副本难度推算!$Y$5*Q45</f>
        <v>75283.541885462531</v>
      </c>
      <c r="F45" s="72">
        <f>VLOOKUP($C45,难度推算表,副本难度推算!$P$3,FALSE)*副本难度推算!$Z$5*$R45+VLOOKUP($C45,难度推算表,副本难度推算!$H$3,FALSE)</f>
        <v>4172.7400269939562</v>
      </c>
      <c r="G45" s="72">
        <f>VLOOKUP($C45,难度推算表,副本难度推算!$G$3,FALSE)-VLOOKUP($C45,难度推算表,副本难度推算!$I$3,FALSE)*(2-副本难度推算!$AA$5)*(2-$S45)</f>
        <v>1739.8987370434788</v>
      </c>
      <c r="H45" s="72">
        <f>VLOOKUP($C45,难度推算表,副本难度推算!$M$3,FALSE)*副本难度推算!$Y$6*Q45</f>
        <v>60226.833508370029</v>
      </c>
      <c r="I45" s="72">
        <f>VLOOKUP($C45,难度推算表,副本难度推算!$P$3,FALSE)*副本难度推算!$Z$6*$R45+VLOOKUP($C45,难度推算表,副本难度推算!$H$3,FALSE)</f>
        <v>3929.4558979989088</v>
      </c>
      <c r="J45" s="72">
        <f>VLOOKUP($C45,难度推算表,副本难度推算!$G$3,FALSE)-VLOOKUP($C45,难度推算表,副本难度推算!$I$3,FALSE)*(2-副本难度推算!$AA$6)*(2-$S45)</f>
        <v>1304.9240527826091</v>
      </c>
      <c r="K45" s="72">
        <f>VLOOKUP($C45,难度推算表,副本难度推算!$M$3,FALSE)*副本难度推算!$Y$7*Q45</f>
        <v>188208.85471365633</v>
      </c>
      <c r="L45" s="72">
        <f>VLOOKUP($C45,难度推算表,副本难度推算!$P$3,FALSE)*副本难度推算!$Z$7*$R45+VLOOKUP($C45,难度推算表,副本难度推算!$H$3,FALSE)</f>
        <v>4659.3082849840521</v>
      </c>
      <c r="M45" s="72">
        <f>VLOOKUP($C45,难度推算表,副本难度推算!$G$3,FALSE)-VLOOKUP($C45,难度推算表,副本难度推算!$I$3,FALSE)*(2-副本难度推算!$AA$7)*(2-$S45)</f>
        <v>2174.8734213043485</v>
      </c>
      <c r="N45" s="2">
        <f>VLOOKUP($C45,难度推算表,副本难度推算!$Q$3,FALSE)</f>
        <v>2728.9480000000003</v>
      </c>
      <c r="O45" s="2">
        <f>VLOOKUP($C45,难度推算表,副本难度推算!$R$3,FALSE)</f>
        <v>0</v>
      </c>
      <c r="Q45" s="46">
        <v>1</v>
      </c>
      <c r="R45" s="46">
        <v>1</v>
      </c>
      <c r="S45" s="46">
        <v>1</v>
      </c>
      <c r="T45">
        <f>SUMPRODUCT(K45:M45,[2]各种公式!$C$13:$E$13)</f>
        <v>14362.535894834653</v>
      </c>
    </row>
    <row r="46" spans="2:20">
      <c r="B46" t="str">
        <f>怪物并表!$R$7</f>
        <v>普通副本</v>
      </c>
      <c r="C46" s="2">
        <f>怪物信息表!B46</f>
        <v>42</v>
      </c>
      <c r="D46" s="50">
        <f>怪物信息表!C46</f>
        <v>5005</v>
      </c>
      <c r="E46" s="72">
        <f>VLOOKUP($C46,难度推算表,副本难度推算!$M$3,FALSE)*副本难度推算!$Y$5*Q46</f>
        <v>82503.226288916951</v>
      </c>
      <c r="F46" s="72">
        <f>VLOOKUP($C46,难度推算表,副本难度推算!$P$3,FALSE)*副本难度推算!$Z$5*$R46+VLOOKUP($C46,难度推算表,副本难度推算!$H$3,FALSE)</f>
        <v>4599.8513238166461</v>
      </c>
      <c r="G46" s="72">
        <f>VLOOKUP($C46,难度推算表,副本难度推算!$G$3,FALSE)-VLOOKUP($C46,难度推算表,副本难度推算!$I$3,FALSE)*(2-副本难度推算!$AA$5)*(2-$S46)</f>
        <v>1880.9845661538475</v>
      </c>
      <c r="H46" s="72">
        <f>VLOOKUP($C46,难度推算表,副本难度推算!$M$3,FALSE)*副本难度推算!$Y$6*Q46</f>
        <v>66002.581031133566</v>
      </c>
      <c r="I46" s="72">
        <f>VLOOKUP($C46,难度推算表,副本难度推算!$P$3,FALSE)*副本难度推算!$Z$6*$R46+VLOOKUP($C46,难度推算表,副本难度推算!$H$3,FALSE)</f>
        <v>4327.9646480503661</v>
      </c>
      <c r="J46" s="72">
        <f>VLOOKUP($C46,难度推算表,副本难度推算!$G$3,FALSE)-VLOOKUP($C46,难度推算表,副本难度推算!$I$3,FALSE)*(2-副本难度推算!$AA$6)*(2-$S46)</f>
        <v>1410.7384246153861</v>
      </c>
      <c r="K46" s="72">
        <f>VLOOKUP($C46,难度推算表,副本难度推算!$M$3,FALSE)*副本难度推算!$Y$7*Q46</f>
        <v>206258.06572229238</v>
      </c>
      <c r="L46" s="72">
        <f>VLOOKUP($C46,难度推算表,副本难度推算!$P$3,FALSE)*副本难度推算!$Z$7*$R46+VLOOKUP($C46,难度推算表,副本难度推算!$H$3,FALSE)</f>
        <v>5143.6246753492051</v>
      </c>
      <c r="M46" s="72">
        <f>VLOOKUP($C46,难度推算表,副本难度推算!$G$3,FALSE)-VLOOKUP($C46,难度推算表,副本难度推算!$I$3,FALSE)*(2-副本难度推算!$AA$7)*(2-$S46)</f>
        <v>2351.2307076923089</v>
      </c>
      <c r="N46" s="2">
        <f>VLOOKUP($C46,难度推算表,副本难度推算!$Q$3,FALSE)</f>
        <v>2787.1759999999999</v>
      </c>
      <c r="O46" s="2">
        <f>VLOOKUP($C46,难度推算表,副本难度推算!$R$3,FALSE)</f>
        <v>0</v>
      </c>
      <c r="Q46" s="46">
        <v>1</v>
      </c>
      <c r="R46" s="46">
        <v>1</v>
      </c>
      <c r="S46" s="46">
        <v>1</v>
      </c>
      <c r="T46">
        <f>SUMPRODUCT(K46:M46,[2]各种公式!$C$13:$E$13)</f>
        <v>15745.178011933211</v>
      </c>
    </row>
    <row r="47" spans="2:20">
      <c r="B47" t="str">
        <f>怪物并表!$R$7</f>
        <v>普通副本</v>
      </c>
      <c r="C47" s="2">
        <f>怪物信息表!B47</f>
        <v>43</v>
      </c>
      <c r="D47" s="50">
        <f>怪物信息表!C47</f>
        <v>5006</v>
      </c>
      <c r="E47" s="72">
        <f>VLOOKUP($C47,难度推算表,副本难度推算!$M$3,FALSE)*副本难度推算!$Y$5*Q47</f>
        <v>90187.609011053428</v>
      </c>
      <c r="F47" s="72">
        <f>VLOOKUP($C47,难度推算表,副本难度推算!$P$3,FALSE)*副本难度推算!$Z$5*$R47+VLOOKUP($C47,难度推算表,副本难度推算!$H$3,FALSE)</f>
        <v>5059.0247993310459</v>
      </c>
      <c r="G47" s="72">
        <f>VLOOKUP($C47,难度推算表,副本难度推算!$G$3,FALSE)-VLOOKUP($C47,难度推算表,副本难度推算!$I$3,FALSE)*(2-副本难度推算!$AA$5)*(2-$S47)</f>
        <v>2028.8536092842814</v>
      </c>
      <c r="H47" s="72">
        <f>VLOOKUP($C47,难度推算表,副本难度推算!$M$3,FALSE)*副本难度推算!$Y$6*Q47</f>
        <v>72150.087208842742</v>
      </c>
      <c r="I47" s="72">
        <f>VLOOKUP($C47,难度推算表,副本难度推算!$P$3,FALSE)*副本难度推算!$Z$6*$R47+VLOOKUP($C47,难度推算表,副本难度推算!$H$3,FALSE)</f>
        <v>4756.0076803263701</v>
      </c>
      <c r="J47" s="72">
        <f>VLOOKUP($C47,难度推算表,副本难度推算!$G$3,FALSE)-VLOOKUP($C47,难度推算表,副本难度推算!$I$3,FALSE)*(2-副本难度推算!$AA$6)*(2-$S47)</f>
        <v>1521.6402069632113</v>
      </c>
      <c r="K47" s="72">
        <f>VLOOKUP($C47,难度推算表,副本难度推算!$M$3,FALSE)*副本难度推算!$Y$7*Q47</f>
        <v>225469.02252763358</v>
      </c>
      <c r="L47" s="72">
        <f>VLOOKUP($C47,难度推算表,副本难度推算!$P$3,FALSE)*副本难度推算!$Z$7*$R47+VLOOKUP($C47,难度推算表,副本难度推算!$H$3,FALSE)</f>
        <v>5665.0590373403993</v>
      </c>
      <c r="M47" s="72">
        <f>VLOOKUP($C47,难度推算表,副本难度推算!$G$3,FALSE)-VLOOKUP($C47,难度推算表,副本难度推算!$I$3,FALSE)*(2-副本难度推算!$AA$7)*(2-$S47)</f>
        <v>2536.0670116053516</v>
      </c>
      <c r="N47" s="2">
        <f>VLOOKUP($C47,难度推算表,副本难度推算!$Q$3,FALSE)</f>
        <v>2845.404</v>
      </c>
      <c r="O47" s="2">
        <f>VLOOKUP($C47,难度推算表,副本难度推算!$R$3,FALSE)</f>
        <v>0</v>
      </c>
      <c r="Q47" s="46">
        <v>1</v>
      </c>
      <c r="R47" s="46">
        <v>1</v>
      </c>
      <c r="S47" s="46">
        <v>1</v>
      </c>
      <c r="T47">
        <f>SUMPRODUCT(K47:M47,[2]各种公式!$C$13:$E$13)</f>
        <v>17219.886950051092</v>
      </c>
    </row>
    <row r="48" spans="2:20">
      <c r="B48" t="str">
        <f>怪物并表!$R$7</f>
        <v>普通副本</v>
      </c>
      <c r="C48" s="2">
        <f>怪物信息表!B48</f>
        <v>44</v>
      </c>
      <c r="D48" s="50">
        <f>怪物信息表!C48</f>
        <v>5007</v>
      </c>
      <c r="E48" s="72">
        <f>VLOOKUP($C48,难度推算表,副本难度推算!$M$3,FALSE)*副本难度推算!$Y$5*Q48</f>
        <v>98353.993690285599</v>
      </c>
      <c r="F48" s="72">
        <f>VLOOKUP($C48,难度推算表,副本难度推算!$P$3,FALSE)*副本难度推算!$Z$5*$R48+VLOOKUP($C48,难度推算表,副本难度推算!$H$3,FALSE)</f>
        <v>5552.0186888561893</v>
      </c>
      <c r="G48" s="72">
        <f>VLOOKUP($C48,难度推算表,副本难度推算!$G$3,FALSE)-VLOOKUP($C48,难度推算表,副本难度推算!$I$3,FALSE)*(2-副本难度推算!$AA$5)*(2-$S48)</f>
        <v>2183.6391495919738</v>
      </c>
      <c r="H48" s="72">
        <f>VLOOKUP($C48,难度推算表,副本难度推算!$M$3,FALSE)*副本难度推算!$Y$6*Q48</f>
        <v>78683.194952228485</v>
      </c>
      <c r="I48" s="72">
        <f>VLOOKUP($C48,难度推算表,副本难度推算!$P$3,FALSE)*副本难度推算!$Z$6*$R48+VLOOKUP($C48,难度推算表,副本难度推算!$H$3,FALSE)</f>
        <v>5215.1807349297678</v>
      </c>
      <c r="J48" s="72">
        <f>VLOOKUP($C48,难度推算表,副本难度推算!$G$3,FALSE)-VLOOKUP($C48,难度推算表,副本难度推算!$I$3,FALSE)*(2-副本难度推算!$AA$6)*(2-$S48)</f>
        <v>1637.7293621939807</v>
      </c>
      <c r="K48" s="72">
        <f>VLOOKUP($C48,难度推算表,副本难度推算!$M$3,FALSE)*副本难度推算!$Y$7*Q48</f>
        <v>245884.984225714</v>
      </c>
      <c r="L48" s="72">
        <f>VLOOKUP($C48,难度推算表,副本难度推算!$P$3,FALSE)*副本难度推算!$Z$7*$R48+VLOOKUP($C48,难度推算表,副本难度推算!$H$3,FALSE)</f>
        <v>6225.6945967090323</v>
      </c>
      <c r="M48" s="72">
        <f>VLOOKUP($C48,难度推算表,副本难度推算!$G$3,FALSE)-VLOOKUP($C48,难度推算表,副本难度推算!$I$3,FALSE)*(2-副本难度推算!$AA$7)*(2-$S48)</f>
        <v>2729.5489369899669</v>
      </c>
      <c r="N48" s="2">
        <f>VLOOKUP($C48,难度推算表,副本难度推算!$Q$3,FALSE)</f>
        <v>2903.6320000000001</v>
      </c>
      <c r="O48" s="2">
        <f>VLOOKUP($C48,难度推算表,副本难度推算!$R$3,FALSE)</f>
        <v>0</v>
      </c>
      <c r="Q48" s="46">
        <v>1</v>
      </c>
      <c r="R48" s="46">
        <v>1</v>
      </c>
      <c r="S48" s="46">
        <v>1</v>
      </c>
      <c r="T48">
        <f>SUMPRODUCT(K48:M48,[2]各种公式!$C$13:$E$13)</f>
        <v>18790.642902727559</v>
      </c>
    </row>
    <row r="49" spans="2:20">
      <c r="B49" t="str">
        <f>怪物并表!$R$7</f>
        <v>普通副本</v>
      </c>
      <c r="C49" s="2">
        <f>怪物信息表!B49</f>
        <v>45</v>
      </c>
      <c r="D49" s="50">
        <f>怪物信息表!C49</f>
        <v>5008</v>
      </c>
      <c r="E49" s="72">
        <f>VLOOKUP($C49,难度推算表,副本难度推算!$M$3,FALSE)*副本难度推算!$Y$5*Q49</f>
        <v>107019.955261108</v>
      </c>
      <c r="F49" s="72">
        <f>VLOOKUP($C49,难度推算表,副本难度推算!$P$3,FALSE)*副本难度推算!$Z$5*$R49+VLOOKUP($C49,难度推算表,副本难度推算!$H$3,FALSE)</f>
        <v>6080.6679297034661</v>
      </c>
      <c r="G49" s="72">
        <f>VLOOKUP($C49,难度推算表,副本难度推算!$G$3,FALSE)-VLOOKUP($C49,难度推算表,副本难度推算!$I$3,FALSE)*(2-副本难度推算!$AA$5)*(2-$S49)</f>
        <v>2345.4744702341145</v>
      </c>
      <c r="H49" s="72">
        <f>VLOOKUP($C49,难度推算表,副本难度推算!$M$3,FALSE)*副本难度推算!$Y$6*Q49</f>
        <v>85615.964208886406</v>
      </c>
      <c r="I49" s="72">
        <f>VLOOKUP($C49,难度推算表,副本难度推算!$P$3,FALSE)*副本难度推算!$Z$6*$R49+VLOOKUP($C49,难度推算表,副本难度推算!$H$3,FALSE)</f>
        <v>5707.1485837565306</v>
      </c>
      <c r="J49" s="72">
        <f>VLOOKUP($C49,难度推算表,副本难度推算!$G$3,FALSE)-VLOOKUP($C49,难度推算表,副本难度推算!$I$3,FALSE)*(2-副本难度推算!$AA$6)*(2-$S49)</f>
        <v>1759.105852675586</v>
      </c>
      <c r="K49" s="72">
        <f>VLOOKUP($C49,难度推算表,副本难度推算!$M$3,FALSE)*副本难度推算!$Y$7*Q49</f>
        <v>267549.88815277</v>
      </c>
      <c r="L49" s="72">
        <f>VLOOKUP($C49,难度推算表,副本难度推算!$P$3,FALSE)*副本难度推算!$Z$7*$R49+VLOOKUP($C49,难度推算表,副本难度推算!$H$3,FALSE)</f>
        <v>6827.7066215973355</v>
      </c>
      <c r="M49" s="72">
        <f>VLOOKUP($C49,难度推算表,副本难度推算!$G$3,FALSE)-VLOOKUP($C49,难度推算表,副本难度推算!$I$3,FALSE)*(2-副本难度推算!$AA$7)*(2-$S49)</f>
        <v>2931.843087792643</v>
      </c>
      <c r="N49" s="2">
        <f>VLOOKUP($C49,难度推算表,副本难度推算!$Q$3,FALSE)</f>
        <v>2961.86</v>
      </c>
      <c r="O49" s="2">
        <f>VLOOKUP($C49,难度推算表,副本难度推算!$R$3,FALSE)</f>
        <v>0</v>
      </c>
      <c r="Q49" s="46">
        <v>1</v>
      </c>
      <c r="R49" s="46">
        <v>1</v>
      </c>
      <c r="S49" s="46">
        <v>1</v>
      </c>
      <c r="T49">
        <f>SUMPRODUCT(K49:M49,[2]各种公式!$C$13:$E$13)</f>
        <v>20461.54523550078</v>
      </c>
    </row>
    <row r="50" spans="2:20" s="102" customFormat="1">
      <c r="B50" s="102" t="str">
        <f>怪物并表!$R$7</f>
        <v>普通副本</v>
      </c>
      <c r="C50" s="103">
        <f>怪物信息表!B50</f>
        <v>46</v>
      </c>
      <c r="D50" s="104">
        <f>怪物信息表!C50</f>
        <v>5009</v>
      </c>
      <c r="E50" s="105">
        <f>VLOOKUP($C50,难度推算表,副本难度推算!$M$3,FALSE)*副本难度推算!$Y$5*Q50</f>
        <v>139444.0078763224</v>
      </c>
      <c r="F50" s="105">
        <f>VLOOKUP($C50,难度推算表,副本难度推算!$P$3,FALSE)*副本难度推算!$Z$5*$R50+VLOOKUP($C50,难度推算表,副本难度推算!$H$3,FALSE)</f>
        <v>7473.366236449604</v>
      </c>
      <c r="G50" s="105">
        <f>VLOOKUP($C50,难度推算表,副本难度推算!$G$3,FALSE)-VLOOKUP($C50,难度推算表,副本难度推算!$I$3,FALSE)*(2-副本难度推算!$AA$5)*(2-$S50)</f>
        <v>3143.1160679598675</v>
      </c>
      <c r="H50" s="105">
        <f>VLOOKUP($C50,难度推算表,副本难度推算!$M$3,FALSE)*副本难度推算!$Y$6*Q50</f>
        <v>111555.20630105794</v>
      </c>
      <c r="I50" s="105">
        <f>VLOOKUP($C50,难度推算表,副本难度推算!$P$3,FALSE)*副本难度推算!$Z$6*$R50+VLOOKUP($C50,难度推算表,副本难度推算!$H$3,FALSE)</f>
        <v>6977.4788982414339</v>
      </c>
      <c r="J50" s="105">
        <f>VLOOKUP($C50,难度推算表,副本难度推算!$G$3,FALSE)-VLOOKUP($C50,难度推算表,副本难度推算!$I$3,FALSE)*(2-副本难度推算!$AA$6)*(2-$S50)</f>
        <v>2640.2174970862889</v>
      </c>
      <c r="K50" s="105">
        <f>VLOOKUP($C50,难度推算表,副本难度推算!$M$3,FALSE)*副本难度推算!$Y$7*Q50</f>
        <v>348610.01969080599</v>
      </c>
      <c r="L50" s="105">
        <f>VLOOKUP($C50,难度推算表,副本难度推算!$P$3,FALSE)*副本难度推算!$Z$7*$R50+VLOOKUP($C50,难度推算表,副本难度推算!$H$3,FALSE)</f>
        <v>8465.140912865947</v>
      </c>
      <c r="M50" s="105">
        <f>VLOOKUP($C50,难度推算表,副本难度推算!$G$3,FALSE)-VLOOKUP($C50,难度推算表,副本难度推算!$I$3,FALSE)*(2-副本难度推算!$AA$7)*(2-$S50)</f>
        <v>3646.014638833446</v>
      </c>
      <c r="N50" s="103">
        <f>VLOOKUP($C50,难度推算表,副本难度推算!$Q$3,FALSE)</f>
        <v>3020.0879999999997</v>
      </c>
      <c r="O50" s="103">
        <f>VLOOKUP($C50,难度推算表,副本难度推算!$R$3,FALSE)</f>
        <v>0</v>
      </c>
      <c r="Q50" s="46">
        <v>1.2</v>
      </c>
      <c r="R50" s="46">
        <v>1.2</v>
      </c>
      <c r="S50" s="106">
        <v>1.2</v>
      </c>
      <c r="T50">
        <f>SUMPRODUCT(K50:M50,[2]各种公式!$C$13:$E$13)</f>
        <v>26055.556339331633</v>
      </c>
    </row>
    <row r="51" spans="2:20">
      <c r="B51" t="str">
        <f>怪物并表!$R$7</f>
        <v>普通副本</v>
      </c>
      <c r="C51" s="2">
        <f>怪物信息表!B51</f>
        <v>47</v>
      </c>
      <c r="D51" s="50">
        <f>怪物信息表!C51</f>
        <v>6001</v>
      </c>
      <c r="E51" s="72">
        <f>VLOOKUP($C51,难度推算表,副本难度推算!$M$3,FALSE)*副本难度推算!$Y$5*Q51</f>
        <v>125922.2649424351</v>
      </c>
      <c r="F51" s="72">
        <f>VLOOKUP($C51,难度推算表,副本难度推算!$P$3,FALSE)*副本难度推算!$Z$5*$R51+VLOOKUP($C51,难度推算表,副本难度推算!$H$3,FALSE)</f>
        <v>7252.6749534835508</v>
      </c>
      <c r="G51" s="72">
        <f>VLOOKUP($C51,难度推算表,副本难度推算!$G$3,FALSE)-VLOOKUP($C51,难度推算表,副本难度推算!$I$3,FALSE)*(2-副本难度推算!$AA$5)*(2-$S51)</f>
        <v>2690.8275851505027</v>
      </c>
      <c r="H51" s="72">
        <f>VLOOKUP($C51,难度推算表,副本难度推算!$M$3,FALSE)*副本难度推算!$Y$6*Q51</f>
        <v>100737.81195394808</v>
      </c>
      <c r="I51" s="72">
        <f>VLOOKUP($C51,难度推算表,副本难度推算!$P$3,FALSE)*副本难度推算!$Z$6*$R51+VLOOKUP($C51,难度推算表,副本难度推算!$H$3,FALSE)</f>
        <v>6796.490216650247</v>
      </c>
      <c r="J51" s="72">
        <f>VLOOKUP($C51,难度推算表,副本难度推算!$G$3,FALSE)-VLOOKUP($C51,难度推算表,副本难度推算!$I$3,FALSE)*(2-副本难度推算!$AA$6)*(2-$S51)</f>
        <v>2018.1206888628776</v>
      </c>
      <c r="K51" s="72">
        <f>VLOOKUP($C51,难度推算表,副本难度推算!$M$3,FALSE)*副本难度推算!$Y$7*Q51</f>
        <v>314805.66235608776</v>
      </c>
      <c r="L51" s="72">
        <f>VLOOKUP($C51,难度推算表,副本难度推算!$P$3,FALSE)*副本难度推算!$Z$7*$R51+VLOOKUP($C51,难度推算表,副本难度推算!$H$3,FALSE)</f>
        <v>8165.0444271501601</v>
      </c>
      <c r="M51" s="72">
        <f>VLOOKUP($C51,难度推算表,副本难度推算!$G$3,FALSE)-VLOOKUP($C51,难度推算表,副本难度推算!$I$3,FALSE)*(2-副本难度推算!$AA$7)*(2-$S51)</f>
        <v>3363.5344814381278</v>
      </c>
      <c r="N51" s="2">
        <f>VLOOKUP($C51,难度推算表,副本难度推算!$Q$3,FALSE)</f>
        <v>3078.3160000000003</v>
      </c>
      <c r="O51" s="2">
        <f>VLOOKUP($C51,难度推算表,副本难度推算!$R$3,FALSE)</f>
        <v>0</v>
      </c>
      <c r="Q51" s="46">
        <v>1</v>
      </c>
      <c r="R51" s="46">
        <v>1</v>
      </c>
      <c r="S51" s="46">
        <v>1</v>
      </c>
      <c r="T51">
        <f>SUMPRODUCT(K51:M51,[2]各种公式!$C$13:$E$13)</f>
        <v>24120.805402831797</v>
      </c>
    </row>
    <row r="52" spans="2:20">
      <c r="B52" t="str">
        <f>怪物并表!$R$7</f>
        <v>普通副本</v>
      </c>
      <c r="C52" s="2">
        <f>怪物信息表!B52</f>
        <v>48</v>
      </c>
      <c r="D52" s="50">
        <f>怪物信息表!C52</f>
        <v>6002</v>
      </c>
      <c r="E52" s="72">
        <f>VLOOKUP($C52,难度推算表,副本难度推算!$M$3,FALSE)*副本难度推算!$Y$5*Q52</f>
        <v>136195.11883701631</v>
      </c>
      <c r="F52" s="72">
        <f>VLOOKUP($C52,难度推算表,副本难度推算!$P$3,FALSE)*副本难度推算!$Z$5*$R52+VLOOKUP($C52,难度推算表,副本难度推算!$H$3,FALSE)</f>
        <v>7900.1155315134383</v>
      </c>
      <c r="G52" s="72">
        <f>VLOOKUP($C52,难度推算表,副本难度推算!$G$3,FALSE)-VLOOKUP($C52,难度推算表,副本难度推算!$I$3,FALSE)*(2-副本难度推算!$AA$5)*(2-$S52)</f>
        <v>2874.6119457391319</v>
      </c>
      <c r="H52" s="72">
        <f>VLOOKUP($C52,难度推算表,副本难度推算!$M$3,FALSE)*副本难度推算!$Y$6*Q52</f>
        <v>108956.09506961306</v>
      </c>
      <c r="I52" s="72">
        <f>VLOOKUP($C52,难度推算表,副本难度推算!$P$3,FALSE)*副本难度推算!$Z$6*$R52+VLOOKUP($C52,难度推算表,副本难度推算!$H$3,FALSE)</f>
        <v>7397.565172936007</v>
      </c>
      <c r="J52" s="72">
        <f>VLOOKUP($C52,难度推算表,副本难度推算!$G$3,FALSE)-VLOOKUP($C52,难度推算表,副本难度推算!$I$3,FALSE)*(2-副本难度推算!$AA$6)*(2-$S52)</f>
        <v>2155.9589593043493</v>
      </c>
      <c r="K52" s="72">
        <f>VLOOKUP($C52,难度推算表,副本难度推算!$M$3,FALSE)*副本难度推算!$Y$7*Q52</f>
        <v>340487.79709254077</v>
      </c>
      <c r="L52" s="72">
        <f>VLOOKUP($C52,难度推算表,副本难度推算!$P$3,FALSE)*副本难度推算!$Z$7*$R52+VLOOKUP($C52,难度推算表,副本难度推算!$H$3,FALSE)</f>
        <v>8905.2162486682992</v>
      </c>
      <c r="M52" s="72">
        <f>VLOOKUP($C52,难度推算表,副本难度推算!$G$3,FALSE)-VLOOKUP($C52,难度推算表,副本难度推算!$I$3,FALSE)*(2-副本难度推算!$AA$7)*(2-$S52)</f>
        <v>3593.2649321739145</v>
      </c>
      <c r="N52" s="2">
        <f>VLOOKUP($C52,难度推算表,副本难度推算!$Q$3,FALSE)</f>
        <v>3136.5439999999999</v>
      </c>
      <c r="O52" s="2">
        <f>VLOOKUP($C52,难度推算表,副本难度推算!$R$3,FALSE)</f>
        <v>0</v>
      </c>
      <c r="Q52" s="46">
        <v>1</v>
      </c>
      <c r="R52" s="46">
        <v>1</v>
      </c>
      <c r="S52" s="46">
        <v>1</v>
      </c>
      <c r="T52">
        <f>SUMPRODUCT(K52:M52,[2]各种公式!$C$13:$E$13)</f>
        <v>26117.993064543844</v>
      </c>
    </row>
    <row r="53" spans="2:20">
      <c r="B53" t="str">
        <f>怪物并表!$R$7</f>
        <v>普通副本</v>
      </c>
      <c r="C53" s="2">
        <f>怪物信息表!B53</f>
        <v>49</v>
      </c>
      <c r="D53" s="50">
        <f>怪物信息表!C53</f>
        <v>6003</v>
      </c>
      <c r="E53" s="72">
        <f>VLOOKUP($C53,难度推算表,副本难度推算!$M$3,FALSE)*副本难度推算!$Y$5*Q53</f>
        <v>147040.56103089673</v>
      </c>
      <c r="F53" s="72">
        <f>VLOOKUP($C53,难度推算表,副本难度推算!$P$3,FALSE)*副本难度推算!$Z$5*$R53+VLOOKUP($C53,难度推算表,副本难度推算!$H$3,FALSE)</f>
        <v>8591.3842425963048</v>
      </c>
      <c r="G53" s="72">
        <f>VLOOKUP($C53,难度推算表,副本难度推算!$G$3,FALSE)-VLOOKUP($C53,难度推算表,副本难度推算!$I$3,FALSE)*(2-副本难度推算!$AA$5)*(2-$S53)</f>
        <v>3065.9792192909717</v>
      </c>
      <c r="H53" s="72">
        <f>VLOOKUP($C53,难度推算表,副本难度推算!$M$3,FALSE)*副本难度推算!$Y$6*Q53</f>
        <v>117632.44882471739</v>
      </c>
      <c r="I53" s="72">
        <f>VLOOKUP($C53,难度推算表,副本难度推算!$P$3,FALSE)*副本难度推算!$Z$6*$R53+VLOOKUP($C53,难度推算表,副本难度推算!$H$3,FALSE)</f>
        <v>8038.8437402657719</v>
      </c>
      <c r="J53" s="72">
        <f>VLOOKUP($C53,难度推算表,副本难度推算!$G$3,FALSE)-VLOOKUP($C53,难度推算表,副本难度推算!$I$3,FALSE)*(2-副本难度推算!$AA$6)*(2-$S53)</f>
        <v>2299.4844144682293</v>
      </c>
      <c r="K53" s="72">
        <f>VLOOKUP($C53,难度推算表,副本难度推算!$M$3,FALSE)*副本难度推算!$Y$7*Q53</f>
        <v>367601.40257724182</v>
      </c>
      <c r="L53" s="72">
        <f>VLOOKUP($C53,难度推算表,副本难度推算!$P$3,FALSE)*副本难度推算!$Z$7*$R53+VLOOKUP($C53,难度推算表,副本难度推算!$H$3,FALSE)</f>
        <v>9696.4652472573725</v>
      </c>
      <c r="M53" s="72">
        <f>VLOOKUP($C53,难度推算表,副本难度推算!$G$3,FALSE)-VLOOKUP($C53,难度推算表,副本难度推算!$I$3,FALSE)*(2-副本难度推算!$AA$7)*(2-$S53)</f>
        <v>3832.4740241137142</v>
      </c>
      <c r="N53" s="2">
        <f>VLOOKUP($C53,难度推算表,副本难度推算!$Q$3,FALSE)</f>
        <v>3194.7719999999999</v>
      </c>
      <c r="O53" s="2">
        <f>VLOOKUP($C53,难度推算表,副本难度推算!$R$3,FALSE)</f>
        <v>0</v>
      </c>
      <c r="Q53" s="46">
        <v>1</v>
      </c>
      <c r="R53" s="46">
        <v>1</v>
      </c>
      <c r="S53" s="46">
        <v>1</v>
      </c>
      <c r="T53">
        <f>SUMPRODUCT(K53:M53,[2]各种公式!$C$13:$E$13)</f>
        <v>28232.995374460759</v>
      </c>
    </row>
    <row r="54" spans="2:20">
      <c r="B54" t="str">
        <f>怪物并表!$R$7</f>
        <v>普通副本</v>
      </c>
      <c r="C54" s="2">
        <f>怪物信息表!B54</f>
        <v>50</v>
      </c>
      <c r="D54" s="50">
        <f>怪物信息表!C54</f>
        <v>6004</v>
      </c>
      <c r="E54" s="72">
        <f>VLOOKUP($C54,难度推算表,副本难度推算!$M$3,FALSE)*副本难度推算!$Y$5*Q54</f>
        <v>159520.13717059622</v>
      </c>
      <c r="F54" s="72">
        <f>VLOOKUP($C54,难度推算表,副本难度推算!$P$3,FALSE)*副本难度推算!$Z$5*$R54+VLOOKUP($C54,难度推算表,副本难度推算!$H$3,FALSE)</f>
        <v>9390.1238987099896</v>
      </c>
      <c r="G54" s="72">
        <f>VLOOKUP($C54,难度推算表,副本难度推算!$G$3,FALSE)-VLOOKUP($C54,难度推算表,副本难度推算!$I$3,FALSE)*(2-副本难度推算!$AA$5)*(2-$S54)</f>
        <v>3286.5433645484964</v>
      </c>
      <c r="H54" s="72">
        <f>VLOOKUP($C54,难度推算表,副本难度推算!$M$3,FALSE)*副本难度推算!$Y$6*Q54</f>
        <v>127616.10973647698</v>
      </c>
      <c r="I54" s="72">
        <f>VLOOKUP($C54,难度推算表,副本难度推算!$P$3,FALSE)*副本难度推算!$Z$6*$R54+VLOOKUP($C54,难度推算表,副本难度推算!$H$3,FALSE)</f>
        <v>8779.7658452938413</v>
      </c>
      <c r="J54" s="72">
        <f>VLOOKUP($C54,难度推算表,副本难度推算!$G$3,FALSE)-VLOOKUP($C54,难度推算表,副本难度推算!$I$3,FALSE)*(2-副本难度推算!$AA$6)*(2-$S54)</f>
        <v>2464.9075234113725</v>
      </c>
      <c r="K54" s="72">
        <f>VLOOKUP($C54,难度推算表,副本难度推算!$M$3,FALSE)*副本难度推算!$Y$7*Q54</f>
        <v>398800.34292649059</v>
      </c>
      <c r="L54" s="72">
        <f>VLOOKUP($C54,难度推算表,副本难度推算!$P$3,FALSE)*副本难度推算!$Z$7*$R54+VLOOKUP($C54,难度推算表,副本难度推算!$H$3,FALSE)</f>
        <v>10610.840005542288</v>
      </c>
      <c r="M54" s="72">
        <f>VLOOKUP($C54,难度推算表,副本难度推算!$G$3,FALSE)-VLOOKUP($C54,难度推算表,副本难度推算!$I$3,FALSE)*(2-副本难度推算!$AA$7)*(2-$S54)</f>
        <v>4108.1792056856202</v>
      </c>
      <c r="N54" s="2">
        <f>VLOOKUP($C54,难度推算表,副本难度推算!$Q$3,FALSE)</f>
        <v>3253</v>
      </c>
      <c r="O54" s="2">
        <f>VLOOKUP($C54,难度推算表,副本难度推算!$R$3,FALSE)</f>
        <v>0</v>
      </c>
      <c r="Q54" s="46">
        <v>1</v>
      </c>
      <c r="R54" s="46">
        <v>1</v>
      </c>
      <c r="S54" s="46">
        <v>1</v>
      </c>
      <c r="T54">
        <f>SUMPRODUCT(K54:M54,[2]各种公式!$C$13:$E$13)</f>
        <v>30671.032928287532</v>
      </c>
    </row>
    <row r="55" spans="2:20">
      <c r="B55" t="str">
        <f>怪物并表!$R$7</f>
        <v>普通副本</v>
      </c>
      <c r="C55" s="2">
        <f>怪物信息表!B55</f>
        <v>51</v>
      </c>
      <c r="D55" s="50">
        <f>怪物信息表!C55</f>
        <v>6005</v>
      </c>
      <c r="E55" s="72">
        <f>VLOOKUP($C55,难度推算表,副本难度推算!$M$3,FALSE)*副本难度推算!$Y$5*Q55</f>
        <v>169633.39780854934</v>
      </c>
      <c r="F55" s="72">
        <f>VLOOKUP($C55,难度推算表,副本难度推算!$P$3,FALSE)*副本难度推算!$Z$5*$R55+VLOOKUP($C55,难度推算表,副本难度推算!$H$3,FALSE)</f>
        <v>10244.256367580459</v>
      </c>
      <c r="G55" s="72">
        <f>VLOOKUP($C55,难度推算表,副本难度推算!$G$3,FALSE)-VLOOKUP($C55,难度推算表,副本难度推算!$I$3,FALSE)*(2-副本难度推算!$AA$5)*(2-$S55)</f>
        <v>3516.5084025016731</v>
      </c>
      <c r="H55" s="72">
        <f>VLOOKUP($C55,难度推算表,副本难度推算!$M$3,FALSE)*副本难度推算!$Y$6*Q55</f>
        <v>135706.71824683947</v>
      </c>
      <c r="I55" s="72">
        <f>VLOOKUP($C55,难度推算表,副本难度推算!$P$3,FALSE)*副本难度推算!$Z$6*$R55+VLOOKUP($C55,难度推算表,副本难度推算!$H$3,FALSE)</f>
        <v>9571.4815710725816</v>
      </c>
      <c r="J55" s="72">
        <f>VLOOKUP($C55,难度推算表,副本难度推算!$G$3,FALSE)-VLOOKUP($C55,难度推算表,副本难度推算!$I$3,FALSE)*(2-副本难度推算!$AA$6)*(2-$S55)</f>
        <v>2653.0489135705693</v>
      </c>
      <c r="K55" s="72">
        <f>VLOOKUP($C55,难度推算表,副本难度推算!$M$3,FALSE)*副本难度推算!$Y$7*Q55</f>
        <v>424083.49452137336</v>
      </c>
      <c r="L55" s="72">
        <f>VLOOKUP($C55,难度推算表,副本难度推算!$P$3,FALSE)*副本难度推算!$Z$7*$R55+VLOOKUP($C55,难度推算表,副本难度推算!$H$3,FALSE)</f>
        <v>11589.805960596215</v>
      </c>
      <c r="M55" s="72">
        <f>VLOOKUP($C55,难度推算表,副本难度推算!$G$3,FALSE)-VLOOKUP($C55,难度推算表,副本难度推算!$I$3,FALSE)*(2-副本难度推算!$AA$7)*(2-$S55)</f>
        <v>4379.9678914327769</v>
      </c>
      <c r="N55" s="2">
        <f>VLOOKUP($C55,难度推算表,副本难度推算!$Q$3,FALSE)</f>
        <v>3311.2280000000001</v>
      </c>
      <c r="O55" s="2">
        <f>VLOOKUP($C55,难度推算表,副本难度推算!$R$3,FALSE)</f>
        <v>0</v>
      </c>
      <c r="Q55" s="46">
        <v>1</v>
      </c>
      <c r="R55" s="46">
        <v>1</v>
      </c>
      <c r="S55" s="46">
        <v>1</v>
      </c>
      <c r="T55">
        <f>SUMPRODUCT(K55:M55,[2]各种公式!$C$13:$E$13)</f>
        <v>32933.113632883927</v>
      </c>
    </row>
    <row r="56" spans="2:20">
      <c r="B56" t="str">
        <f>怪物并表!$R$7</f>
        <v>普通副本</v>
      </c>
      <c r="C56" s="2">
        <f>怪物信息表!B56</f>
        <v>52</v>
      </c>
      <c r="D56" s="50">
        <f>怪物信息表!C56</f>
        <v>6006</v>
      </c>
      <c r="E56" s="72">
        <f>VLOOKUP($C56,难度推算表,副本难度推算!$M$3,FALSE)*副本难度推算!$Y$5*Q56</f>
        <v>186638.13280369047</v>
      </c>
      <c r="F56" s="72">
        <f>VLOOKUP($C56,难度推算表,副本难度推算!$P$3,FALSE)*副本难度推算!$Z$5*$R56+VLOOKUP($C56,难度推算表,副本难度推算!$H$3,FALSE)</f>
        <v>11156.687602230384</v>
      </c>
      <c r="G56" s="72">
        <f>VLOOKUP($C56,难度推算表,副本难度推算!$G$3,FALSE)-VLOOKUP($C56,难度推算表,副本难度推算!$I$3,FALSE)*(2-副本难度推算!$AA$5)*(2-$S56)</f>
        <v>3756.040937096991</v>
      </c>
      <c r="H56" s="72">
        <f>VLOOKUP($C56,难度推算表,副本难度推算!$M$3,FALSE)*副本难度推算!$Y$6*Q56</f>
        <v>149310.5062429524</v>
      </c>
      <c r="I56" s="72">
        <f>VLOOKUP($C56,难度推算表,副本难度推算!$P$3,FALSE)*副本难度推算!$Z$6*$R56+VLOOKUP($C56,难度推算表,副本难度推算!$H$3,FALSE)</f>
        <v>10416.622935717045</v>
      </c>
      <c r="J56" s="72">
        <f>VLOOKUP($C56,难度推算表,副本难度推算!$G$3,FALSE)-VLOOKUP($C56,难度推算表,副本难度推算!$I$3,FALSE)*(2-副本难度推算!$AA$6)*(2-$S56)</f>
        <v>2817.0307028227435</v>
      </c>
      <c r="K56" s="72">
        <f>VLOOKUP($C56,难度推算表,副本难度推算!$M$3,FALSE)*副本难度推算!$Y$7*Q56</f>
        <v>466595.3320092262</v>
      </c>
      <c r="L56" s="72">
        <f>VLOOKUP($C56,难度推算表,副本难度推算!$P$3,FALSE)*副本难度推算!$Z$7*$R56+VLOOKUP($C56,难度推算表,副本难度推算!$H$3,FALSE)</f>
        <v>12636.816935257062</v>
      </c>
      <c r="M56" s="72">
        <f>VLOOKUP($C56,难度推算表,副本难度推算!$G$3,FALSE)-VLOOKUP($C56,难度推算表,副本难度推算!$I$3,FALSE)*(2-副本难度推算!$AA$7)*(2-$S56)</f>
        <v>4695.0511713712385</v>
      </c>
      <c r="N56" s="2">
        <f>VLOOKUP($C56,难度推算表,副本难度推算!$Q$3,FALSE)</f>
        <v>3369.4560000000001</v>
      </c>
      <c r="O56" s="2">
        <f>VLOOKUP($C56,难度推算表,副本难度推算!$R$3,FALSE)</f>
        <v>0</v>
      </c>
      <c r="Q56" s="46">
        <v>1</v>
      </c>
      <c r="R56" s="46">
        <v>1</v>
      </c>
      <c r="S56" s="46">
        <v>1</v>
      </c>
      <c r="T56">
        <f>SUMPRODUCT(K56:M56,[2]各种公式!$C$13:$E$13)</f>
        <v>35995.681386997348</v>
      </c>
    </row>
    <row r="57" spans="2:20">
      <c r="B57" t="str">
        <f>怪物并表!$R$7</f>
        <v>普通副本</v>
      </c>
      <c r="C57" s="2">
        <f>怪物信息表!B57</f>
        <v>53</v>
      </c>
      <c r="D57" s="50">
        <f>怪物信息表!C57</f>
        <v>6007</v>
      </c>
      <c r="E57" s="72">
        <f>VLOOKUP($C57,难度推算表,副本难度推算!$M$3,FALSE)*副本难度推算!$Y$5*Q57</f>
        <v>201324.31814386719</v>
      </c>
      <c r="F57" s="72">
        <f>VLOOKUP($C57,难度推算表,副本难度推算!$P$3,FALSE)*副本难度推算!$Z$5*$R57+VLOOKUP($C57,难度推算表,副本难度推算!$H$3,FALSE)</f>
        <v>12130.451101695657</v>
      </c>
      <c r="G57" s="72">
        <f>VLOOKUP($C57,难度推算表,副本难度推算!$G$3,FALSE)-VLOOKUP($C57,难度推算表,副本难度推算!$I$3,FALSE)*(2-副本难度推算!$AA$5)*(2-$S57)</f>
        <v>4005.3075722809381</v>
      </c>
      <c r="H57" s="72">
        <f>VLOOKUP($C57,难度推算表,副本难度推算!$M$3,FALSE)*副本难度推算!$Y$6*Q57</f>
        <v>161059.45451509376</v>
      </c>
      <c r="I57" s="72">
        <f>VLOOKUP($C57,难度推算表,副本难度推算!$P$3,FALSE)*副本难度推算!$Z$6*$R57+VLOOKUP($C57,难度推算表,副本难度推算!$H$3,FALSE)</f>
        <v>11317.936748754186</v>
      </c>
      <c r="J57" s="72">
        <f>VLOOKUP($C57,难度推算表,副本难度推算!$G$3,FALSE)-VLOOKUP($C57,难度推算表,副本难度推算!$I$3,FALSE)*(2-副本难度推算!$AA$6)*(2-$S57)</f>
        <v>3003.9806792107038</v>
      </c>
      <c r="K57" s="72">
        <f>VLOOKUP($C57,难度推算表,副本难度推算!$M$3,FALSE)*副本难度推算!$Y$7*Q57</f>
        <v>503310.79535966797</v>
      </c>
      <c r="L57" s="72">
        <f>VLOOKUP($C57,难度推算表,副本难度推算!$P$3,FALSE)*副本难度推算!$Z$7*$R57+VLOOKUP($C57,难度推算表,副本难度推算!$H$3,FALSE)</f>
        <v>13755.479807578598</v>
      </c>
      <c r="M57" s="72">
        <f>VLOOKUP($C57,难度推算表,副本难度推算!$G$3,FALSE)-VLOOKUP($C57,难度推算表,副本难度推算!$I$3,FALSE)*(2-副本难度推算!$AA$7)*(2-$S57)</f>
        <v>5006.6344653511724</v>
      </c>
      <c r="N57" s="2">
        <f>VLOOKUP($C57,难度推算表,副本难度推算!$Q$3,FALSE)</f>
        <v>3427.6839999999997</v>
      </c>
      <c r="O57" s="2">
        <f>VLOOKUP($C57,难度推算表,副本难度推算!$R$3,FALSE)</f>
        <v>0</v>
      </c>
      <c r="Q57" s="46">
        <v>1</v>
      </c>
      <c r="R57" s="46">
        <v>1</v>
      </c>
      <c r="S57" s="46">
        <v>1</v>
      </c>
      <c r="T57">
        <f>SUMPRODUCT(K57:M57,[2]各种公式!$C$13:$E$13)</f>
        <v>38894.546087316492</v>
      </c>
    </row>
    <row r="58" spans="2:20">
      <c r="B58" t="str">
        <f>怪物并表!$R$7</f>
        <v>普通副本</v>
      </c>
      <c r="C58" s="2">
        <f>怪物信息表!B58</f>
        <v>54</v>
      </c>
      <c r="D58" s="50">
        <f>怪物信息表!C58</f>
        <v>6008</v>
      </c>
      <c r="E58" s="72">
        <f>VLOOKUP($C58,难度推算表,副本难度推算!$M$3,FALSE)*副本难度推算!$Y$5*Q58</f>
        <v>216794.36946781015</v>
      </c>
      <c r="F58" s="72">
        <f>VLOOKUP($C58,难度推算表,副本难度推算!$P$3,FALSE)*副本难度推算!$Z$5*$R58+VLOOKUP($C58,难度推算表,副本难度推算!$H$3,FALSE)</f>
        <v>13168.713571351393</v>
      </c>
      <c r="G58" s="72">
        <f>VLOOKUP($C58,难度推算表,副本难度推算!$G$3,FALSE)-VLOOKUP($C58,难度推算表,副本难度推算!$I$3,FALSE)*(2-副本难度推算!$AA$5)*(2-$S58)</f>
        <v>4264.4749120000015</v>
      </c>
      <c r="H58" s="72">
        <f>VLOOKUP($C58,难度推算表,副本难度推算!$M$3,FALSE)*副本难度推算!$Y$6*Q58</f>
        <v>173435.49557424814</v>
      </c>
      <c r="I58" s="72">
        <f>VLOOKUP($C58,难度推算表,副本难度推算!$P$3,FALSE)*副本难度推算!$Z$6*$R58+VLOOKUP($C58,难度推算表,副本难度推算!$H$3,FALSE)</f>
        <v>12278.289705416253</v>
      </c>
      <c r="J58" s="72">
        <f>VLOOKUP($C58,难度推算表,副本难度推算!$G$3,FALSE)-VLOOKUP($C58,难度推算表,副本难度推算!$I$3,FALSE)*(2-副本难度推算!$AA$6)*(2-$S58)</f>
        <v>3198.3561840000011</v>
      </c>
      <c r="K58" s="72">
        <f>VLOOKUP($C58,难度推算表,副本难度推算!$M$3,FALSE)*副本难度推算!$Y$7*Q58</f>
        <v>541985.92366952542</v>
      </c>
      <c r="L58" s="72">
        <f>VLOOKUP($C58,难度推算表,副本难度推算!$P$3,FALSE)*副本难度推算!$Z$7*$R58+VLOOKUP($C58,难度推算表,副本难度推算!$H$3,FALSE)</f>
        <v>14949.56130322167</v>
      </c>
      <c r="M58" s="72">
        <f>VLOOKUP($C58,难度推算表,副本难度推算!$G$3,FALSE)-VLOOKUP($C58,难度推算表,副本难度推算!$I$3,FALSE)*(2-副本难度推算!$AA$7)*(2-$S58)</f>
        <v>5330.5936400000019</v>
      </c>
      <c r="N58" s="2">
        <f>VLOOKUP($C58,难度推算表,副本难度推算!$Q$3,FALSE)</f>
        <v>3485.9119999999998</v>
      </c>
      <c r="O58" s="2">
        <f>VLOOKUP($C58,难度推算表,副本难度推算!$R$3,FALSE)</f>
        <v>0</v>
      </c>
      <c r="Q58" s="46">
        <v>1</v>
      </c>
      <c r="R58" s="46">
        <v>1</v>
      </c>
      <c r="S58" s="46">
        <v>1</v>
      </c>
      <c r="T58">
        <f>SUMPRODUCT(K58:M58,[2]各种公式!$C$13:$E$13)</f>
        <v>41959.591890002688</v>
      </c>
    </row>
    <row r="59" spans="2:20">
      <c r="B59" t="str">
        <f>怪物并表!$R$7</f>
        <v>普通副本</v>
      </c>
      <c r="C59" s="2">
        <f>怪物信息表!B59</f>
        <v>55</v>
      </c>
      <c r="D59" s="50">
        <f>怪物信息表!C59</f>
        <v>6009</v>
      </c>
      <c r="E59" s="72">
        <f>VLOOKUP($C59,难度推算表,副本难度推算!$M$3,FALSE)*副本难度推算!$Y$5*Q59</f>
        <v>279687.61815618019</v>
      </c>
      <c r="F59" s="72">
        <f>VLOOKUP($C59,难度推算表,副本难度推算!$P$3,FALSE)*副本难度推算!$Z$5*$R59+VLOOKUP($C59,难度推算表,副本难度推算!$H$3,FALSE)</f>
        <v>16222.995152809737</v>
      </c>
      <c r="G59" s="72">
        <f>VLOOKUP($C59,难度推算表,副本难度推算!$G$3,FALSE)-VLOOKUP($C59,难度推算表,副本难度推算!$I$3,FALSE)*(2-副本难度推算!$AA$5)*(2-$S59)</f>
        <v>5667.1369502508369</v>
      </c>
      <c r="H59" s="72">
        <f>VLOOKUP($C59,难度推算表,副本难度推算!$M$3,FALSE)*副本难度推算!$Y$6*Q59</f>
        <v>223750.09452494414</v>
      </c>
      <c r="I59" s="72">
        <f>VLOOKUP($C59,难度推算表,副本难度推算!$P$3,FALSE)*副本难度推算!$Z$6*$R59+VLOOKUP($C59,难度推算表,副本难度推算!$H$3,FALSE)</f>
        <v>15054.066593548832</v>
      </c>
      <c r="J59" s="72">
        <f>VLOOKUP($C59,难度推算表,副本难度推算!$G$3,FALSE)-VLOOKUP($C59,难度推算表,副本难度推算!$I$3,FALSE)*(2-副本难度推算!$AA$6)*(2-$S59)</f>
        <v>4760.3950382107023</v>
      </c>
      <c r="K59" s="72">
        <f>VLOOKUP($C59,难度推算表,副本难度推算!$M$3,FALSE)*副本难度推算!$Y$7*Q59</f>
        <v>699219.04539045051</v>
      </c>
      <c r="L59" s="72">
        <f>VLOOKUP($C59,难度推算表,副本难度推算!$P$3,FALSE)*副本难度推算!$Z$7*$R59+VLOOKUP($C59,难度推算表,副本难度推算!$H$3,FALSE)</f>
        <v>18560.852271331551</v>
      </c>
      <c r="M59" s="72">
        <f>VLOOKUP($C59,难度推算表,副本难度推算!$G$3,FALSE)-VLOOKUP($C59,难度推算表,副本难度推算!$I$3,FALSE)*(2-副本难度推算!$AA$7)*(2-$S59)</f>
        <v>6573.8788622909706</v>
      </c>
      <c r="N59" s="2">
        <f>VLOOKUP($C59,难度推算表,副本难度推算!$Q$3,FALSE)</f>
        <v>3544.1399999999994</v>
      </c>
      <c r="O59" s="2">
        <f>VLOOKUP($C59,难度推算表,副本难度推算!$R$3,FALSE)</f>
        <v>0</v>
      </c>
      <c r="Q59" s="46">
        <v>1.2</v>
      </c>
      <c r="R59" s="46">
        <v>1.2</v>
      </c>
      <c r="S59" s="106">
        <v>1.2</v>
      </c>
      <c r="T59">
        <f>SUMPRODUCT(K59:M59,[2]各种公式!$C$13:$E$13)</f>
        <v>53103.492949240543</v>
      </c>
    </row>
    <row r="60" spans="2:20">
      <c r="B60" t="str">
        <f>怪物并表!$R$7</f>
        <v>普通副本</v>
      </c>
      <c r="C60" s="2">
        <f>怪物信息表!B60</f>
        <v>56</v>
      </c>
      <c r="D60" s="50">
        <f>怪物信息表!C60</f>
        <v>7001</v>
      </c>
      <c r="E60" s="72">
        <f>VLOOKUP($C60,难度推算表,副本难度推算!$M$3,FALSE)*副本难度推算!$Y$5*Q60</f>
        <v>250185.32144305485</v>
      </c>
      <c r="F60" s="72">
        <f>VLOOKUP($C60,难度推算表,副本难度推算!$P$3,FALSE)*副本难度推算!$Z$5*$R60+VLOOKUP($C60,难度推算表,副本难度推算!$H$3,FALSE)</f>
        <v>15452.104384583115</v>
      </c>
      <c r="G60" s="72">
        <f>VLOOKUP($C60,难度推算表,副本难度推算!$G$3,FALSE)-VLOOKUP($C60,难度推算表,副本难度推算!$I$3,FALSE)*(2-副本难度推算!$AA$5)*(2-$S60)</f>
        <v>4813.1781208294333</v>
      </c>
      <c r="H60" s="72">
        <f>VLOOKUP($C60,难度推算表,副本难度推算!$M$3,FALSE)*副本难度推算!$Y$6*Q60</f>
        <v>200148.25715444388</v>
      </c>
      <c r="I60" s="72">
        <f>VLOOKUP($C60,难度推算表,副本难度推算!$P$3,FALSE)*副本难度推算!$Z$6*$R60+VLOOKUP($C60,难度推算表,副本难度推算!$H$3,FALSE)</f>
        <v>14388.211758207748</v>
      </c>
      <c r="J60" s="72">
        <f>VLOOKUP($C60,难度推算表,副本难度推算!$G$3,FALSE)-VLOOKUP($C60,难度推算表,副本难度推算!$I$3,FALSE)*(2-副本难度推算!$AA$6)*(2-$S60)</f>
        <v>3609.8835906220747</v>
      </c>
      <c r="K60" s="72">
        <f>VLOOKUP($C60,难度推算表,副本难度推算!$M$3,FALSE)*副本难度推算!$Y$7*Q60</f>
        <v>625463.30360763718</v>
      </c>
      <c r="L60" s="72">
        <f>VLOOKUP($C60,难度推算表,副本难度推算!$P$3,FALSE)*副本难度推算!$Z$7*$R60+VLOOKUP($C60,难度推算表,副本难度推算!$H$3,FALSE)</f>
        <v>17579.88963733385</v>
      </c>
      <c r="M60" s="72">
        <f>VLOOKUP($C60,难度推算表,副本难度推算!$G$3,FALSE)-VLOOKUP($C60,难度推算表,副本难度推算!$I$3,FALSE)*(2-副本难度推算!$AA$7)*(2-$S60)</f>
        <v>6016.4726510367918</v>
      </c>
      <c r="N60" s="2">
        <f>VLOOKUP($C60,难度推算表,副本难度推算!$Q$3,FALSE)</f>
        <v>3602.3680000000004</v>
      </c>
      <c r="O60" s="2">
        <f>VLOOKUP($C60,难度推算表,副本难度推算!$R$3,FALSE)</f>
        <v>0</v>
      </c>
      <c r="Q60" s="46">
        <v>1</v>
      </c>
      <c r="R60" s="46">
        <v>1</v>
      </c>
      <c r="S60" s="46">
        <v>1</v>
      </c>
      <c r="T60">
        <f>SUMPRODUCT(K60:M60,[2]各种公式!$C$13:$E$13)</f>
        <v>48614.894432676127</v>
      </c>
    </row>
    <row r="61" spans="2:20">
      <c r="B61" t="str">
        <f>怪物并表!$R$7</f>
        <v>普通副本</v>
      </c>
      <c r="C61" s="2">
        <f>怪物信息表!B61</f>
        <v>57</v>
      </c>
      <c r="D61" s="50">
        <f>怪物信息表!C61</f>
        <v>7002</v>
      </c>
      <c r="E61" s="72">
        <f>VLOOKUP($C61,难度推算表,副本难度推算!$M$3,FALSE)*副本难度推算!$Y$5*Q61</f>
        <v>268156.69255101995</v>
      </c>
      <c r="F61" s="72">
        <f>VLOOKUP($C61,难度推算表,副本难度推算!$P$3,FALSE)*副本难度推算!$Z$5*$R61+VLOOKUP($C61,难度推算表,副本难度推算!$H$3,FALSE)</f>
        <v>16704.287488285485</v>
      </c>
      <c r="G61" s="72">
        <f>VLOOKUP($C61,难度推算表,副本难度推算!$G$3,FALSE)-VLOOKUP($C61,难度推算表,副本难度推算!$I$3,FALSE)*(2-副本难度推算!$AA$5)*(2-$S61)</f>
        <v>5103.0471978327778</v>
      </c>
      <c r="H61" s="72">
        <f>VLOOKUP($C61,难度推算表,副本难度推算!$M$3,FALSE)*副本难度推算!$Y$6*Q61</f>
        <v>214525.35404081596</v>
      </c>
      <c r="I61" s="72">
        <f>VLOOKUP($C61,难度推算表,副本难度推算!$P$3,FALSE)*副本难度推算!$Z$6*$R61+VLOOKUP($C61,难度推算表,副本难度推算!$H$3,FALSE)</f>
        <v>15544.163459240215</v>
      </c>
      <c r="J61" s="72">
        <f>VLOOKUP($C61,难度推算表,副本难度推算!$G$3,FALSE)-VLOOKUP($C61,难度推算表,副本难度推算!$I$3,FALSE)*(2-副本难度推算!$AA$6)*(2-$S61)</f>
        <v>3827.2853983745836</v>
      </c>
      <c r="K61" s="72">
        <f>VLOOKUP($C61,难度推算表,副本难度推算!$M$3,FALSE)*副本难度推算!$Y$7*Q61</f>
        <v>670391.73137754994</v>
      </c>
      <c r="L61" s="72">
        <f>VLOOKUP($C61,难度推算表,副本难度推算!$P$3,FALSE)*副本难度推算!$Z$7*$R61+VLOOKUP($C61,难度推算表,副本难度推算!$H$3,FALSE)</f>
        <v>19024.535546376028</v>
      </c>
      <c r="M61" s="72">
        <f>VLOOKUP($C61,难度推算表,副本难度推算!$G$3,FALSE)-VLOOKUP($C61,难度推算表,副本难度推算!$I$3,FALSE)*(2-副本难度推算!$AA$7)*(2-$S61)</f>
        <v>6378.808997290972</v>
      </c>
      <c r="N61" s="2">
        <f>VLOOKUP($C61,难度推算表,副本难度推算!$Q$3,FALSE)</f>
        <v>3660.596</v>
      </c>
      <c r="O61" s="2">
        <f>VLOOKUP($C61,难度推算表,副本难度推算!$R$3,FALSE)</f>
        <v>0</v>
      </c>
      <c r="Q61" s="46">
        <v>1</v>
      </c>
      <c r="R61" s="46">
        <v>1</v>
      </c>
      <c r="S61" s="46">
        <v>1</v>
      </c>
      <c r="T61">
        <f>SUMPRODUCT(K61:M61,[2]各种公式!$C$13:$E$13)</f>
        <v>52219.013798769003</v>
      </c>
    </row>
    <row r="62" spans="2:20">
      <c r="B62" t="str">
        <f>怪物并表!$R$7</f>
        <v>普通副本</v>
      </c>
      <c r="C62" s="2">
        <f>怪物信息表!B62</f>
        <v>58</v>
      </c>
      <c r="D62" s="50">
        <f>怪物信息表!C62</f>
        <v>7003</v>
      </c>
      <c r="E62" s="72">
        <f>VLOOKUP($C62,难度推算表,副本难度推算!$M$3,FALSE)*副本难度推算!$Y$5*Q62</f>
        <v>287012.87030293985</v>
      </c>
      <c r="F62" s="72">
        <f>VLOOKUP($C62,难度推算表,副本难度推算!$P$3,FALSE)*副本难度推算!$Z$5*$R62+VLOOKUP($C62,难度推算表,副本难度推算!$H$3,FALSE)</f>
        <v>18035.092712312748</v>
      </c>
      <c r="G62" s="72">
        <f>VLOOKUP($C62,难度推算表,副本难度推算!$G$3,FALSE)-VLOOKUP($C62,难度推算表,副本难度推算!$I$3,FALSE)*(2-副本难度推算!$AA$5)*(2-$S62)</f>
        <v>5403.4833951571927</v>
      </c>
      <c r="H62" s="72">
        <f>VLOOKUP($C62,难度推算表,副本难度推算!$M$3,FALSE)*副本难度推算!$Y$6*Q62</f>
        <v>229610.29624235188</v>
      </c>
      <c r="I62" s="72">
        <f>VLOOKUP($C62,难度推算表,副本难度推算!$P$3,FALSE)*副本难度推算!$Z$6*$R62+VLOOKUP($C62,难度推算表,副本难度推算!$H$3,FALSE)</f>
        <v>16771.931780597195</v>
      </c>
      <c r="J62" s="72">
        <f>VLOOKUP($C62,难度推算表,副本难度推算!$G$3,FALSE)-VLOOKUP($C62,难度推算表,副本难度推算!$I$3,FALSE)*(2-副本难度推算!$AA$6)*(2-$S62)</f>
        <v>4052.6125463678945</v>
      </c>
      <c r="K62" s="72">
        <f>VLOOKUP($C62,难度推算表,副本难度推算!$M$3,FALSE)*副本难度推算!$Y$7*Q62</f>
        <v>717532.17575734959</v>
      </c>
      <c r="L62" s="72">
        <f>VLOOKUP($C62,难度推算表,副本难度推算!$P$3,FALSE)*副本难度推算!$Z$7*$R62+VLOOKUP($C62,难度推算表,副本难度推算!$H$3,FALSE)</f>
        <v>20561.41457574386</v>
      </c>
      <c r="M62" s="72">
        <f>VLOOKUP($C62,难度推算表,副本难度推算!$G$3,FALSE)-VLOOKUP($C62,难度推算表,副本难度推算!$I$3,FALSE)*(2-副本难度推算!$AA$7)*(2-$S62)</f>
        <v>6754.3542439464909</v>
      </c>
      <c r="N62" s="2">
        <f>VLOOKUP($C62,难度推算表,副本难度推算!$Q$3,FALSE)</f>
        <v>3718.8240000000001</v>
      </c>
      <c r="O62" s="2">
        <f>VLOOKUP($C62,难度推算表,副本难度推算!$R$3,FALSE)</f>
        <v>0</v>
      </c>
      <c r="Q62" s="46">
        <v>1</v>
      </c>
      <c r="R62" s="46">
        <v>1</v>
      </c>
      <c r="S62" s="46">
        <v>1</v>
      </c>
      <c r="T62">
        <f>SUMPRODUCT(K62:M62,[2]各种公式!$C$13:$E$13)</f>
        <v>56017.055849984332</v>
      </c>
    </row>
    <row r="63" spans="2:20">
      <c r="B63" t="str">
        <f>怪物并表!$R$7</f>
        <v>普通副本</v>
      </c>
      <c r="C63" s="2">
        <f>怪物信息表!B63</f>
        <v>59</v>
      </c>
      <c r="D63" s="50">
        <f>怪物信息表!C63</f>
        <v>7004</v>
      </c>
      <c r="E63" s="72">
        <f>VLOOKUP($C63,难度推算表,副本难度推算!$M$3,FALSE)*副本难度推算!$Y$5*Q63</f>
        <v>306779.93412203423</v>
      </c>
      <c r="F63" s="72">
        <f>VLOOKUP($C63,难度推算表,副本难度推算!$P$3,FALSE)*副本难度推算!$Z$5*$R63+VLOOKUP($C63,难度推算表,副本难度推算!$H$3,FALSE)</f>
        <v>19448.449047028778</v>
      </c>
      <c r="G63" s="72">
        <f>VLOOKUP($C63,难度推算表,副本难度推算!$G$3,FALSE)-VLOOKUP($C63,难度推算表,副本难度推算!$I$3,FALSE)*(2-副本难度推算!$AA$5)*(2-$S63)</f>
        <v>5714.6533167491662</v>
      </c>
      <c r="H63" s="72">
        <f>VLOOKUP($C63,难度推算表,副本难度推算!$M$3,FALSE)*副本难度推算!$Y$6*Q63</f>
        <v>245423.9472976274</v>
      </c>
      <c r="I63" s="72">
        <f>VLOOKUP($C63,难度推算表,副本难度推算!$P$3,FALSE)*副本难度推算!$Z$6*$R63+VLOOKUP($C63,难度推算表,副本难度推算!$H$3,FALSE)</f>
        <v>18075.069474000818</v>
      </c>
      <c r="J63" s="72">
        <f>VLOOKUP($C63,难度推算表,副本难度推算!$G$3,FALSE)-VLOOKUP($C63,难度推算表,副本难度推算!$I$3,FALSE)*(2-副本难度推算!$AA$6)*(2-$S63)</f>
        <v>4285.9899875618758</v>
      </c>
      <c r="K63" s="72">
        <f>VLOOKUP($C63,难度推算表,副本难度推算!$M$3,FALSE)*副本难度推算!$Y$7*Q63</f>
        <v>766949.83530508564</v>
      </c>
      <c r="L63" s="72">
        <f>VLOOKUP($C63,难度推算表,副本难度推算!$P$3,FALSE)*副本难度推算!$Z$7*$R63+VLOOKUP($C63,难度推算表,副本难度推算!$H$3,FALSE)</f>
        <v>22195.208193084702</v>
      </c>
      <c r="M63" s="72">
        <f>VLOOKUP($C63,难度推算表,副本难度推算!$G$3,FALSE)-VLOOKUP($C63,难度推算表,副本难度推算!$I$3,FALSE)*(2-副本难度推算!$AA$7)*(2-$S63)</f>
        <v>7143.3166459364575</v>
      </c>
      <c r="N63" s="2">
        <f>VLOOKUP($C63,难度推算表,副本难度推算!$Q$3,FALSE)</f>
        <v>3777.0519999999997</v>
      </c>
      <c r="O63" s="2">
        <f>VLOOKUP($C63,难度推算表,副本难度推算!$R$3,FALSE)</f>
        <v>0</v>
      </c>
      <c r="Q63" s="46">
        <v>1</v>
      </c>
      <c r="R63" s="46">
        <v>1</v>
      </c>
      <c r="S63" s="46">
        <v>1</v>
      </c>
      <c r="T63">
        <f>SUMPRODUCT(K63:M63,[2]各种公式!$C$13:$E$13)</f>
        <v>60016.518251224581</v>
      </c>
    </row>
    <row r="64" spans="2:20">
      <c r="B64" t="str">
        <f>怪物并表!$R$7</f>
        <v>普通副本</v>
      </c>
      <c r="C64" s="2">
        <f>怪物信息表!B64</f>
        <v>60</v>
      </c>
      <c r="D64" s="50">
        <f>怪物信息表!C64</f>
        <v>7005</v>
      </c>
      <c r="E64" s="72">
        <f>VLOOKUP($C64,难度推算表,副本难度推算!$M$3,FALSE)*副本难度推算!$Y$5*Q64</f>
        <v>329097.52403114893</v>
      </c>
      <c r="F64" s="72">
        <f>VLOOKUP($C64,难度推算表,副本难度推算!$P$3,FALSE)*副本难度推算!$Z$5*$R64+VLOOKUP($C64,难度推算表,副本难度推算!$H$3,FALSE)</f>
        <v>21051.654145986631</v>
      </c>
      <c r="G64" s="72">
        <f>VLOOKUP($C64,难度推算表,副本难度推算!$G$3,FALSE)-VLOOKUP($C64,难度推算表,副本难度推算!$I$3,FALSE)*(2-副本难度推算!$AA$5)*(2-$S64)</f>
        <v>6066.4611210702378</v>
      </c>
      <c r="H64" s="72">
        <f>VLOOKUP($C64,难度推算表,副本难度推算!$M$3,FALSE)*副本难度推算!$Y$6*Q64</f>
        <v>263278.01922491915</v>
      </c>
      <c r="I64" s="72">
        <f>VLOOKUP($C64,难度推算表,副本难度推算!$P$3,FALSE)*副本难度推算!$Z$6*$R64+VLOOKUP($C64,难度推算表,副本难度推算!$H$3,FALSE)</f>
        <v>19553.13484349499</v>
      </c>
      <c r="J64" s="72">
        <f>VLOOKUP($C64,难度推算表,副本难度推算!$G$3,FALSE)-VLOOKUP($C64,难度推算表,副本难度推算!$I$3,FALSE)*(2-副本难度推算!$AA$6)*(2-$S64)</f>
        <v>4549.8458408026781</v>
      </c>
      <c r="K64" s="72">
        <f>VLOOKUP($C64,难度推算表,副本难度推算!$M$3,FALSE)*副本难度推算!$Y$7*Q64</f>
        <v>822743.81007787236</v>
      </c>
      <c r="L64" s="72">
        <f>VLOOKUP($C64,难度推算表,副本难度推算!$P$3,FALSE)*副本难度推算!$Z$7*$R64+VLOOKUP($C64,难度推算表,副本难度推算!$H$3,FALSE)</f>
        <v>24048.692750969909</v>
      </c>
      <c r="M64" s="72">
        <f>VLOOKUP($C64,难度推算表,副本难度推算!$G$3,FALSE)-VLOOKUP($C64,难度推算表,副本难度推算!$I$3,FALSE)*(2-副本难度推算!$AA$7)*(2-$S64)</f>
        <v>7583.0764013377966</v>
      </c>
      <c r="N64" s="2">
        <f>VLOOKUP($C64,难度推算表,副本难度推算!$Q$3,FALSE)</f>
        <v>3835.2799999999997</v>
      </c>
      <c r="O64" s="2">
        <f>VLOOKUP($C64,难度推算表,副本难度推算!$R$3,FALSE)</f>
        <v>0</v>
      </c>
      <c r="Q64" s="46">
        <v>1</v>
      </c>
      <c r="R64" s="46">
        <v>1</v>
      </c>
      <c r="S64" s="46">
        <v>1</v>
      </c>
      <c r="T64">
        <f>SUMPRODUCT(K64:M64,[2]各种公式!$C$13:$E$13)</f>
        <v>64541.521555422602</v>
      </c>
    </row>
    <row r="65" spans="2:20">
      <c r="B65" t="str">
        <f>怪物并表!$R$7</f>
        <v>普通副本</v>
      </c>
      <c r="C65" s="2">
        <f>怪物信息表!B65</f>
        <v>61</v>
      </c>
      <c r="D65" s="50">
        <f>怪物信息表!C65</f>
        <v>7006</v>
      </c>
      <c r="E65" s="72">
        <f>VLOOKUP($C65,难度推算表,副本难度推算!$M$3,FALSE)*副本难度推算!$Y$5*Q65</f>
        <v>352509.96247259458</v>
      </c>
      <c r="F65" s="72">
        <f>VLOOKUP($C65,难度推算表,副本难度推算!$P$3,FALSE)*副本难度推算!$Z$5*$R65+VLOOKUP($C65,难度推算表,副本难度推算!$H$3,FALSE)</f>
        <v>22756.135759752957</v>
      </c>
      <c r="G65" s="72">
        <f>VLOOKUP($C65,难度推算表,副本难度推算!$G$3,FALSE)-VLOOKUP($C65,难度推算表,副本难度推算!$I$3,FALSE)*(2-副本难度推算!$AA$5)*(2-$S65)</f>
        <v>6431.1094095652197</v>
      </c>
      <c r="H65" s="72">
        <f>VLOOKUP($C65,难度推算表,副本难度推算!$M$3,FALSE)*副本难度推算!$Y$6*Q65</f>
        <v>282007.96997807565</v>
      </c>
      <c r="I65" s="72">
        <f>VLOOKUP($C65,难度推算表,副本难度推算!$P$3,FALSE)*副本难度推算!$Z$6*$R65+VLOOKUP($C65,难度推算表,副本难度推算!$H$3,FALSE)</f>
        <v>21123.633124734184</v>
      </c>
      <c r="J65" s="72">
        <f>VLOOKUP($C65,难度推算表,副本难度推算!$G$3,FALSE)-VLOOKUP($C65,难度推算表,副本难度推算!$I$3,FALSE)*(2-副本难度推算!$AA$6)*(2-$S65)</f>
        <v>4823.332057173915</v>
      </c>
      <c r="K65" s="72">
        <f>VLOOKUP($C65,难度推算表,副本难度推算!$M$3,FALSE)*副本难度推算!$Y$7*Q65</f>
        <v>881274.90618148644</v>
      </c>
      <c r="L65" s="72">
        <f>VLOOKUP($C65,难度推算表,副本难度推算!$P$3,FALSE)*副本难度推算!$Z$7*$R65+VLOOKUP($C65,难度推算表,副本难度推算!$H$3,FALSE)</f>
        <v>26021.141029790502</v>
      </c>
      <c r="M65" s="72">
        <f>VLOOKUP($C65,难度推算表,副本难度推算!$G$3,FALSE)-VLOOKUP($C65,难度推算表,副本难度推算!$I$3,FALSE)*(2-副本难度推算!$AA$7)*(2-$S65)</f>
        <v>8038.8867619565244</v>
      </c>
      <c r="N65" s="2">
        <f>VLOOKUP($C65,难度推算表,副本难度推算!$Q$3,FALSE)</f>
        <v>3893.5080000000003</v>
      </c>
      <c r="O65" s="2">
        <f>VLOOKUP($C65,难度推算表,副本难度推算!$R$3,FALSE)</f>
        <v>0</v>
      </c>
      <c r="Q65" s="46">
        <v>1</v>
      </c>
      <c r="R65" s="46">
        <v>1</v>
      </c>
      <c r="S65" s="46">
        <v>1</v>
      </c>
      <c r="T65">
        <f>SUMPRODUCT(K65:M65,[2]各种公式!$C$13:$E$13)</f>
        <v>69311.024039006486</v>
      </c>
    </row>
    <row r="66" spans="2:20">
      <c r="B66" t="str">
        <f>怪物并表!$R$7</f>
        <v>普通副本</v>
      </c>
      <c r="C66" s="2">
        <f>怪物信息表!B66</f>
        <v>62</v>
      </c>
      <c r="D66" s="50">
        <f>怪物信息表!C66</f>
        <v>7007</v>
      </c>
      <c r="E66" s="72">
        <f>VLOOKUP($C66,难度推算表,副本难度推算!$M$3,FALSE)*副本难度推算!$Y$5*Q66</f>
        <v>377049.08997165965</v>
      </c>
      <c r="F66" s="72">
        <f>VLOOKUP($C66,难度推算表,副本难度推算!$P$3,FALSE)*副本难度推算!$Z$5*$R66+VLOOKUP($C66,难度推算表,副本难度推算!$H$3,FALSE)</f>
        <v>24566.98692539992</v>
      </c>
      <c r="G66" s="72">
        <f>VLOOKUP($C66,难度推算表,副本难度推算!$G$3,FALSE)-VLOOKUP($C66,难度推算表,副本难度推算!$I$3,FALSE)*(2-副本难度推算!$AA$5)*(2-$S66)</f>
        <v>6808.7981069699035</v>
      </c>
      <c r="H66" s="72">
        <f>VLOOKUP($C66,难度推算表,副本难度推算!$M$3,FALSE)*副本难度推算!$Y$6*Q66</f>
        <v>301639.27197732771</v>
      </c>
      <c r="I66" s="72">
        <f>VLOOKUP($C66,难度推算表,副本难度推算!$P$3,FALSE)*副本难度推算!$Z$6*$R66+VLOOKUP($C66,难度推算表,副本难度推算!$H$3,FALSE)</f>
        <v>22791.168043556921</v>
      </c>
      <c r="J66" s="72">
        <f>VLOOKUP($C66,难度推算表,副本难度推算!$G$3,FALSE)-VLOOKUP($C66,难度推算表,副本难度推算!$I$3,FALSE)*(2-副本难度推算!$AA$6)*(2-$S66)</f>
        <v>5106.5985802274281</v>
      </c>
      <c r="K66" s="72">
        <f>VLOOKUP($C66,难度推算表,副本难度推算!$M$3,FALSE)*副本难度推算!$Y$7*Q66</f>
        <v>942622.72492914915</v>
      </c>
      <c r="L66" s="72">
        <f>VLOOKUP($C66,难度推算表,副本难度推算!$P$3,FALSE)*副本难度推算!$Z$7*$R66+VLOOKUP($C66,难度推算表,副本难度推算!$H$3,FALSE)</f>
        <v>28118.624689085926</v>
      </c>
      <c r="M66" s="72">
        <f>VLOOKUP($C66,难度推算表,副本难度推算!$G$3,FALSE)-VLOOKUP($C66,难度推算表,副本难度推算!$I$3,FALSE)*(2-副本难度推算!$AA$7)*(2-$S66)</f>
        <v>8510.997633712379</v>
      </c>
      <c r="N66" s="2">
        <f>VLOOKUP($C66,难度推算表,副本难度推算!$Q$3,FALSE)</f>
        <v>3951.7360000000003</v>
      </c>
      <c r="O66" s="2">
        <f>VLOOKUP($C66,难度推算表,副本难度推算!$R$3,FALSE)</f>
        <v>0</v>
      </c>
      <c r="Q66" s="46">
        <v>1</v>
      </c>
      <c r="R66" s="46">
        <v>1</v>
      </c>
      <c r="S66" s="46">
        <v>1</v>
      </c>
      <c r="T66">
        <f>SUMPRODUCT(K66:M66,[2]各种公式!$C$13:$E$13)</f>
        <v>74334.53131996427</v>
      </c>
    </row>
    <row r="67" spans="2:20">
      <c r="B67" t="str">
        <f>怪物并表!$R$7</f>
        <v>普通副本</v>
      </c>
      <c r="C67" s="2">
        <f>怪物信息表!B67</f>
        <v>63</v>
      </c>
      <c r="D67" s="50">
        <f>怪物信息表!C67</f>
        <v>7008</v>
      </c>
      <c r="E67" s="72">
        <f>VLOOKUP($C67,难度推算表,副本难度推算!$M$3,FALSE)*副本难度推算!$Y$5*Q67</f>
        <v>402747.15166459483</v>
      </c>
      <c r="F67" s="72">
        <f>VLOOKUP($C67,难度推算表,副本难度推算!$P$3,FALSE)*副本难度推算!$Z$5*$R67+VLOOKUP($C67,难度推算表,副本难度推算!$H$3,FALSE)</f>
        <v>26489.530463118466</v>
      </c>
      <c r="G67" s="72">
        <f>VLOOKUP($C67,难度推算表,副本难度推算!$G$3,FALSE)-VLOOKUP($C67,难度推算表,副本难度推算!$I$3,FALSE)*(2-副本难度推算!$AA$5)*(2-$S67)</f>
        <v>7199.7271380200691</v>
      </c>
      <c r="H67" s="72">
        <f>VLOOKUP($C67,难度推算表,副本难度推算!$M$3,FALSE)*副本难度推算!$Y$6*Q67</f>
        <v>322197.72133167589</v>
      </c>
      <c r="I67" s="72">
        <f>VLOOKUP($C67,难度推算表,副本难度推算!$P$3,FALSE)*副本难度推算!$Z$6*$R67+VLOOKUP($C67,难度推算表,副本难度推算!$H$3,FALSE)</f>
        <v>24560.550130608626</v>
      </c>
      <c r="J67" s="72">
        <f>VLOOKUP($C67,难度推算表,副本难度推算!$G$3,FALSE)-VLOOKUP($C67,难度推算表,副本难度推算!$I$3,FALSE)*(2-副本难度推算!$AA$6)*(2-$S67)</f>
        <v>5399.7953535150518</v>
      </c>
      <c r="K67" s="72">
        <f>VLOOKUP($C67,难度推算表,副本难度推算!$M$3,FALSE)*副本难度推算!$Y$7*Q67</f>
        <v>1006867.8791614871</v>
      </c>
      <c r="L67" s="72">
        <f>VLOOKUP($C67,难度推算表,副本难度推算!$P$3,FALSE)*副本难度推算!$Z$7*$R67+VLOOKUP($C67,难度推算表,副本难度推算!$H$3,FALSE)</f>
        <v>30347.491128138146</v>
      </c>
      <c r="M67" s="72">
        <f>VLOOKUP($C67,难度推算表,副本难度推算!$G$3,FALSE)-VLOOKUP($C67,难度推算表,副本难度推算!$I$3,FALSE)*(2-副本难度推算!$AA$7)*(2-$S67)</f>
        <v>8999.6589225250864</v>
      </c>
      <c r="N67" s="2">
        <f>VLOOKUP($C67,难度推算表,副本难度推算!$Q$3,FALSE)</f>
        <v>4009.9639999999999</v>
      </c>
      <c r="O67" s="2">
        <f>VLOOKUP($C67,难度推算表,副本难度推算!$R$3,FALSE)</f>
        <v>0</v>
      </c>
      <c r="Q67" s="46">
        <v>1</v>
      </c>
      <c r="R67" s="46">
        <v>1</v>
      </c>
      <c r="S67" s="46">
        <v>1</v>
      </c>
      <c r="T67">
        <f>SUMPRODUCT(K67:M67,[2]各种公式!$C$13:$E$13)</f>
        <v>79621.865217122715</v>
      </c>
    </row>
    <row r="68" spans="2:20">
      <c r="B68" t="str">
        <f>怪物并表!$R$7</f>
        <v>普通副本</v>
      </c>
      <c r="C68" s="2">
        <f>怪物信息表!B68</f>
        <v>64</v>
      </c>
      <c r="D68" s="50">
        <f>怪物信息表!C68</f>
        <v>7009</v>
      </c>
      <c r="E68" s="72">
        <f>VLOOKUP($C68,难度推算表,副本难度推算!$M$3,FALSE)*副本难度推算!$Y$5*Q68</f>
        <v>515564.15657173883</v>
      </c>
      <c r="F68" s="72">
        <f>VLOOKUP($C68,难度推算表,副本难度推算!$P$3,FALSE)*副本难度推算!$Z$5*$R68+VLOOKUP($C68,难度推算表,副本难度推算!$H$3,FALSE)</f>
        <v>32714.376914855249</v>
      </c>
      <c r="G68" s="72">
        <f>VLOOKUP($C68,难度推算表,副本难度推算!$G$3,FALSE)-VLOOKUP($C68,难度推算表,副本难度推算!$I$3,FALSE)*(2-副本难度推算!$AA$5)*(2-$S68)</f>
        <v>9505.1205343143847</v>
      </c>
      <c r="H68" s="72">
        <f>VLOOKUP($C68,难度推算表,副本难度推算!$M$3,FALSE)*副本难度推算!$Y$6*Q68</f>
        <v>412451.32525739114</v>
      </c>
      <c r="I68" s="72">
        <f>VLOOKUP($C68,难度推算表,副本难度推算!$P$3,FALSE)*副本难度推算!$Z$6*$R68+VLOOKUP($C68,难度推算表,副本难度推算!$H$3,FALSE)</f>
        <v>30203.348866114873</v>
      </c>
      <c r="J68" s="72">
        <f>VLOOKUP($C68,难度推算表,副本难度推算!$G$3,FALSE)-VLOOKUP($C68,难度推算表,副本难度推算!$I$3,FALSE)*(2-副本难度推算!$AA$6)*(2-$S68)</f>
        <v>7984.3012488240838</v>
      </c>
      <c r="K68" s="72">
        <f>VLOOKUP($C68,难度推算表,副本难度推算!$M$3,FALSE)*副本难度推算!$Y$7*Q68</f>
        <v>1288910.3914293472</v>
      </c>
      <c r="L68" s="72">
        <f>VLOOKUP($C68,难度推算表,副本难度推算!$P$3,FALSE)*副本难度推算!$Z$7*$R68+VLOOKUP($C68,难度推算表,副本难度推算!$H$3,FALSE)</f>
        <v>37736.433012335998</v>
      </c>
      <c r="M68" s="72">
        <f>VLOOKUP($C68,难度推算表,副本难度推算!$G$3,FALSE)-VLOOKUP($C68,难度推算表,副本难度推算!$I$3,FALSE)*(2-副本难度推算!$AA$7)*(2-$S68)</f>
        <v>11025.939819804687</v>
      </c>
      <c r="N68" s="2">
        <f>VLOOKUP($C68,难度推算表,副本难度推算!$Q$3,FALSE)</f>
        <v>4068.192</v>
      </c>
      <c r="O68" s="2">
        <f>VLOOKUP($C68,难度推算表,副本难度推算!$R$3,FALSE)</f>
        <v>0</v>
      </c>
      <c r="Q68" s="46">
        <v>1.2</v>
      </c>
      <c r="R68" s="46">
        <v>1.2</v>
      </c>
      <c r="S68" s="106">
        <v>1.2</v>
      </c>
      <c r="T68">
        <f>SUMPRODUCT(K68:M68,[2]各种公式!$C$13:$E$13)</f>
        <v>100318.78848931458</v>
      </c>
    </row>
    <row r="69" spans="2:20">
      <c r="B69" t="str">
        <f>怪物并表!$R$7</f>
        <v>普通副本</v>
      </c>
      <c r="C69" s="2">
        <f>怪物信息表!B69</f>
        <v>65</v>
      </c>
      <c r="D69" s="50">
        <f>怪物信息表!C69</f>
        <v>8001</v>
      </c>
      <c r="E69" s="72">
        <f>VLOOKUP($C69,难度推算表,副本难度推算!$M$3,FALSE)*副本难度推算!$Y$5*Q69</f>
        <v>457751.08029818488</v>
      </c>
      <c r="F69" s="72">
        <f>VLOOKUP($C69,难度推算表,副本难度推算!$P$3,FALSE)*副本难度推算!$Z$5*$R69+VLOOKUP($C69,难度推算表,副本难度推算!$H$3,FALSE)</f>
        <v>30692.202655982725</v>
      </c>
      <c r="G69" s="72">
        <f>VLOOKUP($C69,难度推算表,副本难度推算!$G$3,FALSE)-VLOOKUP($C69,难度推算表,副本难度推算!$I$3,FALSE)*(2-副本难度推算!$AA$5)*(2-$S69)</f>
        <v>8022.1059000000023</v>
      </c>
      <c r="H69" s="72">
        <f>VLOOKUP($C69,难度推算表,副本难度推算!$M$3,FALSE)*副本难度推算!$Y$6*Q69</f>
        <v>366200.86423854792</v>
      </c>
      <c r="I69" s="72">
        <f>VLOOKUP($C69,难度推算表,副本难度推算!$P$3,FALSE)*副本难度推算!$Z$6*$R69+VLOOKUP($C69,难度推算表,副本难度推算!$H$3,FALSE)</f>
        <v>28425.192980384454</v>
      </c>
      <c r="J69" s="72">
        <f>VLOOKUP($C69,难度推算表,副本难度推算!$G$3,FALSE)-VLOOKUP($C69,难度推算表,副本难度推算!$I$3,FALSE)*(2-副本难度推算!$AA$6)*(2-$S69)</f>
        <v>6016.5794250000035</v>
      </c>
      <c r="K69" s="72">
        <f>VLOOKUP($C69,难度推算表,副本难度推算!$M$3,FALSE)*副本难度推算!$Y$7*Q69</f>
        <v>1144377.7007454622</v>
      </c>
      <c r="L69" s="72">
        <f>VLOOKUP($C69,难度推算表,副本难度推算!$P$3,FALSE)*副本难度推算!$Z$7*$R69+VLOOKUP($C69,难度推算表,副本难度推算!$H$3,FALSE)</f>
        <v>35226.222007179269</v>
      </c>
      <c r="M69" s="72">
        <f>VLOOKUP($C69,难度推算表,副本难度推算!$G$3,FALSE)-VLOOKUP($C69,难度推算表,副本难度推算!$I$3,FALSE)*(2-副本难度推算!$AA$7)*(2-$S69)</f>
        <v>10027.632375000001</v>
      </c>
      <c r="N69" s="2">
        <f>VLOOKUP($C69,难度推算表,副本难度推算!$Q$3,FALSE)</f>
        <v>4126.42</v>
      </c>
      <c r="O69" s="2">
        <f>VLOOKUP($C69,难度推算表,副本难度推算!$R$3,FALSE)</f>
        <v>0</v>
      </c>
      <c r="Q69" s="46">
        <v>1</v>
      </c>
      <c r="R69" s="46">
        <v>1</v>
      </c>
      <c r="S69" s="46">
        <v>1</v>
      </c>
      <c r="T69">
        <f>SUMPRODUCT(K69:M69,[2]各种公式!$C$13:$E$13)</f>
        <v>91028.962411997767</v>
      </c>
    </row>
    <row r="70" spans="2:20">
      <c r="B70" t="str">
        <f>怪物并表!$R$7</f>
        <v>普通副本</v>
      </c>
      <c r="C70" s="2">
        <f>怪物信息表!B70</f>
        <v>66</v>
      </c>
      <c r="D70" s="50">
        <f>怪物信息表!C70</f>
        <v>8002</v>
      </c>
      <c r="E70" s="72">
        <f>VLOOKUP($C70,难度推算表,副本难度推算!$M$3,FALSE)*副本难度推算!$Y$5*Q70</f>
        <v>487123.45916340762</v>
      </c>
      <c r="F70" s="72">
        <f>VLOOKUP($C70,难度推算表,副本难度推算!$P$3,FALSE)*副本难度推算!$Z$5*$R70+VLOOKUP($C70,难度推算表,副本难度推算!$H$3,FALSE)</f>
        <v>32984.229931839931</v>
      </c>
      <c r="G70" s="72">
        <f>VLOOKUP($C70,难度推算表,副本难度推算!$G$3,FALSE)-VLOOKUP($C70,难度推算表,副本难度推算!$I$3,FALSE)*(2-副本难度推算!$AA$5)*(2-$S70)</f>
        <v>8453.9554804013442</v>
      </c>
      <c r="H70" s="72">
        <f>VLOOKUP($C70,难度推算表,副本难度推算!$M$3,FALSE)*副本难度推算!$Y$6*Q70</f>
        <v>389698.76733072614</v>
      </c>
      <c r="I70" s="72">
        <f>VLOOKUP($C70,难度推算表,副本难度推算!$P$3,FALSE)*副本难度推算!$Z$6*$R70+VLOOKUP($C70,难度推算表,副本难度推算!$H$3,FALSE)</f>
        <v>30531.202486696071</v>
      </c>
      <c r="J70" s="72">
        <f>VLOOKUP($C70,难度推算表,副本难度推算!$G$3,FALSE)-VLOOKUP($C70,难度推算表,副本难度推算!$I$3,FALSE)*(2-副本难度推算!$AA$6)*(2-$S70)</f>
        <v>6340.4666103010095</v>
      </c>
      <c r="K70" s="72">
        <f>VLOOKUP($C70,难度推算表,副本难度推算!$M$3,FALSE)*副本难度推算!$Y$7*Q70</f>
        <v>1217808.647908519</v>
      </c>
      <c r="L70" s="72">
        <f>VLOOKUP($C70,难度推算表,副本难度推算!$P$3,FALSE)*副本难度推算!$Z$7*$R70+VLOOKUP($C70,难度推算表,副本难度推算!$H$3,FALSE)</f>
        <v>37890.284822127644</v>
      </c>
      <c r="M70" s="72">
        <f>VLOOKUP($C70,难度推算表,副本难度推算!$G$3,FALSE)-VLOOKUP($C70,难度推算表,副本难度推算!$I$3,FALSE)*(2-副本难度推算!$AA$7)*(2-$S70)</f>
        <v>10567.444350501679</v>
      </c>
      <c r="N70" s="2">
        <f>VLOOKUP($C70,难度推算表,副本难度推算!$Q$3,FALSE)</f>
        <v>4184.6480000000001</v>
      </c>
      <c r="O70" s="2">
        <f>VLOOKUP($C70,难度推算表,副本难度推算!$R$3,FALSE)</f>
        <v>0</v>
      </c>
      <c r="Q70" s="46">
        <v>1</v>
      </c>
      <c r="R70" s="46">
        <v>1</v>
      </c>
      <c r="S70" s="46">
        <v>1</v>
      </c>
      <c r="T70">
        <f>SUMPRODUCT(K70:M70,[2]各种公式!$C$13:$E$13)</f>
        <v>97170.075088970087</v>
      </c>
    </row>
    <row r="71" spans="2:20">
      <c r="B71" t="str">
        <f>怪物并表!$R$7</f>
        <v>普通副本</v>
      </c>
      <c r="C71" s="2">
        <f>怪物信息表!B71</f>
        <v>67</v>
      </c>
      <c r="D71" s="50">
        <f>怪物信息表!C71</f>
        <v>8003</v>
      </c>
      <c r="E71" s="72">
        <f>VLOOKUP($C71,难度推算表,副本难度推算!$M$3,FALSE)*副本难度推算!$Y$5*Q71</f>
        <v>517787.79575834068</v>
      </c>
      <c r="F71" s="72">
        <f>VLOOKUP($C71,难度推算表,副本难度推算!$P$3,FALSE)*副本难度推算!$Z$5*$R71+VLOOKUP($C71,难度推算表,副本难度推算!$H$3,FALSE)</f>
        <v>35084.464944098821</v>
      </c>
      <c r="G71" s="72">
        <f>VLOOKUP($C71,难度推算表,副本难度推算!$G$3,FALSE)-VLOOKUP($C71,难度推算表,副本难度推算!$I$3,FALSE)*(2-副本难度推算!$AA$5)*(2-$S71)</f>
        <v>8899.84509339131</v>
      </c>
      <c r="H71" s="72">
        <f>VLOOKUP($C71,难度推算表,副本难度推算!$M$3,FALSE)*副本难度推算!$Y$6*Q71</f>
        <v>414230.23660667258</v>
      </c>
      <c r="I71" s="72">
        <f>VLOOKUP($C71,难度推算表,副本难度推算!$P$3,FALSE)*副本难度推算!$Z$6*$R71+VLOOKUP($C71,难度推算表,副本难度推算!$H$3,FALSE)</f>
        <v>32466.002959028068</v>
      </c>
      <c r="J71" s="72">
        <f>VLOOKUP($C71,难度推算表,副本难度推算!$G$3,FALSE)-VLOOKUP($C71,难度推算表,副本难度推算!$I$3,FALSE)*(2-副本难度推算!$AA$6)*(2-$S71)</f>
        <v>6674.883820043482</v>
      </c>
      <c r="K71" s="72">
        <f>VLOOKUP($C71,难度推算表,副本难度推算!$M$3,FALSE)*副本难度推算!$Y$7*Q71</f>
        <v>1294469.4893958517</v>
      </c>
      <c r="L71" s="72">
        <f>VLOOKUP($C71,难度推算表,副本难度推算!$P$3,FALSE)*副本难度推算!$Z$7*$R71+VLOOKUP($C71,难度推算表,副本难度推算!$H$3,FALSE)</f>
        <v>40321.38891424032</v>
      </c>
      <c r="M71" s="72">
        <f>VLOOKUP($C71,难度推算表,副本难度推算!$G$3,FALSE)-VLOOKUP($C71,难度推算表,副本难度推算!$I$3,FALSE)*(2-副本难度推算!$AA$7)*(2-$S71)</f>
        <v>11124.806366739138</v>
      </c>
      <c r="N71" s="2">
        <f>VLOOKUP($C71,难度推算表,副本难度推算!$Q$3,FALSE)</f>
        <v>4242.8759999999993</v>
      </c>
      <c r="O71" s="2">
        <f>VLOOKUP($C71,难度推算表,副本难度推算!$R$3,FALSE)</f>
        <v>0</v>
      </c>
      <c r="Q71" s="46">
        <v>1</v>
      </c>
      <c r="R71" s="46">
        <v>1</v>
      </c>
      <c r="S71" s="46">
        <v>1</v>
      </c>
      <c r="T71">
        <f>SUMPRODUCT(K71:M71,[2]各种公式!$C$13:$E$13)</f>
        <v>103224.97485681354</v>
      </c>
    </row>
    <row r="72" spans="2:20">
      <c r="B72" t="str">
        <f>怪物并表!$R$7</f>
        <v>普通副本</v>
      </c>
      <c r="C72" s="2">
        <f>怪物信息表!B72</f>
        <v>68</v>
      </c>
      <c r="D72" s="50">
        <f>怪物信息表!C72</f>
        <v>8004</v>
      </c>
      <c r="E72" s="72">
        <f>VLOOKUP($C72,难度推算表,副本难度推算!$M$3,FALSE)*副本难度推算!$Y$5*Q72</f>
        <v>549778.35593197402</v>
      </c>
      <c r="F72" s="72">
        <f>VLOOKUP($C72,难度推算表,副本难度推算!$P$3,FALSE)*副本难度推算!$Z$5*$R72+VLOOKUP($C72,难度推算表,副本难度推算!$H$3,FALSE)</f>
        <v>37283.398849405807</v>
      </c>
      <c r="G72" s="72">
        <f>VLOOKUP($C72,难度推算表,副本难度推算!$G$3,FALSE)-VLOOKUP($C72,难度推算表,副本难度推算!$I$3,FALSE)*(2-副本难度推算!$AA$5)*(2-$S72)</f>
        <v>9359.9746637056942</v>
      </c>
      <c r="H72" s="72">
        <f>VLOOKUP($C72,难度推算表,副本难度推算!$M$3,FALSE)*副本难度推算!$Y$6*Q72</f>
        <v>439822.68474557926</v>
      </c>
      <c r="I72" s="72">
        <f>VLOOKUP($C72,难度推算表,副本难度推算!$P$3,FALSE)*副本难度推算!$Z$6*$R72+VLOOKUP($C72,难度推算表,副本难度推算!$H$3,FALSE)</f>
        <v>34491.056430835793</v>
      </c>
      <c r="J72" s="72">
        <f>VLOOKUP($C72,难度推算表,副本难度推算!$G$3,FALSE)-VLOOKUP($C72,难度推算表,副本难度推算!$I$3,FALSE)*(2-副本难度推算!$AA$6)*(2-$S72)</f>
        <v>7019.9809977792702</v>
      </c>
      <c r="K72" s="72">
        <f>VLOOKUP($C72,难度推算表,副本难度推算!$M$3,FALSE)*副本难度推算!$Y$7*Q72</f>
        <v>1374445.889829935</v>
      </c>
      <c r="L72" s="72">
        <f>VLOOKUP($C72,难度推算表,副本难度推算!$P$3,FALSE)*副本难度推算!$Z$7*$R72+VLOOKUP($C72,难度推算表,副本难度推算!$H$3,FALSE)</f>
        <v>42868.083686545826</v>
      </c>
      <c r="M72" s="72">
        <f>VLOOKUP($C72,难度推算表,副本难度推算!$G$3,FALSE)-VLOOKUP($C72,难度推算表,副本难度推算!$I$3,FALSE)*(2-副本难度推算!$AA$7)*(2-$S72)</f>
        <v>11699.968329632118</v>
      </c>
      <c r="N72" s="2">
        <f>VLOOKUP($C72,难度推算表,副本难度推算!$Q$3,FALSE)</f>
        <v>4301.1040000000003</v>
      </c>
      <c r="O72" s="2">
        <f>VLOOKUP($C72,难度推算表,副本难度推算!$R$3,FALSE)</f>
        <v>0</v>
      </c>
      <c r="Q72" s="46">
        <v>1</v>
      </c>
      <c r="R72" s="46">
        <v>1</v>
      </c>
      <c r="S72" s="46">
        <v>1</v>
      </c>
      <c r="T72">
        <f>SUMPRODUCT(K72:M72,[2]各种公式!$C$13:$E$13)</f>
        <v>109545.88760937534</v>
      </c>
    </row>
    <row r="73" spans="2:20">
      <c r="B73" t="str">
        <f>怪物并表!$R$7</f>
        <v>普通副本</v>
      </c>
      <c r="C73" s="2">
        <f>怪物信息表!B73</f>
        <v>69</v>
      </c>
      <c r="D73" s="50">
        <f>怪物信息表!C73</f>
        <v>8005</v>
      </c>
      <c r="E73" s="72">
        <f>VLOOKUP($C73,难度推算表,副本难度推算!$M$3,FALSE)*副本难度推算!$Y$5*Q73</f>
        <v>583129.80920660822</v>
      </c>
      <c r="F73" s="72">
        <f>VLOOKUP($C73,难度推算表,副本难度推算!$P$3,FALSE)*副本难度推算!$Z$5*$R73+VLOOKUP($C73,难度推算表,副本难度推算!$H$3,FALSE)</f>
        <v>39584.69585392889</v>
      </c>
      <c r="G73" s="72">
        <f>VLOOKUP($C73,难度推算表,副本难度推算!$G$3,FALSE)-VLOOKUP($C73,难度推算表,副本难度推算!$I$3,FALSE)*(2-副本难度推算!$AA$5)*(2-$S73)</f>
        <v>9834.5441160802766</v>
      </c>
      <c r="H73" s="72">
        <f>VLOOKUP($C73,难度推算表,副本难度推算!$M$3,FALSE)*副本难度推算!$Y$6*Q73</f>
        <v>466503.84736528661</v>
      </c>
      <c r="I73" s="72">
        <f>VLOOKUP($C73,难度推算表,副本难度推算!$P$3,FALSE)*副本难度推算!$Z$6*$R73+VLOOKUP($C73,难度推算表,副本难度推算!$H$3,FALSE)</f>
        <v>36609.680680144025</v>
      </c>
      <c r="J73" s="72">
        <f>VLOOKUP($C73,难度推算表,副本难度推算!$G$3,FALSE)-VLOOKUP($C73,难度推算表,副本难度推算!$I$3,FALSE)*(2-副本难度推算!$AA$6)*(2-$S73)</f>
        <v>7375.9080870602083</v>
      </c>
      <c r="K73" s="72">
        <f>VLOOKUP($C73,难度推算表,副本难度推算!$M$3,FALSE)*副本难度推算!$Y$7*Q73</f>
        <v>1457824.5230165205</v>
      </c>
      <c r="L73" s="72">
        <f>VLOOKUP($C73,难度推算表,副本难度推算!$P$3,FALSE)*副本难度推算!$Z$7*$R73+VLOOKUP($C73,难度推算表,副本难度推算!$H$3,FALSE)</f>
        <v>45534.726201498604</v>
      </c>
      <c r="M73" s="72">
        <f>VLOOKUP($C73,难度推算表,副本难度推算!$G$3,FALSE)-VLOOKUP($C73,难度推算表,副本难度推算!$I$3,FALSE)*(2-副本难度推算!$AA$7)*(2-$S73)</f>
        <v>12293.180145100345</v>
      </c>
      <c r="N73" s="2">
        <f>VLOOKUP($C73,难度推算表,副本难度推算!$Q$3,FALSE)</f>
        <v>4359.3320000000003</v>
      </c>
      <c r="O73" s="2">
        <f>VLOOKUP($C73,难度推算表,副本难度推算!$R$3,FALSE)</f>
        <v>0</v>
      </c>
      <c r="Q73" s="46">
        <v>1</v>
      </c>
      <c r="R73" s="46">
        <v>1</v>
      </c>
      <c r="S73" s="46">
        <v>1</v>
      </c>
      <c r="T73">
        <f>SUMPRODUCT(K73:M73,[2]各种公式!$C$13:$E$13)</f>
        <v>116140.88726725976</v>
      </c>
    </row>
    <row r="74" spans="2:20">
      <c r="B74" t="str">
        <f>怪物并表!$R$7</f>
        <v>普通副本</v>
      </c>
      <c r="C74" s="2">
        <f>怪物信息表!B74</f>
        <v>70</v>
      </c>
      <c r="D74" s="50">
        <f>怪物信息表!C74</f>
        <v>8006</v>
      </c>
      <c r="E74" s="72">
        <f>VLOOKUP($C74,难度推算表,副本难度推算!$M$3,FALSE)*副本难度推算!$Y$5*Q74</f>
        <v>620217.67267013376</v>
      </c>
      <c r="F74" s="72">
        <f>VLOOKUP($C74,难度推算表,副本难度推算!$P$3,FALSE)*副本难度推算!$Z$5*$R74+VLOOKUP($C74,难度推算表,副本难度推算!$H$3,FALSE)</f>
        <v>42151.224738842153</v>
      </c>
      <c r="G74" s="72">
        <f>VLOOKUP($C74,难度推算表,副本难度推算!$G$3,FALSE)-VLOOKUP($C74,难度推算表,副本难度推算!$I$3,FALSE)*(2-副本难度推算!$AA$5)*(2-$S74)</f>
        <v>10362.85850167225</v>
      </c>
      <c r="H74" s="72">
        <f>VLOOKUP($C74,难度推算表,副本难度推算!$M$3,FALSE)*副本难度推算!$Y$6*Q74</f>
        <v>496174.13813610701</v>
      </c>
      <c r="I74" s="72">
        <f>VLOOKUP($C74,难度推算表,副本难度推算!$P$3,FALSE)*副本难度推算!$Z$6*$R74+VLOOKUP($C74,难度推算表,副本难度推算!$H$3,FALSE)</f>
        <v>38972.388115125163</v>
      </c>
      <c r="J74" s="72">
        <f>VLOOKUP($C74,难度推算表,副本难度推算!$G$3,FALSE)-VLOOKUP($C74,难度推算表,副本难度推算!$I$3,FALSE)*(2-副本难度推算!$AA$6)*(2-$S74)</f>
        <v>7772.1438762541875</v>
      </c>
      <c r="K74" s="72">
        <f>VLOOKUP($C74,难度推算表,副本难度推算!$M$3,FALSE)*副本难度推算!$Y$7*Q74</f>
        <v>1550544.1816753345</v>
      </c>
      <c r="L74" s="72">
        <f>VLOOKUP($C74,难度推算表,副本难度推算!$P$3,FALSE)*副本难度推算!$Z$7*$R74+VLOOKUP($C74,难度推算表,副本难度推算!$H$3,FALSE)</f>
        <v>48508.897986276133</v>
      </c>
      <c r="M74" s="72">
        <f>VLOOKUP($C74,难度推算表,副本难度推算!$G$3,FALSE)-VLOOKUP($C74,难度推算表,副本难度推算!$I$3,FALSE)*(2-副本难度推算!$AA$7)*(2-$S74)</f>
        <v>12953.573127090312</v>
      </c>
      <c r="N74" s="2">
        <f>VLOOKUP($C74,难度推算表,副本难度推算!$Q$3,FALSE)</f>
        <v>4417.5600000000004</v>
      </c>
      <c r="O74" s="2">
        <f>VLOOKUP($C74,难度推算表,副本难度推算!$R$3,FALSE)</f>
        <v>0</v>
      </c>
      <c r="Q74" s="46">
        <v>1</v>
      </c>
      <c r="R74" s="46">
        <v>1</v>
      </c>
      <c r="S74" s="46">
        <v>1</v>
      </c>
      <c r="T74">
        <f>SUMPRODUCT(K74:M74,[2]各种公式!$C$13:$E$13)</f>
        <v>123484.23838037983</v>
      </c>
    </row>
    <row r="75" spans="2:20">
      <c r="B75" t="str">
        <f>怪物并表!$R$7</f>
        <v>普通副本</v>
      </c>
      <c r="C75" s="2">
        <f>怪物信息表!B75</f>
        <v>71</v>
      </c>
      <c r="D75" s="50">
        <f>怪物信息表!C75</f>
        <v>8007</v>
      </c>
      <c r="E75" s="72">
        <f>VLOOKUP($C75,难度推算表,副本难度推算!$M$3,FALSE)*副本难度推算!$Y$5*Q75</f>
        <v>658900.95051244006</v>
      </c>
      <c r="F75" s="72">
        <f>VLOOKUP($C75,难度推算表,副本难度推算!$P$3,FALSE)*副本难度推算!$Z$5*$R75+VLOOKUP($C75,难度推算表,副本难度推算!$H$3,FALSE)</f>
        <v>44839.462152910943</v>
      </c>
      <c r="G75" s="72">
        <f>VLOOKUP($C75,难度推算表,副本难度推算!$G$3,FALSE)-VLOOKUP($C75,难度推算表,副本难度推算!$I$3,FALSE)*(2-副本难度推算!$AA$5)*(2-$S75)</f>
        <v>10908.008309404689</v>
      </c>
      <c r="H75" s="72">
        <f>VLOOKUP($C75,难度推算表,副本难度推算!$M$3,FALSE)*副本难度推算!$Y$6*Q75</f>
        <v>527120.76040995202</v>
      </c>
      <c r="I75" s="72">
        <f>VLOOKUP($C75,难度推算表,副本难度推算!$P$3,FALSE)*副本难度推算!$Z$6*$R75+VLOOKUP($C75,难度推算表,副本难度推算!$H$3,FALSE)</f>
        <v>41446.316768560326</v>
      </c>
      <c r="J75" s="72">
        <f>VLOOKUP($C75,难度推算表,副本难度推算!$G$3,FALSE)-VLOOKUP($C75,难度推算表,副本难度推算!$I$3,FALSE)*(2-副本难度推算!$AA$6)*(2-$S75)</f>
        <v>8181.006232053518</v>
      </c>
      <c r="K75" s="72">
        <f>VLOOKUP($C75,难度推算表,副本难度推算!$M$3,FALSE)*副本难度推算!$Y$7*Q75</f>
        <v>1647252.3762811001</v>
      </c>
      <c r="L75" s="72">
        <f>VLOOKUP($C75,难度推算表,副本难度推算!$P$3,FALSE)*副本难度推算!$Z$7*$R75+VLOOKUP($C75,难度推算表,副本难度推算!$H$3,FALSE)</f>
        <v>51625.752921612191</v>
      </c>
      <c r="M75" s="72">
        <f>VLOOKUP($C75,难度推算表,副本难度推算!$G$3,FALSE)-VLOOKUP($C75,难度推算表,副本难度推算!$I$3,FALSE)*(2-副本难度推算!$AA$7)*(2-$S75)</f>
        <v>13635.010386755861</v>
      </c>
      <c r="N75" s="2">
        <f>VLOOKUP($C75,难度推算表,副本难度推算!$Q$3,FALSE)</f>
        <v>4475.7879999999996</v>
      </c>
      <c r="O75" s="2">
        <f>VLOOKUP($C75,难度推算表,副本难度推算!$R$3,FALSE)</f>
        <v>0</v>
      </c>
      <c r="Q75" s="46">
        <v>1</v>
      </c>
      <c r="R75" s="46">
        <v>1</v>
      </c>
      <c r="S75" s="46">
        <v>1</v>
      </c>
      <c r="T75">
        <f>SUMPRODUCT(K75:M75,[2]各种公式!$C$13:$E$13)</f>
        <v>131150.85835961206</v>
      </c>
    </row>
    <row r="76" spans="2:20">
      <c r="B76" t="str">
        <f>怪物并表!$R$7</f>
        <v>普通副本</v>
      </c>
      <c r="C76" s="2">
        <f>怪物信息表!B76</f>
        <v>72</v>
      </c>
      <c r="D76" s="50">
        <f>怪物信息表!C76</f>
        <v>8008</v>
      </c>
      <c r="E76" s="72">
        <f>VLOOKUP($C76,难度推算表,副本难度推算!$M$3,FALSE)*副本难度推算!$Y$5*Q76</f>
        <v>699220.77768433432</v>
      </c>
      <c r="F76" s="72">
        <f>VLOOKUP($C76,难度推算表,副本难度推算!$P$3,FALSE)*副本难度推算!$Z$5*$R76+VLOOKUP($C76,难度推算表,副本难度推算!$H$3,FALSE)</f>
        <v>47654.011926194202</v>
      </c>
      <c r="G76" s="72">
        <f>VLOOKUP($C76,难度推算表,副本难度推算!$G$3,FALSE)-VLOOKUP($C76,难度推算表,副本难度推算!$I$3,FALSE)*(2-副本难度推算!$AA$5)*(2-$S76)</f>
        <v>11470.226784802682</v>
      </c>
      <c r="H76" s="72">
        <f>VLOOKUP($C76,难度推算表,副本难度推算!$M$3,FALSE)*副本难度推算!$Y$6*Q76</f>
        <v>559376.62214746745</v>
      </c>
      <c r="I76" s="72">
        <f>VLOOKUP($C76,难度推算表,副本难度推算!$P$3,FALSE)*副本难度推算!$Z$6*$R76+VLOOKUP($C76,难度推算表,副本难度推算!$H$3,FALSE)</f>
        <v>44035.633412055045</v>
      </c>
      <c r="J76" s="72">
        <f>VLOOKUP($C76,难度推算表,副本难度推算!$G$3,FALSE)-VLOOKUP($C76,难度推算表,副本难度推算!$I$3,FALSE)*(2-副本难度推算!$AA$6)*(2-$S76)</f>
        <v>8602.6700886020117</v>
      </c>
      <c r="K76" s="72">
        <f>VLOOKUP($C76,难度推算表,副本难度推算!$M$3,FALSE)*副本难度推算!$Y$7*Q76</f>
        <v>1748051.9442108357</v>
      </c>
      <c r="L76" s="72">
        <f>VLOOKUP($C76,难度推算表,副本难度推算!$P$3,FALSE)*副本难度推算!$Z$7*$R76+VLOOKUP($C76,难度推算表,副本难度推算!$H$3,FALSE)</f>
        <v>54890.768954472507</v>
      </c>
      <c r="M76" s="72">
        <f>VLOOKUP($C76,难度推算表,副本难度推算!$G$3,FALSE)-VLOOKUP($C76,难度推算表,副本难度推算!$I$3,FALSE)*(2-副本难度推算!$AA$7)*(2-$S76)</f>
        <v>14337.783481003353</v>
      </c>
      <c r="N76" s="2">
        <f>VLOOKUP($C76,难度推算表,副本难度推算!$Q$3,FALSE)</f>
        <v>4534.0159999999996</v>
      </c>
      <c r="O76" s="2">
        <f>VLOOKUP($C76,难度推算表,副本难度推算!$R$3,FALSE)</f>
        <v>0</v>
      </c>
      <c r="Q76" s="46">
        <v>1</v>
      </c>
      <c r="R76" s="46">
        <v>1</v>
      </c>
      <c r="S76" s="46">
        <v>1</v>
      </c>
      <c r="T76">
        <f>SUMPRODUCT(K76:M76,[2]各种公式!$C$13:$E$13)</f>
        <v>139150.6302039093</v>
      </c>
    </row>
    <row r="77" spans="2:20">
      <c r="B77" t="str">
        <f>怪物并表!$R$7</f>
        <v>普通副本</v>
      </c>
      <c r="C77" s="2">
        <f>怪物信息表!B77</f>
        <v>73</v>
      </c>
      <c r="D77" s="50">
        <f>怪物信息表!C77</f>
        <v>8009</v>
      </c>
      <c r="E77" s="72">
        <f>VLOOKUP($C77,难度推算表,副本难度推算!$M$3,FALSE)*副本难度推算!$Y$5*Q77</f>
        <v>889462.51149343839</v>
      </c>
      <c r="F77" s="72">
        <f>VLOOKUP($C77,难度推算表,副本难度推算!$P$3,FALSE)*副本难度推算!$Z$5*$R77+VLOOKUP($C77,难度推算表,副本难度推算!$H$3,FALSE)</f>
        <v>58309.648004838025</v>
      </c>
      <c r="G77" s="72">
        <f>VLOOKUP($C77,难度推算表,副本难度推算!$G$3,FALSE)-VLOOKUP($C77,难度推算表,副本难度推算!$I$3,FALSE)*(2-副本难度推算!$AA$5)*(2-$S77)</f>
        <v>15062.18396673914</v>
      </c>
      <c r="H77" s="72">
        <f>VLOOKUP($C77,难度推算表,副本难度推算!$M$3,FALSE)*副本难度推算!$Y$6*Q77</f>
        <v>711570.0091947508</v>
      </c>
      <c r="I77" s="72">
        <f>VLOOKUP($C77,难度推算表,副本难度推算!$P$3,FALSE)*副本难度推算!$Z$6*$R77+VLOOKUP($C77,难度推算表,副本难度推算!$H$3,FALSE)</f>
        <v>53683.657921693361</v>
      </c>
      <c r="J77" s="72">
        <f>VLOOKUP($C77,难度推算表,副本难度推算!$G$3,FALSE)-VLOOKUP($C77,难度推算表,副本难度推算!$I$3,FALSE)*(2-副本难度推算!$AA$6)*(2-$S77)</f>
        <v>12652.23453206088</v>
      </c>
      <c r="K77" s="72">
        <f>VLOOKUP($C77,难度推算表,副本难度推算!$M$3,FALSE)*副本难度推算!$Y$7*Q77</f>
        <v>2223656.2787335957</v>
      </c>
      <c r="L77" s="72">
        <f>VLOOKUP($C77,难度推算表,副本难度推算!$P$3,FALSE)*副本难度推算!$Z$7*$R77+VLOOKUP($C77,难度推算表,副本难度推算!$H$3,FALSE)</f>
        <v>67561.628171127377</v>
      </c>
      <c r="M77" s="72">
        <f>VLOOKUP($C77,难度推算表,副本难度推算!$G$3,FALSE)-VLOOKUP($C77,难度推算表,副本难度推算!$I$3,FALSE)*(2-副本难度推算!$AA$7)*(2-$S77)</f>
        <v>17472.133401417399</v>
      </c>
      <c r="N77" s="2">
        <f>VLOOKUP($C77,难度推算表,副本难度推算!$Q$3,FALSE)</f>
        <v>4592.2439999999997</v>
      </c>
      <c r="O77" s="2">
        <f>VLOOKUP($C77,难度推算表,副本难度推算!$R$3,FALSE)</f>
        <v>0</v>
      </c>
      <c r="Q77" s="46">
        <v>1.2</v>
      </c>
      <c r="R77" s="46">
        <v>1.2</v>
      </c>
      <c r="S77" s="106">
        <v>1.2</v>
      </c>
      <c r="T77">
        <f>SUMPRODUCT(K77:M77,[2]各种公式!$C$13:$E$13)</f>
        <v>173980.0127218886</v>
      </c>
    </row>
  </sheetData>
  <mergeCells count="3">
    <mergeCell ref="E3:G3"/>
    <mergeCell ref="H3:J3"/>
    <mergeCell ref="K3:M3"/>
  </mergeCells>
  <phoneticPr fontId="1" type="noConversion"/>
  <conditionalFormatting sqref="S6:S14">
    <cfRule type="cellIs" dxfId="24" priority="8" operator="greaterThan">
      <formula>2</formula>
    </cfRule>
  </conditionalFormatting>
  <conditionalFormatting sqref="S15:S23">
    <cfRule type="cellIs" dxfId="23" priority="7" operator="greaterThan">
      <formula>2</formula>
    </cfRule>
  </conditionalFormatting>
  <conditionalFormatting sqref="S24:S32">
    <cfRule type="cellIs" dxfId="22" priority="6" operator="greaterThan">
      <formula>2</formula>
    </cfRule>
  </conditionalFormatting>
  <conditionalFormatting sqref="S33:S41">
    <cfRule type="cellIs" dxfId="21" priority="5" operator="greaterThan">
      <formula>2</formula>
    </cfRule>
  </conditionalFormatting>
  <conditionalFormatting sqref="S42:S50">
    <cfRule type="cellIs" dxfId="20" priority="4" operator="greaterThan">
      <formula>2</formula>
    </cfRule>
  </conditionalFormatting>
  <conditionalFormatting sqref="S51:S59">
    <cfRule type="cellIs" dxfId="19" priority="3" operator="greaterThan">
      <formula>2</formula>
    </cfRule>
  </conditionalFormatting>
  <conditionalFormatting sqref="S60:S68">
    <cfRule type="cellIs" dxfId="18" priority="2" operator="greaterThan">
      <formula>2</formula>
    </cfRule>
  </conditionalFormatting>
  <conditionalFormatting sqref="S69:S77">
    <cfRule type="cellIs" dxfId="17" priority="1" operator="greaterThan">
      <formula>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T76"/>
  <sheetViews>
    <sheetView workbookViewId="0">
      <selection activeCell="M35" sqref="M35"/>
    </sheetView>
  </sheetViews>
  <sheetFormatPr defaultRowHeight="13.5"/>
  <cols>
    <col min="3" max="3" width="9.5" bestFit="1" customWidth="1"/>
    <col min="4" max="4" width="13.875" customWidth="1"/>
    <col min="5" max="5" width="11.625" bestFit="1" customWidth="1"/>
    <col min="6" max="6" width="9.5" bestFit="1" customWidth="1"/>
    <col min="7" max="7" width="8.5" bestFit="1" customWidth="1"/>
    <col min="8" max="8" width="11.625" bestFit="1" customWidth="1"/>
    <col min="9" max="9" width="9.5" bestFit="1" customWidth="1"/>
    <col min="10" max="10" width="8.5" bestFit="1" customWidth="1"/>
    <col min="11" max="11" width="11.625" bestFit="1" customWidth="1"/>
    <col min="12" max="12" width="9.5" bestFit="1" customWidth="1"/>
    <col min="13" max="13" width="8.5" bestFit="1" customWidth="1"/>
    <col min="18" max="18" width="13.875" bestFit="1" customWidth="1"/>
    <col min="19" max="19" width="9.5" bestFit="1" customWidth="1"/>
  </cols>
  <sheetData>
    <row r="3" spans="2:20">
      <c r="E3" s="149" t="s">
        <v>87</v>
      </c>
      <c r="F3" s="149"/>
      <c r="G3" s="149"/>
      <c r="H3" s="149" t="s">
        <v>88</v>
      </c>
      <c r="I3" s="149"/>
      <c r="J3" s="149"/>
      <c r="K3" s="149" t="s">
        <v>89</v>
      </c>
      <c r="L3" s="149"/>
      <c r="M3" s="149"/>
    </row>
    <row r="4" spans="2:20">
      <c r="B4" s="2" t="s">
        <v>285</v>
      </c>
      <c r="C4" s="2" t="s">
        <v>91</v>
      </c>
      <c r="D4" s="10" t="s">
        <v>58</v>
      </c>
      <c r="E4" s="13" t="s">
        <v>92</v>
      </c>
      <c r="F4" s="13" t="s">
        <v>93</v>
      </c>
      <c r="G4" s="13" t="s">
        <v>94</v>
      </c>
      <c r="H4" s="13" t="s">
        <v>92</v>
      </c>
      <c r="I4" s="13" t="s">
        <v>93</v>
      </c>
      <c r="J4" s="13" t="s">
        <v>94</v>
      </c>
      <c r="K4" s="13" t="s">
        <v>92</v>
      </c>
      <c r="L4" s="13" t="s">
        <v>93</v>
      </c>
      <c r="M4" s="13" t="s">
        <v>94</v>
      </c>
      <c r="N4" s="66" t="s">
        <v>339</v>
      </c>
      <c r="O4" s="66" t="s">
        <v>340</v>
      </c>
      <c r="Q4" s="13" t="s">
        <v>356</v>
      </c>
      <c r="R4" s="13" t="s">
        <v>437</v>
      </c>
      <c r="S4" s="13" t="s">
        <v>436</v>
      </c>
    </row>
    <row r="5" spans="2:20">
      <c r="B5" s="2" t="str">
        <f>怪物并表!$R$8</f>
        <v>精英副本</v>
      </c>
      <c r="C5" s="2">
        <f>怪物信息表!J5</f>
        <v>13</v>
      </c>
      <c r="D5" s="42">
        <f>怪物信息表!K5</f>
        <v>1201</v>
      </c>
      <c r="E5" s="72">
        <f>VLOOKUP($C5,难度推算表,副本难度推算!$M$3,FALSE)*副本难度推算!$Y$5*Q5</f>
        <v>3094.6851411110956</v>
      </c>
      <c r="F5" s="72">
        <f>VLOOKUP($C5,难度推算表,副本难度推算!$P$3,FALSE)*副本难度推算!$Z$5*$R5+VLOOKUP($C5,难度推算表,副本难度推算!$H$3,FALSE)</f>
        <v>201.25647319685464</v>
      </c>
      <c r="G5" s="72">
        <f>VLOOKUP($C5,难度推算表,副本难度推算!$G$3,FALSE)-VLOOKUP($C5,难度推算表,副本难度推算!$I$3,FALSE)*(2-副本难度推算!$AA$5)*(2-$S5)</f>
        <v>123.07679999999999</v>
      </c>
      <c r="H5" s="72">
        <f>VLOOKUP($C5,难度推算表,副本难度推算!$M$3,FALSE)*副本难度推算!$Y$6*Q5</f>
        <v>2475.7481128888767</v>
      </c>
      <c r="I5" s="72">
        <f>VLOOKUP($C5,难度推算表,副本难度推算!$P$3,FALSE)*副本难度推算!$Z$6*$R5+VLOOKUP($C5,难度推算表,副本难度推算!$H$3,FALSE)</f>
        <v>193.43850587716918</v>
      </c>
      <c r="J5" s="72">
        <f>VLOOKUP($C5,难度推算表,副本难度推算!$G$3,FALSE)-VLOOKUP($C5,难度推算表,副本难度推算!$I$3,FALSE)*(2-副本难度推算!$AA$6)*(2-$S5)</f>
        <v>92.307600000000008</v>
      </c>
      <c r="K5" s="72">
        <f>VLOOKUP($C5,难度推算表,副本难度推算!$M$3,FALSE)*副本难度推算!$Y$7*Q5</f>
        <v>7736.7128527777386</v>
      </c>
      <c r="L5" s="72">
        <f>VLOOKUP($C5,难度推算表,副本难度推算!$P$3,FALSE)*副本难度推算!$Z$7*$R5+VLOOKUP($C5,难度推算表,副本难度推算!$H$3,FALSE)</f>
        <v>216.89240783622557</v>
      </c>
      <c r="M5" s="72">
        <f>VLOOKUP($C5,难度推算表,副本难度推算!$G$3,FALSE)-VLOOKUP($C5,难度推算表,副本难度推算!$I$3,FALSE)*(2-副本难度推算!$AA$7)*(2-$S5)</f>
        <v>153.846</v>
      </c>
      <c r="N5" s="2">
        <f>VLOOKUP($C5,难度推算表,副本难度推算!$Q$3,FALSE)</f>
        <v>1098.5640000000001</v>
      </c>
      <c r="O5" s="2">
        <f>VLOOKUP($C5,难度推算表,副本难度推算!$R$3,FALSE)</f>
        <v>0</v>
      </c>
      <c r="Q5" s="46">
        <v>1</v>
      </c>
      <c r="R5" s="46">
        <v>1.1000000000000001</v>
      </c>
      <c r="S5" s="46">
        <v>1</v>
      </c>
      <c r="T5">
        <f>SUMPRODUCT(K5:M5,[2]各种公式!$C$13:$E$13)</f>
        <v>680.2069219473351</v>
      </c>
    </row>
    <row r="6" spans="2:20">
      <c r="B6" s="2" t="str">
        <f>怪物并表!$R$8</f>
        <v>精英副本</v>
      </c>
      <c r="C6" s="2">
        <f>怪物信息表!J6</f>
        <v>14</v>
      </c>
      <c r="D6" s="42">
        <f>怪物信息表!K6</f>
        <v>1202</v>
      </c>
      <c r="E6" s="72">
        <f>VLOOKUP($C6,难度推算表,副本难度推算!$M$3,FALSE)*副本难度推算!$Y$5*Q6</f>
        <v>3721.5984330417537</v>
      </c>
      <c r="F6" s="72">
        <f>VLOOKUP($C6,难度推算表,副本难度推算!$P$3,FALSE)*副本难度推算!$Z$5*$R6+VLOOKUP($C6,难度推算表,副本难度推算!$H$3,FALSE)</f>
        <v>236.11559020315178</v>
      </c>
      <c r="G6" s="72">
        <f>VLOOKUP($C6,难度推算表,副本难度推算!$G$3,FALSE)-VLOOKUP($C6,难度推算表,副本难度推算!$I$3,FALSE)*(2-副本难度推算!$AA$5)*(2-$S6)</f>
        <v>144.45804521739137</v>
      </c>
      <c r="H6" s="72">
        <f>VLOOKUP($C6,难度推算表,副本难度推算!$M$3,FALSE)*副本难度推算!$Y$6*Q6</f>
        <v>2977.2787464334028</v>
      </c>
      <c r="I6" s="72">
        <f>VLOOKUP($C6,难度推算表,副本难度推算!$P$3,FALSE)*副本难度推算!$Z$6*$R6+VLOOKUP($C6,难度推算表,副本难度推算!$H$3,FALSE)</f>
        <v>226.59749900892356</v>
      </c>
      <c r="J6" s="72">
        <f>VLOOKUP($C6,难度推算表,副本难度推算!$G$3,FALSE)-VLOOKUP($C6,难度推算表,副本难度推算!$I$3,FALSE)*(2-副本难度推算!$AA$6)*(2-$S6)</f>
        <v>109.92904904347833</v>
      </c>
      <c r="K6" s="72">
        <f>VLOOKUP($C6,难度推算表,副本难度推算!$M$3,FALSE)*副本难度推算!$Y$7*Q6</f>
        <v>9303.9960826043825</v>
      </c>
      <c r="L6" s="72">
        <f>VLOOKUP($C6,难度推算表,副本难度推算!$P$3,FALSE)*副本难度推算!$Z$7*$R6+VLOOKUP($C6,难度推算表,副本难度推算!$H$3,FALSE)</f>
        <v>255.15177259160822</v>
      </c>
      <c r="M6" s="72">
        <f>VLOOKUP($C6,难度推算表,副本难度推算!$G$3,FALSE)-VLOOKUP($C6,难度推算表,副本难度推算!$I$3,FALSE)*(2-副本难度推算!$AA$7)*(2-$S6)</f>
        <v>178.98704139130439</v>
      </c>
      <c r="N6" s="2">
        <f>VLOOKUP($C6,难度推算表,副本难度推算!$Q$3,FALSE)</f>
        <v>1156.7920000000001</v>
      </c>
      <c r="O6" s="2">
        <f>VLOOKUP($C6,难度推算表,副本难度推算!$R$3,FALSE)</f>
        <v>0</v>
      </c>
      <c r="Q6" s="46">
        <v>1.02</v>
      </c>
      <c r="R6" s="46">
        <v>1.1200000000000001</v>
      </c>
      <c r="S6" s="46">
        <v>1.02</v>
      </c>
      <c r="T6">
        <f>SUMPRODUCT(K6:M6,[2]各种公式!$C$13:$E$13)</f>
        <v>806.29865728708785</v>
      </c>
    </row>
    <row r="7" spans="2:20">
      <c r="B7" s="2" t="str">
        <f>怪物并表!$R$8</f>
        <v>精英副本</v>
      </c>
      <c r="C7" s="2">
        <f>怪物信息表!J7</f>
        <v>15</v>
      </c>
      <c r="D7" s="42">
        <f>怪物信息表!K7</f>
        <v>1203</v>
      </c>
      <c r="E7" s="72">
        <f>VLOOKUP($C7,难度推算表,副本难度推算!$M$3,FALSE)*副本难度推算!$Y$5*Q7</f>
        <v>4424.8772200063731</v>
      </c>
      <c r="F7" s="72">
        <f>VLOOKUP($C7,难度推算表,副本难度推算!$P$3,FALSE)*副本难度推算!$Z$5*$R7+VLOOKUP($C7,难度推算表,副本难度推算!$H$3,FALSE)</f>
        <v>274.42100789835166</v>
      </c>
      <c r="G7" s="72">
        <f>VLOOKUP($C7,难度推算表,副本难度推算!$G$3,FALSE)-VLOOKUP($C7,难度推算表,副本难度推算!$I$3,FALSE)*(2-副本难度推算!$AA$5)*(2-$S7)</f>
        <v>167.82652173913047</v>
      </c>
      <c r="H7" s="72">
        <f>VLOOKUP($C7,难度推算表,副本难度推算!$M$3,FALSE)*副本难度推算!$Y$6*Q7</f>
        <v>3539.9017760050988</v>
      </c>
      <c r="I7" s="72">
        <f>VLOOKUP($C7,难度推算表,副本难度推算!$P$3,FALSE)*副本难度推算!$Z$6*$R7+VLOOKUP($C7,难度推算表,副本难度推算!$H$3,FALSE)</f>
        <v>262.96238536938608</v>
      </c>
      <c r="J7" s="72">
        <f>VLOOKUP($C7,难度推算表,副本难度推算!$G$3,FALSE)-VLOOKUP($C7,难度推算表,副本难度推算!$I$3,FALSE)*(2-副本难度推算!$AA$6)*(2-$S7)</f>
        <v>129.46617391304355</v>
      </c>
      <c r="K7" s="72">
        <f>VLOOKUP($C7,难度推算表,副本难度推算!$M$3,FALSE)*副本难度推算!$Y$7*Q7</f>
        <v>11062.193050015934</v>
      </c>
      <c r="L7" s="72">
        <f>VLOOKUP($C7,难度推算表,副本难度推算!$P$3,FALSE)*副本难度推算!$Z$7*$R7+VLOOKUP($C7,难度推算表,副本难度推算!$H$3,FALSE)</f>
        <v>297.33825295628287</v>
      </c>
      <c r="M7" s="72">
        <f>VLOOKUP($C7,难度推算表,副本难度推算!$G$3,FALSE)-VLOOKUP($C7,难度推算表,副本难度推算!$I$3,FALSE)*(2-副本难度推算!$AA$7)*(2-$S7)</f>
        <v>206.18686956521742</v>
      </c>
      <c r="N7" s="2">
        <f>VLOOKUP($C7,难度推算表,副本难度推算!$Q$3,FALSE)</f>
        <v>1215.02</v>
      </c>
      <c r="O7" s="2">
        <f>VLOOKUP($C7,难度推算表,副本难度推算!$R$3,FALSE)</f>
        <v>0</v>
      </c>
      <c r="Q7" s="46">
        <v>1.04</v>
      </c>
      <c r="R7" s="46">
        <v>1.1399999999999999</v>
      </c>
      <c r="S7" s="46">
        <v>1.04</v>
      </c>
      <c r="T7">
        <f>SUMPRODUCT(K7:M7,[2]各种公式!$C$13:$E$13)</f>
        <v>946.0128445221377</v>
      </c>
    </row>
    <row r="8" spans="2:20">
      <c r="B8" s="2" t="str">
        <f>怪物并表!$R$8</f>
        <v>精英副本</v>
      </c>
      <c r="C8" s="2">
        <f>怪物信息表!J8</f>
        <v>16</v>
      </c>
      <c r="D8" s="42">
        <f>怪物信息表!K8</f>
        <v>1204</v>
      </c>
      <c r="E8" s="72">
        <f>VLOOKUP($C8,难度推算表,副本难度推算!$M$3,FALSE)*副本难度推算!$Y$5*Q8</f>
        <v>5209.5362374956539</v>
      </c>
      <c r="F8" s="72">
        <f>VLOOKUP($C8,难度推算表,副本难度推算!$P$3,FALSE)*副本难度推算!$Z$5*$R8+VLOOKUP($C8,难度推算表,副本难度推算!$H$3,FALSE)</f>
        <v>316.38733493651409</v>
      </c>
      <c r="G8" s="72">
        <f>VLOOKUP($C8,难度推算表,副本难度推算!$G$3,FALSE)-VLOOKUP($C8,难度推算表,副本难度推算!$I$3,FALSE)*(2-副本难度推算!$AA$5)*(2-$S8)</f>
        <v>193.26039652173918</v>
      </c>
      <c r="H8" s="72">
        <f>VLOOKUP($C8,难度推算表,副本难度推算!$M$3,FALSE)*副本难度推算!$Y$6*Q8</f>
        <v>4167.6289899965232</v>
      </c>
      <c r="I8" s="72">
        <f>VLOOKUP($C8,难度推算表,副本难度推算!$P$3,FALSE)*副本难度推算!$Z$6*$R8+VLOOKUP($C8,难度推算表,副本难度推算!$H$3,FALSE)</f>
        <v>302.7263127472105</v>
      </c>
      <c r="J8" s="72">
        <f>VLOOKUP($C8,难度推算表,副本难度推算!$G$3,FALSE)-VLOOKUP($C8,难度推算表,副本难度推算!$I$3,FALSE)*(2-副本难度推算!$AA$6)*(2-$S8)</f>
        <v>151.01277495652181</v>
      </c>
      <c r="K8" s="72">
        <f>VLOOKUP($C8,难度推算表,副本难度推算!$M$3,FALSE)*副本难度推算!$Y$7*Q8</f>
        <v>13023.840593739136</v>
      </c>
      <c r="L8" s="72">
        <f>VLOOKUP($C8,难度推算表,副本难度推算!$P$3,FALSE)*副本难度推算!$Z$7*$R8+VLOOKUP($C8,难度推算表,副本难度推算!$H$3,FALSE)</f>
        <v>343.70937931512117</v>
      </c>
      <c r="M8" s="72">
        <f>VLOOKUP($C8,难度推算表,副本难度推算!$G$3,FALSE)-VLOOKUP($C8,难度推算表,副本难度推算!$I$3,FALSE)*(2-副本难度推算!$AA$7)*(2-$S8)</f>
        <v>235.50801808695658</v>
      </c>
      <c r="N8" s="2">
        <f>VLOOKUP($C8,难度推算表,副本难度推算!$Q$3,FALSE)</f>
        <v>1273.248</v>
      </c>
      <c r="O8" s="2">
        <f>VLOOKUP($C8,难度推算表,副本难度推算!$R$3,FALSE)</f>
        <v>0</v>
      </c>
      <c r="Q8" s="46">
        <v>1.06</v>
      </c>
      <c r="R8" s="46">
        <v>1.1599999999999999</v>
      </c>
      <c r="S8" s="46">
        <v>1.06</v>
      </c>
      <c r="T8">
        <f>SUMPRODUCT(K8:M8,[2]各种公式!$C$13:$E$13)</f>
        <v>1100.1710211516433</v>
      </c>
    </row>
    <row r="9" spans="2:20">
      <c r="B9" s="2" t="str">
        <f>怪物并表!$R$8</f>
        <v>精英副本</v>
      </c>
      <c r="C9" s="2">
        <f>怪物信息表!J9</f>
        <v>17</v>
      </c>
      <c r="D9" s="42">
        <f>怪物信息表!K9</f>
        <v>1205</v>
      </c>
      <c r="E9" s="72">
        <f>VLOOKUP($C9,难度推算表,副本难度推算!$M$3,FALSE)*副本难度推算!$Y$5*Q9</f>
        <v>6080.7246165838169</v>
      </c>
      <c r="F9" s="72">
        <f>VLOOKUP($C9,难度推算表,副本难度推算!$P$3,FALSE)*副本难度推算!$Z$5*$R9+VLOOKUP($C9,难度推算表,副本难度推算!$H$3,FALSE)</f>
        <v>362.24046477256223</v>
      </c>
      <c r="G9" s="72">
        <f>VLOOKUP($C9,难度推算表,副本难度推算!$G$3,FALSE)-VLOOKUP($C9,难度推算表,副本难度推算!$I$3,FALSE)*(2-副本难度推算!$AA$5)*(2-$S9)</f>
        <v>220.83783652173918</v>
      </c>
      <c r="H9" s="72">
        <f>VLOOKUP($C9,难度推算表,副本难度推算!$M$3,FALSE)*副本难度推算!$Y$6*Q9</f>
        <v>4864.5796932670537</v>
      </c>
      <c r="I9" s="72">
        <f>VLOOKUP($C9,难度推算表,副本难度推算!$P$3,FALSE)*副本难度推算!$Z$6*$R9+VLOOKUP($C9,难度推算表,副本难度推算!$H$3,FALSE)</f>
        <v>346.09258525182776</v>
      </c>
      <c r="J9" s="72">
        <f>VLOOKUP($C9,难度推算表,副本难度推算!$G$3,FALSE)-VLOOKUP($C9,难度推算表,副本难度推算!$I$3,FALSE)*(2-副本难度推算!$AA$6)*(2-$S9)</f>
        <v>174.66265252173918</v>
      </c>
      <c r="K9" s="72">
        <f>VLOOKUP($C9,难度推算表,副本难度推算!$M$3,FALSE)*副本难度推算!$Y$7*Q9</f>
        <v>15201.811541459543</v>
      </c>
      <c r="L9" s="72">
        <f>VLOOKUP($C9,难度推算表,副本难度推算!$P$3,FALSE)*副本难度推算!$Z$7*$R9+VLOOKUP($C9,难度推算表,副本难度推算!$H$3,FALSE)</f>
        <v>394.53622381403113</v>
      </c>
      <c r="M9" s="72">
        <f>VLOOKUP($C9,难度推算表,副本难度推算!$G$3,FALSE)-VLOOKUP($C9,难度推算表,副本难度推算!$I$3,FALSE)*(2-副本难度推算!$AA$7)*(2-$S9)</f>
        <v>267.01302052173912</v>
      </c>
      <c r="N9" s="2">
        <f>VLOOKUP($C9,难度推算表,副本难度推算!$Q$3,FALSE)</f>
        <v>1331.4760000000001</v>
      </c>
      <c r="O9" s="2">
        <f>VLOOKUP($C9,难度推算表,副本难度推算!$R$3,FALSE)</f>
        <v>0</v>
      </c>
      <c r="Q9" s="46">
        <v>1.08</v>
      </c>
      <c r="R9" s="46">
        <v>1.18</v>
      </c>
      <c r="S9" s="46">
        <v>1.08</v>
      </c>
      <c r="T9">
        <f>SUMPRODUCT(K9:M9,[2]各种公式!$C$13:$E$13)</f>
        <v>1269.6217059941519</v>
      </c>
    </row>
    <row r="10" spans="2:20">
      <c r="B10" s="2" t="str">
        <f>怪物并表!$R$8</f>
        <v>精英副本</v>
      </c>
      <c r="C10" s="2">
        <f>怪物信息表!J10</f>
        <v>18</v>
      </c>
      <c r="D10" s="42">
        <f>怪物信息表!K10</f>
        <v>1206</v>
      </c>
      <c r="E10" s="72">
        <f>VLOOKUP($C10,难度推算表,副本难度推算!$M$3,FALSE)*副本难度推算!$Y$5*Q10</f>
        <v>7043.7251387910801</v>
      </c>
      <c r="F10" s="72">
        <f>VLOOKUP($C10,难度推算表,副本难度推算!$P$3,FALSE)*副本难度推算!$Z$5*$R10+VLOOKUP($C10,难度推算表,副本难度推算!$H$3,FALSE)</f>
        <v>412.2179551959448</v>
      </c>
      <c r="G10" s="72">
        <f>VLOOKUP($C10,难度推算表,副本难度推算!$G$3,FALSE)-VLOOKUP($C10,难度推算表,副本难度推算!$I$3,FALSE)*(2-副本难度推算!$AA$5)*(2-$S10)</f>
        <v>250.6370086956523</v>
      </c>
      <c r="H10" s="72">
        <f>VLOOKUP($C10,难度推算表,副本难度推算!$M$3,FALSE)*副本难度推算!$Y$6*Q10</f>
        <v>5634.9801110328644</v>
      </c>
      <c r="I10" s="72">
        <f>VLOOKUP($C10,难度推算表,副本难度推算!$P$3,FALSE)*副本难度推算!$Z$6*$R10+VLOOKUP($C10,难度推算表,副本难度推算!$H$3,FALSE)</f>
        <v>393.27500489374165</v>
      </c>
      <c r="J10" s="72">
        <f>VLOOKUP($C10,难度推算表,副本难度推算!$G$3,FALSE)-VLOOKUP($C10,难度推算表,副本难度推算!$I$3,FALSE)*(2-副本难度推算!$AA$6)*(2-$S10)</f>
        <v>200.50960695652185</v>
      </c>
      <c r="K10" s="72">
        <f>VLOOKUP($C10,难度推算表,副本难度推算!$M$3,FALSE)*副本难度推算!$Y$7*Q10</f>
        <v>17609.3128469777</v>
      </c>
      <c r="L10" s="72">
        <f>VLOOKUP($C10,难度推算表,副本难度推算!$P$3,FALSE)*副本难度推算!$Z$7*$R10+VLOOKUP($C10,难度推算表,副本难度推算!$H$3,FALSE)</f>
        <v>450.10385580035108</v>
      </c>
      <c r="M10" s="72">
        <f>VLOOKUP($C10,难度推算表,副本难度推算!$G$3,FALSE)-VLOOKUP($C10,难度推算表,副本难度推算!$I$3,FALSE)*(2-副本难度推算!$AA$7)*(2-$S10)</f>
        <v>300.76441043478275</v>
      </c>
      <c r="N10" s="2">
        <f>VLOOKUP($C10,难度推算表,副本难度推算!$Q$3,FALSE)</f>
        <v>1389.704</v>
      </c>
      <c r="O10" s="2">
        <f>VLOOKUP($C10,难度推算表,副本难度推算!$R$3,FALSE)</f>
        <v>0</v>
      </c>
      <c r="Q10" s="46">
        <v>1.1000000000000001</v>
      </c>
      <c r="R10" s="46">
        <v>1.2</v>
      </c>
      <c r="S10" s="46">
        <v>1.1000000000000001</v>
      </c>
      <c r="T10">
        <f>SUMPRODUCT(K10:M10,[2]各种公式!$C$13:$E$13)</f>
        <v>1455.2407801142419</v>
      </c>
    </row>
    <row r="11" spans="2:20">
      <c r="B11" s="2" t="str">
        <f>怪物并表!$R$8</f>
        <v>精英副本</v>
      </c>
      <c r="C11" s="2">
        <f>怪物信息表!J11</f>
        <v>19</v>
      </c>
      <c r="D11" s="42">
        <f>怪物信息表!K11</f>
        <v>1207</v>
      </c>
      <c r="E11" s="72">
        <f>VLOOKUP($C11,难度推算表,副本难度推算!$M$3,FALSE)*副本难度推算!$Y$5*Q11</f>
        <v>8103.95364765661</v>
      </c>
      <c r="F11" s="72">
        <f>VLOOKUP($C11,难度推算表,副本难度推算!$P$3,FALSE)*副本难度推算!$Z$5*$R11+VLOOKUP($C11,难度推算表,副本难度推算!$H$3,FALSE)</f>
        <v>462.95119439346365</v>
      </c>
      <c r="G11" s="72">
        <f>VLOOKUP($C11,难度推算表,副本难度推算!$G$3,FALSE)-VLOOKUP($C11,难度推算表,副本难度推算!$I$3,FALSE)*(2-副本难度推算!$AA$5)*(2-$S11)</f>
        <v>282.73608000000013</v>
      </c>
      <c r="H11" s="72">
        <f>VLOOKUP($C11,难度推算表,副本难度推算!$M$3,FALSE)*副本难度推算!$Y$6*Q11</f>
        <v>6483.1629181252874</v>
      </c>
      <c r="I11" s="72">
        <f>VLOOKUP($C11,难度推算表,副本难度推算!$P$3,FALSE)*副本难度推算!$Z$6*$R11+VLOOKUP($C11,难度推算表,副本难度推算!$H$3,FALSE)</f>
        <v>441.24182104107376</v>
      </c>
      <c r="J11" s="72">
        <f>VLOOKUP($C11,难度推算表,副本难度推算!$G$3,FALSE)-VLOOKUP($C11,难度推算表,副本难度推算!$I$3,FALSE)*(2-副本难度推算!$AA$6)*(2-$S11)</f>
        <v>228.64743860869584</v>
      </c>
      <c r="K11" s="72">
        <f>VLOOKUP($C11,难度推算表,副本难度推算!$M$3,FALSE)*副本难度推算!$Y$7*Q11</f>
        <v>20259.884119141523</v>
      </c>
      <c r="L11" s="72">
        <f>VLOOKUP($C11,难度推算表,副本难度推算!$P$3,FALSE)*副本难度推算!$Z$7*$R11+VLOOKUP($C11,难度推算表,副本难度推算!$H$3,FALSE)</f>
        <v>506.36994109824332</v>
      </c>
      <c r="M11" s="72">
        <f>VLOOKUP($C11,难度推算表,副本难度推算!$G$3,FALSE)-VLOOKUP($C11,难度推算表,副本难度推算!$I$3,FALSE)*(2-副本难度推算!$AA$7)*(2-$S11)</f>
        <v>336.82472139130448</v>
      </c>
      <c r="N11" s="2">
        <f>VLOOKUP($C11,难度推算表,副本难度推算!$Q$3,FALSE)</f>
        <v>1447.932</v>
      </c>
      <c r="O11" s="2">
        <f>VLOOKUP($C11,难度推算表,副本难度推算!$R$3,FALSE)</f>
        <v>0</v>
      </c>
      <c r="Q11" s="46">
        <v>1.1200000000000001</v>
      </c>
      <c r="R11" s="46">
        <v>1.2</v>
      </c>
      <c r="S11" s="46">
        <v>1.1200000000000001</v>
      </c>
      <c r="T11">
        <f>SUMPRODUCT(K11:M11,[2]各种公式!$C$13:$E$13)</f>
        <v>1653.590027255209</v>
      </c>
    </row>
    <row r="12" spans="2:20">
      <c r="B12" s="2" t="str">
        <f>怪物并表!$R$8</f>
        <v>精英副本</v>
      </c>
      <c r="C12" s="2">
        <f>怪物信息表!J12</f>
        <v>20</v>
      </c>
      <c r="D12" s="42">
        <f>怪物信息表!K12</f>
        <v>1208</v>
      </c>
      <c r="E12" s="72">
        <f>VLOOKUP($C12,难度推算表,副本难度推算!$M$3,FALSE)*副本难度推算!$Y$5*Q12</f>
        <v>9266.9585687400631</v>
      </c>
      <c r="F12" s="72">
        <f>VLOOKUP($C12,难度推算表,副本难度推算!$P$3,FALSE)*副本难度推算!$Z$5*$R12+VLOOKUP($C12,难度推算表,副本难度推算!$H$3,FALSE)</f>
        <v>537.92413043478268</v>
      </c>
      <c r="G12" s="72">
        <f>VLOOKUP($C12,难度推算表,副本难度推算!$G$3,FALSE)-VLOOKUP($C12,难度推算表,副本难度推算!$I$3,FALSE)*(2-副本难度推算!$AA$5)*(2-$S12)</f>
        <v>317.2132173913044</v>
      </c>
      <c r="H12" s="72">
        <f>VLOOKUP($C12,难度推算表,副本难度推算!$M$3,FALSE)*副本难度推算!$Y$6*Q12</f>
        <v>7413.5668549920501</v>
      </c>
      <c r="I12" s="72">
        <f>VLOOKUP($C12,难度推算表,副本难度推算!$P$3,FALSE)*副本难度推算!$Z$6*$R12+VLOOKUP($C12,难度推算表,副本难度推算!$H$3,FALSE)</f>
        <v>511.12858695652187</v>
      </c>
      <c r="J12" s="72">
        <f>VLOOKUP($C12,难度推算表,副本难度推算!$G$3,FALSE)-VLOOKUP($C12,难度推算表,副本难度推算!$I$3,FALSE)*(2-副本难度推算!$AA$6)*(2-$S12)</f>
        <v>259.16994782608703</v>
      </c>
      <c r="K12" s="72">
        <f>VLOOKUP($C12,难度推算表,副本难度推算!$M$3,FALSE)*副本难度推算!$Y$7*Q12</f>
        <v>23167.396421850157</v>
      </c>
      <c r="L12" s="72">
        <f>VLOOKUP($C12,难度推算表,副本难度推算!$P$3,FALSE)*副本难度推算!$Z$7*$R12+VLOOKUP($C12,难度推算表,副本难度推算!$H$3,FALSE)</f>
        <v>591.51521739130453</v>
      </c>
      <c r="M12" s="72">
        <f>VLOOKUP($C12,难度推算表,副本难度推算!$G$3,FALSE)-VLOOKUP($C12,难度推算表,副本难度推算!$I$3,FALSE)*(2-副本难度推算!$AA$7)*(2-$S12)</f>
        <v>375.25648695652183</v>
      </c>
      <c r="N12" s="2">
        <f>VLOOKUP($C12,难度推算表,副本难度推算!$Q$3,FALSE)</f>
        <v>1506.1599999999999</v>
      </c>
      <c r="O12" s="2">
        <f>VLOOKUP($C12,难度推算表,副本难度推算!$R$3,FALSE)</f>
        <v>0</v>
      </c>
      <c r="Q12" s="46">
        <v>1.1399999999999999</v>
      </c>
      <c r="R12" s="46">
        <v>1.3</v>
      </c>
      <c r="S12" s="46">
        <v>1.1399999999999999</v>
      </c>
      <c r="T12">
        <f>SUMPRODUCT(K12:M12,[2]各种公式!$C$13:$E$13)</f>
        <v>1893.4675612218325</v>
      </c>
    </row>
    <row r="13" spans="2:20" s="102" customFormat="1">
      <c r="B13" s="103" t="str">
        <f>怪物并表!$R$8</f>
        <v>精英副本</v>
      </c>
      <c r="C13" s="103">
        <f>怪物信息表!J13</f>
        <v>21</v>
      </c>
      <c r="D13" s="107">
        <f>怪物信息表!K13</f>
        <v>1209</v>
      </c>
      <c r="E13" s="105">
        <f>VLOOKUP($C13,难度推算表,副本难度推算!$M$3,FALSE)*副本难度推算!$Y$5*Q13</f>
        <v>10538.420506583165</v>
      </c>
      <c r="F13" s="105">
        <f>VLOOKUP($C13,难度推算表,副本难度推算!$P$3,FALSE)*副本难度推算!$Z$5*$R13+VLOOKUP($C13,难度推算表,副本难度推算!$H$3,FALSE)</f>
        <v>598.79945779462264</v>
      </c>
      <c r="G13" s="105">
        <f>VLOOKUP($C13,难度推算表,副本难度推算!$G$3,FALSE)-VLOOKUP($C13,难度推算表,副本难度推算!$I$3,FALSE)*(2-副本难度推算!$AA$5)*(2-$S13)</f>
        <v>354.14658782608711</v>
      </c>
      <c r="H13" s="105">
        <f>VLOOKUP($C13,难度推算表,副本难度推算!$M$3,FALSE)*副本难度推算!$Y$6*Q13</f>
        <v>8430.7364052665325</v>
      </c>
      <c r="I13" s="105">
        <f>VLOOKUP($C13,难度推算表,副本难度推算!$P$3,FALSE)*副本难度推算!$Z$6*$R13+VLOOKUP($C13,难度推算表,副本难度推算!$H$3,FALSE)</f>
        <v>568.43172766733437</v>
      </c>
      <c r="J13" s="105">
        <f>VLOOKUP($C13,难度推算表,副本难度推算!$G$3,FALSE)-VLOOKUP($C13,难度推算表,副本难度推算!$I$3,FALSE)*(2-副本难度推算!$AA$6)*(2-$S13)</f>
        <v>292.17093495652182</v>
      </c>
      <c r="K13" s="105">
        <f>VLOOKUP($C13,难度推算表,副本难度推算!$M$3,FALSE)*副本难度推算!$Y$7*Q13</f>
        <v>26346.051266457911</v>
      </c>
      <c r="L13" s="105">
        <f>VLOOKUP($C13,难度推算表,副本难度推算!$P$3,FALSE)*副本难度推算!$Z$7*$R13+VLOOKUP($C13,难度推算表,副本难度推算!$H$3,FALSE)</f>
        <v>659.5349180491994</v>
      </c>
      <c r="M13" s="105">
        <f>VLOOKUP($C13,难度推算表,副本难度推算!$G$3,FALSE)-VLOOKUP($C13,难度推算表,副本难度推算!$I$3,FALSE)*(2-副本难度推算!$AA$7)*(2-$S13)</f>
        <v>416.12224069565235</v>
      </c>
      <c r="N13" s="103">
        <f>VLOOKUP($C13,难度推算表,副本难度推算!$Q$3,FALSE)</f>
        <v>1564.3879999999999</v>
      </c>
      <c r="O13" s="103">
        <f>VLOOKUP($C13,难度推算表,副本难度推算!$R$3,FALSE)</f>
        <v>0</v>
      </c>
      <c r="Q13" s="106">
        <v>1.1599999999999999</v>
      </c>
      <c r="R13" s="106">
        <v>1.3</v>
      </c>
      <c r="S13" s="106">
        <v>1.1599999999999999</v>
      </c>
      <c r="T13" s="102">
        <f>SUMPRODUCT(K13:M13,[2]各种公式!$C$13:$E$13)</f>
        <v>2129.4992094031682</v>
      </c>
    </row>
    <row r="14" spans="2:20">
      <c r="B14" s="2" t="str">
        <f>怪物并表!$R$8</f>
        <v>精英副本</v>
      </c>
      <c r="C14" s="2">
        <f>怪物信息表!J14</f>
        <v>22</v>
      </c>
      <c r="D14" s="42">
        <f>怪物信息表!K14</f>
        <v>2201</v>
      </c>
      <c r="E14" s="72">
        <f>VLOOKUP($C14,难度推算表,副本难度推算!$M$3,FALSE)*副本难度推算!$Y$5*Q14</f>
        <v>10105.2134725859</v>
      </c>
      <c r="F14" s="72">
        <f>VLOOKUP($C14,难度推算表,副本难度推算!$P$3,FALSE)*副本难度推算!$Z$5*$R14+VLOOKUP($C14,难度推算表,副本难度推算!$H$3,FALSE)</f>
        <v>611.12974129432996</v>
      </c>
      <c r="G14" s="72">
        <f>VLOOKUP($C14,难度推算表,副本难度推算!$G$3,FALSE)-VLOOKUP($C14,难度推算表,副本难度推算!$I$3,FALSE)*(2-副本难度推算!$AA$5)*(2-$S14)</f>
        <v>321.31784347826095</v>
      </c>
      <c r="H14" s="72">
        <f>VLOOKUP($C14,难度推算表,副本难度推算!$M$3,FALSE)*副本难度推算!$Y$6*Q14</f>
        <v>8084.1707780687202</v>
      </c>
      <c r="I14" s="72">
        <f>VLOOKUP($C14,难度推算表,副本难度推算!$P$3,FALSE)*副本难度推算!$Z$6*$R14+VLOOKUP($C14,难度推算表,副本难度推算!$H$3,FALSE)</f>
        <v>582.14855151272309</v>
      </c>
      <c r="J14" s="72">
        <f>VLOOKUP($C14,难度推算表,副本难度推算!$G$3,FALSE)-VLOOKUP($C14,难度推算表,副本难度推算!$I$3,FALSE)*(2-副本难度推算!$AA$6)*(2-$S14)</f>
        <v>240.98838260869576</v>
      </c>
      <c r="K14" s="72">
        <f>VLOOKUP($C14,难度推算表,副本难度推算!$M$3,FALSE)*副本难度推算!$Y$7*Q14</f>
        <v>25263.033681464749</v>
      </c>
      <c r="L14" s="72">
        <f>VLOOKUP($C14,难度推算表,副本难度推算!$P$3,FALSE)*副本难度推算!$Z$7*$R14+VLOOKUP($C14,难度推算表,副本难度推算!$H$3,FALSE)</f>
        <v>669.0921208575437</v>
      </c>
      <c r="M14" s="72">
        <f>VLOOKUP($C14,难度推算表,副本难度推算!$G$3,FALSE)-VLOOKUP($C14,难度推算表,副本难度推算!$I$3,FALSE)*(2-副本难度推算!$AA$7)*(2-$S14)</f>
        <v>401.64730434782615</v>
      </c>
      <c r="N14" s="2">
        <f>VLOOKUP($C14,难度推算表,副本难度推算!$Q$3,FALSE)</f>
        <v>1622.616</v>
      </c>
      <c r="O14" s="2">
        <f>VLOOKUP($C14,难度推算表,副本难度推算!$R$3,FALSE)</f>
        <v>0</v>
      </c>
      <c r="Q14" s="46">
        <v>1</v>
      </c>
      <c r="R14" s="46">
        <v>1.1000000000000001</v>
      </c>
      <c r="S14" s="46">
        <v>1</v>
      </c>
      <c r="T14">
        <f>SUMPRODUCT(K14:M14,[2]各种公式!$C$13:$E$13)</f>
        <v>2081.2607724639602</v>
      </c>
    </row>
    <row r="15" spans="2:20">
      <c r="B15" s="2" t="str">
        <f>怪物并表!$R$8</f>
        <v>精英副本</v>
      </c>
      <c r="C15" s="2">
        <f>怪物信息表!J15</f>
        <v>23</v>
      </c>
      <c r="D15" s="42">
        <f>怪物信息表!K15</f>
        <v>2202</v>
      </c>
      <c r="E15" s="72">
        <f>VLOOKUP($C15,难度推算表,副本难度推算!$M$3,FALSE)*副本难度推算!$Y$5*Q15</f>
        <v>11628.413921193107</v>
      </c>
      <c r="F15" s="72">
        <f>VLOOKUP($C15,难度推算表,副本难度推算!$P$3,FALSE)*副本难度推算!$Z$5*$R15+VLOOKUP($C15,难度推算表,副本难度推算!$H$3,FALSE)</f>
        <v>692.57711923387342</v>
      </c>
      <c r="G15" s="72">
        <f>VLOOKUP($C15,难度推算表,副本难度推算!$G$3,FALSE)-VLOOKUP($C15,难度推算表,副本难度推算!$I$3,FALSE)*(2-副本难度推算!$AA$5)*(2-$S15)</f>
        <v>363.93057351170586</v>
      </c>
      <c r="H15" s="72">
        <f>VLOOKUP($C15,难度推算表,副本难度推算!$M$3,FALSE)*副本难度推算!$Y$6*Q15</f>
        <v>9302.7311369544859</v>
      </c>
      <c r="I15" s="72">
        <f>VLOOKUP($C15,难度推算表,副本难度推算!$P$3,FALSE)*副本难度推算!$Z$6*$R15+VLOOKUP($C15,难度推算表,副本难度推算!$H$3,FALSE)</f>
        <v>658.82482911650618</v>
      </c>
      <c r="J15" s="72">
        <f>VLOOKUP($C15,难度推算表,副本难度推算!$G$3,FALSE)-VLOOKUP($C15,难度推算表,副本难度推算!$I$3,FALSE)*(2-副本难度推算!$AA$6)*(2-$S15)</f>
        <v>276.94229008695675</v>
      </c>
      <c r="K15" s="72">
        <f>VLOOKUP($C15,难度推算表,副本难度推算!$M$3,FALSE)*副本难度推算!$Y$7*Q15</f>
        <v>29071.034802982766</v>
      </c>
      <c r="L15" s="72">
        <f>VLOOKUP($C15,难度推算表,副本难度推算!$P$3,FALSE)*副本难度推算!$Z$7*$R15+VLOOKUP($C15,难度推算表,副本难度推算!$H$3,FALSE)</f>
        <v>760.08169946860801</v>
      </c>
      <c r="M15" s="72">
        <f>VLOOKUP($C15,难度推算表,副本难度推算!$G$3,FALSE)-VLOOKUP($C15,难度推算表,副本难度推算!$I$3,FALSE)*(2-副本难度推算!$AA$7)*(2-$S15)</f>
        <v>450.91885693645497</v>
      </c>
      <c r="N15" s="2">
        <f>VLOOKUP($C15,难度推算表,副本难度推算!$Q$3,FALSE)</f>
        <v>1680.8440000000001</v>
      </c>
      <c r="O15" s="2">
        <f>VLOOKUP($C15,难度推算表,副本难度推算!$R$3,FALSE)</f>
        <v>0</v>
      </c>
      <c r="Q15" s="46">
        <v>1.02</v>
      </c>
      <c r="R15" s="46">
        <v>1.1200000000000001</v>
      </c>
      <c r="S15" s="46">
        <v>1.02</v>
      </c>
      <c r="T15">
        <f>SUMPRODUCT(K15:M15,[2]各种公式!$C$13:$E$13)</f>
        <v>2373.8419485243739</v>
      </c>
    </row>
    <row r="16" spans="2:20">
      <c r="B16" s="2" t="str">
        <f>怪物并表!$R$8</f>
        <v>精英副本</v>
      </c>
      <c r="C16" s="2">
        <f>怪物信息表!J16</f>
        <v>24</v>
      </c>
      <c r="D16" s="42">
        <f>怪物信息表!K16</f>
        <v>2203</v>
      </c>
      <c r="E16" s="72">
        <f>VLOOKUP($C16,难度推算表,副本难度推算!$M$3,FALSE)*副本难度推算!$Y$5*Q16</f>
        <v>13296.286005947588</v>
      </c>
      <c r="F16" s="72">
        <f>VLOOKUP($C16,难度推算表,副本难度推算!$P$3,FALSE)*副本难度推算!$Z$5*$R16+VLOOKUP($C16,难度推算表,副本难度推算!$H$3,FALSE)</f>
        <v>780.80947997843282</v>
      </c>
      <c r="G16" s="72">
        <f>VLOOKUP($C16,难度推算表,副本难度推算!$G$3,FALSE)-VLOOKUP($C16,难度推算表,副本难度推算!$I$3,FALSE)*(2-副本难度推算!$AA$5)*(2-$S16)</f>
        <v>409.73799812709035</v>
      </c>
      <c r="H16" s="72">
        <f>VLOOKUP($C16,难度推算表,副本难度推算!$M$3,FALSE)*副本难度推算!$Y$6*Q16</f>
        <v>10637.028804758071</v>
      </c>
      <c r="I16" s="72">
        <f>VLOOKUP($C16,难度推算表,副本难度推算!$P$3,FALSE)*副本难度推算!$Z$6*$R16+VLOOKUP($C16,难度推算表,副本难度推算!$H$3,FALSE)</f>
        <v>741.7511984688839</v>
      </c>
      <c r="J16" s="72">
        <f>VLOOKUP($C16,难度推算表,副本难度推算!$G$3,FALSE)-VLOOKUP($C16,难度推算表,副本难度推算!$I$3,FALSE)*(2-副本难度推算!$AA$6)*(2-$S16)</f>
        <v>316.08359855518404</v>
      </c>
      <c r="K16" s="72">
        <f>VLOOKUP($C16,难度推算表,副本难度推算!$M$3,FALSE)*副本难度推算!$Y$7*Q16</f>
        <v>33240.715014868969</v>
      </c>
      <c r="L16" s="72">
        <f>VLOOKUP($C16,难度推算表,副本难度推算!$P$3,FALSE)*副本难度推算!$Z$7*$R16+VLOOKUP($C16,难度推算表,副本难度推算!$H$3,FALSE)</f>
        <v>858.92604299753077</v>
      </c>
      <c r="M16" s="72">
        <f>VLOOKUP($C16,难度推算表,副本难度推算!$G$3,FALSE)-VLOOKUP($C16,难度推算表,副本难度推算!$I$3,FALSE)*(2-副本难度推算!$AA$7)*(2-$S16)</f>
        <v>503.39239769899672</v>
      </c>
      <c r="N16" s="2">
        <f>VLOOKUP($C16,难度推算表,副本难度推算!$Q$3,FALSE)</f>
        <v>1739.0720000000001</v>
      </c>
      <c r="O16" s="2">
        <f>VLOOKUP($C16,难度推算表,副本难度推算!$R$3,FALSE)</f>
        <v>0</v>
      </c>
      <c r="Q16" s="46">
        <v>1.04</v>
      </c>
      <c r="R16" s="46">
        <v>1.1399999999999999</v>
      </c>
      <c r="S16" s="46">
        <v>1.04</v>
      </c>
      <c r="T16">
        <f>SUMPRODUCT(K16:M16,[2]各种公式!$C$13:$E$13)</f>
        <v>2691.9470412912865</v>
      </c>
    </row>
    <row r="17" spans="2:20">
      <c r="B17" s="2" t="str">
        <f>怪物并表!$R$8</f>
        <v>精英副本</v>
      </c>
      <c r="C17" s="2">
        <f>怪物信息表!J17</f>
        <v>25</v>
      </c>
      <c r="D17" s="42">
        <f>怪物信息表!K17</f>
        <v>2204</v>
      </c>
      <c r="E17" s="72">
        <f>VLOOKUP($C17,难度推算表,副本难度推算!$M$3,FALSE)*副本难度推算!$Y$5*Q17</f>
        <v>15116.710754450263</v>
      </c>
      <c r="F17" s="72">
        <f>VLOOKUP($C17,难度推算表,副本难度推算!$P$3,FALSE)*副本难度推算!$Z$5*$R17+VLOOKUP($C17,难度推算表,副本难度推算!$H$3,FALSE)</f>
        <v>876.22829351514883</v>
      </c>
      <c r="G17" s="72">
        <f>VLOOKUP($C17,难度推算表,副本难度推算!$G$3,FALSE)-VLOOKUP($C17,难度推算表,副本难度推算!$I$3,FALSE)*(2-副本难度推算!$AA$5)*(2-$S17)</f>
        <v>458.8478227424751</v>
      </c>
      <c r="H17" s="72">
        <f>VLOOKUP($C17,难度推算表,副本难度推算!$M$3,FALSE)*副本难度推算!$Y$6*Q17</f>
        <v>12093.368603560211</v>
      </c>
      <c r="I17" s="72">
        <f>VLOOKUP($C17,难度推算表,副本难度推算!$P$3,FALSE)*副本难度推算!$Z$6*$R17+VLOOKUP($C17,难度推算表,副本难度推算!$H$3,FALSE)</f>
        <v>831.2889825582829</v>
      </c>
      <c r="J17" s="72">
        <f>VLOOKUP($C17,难度推算表,副本难度推算!$G$3,FALSE)-VLOOKUP($C17,难度推算表,副本难度推算!$I$3,FALSE)*(2-副本难度推算!$AA$6)*(2-$S17)</f>
        <v>358.54155451505028</v>
      </c>
      <c r="K17" s="72">
        <f>VLOOKUP($C17,难度推算表,副本难度推算!$M$3,FALSE)*副本难度推算!$Y$7*Q17</f>
        <v>37791.776886125663</v>
      </c>
      <c r="L17" s="72">
        <f>VLOOKUP($C17,难度推算表,副本难度推算!$P$3,FALSE)*副本难度推算!$Z$7*$R17+VLOOKUP($C17,难度推算表,副本难度推算!$H$3,FALSE)</f>
        <v>966.10691542888094</v>
      </c>
      <c r="M17" s="72">
        <f>VLOOKUP($C17,难度推算表,副本难度推算!$G$3,FALSE)-VLOOKUP($C17,难度推算表,副本难度推算!$I$3,FALSE)*(2-副本难度推算!$AA$7)*(2-$S17)</f>
        <v>559.15409096989993</v>
      </c>
      <c r="N17" s="2">
        <f>VLOOKUP($C17,难度推算表,副本难度推算!$Q$3,FALSE)</f>
        <v>1797.3000000000002</v>
      </c>
      <c r="O17" s="2">
        <f>VLOOKUP($C17,难度推算表,副本难度推算!$R$3,FALSE)</f>
        <v>0</v>
      </c>
      <c r="Q17" s="46">
        <v>1.06</v>
      </c>
      <c r="R17" s="46">
        <v>1.1599999999999999</v>
      </c>
      <c r="S17" s="46">
        <v>1.06</v>
      </c>
      <c r="T17">
        <f>SUMPRODUCT(K17:M17,[2]各种公式!$C$13:$E$13)</f>
        <v>3036.9320818438073</v>
      </c>
    </row>
    <row r="18" spans="2:20">
      <c r="B18" s="2" t="str">
        <f>怪物并表!$R$8</f>
        <v>精英副本</v>
      </c>
      <c r="C18" s="2">
        <f>怪物信息表!J18</f>
        <v>26</v>
      </c>
      <c r="D18" s="42">
        <f>怪物信息表!K18</f>
        <v>2205</v>
      </c>
      <c r="E18" s="72">
        <f>VLOOKUP($C18,难度推算表,副本难度推算!$M$3,FALSE)*副本难度推算!$Y$5*Q18</f>
        <v>17314.682010028191</v>
      </c>
      <c r="F18" s="72">
        <f>VLOOKUP($C18,难度推算表,副本难度推算!$P$3,FALSE)*副本难度推算!$Z$5*$R18+VLOOKUP($C18,难度推算表,副本难度推算!$H$3,FALSE)</f>
        <v>991.67903786444572</v>
      </c>
      <c r="G18" s="72">
        <f>VLOOKUP($C18,难度推算表,副本难度推算!$G$3,FALSE)-VLOOKUP($C18,难度推算表,副本难度推算!$I$3,FALSE)*(2-副本难度推算!$AA$5)*(2-$S18)</f>
        <v>517.85581677591995</v>
      </c>
      <c r="H18" s="72">
        <f>VLOOKUP($C18,难度推算表,副本难度推算!$M$3,FALSE)*副本难度推算!$Y$6*Q18</f>
        <v>13851.745608022555</v>
      </c>
      <c r="I18" s="72">
        <f>VLOOKUP($C18,难度推算表,副本难度推算!$P$3,FALSE)*副本难度推算!$Z$6*$R18+VLOOKUP($C18,难度推算表,副本难度推算!$H$3,FALSE)</f>
        <v>939.58893560308479</v>
      </c>
      <c r="J18" s="72">
        <f>VLOOKUP($C18,难度推算表,副本难度推算!$G$3,FALSE)-VLOOKUP($C18,难度推算表,副本难度推算!$I$3,FALSE)*(2-副本难度推算!$AA$6)*(2-$S18)</f>
        <v>409.57687326822759</v>
      </c>
      <c r="K18" s="72">
        <f>VLOOKUP($C18,难度推算表,副本难度推算!$M$3,FALSE)*副本难度推算!$Y$7*Q18</f>
        <v>43286.705025070478</v>
      </c>
      <c r="L18" s="72">
        <f>VLOOKUP($C18,难度推算表,副本难度推算!$P$3,FALSE)*副本难度推算!$Z$7*$R18+VLOOKUP($C18,难度推算表,副本难度推算!$H$3,FALSE)</f>
        <v>1095.8592423871676</v>
      </c>
      <c r="M18" s="72">
        <f>VLOOKUP($C18,难度推算表,副本难度推算!$G$3,FALSE)-VLOOKUP($C18,难度推算表,副本难度推算!$I$3,FALSE)*(2-副本难度推算!$AA$7)*(2-$S18)</f>
        <v>626.1347602836122</v>
      </c>
      <c r="N18" s="2">
        <f>VLOOKUP($C18,难度推算表,副本难度推算!$Q$3,FALSE)</f>
        <v>1855.528</v>
      </c>
      <c r="O18" s="2">
        <f>VLOOKUP($C18,难度推算表,副本难度推算!$R$3,FALSE)</f>
        <v>0</v>
      </c>
      <c r="Q18" s="46">
        <v>1.08</v>
      </c>
      <c r="R18" s="46">
        <v>1.18</v>
      </c>
      <c r="S18" s="46">
        <v>1.08</v>
      </c>
      <c r="T18">
        <f>SUMPRODUCT(K18:M18,[2]各种公式!$C$13:$E$13)</f>
        <v>3453.4622036735991</v>
      </c>
    </row>
    <row r="19" spans="2:20">
      <c r="B19" s="2" t="str">
        <f>怪物并表!$R$8</f>
        <v>精英副本</v>
      </c>
      <c r="C19" s="2">
        <f>怪物信息表!J19</f>
        <v>27</v>
      </c>
      <c r="D19" s="42">
        <f>怪物信息表!K19</f>
        <v>2206</v>
      </c>
      <c r="E19" s="72">
        <f>VLOOKUP($C19,难度推算表,副本难度推算!$M$3,FALSE)*副本难度推算!$Y$5*Q19</f>
        <v>19710.34129093419</v>
      </c>
      <c r="F19" s="72">
        <f>VLOOKUP($C19,难度推算表,副本难度推算!$P$3,FALSE)*副本难度推算!$Z$5*$R19+VLOOKUP($C19,难度推算表,副本难度推算!$H$3,FALSE)</f>
        <v>1116.5397030430397</v>
      </c>
      <c r="G19" s="72">
        <f>VLOOKUP($C19,难度推算表,副本难度推算!$G$3,FALSE)-VLOOKUP($C19,难度推算表,副本难度推算!$I$3,FALSE)*(2-副本难度推算!$AA$5)*(2-$S19)</f>
        <v>581.04517364548519</v>
      </c>
      <c r="H19" s="72">
        <f>VLOOKUP($C19,难度推算表,副本难度推算!$M$3,FALSE)*副本难度推算!$Y$6*Q19</f>
        <v>15768.273032747353</v>
      </c>
      <c r="I19" s="72">
        <f>VLOOKUP($C19,难度推算表,副本难度推算!$P$3,FALSE)*副本难度推算!$Z$6*$R19+VLOOKUP($C19,难度推算表,副本难度推算!$H$3,FALSE)</f>
        <v>1056.5341926183346</v>
      </c>
      <c r="J19" s="72">
        <f>VLOOKUP($C19,难度推算表,副本难度推算!$G$3,FALSE)-VLOOKUP($C19,难度推算表,副本难度推算!$I$3,FALSE)*(2-副本难度推算!$AA$6)*(2-$S19)</f>
        <v>464.83613891638822</v>
      </c>
      <c r="K19" s="72">
        <f>VLOOKUP($C19,难度推算表,副本难度推算!$M$3,FALSE)*副本难度推算!$Y$7*Q19</f>
        <v>49275.853227335472</v>
      </c>
      <c r="L19" s="72">
        <f>VLOOKUP($C19,难度推算表,副本难度推算!$P$3,FALSE)*副本难度推算!$Z$7*$R19+VLOOKUP($C19,难度推算表,副本难度推算!$H$3,FALSE)</f>
        <v>1236.5507238924502</v>
      </c>
      <c r="M19" s="72">
        <f>VLOOKUP($C19,难度推算表,副本难度推算!$G$3,FALSE)-VLOOKUP($C19,难度推算表,副本难度推算!$I$3,FALSE)*(2-副本难度推算!$AA$7)*(2-$S19)</f>
        <v>697.25420837458216</v>
      </c>
      <c r="N19" s="2">
        <f>VLOOKUP($C19,难度推算表,副本难度推算!$Q$3,FALSE)</f>
        <v>1913.7559999999999</v>
      </c>
      <c r="O19" s="2">
        <f>VLOOKUP($C19,难度推算表,副本难度推算!$R$3,FALSE)</f>
        <v>0</v>
      </c>
      <c r="Q19" s="46">
        <v>1.1000000000000001</v>
      </c>
      <c r="R19" s="46">
        <v>1.2</v>
      </c>
      <c r="S19" s="46">
        <v>1.1000000000000001</v>
      </c>
      <c r="T19">
        <f>SUMPRODUCT(K19:M19,[2]各种公式!$C$13:$E$13)</f>
        <v>3904.8390613604511</v>
      </c>
    </row>
    <row r="20" spans="2:20">
      <c r="B20" s="2" t="str">
        <f>怪物并表!$R$8</f>
        <v>精英副本</v>
      </c>
      <c r="C20" s="2">
        <f>怪物信息表!J20</f>
        <v>28</v>
      </c>
      <c r="D20" s="42">
        <f>怪物信息表!K20</f>
        <v>2207</v>
      </c>
      <c r="E20" s="72">
        <f>VLOOKUP($C20,难度推算表,副本难度推算!$M$3,FALSE)*副本难度推算!$Y$5*Q20</f>
        <v>22313.860368402035</v>
      </c>
      <c r="F20" s="72">
        <f>VLOOKUP($C20,难度推算表,副本难度推算!$P$3,FALSE)*副本难度推算!$Z$5*$R20+VLOOKUP($C20,难度推算表,副本难度推算!$H$3,FALSE)</f>
        <v>1240.0908086750708</v>
      </c>
      <c r="G20" s="72">
        <f>VLOOKUP($C20,难度推算表,副本难度推算!$G$3,FALSE)-VLOOKUP($C20,难度推算表,副本难度推算!$I$3,FALSE)*(2-副本难度推算!$AA$5)*(2-$S20)</f>
        <v>648.54817476923097</v>
      </c>
      <c r="H20" s="72">
        <f>VLOOKUP($C20,难度推算表,副本难度推算!$M$3,FALSE)*副本难度推算!$Y$6*Q20</f>
        <v>17851.088294721631</v>
      </c>
      <c r="I20" s="72">
        <f>VLOOKUP($C20,难度推算表,副本难度推算!$P$3,FALSE)*副本难度推算!$Z$6*$R20+VLOOKUP($C20,难度推算表,副本难度推算!$H$3,FALSE)</f>
        <v>1172.4772212657576</v>
      </c>
      <c r="J20" s="72">
        <f>VLOOKUP($C20,难度推算表,副本难度推算!$G$3,FALSE)-VLOOKUP($C20,难度推算表,副本难度推算!$I$3,FALSE)*(2-副本难度推算!$AA$6)*(2-$S20)</f>
        <v>524.47808916120425</v>
      </c>
      <c r="K20" s="72">
        <f>VLOOKUP($C20,难度推算表,副本难度推算!$M$3,FALSE)*副本难度推算!$Y$7*Q20</f>
        <v>55784.650921005086</v>
      </c>
      <c r="L20" s="72">
        <f>VLOOKUP($C20,难度推算表,副本难度推算!$P$3,FALSE)*副本难度推算!$Z$7*$R20+VLOOKUP($C20,难度推算表,副本难度推算!$H$3,FALSE)</f>
        <v>1375.3179834936968</v>
      </c>
      <c r="M20" s="72">
        <f>VLOOKUP($C20,难度推算表,副本难度推算!$G$3,FALSE)-VLOOKUP($C20,难度推算表,副本难度推算!$I$3,FALSE)*(2-副本难度推算!$AA$7)*(2-$S20)</f>
        <v>772.6182603772578</v>
      </c>
      <c r="N20" s="2">
        <f>VLOOKUP($C20,难度推算表,副本难度推算!$Q$3,FALSE)</f>
        <v>1971.9840000000002</v>
      </c>
      <c r="O20" s="2">
        <f>VLOOKUP($C20,难度推算表,副本难度推算!$R$3,FALSE)</f>
        <v>0</v>
      </c>
      <c r="Q20" s="46">
        <v>1.1200000000000001</v>
      </c>
      <c r="R20" s="46">
        <v>1.2</v>
      </c>
      <c r="S20" s="46">
        <v>1.1200000000000001</v>
      </c>
      <c r="T20">
        <f>SUMPRODUCT(K20:M20,[2]各种公式!$C$13:$E$13)</f>
        <v>4379.3222807111579</v>
      </c>
    </row>
    <row r="21" spans="2:20">
      <c r="B21" s="2" t="str">
        <f>怪物并表!$R$8</f>
        <v>精英副本</v>
      </c>
      <c r="C21" s="2">
        <f>怪物信息表!J21</f>
        <v>29</v>
      </c>
      <c r="D21" s="42">
        <f>怪物信息表!K21</f>
        <v>2208</v>
      </c>
      <c r="E21" s="72">
        <f>VLOOKUP($C21,难度推算表,副本难度推算!$M$3,FALSE)*副本难度推算!$Y$5*Q21</f>
        <v>25135.633771933622</v>
      </c>
      <c r="F21" s="72">
        <f>VLOOKUP($C21,难度推算表,副本难度推算!$P$3,FALSE)*副本难度推算!$Z$5*$R21+VLOOKUP($C21,难度推算表,副本难度推算!$H$3,FALSE)</f>
        <v>1434.6273096961531</v>
      </c>
      <c r="G21" s="72">
        <f>VLOOKUP($C21,难度推算表,副本难度推算!$G$3,FALSE)-VLOOKUP($C21,难度推算表,副本难度推算!$I$3,FALSE)*(2-副本难度推算!$AA$5)*(2-$S21)</f>
        <v>720.4971015652178</v>
      </c>
      <c r="H21" s="72">
        <f>VLOOKUP($C21,难度推算表,副本难度推算!$M$3,FALSE)*副本难度推算!$Y$6*Q21</f>
        <v>20108.507017546901</v>
      </c>
      <c r="I21" s="72">
        <f>VLOOKUP($C21,难度推算表,副本难度推算!$P$3,FALSE)*副本难度推算!$Z$6*$R21+VLOOKUP($C21,难度推算表,副本难度推算!$H$3,FALSE)</f>
        <v>1352.4834809874073</v>
      </c>
      <c r="J21" s="72">
        <f>VLOOKUP($C21,难度推算表,副本难度推算!$G$3,FALSE)-VLOOKUP($C21,难度推算表,副本难度推算!$I$3,FALSE)*(2-副本难度推算!$AA$6)*(2-$S21)</f>
        <v>588.6614617043482</v>
      </c>
      <c r="K21" s="72">
        <f>VLOOKUP($C21,难度推算表,副本难度推算!$M$3,FALSE)*副本难度推算!$Y$7*Q21</f>
        <v>62839.084429834053</v>
      </c>
      <c r="L21" s="72">
        <f>VLOOKUP($C21,难度推算表,副本难度推算!$P$3,FALSE)*副本难度推算!$Z$7*$R21+VLOOKUP($C21,难度推算表,副本难度推算!$H$3,FALSE)</f>
        <v>1598.9149671136445</v>
      </c>
      <c r="M21" s="72">
        <f>VLOOKUP($C21,难度推算表,副本难度推算!$G$3,FALSE)-VLOOKUP($C21,难度推算表,副本难度推算!$I$3,FALSE)*(2-副本难度推算!$AA$7)*(2-$S21)</f>
        <v>852.33274142608741</v>
      </c>
      <c r="N21" s="2">
        <f>VLOOKUP($C21,难度推算表,副本难度推算!$Q$3,FALSE)</f>
        <v>2030.212</v>
      </c>
      <c r="O21" s="2">
        <f>VLOOKUP($C21,难度推算表,副本难度推算!$R$3,FALSE)</f>
        <v>0</v>
      </c>
      <c r="Q21" s="46">
        <v>1.1399999999999999</v>
      </c>
      <c r="R21" s="46">
        <v>1.3</v>
      </c>
      <c r="S21" s="46">
        <v>1.1399999999999999</v>
      </c>
      <c r="T21">
        <f>SUMPRODUCT(K21:M21,[2]各种公式!$C$13:$E$13)</f>
        <v>4964.8110857330939</v>
      </c>
    </row>
    <row r="22" spans="2:20" s="102" customFormat="1">
      <c r="B22" s="103" t="str">
        <f>怪物并表!$R$8</f>
        <v>精英副本</v>
      </c>
      <c r="C22" s="103">
        <f>怪物信息表!J22</f>
        <v>30</v>
      </c>
      <c r="D22" s="107">
        <f>怪物信息表!K22</f>
        <v>2209</v>
      </c>
      <c r="E22" s="105">
        <f>VLOOKUP($C22,难度推算表,副本难度推算!$M$3,FALSE)*副本难度推算!$Y$5*Q22</f>
        <v>28538.606824209299</v>
      </c>
      <c r="F22" s="105">
        <f>VLOOKUP($C22,难度推算表,副本难度推算!$P$3,FALSE)*副本难度推算!$Z$5*$R22+VLOOKUP($C22,难度推算表,副本难度推算!$H$3,FALSE)</f>
        <v>1601.1983197186769</v>
      </c>
      <c r="G22" s="105">
        <f>VLOOKUP($C22,难度推算表,副本难度推算!$G$3,FALSE)-VLOOKUP($C22,难度推算表,副本难度推算!$I$3,FALSE)*(2-副本难度推算!$AA$5)*(2-$S22)</f>
        <v>806.98703839464918</v>
      </c>
      <c r="H22" s="105">
        <f>VLOOKUP($C22,难度推算表,副本难度推算!$M$3,FALSE)*副本难度推算!$Y$6*Q22</f>
        <v>22830.885459367444</v>
      </c>
      <c r="I22" s="105">
        <f>VLOOKUP($C22,难度推算表,副本难度推算!$P$3,FALSE)*副本难度推算!$Z$6*$R22+VLOOKUP($C22,难度推算表,副本难度推算!$H$3,FALSE)</f>
        <v>1508.3274076130301</v>
      </c>
      <c r="J22" s="105">
        <f>VLOOKUP($C22,难度推算表,副本难度推算!$G$3,FALSE)-VLOOKUP($C22,难度推算表,副本难度推算!$I$3,FALSE)*(2-副本难度推算!$AA$6)*(2-$S22)</f>
        <v>665.76430667558566</v>
      </c>
      <c r="K22" s="105">
        <f>VLOOKUP($C22,难度推算表,副本难度推算!$M$3,FALSE)*副本难度推算!$Y$7*Q22</f>
        <v>71346.517060523256</v>
      </c>
      <c r="L22" s="105">
        <f>VLOOKUP($C22,难度推算表,副本难度推算!$P$3,FALSE)*副本难度推算!$Z$7*$R22+VLOOKUP($C22,难度推算表,副本难度推算!$H$3,FALSE)</f>
        <v>1786.9401439299709</v>
      </c>
      <c r="M22" s="105">
        <f>VLOOKUP($C22,难度推算表,副本难度推算!$G$3,FALSE)-VLOOKUP($C22,难度推算表,副本难度推算!$I$3,FALSE)*(2-副本难度推算!$AA$7)*(2-$S22)</f>
        <v>948.20977011371281</v>
      </c>
      <c r="N22" s="103">
        <f>VLOOKUP($C22,难度推算表,副本难度推算!$Q$3,FALSE)</f>
        <v>2088.44</v>
      </c>
      <c r="O22" s="103">
        <f>VLOOKUP($C22,难度推算表,副本难度推算!$R$3,FALSE)</f>
        <v>0</v>
      </c>
      <c r="Q22" s="46">
        <v>1.1599999999999999</v>
      </c>
      <c r="R22" s="46">
        <v>1.3</v>
      </c>
      <c r="S22" s="106">
        <v>1.1599999999999999</v>
      </c>
      <c r="T22">
        <f>SUMPRODUCT(K22:M22,[2]各种公式!$C$13:$E$13)</f>
        <v>5589.0105964646145</v>
      </c>
    </row>
    <row r="23" spans="2:20">
      <c r="B23" s="2" t="str">
        <f>怪物并表!$R$8</f>
        <v>精英副本</v>
      </c>
      <c r="C23" s="2">
        <f>怪物信息表!J23</f>
        <v>31</v>
      </c>
      <c r="D23" s="42">
        <f>怪物信息表!K23</f>
        <v>3201</v>
      </c>
      <c r="E23" s="72">
        <f>VLOOKUP($C23,难度推算表,副本难度推算!$M$3,FALSE)*副本难度推算!$Y$5*Q23</f>
        <v>27667.296632101697</v>
      </c>
      <c r="F23" s="72">
        <f>VLOOKUP($C23,难度推算表,副本难度推算!$P$3,FALSE)*副本难度推算!$Z$5*$R23+VLOOKUP($C23,难度推算表,副本难度推算!$H$3,FALSE)</f>
        <v>1627.9303910051981</v>
      </c>
      <c r="G23" s="72">
        <f>VLOOKUP($C23,难度推算表,副本难度推算!$G$3,FALSE)-VLOOKUP($C23,难度推算表,副本难度推算!$I$3,FALSE)*(2-副本难度推算!$AA$5)*(2-$S23)</f>
        <v>743.61544061538484</v>
      </c>
      <c r="H23" s="72">
        <f>VLOOKUP($C23,难度推算表,副本难度推算!$M$3,FALSE)*副本难度推算!$Y$6*Q23</f>
        <v>22133.837305681358</v>
      </c>
      <c r="I23" s="72">
        <f>VLOOKUP($C23,难度推算表,副本难度推算!$P$3,FALSE)*副本难度推算!$Z$6*$R23+VLOOKUP($C23,难度推算表,副本难度推算!$H$3,FALSE)</f>
        <v>1539.4988959662169</v>
      </c>
      <c r="J23" s="72">
        <f>VLOOKUP($C23,难度推算表,副本难度推算!$G$3,FALSE)-VLOOKUP($C23,难度推算表,副本难度推算!$I$3,FALSE)*(2-副本难度推算!$AA$6)*(2-$S23)</f>
        <v>557.71158046153869</v>
      </c>
      <c r="K23" s="72">
        <f>VLOOKUP($C23,难度推算表,副本难度推算!$M$3,FALSE)*副本难度推算!$Y$7*Q23</f>
        <v>69168.241580254238</v>
      </c>
      <c r="L23" s="72">
        <f>VLOOKUP($C23,难度推算表,副本难度推算!$P$3,FALSE)*副本难度推算!$Z$7*$R23+VLOOKUP($C23,难度推算表,副本难度推算!$H$3,FALSE)</f>
        <v>1804.7933810831607</v>
      </c>
      <c r="M23" s="72">
        <f>VLOOKUP($C23,难度推算表,副本难度推算!$G$3,FALSE)-VLOOKUP($C23,难度推算表,副本难度推算!$I$3,FALSE)*(2-副本难度推算!$AA$7)*(2-$S23)</f>
        <v>929.51930076923099</v>
      </c>
      <c r="N23" s="2">
        <f>VLOOKUP($C23,难度推算表,副本难度推算!$Q$3,FALSE)</f>
        <v>2146.6680000000001</v>
      </c>
      <c r="O23" s="2">
        <f>VLOOKUP($C23,难度推算表,副本难度推算!$R$3,FALSE)</f>
        <v>0</v>
      </c>
      <c r="Q23" s="46">
        <v>1</v>
      </c>
      <c r="R23" s="46">
        <v>1.1000000000000001</v>
      </c>
      <c r="S23" s="46">
        <v>1</v>
      </c>
      <c r="T23">
        <f>SUMPRODUCT(K23:M23,[2]各种公式!$C$13:$E$13)</f>
        <v>5501.0423450625622</v>
      </c>
    </row>
    <row r="24" spans="2:20">
      <c r="B24" s="2" t="str">
        <f>怪物并表!$R$8</f>
        <v>精英副本</v>
      </c>
      <c r="C24" s="2">
        <f>怪物信息表!J24</f>
        <v>32</v>
      </c>
      <c r="D24" s="42">
        <f>怪物信息表!K24</f>
        <v>3202</v>
      </c>
      <c r="E24" s="72">
        <f>VLOOKUP($C24,难度推算表,副本难度推算!$M$3,FALSE)*副本难度推算!$Y$5*Q24</f>
        <v>31610.324723099031</v>
      </c>
      <c r="F24" s="72">
        <f>VLOOKUP($C24,难度推算表,副本难度推算!$P$3,FALSE)*副本难度推算!$Z$5*$R24+VLOOKUP($C24,难度推算表,副本难度推算!$H$3,FALSE)</f>
        <v>1828.5858887548602</v>
      </c>
      <c r="G24" s="72">
        <f>VLOOKUP($C24,难度推算表,副本难度推算!$G$3,FALSE)-VLOOKUP($C24,难度推算表,副本难度推算!$I$3,FALSE)*(2-副本难度推算!$AA$5)*(2-$S24)</f>
        <v>839.78236029832794</v>
      </c>
      <c r="H24" s="72">
        <f>VLOOKUP($C24,难度推算表,副本难度推算!$M$3,FALSE)*副本难度推算!$Y$6*Q24</f>
        <v>25288.259778479227</v>
      </c>
      <c r="I24" s="72">
        <f>VLOOKUP($C24,难度推算表,副本难度推算!$P$3,FALSE)*副本难度推算!$Z$6*$R24+VLOOKUP($C24,难度推算表,副本难度推算!$H$3,FALSE)</f>
        <v>1727.6572862499429</v>
      </c>
      <c r="J24" s="72">
        <f>VLOOKUP($C24,难度推算表,副本难度推算!$G$3,FALSE)-VLOOKUP($C24,难度推算表,副本难度推算!$I$3,FALSE)*(2-副本难度推算!$AA$6)*(2-$S24)</f>
        <v>639.05389369043496</v>
      </c>
      <c r="K24" s="72">
        <f>VLOOKUP($C24,难度推算表,副本难度推算!$M$3,FALSE)*副本难度推算!$Y$7*Q24</f>
        <v>79025.811807747581</v>
      </c>
      <c r="L24" s="72">
        <f>VLOOKUP($C24,难度推算表,副本难度推算!$P$3,FALSE)*副本难度推算!$Z$7*$R24+VLOOKUP($C24,难度推算表,副本难度推算!$H$3,FALSE)</f>
        <v>2030.4430937646948</v>
      </c>
      <c r="M24" s="72">
        <f>VLOOKUP($C24,难度推算表,副本难度推算!$G$3,FALSE)-VLOOKUP($C24,难度推算表,副本难度推算!$I$3,FALSE)*(2-副本难度推算!$AA$7)*(2-$S24)</f>
        <v>1040.5108269062209</v>
      </c>
      <c r="N24" s="2">
        <f>VLOOKUP($C24,难度推算表,副本难度推算!$Q$3,FALSE)</f>
        <v>2204.8960000000002</v>
      </c>
      <c r="O24" s="2">
        <f>VLOOKUP($C24,难度推算表,副本难度推算!$R$3,FALSE)</f>
        <v>0</v>
      </c>
      <c r="Q24" s="46">
        <v>1.02</v>
      </c>
      <c r="R24" s="46">
        <v>1.1200000000000001</v>
      </c>
      <c r="S24" s="46">
        <v>1.02</v>
      </c>
      <c r="T24">
        <f>SUMPRODUCT(K24:M24,[2]各种公式!$C$13:$E$13)</f>
        <v>6231.9863929808189</v>
      </c>
    </row>
    <row r="25" spans="2:20">
      <c r="B25" s="2" t="str">
        <f>怪物并表!$R$8</f>
        <v>精英副本</v>
      </c>
      <c r="C25" s="2">
        <f>怪物信息表!J25</f>
        <v>33</v>
      </c>
      <c r="D25" s="42">
        <f>怪物信息表!K25</f>
        <v>3203</v>
      </c>
      <c r="E25" s="72">
        <f>VLOOKUP($C25,难度推算表,副本难度推算!$M$3,FALSE)*副本难度推算!$Y$5*Q25</f>
        <v>35956.124248676613</v>
      </c>
      <c r="F25" s="72">
        <f>VLOOKUP($C25,难度推算表,副本难度推算!$P$3,FALSE)*副本难度推算!$Z$5*$R25+VLOOKUP($C25,难度推算表,副本难度推算!$H$3,FALSE)</f>
        <v>2046.3782477169652</v>
      </c>
      <c r="G25" s="72">
        <f>VLOOKUP($C25,难度推算表,副本难度推算!$G$3,FALSE)-VLOOKUP($C25,难度推算表,副本难度推算!$I$3,FALSE)*(2-副本难度推算!$AA$5)*(2-$S25)</f>
        <v>944.34055877257606</v>
      </c>
      <c r="H25" s="72">
        <f>VLOOKUP($C25,难度推算表,副本难度推算!$M$3,FALSE)*副本难度推算!$Y$6*Q25</f>
        <v>28764.899398941288</v>
      </c>
      <c r="I25" s="72">
        <f>VLOOKUP($C25,难度推算表,副本难度推算!$P$3,FALSE)*副本难度推算!$Z$6*$R25+VLOOKUP($C25,难度推算表,副本难度推算!$H$3,FALSE)</f>
        <v>1931.6776190188475</v>
      </c>
      <c r="J25" s="72">
        <f>VLOOKUP($C25,难度推算表,副本难度推算!$G$3,FALSE)-VLOOKUP($C25,难度推算表,副本难度推算!$I$3,FALSE)*(2-副本难度推算!$AA$6)*(2-$S25)</f>
        <v>728.49128819598741</v>
      </c>
      <c r="K25" s="72">
        <f>VLOOKUP($C25,难度推算表,副本难度推算!$M$3,FALSE)*副本难度推算!$Y$7*Q25</f>
        <v>89890.310621691533</v>
      </c>
      <c r="L25" s="72">
        <f>VLOOKUP($C25,难度推算表,副本难度推算!$P$3,FALSE)*副本难度推算!$Z$7*$R25+VLOOKUP($C25,难度推算表,副本难度推算!$H$3,FALSE)</f>
        <v>2275.7795051132007</v>
      </c>
      <c r="M25" s="72">
        <f>VLOOKUP($C25,难度推算表,副本难度推算!$G$3,FALSE)-VLOOKUP($C25,难度推算表,副本难度推算!$I$3,FALSE)*(2-副本难度推算!$AA$7)*(2-$S25)</f>
        <v>1160.1898293491645</v>
      </c>
      <c r="N25" s="2">
        <f>VLOOKUP($C25,难度推算表,副本难度推算!$Q$3,FALSE)</f>
        <v>2263.1239999999998</v>
      </c>
      <c r="O25" s="2">
        <f>VLOOKUP($C25,难度推算表,副本难度推算!$R$3,FALSE)</f>
        <v>0</v>
      </c>
      <c r="Q25" s="46">
        <v>1.04</v>
      </c>
      <c r="R25" s="46">
        <v>1.1399999999999999</v>
      </c>
      <c r="S25" s="46">
        <v>1.04</v>
      </c>
      <c r="T25">
        <f>SUMPRODUCT(K25:M25,[2]各种公式!$C$13:$E$13)</f>
        <v>7031.5817593300271</v>
      </c>
    </row>
    <row r="26" spans="2:20">
      <c r="B26" s="2" t="str">
        <f>怪物并表!$R$8</f>
        <v>精英副本</v>
      </c>
      <c r="C26" s="2">
        <f>怪物信息表!J26</f>
        <v>34</v>
      </c>
      <c r="D26" s="42">
        <f>怪物信息表!K26</f>
        <v>3204</v>
      </c>
      <c r="E26" s="72">
        <f>VLOOKUP($C26,难度推算表,副本难度推算!$M$3,FALSE)*副本难度推算!$Y$5*Q26</f>
        <v>40732.341234963795</v>
      </c>
      <c r="F26" s="72">
        <f>VLOOKUP($C26,难度推算表,副本难度推算!$P$3,FALSE)*副本难度推算!$Z$5*$R26+VLOOKUP($C26,难度推算表,副本难度推算!$H$3,FALSE)</f>
        <v>2282.309792861372</v>
      </c>
      <c r="G26" s="72">
        <f>VLOOKUP($C26,难度推算表,副本难度推算!$G$3,FALSE)-VLOOKUP($C26,难度推算表,副本难度推算!$I$3,FALSE)*(2-副本难度推算!$AA$5)*(2-$S26)</f>
        <v>1057.7265711290975</v>
      </c>
      <c r="H26" s="72">
        <f>VLOOKUP($C26,难度推算表,副本难度推算!$M$3,FALSE)*副本难度推算!$Y$6*Q26</f>
        <v>32585.872987971037</v>
      </c>
      <c r="I26" s="72">
        <f>VLOOKUP($C26,难度推算表,副本难度推算!$P$3,FALSE)*副本难度推算!$Z$6*$R26+VLOOKUP($C26,难度推算表,副本难度推算!$H$3,FALSE)</f>
        <v>2152.4719829825926</v>
      </c>
      <c r="J26" s="72">
        <f>VLOOKUP($C26,难度推算表,副本难度推算!$G$3,FALSE)-VLOOKUP($C26,难度推算表,副本难度推算!$I$3,FALSE)*(2-副本难度推算!$AA$6)*(2-$S26)</f>
        <v>826.50262302180636</v>
      </c>
      <c r="K26" s="72">
        <f>VLOOKUP($C26,难度推算表,副本难度推算!$M$3,FALSE)*副本难度推算!$Y$7*Q26</f>
        <v>101830.85308740949</v>
      </c>
      <c r="L26" s="72">
        <f>VLOOKUP($C26,难度推算表,副本难度推算!$P$3,FALSE)*副本难度推算!$Z$7*$R26+VLOOKUP($C26,难度推算表,副本难度推算!$H$3,FALSE)</f>
        <v>2541.9854126189302</v>
      </c>
      <c r="M26" s="72">
        <f>VLOOKUP($C26,难度推算表,副本难度推算!$G$3,FALSE)-VLOOKUP($C26,难度推算表,副本难度推算!$I$3,FALSE)*(2-副本难度推算!$AA$7)*(2-$S26)</f>
        <v>1288.9505192363886</v>
      </c>
      <c r="N26" s="2">
        <f>VLOOKUP($C26,难度推算表,副本难度推算!$Q$3,FALSE)</f>
        <v>2321.3520000000003</v>
      </c>
      <c r="O26" s="2">
        <f>VLOOKUP($C26,难度推算表,副本难度推算!$R$3,FALSE)</f>
        <v>0</v>
      </c>
      <c r="Q26" s="46">
        <v>1.06</v>
      </c>
      <c r="R26" s="46">
        <v>1.1599999999999999</v>
      </c>
      <c r="S26" s="46">
        <v>1.06</v>
      </c>
      <c r="T26">
        <f>SUMPRODUCT(K26:M26,[2]各种公式!$C$13:$E$13)</f>
        <v>7904.1700553516985</v>
      </c>
    </row>
    <row r="27" spans="2:20">
      <c r="B27" s="2" t="str">
        <f>怪物并表!$R$8</f>
        <v>精英副本</v>
      </c>
      <c r="C27" s="2">
        <f>怪物信息表!J27</f>
        <v>35</v>
      </c>
      <c r="D27" s="42">
        <f>怪物信息表!K27</f>
        <v>3205</v>
      </c>
      <c r="E27" s="72">
        <f>VLOOKUP($C27,难度推算表,副本难度推算!$M$3,FALSE)*副本难度推算!$Y$5*Q27</f>
        <v>45967.753609599749</v>
      </c>
      <c r="F27" s="72">
        <f>VLOOKUP($C27,难度推算表,副本难度推算!$P$3,FALSE)*副本难度推算!$Z$5*$R27+VLOOKUP($C27,难度推算表,副本难度推算!$H$3,FALSE)</f>
        <v>2537.4263958723177</v>
      </c>
      <c r="G27" s="72">
        <f>VLOOKUP($C27,难度推算表,副本难度推算!$G$3,FALSE)-VLOOKUP($C27,难度推算表,副本难度推算!$I$3,FALSE)*(2-副本难度推算!$AA$5)*(2-$S27)</f>
        <v>1180.3869286956526</v>
      </c>
      <c r="H27" s="72">
        <f>VLOOKUP($C27,难度推算表,副本难度推算!$M$3,FALSE)*副本难度推算!$Y$6*Q27</f>
        <v>36774.202887679799</v>
      </c>
      <c r="I27" s="72">
        <f>VLOOKUP($C27,难度推算表,副本难度推算!$P$3,FALSE)*副本难度推算!$Z$6*$R27+VLOOKUP($C27,难度推算表,副本难度推算!$H$3,FALSE)</f>
        <v>2390.9916588937813</v>
      </c>
      <c r="J27" s="72">
        <f>VLOOKUP($C27,难度推算表,副本难度推算!$G$3,FALSE)-VLOOKUP($C27,难度推算表,副本难度推算!$I$3,FALSE)*(2-副本难度推算!$AA$6)*(2-$S27)</f>
        <v>933.57875269565284</v>
      </c>
      <c r="K27" s="72">
        <f>VLOOKUP($C27,难度推算表,副本难度推算!$M$3,FALSE)*副本难度推算!$Y$7*Q27</f>
        <v>114919.38402399937</v>
      </c>
      <c r="L27" s="72">
        <f>VLOOKUP($C27,难度推算表,副本难度推算!$P$3,FALSE)*副本难度推算!$Z$7*$R27+VLOOKUP($C27,难度推算表,副本难度推算!$H$3,FALSE)</f>
        <v>2830.2958698293896</v>
      </c>
      <c r="M27" s="72">
        <f>VLOOKUP($C27,难度推算表,副本难度推算!$G$3,FALSE)-VLOOKUP($C27,难度推算表,副本难度推算!$I$3,FALSE)*(2-副本难度推算!$AA$7)*(2-$S27)</f>
        <v>1427.1951046956524</v>
      </c>
      <c r="N27" s="2">
        <f>VLOOKUP($C27,难度推算表,副本难度推算!$Q$3,FALSE)</f>
        <v>2379.58</v>
      </c>
      <c r="O27" s="2">
        <f>VLOOKUP($C27,难度推算表,副本难度推算!$R$3,FALSE)</f>
        <v>0</v>
      </c>
      <c r="Q27" s="46">
        <v>1.08</v>
      </c>
      <c r="R27" s="46">
        <v>1.18</v>
      </c>
      <c r="S27" s="46">
        <v>1.08</v>
      </c>
      <c r="T27">
        <f>SUMPRODUCT(K27:M27,[2]各种公式!$C$13:$E$13)</f>
        <v>8854.2663354850174</v>
      </c>
    </row>
    <row r="28" spans="2:20">
      <c r="B28" s="2" t="str">
        <f>怪物并表!$R$8</f>
        <v>精英副本</v>
      </c>
      <c r="C28" s="2">
        <f>怪物信息表!J28</f>
        <v>36</v>
      </c>
      <c r="D28" s="42">
        <f>怪物信息表!K28</f>
        <v>3206</v>
      </c>
      <c r="E28" s="72">
        <f>VLOOKUP($C28,难度推算表,副本难度推算!$M$3,FALSE)*副本难度推算!$Y$5*Q28</f>
        <v>51692.291636317379</v>
      </c>
      <c r="F28" s="72">
        <f>VLOOKUP($C28,难度推算表,副本难度推算!$P$3,FALSE)*副本难度推算!$Z$5*$R28+VLOOKUP($C28,难度推算表,副本难度推算!$H$3,FALSE)</f>
        <v>2812.8191414767598</v>
      </c>
      <c r="G28" s="72">
        <f>VLOOKUP($C28,难度推算表,副本难度推算!$G$3,FALSE)-VLOOKUP($C28,难度推算表,副本难度推算!$I$3,FALSE)*(2-副本难度推算!$AA$5)*(2-$S28)</f>
        <v>1312.7781590367897</v>
      </c>
      <c r="H28" s="72">
        <f>VLOOKUP($C28,难度推算表,副本难度推算!$M$3,FALSE)*副本难度推算!$Y$6*Q28</f>
        <v>41353.833309053909</v>
      </c>
      <c r="I28" s="72">
        <f>VLOOKUP($C28,难度推算表,副本难度推算!$P$3,FALSE)*副本难度推算!$Z$6*$R28+VLOOKUP($C28,难度推算表,副本难度推算!$H$3,FALSE)</f>
        <v>2648.2286192434658</v>
      </c>
      <c r="J28" s="72">
        <f>VLOOKUP($C28,难度推算表,副本难度推算!$G$3,FALSE)-VLOOKUP($C28,难度推算表,副本难度推算!$I$3,FALSE)*(2-副本难度推算!$AA$6)*(2-$S28)</f>
        <v>1050.222527229432</v>
      </c>
      <c r="K28" s="72">
        <f>VLOOKUP($C28,难度推算表,副本难度推算!$M$3,FALSE)*副本难度推算!$Y$7*Q28</f>
        <v>129230.72909079347</v>
      </c>
      <c r="L28" s="72">
        <f>VLOOKUP($C28,难度推算表,副本难度推算!$P$3,FALSE)*副本难度推算!$Z$7*$R28+VLOOKUP($C28,难度推算表,副本难度推算!$H$3,FALSE)</f>
        <v>3142.0001859433496</v>
      </c>
      <c r="M28" s="72">
        <f>VLOOKUP($C28,难度推算表,副本难度推算!$G$3,FALSE)-VLOOKUP($C28,难度推算表,副本难度推算!$I$3,FALSE)*(2-副本难度推算!$AA$7)*(2-$S28)</f>
        <v>1575.3337908441476</v>
      </c>
      <c r="N28" s="2">
        <f>VLOOKUP($C28,难度推算表,副本难度推算!$Q$3,FALSE)</f>
        <v>2437.808</v>
      </c>
      <c r="O28" s="2">
        <f>VLOOKUP($C28,难度推算表,副本难度推算!$R$3,FALSE)</f>
        <v>0</v>
      </c>
      <c r="Q28" s="46">
        <v>1.1000000000000001</v>
      </c>
      <c r="R28" s="46">
        <v>1.2</v>
      </c>
      <c r="S28" s="46">
        <v>1.1000000000000001</v>
      </c>
      <c r="T28">
        <f>SUMPRODUCT(K28:M28,[2]各种公式!$C$13:$E$13)</f>
        <v>9886.5631404192372</v>
      </c>
    </row>
    <row r="29" spans="2:20">
      <c r="B29" s="2" t="str">
        <f>怪物并表!$R$8</f>
        <v>精英副本</v>
      </c>
      <c r="C29" s="2">
        <f>怪物信息表!J29</f>
        <v>37</v>
      </c>
      <c r="D29" s="42">
        <f>怪物信息表!K29</f>
        <v>3207</v>
      </c>
      <c r="E29" s="72">
        <f>VLOOKUP($C29,难度推算表,副本难度推算!$M$3,FALSE)*副本难度推算!$Y$5*Q29</f>
        <v>57937.058328340834</v>
      </c>
      <c r="F29" s="72">
        <f>VLOOKUP($C29,难度推算表,副本难度推算!$P$3,FALSE)*副本难度推算!$Z$5*$R29+VLOOKUP($C29,难度推算表,副本难度推算!$H$3,FALSE)</f>
        <v>3115.6722667312429</v>
      </c>
      <c r="G29" s="72">
        <f>VLOOKUP($C29,难度推算表,副本难度推算!$G$3,FALSE)-VLOOKUP($C29,难度推算表,副本难度推算!$I$3,FALSE)*(2-副本难度推算!$AA$5)*(2-$S29)</f>
        <v>1455.3667859538466</v>
      </c>
      <c r="H29" s="72">
        <f>VLOOKUP($C29,难度推算表,副本难度推算!$M$3,FALSE)*副本难度推算!$Y$6*Q29</f>
        <v>46349.646662672669</v>
      </c>
      <c r="I29" s="72">
        <f>VLOOKUP($C29,难度推算表,副本难度推算!$P$3,FALSE)*副本难度推算!$Z$6*$R29+VLOOKUP($C29,难度推算表,副本难度推算!$H$3,FALSE)</f>
        <v>2930.6586736193231</v>
      </c>
      <c r="J29" s="72">
        <f>VLOOKUP($C29,难度推算表,副本难度推算!$G$3,FALSE)-VLOOKUP($C29,难度推算表,副本难度推算!$I$3,FALSE)*(2-副本难度推算!$AA$6)*(2-$S29)</f>
        <v>1176.9487921191978</v>
      </c>
      <c r="K29" s="72">
        <f>VLOOKUP($C29,难度推算表,副本难度推算!$M$3,FALSE)*副本难度推算!$Y$7*Q29</f>
        <v>144842.64582085208</v>
      </c>
      <c r="L29" s="72">
        <f>VLOOKUP($C29,难度推算表,副本难度推算!$P$3,FALSE)*副本难度推算!$Z$7*$R29+VLOOKUP($C29,难度推算表,副本难度推算!$H$3,FALSE)</f>
        <v>3485.699452955083</v>
      </c>
      <c r="M29" s="72">
        <f>VLOOKUP($C29,难度推算表,副本难度推算!$G$3,FALSE)-VLOOKUP($C29,难度推算表,副本难度推算!$I$3,FALSE)*(2-副本难度推算!$AA$7)*(2-$S29)</f>
        <v>1733.7847797884954</v>
      </c>
      <c r="N29" s="2">
        <f>VLOOKUP($C29,难度推算表,副本难度推算!$Q$3,FALSE)</f>
        <v>2496.0360000000001</v>
      </c>
      <c r="O29" s="2">
        <f>VLOOKUP($C29,难度推算表,副本难度推算!$R$3,FALSE)</f>
        <v>0</v>
      </c>
      <c r="Q29" s="46">
        <v>1.1200000000000001</v>
      </c>
      <c r="R29" s="46">
        <v>1.2</v>
      </c>
      <c r="S29" s="46">
        <v>1.1200000000000001</v>
      </c>
      <c r="T29">
        <f>SUMPRODUCT(K29:M29,[2]各种公式!$C$13:$E$13)</f>
        <v>11013.190065577661</v>
      </c>
    </row>
    <row r="30" spans="2:20">
      <c r="B30" s="2" t="str">
        <f>怪物并表!$R$8</f>
        <v>精英副本</v>
      </c>
      <c r="C30" s="2">
        <f>怪物信息表!J30</f>
        <v>38</v>
      </c>
      <c r="D30" s="42">
        <f>怪物信息表!K30</f>
        <v>3208</v>
      </c>
      <c r="E30" s="72">
        <f>VLOOKUP($C30,难度推算表,副本难度推算!$M$3,FALSE)*副本难度推算!$Y$5*Q30</f>
        <v>64734.349841675328</v>
      </c>
      <c r="F30" s="72">
        <f>VLOOKUP($C30,难度推算表,副本难度推算!$P$3,FALSE)*副本难度推算!$Z$5*$R30+VLOOKUP($C30,难度推算表,副本难度推算!$H$3,FALSE)</f>
        <v>3615.0974178488314</v>
      </c>
      <c r="G30" s="72">
        <f>VLOOKUP($C30,难度推算表,副本难度推算!$G$3,FALSE)-VLOOKUP($C30,难度推算表,副本难度推算!$I$3,FALSE)*(2-副本难度推算!$AA$5)*(2-$S30)</f>
        <v>1608.6293294849499</v>
      </c>
      <c r="H30" s="72">
        <f>VLOOKUP($C30,难度推算表,副本难度推算!$M$3,FALSE)*副本难度推算!$Y$6*Q30</f>
        <v>51787.479873340257</v>
      </c>
      <c r="I30" s="72">
        <f>VLOOKUP($C30,难度推算表,副本难度推算!$P$3,FALSE)*副本难度推算!$Z$6*$R30+VLOOKUP($C30,难度推算表,副本难度推算!$H$3,FALSE)</f>
        <v>3390.4922998499014</v>
      </c>
      <c r="J30" s="72">
        <f>VLOOKUP($C30,难度推算表,副本难度推算!$G$3,FALSE)-VLOOKUP($C30,难度推算表,副本难度推算!$I$3,FALSE)*(2-副本难度推算!$AA$6)*(2-$S30)</f>
        <v>1314.2843883451508</v>
      </c>
      <c r="K30" s="72">
        <f>VLOOKUP($C30,难度推算表,副本难度推算!$M$3,FALSE)*副本难度推算!$Y$7*Q30</f>
        <v>161835.87460418831</v>
      </c>
      <c r="L30" s="72">
        <f>VLOOKUP($C30,难度推算表,副本难度推算!$P$3,FALSE)*副本难度推算!$Z$7*$R30+VLOOKUP($C30,难度推算表,副本难度推算!$H$3,FALSE)</f>
        <v>4064.3076538466912</v>
      </c>
      <c r="M30" s="72">
        <f>VLOOKUP($C30,难度推算表,副本难度推算!$G$3,FALSE)-VLOOKUP($C30,难度推算表,副本难度推算!$I$3,FALSE)*(2-副本难度推算!$AA$7)*(2-$S30)</f>
        <v>1902.9742706247491</v>
      </c>
      <c r="N30" s="2">
        <f>VLOOKUP($C30,难度推算表,副本难度推算!$Q$3,FALSE)</f>
        <v>2554.2640000000001</v>
      </c>
      <c r="O30" s="2">
        <f>VLOOKUP($C30,难度推算表,副本难度推算!$R$3,FALSE)</f>
        <v>0</v>
      </c>
      <c r="Q30" s="46">
        <v>1.1399999999999999</v>
      </c>
      <c r="R30" s="46">
        <v>1.3</v>
      </c>
      <c r="S30" s="46">
        <v>1.1399999999999999</v>
      </c>
      <c r="T30">
        <f>SUMPRODUCT(K30:M30,[2]各种公式!$C$13:$E$13)</f>
        <v>12440.716908638973</v>
      </c>
    </row>
    <row r="31" spans="2:20" s="102" customFormat="1">
      <c r="B31" s="103" t="str">
        <f>怪物并表!$R$8</f>
        <v>精英副本</v>
      </c>
      <c r="C31" s="103">
        <f>怪物信息表!J31</f>
        <v>39</v>
      </c>
      <c r="D31" s="107">
        <f>怪物信息表!K31</f>
        <v>3209</v>
      </c>
      <c r="E31" s="105">
        <f>VLOOKUP($C31,难度推算表,副本难度推算!$M$3,FALSE)*副本难度推算!$Y$5*Q31</f>
        <v>72117.675849242209</v>
      </c>
      <c r="F31" s="105">
        <f>VLOOKUP($C31,难度推算表,副本难度推算!$P$3,FALSE)*副本难度推算!$Z$5*$R31+VLOOKUP($C31,难度推算表,副本难度推算!$H$3,FALSE)</f>
        <v>3987.1843919090516</v>
      </c>
      <c r="G31" s="105">
        <f>VLOOKUP($C31,难度推算表,副本难度推算!$G$3,FALSE)-VLOOKUP($C31,难度推算表,副本难度推算!$I$3,FALSE)*(2-副本难度推算!$AA$5)*(2-$S31)</f>
        <v>1773.0523059050167</v>
      </c>
      <c r="H31" s="105">
        <f>VLOOKUP($C31,难度推算表,副本难度推算!$M$3,FALSE)*副本难度推算!$Y$6*Q31</f>
        <v>57694.140679393764</v>
      </c>
      <c r="I31" s="105">
        <f>VLOOKUP($C31,难度推算表,副本难度推算!$P$3,FALSE)*副本难度推算!$Z$6*$R31+VLOOKUP($C31,难度推算表,副本难度推算!$H$3,FALSE)</f>
        <v>3736.2203115435641</v>
      </c>
      <c r="J31" s="105">
        <f>VLOOKUP($C31,难度推算表,副本难度推算!$G$3,FALSE)-VLOOKUP($C31,难度推算表,副本难度推算!$I$3,FALSE)*(2-副本难度推算!$AA$6)*(2-$S31)</f>
        <v>1462.768152371639</v>
      </c>
      <c r="K31" s="105">
        <f>VLOOKUP($C31,难度推算表,副本难度推算!$M$3,FALSE)*副本难度推算!$Y$7*Q31</f>
        <v>180294.18962310551</v>
      </c>
      <c r="L31" s="105">
        <f>VLOOKUP($C31,难度推算表,副本难度推算!$P$3,FALSE)*副本难度推算!$Z$7*$R31+VLOOKUP($C31,难度推算表,副本难度推算!$H$3,FALSE)</f>
        <v>4489.1125526400256</v>
      </c>
      <c r="M31" s="105">
        <f>VLOOKUP($C31,难度推算表,副本难度推算!$G$3,FALSE)-VLOOKUP($C31,难度推算表,副本难度推算!$I$3,FALSE)*(2-副本难度推算!$AA$7)*(2-$S31)</f>
        <v>2083.3364594383947</v>
      </c>
      <c r="N31" s="103">
        <f>VLOOKUP($C31,难度推算表,副本难度推算!$Q$3,FALSE)</f>
        <v>2612.4920000000002</v>
      </c>
      <c r="O31" s="103">
        <f>VLOOKUP($C31,难度推算表,副本难度推算!$R$3,FALSE)</f>
        <v>0</v>
      </c>
      <c r="Q31" s="46">
        <v>1.1599999999999999</v>
      </c>
      <c r="R31" s="46">
        <v>1.3</v>
      </c>
      <c r="S31" s="106">
        <v>1.1599999999999999</v>
      </c>
      <c r="T31">
        <f>SUMPRODUCT(K31:M31,[2]各种公式!$C$13:$E$13)</f>
        <v>13784.216597002642</v>
      </c>
    </row>
    <row r="32" spans="2:20">
      <c r="B32" s="2" t="str">
        <f>怪物并表!$R$8</f>
        <v>精英副本</v>
      </c>
      <c r="C32" s="2">
        <f>怪物信息表!J32</f>
        <v>40</v>
      </c>
      <c r="D32" s="42">
        <f>怪物信息表!K32</f>
        <v>4201</v>
      </c>
      <c r="E32" s="72">
        <f>VLOOKUP($C32,难度推算表,副本难度推算!$M$3,FALSE)*副本难度推算!$Y$5*Q32</f>
        <v>68511.523503065546</v>
      </c>
      <c r="F32" s="72">
        <f>VLOOKUP($C32,难度推算表,副本难度推算!$P$3,FALSE)*副本难度推算!$Z$5*$R32+VLOOKUP($C32,难度推算表,副本难度推算!$H$3,FALSE)</f>
        <v>3993.0606987290989</v>
      </c>
      <c r="G32" s="72">
        <f>VLOOKUP($C32,难度推算表,副本难度推算!$G$3,FALSE)-VLOOKUP($C32,难度推算表,副本难度推算!$I$3,FALSE)*(2-副本难度推算!$AA$5)*(2-$S32)</f>
        <v>1605.4628387959874</v>
      </c>
      <c r="H32" s="72">
        <f>VLOOKUP($C32,难度推算表,副本难度推算!$M$3,FALSE)*副本难度推算!$Y$6*Q32</f>
        <v>54809.218802452437</v>
      </c>
      <c r="I32" s="72">
        <f>VLOOKUP($C32,难度推算表,副本难度推算!$P$3,FALSE)*副本难度推算!$Z$6*$R32+VLOOKUP($C32,难度推算表,副本难度推算!$H$3,FALSE)</f>
        <v>3754.3009127357877</v>
      </c>
      <c r="J32" s="72">
        <f>VLOOKUP($C32,难度推算表,副本难度推算!$G$3,FALSE)-VLOOKUP($C32,难度推算表,副本难度推算!$I$3,FALSE)*(2-副本难度推算!$AA$6)*(2-$S32)</f>
        <v>1204.0971290969906</v>
      </c>
      <c r="K32" s="72">
        <f>VLOOKUP($C32,难度推算表,副本难度推算!$M$3,FALSE)*副本难度推算!$Y$7*Q32</f>
        <v>171278.80875766388</v>
      </c>
      <c r="L32" s="72">
        <f>VLOOKUP($C32,难度推算表,副本难度推算!$P$3,FALSE)*副本难度推算!$Z$7*$R32+VLOOKUP($C32,难度推算表,副本难度推算!$H$3,FALSE)</f>
        <v>4470.5802707157218</v>
      </c>
      <c r="M32" s="72">
        <f>VLOOKUP($C32,难度推算表,副本难度推算!$G$3,FALSE)-VLOOKUP($C32,难度推算表,副本难度推算!$I$3,FALSE)*(2-副本难度推算!$AA$7)*(2-$S32)</f>
        <v>2006.828548494984</v>
      </c>
      <c r="N32" s="2">
        <f>VLOOKUP($C32,难度推算表,副本难度推算!$Q$3,FALSE)</f>
        <v>2670.72</v>
      </c>
      <c r="O32" s="2">
        <f>VLOOKUP($C32,难度推算表,副本难度推算!$R$3,FALSE)</f>
        <v>0</v>
      </c>
      <c r="Q32" s="46">
        <v>1</v>
      </c>
      <c r="R32" s="46">
        <v>1.1000000000000001</v>
      </c>
      <c r="S32" s="46">
        <v>1</v>
      </c>
      <c r="T32">
        <f>SUMPRODUCT(K32:M32,[2]各种公式!$C$13:$E$13)</f>
        <v>13328.561169517263</v>
      </c>
    </row>
    <row r="33" spans="2:20">
      <c r="B33" s="2" t="str">
        <f>怪物并表!$R$8</f>
        <v>精英副本</v>
      </c>
      <c r="C33" s="2">
        <f>怪物信息表!J33</f>
        <v>41</v>
      </c>
      <c r="D33" s="42">
        <f>怪物信息表!K33</f>
        <v>4202</v>
      </c>
      <c r="E33" s="72">
        <f>VLOOKUP($C33,难度推算表,副本难度推算!$M$3,FALSE)*副本难度推算!$Y$5*Q33</f>
        <v>76789.21272317179</v>
      </c>
      <c r="F33" s="72">
        <f>VLOOKUP($C33,难度推算表,副本难度推算!$P$3,FALSE)*副本难度推算!$Z$5*$R33+VLOOKUP($C33,难度推算表,副本难度推算!$H$3,FALSE)</f>
        <v>4464.6809817880139</v>
      </c>
      <c r="G33" s="72">
        <f>VLOOKUP($C33,难度推算表,副本难度推算!$G$3,FALSE)-VLOOKUP($C33,难度推算表,副本难度推算!$I$3,FALSE)*(2-副本难度推算!$AA$5)*(2-$S33)</f>
        <v>1783.3962054695658</v>
      </c>
      <c r="H33" s="72">
        <f>VLOOKUP($C33,难度推算表,副本难度推算!$M$3,FALSE)*副本难度推算!$Y$6*Q33</f>
        <v>61431.370178537429</v>
      </c>
      <c r="I33" s="72">
        <f>VLOOKUP($C33,难度推算表,副本难度推算!$P$3,FALSE)*副本难度推算!$Z$6*$R33+VLOOKUP($C33,难度推算表,副本难度推算!$H$3,FALSE)</f>
        <v>4192.2027573135601</v>
      </c>
      <c r="J33" s="72">
        <f>VLOOKUP($C33,难度推算表,副本难度推算!$G$3,FALSE)-VLOOKUP($C33,难度推算表,副本难度推算!$I$3,FALSE)*(2-副本难度推算!$AA$6)*(2-$S33)</f>
        <v>1357.1210148939135</v>
      </c>
      <c r="K33" s="72">
        <f>VLOOKUP($C33,难度推算表,副本难度推算!$M$3,FALSE)*副本难度推算!$Y$7*Q33</f>
        <v>191973.03180792945</v>
      </c>
      <c r="L33" s="72">
        <f>VLOOKUP($C33,难度推算表,副本难度推算!$P$3,FALSE)*副本难度推算!$Z$7*$R33+VLOOKUP($C33,难度推算表,副本难度推算!$H$3,FALSE)</f>
        <v>5009.6374307369206</v>
      </c>
      <c r="M33" s="72">
        <f>VLOOKUP($C33,难度推算表,副本难度推算!$G$3,FALSE)-VLOOKUP($C33,难度推算表,副本难度推算!$I$3,FALSE)*(2-副本难度推算!$AA$7)*(2-$S33)</f>
        <v>2209.671396045218</v>
      </c>
      <c r="N33" s="2">
        <f>VLOOKUP($C33,难度推算表,副本难度推算!$Q$3,FALSE)</f>
        <v>2728.9480000000003</v>
      </c>
      <c r="O33" s="2">
        <f>VLOOKUP($C33,难度推算表,副本难度推算!$R$3,FALSE)</f>
        <v>0</v>
      </c>
      <c r="Q33" s="46">
        <v>1.02</v>
      </c>
      <c r="R33" s="46">
        <v>1.1200000000000001</v>
      </c>
      <c r="S33" s="46">
        <v>1.02</v>
      </c>
      <c r="T33">
        <f>SUMPRODUCT(K33:M33,[2]各种公式!$C$13:$E$13)</f>
        <v>14898.230099099317</v>
      </c>
    </row>
    <row r="34" spans="2:20">
      <c r="B34" s="2" t="str">
        <f>怪物并表!$R$8</f>
        <v>精英副本</v>
      </c>
      <c r="C34" s="2">
        <f>怪物信息表!J34</f>
        <v>42</v>
      </c>
      <c r="D34" s="42">
        <f>怪物信息表!K34</f>
        <v>4203</v>
      </c>
      <c r="E34" s="72">
        <f>VLOOKUP($C34,难度推算表,副本难度推算!$M$3,FALSE)*副本难度推算!$Y$5*Q34</f>
        <v>85803.35534047363</v>
      </c>
      <c r="F34" s="72">
        <f>VLOOKUP($C34,难度推算表,副本难度推算!$P$3,FALSE)*副本难度推算!$Z$5*$R34+VLOOKUP($C34,难度推算表,副本难度推算!$H$3,FALSE)</f>
        <v>4980.4926698894378</v>
      </c>
      <c r="G34" s="72">
        <f>VLOOKUP($C34,难度推算表,副本难度推算!$G$3,FALSE)-VLOOKUP($C34,难度推算表,副本难度推算!$I$3,FALSE)*(2-副本难度推算!$AA$5)*(2-$S34)</f>
        <v>1975.0337944615399</v>
      </c>
      <c r="H34" s="72">
        <f>VLOOKUP($C34,难度推算表,副本难度推算!$M$3,FALSE)*副本难度推算!$Y$6*Q34</f>
        <v>68642.684272378916</v>
      </c>
      <c r="I34" s="72">
        <f>VLOOKUP($C34,难度推算表,副本难度推算!$P$3,FALSE)*副本难度推算!$Z$6*$R34+VLOOKUP($C34,难度推算表,副本难度推算!$H$3,FALSE)</f>
        <v>4670.5418595158781</v>
      </c>
      <c r="J34" s="72">
        <f>VLOOKUP($C34,难度推算表,副本难度推算!$G$3,FALSE)-VLOOKUP($C34,难度推算表,副本难度推算!$I$3,FALSE)*(2-副本难度推算!$AA$6)*(2-$S34)</f>
        <v>1523.5974985846169</v>
      </c>
      <c r="K34" s="72">
        <f>VLOOKUP($C34,难度推算表,副本难度推算!$M$3,FALSE)*副本难度推算!$Y$7*Q34</f>
        <v>214508.38835118408</v>
      </c>
      <c r="L34" s="72">
        <f>VLOOKUP($C34,难度推算表,副本难度推算!$P$3,FALSE)*副本难度推算!$Z$7*$R34+VLOOKUP($C34,难度推算表,副本难度推算!$H$3,FALSE)</f>
        <v>5600.3942906365555</v>
      </c>
      <c r="M34" s="72">
        <f>VLOOKUP($C34,难度推算表,副本难度推算!$G$3,FALSE)-VLOOKUP($C34,难度推算表,副本难度推算!$I$3,FALSE)*(2-副本难度推算!$AA$7)*(2-$S34)</f>
        <v>2426.4700903384628</v>
      </c>
      <c r="N34" s="2">
        <f>VLOOKUP($C34,难度推算表,副本难度推算!$Q$3,FALSE)</f>
        <v>2787.1759999999999</v>
      </c>
      <c r="O34" s="2">
        <f>VLOOKUP($C34,难度推算表,副本难度推算!$R$3,FALSE)</f>
        <v>0</v>
      </c>
      <c r="Q34" s="46">
        <v>1.04</v>
      </c>
      <c r="R34" s="46">
        <v>1.1399999999999999</v>
      </c>
      <c r="S34" s="46">
        <v>1.04</v>
      </c>
      <c r="T34">
        <f>SUMPRODUCT(K34:M34,[2]各种公式!$C$13:$E$13)</f>
        <v>16607.199915022382</v>
      </c>
    </row>
    <row r="35" spans="2:20">
      <c r="B35" s="2" t="str">
        <f>怪物并表!$R$8</f>
        <v>精英副本</v>
      </c>
      <c r="C35" s="2">
        <f>怪物信息表!J35</f>
        <v>43</v>
      </c>
      <c r="D35" s="42">
        <f>怪物信息表!K35</f>
        <v>4204</v>
      </c>
      <c r="E35" s="72">
        <f>VLOOKUP($C35,难度推算表,副本难度推算!$M$3,FALSE)*副本难度推算!$Y$5*Q35</f>
        <v>95598.865551716633</v>
      </c>
      <c r="F35" s="72">
        <f>VLOOKUP($C35,难度推算表,副本难度推算!$P$3,FALSE)*副本难度推算!$Z$5*$R35+VLOOKUP($C35,难度推算表,副本难度推算!$H$3,FALSE)</f>
        <v>5543.8521897385281</v>
      </c>
      <c r="G35" s="72">
        <f>VLOOKUP($C35,难度推算表,副本难度推算!$G$3,FALSE)-VLOOKUP($C35,难度推算表,副本难度推算!$I$3,FALSE)*(2-副本难度推算!$AA$5)*(2-$S35)</f>
        <v>2181.0176299806026</v>
      </c>
      <c r="H35" s="72">
        <f>VLOOKUP($C35,难度推算表,副本难度推算!$M$3,FALSE)*副本难度推算!$Y$6*Q35</f>
        <v>76479.092441373316</v>
      </c>
      <c r="I35" s="72">
        <f>VLOOKUP($C35,难度推算表,副本难度推算!$P$3,FALSE)*副本难度推算!$Z$6*$R35+VLOOKUP($C35,难度推算表,副本难度推算!$H$3,FALSE)</f>
        <v>5192.3523316931041</v>
      </c>
      <c r="J35" s="72">
        <f>VLOOKUP($C35,难度推算表,副本难度推算!$G$3,FALSE)-VLOOKUP($C35,难度推算表,副本难度推算!$I$3,FALSE)*(2-副本难度推算!$AA$6)*(2-$S35)</f>
        <v>1704.2370317987966</v>
      </c>
      <c r="K35" s="72">
        <f>VLOOKUP($C35,难度推算表,副本难度推算!$M$3,FALSE)*副本难度推算!$Y$7*Q35</f>
        <v>238997.16387929162</v>
      </c>
      <c r="L35" s="72">
        <f>VLOOKUP($C35,难度推算表,副本难度推算!$P$3,FALSE)*副本难度推算!$Z$7*$R35+VLOOKUP($C35,难度推算表,副本难度推算!$H$3,FALSE)</f>
        <v>6246.8519058293778</v>
      </c>
      <c r="M35" s="72">
        <f>VLOOKUP($C35,难度推算表,副本难度推算!$G$3,FALSE)-VLOOKUP($C35,难度推算表,副本难度推算!$I$3,FALSE)*(2-副本难度推算!$AA$7)*(2-$S35)</f>
        <v>2657.7982281624086</v>
      </c>
      <c r="N35" s="2">
        <f>VLOOKUP($C35,难度推算表,副本难度推算!$Q$3,FALSE)</f>
        <v>2845.404</v>
      </c>
      <c r="O35" s="2">
        <f>VLOOKUP($C35,难度推算表,副本难度推算!$R$3,FALSE)</f>
        <v>0</v>
      </c>
      <c r="Q35" s="46">
        <v>1.06</v>
      </c>
      <c r="R35" s="46">
        <v>1.1599999999999999</v>
      </c>
      <c r="S35" s="46">
        <v>1.06</v>
      </c>
      <c r="T35">
        <f>SUMPRODUCT(K35:M35,[2]各种公式!$C$13:$E$13)</f>
        <v>18464.536689163451</v>
      </c>
    </row>
    <row r="36" spans="2:20">
      <c r="B36" s="2" t="str">
        <f>怪物并表!$R$8</f>
        <v>精英副本</v>
      </c>
      <c r="C36" s="2">
        <f>怪物信息表!J36</f>
        <v>44</v>
      </c>
      <c r="D36" s="42">
        <f>怪物信息表!K36</f>
        <v>4205</v>
      </c>
      <c r="E36" s="72">
        <f>VLOOKUP($C36,难度推算表,副本难度推算!$M$3,FALSE)*副本难度推算!$Y$5*Q36</f>
        <v>106222.31318550845</v>
      </c>
      <c r="F36" s="72">
        <f>VLOOKUP($C36,难度推算表,副本难度推算!$P$3,FALSE)*副本难度推算!$Z$5*$R36+VLOOKUP($C36,难度推算表,副本难度推算!$H$3,FALSE)</f>
        <v>6158.3270059237475</v>
      </c>
      <c r="G36" s="72">
        <f>VLOOKUP($C36,难度推算表,副本难度推算!$G$3,FALSE)-VLOOKUP($C36,难度推算表,副本难度推算!$I$3,FALSE)*(2-副本难度推算!$AA$5)*(2-$S36)</f>
        <v>2402.0030645511715</v>
      </c>
      <c r="H36" s="72">
        <f>VLOOKUP($C36,难度推算表,副本难度推算!$M$3,FALSE)*副本难度推算!$Y$6*Q36</f>
        <v>84977.850548406772</v>
      </c>
      <c r="I36" s="72">
        <f>VLOOKUP($C36,难度推算表,副本难度推算!$P$3,FALSE)*副本难度推算!$Z$6*$R36+VLOOKUP($C36,难度推算表,副本难度推算!$H$3,FALSE)</f>
        <v>5760.8582202905709</v>
      </c>
      <c r="J36" s="72">
        <f>VLOOKUP($C36,难度推算表,副本难度推算!$G$3,FALSE)-VLOOKUP($C36,难度推算表,副本难度推算!$I$3,FALSE)*(2-副本难度推算!$AA$6)*(2-$S36)</f>
        <v>1899.7660601450175</v>
      </c>
      <c r="K36" s="72">
        <f>VLOOKUP($C36,难度推算表,副本难度推算!$M$3,FALSE)*副本难度推算!$Y$7*Q36</f>
        <v>265555.78296377114</v>
      </c>
      <c r="L36" s="72">
        <f>VLOOKUP($C36,难度推算表,副本难度推算!$P$3,FALSE)*副本难度推算!$Z$7*$R36+VLOOKUP($C36,难度推算表,副本难度推算!$H$3,FALSE)</f>
        <v>6953.2645771901025</v>
      </c>
      <c r="M36" s="72">
        <f>VLOOKUP($C36,难度推算表,副本难度推算!$G$3,FALSE)-VLOOKUP($C36,难度推算表,副本难度推算!$I$3,FALSE)*(2-副本难度推算!$AA$7)*(2-$S36)</f>
        <v>2904.2400689573251</v>
      </c>
      <c r="N36" s="2">
        <f>VLOOKUP($C36,难度推算表,副本难度推算!$Q$3,FALSE)</f>
        <v>2903.6320000000001</v>
      </c>
      <c r="O36" s="2">
        <f>VLOOKUP($C36,难度推算表,副本难度推算!$R$3,FALSE)</f>
        <v>0</v>
      </c>
      <c r="Q36" s="46">
        <v>1.08</v>
      </c>
      <c r="R36" s="46">
        <v>1.18</v>
      </c>
      <c r="S36" s="46">
        <v>1.08</v>
      </c>
      <c r="T36">
        <f>SUMPRODUCT(K36:M36,[2]各种公式!$C$13:$E$13)</f>
        <v>20479.735964698273</v>
      </c>
    </row>
    <row r="37" spans="2:20">
      <c r="B37" s="2" t="str">
        <f>怪物并表!$R$8</f>
        <v>精英副本</v>
      </c>
      <c r="C37" s="2">
        <f>怪物信息表!J37</f>
        <v>45</v>
      </c>
      <c r="D37" s="42">
        <f>怪物信息表!K37</f>
        <v>4206</v>
      </c>
      <c r="E37" s="72">
        <f>VLOOKUP($C37,难度推算表,副本难度推算!$M$3,FALSE)*副本难度推算!$Y$5*Q37</f>
        <v>117721.95078721881</v>
      </c>
      <c r="F37" s="72">
        <f>VLOOKUP($C37,难度推算表,副本难度推算!$P$3,FALSE)*副本难度推算!$Z$5*$R37+VLOOKUP($C37,难度推算表,副本难度推算!$H$3,FALSE)</f>
        <v>6827.7066215973355</v>
      </c>
      <c r="G37" s="72">
        <f>VLOOKUP($C37,难度推算表,副本难度推算!$G$3,FALSE)-VLOOKUP($C37,难度推算表,副本难度推算!$I$3,FALSE)*(2-副本难度推算!$AA$5)*(2-$S37)</f>
        <v>2638.658779013379</v>
      </c>
      <c r="H37" s="72">
        <f>VLOOKUP($C37,难度推算表,副本难度推算!$M$3,FALSE)*副本难度推算!$Y$6*Q37</f>
        <v>94177.560629775049</v>
      </c>
      <c r="I37" s="72">
        <f>VLOOKUP($C37,难度推算表,副本难度推算!$P$3,FALSE)*副本难度推算!$Z$6*$R37+VLOOKUP($C37,难度推算表,副本难度推算!$H$3,FALSE)</f>
        <v>6379.4834064610141</v>
      </c>
      <c r="J37" s="72">
        <f>VLOOKUP($C37,难度推算表,副本难度推算!$G$3,FALSE)-VLOOKUP($C37,难度推算表,副本难度推算!$I$3,FALSE)*(2-副本难度推算!$AA$6)*(2-$S37)</f>
        <v>2110.9270232107033</v>
      </c>
      <c r="K37" s="72">
        <f>VLOOKUP($C37,难度推算表,副本难度推算!$M$3,FALSE)*副本难度推算!$Y$7*Q37</f>
        <v>294304.876968047</v>
      </c>
      <c r="L37" s="72">
        <f>VLOOKUP($C37,难度推算表,副本难度推算!$P$3,FALSE)*副本难度推算!$Z$7*$R37+VLOOKUP($C37,难度推算表,副本难度推算!$H$3,FALSE)</f>
        <v>7724.1530518699801</v>
      </c>
      <c r="M37" s="72">
        <f>VLOOKUP($C37,难度推算表,副本难度推算!$G$3,FALSE)-VLOOKUP($C37,难度推算表,副本难度推算!$I$3,FALSE)*(2-副本难度推算!$AA$7)*(2-$S37)</f>
        <v>3166.3905348160547</v>
      </c>
      <c r="N37" s="2">
        <f>VLOOKUP($C37,难度推算表,副本难度推算!$Q$3,FALSE)</f>
        <v>2961.86</v>
      </c>
      <c r="O37" s="2">
        <f>VLOOKUP($C37,难度推算表,副本难度推算!$R$3,FALSE)</f>
        <v>0</v>
      </c>
      <c r="Q37" s="46">
        <v>1.1000000000000001</v>
      </c>
      <c r="R37" s="46">
        <v>1.2</v>
      </c>
      <c r="S37" s="46">
        <v>1.1000000000000001</v>
      </c>
      <c r="T37">
        <f>SUMPRODUCT(K37:M37,[2]各种公式!$C$13:$E$13)</f>
        <v>22662.738665407916</v>
      </c>
    </row>
    <row r="38" spans="2:20">
      <c r="B38" s="2" t="str">
        <f>怪物并表!$R$8</f>
        <v>精英副本</v>
      </c>
      <c r="C38" s="2">
        <f>怪物信息表!J38</f>
        <v>46</v>
      </c>
      <c r="D38" s="42">
        <f>怪物信息表!K38</f>
        <v>4207</v>
      </c>
      <c r="E38" s="72">
        <f>VLOOKUP($C38,难度推算表,副本难度推算!$M$3,FALSE)*副本难度推算!$Y$5*Q38</f>
        <v>130147.7406845676</v>
      </c>
      <c r="F38" s="72">
        <f>VLOOKUP($C38,难度推算表,副本难度推算!$P$3,FALSE)*副本难度推算!$Z$5*$R38+VLOOKUP($C38,难度推算表,副本难度推算!$H$3,FALSE)</f>
        <v>7473.366236449604</v>
      </c>
      <c r="G38" s="72">
        <f>VLOOKUP($C38,难度推算表,副本难度推算!$G$3,FALSE)-VLOOKUP($C38,难度推算表,副本难度推算!$I$3,FALSE)*(2-副本难度推算!$AA$5)*(2-$S38)</f>
        <v>2891.6667825230788</v>
      </c>
      <c r="H38" s="72">
        <f>VLOOKUP($C38,难度推算表,副本难度推算!$M$3,FALSE)*副本难度推算!$Y$6*Q38</f>
        <v>104118.19254765409</v>
      </c>
      <c r="I38" s="72">
        <f>VLOOKUP($C38,难度推算表,副本难度推算!$P$3,FALSE)*副本难度推算!$Z$6*$R38+VLOOKUP($C38,难度推算表,副本难度推算!$H$3,FALSE)</f>
        <v>6977.4788982414339</v>
      </c>
      <c r="J38" s="72">
        <f>VLOOKUP($C38,难度推算表,副本难度推算!$G$3,FALSE)-VLOOKUP($C38,难度推算表,副本难度推算!$I$3,FALSE)*(2-副本难度推算!$AA$6)*(2-$S38)</f>
        <v>2338.4783545621426</v>
      </c>
      <c r="K38" s="72">
        <f>VLOOKUP($C38,难度推算表,副本难度推算!$M$3,FALSE)*副本难度推算!$Y$7*Q38</f>
        <v>325369.351711419</v>
      </c>
      <c r="L38" s="72">
        <f>VLOOKUP($C38,难度推算表,副本难度推算!$P$3,FALSE)*副本难度推算!$Z$7*$R38+VLOOKUP($C38,难度推算表,副本难度推算!$H$3,FALSE)</f>
        <v>8465.140912865947</v>
      </c>
      <c r="M38" s="72">
        <f>VLOOKUP($C38,难度推算表,副本难度推算!$G$3,FALSE)-VLOOKUP($C38,难度推算表,副本难度推算!$I$3,FALSE)*(2-副本难度推算!$AA$7)*(2-$S38)</f>
        <v>3444.8552104840151</v>
      </c>
      <c r="N38" s="2">
        <f>VLOOKUP($C38,难度推算表,副本难度推算!$Q$3,FALSE)</f>
        <v>3020.0879999999997</v>
      </c>
      <c r="O38" s="2">
        <f>VLOOKUP($C38,难度推算表,副本难度推算!$R$3,FALSE)</f>
        <v>0</v>
      </c>
      <c r="Q38" s="46">
        <v>1.1200000000000001</v>
      </c>
      <c r="R38" s="46">
        <v>1.2</v>
      </c>
      <c r="S38" s="46">
        <v>1.1200000000000001</v>
      </c>
      <c r="T38">
        <f>SUMPRODUCT(K38:M38,[2]各种公式!$C$13:$E$13)</f>
        <v>24924.770191806721</v>
      </c>
    </row>
    <row r="39" spans="2:20">
      <c r="B39" s="2" t="str">
        <f>怪物并表!$R$8</f>
        <v>精英副本</v>
      </c>
      <c r="C39" s="2">
        <f>怪物信息表!J39</f>
        <v>47</v>
      </c>
      <c r="D39" s="42">
        <f>怪物信息表!K39</f>
        <v>4208</v>
      </c>
      <c r="E39" s="72">
        <f>VLOOKUP($C39,难度推算表,副本难度推算!$M$3,FALSE)*副本难度推算!$Y$5*Q39</f>
        <v>143551.382034376</v>
      </c>
      <c r="F39" s="72">
        <f>VLOOKUP($C39,难度推算表,副本难度推算!$P$3,FALSE)*副本难度推算!$Z$5*$R39+VLOOKUP($C39,难度推算表,副本难度推算!$H$3,FALSE)</f>
        <v>8621.2291639834657</v>
      </c>
      <c r="G39" s="72">
        <f>VLOOKUP($C39,难度推算表,副本难度推算!$G$3,FALSE)-VLOOKUP($C39,难度推算表,副本难度推算!$I$3,FALSE)*(2-副本难度推算!$AA$5)*(2-$S39)</f>
        <v>3161.7224125518401</v>
      </c>
      <c r="H39" s="72">
        <f>VLOOKUP($C39,难度推算表,副本难度推算!$M$3,FALSE)*副本难度推算!$Y$6*Q39</f>
        <v>114841.1056275008</v>
      </c>
      <c r="I39" s="72">
        <f>VLOOKUP($C39,难度推算表,副本难度推算!$P$3,FALSE)*副本难度推算!$Z$6*$R39+VLOOKUP($C39,难度推算表,副本难度推算!$H$3,FALSE)</f>
        <v>8028.1890061001704</v>
      </c>
      <c r="J39" s="72">
        <f>VLOOKUP($C39,难度推算表,副本难度推算!$G$3,FALSE)-VLOOKUP($C39,难度推算表,副本难度推算!$I$3,FALSE)*(2-副本难度推算!$AA$6)*(2-$S39)</f>
        <v>2583.1944817444823</v>
      </c>
      <c r="K39" s="72">
        <f>VLOOKUP($C39,难度推算表,副本难度推算!$M$3,FALSE)*副本难度推算!$Y$7*Q39</f>
        <v>358878.45508594002</v>
      </c>
      <c r="L39" s="72">
        <f>VLOOKUP($C39,难度推算表,副本难度推算!$P$3,FALSE)*副本难度推算!$Z$7*$R39+VLOOKUP($C39,难度推算表,副本难度推算!$H$3,FALSE)</f>
        <v>9807.309479750058</v>
      </c>
      <c r="M39" s="72">
        <f>VLOOKUP($C39,难度推算表,副本难度推算!$G$3,FALSE)-VLOOKUP($C39,难度推算表,副本难度推算!$I$3,FALSE)*(2-副本难度推算!$AA$7)*(2-$S39)</f>
        <v>3740.2503433591978</v>
      </c>
      <c r="N39" s="2">
        <f>VLOOKUP($C39,难度推算表,副本难度推算!$Q$3,FALSE)</f>
        <v>3078.3160000000003</v>
      </c>
      <c r="O39" s="2">
        <f>VLOOKUP($C39,难度推算表,副本难度推算!$R$3,FALSE)</f>
        <v>0</v>
      </c>
      <c r="Q39" s="46">
        <v>1.1399999999999999</v>
      </c>
      <c r="R39" s="46">
        <v>1.3</v>
      </c>
      <c r="S39" s="46">
        <v>1.1399999999999999</v>
      </c>
      <c r="T39">
        <f>SUMPRODUCT(K39:M39,[2]各种公式!$C$13:$E$13)</f>
        <v>27902.698026546859</v>
      </c>
    </row>
    <row r="40" spans="2:20" s="102" customFormat="1">
      <c r="B40" s="103" t="str">
        <f>怪物并表!$R$8</f>
        <v>精英副本</v>
      </c>
      <c r="C40" s="103">
        <f>怪物信息表!J40</f>
        <v>48</v>
      </c>
      <c r="D40" s="107">
        <f>怪物信息表!K40</f>
        <v>4209</v>
      </c>
      <c r="E40" s="105">
        <f>VLOOKUP($C40,难度推算表,副本难度推算!$M$3,FALSE)*副本难度推算!$Y$5*Q40</f>
        <v>157986.3378509389</v>
      </c>
      <c r="F40" s="105">
        <f>VLOOKUP($C40,难度推算表,副本难度推算!$P$3,FALSE)*副本难度推算!$Z$5*$R40+VLOOKUP($C40,难度推算表,副本难度推算!$H$3,FALSE)</f>
        <v>9407.7666072457305</v>
      </c>
      <c r="G40" s="105">
        <f>VLOOKUP($C40,难度推算表,副本难度推算!$G$3,FALSE)-VLOOKUP($C40,难度推算表,副本难度推算!$I$3,FALSE)*(2-副本难度推算!$AA$5)*(2-$S40)</f>
        <v>3449.5343348869578</v>
      </c>
      <c r="H40" s="105">
        <f>VLOOKUP($C40,难度推算表,副本难度推算!$M$3,FALSE)*副本难度推算!$Y$6*Q40</f>
        <v>126389.07028075114</v>
      </c>
      <c r="I40" s="105">
        <f>VLOOKUP($C40,难度推算表,副本难度推算!$P$3,FALSE)*副本难度推算!$Z$6*$R40+VLOOKUP($C40,难度推算表,副本难度推算!$H$3,FALSE)</f>
        <v>8754.4511410950709</v>
      </c>
      <c r="J40" s="105">
        <f>VLOOKUP($C40,难度推算表,副本难度推算!$G$3,FALSE)-VLOOKUP($C40,难度推算表,副本难度推算!$I$3,FALSE)*(2-副本难度推算!$AA$6)*(2-$S40)</f>
        <v>2845.8658262817407</v>
      </c>
      <c r="K40" s="105">
        <f>VLOOKUP($C40,难度推算表,副本难度推算!$M$3,FALSE)*副本难度推算!$Y$7*Q40</f>
        <v>394965.84462734725</v>
      </c>
      <c r="L40" s="105">
        <f>VLOOKUP($C40,难度推算表,副本难度推算!$P$3,FALSE)*副本难度推算!$Z$7*$R40+VLOOKUP($C40,难度推算表,副本难度推算!$H$3,FALSE)</f>
        <v>10714.39753954705</v>
      </c>
      <c r="M40" s="105">
        <f>VLOOKUP($C40,难度推算表,副本难度推算!$G$3,FALSE)-VLOOKUP($C40,难度推算表,副本难度推算!$I$3,FALSE)*(2-副本难度推算!$AA$7)*(2-$S40)</f>
        <v>4053.2028434921754</v>
      </c>
      <c r="N40" s="103">
        <f>VLOOKUP($C40,难度推算表,副本难度推算!$Q$3,FALSE)</f>
        <v>3136.5439999999999</v>
      </c>
      <c r="O40" s="103">
        <f>VLOOKUP($C40,难度推算表,副本难度推算!$R$3,FALSE)</f>
        <v>0</v>
      </c>
      <c r="Q40" s="46">
        <v>1.1599999999999999</v>
      </c>
      <c r="R40" s="46">
        <v>1.3</v>
      </c>
      <c r="S40" s="106">
        <v>1.1599999999999999</v>
      </c>
      <c r="T40">
        <f>SUMPRODUCT(K40:M40,[2]各种公式!$C$13:$E$13)</f>
        <v>30566.234168133116</v>
      </c>
    </row>
    <row r="41" spans="2:20">
      <c r="B41" s="2" t="str">
        <f>怪物并表!$R$8</f>
        <v>精英副本</v>
      </c>
      <c r="C41" s="2">
        <f>怪物信息表!J41</f>
        <v>49</v>
      </c>
      <c r="D41" s="42">
        <f>怪物信息表!K41</f>
        <v>5201</v>
      </c>
      <c r="E41" s="72">
        <f>VLOOKUP($C41,难度推算表,副本难度推算!$M$3,FALSE)*副本难度推算!$Y$5*Q41</f>
        <v>147040.56103089673</v>
      </c>
      <c r="F41" s="72">
        <f>VLOOKUP($C41,难度推算表,副本难度推算!$P$3,FALSE)*副本难度推算!$Z$5*$R41+VLOOKUP($C41,难度推算表,副本难度推算!$H$3,FALSE)</f>
        <v>9143.9247449268387</v>
      </c>
      <c r="G41" s="72">
        <f>VLOOKUP($C41,难度推算表,副本难度推算!$G$3,FALSE)-VLOOKUP($C41,难度推算表,副本难度推算!$I$3,FALSE)*(2-副本难度推算!$AA$5)*(2-$S41)</f>
        <v>3065.9792192909717</v>
      </c>
      <c r="H41" s="72">
        <f>VLOOKUP($C41,难度推算表,副本难度推算!$M$3,FALSE)*副本难度推算!$Y$6*Q41</f>
        <v>117632.44882471739</v>
      </c>
      <c r="I41" s="72">
        <f>VLOOKUP($C41,难度推算表,副本难度推算!$P$3,FALSE)*副本难度推算!$Z$6*$R41+VLOOKUP($C41,难度推算表,副本难度推算!$H$3,FALSE)</f>
        <v>8536.1301923632527</v>
      </c>
      <c r="J41" s="72">
        <f>VLOOKUP($C41,难度推算表,副本难度推算!$G$3,FALSE)-VLOOKUP($C41,难度推算表,副本难度推算!$I$3,FALSE)*(2-副本难度推算!$AA$6)*(2-$S41)</f>
        <v>2299.4844144682293</v>
      </c>
      <c r="K41" s="72">
        <f>VLOOKUP($C41,难度推算表,副本难度推算!$M$3,FALSE)*副本难度推算!$Y$7*Q41</f>
        <v>367601.40257724182</v>
      </c>
      <c r="L41" s="72">
        <f>VLOOKUP($C41,难度推算表,副本难度推算!$P$3,FALSE)*副本难度推算!$Z$7*$R41+VLOOKUP($C41,难度推算表,副本难度推算!$H$3,FALSE)</f>
        <v>10359.513850054012</v>
      </c>
      <c r="M41" s="72">
        <f>VLOOKUP($C41,难度推算表,副本难度推算!$G$3,FALSE)-VLOOKUP($C41,难度推算表,副本难度推算!$I$3,FALSE)*(2-副本难度推算!$AA$7)*(2-$S41)</f>
        <v>3832.4740241137142</v>
      </c>
      <c r="N41" s="2">
        <f>VLOOKUP($C41,难度推算表,副本难度推算!$Q$3,FALSE)</f>
        <v>3194.7719999999999</v>
      </c>
      <c r="O41" s="2">
        <f>VLOOKUP($C41,难度推算表,副本难度推算!$R$3,FALSE)</f>
        <v>0</v>
      </c>
      <c r="Q41" s="46">
        <v>1</v>
      </c>
      <c r="R41" s="46">
        <v>1.1000000000000001</v>
      </c>
      <c r="S41" s="46">
        <v>1</v>
      </c>
      <c r="T41">
        <f>SUMPRODUCT(K41:M41,[2]各种公式!$C$13:$E$13)</f>
        <v>28896.043977257399</v>
      </c>
    </row>
    <row r="42" spans="2:20">
      <c r="B42" s="2" t="str">
        <f>怪物并表!$R$8</f>
        <v>精英副本</v>
      </c>
      <c r="C42" s="2">
        <f>怪物信息表!J42</f>
        <v>50</v>
      </c>
      <c r="D42" s="42">
        <f>怪物信息表!K42</f>
        <v>5202</v>
      </c>
      <c r="E42" s="72">
        <f>VLOOKUP($C42,难度推算表,副本难度推算!$M$3,FALSE)*副本难度推算!$Y$5*Q42</f>
        <v>162710.53991400814</v>
      </c>
      <c r="F42" s="72">
        <f>VLOOKUP($C42,难度推算表,副本难度推算!$P$3,FALSE)*副本难度推算!$Z$5*$R42+VLOOKUP($C42,难度推算表,副本难度推算!$H$3,FALSE)</f>
        <v>10122.553562809369</v>
      </c>
      <c r="G42" s="72">
        <f>VLOOKUP($C42,难度推算表,副本难度推算!$G$3,FALSE)-VLOOKUP($C42,难度推算表,副本难度推算!$I$3,FALSE)*(2-副本难度推算!$AA$5)*(2-$S42)</f>
        <v>3368.706948662209</v>
      </c>
      <c r="H42" s="72">
        <f>VLOOKUP($C42,难度推算表,副本难度推算!$M$3,FALSE)*副本难度推算!$Y$6*Q42</f>
        <v>130168.43193120652</v>
      </c>
      <c r="I42" s="72">
        <f>VLOOKUP($C42,难度推算表,副本难度推算!$P$3,FALSE)*副本难度推算!$Z$6*$R42+VLOOKUP($C42,难度推算表,副本难度推算!$H$3,FALSE)</f>
        <v>9438.9525429832829</v>
      </c>
      <c r="J42" s="72">
        <f>VLOOKUP($C42,难度推算表,副本难度推算!$G$3,FALSE)-VLOOKUP($C42,难度推算表,副本难度推算!$I$3,FALSE)*(2-副本难度推算!$AA$6)*(2-$S42)</f>
        <v>2563.5038243478275</v>
      </c>
      <c r="K42" s="72">
        <f>VLOOKUP($C42,难度推算表,副本难度推算!$M$3,FALSE)*副本难度推算!$Y$7*Q42</f>
        <v>406776.3497850204</v>
      </c>
      <c r="L42" s="72">
        <f>VLOOKUP($C42,难度推算表,副本难度推算!$P$3,FALSE)*副本难度推算!$Z$7*$R42+VLOOKUP($C42,难度推算表,副本难度推算!$H$3,FALSE)</f>
        <v>11489.755602461544</v>
      </c>
      <c r="M42" s="72">
        <f>VLOOKUP($C42,难度推算表,副本难度推算!$G$3,FALSE)-VLOOKUP($C42,难度推算表,副本难度推算!$I$3,FALSE)*(2-副本难度推算!$AA$7)*(2-$S42)</f>
        <v>4173.9100729765905</v>
      </c>
      <c r="N42" s="2">
        <f>VLOOKUP($C42,难度推算表,副本难度推算!$Q$3,FALSE)</f>
        <v>3253</v>
      </c>
      <c r="O42" s="2">
        <f>VLOOKUP($C42,难度推算表,副本难度推算!$R$3,FALSE)</f>
        <v>0</v>
      </c>
      <c r="Q42" s="46">
        <v>1.02</v>
      </c>
      <c r="R42" s="46">
        <v>1.1200000000000001</v>
      </c>
      <c r="S42" s="46">
        <v>1.02</v>
      </c>
      <c r="T42">
        <f>SUMPRODUCT(K42:M42,[2]各种公式!$C$13:$E$13)</f>
        <v>31934.719666838952</v>
      </c>
    </row>
    <row r="43" spans="2:20">
      <c r="B43" s="2" t="str">
        <f>怪物并表!$R$8</f>
        <v>精英副本</v>
      </c>
      <c r="C43" s="2">
        <f>怪物信息表!J43</f>
        <v>51</v>
      </c>
      <c r="D43" s="42">
        <f>怪物信息表!K43</f>
        <v>5203</v>
      </c>
      <c r="E43" s="72">
        <f>VLOOKUP($C43,难度推算表,副本难度推算!$M$3,FALSE)*副本难度推算!$Y$5*Q43</f>
        <v>176418.73372089132</v>
      </c>
      <c r="F43" s="72">
        <f>VLOOKUP($C43,难度推算表,副本难度推算!$P$3,FALSE)*副本难度推算!$Z$5*$R43+VLOOKUP($C43,难度推算表,副本难度推算!$H$3,FALSE)</f>
        <v>11186.141082691489</v>
      </c>
      <c r="G43" s="72">
        <f>VLOOKUP($C43,难度推算表,副本难度推算!$G$3,FALSE)-VLOOKUP($C43,难度推算表,副本难度推算!$I$3,FALSE)*(2-副本难度推算!$AA$5)*(2-$S43)</f>
        <v>3689.2003002878937</v>
      </c>
      <c r="H43" s="72">
        <f>VLOOKUP($C43,难度推算表,副本难度推算!$M$3,FALSE)*副本难度推算!$Y$6*Q43</f>
        <v>141134.98697671306</v>
      </c>
      <c r="I43" s="72">
        <f>VLOOKUP($C43,难度推算表,副本难度推算!$P$3,FALSE)*副本难度推算!$Z$6*$R43+VLOOKUP($C43,难度推算表,副本难度推算!$H$3,FALSE)</f>
        <v>10419.177814672508</v>
      </c>
      <c r="J43" s="72">
        <f>VLOOKUP($C43,难度推算表,副本难度推算!$G$3,FALSE)-VLOOKUP($C43,难度推算表,副本难度推算!$I$3,FALSE)*(2-副本难度推算!$AA$6)*(2-$S43)</f>
        <v>2860.2791909140342</v>
      </c>
      <c r="K43" s="72">
        <f>VLOOKUP($C43,难度推算表,副本难度推算!$M$3,FALSE)*副本难度推算!$Y$7*Q43</f>
        <v>441046.83430222829</v>
      </c>
      <c r="L43" s="72">
        <f>VLOOKUP($C43,难度推算表,副本难度推算!$P$3,FALSE)*副本难度推算!$Z$7*$R43+VLOOKUP($C43,难度推算表,副本难度推算!$H$3,FALSE)</f>
        <v>12720.067618729452</v>
      </c>
      <c r="M43" s="72">
        <f>VLOOKUP($C43,难度推算表,副本难度推算!$G$3,FALSE)-VLOOKUP($C43,难度推算表,副本难度推算!$I$3,FALSE)*(2-副本难度推算!$AA$7)*(2-$S43)</f>
        <v>4518.1214096617532</v>
      </c>
      <c r="N43" s="2">
        <f>VLOOKUP($C43,难度推算表,副本难度推算!$Q$3,FALSE)</f>
        <v>3311.2280000000001</v>
      </c>
      <c r="O43" s="2">
        <f>VLOOKUP($C43,难度推算表,副本难度推算!$R$3,FALSE)</f>
        <v>0</v>
      </c>
      <c r="Q43" s="46">
        <v>1.04</v>
      </c>
      <c r="R43" s="46">
        <v>1.1399999999999999</v>
      </c>
      <c r="S43" s="46">
        <v>1.04</v>
      </c>
      <c r="T43">
        <f>SUMPRODUCT(K43:M43,[2]各种公式!$C$13:$E$13)</f>
        <v>34880.062400480339</v>
      </c>
    </row>
    <row r="44" spans="2:20">
      <c r="B44" s="2" t="str">
        <f>怪物并表!$R$8</f>
        <v>精英副本</v>
      </c>
      <c r="C44" s="2">
        <f>怪物信息表!J44</f>
        <v>52</v>
      </c>
      <c r="D44" s="42">
        <f>怪物信息表!K44</f>
        <v>5204</v>
      </c>
      <c r="E44" s="72">
        <f>VLOOKUP($C44,难度推算表,副本难度推算!$M$3,FALSE)*副本难度推算!$Y$5*Q44</f>
        <v>197836.42077191191</v>
      </c>
      <c r="F44" s="72">
        <f>VLOOKUP($C44,难度推算表,副本难度推算!$P$3,FALSE)*副本难度推算!$Z$5*$R44+VLOOKUP($C44,难度推算表,副本难度推算!$H$3,FALSE)</f>
        <v>12340.791068651728</v>
      </c>
      <c r="G44" s="72">
        <f>VLOOKUP($C44,难度推算表,副本难度推算!$G$3,FALSE)-VLOOKUP($C44,难度推算表,副本难度推算!$I$3,FALSE)*(2-副本难度推算!$AA$5)*(2-$S44)</f>
        <v>4037.7440073792659</v>
      </c>
      <c r="H44" s="72">
        <f>VLOOKUP($C44,难度推算表,副本难度推算!$M$3,FALSE)*副本难度推算!$Y$6*Q44</f>
        <v>158269.13661752956</v>
      </c>
      <c r="I44" s="72">
        <f>VLOOKUP($C44,难度推算表,副本难度推算!$P$3,FALSE)*副本难度推算!$Z$6*$R44+VLOOKUP($C44,难度推算表,副本难度推算!$H$3,FALSE)</f>
        <v>11482.316055496252</v>
      </c>
      <c r="J44" s="72">
        <f>VLOOKUP($C44,难度推算表,副本难度推算!$G$3,FALSE)-VLOOKUP($C44,难度推算表,副本难度推算!$I$3,FALSE)*(2-副本难度推算!$AA$6)*(2-$S44)</f>
        <v>3155.0743871614732</v>
      </c>
      <c r="K44" s="72">
        <f>VLOOKUP($C44,难度推算表,副本难度推算!$M$3,FALSE)*副本难度推算!$Y$7*Q44</f>
        <v>494591.05192977982</v>
      </c>
      <c r="L44" s="72">
        <f>VLOOKUP($C44,难度推算表,副本难度推算!$P$3,FALSE)*副本难度推算!$Z$7*$R44+VLOOKUP($C44,难度推算表,副本难度推算!$H$3,FALSE)</f>
        <v>14057.741094962676</v>
      </c>
      <c r="M44" s="72">
        <f>VLOOKUP($C44,难度推算表,副本难度推算!$G$3,FALSE)-VLOOKUP($C44,难度推算表,副本难度推算!$I$3,FALSE)*(2-副本难度推算!$AA$7)*(2-$S44)</f>
        <v>4920.4136275970577</v>
      </c>
      <c r="N44" s="2">
        <f>VLOOKUP($C44,难度推算表,副本难度推算!$Q$3,FALSE)</f>
        <v>3369.4560000000001</v>
      </c>
      <c r="O44" s="2">
        <f>VLOOKUP($C44,难度推算表,副本难度推算!$R$3,FALSE)</f>
        <v>0</v>
      </c>
      <c r="Q44" s="46">
        <v>1.06</v>
      </c>
      <c r="R44" s="46">
        <v>1.1599999999999999</v>
      </c>
      <c r="S44" s="46">
        <v>1.06</v>
      </c>
      <c r="T44">
        <f>SUMPRODUCT(K44:M44,[2]各种公式!$C$13:$E$13)</f>
        <v>38761.796799750933</v>
      </c>
    </row>
    <row r="45" spans="2:20">
      <c r="B45" s="2" t="str">
        <f>怪物并表!$R$8</f>
        <v>精英副本</v>
      </c>
      <c r="C45" s="2">
        <f>怪物信息表!J45</f>
        <v>53</v>
      </c>
      <c r="D45" s="42">
        <f>怪物信息表!K45</f>
        <v>5205</v>
      </c>
      <c r="E45" s="72">
        <f>VLOOKUP($C45,难度推算表,副本难度推算!$M$3,FALSE)*副本难度推算!$Y$5*Q45</f>
        <v>217430.26359537657</v>
      </c>
      <c r="F45" s="72">
        <f>VLOOKUP($C45,难度推算表,副本难度推算!$P$3,FALSE)*副本难度推算!$Z$5*$R45+VLOOKUP($C45,难度推算表,副本难度推算!$H$3,FALSE)</f>
        <v>13592.976936990304</v>
      </c>
      <c r="G45" s="72">
        <f>VLOOKUP($C45,难度推算表,副本难度推算!$G$3,FALSE)-VLOOKUP($C45,难度推算表,副本难度推算!$I$3,FALSE)*(2-副本难度推算!$AA$5)*(2-$S45)</f>
        <v>4405.8383295090325</v>
      </c>
      <c r="H45" s="72">
        <f>VLOOKUP($C45,难度推算表,副本难度推算!$M$3,FALSE)*副本难度推算!$Y$6*Q45</f>
        <v>173944.21087630128</v>
      </c>
      <c r="I45" s="72">
        <f>VLOOKUP($C45,难度推算表,副本难度推算!$P$3,FALSE)*副本难度推算!$Z$6*$R45+VLOOKUP($C45,难度推算表,副本难度推算!$H$3,FALSE)</f>
        <v>12634.210000519368</v>
      </c>
      <c r="J45" s="72">
        <f>VLOOKUP($C45,难度推算表,副本难度推算!$G$3,FALSE)-VLOOKUP($C45,难度推算表,副本难度推算!$I$3,FALSE)*(2-副本难度推算!$AA$6)*(2-$S45)</f>
        <v>3484.6175878844169</v>
      </c>
      <c r="K45" s="72">
        <f>VLOOKUP($C45,难度推算表,副本难度推算!$M$3,FALSE)*副本难度推算!$Y$7*Q45</f>
        <v>543575.65898844146</v>
      </c>
      <c r="L45" s="72">
        <f>VLOOKUP($C45,难度推算表,副本难度推算!$P$3,FALSE)*副本难度推算!$Z$7*$R45+VLOOKUP($C45,难度推算表,副本难度推算!$H$3,FALSE)</f>
        <v>15510.510809932177</v>
      </c>
      <c r="M45" s="72">
        <f>VLOOKUP($C45,难度推算表,副本难度推算!$G$3,FALSE)-VLOOKUP($C45,难度推算表,副本难度推算!$I$3,FALSE)*(2-副本难度推算!$AA$7)*(2-$S45)</f>
        <v>5327.0590711336481</v>
      </c>
      <c r="N45" s="2">
        <f>VLOOKUP($C45,难度推算表,副本难度推算!$Q$3,FALSE)</f>
        <v>3427.6839999999997</v>
      </c>
      <c r="O45" s="2">
        <f>VLOOKUP($C45,难度推算表,副本难度推算!$R$3,FALSE)</f>
        <v>0</v>
      </c>
      <c r="Q45" s="46">
        <v>1.08</v>
      </c>
      <c r="R45" s="46">
        <v>1.18</v>
      </c>
      <c r="S45" s="46">
        <v>1.08</v>
      </c>
      <c r="T45">
        <f>SUMPRODUCT(K45:M45,[2]各种公式!$C$13:$E$13)</f>
        <v>42580.596240603489</v>
      </c>
    </row>
    <row r="46" spans="2:20">
      <c r="B46" s="2" t="str">
        <f>怪物并表!$R$8</f>
        <v>精英副本</v>
      </c>
      <c r="C46" s="2">
        <f>怪物信息表!J46</f>
        <v>54</v>
      </c>
      <c r="D46" s="42">
        <f>怪物信息表!K46</f>
        <v>5206</v>
      </c>
      <c r="E46" s="72">
        <f>VLOOKUP($C46,难度推算表,副本难度推算!$M$3,FALSE)*副本难度推算!$Y$5*Q46</f>
        <v>238473.80641459118</v>
      </c>
      <c r="F46" s="72">
        <f>VLOOKUP($C46,难度推算表,副本难度推算!$P$3,FALSE)*副本难度推算!$Z$5*$R46+VLOOKUP($C46,难度推算表,副本难度推算!$H$3,FALSE)</f>
        <v>14949.56130322167</v>
      </c>
      <c r="G46" s="72">
        <f>VLOOKUP($C46,难度推算表,副本难度推算!$G$3,FALSE)-VLOOKUP($C46,难度推算表,副本难度推算!$I$3,FALSE)*(2-副本难度推算!$AA$5)*(2-$S46)</f>
        <v>4797.5342760000021</v>
      </c>
      <c r="H46" s="72">
        <f>VLOOKUP($C46,难度推算表,副本难度推算!$M$3,FALSE)*副本难度推算!$Y$6*Q46</f>
        <v>190779.04513167296</v>
      </c>
      <c r="I46" s="72">
        <f>VLOOKUP($C46,难度推算表,副本难度推算!$P$3,FALSE)*副本难度推算!$Z$6*$R46+VLOOKUP($C46,难度推算表,副本难度推算!$H$3,FALSE)</f>
        <v>13881.052664099505</v>
      </c>
      <c r="J46" s="72">
        <f>VLOOKUP($C46,难度推算表,副本难度推算!$G$3,FALSE)-VLOOKUP($C46,难度推算表,副本难度推算!$I$3,FALSE)*(2-副本难度推算!$AA$6)*(2-$S46)</f>
        <v>3838.0274208000019</v>
      </c>
      <c r="K46" s="72">
        <f>VLOOKUP($C46,难度推算表,副本难度推算!$M$3,FALSE)*副本难度推算!$Y$7*Q46</f>
        <v>596184.51603647799</v>
      </c>
      <c r="L46" s="72">
        <f>VLOOKUP($C46,难度推算表,副本难度推算!$P$3,FALSE)*副本难度推算!$Z$7*$R46+VLOOKUP($C46,难度推算表,副本难度推算!$H$3,FALSE)</f>
        <v>17086.578581466005</v>
      </c>
      <c r="M46" s="72">
        <f>VLOOKUP($C46,难度推算表,副本难度推算!$G$3,FALSE)-VLOOKUP($C46,难度推算表,副本难度推算!$I$3,FALSE)*(2-副本难度推算!$AA$7)*(2-$S46)</f>
        <v>5757.0411312000024</v>
      </c>
      <c r="N46" s="2">
        <f>VLOOKUP($C46,难度推算表,副本难度推算!$Q$3,FALSE)</f>
        <v>3485.9119999999998</v>
      </c>
      <c r="O46" s="2">
        <f>VLOOKUP($C46,难度推算表,副本难度推算!$R$3,FALSE)</f>
        <v>0</v>
      </c>
      <c r="Q46" s="46">
        <v>1.1000000000000001</v>
      </c>
      <c r="R46" s="46">
        <v>1.2</v>
      </c>
      <c r="S46" s="46">
        <v>1.1000000000000001</v>
      </c>
      <c r="T46">
        <f>SUMPRODUCT(K46:M46,[2]各种公式!$C$13:$E$13)</f>
        <v>46691.000354125128</v>
      </c>
    </row>
    <row r="47" spans="2:20">
      <c r="B47" s="2" t="str">
        <f>怪物并表!$R$8</f>
        <v>精英副本</v>
      </c>
      <c r="C47" s="2">
        <f>怪物信息表!J47</f>
        <v>55</v>
      </c>
      <c r="D47" s="42">
        <f>怪物信息表!K47</f>
        <v>5207</v>
      </c>
      <c r="E47" s="72">
        <f>VLOOKUP($C47,难度推算表,副本难度推算!$M$3,FALSE)*副本难度推算!$Y$5*Q47</f>
        <v>261041.77694576822</v>
      </c>
      <c r="F47" s="72">
        <f>VLOOKUP($C47,难度推算表,副本难度推算!$P$3,FALSE)*副本难度推算!$Z$5*$R47+VLOOKUP($C47,难度推算表,副本难度推算!$H$3,FALSE)</f>
        <v>16222.995152809737</v>
      </c>
      <c r="G47" s="72">
        <f>VLOOKUP($C47,难度推算表,副本难度推算!$G$3,FALSE)-VLOOKUP($C47,难度推算表,副本难度推算!$I$3,FALSE)*(2-副本难度推算!$AA$5)*(2-$S47)</f>
        <v>5213.76599423077</v>
      </c>
      <c r="H47" s="72">
        <f>VLOOKUP($C47,难度推算表,副本难度推算!$M$3,FALSE)*副本难度推算!$Y$6*Q47</f>
        <v>208833.42155661457</v>
      </c>
      <c r="I47" s="72">
        <f>VLOOKUP($C47,难度推算表,副本难度推算!$P$3,FALSE)*副本难度推算!$Z$6*$R47+VLOOKUP($C47,难度推算表,副本难度推算!$H$3,FALSE)</f>
        <v>15054.066593548832</v>
      </c>
      <c r="J47" s="72">
        <f>VLOOKUP($C47,难度推算表,副本难度推算!$G$3,FALSE)-VLOOKUP($C47,难度推算表,副本难度推算!$I$3,FALSE)*(2-副本难度推算!$AA$6)*(2-$S47)</f>
        <v>4216.349890986623</v>
      </c>
      <c r="K47" s="72">
        <f>VLOOKUP($C47,难度推算表,副本难度推算!$M$3,FALSE)*副本难度推算!$Y$7*Q47</f>
        <v>652604.44236442051</v>
      </c>
      <c r="L47" s="72">
        <f>VLOOKUP($C47,难度推算表,副本难度推算!$P$3,FALSE)*副本难度推算!$Z$7*$R47+VLOOKUP($C47,难度推算表,副本难度推算!$H$3,FALSE)</f>
        <v>18560.852271331551</v>
      </c>
      <c r="M47" s="72">
        <f>VLOOKUP($C47,难度推算表,副本难度推算!$G$3,FALSE)-VLOOKUP($C47,难度推算表,副本难度推算!$I$3,FALSE)*(2-副本难度推算!$AA$7)*(2-$S47)</f>
        <v>6211.182097474918</v>
      </c>
      <c r="N47" s="2">
        <f>VLOOKUP($C47,难度推算表,副本难度推算!$Q$3,FALSE)</f>
        <v>3544.1399999999994</v>
      </c>
      <c r="O47" s="2">
        <f>VLOOKUP($C47,难度推算表,副本难度推算!$R$3,FALSE)</f>
        <v>0</v>
      </c>
      <c r="Q47" s="46">
        <v>1.1200000000000001</v>
      </c>
      <c r="R47" s="46">
        <v>1.2</v>
      </c>
      <c r="S47" s="46">
        <v>1.1200000000000001</v>
      </c>
      <c r="T47">
        <f>SUMPRODUCT(K47:M47,[2]各种公式!$C$13:$E$13)</f>
        <v>50876.212063383289</v>
      </c>
    </row>
    <row r="48" spans="2:20">
      <c r="B48" s="2" t="str">
        <f>怪物并表!$R$8</f>
        <v>精英副本</v>
      </c>
      <c r="C48" s="2">
        <f>怪物信息表!J48</f>
        <v>56</v>
      </c>
      <c r="D48" s="42">
        <f>怪物信息表!K48</f>
        <v>5208</v>
      </c>
      <c r="E48" s="72">
        <f>VLOOKUP($C48,难度推算表,副本难度推算!$M$3,FALSE)*副本难度推算!$Y$5*Q48</f>
        <v>285211.2664450825</v>
      </c>
      <c r="F48" s="72">
        <f>VLOOKUP($C48,难度推算表,副本难度推算!$P$3,FALSE)*副本难度推算!$Z$5*$R48+VLOOKUP($C48,难度推算表,副本难度推算!$H$3,FALSE)</f>
        <v>18643.782263709218</v>
      </c>
      <c r="G48" s="72">
        <f>VLOOKUP($C48,难度推算表,副本难度推算!$G$3,FALSE)-VLOOKUP($C48,难度推算表,副本难度推算!$I$3,FALSE)*(2-副本难度推算!$AA$5)*(2-$S48)</f>
        <v>5655.4842919745834</v>
      </c>
      <c r="H48" s="72">
        <f>VLOOKUP($C48,难度推算表,副本难度推算!$M$3,FALSE)*副本难度推算!$Y$6*Q48</f>
        <v>228169.01315606601</v>
      </c>
      <c r="I48" s="72">
        <f>VLOOKUP($C48,难度推算表,副本难度推算!$P$3,FALSE)*副本难度推算!$Z$6*$R48+VLOOKUP($C48,难度推算表,副本难度推算!$H$3,FALSE)</f>
        <v>17260.721849421243</v>
      </c>
      <c r="J48" s="72">
        <f>VLOOKUP($C48,难度推算表,副本难度推算!$G$3,FALSE)-VLOOKUP($C48,难度推算表,副本难度推算!$I$3,FALSE)*(2-副本难度推算!$AA$6)*(2-$S48)</f>
        <v>4620.650995996255</v>
      </c>
      <c r="K48" s="72">
        <f>VLOOKUP($C48,难度推算表,副本难度推算!$M$3,FALSE)*副本难度推算!$Y$7*Q48</f>
        <v>713028.1661127063</v>
      </c>
      <c r="L48" s="72">
        <f>VLOOKUP($C48,难度推算表,副本难度推算!$P$3,FALSE)*副本难度推算!$Z$7*$R48+VLOOKUP($C48,难度推算表,副本难度推算!$H$3,FALSE)</f>
        <v>21409.903092285178</v>
      </c>
      <c r="M48" s="72">
        <f>VLOOKUP($C48,难度推算表,副本难度推算!$G$3,FALSE)-VLOOKUP($C48,难度推算表,副本难度推算!$I$3,FALSE)*(2-副本难度推算!$AA$7)*(2-$S48)</f>
        <v>6690.3175879529117</v>
      </c>
      <c r="N48" s="2">
        <f>VLOOKUP($C48,难度推算表,副本难度推算!$Q$3,FALSE)</f>
        <v>3602.3680000000004</v>
      </c>
      <c r="O48" s="2">
        <f>VLOOKUP($C48,难度推算表,副本难度推算!$R$3,FALSE)</f>
        <v>0</v>
      </c>
      <c r="Q48" s="46">
        <v>1.1399999999999999</v>
      </c>
      <c r="R48" s="46">
        <v>1.3</v>
      </c>
      <c r="S48" s="46">
        <v>1.1399999999999999</v>
      </c>
      <c r="T48">
        <f>SUMPRODUCT(K48:M48,[2]各种公式!$C$13:$E$13)</f>
        <v>56621.347324746341</v>
      </c>
    </row>
    <row r="49" spans="2:20">
      <c r="B49" s="2" t="str">
        <f>怪物并表!$R$8</f>
        <v>精英副本</v>
      </c>
      <c r="C49" s="2">
        <f>怪物信息表!J49</f>
        <v>57</v>
      </c>
      <c r="D49" s="42">
        <f>怪物信息表!K49</f>
        <v>5209</v>
      </c>
      <c r="E49" s="72">
        <f>VLOOKUP($C49,难度推算表,副本难度推算!$M$3,FALSE)*副本难度推算!$Y$5*Q49</f>
        <v>311061.7633591831</v>
      </c>
      <c r="F49" s="72">
        <f>VLOOKUP($C49,难度推算表,副本难度推算!$P$3,FALSE)*副本难度推算!$Z$5*$R49+VLOOKUP($C49,难度推算表,副本难度推算!$H$3,FALSE)</f>
        <v>20184.659575421298</v>
      </c>
      <c r="G49" s="72">
        <f>VLOOKUP($C49,难度推算表,副本难度推算!$G$3,FALSE)-VLOOKUP($C49,难度推算表,副本难度推算!$I$3,FALSE)*(2-副本难度推算!$AA$5)*(2-$S49)</f>
        <v>6123.6566373993328</v>
      </c>
      <c r="H49" s="72">
        <f>VLOOKUP($C49,难度推算表,副本难度推算!$M$3,FALSE)*副本难度推算!$Y$6*Q49</f>
        <v>248849.41068734651</v>
      </c>
      <c r="I49" s="72">
        <f>VLOOKUP($C49,难度推算表,副本难度推算!$P$3,FALSE)*副本难度推算!$Z$6*$R49+VLOOKUP($C49,难度推算表,副本难度推算!$H$3,FALSE)</f>
        <v>18676.498337662448</v>
      </c>
      <c r="J49" s="72">
        <f>VLOOKUP($C49,难度推算表,副本难度推算!$G$3,FALSE)-VLOOKUP($C49,难度推算表,副本难度推算!$I$3,FALSE)*(2-副本难度推算!$AA$6)*(2-$S49)</f>
        <v>5052.0167258544498</v>
      </c>
      <c r="K49" s="72">
        <f>VLOOKUP($C49,难度推算表,副本难度推算!$M$3,FALSE)*副本难度推算!$Y$7*Q49</f>
        <v>777654.40839795792</v>
      </c>
      <c r="L49" s="72">
        <f>VLOOKUP($C49,难度推算表,副本难度推算!$P$3,FALSE)*副本难度推算!$Z$7*$R49+VLOOKUP($C49,难度推算表,副本难度推算!$H$3,FALSE)</f>
        <v>23200.982050939001</v>
      </c>
      <c r="M49" s="72">
        <f>VLOOKUP($C49,难度推算表,副本难度推算!$G$3,FALSE)-VLOOKUP($C49,难度推算表,副本难度推算!$I$3,FALSE)*(2-副本难度推算!$AA$7)*(2-$S49)</f>
        <v>7195.2965489442158</v>
      </c>
      <c r="N49" s="2">
        <f>VLOOKUP($C49,难度推算表,副本难度推算!$Q$3,FALSE)</f>
        <v>3660.596</v>
      </c>
      <c r="O49" s="2">
        <f>VLOOKUP($C49,难度推算表,副本难度推算!$R$3,FALSE)</f>
        <v>0</v>
      </c>
      <c r="Q49" s="46">
        <v>1.1599999999999999</v>
      </c>
      <c r="R49" s="46">
        <v>1.3</v>
      </c>
      <c r="S49" s="106">
        <v>1.1599999999999999</v>
      </c>
      <c r="T49">
        <f>SUMPRODUCT(K49:M49,[2]各种公式!$C$13:$E$13)</f>
        <v>61502.454935801536</v>
      </c>
    </row>
    <row r="50" spans="2:20">
      <c r="B50" s="2" t="str">
        <f>怪物并表!$R$8</f>
        <v>精英副本</v>
      </c>
      <c r="C50" s="2">
        <f>怪物信息表!J50</f>
        <v>58</v>
      </c>
      <c r="D50" s="42">
        <f>怪物信息表!K50</f>
        <v>6201</v>
      </c>
      <c r="E50" s="72">
        <f>VLOOKUP($C50,难度推算表,副本难度推算!$M$3,FALSE)*副本难度推算!$Y$5*Q50</f>
        <v>287012.87030293985</v>
      </c>
      <c r="F50" s="72">
        <f>VLOOKUP($C50,难度推算表,副本难度推算!$P$3,FALSE)*副本难度推算!$Z$5*$R50+VLOOKUP($C50,难度推算表,副本难度推算!$H$3,FALSE)</f>
        <v>19298.253644028304</v>
      </c>
      <c r="G50" s="72">
        <f>VLOOKUP($C50,难度推算表,副本难度推算!$G$3,FALSE)-VLOOKUP($C50,难度推算表,副本难度推算!$I$3,FALSE)*(2-副本难度推算!$AA$5)*(2-$S50)</f>
        <v>5403.4833951571927</v>
      </c>
      <c r="H50" s="72">
        <f>VLOOKUP($C50,难度推算表,副本难度推算!$M$3,FALSE)*副本难度推算!$Y$6*Q50</f>
        <v>229610.29624235188</v>
      </c>
      <c r="I50" s="72">
        <f>VLOOKUP($C50,难度推算表,副本难度推算!$P$3,FALSE)*副本难度推算!$Z$6*$R50+VLOOKUP($C50,难度推算表,副本难度推算!$H$3,FALSE)</f>
        <v>17908.776619141194</v>
      </c>
      <c r="J50" s="72">
        <f>VLOOKUP($C50,难度推算表,副本难度推算!$G$3,FALSE)-VLOOKUP($C50,难度推算表,副本难度推算!$I$3,FALSE)*(2-副本难度推算!$AA$6)*(2-$S50)</f>
        <v>4052.6125463678945</v>
      </c>
      <c r="K50" s="72">
        <f>VLOOKUP($C50,难度推算表,副本难度推算!$M$3,FALSE)*副本难度推算!$Y$7*Q50</f>
        <v>717532.17575734959</v>
      </c>
      <c r="L50" s="72">
        <f>VLOOKUP($C50,难度推算表,副本难度推算!$P$3,FALSE)*副本难度推算!$Z$7*$R50+VLOOKUP($C50,难度推算表,副本难度推算!$H$3,FALSE)</f>
        <v>22077.207693802528</v>
      </c>
      <c r="M50" s="72">
        <f>VLOOKUP($C50,难度推算表,副本难度推算!$G$3,FALSE)-VLOOKUP($C50,难度推算表,副本难度推算!$I$3,FALSE)*(2-副本难度推算!$AA$7)*(2-$S50)</f>
        <v>6754.3542439464909</v>
      </c>
      <c r="N50" s="2">
        <f>VLOOKUP($C50,难度推算表,副本难度推算!$Q$3,FALSE)</f>
        <v>3718.8240000000001</v>
      </c>
      <c r="O50" s="2">
        <f>VLOOKUP($C50,难度推算表,副本难度推算!$R$3,FALSE)</f>
        <v>0</v>
      </c>
      <c r="Q50" s="46">
        <v>1</v>
      </c>
      <c r="R50" s="46">
        <v>1.1000000000000001</v>
      </c>
      <c r="S50" s="46">
        <v>1</v>
      </c>
      <c r="T50">
        <f>SUMPRODUCT(K50:M50,[2]各种公式!$C$13:$E$13)</f>
        <v>57532.848968043007</v>
      </c>
    </row>
    <row r="51" spans="2:20">
      <c r="B51" s="2" t="str">
        <f>怪物并表!$R$8</f>
        <v>精英副本</v>
      </c>
      <c r="C51" s="2">
        <f>怪物信息表!J51</f>
        <v>59</v>
      </c>
      <c r="D51" s="42">
        <f>怪物信息表!K51</f>
        <v>6202</v>
      </c>
      <c r="E51" s="72">
        <f>VLOOKUP($C51,难度推算表,副本难度推算!$M$3,FALSE)*副本难度推算!$Y$5*Q51</f>
        <v>312915.53280447493</v>
      </c>
      <c r="F51" s="72">
        <f>VLOOKUP($C51,难度推算表,副本难度推算!$P$3,FALSE)*副本难度推算!$Z$5*$R51+VLOOKUP($C51,难度推算表,副本难度推算!$H$3,FALSE)</f>
        <v>21096.504534662334</v>
      </c>
      <c r="G51" s="72">
        <f>VLOOKUP($C51,难度推算表,副本难度推算!$G$3,FALSE)-VLOOKUP($C51,难度推算表,副本难度推算!$I$3,FALSE)*(2-副本难度推算!$AA$5)*(2-$S51)</f>
        <v>5857.5196496678955</v>
      </c>
      <c r="H51" s="72">
        <f>VLOOKUP($C51,难度推算表,副本难度推算!$M$3,FALSE)*副本难度推算!$Y$6*Q51</f>
        <v>250332.42624357995</v>
      </c>
      <c r="I51" s="72">
        <f>VLOOKUP($C51,难度推算表,副本难度推算!$P$3,FALSE)*副本难度推算!$Z$6*$R51+VLOOKUP($C51,难度推算表,副本难度推算!$H$3,FALSE)</f>
        <v>19558.319412871017</v>
      </c>
      <c r="J51" s="72">
        <f>VLOOKUP($C51,难度推算表,副本难度推算!$G$3,FALSE)-VLOOKUP($C51,难度推算表,副本难度推算!$I$3,FALSE)*(2-副本难度推算!$AA$6)*(2-$S51)</f>
        <v>4457.4295870643509</v>
      </c>
      <c r="K51" s="72">
        <f>VLOOKUP($C51,难度推算表,副本难度推算!$M$3,FALSE)*副本难度推算!$Y$7*Q51</f>
        <v>782288.83201118733</v>
      </c>
      <c r="L51" s="72">
        <f>VLOOKUP($C51,难度推算表,副本难度推算!$P$3,FALSE)*副本难度推算!$Z$7*$R51+VLOOKUP($C51,难度推算表,副本难度推算!$H$3,FALSE)</f>
        <v>24172.874778244968</v>
      </c>
      <c r="M51" s="72">
        <f>VLOOKUP($C51,难度推算表,副本难度推算!$G$3,FALSE)-VLOOKUP($C51,难度推算表,副本难度推算!$I$3,FALSE)*(2-副本难度推算!$AA$7)*(2-$S51)</f>
        <v>7257.6097122714409</v>
      </c>
      <c r="N51" s="2">
        <f>VLOOKUP($C51,难度推算表,副本难度推算!$Q$3,FALSE)</f>
        <v>3777.0519999999997</v>
      </c>
      <c r="O51" s="2">
        <f>VLOOKUP($C51,难度推算表,副本难度推算!$R$3,FALSE)</f>
        <v>0</v>
      </c>
      <c r="Q51" s="46">
        <v>1.02</v>
      </c>
      <c r="R51" s="46">
        <v>1.1200000000000001</v>
      </c>
      <c r="S51" s="46">
        <v>1.02</v>
      </c>
      <c r="T51">
        <f>SUMPRODUCT(K51:M51,[2]各种公式!$C$13:$E$13)</f>
        <v>62722.0377709639</v>
      </c>
    </row>
    <row r="52" spans="2:20">
      <c r="B52" s="2" t="str">
        <f>怪物并表!$R$8</f>
        <v>精英副本</v>
      </c>
      <c r="C52" s="2">
        <f>怪物信息表!J52</f>
        <v>60</v>
      </c>
      <c r="D52" s="42">
        <f>怪物信息表!K52</f>
        <v>6203</v>
      </c>
      <c r="E52" s="72">
        <f>VLOOKUP($C52,难度推算表,副本难度推算!$M$3,FALSE)*副本难度推算!$Y$5*Q52</f>
        <v>342261.42499239492</v>
      </c>
      <c r="F52" s="72">
        <f>VLOOKUP($C52,难度推算表,副本难度推算!$P$3,FALSE)*副本难度推算!$Z$5*$R52+VLOOKUP($C52,难度推算表,副本难度推算!$H$3,FALSE)</f>
        <v>23149.581169474925</v>
      </c>
      <c r="G52" s="72">
        <f>VLOOKUP($C52,难度推算表,副本难度推算!$G$3,FALSE)-VLOOKUP($C52,难度推算表,副本难度推算!$I$3,FALSE)*(2-副本难度推算!$AA$5)*(2-$S52)</f>
        <v>6369.7841771237499</v>
      </c>
      <c r="H52" s="72">
        <f>VLOOKUP($C52,难度推算表,副本难度推算!$M$3,FALSE)*副本难度推算!$Y$6*Q52</f>
        <v>273809.13999391592</v>
      </c>
      <c r="I52" s="72">
        <f>VLOOKUP($C52,难度推算表,副本难度推算!$P$3,FALSE)*副本难度推算!$Z$6*$R52+VLOOKUP($C52,难度推算表,副本难度推算!$H$3,FALSE)</f>
        <v>21441.269164634454</v>
      </c>
      <c r="J52" s="72">
        <f>VLOOKUP($C52,难度推算表,副本难度推算!$G$3,FALSE)-VLOOKUP($C52,难度推算表,副本难度推算!$I$3,FALSE)*(2-副本难度推算!$AA$6)*(2-$S52)</f>
        <v>4913.833508066893</v>
      </c>
      <c r="K52" s="72">
        <f>VLOOKUP($C52,难度推算表,副本难度推算!$M$3,FALSE)*副本难度推算!$Y$7*Q52</f>
        <v>855653.56248098728</v>
      </c>
      <c r="L52" s="72">
        <f>VLOOKUP($C52,难度推算表,副本难度推算!$P$3,FALSE)*副本难度推算!$Z$7*$R52+VLOOKUP($C52,难度推算表,副本难度推算!$H$3,FALSE)</f>
        <v>26566.205179155862</v>
      </c>
      <c r="M52" s="72">
        <f>VLOOKUP($C52,难度推算表,副本难度推算!$G$3,FALSE)-VLOOKUP($C52,难度推算表,副本难度推算!$I$3,FALSE)*(2-副本难度推算!$AA$7)*(2-$S52)</f>
        <v>7825.7348461806059</v>
      </c>
      <c r="N52" s="2">
        <f>VLOOKUP($C52,难度推算表,副本难度推算!$Q$3,FALSE)</f>
        <v>3835.2799999999997</v>
      </c>
      <c r="O52" s="2">
        <f>VLOOKUP($C52,难度推算表,副本难度推算!$R$3,FALSE)</f>
        <v>0</v>
      </c>
      <c r="Q52" s="46">
        <v>1.04</v>
      </c>
      <c r="R52" s="46">
        <v>1.1399999999999999</v>
      </c>
      <c r="S52" s="46">
        <v>1.04</v>
      </c>
      <c r="T52">
        <f>SUMPRODUCT(K52:M52,[2]各种公式!$C$13:$E$13)</f>
        <v>68618.082524575962</v>
      </c>
    </row>
    <row r="53" spans="2:20">
      <c r="B53" s="2" t="str">
        <f>怪物并表!$R$8</f>
        <v>精英副本</v>
      </c>
      <c r="C53" s="2">
        <f>怪物信息表!J53</f>
        <v>61</v>
      </c>
      <c r="D53" s="42">
        <f>怪物信息表!K53</f>
        <v>6204</v>
      </c>
      <c r="E53" s="72">
        <f>VLOOKUP($C53,难度推算表,副本难度推算!$M$3,FALSE)*副本难度推算!$Y$5*Q53</f>
        <v>373660.56022095028</v>
      </c>
      <c r="F53" s="72">
        <f>VLOOKUP($C53,难度推算表,副本难度推算!$P$3,FALSE)*副本难度推算!$Z$5*$R53+VLOOKUP($C53,难度推算表,副本难度推算!$H$3,FALSE)</f>
        <v>25368.139975782993</v>
      </c>
      <c r="G53" s="72">
        <f>VLOOKUP($C53,难度推算表,副本难度推算!$G$3,FALSE)-VLOOKUP($C53,难度推算表,副本难度推算!$I$3,FALSE)*(2-副本难度推算!$AA$5)*(2-$S53)</f>
        <v>6913.4426152826118</v>
      </c>
      <c r="H53" s="72">
        <f>VLOOKUP($C53,难度推算表,副本难度推算!$M$3,FALSE)*副本难度推算!$Y$6*Q53</f>
        <v>298928.44817676023</v>
      </c>
      <c r="I53" s="72">
        <f>VLOOKUP($C53,难度推算表,副本难度推算!$P$3,FALSE)*副本难度推算!$Z$6*$R53+VLOOKUP($C53,难度推算表,副本难度推算!$H$3,FALSE)</f>
        <v>23474.436919161217</v>
      </c>
      <c r="J53" s="72">
        <f>VLOOKUP($C53,难度推算表,副本难度推算!$G$3,FALSE)-VLOOKUP($C53,难度推算表,副本难度推算!$I$3,FALSE)*(2-副本难度推算!$AA$6)*(2-$S53)</f>
        <v>5402.1319040347862</v>
      </c>
      <c r="K53" s="72">
        <f>VLOOKUP($C53,难度推算表,副本难度推算!$M$3,FALSE)*副本难度推算!$Y$7*Q53</f>
        <v>934151.40055237571</v>
      </c>
      <c r="L53" s="72">
        <f>VLOOKUP($C53,难度推算表,副本难度推算!$P$3,FALSE)*副本难度推算!$Z$7*$R53+VLOOKUP($C53,难度推算表,副本难度推算!$H$3,FALSE)</f>
        <v>29155.546089026546</v>
      </c>
      <c r="M53" s="72">
        <f>VLOOKUP($C53,难度推算表,副本难度推算!$G$3,FALSE)-VLOOKUP($C53,难度推算表,副本难度推算!$I$3,FALSE)*(2-副本难度推算!$AA$7)*(2-$S53)</f>
        <v>8424.7533265304373</v>
      </c>
      <c r="N53" s="2">
        <f>VLOOKUP($C53,难度推算表,副本难度推算!$Q$3,FALSE)</f>
        <v>3893.5080000000003</v>
      </c>
      <c r="O53" s="2">
        <f>VLOOKUP($C53,难度推算表,副本难度推算!$R$3,FALSE)</f>
        <v>0</v>
      </c>
      <c r="Q53" s="46">
        <v>1.06</v>
      </c>
      <c r="R53" s="46">
        <v>1.1599999999999999</v>
      </c>
      <c r="S53" s="46">
        <v>1.06</v>
      </c>
      <c r="T53">
        <f>SUMPRODUCT(K53:M53,[2]各种公式!$C$13:$E$13)</f>
        <v>74946.355437652019</v>
      </c>
    </row>
    <row r="54" spans="2:20">
      <c r="B54" s="2" t="str">
        <f>怪物并表!$R$8</f>
        <v>精英副本</v>
      </c>
      <c r="C54" s="2">
        <f>怪物信息表!J54</f>
        <v>62</v>
      </c>
      <c r="D54" s="42">
        <f>怪物信息表!K54</f>
        <v>6205</v>
      </c>
      <c r="E54" s="72">
        <f>VLOOKUP($C54,难度推算表,副本难度推算!$M$3,FALSE)*副本难度推算!$Y$5*Q54</f>
        <v>407213.01716939243</v>
      </c>
      <c r="F54" s="72">
        <f>VLOOKUP($C54,难度推算表,副本难度推算!$P$3,FALSE)*副本难度推算!$Z$5*$R54+VLOOKUP($C54,难度推算表,副本难度推算!$H$3,FALSE)</f>
        <v>27763.460912717324</v>
      </c>
      <c r="G54" s="72">
        <f>VLOOKUP($C54,难度推算表,副本难度推算!$G$3,FALSE)-VLOOKUP($C54,难度推算表,副本难度推算!$I$3,FALSE)*(2-副本难度推算!$AA$5)*(2-$S54)</f>
        <v>7489.6779176668942</v>
      </c>
      <c r="H54" s="72">
        <f>VLOOKUP($C54,难度推算表,副本难度推算!$M$3,FALSE)*副本难度推算!$Y$6*Q54</f>
        <v>325770.41373551392</v>
      </c>
      <c r="I54" s="72">
        <f>VLOOKUP($C54,难度推算表,副本难度推算!$P$3,FALSE)*副本难度推算!$Z$6*$R54+VLOOKUP($C54,难度推算表,副本难度推算!$H$3,FALSE)</f>
        <v>25667.994632142581</v>
      </c>
      <c r="J54" s="72">
        <f>VLOOKUP($C54,难度推算表,副本难度推算!$G$3,FALSE)-VLOOKUP($C54,难度推算表,副本难度推算!$I$3,FALSE)*(2-副本难度推算!$AA$6)*(2-$S54)</f>
        <v>5923.6543530638173</v>
      </c>
      <c r="K54" s="72">
        <f>VLOOKUP($C54,难度推算表,副本难度推算!$M$3,FALSE)*副本难度推算!$Y$7*Q54</f>
        <v>1018032.5429234811</v>
      </c>
      <c r="L54" s="72">
        <f>VLOOKUP($C54,难度推算表,副本难度推算!$P$3,FALSE)*副本难度推算!$Z$7*$R54+VLOOKUP($C54,难度推算表,副本难度推算!$H$3,FALSE)</f>
        <v>31954.393473866803</v>
      </c>
      <c r="M54" s="72">
        <f>VLOOKUP($C54,难度推算表,副本难度推算!$G$3,FALSE)-VLOOKUP($C54,难度推算表,副本难度推算!$I$3,FALSE)*(2-副本难度推算!$AA$7)*(2-$S54)</f>
        <v>9055.7014822699712</v>
      </c>
      <c r="N54" s="2">
        <f>VLOOKUP($C54,难度推算表,副本难度推算!$Q$3,FALSE)</f>
        <v>3951.7360000000003</v>
      </c>
      <c r="O54" s="2">
        <f>VLOOKUP($C54,难度推算表,副本难度推算!$R$3,FALSE)</f>
        <v>0</v>
      </c>
      <c r="Q54" s="46">
        <v>1.08</v>
      </c>
      <c r="R54" s="46">
        <v>1.18</v>
      </c>
      <c r="S54" s="46">
        <v>1.08</v>
      </c>
      <c r="T54">
        <f>SUMPRODUCT(K54:M54,[2]各种公式!$C$13:$E$13)</f>
        <v>81731.396673076029</v>
      </c>
    </row>
    <row r="55" spans="2:20">
      <c r="B55" s="2" t="str">
        <f>怪物并表!$R$8</f>
        <v>精英副本</v>
      </c>
      <c r="C55" s="2">
        <f>怪物信息表!J55</f>
        <v>63</v>
      </c>
      <c r="D55" s="42">
        <f>怪物信息表!K55</f>
        <v>6206</v>
      </c>
      <c r="E55" s="72">
        <f>VLOOKUP($C55,难度推算表,副本难度推算!$M$3,FALSE)*副本难度推算!$Y$5*Q55</f>
        <v>443021.86683105433</v>
      </c>
      <c r="F55" s="72">
        <f>VLOOKUP($C55,难度推算表,副本难度推算!$P$3,FALSE)*副本难度推算!$Z$5*$R55+VLOOKUP($C55,难度推算表,副本难度推算!$H$3,FALSE)</f>
        <v>30347.491128138146</v>
      </c>
      <c r="G55" s="72">
        <f>VLOOKUP($C55,难度推算表,副本难度推算!$G$3,FALSE)-VLOOKUP($C55,难度推算表,副本难度推算!$I$3,FALSE)*(2-副本难度推算!$AA$5)*(2-$S55)</f>
        <v>8099.6930302725787</v>
      </c>
      <c r="H55" s="72">
        <f>VLOOKUP($C55,难度推算表,副本难度推算!$M$3,FALSE)*副本难度推算!$Y$6*Q55</f>
        <v>354417.49346484349</v>
      </c>
      <c r="I55" s="72">
        <f>VLOOKUP($C55,难度推算表,副本难度推算!$P$3,FALSE)*副本难度推算!$Z$6*$R55+VLOOKUP($C55,难度推算表,副本难度推算!$H$3,FALSE)</f>
        <v>28032.714729126335</v>
      </c>
      <c r="J55" s="72">
        <f>VLOOKUP($C55,难度推算表,副本难度推算!$G$3,FALSE)-VLOOKUP($C55,难度推算表,副本难度推算!$I$3,FALSE)*(2-副本难度推算!$AA$6)*(2-$S55)</f>
        <v>6479.7544242180629</v>
      </c>
      <c r="K55" s="72">
        <f>VLOOKUP($C55,难度推算表,副本难度推算!$M$3,FALSE)*副本难度推算!$Y$7*Q55</f>
        <v>1107554.6670776359</v>
      </c>
      <c r="L55" s="72">
        <f>VLOOKUP($C55,难度推算表,副本难度推算!$P$3,FALSE)*副本难度推算!$Z$7*$R55+VLOOKUP($C55,难度推算表,副本难度推算!$H$3,FALSE)</f>
        <v>34977.043926161758</v>
      </c>
      <c r="M55" s="72">
        <f>VLOOKUP($C55,难度推算表,副本难度推算!$G$3,FALSE)-VLOOKUP($C55,难度推算表,副本难度推算!$I$3,FALSE)*(2-副本难度推算!$AA$7)*(2-$S55)</f>
        <v>9719.6316363270944</v>
      </c>
      <c r="N55" s="2">
        <f>VLOOKUP($C55,难度推算表,副本难度推算!$Q$3,FALSE)</f>
        <v>4009.9639999999999</v>
      </c>
      <c r="O55" s="2">
        <f>VLOOKUP($C55,难度推算表,副本难度推算!$R$3,FALSE)</f>
        <v>0</v>
      </c>
      <c r="Q55" s="46">
        <v>1.1000000000000001</v>
      </c>
      <c r="R55" s="46">
        <v>1.2</v>
      </c>
      <c r="S55" s="46">
        <v>1.1000000000000001</v>
      </c>
      <c r="T55">
        <f>SUMPRODUCT(K55:M55,[2]各种公式!$C$13:$E$13)</f>
        <v>88998.862245594282</v>
      </c>
    </row>
    <row r="56" spans="2:20">
      <c r="B56" s="2" t="str">
        <f>怪物并表!$R$8</f>
        <v>精英副本</v>
      </c>
      <c r="C56" s="2">
        <f>怪物信息表!J56</f>
        <v>64</v>
      </c>
      <c r="D56" s="42">
        <f>怪物信息表!K56</f>
        <v>6207</v>
      </c>
      <c r="E56" s="72">
        <f>VLOOKUP($C56,难度推算表,副本难度推算!$M$3,FALSE)*副本难度推算!$Y$5*Q56</f>
        <v>481193.21280028968</v>
      </c>
      <c r="F56" s="72">
        <f>VLOOKUP($C56,难度推算表,副本难度推算!$P$3,FALSE)*副本难度推算!$Z$5*$R56+VLOOKUP($C56,难度推算表,副本难度推算!$H$3,FALSE)</f>
        <v>32714.376914855249</v>
      </c>
      <c r="G56" s="72">
        <f>VLOOKUP($C56,难度推算表,副本难度推算!$G$3,FALSE)-VLOOKUP($C56,难度推算表,副本难度推算!$I$3,FALSE)*(2-副本难度推算!$AA$5)*(2-$S56)</f>
        <v>8744.710891569237</v>
      </c>
      <c r="H56" s="72">
        <f>VLOOKUP($C56,难度推算表,副本难度推算!$M$3,FALSE)*副本难度推算!$Y$6*Q56</f>
        <v>384954.57024023175</v>
      </c>
      <c r="I56" s="72">
        <f>VLOOKUP($C56,难度推算表,副本难度推算!$P$3,FALSE)*副本难度推算!$Z$6*$R56+VLOOKUP($C56,难度推算表,副本难度推算!$H$3,FALSE)</f>
        <v>30203.348866114873</v>
      </c>
      <c r="J56" s="72">
        <f>VLOOKUP($C56,难度推算表,副本难度推算!$G$3,FALSE)-VLOOKUP($C56,难度推算表,副本难度推算!$I$3,FALSE)*(2-副本难度推算!$AA$6)*(2-$S56)</f>
        <v>7071.8096775299055</v>
      </c>
      <c r="K56" s="72">
        <f>VLOOKUP($C56,难度推算表,副本难度推算!$M$3,FALSE)*副本难度推算!$Y$7*Q56</f>
        <v>1202983.0320007242</v>
      </c>
      <c r="L56" s="72">
        <f>VLOOKUP($C56,难度推算表,副本难度推算!$P$3,FALSE)*副本难度推算!$Z$7*$R56+VLOOKUP($C56,难度推算表,副本难度推算!$H$3,FALSE)</f>
        <v>37736.433012335998</v>
      </c>
      <c r="M56" s="72">
        <f>VLOOKUP($C56,难度推算表,副本难度推算!$G$3,FALSE)-VLOOKUP($C56,难度推算表,副本难度推算!$I$3,FALSE)*(2-副本难度推算!$AA$7)*(2-$S56)</f>
        <v>10417.612105608567</v>
      </c>
      <c r="N56" s="2">
        <f>VLOOKUP($C56,难度推算表,副本难度推算!$Q$3,FALSE)</f>
        <v>4068.192</v>
      </c>
      <c r="O56" s="2">
        <f>VLOOKUP($C56,难度推算表,副本难度推算!$R$3,FALSE)</f>
        <v>0</v>
      </c>
      <c r="Q56" s="46">
        <v>1.1200000000000001</v>
      </c>
      <c r="R56" s="46">
        <v>1.2</v>
      </c>
      <c r="S56" s="46">
        <v>1.1200000000000001</v>
      </c>
      <c r="T56">
        <f>SUMPRODUCT(K56:M56,[2]各种公式!$C$13:$E$13)</f>
        <v>96273.366397973528</v>
      </c>
    </row>
    <row r="57" spans="2:20">
      <c r="B57" s="2" t="str">
        <f>怪物并表!$R$8</f>
        <v>精英副本</v>
      </c>
      <c r="C57" s="2">
        <f>怪物信息表!J57</f>
        <v>65</v>
      </c>
      <c r="D57" s="42">
        <f>怪物信息表!K57</f>
        <v>6208</v>
      </c>
      <c r="E57" s="72">
        <f>VLOOKUP($C57,难度推算表,副本难度推算!$M$3,FALSE)*副本难度推算!$Y$5*Q57</f>
        <v>521836.23153993074</v>
      </c>
      <c r="F57" s="72">
        <f>VLOOKUP($C57,难度推算表,副本难度推算!$P$3,FALSE)*副本难度推算!$Z$5*$R57+VLOOKUP($C57,难度推算表,副本难度推算!$H$3,FALSE)</f>
        <v>37493.231682777543</v>
      </c>
      <c r="G57" s="72">
        <f>VLOOKUP($C57,难度推算表,副本难度推算!$G$3,FALSE)-VLOOKUP($C57,难度推算表,副本难度推算!$I$3,FALSE)*(2-副本难度推算!$AA$5)*(2-$S57)</f>
        <v>9425.9744325000011</v>
      </c>
      <c r="H57" s="72">
        <f>VLOOKUP($C57,难度推算表,副本难度推算!$M$3,FALSE)*副本难度推算!$Y$6*Q57</f>
        <v>417468.98523194459</v>
      </c>
      <c r="I57" s="72">
        <f>VLOOKUP($C57,难度推算表,副本难度推算!$P$3,FALSE)*副本难度推算!$Z$6*$R57+VLOOKUP($C57,难度推算表,副本难度推算!$H$3,FALSE)</f>
        <v>34546.11910449979</v>
      </c>
      <c r="J57" s="72">
        <f>VLOOKUP($C57,难度推算表,副本难度推算!$G$3,FALSE)-VLOOKUP($C57,难度推算表,副本难度推算!$I$3,FALSE)*(2-副本难度推算!$AA$6)*(2-$S57)</f>
        <v>7701.2216640000024</v>
      </c>
      <c r="K57" s="72">
        <f>VLOOKUP($C57,难度推算表,副本难度推算!$M$3,FALSE)*副本难度推算!$Y$7*Q57</f>
        <v>1304590.5788498267</v>
      </c>
      <c r="L57" s="72">
        <f>VLOOKUP($C57,难度推算表,副本难度推算!$P$3,FALSE)*副本难度推算!$Z$7*$R57+VLOOKUP($C57,难度推算表,副本难度推算!$H$3,FALSE)</f>
        <v>43387.456839333048</v>
      </c>
      <c r="M57" s="72">
        <f>VLOOKUP($C57,难度推算表,副本难度推算!$G$3,FALSE)-VLOOKUP($C57,难度推算表,副本难度推算!$I$3,FALSE)*(2-副本难度推算!$AA$7)*(2-$S57)</f>
        <v>11150.727201</v>
      </c>
      <c r="N57" s="2">
        <f>VLOOKUP($C57,难度推算表,副本难度推算!$Q$3,FALSE)</f>
        <v>4126.42</v>
      </c>
      <c r="O57" s="2">
        <f>VLOOKUP($C57,难度推算表,副本难度推算!$R$3,FALSE)</f>
        <v>0</v>
      </c>
      <c r="Q57" s="46">
        <v>1.1399999999999999</v>
      </c>
      <c r="R57" s="46">
        <v>1.3</v>
      </c>
      <c r="S57" s="46">
        <v>1.1399999999999999</v>
      </c>
      <c r="T57">
        <f>SUMPRODUCT(K57:M57,[2]各种公式!$C$13:$E$13)</f>
        <v>106721.80719432612</v>
      </c>
    </row>
    <row r="58" spans="2:20">
      <c r="B58" s="2" t="str">
        <f>怪物并表!$R$8</f>
        <v>精英副本</v>
      </c>
      <c r="C58" s="2">
        <f>怪物信息表!J58</f>
        <v>66</v>
      </c>
      <c r="D58" s="42">
        <f>怪物信息表!K58</f>
        <v>6209</v>
      </c>
      <c r="E58" s="72">
        <f>VLOOKUP($C58,难度推算表,副本难度推算!$M$3,FALSE)*副本难度推算!$Y$5*Q58</f>
        <v>565063.21262955281</v>
      </c>
      <c r="F58" s="72">
        <f>VLOOKUP($C58,难度推算表,副本难度推算!$P$3,FALSE)*副本难度推算!$Z$5*$R58+VLOOKUP($C58,难度推算表,副本难度推算!$H$3,FALSE)</f>
        <v>40343.312267271504</v>
      </c>
      <c r="G58" s="72">
        <f>VLOOKUP($C58,难度推算表,副本难度推算!$G$3,FALSE)-VLOOKUP($C58,难度推算表,副本难度推算!$I$3,FALSE)*(2-副本难度推算!$AA$5)*(2-$S58)</f>
        <v>10144.746576481612</v>
      </c>
      <c r="H58" s="72">
        <f>VLOOKUP($C58,难度推算表,副本难度推算!$M$3,FALSE)*副本难度推算!$Y$6*Q58</f>
        <v>452050.5701036423</v>
      </c>
      <c r="I58" s="72">
        <f>VLOOKUP($C58,难度推算表,副本难度推算!$P$3,FALSE)*副本难度推算!$Z$6*$R58+VLOOKUP($C58,难度推算表,副本难度推算!$H$3,FALSE)</f>
        <v>37154.376588584491</v>
      </c>
      <c r="J58" s="72">
        <f>VLOOKUP($C58,难度推算表,副本难度推算!$G$3,FALSE)-VLOOKUP($C58,难度推算表,副本难度推算!$I$3,FALSE)*(2-副本难度推算!$AA$6)*(2-$S58)</f>
        <v>8369.41592559733</v>
      </c>
      <c r="K58" s="72">
        <f>VLOOKUP($C58,难度推算表,副本难度推算!$M$3,FALSE)*副本难度推算!$Y$7*Q58</f>
        <v>1412658.0315738819</v>
      </c>
      <c r="L58" s="72">
        <f>VLOOKUP($C58,难度推算表,副本难度推算!$P$3,FALSE)*副本难度推算!$Z$7*$R58+VLOOKUP($C58,难度推算表,副本难度推算!$H$3,FALSE)</f>
        <v>46721.183624645542</v>
      </c>
      <c r="M58" s="72">
        <f>VLOOKUP($C58,难度推算表,副本难度推算!$G$3,FALSE)-VLOOKUP($C58,难度推算表,副本难度推算!$I$3,FALSE)*(2-副本难度推算!$AA$7)*(2-$S58)</f>
        <v>11920.077227365893</v>
      </c>
      <c r="N58" s="2">
        <f>VLOOKUP($C58,难度推算表,副本难度推算!$Q$3,FALSE)</f>
        <v>4184.6480000000001</v>
      </c>
      <c r="O58" s="2">
        <f>VLOOKUP($C58,难度推算表,副本难度推算!$R$3,FALSE)</f>
        <v>0</v>
      </c>
      <c r="Q58" s="46">
        <v>1.1599999999999999</v>
      </c>
      <c r="R58" s="46">
        <v>1.3</v>
      </c>
      <c r="S58" s="106">
        <v>1.1599999999999999</v>
      </c>
      <c r="T58">
        <f>SUMPRODUCT(K58:M58,[2]各种公式!$C$13:$E$13)</f>
        <v>115147.5821149667</v>
      </c>
    </row>
    <row r="59" spans="2:20">
      <c r="B59" s="2" t="str">
        <f>怪物并表!$R$8</f>
        <v>精英副本</v>
      </c>
      <c r="C59" s="2">
        <f>怪物信息表!J59</f>
        <v>67</v>
      </c>
      <c r="D59" s="42">
        <f>怪物信息表!K59</f>
        <v>7201</v>
      </c>
      <c r="E59" s="72">
        <f>VLOOKUP($C59,难度推算表,副本难度推算!$M$3,FALSE)*副本难度推算!$Y$5*Q59</f>
        <v>517787.79575834068</v>
      </c>
      <c r="F59" s="72">
        <f>VLOOKUP($C59,难度推算表,副本难度推算!$P$3,FALSE)*副本难度推算!$Z$5*$R59+VLOOKUP($C59,难度推算表,副本难度推算!$H$3,FALSE)</f>
        <v>37702.926929169575</v>
      </c>
      <c r="G59" s="72">
        <f>VLOOKUP($C59,难度推算表,副本难度推算!$G$3,FALSE)-VLOOKUP($C59,难度推算表,副本难度推算!$I$3,FALSE)*(2-副本难度推算!$AA$5)*(2-$S59)</f>
        <v>8899.84509339131</v>
      </c>
      <c r="H59" s="72">
        <f>VLOOKUP($C59,难度推算表,副本难度推算!$M$3,FALSE)*副本难度推算!$Y$6*Q59</f>
        <v>414230.23660667258</v>
      </c>
      <c r="I59" s="72">
        <f>VLOOKUP($C59,难度推算表,副本难度推算!$P$3,FALSE)*副本难度推算!$Z$6*$R59+VLOOKUP($C59,难度推算表,副本难度推算!$H$3,FALSE)</f>
        <v>34822.618745591746</v>
      </c>
      <c r="J59" s="72">
        <f>VLOOKUP($C59,难度推算表,副本难度推算!$G$3,FALSE)-VLOOKUP($C59,难度推算表,副本难度推算!$I$3,FALSE)*(2-副本难度推算!$AA$6)*(2-$S59)</f>
        <v>6674.883820043482</v>
      </c>
      <c r="K59" s="72">
        <f>VLOOKUP($C59,难度推算表,副本难度推算!$M$3,FALSE)*副本难度推算!$Y$7*Q59</f>
        <v>1294469.4893958517</v>
      </c>
      <c r="L59" s="72">
        <f>VLOOKUP($C59,难度推算表,副本难度推算!$P$3,FALSE)*副本难度推算!$Z$7*$R59+VLOOKUP($C59,难度推算表,副本难度推算!$H$3,FALSE)</f>
        <v>43463.543296325224</v>
      </c>
      <c r="M59" s="72">
        <f>VLOOKUP($C59,难度推算表,副本难度推算!$G$3,FALSE)-VLOOKUP($C59,难度推算表,副本难度推算!$I$3,FALSE)*(2-副本难度推算!$AA$7)*(2-$S59)</f>
        <v>11124.806366739138</v>
      </c>
      <c r="N59" s="2">
        <f>VLOOKUP($C59,难度推算表,副本难度推算!$Q$3,FALSE)</f>
        <v>4242.8759999999993</v>
      </c>
      <c r="O59" s="2">
        <f>VLOOKUP($C59,难度推算表,副本难度推算!$R$3,FALSE)</f>
        <v>0</v>
      </c>
      <c r="Q59" s="46">
        <v>1</v>
      </c>
      <c r="R59" s="46">
        <v>1.1000000000000001</v>
      </c>
      <c r="S59" s="46">
        <v>1</v>
      </c>
      <c r="T59">
        <f>SUMPRODUCT(K59:M59,[2]各种公式!$C$13:$E$13)</f>
        <v>106367.12923889844</v>
      </c>
    </row>
    <row r="60" spans="2:20">
      <c r="B60" s="2" t="str">
        <f>怪物并表!$R$8</f>
        <v>精英副本</v>
      </c>
      <c r="C60" s="2">
        <f>怪物信息表!J60</f>
        <v>68</v>
      </c>
      <c r="D60" s="42">
        <f>怪物信息表!K60</f>
        <v>7202</v>
      </c>
      <c r="E60" s="72">
        <f>VLOOKUP($C60,难度推算表,副本难度推算!$M$3,FALSE)*副本难度推算!$Y$5*Q60</f>
        <v>560773.92305061349</v>
      </c>
      <c r="F60" s="72">
        <f>VLOOKUP($C60,难度推算表,副本难度推算!$P$3,FALSE)*副本难度推算!$Z$5*$R60+VLOOKUP($C60,难度推算表,副本难度推算!$H$3,FALSE)</f>
        <v>40634.209751689821</v>
      </c>
      <c r="G60" s="72">
        <f>VLOOKUP($C60,难度推算表,副本难度推算!$G$3,FALSE)-VLOOKUP($C60,难度推算表,副本难度推算!$I$3,FALSE)*(2-副本难度推算!$AA$5)*(2-$S60)</f>
        <v>9593.9740302983373</v>
      </c>
      <c r="H60" s="72">
        <f>VLOOKUP($C60,难度推算表,副本难度推算!$M$3,FALSE)*副本难度推算!$Y$6*Q60</f>
        <v>448619.13844049087</v>
      </c>
      <c r="I60" s="72">
        <f>VLOOKUP($C60,难度推算表,副本难度推算!$P$3,FALSE)*副本难度推算!$Z$6*$R60+VLOOKUP($C60,难度推算表,副本难度推算!$H$3,FALSE)</f>
        <v>37506.786242891409</v>
      </c>
      <c r="J60" s="72">
        <f>VLOOKUP($C60,难度推算表,副本难度推算!$G$3,FALSE)-VLOOKUP($C60,难度推算表,副本难度推算!$I$3,FALSE)*(2-副本难度推算!$AA$6)*(2-$S60)</f>
        <v>7300.7802376904419</v>
      </c>
      <c r="K60" s="72">
        <f>VLOOKUP($C60,难度推算表,副本难度推算!$M$3,FALSE)*副本难度推算!$Y$7*Q60</f>
        <v>1401934.8076265338</v>
      </c>
      <c r="L60" s="72">
        <f>VLOOKUP($C60,难度推算表,副本难度推算!$P$3,FALSE)*副本难度推算!$Z$7*$R60+VLOOKUP($C60,难度推算表,副本难度推算!$H$3,FALSE)</f>
        <v>46889.056769286646</v>
      </c>
      <c r="M60" s="72">
        <f>VLOOKUP($C60,难度推算表,副本难度推算!$G$3,FALSE)-VLOOKUP($C60,难度推算表,副本难度推算!$I$3,FALSE)*(2-副本难度推算!$AA$7)*(2-$S60)</f>
        <v>11887.167822906233</v>
      </c>
      <c r="N60" s="2">
        <f>VLOOKUP($C60,难度推算表,副本难度推算!$Q$3,FALSE)</f>
        <v>4301.1040000000003</v>
      </c>
      <c r="O60" s="2">
        <f>VLOOKUP($C60,难度推算表,副本难度推算!$R$3,FALSE)</f>
        <v>0</v>
      </c>
      <c r="Q60" s="46">
        <v>1.02</v>
      </c>
      <c r="R60" s="46">
        <v>1.1200000000000001</v>
      </c>
      <c r="S60" s="46">
        <v>1.02</v>
      </c>
      <c r="T60">
        <f>SUMPRODUCT(K60:M60,[2]各种公式!$C$13:$E$13)</f>
        <v>114853.61689725424</v>
      </c>
    </row>
    <row r="61" spans="2:20">
      <c r="B61" s="2" t="str">
        <f>怪物并表!$R$8</f>
        <v>精英副本</v>
      </c>
      <c r="C61" s="2">
        <f>怪物信息表!J61</f>
        <v>69</v>
      </c>
      <c r="D61" s="42">
        <f>怪物信息表!K61</f>
        <v>7203</v>
      </c>
      <c r="E61" s="72">
        <f>VLOOKUP($C61,难度推算表,副本难度推算!$M$3,FALSE)*副本难度推算!$Y$5*Q61</f>
        <v>606455.00157487253</v>
      </c>
      <c r="F61" s="72">
        <f>VLOOKUP($C61,难度推算表,副本难度推算!$P$3,FALSE)*副本难度推算!$Z$5*$R61+VLOOKUP($C61,难度推算表,副本难度推算!$H$3,FALSE)</f>
        <v>43749.717097227694</v>
      </c>
      <c r="G61" s="72">
        <f>VLOOKUP($C61,难度推算表,副本难度推算!$G$3,FALSE)-VLOOKUP($C61,难度推算表,副本难度推算!$I$3,FALSE)*(2-副本难度推算!$AA$5)*(2-$S61)</f>
        <v>10326.271321884291</v>
      </c>
      <c r="H61" s="72">
        <f>VLOOKUP($C61,难度推算表,副本难度推算!$M$3,FALSE)*副本难度推算!$Y$6*Q61</f>
        <v>485164.00125989807</v>
      </c>
      <c r="I61" s="72">
        <f>VLOOKUP($C61,难度推算表,副本难度推算!$P$3,FALSE)*副本难度推算!$Z$6*$R61+VLOOKUP($C61,难度推算表,副本难度推算!$H$3,FALSE)</f>
        <v>40358.199799112946</v>
      </c>
      <c r="J61" s="72">
        <f>VLOOKUP($C61,难度推算表,副本难度推算!$G$3,FALSE)-VLOOKUP($C61,难度推算表,副本难度推算!$I$3,FALSE)*(2-副本难度推算!$AA$6)*(2-$S61)</f>
        <v>7965.9807340250245</v>
      </c>
      <c r="K61" s="72">
        <f>VLOOKUP($C61,难度推算表,副本难度推算!$M$3,FALSE)*副本难度推算!$Y$7*Q61</f>
        <v>1516137.5039371813</v>
      </c>
      <c r="L61" s="72">
        <f>VLOOKUP($C61,难度推算表,副本难度推算!$P$3,FALSE)*副本难度推算!$Z$7*$R61+VLOOKUP($C61,难度推算表,副本难度推算!$H$3,FALSE)</f>
        <v>50532.751693457176</v>
      </c>
      <c r="M61" s="72">
        <f>VLOOKUP($C61,难度推算表,副本难度推算!$G$3,FALSE)-VLOOKUP($C61,难度推算表,副本难度推算!$I$3,FALSE)*(2-副本难度推算!$AA$7)*(2-$S61)</f>
        <v>12686.561909743556</v>
      </c>
      <c r="N61" s="2">
        <f>VLOOKUP($C61,难度推算表,副本难度推算!$Q$3,FALSE)</f>
        <v>4359.3320000000003</v>
      </c>
      <c r="O61" s="2">
        <f>VLOOKUP($C61,难度推算表,副本难度推算!$R$3,FALSE)</f>
        <v>0</v>
      </c>
      <c r="Q61" s="46">
        <v>1.04</v>
      </c>
      <c r="R61" s="46">
        <v>1.1399999999999999</v>
      </c>
      <c r="S61" s="46">
        <v>1.04</v>
      </c>
      <c r="T61">
        <f>SUMPRODUCT(K61:M61,[2]各种公式!$C$13:$E$13)</f>
        <v>123864.81376068798</v>
      </c>
    </row>
    <row r="62" spans="2:20">
      <c r="B62" s="2" t="str">
        <f>怪物并表!$R$8</f>
        <v>精英副本</v>
      </c>
      <c r="C62" s="2">
        <f>怪物信息表!J62</f>
        <v>70</v>
      </c>
      <c r="D62" s="42">
        <f>怪物信息表!K62</f>
        <v>7204</v>
      </c>
      <c r="E62" s="72">
        <f>VLOOKUP($C62,难度推算表,副本难度推算!$M$3,FALSE)*副本难度推算!$Y$5*Q62</f>
        <v>657430.7330303418</v>
      </c>
      <c r="F62" s="72">
        <f>VLOOKUP($C62,难度推算表,副本难度推算!$P$3,FALSE)*副本难度推算!$Z$5*$R62+VLOOKUP($C62,难度推算表,副本难度推算!$H$3,FALSE)</f>
        <v>47237.363336789334</v>
      </c>
      <c r="G62" s="72">
        <f>VLOOKUP($C62,难度推算表,副本难度推算!$G$3,FALSE)-VLOOKUP($C62,难度推算表,副本难度推算!$I$3,FALSE)*(2-副本难度推算!$AA$5)*(2-$S62)</f>
        <v>11140.072889297669</v>
      </c>
      <c r="H62" s="72">
        <f>VLOOKUP($C62,难度推算表,副本难度推算!$M$3,FALSE)*副本难度推算!$Y$6*Q62</f>
        <v>525944.58642427344</v>
      </c>
      <c r="I62" s="72">
        <f>VLOOKUP($C62,难度推算表,副本难度推算!$P$3,FALSE)*副本难度推算!$Z$6*$R62+VLOOKUP($C62,难度推算表,副本难度推算!$H$3,FALSE)</f>
        <v>43549.912853277623</v>
      </c>
      <c r="J62" s="72">
        <f>VLOOKUP($C62,难度推算表,副本难度推算!$G$3,FALSE)-VLOOKUP($C62,难度推算表,副本难度推算!$I$3,FALSE)*(2-副本难度推算!$AA$6)*(2-$S62)</f>
        <v>8704.8011414046905</v>
      </c>
      <c r="K62" s="72">
        <f>VLOOKUP($C62,难度推算表,副本难度推算!$M$3,FALSE)*副本难度推算!$Y$7*Q62</f>
        <v>1643576.8325758546</v>
      </c>
      <c r="L62" s="72">
        <f>VLOOKUP($C62,难度推算表,副本难度推算!$P$3,FALSE)*副本难度推算!$Z$7*$R62+VLOOKUP($C62,难度推算表,副本难度推算!$H$3,FALSE)</f>
        <v>54612.26430381275</v>
      </c>
      <c r="M62" s="72">
        <f>VLOOKUP($C62,难度推算表,副本难度推算!$G$3,FALSE)-VLOOKUP($C62,难度推算表,副本难度推算!$I$3,FALSE)*(2-副本难度推算!$AA$7)*(2-$S62)</f>
        <v>13575.344637190648</v>
      </c>
      <c r="N62" s="2">
        <f>VLOOKUP($C62,难度推算表,副本难度推算!$Q$3,FALSE)</f>
        <v>4417.5600000000004</v>
      </c>
      <c r="O62" s="2">
        <f>VLOOKUP($C62,难度推算表,副本难度推算!$R$3,FALSE)</f>
        <v>0</v>
      </c>
      <c r="Q62" s="46">
        <v>1.06</v>
      </c>
      <c r="R62" s="46">
        <v>1.1599999999999999</v>
      </c>
      <c r="S62" s="46">
        <v>1.06</v>
      </c>
      <c r="T62">
        <f>SUMPRODUCT(K62:M62,[2]各种公式!$C$13:$E$13)</f>
        <v>133930.6822440376</v>
      </c>
    </row>
    <row r="63" spans="2:20">
      <c r="B63" s="2" t="str">
        <f>怪物并表!$R$8</f>
        <v>精英副本</v>
      </c>
      <c r="C63" s="2">
        <f>怪物信息表!J63</f>
        <v>71</v>
      </c>
      <c r="D63" s="42">
        <f>怪物信息表!K63</f>
        <v>7205</v>
      </c>
      <c r="E63" s="72">
        <f>VLOOKUP($C63,难度推算表,副本难度推算!$M$3,FALSE)*副本难度推算!$Y$5*Q63</f>
        <v>711613.02655343537</v>
      </c>
      <c r="F63" s="72">
        <f>VLOOKUP($C63,难度推算表,副本难度推算!$P$3,FALSE)*副本难度推算!$Z$5*$R63+VLOOKUP($C63,难度推算表,副本难度推算!$H$3,FALSE)</f>
        <v>50947.123844742076</v>
      </c>
      <c r="G63" s="72">
        <f>VLOOKUP($C63,难度推算表,副本难度推算!$G$3,FALSE)-VLOOKUP($C63,难度推算表,副本难度推算!$I$3,FALSE)*(2-副本难度推算!$AA$5)*(2-$S63)</f>
        <v>11998.80914034516</v>
      </c>
      <c r="H63" s="72">
        <f>VLOOKUP($C63,难度推算表,副本难度推算!$M$3,FALSE)*副本难度推算!$Y$6*Q63</f>
        <v>569290.42124274827</v>
      </c>
      <c r="I63" s="72">
        <f>VLOOKUP($C63,难度推算表,副本难度推算!$P$3,FALSE)*副本难度推算!$Z$6*$R63+VLOOKUP($C63,难度推算表,副本难度推算!$H$3,FALSE)</f>
        <v>46943.212291208329</v>
      </c>
      <c r="J63" s="72">
        <f>VLOOKUP($C63,难度推算表,副本难度推算!$G$3,FALSE)-VLOOKUP($C63,难度推算表,副本难度推算!$I$3,FALSE)*(2-副本难度推算!$AA$6)*(2-$S63)</f>
        <v>9489.9672291820825</v>
      </c>
      <c r="K63" s="72">
        <f>VLOOKUP($C63,难度推算表,副本难度推算!$M$3,FALSE)*副本难度推算!$Y$7*Q63</f>
        <v>1779032.5663835881</v>
      </c>
      <c r="L63" s="72">
        <f>VLOOKUP($C63,难度推算表,副本难度推算!$P$3,FALSE)*副本难度推算!$Z$7*$R63+VLOOKUP($C63,难度推算表,副本难度推算!$H$3,FALSE)</f>
        <v>58954.946951809543</v>
      </c>
      <c r="M63" s="72">
        <f>VLOOKUP($C63,难度推算表,副本难度推算!$G$3,FALSE)-VLOOKUP($C63,难度推算表,副本难度推算!$I$3,FALSE)*(2-副本难度推算!$AA$7)*(2-$S63)</f>
        <v>14507.651051508237</v>
      </c>
      <c r="N63" s="2">
        <f>VLOOKUP($C63,难度推算表,副本难度推算!$Q$3,FALSE)</f>
        <v>4475.7879999999996</v>
      </c>
      <c r="O63" s="2">
        <f>VLOOKUP($C63,难度推算表,副本难度推算!$R$3,FALSE)</f>
        <v>0</v>
      </c>
      <c r="Q63" s="46">
        <v>1.08</v>
      </c>
      <c r="R63" s="46">
        <v>1.18</v>
      </c>
      <c r="S63" s="46">
        <v>1.08</v>
      </c>
      <c r="T63">
        <f>SUMPRODUCT(K63:M63,[2]各种公式!$C$13:$E$13)</f>
        <v>144623.90065866132</v>
      </c>
    </row>
    <row r="64" spans="2:20">
      <c r="B64" s="2" t="str">
        <f>怪物并表!$R$8</f>
        <v>精英副本</v>
      </c>
      <c r="C64" s="2">
        <f>怪物信息表!J64</f>
        <v>72</v>
      </c>
      <c r="D64" s="42">
        <f>怪物信息表!K64</f>
        <v>7206</v>
      </c>
      <c r="E64" s="72">
        <f>VLOOKUP($C64,难度推算表,副本难度推算!$M$3,FALSE)*副本难度推算!$Y$5*Q64</f>
        <v>769142.85545276781</v>
      </c>
      <c r="F64" s="72">
        <f>VLOOKUP($C64,难度推算表,副本难度推算!$P$3,FALSE)*副本难度推算!$Z$5*$R64+VLOOKUP($C64,难度推算表,副本难度推算!$H$3,FALSE)</f>
        <v>54890.768954472507</v>
      </c>
      <c r="G64" s="72">
        <f>VLOOKUP($C64,难度推算表,副本难度推算!$G$3,FALSE)-VLOOKUP($C64,难度推算表,副本难度推算!$I$3,FALSE)*(2-副本难度推算!$AA$5)*(2-$S64)</f>
        <v>12904.005132903019</v>
      </c>
      <c r="H64" s="72">
        <f>VLOOKUP($C64,难度推算表,副本难度推算!$M$3,FALSE)*副本难度推算!$Y$6*Q64</f>
        <v>615314.28436221427</v>
      </c>
      <c r="I64" s="72">
        <f>VLOOKUP($C64,难度推算表,副本难度推算!$P$3,FALSE)*副本难度推算!$Z$6*$R64+VLOOKUP($C64,难度推算表,副本难度推算!$H$3,FALSE)</f>
        <v>50548.714737505521</v>
      </c>
      <c r="J64" s="72">
        <f>VLOOKUP($C64,难度推算表,副本难度推算!$G$3,FALSE)-VLOOKUP($C64,难度推算表,副本难度推算!$I$3,FALSE)*(2-副本难度推算!$AA$6)*(2-$S64)</f>
        <v>10323.204106322415</v>
      </c>
      <c r="K64" s="72">
        <f>VLOOKUP($C64,难度推算表,副本难度推算!$M$3,FALSE)*副本难度推算!$Y$7*Q64</f>
        <v>1922857.1386319194</v>
      </c>
      <c r="L64" s="72">
        <f>VLOOKUP($C64,难度推算表,副本难度推算!$P$3,FALSE)*副本难度推算!$Z$7*$R64+VLOOKUP($C64,难度推算表,副本难度推算!$H$3,FALSE)</f>
        <v>63574.877388406472</v>
      </c>
      <c r="M64" s="72">
        <f>VLOOKUP($C64,难度推算表,副本难度推算!$G$3,FALSE)-VLOOKUP($C64,难度推算表,副本难度推算!$I$3,FALSE)*(2-副本难度推算!$AA$7)*(2-$S64)</f>
        <v>15484.806159483622</v>
      </c>
      <c r="N64" s="2">
        <f>VLOOKUP($C64,难度推算表,副本难度推算!$Q$3,FALSE)</f>
        <v>4534.0159999999996</v>
      </c>
      <c r="O64" s="2">
        <f>VLOOKUP($C64,难度推算表,副本难度推算!$R$3,FALSE)</f>
        <v>0</v>
      </c>
      <c r="Q64" s="46">
        <v>1.1000000000000001</v>
      </c>
      <c r="R64" s="46">
        <v>1.2</v>
      </c>
      <c r="S64" s="46">
        <v>1.1000000000000001</v>
      </c>
      <c r="T64">
        <f>SUMPRODUCT(K64:M64,[2]各种公式!$C$13:$E$13)</f>
        <v>155973.96909316687</v>
      </c>
    </row>
    <row r="65" spans="2:20">
      <c r="B65" s="2" t="str">
        <f>怪物并表!$R$8</f>
        <v>精英副本</v>
      </c>
      <c r="C65" s="2">
        <f>怪物信息表!J65</f>
        <v>73</v>
      </c>
      <c r="D65" s="42">
        <f>怪物信息表!K65</f>
        <v>7207</v>
      </c>
      <c r="E65" s="72">
        <f>VLOOKUP($C65,难度推算表,副本难度推算!$M$3,FALSE)*副本难度推算!$Y$5*Q65</f>
        <v>830165.01072720927</v>
      </c>
      <c r="F65" s="72">
        <f>VLOOKUP($C65,难度推算表,副本难度推算!$P$3,FALSE)*副本难度推算!$Z$5*$R65+VLOOKUP($C65,难度推算表,副本难度推算!$H$3,FALSE)</f>
        <v>58309.648004838025</v>
      </c>
      <c r="G65" s="72">
        <f>VLOOKUP($C65,难度推算表,副本难度推算!$G$3,FALSE)-VLOOKUP($C65,难度推算表,副本难度推算!$I$3,FALSE)*(2-副本难度推算!$AA$5)*(2-$S65)</f>
        <v>13857.209249400012</v>
      </c>
      <c r="H65" s="72">
        <f>VLOOKUP($C65,难度推算表,副本难度推算!$M$3,FALSE)*副本难度推算!$Y$6*Q65</f>
        <v>664132.00858176744</v>
      </c>
      <c r="I65" s="72">
        <f>VLOOKUP($C65,难度推算表,副本难度推算!$P$3,FALSE)*副本难度推算!$Z$6*$R65+VLOOKUP($C65,难度推算表,副本难度推算!$H$3,FALSE)</f>
        <v>53683.657921693361</v>
      </c>
      <c r="J65" s="72">
        <f>VLOOKUP($C65,难度推算表,副本难度推算!$G$3,FALSE)-VLOOKUP($C65,难度推算表,副本难度推算!$I$3,FALSE)*(2-副本难度推算!$AA$6)*(2-$S65)</f>
        <v>11206.264871253925</v>
      </c>
      <c r="K65" s="72">
        <f>VLOOKUP($C65,难度推算表,副本难度推算!$M$3,FALSE)*副本难度推算!$Y$7*Q65</f>
        <v>2075412.5268180231</v>
      </c>
      <c r="L65" s="72">
        <f>VLOOKUP($C65,难度推算表,副本难度推算!$P$3,FALSE)*副本难度推算!$Z$7*$R65+VLOOKUP($C65,难度推算表,副本难度推算!$H$3,FALSE)</f>
        <v>67561.628171127377</v>
      </c>
      <c r="M65" s="72">
        <f>VLOOKUP($C65,难度推算表,副本难度推算!$G$3,FALSE)-VLOOKUP($C65,难度推算表,副本难度推算!$I$3,FALSE)*(2-副本难度推算!$AA$7)*(2-$S65)</f>
        <v>16508.153627546097</v>
      </c>
      <c r="N65" s="2">
        <f>VLOOKUP($C65,难度推算表,副本难度推算!$Q$3,FALSE)</f>
        <v>4592.2439999999997</v>
      </c>
      <c r="O65" s="2">
        <f>VLOOKUP($C65,难度推算表,副本难度推算!$R$3,FALSE)</f>
        <v>0</v>
      </c>
      <c r="Q65" s="46">
        <v>1.1200000000000001</v>
      </c>
      <c r="R65" s="46">
        <v>1.2</v>
      </c>
      <c r="S65" s="46">
        <v>1.1200000000000001</v>
      </c>
      <c r="T65">
        <f>SUMPRODUCT(K65:M65,[2]各种公式!$C$13:$E$13)</f>
        <v>167086.28287139442</v>
      </c>
    </row>
    <row r="66" spans="2:20">
      <c r="B66" s="2" t="str">
        <f>怪物并表!$R$8</f>
        <v>精英副本</v>
      </c>
      <c r="C66" s="2">
        <f>怪物信息表!J66</f>
        <v>74</v>
      </c>
      <c r="D66" s="42">
        <f>怪物信息表!K66</f>
        <v>7208</v>
      </c>
      <c r="E66" s="72">
        <f>VLOOKUP($C66,难度推算表,副本难度推算!$M$3,FALSE)*副本难度推算!$Y$5*Q66</f>
        <v>894828.14790928958</v>
      </c>
      <c r="F66" s="72">
        <f>VLOOKUP($C66,难度推算表,副本难度推算!$P$3,FALSE)*副本难度推算!$Z$5*$R66+VLOOKUP($C66,难度推算表,副本难度推算!$H$3,FALSE)</f>
        <v>65991.788494736975</v>
      </c>
      <c r="G66" s="72">
        <f>VLOOKUP($C66,难度推算表,副本难度推算!$G$3,FALSE)-VLOOKUP($C66,难度推算表,副本难度推算!$I$3,FALSE)*(2-副本难度推算!$AA$5)*(2-$S66)</f>
        <v>14859.993196817399</v>
      </c>
      <c r="H66" s="72">
        <f>VLOOKUP($C66,难度推算表,副本难度推算!$M$3,FALSE)*副本难度推算!$Y$6*Q66</f>
        <v>715862.51832743175</v>
      </c>
      <c r="I66" s="72">
        <f>VLOOKUP($C66,难度推算表,副本难度推算!$P$3,FALSE)*副本难度推算!$Z$6*$R66+VLOOKUP($C66,难度推算表,副本难度推算!$H$3,FALSE)</f>
        <v>60657.289917332841</v>
      </c>
      <c r="J66" s="72">
        <f>VLOOKUP($C66,难度推算表,副本难度推算!$G$3,FALSE)-VLOOKUP($C66,难度推算表,副本难度推算!$I$3,FALSE)*(2-副本难度推算!$AA$6)*(2-$S66)</f>
        <v>12140.930611867832</v>
      </c>
      <c r="K66" s="72">
        <f>VLOOKUP($C66,难度推算表,副本难度推算!$M$3,FALSE)*副本难度推算!$Y$7*Q66</f>
        <v>2237070.369773224</v>
      </c>
      <c r="L66" s="72">
        <f>VLOOKUP($C66,难度推算表,副本难度推算!$P$3,FALSE)*副本难度推算!$Z$7*$R66+VLOOKUP($C66,难度推算表,副本难度推算!$H$3,FALSE)</f>
        <v>76660.785649545229</v>
      </c>
      <c r="M66" s="72">
        <f>VLOOKUP($C66,难度推算表,副本难度推算!$G$3,FALSE)-VLOOKUP($C66,难度推算表,副本难度推算!$I$3,FALSE)*(2-副本难度推算!$AA$7)*(2-$S66)</f>
        <v>17579.055781766965</v>
      </c>
      <c r="N66" s="2">
        <f>VLOOKUP($C66,难度推算表,副本难度推算!$Q$3,FALSE)</f>
        <v>4650.4720000000007</v>
      </c>
      <c r="O66" s="2">
        <f>VLOOKUP($C66,难度推算表,副本难度推算!$R$3,FALSE)</f>
        <v>0</v>
      </c>
      <c r="Q66" s="46">
        <v>1.1399999999999999</v>
      </c>
      <c r="R66" s="46">
        <v>1.3</v>
      </c>
      <c r="S66" s="46">
        <v>1.1399999999999999</v>
      </c>
      <c r="T66">
        <f>SUMPRODUCT(K66:M66,[2]各种公式!$C$13:$E$13)</f>
        <v>183722.65622224114</v>
      </c>
    </row>
    <row r="67" spans="2:20">
      <c r="B67" s="2" t="str">
        <f>怪物并表!$R$8</f>
        <v>精英副本</v>
      </c>
      <c r="C67" s="2">
        <f>怪物信息表!J67</f>
        <v>75</v>
      </c>
      <c r="D67" s="42">
        <f>怪物信息表!K67</f>
        <v>7209</v>
      </c>
      <c r="E67" s="72">
        <f>VLOOKUP($C67,难度推算表,副本难度推算!$M$3,FALSE)*副本难度推算!$Y$5*Q67</f>
        <v>963284.83388880594</v>
      </c>
      <c r="F67" s="72">
        <f>VLOOKUP($C67,难度推算表,副本难度推算!$P$3,FALSE)*副本难度推算!$Z$5*$R67+VLOOKUP($C67,难度推算表,副本难度推算!$H$3,FALSE)</f>
        <v>69997.276780936503</v>
      </c>
      <c r="G67" s="72">
        <f>VLOOKUP($C67,难度推算表,副本难度推算!$G$3,FALSE)-VLOOKUP($C67,难度推算表,副本难度推算!$I$3,FALSE)*(2-副本难度推算!$AA$5)*(2-$S67)</f>
        <v>15913.952006688975</v>
      </c>
      <c r="H67" s="72">
        <f>VLOOKUP($C67,难度推算表,副本难度推算!$M$3,FALSE)*副本难度推算!$Y$6*Q67</f>
        <v>770627.86711104482</v>
      </c>
      <c r="I67" s="72">
        <f>VLOOKUP($C67,难度推算表,副本难度推算!$P$3,FALSE)*副本难度推算!$Z$6*$R67+VLOOKUP($C67,难度推算表,副本难度推算!$H$3,FALSE)</f>
        <v>64323.711770066941</v>
      </c>
      <c r="J67" s="72">
        <f>VLOOKUP($C67,难度推算表,副本难度推算!$G$3,FALSE)-VLOOKUP($C67,难度推算表,副本难度推算!$I$3,FALSE)*(2-副本难度推算!$AA$6)*(2-$S67)</f>
        <v>13129.010405518406</v>
      </c>
      <c r="K67" s="72">
        <f>VLOOKUP($C67,难度推算表,副本难度推算!$M$3,FALSE)*副本难度推算!$Y$7*Q67</f>
        <v>2408212.0847220146</v>
      </c>
      <c r="L67" s="72">
        <f>VLOOKUP($C67,难度推算表,副本难度推算!$P$3,FALSE)*副本难度推算!$Z$7*$R67+VLOOKUP($C67,难度推算表,副本难度推算!$H$3,FALSE)</f>
        <v>81344.406802675643</v>
      </c>
      <c r="M67" s="72">
        <f>VLOOKUP($C67,难度推算表,副本难度推算!$G$3,FALSE)-VLOOKUP($C67,难度推算表,副本难度推算!$I$3,FALSE)*(2-副本难度推算!$AA$7)*(2-$S67)</f>
        <v>18698.893607859543</v>
      </c>
      <c r="N67" s="2">
        <f>VLOOKUP($C67,难度推算表,副本难度推算!$Q$3,FALSE)</f>
        <v>4708.7</v>
      </c>
      <c r="O67" s="2">
        <f>VLOOKUP($C67,难度推算表,副本难度推算!$R$3,FALSE)</f>
        <v>0</v>
      </c>
      <c r="Q67" s="46">
        <v>1.1599999999999999</v>
      </c>
      <c r="R67" s="46">
        <v>1.3</v>
      </c>
      <c r="S67" s="106">
        <v>1.1599999999999999</v>
      </c>
      <c r="T67">
        <f>SUMPRODUCT(K67:M67,[2]各种公式!$C$13:$E$13)</f>
        <v>196371.7837994158</v>
      </c>
    </row>
    <row r="68" spans="2:20">
      <c r="B68" s="2" t="str">
        <f>怪物并表!$R$8</f>
        <v>精英副本</v>
      </c>
      <c r="C68" s="2">
        <f>怪物信息表!J68</f>
        <v>76</v>
      </c>
      <c r="D68" s="42">
        <f>怪物信息表!K68</f>
        <v>8201</v>
      </c>
      <c r="E68" s="72">
        <f>VLOOKUP($C68,难度推算表,副本难度推算!$M$3,FALSE)*副本难度推算!$Y$5*Q68</f>
        <v>877704.74043809366</v>
      </c>
      <c r="F68" s="72">
        <f>VLOOKUP($C68,难度推算表,副本难度推算!$P$3,FALSE)*副本难度推算!$Z$5*$R68+VLOOKUP($C68,难度推算表,副本难度推算!$H$3,FALSE)</f>
        <v>64912.130672938067</v>
      </c>
      <c r="G68" s="72">
        <f>VLOOKUP($C68,难度推算表,副本难度推算!$G$3,FALSE)-VLOOKUP($C68,难度推算表,副本难度推算!$I$3,FALSE)*(2-副本难度推算!$AA$5)*(2-$S68)</f>
        <v>13894.452273551848</v>
      </c>
      <c r="H68" s="72">
        <f>VLOOKUP($C68,难度推算表,副本难度推算!$M$3,FALSE)*副本难度推算!$Y$6*Q68</f>
        <v>702163.79235047498</v>
      </c>
      <c r="I68" s="72">
        <f>VLOOKUP($C68,难度推算表,副本难度推算!$P$3,FALSE)*副本难度推算!$Z$6*$R68+VLOOKUP($C68,难度推算表,副本难度推算!$H$3,FALSE)</f>
        <v>59810.362832999454</v>
      </c>
      <c r="J68" s="72">
        <f>VLOOKUP($C68,难度推算表,副本难度推算!$G$3,FALSE)-VLOOKUP($C68,难度推算表,副本难度推算!$I$3,FALSE)*(2-副本难度推算!$AA$6)*(2-$S68)</f>
        <v>10420.839205163888</v>
      </c>
      <c r="K68" s="72">
        <f>VLOOKUP($C68,难度推算表,副本难度推算!$M$3,FALSE)*副本难度推算!$Y$7*Q68</f>
        <v>2194261.851095234</v>
      </c>
      <c r="L68" s="72">
        <f>VLOOKUP($C68,难度推算表,副本难度推算!$P$3,FALSE)*副本难度推算!$Z$7*$R68+VLOOKUP($C68,难度推算表,副本难度推算!$H$3,FALSE)</f>
        <v>75115.666352815315</v>
      </c>
      <c r="M68" s="72">
        <f>VLOOKUP($C68,难度推算表,副本难度推算!$G$3,FALSE)-VLOOKUP($C68,难度推算表,副本难度推算!$I$3,FALSE)*(2-副本难度推算!$AA$7)*(2-$S68)</f>
        <v>17368.065341939808</v>
      </c>
      <c r="N68" s="2">
        <f>VLOOKUP($C68,难度推算表,副本难度推算!$Q$3,FALSE)</f>
        <v>4766.9279999999999</v>
      </c>
      <c r="O68" s="2">
        <f>VLOOKUP($C68,难度推算表,副本难度推算!$R$3,FALSE)</f>
        <v>0</v>
      </c>
      <c r="Q68" s="46">
        <v>1</v>
      </c>
      <c r="R68" s="46">
        <v>1.1000000000000001</v>
      </c>
      <c r="S68" s="46">
        <v>1</v>
      </c>
      <c r="T68">
        <f>SUMPRODUCT(K68:M68,[2]各种公式!$C$13:$E$13)</f>
        <v>180254.20573856449</v>
      </c>
    </row>
    <row r="69" spans="2:20">
      <c r="B69" s="2" t="str">
        <f>怪物并表!$R$8</f>
        <v>精英副本</v>
      </c>
      <c r="C69" s="2">
        <f>怪物信息表!J69</f>
        <v>77</v>
      </c>
      <c r="D69" s="42">
        <f>怪物信息表!K69</f>
        <v>8202</v>
      </c>
      <c r="E69" s="72">
        <f>VLOOKUP($C69,难度推算表,副本难度推算!$M$3,FALSE)*副本难度推算!$Y$5*Q69</f>
        <v>945377.61378256488</v>
      </c>
      <c r="F69" s="72">
        <f>VLOOKUP($C69,难度推算表,副本难度推算!$P$3,FALSE)*副本难度推算!$Z$5*$R69+VLOOKUP($C69,难度推算表,副本难度推算!$H$3,FALSE)</f>
        <v>69706.3140010192</v>
      </c>
      <c r="G69" s="72">
        <f>VLOOKUP($C69,难度推算表,副本难度推算!$G$3,FALSE)-VLOOKUP($C69,难度推算表,副本难度推算!$I$3,FALSE)*(2-副本难度推算!$AA$5)*(2-$S69)</f>
        <v>14909.150589407698</v>
      </c>
      <c r="H69" s="72">
        <f>VLOOKUP($C69,难度推算表,副本难度推算!$M$3,FALSE)*副本难度推算!$Y$6*Q69</f>
        <v>756302.09102605202</v>
      </c>
      <c r="I69" s="72">
        <f>VLOOKUP($C69,难度推算表,副本难度推算!$P$3,FALSE)*副本难度推算!$Z$6*$R69+VLOOKUP($C69,难度推算表,副本难度推算!$H$3,FALSE)</f>
        <v>64190.23387793266</v>
      </c>
      <c r="J69" s="72">
        <f>VLOOKUP($C69,难度推算表,副本难度推算!$G$3,FALSE)-VLOOKUP($C69,难度推算表,副本难度推算!$I$3,FALSE)*(2-副本难度推算!$AA$6)*(2-$S69)</f>
        <v>11345.499960720004</v>
      </c>
      <c r="K69" s="72">
        <f>VLOOKUP($C69,难度推算表,副本难度推算!$M$3,FALSE)*副本难度推算!$Y$7*Q69</f>
        <v>2363444.0344564123</v>
      </c>
      <c r="L69" s="72">
        <f>VLOOKUP($C69,难度推算表,副本难度推算!$P$3,FALSE)*副本难度推算!$Z$7*$R69+VLOOKUP($C69,难度推算表,副本难度推算!$H$3,FALSE)</f>
        <v>80738.474247192265</v>
      </c>
      <c r="M69" s="72">
        <f>VLOOKUP($C69,难度推算表,副本难度推算!$G$3,FALSE)-VLOOKUP($C69,难度推算表,副本难度推算!$I$3,FALSE)*(2-副本难度推算!$AA$7)*(2-$S69)</f>
        <v>18472.801218095392</v>
      </c>
      <c r="N69" s="2">
        <f>VLOOKUP($C69,难度推算表,副本难度推算!$Q$3,FALSE)</f>
        <v>4825.1559999999999</v>
      </c>
      <c r="O69" s="2">
        <f>VLOOKUP($C69,难度推算表,副本难度推算!$R$3,FALSE)</f>
        <v>0</v>
      </c>
      <c r="Q69" s="46">
        <v>1.02</v>
      </c>
      <c r="R69" s="46">
        <v>1.1200000000000001</v>
      </c>
      <c r="S69" s="46">
        <v>1.02</v>
      </c>
      <c r="T69">
        <f>SUMPRODUCT(K69:M69,[2]各种公式!$C$13:$E$13)</f>
        <v>193749.03684354413</v>
      </c>
    </row>
    <row r="70" spans="2:20">
      <c r="B70" s="2" t="str">
        <f>怪物并表!$R$8</f>
        <v>精英副本</v>
      </c>
      <c r="C70" s="2">
        <f>怪物信息表!J70</f>
        <v>78</v>
      </c>
      <c r="D70" s="42">
        <f>怪物信息表!K70</f>
        <v>8203</v>
      </c>
      <c r="E70" s="72">
        <f>VLOOKUP($C70,难度推算表,副本难度推算!$M$3,FALSE)*副本难度推算!$Y$5*Q70</f>
        <v>1016984.8908905839</v>
      </c>
      <c r="F70" s="72">
        <f>VLOOKUP($C70,难度推算表,副本难度推算!$P$3,FALSE)*副本难度推算!$Z$5*$R70+VLOOKUP($C70,难度推算表,副本难度推算!$H$3,FALSE)</f>
        <v>74793.13602639563</v>
      </c>
      <c r="G70" s="72">
        <f>VLOOKUP($C70,难度推算表,副本难度推算!$G$3,FALSE)-VLOOKUP($C70,难度推算表,副本难度推算!$I$3,FALSE)*(2-副本难度推算!$AA$5)*(2-$S70)</f>
        <v>15975.793477950505</v>
      </c>
      <c r="H70" s="72">
        <f>VLOOKUP($C70,难度推算表,副本难度推算!$M$3,FALSE)*副本难度推算!$Y$6*Q70</f>
        <v>813587.91271246714</v>
      </c>
      <c r="I70" s="72">
        <f>VLOOKUP($C70,难度推算表,副本难度推算!$P$3,FALSE)*副本难度推算!$Z$6*$R70+VLOOKUP($C70,难度推算表,副本难度推算!$H$3,FALSE)</f>
        <v>68835.326564513263</v>
      </c>
      <c r="J70" s="72">
        <f>VLOOKUP($C70,难度推算表,副本难度推算!$G$3,FALSE)-VLOOKUP($C70,难度推算表,副本难度推算!$I$3,FALSE)*(2-副本难度推算!$AA$6)*(2-$S70)</f>
        <v>12324.18354013325</v>
      </c>
      <c r="K70" s="72">
        <f>VLOOKUP($C70,难度推算表,副本难度推算!$M$3,FALSE)*副本难度推算!$Y$7*Q70</f>
        <v>2542462.2272264599</v>
      </c>
      <c r="L70" s="72">
        <f>VLOOKUP($C70,难度推算表,副本难度推算!$P$3,FALSE)*副本难度推算!$Z$7*$R70+VLOOKUP($C70,难度推算表,副本难度推算!$H$3,FALSE)</f>
        <v>86708.754950160379</v>
      </c>
      <c r="M70" s="72">
        <f>VLOOKUP($C70,难度推算表,副本难度推算!$G$3,FALSE)-VLOOKUP($C70,难度推算表,副本难度推算!$I$3,FALSE)*(2-副本难度推算!$AA$7)*(2-$S70)</f>
        <v>19627.40341576776</v>
      </c>
      <c r="N70" s="2">
        <f>VLOOKUP($C70,难度推算表,副本难度推算!$Q$3,FALSE)</f>
        <v>4883.384</v>
      </c>
      <c r="O70" s="2">
        <f>VLOOKUP($C70,难度推算表,副本难度推算!$R$3,FALSE)</f>
        <v>0</v>
      </c>
      <c r="Q70" s="46">
        <v>1.04</v>
      </c>
      <c r="R70" s="46">
        <v>1.1399999999999999</v>
      </c>
      <c r="S70" s="46">
        <v>1.04</v>
      </c>
      <c r="T70">
        <f>SUMPRODUCT(K70:M70,[2]各种公式!$C$13:$E$13)</f>
        <v>208034.64745498652</v>
      </c>
    </row>
    <row r="71" spans="2:20">
      <c r="B71" s="2" t="str">
        <f>怪物并表!$R$8</f>
        <v>精英副本</v>
      </c>
      <c r="C71" s="2">
        <f>怪物信息表!J71</f>
        <v>79</v>
      </c>
      <c r="D71" s="42">
        <f>怪物信息表!K71</f>
        <v>8204</v>
      </c>
      <c r="E71" s="72">
        <f>VLOOKUP($C71,难度推算表,副本难度推算!$M$3,FALSE)*副本难度推算!$Y$5*Q71</f>
        <v>1092687.2555424508</v>
      </c>
      <c r="F71" s="72">
        <f>VLOOKUP($C71,难度推算表,副本难度推算!$P$3,FALSE)*副本难度推算!$Z$5*$R71+VLOOKUP($C71,难度推算表,副本难度推算!$H$3,FALSE)</f>
        <v>80188.07549193711</v>
      </c>
      <c r="G71" s="72">
        <f>VLOOKUP($C71,难度推算表,副本难度推算!$G$3,FALSE)-VLOOKUP($C71,难度推算表,副本难度推算!$I$3,FALSE)*(2-副本难度推算!$AA$5)*(2-$S71)</f>
        <v>17096.01678868095</v>
      </c>
      <c r="H71" s="72">
        <f>VLOOKUP($C71,难度推算表,副本难度推算!$M$3,FALSE)*副本难度推算!$Y$6*Q71</f>
        <v>874149.8044339607</v>
      </c>
      <c r="I71" s="72">
        <f>VLOOKUP($C71,难度推算表,副本难度推算!$P$3,FALSE)*副本难度推算!$Z$6*$R71+VLOOKUP($C71,难度推算表,副本难度推算!$H$3,FALSE)</f>
        <v>73759.595085876514</v>
      </c>
      <c r="J71" s="72">
        <f>VLOOKUP($C71,难度推算表,副本难度推算!$G$3,FALSE)-VLOOKUP($C71,难度推算表,副本难度推算!$I$3,FALSE)*(2-副本难度推算!$AA$6)*(2-$S71)</f>
        <v>13358.748002318142</v>
      </c>
      <c r="K71" s="72">
        <f>VLOOKUP($C71,难度推算表,副本难度推算!$M$3,FALSE)*副本难度推算!$Y$7*Q71</f>
        <v>2731718.1388561265</v>
      </c>
      <c r="L71" s="72">
        <f>VLOOKUP($C71,难度推算表,副本难度推算!$P$3,FALSE)*副本难度推算!$Z$7*$R71+VLOOKUP($C71,难度推算表,副本难度推算!$H$3,FALSE)</f>
        <v>93045.036304058318</v>
      </c>
      <c r="M71" s="72">
        <f>VLOOKUP($C71,难度推算表,副本难度推算!$G$3,FALSE)-VLOOKUP($C71,难度推算表,副本难度推算!$I$3,FALSE)*(2-副本难度推算!$AA$7)*(2-$S71)</f>
        <v>20833.285575043759</v>
      </c>
      <c r="N71" s="2">
        <f>VLOOKUP($C71,难度推算表,副本难度推算!$Q$3,FALSE)</f>
        <v>4941.6120000000001</v>
      </c>
      <c r="O71" s="2">
        <f>VLOOKUP($C71,难度推算表,副本难度推算!$R$3,FALSE)</f>
        <v>0</v>
      </c>
      <c r="Q71" s="46">
        <v>1.06</v>
      </c>
      <c r="R71" s="46">
        <v>1.1599999999999999</v>
      </c>
      <c r="S71" s="46">
        <v>1.06</v>
      </c>
      <c r="T71">
        <f>SUMPRODUCT(K71:M71,[2]各种公式!$C$13:$E$13)</f>
        <v>223147.04743334715</v>
      </c>
    </row>
    <row r="72" spans="2:20">
      <c r="B72" s="2" t="str">
        <f>怪物并表!$R$8</f>
        <v>精英副本</v>
      </c>
      <c r="C72" s="2">
        <f>怪物信息表!J72</f>
        <v>80</v>
      </c>
      <c r="D72" s="42">
        <f>怪物信息表!K72</f>
        <v>8205</v>
      </c>
      <c r="E72" s="72">
        <f>VLOOKUP($C72,难度推算表,副本难度推算!$M$3,FALSE)*副本难度推算!$Y$5*Q72</f>
        <v>1176149.8983710674</v>
      </c>
      <c r="F72" s="72">
        <f>VLOOKUP($C72,难度推算表,副本难度推算!$P$3,FALSE)*副本难度推算!$Z$5*$R72+VLOOKUP($C72,难度推算表,副本难度推算!$H$3,FALSE)</f>
        <v>86163.846301620782</v>
      </c>
      <c r="G72" s="72">
        <f>VLOOKUP($C72,难度推算表,副本难度推算!$G$3,FALSE)-VLOOKUP($C72,难度推算表,副本难度推算!$I$3,FALSE)*(2-副本难度推算!$AA$5)*(2-$S72)</f>
        <v>18326.021426086958</v>
      </c>
      <c r="H72" s="72">
        <f>VLOOKUP($C72,难度推算表,副本难度推算!$M$3,FALSE)*副本难度推算!$Y$6*Q72</f>
        <v>940919.91869685391</v>
      </c>
      <c r="I72" s="72">
        <f>VLOOKUP($C72,难度推算表,副本难度推算!$P$3,FALSE)*副本难度推算!$Z$6*$R72+VLOOKUP($C72,难度推算表,副本难度推算!$H$3,FALSE)</f>
        <v>79213.463619284783</v>
      </c>
      <c r="J72" s="72">
        <f>VLOOKUP($C72,难度推算表,副本难度推算!$G$3,FALSE)-VLOOKUP($C72,难度推算表,副本难度推算!$I$3,FALSE)*(2-副本难度推算!$AA$6)*(2-$S72)</f>
        <v>14494.216946086959</v>
      </c>
      <c r="K72" s="72">
        <f>VLOOKUP($C72,难度推算表,副本难度推算!$M$3,FALSE)*副本难度推算!$Y$7*Q72</f>
        <v>2940374.7459276682</v>
      </c>
      <c r="L72" s="72">
        <f>VLOOKUP($C72,难度推算表,副本难度推算!$P$3,FALSE)*副本难度推算!$Z$7*$R72+VLOOKUP($C72,难度推算表,副本难度推算!$H$3,FALSE)</f>
        <v>100064.61166629277</v>
      </c>
      <c r="M72" s="72">
        <f>VLOOKUP($C72,难度推算表,副本难度推算!$G$3,FALSE)-VLOOKUP($C72,难度推算表,副本难度推算!$I$3,FALSE)*(2-副本难度推算!$AA$7)*(2-$S72)</f>
        <v>22157.82590608696</v>
      </c>
      <c r="N72" s="2">
        <f>VLOOKUP($C72,难度推算表,副本难度推算!$Q$3,FALSE)</f>
        <v>4999.84</v>
      </c>
      <c r="O72" s="2">
        <f>VLOOKUP($C72,难度推算表,副本难度推算!$R$3,FALSE)</f>
        <v>0</v>
      </c>
      <c r="Q72" s="46">
        <v>1.08</v>
      </c>
      <c r="R72" s="46">
        <v>1.18</v>
      </c>
      <c r="S72" s="46">
        <v>1.08</v>
      </c>
      <c r="T72">
        <f>SUMPRODUCT(K72:M72,[2]各种公式!$C$13:$E$13)</f>
        <v>239837.42740948644</v>
      </c>
    </row>
    <row r="73" spans="2:20">
      <c r="B73" s="2" t="str">
        <f>怪物并表!$R$8</f>
        <v>精英副本</v>
      </c>
      <c r="C73" s="2">
        <f>怪物信息表!J73</f>
        <v>81</v>
      </c>
      <c r="D73" s="42">
        <f>怪物信息表!K73</f>
        <v>8206</v>
      </c>
      <c r="E73" s="72">
        <f>VLOOKUP($C73,难度推算表,副本难度推算!$M$3,FALSE)*副本难度推算!$Y$5*Q73</f>
        <v>1264391.4460308354</v>
      </c>
      <c r="F73" s="72">
        <f>VLOOKUP($C73,难度推算表,副本难度推算!$P$3,FALSE)*副本难度推算!$Z$5*$R73+VLOOKUP($C73,难度推算表,副本难度推算!$H$3,FALSE)</f>
        <v>106581.30418407611</v>
      </c>
      <c r="G73" s="72">
        <f>VLOOKUP($C73,难度推算表,副本难度推算!$G$3,FALSE)-VLOOKUP($C73,难度推算表,副本难度推算!$I$3,FALSE)*(2-副本难度推算!$AA$5)*(2-$S73)</f>
        <v>19617.922385759211</v>
      </c>
      <c r="H73" s="72">
        <f>VLOOKUP($C73,难度推算表,副本难度推算!$M$3,FALSE)*副本难度推算!$Y$6*Q73</f>
        <v>1011513.1568246683</v>
      </c>
      <c r="I73" s="72">
        <f>VLOOKUP($C73,难度推算表,副本难度推算!$P$3,FALSE)*副本难度推算!$Z$6*$R73+VLOOKUP($C73,难度推算表,副本难度推算!$H$3,FALSE)</f>
        <v>97666.989088847113</v>
      </c>
      <c r="J73" s="72">
        <f>VLOOKUP($C73,难度推算表,副本难度推算!$G$3,FALSE)-VLOOKUP($C73,难度推算表,副本难度推算!$I$3,FALSE)*(2-副本难度推算!$AA$6)*(2-$S73)</f>
        <v>15694.337908607373</v>
      </c>
      <c r="K73" s="72">
        <f>VLOOKUP($C73,难度推算表,副本难度推算!$M$3,FALSE)*副本难度推算!$Y$7*Q73</f>
        <v>3160978.6150770886</v>
      </c>
      <c r="L73" s="72">
        <f>VLOOKUP($C73,难度推算表,副本难度推算!$P$3,FALSE)*副本难度推算!$Z$7*$R73+VLOOKUP($C73,难度推算表,副本难度推算!$H$3,FALSE)</f>
        <v>124409.93437453415</v>
      </c>
      <c r="M73" s="72">
        <f>VLOOKUP($C73,难度推算表,副本难度推算!$G$3,FALSE)-VLOOKUP($C73,难度推算表,副本难度推算!$I$3,FALSE)*(2-副本难度推算!$AA$7)*(2-$S73)</f>
        <v>23541.506862911046</v>
      </c>
      <c r="N73" s="2">
        <f>VLOOKUP($C73,难度推算表,副本难度推算!$Q$3,FALSE)</f>
        <v>5058.0680000000002</v>
      </c>
      <c r="O73" s="2">
        <f>VLOOKUP($C73,难度推算表,副本难度推算!$R$3,FALSE)</f>
        <v>0</v>
      </c>
      <c r="Q73" s="46">
        <v>1.1000000000000001</v>
      </c>
      <c r="R73" s="46">
        <v>1.2</v>
      </c>
      <c r="S73" s="46">
        <v>1.1000000000000001</v>
      </c>
      <c r="T73">
        <f>SUMPRODUCT(K73:M73,[2]各种公式!$C$13:$E$13)</f>
        <v>274390.58584052871</v>
      </c>
    </row>
    <row r="74" spans="2:20">
      <c r="B74" s="2" t="str">
        <f>怪物并表!$R$8</f>
        <v>精英副本</v>
      </c>
      <c r="C74" s="2">
        <f>怪物信息表!J74</f>
        <v>82</v>
      </c>
      <c r="D74" s="42">
        <f>怪物信息表!K74</f>
        <v>8207</v>
      </c>
      <c r="E74" s="72">
        <f>VLOOKUP($C74,难度推算表,副本难度推算!$M$3,FALSE)*副本难度推算!$Y$5*Q74</f>
        <v>1357603.3873047247</v>
      </c>
      <c r="F74" s="72">
        <f>VLOOKUP($C74,难度推算表,副本难度推算!$P$3,FALSE)*副本难度推算!$Z$5*$R74+VLOOKUP($C74,难度推算表,副本难度推算!$H$3,FALSE)</f>
        <v>113840.25077429123</v>
      </c>
      <c r="G74" s="72">
        <f>VLOOKUP($C74,难度推算表,副本难度推算!$G$3,FALSE)-VLOOKUP($C74,难度推算表,副本难度推算!$I$3,FALSE)*(2-副本难度推算!$AA$5)*(2-$S74)</f>
        <v>20973.630146953859</v>
      </c>
      <c r="H74" s="72">
        <f>VLOOKUP($C74,难度推算表,副本难度推算!$M$3,FALSE)*副本难度推算!$Y$6*Q74</f>
        <v>1086082.7098437797</v>
      </c>
      <c r="I74" s="72">
        <f>VLOOKUP($C74,难度推算表,副本难度推算!$P$3,FALSE)*副本难度推算!$Z$6*$R74+VLOOKUP($C74,难度推算表,副本难度推算!$H$3,FALSE)</f>
        <v>104280.01962268419</v>
      </c>
      <c r="J74" s="72">
        <f>VLOOKUP($C74,难度推算表,副本难度推算!$G$3,FALSE)-VLOOKUP($C74,难度推算表,副本难度推算!$I$3,FALSE)*(2-副本难度推算!$AA$6)*(2-$S74)</f>
        <v>16961.283510145295</v>
      </c>
      <c r="K74" s="72">
        <f>VLOOKUP($C74,难度推算表,副本难度推算!$M$3,FALSE)*副本难度推算!$Y$7*Q74</f>
        <v>3394008.4682618114</v>
      </c>
      <c r="L74" s="72">
        <f>VLOOKUP($C74,难度推算表,副本难度推算!$P$3,FALSE)*副本难度推算!$Z$7*$R74+VLOOKUP($C74,难度推算表,副本难度推算!$H$3,FALSE)</f>
        <v>132960.71307750532</v>
      </c>
      <c r="M74" s="72">
        <f>VLOOKUP($C74,难度推算表,副本难度推算!$G$3,FALSE)-VLOOKUP($C74,难度推算表,副本难度推算!$I$3,FALSE)*(2-副本难度推算!$AA$7)*(2-$S74)</f>
        <v>24985.97678376242</v>
      </c>
      <c r="N74" s="2">
        <f>VLOOKUP($C74,难度推算表,副本难度推算!$Q$3,FALSE)</f>
        <v>5116.2960000000003</v>
      </c>
      <c r="O74" s="2">
        <f>VLOOKUP($C74,难度推算表,副本难度推算!$R$3,FALSE)</f>
        <v>0</v>
      </c>
      <c r="Q74" s="46">
        <v>1.1200000000000001</v>
      </c>
      <c r="R74" s="46">
        <v>1.2</v>
      </c>
      <c r="S74" s="46">
        <v>1.1200000000000001</v>
      </c>
      <c r="T74">
        <f>SUMPRODUCT(K74:M74,[2]各种公式!$C$13:$E$13)</f>
        <v>293707.02859174018</v>
      </c>
    </row>
    <row r="75" spans="2:20">
      <c r="B75" s="2" t="str">
        <f>怪物并表!$R$8</f>
        <v>精英副本</v>
      </c>
      <c r="C75" s="2">
        <f>怪物信息表!J75</f>
        <v>83</v>
      </c>
      <c r="D75" s="42">
        <f>怪物信息表!K75</f>
        <v>8208</v>
      </c>
      <c r="E75" s="72">
        <f>VLOOKUP($C75,难度推算表,副本难度推算!$M$3,FALSE)*副本难度推算!$Y$5*Q75</f>
        <v>1455981.9492732869</v>
      </c>
      <c r="F75" s="72">
        <f>VLOOKUP($C75,难度推算表,副本难度推算!$P$3,FALSE)*副本难度推算!$Z$5*$R75+VLOOKUP($C75,难度推算表,副本难度推算!$H$3,FALSE)</f>
        <v>130044.99225014028</v>
      </c>
      <c r="G75" s="72">
        <f>VLOOKUP($C75,难度推算表,副本难度推算!$G$3,FALSE)-VLOOKUP($C75,难度推算表,副本难度推算!$I$3,FALSE)*(2-副本难度推算!$AA$5)*(2-$S75)</f>
        <v>22395.081845558536</v>
      </c>
      <c r="H75" s="72">
        <f>VLOOKUP($C75,难度推算表,副本难度推算!$M$3,FALSE)*副本难度推算!$Y$6*Q75</f>
        <v>1164785.5594186296</v>
      </c>
      <c r="I75" s="72">
        <f>VLOOKUP($C75,难度推算表,副本难度推算!$P$3,FALSE)*副本难度推算!$Z$6*$R75+VLOOKUP($C75,难度推算表,副本难度推算!$H$3,FALSE)</f>
        <v>118946.45743751423</v>
      </c>
      <c r="J75" s="72">
        <f>VLOOKUP($C75,难度推算表,副本难度推算!$G$3,FALSE)-VLOOKUP($C75,难度推算表,副本难度推算!$I$3,FALSE)*(2-副本难度推算!$AA$6)*(2-$S75)</f>
        <v>18297.25835892442</v>
      </c>
      <c r="K75" s="72">
        <f>VLOOKUP($C75,难度推算表,副本难度推算!$M$3,FALSE)*副本难度推算!$Y$7*Q75</f>
        <v>3639954.8731832169</v>
      </c>
      <c r="L75" s="72">
        <f>VLOOKUP($C75,难度推算表,副本难度推算!$P$3,FALSE)*副本难度推算!$Z$7*$R75+VLOOKUP($C75,难度推算表,副本难度推算!$H$3,FALSE)</f>
        <v>152242.06187539242</v>
      </c>
      <c r="M75" s="72">
        <f>VLOOKUP($C75,难度推算表,副本难度推算!$G$3,FALSE)-VLOOKUP($C75,难度推算表,副本难度推算!$I$3,FALSE)*(2-副本难度推算!$AA$7)*(2-$S75)</f>
        <v>26492.905332192651</v>
      </c>
      <c r="N75" s="2">
        <f>VLOOKUP($C75,难度推算表,副本难度推算!$Q$3,FALSE)</f>
        <v>5174.5240000000003</v>
      </c>
      <c r="O75" s="2">
        <f>VLOOKUP($C75,难度推算表,副本难度推算!$R$3,FALSE)</f>
        <v>0</v>
      </c>
      <c r="Q75" s="46">
        <v>1.1399999999999999</v>
      </c>
      <c r="R75" s="46">
        <v>1.3</v>
      </c>
      <c r="S75" s="46">
        <v>1.1399999999999999</v>
      </c>
      <c r="T75">
        <f>SUMPRODUCT(K75:M75,[2]各种公式!$C$13:$E$13)</f>
        <v>324333.16213491373</v>
      </c>
    </row>
    <row r="76" spans="2:20">
      <c r="B76" s="2" t="str">
        <f>怪物并表!$R$8</f>
        <v>精英副本</v>
      </c>
      <c r="C76" s="2">
        <f>怪物信息表!J76</f>
        <v>84</v>
      </c>
      <c r="D76" s="42">
        <f>怪物信息表!K76</f>
        <v>8209</v>
      </c>
      <c r="E76" s="72">
        <f>VLOOKUP($C76,难度推算表,副本难度推算!$M$3,FALSE)*副本难度推算!$Y$5*Q76</f>
        <v>1559728.1506936727</v>
      </c>
      <c r="F76" s="72">
        <f>VLOOKUP($C76,难度推算表,副本难度推算!$P$3,FALSE)*副本难度推算!$Z$5*$R76+VLOOKUP($C76,难度推算表,副本难度推算!$H$3,FALSE)</f>
        <v>138745.87804307698</v>
      </c>
      <c r="G76" s="72">
        <f>VLOOKUP($C76,难度推算表,副本难度推算!$G$3,FALSE)-VLOOKUP($C76,难度推算表,副本难度推算!$I$3,FALSE)*(2-副本难度推算!$AA$5)*(2-$S76)</f>
        <v>23884.241274092314</v>
      </c>
      <c r="H76" s="72">
        <f>VLOOKUP($C76,难度推算表,副本难度推算!$M$3,FALSE)*副本难度推算!$Y$6*Q76</f>
        <v>1247782.5205549384</v>
      </c>
      <c r="I76" s="72">
        <f>VLOOKUP($C76,难度推算表,副本难度推算!$P$3,FALSE)*副本难度推算!$Z$6*$R76+VLOOKUP($C76,难度推算表,副本难度推算!$H$3,FALSE)</f>
        <v>126861.64367827697</v>
      </c>
      <c r="J76" s="72">
        <f>VLOOKUP($C76,难度推算表,副本难度推算!$G$3,FALSE)-VLOOKUP($C76,难度推算表,副本难度推算!$I$3,FALSE)*(2-副本难度推算!$AA$6)*(2-$S76)</f>
        <v>19704.49905112616</v>
      </c>
      <c r="K76" s="72">
        <f>VLOOKUP($C76,难度推算表,副本难度推算!$M$3,FALSE)*副本难度推算!$Y$7*Q76</f>
        <v>3899320.3767341822</v>
      </c>
      <c r="L76" s="72">
        <f>VLOOKUP($C76,难度推算表,副本难度推算!$P$3,FALSE)*副本难度推算!$Z$7*$R76+VLOOKUP($C76,难度推算表,副本难度推算!$H$3,FALSE)</f>
        <v>162514.34677267697</v>
      </c>
      <c r="M76" s="72">
        <f>VLOOKUP($C76,难度推算表,副本难度推算!$G$3,FALSE)-VLOOKUP($C76,难度推算表,副本难度推算!$I$3,FALSE)*(2-副本难度推算!$AA$7)*(2-$S76)</f>
        <v>28063.983497058467</v>
      </c>
      <c r="N76" s="2">
        <f>VLOOKUP($C76,难度推算表,副本难度推算!$Q$3,FALSE)</f>
        <v>5232.7520000000004</v>
      </c>
      <c r="O76" s="2">
        <f>VLOOKUP($C76,难度推算表,副本难度推算!$R$3,FALSE)</f>
        <v>0</v>
      </c>
      <c r="Q76" s="46">
        <v>1.1599999999999999</v>
      </c>
      <c r="R76" s="46">
        <v>1.3</v>
      </c>
      <c r="S76" s="106">
        <v>1.1599999999999999</v>
      </c>
      <c r="T76">
        <f>SUMPRODUCT(K76:M76,[2]各种公式!$C$13:$E$13)</f>
        <v>346551.14533910272</v>
      </c>
    </row>
  </sheetData>
  <mergeCells count="3">
    <mergeCell ref="E3:G3"/>
    <mergeCell ref="H3:J3"/>
    <mergeCell ref="K3:M3"/>
  </mergeCells>
  <phoneticPr fontId="1" type="noConversion"/>
  <conditionalFormatting sqref="S5:S76">
    <cfRule type="cellIs" dxfId="16" priority="25" operator="greaterThan">
      <formula>2</formula>
    </cfRule>
  </conditionalFormatting>
  <conditionalFormatting sqref="R5:R13">
    <cfRule type="cellIs" dxfId="15" priority="24" operator="greaterThan">
      <formula>2</formula>
    </cfRule>
  </conditionalFormatting>
  <conditionalFormatting sqref="R14:R22">
    <cfRule type="cellIs" dxfId="14" priority="23" operator="greaterThan">
      <formula>2</formula>
    </cfRule>
  </conditionalFormatting>
  <conditionalFormatting sqref="R23:R31">
    <cfRule type="cellIs" dxfId="13" priority="22" operator="greaterThan">
      <formula>2</formula>
    </cfRule>
  </conditionalFormatting>
  <conditionalFormatting sqref="R32:R40">
    <cfRule type="cellIs" dxfId="12" priority="21" operator="greaterThan">
      <formula>2</formula>
    </cfRule>
  </conditionalFormatting>
  <conditionalFormatting sqref="R41:R49">
    <cfRule type="cellIs" dxfId="11" priority="20" operator="greaterThan">
      <formula>2</formula>
    </cfRule>
  </conditionalFormatting>
  <conditionalFormatting sqref="R50:R58">
    <cfRule type="cellIs" dxfId="10" priority="19" operator="greaterThan">
      <formula>2</formula>
    </cfRule>
  </conditionalFormatting>
  <conditionalFormatting sqref="R59:R67">
    <cfRule type="cellIs" dxfId="9" priority="18" operator="greaterThan">
      <formula>2</formula>
    </cfRule>
  </conditionalFormatting>
  <conditionalFormatting sqref="R68:R76">
    <cfRule type="cellIs" dxfId="8" priority="17" operator="greaterThan">
      <formula>2</formula>
    </cfRule>
  </conditionalFormatting>
  <conditionalFormatting sqref="Q5:Q13">
    <cfRule type="cellIs" dxfId="7" priority="15" operator="greaterThan">
      <formula>2</formula>
    </cfRule>
  </conditionalFormatting>
  <conditionalFormatting sqref="Q14:Q22">
    <cfRule type="cellIs" dxfId="6" priority="7" operator="greaterThan">
      <formula>2</formula>
    </cfRule>
  </conditionalFormatting>
  <conditionalFormatting sqref="Q23:Q31">
    <cfRule type="cellIs" dxfId="5" priority="6" operator="greaterThan">
      <formula>2</formula>
    </cfRule>
  </conditionalFormatting>
  <conditionalFormatting sqref="Q32:Q40">
    <cfRule type="cellIs" dxfId="4" priority="5" operator="greaterThan">
      <formula>2</formula>
    </cfRule>
  </conditionalFormatting>
  <conditionalFormatting sqref="Q41:Q49">
    <cfRule type="cellIs" dxfId="3" priority="4" operator="greaterThan">
      <formula>2</formula>
    </cfRule>
  </conditionalFormatting>
  <conditionalFormatting sqref="Q50:Q58">
    <cfRule type="cellIs" dxfId="2" priority="3" operator="greaterThan">
      <formula>2</formula>
    </cfRule>
  </conditionalFormatting>
  <conditionalFormatting sqref="Q59:Q67">
    <cfRule type="cellIs" dxfId="1" priority="2" operator="greaterThan">
      <formula>2</formula>
    </cfRule>
  </conditionalFormatting>
  <conditionalFormatting sqref="Q68:Q76">
    <cfRule type="cellIs" dxfId="0" priority="1" operator="greaterThan">
      <formula>2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V10"/>
  <sheetViews>
    <sheetView workbookViewId="0">
      <selection activeCell="Q10" sqref="Q10"/>
    </sheetView>
  </sheetViews>
  <sheetFormatPr defaultRowHeight="13.5"/>
  <cols>
    <col min="5" max="5" width="12.875" customWidth="1"/>
    <col min="8" max="8" width="11.625" bestFit="1" customWidth="1"/>
    <col min="11" max="11" width="12.875" customWidth="1"/>
    <col min="17" max="17" width="10.5" bestFit="1" customWidth="1"/>
    <col min="18" max="18" width="11.75" customWidth="1"/>
  </cols>
  <sheetData>
    <row r="2" spans="2:22">
      <c r="I2" s="149" t="s">
        <v>95</v>
      </c>
      <c r="J2" s="149"/>
      <c r="K2" s="2">
        <v>2</v>
      </c>
    </row>
    <row r="3" spans="2:22">
      <c r="E3" s="150"/>
      <c r="F3" s="151"/>
      <c r="G3" s="152"/>
      <c r="H3" s="150"/>
      <c r="I3" s="151"/>
      <c r="J3" s="152"/>
      <c r="K3" s="150" t="s">
        <v>89</v>
      </c>
      <c r="L3" s="151"/>
      <c r="M3" s="152"/>
    </row>
    <row r="4" spans="2:22">
      <c r="B4" s="2" t="s">
        <v>284</v>
      </c>
      <c r="C4" s="2" t="s">
        <v>91</v>
      </c>
      <c r="D4" s="10" t="s">
        <v>58</v>
      </c>
      <c r="E4" s="13" t="s">
        <v>92</v>
      </c>
      <c r="F4" s="13" t="s">
        <v>93</v>
      </c>
      <c r="G4" s="13" t="s">
        <v>94</v>
      </c>
      <c r="H4" s="13" t="s">
        <v>92</v>
      </c>
      <c r="I4" s="13" t="s">
        <v>93</v>
      </c>
      <c r="J4" s="13" t="s">
        <v>94</v>
      </c>
      <c r="K4" s="13" t="s">
        <v>92</v>
      </c>
      <c r="L4" s="13" t="s">
        <v>93</v>
      </c>
      <c r="M4" s="13" t="s">
        <v>94</v>
      </c>
      <c r="N4" s="66" t="s">
        <v>339</v>
      </c>
      <c r="O4" s="66" t="s">
        <v>340</v>
      </c>
      <c r="Q4" s="13" t="s">
        <v>356</v>
      </c>
      <c r="R4" s="13" t="s">
        <v>437</v>
      </c>
      <c r="S4" s="13" t="s">
        <v>436</v>
      </c>
      <c r="T4" s="97" t="s">
        <v>665</v>
      </c>
      <c r="U4" s="98" t="s">
        <v>666</v>
      </c>
    </row>
    <row r="5" spans="2:22">
      <c r="B5" s="2" t="str">
        <f>怪物并表!$R$9</f>
        <v>金币副本</v>
      </c>
      <c r="C5" s="2">
        <f>怪物信息表!B83</f>
        <v>17</v>
      </c>
      <c r="D5" s="42">
        <f>怪物信息表!C83</f>
        <v>1301</v>
      </c>
      <c r="E5" s="72">
        <f>VLOOKUP($C5,难度推算表,副本难度推算!$M$3,FALSE)*副本难度推算!$Y$5*Q5</f>
        <v>42227.254281832058</v>
      </c>
      <c r="F5" s="72">
        <f>VLOOKUP($C5,难度推算表,副本难度推算!$P$3,FALSE)*副本难度推算!$Z$5*$R5+VLOOKUP($C5,难度推算表,副本难度推算!$H$3,FALSE)</f>
        <v>337.60810618161133</v>
      </c>
      <c r="G5" s="72">
        <f>VLOOKUP($C5,难度推算表,副本难度推算!$G$3,FALSE)-VLOOKUP($C5,难度推算表,副本难度推算!$I$3,FALSE)*(2-副本难度推算!$AA$5)*(2-$S5)</f>
        <v>150.57125217391308</v>
      </c>
      <c r="H5" s="72">
        <f>VLOOKUP($C5,难度推算表,副本难度推算!$M$3,FALSE)*副本难度推算!$Y$6*Q5</f>
        <v>33781.803425465645</v>
      </c>
      <c r="I5" s="72">
        <f>VLOOKUP($C5,难度推算表,副本难度推算!$P$3,FALSE)*副本难度推算!$Z$6*$R5+VLOOKUP($C5,难度推算表,副本难度推算!$H$3,FALSE)</f>
        <v>323.92346251997196</v>
      </c>
      <c r="J5" s="72">
        <f>VLOOKUP($C5,难度推算表,副本难度推算!$G$3,FALSE)-VLOOKUP($C5,难度推算表,副本难度推算!$I$3,FALSE)*(2-副本难度推算!$AA$6)*(2-$S5)</f>
        <v>90.342751304347871</v>
      </c>
      <c r="K5" s="72">
        <f>VLOOKUP($C5,难度推算表,副本难度推算!$M$3,FALSE)*副本难度推算!$Y$7*Q5</f>
        <v>105568.13570458016</v>
      </c>
      <c r="L5" s="72">
        <f>VLOOKUP($C5,难度推算表,副本难度推算!$P$3,FALSE)*副本难度推算!$Z$7*$R5+VLOOKUP($C5,难度推算表,副本难度推算!$H$3,FALSE)</f>
        <v>364.97739350489007</v>
      </c>
      <c r="M5" s="72">
        <f>VLOOKUP($C5,难度推算表,副本难度推算!$G$3,FALSE)-VLOOKUP($C5,难度推算表,副本难度推算!$I$3,FALSE)*(2-副本难度推算!$AA$7)*(2-$S5)</f>
        <v>210.79975304347829</v>
      </c>
      <c r="N5" s="2">
        <f>VLOOKUP($C5,难度推算表,副本难度推算!$Q$3,FALSE)</f>
        <v>1331.4760000000001</v>
      </c>
      <c r="O5" s="2">
        <f>VLOOKUP($C5,难度推算表,副本难度推算!$R$3,FALSE)</f>
        <v>0</v>
      </c>
      <c r="Q5" s="46">
        <v>7.5</v>
      </c>
      <c r="R5" s="46">
        <v>1</v>
      </c>
      <c r="S5" s="46">
        <v>0.8</v>
      </c>
      <c r="T5">
        <f>INT(D_怪物表!T604)</f>
        <v>42227</v>
      </c>
      <c r="U5">
        <f>D_怪物表!AH604</f>
        <v>2432.2695296288066</v>
      </c>
    </row>
    <row r="6" spans="2:22">
      <c r="B6" s="2" t="str">
        <f>怪物并表!$R$9</f>
        <v>金币副本</v>
      </c>
      <c r="C6" s="2">
        <f>怪物信息表!B84</f>
        <v>29</v>
      </c>
      <c r="D6" s="42">
        <f>怪物信息表!C84</f>
        <v>1302</v>
      </c>
      <c r="E6" s="72">
        <f>VLOOKUP($C6,难度推算表,副本难度推算!$M$3,FALSE)*副本难度推算!$Y$5*Q6</f>
        <v>99219.606994474831</v>
      </c>
      <c r="F6" s="72">
        <f>VLOOKUP($C6,难度推算表,副本难度推算!$P$3,FALSE)*副本难度推算!$Z$5*$R6+VLOOKUP($C6,难度推算表,副本难度推算!$H$3,FALSE)</f>
        <v>1245.0646280605861</v>
      </c>
      <c r="G6" s="72">
        <f>VLOOKUP($C6,难度推算表,副本难度推算!$G$3,FALSE)-VLOOKUP($C6,难度推算表,副本难度推算!$I$3,FALSE)*(2-副本难度推算!$AA$5)*(2-$S6)</f>
        <v>459.89176695652213</v>
      </c>
      <c r="H6" s="72">
        <f>VLOOKUP($C6,难度推算表,副本难度推算!$M$3,FALSE)*副本难度推算!$Y$6*Q6</f>
        <v>79375.685595579867</v>
      </c>
      <c r="I6" s="72">
        <f>VLOOKUP($C6,难度推算表,副本难度推算!$P$3,FALSE)*副本难度推算!$Z$6*$R6+VLOOKUP($C6,难度推算表,副本难度推算!$H$3,FALSE)</f>
        <v>1181.8770675153971</v>
      </c>
      <c r="J6" s="72">
        <f>VLOOKUP($C6,难度推算表,副本难度推算!$G$3,FALSE)-VLOOKUP($C6,难度推算表,副本难度推算!$I$3,FALSE)*(2-副本难度推算!$AA$6)*(2-$S6)</f>
        <v>275.93506017391337</v>
      </c>
      <c r="K6" s="72">
        <f>VLOOKUP($C6,难度推算表,副本难度推算!$M$3,FALSE)*副本难度推算!$Y$7*Q6</f>
        <v>248049.01748618708</v>
      </c>
      <c r="L6" s="72">
        <f>VLOOKUP($C6,难度推算表,副本难度推算!$P$3,FALSE)*副本难度推算!$Z$7*$R6+VLOOKUP($C6,难度推算表,副本难度推算!$H$3,FALSE)</f>
        <v>1371.439749150964</v>
      </c>
      <c r="M6" s="72">
        <f>VLOOKUP($C6,难度推算表,副本难度推算!$G$3,FALSE)-VLOOKUP($C6,难度推算表,副本难度推算!$I$3,FALSE)*(2-副本难度推算!$AA$7)*(2-$S6)</f>
        <v>643.84847373913078</v>
      </c>
      <c r="N6" s="2">
        <f>VLOOKUP($C6,难度推算表,副本难度推算!$Q$3,FALSE)</f>
        <v>2030.212</v>
      </c>
      <c r="O6" s="2">
        <f>VLOOKUP($C6,难度推算表,副本难度推算!$R$3,FALSE)</f>
        <v>0</v>
      </c>
      <c r="Q6" s="46">
        <v>4.5</v>
      </c>
      <c r="R6" s="46">
        <v>1</v>
      </c>
      <c r="S6" s="46">
        <v>0.8</v>
      </c>
      <c r="T6">
        <f>INT(D_怪物表!T605)</f>
        <v>99219</v>
      </c>
      <c r="U6">
        <f>D_怪物表!AH605</f>
        <v>6471.7406747961013</v>
      </c>
      <c r="V6">
        <f>T6/T5</f>
        <v>2.3496578018803134</v>
      </c>
    </row>
    <row r="7" spans="2:22">
      <c r="B7" s="2" t="str">
        <f>怪物并表!$R$9</f>
        <v>金币副本</v>
      </c>
      <c r="C7" s="2">
        <f>怪物信息表!B85</f>
        <v>39</v>
      </c>
      <c r="D7" s="42">
        <f>怪物信息表!C85</f>
        <v>1303</v>
      </c>
      <c r="E7" s="72">
        <f>VLOOKUP($C7,难度推算表,副本难度推算!$M$3,FALSE)*副本难度推算!$Y$5*Q7</f>
        <v>248681.64085945589</v>
      </c>
      <c r="F7" s="72">
        <f>VLOOKUP($C7,难度推算表,副本难度推算!$P$3,FALSE)*副本难度推算!$Z$5*$R7+VLOOKUP($C7,难度推算表,副本难度推算!$H$3,FALSE)</f>
        <v>3408.0365141425427</v>
      </c>
      <c r="G7" s="72">
        <f>VLOOKUP($C7,难度推算表,副本难度推算!$G$3,FALSE)-VLOOKUP($C7,难度推算表,副本难度推算!$I$3,FALSE)*(2-副本难度推算!$AA$5)*(2-$S7)</f>
        <v>1108.1576911906359</v>
      </c>
      <c r="H7" s="72">
        <f>VLOOKUP($C7,难度推算表,副本难度推算!$M$3,FALSE)*副本难度推算!$Y$6*Q7</f>
        <v>198945.31268756473</v>
      </c>
      <c r="I7" s="72">
        <f>VLOOKUP($C7,难度推算表,副本难度推算!$P$3,FALSE)*副本难度推算!$Z$6*$R7+VLOOKUP($C7,难度推算表,副本难度推算!$H$3,FALSE)</f>
        <v>3214.9872215537066</v>
      </c>
      <c r="J7" s="72">
        <f>VLOOKUP($C7,难度推算表,副本难度推算!$G$3,FALSE)-VLOOKUP($C7,难度推算表,副本难度推算!$I$3,FALSE)*(2-副本难度推算!$AA$6)*(2-$S7)</f>
        <v>664.89461471438199</v>
      </c>
      <c r="K7" s="72">
        <f>VLOOKUP($C7,难度推算表,副本难度推算!$M$3,FALSE)*副本难度推算!$Y$7*Q7</f>
        <v>621704.10214863974</v>
      </c>
      <c r="L7" s="72">
        <f>VLOOKUP($C7,难度推算表,副本难度推算!$P$3,FALSE)*副本难度推算!$Z$7*$R7+VLOOKUP($C7,难度推算表,副本难度推算!$H$3,FALSE)</f>
        <v>3794.135099320215</v>
      </c>
      <c r="M7" s="72">
        <f>VLOOKUP($C7,难度推算表,副本难度推算!$G$3,FALSE)-VLOOKUP($C7,难度推算表,副本难度推算!$I$3,FALSE)*(2-副本难度推算!$AA$7)*(2-$S7)</f>
        <v>1551.4207676668898</v>
      </c>
      <c r="N7" s="2">
        <f>VLOOKUP($C7,难度推算表,副本难度推算!$Q$3,FALSE)</f>
        <v>2612.4920000000002</v>
      </c>
      <c r="O7" s="2">
        <f>VLOOKUP($C7,难度推算表,副本难度推算!$R$3,FALSE)</f>
        <v>0</v>
      </c>
      <c r="Q7" s="46">
        <v>4</v>
      </c>
      <c r="R7" s="46">
        <v>1</v>
      </c>
      <c r="S7" s="46">
        <v>0.8</v>
      </c>
      <c r="T7">
        <f>INT(D_怪物表!T606)</f>
        <v>248681</v>
      </c>
      <c r="U7">
        <f>D_怪物表!AH606</f>
        <v>15993.459839711415</v>
      </c>
      <c r="V7">
        <f t="shared" ref="V7:V10" si="0">T7/T6</f>
        <v>2.506384865801913</v>
      </c>
    </row>
    <row r="8" spans="2:22">
      <c r="B8" s="2" t="str">
        <f>怪物并表!$R$9</f>
        <v>金币副本</v>
      </c>
      <c r="C8" s="2">
        <f>怪物信息表!B86</f>
        <v>49</v>
      </c>
      <c r="D8" s="42">
        <f>怪物信息表!C86</f>
        <v>1304</v>
      </c>
      <c r="E8" s="72">
        <f>VLOOKUP($C8,难度推算表,副本难度推算!$M$3,FALSE)*副本难度推算!$Y$5*Q8</f>
        <v>735202.80515448365</v>
      </c>
      <c r="F8" s="72">
        <f>VLOOKUP($C8,难度推算表,副本难度推算!$P$3,FALSE)*副本难度推算!$Z$5*$R8+VLOOKUP($C8,难度推算表,副本难度推算!$H$3,FALSE)</f>
        <v>8591.3842425963048</v>
      </c>
      <c r="G8" s="72">
        <f>VLOOKUP($C8,难度推算表,副本难度推算!$G$3,FALSE)-VLOOKUP($C8,难度推算表,副本难度推算!$I$3,FALSE)*(2-副本难度推算!$AA$5)*(2-$S8)</f>
        <v>2299.4844144682293</v>
      </c>
      <c r="H8" s="72">
        <f>VLOOKUP($C8,难度推算表,副本难度推算!$M$3,FALSE)*副本难度推算!$Y$6*Q8</f>
        <v>588162.24412358692</v>
      </c>
      <c r="I8" s="72">
        <f>VLOOKUP($C8,难度推算表,副本难度推算!$P$3,FALSE)*副本难度推算!$Z$6*$R8+VLOOKUP($C8,难度推算表,副本难度推算!$H$3,FALSE)</f>
        <v>8038.8437402657719</v>
      </c>
      <c r="J8" s="72">
        <f>VLOOKUP($C8,难度推算表,副本难度推算!$G$3,FALSE)-VLOOKUP($C8,难度推算表,副本难度推算!$I$3,FALSE)*(2-副本难度推算!$AA$6)*(2-$S8)</f>
        <v>1379.6906486809385</v>
      </c>
      <c r="K8" s="72">
        <f>VLOOKUP($C8,难度推算表,副本难度推算!$M$3,FALSE)*副本难度推算!$Y$7*Q8</f>
        <v>1838007.0128862092</v>
      </c>
      <c r="L8" s="72">
        <f>VLOOKUP($C8,难度推算表,副本难度推算!$P$3,FALSE)*副本难度推算!$Z$7*$R8+VLOOKUP($C8,难度推算表,副本难度推算!$H$3,FALSE)</f>
        <v>9696.4652472573725</v>
      </c>
      <c r="M8" s="72">
        <f>VLOOKUP($C8,难度推算表,副本难度推算!$G$3,FALSE)-VLOOKUP($C8,难度推算表,副本难度推算!$I$3,FALSE)*(2-副本难度推算!$AA$7)*(2-$S8)</f>
        <v>3219.2781802555201</v>
      </c>
      <c r="N8" s="2">
        <f>VLOOKUP($C8,难度推算表,副本难度推算!$Q$3,FALSE)</f>
        <v>3194.7719999999999</v>
      </c>
      <c r="O8" s="2">
        <f>VLOOKUP($C8,难度推算表,副本难度推算!$R$3,FALSE)</f>
        <v>0</v>
      </c>
      <c r="Q8" s="46">
        <v>5</v>
      </c>
      <c r="R8" s="46">
        <v>1</v>
      </c>
      <c r="S8" s="46">
        <v>0.8</v>
      </c>
      <c r="T8">
        <f>INT(D_怪物表!T607)</f>
        <v>735202</v>
      </c>
      <c r="U8">
        <f>D_怪物表!AH607</f>
        <v>43029.98086324388</v>
      </c>
      <c r="V8">
        <f t="shared" si="0"/>
        <v>2.9564059980456889</v>
      </c>
    </row>
    <row r="9" spans="2:22">
      <c r="B9" s="2" t="str">
        <f>怪物并表!$R$9</f>
        <v>金币副本</v>
      </c>
      <c r="C9" s="2">
        <f>怪物信息表!B87</f>
        <v>59</v>
      </c>
      <c r="D9" s="42">
        <f>怪物信息表!C87</f>
        <v>1305</v>
      </c>
      <c r="E9" s="72">
        <f>VLOOKUP($C9,难度推算表,副本难度推算!$M$3,FALSE)*副本难度推算!$Y$5*Q9</f>
        <v>2147459.5388542395</v>
      </c>
      <c r="F9" s="72">
        <f>VLOOKUP($C9,难度推算表,副本难度推算!$P$3,FALSE)*副本难度推算!$Z$5*$R9+VLOOKUP($C9,难度推算表,副本难度推算!$H$3,FALSE)</f>
        <v>19448.449047028778</v>
      </c>
      <c r="G9" s="72">
        <f>VLOOKUP($C9,难度推算表,副本难度推算!$G$3,FALSE)-VLOOKUP($C9,难度推算表,副本难度推算!$I$3,FALSE)*(2-副本难度推算!$AA$5)*(2-$S9)</f>
        <v>4285.9899875618758</v>
      </c>
      <c r="H9" s="72">
        <f>VLOOKUP($C9,难度推算表,副本难度推算!$M$3,FALSE)*副本难度推算!$Y$6*Q9</f>
        <v>1717967.6310833918</v>
      </c>
      <c r="I9" s="72">
        <f>VLOOKUP($C9,难度推算表,副本难度推算!$P$3,FALSE)*副本难度推算!$Z$6*$R9+VLOOKUP($C9,难度推算表,副本难度推算!$H$3,FALSE)</f>
        <v>18075.069474000818</v>
      </c>
      <c r="J9" s="72">
        <f>VLOOKUP($C9,难度推算表,副本难度推算!$G$3,FALSE)-VLOOKUP($C9,难度推算表,副本难度推算!$I$3,FALSE)*(2-副本难度推算!$AA$6)*(2-$S9)</f>
        <v>2571.5939925371258</v>
      </c>
      <c r="K9" s="72">
        <f>VLOOKUP($C9,难度推算表,副本难度推算!$M$3,FALSE)*副本难度推算!$Y$7*Q9</f>
        <v>5368648.8471355997</v>
      </c>
      <c r="L9" s="72">
        <f>VLOOKUP($C9,难度推算表,副本难度推算!$P$3,FALSE)*副本难度推算!$Z$7*$R9+VLOOKUP($C9,难度推算表,副本难度推算!$H$3,FALSE)</f>
        <v>22195.208193084702</v>
      </c>
      <c r="M9" s="72">
        <f>VLOOKUP($C9,难度推算表,副本难度推算!$G$3,FALSE)-VLOOKUP($C9,难度推算表,副本难度推算!$I$3,FALSE)*(2-副本难度推算!$AA$7)*(2-$S9)</f>
        <v>6000.3859825866248</v>
      </c>
      <c r="N9" s="2">
        <f>VLOOKUP($C9,难度推算表,副本难度推算!$Q$3,FALSE)</f>
        <v>3777.0519999999997</v>
      </c>
      <c r="O9" s="2">
        <f>VLOOKUP($C9,难度推算表,副本难度推算!$R$3,FALSE)</f>
        <v>0</v>
      </c>
      <c r="Q9" s="46">
        <v>7</v>
      </c>
      <c r="R9" s="46">
        <v>1</v>
      </c>
      <c r="S9" s="46">
        <v>0.8</v>
      </c>
      <c r="T9">
        <f>INT(D_怪物表!T608)</f>
        <v>2147459</v>
      </c>
      <c r="U9">
        <f>D_怪物表!AH608</f>
        <v>114180.82058876024</v>
      </c>
      <c r="V9">
        <f t="shared" si="0"/>
        <v>2.9209101716263013</v>
      </c>
    </row>
    <row r="10" spans="2:22">
      <c r="B10" s="2" t="str">
        <f>怪物并表!$R$9</f>
        <v>金币副本</v>
      </c>
      <c r="C10" s="2">
        <f>怪物信息表!B88</f>
        <v>69</v>
      </c>
      <c r="D10" s="42">
        <f>怪物信息表!C88</f>
        <v>1306</v>
      </c>
      <c r="E10" s="72">
        <f>VLOOKUP($C10,难度推算表,副本难度推算!$M$3,FALSE)*副本难度推算!$Y$5*Q10</f>
        <v>5831298.0920660822</v>
      </c>
      <c r="F10" s="72">
        <f>VLOOKUP($C10,难度推算表,副本难度推算!$P$3,FALSE)*副本难度推算!$Z$5*$R10+VLOOKUP($C10,难度推算表,副本难度推算!$H$3,FALSE)</f>
        <v>39584.69585392889</v>
      </c>
      <c r="G10" s="72">
        <f>VLOOKUP($C10,难度推算表,副本难度推算!$G$3,FALSE)-VLOOKUP($C10,难度推算表,副本难度推算!$I$3,FALSE)*(2-副本难度推算!$AA$5)*(2-$S10)</f>
        <v>7375.9080870602083</v>
      </c>
      <c r="H10" s="72">
        <f>VLOOKUP($C10,难度推算表,副本难度推算!$M$3,FALSE)*副本难度推算!$Y$6*Q10</f>
        <v>4665038.4736528657</v>
      </c>
      <c r="I10" s="72">
        <f>VLOOKUP($C10,难度推算表,副本难度推算!$P$3,FALSE)*副本难度推算!$Z$6*$R10+VLOOKUP($C10,难度推算表,副本难度推算!$H$3,FALSE)</f>
        <v>36609.680680144025</v>
      </c>
      <c r="J10" s="72">
        <f>VLOOKUP($C10,难度推算表,副本难度推算!$G$3,FALSE)-VLOOKUP($C10,难度推算表,副本难度推算!$I$3,FALSE)*(2-副本难度推算!$AA$6)*(2-$S10)</f>
        <v>4425.5448522361257</v>
      </c>
      <c r="K10" s="72">
        <f>VLOOKUP($C10,难度推算表,副本难度推算!$M$3,FALSE)*副本难度推算!$Y$7*Q10</f>
        <v>14578245.230165206</v>
      </c>
      <c r="L10" s="72">
        <f>VLOOKUP($C10,难度推算表,副本难度推算!$P$3,FALSE)*副本难度推算!$Z$7*$R10+VLOOKUP($C10,难度推算表,副本难度推算!$H$3,FALSE)</f>
        <v>45534.726201498604</v>
      </c>
      <c r="M10" s="72">
        <f>VLOOKUP($C10,难度推算表,副本难度推算!$G$3,FALSE)-VLOOKUP($C10,难度推算表,副本难度推算!$I$3,FALSE)*(2-副本难度推算!$AA$7)*(2-$S10)</f>
        <v>10326.271321884289</v>
      </c>
      <c r="N10" s="2">
        <f>VLOOKUP($C10,难度推算表,副本难度推算!$Q$3,FALSE)</f>
        <v>4359.3320000000003</v>
      </c>
      <c r="O10" s="2">
        <f>VLOOKUP($C10,难度推算表,副本难度推算!$R$3,FALSE)</f>
        <v>0</v>
      </c>
      <c r="Q10" s="46">
        <v>10</v>
      </c>
      <c r="R10" s="46">
        <v>1</v>
      </c>
      <c r="S10" s="46">
        <v>0.8</v>
      </c>
      <c r="T10">
        <f>INT(D_怪物表!T609)</f>
        <v>5831298</v>
      </c>
      <c r="U10">
        <f>D_怪物表!AH609</f>
        <v>287685.5276236324</v>
      </c>
      <c r="V10">
        <f t="shared" si="0"/>
        <v>2.7154409001522266</v>
      </c>
    </row>
  </sheetData>
  <mergeCells count="4">
    <mergeCell ref="I2:J2"/>
    <mergeCell ref="E3:G3"/>
    <mergeCell ref="H3:J3"/>
    <mergeCell ref="K3:M3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S10"/>
  <sheetViews>
    <sheetView workbookViewId="0">
      <selection activeCell="C14" sqref="C14"/>
    </sheetView>
  </sheetViews>
  <sheetFormatPr defaultRowHeight="13.5"/>
  <cols>
    <col min="5" max="5" width="11.625" bestFit="1" customWidth="1"/>
    <col min="8" max="8" width="11.625" bestFit="1" customWidth="1"/>
    <col min="11" max="11" width="11.625" bestFit="1" customWidth="1"/>
    <col min="18" max="18" width="13.875" bestFit="1" customWidth="1"/>
  </cols>
  <sheetData>
    <row r="3" spans="2:19">
      <c r="E3" s="149" t="s">
        <v>87</v>
      </c>
      <c r="F3" s="149"/>
      <c r="G3" s="149"/>
      <c r="H3" s="149" t="s">
        <v>88</v>
      </c>
      <c r="I3" s="149"/>
      <c r="J3" s="149"/>
      <c r="K3" s="149" t="s">
        <v>89</v>
      </c>
      <c r="L3" s="149"/>
      <c r="M3" s="149"/>
    </row>
    <row r="4" spans="2:19">
      <c r="B4" s="2" t="s">
        <v>284</v>
      </c>
      <c r="C4" s="29" t="s">
        <v>91</v>
      </c>
      <c r="D4" s="30" t="s">
        <v>58</v>
      </c>
      <c r="E4" s="36" t="s">
        <v>92</v>
      </c>
      <c r="F4" s="36" t="s">
        <v>93</v>
      </c>
      <c r="G4" s="36" t="s">
        <v>94</v>
      </c>
      <c r="H4" s="36" t="s">
        <v>92</v>
      </c>
      <c r="I4" s="36" t="s">
        <v>93</v>
      </c>
      <c r="J4" s="36" t="s">
        <v>94</v>
      </c>
      <c r="K4" s="36" t="s">
        <v>92</v>
      </c>
      <c r="L4" s="13" t="s">
        <v>93</v>
      </c>
      <c r="M4" s="13" t="s">
        <v>94</v>
      </c>
      <c r="N4" s="66" t="s">
        <v>339</v>
      </c>
      <c r="O4" s="66" t="s">
        <v>340</v>
      </c>
      <c r="Q4" s="13" t="s">
        <v>356</v>
      </c>
      <c r="R4" s="13" t="s">
        <v>437</v>
      </c>
      <c r="S4" s="13" t="s">
        <v>436</v>
      </c>
    </row>
    <row r="5" spans="2:19">
      <c r="B5" s="2" t="str">
        <f>怪物并表!$R$10</f>
        <v>材料副本</v>
      </c>
      <c r="C5" s="2">
        <f>怪物信息表!G83</f>
        <v>35</v>
      </c>
      <c r="D5" s="2">
        <f>怪物信息表!H83</f>
        <v>1401</v>
      </c>
      <c r="E5" s="72">
        <f>VLOOKUP($C5,难度推算表,副本难度推算!$M$3,FALSE)*副本难度推算!$Y$5*Q5</f>
        <v>29793.914376592424</v>
      </c>
      <c r="F5" s="72">
        <f>VLOOKUP($C5,难度推算表,副本难度推算!$P$3,FALSE)*副本难度推算!$Z$5*$R5+VLOOKUP($C5,难度推算表,副本难度推算!$H$3,FALSE)</f>
        <v>1941.7596691799674</v>
      </c>
      <c r="G5" s="72">
        <f>VLOOKUP($C5,难度推算表,副本难度推算!$G$3,FALSE)-VLOOKUP($C5,难度推算表,副本难度推算!$I$3,FALSE)*(2-副本难度推算!$AA$5)*(2-$S5)</f>
        <v>670.67439130434809</v>
      </c>
      <c r="H5" s="72">
        <f>VLOOKUP($C5,难度推算表,副本难度推算!$M$3,FALSE)*副本难度推算!$Y$6*Q5</f>
        <v>23835.13150127394</v>
      </c>
      <c r="I5" s="72">
        <f>VLOOKUP($C5,难度推算表,副本难度推算!$P$3,FALSE)*副本难度推算!$Z$6*$R5+VLOOKUP($C5,难度推算表,副本难度推算!$H$3,FALSE)</f>
        <v>1854.8916048706665</v>
      </c>
      <c r="J5" s="72">
        <f>VLOOKUP($C5,难度推算表,副本难度推算!$G$3,FALSE)-VLOOKUP($C5,难度推算表,副本难度推算!$I$3,FALSE)*(2-副本难度推算!$AA$6)*(2-$S5)</f>
        <v>321.92370782608759</v>
      </c>
      <c r="K5" s="72">
        <f>VLOOKUP($C5,难度推算表,副本难度推算!$M$3,FALSE)*副本难度推算!$Y$7*Q5</f>
        <v>74484.785941481066</v>
      </c>
      <c r="L5" s="72">
        <f>VLOOKUP($C5,难度推算表,副本难度推算!$P$3,FALSE)*副本难度推算!$Z$7*$R5+VLOOKUP($C5,难度推算表,副本难度推算!$H$3,FALSE)</f>
        <v>2115.4957977985696</v>
      </c>
      <c r="M5" s="72">
        <f>VLOOKUP($C5,难度推算表,副本难度推算!$G$3,FALSE)-VLOOKUP($C5,难度推算表,副本难度推算!$I$3,FALSE)*(2-副本难度推算!$AA$7)*(2-$S5)</f>
        <v>1019.425074782609</v>
      </c>
      <c r="N5" s="2">
        <f>VLOOKUP($C5,难度推算表,副本难度推算!$Q$3,FALSE)</f>
        <v>2379.58</v>
      </c>
      <c r="O5" s="2">
        <f>VLOOKUP($C5,难度推算表,副本难度推算!$R$3,FALSE)</f>
        <v>0</v>
      </c>
      <c r="Q5" s="46">
        <v>0.7</v>
      </c>
      <c r="R5" s="46">
        <v>0.7</v>
      </c>
      <c r="S5" s="46">
        <v>0.7</v>
      </c>
    </row>
    <row r="6" spans="2:19">
      <c r="B6" s="2" t="str">
        <f>怪物并表!$R$10</f>
        <v>材料副本</v>
      </c>
      <c r="C6" s="2">
        <f>怪物信息表!G84</f>
        <v>40</v>
      </c>
      <c r="D6" s="2">
        <f>怪物信息表!H84</f>
        <v>1402</v>
      </c>
      <c r="E6" s="72">
        <f>VLOOKUP($C6,难度推算表,副本难度推算!$M$3,FALSE)*副本难度推算!$Y$5*Q6</f>
        <v>58234.794977605714</v>
      </c>
      <c r="F6" s="72">
        <f>VLOOKUP($C6,难度推算表,副本难度推算!$P$3,FALSE)*副本难度推算!$Z$5*$R6+VLOOKUP($C6,难度推算表,副本难度推算!$H$3,FALSE)</f>
        <v>3450.4248214715735</v>
      </c>
      <c r="G6" s="72">
        <f>VLOOKUP($C6,难度推算表,副本难度推算!$G$3,FALSE)-VLOOKUP($C6,难度推算表,副本难度推算!$I$3,FALSE)*(2-副本难度推算!$AA$5)*(2-$S6)</f>
        <v>1304.4385565217399</v>
      </c>
      <c r="H6" s="72">
        <f>VLOOKUP($C6,难度推算表,副本难度推算!$M$3,FALSE)*副本难度推算!$Y$6*Q6</f>
        <v>46587.835982084573</v>
      </c>
      <c r="I6" s="72">
        <f>VLOOKUP($C6,难度推算表,副本难度推算!$P$3,FALSE)*副本难度推算!$Z$6*$R6+VLOOKUP($C6,难度推算表,副本难度推算!$H$3,FALSE)</f>
        <v>3265.9286232040149</v>
      </c>
      <c r="J6" s="72">
        <f>VLOOKUP($C6,难度推算表,副本难度推算!$G$3,FALSE)-VLOOKUP($C6,难度推算表,副本难度推算!$I$3,FALSE)*(2-副本难度推算!$AA$6)*(2-$S6)</f>
        <v>842.86799036789353</v>
      </c>
      <c r="K6" s="72">
        <f>VLOOKUP($C6,难度推算表,副本难度推算!$M$3,FALSE)*副本难度推算!$Y$7*Q6</f>
        <v>145586.98744401429</v>
      </c>
      <c r="L6" s="72">
        <f>VLOOKUP($C6,难度推算表,副本难度推算!$P$3,FALSE)*副本难度推算!$Z$7*$R6+VLOOKUP($C6,难度推算表,副本难度推算!$H$3,FALSE)</f>
        <v>3819.4172180066907</v>
      </c>
      <c r="M6" s="72">
        <f>VLOOKUP($C6,难度推算表,副本难度推算!$G$3,FALSE)-VLOOKUP($C6,难度推算表,副本难度推算!$I$3,FALSE)*(2-副本难度推算!$AA$7)*(2-$S6)</f>
        <v>1766.009122675586</v>
      </c>
      <c r="N6" s="2">
        <f>VLOOKUP($C6,难度推算表,副本难度推算!$Q$3,FALSE)</f>
        <v>2670.72</v>
      </c>
      <c r="O6" s="2">
        <f>VLOOKUP($C6,难度推算表,副本难度推算!$R$3,FALSE)</f>
        <v>0</v>
      </c>
      <c r="Q6" s="46">
        <v>0.85</v>
      </c>
      <c r="R6" s="46">
        <v>0.85</v>
      </c>
      <c r="S6" s="46">
        <v>0.85</v>
      </c>
    </row>
    <row r="7" spans="2:19">
      <c r="B7" s="2" t="str">
        <f>怪物并表!$R$10</f>
        <v>材料副本</v>
      </c>
      <c r="C7" s="2">
        <f>怪物信息表!G85</f>
        <v>47</v>
      </c>
      <c r="D7" s="2">
        <f>怪物信息表!H85</f>
        <v>1403</v>
      </c>
      <c r="E7" s="72">
        <f>VLOOKUP($C7,难度推算表,副本难度推算!$M$3,FALSE)*副本难度推算!$Y$5*Q7</f>
        <v>125922.2649424351</v>
      </c>
      <c r="F7" s="72">
        <f>VLOOKUP($C7,难度推算表,副本难度推算!$P$3,FALSE)*副本难度推算!$Z$5*$R7+VLOOKUP($C7,难度推算表,副本难度推算!$H$3,FALSE)</f>
        <v>7252.6749534835508</v>
      </c>
      <c r="G7" s="72">
        <f>VLOOKUP($C7,难度推算表,副本难度推算!$G$3,FALSE)-VLOOKUP($C7,难度推算表,副本难度推算!$I$3,FALSE)*(2-副本难度推算!$AA$5)*(2-$S7)</f>
        <v>2690.8275851505027</v>
      </c>
      <c r="H7" s="72">
        <f>VLOOKUP($C7,难度推算表,副本难度推算!$M$3,FALSE)*副本难度推算!$Y$6*Q7</f>
        <v>100737.81195394808</v>
      </c>
      <c r="I7" s="72">
        <f>VLOOKUP($C7,难度推算表,副本难度推算!$P$3,FALSE)*副本难度推算!$Z$6*$R7+VLOOKUP($C7,难度推算表,副本难度推算!$H$3,FALSE)</f>
        <v>6796.490216650247</v>
      </c>
      <c r="J7" s="72">
        <f>VLOOKUP($C7,难度推算表,副本难度推算!$G$3,FALSE)-VLOOKUP($C7,难度推算表,副本难度推算!$I$3,FALSE)*(2-副本难度推算!$AA$6)*(2-$S7)</f>
        <v>2018.1206888628776</v>
      </c>
      <c r="K7" s="72">
        <f>VLOOKUP($C7,难度推算表,副本难度推算!$M$3,FALSE)*副本难度推算!$Y$7*Q7</f>
        <v>314805.66235608776</v>
      </c>
      <c r="L7" s="72">
        <f>VLOOKUP($C7,难度推算表,副本难度推算!$P$3,FALSE)*副本难度推算!$Z$7*$R7+VLOOKUP($C7,难度推算表,副本难度推算!$H$3,FALSE)</f>
        <v>8165.0444271501601</v>
      </c>
      <c r="M7" s="72">
        <f>VLOOKUP($C7,难度推算表,副本难度推算!$G$3,FALSE)-VLOOKUP($C7,难度推算表,副本难度推算!$I$3,FALSE)*(2-副本难度推算!$AA$7)*(2-$S7)</f>
        <v>3363.5344814381278</v>
      </c>
      <c r="N7" s="2">
        <f>VLOOKUP($C7,难度推算表,副本难度推算!$Q$3,FALSE)</f>
        <v>3078.3160000000003</v>
      </c>
      <c r="O7" s="2">
        <f>VLOOKUP($C7,难度推算表,副本难度推算!$R$3,FALSE)</f>
        <v>0</v>
      </c>
      <c r="Q7" s="46">
        <v>1</v>
      </c>
      <c r="R7" s="46">
        <v>1</v>
      </c>
      <c r="S7" s="46">
        <v>1</v>
      </c>
    </row>
    <row r="8" spans="2:19">
      <c r="B8" s="2" t="str">
        <f>怪物并表!$R$10</f>
        <v>材料副本</v>
      </c>
      <c r="C8" s="2">
        <f>怪物信息表!G86</f>
        <v>55</v>
      </c>
      <c r="D8" s="2">
        <f>怪物信息表!H86</f>
        <v>1404</v>
      </c>
      <c r="E8" s="72">
        <f>VLOOKUP($C8,难度推算表,副本难度推算!$M$3,FALSE)*副本难度推算!$Y$5*Q8</f>
        <v>233073.01513015016</v>
      </c>
      <c r="F8" s="72">
        <f>VLOOKUP($C8,难度推算表,副本难度推算!$P$3,FALSE)*副本难度推算!$Z$5*$R8+VLOOKUP($C8,难度推算表,副本难度推算!$H$3,FALSE)</f>
        <v>14274.780887374895</v>
      </c>
      <c r="G8" s="72">
        <f>VLOOKUP($C8,难度推算表,副本难度推算!$G$3,FALSE)-VLOOKUP($C8,难度推算表,副本难度推算!$I$3,FALSE)*(2-副本难度推算!$AA$5)*(2-$S8)</f>
        <v>4533.7095602006693</v>
      </c>
      <c r="H8" s="72">
        <f>VLOOKUP($C8,难度推算表,副本难度推算!$M$3,FALSE)*副本难度推算!$Y$6*Q8</f>
        <v>186458.41210412013</v>
      </c>
      <c r="I8" s="72">
        <f>VLOOKUP($C8,难度推算表,副本难度推算!$P$3,FALSE)*副本难度推算!$Z$6*$R8+VLOOKUP($C8,难度推算表,副本难度推算!$H$3,FALSE)</f>
        <v>13300.673754657473</v>
      </c>
      <c r="J8" s="72">
        <f>VLOOKUP($C8,难度推算表,副本难度推算!$G$3,FALSE)-VLOOKUP($C8,难度推算表,副本难度推算!$I$3,FALSE)*(2-副本难度推算!$AA$6)*(2-$S8)</f>
        <v>3400.2821701505018</v>
      </c>
      <c r="K8" s="72">
        <f>VLOOKUP($C8,难度推算表,副本难度推算!$M$3,FALSE)*副本难度推算!$Y$7*Q8</f>
        <v>582682.53782537545</v>
      </c>
      <c r="L8" s="72">
        <f>VLOOKUP($C8,难度推算表,副本难度推算!$P$3,FALSE)*副本难度推算!$Z$7*$R8+VLOOKUP($C8,难度推算表,副本难度推算!$H$3,FALSE)</f>
        <v>16222.995152809737</v>
      </c>
      <c r="M8" s="72">
        <f>VLOOKUP($C8,难度推算表,副本难度推算!$G$3,FALSE)-VLOOKUP($C8,难度推算表,副本难度推算!$I$3,FALSE)*(2-副本难度推算!$AA$7)*(2-$S8)</f>
        <v>5667.1369502508369</v>
      </c>
      <c r="N8" s="2">
        <f>VLOOKUP($C8,难度推算表,副本难度推算!$Q$3,FALSE)</f>
        <v>3544.1399999999994</v>
      </c>
      <c r="O8" s="2">
        <f>VLOOKUP($C8,难度推算表,副本难度推算!$R$3,FALSE)</f>
        <v>0</v>
      </c>
      <c r="Q8" s="46">
        <v>1</v>
      </c>
      <c r="R8" s="46">
        <v>1</v>
      </c>
      <c r="S8" s="46">
        <v>1</v>
      </c>
    </row>
    <row r="9" spans="2:19">
      <c r="B9" s="2" t="str">
        <f>怪物并表!$R$10</f>
        <v>材料副本</v>
      </c>
      <c r="C9" s="2">
        <f>怪物信息表!G87</f>
        <v>63</v>
      </c>
      <c r="D9" s="2">
        <f>怪物信息表!H87</f>
        <v>1405</v>
      </c>
      <c r="E9" s="72">
        <f>VLOOKUP($C9,难度推算表,副本难度推算!$M$3,FALSE)*副本难度推算!$Y$5*Q9</f>
        <v>402747.15166459483</v>
      </c>
      <c r="F9" s="72">
        <f>VLOOKUP($C9,难度推算表,副本难度推算!$P$3,FALSE)*副本难度推算!$Z$5*$R9+VLOOKUP($C9,难度推算表,副本难度推算!$H$3,FALSE)</f>
        <v>26489.530463118466</v>
      </c>
      <c r="G9" s="72">
        <f>VLOOKUP($C9,难度推算表,副本难度推算!$G$3,FALSE)-VLOOKUP($C9,难度推算表,副本难度推算!$I$3,FALSE)*(2-副本难度推算!$AA$5)*(2-$S9)</f>
        <v>7199.7271380200691</v>
      </c>
      <c r="H9" s="72">
        <f>VLOOKUP($C9,难度推算表,副本难度推算!$M$3,FALSE)*副本难度推算!$Y$6*Q9</f>
        <v>322197.72133167589</v>
      </c>
      <c r="I9" s="72">
        <f>VLOOKUP($C9,难度推算表,副本难度推算!$P$3,FALSE)*副本难度推算!$Z$6*$R9+VLOOKUP($C9,难度推算表,副本难度推算!$H$3,FALSE)</f>
        <v>24560.550130608626</v>
      </c>
      <c r="J9" s="72">
        <f>VLOOKUP($C9,难度推算表,副本难度推算!$G$3,FALSE)-VLOOKUP($C9,难度推算表,副本难度推算!$I$3,FALSE)*(2-副本难度推算!$AA$6)*(2-$S9)</f>
        <v>5399.7953535150518</v>
      </c>
      <c r="K9" s="72">
        <f>VLOOKUP($C9,难度推算表,副本难度推算!$M$3,FALSE)*副本难度推算!$Y$7*Q9</f>
        <v>1006867.8791614871</v>
      </c>
      <c r="L9" s="72">
        <f>VLOOKUP($C9,难度推算表,副本难度推算!$P$3,FALSE)*副本难度推算!$Z$7*$R9+VLOOKUP($C9,难度推算表,副本难度推算!$H$3,FALSE)</f>
        <v>30347.491128138146</v>
      </c>
      <c r="M9" s="72">
        <f>VLOOKUP($C9,难度推算表,副本难度推算!$G$3,FALSE)-VLOOKUP($C9,难度推算表,副本难度推算!$I$3,FALSE)*(2-副本难度推算!$AA$7)*(2-$S9)</f>
        <v>8999.6589225250864</v>
      </c>
      <c r="N9" s="2">
        <f>VLOOKUP($C9,难度推算表,副本难度推算!$Q$3,FALSE)</f>
        <v>4009.9639999999999</v>
      </c>
      <c r="O9" s="2">
        <f>VLOOKUP($C9,难度推算表,副本难度推算!$R$3,FALSE)</f>
        <v>0</v>
      </c>
      <c r="Q9" s="46">
        <v>1</v>
      </c>
      <c r="R9" s="46">
        <v>1</v>
      </c>
      <c r="S9" s="46">
        <v>1</v>
      </c>
    </row>
    <row r="10" spans="2:19">
      <c r="B10" s="2" t="str">
        <f>怪物并表!$R$10</f>
        <v>材料副本</v>
      </c>
      <c r="C10" s="2">
        <f>怪物信息表!G88</f>
        <v>71</v>
      </c>
      <c r="D10" s="2">
        <f>怪物信息表!H88</f>
        <v>1406</v>
      </c>
      <c r="E10" s="72">
        <f>VLOOKUP($C10,难度推算表,副本难度推算!$M$3,FALSE)*副本难度推算!$Y$5*Q10</f>
        <v>658900.95051244006</v>
      </c>
      <c r="F10" s="72">
        <f>VLOOKUP($C10,难度推算表,副本难度推算!$P$3,FALSE)*副本难度推算!$Z$5*$R10+VLOOKUP($C10,难度推算表,副本难度推算!$H$3,FALSE)</f>
        <v>44839.462152910943</v>
      </c>
      <c r="G10" s="72">
        <f>VLOOKUP($C10,难度推算表,副本难度推算!$G$3,FALSE)-VLOOKUP($C10,难度推算表,副本难度推算!$I$3,FALSE)*(2-副本难度推算!$AA$5)*(2-$S10)</f>
        <v>10908.008309404689</v>
      </c>
      <c r="H10" s="72">
        <f>VLOOKUP($C10,难度推算表,副本难度推算!$M$3,FALSE)*副本难度推算!$Y$6*Q10</f>
        <v>527120.76040995202</v>
      </c>
      <c r="I10" s="72">
        <f>VLOOKUP($C10,难度推算表,副本难度推算!$P$3,FALSE)*副本难度推算!$Z$6*$R10+VLOOKUP($C10,难度推算表,副本难度推算!$H$3,FALSE)</f>
        <v>41446.316768560326</v>
      </c>
      <c r="J10" s="72">
        <f>VLOOKUP($C10,难度推算表,副本难度推算!$G$3,FALSE)-VLOOKUP($C10,难度推算表,副本难度推算!$I$3,FALSE)*(2-副本难度推算!$AA$6)*(2-$S10)</f>
        <v>8181.006232053518</v>
      </c>
      <c r="K10" s="72">
        <f>VLOOKUP($C10,难度推算表,副本难度推算!$M$3,FALSE)*副本难度推算!$Y$7*Q10</f>
        <v>1647252.3762811001</v>
      </c>
      <c r="L10" s="72">
        <f>VLOOKUP($C10,难度推算表,副本难度推算!$P$3,FALSE)*副本难度推算!$Z$7*$R10+VLOOKUP($C10,难度推算表,副本难度推算!$H$3,FALSE)</f>
        <v>51625.752921612191</v>
      </c>
      <c r="M10" s="72">
        <f>VLOOKUP($C10,难度推算表,副本难度推算!$G$3,FALSE)-VLOOKUP($C10,难度推算表,副本难度推算!$I$3,FALSE)*(2-副本难度推算!$AA$7)*(2-$S10)</f>
        <v>13635.010386755861</v>
      </c>
      <c r="N10" s="2">
        <f>VLOOKUP($C10,难度推算表,副本难度推算!$Q$3,FALSE)</f>
        <v>4475.7879999999996</v>
      </c>
      <c r="O10" s="2">
        <f>VLOOKUP($C10,难度推算表,副本难度推算!$R$3,FALSE)</f>
        <v>0</v>
      </c>
      <c r="Q10" s="46">
        <v>1</v>
      </c>
      <c r="R10" s="46">
        <v>1</v>
      </c>
      <c r="S10" s="46">
        <v>1</v>
      </c>
    </row>
  </sheetData>
  <mergeCells count="3">
    <mergeCell ref="E3:G3"/>
    <mergeCell ref="H3:J3"/>
    <mergeCell ref="K3:M3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U10"/>
  <sheetViews>
    <sheetView workbookViewId="0">
      <selection activeCell="N39" sqref="N39"/>
    </sheetView>
  </sheetViews>
  <sheetFormatPr defaultRowHeight="13.5"/>
  <cols>
    <col min="2" max="2" width="12.875" customWidth="1"/>
    <col min="5" max="5" width="11.625" bestFit="1" customWidth="1"/>
    <col min="8" max="8" width="11.625" bestFit="1" customWidth="1"/>
    <col min="11" max="11" width="11.625" bestFit="1" customWidth="1"/>
    <col min="13" max="13" width="10.25" customWidth="1"/>
    <col min="18" max="18" width="13.875" bestFit="1" customWidth="1"/>
  </cols>
  <sheetData>
    <row r="3" spans="2:21">
      <c r="E3" s="22" t="s">
        <v>87</v>
      </c>
      <c r="F3" s="22"/>
      <c r="G3" s="22"/>
      <c r="H3" s="22" t="s">
        <v>88</v>
      </c>
      <c r="I3" s="22"/>
      <c r="J3" s="22"/>
      <c r="K3" s="22" t="s">
        <v>89</v>
      </c>
      <c r="L3" s="22"/>
      <c r="M3" s="22"/>
    </row>
    <row r="4" spans="2:21">
      <c r="B4" t="s">
        <v>284</v>
      </c>
      <c r="C4" s="2" t="s">
        <v>91</v>
      </c>
      <c r="D4" s="10" t="s">
        <v>58</v>
      </c>
      <c r="E4" s="13" t="s">
        <v>92</v>
      </c>
      <c r="F4" s="13" t="s">
        <v>93</v>
      </c>
      <c r="G4" s="13" t="s">
        <v>94</v>
      </c>
      <c r="H4" s="13" t="s">
        <v>92</v>
      </c>
      <c r="I4" s="13" t="s">
        <v>93</v>
      </c>
      <c r="J4" s="13" t="s">
        <v>94</v>
      </c>
      <c r="K4" s="13" t="s">
        <v>92</v>
      </c>
      <c r="L4" s="13" t="s">
        <v>93</v>
      </c>
      <c r="M4" s="13" t="s">
        <v>94</v>
      </c>
      <c r="N4" s="66" t="s">
        <v>339</v>
      </c>
      <c r="O4" s="66" t="s">
        <v>340</v>
      </c>
      <c r="Q4" s="13" t="s">
        <v>356</v>
      </c>
      <c r="R4" s="13" t="s">
        <v>437</v>
      </c>
      <c r="S4" s="13" t="s">
        <v>436</v>
      </c>
      <c r="U4" s="99" t="s">
        <v>759</v>
      </c>
    </row>
    <row r="5" spans="2:21">
      <c r="B5" t="str">
        <f>怪物并表!$R$11</f>
        <v>马仔经验副本</v>
      </c>
      <c r="C5" s="2">
        <f>怪物信息表!J83</f>
        <v>11</v>
      </c>
      <c r="D5" s="2">
        <f>怪物信息表!K83</f>
        <v>1801</v>
      </c>
      <c r="E5" s="72">
        <f>VLOOKUP($C5,难度推算表,副本难度推算!$M$3,FALSE)*副本难度推算!$Y$5*Q5</f>
        <v>1708.8119174055728</v>
      </c>
      <c r="F5" s="72">
        <f>VLOOKUP($C5,难度推算表,副本难度推算!$P$3,FALSE)*副本难度推算!$Z$5*$R5+VLOOKUP($C5,难度推算表,副本难度推算!$H$3,FALSE)</f>
        <v>128.66525690810911</v>
      </c>
      <c r="G5" s="72">
        <f>VLOOKUP($C5,难度推算表,副本难度推算!$G$3,FALSE)-VLOOKUP($C5,难度推算表,副本难度推算!$I$3,FALSE)*(2-副本难度推算!$AA$5)*(2-$S5)</f>
        <v>67.865791304347852</v>
      </c>
      <c r="H5" s="72">
        <f>VLOOKUP($C5,难度推算表,副本难度推算!$M$3,FALSE)*副本难度推算!$Y$6*Q5</f>
        <v>1367.0495339244583</v>
      </c>
      <c r="I5" s="72">
        <f>VLOOKUP($C5,难度推算表,副本难度推算!$P$3,FALSE)*副本难度推算!$Z$6*$R5+VLOOKUP($C5,难度推算表,副本难度推算!$H$3,FALSE)</f>
        <v>124.84750339121126</v>
      </c>
      <c r="J5" s="72">
        <f>VLOOKUP($C5,难度推算表,副本难度推算!$G$3,FALSE)-VLOOKUP($C5,难度推算表,副本难度推算!$I$3,FALSE)*(2-副本难度推算!$AA$6)*(2-$S5)</f>
        <v>40.719474782608728</v>
      </c>
      <c r="K5" s="72">
        <f>VLOOKUP($C5,难度推算表,副本难度推算!$M$3,FALSE)*副本难度推算!$Y$7*Q5</f>
        <v>4272.0297935139315</v>
      </c>
      <c r="L5" s="72">
        <f>VLOOKUP($C5,难度推算表,副本难度推算!$P$3,FALSE)*副本难度推算!$Z$7*$R5+VLOOKUP($C5,难度推算表,副本难度推算!$H$3,FALSE)</f>
        <v>136.30076394190485</v>
      </c>
      <c r="M5" s="72">
        <f>VLOOKUP($C5,难度推算表,副本难度推算!$G$3,FALSE)-VLOOKUP($C5,难度推算表,副本难度推算!$I$3,FALSE)*(2-副本难度推算!$AA$7)*(2-$S5)</f>
        <v>95.012107826086961</v>
      </c>
      <c r="N5" s="2">
        <f>VLOOKUP($C5,难度推算表,副本难度推算!$Q$3,FALSE)</f>
        <v>982.10800000000006</v>
      </c>
      <c r="O5" s="2">
        <f>VLOOKUP($C5,难度推算表,副本难度推算!$R$3,FALSE)</f>
        <v>0</v>
      </c>
      <c r="Q5" s="46">
        <v>0.8</v>
      </c>
      <c r="R5" s="46">
        <v>0.8</v>
      </c>
      <c r="S5" s="46">
        <v>0.8</v>
      </c>
    </row>
    <row r="6" spans="2:21">
      <c r="B6" t="str">
        <f>怪物并表!$R$11</f>
        <v>马仔经验副本</v>
      </c>
      <c r="C6" s="2">
        <f>怪物信息表!J84</f>
        <v>28</v>
      </c>
      <c r="D6" s="2">
        <f>怪物信息表!K84</f>
        <v>1802</v>
      </c>
      <c r="E6" s="72">
        <f>VLOOKUP($C6,难度推算表,副本难度推算!$M$3,FALSE)*副本难度推算!$Y$5*Q6</f>
        <v>15938.471691715738</v>
      </c>
      <c r="F6" s="72">
        <f>VLOOKUP($C6,难度推算表,副本难度推算!$P$3,FALSE)*副本难度推算!$Z$5*$R6+VLOOKUP($C6,难度推算表,副本难度推算!$H$3,FALSE)</f>
        <v>1014.7121839773606</v>
      </c>
      <c r="G6" s="72">
        <f>VLOOKUP($C6,难度推算表,副本难度推算!$G$3,FALSE)-VLOOKUP($C6,难度推算表,副本难度推算!$I$3,FALSE)*(2-副本难度推算!$AA$5)*(2-$S6)</f>
        <v>422.96620093645492</v>
      </c>
      <c r="H6" s="72">
        <f>VLOOKUP($C6,难度推算表,副本难度推算!$M$3,FALSE)*副本难度推算!$Y$6*Q6</f>
        <v>12750.777353372592</v>
      </c>
      <c r="I6" s="72">
        <f>VLOOKUP($C6,难度推算表,副本难度推算!$P$3,FALSE)*副本难度推算!$Z$6*$R6+VLOOKUP($C6,难度推算表,副本难度推算!$H$3,FALSE)</f>
        <v>969.63645903781855</v>
      </c>
      <c r="J6" s="72">
        <f>VLOOKUP($C6,难度推算表,副本难度推算!$G$3,FALSE)-VLOOKUP($C6,难度推算表,副本难度推算!$I$3,FALSE)*(2-副本难度推算!$AA$6)*(2-$S6)</f>
        <v>253.77972056187298</v>
      </c>
      <c r="K6" s="72">
        <f>VLOOKUP($C6,难度推算表,副本难度推算!$M$3,FALSE)*副本难度推算!$Y$7*Q6</f>
        <v>39846.179229289351</v>
      </c>
      <c r="L6" s="72">
        <f>VLOOKUP($C6,难度推算表,副本难度推算!$P$3,FALSE)*副本难度推算!$Z$7*$R6+VLOOKUP($C6,难度推算表,副本难度推算!$H$3,FALSE)</f>
        <v>1104.8636338564447</v>
      </c>
      <c r="M6" s="72">
        <f>VLOOKUP($C6,难度推算表,副本难度推算!$G$3,FALSE)-VLOOKUP($C6,难度推算表,副本难度推算!$I$3,FALSE)*(2-副本难度推算!$AA$7)*(2-$S6)</f>
        <v>592.15268131103699</v>
      </c>
      <c r="N6" s="2">
        <f>VLOOKUP($C6,难度推算表,副本难度推算!$Q$3,FALSE)</f>
        <v>1971.9840000000002</v>
      </c>
      <c r="O6" s="2">
        <f>VLOOKUP($C6,难度推算表,副本难度推算!$R$3,FALSE)</f>
        <v>0</v>
      </c>
      <c r="Q6" s="46">
        <v>0.8</v>
      </c>
      <c r="R6" s="46">
        <v>0.8</v>
      </c>
      <c r="S6" s="46">
        <v>0.8</v>
      </c>
    </row>
    <row r="7" spans="2:21">
      <c r="B7" t="str">
        <f>怪物并表!$R$11</f>
        <v>马仔经验副本</v>
      </c>
      <c r="C7" s="2">
        <f>怪物信息表!J85</f>
        <v>38</v>
      </c>
      <c r="D7" s="2">
        <f>怪物信息表!K85</f>
        <v>1803</v>
      </c>
      <c r="E7" s="72">
        <f>VLOOKUP($C7,难度推算表,副本难度推算!$M$3,FALSE)*副本难度推算!$Y$5*Q7</f>
        <v>45427.613923982688</v>
      </c>
      <c r="F7" s="72">
        <f>VLOOKUP($C7,难度推算表,副本难度推算!$P$3,FALSE)*副本难度推算!$Z$5*$R7+VLOOKUP($C7,难度推算表,副本难度推算!$H$3,FALSE)</f>
        <v>2751.2315793914086</v>
      </c>
      <c r="G7" s="72">
        <f>VLOOKUP($C7,难度推算表,副本难度推算!$G$3,FALSE)-VLOOKUP($C7,难度推算表,副本难度推算!$I$3,FALSE)*(2-副本难度推算!$AA$5)*(2-$S7)</f>
        <v>1026.7846783946493</v>
      </c>
      <c r="H7" s="72">
        <f>VLOOKUP($C7,难度推算表,副本难度推算!$M$3,FALSE)*副本难度推算!$Y$6*Q7</f>
        <v>36342.091139186152</v>
      </c>
      <c r="I7" s="72">
        <f>VLOOKUP($C7,难度推算表,副本难度推算!$P$3,FALSE)*副本难度推算!$Z$6*$R7+VLOOKUP($C7,难度推算表,副本难度推算!$H$3,FALSE)</f>
        <v>2613.0130452382209</v>
      </c>
      <c r="J7" s="72">
        <f>VLOOKUP($C7,难度推算表,副本难度推算!$G$3,FALSE)-VLOOKUP($C7,难度推算表,副本难度推算!$I$3,FALSE)*(2-副本难度推算!$AA$6)*(2-$S7)</f>
        <v>616.07080703679003</v>
      </c>
      <c r="K7" s="72">
        <f>VLOOKUP($C7,难度推算表,副本难度推算!$M$3,FALSE)*副本难度推算!$Y$7*Q7</f>
        <v>113569.03480995673</v>
      </c>
      <c r="L7" s="72">
        <f>VLOOKUP($C7,难度推算表,副本难度推算!$P$3,FALSE)*副本难度推算!$Z$7*$R7+VLOOKUP($C7,难度推算表,副本难度推算!$H$3,FALSE)</f>
        <v>3027.6686476977839</v>
      </c>
      <c r="M7" s="72">
        <f>VLOOKUP($C7,难度推算表,副本难度推算!$G$3,FALSE)-VLOOKUP($C7,难度推算表,副本难度推算!$I$3,FALSE)*(2-副本难度推算!$AA$7)*(2-$S7)</f>
        <v>1437.4985497525086</v>
      </c>
      <c r="N7" s="2">
        <f>VLOOKUP($C7,难度推算表,副本难度推算!$Q$3,FALSE)</f>
        <v>2554.2640000000001</v>
      </c>
      <c r="O7" s="2">
        <f>VLOOKUP($C7,难度推算表,副本难度推算!$R$3,FALSE)</f>
        <v>0</v>
      </c>
      <c r="Q7" s="46">
        <v>0.8</v>
      </c>
      <c r="R7" s="46">
        <v>0.8</v>
      </c>
      <c r="S7" s="46">
        <v>0.8</v>
      </c>
    </row>
    <row r="8" spans="2:21">
      <c r="B8" t="str">
        <f>怪物并表!$R$11</f>
        <v>马仔经验副本</v>
      </c>
      <c r="C8" s="2">
        <f>怪物信息表!J86</f>
        <v>48</v>
      </c>
      <c r="D8" s="2">
        <f>怪物信息表!K86</f>
        <v>1804</v>
      </c>
      <c r="E8" s="72">
        <f>VLOOKUP($C8,难度推算表,副本难度推算!$M$3,FALSE)*副本难度推算!$Y$5*Q8</f>
        <v>108956.09506961306</v>
      </c>
      <c r="F8" s="72">
        <f>VLOOKUP($C8,难度推算表,副本难度推算!$P$3,FALSE)*副本难度推算!$Z$5*$R8+VLOOKUP($C8,难度推算表,副本难度推算!$H$3,FALSE)</f>
        <v>6895.0148143585775</v>
      </c>
      <c r="G8" s="72">
        <f>VLOOKUP($C8,难度推算表,副本难度推算!$G$3,FALSE)-VLOOKUP($C8,难度推算表,副本难度推算!$I$3,FALSE)*(2-副本难度推算!$AA$5)*(2-$S8)</f>
        <v>2155.9589593043493</v>
      </c>
      <c r="H8" s="72">
        <f>VLOOKUP($C8,难度推算表,副本难度推算!$M$3,FALSE)*副本难度推算!$Y$6*Q8</f>
        <v>87164.87605569046</v>
      </c>
      <c r="I8" s="72">
        <f>VLOOKUP($C8,难度推算表,副本难度推算!$P$3,FALSE)*副本难度推算!$Z$6*$R8+VLOOKUP($C8,难度推算表,副本难度推算!$H$3,FALSE)</f>
        <v>6492.9745274966326</v>
      </c>
      <c r="J8" s="72">
        <f>VLOOKUP($C8,难度推算表,副本难度推算!$G$3,FALSE)-VLOOKUP($C8,难度推算表,副本难度推算!$I$3,FALSE)*(2-副本难度推算!$AA$6)*(2-$S8)</f>
        <v>1293.5753755826099</v>
      </c>
      <c r="K8" s="72">
        <f>VLOOKUP($C8,难度推算表,副本难度推算!$M$3,FALSE)*副本难度推算!$Y$7*Q8</f>
        <v>272390.23767403263</v>
      </c>
      <c r="L8" s="72">
        <f>VLOOKUP($C8,难度推算表,副本难度推算!$P$3,FALSE)*副本难度推算!$Z$7*$R8+VLOOKUP($C8,难度推算表,副本难度推算!$H$3,FALSE)</f>
        <v>7699.0953880824654</v>
      </c>
      <c r="M8" s="72">
        <f>VLOOKUP($C8,难度推算表,副本难度推算!$G$3,FALSE)-VLOOKUP($C8,难度推算表,副本难度推算!$I$3,FALSE)*(2-副本难度推算!$AA$7)*(2-$S8)</f>
        <v>3018.3425430260882</v>
      </c>
      <c r="N8" s="2">
        <f>VLOOKUP($C8,难度推算表,副本难度推算!$Q$3,FALSE)</f>
        <v>3136.5439999999999</v>
      </c>
      <c r="O8" s="2">
        <f>VLOOKUP($C8,难度推算表,副本难度推算!$R$3,FALSE)</f>
        <v>0</v>
      </c>
      <c r="Q8" s="46">
        <v>0.8</v>
      </c>
      <c r="R8" s="46">
        <v>0.8</v>
      </c>
      <c r="S8" s="46">
        <v>0.8</v>
      </c>
    </row>
    <row r="9" spans="2:21">
      <c r="B9" t="str">
        <f>怪物并表!$R$11</f>
        <v>马仔经验副本</v>
      </c>
      <c r="C9" s="2">
        <f>怪物信息表!J87</f>
        <v>58</v>
      </c>
      <c r="D9" s="2">
        <f>怪物信息表!K87</f>
        <v>1805</v>
      </c>
      <c r="E9" s="72">
        <f>VLOOKUP($C9,难度推算表,副本难度推算!$M$3,FALSE)*副本难度推算!$Y$5*Q9</f>
        <v>229610.29624235188</v>
      </c>
      <c r="F9" s="72">
        <f>VLOOKUP($C9,难度推算表,副本难度推算!$P$3,FALSE)*副本难度推算!$Z$5*$R9+VLOOKUP($C9,难度推算表,副本难度推算!$H$3,FALSE)</f>
        <v>15508.770848881637</v>
      </c>
      <c r="G9" s="72">
        <f>VLOOKUP($C9,难度推算表,副本难度推算!$G$3,FALSE)-VLOOKUP($C9,难度推算表,副本难度推算!$I$3,FALSE)*(2-副本难度推算!$AA$5)*(2-$S9)</f>
        <v>4052.6125463678945</v>
      </c>
      <c r="H9" s="72">
        <f>VLOOKUP($C9,难度推算表,副本难度推算!$M$3,FALSE)*副本难度推算!$Y$6*Q9</f>
        <v>183688.23699388152</v>
      </c>
      <c r="I9" s="72">
        <f>VLOOKUP($C9,难度推算表,副本难度推算!$P$3,FALSE)*副本难度推算!$Z$6*$R9+VLOOKUP($C9,难度推算表,副本难度推算!$H$3,FALSE)</f>
        <v>14498.242103509194</v>
      </c>
      <c r="J9" s="72">
        <f>VLOOKUP($C9,难度推算表,副本难度推算!$G$3,FALSE)-VLOOKUP($C9,难度推算表,副本难度推算!$I$3,FALSE)*(2-副本难度推算!$AA$6)*(2-$S9)</f>
        <v>2431.5675278207364</v>
      </c>
      <c r="K9" s="72">
        <f>VLOOKUP($C9,难度推算表,副本难度推算!$M$3,FALSE)*副本难度推算!$Y$7*Q9</f>
        <v>574025.74060587969</v>
      </c>
      <c r="L9" s="72">
        <f>VLOOKUP($C9,难度推算表,副本难度推算!$P$3,FALSE)*副本难度推算!$Z$7*$R9+VLOOKUP($C9,难度推算表,副本难度推算!$H$3,FALSE)</f>
        <v>17529.828339626525</v>
      </c>
      <c r="M9" s="72">
        <f>VLOOKUP($C9,难度推算表,副本难度推算!$G$3,FALSE)-VLOOKUP($C9,难度推算表,副本难度推算!$I$3,FALSE)*(2-副本难度推算!$AA$7)*(2-$S9)</f>
        <v>5673.6575649150527</v>
      </c>
      <c r="N9" s="2">
        <f>VLOOKUP($C9,难度推算表,副本难度推算!$Q$3,FALSE)</f>
        <v>3718.8240000000001</v>
      </c>
      <c r="O9" s="2">
        <f>VLOOKUP($C9,难度推算表,副本难度推算!$R$3,FALSE)</f>
        <v>0</v>
      </c>
      <c r="Q9" s="46">
        <v>0.8</v>
      </c>
      <c r="R9" s="46">
        <v>0.8</v>
      </c>
      <c r="S9" s="46">
        <v>0.8</v>
      </c>
    </row>
    <row r="10" spans="2:21">
      <c r="B10" t="str">
        <f>怪物并表!$R$11</f>
        <v>马仔经验副本</v>
      </c>
      <c r="C10" s="2">
        <f>怪物信息表!J88</f>
        <v>68</v>
      </c>
      <c r="D10" s="2">
        <f>怪物信息表!K88</f>
        <v>1806</v>
      </c>
      <c r="E10" s="72">
        <f>VLOOKUP($C10,难度推算表,副本难度推算!$M$3,FALSE)*副本难度推算!$Y$5*Q10</f>
        <v>439822.68474557926</v>
      </c>
      <c r="F10" s="72">
        <f>VLOOKUP($C10,难度推算表,副本难度推算!$P$3,FALSE)*副本难度推算!$Z$5*$R10+VLOOKUP($C10,难度推算表,副本难度推算!$H$3,FALSE)</f>
        <v>31698.714012265787</v>
      </c>
      <c r="G10" s="72">
        <f>VLOOKUP($C10,难度推算表,副本难度推算!$G$3,FALSE)-VLOOKUP($C10,难度推算表,副本难度推算!$I$3,FALSE)*(2-副本难度推算!$AA$5)*(2-$S10)</f>
        <v>7019.9809977792702</v>
      </c>
      <c r="H10" s="72">
        <f>VLOOKUP($C10,难度推算表,副本难度推算!$M$3,FALSE)*副本难度推算!$Y$6*Q10</f>
        <v>351858.14779646345</v>
      </c>
      <c r="I10" s="72">
        <f>VLOOKUP($C10,难度推算表,副本难度推算!$P$3,FALSE)*副本难度推算!$Z$6*$R10+VLOOKUP($C10,难度推算表,副本难度推算!$H$3,FALSE)</f>
        <v>29464.840077409775</v>
      </c>
      <c r="J10" s="72">
        <f>VLOOKUP($C10,难度推算表,副本难度推算!$G$3,FALSE)-VLOOKUP($C10,难度推算表,副本难度推算!$I$3,FALSE)*(2-副本难度推算!$AA$6)*(2-$S10)</f>
        <v>4211.9885986675617</v>
      </c>
      <c r="K10" s="72">
        <f>VLOOKUP($C10,难度推算表,副本难度推算!$M$3,FALSE)*副本难度推算!$Y$7*Q10</f>
        <v>1099556.711863948</v>
      </c>
      <c r="L10" s="72">
        <f>VLOOKUP($C10,难度推算表,副本难度推算!$P$3,FALSE)*副本难度推算!$Z$7*$R10+VLOOKUP($C10,难度推算表,副本难度推算!$H$3,FALSE)</f>
        <v>36166.461881977797</v>
      </c>
      <c r="M10" s="72">
        <f>VLOOKUP($C10,难度推算表,副本难度推算!$G$3,FALSE)-VLOOKUP($C10,难度推算表,副本难度推算!$I$3,FALSE)*(2-副本难度推算!$AA$7)*(2-$S10)</f>
        <v>9827.9733968909804</v>
      </c>
      <c r="N10" s="2">
        <f>VLOOKUP($C10,难度推算表,副本难度推算!$Q$3,FALSE)</f>
        <v>4301.1040000000003</v>
      </c>
      <c r="O10" s="2">
        <f>VLOOKUP($C10,难度推算表,副本难度推算!$R$3,FALSE)</f>
        <v>0</v>
      </c>
      <c r="Q10" s="46">
        <v>0.8</v>
      </c>
      <c r="R10" s="46">
        <v>0.8</v>
      </c>
      <c r="S10" s="46">
        <v>0.8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U10"/>
  <sheetViews>
    <sheetView workbookViewId="0">
      <selection activeCell="O23" sqref="O23"/>
    </sheetView>
  </sheetViews>
  <sheetFormatPr defaultRowHeight="13.5"/>
  <cols>
    <col min="5" max="5" width="11.625" bestFit="1" customWidth="1"/>
    <col min="6" max="6" width="9.5" bestFit="1" customWidth="1"/>
    <col min="7" max="7" width="8.5" bestFit="1" customWidth="1"/>
    <col min="8" max="8" width="11.625" bestFit="1" customWidth="1"/>
    <col min="9" max="9" width="9.5" bestFit="1" customWidth="1"/>
    <col min="10" max="10" width="8.5" bestFit="1" customWidth="1"/>
    <col min="11" max="11" width="12.75" bestFit="1" customWidth="1"/>
    <col min="12" max="12" width="9.5" bestFit="1" customWidth="1"/>
    <col min="13" max="13" width="8.5" bestFit="1" customWidth="1"/>
  </cols>
  <sheetData>
    <row r="3" spans="2:21">
      <c r="E3" s="22" t="s">
        <v>87</v>
      </c>
      <c r="F3" s="22"/>
      <c r="G3" s="22"/>
      <c r="H3" s="22" t="s">
        <v>88</v>
      </c>
      <c r="I3" s="22"/>
      <c r="J3" s="22"/>
      <c r="K3" s="22" t="s">
        <v>89</v>
      </c>
      <c r="L3" s="22"/>
      <c r="M3" s="22"/>
    </row>
    <row r="4" spans="2:21">
      <c r="B4" s="2" t="s">
        <v>284</v>
      </c>
      <c r="C4" s="29" t="s">
        <v>91</v>
      </c>
      <c r="D4" s="30" t="s">
        <v>58</v>
      </c>
      <c r="E4" s="13" t="s">
        <v>92</v>
      </c>
      <c r="F4" s="13" t="s">
        <v>93</v>
      </c>
      <c r="G4" s="13" t="s">
        <v>94</v>
      </c>
      <c r="H4" s="13" t="s">
        <v>92</v>
      </c>
      <c r="I4" s="13" t="s">
        <v>93</v>
      </c>
      <c r="J4" s="13" t="s">
        <v>94</v>
      </c>
      <c r="K4" s="13" t="s">
        <v>92</v>
      </c>
      <c r="L4" s="13" t="s">
        <v>93</v>
      </c>
      <c r="M4" s="13" t="s">
        <v>94</v>
      </c>
      <c r="N4" s="66" t="s">
        <v>339</v>
      </c>
      <c r="O4" s="66" t="s">
        <v>340</v>
      </c>
      <c r="Q4" s="13" t="s">
        <v>356</v>
      </c>
      <c r="R4" s="13" t="s">
        <v>437</v>
      </c>
      <c r="S4" s="13" t="s">
        <v>436</v>
      </c>
      <c r="U4" s="99" t="s">
        <v>758</v>
      </c>
    </row>
    <row r="5" spans="2:21">
      <c r="B5" s="2" t="str">
        <f>怪物并表!$R$12</f>
        <v>命运副本</v>
      </c>
      <c r="C5" s="2">
        <f>怪物信息表!M83</f>
        <v>23</v>
      </c>
      <c r="D5" s="2">
        <f>怪物信息表!N83</f>
        <v>1701</v>
      </c>
      <c r="E5" s="72">
        <f>VLOOKUP($C5,难度推算表,副本难度推算!$M$3,FALSE)*副本难度推算!$Y$5*Q5</f>
        <v>9120.3246440730254</v>
      </c>
      <c r="F5" s="72">
        <f>VLOOKUP($C5,难度推算表,副本难度推算!$P$3,FALSE)*副本难度推算!$Z$5*$R5+VLOOKUP($C5,难度推算表,副本难度推算!$H$3,FALSE)</f>
        <v>581.07401795328519</v>
      </c>
      <c r="G5" s="72">
        <f>VLOOKUP($C5,难度推算表,副本难度推算!$G$3,FALSE)-VLOOKUP($C5,难度推算表,副本难度推算!$I$3,FALSE)*(2-副本难度推算!$AA$5)*(2-$S5)</f>
        <v>266.29066354515066</v>
      </c>
      <c r="H5" s="72">
        <f>VLOOKUP($C5,难度推算表,副本难度推算!$M$3,FALSE)*副本难度推算!$Y$6*Q5</f>
        <v>7296.2597152584203</v>
      </c>
      <c r="I5" s="72">
        <f>VLOOKUP($C5,难度推算表,副本难度推算!$P$3,FALSE)*副本难度推算!$Z$6*$R5+VLOOKUP($C5,难度推算表,副本难度推算!$H$3,FALSE)</f>
        <v>558.47203796397673</v>
      </c>
      <c r="J5" s="72">
        <f>VLOOKUP($C5,难度推算表,副本难度推算!$G$3,FALSE)-VLOOKUP($C5,难度推算表,副本难度推算!$I$3,FALSE)*(2-副本难度推算!$AA$6)*(2-$S5)</f>
        <v>159.77439812709042</v>
      </c>
      <c r="K5" s="72">
        <f>VLOOKUP($C5,难度推算表,副本难度推算!$M$3,FALSE)*副本难度推算!$Y$7*Q5</f>
        <v>22800.811610182562</v>
      </c>
      <c r="L5" s="72">
        <f>VLOOKUP($C5,难度推算表,副本难度推算!$P$3,FALSE)*副本难度推算!$Z$7*$R5+VLOOKUP($C5,难度推算表,副本难度推算!$H$3,FALSE)</f>
        <v>626.27797793190211</v>
      </c>
      <c r="M5" s="72">
        <f>VLOOKUP($C5,难度推算表,副本难度推算!$G$3,FALSE)-VLOOKUP($C5,难度推算表,副本难度推算!$I$3,FALSE)*(2-副本难度推算!$AA$7)*(2-$S5)</f>
        <v>372.80692896321079</v>
      </c>
      <c r="N5" s="2">
        <f>VLOOKUP($C5,难度推算表,副本难度推算!$Q$3,FALSE)</f>
        <v>1680.8440000000001</v>
      </c>
      <c r="O5" s="2">
        <f>VLOOKUP($C5,难度推算表,副本难度推算!$R$3,FALSE)</f>
        <v>0</v>
      </c>
      <c r="Q5" s="46">
        <v>0.8</v>
      </c>
      <c r="R5" s="46">
        <v>0.75</v>
      </c>
      <c r="S5" s="46">
        <v>0.8</v>
      </c>
    </row>
    <row r="6" spans="2:21">
      <c r="B6" s="2" t="str">
        <f>怪物并表!$R$12</f>
        <v>命运副本</v>
      </c>
      <c r="C6" s="2">
        <f>怪物信息表!M84</f>
        <v>33</v>
      </c>
      <c r="D6" s="2">
        <f>怪物信息表!N84</f>
        <v>1702</v>
      </c>
      <c r="E6" s="72">
        <f>VLOOKUP($C6,难度推算表,副本难度推算!$M$3,FALSE)*副本难度推算!$Y$5*Q6</f>
        <v>27658.557114366624</v>
      </c>
      <c r="F6" s="72">
        <f>VLOOKUP($C6,难度推算表,副本难度推算!$P$3,FALSE)*副本难度推算!$Z$5*$R6+VLOOKUP($C6,难度推算表,副本难度推算!$H$3,FALSE)</f>
        <v>1653.9813600655095</v>
      </c>
      <c r="G6" s="72">
        <f>VLOOKUP($C6,难度推算表,副本难度推算!$G$3,FALSE)-VLOOKUP($C6,难度推算表,副本难度推算!$I$3,FALSE)*(2-副本难度推算!$AA$5)*(2-$S6)</f>
        <v>674.52897055184008</v>
      </c>
      <c r="H6" s="72">
        <f>VLOOKUP($C6,难度推算表,副本难度推算!$M$3,FALSE)*副本难度推算!$Y$6*Q6</f>
        <v>22126.845691493301</v>
      </c>
      <c r="I6" s="72">
        <f>VLOOKUP($C6,难度推算表,副本难度推算!$P$3,FALSE)*副本难度推算!$Z$6*$R6+VLOOKUP($C6,难度推算表,副本难度推算!$H$3,FALSE)</f>
        <v>1578.5204201325373</v>
      </c>
      <c r="J6" s="72">
        <f>VLOOKUP($C6,难度推算表,副本难度推算!$G$3,FALSE)-VLOOKUP($C6,难度推算表,副本难度推算!$I$3,FALSE)*(2-副本难度推算!$AA$6)*(2-$S6)</f>
        <v>404.71738233110432</v>
      </c>
      <c r="K6" s="72">
        <f>VLOOKUP($C6,难度推算表,副本难度推算!$M$3,FALSE)*副本难度推算!$Y$7*Q6</f>
        <v>69146.392785916556</v>
      </c>
      <c r="L6" s="72">
        <f>VLOOKUP($C6,难度推算表,副本难度推算!$P$3,FALSE)*副本难度推算!$Z$7*$R6+VLOOKUP($C6,难度推算表,副本难度推算!$H$3,FALSE)</f>
        <v>1804.903239931454</v>
      </c>
      <c r="M6" s="72">
        <f>VLOOKUP($C6,难度推算表,副本难度推算!$G$3,FALSE)-VLOOKUP($C6,难度推算表,副本难度推算!$I$3,FALSE)*(2-副本难度推算!$AA$7)*(2-$S6)</f>
        <v>944.34055877257583</v>
      </c>
      <c r="N6" s="2">
        <f>VLOOKUP($C6,难度推算表,副本难度推算!$Q$3,FALSE)</f>
        <v>2263.1239999999998</v>
      </c>
      <c r="O6" s="2">
        <f>VLOOKUP($C6,难度推算表,副本难度推算!$R$3,FALSE)</f>
        <v>0</v>
      </c>
      <c r="Q6" s="46">
        <v>0.8</v>
      </c>
      <c r="R6" s="46">
        <v>0.75</v>
      </c>
      <c r="S6" s="46">
        <v>0.8</v>
      </c>
    </row>
    <row r="7" spans="2:21">
      <c r="B7" s="2" t="str">
        <f>怪物并表!$R$12</f>
        <v>命运副本</v>
      </c>
      <c r="C7" s="2">
        <f>怪物信息表!M85</f>
        <v>43</v>
      </c>
      <c r="D7" s="2">
        <f>怪物信息表!N85</f>
        <v>1703</v>
      </c>
      <c r="E7" s="72">
        <f>VLOOKUP($C7,难度推算表,副本难度推算!$M$3,FALSE)*副本难度推算!$Y$5*Q7</f>
        <v>72150.087208842742</v>
      </c>
      <c r="F7" s="72">
        <f>VLOOKUP($C7,难度推算表,副本难度推算!$P$3,FALSE)*副本难度推算!$Z$5*$R7+VLOOKUP($C7,难度推算表,副本难度推算!$H$3,FALSE)</f>
        <v>4301.482001819355</v>
      </c>
      <c r="G7" s="72">
        <f>VLOOKUP($C7,难度推算表,副本难度推算!$G$3,FALSE)-VLOOKUP($C7,难度推算表,副本难度推算!$I$3,FALSE)*(2-副本难度推算!$AA$5)*(2-$S7)</f>
        <v>1521.6402069632113</v>
      </c>
      <c r="H7" s="72">
        <f>VLOOKUP($C7,难度推算表,副本难度推算!$M$3,FALSE)*副本难度推算!$Y$6*Q7</f>
        <v>57720.069767074194</v>
      </c>
      <c r="I7" s="72">
        <f>VLOOKUP($C7,难度推算表,副本难度推算!$P$3,FALSE)*副本难度推算!$Z$6*$R7+VLOOKUP($C7,难度推算表,副本难度推算!$H$3,FALSE)</f>
        <v>4074.2191625658479</v>
      </c>
      <c r="J7" s="72">
        <f>VLOOKUP($C7,难度推算表,副本难度推算!$G$3,FALSE)-VLOOKUP($C7,难度推算表,副本难度推算!$I$3,FALSE)*(2-副本难度推算!$AA$6)*(2-$S7)</f>
        <v>912.98412417792724</v>
      </c>
      <c r="K7" s="72">
        <f>VLOOKUP($C7,难度推算表,副本难度推算!$M$3,FALSE)*副本难度推算!$Y$7*Q7</f>
        <v>180375.21802210688</v>
      </c>
      <c r="L7" s="72">
        <f>VLOOKUP($C7,难度推算表,副本难度推算!$P$3,FALSE)*副本难度推算!$Z$7*$R7+VLOOKUP($C7,难度推算表,副本难度推算!$H$3,FALSE)</f>
        <v>4756.0076803263701</v>
      </c>
      <c r="M7" s="72">
        <f>VLOOKUP($C7,难度推算表,副本难度推算!$G$3,FALSE)-VLOOKUP($C7,难度推算表,副本难度推算!$I$3,FALSE)*(2-副本难度推算!$AA$7)*(2-$S7)</f>
        <v>2130.2962897484954</v>
      </c>
      <c r="N7" s="2">
        <f>VLOOKUP($C7,难度推算表,副本难度推算!$Q$3,FALSE)</f>
        <v>2845.404</v>
      </c>
      <c r="O7" s="2">
        <f>VLOOKUP($C7,难度推算表,副本难度推算!$R$3,FALSE)</f>
        <v>0</v>
      </c>
      <c r="Q7" s="46">
        <v>0.8</v>
      </c>
      <c r="R7" s="46">
        <v>0.75</v>
      </c>
      <c r="S7" s="46">
        <v>0.8</v>
      </c>
    </row>
    <row r="8" spans="2:21">
      <c r="B8" s="2" t="str">
        <f>怪物并表!$R$12</f>
        <v>命运副本</v>
      </c>
      <c r="C8" s="2">
        <f>怪物信息表!M86</f>
        <v>52</v>
      </c>
      <c r="D8" s="2">
        <f>怪物信息表!N86</f>
        <v>1704</v>
      </c>
      <c r="E8" s="72">
        <f>VLOOKUP($C8,难度推算表,副本难度推算!$M$3,FALSE)*副本难度推算!$Y$5*Q8</f>
        <v>149310.5062429524</v>
      </c>
      <c r="F8" s="72">
        <f>VLOOKUP($C8,难度推算表,副本难度推算!$P$3,FALSE)*副本难度推算!$Z$5*$R8+VLOOKUP($C8,难度推算表,副本难度推算!$H$3,FALSE)</f>
        <v>9306.5259359470365</v>
      </c>
      <c r="G8" s="72">
        <f>VLOOKUP($C8,难度推算表,副本难度推算!$G$3,FALSE)-VLOOKUP($C8,难度推算表,副本难度推算!$I$3,FALSE)*(2-副本难度推算!$AA$5)*(2-$S8)</f>
        <v>2817.0307028227435</v>
      </c>
      <c r="H8" s="72">
        <f>VLOOKUP($C8,难度推算表,副本难度推算!$M$3,FALSE)*副本难度推算!$Y$6*Q8</f>
        <v>119448.40499436192</v>
      </c>
      <c r="I8" s="72">
        <f>VLOOKUP($C8,难度推算表,副本难度推算!$P$3,FALSE)*副本难度推算!$Z$6*$R8+VLOOKUP($C8,难度推算表,副本难度推算!$H$3,FALSE)</f>
        <v>8751.4774360620322</v>
      </c>
      <c r="J8" s="72">
        <f>VLOOKUP($C8,难度推算表,副本难度推算!$G$3,FALSE)-VLOOKUP($C8,难度推算表,副本难度推算!$I$3,FALSE)*(2-副本难度推算!$AA$6)*(2-$S8)</f>
        <v>1690.2184216936466</v>
      </c>
      <c r="K8" s="72">
        <f>VLOOKUP($C8,难度推算表,副本难度推算!$M$3,FALSE)*副本难度推算!$Y$7*Q8</f>
        <v>373276.26560738101</v>
      </c>
      <c r="L8" s="72">
        <f>VLOOKUP($C8,难度推算表,副本难度推算!$P$3,FALSE)*副本难度推算!$Z$7*$R8+VLOOKUP($C8,难度推算表,副本难度推算!$H$3,FALSE)</f>
        <v>10416.622935717045</v>
      </c>
      <c r="M8" s="72">
        <f>VLOOKUP($C8,难度推算表,副本难度推算!$G$3,FALSE)-VLOOKUP($C8,难度推算表,副本难度推算!$I$3,FALSE)*(2-副本难度推算!$AA$7)*(2-$S8)</f>
        <v>3943.8429839518403</v>
      </c>
      <c r="N8" s="2">
        <f>VLOOKUP($C8,难度推算表,副本难度推算!$Q$3,FALSE)</f>
        <v>3369.4560000000001</v>
      </c>
      <c r="O8" s="2">
        <f>VLOOKUP($C8,难度推算表,副本难度推算!$R$3,FALSE)</f>
        <v>0</v>
      </c>
      <c r="Q8" s="46">
        <v>0.8</v>
      </c>
      <c r="R8" s="46">
        <v>0.75</v>
      </c>
      <c r="S8" s="46">
        <v>0.8</v>
      </c>
    </row>
    <row r="9" spans="2:21">
      <c r="B9" s="2" t="str">
        <f>怪物并表!$R$12</f>
        <v>命运副本</v>
      </c>
      <c r="C9" s="2">
        <f>怪物信息表!M87</f>
        <v>61</v>
      </c>
      <c r="D9" s="2">
        <f>怪物信息表!N87</f>
        <v>1705</v>
      </c>
      <c r="E9" s="72">
        <f>VLOOKUP($C9,难度推算表,副本难度推算!$M$3,FALSE)*副本难度推算!$Y$5*Q9</f>
        <v>282007.96997807565</v>
      </c>
      <c r="F9" s="72">
        <f>VLOOKUP($C9,难度推算表,副本难度推算!$P$3,FALSE)*副本难度推算!$Z$5*$R9+VLOOKUP($C9,难度推算表,副本难度推算!$H$3,FALSE)</f>
        <v>18674.879172206023</v>
      </c>
      <c r="G9" s="72">
        <f>VLOOKUP($C9,难度推算表,副本难度推算!$G$3,FALSE)-VLOOKUP($C9,难度推算表,副本难度推算!$I$3,FALSE)*(2-副本难度推算!$AA$5)*(2-$S9)</f>
        <v>4823.332057173915</v>
      </c>
      <c r="H9" s="72">
        <f>VLOOKUP($C9,难度推算表,副本难度推算!$M$3,FALSE)*副本难度推算!$Y$6*Q9</f>
        <v>225606.37598246054</v>
      </c>
      <c r="I9" s="72">
        <f>VLOOKUP($C9,难度推算表,副本难度推算!$P$3,FALSE)*副本难度推算!$Z$6*$R9+VLOOKUP($C9,难度推算表,副本难度推算!$H$3,FALSE)</f>
        <v>17450.502195941943</v>
      </c>
      <c r="J9" s="72">
        <f>VLOOKUP($C9,难度推算表,副本难度推算!$G$3,FALSE)-VLOOKUP($C9,难度推算表,副本难度推算!$I$3,FALSE)*(2-副本难度推算!$AA$6)*(2-$S9)</f>
        <v>2893.9992343043486</v>
      </c>
      <c r="K9" s="72">
        <f>VLOOKUP($C9,难度推算表,副本难度推算!$M$3,FALSE)*副本难度推算!$Y$7*Q9</f>
        <v>705019.92494518915</v>
      </c>
      <c r="L9" s="72">
        <f>VLOOKUP($C9,难度推算表,副本难度推算!$P$3,FALSE)*副本难度推算!$Z$7*$R9+VLOOKUP($C9,难度推算表,副本难度推算!$H$3,FALSE)</f>
        <v>21123.63312473418</v>
      </c>
      <c r="M9" s="72">
        <f>VLOOKUP($C9,难度推算表,副本难度推算!$G$3,FALSE)-VLOOKUP($C9,难度推算表,副本难度推算!$I$3,FALSE)*(2-副本难度推算!$AA$7)*(2-$S9)</f>
        <v>6752.6648800434805</v>
      </c>
      <c r="N9" s="2">
        <f>VLOOKUP($C9,难度推算表,副本难度推算!$Q$3,FALSE)</f>
        <v>3893.5080000000003</v>
      </c>
      <c r="O9" s="2">
        <f>VLOOKUP($C9,难度推算表,副本难度推算!$R$3,FALSE)</f>
        <v>0</v>
      </c>
      <c r="Q9" s="46">
        <v>0.8</v>
      </c>
      <c r="R9" s="46">
        <v>0.75</v>
      </c>
      <c r="S9" s="46">
        <v>0.8</v>
      </c>
    </row>
    <row r="10" spans="2:21">
      <c r="B10" s="2" t="str">
        <f>怪物并表!$R$12</f>
        <v>命运副本</v>
      </c>
      <c r="C10" s="2">
        <f>怪物信息表!M88</f>
        <v>70</v>
      </c>
      <c r="D10" s="2">
        <f>怪物信息表!N88</f>
        <v>1706</v>
      </c>
      <c r="E10" s="72">
        <f>VLOOKUP($C10,难度推算表,副本难度推算!$M$3,FALSE)*副本难度推算!$Y$5*Q10</f>
        <v>496174.13813610701</v>
      </c>
      <c r="F10" s="72">
        <f>VLOOKUP($C10,难度推算表,副本难度推算!$P$3,FALSE)*副本难度推算!$Z$5*$R10+VLOOKUP($C10,难度推算表,副本难度推算!$H$3,FALSE)</f>
        <v>34204.133179549681</v>
      </c>
      <c r="G10" s="72">
        <f>VLOOKUP($C10,难度推算表,副本难度推算!$G$3,FALSE)-VLOOKUP($C10,难度推算表,副本难度推算!$I$3,FALSE)*(2-副本难度推算!$AA$5)*(2-$S10)</f>
        <v>7772.1438762541875</v>
      </c>
      <c r="H10" s="72">
        <f>VLOOKUP($C10,难度推算表,副本难度推算!$M$3,FALSE)*副本难度推算!$Y$6*Q10</f>
        <v>396939.31050888565</v>
      </c>
      <c r="I10" s="72">
        <f>VLOOKUP($C10,难度推算表,副本难度推算!$P$3,FALSE)*副本难度推算!$Z$6*$R10+VLOOKUP($C10,难度推算表,副本难度推算!$H$3,FALSE)</f>
        <v>31820.005711761936</v>
      </c>
      <c r="J10" s="72">
        <f>VLOOKUP($C10,难度推算表,副本难度推算!$G$3,FALSE)-VLOOKUP($C10,难度推算表,副本难度推算!$I$3,FALSE)*(2-副本难度推算!$AA$6)*(2-$S10)</f>
        <v>4663.2863257525132</v>
      </c>
      <c r="K10" s="72">
        <f>VLOOKUP($C10,难度推算表,副本难度推算!$M$3,FALSE)*副本难度推算!$Y$7*Q10</f>
        <v>1240435.3453402675</v>
      </c>
      <c r="L10" s="72">
        <f>VLOOKUP($C10,难度推算表,副本难度推算!$P$3,FALSE)*副本难度推算!$Z$7*$R10+VLOOKUP($C10,难度推算表,副本难度推算!$H$3,FALSE)</f>
        <v>38972.388115125163</v>
      </c>
      <c r="M10" s="72">
        <f>VLOOKUP($C10,难度推算表,副本难度推算!$G$3,FALSE)-VLOOKUP($C10,难度推算表,副本难度推算!$I$3,FALSE)*(2-副本难度推算!$AA$7)*(2-$S10)</f>
        <v>10881.001426755864</v>
      </c>
      <c r="N10" s="2">
        <f>VLOOKUP($C10,难度推算表,副本难度推算!$Q$3,FALSE)</f>
        <v>4417.5600000000004</v>
      </c>
      <c r="O10" s="2">
        <f>VLOOKUP($C10,难度推算表,副本难度推算!$R$3,FALSE)</f>
        <v>0</v>
      </c>
      <c r="Q10" s="46">
        <v>0.8</v>
      </c>
      <c r="R10" s="46">
        <v>0.75</v>
      </c>
      <c r="S10" s="46">
        <v>0.8</v>
      </c>
    </row>
  </sheetData>
  <phoneticPr fontId="1" type="noConversion"/>
  <conditionalFormatting sqref="F5:F1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{D32AB73A-1E29-4903-BDEB-79B6A2ED517C}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2AB73A-1E29-4903-BDEB-79B6A2ED5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F5:F10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3:U18"/>
  <sheetViews>
    <sheetView workbookViewId="0">
      <selection activeCell="J34" sqref="J34"/>
    </sheetView>
  </sheetViews>
  <sheetFormatPr defaultRowHeight="13.5"/>
  <cols>
    <col min="5" max="5" width="11.625" bestFit="1" customWidth="1"/>
    <col min="6" max="6" width="9.5" bestFit="1" customWidth="1"/>
    <col min="7" max="7" width="8.5" bestFit="1" customWidth="1"/>
    <col min="8" max="8" width="11.625" bestFit="1" customWidth="1"/>
    <col min="9" max="9" width="9.5" bestFit="1" customWidth="1"/>
    <col min="10" max="10" width="8.5" bestFit="1" customWidth="1"/>
    <col min="11" max="11" width="15.875" customWidth="1"/>
    <col min="12" max="12" width="9.5" bestFit="1" customWidth="1"/>
    <col min="13" max="13" width="8.5" bestFit="1" customWidth="1"/>
    <col min="17" max="17" width="9.5" bestFit="1" customWidth="1"/>
    <col min="18" max="18" width="9" bestFit="1" customWidth="1"/>
    <col min="19" max="19" width="9.5" bestFit="1" customWidth="1"/>
  </cols>
  <sheetData>
    <row r="3" spans="2:21">
      <c r="E3" s="27" t="s">
        <v>87</v>
      </c>
      <c r="F3" s="22"/>
      <c r="G3" s="22"/>
      <c r="H3" s="22" t="s">
        <v>88</v>
      </c>
      <c r="I3" s="22"/>
      <c r="J3" s="22"/>
      <c r="K3" s="22" t="s">
        <v>89</v>
      </c>
      <c r="L3" s="22"/>
      <c r="M3" s="22"/>
    </row>
    <row r="4" spans="2:21">
      <c r="B4" s="2" t="s">
        <v>284</v>
      </c>
      <c r="C4" s="2" t="s">
        <v>91</v>
      </c>
      <c r="D4" s="2" t="s">
        <v>58</v>
      </c>
      <c r="E4" s="13" t="s">
        <v>92</v>
      </c>
      <c r="F4" s="13" t="s">
        <v>93</v>
      </c>
      <c r="G4" s="13" t="s">
        <v>94</v>
      </c>
      <c r="H4" s="13" t="s">
        <v>92</v>
      </c>
      <c r="I4" s="13" t="s">
        <v>93</v>
      </c>
      <c r="J4" s="13" t="s">
        <v>94</v>
      </c>
      <c r="K4" s="13" t="s">
        <v>92</v>
      </c>
      <c r="L4" s="13" t="s">
        <v>93</v>
      </c>
      <c r="M4" s="13" t="s">
        <v>94</v>
      </c>
      <c r="N4" s="66" t="s">
        <v>339</v>
      </c>
      <c r="O4" s="66" t="s">
        <v>340</v>
      </c>
      <c r="Q4" s="13" t="s">
        <v>356</v>
      </c>
      <c r="R4" s="13" t="s">
        <v>437</v>
      </c>
      <c r="S4" s="13" t="s">
        <v>436</v>
      </c>
      <c r="U4" s="99"/>
    </row>
    <row r="5" spans="2:21">
      <c r="B5" s="2" t="str">
        <f>怪物并表!$R$13</f>
        <v>BOSS副本</v>
      </c>
      <c r="C5" s="2">
        <v>1</v>
      </c>
      <c r="D5" s="28">
        <f>怪物信息表!Q83</f>
        <v>1501</v>
      </c>
      <c r="E5" s="72">
        <f>VLOOKUP($C5,难度推算表,副本难度推算!$M$3,FALSE)*副本难度推算!$Y$5*Q5</f>
        <v>267.49800000000005</v>
      </c>
      <c r="F5" s="72">
        <f>VLOOKUP($C5,难度推算表,副本难度推算!$P$3,FALSE)*副本难度推算!$Z$5*$R5+VLOOKUP($C5,难度推算表,副本难度推算!$H$3,FALSE)</f>
        <v>26.106519114688133</v>
      </c>
      <c r="G5" s="72">
        <f>VLOOKUP($C5,难度推算表,副本难度推算!$G$3,FALSE)-VLOOKUP($C5,难度推算表,副本难度推算!$I$3,FALSE)*(2-副本难度推算!$AA$5)*(2-$S5)</f>
        <v>21.120000000000005</v>
      </c>
      <c r="H5" s="72">
        <f>VLOOKUP($C5,难度推算表,副本难度推算!$M$3,FALSE)*副本难度推算!$Y$6*Q5</f>
        <v>213.99840000000006</v>
      </c>
      <c r="I5" s="72">
        <f>VLOOKUP($C5,难度推算表,副本难度推算!$P$3,FALSE)*副本难度推算!$Z$6*$R5+VLOOKUP($C5,难度推算表,副本难度推算!$H$3,FALSE)</f>
        <v>25.607867203219321</v>
      </c>
      <c r="J5" s="72">
        <f>VLOOKUP($C5,难度推算表,副本难度推算!$G$3,FALSE)-VLOOKUP($C5,难度推算表,副本难度推算!$I$3,FALSE)*(2-副本难度推算!$AA$6)*(2-$S5)</f>
        <v>15.840000000000003</v>
      </c>
      <c r="K5" s="72">
        <f>VLOOKUP($C5,难度推算表,副本难度推算!$M$3,FALSE)*副本难度推算!$Y$7*Q5</f>
        <v>668.74500000000012</v>
      </c>
      <c r="L5" s="72">
        <f>VLOOKUP($C5,难度推算表,副本难度推算!$P$3,FALSE)*副本难度推算!$Z$7*$R5+VLOOKUP($C5,难度推算表,副本难度推算!$H$3,FALSE)</f>
        <v>27.103822937625758</v>
      </c>
      <c r="M5" s="72">
        <f>VLOOKUP($C5,难度推算表,副本难度推算!$G$3,FALSE)-VLOOKUP($C5,难度推算表,副本难度推算!$I$3,FALSE)*(2-副本难度推算!$AA$7)*(2-$S5)</f>
        <v>26.400000000000006</v>
      </c>
      <c r="N5" s="2">
        <f>VLOOKUP($C5,难度推算表,副本难度推算!$Q$3,FALSE)</f>
        <v>399.82799999999997</v>
      </c>
      <c r="O5" s="2">
        <f>VLOOKUP($C5,难度推算表,副本难度推算!$R$3,FALSE)</f>
        <v>0</v>
      </c>
      <c r="Q5" s="46">
        <v>1</v>
      </c>
      <c r="R5" s="46">
        <v>1</v>
      </c>
      <c r="S5" s="46">
        <v>1</v>
      </c>
    </row>
    <row r="6" spans="2:21">
      <c r="B6" s="2" t="str">
        <f>怪物并表!$R$13</f>
        <v>BOSS副本</v>
      </c>
      <c r="C6" s="2">
        <v>1</v>
      </c>
      <c r="D6" s="28">
        <f>怪物信息表!Q84</f>
        <v>1502</v>
      </c>
      <c r="E6" s="72">
        <f>VLOOKUP($C6,难度推算表,副本难度推算!$M$3,FALSE)*副本难度推算!$Y$5*Q6</f>
        <v>267.49800000000005</v>
      </c>
      <c r="F6" s="72">
        <f>VLOOKUP($C6,难度推算表,副本难度推算!$P$3,FALSE)*副本难度推算!$Z$5*$R6+VLOOKUP($C6,难度推算表,副本难度推算!$H$3,FALSE)</f>
        <v>26.106519114688133</v>
      </c>
      <c r="G6" s="72">
        <f>VLOOKUP($C6,难度推算表,副本难度推算!$G$3,FALSE)-VLOOKUP($C6,难度推算表,副本难度推算!$I$3,FALSE)*(2-副本难度推算!$AA$5)*(2-$S6)</f>
        <v>21.120000000000005</v>
      </c>
      <c r="H6" s="72">
        <f>VLOOKUP($C6,难度推算表,副本难度推算!$M$3,FALSE)*副本难度推算!$Y$6*Q6</f>
        <v>213.99840000000006</v>
      </c>
      <c r="I6" s="72">
        <f>VLOOKUP($C6,难度推算表,副本难度推算!$P$3,FALSE)*副本难度推算!$Z$6*$R6+VLOOKUP($C6,难度推算表,副本难度推算!$H$3,FALSE)</f>
        <v>25.607867203219321</v>
      </c>
      <c r="J6" s="72">
        <f>VLOOKUP($C6,难度推算表,副本难度推算!$G$3,FALSE)-VLOOKUP($C6,难度推算表,副本难度推算!$I$3,FALSE)*(2-副本难度推算!$AA$6)*(2-$S6)</f>
        <v>15.840000000000003</v>
      </c>
      <c r="K6" s="72">
        <f>VLOOKUP($C6,难度推算表,副本难度推算!$M$3,FALSE)*副本难度推算!$Y$7*Q6</f>
        <v>668.74500000000012</v>
      </c>
      <c r="L6" s="72">
        <f>VLOOKUP($C6,难度推算表,副本难度推算!$P$3,FALSE)*副本难度推算!$Z$7*$R6+VLOOKUP($C6,难度推算表,副本难度推算!$H$3,FALSE)</f>
        <v>27.103822937625758</v>
      </c>
      <c r="M6" s="72">
        <f>VLOOKUP($C6,难度推算表,副本难度推算!$G$3,FALSE)-VLOOKUP($C6,难度推算表,副本难度推算!$I$3,FALSE)*(2-副本难度推算!$AA$7)*(2-$S6)</f>
        <v>26.400000000000006</v>
      </c>
      <c r="N6" s="2">
        <f>VLOOKUP($C6,难度推算表,副本难度推算!$Q$3,FALSE)</f>
        <v>399.82799999999997</v>
      </c>
      <c r="O6" s="2">
        <f>VLOOKUP($C6,难度推算表,副本难度推算!$R$3,FALSE)</f>
        <v>0</v>
      </c>
      <c r="Q6" s="46">
        <v>1</v>
      </c>
      <c r="R6" s="46">
        <v>1</v>
      </c>
      <c r="S6" s="46">
        <v>1</v>
      </c>
    </row>
    <row r="7" spans="2:21">
      <c r="B7" s="2" t="str">
        <f>怪物并表!$R$13</f>
        <v>BOSS副本</v>
      </c>
      <c r="C7" s="2">
        <v>1</v>
      </c>
      <c r="D7" s="28">
        <f>怪物信息表!Q85</f>
        <v>1503</v>
      </c>
      <c r="E7" s="72">
        <f>VLOOKUP($C7,难度推算表,副本难度推算!$M$3,FALSE)*副本难度推算!$Y$5*Q7</f>
        <v>267.49800000000005</v>
      </c>
      <c r="F7" s="72">
        <f>VLOOKUP($C7,难度推算表,副本难度推算!$P$3,FALSE)*副本难度推算!$Z$5*$R7+VLOOKUP($C7,难度推算表,副本难度推算!$H$3,FALSE)</f>
        <v>26.106519114688133</v>
      </c>
      <c r="G7" s="72">
        <f>VLOOKUP($C7,难度推算表,副本难度推算!$G$3,FALSE)-VLOOKUP($C7,难度推算表,副本难度推算!$I$3,FALSE)*(2-副本难度推算!$AA$5)*(2-$S7)</f>
        <v>21.120000000000005</v>
      </c>
      <c r="H7" s="72">
        <f>VLOOKUP($C7,难度推算表,副本难度推算!$M$3,FALSE)*副本难度推算!$Y$6*Q7</f>
        <v>213.99840000000006</v>
      </c>
      <c r="I7" s="72">
        <f>VLOOKUP($C7,难度推算表,副本难度推算!$P$3,FALSE)*副本难度推算!$Z$6*$R7+VLOOKUP($C7,难度推算表,副本难度推算!$H$3,FALSE)</f>
        <v>25.607867203219321</v>
      </c>
      <c r="J7" s="72">
        <f>VLOOKUP($C7,难度推算表,副本难度推算!$G$3,FALSE)-VLOOKUP($C7,难度推算表,副本难度推算!$I$3,FALSE)*(2-副本难度推算!$AA$6)*(2-$S7)</f>
        <v>15.840000000000003</v>
      </c>
      <c r="K7" s="72">
        <f>VLOOKUP($C7,难度推算表,副本难度推算!$M$3,FALSE)*副本难度推算!$Y$7*Q7</f>
        <v>668.74500000000012</v>
      </c>
      <c r="L7" s="72">
        <f>VLOOKUP($C7,难度推算表,副本难度推算!$P$3,FALSE)*副本难度推算!$Z$7*$R7+VLOOKUP($C7,难度推算表,副本难度推算!$H$3,FALSE)</f>
        <v>27.103822937625758</v>
      </c>
      <c r="M7" s="72">
        <f>VLOOKUP($C7,难度推算表,副本难度推算!$G$3,FALSE)-VLOOKUP($C7,难度推算表,副本难度推算!$I$3,FALSE)*(2-副本难度推算!$AA$7)*(2-$S7)</f>
        <v>26.400000000000006</v>
      </c>
      <c r="N7" s="2">
        <f>VLOOKUP($C7,难度推算表,副本难度推算!$Q$3,FALSE)</f>
        <v>399.82799999999997</v>
      </c>
      <c r="O7" s="2">
        <f>VLOOKUP($C7,难度推算表,副本难度推算!$R$3,FALSE)</f>
        <v>0</v>
      </c>
      <c r="Q7" s="46">
        <v>1</v>
      </c>
      <c r="R7" s="46">
        <v>1</v>
      </c>
      <c r="S7" s="46">
        <v>1</v>
      </c>
    </row>
    <row r="8" spans="2:21">
      <c r="B8" s="2" t="str">
        <f>怪物并表!$R$13</f>
        <v>BOSS副本</v>
      </c>
      <c r="C8" s="2">
        <v>1</v>
      </c>
      <c r="D8" s="28">
        <f>怪物信息表!Q86</f>
        <v>1504</v>
      </c>
      <c r="E8" s="72">
        <f>VLOOKUP($C8,难度推算表,副本难度推算!$M$3,FALSE)*副本难度推算!$Y$5*Q8</f>
        <v>267.49800000000005</v>
      </c>
      <c r="F8" s="72">
        <f>VLOOKUP($C8,难度推算表,副本难度推算!$P$3,FALSE)*副本难度推算!$Z$5*$R8+VLOOKUP($C8,难度推算表,副本难度推算!$H$3,FALSE)</f>
        <v>26.106519114688133</v>
      </c>
      <c r="G8" s="72">
        <f>VLOOKUP($C8,难度推算表,副本难度推算!$G$3,FALSE)-VLOOKUP($C8,难度推算表,副本难度推算!$I$3,FALSE)*(2-副本难度推算!$AA$5)*(2-$S8)</f>
        <v>21.120000000000005</v>
      </c>
      <c r="H8" s="72">
        <f>VLOOKUP($C8,难度推算表,副本难度推算!$M$3,FALSE)*副本难度推算!$Y$6*Q8</f>
        <v>213.99840000000006</v>
      </c>
      <c r="I8" s="72">
        <f>VLOOKUP($C8,难度推算表,副本难度推算!$P$3,FALSE)*副本难度推算!$Z$6*$R8+VLOOKUP($C8,难度推算表,副本难度推算!$H$3,FALSE)</f>
        <v>25.607867203219321</v>
      </c>
      <c r="J8" s="72">
        <f>VLOOKUP($C8,难度推算表,副本难度推算!$G$3,FALSE)-VLOOKUP($C8,难度推算表,副本难度推算!$I$3,FALSE)*(2-副本难度推算!$AA$6)*(2-$S8)</f>
        <v>15.840000000000003</v>
      </c>
      <c r="K8" s="72">
        <f>VLOOKUP($C8,难度推算表,副本难度推算!$M$3,FALSE)*副本难度推算!$Y$7*Q8</f>
        <v>668.74500000000012</v>
      </c>
      <c r="L8" s="72">
        <f>VLOOKUP($C8,难度推算表,副本难度推算!$P$3,FALSE)*副本难度推算!$Z$7*$R8+VLOOKUP($C8,难度推算表,副本难度推算!$H$3,FALSE)</f>
        <v>27.103822937625758</v>
      </c>
      <c r="M8" s="72">
        <f>VLOOKUP($C8,难度推算表,副本难度推算!$G$3,FALSE)-VLOOKUP($C8,难度推算表,副本难度推算!$I$3,FALSE)*(2-副本难度推算!$AA$7)*(2-$S8)</f>
        <v>26.400000000000006</v>
      </c>
      <c r="N8" s="2">
        <f>VLOOKUP($C8,难度推算表,副本难度推算!$Q$3,FALSE)</f>
        <v>399.82799999999997</v>
      </c>
      <c r="O8" s="2">
        <f>VLOOKUP($C8,难度推算表,副本难度推算!$R$3,FALSE)</f>
        <v>0</v>
      </c>
      <c r="Q8" s="46">
        <v>1</v>
      </c>
      <c r="R8" s="46">
        <v>1</v>
      </c>
      <c r="S8" s="46">
        <v>1</v>
      </c>
    </row>
    <row r="9" spans="2:21">
      <c r="B9" s="2" t="str">
        <f>怪物并表!$R$13</f>
        <v>BOSS副本</v>
      </c>
      <c r="C9" s="2">
        <v>1</v>
      </c>
      <c r="D9" s="28">
        <f>怪物信息表!Q87</f>
        <v>1505</v>
      </c>
      <c r="E9" s="72">
        <f>VLOOKUP($C9,难度推算表,副本难度推算!$M$3,FALSE)*副本难度推算!$Y$5*Q9</f>
        <v>267.49800000000005</v>
      </c>
      <c r="F9" s="72">
        <f>VLOOKUP($C9,难度推算表,副本难度推算!$P$3,FALSE)*副本难度推算!$Z$5*$R9+VLOOKUP($C9,难度推算表,副本难度推算!$H$3,FALSE)</f>
        <v>26.106519114688133</v>
      </c>
      <c r="G9" s="72">
        <f>VLOOKUP($C9,难度推算表,副本难度推算!$G$3,FALSE)-VLOOKUP($C9,难度推算表,副本难度推算!$I$3,FALSE)*(2-副本难度推算!$AA$5)*(2-$S9)</f>
        <v>21.120000000000005</v>
      </c>
      <c r="H9" s="72">
        <f>VLOOKUP($C9,难度推算表,副本难度推算!$M$3,FALSE)*副本难度推算!$Y$6*Q9</f>
        <v>213.99840000000006</v>
      </c>
      <c r="I9" s="72">
        <f>VLOOKUP($C9,难度推算表,副本难度推算!$P$3,FALSE)*副本难度推算!$Z$6*$R9+VLOOKUP($C9,难度推算表,副本难度推算!$H$3,FALSE)</f>
        <v>25.607867203219321</v>
      </c>
      <c r="J9" s="72">
        <f>VLOOKUP($C9,难度推算表,副本难度推算!$G$3,FALSE)-VLOOKUP($C9,难度推算表,副本难度推算!$I$3,FALSE)*(2-副本难度推算!$AA$6)*(2-$S9)</f>
        <v>15.840000000000003</v>
      </c>
      <c r="K9" s="72">
        <f>VLOOKUP($C9,难度推算表,副本难度推算!$M$3,FALSE)*副本难度推算!$Y$7*Q9</f>
        <v>668.74500000000012</v>
      </c>
      <c r="L9" s="72">
        <f>VLOOKUP($C9,难度推算表,副本难度推算!$P$3,FALSE)*副本难度推算!$Z$7*$R9+VLOOKUP($C9,难度推算表,副本难度推算!$H$3,FALSE)</f>
        <v>27.103822937625758</v>
      </c>
      <c r="M9" s="72">
        <f>VLOOKUP($C9,难度推算表,副本难度推算!$G$3,FALSE)-VLOOKUP($C9,难度推算表,副本难度推算!$I$3,FALSE)*(2-副本难度推算!$AA$7)*(2-$S9)</f>
        <v>26.400000000000006</v>
      </c>
      <c r="N9" s="2">
        <f>VLOOKUP($C9,难度推算表,副本难度推算!$Q$3,FALSE)</f>
        <v>399.82799999999997</v>
      </c>
      <c r="O9" s="2">
        <f>VLOOKUP($C9,难度推算表,副本难度推算!$R$3,FALSE)</f>
        <v>0</v>
      </c>
      <c r="Q9" s="46">
        <v>1</v>
      </c>
      <c r="R9" s="46">
        <v>1</v>
      </c>
      <c r="S9" s="46">
        <v>1</v>
      </c>
    </row>
    <row r="10" spans="2:21">
      <c r="B10" s="2" t="str">
        <f>怪物并表!$R$13</f>
        <v>BOSS副本</v>
      </c>
      <c r="C10" s="2">
        <v>1</v>
      </c>
      <c r="D10" s="28">
        <f>怪物信息表!Q88</f>
        <v>1506</v>
      </c>
      <c r="E10" s="72">
        <f>VLOOKUP($C10,难度推算表,副本难度推算!$M$3,FALSE)*副本难度推算!$Y$5*Q10</f>
        <v>267.49800000000005</v>
      </c>
      <c r="F10" s="72">
        <f>VLOOKUP($C10,难度推算表,副本难度推算!$P$3,FALSE)*副本难度推算!$Z$5*$R10+VLOOKUP($C10,难度推算表,副本难度推算!$H$3,FALSE)</f>
        <v>26.106519114688133</v>
      </c>
      <c r="G10" s="72">
        <f>VLOOKUP($C10,难度推算表,副本难度推算!$G$3,FALSE)-VLOOKUP($C10,难度推算表,副本难度推算!$I$3,FALSE)*(2-副本难度推算!$AA$5)*(2-$S10)</f>
        <v>21.120000000000005</v>
      </c>
      <c r="H10" s="72">
        <f>VLOOKUP($C10,难度推算表,副本难度推算!$M$3,FALSE)*副本难度推算!$Y$6*Q10</f>
        <v>213.99840000000006</v>
      </c>
      <c r="I10" s="72">
        <f>VLOOKUP($C10,难度推算表,副本难度推算!$P$3,FALSE)*副本难度推算!$Z$6*$R10+VLOOKUP($C10,难度推算表,副本难度推算!$H$3,FALSE)</f>
        <v>25.607867203219321</v>
      </c>
      <c r="J10" s="72">
        <f>VLOOKUP($C10,难度推算表,副本难度推算!$G$3,FALSE)-VLOOKUP($C10,难度推算表,副本难度推算!$I$3,FALSE)*(2-副本难度推算!$AA$6)*(2-$S10)</f>
        <v>15.840000000000003</v>
      </c>
      <c r="K10" s="72">
        <f>VLOOKUP($C10,难度推算表,副本难度推算!$M$3,FALSE)*副本难度推算!$Y$7*Q10</f>
        <v>668.74500000000012</v>
      </c>
      <c r="L10" s="72">
        <f>VLOOKUP($C10,难度推算表,副本难度推算!$P$3,FALSE)*副本难度推算!$Z$7*$R10+VLOOKUP($C10,难度推算表,副本难度推算!$H$3,FALSE)</f>
        <v>27.103822937625758</v>
      </c>
      <c r="M10" s="72">
        <f>VLOOKUP($C10,难度推算表,副本难度推算!$G$3,FALSE)-VLOOKUP($C10,难度推算表,副本难度推算!$I$3,FALSE)*(2-副本难度推算!$AA$7)*(2-$S10)</f>
        <v>26.400000000000006</v>
      </c>
      <c r="N10" s="2">
        <f>VLOOKUP($C10,难度推算表,副本难度推算!$Q$3,FALSE)</f>
        <v>399.82799999999997</v>
      </c>
      <c r="O10" s="2">
        <f>VLOOKUP($C10,难度推算表,副本难度推算!$R$3,FALSE)</f>
        <v>0</v>
      </c>
      <c r="Q10" s="46">
        <v>1</v>
      </c>
      <c r="R10" s="46">
        <v>1</v>
      </c>
      <c r="S10" s="46">
        <v>1</v>
      </c>
    </row>
    <row r="11" spans="2:21">
      <c r="B11" s="2" t="str">
        <f>怪物并表!$R$13</f>
        <v>BOSS副本</v>
      </c>
      <c r="C11" s="2">
        <v>1</v>
      </c>
      <c r="D11" s="28">
        <f>怪物信息表!Q89</f>
        <v>1507</v>
      </c>
      <c r="E11" s="72">
        <f>VLOOKUP($C11,难度推算表,副本难度推算!$M$3,FALSE)*副本难度推算!$Y$5*Q11</f>
        <v>267.49800000000005</v>
      </c>
      <c r="F11" s="72">
        <f>VLOOKUP($C11,难度推算表,副本难度推算!$P$3,FALSE)*副本难度推算!$Z$5*$R11+VLOOKUP($C11,难度推算表,副本难度推算!$H$3,FALSE)</f>
        <v>26.106519114688133</v>
      </c>
      <c r="G11" s="72">
        <f>VLOOKUP($C11,难度推算表,副本难度推算!$G$3,FALSE)-VLOOKUP($C11,难度推算表,副本难度推算!$I$3,FALSE)*(2-副本难度推算!$AA$5)*(2-$S11)</f>
        <v>21.120000000000005</v>
      </c>
      <c r="H11" s="72">
        <f>VLOOKUP($C11,难度推算表,副本难度推算!$M$3,FALSE)*副本难度推算!$Y$6*Q11</f>
        <v>213.99840000000006</v>
      </c>
      <c r="I11" s="72">
        <f>VLOOKUP($C11,难度推算表,副本难度推算!$P$3,FALSE)*副本难度推算!$Z$6*$R11+VLOOKUP($C11,难度推算表,副本难度推算!$H$3,FALSE)</f>
        <v>25.607867203219321</v>
      </c>
      <c r="J11" s="72">
        <f>VLOOKUP($C11,难度推算表,副本难度推算!$G$3,FALSE)-VLOOKUP($C11,难度推算表,副本难度推算!$I$3,FALSE)*(2-副本难度推算!$AA$6)*(2-$S11)</f>
        <v>15.840000000000003</v>
      </c>
      <c r="K11" s="72">
        <f>VLOOKUP($C11,难度推算表,副本难度推算!$M$3,FALSE)*副本难度推算!$Y$7*Q11</f>
        <v>668.74500000000012</v>
      </c>
      <c r="L11" s="72">
        <f>VLOOKUP($C11,难度推算表,副本难度推算!$P$3,FALSE)*副本难度推算!$Z$7*$R11+VLOOKUP($C11,难度推算表,副本难度推算!$H$3,FALSE)</f>
        <v>27.103822937625758</v>
      </c>
      <c r="M11" s="72">
        <f>VLOOKUP($C11,难度推算表,副本难度推算!$G$3,FALSE)-VLOOKUP($C11,难度推算表,副本难度推算!$I$3,FALSE)*(2-副本难度推算!$AA$7)*(2-$S11)</f>
        <v>26.400000000000006</v>
      </c>
      <c r="N11" s="2">
        <f>VLOOKUP($C11,难度推算表,副本难度推算!$Q$3,FALSE)</f>
        <v>399.82799999999997</v>
      </c>
      <c r="O11" s="2">
        <f>VLOOKUP($C11,难度推算表,副本难度推算!$R$3,FALSE)</f>
        <v>0</v>
      </c>
      <c r="Q11" s="46">
        <v>1</v>
      </c>
      <c r="R11" s="46">
        <v>1</v>
      </c>
      <c r="S11" s="46">
        <v>1</v>
      </c>
    </row>
    <row r="12" spans="2:21">
      <c r="B12" s="2" t="str">
        <f>怪物并表!$R$13</f>
        <v>BOSS副本</v>
      </c>
      <c r="C12" s="2">
        <v>1</v>
      </c>
      <c r="D12" s="28">
        <f>怪物信息表!Q90</f>
        <v>1508</v>
      </c>
      <c r="E12" s="72">
        <f>VLOOKUP($C12,难度推算表,副本难度推算!$M$3,FALSE)*副本难度推算!$Y$5*Q12</f>
        <v>267.49800000000005</v>
      </c>
      <c r="F12" s="72">
        <f>VLOOKUP($C12,难度推算表,副本难度推算!$P$3,FALSE)*副本难度推算!$Z$5*$R12+VLOOKUP($C12,难度推算表,副本难度推算!$H$3,FALSE)</f>
        <v>26.106519114688133</v>
      </c>
      <c r="G12" s="72">
        <f>VLOOKUP($C12,难度推算表,副本难度推算!$G$3,FALSE)-VLOOKUP($C12,难度推算表,副本难度推算!$I$3,FALSE)*(2-副本难度推算!$AA$5)*(2-$S12)</f>
        <v>21.120000000000005</v>
      </c>
      <c r="H12" s="72">
        <f>VLOOKUP($C12,难度推算表,副本难度推算!$M$3,FALSE)*副本难度推算!$Y$6*Q12</f>
        <v>213.99840000000006</v>
      </c>
      <c r="I12" s="72">
        <f>VLOOKUP($C12,难度推算表,副本难度推算!$P$3,FALSE)*副本难度推算!$Z$6*$R12+VLOOKUP($C12,难度推算表,副本难度推算!$H$3,FALSE)</f>
        <v>25.607867203219321</v>
      </c>
      <c r="J12" s="72">
        <f>VLOOKUP($C12,难度推算表,副本难度推算!$G$3,FALSE)-VLOOKUP($C12,难度推算表,副本难度推算!$I$3,FALSE)*(2-副本难度推算!$AA$6)*(2-$S12)</f>
        <v>15.840000000000003</v>
      </c>
      <c r="K12" s="72">
        <f>VLOOKUP($C12,难度推算表,副本难度推算!$M$3,FALSE)*副本难度推算!$Y$7*Q12</f>
        <v>668.74500000000012</v>
      </c>
      <c r="L12" s="72">
        <f>VLOOKUP($C12,难度推算表,副本难度推算!$P$3,FALSE)*副本难度推算!$Z$7*$R12+VLOOKUP($C12,难度推算表,副本难度推算!$H$3,FALSE)</f>
        <v>27.103822937625758</v>
      </c>
      <c r="M12" s="72">
        <f>VLOOKUP($C12,难度推算表,副本难度推算!$G$3,FALSE)-VLOOKUP($C12,难度推算表,副本难度推算!$I$3,FALSE)*(2-副本难度推算!$AA$7)*(2-$S12)</f>
        <v>26.400000000000006</v>
      </c>
      <c r="N12" s="2">
        <f>VLOOKUP($C12,难度推算表,副本难度推算!$Q$3,FALSE)</f>
        <v>399.82799999999997</v>
      </c>
      <c r="O12" s="2">
        <f>VLOOKUP($C12,难度推算表,副本难度推算!$R$3,FALSE)</f>
        <v>0</v>
      </c>
      <c r="Q12" s="46">
        <v>1</v>
      </c>
      <c r="R12" s="46">
        <v>1</v>
      </c>
      <c r="S12" s="46">
        <v>1</v>
      </c>
    </row>
    <row r="13" spans="2:21">
      <c r="B13" s="2" t="str">
        <f>怪物并表!$R$13</f>
        <v>BOSS副本</v>
      </c>
      <c r="C13" s="2">
        <v>1</v>
      </c>
      <c r="D13" s="28">
        <f>怪物信息表!Q91</f>
        <v>1509</v>
      </c>
      <c r="E13" s="72">
        <f>VLOOKUP($C13,难度推算表,副本难度推算!$M$3,FALSE)*副本难度推算!$Y$5*Q13</f>
        <v>267.49800000000005</v>
      </c>
      <c r="F13" s="72">
        <f>VLOOKUP($C13,难度推算表,副本难度推算!$P$3,FALSE)*副本难度推算!$Z$5*$R13+VLOOKUP($C13,难度推算表,副本难度推算!$H$3,FALSE)</f>
        <v>26.106519114688133</v>
      </c>
      <c r="G13" s="72">
        <f>VLOOKUP($C13,难度推算表,副本难度推算!$G$3,FALSE)-VLOOKUP($C13,难度推算表,副本难度推算!$I$3,FALSE)*(2-副本难度推算!$AA$5)*(2-$S13)</f>
        <v>21.120000000000005</v>
      </c>
      <c r="H13" s="72">
        <f>VLOOKUP($C13,难度推算表,副本难度推算!$M$3,FALSE)*副本难度推算!$Y$6*Q13</f>
        <v>213.99840000000006</v>
      </c>
      <c r="I13" s="72">
        <f>VLOOKUP($C13,难度推算表,副本难度推算!$P$3,FALSE)*副本难度推算!$Z$6*$R13+VLOOKUP($C13,难度推算表,副本难度推算!$H$3,FALSE)</f>
        <v>25.607867203219321</v>
      </c>
      <c r="J13" s="72">
        <f>VLOOKUP($C13,难度推算表,副本难度推算!$G$3,FALSE)-VLOOKUP($C13,难度推算表,副本难度推算!$I$3,FALSE)*(2-副本难度推算!$AA$6)*(2-$S13)</f>
        <v>15.840000000000003</v>
      </c>
      <c r="K13" s="72">
        <f>VLOOKUP($C13,难度推算表,副本难度推算!$M$3,FALSE)*副本难度推算!$Y$7*Q13</f>
        <v>668.74500000000012</v>
      </c>
      <c r="L13" s="72">
        <f>VLOOKUP($C13,难度推算表,副本难度推算!$P$3,FALSE)*副本难度推算!$Z$7*$R13+VLOOKUP($C13,难度推算表,副本难度推算!$H$3,FALSE)</f>
        <v>27.103822937625758</v>
      </c>
      <c r="M13" s="72">
        <f>VLOOKUP($C13,难度推算表,副本难度推算!$G$3,FALSE)-VLOOKUP($C13,难度推算表,副本难度推算!$I$3,FALSE)*(2-副本难度推算!$AA$7)*(2-$S13)</f>
        <v>26.400000000000006</v>
      </c>
      <c r="N13" s="2">
        <f>VLOOKUP($C13,难度推算表,副本难度推算!$Q$3,FALSE)</f>
        <v>399.82799999999997</v>
      </c>
      <c r="O13" s="2">
        <f>VLOOKUP($C13,难度推算表,副本难度推算!$R$3,FALSE)</f>
        <v>0</v>
      </c>
      <c r="Q13" s="46">
        <v>1</v>
      </c>
      <c r="R13" s="46">
        <v>1</v>
      </c>
      <c r="S13" s="46">
        <v>1</v>
      </c>
    </row>
    <row r="14" spans="2:21">
      <c r="B14" s="2" t="str">
        <f>怪物并表!$R$13</f>
        <v>BOSS副本</v>
      </c>
      <c r="C14" s="2">
        <v>1</v>
      </c>
      <c r="D14" s="28">
        <f>怪物信息表!Q92</f>
        <v>1510</v>
      </c>
      <c r="E14" s="72">
        <f>VLOOKUP($C14,难度推算表,副本难度推算!$M$3,FALSE)*副本难度推算!$Y$5*Q14</f>
        <v>267.49800000000005</v>
      </c>
      <c r="F14" s="72">
        <f>VLOOKUP($C14,难度推算表,副本难度推算!$P$3,FALSE)*副本难度推算!$Z$5*$R14+VLOOKUP($C14,难度推算表,副本难度推算!$H$3,FALSE)</f>
        <v>26.106519114688133</v>
      </c>
      <c r="G14" s="72">
        <f>VLOOKUP($C14,难度推算表,副本难度推算!$G$3,FALSE)-VLOOKUP($C14,难度推算表,副本难度推算!$I$3,FALSE)*(2-副本难度推算!$AA$5)*(2-$S14)</f>
        <v>21.120000000000005</v>
      </c>
      <c r="H14" s="72">
        <f>VLOOKUP($C14,难度推算表,副本难度推算!$M$3,FALSE)*副本难度推算!$Y$6*Q14</f>
        <v>213.99840000000006</v>
      </c>
      <c r="I14" s="72">
        <f>VLOOKUP($C14,难度推算表,副本难度推算!$P$3,FALSE)*副本难度推算!$Z$6*$R14+VLOOKUP($C14,难度推算表,副本难度推算!$H$3,FALSE)</f>
        <v>25.607867203219321</v>
      </c>
      <c r="J14" s="72">
        <f>VLOOKUP($C14,难度推算表,副本难度推算!$G$3,FALSE)-VLOOKUP($C14,难度推算表,副本难度推算!$I$3,FALSE)*(2-副本难度推算!$AA$6)*(2-$S14)</f>
        <v>15.840000000000003</v>
      </c>
      <c r="K14" s="72">
        <f>VLOOKUP($C14,难度推算表,副本难度推算!$M$3,FALSE)*副本难度推算!$Y$7*Q14</f>
        <v>668.74500000000012</v>
      </c>
      <c r="L14" s="72">
        <f>VLOOKUP($C14,难度推算表,副本难度推算!$P$3,FALSE)*副本难度推算!$Z$7*$R14+VLOOKUP($C14,难度推算表,副本难度推算!$H$3,FALSE)</f>
        <v>27.103822937625758</v>
      </c>
      <c r="M14" s="72">
        <f>VLOOKUP($C14,难度推算表,副本难度推算!$G$3,FALSE)-VLOOKUP($C14,难度推算表,副本难度推算!$I$3,FALSE)*(2-副本难度推算!$AA$7)*(2-$S14)</f>
        <v>26.400000000000006</v>
      </c>
      <c r="N14" s="2">
        <f>VLOOKUP($C14,难度推算表,副本难度推算!$Q$3,FALSE)</f>
        <v>399.82799999999997</v>
      </c>
      <c r="O14" s="2">
        <f>VLOOKUP($C14,难度推算表,副本难度推算!$R$3,FALSE)</f>
        <v>0</v>
      </c>
      <c r="Q14" s="46">
        <v>1</v>
      </c>
      <c r="R14" s="46">
        <v>1</v>
      </c>
      <c r="S14" s="46">
        <v>1</v>
      </c>
    </row>
    <row r="15" spans="2:21">
      <c r="B15" s="2" t="str">
        <f>怪物并表!$R$13</f>
        <v>BOSS副本</v>
      </c>
      <c r="C15" s="2">
        <v>1</v>
      </c>
      <c r="D15" s="28">
        <f>怪物信息表!Q93</f>
        <v>1511</v>
      </c>
      <c r="E15" s="72">
        <f>VLOOKUP($C15,难度推算表,副本难度推算!$M$3,FALSE)*副本难度推算!$Y$5*Q15</f>
        <v>267.49800000000005</v>
      </c>
      <c r="F15" s="72">
        <f>VLOOKUP($C15,难度推算表,副本难度推算!$P$3,FALSE)*副本难度推算!$Z$5*$R15+VLOOKUP($C15,难度推算表,副本难度推算!$H$3,FALSE)</f>
        <v>26.106519114688133</v>
      </c>
      <c r="G15" s="72">
        <f>VLOOKUP($C15,难度推算表,副本难度推算!$G$3,FALSE)-VLOOKUP($C15,难度推算表,副本难度推算!$I$3,FALSE)*(2-副本难度推算!$AA$5)*(2-$S15)</f>
        <v>21.120000000000005</v>
      </c>
      <c r="H15" s="72">
        <f>VLOOKUP($C15,难度推算表,副本难度推算!$M$3,FALSE)*副本难度推算!$Y$6*Q15</f>
        <v>213.99840000000006</v>
      </c>
      <c r="I15" s="72">
        <f>VLOOKUP($C15,难度推算表,副本难度推算!$P$3,FALSE)*副本难度推算!$Z$6*$R15+VLOOKUP($C15,难度推算表,副本难度推算!$H$3,FALSE)</f>
        <v>25.607867203219321</v>
      </c>
      <c r="J15" s="72">
        <f>VLOOKUP($C15,难度推算表,副本难度推算!$G$3,FALSE)-VLOOKUP($C15,难度推算表,副本难度推算!$I$3,FALSE)*(2-副本难度推算!$AA$6)*(2-$S15)</f>
        <v>15.840000000000003</v>
      </c>
      <c r="K15" s="72">
        <f>VLOOKUP($C15,难度推算表,副本难度推算!$M$3,FALSE)*副本难度推算!$Y$7*Q15</f>
        <v>668.74500000000012</v>
      </c>
      <c r="L15" s="72">
        <f>VLOOKUP($C15,难度推算表,副本难度推算!$P$3,FALSE)*副本难度推算!$Z$7*$R15+VLOOKUP($C15,难度推算表,副本难度推算!$H$3,FALSE)</f>
        <v>27.103822937625758</v>
      </c>
      <c r="M15" s="72">
        <f>VLOOKUP($C15,难度推算表,副本难度推算!$G$3,FALSE)-VLOOKUP($C15,难度推算表,副本难度推算!$I$3,FALSE)*(2-副本难度推算!$AA$7)*(2-$S15)</f>
        <v>26.400000000000006</v>
      </c>
      <c r="N15" s="2">
        <f>VLOOKUP($C15,难度推算表,副本难度推算!$Q$3,FALSE)</f>
        <v>399.82799999999997</v>
      </c>
      <c r="O15" s="2">
        <f>VLOOKUP($C15,难度推算表,副本难度推算!$R$3,FALSE)</f>
        <v>0</v>
      </c>
      <c r="Q15" s="46">
        <v>1</v>
      </c>
      <c r="R15" s="46">
        <v>1</v>
      </c>
      <c r="S15" s="46">
        <v>1</v>
      </c>
    </row>
    <row r="16" spans="2:21">
      <c r="B16" s="2" t="str">
        <f>怪物并表!$R$13</f>
        <v>BOSS副本</v>
      </c>
      <c r="C16" s="2">
        <v>1</v>
      </c>
      <c r="D16" s="28">
        <f>怪物信息表!Q94</f>
        <v>1512</v>
      </c>
      <c r="E16" s="72">
        <f>VLOOKUP($C16,难度推算表,副本难度推算!$M$3,FALSE)*副本难度推算!$Y$5*Q16</f>
        <v>267.49800000000005</v>
      </c>
      <c r="F16" s="72">
        <f>VLOOKUP($C16,难度推算表,副本难度推算!$P$3,FALSE)*副本难度推算!$Z$5*$R16+VLOOKUP($C16,难度推算表,副本难度推算!$H$3,FALSE)</f>
        <v>26.106519114688133</v>
      </c>
      <c r="G16" s="72">
        <f>VLOOKUP($C16,难度推算表,副本难度推算!$G$3,FALSE)-VLOOKUP($C16,难度推算表,副本难度推算!$I$3,FALSE)*(2-副本难度推算!$AA$5)*(2-$S16)</f>
        <v>21.120000000000005</v>
      </c>
      <c r="H16" s="72">
        <f>VLOOKUP($C16,难度推算表,副本难度推算!$M$3,FALSE)*副本难度推算!$Y$6*Q16</f>
        <v>213.99840000000006</v>
      </c>
      <c r="I16" s="72">
        <f>VLOOKUP($C16,难度推算表,副本难度推算!$P$3,FALSE)*副本难度推算!$Z$6*$R16+VLOOKUP($C16,难度推算表,副本难度推算!$H$3,FALSE)</f>
        <v>25.607867203219321</v>
      </c>
      <c r="J16" s="72">
        <f>VLOOKUP($C16,难度推算表,副本难度推算!$G$3,FALSE)-VLOOKUP($C16,难度推算表,副本难度推算!$I$3,FALSE)*(2-副本难度推算!$AA$6)*(2-$S16)</f>
        <v>15.840000000000003</v>
      </c>
      <c r="K16" s="72">
        <f>VLOOKUP($C16,难度推算表,副本难度推算!$M$3,FALSE)*副本难度推算!$Y$7*Q16</f>
        <v>668.74500000000012</v>
      </c>
      <c r="L16" s="72">
        <f>VLOOKUP($C16,难度推算表,副本难度推算!$P$3,FALSE)*副本难度推算!$Z$7*$R16+VLOOKUP($C16,难度推算表,副本难度推算!$H$3,FALSE)</f>
        <v>27.103822937625758</v>
      </c>
      <c r="M16" s="72">
        <f>VLOOKUP($C16,难度推算表,副本难度推算!$G$3,FALSE)-VLOOKUP($C16,难度推算表,副本难度推算!$I$3,FALSE)*(2-副本难度推算!$AA$7)*(2-$S16)</f>
        <v>26.400000000000006</v>
      </c>
      <c r="N16" s="2">
        <f>VLOOKUP($C16,难度推算表,副本难度推算!$Q$3,FALSE)</f>
        <v>399.82799999999997</v>
      </c>
      <c r="O16" s="2">
        <f>VLOOKUP($C16,难度推算表,副本难度推算!$R$3,FALSE)</f>
        <v>0</v>
      </c>
      <c r="Q16" s="46">
        <v>1</v>
      </c>
      <c r="R16" s="46">
        <v>1</v>
      </c>
      <c r="S16" s="46">
        <v>1</v>
      </c>
    </row>
    <row r="17" spans="2:19">
      <c r="B17" s="2" t="str">
        <f>怪物并表!$R$13</f>
        <v>BOSS副本</v>
      </c>
      <c r="C17" s="2">
        <v>1</v>
      </c>
      <c r="D17" s="28">
        <f>怪物信息表!Q95</f>
        <v>1513</v>
      </c>
      <c r="E17" s="72">
        <f>VLOOKUP($C17,难度推算表,副本难度推算!$M$3,FALSE)*副本难度推算!$Y$5*Q17</f>
        <v>267.49800000000005</v>
      </c>
      <c r="F17" s="72">
        <f>VLOOKUP($C17,难度推算表,副本难度推算!$P$3,FALSE)*副本难度推算!$Z$5*$R17+VLOOKUP($C17,难度推算表,副本难度推算!$H$3,FALSE)</f>
        <v>26.106519114688133</v>
      </c>
      <c r="G17" s="72">
        <f>VLOOKUP($C17,难度推算表,副本难度推算!$G$3,FALSE)-VLOOKUP($C17,难度推算表,副本难度推算!$I$3,FALSE)*(2-副本难度推算!$AA$5)*(2-$S17)</f>
        <v>21.120000000000005</v>
      </c>
      <c r="H17" s="72">
        <f>VLOOKUP($C17,难度推算表,副本难度推算!$M$3,FALSE)*副本难度推算!$Y$6*Q17</f>
        <v>213.99840000000006</v>
      </c>
      <c r="I17" s="72">
        <f>VLOOKUP($C17,难度推算表,副本难度推算!$P$3,FALSE)*副本难度推算!$Z$6*$R17+VLOOKUP($C17,难度推算表,副本难度推算!$H$3,FALSE)</f>
        <v>25.607867203219321</v>
      </c>
      <c r="J17" s="72">
        <f>VLOOKUP($C17,难度推算表,副本难度推算!$G$3,FALSE)-VLOOKUP($C17,难度推算表,副本难度推算!$I$3,FALSE)*(2-副本难度推算!$AA$6)*(2-$S17)</f>
        <v>15.840000000000003</v>
      </c>
      <c r="K17" s="72">
        <f>VLOOKUP($C17,难度推算表,副本难度推算!$M$3,FALSE)*副本难度推算!$Y$7*Q17</f>
        <v>668.74500000000012</v>
      </c>
      <c r="L17" s="72">
        <f>VLOOKUP($C17,难度推算表,副本难度推算!$P$3,FALSE)*副本难度推算!$Z$7*$R17+VLOOKUP($C17,难度推算表,副本难度推算!$H$3,FALSE)</f>
        <v>27.103822937625758</v>
      </c>
      <c r="M17" s="72">
        <f>VLOOKUP($C17,难度推算表,副本难度推算!$G$3,FALSE)-VLOOKUP($C17,难度推算表,副本难度推算!$I$3,FALSE)*(2-副本难度推算!$AA$7)*(2-$S17)</f>
        <v>26.400000000000006</v>
      </c>
      <c r="N17" s="2">
        <f>VLOOKUP($C17,难度推算表,副本难度推算!$Q$3,FALSE)</f>
        <v>399.82799999999997</v>
      </c>
      <c r="O17" s="2">
        <f>VLOOKUP($C17,难度推算表,副本难度推算!$R$3,FALSE)</f>
        <v>0</v>
      </c>
      <c r="Q17" s="46">
        <v>1</v>
      </c>
      <c r="R17" s="46">
        <v>1</v>
      </c>
      <c r="S17" s="46">
        <v>1</v>
      </c>
    </row>
    <row r="18" spans="2:19">
      <c r="B18" s="2" t="str">
        <f>怪物并表!$R$13</f>
        <v>BOSS副本</v>
      </c>
      <c r="C18" s="2">
        <v>1</v>
      </c>
      <c r="D18" s="28">
        <f>怪物信息表!Q96</f>
        <v>1514</v>
      </c>
      <c r="E18" s="72">
        <f>VLOOKUP($C18,难度推算表,副本难度推算!$M$3,FALSE)*副本难度推算!$Y$5*Q18</f>
        <v>267.49800000000005</v>
      </c>
      <c r="F18" s="72">
        <f>VLOOKUP($C18,难度推算表,副本难度推算!$P$3,FALSE)*副本难度推算!$Z$5*$R18+VLOOKUP($C18,难度推算表,副本难度推算!$H$3,FALSE)</f>
        <v>26.106519114688133</v>
      </c>
      <c r="G18" s="72">
        <f>VLOOKUP($C18,难度推算表,副本难度推算!$G$3,FALSE)-VLOOKUP($C18,难度推算表,副本难度推算!$I$3,FALSE)*(2-副本难度推算!$AA$5)*(2-$S18)</f>
        <v>21.120000000000005</v>
      </c>
      <c r="H18" s="72">
        <f>VLOOKUP($C18,难度推算表,副本难度推算!$M$3,FALSE)*副本难度推算!$Y$6*Q18</f>
        <v>213.99840000000006</v>
      </c>
      <c r="I18" s="72">
        <f>VLOOKUP($C18,难度推算表,副本难度推算!$P$3,FALSE)*副本难度推算!$Z$6*$R18+VLOOKUP($C18,难度推算表,副本难度推算!$H$3,FALSE)</f>
        <v>25.607867203219321</v>
      </c>
      <c r="J18" s="72">
        <f>VLOOKUP($C18,难度推算表,副本难度推算!$G$3,FALSE)-VLOOKUP($C18,难度推算表,副本难度推算!$I$3,FALSE)*(2-副本难度推算!$AA$6)*(2-$S18)</f>
        <v>15.840000000000003</v>
      </c>
      <c r="K18" s="72">
        <f>VLOOKUP($C18,难度推算表,副本难度推算!$M$3,FALSE)*副本难度推算!$Y$7*Q18</f>
        <v>668.74500000000012</v>
      </c>
      <c r="L18" s="72">
        <f>VLOOKUP($C18,难度推算表,副本难度推算!$P$3,FALSE)*副本难度推算!$Z$7*$R18+VLOOKUP($C18,难度推算表,副本难度推算!$H$3,FALSE)</f>
        <v>27.103822937625758</v>
      </c>
      <c r="M18" s="72">
        <f>VLOOKUP($C18,难度推算表,副本难度推算!$G$3,FALSE)-VLOOKUP($C18,难度推算表,副本难度推算!$I$3,FALSE)*(2-副本难度推算!$AA$7)*(2-$S18)</f>
        <v>26.400000000000006</v>
      </c>
      <c r="N18" s="2">
        <f>VLOOKUP($C18,难度推算表,副本难度推算!$Q$3,FALSE)</f>
        <v>399.82799999999997</v>
      </c>
      <c r="O18" s="2">
        <f>VLOOKUP($C18,难度推算表,副本难度推算!$R$3,FALSE)</f>
        <v>0</v>
      </c>
      <c r="Q18" s="46">
        <v>1</v>
      </c>
      <c r="R18" s="46">
        <v>1</v>
      </c>
      <c r="S18" s="46">
        <v>1</v>
      </c>
    </row>
  </sheetData>
  <phoneticPr fontId="1" type="noConversion"/>
  <conditionalFormatting sqref="L5:L18">
    <cfRule type="dataBar" priority="19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{AC6065BE-EB79-4CA9-BEEB-4A6184084A52}</x14:id>
        </ext>
      </extLst>
    </cfRule>
  </conditionalFormatting>
  <conditionalFormatting sqref="K5:K18">
    <cfRule type="dataBar" priority="19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{4182A7D8-2AF4-4F38-8196-06BD928EE468}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6065BE-EB79-4CA9-BEEB-4A6184084A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L5:L18</xm:sqref>
        </x14:conditionalFormatting>
        <x14:conditionalFormatting xmlns:xm="http://schemas.microsoft.com/office/excel/2006/main">
          <x14:cfRule type="dataBar" id="{4182A7D8-2AF4-4F38-8196-06BD928EE4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K5:K18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81"/>
  <sheetViews>
    <sheetView topLeftCell="A25" workbookViewId="0">
      <selection activeCell="L38" sqref="L38"/>
    </sheetView>
  </sheetViews>
  <sheetFormatPr defaultRowHeight="13.5"/>
  <cols>
    <col min="2" max="2" width="16.125" bestFit="1" customWidth="1"/>
    <col min="3" max="3" width="13.875" bestFit="1" customWidth="1"/>
    <col min="4" max="4" width="12.75" bestFit="1" customWidth="1"/>
    <col min="8" max="8" width="9.5" bestFit="1" customWidth="1"/>
  </cols>
  <sheetData>
    <row r="1" spans="1:10">
      <c r="A1" t="s">
        <v>748</v>
      </c>
      <c r="B1" t="s">
        <v>92</v>
      </c>
      <c r="C1" t="s">
        <v>751</v>
      </c>
      <c r="D1" t="s">
        <v>752</v>
      </c>
      <c r="H1" t="s">
        <v>749</v>
      </c>
      <c r="I1" t="s">
        <v>753</v>
      </c>
      <c r="J1" t="s">
        <v>750</v>
      </c>
    </row>
    <row r="2" spans="1:10">
      <c r="A2">
        <v>1</v>
      </c>
      <c r="B2" s="135">
        <f>BOSS副本怪物!K5</f>
        <v>668.74500000000012</v>
      </c>
      <c r="C2" s="135">
        <f>BOSS副本怪物!L5</f>
        <v>27.103822937625758</v>
      </c>
      <c r="D2" s="135">
        <f>BOSS副本怪物!M5</f>
        <v>26.400000000000006</v>
      </c>
      <c r="H2" s="46">
        <v>10</v>
      </c>
      <c r="I2" s="46">
        <v>2.12</v>
      </c>
      <c r="J2" s="46">
        <v>1.2</v>
      </c>
    </row>
    <row r="3" spans="1:10">
      <c r="A3">
        <v>2</v>
      </c>
      <c r="B3" s="135">
        <f>VLOOKUP($A3,难度推算表,副本难度推算!$M$3,FALSE)*副本难度推算!$Y$5*H3</f>
        <v>3321.7171957774553</v>
      </c>
      <c r="C3" s="135">
        <f>VLOOKUP($A3,难度推算表,副本难度推算!$P$3,FALSE)*副本难度推算!$Z$5*$I3+VLOOKUP($A3,难度推算表,副本难度推算!$H$3,FALSE)</f>
        <v>35.31352226720648</v>
      </c>
      <c r="D3" s="135">
        <f>VLOOKUP($A3,难度推算表,副本难度推算!$G$3,FALSE)-VLOOKUP($A3,难度推算表,副本难度推算!$I$3,FALSE)*(2-副本难度推算!$AA$5)*(2-$J3)</f>
        <v>28.8</v>
      </c>
      <c r="H3" s="46">
        <v>9.9</v>
      </c>
      <c r="I3" s="46">
        <v>2.1</v>
      </c>
      <c r="J3" s="46">
        <v>1.2</v>
      </c>
    </row>
    <row r="4" spans="1:10">
      <c r="A4">
        <v>3</v>
      </c>
      <c r="B4" s="135">
        <f>VLOOKUP($A4,难度推算表,副本难度推算!$M$3,FALSE)*副本难度推算!$Y$5*H4</f>
        <v>3911.8763412021244</v>
      </c>
      <c r="C4" s="135">
        <f>VLOOKUP($A4,难度推算表,副本难度推算!$P$3,FALSE)*副本难度推算!$Z$5*$I4+VLOOKUP($A4,难度推算表,副本难度推算!$H$3,FALSE)</f>
        <v>39.052741344195525</v>
      </c>
      <c r="D4" s="135">
        <f>VLOOKUP($A4,难度推算表,副本难度推算!$G$3,FALSE)-VLOOKUP($A4,难度推算表,副本难度推算!$I$3,FALSE)*(2-副本难度推算!$AA$5)*(2-$J4)</f>
        <v>31.200000000000003</v>
      </c>
      <c r="H4" s="46">
        <v>9.8000000000000007</v>
      </c>
      <c r="I4" s="46">
        <v>2.08</v>
      </c>
      <c r="J4" s="46">
        <v>1.2</v>
      </c>
    </row>
    <row r="5" spans="1:10">
      <c r="A5">
        <v>4</v>
      </c>
      <c r="B5" s="135">
        <f>VLOOKUP($A5,难度推算表,副本难度推算!$M$3,FALSE)*副本难度推算!$Y$5*H5</f>
        <v>3589.1044043934667</v>
      </c>
      <c r="C5" s="135">
        <f>VLOOKUP($A5,难度推算表,副本难度推算!$P$3,FALSE)*副本难度推算!$Z$5*$I5+VLOOKUP($A5,难度推算表,副本难度推算!$H$3,FALSE)</f>
        <v>37.531475409836077</v>
      </c>
      <c r="D5" s="135">
        <f>VLOOKUP($A5,难度推算表,副本难度推算!$G$3,FALSE)-VLOOKUP($A5,难度推算表,副本难度推算!$I$3,FALSE)*(2-副本难度推算!$AA$5)*(2-$J5)</f>
        <v>26.880000000000003</v>
      </c>
      <c r="H5" s="46">
        <v>9.6999999999999993</v>
      </c>
      <c r="I5" s="46">
        <v>2.06</v>
      </c>
      <c r="J5" s="46">
        <v>1.2</v>
      </c>
    </row>
    <row r="6" spans="1:10">
      <c r="A6">
        <v>5</v>
      </c>
      <c r="B6" s="135">
        <f>VLOOKUP($A6,难度推算表,副本难度推算!$M$3,FALSE)*副本难度推算!$Y$5*H6</f>
        <v>4046.1721861922579</v>
      </c>
      <c r="C6" s="135">
        <f>VLOOKUP($A6,难度推算表,副本难度推算!$P$3,FALSE)*副本难度推算!$Z$5*$I6+VLOOKUP($A6,难度推算表,副本难度推算!$H$3,FALSE)</f>
        <v>41.116082474226815</v>
      </c>
      <c r="D6" s="135">
        <f>VLOOKUP($A6,难度推算表,副本难度推算!$G$3,FALSE)-VLOOKUP($A6,难度推算表,副本难度推算!$I$3,FALSE)*(2-副本难度推算!$AA$5)*(2-$J6)</f>
        <v>28.8</v>
      </c>
      <c r="H6" s="46">
        <v>9.6</v>
      </c>
      <c r="I6" s="46">
        <v>2.04</v>
      </c>
      <c r="J6" s="46">
        <v>1.2</v>
      </c>
    </row>
    <row r="7" spans="1:10">
      <c r="A7">
        <v>6</v>
      </c>
      <c r="B7" s="135">
        <f>VLOOKUP($A7,难度推算表,副本难度推算!$M$3,FALSE)*副本难度推算!$Y$5*H7</f>
        <v>6954.1283141475469</v>
      </c>
      <c r="C7" s="135">
        <f>VLOOKUP($A7,难度推算表,副本难度推算!$P$3,FALSE)*副本难度推算!$Z$5*$I7+VLOOKUP($A7,难度推算表,副本难度推算!$H$3,FALSE)</f>
        <v>69.179882987551863</v>
      </c>
      <c r="D7" s="135">
        <f>VLOOKUP($A7,难度推算表,副本难度推算!$G$3,FALSE)-VLOOKUP($A7,难度推算表,副本难度推算!$I$3,FALSE)*(2-副本难度推算!$AA$5)*(2-$J7)</f>
        <v>47.424000000000007</v>
      </c>
      <c r="H7" s="46">
        <v>9.5</v>
      </c>
      <c r="I7" s="46">
        <v>2.02</v>
      </c>
      <c r="J7" s="46">
        <v>1.2</v>
      </c>
    </row>
    <row r="8" spans="1:10">
      <c r="A8">
        <v>7</v>
      </c>
      <c r="B8" s="135">
        <f>VLOOKUP($A8,难度推算表,副本难度推算!$M$3,FALSE)*副本难度推算!$Y$5*H8</f>
        <v>8272.1901913239672</v>
      </c>
      <c r="C8" s="135">
        <f>VLOOKUP($A8,难度推算表,副本难度推算!$P$3,FALSE)*副本难度推算!$Z$5*$I8+VLOOKUP($A8,难度推算表,副本难度推算!$H$3,FALSE)</f>
        <v>80.982923956158672</v>
      </c>
      <c r="D8" s="135">
        <f>VLOOKUP($A8,难度推算表,副本难度推算!$G$3,FALSE)-VLOOKUP($A8,难度推算表,副本难度推算!$I$3,FALSE)*(2-副本难度推算!$AA$5)*(2-$J8)</f>
        <v>54.366</v>
      </c>
      <c r="H8" s="46">
        <v>9.4</v>
      </c>
      <c r="I8" s="46">
        <v>2</v>
      </c>
      <c r="J8" s="46">
        <v>1.2</v>
      </c>
    </row>
    <row r="9" spans="1:10">
      <c r="A9">
        <v>8</v>
      </c>
      <c r="B9" s="135">
        <f>VLOOKUP($A9,难度推算表,副本难度推算!$M$3,FALSE)*副本难度推算!$Y$5*H9</f>
        <v>9709.7688194764232</v>
      </c>
      <c r="C9" s="135">
        <f>VLOOKUP($A9,难度推算表,副本难度推算!$P$3,FALSE)*副本难度推算!$Z$5*$I9+VLOOKUP($A9,难度推算表,副本难度推算!$H$3,FALSE)</f>
        <v>93.908280252100866</v>
      </c>
      <c r="D9" s="135">
        <f>VLOOKUP($A9,难度推算表,副本难度推算!$G$3,FALSE)-VLOOKUP($A9,难度推算表,副本难度推算!$I$3,FALSE)*(2-副本难度推算!$AA$5)*(2-$J9)</f>
        <v>61.77600000000001</v>
      </c>
      <c r="H9" s="46">
        <v>9.3000000000000007</v>
      </c>
      <c r="I9" s="46">
        <v>1.98</v>
      </c>
      <c r="J9" s="46">
        <v>1.2</v>
      </c>
    </row>
    <row r="10" spans="1:10">
      <c r="A10">
        <v>9</v>
      </c>
      <c r="B10" s="135">
        <f>VLOOKUP($A10,难度推算表,副本难度推算!$M$3,FALSE)*副本难度推算!$Y$5*H10</f>
        <v>12551.625731183574</v>
      </c>
      <c r="C10" s="135">
        <f>VLOOKUP($A10,难度推算表,副本难度推算!$P$3,FALSE)*副本难度推算!$Z$5*$I10+VLOOKUP($A10,难度推算表,副本难度推算!$H$3,FALSE)</f>
        <v>120.28765400657232</v>
      </c>
      <c r="D10" s="135">
        <f>VLOOKUP($A10,难度推算表,副本难度推算!$G$3,FALSE)-VLOOKUP($A10,难度推算表,副本难度推算!$I$3,FALSE)*(2-副本难度推算!$AA$5)*(2-$J10)</f>
        <v>77.584434782608696</v>
      </c>
      <c r="H10" s="46">
        <v>9.1999999999999993</v>
      </c>
      <c r="I10" s="46">
        <v>1.96</v>
      </c>
      <c r="J10" s="46">
        <v>1.2</v>
      </c>
    </row>
    <row r="11" spans="1:10">
      <c r="A11">
        <v>10</v>
      </c>
      <c r="B11" s="135">
        <f>VLOOKUP($A11,难度推算表,副本难度推算!$M$3,FALSE)*副本难度推算!$Y$5*H11</f>
        <v>15721.992978545079</v>
      </c>
      <c r="C11" s="135">
        <f>VLOOKUP($A11,难度推算表,副本难度推算!$P$3,FALSE)*副本难度推算!$Z$5*$I11+VLOOKUP($A11,难度推算表,副本难度推算!$H$3,FALSE)</f>
        <v>149.65564870490292</v>
      </c>
      <c r="D11" s="135">
        <f>VLOOKUP($A11,难度推算表,副本难度推算!$G$3,FALSE)-VLOOKUP($A11,难度推算表,副本难度推算!$I$3,FALSE)*(2-副本难度推算!$AA$5)*(2-$J11)</f>
        <v>94.695652173913061</v>
      </c>
      <c r="H11" s="46">
        <v>9.1</v>
      </c>
      <c r="I11" s="46">
        <v>1.94</v>
      </c>
      <c r="J11" s="46">
        <v>1.2</v>
      </c>
    </row>
    <row r="12" spans="1:10">
      <c r="A12">
        <v>11</v>
      </c>
      <c r="B12" s="135">
        <f>VLOOKUP($A12,难度推算表,副本难度推算!$M$3,FALSE)*副本难度推算!$Y$5*H12</f>
        <v>19224.134070812692</v>
      </c>
      <c r="C12" s="135">
        <f>VLOOKUP($A12,难度推算表,副本难度推算!$P$3,FALSE)*副本难度推算!$Z$5*$I12+VLOOKUP($A12,难度推算表,副本难度推算!$H$3,FALSE)</f>
        <v>182.11380614467924</v>
      </c>
      <c r="D12" s="135">
        <f>VLOOKUP($A12,难度推算表,副本难度推算!$G$3,FALSE)-VLOOKUP($A12,难度推算表,副本难度推算!$I$3,FALSE)*(2-副本难度推算!$AA$5)*(2-$J12)</f>
        <v>113.10965217391305</v>
      </c>
      <c r="H12" s="46">
        <v>9</v>
      </c>
      <c r="I12" s="46">
        <v>1.92</v>
      </c>
      <c r="J12" s="46">
        <v>1.2</v>
      </c>
    </row>
    <row r="13" spans="1:10">
      <c r="A13">
        <v>12</v>
      </c>
      <c r="B13" s="135">
        <f>VLOOKUP($A13,难度推算表,副本难度推算!$M$3,FALSE)*副本难度推算!$Y$5*H13</f>
        <v>23060.608205020442</v>
      </c>
      <c r="C13" s="135">
        <f>VLOOKUP($A13,难度推算表,副本难度推算!$P$3,FALSE)*副本难度推算!$Z$5*$I13+VLOOKUP($A13,难度推算表,副本难度推算!$H$3,FALSE)</f>
        <v>217.76092443778114</v>
      </c>
      <c r="D13" s="135">
        <f>VLOOKUP($A13,难度推算表,副本难度推算!$G$3,FALSE)-VLOOKUP($A13,难度推算表,副本难度推算!$I$3,FALSE)*(2-副本难度推算!$AA$5)*(2-$J13)</f>
        <v>132.82643478260871</v>
      </c>
      <c r="H13" s="46">
        <v>8.9</v>
      </c>
      <c r="I13" s="46">
        <v>1.9</v>
      </c>
      <c r="J13" s="46">
        <v>1.2</v>
      </c>
    </row>
    <row r="14" spans="1:10">
      <c r="A14">
        <v>13</v>
      </c>
      <c r="B14" s="135">
        <f>VLOOKUP($A14,难度推算表,副本难度推算!$M$3,FALSE)*副本难度推算!$Y$5*H14</f>
        <v>27233.229241777644</v>
      </c>
      <c r="C14" s="135">
        <f>VLOOKUP($A14,难度推算表,副本难度推算!$P$3,FALSE)*副本难度推算!$Z$5*$I14+VLOOKUP($A14,难度推算表,副本难度推算!$H$3,FALSE)</f>
        <v>256.69296873644248</v>
      </c>
      <c r="D14" s="135">
        <f>VLOOKUP($A14,难度推算表,副本难度推算!$G$3,FALSE)-VLOOKUP($A14,难度推算表,副本难度推算!$I$3,FALSE)*(2-副本难度推算!$AA$5)*(2-$J14)</f>
        <v>153.846</v>
      </c>
      <c r="H14" s="46">
        <v>8.8000000000000007</v>
      </c>
      <c r="I14" s="46">
        <v>1.88</v>
      </c>
      <c r="J14" s="46">
        <v>1.2</v>
      </c>
    </row>
    <row r="15" spans="1:10">
      <c r="A15">
        <v>14</v>
      </c>
      <c r="B15" s="135">
        <f>VLOOKUP($A15,难度推算表,副本难度推算!$M$3,FALSE)*副本难度推算!$Y$5*H15</f>
        <v>31743.045458297307</v>
      </c>
      <c r="C15" s="135">
        <f>VLOOKUP($A15,难度推算表,副本难度推算!$P$3,FALSE)*副本难度推算!$Z$5*$I15+VLOOKUP($A15,难度推算表,副本难度推算!$H$3,FALSE)</f>
        <v>299.00297845073106</v>
      </c>
      <c r="D15" s="135">
        <f>VLOOKUP($A15,难度推算表,副本难度推算!$G$3,FALSE)-VLOOKUP($A15,难度推算表,副本难度推算!$I$3,FALSE)*(2-副本难度推算!$AA$5)*(2-$J15)</f>
        <v>176.168347826087</v>
      </c>
      <c r="H15" s="46">
        <v>8.6999999999999993</v>
      </c>
      <c r="I15" s="46">
        <v>1.86</v>
      </c>
      <c r="J15" s="46">
        <v>1.2</v>
      </c>
    </row>
    <row r="16" spans="1:10">
      <c r="A16">
        <v>15</v>
      </c>
      <c r="B16" s="135">
        <f>VLOOKUP($A16,难度推算表,副本难度推算!$M$3,FALSE)*副本难度推算!$Y$5*H16</f>
        <v>36590.330857745008</v>
      </c>
      <c r="C16" s="135">
        <f>VLOOKUP($A16,难度推算表,副本难度推算!$P$3,FALSE)*副本难度推算!$Z$5*$I16+VLOOKUP($A16,难度推算表,副本难度推算!$H$3,FALSE)</f>
        <v>344.78097079550889</v>
      </c>
      <c r="D16" s="135">
        <f>VLOOKUP($A16,难度推算表,副本难度推算!$G$3,FALSE)-VLOOKUP($A16,难度推算表,副本难度推算!$I$3,FALSE)*(2-副本难度推算!$AA$5)*(2-$J16)</f>
        <v>199.79347826086959</v>
      </c>
      <c r="H16" s="46">
        <v>8.6</v>
      </c>
      <c r="I16" s="46">
        <v>1.84</v>
      </c>
      <c r="J16" s="46">
        <v>1.2</v>
      </c>
    </row>
    <row r="17" spans="1:10">
      <c r="A17">
        <v>16</v>
      </c>
      <c r="B17" s="135">
        <f>VLOOKUP($A17,难度推算表,副本难度推算!$M$3,FALSE)*副本难度推算!$Y$5*H17</f>
        <v>41774.583036521806</v>
      </c>
      <c r="C17" s="135">
        <f>VLOOKUP($A17,难度推算表,副本难度推算!$P$3,FALSE)*副本难度推算!$Z$5*$I17+VLOOKUP($A17,难度推算表,副本难度推算!$H$3,FALSE)</f>
        <v>394.11384049634478</v>
      </c>
      <c r="D17" s="135">
        <f>VLOOKUP($A17,难度推算表,副本难度推算!$G$3,FALSE)-VLOOKUP($A17,难度推算表,副本难度推算!$I$3,FALSE)*(2-副本难度推算!$AA$5)*(2-$J17)</f>
        <v>224.72139130434786</v>
      </c>
      <c r="H17" s="46">
        <v>8.5000000000000107</v>
      </c>
      <c r="I17" s="46">
        <v>1.82</v>
      </c>
      <c r="J17" s="46">
        <v>1.2</v>
      </c>
    </row>
    <row r="18" spans="1:10">
      <c r="A18">
        <v>17</v>
      </c>
      <c r="B18" s="135">
        <f>VLOOKUP($A18,难度推算表,副本难度推算!$M$3,FALSE)*副本难度推算!$Y$5*H18</f>
        <v>47294.524795652018</v>
      </c>
      <c r="C18" s="135">
        <f>VLOOKUP($A18,难度推算表,副本难度推算!$P$3,FALSE)*副本难度推算!$Z$5*$I18+VLOOKUP($A18,难度推算表,副本难度推算!$H$3,FALSE)</f>
        <v>447.08525547472647</v>
      </c>
      <c r="D18" s="135">
        <f>VLOOKUP($A18,难度推算表,副本难度推算!$G$3,FALSE)-VLOOKUP($A18,难度推算表,副本难度推算!$I$3,FALSE)*(2-副本难度推算!$AA$5)*(2-$J18)</f>
        <v>250.95208695652175</v>
      </c>
      <c r="H18" s="46">
        <v>8.4000000000000199</v>
      </c>
      <c r="I18" s="46">
        <v>1.8</v>
      </c>
      <c r="J18" s="46">
        <v>1.2</v>
      </c>
    </row>
    <row r="19" spans="1:10">
      <c r="A19">
        <v>18</v>
      </c>
      <c r="B19" s="135">
        <f>VLOOKUP($A19,难度推算表,副本难度推算!$M$3,FALSE)*副本难度推算!$Y$5*H19</f>
        <v>53148.107865423786</v>
      </c>
      <c r="C19" s="135">
        <f>VLOOKUP($A19,难度推算表,副本难度推算!$P$3,FALSE)*副本难度推算!$Z$5*$I19+VLOOKUP($A19,难度推算表,副本难度推算!$H$3,FALSE)</f>
        <v>538.50429054396591</v>
      </c>
      <c r="D19" s="135">
        <f>VLOOKUP($A19,难度推算表,副本难度推算!$G$3,FALSE)-VLOOKUP($A19,难度推算表,副本难度推算!$I$3,FALSE)*(2-副本难度推算!$AA$5)*(2-$J19)</f>
        <v>278.48556521739141</v>
      </c>
      <c r="H19" s="46">
        <v>8.3000000000000291</v>
      </c>
      <c r="I19" s="46">
        <v>2</v>
      </c>
      <c r="J19" s="46">
        <v>1.2</v>
      </c>
    </row>
    <row r="20" spans="1:10">
      <c r="A20">
        <v>19</v>
      </c>
      <c r="B20" s="135">
        <f>VLOOKUP($A20,难度推算表,副本难度推算!$M$3,FALSE)*副本难度推算!$Y$5*H20</f>
        <v>59332.517777486173</v>
      </c>
      <c r="C20" s="135">
        <f>VLOOKUP($A20,难度推算表,副本难度推算!$P$3,FALSE)*副本难度推算!$Z$5*$I20+VLOOKUP($A20,难度推算表,副本难度推算!$H$3,FALSE)</f>
        <v>605.87123563003001</v>
      </c>
      <c r="D20" s="135">
        <f>VLOOKUP($A20,难度推算表,副本难度推算!$G$3,FALSE)-VLOOKUP($A20,难度推算表,副本难度推算!$I$3,FALSE)*(2-副本难度推算!$AA$5)*(2-$J20)</f>
        <v>307.32182608695666</v>
      </c>
      <c r="H20" s="46">
        <v>8.2000000000000401</v>
      </c>
      <c r="I20" s="46">
        <v>1.99</v>
      </c>
      <c r="J20" s="46">
        <v>1.2</v>
      </c>
    </row>
    <row r="21" spans="1:10">
      <c r="A21">
        <v>20</v>
      </c>
      <c r="B21" s="135">
        <f>VLOOKUP($A21,难度推算表,副本难度推算!$M$3,FALSE)*副本难度推算!$Y$5*H21</f>
        <v>65844.179304206118</v>
      </c>
      <c r="C21" s="135">
        <f>VLOOKUP($A21,难度推算表,副本难度推算!$P$3,FALSE)*副本难度推算!$Z$5*$I21+VLOOKUP($A21,难度推算表,副本难度推算!$H$3,FALSE)</f>
        <v>678.08543478260879</v>
      </c>
      <c r="D21" s="135">
        <f>VLOOKUP($A21,难度推算表,副本难度推算!$G$3,FALSE)-VLOOKUP($A21,难度推算表,副本难度推算!$I$3,FALSE)*(2-副本难度推算!$AA$5)*(2-$J21)</f>
        <v>337.46086956521748</v>
      </c>
      <c r="H21" s="46">
        <v>8.1000000000000494</v>
      </c>
      <c r="I21" s="46">
        <v>1.98</v>
      </c>
      <c r="J21" s="46">
        <v>1.2</v>
      </c>
    </row>
    <row r="22" spans="1:10">
      <c r="A22">
        <v>21</v>
      </c>
      <c r="B22" s="135">
        <f>VLOOKUP($A22,难度推算表,副本难度推算!$M$3,FALSE)*副本难度推算!$Y$5*H22</f>
        <v>72678.762114367288</v>
      </c>
      <c r="C22" s="135">
        <f>VLOOKUP($A22,难度推算表,副本难度推算!$P$3,FALSE)*副本难度推算!$Z$5*$I22+VLOOKUP($A22,难度推算表,副本难度推算!$H$3,FALSE)</f>
        <v>755.31006691218568</v>
      </c>
      <c r="D22" s="135">
        <f>VLOOKUP($A22,难度推算表,副本难度推算!$G$3,FALSE)-VLOOKUP($A22,难度推算表,副本难度推算!$I$3,FALSE)*(2-副本难度推算!$AA$5)*(2-$J22)</f>
        <v>365.2136686956523</v>
      </c>
      <c r="H22" s="46">
        <v>8.0000000000000693</v>
      </c>
      <c r="I22" s="46">
        <v>1.97</v>
      </c>
      <c r="J22" s="46">
        <v>1.19</v>
      </c>
    </row>
    <row r="23" spans="1:10">
      <c r="A23">
        <v>22</v>
      </c>
      <c r="B23" s="135">
        <f>VLOOKUP($A23,难度推算表,副本难度推算!$M$3,FALSE)*副本难度推算!$Y$5*H23</f>
        <v>79831.186433429422</v>
      </c>
      <c r="C23" s="135">
        <f>VLOOKUP($A23,难度推算表,副本难度推算!$P$3,FALSE)*副本难度推算!$Z$5*$I23+VLOOKUP($A23,难度推算表,副本难度推算!$H$3,FALSE)</f>
        <v>837.70995231416578</v>
      </c>
      <c r="D23" s="135">
        <f>VLOOKUP($A23,难度推算表,副本难度推算!$G$3,FALSE)-VLOOKUP($A23,难度推算表,副本难度推算!$I$3,FALSE)*(2-副本难度推算!$AA$5)*(2-$J23)</f>
        <v>369.51552000000015</v>
      </c>
      <c r="H23" s="46">
        <v>7.9000000000000803</v>
      </c>
      <c r="I23" s="46">
        <v>1.96</v>
      </c>
      <c r="J23" s="46">
        <v>1.1200000000000001</v>
      </c>
    </row>
    <row r="24" spans="1:10">
      <c r="A24">
        <v>23</v>
      </c>
      <c r="B24" s="135">
        <f>VLOOKUP($A24,难度推算表,副本难度推算!$M$3,FALSE)*副本难度推算!$Y$5*H24</f>
        <v>88923.165279713023</v>
      </c>
      <c r="C24" s="135">
        <f>VLOOKUP($A24,难度推算表,副本难度推算!$P$3,FALSE)*副本难度推算!$Z$5*$I24+VLOOKUP($A24,难度推算表,副本难度推算!$H$3,FALSE)</f>
        <v>942.70569778222011</v>
      </c>
      <c r="D24" s="135">
        <f>VLOOKUP($A24,难度推算表,副本难度推算!$G$3,FALSE)-VLOOKUP($A24,难度推算表,副本难度推算!$I$3,FALSE)*(2-副本难度推算!$AA$5)*(2-$J24)</f>
        <v>403.87417304347844</v>
      </c>
      <c r="H24" s="46">
        <v>7.8000000000000904</v>
      </c>
      <c r="I24" s="46">
        <v>1.95</v>
      </c>
      <c r="J24" s="46">
        <v>1.1100000000000001</v>
      </c>
    </row>
    <row r="25" spans="1:10">
      <c r="A25">
        <v>24</v>
      </c>
      <c r="B25" s="135">
        <f>VLOOKUP($A25,难度推算表,副本难度推算!$M$3,FALSE)*副本难度推算!$Y$5*H25</f>
        <v>98443.656005574754</v>
      </c>
      <c r="C25" s="135">
        <f>VLOOKUP($A25,难度推算表,副本难度推算!$P$3,FALSE)*副本难度推算!$Z$5*$I25+VLOOKUP($A25,难度推算表,副本难度推算!$H$3,FALSE)</f>
        <v>1054.9026835542152</v>
      </c>
      <c r="D25" s="135">
        <f>VLOOKUP($A25,难度推算表,副本难度推算!$G$3,FALSE)-VLOOKUP($A25,难度推算表,副本难度推算!$I$3,FALSE)*(2-副本难度推算!$AA$5)*(2-$J25)</f>
        <v>439.00499799331112</v>
      </c>
      <c r="H25" s="46">
        <v>7.7000000000000997</v>
      </c>
      <c r="I25" s="46">
        <v>1.94</v>
      </c>
      <c r="J25" s="46">
        <v>1.1000000000000001</v>
      </c>
    </row>
    <row r="26" spans="1:10">
      <c r="A26">
        <v>25</v>
      </c>
      <c r="B26" s="135">
        <f>VLOOKUP($A26,难度推算表,副本难度推算!$M$3,FALSE)*副本难度推算!$Y$5*H26</f>
        <v>108383.96389983363</v>
      </c>
      <c r="C26" s="135">
        <f>VLOOKUP($A26,难度推算表,副本难度推算!$P$3,FALSE)*副本难度推算!$Z$5*$I26+VLOOKUP($A26,难度推算表,副本难度推算!$H$3,FALSE)</f>
        <v>1174.5323403840011</v>
      </c>
      <c r="D26" s="135">
        <f>VLOOKUP($A26,难度推算表,副本难度推算!$G$3,FALSE)-VLOOKUP($A26,难度推算表,副本难度推算!$I$3,FALSE)*(2-副本难度推算!$AA$5)*(2-$J26)</f>
        <v>474.85414214046841</v>
      </c>
      <c r="H26" s="46">
        <v>7.6000000000001098</v>
      </c>
      <c r="I26" s="46">
        <v>1.93</v>
      </c>
      <c r="J26" s="46">
        <v>1.0900000000000001</v>
      </c>
    </row>
    <row r="27" spans="1:10">
      <c r="A27">
        <v>26</v>
      </c>
      <c r="B27" s="135">
        <f>VLOOKUP($A27,难度推算表,副本难度推算!$M$3,FALSE)*副本难度推算!$Y$5*H27</f>
        <v>120240.84729186437</v>
      </c>
      <c r="C27" s="135">
        <f>VLOOKUP($A27,难度推算表,副本难度推算!$P$3,FALSE)*副本难度推算!$Z$5*$I27+VLOOKUP($A27,难度推算表,副本难度推算!$H$3,FALSE)</f>
        <v>1318.3457808594212</v>
      </c>
      <c r="D27" s="135">
        <f>VLOOKUP($A27,难度推算表,副本难度推算!$G$3,FALSE)-VLOOKUP($A27,难度推算表,副本难度推算!$I$3,FALSE)*(2-副本难度推算!$AA$5)*(2-$J27)</f>
        <v>517.85581677591995</v>
      </c>
      <c r="H27" s="46">
        <v>7.5000000000001199</v>
      </c>
      <c r="I27" s="46">
        <v>1.92</v>
      </c>
      <c r="J27" s="46">
        <v>1.08</v>
      </c>
    </row>
    <row r="28" spans="1:10">
      <c r="A28">
        <v>27</v>
      </c>
      <c r="B28" s="135">
        <f>VLOOKUP($A28,难度推算表,副本难度推算!$M$3,FALSE)*副本难度推算!$Y$5*H28</f>
        <v>132596.84141174139</v>
      </c>
      <c r="C28" s="135">
        <f>VLOOKUP($A28,难度推算表,副本难度推算!$P$3,FALSE)*副本难度推算!$Z$5*$I28+VLOOKUP($A28,难度推算表,副本难度推算!$H$3,FALSE)</f>
        <v>1471.5723063892128</v>
      </c>
      <c r="D28" s="135">
        <f>VLOOKUP($A28,难度推算表,副本难度推算!$G$3,FALSE)-VLOOKUP($A28,难度推算表,副本难度推算!$I$3,FALSE)*(2-副本难度推算!$AA$5)*(2-$J28)</f>
        <v>561.67700119063568</v>
      </c>
      <c r="H28" s="46">
        <v>7.40000000000013</v>
      </c>
      <c r="I28" s="46">
        <v>1.91</v>
      </c>
      <c r="J28" s="46">
        <v>1.07</v>
      </c>
    </row>
    <row r="29" spans="1:10">
      <c r="A29">
        <v>28</v>
      </c>
      <c r="B29" s="135">
        <f>VLOOKUP($A29,难度推算表,副本难度推算!$M$3,FALSE)*副本难度推算!$Y$5*H29</f>
        <v>145438.55418690891</v>
      </c>
      <c r="C29" s="135">
        <f>VLOOKUP($A29,难度推算表,副本难度推算!$P$3,FALSE)*副本难度推算!$Z$5*$I29+VLOOKUP($A29,难度推算表,副本难度推算!$H$3,FALSE)</f>
        <v>1713.3859205402623</v>
      </c>
      <c r="D29" s="135">
        <f>VLOOKUP($A29,难度推算表,副本难度推算!$G$3,FALSE)-VLOOKUP($A29,难度推算表,副本难度推算!$I$3,FALSE)*(2-副本难度推算!$AA$5)*(2-$J29)</f>
        <v>606.25155467558545</v>
      </c>
      <c r="H29" s="46">
        <v>7.3000000000001402</v>
      </c>
      <c r="I29" s="46">
        <v>2.04</v>
      </c>
      <c r="J29" s="46">
        <v>1.06</v>
      </c>
    </row>
    <row r="30" spans="1:10">
      <c r="A30">
        <v>29</v>
      </c>
      <c r="B30" s="135">
        <f>VLOOKUP($A30,难度推算表,副本难度推算!$M$3,FALSE)*副本难度推算!$Y$5*H30</f>
        <v>158751.37119116305</v>
      </c>
      <c r="C30" s="135">
        <f>VLOOKUP($A30,难度推算表,副本难度推算!$P$3,FALSE)*副本难度推算!$Z$5*$I30+VLOOKUP($A30,难度推算表,副本难度推算!$H$3,FALSE)</f>
        <v>1889.5777456215137</v>
      </c>
      <c r="D30" s="135">
        <f>VLOOKUP($A30,难度推算表,副本难度推算!$G$3,FALSE)-VLOOKUP($A30,难度推算表,副本难度推算!$I$3,FALSE)*(2-副本难度推算!$AA$5)*(2-$J30)</f>
        <v>651.51333652173957</v>
      </c>
      <c r="H30" s="46">
        <v>7.2000000000001503</v>
      </c>
      <c r="I30" s="46">
        <v>2.02</v>
      </c>
      <c r="J30" s="46">
        <v>1.05</v>
      </c>
    </row>
    <row r="31" spans="1:10">
      <c r="A31">
        <v>30</v>
      </c>
      <c r="B31" s="135">
        <f>VLOOKUP($A31,难度推算表,副本难度推算!$M$3,FALSE)*副本难度推算!$Y$5*H31</f>
        <v>174675.95556197493</v>
      </c>
      <c r="C31" s="135">
        <f>VLOOKUP($A31,难度推算表,副本难度推算!$P$3,FALSE)*副本难度推算!$Z$5*$I31+VLOOKUP($A31,难度推算表,副本难度推算!$H$3,FALSE)</f>
        <v>2101.2724618260063</v>
      </c>
      <c r="D31" s="135">
        <f>VLOOKUP($A31,难度推算表,副本难度推算!$G$3,FALSE)-VLOOKUP($A31,难度推算表,副本难度推算!$I$3,FALSE)*(2-副本难度推算!$AA$5)*(2-$J31)</f>
        <v>706.11365859531816</v>
      </c>
      <c r="H31" s="46">
        <v>7.1000000000001702</v>
      </c>
      <c r="I31" s="46">
        <v>2</v>
      </c>
      <c r="J31" s="46">
        <v>1.04</v>
      </c>
    </row>
    <row r="32" spans="1:10">
      <c r="A32">
        <v>31</v>
      </c>
      <c r="B32" s="135">
        <f>VLOOKUP($A32,难度推算表,副本难度推算!$M$3,FALSE)*副本难度推算!$Y$5*H32</f>
        <v>193671.07642471688</v>
      </c>
      <c r="C32" s="135">
        <f>VLOOKUP($A32,难度推算表,副本难度推算!$P$3,FALSE)*副本难度推算!$Z$5*$I32+VLOOKUP($A32,难度推算表,副本难度推算!$H$3,FALSE)</f>
        <v>2343.4215781387738</v>
      </c>
      <c r="D32" s="135">
        <f>VLOOKUP($A32,难度推算表,副本难度推算!$G$3,FALSE)-VLOOKUP($A32,难度推算表,副本难度推算!$I$3,FALSE)*(2-副本难度推算!$AA$5)*(2-$J32)</f>
        <v>771.5010196384618</v>
      </c>
      <c r="H32" s="46">
        <v>7.0000000000001803</v>
      </c>
      <c r="I32" s="46">
        <v>1.99</v>
      </c>
      <c r="J32" s="46">
        <v>1.03</v>
      </c>
    </row>
    <row r="33" spans="1:10">
      <c r="A33">
        <v>32</v>
      </c>
      <c r="B33" s="135">
        <f>VLOOKUP($A33,难度推算表,副本难度推算!$M$3,FALSE)*副本难度推算!$Y$5*H33</f>
        <v>215384.07531915518</v>
      </c>
      <c r="C33" s="135">
        <f>VLOOKUP($A33,难度推算表,副本难度推算!$P$3,FALSE)*副本难度推算!$Z$5*$I33+VLOOKUP($A33,难度推算表,副本难度推算!$H$3,FALSE)</f>
        <v>2603.5733722747618</v>
      </c>
      <c r="D33" s="135">
        <f>VLOOKUP($A33,难度推算表,副本难度推算!$G$3,FALSE)-VLOOKUP($A33,难度推算表,副本难度推算!$I$3,FALSE)*(2-副本难度推算!$AA$5)*(2-$J33)</f>
        <v>839.78236029832794</v>
      </c>
      <c r="H33" s="46">
        <v>6.95</v>
      </c>
      <c r="I33" s="46">
        <v>1.98</v>
      </c>
      <c r="J33" s="46">
        <v>1.02</v>
      </c>
    </row>
    <row r="34" spans="1:10">
      <c r="A34">
        <v>33</v>
      </c>
      <c r="B34" s="135">
        <f>VLOOKUP($A34,难度推算表,副本难度推算!$M$3,FALSE)*副本难度推算!$Y$5*H34</f>
        <v>238555.05511140591</v>
      </c>
      <c r="C34" s="135">
        <f>VLOOKUP($A34,难度推算表,副本难度推算!$P$3,FALSE)*副本难度推算!$Z$5*$I34+VLOOKUP($A34,难度推算表,副本难度推算!$H$3,FALSE)</f>
        <v>2881.4793163085251</v>
      </c>
      <c r="D34" s="135">
        <f>VLOOKUP($A34,难度推算表,副本难度推算!$G$3,FALSE)-VLOOKUP($A34,难度推算表,副本难度推算!$I$3,FALSE)*(2-副本难度推算!$AA$5)*(2-$J34)</f>
        <v>910.61411024498398</v>
      </c>
      <c r="H34" s="46">
        <v>6.8999999999998201</v>
      </c>
      <c r="I34" s="46">
        <v>1.97</v>
      </c>
      <c r="J34" s="46">
        <v>1.01</v>
      </c>
    </row>
    <row r="35" spans="1:10">
      <c r="A35">
        <v>34</v>
      </c>
      <c r="B35" s="135">
        <f>VLOOKUP($A35,难度推算表,副本难度推算!$M$3,FALSE)*副本难度推算!$Y$5*H35</f>
        <v>263223.14854668616</v>
      </c>
      <c r="C35" s="135">
        <f>VLOOKUP($A35,难度推算表,副本难度推算!$P$3,FALSE)*副本难度推算!$Z$5*$I35+VLOOKUP($A35,难度推算表,副本难度推算!$H$3,FALSE)</f>
        <v>3177.7429644391605</v>
      </c>
      <c r="D35" s="135">
        <f>VLOOKUP($A35,难度推算表,副本难度推算!$G$3,FALSE)-VLOOKUP($A35,难度推算表,副本难度推算!$I$3,FALSE)*(2-副本难度推算!$AA$5)*(2-$J35)</f>
        <v>983.93169407357891</v>
      </c>
      <c r="H35" s="46">
        <v>6.8499999999996399</v>
      </c>
      <c r="I35" s="46">
        <v>1.96</v>
      </c>
      <c r="J35" s="46">
        <v>1</v>
      </c>
    </row>
    <row r="36" spans="1:10">
      <c r="A36">
        <v>35</v>
      </c>
      <c r="B36" s="135">
        <f>VLOOKUP($A36,难度推算表,副本难度推算!$M$3,FALSE)*副本难度推算!$Y$5*H36</f>
        <v>289426.5968011606</v>
      </c>
      <c r="C36" s="135">
        <f>VLOOKUP($A36,难度推算表,副本难度推算!$P$3,FALSE)*副本难度推算!$Z$5*$I36+VLOOKUP($A36,难度推算表,副本难度推算!$H$3,FALSE)</f>
        <v>3492.975103274629</v>
      </c>
      <c r="D36" s="135">
        <f>VLOOKUP($A36,难度推算表,副本难度推算!$G$3,FALSE)-VLOOKUP($A36,难度推算表,副本难度推算!$I$3,FALSE)*(2-副本难度推算!$AA$5)*(2-$J36)</f>
        <v>1073.0790260869569</v>
      </c>
      <c r="H36" s="46">
        <v>6.7999999999994598</v>
      </c>
      <c r="I36" s="46">
        <v>1.95</v>
      </c>
      <c r="J36" s="46">
        <v>1</v>
      </c>
    </row>
    <row r="37" spans="1:10">
      <c r="A37">
        <v>36</v>
      </c>
      <c r="B37" s="135">
        <f>VLOOKUP($A37,难度推算表,副本难度推算!$M$3,FALSE)*副本难度推算!$Y$5*H37</f>
        <v>317202.69867736823</v>
      </c>
      <c r="C37" s="135">
        <f>VLOOKUP($A37,难度推算表,副本难度推算!$P$3,FALSE)*副本难度推算!$Z$5*$I37+VLOOKUP($A37,难度推算表,副本难度推算!$H$3,FALSE)</f>
        <v>3827.7940285820773</v>
      </c>
      <c r="D37" s="135">
        <f>VLOOKUP($A37,难度推算表,副本难度推算!$G$3,FALSE)-VLOOKUP($A37,难度推算表,副本难度推算!$I$3,FALSE)*(2-副本难度推算!$AA$5)*(2-$J37)</f>
        <v>1166.913919143813</v>
      </c>
      <c r="H37" s="46">
        <v>6.7499999999992797</v>
      </c>
      <c r="I37" s="46">
        <v>1.94</v>
      </c>
      <c r="J37" s="46">
        <v>1</v>
      </c>
    </row>
    <row r="38" spans="1:10">
      <c r="A38">
        <v>37</v>
      </c>
      <c r="B38" s="135">
        <f>VLOOKUP($A38,难度推算表,副本难度推算!$M$3,FALSE)*副本难度推算!$Y$5*H38</f>
        <v>346587.7596427066</v>
      </c>
      <c r="C38" s="135">
        <f>VLOOKUP($A38,难度推算表,副本难度推算!$P$3,FALSE)*副本难度推算!$Z$5*$I38+VLOOKUP($A38,难度推算表,副本难度推算!$H$3,FALSE)</f>
        <v>4241.1716248287576</v>
      </c>
      <c r="D38" s="135">
        <f>VLOOKUP($A38,难度推算表,副本难度推算!$G$3,FALSE)-VLOOKUP($A38,难度推算表,副本难度推算!$I$3,FALSE)*(2-副本难度推算!$AA$5)*(2-$J38)</f>
        <v>1265.5363356120404</v>
      </c>
      <c r="H38" s="46">
        <v>6.6999999999990996</v>
      </c>
      <c r="I38" s="46">
        <v>1.93</v>
      </c>
      <c r="J38" s="46">
        <v>1</v>
      </c>
    </row>
    <row r="39" spans="1:10">
      <c r="A39">
        <v>38</v>
      </c>
      <c r="B39" s="135">
        <f>VLOOKUP($A39,难度推算表,副本难度推算!$M$3,FALSE)*副本难度推算!$Y$5*H39</f>
        <v>377617.04074304481</v>
      </c>
      <c r="C39" s="135">
        <f>VLOOKUP($A39,难度推算表,副本难度推算!$P$3,FALSE)*副本难度推算!$Z$5*$I39+VLOOKUP($A39,难度推算表,副本难度推算!$H$3,FALSE)</f>
        <v>4824.5095916892233</v>
      </c>
      <c r="D39" s="135">
        <f>VLOOKUP($A39,难度推算表,副本难度推算!$G$3,FALSE)-VLOOKUP($A39,难度推算表,副本难度推算!$I$3,FALSE)*(2-副本难度推算!$AA$5)*(2-$J39)</f>
        <v>1369.0462378595321</v>
      </c>
      <c r="H39" s="46">
        <v>6.6499999999989203</v>
      </c>
      <c r="I39" s="46">
        <v>2</v>
      </c>
      <c r="J39" s="46">
        <v>1</v>
      </c>
    </row>
    <row r="40" spans="1:10">
      <c r="A40">
        <v>39</v>
      </c>
      <c r="B40" s="135">
        <f>VLOOKUP($A40,难度推算表,副本难度推算!$M$3,FALSE)*副本难度推算!$Y$5*H40</f>
        <v>410324.7074180239</v>
      </c>
      <c r="C40" s="135">
        <f>VLOOKUP($A40,难度推算表,副本难度推算!$P$3,FALSE)*副本难度推算!$Z$5*$I40+VLOOKUP($A40,难度推算表,副本难度推算!$H$3,FALSE)</f>
        <v>5319.2245107720209</v>
      </c>
      <c r="D40" s="135">
        <f>VLOOKUP($A40,难度推算表,副本难度推算!$G$3,FALSE)-VLOOKUP($A40,难度推算表,副本难度推算!$I$3,FALSE)*(2-副本难度推算!$AA$5)*(2-$J40)</f>
        <v>1477.5435882541808</v>
      </c>
      <c r="H40" s="46">
        <v>6.5999999999987402</v>
      </c>
      <c r="I40" s="46">
        <v>1.99</v>
      </c>
      <c r="J40" s="46">
        <v>1</v>
      </c>
    </row>
    <row r="41" spans="1:10">
      <c r="A41">
        <v>40</v>
      </c>
      <c r="B41" s="135">
        <f>VLOOKUP($A41,难度推算表,副本难度推算!$M$3,FALSE)*副本难度推算!$Y$5*H41</f>
        <v>448750.47894498066</v>
      </c>
      <c r="C41" s="135">
        <f>VLOOKUP($A41,难度推算表,副本难度推算!$P$3,FALSE)*副本难度推算!$Z$5*$I41+VLOOKUP($A41,难度推算表,副本难度推算!$H$3,FALSE)</f>
        <v>5903.1389866755881</v>
      </c>
      <c r="D41" s="135">
        <f>VLOOKUP($A41,难度推算表,副本难度推算!$G$3,FALSE)-VLOOKUP($A41,难度推算表,副本难度推算!$I$3,FALSE)*(2-副本难度推算!$AA$5)*(2-$J41)</f>
        <v>1605.4628387959874</v>
      </c>
      <c r="H41" s="46">
        <v>6.5499999999985601</v>
      </c>
      <c r="I41" s="46">
        <v>1.98</v>
      </c>
      <c r="J41" s="46">
        <v>1</v>
      </c>
    </row>
    <row r="42" spans="1:10">
      <c r="A42">
        <v>41</v>
      </c>
      <c r="B42" s="135">
        <f>VLOOKUP($A42,难度推算表,副本难度推算!$M$3,FALSE)*副本难度推算!$Y$5*H42</f>
        <v>489343.02225538448</v>
      </c>
      <c r="C42" s="135">
        <f>VLOOKUP($A42,难度推算表,副本难度推算!$P$3,FALSE)*副本难度推算!$Z$5*$I42+VLOOKUP($A42,难度推算表,副本难度推算!$H$3,FALSE)</f>
        <v>6532.5960782459197</v>
      </c>
      <c r="D42" s="135">
        <f>VLOOKUP($A42,难度推算表,副本难度推算!$G$3,FALSE)-VLOOKUP($A42,难度推算表,副本难度推算!$I$3,FALSE)*(2-副本难度推算!$AA$5)*(2-$J42)</f>
        <v>1739.8987370434788</v>
      </c>
      <c r="H42" s="46">
        <v>6.49999999999838</v>
      </c>
      <c r="I42" s="46">
        <v>1.97</v>
      </c>
      <c r="J42" s="46">
        <v>1</v>
      </c>
    </row>
    <row r="43" spans="1:10">
      <c r="A43">
        <v>42</v>
      </c>
      <c r="B43" s="135">
        <f>VLOOKUP($A43,难度推算表,副本难度推算!$M$3,FALSE)*副本难度推算!$Y$5*H43</f>
        <v>536270.97087782656</v>
      </c>
      <c r="C43" s="135">
        <f>VLOOKUP($A43,难度推算表,副本难度推算!$P$3,FALSE)*副本难度推算!$Z$5*$I43+VLOOKUP($A43,难度推算表,副本难度推算!$H$3,FALSE)</f>
        <v>7209.9634111729329</v>
      </c>
      <c r="D43" s="135">
        <f>VLOOKUP($A43,难度推算表,副本难度推算!$G$3,FALSE)-VLOOKUP($A43,难度推算表,副本难度推算!$I$3,FALSE)*(2-副本难度推算!$AA$5)*(2-$J43)</f>
        <v>1880.9845661538475</v>
      </c>
      <c r="H43" s="46">
        <v>6.49999999999838</v>
      </c>
      <c r="I43" s="46">
        <v>1.96</v>
      </c>
      <c r="J43" s="46">
        <v>1</v>
      </c>
    </row>
    <row r="44" spans="1:10">
      <c r="A44">
        <v>43</v>
      </c>
      <c r="B44" s="135">
        <f>VLOOKUP($A44,难度推算表,副本难度推算!$M$3,FALSE)*副本难度推算!$Y$5*H44</f>
        <v>586219.45857170119</v>
      </c>
      <c r="C44" s="135">
        <f>VLOOKUP($A44,难度推算表,副本难度推算!$P$3,FALSE)*副本难度推算!$Z$5*$I44+VLOOKUP($A44,难度推算表,副本难度推算!$H$3,FALSE)</f>
        <v>7937.6874298754719</v>
      </c>
      <c r="D44" s="135">
        <f>VLOOKUP($A44,难度推算表,副本难度推算!$G$3,FALSE)-VLOOKUP($A44,难度推算表,副本难度推算!$I$3,FALSE)*(2-副本难度推算!$AA$5)*(2-$J44)</f>
        <v>2028.8536092842814</v>
      </c>
      <c r="H44" s="46">
        <v>6.49999999999838</v>
      </c>
      <c r="I44" s="46">
        <v>1.95</v>
      </c>
      <c r="J44" s="46">
        <v>1</v>
      </c>
    </row>
    <row r="45" spans="1:10">
      <c r="A45">
        <v>44</v>
      </c>
      <c r="B45" s="135">
        <f>VLOOKUP($A45,难度推算表,副本难度推算!$M$3,FALSE)*副本难度推算!$Y$5*H45</f>
        <v>639300.95898669702</v>
      </c>
      <c r="C45" s="135">
        <f>VLOOKUP($A45,难度推算表,副本难度推算!$P$3,FALSE)*副本难度推算!$Z$5*$I45+VLOOKUP($A45,难度推算表,副本难度推算!$H$3,FALSE)</f>
        <v>8718.2954557645517</v>
      </c>
      <c r="D45" s="135">
        <f>VLOOKUP($A45,难度推算表,副本难度推算!$G$3,FALSE)-VLOOKUP($A45,难度推算表,副本难度推算!$I$3,FALSE)*(2-副本难度推算!$AA$5)*(2-$J45)</f>
        <v>2183.6391495919738</v>
      </c>
      <c r="H45" s="46">
        <v>6.49999999999838</v>
      </c>
      <c r="I45" s="46">
        <v>1.94</v>
      </c>
      <c r="J45" s="46">
        <v>1</v>
      </c>
    </row>
    <row r="46" spans="1:10">
      <c r="A46">
        <v>45</v>
      </c>
      <c r="B46" s="135">
        <f>VLOOKUP($A46,难度推算表,副本难度推算!$M$3,FALSE)*副本难度推算!$Y$5*H46</f>
        <v>695629.70919702866</v>
      </c>
      <c r="C46" s="135">
        <f>VLOOKUP($A46,难度推算表,副本难度推算!$P$3,FALSE)*副本难度推算!$Z$5*$I46+VLOOKUP($A46,难度推算表,副本难度推算!$H$3,FALSE)</f>
        <v>9554.3978470099628</v>
      </c>
      <c r="D46" s="135">
        <f>VLOOKUP($A46,难度推算表,副本难度推算!$G$3,FALSE)-VLOOKUP($A46,难度推算表,副本难度推算!$I$3,FALSE)*(2-副本难度推算!$AA$5)*(2-$J46)</f>
        <v>2345.4744702341145</v>
      </c>
      <c r="H46" s="46">
        <v>6.49999999999838</v>
      </c>
      <c r="I46" s="46">
        <v>1.93</v>
      </c>
      <c r="J46" s="46">
        <v>1</v>
      </c>
    </row>
    <row r="47" spans="1:10">
      <c r="A47">
        <v>46</v>
      </c>
      <c r="B47" s="135">
        <f>VLOOKUP($A47,难度推算表,副本难度推算!$M$3,FALSE)*副本难度推算!$Y$5*H47</f>
        <v>755321.70932989148</v>
      </c>
      <c r="C47" s="135">
        <f>VLOOKUP($A47,难度推算表,副本难度推算!$P$3,FALSE)*副本难度推算!$Z$5*$I47+VLOOKUP($A47,难度推算表,副本难度推算!$H$3,FALSE)</f>
        <v>10448.690265698631</v>
      </c>
      <c r="D47" s="135">
        <f>VLOOKUP($A47,难度推算表,副本难度推算!$G$3,FALSE)-VLOOKUP($A47,难度推算表,副本难度推算!$I$3,FALSE)*(2-副本难度推算!$AA$5)*(2-$J47)</f>
        <v>2514.4928543678943</v>
      </c>
      <c r="H47" s="46">
        <v>6.49999999999838</v>
      </c>
      <c r="I47" s="46">
        <v>1.92</v>
      </c>
      <c r="J47" s="46">
        <v>1</v>
      </c>
    </row>
    <row r="48" spans="1:10">
      <c r="A48">
        <v>47</v>
      </c>
      <c r="B48" s="135">
        <f>VLOOKUP($A48,难度推算表,副本难度推算!$M$3,FALSE)*副本难度推算!$Y$5*H48</f>
        <v>818494.72212562407</v>
      </c>
      <c r="C48" s="135">
        <f>VLOOKUP($A48,难度推算表,副本难度推算!$P$3,FALSE)*副本难度推算!$Z$5*$I48+VLOOKUP($A48,难度推算表,副本难度推算!$H$3,FALSE)</f>
        <v>11403.956058666625</v>
      </c>
      <c r="D48" s="135">
        <f>VLOOKUP($A48,难度推算表,副本难度推算!$G$3,FALSE)-VLOOKUP($A48,难度推算表,副本难度推算!$I$3,FALSE)*(2-副本难度推算!$AA$5)*(2-$J48)</f>
        <v>2690.8275851505027</v>
      </c>
      <c r="H48" s="46">
        <v>6.49999999999838</v>
      </c>
      <c r="I48" s="46">
        <v>1.91</v>
      </c>
      <c r="J48" s="46">
        <v>1</v>
      </c>
    </row>
    <row r="49" spans="1:10">
      <c r="A49">
        <v>48</v>
      </c>
      <c r="B49" s="135">
        <f>VLOOKUP($A49,难度推算表,副本难度推算!$M$3,FALSE)*副本难度推算!$Y$5*H49</f>
        <v>885268.27244038542</v>
      </c>
      <c r="C49" s="135">
        <f>VLOOKUP($A49,难度推算表,副本难度推算!$P$3,FALSE)*副本难度推算!$Z$5*$I49+VLOOKUP($A49,难度推算表,副本难度推算!$H$3,FALSE)</f>
        <v>12925.619117287744</v>
      </c>
      <c r="D49" s="135">
        <f>VLOOKUP($A49,难度推算表,副本难度推算!$G$3,FALSE)-VLOOKUP($A49,难度推算表,副本难度推算!$I$3,FALSE)*(2-副本难度推算!$AA$5)*(2-$J49)</f>
        <v>2874.6119457391319</v>
      </c>
      <c r="H49" s="46">
        <v>6.49999999999838</v>
      </c>
      <c r="I49" s="46">
        <v>2</v>
      </c>
      <c r="J49" s="46">
        <v>1</v>
      </c>
    </row>
    <row r="50" spans="1:10">
      <c r="A50">
        <v>49</v>
      </c>
      <c r="B50" s="135">
        <f>VLOOKUP($A50,难度推算表,副本难度推算!$M$3,FALSE)*副本难度推算!$Y$5*H50</f>
        <v>955763.6467005905</v>
      </c>
      <c r="C50" s="135">
        <f>VLOOKUP($A50,难度推算表,副本难度推算!$P$3,FALSE)*副本难度推算!$Z$5*$I50+VLOOKUP($A50,难度推算表,副本难度推算!$H$3,FALSE)</f>
        <v>14061.535215668584</v>
      </c>
      <c r="D50" s="135">
        <f>VLOOKUP($A50,难度推算表,副本难度推算!$G$3,FALSE)-VLOOKUP($A50,难度推算表,副本难度推算!$I$3,FALSE)*(2-副本难度推算!$AA$5)*(2-$J50)</f>
        <v>3065.9792192909717</v>
      </c>
      <c r="H50" s="46">
        <v>6.49999999999838</v>
      </c>
      <c r="I50" s="46">
        <v>1.99</v>
      </c>
      <c r="J50" s="46">
        <v>1</v>
      </c>
    </row>
    <row r="51" spans="1:10">
      <c r="A51">
        <v>50</v>
      </c>
      <c r="B51" s="135">
        <f>VLOOKUP($A51,难度推算表,副本难度推算!$M$3,FALSE)*副本难度推算!$Y$5*H51</f>
        <v>1036880.891608617</v>
      </c>
      <c r="C51" s="135">
        <f>VLOOKUP($A51,难度推算表,副本难度推算!$P$3,FALSE)*副本难度推算!$Z$5*$I51+VLOOKUP($A51,难度推算表,副本难度推算!$H$3,FALSE)</f>
        <v>15371.632822188254</v>
      </c>
      <c r="D51" s="135">
        <f>VLOOKUP($A51,难度推算表,副本难度推算!$G$3,FALSE)-VLOOKUP($A51,难度推算表,副本难度推算!$I$3,FALSE)*(2-副本难度推算!$AA$5)*(2-$J51)</f>
        <v>3286.5433645484964</v>
      </c>
      <c r="H51" s="46">
        <v>6.49999999999838</v>
      </c>
      <c r="I51" s="46">
        <v>1.98</v>
      </c>
      <c r="J51" s="46">
        <v>1</v>
      </c>
    </row>
    <row r="52" spans="1:10">
      <c r="A52">
        <v>51</v>
      </c>
      <c r="B52" s="135">
        <f>VLOOKUP($A52,难度推算表,副本难度推算!$M$3,FALSE)*副本难度推算!$Y$5*H52</f>
        <v>1102617.0857552958</v>
      </c>
      <c r="C52" s="135">
        <f>VLOOKUP($A52,难度推算表,副本难度推算!$P$3,FALSE)*副本难度推算!$Z$5*$I52+VLOOKUP($A52,难度推算表,副本难度推算!$H$3,FALSE)</f>
        <v>16770.17189370688</v>
      </c>
      <c r="D52" s="135">
        <f>VLOOKUP($A52,难度推算表,副本难度推算!$G$3,FALSE)-VLOOKUP($A52,难度推算表,副本难度推算!$I$3,FALSE)*(2-副本难度推算!$AA$5)*(2-$J52)</f>
        <v>3516.5084025016731</v>
      </c>
      <c r="H52" s="46">
        <v>6.49999999999838</v>
      </c>
      <c r="I52" s="46">
        <v>1.97</v>
      </c>
      <c r="J52" s="46">
        <v>1</v>
      </c>
    </row>
    <row r="53" spans="1:10">
      <c r="A53">
        <v>52</v>
      </c>
      <c r="B53" s="135">
        <f>VLOOKUP($A53,难度推算表,副本难度推算!$M$3,FALSE)*副本难度推算!$Y$5*H53</f>
        <v>1213147.8632236857</v>
      </c>
      <c r="C53" s="135">
        <f>VLOOKUP($A53,难度推算表,副本难度推算!$P$3,FALSE)*副本难度推算!$Z$5*$I53+VLOOKUP($A53,难度推算表,副本难度推算!$H$3,FALSE)</f>
        <v>18261.30840075844</v>
      </c>
      <c r="D53" s="135">
        <f>VLOOKUP($A53,难度推算表,副本难度推算!$G$3,FALSE)-VLOOKUP($A53,难度推算表,副本难度推算!$I$3,FALSE)*(2-副本难度推算!$AA$5)*(2-$J53)</f>
        <v>3756.040937096991</v>
      </c>
      <c r="H53" s="46">
        <v>6.49999999999838</v>
      </c>
      <c r="I53" s="46">
        <v>1.96</v>
      </c>
      <c r="J53" s="46">
        <v>1</v>
      </c>
    </row>
    <row r="54" spans="1:10">
      <c r="A54">
        <v>53</v>
      </c>
      <c r="B54" s="135">
        <f>VLOOKUP($A54,难度推算表,副本难度推算!$M$3,FALSE)*副本难度推算!$Y$5*H54</f>
        <v>1308608.0679348106</v>
      </c>
      <c r="C54" s="135">
        <f>VLOOKUP($A54,难度推算表,副本难度推算!$P$3,FALSE)*副本难度推算!$Z$5*$I54+VLOOKUP($A54,难度推算表,副本难度推算!$H$3,FALSE)</f>
        <v>19849.337454639641</v>
      </c>
      <c r="D54" s="135">
        <f>VLOOKUP($A54,难度推算表,副本难度推算!$G$3,FALSE)-VLOOKUP($A54,难度推算表,副本难度推算!$I$3,FALSE)*(2-副本难度推算!$AA$5)*(2-$J54)</f>
        <v>4005.3075722809381</v>
      </c>
      <c r="H54" s="46">
        <v>6.49999999999838</v>
      </c>
      <c r="I54" s="46">
        <v>1.95</v>
      </c>
      <c r="J54" s="46">
        <v>1</v>
      </c>
    </row>
    <row r="55" spans="1:10">
      <c r="A55">
        <v>54</v>
      </c>
      <c r="B55" s="135">
        <f>VLOOKUP($A55,难度推算表,副本难度推算!$M$3,FALSE)*副本难度推算!$Y$5*H55</f>
        <v>1409163.4015404147</v>
      </c>
      <c r="C55" s="135">
        <f>VLOOKUP($A55,难度推算表,副本难度推算!$P$3,FALSE)*副本难度推算!$Z$5*$I55+VLOOKUP($A55,难度推算表,副本难度推算!$H$3,FALSE)</f>
        <v>21538.697911141699</v>
      </c>
      <c r="D55" s="135">
        <f>VLOOKUP($A55,难度推算表,副本难度推算!$G$3,FALSE)-VLOOKUP($A55,难度推算表,副本难度推算!$I$3,FALSE)*(2-副本难度推算!$AA$5)*(2-$J55)</f>
        <v>4264.4749120000015</v>
      </c>
      <c r="H55" s="46">
        <v>6.49999999999838</v>
      </c>
      <c r="I55" s="46">
        <v>1.94</v>
      </c>
      <c r="J55" s="46">
        <v>1</v>
      </c>
    </row>
    <row r="56" spans="1:10">
      <c r="A56">
        <v>55</v>
      </c>
      <c r="B56" s="135">
        <f>VLOOKUP($A56,难度推算表,副本难度推算!$M$3,FALSE)*副本难度推算!$Y$5*H56</f>
        <v>1514974.5983455984</v>
      </c>
      <c r="C56" s="135">
        <f>VLOOKUP($A56,难度推算表,副本难度推算!$P$3,FALSE)*副本难度推算!$Z$5*$I56+VLOOKUP($A56,难度推算表,副本难度推算!$H$3,FALSE)</f>
        <v>23333.977221646921</v>
      </c>
      <c r="D56" s="135">
        <f>VLOOKUP($A56,难度推算表,副本难度推算!$G$3,FALSE)-VLOOKUP($A56,难度推算表,副本难度推算!$I$3,FALSE)*(2-副本难度推算!$AA$5)*(2-$J56)</f>
        <v>4533.7095602006693</v>
      </c>
      <c r="H56" s="46">
        <v>6.49999999999838</v>
      </c>
      <c r="I56" s="46">
        <v>1.93</v>
      </c>
      <c r="J56" s="46">
        <v>1</v>
      </c>
    </row>
    <row r="57" spans="1:10">
      <c r="A57">
        <v>56</v>
      </c>
      <c r="B57" s="135">
        <f>VLOOKUP($A57,难度推算表,副本难度推算!$M$3,FALSE)*副本难度推算!$Y$5*H57</f>
        <v>1626204.5893794512</v>
      </c>
      <c r="C57" s="135">
        <f>VLOOKUP($A57,难度推算表,副本难度推算!$P$3,FALSE)*副本难度推算!$Z$5*$I57+VLOOKUP($A57,难度推算表,副本难度推算!$H$3,FALSE)</f>
        <v>25239.916547236502</v>
      </c>
      <c r="D57" s="135">
        <f>VLOOKUP($A57,难度推算表,副本难度推算!$G$3,FALSE)-VLOOKUP($A57,难度推算表,副本难度推算!$I$3,FALSE)*(2-副本难度推算!$AA$5)*(2-$J57)</f>
        <v>4813.1781208294333</v>
      </c>
      <c r="H57" s="46">
        <v>6.49999999999838</v>
      </c>
      <c r="I57" s="46">
        <v>1.92</v>
      </c>
      <c r="J57" s="46">
        <v>1</v>
      </c>
    </row>
    <row r="58" spans="1:10">
      <c r="A58">
        <v>57</v>
      </c>
      <c r="B58" s="135">
        <f>VLOOKUP($A58,难度推算表,副本难度推算!$M$3,FALSE)*副本难度推算!$Y$5*H58</f>
        <v>1743018.5015811953</v>
      </c>
      <c r="C58" s="135">
        <f>VLOOKUP($A58,难度推算表,副本难度推算!$P$3,FALSE)*副本难度推算!$Z$5*$I58+VLOOKUP($A58,难度推算表,副本难度推算!$H$3,FALSE)</f>
        <v>27261.416152597449</v>
      </c>
      <c r="D58" s="135">
        <f>VLOOKUP($A58,难度推算表,副本难度推算!$G$3,FALSE)-VLOOKUP($A58,难度推算表,副本难度推算!$I$3,FALSE)*(2-副本难度推算!$AA$5)*(2-$J58)</f>
        <v>5103.0471978327778</v>
      </c>
      <c r="H58" s="46">
        <v>6.49999999999838</v>
      </c>
      <c r="I58" s="46">
        <v>1.91</v>
      </c>
      <c r="J58" s="46">
        <v>1</v>
      </c>
    </row>
    <row r="59" spans="1:10">
      <c r="A59">
        <v>58</v>
      </c>
      <c r="B59" s="135">
        <f>VLOOKUP($A59,难度推算表,副本难度推算!$M$3,FALSE)*副本难度推算!$Y$5*H59</f>
        <v>1865583.6569686441</v>
      </c>
      <c r="C59" s="135">
        <f>VLOOKUP($A59,难度推算表,副本难度推算!$P$3,FALSE)*副本难度推算!$Z$5*$I59+VLOOKUP($A59,难度推算表,副本难度推算!$H$3,FALSE)</f>
        <v>29403.541097752746</v>
      </c>
      <c r="D59" s="135">
        <f>VLOOKUP($A59,难度推算表,副本难度推算!$G$3,FALSE)-VLOOKUP($A59,难度推算表,副本难度推算!$I$3,FALSE)*(2-副本难度推算!$AA$5)*(2-$J59)</f>
        <v>5403.4833951571927</v>
      </c>
      <c r="H59" s="46">
        <v>6.49999999999838</v>
      </c>
      <c r="I59" s="46">
        <v>1.9</v>
      </c>
      <c r="J59" s="46">
        <v>1</v>
      </c>
    </row>
    <row r="60" spans="1:10">
      <c r="A60">
        <v>59</v>
      </c>
      <c r="B60" s="135">
        <f>VLOOKUP($A60,难度推算表,副本难度推算!$M$3,FALSE)*副本难度推算!$Y$5*H60</f>
        <v>1994069.5717927255</v>
      </c>
      <c r="C60" s="135">
        <f>VLOOKUP($A60,难度推算表,副本难度推算!$P$3,FALSE)*副本难度推算!$Z$5*$I60+VLOOKUP($A60,难度推算表,副本难度推算!$H$3,FALSE)</f>
        <v>31671.527246977632</v>
      </c>
      <c r="D60" s="135">
        <f>VLOOKUP($A60,难度推算表,副本难度推算!$G$3,FALSE)-VLOOKUP($A60,难度推算表,副本难度推算!$I$3,FALSE)*(2-副本难度推算!$AA$5)*(2-$J60)</f>
        <v>5714.6533167491662</v>
      </c>
      <c r="H60" s="46">
        <v>6.49999999999838</v>
      </c>
      <c r="I60" s="46">
        <v>1.89</v>
      </c>
      <c r="J60" s="46">
        <v>1</v>
      </c>
    </row>
    <row r="61" spans="1:10">
      <c r="A61">
        <v>60</v>
      </c>
      <c r="B61" s="135">
        <f>VLOOKUP($A61,难度推算表,副本难度推算!$M$3,FALSE)*副本难度推算!$Y$5*H61</f>
        <v>2139133.9062019349</v>
      </c>
      <c r="C61" s="135">
        <f>VLOOKUP($A61,难度推算表,副本难度推算!$P$3,FALSE)*副本难度推算!$Z$5*$I61+VLOOKUP($A61,难度推算表,副本难度推算!$H$3,FALSE)</f>
        <v>34238.624007913051</v>
      </c>
      <c r="D61" s="135">
        <f>VLOOKUP($A61,难度推算表,副本难度推算!$G$3,FALSE)-VLOOKUP($A61,难度推算表,副本难度推算!$I$3,FALSE)*(2-副本难度推算!$AA$5)*(2-$J61)</f>
        <v>6066.4611210702378</v>
      </c>
      <c r="H61" s="46">
        <v>6.49999999999838</v>
      </c>
      <c r="I61" s="46">
        <v>1.88</v>
      </c>
      <c r="J61" s="46">
        <v>1</v>
      </c>
    </row>
    <row r="62" spans="1:10">
      <c r="A62">
        <v>61</v>
      </c>
      <c r="B62" s="135">
        <f>VLOOKUP($A62,难度推算表,副本难度推算!$M$3,FALSE)*副本难度推算!$Y$5*H62</f>
        <v>2291314.7560712937</v>
      </c>
      <c r="C62" s="135">
        <f>VLOOKUP($A62,难度推算表,副本难度推算!$P$3,FALSE)*副本难度推算!$Z$5*$I62+VLOOKUP($A62,难度推算表,副本难度推算!$H$3,FALSE)</f>
        <v>36958.908684416296</v>
      </c>
      <c r="D62" s="135">
        <f>VLOOKUP($A62,难度推算表,副本难度推算!$G$3,FALSE)-VLOOKUP($A62,难度推算表,副本难度推算!$I$3,FALSE)*(2-副本难度推算!$AA$5)*(2-$J62)</f>
        <v>6431.1094095652197</v>
      </c>
      <c r="H62" s="46">
        <v>6.49999999999838</v>
      </c>
      <c r="I62" s="46">
        <v>1.87</v>
      </c>
      <c r="J62" s="46">
        <v>1</v>
      </c>
    </row>
    <row r="63" spans="1:10">
      <c r="A63">
        <v>62</v>
      </c>
      <c r="B63" s="135">
        <f>VLOOKUP($A63,难度推算表,副本难度推算!$M$3,FALSE)*副本难度推算!$Y$5*H63</f>
        <v>2450819.0848151767</v>
      </c>
      <c r="C63" s="135">
        <f>VLOOKUP($A63,难度推算表,副本难度推算!$P$3,FALSE)*副本难度推算!$Z$5*$I63+VLOOKUP($A63,难度推算表,副本难度推算!$H$3,FALSE)</f>
        <v>39839.029309249738</v>
      </c>
      <c r="D63" s="135">
        <f>VLOOKUP($A63,难度推算表,副本难度推算!$G$3,FALSE)-VLOOKUP($A63,难度推算表,副本难度推算!$I$3,FALSE)*(2-副本难度推算!$AA$5)*(2-$J63)</f>
        <v>6808.7981069699035</v>
      </c>
      <c r="H63" s="46">
        <v>6.49999999999838</v>
      </c>
      <c r="I63" s="46">
        <v>1.86</v>
      </c>
      <c r="J63" s="46">
        <v>1</v>
      </c>
    </row>
    <row r="64" spans="1:10">
      <c r="A64">
        <v>63</v>
      </c>
      <c r="B64" s="135">
        <f>VLOOKUP($A64,难度推算表,副本难度推算!$M$3,FALSE)*副本难度推算!$Y$5*H64</f>
        <v>2617856.485819214</v>
      </c>
      <c r="C64" s="135">
        <f>VLOOKUP($A64,难度推算表,副本难度推算!$P$3,FALSE)*副本难度推算!$Z$5*$I64+VLOOKUP($A64,难度推算表,副本难度推算!$H$3,FALSE)</f>
        <v>42885.863289452107</v>
      </c>
      <c r="D64" s="135">
        <f>VLOOKUP($A64,难度推算表,副本难度推算!$G$3,FALSE)-VLOOKUP($A64,难度推算表,副本难度推算!$I$3,FALSE)*(2-副本难度推算!$AA$5)*(2-$J64)</f>
        <v>7199.7271380200691</v>
      </c>
      <c r="H64" s="46">
        <v>6.49999999999838</v>
      </c>
      <c r="I64" s="46">
        <v>1.85</v>
      </c>
      <c r="J64" s="46">
        <v>1</v>
      </c>
    </row>
    <row r="65" spans="1:10">
      <c r="A65">
        <v>64</v>
      </c>
      <c r="B65" s="135">
        <f>VLOOKUP($A65,难度推算表,副本难度推算!$M$3,FALSE)*副本难度推算!$Y$5*H65</f>
        <v>2792639.1814295561</v>
      </c>
      <c r="C65" s="135">
        <f>VLOOKUP($A65,难度推算表,副本难度推算!$P$3,FALSE)*副本难度推算!$Z$5*$I65+VLOOKUP($A65,难度推算表,副本难度推算!$H$3,FALSE)</f>
        <v>46106.526508137249</v>
      </c>
      <c r="D65" s="135">
        <f>VLOOKUP($A65,难度推算表,副本难度推算!$G$3,FALSE)-VLOOKUP($A65,难度推算表,副本难度推算!$I$3,FALSE)*(2-副本难度推算!$AA$5)*(2-$J65)</f>
        <v>7604.09642745151</v>
      </c>
      <c r="H65" s="46">
        <v>6.49999999999838</v>
      </c>
      <c r="I65" s="46">
        <v>1.84</v>
      </c>
      <c r="J65" s="46">
        <v>1</v>
      </c>
    </row>
    <row r="66" spans="1:10">
      <c r="A66">
        <v>65</v>
      </c>
      <c r="B66" s="135">
        <f>VLOOKUP($A66,难度推算表,副本难度推算!$M$3,FALSE)*副本难度推算!$Y$5*H66</f>
        <v>2975382.0219374602</v>
      </c>
      <c r="C66" s="135">
        <f>VLOOKUP($A66,难度推算表,副本难度推算!$P$3,FALSE)*副本难度推算!$Z$5*$I66+VLOOKUP($A66,难度推算表,副本难度推算!$H$3,FALSE)</f>
        <v>49508.382963448385</v>
      </c>
      <c r="D66" s="135">
        <f>VLOOKUP($A66,难度推算表,副本难度推算!$G$3,FALSE)-VLOOKUP($A66,难度推算表,副本难度推算!$I$3,FALSE)*(2-副本难度推算!$AA$5)*(2-$J66)</f>
        <v>8022.1059000000023</v>
      </c>
      <c r="H66" s="46">
        <v>6.49999999999838</v>
      </c>
      <c r="I66" s="46">
        <v>1.83</v>
      </c>
      <c r="J66" s="46">
        <v>1</v>
      </c>
    </row>
    <row r="67" spans="1:10">
      <c r="A67">
        <v>66</v>
      </c>
      <c r="B67" s="135">
        <f>VLOOKUP($A67,难度推算表,副本难度推算!$M$3,FALSE)*副本难度推算!$Y$5*H67</f>
        <v>3166302.4845613604</v>
      </c>
      <c r="C67" s="135">
        <f>VLOOKUP($A67,难度推算表,副本难度推算!$P$3,FALSE)*副本难度推算!$Z$5*$I67+VLOOKUP($A67,难度推算表,副本难度推算!$H$3,FALSE)</f>
        <v>53099.054982019574</v>
      </c>
      <c r="D67" s="135">
        <f>VLOOKUP($A67,难度推算表,副本难度推算!$G$3,FALSE)-VLOOKUP($A67,难度推算表,副本难度推算!$I$3,FALSE)*(2-副本难度推算!$AA$5)*(2-$J67)</f>
        <v>8453.9554804013442</v>
      </c>
      <c r="H67" s="46">
        <v>6.49999999999838</v>
      </c>
      <c r="I67" s="46">
        <v>1.82</v>
      </c>
      <c r="J67" s="46">
        <v>1</v>
      </c>
    </row>
    <row r="68" spans="1:10">
      <c r="A68">
        <v>67</v>
      </c>
      <c r="B68" s="135">
        <f>VLOOKUP($A68,难度推算表,副本难度推算!$M$3,FALSE)*副本难度推算!$Y$5*H68</f>
        <v>3365620.6724283756</v>
      </c>
      <c r="C68" s="135">
        <f>VLOOKUP($A68,难度推算表,副本难度推算!$P$3,FALSE)*副本难度推算!$Z$5*$I68+VLOOKUP($A68,难度推算表,副本难度推算!$H$3,FALSE)</f>
        <v>56294.007023171907</v>
      </c>
      <c r="D68" s="135">
        <f>VLOOKUP($A68,难度推算表,副本难度推算!$G$3,FALSE)-VLOOKUP($A68,难度推算表,副本难度推算!$I$3,FALSE)*(2-副本难度推算!$AA$5)*(2-$J68)</f>
        <v>8899.84509339131</v>
      </c>
      <c r="H68" s="46">
        <v>6.49999999999838</v>
      </c>
      <c r="I68" s="46">
        <v>1.81</v>
      </c>
      <c r="J68" s="46">
        <v>1</v>
      </c>
    </row>
    <row r="69" spans="1:10">
      <c r="A69">
        <v>68</v>
      </c>
      <c r="B69" s="135">
        <f>VLOOKUP($A69,难度推算表,副本难度推算!$M$3,FALSE)*副本难度推算!$Y$5*H69</f>
        <v>3573559.3135569403</v>
      </c>
      <c r="C69" s="135">
        <f>VLOOKUP($A69,难度推算表,副本难度推算!$P$3,FALSE)*副本难度推算!$Z$5*$I69+VLOOKUP($A69,难度推算表,副本难度推算!$H$3,FALSE)</f>
        <v>59622.138197965898</v>
      </c>
      <c r="D69" s="135">
        <f>VLOOKUP($A69,难度推算表,副本难度推算!$G$3,FALSE)-VLOOKUP($A69,难度推算表,副本难度推算!$I$3,FALSE)*(2-副本难度推算!$AA$5)*(2-$J69)</f>
        <v>9359.9746637056942</v>
      </c>
      <c r="H69" s="46">
        <v>6.49999999999838</v>
      </c>
      <c r="I69" s="46">
        <v>1.8</v>
      </c>
      <c r="J69" s="46">
        <v>1</v>
      </c>
    </row>
    <row r="70" spans="1:10">
      <c r="A70">
        <v>69</v>
      </c>
      <c r="B70" s="135">
        <f>VLOOKUP($A70,难度推算表,副本难度推算!$M$3,FALSE)*副本难度推算!$Y$5*H70</f>
        <v>3790343.7598420088</v>
      </c>
      <c r="C70" s="135">
        <f>VLOOKUP($A70,难度推算表,副本难度推算!$P$3,FALSE)*副本难度推算!$Z$5*$I70+VLOOKUP($A70,难度推算表,副本难度推算!$H$3,FALSE)</f>
        <v>63087.3157268293</v>
      </c>
      <c r="D70" s="135">
        <f>VLOOKUP($A70,难度推算表,副本难度推算!$G$3,FALSE)-VLOOKUP($A70,难度推算表,副本难度推算!$I$3,FALSE)*(2-副本难度推算!$AA$5)*(2-$J70)</f>
        <v>9834.5441160802766</v>
      </c>
      <c r="H70" s="46">
        <v>6.49999999999838</v>
      </c>
      <c r="I70" s="46">
        <v>1.79</v>
      </c>
      <c r="J70" s="46">
        <v>1</v>
      </c>
    </row>
    <row r="71" spans="1:10">
      <c r="A71">
        <v>70</v>
      </c>
      <c r="B71" s="135">
        <f>VLOOKUP($A71,难度推算表,副本难度推算!$M$3,FALSE)*副本难度推算!$Y$5*H71</f>
        <v>4031414.8723548646</v>
      </c>
      <c r="C71" s="135">
        <f>VLOOKUP($A71,难度推算表,副本难度推算!$P$3,FALSE)*副本难度推算!$Z$5*$I71+VLOOKUP($A71,难度推算表,副本难度推算!$H$3,FALSE)</f>
        <v>66946.150403834676</v>
      </c>
      <c r="D71" s="135">
        <f>VLOOKUP($A71,难度推算表,副本难度推算!$G$3,FALSE)-VLOOKUP($A71,难度推算表,副本难度推算!$I$3,FALSE)*(2-副本难度推算!$AA$5)*(2-$J71)</f>
        <v>10362.85850167225</v>
      </c>
      <c r="H71" s="46">
        <v>6.49999999999838</v>
      </c>
      <c r="I71" s="46">
        <v>1.78</v>
      </c>
      <c r="J71" s="46">
        <v>1</v>
      </c>
    </row>
    <row r="72" spans="1:10">
      <c r="A72">
        <v>71</v>
      </c>
      <c r="B72" s="135">
        <f>VLOOKUP($A72,难度推算表,副本难度推算!$M$3,FALSE)*副本难度推算!$Y$5*H72</f>
        <v>4282856.1783297928</v>
      </c>
      <c r="C72" s="135">
        <f>VLOOKUP($A72,难度推算表,副本难度推算!$P$3,FALSE)*副本难度推算!$Z$5*$I72+VLOOKUP($A72,难度推算表,副本难度推算!$H$3,FALSE)</f>
        <v>70966.681612410772</v>
      </c>
      <c r="D72" s="135">
        <f>VLOOKUP($A72,难度推算表,副本难度推算!$G$3,FALSE)-VLOOKUP($A72,难度推算表,副本难度推算!$I$3,FALSE)*(2-副本难度推算!$AA$5)*(2-$J72)</f>
        <v>10908.008309404689</v>
      </c>
      <c r="H72" s="46">
        <v>6.49999999999838</v>
      </c>
      <c r="I72" s="46">
        <v>1.77</v>
      </c>
      <c r="J72" s="46">
        <v>1</v>
      </c>
    </row>
    <row r="73" spans="1:10">
      <c r="A73">
        <v>72</v>
      </c>
      <c r="B73" s="135">
        <f>VLOOKUP($A73,难度推算表,副本难度推算!$M$3,FALSE)*副本难度推算!$Y$5*H73</f>
        <v>4544935.05494704</v>
      </c>
      <c r="C73" s="135">
        <f>VLOOKUP($A73,难度推算表,副本难度推算!$P$3,FALSE)*副本难度推算!$Z$5*$I73+VLOOKUP($A73,难度推算表,副本难度推算!$H$3,FALSE)</f>
        <v>75153.688633651764</v>
      </c>
      <c r="D73" s="135">
        <f>VLOOKUP($A73,难度推算表,副本难度推算!$G$3,FALSE)-VLOOKUP($A73,难度推算表,副本难度推算!$I$3,FALSE)*(2-副本难度推算!$AA$5)*(2-$J73)</f>
        <v>11470.226784802682</v>
      </c>
      <c r="H73" s="46">
        <v>6.49999999999838</v>
      </c>
      <c r="I73" s="46">
        <v>1.76</v>
      </c>
      <c r="J73" s="46">
        <v>1</v>
      </c>
    </row>
    <row r="74" spans="1:10">
      <c r="A74">
        <v>73</v>
      </c>
      <c r="B74" s="135">
        <f>VLOOKUP($A74,难度推算表,副本难度推算!$M$3,FALSE)*副本难度推算!$Y$5*H74</f>
        <v>4817921.9372549243</v>
      </c>
      <c r="C74" s="135">
        <f>VLOOKUP($A74,难度推算表,副本难度推算!$P$3,FALSE)*副本难度推算!$Z$5*$I74+VLOOKUP($A74,难度推算表,副本难度推算!$H$3,FALSE)</f>
        <v>79512.102552584431</v>
      </c>
      <c r="D74" s="135">
        <f>VLOOKUP($A74,难度推算表,副本难度推算!$G$3,FALSE)-VLOOKUP($A74,难度推算表,副本难度推算!$I$3,FALSE)*(2-副本难度推算!$AA$5)*(2-$J74)</f>
        <v>12049.747173391313</v>
      </c>
      <c r="H74" s="46">
        <v>6.49999999999838</v>
      </c>
      <c r="I74" s="46">
        <v>1.75</v>
      </c>
      <c r="J74" s="46">
        <v>1</v>
      </c>
    </row>
    <row r="75" spans="1:10">
      <c r="A75">
        <v>74</v>
      </c>
      <c r="B75" s="135">
        <f>VLOOKUP($A75,难度推算表,副本难度推算!$M$3,FALSE)*副本难度推算!$Y$5*H75</f>
        <v>5102090.3170253802</v>
      </c>
      <c r="C75" s="135">
        <f>VLOOKUP($A75,难度推算表,副本难度推算!$P$3,FALSE)*副本难度推算!$Z$5*$I75+VLOOKUP($A75,难度推算表,副本难度推算!$H$3,FALSE)</f>
        <v>84047.014449027876</v>
      </c>
      <c r="D75" s="135">
        <f>VLOOKUP($A75,难度推算表,副本难度推算!$G$3,FALSE)-VLOOKUP($A75,难度推算表,副本难度推算!$I$3,FALSE)*(2-副本难度推算!$AA$5)*(2-$J75)</f>
        <v>12646.802720695659</v>
      </c>
      <c r="H75" s="46">
        <v>6.49999999999838</v>
      </c>
      <c r="I75" s="46">
        <v>1.74</v>
      </c>
      <c r="J75" s="46">
        <v>1</v>
      </c>
    </row>
    <row r="76" spans="1:10">
      <c r="A76">
        <v>75</v>
      </c>
      <c r="B76" s="135">
        <f>VLOOKUP($A76,难度推算表,副本难度推算!$M$3,FALSE)*副本难度推算!$Y$5*H76</f>
        <v>5397716.7416169643</v>
      </c>
      <c r="C76" s="135">
        <f>VLOOKUP($A76,难度推算表,副本难度推算!$P$3,FALSE)*副本难度推算!$Z$5*$I76+VLOOKUP($A76,难度推算表,副本难度推算!$H$3,FALSE)</f>
        <v>88763.684124582011</v>
      </c>
      <c r="D76" s="135">
        <f>VLOOKUP($A76,难度推算表,副本难度推算!$G$3,FALSE)-VLOOKUP($A76,难度推算表,副本难度推算!$I$3,FALSE)*(2-副本难度推算!$AA$5)*(2-$J76)</f>
        <v>13261.626672240815</v>
      </c>
      <c r="H76" s="46">
        <v>6.49999999999838</v>
      </c>
      <c r="I76" s="46">
        <v>1.73</v>
      </c>
      <c r="J76" s="46">
        <v>1</v>
      </c>
    </row>
    <row r="77" spans="1:10">
      <c r="A77">
        <v>76</v>
      </c>
      <c r="B77" s="135">
        <f>VLOOKUP($A77,难度推算表,副本难度推算!$M$3,FALSE)*副本难度推算!$Y$5*H77</f>
        <v>5705080.8128461866</v>
      </c>
      <c r="C77" s="135">
        <f>VLOOKUP($A77,难度推算表,副本难度推算!$P$3,FALSE)*副本难度推算!$Z$5*$I77+VLOOKUP($A77,难度推算表,副本难度推算!$H$3,FALSE)</f>
        <v>93667.549407137558</v>
      </c>
      <c r="D77" s="135">
        <f>VLOOKUP($A77,难度推算表,副本难度推算!$G$3,FALSE)-VLOOKUP($A77,难度推算表,副本难度推算!$I$3,FALSE)*(2-副本难度推算!$AA$5)*(2-$J77)</f>
        <v>13894.452273551848</v>
      </c>
      <c r="H77" s="46">
        <v>6.49999999999838</v>
      </c>
      <c r="I77" s="46">
        <v>1.72</v>
      </c>
      <c r="J77" s="46">
        <v>1</v>
      </c>
    </row>
    <row r="78" spans="1:10">
      <c r="A78">
        <v>77</v>
      </c>
      <c r="B78" s="135">
        <f>VLOOKUP($A78,难度推算表,副本难度推算!$M$3,FALSE)*副本难度推算!$Y$5*H78</f>
        <v>6024465.1858677845</v>
      </c>
      <c r="C78" s="135">
        <f>VLOOKUP($A78,难度推算表,副本难度推算!$P$3,FALSE)*副本难度推算!$Z$5*$I78+VLOOKUP($A78,难度推算表,副本难度推算!$H$3,FALSE)</f>
        <v>98764.2360779929</v>
      </c>
      <c r="D78" s="135">
        <f>VLOOKUP($A78,难度推算表,副本难度推算!$G$3,FALSE)-VLOOKUP($A78,难度推算表,副本难度推算!$I$3,FALSE)*(2-副本难度推算!$AA$5)*(2-$J78)</f>
        <v>14545.512770153851</v>
      </c>
      <c r="H78" s="46">
        <v>6.49999999999838</v>
      </c>
      <c r="I78" s="46">
        <v>1.71</v>
      </c>
      <c r="J78" s="46">
        <v>1</v>
      </c>
    </row>
    <row r="79" spans="1:10">
      <c r="A79">
        <v>78</v>
      </c>
      <c r="B79" s="135">
        <f>VLOOKUP($A79,难度推算表,副本难度推算!$M$3,FALSE)*副本难度推算!$Y$5*H79</f>
        <v>6356155.5680645648</v>
      </c>
      <c r="C79" s="135">
        <f>VLOOKUP($A79,难度推算表,副本难度推算!$P$3,FALSE)*副本难度推算!$Z$5*$I79+VLOOKUP($A79,难度推算表,副本难度推算!$H$3,FALSE)</f>
        <v>104059.5684707301</v>
      </c>
      <c r="D79" s="135">
        <f>VLOOKUP($A79,难度推算表,副本难度推算!$G$3,FALSE)-VLOOKUP($A79,难度推算表,副本难度推算!$I$3,FALSE)*(2-副本难度推算!$AA$5)*(2-$J79)</f>
        <v>15215.041407571909</v>
      </c>
      <c r="H79" s="46">
        <v>6.49999999999838</v>
      </c>
      <c r="I79" s="46">
        <v>1.7</v>
      </c>
      <c r="J79" s="46">
        <v>1</v>
      </c>
    </row>
    <row r="80" spans="1:10">
      <c r="A80">
        <v>79</v>
      </c>
      <c r="B80" s="135">
        <f>VLOOKUP($A80,难度推算表,副本难度推算!$M$3,FALSE)*副本难度推算!$Y$5*H80</f>
        <v>6700440.7179473201</v>
      </c>
      <c r="C80" s="135">
        <f>VLOOKUP($A80,难度推算表,副本难度推算!$P$3,FALSE)*副本难度推算!$Z$5*$I80+VLOOKUP($A80,难度推算表,副本难度推算!$H$3,FALSE)</f>
        <v>109559.58079548986</v>
      </c>
      <c r="D80" s="135">
        <f>VLOOKUP($A80,难度推算表,副本难度推算!$G$3,FALSE)-VLOOKUP($A80,难度推算表,副本难度推算!$I$3,FALSE)*(2-副本难度推算!$AA$5)*(2-$J80)</f>
        <v>15903.271431331115</v>
      </c>
      <c r="H80" s="46">
        <v>6.49999999999838</v>
      </c>
      <c r="I80" s="46">
        <v>1.69</v>
      </c>
      <c r="J80" s="46">
        <v>1</v>
      </c>
    </row>
    <row r="81" spans="1:10">
      <c r="A81">
        <v>80</v>
      </c>
      <c r="B81" s="135">
        <f>VLOOKUP($A81,难度推算表,副本难度推算!$M$3,FALSE)*副本难度推算!$Y$5*H81</f>
        <v>7078679.9438981777</v>
      </c>
      <c r="C81" s="135">
        <f>VLOOKUP($A81,难度推算表,副本难度推算!$P$3,FALSE)*副本难度推算!$Z$5*$I81+VLOOKUP($A81,难度推算表,副本难度推算!$H$3,FALSE)</f>
        <v>115614.62037931566</v>
      </c>
      <c r="D81" s="135">
        <f>VLOOKUP($A81,难度推算表,副本难度推算!$G$3,FALSE)-VLOOKUP($A81,难度推算表,副本难度推算!$I$3,FALSE)*(2-副本难度推算!$AA$5)*(2-$J81)</f>
        <v>16660.019478260871</v>
      </c>
      <c r="H81" s="46">
        <v>6.49999999999838</v>
      </c>
      <c r="I81" s="46">
        <v>1.68</v>
      </c>
      <c r="J81" s="46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3</vt:i4>
      </vt:variant>
    </vt:vector>
  </HeadingPairs>
  <TitlesOfParts>
    <vt:vector size="21" baseType="lpstr">
      <vt:lpstr>D_怪物表</vt:lpstr>
      <vt:lpstr>怪物信息配置表</vt:lpstr>
      <vt:lpstr>远征副本等级难度系数控制</vt:lpstr>
      <vt:lpstr>英雄之路怪物</vt:lpstr>
      <vt:lpstr>配置说明</vt:lpstr>
      <vt:lpstr>怪物信息表</vt:lpstr>
      <vt:lpstr>人物成长模拟表</vt:lpstr>
      <vt:lpstr>人物&amp;怪物成长分析</vt:lpstr>
      <vt:lpstr>副本难度推算</vt:lpstr>
      <vt:lpstr>怪物并表</vt:lpstr>
      <vt:lpstr>普通副本怪物</vt:lpstr>
      <vt:lpstr>精英副本怪物</vt:lpstr>
      <vt:lpstr>金币副本怪物</vt:lpstr>
      <vt:lpstr>材料副本怪物</vt:lpstr>
      <vt:lpstr>马仔经验副本怪物</vt:lpstr>
      <vt:lpstr>命运副本怪物</vt:lpstr>
      <vt:lpstr>BOSS副本怪物</vt:lpstr>
      <vt:lpstr>BOSS副本数值</vt:lpstr>
      <vt:lpstr>怪物难度系数查询</vt:lpstr>
      <vt:lpstr>怪物信息配置表</vt:lpstr>
      <vt:lpstr>难度推算表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Javy</cp:lastModifiedBy>
  <dcterms:created xsi:type="dcterms:W3CDTF">2006-09-16T00:00:00Z</dcterms:created>
  <dcterms:modified xsi:type="dcterms:W3CDTF">2015-08-17T15:23:11Z</dcterms:modified>
</cp:coreProperties>
</file>